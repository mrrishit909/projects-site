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Controls" sheetId="2" state="visible" r:id="rId4"/>
    <sheet name="Checks" sheetId="3" state="visible" r:id="rId5"/>
    <sheet name="Models" sheetId="4" state="visible" r:id="rId6"/>
    <sheet name="Calibration" sheetId="5" state="visible" r:id="rId7"/>
    <sheet name="Capacity" sheetId="6" state="visible" r:id="rId8"/>
    <sheet name="Economics" sheetId="7" state="visible" r:id="rId9"/>
    <sheet name="Censored tail" sheetId="8" state="visible" r:id="rId10"/>
    <sheet name="Drift" sheetId="9" state="visible" r:id="rId11"/>
    <sheet name="Purge" sheetId="10" state="visible" r:id="rId12"/>
    <sheet name="Golden case" sheetId="11" state="visible" r:id="rId13"/>
    <sheet name="Assumptions" sheetId="12" state="visible" r:id="rId14"/>
    <sheet name="Scenarios" sheetId="13" state="visible" r:id="rId15"/>
    <sheet name="Test table" sheetId="14" state="visible" r:id="rId16"/>
    <sheet name="SQL results (pasted)" sheetId="15" state="visible" r:id="rId17"/>
  </sheet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<sst xmlns="http://schemas.openxmlformats.org/spreadsheetml/2006/main" count="3704" uniqueCount="486">
  <si>
    <t xml:space="preserve">RetentionLab analyst workbook (P10-ART-05)</t>
  </si>
  <si>
    <t xml:space="preserve">What it is</t>
  </si>
  <si>
    <t xml:space="preserve">A formula-driven recomputation of the RetentionLab evaluation over the published synthetic snapshot rl-20261026-20261026 (dataset hash 9ebaaadab8a2f70e5f25820616391ee0aec55fbf0b121dee25460de469821b1c, code revision ce96e65, as-of 2026-10-05T00:00:00Z): the 1,513-row held-out test table of the full 2,400-account world, the 200-account cohort and its 97-account 2026-09-01 queue.</t>
  </si>
  <si>
    <t xml:space="preserve">The decision</t>
  </si>
  <si>
    <t xml:space="preserve">Which accounts deserve limited retention attention under uncertain intervention value? The workbook shows how well four models rank and score the held-out rows (the margin of the logistic model over its baselines is met by construction), how well calibrated the probabilities are, what a capacity of 5, 10 or 20 gets, what the censored tail hides, where the population drifts, and what a HYPOTHETICAL contact programme would be worth under stated assumptions.</t>
  </si>
  <si>
    <t xml:space="preserve">Synthetic data</t>
  </si>
  <si>
    <t xml:space="preserve">Everything is synthetic (a seeded generator). Simulated = what this one draw shows; hypothetical = an assumption-based value (the expected intervention value); no retention improvement is claimed and the ranking by risk is not a treatment effect.</t>
  </si>
  <si>
    <t xml:space="preserve">How to use it</t>
  </si>
  <si>
    <t xml:space="preserve">Open the .xlsx in any spreadsheet application. Controls!B3 selects the model, B5 a scenario, B11:B14 a what-if; Checks!B2 is TRUE when every figure agrees with the SQL/Python results and the golden hand answer. Nothing needs installing to read the cached values.</t>
  </si>
  <si>
    <t xml:space="preserve">Recalculation status</t>
  </si>
  <si>
    <t xml:space="preserve">openpyxl wrote formulas only; LibreOffice (headless) recalculated the delivered file. Microsoft Excel was NOT run: nothing here was opened or recalculated by Excel (docs/workbook.md).</t>
  </si>
  <si>
    <t xml:space="preserve">Sheets</t>
  </si>
  <si>
    <t xml:space="preserve">Controls, Checks, Models, Calibration, Capacity, Economics, Censored tail, Drift, Purge, Golden case, Assumptions, Scenarios, Test table (the 1,513 rows with the live per-row columns), SQL results (pasted).</t>
  </si>
  <si>
    <t xml:space="preserve">Colour</t>
  </si>
  <si>
    <t xml:space="preserve">Blue = typed input or pasted value; black = formula.</t>
  </si>
  <si>
    <t xml:space="preserve">Controls</t>
  </si>
  <si>
    <t xml:space="preserve">Change B3 (the model whose block Capacity shows), B5 (a scenario) and the what-if inputs B11:B14. Blue cells are inputs.</t>
  </si>
  <si>
    <t xml:space="preserve">Selected model</t>
  </si>
  <si>
    <t xml:space="preserve">logistic_regression</t>
  </si>
  <si>
    <t xml:space="preserve">Model index (1..4)</t>
  </si>
  <si>
    <t xml:space="preserve">Selected scenario</t>
  </si>
  <si>
    <t xml:space="preserve">sc-001</t>
  </si>
  <si>
    <t xml:space="preserve">Scenario capacity K</t>
  </si>
  <si>
    <t xml:space="preserve">Scenario contact cost (USD)</t>
  </si>
  <si>
    <t xml:space="preserve">Scenario assumed effect</t>
  </si>
  <si>
    <t xml:space="preserve">Scenario margin (USD per retained account)</t>
  </si>
  <si>
    <t xml:space="preserve">What-if (hypothetical, on the 97 cohort accounts)</t>
  </si>
  <si>
    <t xml:space="preserve">What-if capacity K</t>
  </si>
  <si>
    <t xml:space="preserve">What-if contact cost (USD)</t>
  </si>
  <si>
    <t xml:space="preserve">What-if assumed effect (share of risk removed, 0 to 1)</t>
  </si>
  <si>
    <t xml:space="preserve">What-if margin (USD per retained account)</t>
  </si>
  <si>
    <t xml:space="preserve">As-of (UTC)</t>
  </si>
  <si>
    <t xml:space="preserve">All checks pass (Checks!B2)</t>
  </si>
  <si>
    <t xml:space="preserve">Checks: TRUE when every comparison with the SQL/Python results and the golden hand answer holds</t>
  </si>
  <si>
    <t xml:space="preserve">All checks pass</t>
  </si>
  <si>
    <t xml:space="preserve">#</t>
  </si>
  <si>
    <t xml:space="preserve">check</t>
  </si>
  <si>
    <t xml:space="preserve">workbook</t>
  </si>
  <si>
    <t xml:space="preserve">reference</t>
  </si>
  <si>
    <t xml:space="preserve">tolerance</t>
  </si>
  <si>
    <t xml:space="preserve">ok</t>
  </si>
  <si>
    <t xml:space="preserve">reference source</t>
  </si>
  <si>
    <t xml:space="preserve">Average precision of random_baseline = the SQL/Python figure</t>
  </si>
  <si>
    <t xml:space="preserve">analysis-results.json 01_model_comparison__models</t>
  </si>
  <si>
    <t xml:space="preserve">Brier score of random_baseline = the SQL/Python figure</t>
  </si>
  <si>
    <t xml:space="preserve">Average precision of business_rule = the SQL/Python figure</t>
  </si>
  <si>
    <t xml:space="preserve">Brier score of business_rule = the SQL/Python figure</t>
  </si>
  <si>
    <t xml:space="preserve">Average precision of logistic_regression = the SQL/Python figure</t>
  </si>
  <si>
    <t xml:space="preserve">Brier score of logistic_regression = the SQL/Python figure</t>
  </si>
  <si>
    <t xml:space="preserve">Average precision of prevalence_baseline = the SQL/Python figure</t>
  </si>
  <si>
    <t xml:space="preserve">Brier score of prevalence_baseline = the SQL/Python figure</t>
  </si>
  <si>
    <t xml:space="preserve">Average precision of logistic_uncalibrated = the SQL/Python figure</t>
  </si>
  <si>
    <t xml:space="preserve">Brier score of logistic_uncalibrated = the SQL/Python figure</t>
  </si>
  <si>
    <t xml:space="preserve">Margin ap_over_rule = the SQL figure</t>
  </si>
  <si>
    <t xml:space="preserve">analysis-results.json 08_rows_and_margins__margins</t>
  </si>
  <si>
    <t xml:space="preserve">Margin ap_over_random = the SQL figure</t>
  </si>
  <si>
    <t xml:space="preserve">Margin brier_under_rule = the SQL figure</t>
  </si>
  <si>
    <t xml:space="preserve">Margin brier_under_random = the SQL figure</t>
  </si>
  <si>
    <t xml:space="preserve">Margin ap_over_prevalence_constant (reference) = the SQL figure</t>
  </si>
  <si>
    <t xml:space="preserve">Margin brier_under_prevalence_constant (reference) = the SQL figure</t>
  </si>
  <si>
    <t xml:space="preserve">Models: rows = 1,513 for every model</t>
  </si>
  <si>
    <t xml:space="preserve">manifest row_counts.test_cohort</t>
  </si>
  <si>
    <t xml:space="preserve">Models: churning rows = 189 for every model</t>
  </si>
  <si>
    <t xml:space="preserve">manifest DR-01 realised</t>
  </si>
  <si>
    <t xml:space="preserve">Calibration bins of logistic_regression (Platt): row counts = the SQL counts (sum of differences)</t>
  </si>
  <si>
    <t xml:space="preserve">analysis-results.json 02_calibration_platt__bins</t>
  </si>
  <si>
    <t xml:space="preserve">Calibration bins of logistic_regression (Platt): gaps of the occupied bins = the SQL gaps (each within the 2-place rounding)</t>
  </si>
  <si>
    <t xml:space="preserve">same</t>
  </si>
  <si>
    <t xml:space="preserve">Calibration bins of logistic_regression (Platt): all 1,513 rows fall in a bin</t>
  </si>
  <si>
    <t xml:space="preserve">test table</t>
  </si>
  <si>
    <t xml:space="preserve">Calibration bins of logistic_regression (before Platt): row counts = the SQL counts (sum of differences)</t>
  </si>
  <si>
    <t xml:space="preserve">Calibration bins of logistic_regression (before Platt): gaps of the occupied bins = the SQL gaps (each within the 2-place rounding)</t>
  </si>
  <si>
    <t xml:space="preserve">Calibration bins of logistic_regression (before Platt): all 1,513 rows fall in a bin</t>
  </si>
  <si>
    <t xml:space="preserve">Calibration: six of the ten bins of the Platt-calibrated model hold no rows</t>
  </si>
  <si>
    <t xml:space="preserve">Platt effect: Brier before Platt</t>
  </si>
  <si>
    <t xml:space="preserve">analysis-results.json 02_calibration_platt__platt_effect</t>
  </si>
  <si>
    <t xml:space="preserve">Platt effect: Brier after Platt</t>
  </si>
  <si>
    <t xml:space="preserve">Platt effect: Brier change</t>
  </si>
  <si>
    <t xml:space="preserve">Platt effect: Overall gap before (pp)</t>
  </si>
  <si>
    <t xml:space="preserve">Platt effect: Overall gap after (pp)</t>
  </si>
  <si>
    <t xml:space="preserve">Platt effect: Platt made the Brier worse on test (TRUE/FALSE)</t>
  </si>
  <si>
    <t xml:space="preserve">Calibration gaps by segment and region = the SQL gaps (largest difference, within the 2-place rounding)</t>
  </si>
  <si>
    <t xml:space="preserve">analysis-results.json 10_segment_region_calibration</t>
  </si>
  <si>
    <t xml:space="preserve">Capacity: precision@K of every model and capacity = the SQL figures (largest absolute difference)</t>
  </si>
  <si>
    <t xml:space="preserve">analysis-results.json 03_capacity_economics__test_population_at_k</t>
  </si>
  <si>
    <t xml:space="preserve">Capacity: recall@K of every model and capacity = the SQL figures</t>
  </si>
  <si>
    <t xml:space="preserve">Capacity: risk lift@K of every model and capacity = the SQL figures</t>
  </si>
  <si>
    <t xml:space="preserve">Capacity: the selected-model block equals the grid row of the selected model (precision@K, K = 5, 10, 20)</t>
  </si>
  <si>
    <t xml:space="preserve">Economics sc-001: the cohort expected value (97 scored accounts) = the published cohort figure</t>
  </si>
  <si>
    <t xml:space="preserve">manifest published_cohort.economics; analysis-results.json 03_capacity_economics__cohort_economics</t>
  </si>
  <si>
    <t xml:space="preserve">Economics sc-001: the contact budget = K x contact cost</t>
  </si>
  <si>
    <t xml:space="preserve">manifest published_cohort.economics</t>
  </si>
  <si>
    <t xml:space="preserve">Economics sc-002: the cohort expected value (97 scored accounts) = the published cohort figure</t>
  </si>
  <si>
    <t xml:space="preserve">Economics sc-002: the contact budget = K x contact cost</t>
  </si>
  <si>
    <t xml:space="preserve">Economics sc-003: the cohort expected value (97 scored accounts) = the published cohort figure</t>
  </si>
  <si>
    <t xml:space="preserve">Economics sc-003: the contact budget = K x contact cost</t>
  </si>
  <si>
    <t xml:space="preserve">Economics: the queue holds 97 scored accounts</t>
  </si>
  <si>
    <t xml:space="preserve">analysis-results.json 03_capacity_economics__cohort_economics</t>
  </si>
  <si>
    <t xml:space="preserve">Economics: the what-if with the default Controls (K 5, cost 8, effect 0.3, margin 200) reproduces scenario sc-001</t>
  </si>
  <si>
    <t xml:space="preserve">Censored tail: eligible rows (world) = 9,039</t>
  </si>
  <si>
    <t xml:space="preserve">analysis-results.json 04_censored_tail__world_summary; manifest population.feature_rows</t>
  </si>
  <si>
    <t xml:space="preserve">Censored tail: censored rows (world) = 3,594</t>
  </si>
  <si>
    <t xml:space="preserve">same; manifest DR-05</t>
  </si>
  <si>
    <t xml:space="preserve">Censored tail: censored share (world) = 0.397610</t>
  </si>
  <si>
    <t xml:space="preserve">Censored tail: mature churn rate (world) = 0.104500</t>
  </si>
  <si>
    <t xml:space="preserve">Censored tail: implied cancellations seen so far are whole numbers (109, 83, 48)</t>
  </si>
  <si>
    <t xml:space="preserve">manifest DR-05</t>
  </si>
  <si>
    <t xml:space="preserve">Censored tail: the censored cutoffs are exactly the last three (rows with censored &gt; 0)</t>
  </si>
  <si>
    <t xml:space="preserve">manifest DR-05 immature_cutoffs</t>
  </si>
  <si>
    <t xml:space="preserve">Censored tail: cohort censored rows = 286 (94 + 95 + 97)</t>
  </si>
  <si>
    <t xml:space="preserve">analysis-results.json 04_censored_tail__cohort_by_cutoff</t>
  </si>
  <si>
    <t xml:space="preserve">Drift: PSI of apac, other regions and all accounts at the four test cutoffs, recomputed in the workbook from the test table = the published series (largest difference)</t>
  </si>
  <si>
    <t xml:space="preserve">cutoff_aggregates.json drift.by_cutoff; analysis-results.json 07_drift_by_region</t>
  </si>
  <si>
    <t xml:space="preserve">Drift: apac exceeds 0.2 only at 2026-05-01 among the test cutoffs</t>
  </si>
  <si>
    <t xml:space="preserve">analysis-results.json 07_drift_by_region__psi_test_range</t>
  </si>
  <si>
    <t xml:space="preserve">Drift: the whole population and the other regions never exceed 0.2 at the test cutoffs</t>
  </si>
  <si>
    <t xml:space="preserve">Drift: five apac exceedances before the change (13 months before the reference, 14 comparison cutoffs)</t>
  </si>
  <si>
    <t xml:space="preserve">analysis-results.json 07_drift_by_region__published_summary</t>
  </si>
  <si>
    <t xml:space="preserve">Drift: four of the five carry a floored bin</t>
  </si>
  <si>
    <t xml:space="preserve">Drift: five exceedances from 2026-05-01</t>
  </si>
  <si>
    <t xml:space="preserve">Drift: the largest whole-population PSI is 0.043730</t>
  </si>
  <si>
    <t xml:space="preserve">Purge: retained + dropped = rows in every range of both populations</t>
  </si>
  <si>
    <t xml:space="preserve">analysis-results.json 06_purge_counts</t>
  </si>
  <si>
    <t xml:space="preserve">Purge: whole world, train range loses 879 + 124 + 52 = 1,055 rows</t>
  </si>
  <si>
    <t xml:space="preserve">split_summary.json population.train</t>
  </si>
  <si>
    <t xml:space="preserve">Purge: whole world, validation range loses 1,291 + 13 = 1,304 rows</t>
  </si>
  <si>
    <t xml:space="preserve">split_summary.json population.validation</t>
  </si>
  <si>
    <t xml:space="preserve">Purge: no row of the test range or after it is dropped (both populations)</t>
  </si>
  <si>
    <t xml:space="preserve">Golden case: churn rate = the hand answer</t>
  </si>
  <si>
    <t xml:space="preserve">tests/fixtures/golden/CALCULATION.md</t>
  </si>
  <si>
    <t xml:space="preserve">Golden case: precision at K=2 = the hand answer</t>
  </si>
  <si>
    <t xml:space="preserve">Golden case: recall at K=2 = the hand answer</t>
  </si>
  <si>
    <t xml:space="preserve">Golden case: risk lift at K=2 = the hand answer</t>
  </si>
  <si>
    <t xml:space="preserve">Golden case: Brier score = the hand answer</t>
  </si>
  <si>
    <t xml:space="preserve">Golden case: average precision (5/6) = the hand answer</t>
  </si>
  <si>
    <t xml:space="preserve">Golden case: contact budget = the hand answer</t>
  </si>
  <si>
    <t xml:space="preserve">Golden case: expected intervention value (hypothetical) = the hand answer</t>
  </si>
  <si>
    <t xml:space="preserve">Model comparison on the test population (D-03, D-07 DR-01)</t>
  </si>
  <si>
    <t xml:space="preserve">Average precision = mean over churning rows of the precision at that row's tied threshold (scikit-learn step form). Brier = mean((p - y)^2). The margins are met BY CONSTRUCTION (D-G02).</t>
  </si>
  <si>
    <t xml:space="preserve">model</t>
  </si>
  <si>
    <t xml:space="preserve">test-table column</t>
  </si>
  <si>
    <t xml:space="preserve">rows</t>
  </si>
  <si>
    <t xml:space="preserve">churning rows</t>
  </si>
  <si>
    <t xml:space="preserve">prevalence</t>
  </si>
  <si>
    <t xml:space="preserve">average precision</t>
  </si>
  <si>
    <t xml:space="preserve">top-25 probability threshold (rank only inside it)</t>
  </si>
  <si>
    <t xml:space="preserve">Brier score</t>
  </si>
  <si>
    <t xml:space="preserve">mean probability</t>
  </si>
  <si>
    <t xml:space="preserve">reference AP (SQL 01)</t>
  </si>
  <si>
    <t xml:space="preserve">reference Brier (SQL 01)</t>
  </si>
  <si>
    <t xml:space="preserve">random_baseline</t>
  </si>
  <si>
    <t xml:space="preserve">L</t>
  </si>
  <si>
    <t xml:space="preserve">business_rule</t>
  </si>
  <si>
    <t xml:space="preserve">M</t>
  </si>
  <si>
    <t xml:space="preserve">N</t>
  </si>
  <si>
    <t xml:space="preserve">prevalence_baseline</t>
  </si>
  <si>
    <t xml:space="preserve">O</t>
  </si>
  <si>
    <t xml:space="preserve">logistic_uncalibrated</t>
  </si>
  <si>
    <t xml:space="preserve">P</t>
  </si>
  <si>
    <t xml:space="preserve">Margins of the Platt-calibrated logistic regression</t>
  </si>
  <si>
    <t xml:space="preserve">margin</t>
  </si>
  <si>
    <t xml:space="preserve">declared before the first run (D-G01)</t>
  </si>
  <si>
    <t xml:space="preserve">realised (6-place figures)</t>
  </si>
  <si>
    <t xml:space="preserve">status</t>
  </si>
  <si>
    <t xml:space="preserve">reference (SQL 08)</t>
  </si>
  <si>
    <t xml:space="preserve">ap_over_rule</t>
  </si>
  <si>
    <t xml:space="preserve">ap_over_random</t>
  </si>
  <si>
    <t xml:space="preserve">brier_under_rule</t>
  </si>
  <si>
    <t xml:space="preserve">brier_under_random</t>
  </si>
  <si>
    <t xml:space="preserve">ap_over_prevalence_constant (reference)</t>
  </si>
  <si>
    <t xml:space="preserve">brier_under_prevalence_constant (reference)</t>
  </si>
  <si>
    <t xml:space="preserve">A met margin is a property of the synthetic world: the generator's engagement signal was strengthened until the margins were met (manifest D-G02). The Brier margin over the random baseline is uninformative (a uniform random score cannot beat about 0.33); the honest reference is the prevalence constant.</t>
  </si>
  <si>
    <t xml:space="preserve">Calibration bins with their counts, and the effect of the Platt mapping (D-03, D-09 R10-08)</t>
  </si>
  <si>
    <t xml:space="preserve">bin = floor(10 p), the last closed; gap = (mean predicted - observed) x 100 pp. An empty bin has no mean, rate or gap (blank, never 0).</t>
  </si>
  <si>
    <t xml:space="preserve">logistic_regression (Platt)</t>
  </si>
  <si>
    <t xml:space="preserve">bin</t>
  </si>
  <si>
    <t xml:space="preserve">lower</t>
  </si>
  <si>
    <t xml:space="preserve">upper</t>
  </si>
  <si>
    <t xml:space="preserve">mean predicted</t>
  </si>
  <si>
    <t xml:space="preserve">observed rate</t>
  </si>
  <si>
    <t xml:space="preserve">gap (pp)</t>
  </si>
  <si>
    <t xml:space="preserve">reference rows (SQL 02)</t>
  </si>
  <si>
    <t xml:space="preserve">reference gap (pp)</t>
  </si>
  <si>
    <t xml:space="preserve">row diff</t>
  </si>
  <si>
    <t xml:space="preserve">gap diff</t>
  </si>
  <si>
    <t xml:space="preserve">logistic_regression (before Platt)</t>
  </si>
  <si>
    <t xml:space="preserve">Platt effect on the test rows</t>
  </si>
  <si>
    <t xml:space="preserve">figure</t>
  </si>
  <si>
    <t xml:space="preserve">reference (SQL 02 / calibration.json)</t>
  </si>
  <si>
    <t xml:space="preserve">Brier before Platt</t>
  </si>
  <si>
    <t xml:space="preserve">Brier after Platt</t>
  </si>
  <si>
    <t xml:space="preserve">Brier change</t>
  </si>
  <si>
    <t xml:space="preserve">Overall gap before (pp)</t>
  </si>
  <si>
    <t xml:space="preserve">Overall gap after (pp)</t>
  </si>
  <si>
    <t xml:space="preserve">Platt made the Brier worse on test (TRUE/FALSE)</t>
  </si>
  <si>
    <t xml:space="preserve">The mapping was fitted on 289 retained validation rows, all from one cutoff (2025-10-01), because the label-window purge removes the later validation cutoffs; it made the model slightly worse on the four test cutoffs.</t>
  </si>
  <si>
    <t xml:space="preserve">Calibration gap by segment and region (Platt-calibrated model)</t>
  </si>
  <si>
    <t xml:space="preserve">dimension</t>
  </si>
  <si>
    <t xml:space="preserve">group</t>
  </si>
  <si>
    <t xml:space="preserve">diff</t>
  </si>
  <si>
    <t xml:space="preserve">segment</t>
  </si>
  <si>
    <t xml:space="preserve">enterprise</t>
  </si>
  <si>
    <t xml:space="preserve">mid</t>
  </si>
  <si>
    <t xml:space="preserve">smb</t>
  </si>
  <si>
    <t xml:space="preserve">starter</t>
  </si>
  <si>
    <t xml:space="preserve">region</t>
  </si>
  <si>
    <t xml:space="preserve">amer</t>
  </si>
  <si>
    <t xml:space="preserve">anz</t>
  </si>
  <si>
    <t xml:space="preserve">apac</t>
  </si>
  <si>
    <t xml:space="preserve">emea</t>
  </si>
  <si>
    <t xml:space="preserve">latam</t>
  </si>
  <si>
    <t xml:space="preserve">Precision, recall and risk lift at the three capacities, test population (outcomes known)</t>
  </si>
  <si>
    <t xml:space="preserve">Rank: probability descending, then account id, then the earlier cutoff. Risk lift is a ranking statistic, NOT treatment uplift. The 2026-09-01 queue has no known outcomes (Economics).</t>
  </si>
  <si>
    <t xml:space="preserve">scenario</t>
  </si>
  <si>
    <t xml:space="preserve">K</t>
  </si>
  <si>
    <t xml:space="preserve">churners in top K</t>
  </si>
  <si>
    <t xml:space="preserve">precision@K</t>
  </si>
  <si>
    <t xml:space="preserve">recall@K</t>
  </si>
  <si>
    <t xml:space="preserve">risk lift@K</t>
  </si>
  <si>
    <t xml:space="preserve">reference precision (SQL 03)</t>
  </si>
  <si>
    <t xml:space="preserve">reference recall</t>
  </si>
  <si>
    <t xml:space="preserve">reference lift</t>
  </si>
  <si>
    <t xml:space="preserve">tie across the cut (reference)</t>
  </si>
  <si>
    <t xml:space="preserve">Selected model (Controls!B3)</t>
  </si>
  <si>
    <t xml:space="preserve">Hypothetical expected intervention value (D-03, D-09 R10-04): assumption-based, by population</t>
  </si>
  <si>
    <t xml:space="preserve">Expected value = sum over the top-K accounts of (probability x assumed effect x margin - contact cost), rounded ONCE at the end. A ranking by risk is not a treatment effect; no randomised experiment supports the assumed effect.</t>
  </si>
  <si>
    <t xml:space="preserve">account_id</t>
  </si>
  <si>
    <t xml:space="preserve">probability (logistic, Platt)</t>
  </si>
  <si>
    <t xml:space="preserve">rank (p desc, account id asc)</t>
  </si>
  <si>
    <t xml:space="preserve">capacity K</t>
  </si>
  <si>
    <t xml:space="preserve">contact budget (K x cost)</t>
  </si>
  <si>
    <t xml:space="preserve">COHORT expected value (97 scored accounts)</t>
  </si>
  <si>
    <t xml:space="preserve">published cohort value (manifest)</t>
  </si>
  <si>
    <t xml:space="preserve">WORLD expected value (1,241 scored accounts, published)</t>
  </si>
  <si>
    <t xml:space="preserve">world scored accounts</t>
  </si>
  <si>
    <t xml:space="preserve">label</t>
  </si>
  <si>
    <t xml:space="preserve">population note</t>
  </si>
  <si>
    <t xml:space="preserve">hypothetical</t>
  </si>
  <si>
    <t xml:space="preserve">cohort: computed here; world: TYPED from cutoff_aggregates.json (not recomputable from the cohort)</t>
  </si>
  <si>
    <t xml:space="preserve">What-if (Controls!B11:B14)</t>
  </si>
  <si>
    <t xml:space="preserve">contact budget</t>
  </si>
  <si>
    <t xml:space="preserve">HYPOTHETICAL expected value, 97 cohort accounts</t>
  </si>
  <si>
    <t xml:space="preserve">A what-if is an assumption, not an estimate. The same K and economics on the whole world cannot be recomputed here.</t>
  </si>
  <si>
    <t xml:space="preserve">Outcomes: every row of the 2026-09-01 cutoff is censored at the as-of (label window closes 2026-12-14), so precision and recall of these queues are unknown, not zero.</t>
  </si>
  <si>
    <t xml:space="preserve">The censored tail by cutoff (D-01, D-07 DR-05): rows whose label window has not closed are excluded, never counted as retained</t>
  </si>
  <si>
    <t xml:space="preserve">World columns are TYPED from cutoff_aggregates.json (2,400 accounts); the cohort columns are TYPED from the loaded 200-account cohort (SQL 04). Shares and rates are formulas.</t>
  </si>
  <si>
    <t xml:space="preserve">cutoff</t>
  </si>
  <si>
    <t xml:space="preserve">range</t>
  </si>
  <si>
    <t xml:space="preserve">WORLD eligible</t>
  </si>
  <si>
    <t xml:space="preserve">world mature</t>
  </si>
  <si>
    <t xml:space="preserve">world censored</t>
  </si>
  <si>
    <t xml:space="preserve">world mature churned</t>
  </si>
  <si>
    <t xml:space="preserve">world censored share</t>
  </si>
  <si>
    <t xml:space="preserve">world mature churn rate</t>
  </si>
  <si>
    <t xml:space="preserve">published rate if censored rows were counted as non-churn</t>
  </si>
  <si>
    <t xml:space="preserve">implied cancellations seen so far</t>
  </si>
  <si>
    <t xml:space="preserve">COHORT eligible</t>
  </si>
  <si>
    <t xml:space="preserve">cohort censored</t>
  </si>
  <si>
    <t xml:space="preserve">cohort cancellations seen so far</t>
  </si>
  <si>
    <t xml:space="preserve">cohort censored share</t>
  </si>
  <si>
    <t xml:space="preserve">distance of the implied count from a whole number</t>
  </si>
  <si>
    <t xml:space="preserve">train</t>
  </si>
  <si>
    <t xml:space="preserve">validation</t>
  </si>
  <si>
    <t xml:space="preserve">test</t>
  </si>
  <si>
    <t xml:space="preserve">outside</t>
  </si>
  <si>
    <t xml:space="preserve">Total</t>
  </si>
  <si>
    <t xml:space="preserve">If censored rows were counted as retained, the last three cutoffs would show 9.4 %, 6.9 % and 3.9 % churn (world) instead of an unknown: the rate collapses towards zero the nearer the cutoff is to the as-of.</t>
  </si>
  <si>
    <t xml:space="preserve">Population drift of usage_events_30d by region (D-03 P10-MET-11, D-P10-10)</t>
  </si>
  <si>
    <t xml:space="preserve">PSI = sum (actual - expected) x LN(actual / expected) over bins [0,1), [1,3), [3,inf); a zero proportion is replaced by 0.0001 (floored, counted). The 0.2 threshold is a diagnostic, not proof. Reference = the 2026-02-01 cohort.</t>
  </si>
  <si>
    <t xml:space="preserve">cutoff index</t>
  </si>
  <si>
    <t xml:space="preserve">cur 0</t>
  </si>
  <si>
    <t xml:space="preserve">cur 1-2</t>
  </si>
  <si>
    <t xml:space="preserve">cur 3+</t>
  </si>
  <si>
    <t xml:space="preserve">ref 0</t>
  </si>
  <si>
    <t xml:space="preserve">ref 1-2</t>
  </si>
  <si>
    <t xml:space="preserve">ref 3+</t>
  </si>
  <si>
    <t xml:space="preserve">current rows</t>
  </si>
  <si>
    <t xml:space="preserve">reference rows</t>
  </si>
  <si>
    <t xml:space="preserve">floored bins</t>
  </si>
  <si>
    <t xml:space="preserve">PSI (workbook)</t>
  </si>
  <si>
    <t xml:space="preserve">exceeds 0.2</t>
  </si>
  <si>
    <t xml:space="preserve">PSI published (full world)</t>
  </si>
  <si>
    <t xml:space="preserve">other_regions</t>
  </si>
  <si>
    <t xml:space="preserve">all_accounts</t>
  </si>
  <si>
    <t xml:space="preserve">Exceedances in the test-range recomputation (apac)</t>
  </si>
  <si>
    <t xml:space="preserve">Published full-world apac series (TYPED from cutoff_aggregates.json; 21 cutoffs)</t>
  </si>
  <si>
    <t xml:space="preserve">apac PSI</t>
  </si>
  <si>
    <t xml:space="preserve">exceeds 0.2 (formula)</t>
  </si>
  <si>
    <t xml:space="preserve">all accounts PSI</t>
  </si>
  <si>
    <t xml:space="preserve">other regions PSI</t>
  </si>
  <si>
    <t xml:space="preserve">false-positive reading: exceeds with a floored bin</t>
  </si>
  <si>
    <t xml:space="preserve">Exceedances before the change (comparison cutoffs before 2026-03-31, the reference month excluded)</t>
  </si>
  <si>
    <t xml:space="preserve">... of which with a floored bin (false positives of the 0.0001 floor)</t>
  </si>
  <si>
    <t xml:space="preserve">Exceedances from 2026-05-01 (the shift)</t>
  </si>
  <si>
    <t xml:space="preserve">Largest whole-population PSI in the series</t>
  </si>
  <si>
    <t xml:space="preserve">Rows dropped by the chronological split (D-02): label-window purge, then group purge</t>
  </si>
  <si>
    <t xml:space="preserve">Counts are TYPED (cohort: the loaded split assignments, recomputed in SQL 06; world: split_summary.json). Retained and dropped are formulas; the 104-day embargo = horizon 90 + grace 14.</t>
  </si>
  <si>
    <t xml:space="preserve">population</t>
  </si>
  <si>
    <t xml:space="preserve">cutoff rows</t>
  </si>
  <si>
    <t xml:space="preserve">retained</t>
  </si>
  <si>
    <t xml:space="preserve">LABEL_WINDOW</t>
  </si>
  <si>
    <t xml:space="preserve">GROUP_TEST</t>
  </si>
  <si>
    <t xml:space="preserve">GROUP_VALIDATION</t>
  </si>
  <si>
    <t xml:space="preserve">dropped (formula)</t>
  </si>
  <si>
    <t xml:space="preserve">adds up (formula)</t>
  </si>
  <si>
    <t xml:space="preserve">cohort_200</t>
  </si>
  <si>
    <t xml:space="preserve">world_2400</t>
  </si>
  <si>
    <t xml:space="preserve">The test range keeps all its rows; account roles are assigned by a hash of the id (D-G03), which shapes the test population and is disclosed.</t>
  </si>
  <si>
    <t xml:space="preserve">The golden known answer (P10-GOLD-01): four accounts, risks .8 .6 .4 .1, outcomes 1 0 1 0, capacity 2</t>
  </si>
  <si>
    <t xml:space="preserve">Typed from tests/fixtures/golden/CALCULATION.md; the formulas rebuild every figure; the hand answers are typed in column G.</t>
  </si>
  <si>
    <t xml:space="preserve">account</t>
  </si>
  <si>
    <t xml:space="preserve">risk</t>
  </si>
  <si>
    <t xml:space="preserve">outcome</t>
  </si>
  <si>
    <t xml:space="preserve">rank</t>
  </si>
  <si>
    <t xml:space="preserve">squared error</t>
  </si>
  <si>
    <t xml:space="preserve">AP term</t>
  </si>
  <si>
    <t xml:space="preserve">scenario sc-001 (assumptions)</t>
  </si>
  <si>
    <t xml:space="preserve">contact cost (USD)</t>
  </si>
  <si>
    <t xml:space="preserve">assumed effect</t>
  </si>
  <si>
    <t xml:space="preserve">margin (USD)</t>
  </si>
  <si>
    <t xml:space="preserve">hand answer (CALCULATION.md)</t>
  </si>
  <si>
    <t xml:space="preserve">equal</t>
  </si>
  <si>
    <t xml:space="preserve">churn rate</t>
  </si>
  <si>
    <t xml:space="preserve">precision at K=2</t>
  </si>
  <si>
    <t xml:space="preserve">recall at K=2</t>
  </si>
  <si>
    <t xml:space="preserve">risk lift at K=2</t>
  </si>
  <si>
    <t xml:space="preserve">average precision (5/6)</t>
  </si>
  <si>
    <t xml:space="preserve">expected intervention value (hypothetical)</t>
  </si>
  <si>
    <t xml:space="preserve">8.445 rounds to 8.45 (ROUND_HALF_UP, once at the end); rounding each account first would give 8.44 or 8.45 by accident, which is why the fixture is built this way.</t>
  </si>
  <si>
    <t xml:space="preserve">Assumptions and limits (read this first)</t>
  </si>
  <si>
    <t xml:space="preserve">id</t>
  </si>
  <si>
    <t xml:space="preserve">assumption or limit</t>
  </si>
  <si>
    <t xml:space="preserve">A-01</t>
  </si>
  <si>
    <t xml:space="preserve">Average precision is the scikit-learn step form: tied probabilities are one threshold, so the figure does not depend on how account ids break a tie. The workbook computes it as the mean, over churning rows, of tp(p &gt;= row) / n(p &gt;= row).</t>
  </si>
  <si>
    <t xml:space="preserve">A-02</t>
  </si>
  <si>
    <t xml:space="preserve">Ranking for precision, recall and lift at K: probability descending, then account id ascending, then the earlier cutoff (the union rule of D-08). The rank is evaluated only for rows inside the 25 highest probabilities of a model, which is exact for K &lt;= 25; a tie that crosses the cut is flagged in the Capacity reference column.</t>
  </si>
  <si>
    <t xml:space="preserve">A-03</t>
  </si>
  <si>
    <t xml:space="preserve">The test table is the whole test range of the full world: 1,513 rows from 442 accounts (189 churning rows from 95 accounts). Rows are correlated across overlapping cutoffs; no interval is given, because none would be honest.</t>
  </si>
  <si>
    <t xml:space="preserve">A-04</t>
  </si>
  <si>
    <t xml:space="preserve">Calibration bins: index = floor(10 p) with p = 1 in the last bin; computed with integer arithmetic on p x 10^6. An empty bin shows blank, not 0. Gaps in percentage points.</t>
  </si>
  <si>
    <t xml:space="preserve">A-05</t>
  </si>
  <si>
    <t xml:space="preserve">Economics are HYPOTHETICAL and assumption-based: value = sum over the top K of (probability x assumed effect x margin - contact cost), rounded once at the end (ROUND, half away from zero). The cohort value is computed from the 97 scored accounts of the 2026-09-01 cutoff; the world value (1,241 scored accounts) is typed from cutoff_aggregates.json and cannot be recomputed from the cohort. No treatment effect is estimated.</t>
  </si>
  <si>
    <t xml:space="preserve">A-06</t>
  </si>
  <si>
    <t xml:space="preserve">The censored tail: a row is mature only when its label window (horizon 90 days + grace 14 days) has closed at the as-of 2026-10-05; the last three cutoffs are fully censored. Censored rows are excluded from every evaluation and are never counted as retained.</t>
  </si>
  <si>
    <t xml:space="preserve">A-07</t>
  </si>
  <si>
    <t xml:space="preserve">PSI of usage_events_30d against the 2026-02-01 cohort on the bins [0,1), [1,3), [3,inf); a zero proportion is replaced by 0.0001 without renormalising (floored, counted); LN is the natural logarithm in floating point here (the domain uses 60-digit decimals); the threshold 0.2 is a diagnostic.</t>
  </si>
  <si>
    <t xml:space="preserve">W-01</t>
  </si>
  <si>
    <t xml:space="preserve">Simulated, constructed and hypothetical results are kept apart: every figure is a property of one draw of a generated world; the margins of the logistic model over the baselines were met by construction (D-G02); the economics are assumptions.</t>
  </si>
  <si>
    <t xml:space="preserve">W-02</t>
  </si>
  <si>
    <t xml:space="preserve">TYPED from the published files, not replayed by formulas: the test-table values and probabilities, the 97 queue probabilities, the scenarios, the per-cutoff counts of the whole world, the published drift series, the purge counts, and the reference columns of every check (pasted from artifacts/analysis-results.json).</t>
  </si>
  <si>
    <t xml:space="preserve">W-03</t>
  </si>
  <si>
    <t xml:space="preserve">Recalculation: openpyxl writes formulas only; the delivered file was recalculated by LibreOffice headless and carries its cached values; Excel was NOT run. fullCalcOnLoad is set so Excel recalculates on open. Functions used: COUNTIF, COUNTIFS, AVERAGEIFS, SUMPRODUCT, SUM, INDEX, MATCH, LARGE, LN, IF, AND, ABS, MAX, ROUND, INT, MIN (no _xlfn functions).</t>
  </si>
  <si>
    <t xml:space="preserve">W-04</t>
  </si>
  <si>
    <t xml:space="preserve">The model selector changes which model Capacity's block shows; every model is always computed and checked, so the check cell does not depend on the selector.</t>
  </si>
  <si>
    <t xml:space="preserve">W-05</t>
  </si>
  <si>
    <t xml:space="preserve">The workbook has no macros, no external links and no credentials.</t>
  </si>
  <si>
    <t xml:space="preserve">Intervention scenarios (assumptions, D-03): immutable; the effect is ASSUMED, not estimated</t>
  </si>
  <si>
    <t xml:space="preserve">Capacities 5, 10, 20 were fixed on validation before any outcome (D-G08). All economics are hypothetical.</t>
  </si>
  <si>
    <t xml:space="preserve">scenario_id</t>
  </si>
  <si>
    <t xml:space="preserve">contact_cost (USD)</t>
  </si>
  <si>
    <t xml:space="preserve">assumed_effect (share of risk removed)</t>
  </si>
  <si>
    <t xml:space="preserve">margin_value (USD per retained account)</t>
  </si>
  <si>
    <t xml:space="preserve">sc-002</t>
  </si>
  <si>
    <t xml:space="preserve">sc-003</t>
  </si>
  <si>
    <t xml:space="preserve">Test table: the 1,513 mature eligible rows of the test range (full world, cutoffs 2026-02-01 .. 2026-05-01)</t>
  </si>
  <si>
    <t xml:space="preserve">Blue = published values (test_cohort.json). Black = formulas: tie-broken rank (rows within the 25 highest probabilities of a model only, enough for K &lt;= 20), average-precision term, squared error, calibration bin.</t>
  </si>
  <si>
    <t xml:space="preserve">row_no</t>
  </si>
  <si>
    <t xml:space="preserve">cutoff_index</t>
  </si>
  <si>
    <t xml:space="preserve">prediction_at</t>
  </si>
  <si>
    <t xml:space="preserve">usage_events_30d</t>
  </si>
  <si>
    <t xml:space="preserve">days_since_last_usage</t>
  </si>
  <si>
    <t xml:space="preserve">high_severity_support_90d</t>
  </si>
  <si>
    <t xml:space="preserve">billing_total_90d</t>
  </si>
  <si>
    <t xml:space="preserve">churned</t>
  </si>
  <si>
    <t xml:space="preserve">p_random_baseline</t>
  </si>
  <si>
    <t xml:space="preserve">p_business_rule</t>
  </si>
  <si>
    <t xml:space="preserve">p_logistic (Platt)</t>
  </si>
  <si>
    <t xml:space="preserve">p_prevalence_baseline</t>
  </si>
  <si>
    <t xml:space="preserve">p_logistic (before Platt)</t>
  </si>
  <si>
    <t xml:space="preserve">rank random</t>
  </si>
  <si>
    <t xml:space="preserve">rank rule</t>
  </si>
  <si>
    <t xml:space="preserve">rank logistic</t>
  </si>
  <si>
    <t xml:space="preserve">rank prevalence</t>
  </si>
  <si>
    <t xml:space="preserve">AP term random</t>
  </si>
  <si>
    <t xml:space="preserve">AP term rule</t>
  </si>
  <si>
    <t xml:space="preserve">AP term logistic</t>
  </si>
  <si>
    <t xml:space="preserve">AP term prevalence</t>
  </si>
  <si>
    <t xml:space="preserve">AP term logistic (before Platt)</t>
  </si>
  <si>
    <t xml:space="preserve">sq.err random</t>
  </si>
  <si>
    <t xml:space="preserve">sq.err rule</t>
  </si>
  <si>
    <t xml:space="preserve">sq.err logistic</t>
  </si>
  <si>
    <t xml:space="preserve">sq.err prevalence</t>
  </si>
  <si>
    <t xml:space="preserve">sq.err logistic (before Platt)</t>
  </si>
  <si>
    <t xml:space="preserve">bin logistic (Platt)</t>
  </si>
  <si>
    <t xml:space="preserve">bin logistic (before Platt)</t>
  </si>
  <si>
    <t xml:space="preserve">Results of data/sql/analysis (pasted values from artifacts/analysis-results.json; the reconciliation rows count is in meta)</t>
  </si>
  <si>
    <t xml:space="preserve">reconciliation rows: 393 (equal: 393); result sets: 43</t>
  </si>
  <si>
    <t xml:space="preserve">01_model_comparison__models</t>
  </si>
  <si>
    <t xml:space="preserve">test_rows</t>
  </si>
  <si>
    <t xml:space="preserve">accounts</t>
  </si>
  <si>
    <t xml:space="preserve">positive_rows</t>
  </si>
  <si>
    <t xml:space="preserve">positive_accounts</t>
  </si>
  <si>
    <t xml:space="preserve">average_precision</t>
  </si>
  <si>
    <t xml:space="preserve">brier_score</t>
  </si>
  <si>
    <t xml:space="preserve">mean_probability</t>
  </si>
  <si>
    <t xml:space="preserve">02_calibration_platt__platt_effect</t>
  </si>
  <si>
    <t xml:space="preserve">platt_a</t>
  </si>
  <si>
    <t xml:space="preserve">platt_b</t>
  </si>
  <si>
    <t xml:space="preserve">fit_rows</t>
  </si>
  <si>
    <t xml:space="preserve">brier_before</t>
  </si>
  <si>
    <t xml:space="preserve">brier_after</t>
  </si>
  <si>
    <t xml:space="preserve">brier_change</t>
  </si>
  <si>
    <t xml:space="preserve">overall_gap_pp_before</t>
  </si>
  <si>
    <t xml:space="preserve">overall_gap_pp_after</t>
  </si>
  <si>
    <t xml:space="preserve">made_the_brier_worse</t>
  </si>
  <si>
    <t xml:space="preserve">true</t>
  </si>
  <si>
    <t xml:space="preserve">03_capacity_economics__both_populations</t>
  </si>
  <si>
    <t xml:space="preserve">capacity</t>
  </si>
  <si>
    <t xml:space="preserve">contact_budget</t>
  </si>
  <si>
    <t xml:space="preserve">cohort_scored_accounts</t>
  </si>
  <si>
    <t xml:space="preserve">cohort_expected_value</t>
  </si>
  <si>
    <t xml:space="preserve">world_scored_accounts</t>
  </si>
  <si>
    <t xml:space="preserve">world_expected_value</t>
  </si>
  <si>
    <t xml:space="preserve">world_contact_budget</t>
  </si>
  <si>
    <t xml:space="preserve">world_value_positive</t>
  </si>
  <si>
    <t xml:space="preserve">cohort_value_positive</t>
  </si>
  <si>
    <t xml:space="preserve">world_label_is_hypothetical</t>
  </si>
  <si>
    <t xml:space="preserve">false</t>
  </si>
  <si>
    <t xml:space="preserve">20</t>
  </si>
  <si>
    <t xml:space="preserve">04_censored_tail__world_summary</t>
  </si>
  <si>
    <t xml:space="preserve">eligible_rows</t>
  </si>
  <si>
    <t xml:space="preserve">mature_rows</t>
  </si>
  <si>
    <t xml:space="preserve">censored_rows</t>
  </si>
  <si>
    <t xml:space="preserve">mature_churned_rows</t>
  </si>
  <si>
    <t xml:space="preserve">censored_share</t>
  </si>
  <si>
    <t xml:space="preserve">mature_churn_rate</t>
  </si>
  <si>
    <t xml:space="preserve">cutoffs_with_censored_rows</t>
  </si>
  <si>
    <t xml:space="preserve">first_censored_cutoff</t>
  </si>
  <si>
    <t xml:space="preserve">2026-07-01T00:00:00+00:00</t>
  </si>
  <si>
    <t xml:space="preserve">06_purge_counts__world_totals</t>
  </si>
  <si>
    <t xml:space="preserve">train_label_window</t>
  </si>
  <si>
    <t xml:space="preserve">train_group_test</t>
  </si>
  <si>
    <t xml:space="preserve">train_group_validation</t>
  </si>
  <si>
    <t xml:space="preserve">validation_label_window</t>
  </si>
  <si>
    <t xml:space="preserve">validation_group_test</t>
  </si>
  <si>
    <t xml:space="preserve">train_dropped_because_the_account_sits_on_the_other_side</t>
  </si>
  <si>
    <t xml:space="preserve">dropped_in_all_ranges</t>
  </si>
  <si>
    <t xml:space="preserve">embargo_days</t>
  </si>
  <si>
    <t xml:space="preserve">07_drift_by_region__published_summary</t>
  </si>
  <si>
    <t xml:space="preserve">cutoffs_before_the_reference</t>
  </si>
  <si>
    <t xml:space="preserve">exceedances_before_the_reference</t>
  </si>
  <si>
    <t xml:space="preserve">comparison_cutoffs_before_the_change</t>
  </si>
  <si>
    <t xml:space="preserve">exceedances_before_the_change</t>
  </si>
  <si>
    <t xml:space="preserve">exceedances_before_the_change_with_a_floored_bin</t>
  </si>
  <si>
    <t xml:space="preserve">exceedances_before_the_change_without_a_floored_bin</t>
  </si>
  <si>
    <t xml:space="preserve">max_psi_before_the_change</t>
  </si>
  <si>
    <t xml:space="preserve">exceedances_from_the_change</t>
  </si>
  <si>
    <t xml:space="preserve">first_exceedance_from_the_change</t>
  </si>
  <si>
    <t xml:space="preserve">shift_min_psi</t>
  </si>
  <si>
    <t xml:space="preserve">shift_max_psi</t>
  </si>
  <si>
    <t xml:space="preserve">all_accounts_max_psi</t>
  </si>
  <si>
    <t xml:space="preserve">all_accounts_psi_2026_05</t>
  </si>
  <si>
    <t xml:space="preserve">all_accounts_psi_latest</t>
  </si>
  <si>
    <t xml:space="preserve">other_regions_max_psi</t>
  </si>
  <si>
    <t xml:space="preserve">2026-05-01T00:00:00+00:00</t>
  </si>
  <si>
    <t xml:space="preserve">08_rows_and_margins__rows_and_accounts</t>
  </si>
  <si>
    <t xml:space="preserve">distinct_accounts</t>
  </si>
  <si>
    <t xml:space="preserve">churning_rows</t>
  </si>
  <si>
    <t xml:space="preserve">churning_accounts</t>
  </si>
  <si>
    <t xml:space="preserve">accounts_with_1_row</t>
  </si>
  <si>
    <t xml:space="preserve">accounts_with_2_rows</t>
  </si>
  <si>
    <t xml:space="preserve">accounts_with_3_rows</t>
  </si>
  <si>
    <t xml:space="preserve">accounts_with_4_rows</t>
  </si>
  <si>
    <t xml:space="preserve">accounts_churning_in_more_than_one_row</t>
  </si>
  <si>
    <t xml:space="preserve">prevalence_of_rows</t>
  </si>
  <si>
    <t xml:space="preserve">share_of_accounts_with_a_churning_row</t>
  </si>
  <si>
    <t xml:space="preserve">09_golden_known_answer__known_answer</t>
  </si>
  <si>
    <t xml:space="preserve">cutoff_rows</t>
  </si>
  <si>
    <t xml:space="preserve">ineligible_created_on_or_after_observation_start</t>
  </si>
  <si>
    <t xml:space="preserve">ineligible_not_active</t>
  </si>
  <si>
    <t xml:space="preserve">mature_eligible</t>
  </si>
  <si>
    <t xml:space="preserve">churn_rate</t>
  </si>
  <si>
    <t xml:space="preserve">precision_at_k</t>
  </si>
  <si>
    <t xml:space="preserve">recall_at_k</t>
  </si>
  <si>
    <t xml:space="preserve">risk_lift_at_k</t>
  </si>
  <si>
    <t xml:space="preserve">expected_intervention_value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</si>
</sst>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General"/>
    <numFmt numFmtId="167" formatCode="yyyy\-mm\-dd"/>
    <numFmt numFmtId="168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03A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0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0"/>
  </cols>
  <sheetData>
    <row r="1" customFormat="false" ht="17.35" hidden="false" customHeight="false" outlineLevel="0" collapsed="false">
      <c r="A1" s="1" t="s">
        <v>0</v>
      </c>
    </row>
    <row r="3" customFormat="false" ht="41.75" hidden="false" customHeight="false" outlineLevel="0" collapsed="false">
      <c r="A3" s="2" t="s">
        <v>1</v>
      </c>
      <c r="B3" s="3" t="s">
        <v>2</v>
      </c>
    </row>
    <row r="4" customFormat="false" ht="41.75" hidden="false" customHeight="false" outlineLevel="0" collapsed="false">
      <c r="A4" s="2" t="s">
        <v>3</v>
      </c>
      <c r="B4" s="3" t="s">
        <v>4</v>
      </c>
    </row>
    <row r="5" customFormat="false" ht="28.35" hidden="false" customHeight="false" outlineLevel="0" collapsed="false">
      <c r="A5" s="2" t="s">
        <v>5</v>
      </c>
      <c r="B5" s="3" t="s">
        <v>6</v>
      </c>
    </row>
    <row r="6" customFormat="false" ht="28.35" hidden="false" customHeight="false" outlineLevel="0" collapsed="false">
      <c r="A6" s="2" t="s">
        <v>7</v>
      </c>
      <c r="B6" s="3" t="s">
        <v>8</v>
      </c>
    </row>
    <row r="7" customFormat="false" ht="28.35" hidden="false" customHeight="false" outlineLevel="0" collapsed="false">
      <c r="A7" s="2" t="s">
        <v>9</v>
      </c>
      <c r="B7" s="3" t="s">
        <v>10</v>
      </c>
    </row>
    <row r="8" customFormat="false" ht="28.3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3" customFormat="false" ht="15" hidden="false" customHeight="false" outlineLevel="0" collapsed="false">
      <c r="A3" s="0" t="s">
        <v>17</v>
      </c>
      <c r="B3" s="4" t="s">
        <v>18</v>
      </c>
    </row>
    <row r="4" customFormat="false" ht="15" hidden="false" customHeight="false" outlineLevel="0" collapsed="false">
      <c r="A4" s="0" t="s">
        <v>19</v>
      </c>
      <c r="B4" s="0" t="n">
        <f aca="false">MATCH(B3,Models!A5:A8,0)</f>
        <v>3</v>
      </c>
    </row>
    <row r="5" customFormat="false" ht="15" hidden="false" customHeight="false" outlineLevel="0" collapsed="false">
      <c r="A5" s="0" t="s">
        <v>20</v>
      </c>
      <c r="B5" s="4" t="s">
        <v>21</v>
      </c>
    </row>
    <row r="6" customFormat="false" ht="15" hidden="false" customHeight="false" outlineLevel="0" collapsed="false">
      <c r="A6" s="0" t="s">
        <v>22</v>
      </c>
      <c r="B6" s="0" t="n">
        <f aca="false">INDEX(Scenarios!B5:B7,MATCH(B5,Scenarios!A5:A7,0))</f>
        <v>5</v>
      </c>
    </row>
    <row r="7" customFormat="false" ht="15" hidden="false" customHeight="false" outlineLevel="0" collapsed="false">
      <c r="A7" s="0" t="s">
        <v>23</v>
      </c>
      <c r="B7" s="0" t="n">
        <f aca="false">INDEX(Scenarios!C5:C7,MATCH(B5,Scenarios!A5:A7,0))</f>
        <v>8</v>
      </c>
    </row>
    <row r="8" customFormat="false" ht="15" hidden="false" customHeight="false" outlineLevel="0" collapsed="false">
      <c r="A8" s="0" t="s">
        <v>24</v>
      </c>
      <c r="B8" s="0" t="n">
        <f aca="false">INDEX(Scenarios!D5:D7,MATCH(B5,Scenarios!A5:A7,0))</f>
        <v>0.3</v>
      </c>
    </row>
    <row r="9" customFormat="false" ht="15" hidden="false" customHeight="false" outlineLevel="0" collapsed="false">
      <c r="A9" s="0" t="s">
        <v>25</v>
      </c>
      <c r="B9" s="0" t="n">
        <f aca="false">INDEX(Scenarios!E5:E7,MATCH(B5,Scenarios!A5:A7,0))</f>
        <v>200</v>
      </c>
    </row>
    <row r="10" customFormat="false" ht="15" hidden="false" customHeight="false" outlineLevel="0" collapsed="false">
      <c r="A10" s="2" t="s">
        <v>26</v>
      </c>
    </row>
    <row r="11" customFormat="false" ht="15" hidden="false" customHeight="false" outlineLevel="0" collapsed="false">
      <c r="A11" s="0" t="s">
        <v>27</v>
      </c>
      <c r="B11" s="4" t="n">
        <v>5</v>
      </c>
    </row>
    <row r="12" customFormat="false" ht="15" hidden="false" customHeight="false" outlineLevel="0" collapsed="false">
      <c r="A12" s="0" t="s">
        <v>28</v>
      </c>
      <c r="B12" s="4" t="n">
        <v>8</v>
      </c>
    </row>
    <row r="13" customFormat="false" ht="15" hidden="false" customHeight="false" outlineLevel="0" collapsed="false">
      <c r="A13" s="0" t="s">
        <v>29</v>
      </c>
      <c r="B13" s="4" t="n">
        <v>0.3</v>
      </c>
    </row>
    <row r="14" customFormat="false" ht="15" hidden="false" customHeight="false" outlineLevel="0" collapsed="false">
      <c r="A14" s="0" t="s">
        <v>30</v>
      </c>
      <c r="B14" s="4" t="n">
        <v>200</v>
      </c>
    </row>
    <row r="16" customFormat="false" ht="15" hidden="false" customHeight="false" outlineLevel="0" collapsed="false">
      <c r="A16" s="0" t="s">
        <v>31</v>
      </c>
      <c r="B16" s="5" t="n">
        <v>46300</v>
      </c>
    </row>
    <row r="18" customFormat="false" ht="15" hidden="false" customHeight="false" outlineLevel="0" collapsed="false">
      <c r="A18" s="2" t="s">
        <v>32</v>
      </c>
      <c r="B18" s="6" t="b">
        <f aca="false">Checks!B2</f>
        <v>1</v>
      </c>
    </row>
  </sheetData>
  <dataValidations count="3">
    <dataValidation allowBlank="false" errorStyle="stop" operator="between" showDropDown="false" showErrorMessage="false" showInputMessage="false" sqref="B3" type="list">
      <formula1>"random_baseline,business_rule,logistic_regression,prevalence_baseline"</formula1>
      <formula2>0</formula2>
    </dataValidation>
    <dataValidation allowBlank="false" errorStyle="stop" operator="between" showDropDown="false" showErrorMessage="false" showInputMessage="false" sqref="B5" type="list">
      <formula1>"sc-001,sc-002,sc-003"</formula1>
      <formula2>0</formula2>
    </dataValidation>
    <dataValidation allowBlank="false" errorStyle="stop" operator="between" showDropDown="false" showErrorMessage="false" showInputMessage="false" sqref="B13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  <c r="B2" s="6" t="b">
        <f aca="false">AND(F5:F74)</f>
        <v>1</v>
      </c>
    </row>
    <row r="4" customFormat="false" ht="15" hidden="false" customHeight="false" outlineLevel="0" collapsed="false">
      <c r="A4" s="7" t="s">
        <v>35</v>
      </c>
      <c r="B4" s="7" t="s">
        <v>36</v>
      </c>
      <c r="C4" s="7" t="s">
        <v>37</v>
      </c>
      <c r="D4" s="7" t="s">
        <v>38</v>
      </c>
      <c r="E4" s="7" t="s">
        <v>39</v>
      </c>
      <c r="F4" s="7" t="s">
        <v>40</v>
      </c>
      <c r="G4" s="7" t="s">
        <v>41</v>
      </c>
    </row>
    <row r="5" customFormat="false" ht="15" hidden="false" customHeight="false" outlineLevel="0" collapsed="false">
      <c r="A5" s="0" t="n">
        <v>1</v>
      </c>
      <c r="B5" s="0" t="s">
        <v>42</v>
      </c>
      <c r="C5" s="0" t="n">
        <f aca="false">Models!F5</f>
        <v>0.12679280276249</v>
      </c>
      <c r="D5" s="4" t="n">
        <v>0.126793</v>
      </c>
      <c r="E5" s="4" t="n">
        <v>5.0000001E-007</v>
      </c>
      <c r="F5" s="6" t="b">
        <f aca="false">ABS(C5-D5)&lt;=E5</f>
        <v>1</v>
      </c>
      <c r="G5" s="8" t="s">
        <v>43</v>
      </c>
    </row>
    <row r="6" customFormat="false" ht="15" hidden="false" customHeight="false" outlineLevel="0" collapsed="false">
      <c r="A6" s="0" t="n">
        <v>2</v>
      </c>
      <c r="B6" s="0" t="s">
        <v>44</v>
      </c>
      <c r="C6" s="0" t="n">
        <f aca="false">Models!H5</f>
        <v>0.326542985866302</v>
      </c>
      <c r="D6" s="4" t="n">
        <v>0.326543</v>
      </c>
      <c r="E6" s="4" t="n">
        <v>5.0000001E-007</v>
      </c>
      <c r="F6" s="6" t="b">
        <f aca="false">ABS(C6-D6)&lt;=E6</f>
        <v>1</v>
      </c>
      <c r="G6" s="8" t="s">
        <v>43</v>
      </c>
    </row>
    <row r="7" customFormat="false" ht="15" hidden="false" customHeight="false" outlineLevel="0" collapsed="false">
      <c r="A7" s="0" t="n">
        <v>3</v>
      </c>
      <c r="B7" s="0" t="s">
        <v>45</v>
      </c>
      <c r="C7" s="0" t="n">
        <f aca="false">Models!F6</f>
        <v>0.136652833107394</v>
      </c>
      <c r="D7" s="4" t="n">
        <v>0.136653</v>
      </c>
      <c r="E7" s="4" t="n">
        <v>5.0000001E-007</v>
      </c>
      <c r="F7" s="6" t="b">
        <f aca="false">ABS(C7-D7)&lt;=E7</f>
        <v>1</v>
      </c>
      <c r="G7" s="8" t="s">
        <v>43</v>
      </c>
    </row>
    <row r="8" customFormat="false" ht="15" hidden="false" customHeight="false" outlineLevel="0" collapsed="false">
      <c r="A8" s="0" t="n">
        <v>4</v>
      </c>
      <c r="B8" s="0" t="s">
        <v>46</v>
      </c>
      <c r="C8" s="0" t="n">
        <f aca="false">Models!H6</f>
        <v>0.109254804584027</v>
      </c>
      <c r="D8" s="4" t="n">
        <v>0.109255</v>
      </c>
      <c r="E8" s="4" t="n">
        <v>5.0000001E-007</v>
      </c>
      <c r="F8" s="6" t="b">
        <f aca="false">ABS(C8-D8)&lt;=E8</f>
        <v>1</v>
      </c>
      <c r="G8" s="8" t="s">
        <v>43</v>
      </c>
    </row>
    <row r="9" customFormat="false" ht="15" hidden="false" customHeight="false" outlineLevel="0" collapsed="false">
      <c r="A9" s="0" t="n">
        <v>5</v>
      </c>
      <c r="B9" s="0" t="s">
        <v>47</v>
      </c>
      <c r="C9" s="0" t="n">
        <f aca="false">Models!F7</f>
        <v>0.238552174810603</v>
      </c>
      <c r="D9" s="4" t="n">
        <v>0.238552</v>
      </c>
      <c r="E9" s="4" t="n">
        <v>5.0000001E-007</v>
      </c>
      <c r="F9" s="6" t="b">
        <f aca="false">ABS(C9-D9)&lt;=E9</f>
        <v>1</v>
      </c>
      <c r="G9" s="8" t="s">
        <v>43</v>
      </c>
    </row>
    <row r="10" customFormat="false" ht="15" hidden="false" customHeight="false" outlineLevel="0" collapsed="false">
      <c r="A10" s="0" t="n">
        <v>6</v>
      </c>
      <c r="B10" s="0" t="s">
        <v>48</v>
      </c>
      <c r="C10" s="0" t="n">
        <f aca="false">Models!H7</f>
        <v>0.10501911049411</v>
      </c>
      <c r="D10" s="4" t="n">
        <v>0.105019</v>
      </c>
      <c r="E10" s="4" t="n">
        <v>5.0000001E-007</v>
      </c>
      <c r="F10" s="6" t="b">
        <f aca="false">ABS(C10-D10)&lt;=E10</f>
        <v>1</v>
      </c>
      <c r="G10" s="8" t="s">
        <v>43</v>
      </c>
    </row>
    <row r="11" customFormat="false" ht="15" hidden="false" customHeight="false" outlineLevel="0" collapsed="false">
      <c r="A11" s="0" t="n">
        <v>7</v>
      </c>
      <c r="B11" s="0" t="s">
        <v>49</v>
      </c>
      <c r="C11" s="0" t="n">
        <f aca="false">Models!F8</f>
        <v>0.12491738268341</v>
      </c>
      <c r="D11" s="4" t="n">
        <v>0.124917</v>
      </c>
      <c r="E11" s="4" t="n">
        <v>5.0000001E-007</v>
      </c>
      <c r="F11" s="6" t="b">
        <f aca="false">ABS(C11-D11)&lt;=E11</f>
        <v>1</v>
      </c>
      <c r="G11" s="8" t="s">
        <v>43</v>
      </c>
    </row>
    <row r="12" customFormat="false" ht="15" hidden="false" customHeight="false" outlineLevel="0" collapsed="false">
      <c r="A12" s="0" t="n">
        <v>8</v>
      </c>
      <c r="B12" s="0" t="s">
        <v>50</v>
      </c>
      <c r="C12" s="0" t="n">
        <f aca="false">Models!H8</f>
        <v>0.109664007281465</v>
      </c>
      <c r="D12" s="4" t="n">
        <v>0.109664</v>
      </c>
      <c r="E12" s="4" t="n">
        <v>5.0000001E-007</v>
      </c>
      <c r="F12" s="6" t="b">
        <f aca="false">ABS(C12-D12)&lt;=E12</f>
        <v>1</v>
      </c>
      <c r="G12" s="8" t="s">
        <v>43</v>
      </c>
    </row>
    <row r="13" customFormat="false" ht="15" hidden="false" customHeight="false" outlineLevel="0" collapsed="false">
      <c r="A13" s="0" t="n">
        <v>9</v>
      </c>
      <c r="B13" s="0" t="s">
        <v>51</v>
      </c>
      <c r="C13" s="0" t="n">
        <f aca="false">Models!F9</f>
        <v>0.238552174810603</v>
      </c>
      <c r="D13" s="4" t="n">
        <v>0.238552</v>
      </c>
      <c r="E13" s="4" t="n">
        <v>5.0000001E-007</v>
      </c>
      <c r="F13" s="6" t="b">
        <f aca="false">ABS(C13-D13)&lt;=E13</f>
        <v>1</v>
      </c>
      <c r="G13" s="8" t="s">
        <v>43</v>
      </c>
    </row>
    <row r="14" customFormat="false" ht="15" hidden="false" customHeight="false" outlineLevel="0" collapsed="false">
      <c r="A14" s="0" t="n">
        <v>10</v>
      </c>
      <c r="B14" s="0" t="s">
        <v>52</v>
      </c>
      <c r="C14" s="0" t="n">
        <f aca="false">Models!H9</f>
        <v>0.104514850046318</v>
      </c>
      <c r="D14" s="4" t="n">
        <v>0.104515</v>
      </c>
      <c r="E14" s="4" t="n">
        <v>5.0000001E-007</v>
      </c>
      <c r="F14" s="6" t="b">
        <f aca="false">ABS(C14-D14)&lt;=E14</f>
        <v>1</v>
      </c>
      <c r="G14" s="8" t="s">
        <v>43</v>
      </c>
    </row>
    <row r="15" customFormat="false" ht="15" hidden="false" customHeight="false" outlineLevel="0" collapsed="false">
      <c r="A15" s="0" t="n">
        <v>11</v>
      </c>
      <c r="B15" s="0" t="s">
        <v>53</v>
      </c>
      <c r="C15" s="0" t="n">
        <f aca="false">Models!C13</f>
        <v>0.101899</v>
      </c>
      <c r="D15" s="4" t="n">
        <v>0.101899</v>
      </c>
      <c r="E15" s="4" t="n">
        <v>5.0000001E-007</v>
      </c>
      <c r="F15" s="6" t="b">
        <f aca="false">ABS(C15-D15)&lt;=E15</f>
        <v>1</v>
      </c>
      <c r="G15" s="8" t="s">
        <v>54</v>
      </c>
    </row>
    <row r="16" customFormat="false" ht="15" hidden="false" customHeight="false" outlineLevel="0" collapsed="false">
      <c r="A16" s="0" t="n">
        <v>12</v>
      </c>
      <c r="B16" s="0" t="s">
        <v>55</v>
      </c>
      <c r="C16" s="0" t="n">
        <f aca="false">Models!C14</f>
        <v>0.111759</v>
      </c>
      <c r="D16" s="4" t="n">
        <v>0.111759</v>
      </c>
      <c r="E16" s="4" t="n">
        <v>5.0000001E-007</v>
      </c>
      <c r="F16" s="6" t="b">
        <f aca="false">ABS(C16-D16)&lt;=E16</f>
        <v>1</v>
      </c>
      <c r="G16" s="8" t="s">
        <v>54</v>
      </c>
    </row>
    <row r="17" customFormat="false" ht="15" hidden="false" customHeight="false" outlineLevel="0" collapsed="false">
      <c r="A17" s="0" t="n">
        <v>13</v>
      </c>
      <c r="B17" s="0" t="s">
        <v>56</v>
      </c>
      <c r="C17" s="0" t="n">
        <f aca="false">Models!C15</f>
        <v>0.004236</v>
      </c>
      <c r="D17" s="4" t="n">
        <v>0.004236</v>
      </c>
      <c r="E17" s="4" t="n">
        <v>5.0000001E-007</v>
      </c>
      <c r="F17" s="6" t="b">
        <f aca="false">ABS(C17-D17)&lt;=E17</f>
        <v>1</v>
      </c>
      <c r="G17" s="8" t="s">
        <v>54</v>
      </c>
    </row>
    <row r="18" customFormat="false" ht="15" hidden="false" customHeight="false" outlineLevel="0" collapsed="false">
      <c r="A18" s="0" t="n">
        <v>14</v>
      </c>
      <c r="B18" s="0" t="s">
        <v>57</v>
      </c>
      <c r="C18" s="0" t="n">
        <f aca="false">Models!C16</f>
        <v>0.221524</v>
      </c>
      <c r="D18" s="4" t="n">
        <v>0.221524</v>
      </c>
      <c r="E18" s="4" t="n">
        <v>5.0000001E-007</v>
      </c>
      <c r="F18" s="6" t="b">
        <f aca="false">ABS(C18-D18)&lt;=E18</f>
        <v>1</v>
      </c>
      <c r="G18" s="8" t="s">
        <v>54</v>
      </c>
    </row>
    <row r="19" customFormat="false" ht="15" hidden="false" customHeight="false" outlineLevel="0" collapsed="false">
      <c r="A19" s="0" t="n">
        <v>15</v>
      </c>
      <c r="B19" s="0" t="s">
        <v>58</v>
      </c>
      <c r="C19" s="0" t="n">
        <f aca="false">Models!C17</f>
        <v>0.113635</v>
      </c>
      <c r="D19" s="4" t="n">
        <v>0.113635</v>
      </c>
      <c r="E19" s="4" t="n">
        <v>5.0000001E-007</v>
      </c>
      <c r="F19" s="6" t="b">
        <f aca="false">ABS(C19-D19)&lt;=E19</f>
        <v>1</v>
      </c>
      <c r="G19" s="8" t="s">
        <v>54</v>
      </c>
    </row>
    <row r="20" customFormat="false" ht="15" hidden="false" customHeight="false" outlineLevel="0" collapsed="false">
      <c r="A20" s="0" t="n">
        <v>16</v>
      </c>
      <c r="B20" s="0" t="s">
        <v>59</v>
      </c>
      <c r="C20" s="0" t="n">
        <f aca="false">Models!C18</f>
        <v>0.004645</v>
      </c>
      <c r="D20" s="4" t="n">
        <v>0.004645</v>
      </c>
      <c r="E20" s="4" t="n">
        <v>5.0000001E-007</v>
      </c>
      <c r="F20" s="6" t="b">
        <f aca="false">ABS(C20-D20)&lt;=E20</f>
        <v>1</v>
      </c>
      <c r="G20" s="8" t="s">
        <v>54</v>
      </c>
    </row>
    <row r="21" customFormat="false" ht="15" hidden="false" customHeight="false" outlineLevel="0" collapsed="false">
      <c r="A21" s="0" t="n">
        <v>17</v>
      </c>
      <c r="B21" s="0" t="s">
        <v>60</v>
      </c>
      <c r="C21" s="0" t="n">
        <f aca="false">SUMPRODUCT(--(Models!C5:C9=1513))</f>
        <v>5</v>
      </c>
      <c r="D21" s="4" t="n">
        <v>5</v>
      </c>
      <c r="E21" s="4" t="n">
        <v>0</v>
      </c>
      <c r="F21" s="6" t="b">
        <f aca="false">ABS(C21-D21)&lt;=E21</f>
        <v>1</v>
      </c>
      <c r="G21" s="8" t="s">
        <v>61</v>
      </c>
    </row>
    <row r="22" customFormat="false" ht="15" hidden="false" customHeight="false" outlineLevel="0" collapsed="false">
      <c r="A22" s="0" t="n">
        <v>18</v>
      </c>
      <c r="B22" s="0" t="s">
        <v>62</v>
      </c>
      <c r="C22" s="0" t="n">
        <f aca="false">SUMPRODUCT(--(Models!D5:D9=189))</f>
        <v>5</v>
      </c>
      <c r="D22" s="4" t="n">
        <v>5</v>
      </c>
      <c r="E22" s="4" t="n">
        <v>0</v>
      </c>
      <c r="F22" s="6" t="b">
        <f aca="false">ABS(C22-D22)&lt;=E22</f>
        <v>1</v>
      </c>
      <c r="G22" s="8" t="s">
        <v>63</v>
      </c>
    </row>
    <row r="23" customFormat="false" ht="15" hidden="false" customHeight="false" outlineLevel="0" collapsed="false">
      <c r="A23" s="0" t="n">
        <v>19</v>
      </c>
      <c r="B23" s="0" t="s">
        <v>64</v>
      </c>
      <c r="C23" s="0" t="n">
        <f aca="false">SUM(Calibration!K5:K14)</f>
        <v>0</v>
      </c>
      <c r="D23" s="4" t="n">
        <v>0</v>
      </c>
      <c r="E23" s="4" t="n">
        <v>0</v>
      </c>
      <c r="F23" s="6" t="b">
        <f aca="false">ABS(C23-D23)&lt;=E23</f>
        <v>1</v>
      </c>
      <c r="G23" s="8" t="s">
        <v>65</v>
      </c>
    </row>
    <row r="24" customFormat="false" ht="15" hidden="false" customHeight="false" outlineLevel="0" collapsed="false">
      <c r="A24" s="0" t="n">
        <v>20</v>
      </c>
      <c r="B24" s="0" t="s">
        <v>66</v>
      </c>
      <c r="C24" s="0" t="n">
        <f aca="false">MAX(Calibration!L5:L14)</f>
        <v>0.00426331288343462</v>
      </c>
      <c r="D24" s="4" t="n">
        <v>0</v>
      </c>
      <c r="E24" s="4" t="n">
        <v>0.0050001</v>
      </c>
      <c r="F24" s="6" t="b">
        <f aca="false">ABS(C24-D24)&lt;=E24</f>
        <v>1</v>
      </c>
      <c r="G24" s="8" t="s">
        <v>67</v>
      </c>
    </row>
    <row r="25" customFormat="false" ht="15" hidden="false" customHeight="false" outlineLevel="0" collapsed="false">
      <c r="A25" s="0" t="n">
        <v>21</v>
      </c>
      <c r="B25" s="0" t="s">
        <v>68</v>
      </c>
      <c r="C25" s="0" t="n">
        <f aca="false">SUM(Calibration!D5:D14)</f>
        <v>1513</v>
      </c>
      <c r="D25" s="4" t="n">
        <v>1513</v>
      </c>
      <c r="E25" s="4" t="n">
        <v>0</v>
      </c>
      <c r="F25" s="6" t="b">
        <f aca="false">ABS(C25-D25)&lt;=E25</f>
        <v>1</v>
      </c>
      <c r="G25" s="8" t="s">
        <v>69</v>
      </c>
    </row>
    <row r="26" customFormat="false" ht="15" hidden="false" customHeight="false" outlineLevel="0" collapsed="false">
      <c r="A26" s="0" t="n">
        <v>22</v>
      </c>
      <c r="B26" s="0" t="s">
        <v>70</v>
      </c>
      <c r="C26" s="0" t="n">
        <f aca="false">SUM(Calibration!K19:K28)</f>
        <v>0</v>
      </c>
      <c r="D26" s="4" t="n">
        <v>0</v>
      </c>
      <c r="E26" s="4" t="n">
        <v>0</v>
      </c>
      <c r="F26" s="6" t="b">
        <f aca="false">ABS(C26-D26)&lt;=E26</f>
        <v>1</v>
      </c>
      <c r="G26" s="8" t="s">
        <v>65</v>
      </c>
    </row>
    <row r="27" customFormat="false" ht="15" hidden="false" customHeight="false" outlineLevel="0" collapsed="false">
      <c r="A27" s="0" t="n">
        <v>23</v>
      </c>
      <c r="B27" s="0" t="s">
        <v>71</v>
      </c>
      <c r="C27" s="0" t="n">
        <f aca="false">MAX(Calibration!L19:L28)</f>
        <v>0.00492857142856984</v>
      </c>
      <c r="D27" s="4" t="n">
        <v>0</v>
      </c>
      <c r="E27" s="4" t="n">
        <v>0.0050001</v>
      </c>
      <c r="F27" s="6" t="b">
        <f aca="false">ABS(C27-D27)&lt;=E27</f>
        <v>1</v>
      </c>
      <c r="G27" s="8" t="s">
        <v>67</v>
      </c>
    </row>
    <row r="28" customFormat="false" ht="15" hidden="false" customHeight="false" outlineLevel="0" collapsed="false">
      <c r="A28" s="0" t="n">
        <v>24</v>
      </c>
      <c r="B28" s="0" t="s">
        <v>72</v>
      </c>
      <c r="C28" s="0" t="n">
        <f aca="false">SUM(Calibration!D19:D28)</f>
        <v>1513</v>
      </c>
      <c r="D28" s="4" t="n">
        <v>1513</v>
      </c>
      <c r="E28" s="4" t="n">
        <v>0</v>
      </c>
      <c r="F28" s="6" t="b">
        <f aca="false">ABS(C28-D28)&lt;=E28</f>
        <v>1</v>
      </c>
      <c r="G28" s="8" t="s">
        <v>69</v>
      </c>
    </row>
    <row r="29" customFormat="false" ht="15" hidden="false" customHeight="false" outlineLevel="0" collapsed="false">
      <c r="A29" s="0" t="n">
        <v>25</v>
      </c>
      <c r="B29" s="0" t="s">
        <v>73</v>
      </c>
      <c r="C29" s="0" t="n">
        <f aca="false">COUNTIF(Calibration!D5:D14,0)</f>
        <v>6</v>
      </c>
      <c r="D29" s="4" t="n">
        <v>6</v>
      </c>
      <c r="E29" s="4" t="n">
        <v>0</v>
      </c>
      <c r="F29" s="6" t="b">
        <f aca="false">ABS(C29-D29)&lt;=E29</f>
        <v>1</v>
      </c>
      <c r="G29" s="8" t="s">
        <v>65</v>
      </c>
    </row>
    <row r="30" customFormat="false" ht="15" hidden="false" customHeight="false" outlineLevel="0" collapsed="false">
      <c r="A30" s="0" t="n">
        <v>26</v>
      </c>
      <c r="B30" s="0" t="s">
        <v>74</v>
      </c>
      <c r="C30" s="0" t="n">
        <f aca="false">Calibration!B36</f>
        <v>0.104514850046318</v>
      </c>
      <c r="D30" s="4" t="n">
        <v>0.104515</v>
      </c>
      <c r="E30" s="4" t="n">
        <v>5.0000001E-007</v>
      </c>
      <c r="F30" s="6" t="b">
        <f aca="false">ABS(C30-D30)&lt;=E30</f>
        <v>1</v>
      </c>
      <c r="G30" s="8" t="s">
        <v>75</v>
      </c>
    </row>
    <row r="31" customFormat="false" ht="15" hidden="false" customHeight="false" outlineLevel="0" collapsed="false">
      <c r="A31" s="0" t="n">
        <v>27</v>
      </c>
      <c r="B31" s="0" t="s">
        <v>76</v>
      </c>
      <c r="C31" s="0" t="n">
        <f aca="false">Calibration!B37</f>
        <v>0.10501911049411</v>
      </c>
      <c r="D31" s="4" t="n">
        <v>0.105019</v>
      </c>
      <c r="E31" s="4" t="n">
        <v>5.0000001E-007</v>
      </c>
      <c r="F31" s="6" t="b">
        <f aca="false">ABS(C31-D31)&lt;=E31</f>
        <v>1</v>
      </c>
      <c r="G31" s="8" t="s">
        <v>75</v>
      </c>
    </row>
    <row r="32" customFormat="false" ht="15" hidden="false" customHeight="false" outlineLevel="0" collapsed="false">
      <c r="A32" s="0" t="n">
        <v>28</v>
      </c>
      <c r="B32" s="0" t="s">
        <v>77</v>
      </c>
      <c r="C32" s="0" t="n">
        <f aca="false">Calibration!B38</f>
        <v>0.000504000000000004</v>
      </c>
      <c r="D32" s="4" t="n">
        <v>0.000504</v>
      </c>
      <c r="E32" s="4" t="n">
        <v>5.0000001E-007</v>
      </c>
      <c r="F32" s="6" t="b">
        <f aca="false">ABS(C32-D32)&lt;=E32</f>
        <v>1</v>
      </c>
      <c r="G32" s="8" t="s">
        <v>75</v>
      </c>
    </row>
    <row r="33" customFormat="false" ht="15" hidden="false" customHeight="false" outlineLevel="0" collapsed="false">
      <c r="A33" s="0" t="n">
        <v>29</v>
      </c>
      <c r="B33" s="0" t="s">
        <v>78</v>
      </c>
      <c r="C33" s="0" t="n">
        <f aca="false">Calibration!B39</f>
        <v>-2.25591057501652</v>
      </c>
      <c r="D33" s="4" t="n">
        <v>-2.26</v>
      </c>
      <c r="E33" s="4" t="n">
        <v>0.0050001</v>
      </c>
      <c r="F33" s="6" t="b">
        <f aca="false">ABS(C33-D33)&lt;=E33</f>
        <v>1</v>
      </c>
      <c r="G33" s="8" t="s">
        <v>75</v>
      </c>
    </row>
    <row r="34" customFormat="false" ht="15" hidden="false" customHeight="false" outlineLevel="0" collapsed="false">
      <c r="A34" s="0" t="n">
        <v>30</v>
      </c>
      <c r="B34" s="0" t="s">
        <v>79</v>
      </c>
      <c r="C34" s="0" t="n">
        <f aca="false">Calibration!B40</f>
        <v>-2.86033212161269</v>
      </c>
      <c r="D34" s="4" t="n">
        <v>-2.86</v>
      </c>
      <c r="E34" s="4" t="n">
        <v>0.0050001</v>
      </c>
      <c r="F34" s="6" t="b">
        <f aca="false">ABS(C34-D34)&lt;=E34</f>
        <v>1</v>
      </c>
      <c r="G34" s="8" t="s">
        <v>75</v>
      </c>
    </row>
    <row r="35" customFormat="false" ht="15" hidden="false" customHeight="false" outlineLevel="0" collapsed="false">
      <c r="A35" s="0" t="n">
        <v>31</v>
      </c>
      <c r="B35" s="0" t="s">
        <v>80</v>
      </c>
      <c r="C35" s="6" t="b">
        <f aca="false">Calibration!B41</f>
        <v>1</v>
      </c>
      <c r="D35" s="9" t="b">
        <f aca="false">TRUE()</f>
        <v>1</v>
      </c>
      <c r="E35" s="4" t="n">
        <v>0</v>
      </c>
      <c r="F35" s="6" t="b">
        <f aca="false">C35=D35</f>
        <v>1</v>
      </c>
      <c r="G35" s="8" t="s">
        <v>75</v>
      </c>
    </row>
    <row r="36" customFormat="false" ht="15" hidden="false" customHeight="false" outlineLevel="0" collapsed="false">
      <c r="A36" s="0" t="n">
        <v>32</v>
      </c>
      <c r="B36" s="0" t="s">
        <v>81</v>
      </c>
      <c r="C36" s="0" t="n">
        <f aca="false">MAX(Calibration!I48:I56)</f>
        <v>0.00365401606425766</v>
      </c>
      <c r="D36" s="4" t="n">
        <v>0</v>
      </c>
      <c r="E36" s="4" t="n">
        <v>0.0050001</v>
      </c>
      <c r="F36" s="6" t="b">
        <f aca="false">ABS(C36-D36)&lt;=E36</f>
        <v>1</v>
      </c>
      <c r="G36" s="8" t="s">
        <v>82</v>
      </c>
    </row>
    <row r="37" customFormat="false" ht="15" hidden="false" customHeight="false" outlineLevel="0" collapsed="false">
      <c r="A37" s="0" t="n">
        <v>33</v>
      </c>
      <c r="B37" s="0" t="s">
        <v>83</v>
      </c>
      <c r="C37" s="0" t="n">
        <f aca="false">SUMPRODUCT(MAX(ABS(Capacity!E5:E16-Capacity!H5:H16)))</f>
        <v>0</v>
      </c>
      <c r="D37" s="4" t="n">
        <v>0</v>
      </c>
      <c r="E37" s="4" t="n">
        <v>5.0000001E-007</v>
      </c>
      <c r="F37" s="6" t="b">
        <f aca="false">ABS(C37-D37)&lt;=E37</f>
        <v>1</v>
      </c>
      <c r="G37" s="8" t="s">
        <v>84</v>
      </c>
    </row>
    <row r="38" customFormat="false" ht="15" hidden="false" customHeight="false" outlineLevel="0" collapsed="false">
      <c r="A38" s="0" t="n">
        <v>34</v>
      </c>
      <c r="B38" s="0" t="s">
        <v>85</v>
      </c>
      <c r="C38" s="0" t="n">
        <f aca="false">SUMPRODUCT(MAX(ABS(Capacity!F5:F16-Capacity!I5:I16)))</f>
        <v>2.64550264542085E-008</v>
      </c>
      <c r="D38" s="4" t="n">
        <v>0</v>
      </c>
      <c r="E38" s="4" t="n">
        <v>5.0000001E-007</v>
      </c>
      <c r="F38" s="6" t="b">
        <f aca="false">ABS(C38-D38)&lt;=E38</f>
        <v>1</v>
      </c>
      <c r="G38" s="8" t="s">
        <v>67</v>
      </c>
    </row>
    <row r="39" customFormat="false" ht="15" hidden="false" customHeight="false" outlineLevel="0" collapsed="false">
      <c r="A39" s="0" t="n">
        <v>35</v>
      </c>
      <c r="B39" s="0" t="s">
        <v>86</v>
      </c>
      <c r="C39" s="0" t="n">
        <f aca="false">SUMPRODUCT(MAX(ABS(Capacity!G5:G16-Capacity!J5:J16)))</f>
        <v>4.49735449714606E-007</v>
      </c>
      <c r="D39" s="4" t="n">
        <v>0</v>
      </c>
      <c r="E39" s="4" t="n">
        <v>5.0000001E-007</v>
      </c>
      <c r="F39" s="6" t="b">
        <f aca="false">ABS(C39-D39)&lt;=E39</f>
        <v>1</v>
      </c>
      <c r="G39" s="8" t="s">
        <v>67</v>
      </c>
    </row>
    <row r="40" customFormat="false" ht="15" hidden="false" customHeight="false" outlineLevel="0" collapsed="false">
      <c r="A40" s="0" t="n">
        <v>36</v>
      </c>
      <c r="B40" s="0" t="s">
        <v>87</v>
      </c>
      <c r="C40" s="0" t="n">
        <f aca="false">ABS(Capacity!D21-INDEX(Capacity!H5:H16,(Controls!B4-1)*3+1))+ABS(Capacity!D22-INDEX(Capacity!H5:H16,(Controls!B4-1)*3+2))+ABS(Capacity!D23-INDEX(Capacity!H5:H16,(Controls!B4-1)*3+3))</f>
        <v>0</v>
      </c>
      <c r="D40" s="4" t="n">
        <v>0</v>
      </c>
      <c r="E40" s="4" t="n">
        <v>1.5000001E-006</v>
      </c>
      <c r="F40" s="6" t="b">
        <f aca="false">ABS(C40-D40)&lt;=E40</f>
        <v>1</v>
      </c>
      <c r="G40" s="8" t="s">
        <v>84</v>
      </c>
    </row>
    <row r="41" customFormat="false" ht="15" hidden="false" customHeight="false" outlineLevel="0" collapsed="false">
      <c r="A41" s="0" t="n">
        <v>37</v>
      </c>
      <c r="B41" s="0" t="s">
        <v>88</v>
      </c>
      <c r="C41" s="0" t="n">
        <f aca="false">Economics!H5</f>
        <v>21.38</v>
      </c>
      <c r="D41" s="4" t="n">
        <v>21.38</v>
      </c>
      <c r="E41" s="4" t="n">
        <v>1E-007</v>
      </c>
      <c r="F41" s="6" t="b">
        <f aca="false">ABS(C41-D41)&lt;=E41</f>
        <v>1</v>
      </c>
      <c r="G41" s="8" t="s">
        <v>89</v>
      </c>
    </row>
    <row r="42" customFormat="false" ht="15" hidden="false" customHeight="false" outlineLevel="0" collapsed="false">
      <c r="A42" s="0" t="n">
        <v>38</v>
      </c>
      <c r="B42" s="0" t="s">
        <v>90</v>
      </c>
      <c r="C42" s="0" t="n">
        <f aca="false">Economics!G5</f>
        <v>40</v>
      </c>
      <c r="D42" s="4" t="n">
        <v>40</v>
      </c>
      <c r="E42" s="4" t="n">
        <v>1E-007</v>
      </c>
      <c r="F42" s="6" t="b">
        <f aca="false">ABS(C42-D42)&lt;=E42</f>
        <v>1</v>
      </c>
      <c r="G42" s="8" t="s">
        <v>91</v>
      </c>
    </row>
    <row r="43" customFormat="false" ht="15" hidden="false" customHeight="false" outlineLevel="0" collapsed="false">
      <c r="A43" s="0" t="n">
        <v>39</v>
      </c>
      <c r="B43" s="0" t="s">
        <v>92</v>
      </c>
      <c r="C43" s="0" t="n">
        <f aca="false">Economics!H6</f>
        <v>-6.87</v>
      </c>
      <c r="D43" s="4" t="n">
        <v>-6.87</v>
      </c>
      <c r="E43" s="4" t="n">
        <v>1E-007</v>
      </c>
      <c r="F43" s="6" t="b">
        <f aca="false">ABS(C43-D43)&lt;=E43</f>
        <v>1</v>
      </c>
      <c r="G43" s="8" t="s">
        <v>89</v>
      </c>
    </row>
    <row r="44" customFormat="false" ht="15" hidden="false" customHeight="false" outlineLevel="0" collapsed="false">
      <c r="A44" s="0" t="n">
        <v>40</v>
      </c>
      <c r="B44" s="0" t="s">
        <v>93</v>
      </c>
      <c r="C44" s="0" t="n">
        <f aca="false">Economics!G6</f>
        <v>80</v>
      </c>
      <c r="D44" s="4" t="n">
        <v>80</v>
      </c>
      <c r="E44" s="4" t="n">
        <v>1E-007</v>
      </c>
      <c r="F44" s="6" t="b">
        <f aca="false">ABS(C44-D44)&lt;=E44</f>
        <v>1</v>
      </c>
      <c r="G44" s="8" t="s">
        <v>91</v>
      </c>
    </row>
    <row r="45" customFormat="false" ht="15" hidden="false" customHeight="false" outlineLevel="0" collapsed="false">
      <c r="A45" s="0" t="n">
        <v>41</v>
      </c>
      <c r="B45" s="0" t="s">
        <v>94</v>
      </c>
      <c r="C45" s="0" t="n">
        <f aca="false">Economics!H7</f>
        <v>-95.46</v>
      </c>
      <c r="D45" s="4" t="n">
        <v>-95.46</v>
      </c>
      <c r="E45" s="4" t="n">
        <v>1E-007</v>
      </c>
      <c r="F45" s="6" t="b">
        <f aca="false">ABS(C45-D45)&lt;=E45</f>
        <v>1</v>
      </c>
      <c r="G45" s="8" t="s">
        <v>89</v>
      </c>
    </row>
    <row r="46" customFormat="false" ht="15" hidden="false" customHeight="false" outlineLevel="0" collapsed="false">
      <c r="A46" s="0" t="n">
        <v>42</v>
      </c>
      <c r="B46" s="0" t="s">
        <v>95</v>
      </c>
      <c r="C46" s="0" t="n">
        <f aca="false">Economics!G7</f>
        <v>160</v>
      </c>
      <c r="D46" s="4" t="n">
        <v>160</v>
      </c>
      <c r="E46" s="4" t="n">
        <v>1E-007</v>
      </c>
      <c r="F46" s="6" t="b">
        <f aca="false">ABS(C46-D46)&lt;=E46</f>
        <v>1</v>
      </c>
      <c r="G46" s="8" t="s">
        <v>91</v>
      </c>
    </row>
    <row r="47" customFormat="false" ht="15" hidden="false" customHeight="false" outlineLevel="0" collapsed="false">
      <c r="A47" s="0" t="n">
        <v>43</v>
      </c>
      <c r="B47" s="0" t="s">
        <v>96</v>
      </c>
      <c r="C47" s="0" t="n">
        <f aca="false">COUNT(Economics!B5:B101)</f>
        <v>97</v>
      </c>
      <c r="D47" s="4" t="n">
        <v>97</v>
      </c>
      <c r="E47" s="4" t="n">
        <v>0</v>
      </c>
      <c r="F47" s="6" t="b">
        <f aca="false">ABS(C47-D47)&lt;=E47</f>
        <v>1</v>
      </c>
      <c r="G47" s="8" t="s">
        <v>97</v>
      </c>
    </row>
    <row r="48" customFormat="false" ht="15" hidden="false" customHeight="false" outlineLevel="0" collapsed="false">
      <c r="A48" s="0" t="n">
        <v>44</v>
      </c>
      <c r="B48" s="0" t="s">
        <v>98</v>
      </c>
      <c r="C48" s="0" t="n">
        <f aca="false">IF(AND(Controls!B11=5,Controls!B12=8,Controls!B13=0.3,Controls!B14=200),Economics!F13,Economics!H5)</f>
        <v>21.38</v>
      </c>
      <c r="D48" s="4" t="n">
        <v>21.38</v>
      </c>
      <c r="E48" s="4" t="n">
        <v>1E-007</v>
      </c>
      <c r="F48" s="6" t="b">
        <f aca="false">ABS(C48-D48)&lt;=E48</f>
        <v>1</v>
      </c>
      <c r="G48" s="8" t="s">
        <v>91</v>
      </c>
    </row>
    <row r="49" customFormat="false" ht="15" hidden="false" customHeight="false" outlineLevel="0" collapsed="false">
      <c r="A49" s="0" t="n">
        <v>45</v>
      </c>
      <c r="B49" s="0" t="s">
        <v>99</v>
      </c>
      <c r="C49" s="0" t="n">
        <f aca="false">'Censored tail'!C26</f>
        <v>9039</v>
      </c>
      <c r="D49" s="4" t="n">
        <v>9039</v>
      </c>
      <c r="E49" s="4" t="n">
        <v>0</v>
      </c>
      <c r="F49" s="6" t="b">
        <f aca="false">ABS(C49-D49)&lt;=E49</f>
        <v>1</v>
      </c>
      <c r="G49" s="8" t="s">
        <v>100</v>
      </c>
    </row>
    <row r="50" customFormat="false" ht="15" hidden="false" customHeight="false" outlineLevel="0" collapsed="false">
      <c r="A50" s="0" t="n">
        <v>46</v>
      </c>
      <c r="B50" s="0" t="s">
        <v>101</v>
      </c>
      <c r="C50" s="0" t="n">
        <f aca="false">'Censored tail'!E26</f>
        <v>3594</v>
      </c>
      <c r="D50" s="4" t="n">
        <v>3594</v>
      </c>
      <c r="E50" s="4" t="n">
        <v>0</v>
      </c>
      <c r="F50" s="6" t="b">
        <f aca="false">ABS(C50-D50)&lt;=E50</f>
        <v>1</v>
      </c>
      <c r="G50" s="8" t="s">
        <v>102</v>
      </c>
    </row>
    <row r="51" customFormat="false" ht="15" hidden="false" customHeight="false" outlineLevel="0" collapsed="false">
      <c r="A51" s="0" t="n">
        <v>47</v>
      </c>
      <c r="B51" s="0" t="s">
        <v>103</v>
      </c>
      <c r="C51" s="0" t="n">
        <f aca="false">'Censored tail'!G26</f>
        <v>0.39761035512778</v>
      </c>
      <c r="D51" s="4" t="n">
        <v>0.39761</v>
      </c>
      <c r="E51" s="4" t="n">
        <v>5.0000001E-007</v>
      </c>
      <c r="F51" s="6" t="b">
        <f aca="false">ABS(C51-D51)&lt;=E51</f>
        <v>1</v>
      </c>
      <c r="G51" s="8" t="s">
        <v>67</v>
      </c>
    </row>
    <row r="52" customFormat="false" ht="15" hidden="false" customHeight="false" outlineLevel="0" collapsed="false">
      <c r="A52" s="0" t="n">
        <v>48</v>
      </c>
      <c r="B52" s="0" t="s">
        <v>104</v>
      </c>
      <c r="C52" s="0" t="n">
        <f aca="false">'Censored tail'!H26</f>
        <v>0.104499540863177</v>
      </c>
      <c r="D52" s="4" t="n">
        <v>0.1045</v>
      </c>
      <c r="E52" s="4" t="n">
        <v>5.0000001E-007</v>
      </c>
      <c r="F52" s="6" t="b">
        <f aca="false">ABS(C52-D52)&lt;=E52</f>
        <v>1</v>
      </c>
      <c r="G52" s="8" t="s">
        <v>67</v>
      </c>
    </row>
    <row r="53" customFormat="false" ht="15" hidden="false" customHeight="false" outlineLevel="0" collapsed="false">
      <c r="A53" s="0" t="n">
        <v>49</v>
      </c>
      <c r="B53" s="0" t="s">
        <v>105</v>
      </c>
      <c r="C53" s="0" t="n">
        <f aca="false">MAX('Censored tail'!O5:O25)</f>
        <v>0.000602000000000658</v>
      </c>
      <c r="D53" s="4" t="n">
        <v>0</v>
      </c>
      <c r="E53" s="4" t="n">
        <v>0.001</v>
      </c>
      <c r="F53" s="6" t="b">
        <f aca="false">ABS(C53-D53)&lt;=E53</f>
        <v>1</v>
      </c>
      <c r="G53" s="8" t="s">
        <v>106</v>
      </c>
    </row>
    <row r="54" customFormat="false" ht="15" hidden="false" customHeight="false" outlineLevel="0" collapsed="false">
      <c r="A54" s="0" t="n">
        <v>50</v>
      </c>
      <c r="B54" s="0" t="s">
        <v>107</v>
      </c>
      <c r="C54" s="0" t="n">
        <f aca="false">COUNTIF('Censored tail'!E5:E25,"&gt;0")</f>
        <v>3</v>
      </c>
      <c r="D54" s="4" t="n">
        <v>3</v>
      </c>
      <c r="E54" s="4" t="n">
        <v>0</v>
      </c>
      <c r="F54" s="6" t="b">
        <f aca="false">ABS(C54-D54)&lt;=E54</f>
        <v>1</v>
      </c>
      <c r="G54" s="8" t="s">
        <v>108</v>
      </c>
    </row>
    <row r="55" customFormat="false" ht="15" hidden="false" customHeight="false" outlineLevel="0" collapsed="false">
      <c r="A55" s="0" t="n">
        <v>51</v>
      </c>
      <c r="B55" s="0" t="s">
        <v>109</v>
      </c>
      <c r="C55" s="0" t="n">
        <f aca="false">'Censored tail'!L26</f>
        <v>286</v>
      </c>
      <c r="D55" s="4" t="n">
        <v>286</v>
      </c>
      <c r="E55" s="4" t="n">
        <v>0</v>
      </c>
      <c r="F55" s="6" t="b">
        <f aca="false">ABS(C55-D55)&lt;=E55</f>
        <v>1</v>
      </c>
      <c r="G55" s="8" t="s">
        <v>110</v>
      </c>
    </row>
    <row r="56" customFormat="false" ht="15" hidden="false" customHeight="false" outlineLevel="0" collapsed="false">
      <c r="A56" s="0" t="n">
        <v>52</v>
      </c>
      <c r="B56" s="0" t="s">
        <v>111</v>
      </c>
      <c r="C56" s="0" t="n">
        <f aca="false">MAX(Drift!O5:O16)</f>
        <v>3.94653489006747E-007</v>
      </c>
      <c r="D56" s="4" t="n">
        <v>0</v>
      </c>
      <c r="E56" s="4" t="n">
        <v>5.0000001E-007</v>
      </c>
      <c r="F56" s="6" t="b">
        <f aca="false">ABS(C56-D56)&lt;=E56</f>
        <v>1</v>
      </c>
      <c r="G56" s="8" t="s">
        <v>112</v>
      </c>
    </row>
    <row r="57" customFormat="false" ht="15" hidden="false" customHeight="false" outlineLevel="0" collapsed="false">
      <c r="A57" s="0" t="n">
        <v>53</v>
      </c>
      <c r="B57" s="0" t="s">
        <v>113</v>
      </c>
      <c r="C57" s="0" t="n">
        <f aca="false">Drift!B19</f>
        <v>1</v>
      </c>
      <c r="D57" s="4" t="n">
        <v>1</v>
      </c>
      <c r="E57" s="4" t="n">
        <v>0</v>
      </c>
      <c r="F57" s="6" t="b">
        <f aca="false">ABS(C57-D57)&lt;=E57</f>
        <v>1</v>
      </c>
      <c r="G57" s="8" t="s">
        <v>114</v>
      </c>
    </row>
    <row r="58" customFormat="false" ht="15" hidden="false" customHeight="false" outlineLevel="0" collapsed="false">
      <c r="A58" s="0" t="n">
        <v>54</v>
      </c>
      <c r="B58" s="0" t="s">
        <v>115</v>
      </c>
      <c r="C58" s="0" t="n">
        <f aca="false">COUNTIFS(A5:A16,"&lt;&gt;apac",M5:M16,TRUE())</f>
        <v>0</v>
      </c>
      <c r="D58" s="4" t="n">
        <v>0</v>
      </c>
      <c r="E58" s="4" t="n">
        <v>0</v>
      </c>
      <c r="F58" s="6" t="b">
        <f aca="false">ABS(C58-D58)&lt;=E58</f>
        <v>1</v>
      </c>
      <c r="G58" s="8" t="s">
        <v>67</v>
      </c>
    </row>
    <row r="59" customFormat="false" ht="15" hidden="false" customHeight="false" outlineLevel="0" collapsed="false">
      <c r="A59" s="0" t="n">
        <v>55</v>
      </c>
      <c r="B59" s="0" t="s">
        <v>116</v>
      </c>
      <c r="C59" s="0" t="n">
        <f aca="false">Drift!B45</f>
        <v>5</v>
      </c>
      <c r="D59" s="4" t="n">
        <v>5</v>
      </c>
      <c r="E59" s="4" t="n">
        <v>0</v>
      </c>
      <c r="F59" s="6" t="b">
        <f aca="false">ABS(C59-D59)&lt;=E59</f>
        <v>1</v>
      </c>
      <c r="G59" s="8" t="s">
        <v>117</v>
      </c>
    </row>
    <row r="60" customFormat="false" ht="15" hidden="false" customHeight="false" outlineLevel="0" collapsed="false">
      <c r="A60" s="0" t="n">
        <v>56</v>
      </c>
      <c r="B60" s="0" t="s">
        <v>118</v>
      </c>
      <c r="C60" s="0" t="n">
        <f aca="false">Drift!B46</f>
        <v>4</v>
      </c>
      <c r="D60" s="4" t="n">
        <v>4</v>
      </c>
      <c r="E60" s="4" t="n">
        <v>0</v>
      </c>
      <c r="F60" s="6" t="b">
        <f aca="false">ABS(C60-D60)&lt;=E60</f>
        <v>1</v>
      </c>
      <c r="G60" s="8" t="s">
        <v>67</v>
      </c>
    </row>
    <row r="61" customFormat="false" ht="15" hidden="false" customHeight="false" outlineLevel="0" collapsed="false">
      <c r="A61" s="0" t="n">
        <v>57</v>
      </c>
      <c r="B61" s="0" t="s">
        <v>119</v>
      </c>
      <c r="C61" s="0" t="n">
        <f aca="false">Drift!B47</f>
        <v>5</v>
      </c>
      <c r="D61" s="4" t="n">
        <v>5</v>
      </c>
      <c r="E61" s="4" t="n">
        <v>0</v>
      </c>
      <c r="F61" s="6" t="b">
        <f aca="false">ABS(C61-D61)&lt;=E61</f>
        <v>1</v>
      </c>
      <c r="G61" s="8" t="s">
        <v>67</v>
      </c>
    </row>
    <row r="62" customFormat="false" ht="15" hidden="false" customHeight="false" outlineLevel="0" collapsed="false">
      <c r="A62" s="0" t="n">
        <v>58</v>
      </c>
      <c r="B62" s="0" t="s">
        <v>120</v>
      </c>
      <c r="C62" s="0" t="n">
        <f aca="false">Drift!B48</f>
        <v>0.04373</v>
      </c>
      <c r="D62" s="4" t="n">
        <v>0.04373</v>
      </c>
      <c r="E62" s="4" t="n">
        <v>5.0000001E-007</v>
      </c>
      <c r="F62" s="6" t="b">
        <f aca="false">ABS(C62-D62)&lt;=E62</f>
        <v>1</v>
      </c>
      <c r="G62" s="8" t="s">
        <v>67</v>
      </c>
    </row>
    <row r="63" customFormat="false" ht="15" hidden="false" customHeight="false" outlineLevel="0" collapsed="false">
      <c r="A63" s="0" t="n">
        <v>59</v>
      </c>
      <c r="B63" s="0" t="s">
        <v>121</v>
      </c>
      <c r="C63" s="0" t="n">
        <f aca="false">COUNTIF(Purge!I5:I12,TRUE())</f>
        <v>8</v>
      </c>
      <c r="D63" s="4" t="n">
        <v>8</v>
      </c>
      <c r="E63" s="4" t="n">
        <v>0</v>
      </c>
      <c r="F63" s="6" t="b">
        <f aca="false">ABS(C63-D63)&lt;=E63</f>
        <v>1</v>
      </c>
      <c r="G63" s="8" t="s">
        <v>122</v>
      </c>
    </row>
    <row r="64" customFormat="false" ht="15" hidden="false" customHeight="false" outlineLevel="0" collapsed="false">
      <c r="A64" s="0" t="n">
        <v>60</v>
      </c>
      <c r="B64" s="0" t="s">
        <v>123</v>
      </c>
      <c r="C64" s="0" t="n">
        <f aca="false">SUM(Purge!E9:G9)</f>
        <v>1055</v>
      </c>
      <c r="D64" s="4" t="n">
        <v>1055</v>
      </c>
      <c r="E64" s="4" t="n">
        <v>0</v>
      </c>
      <c r="F64" s="6" t="b">
        <f aca="false">ABS(C64-D64)&lt;=E64</f>
        <v>1</v>
      </c>
      <c r="G64" s="8" t="s">
        <v>124</v>
      </c>
    </row>
    <row r="65" customFormat="false" ht="15" hidden="false" customHeight="false" outlineLevel="0" collapsed="false">
      <c r="A65" s="0" t="n">
        <v>61</v>
      </c>
      <c r="B65" s="0" t="s">
        <v>125</v>
      </c>
      <c r="C65" s="0" t="n">
        <f aca="false">SUM(Purge!E10:G10)</f>
        <v>1304</v>
      </c>
      <c r="D65" s="4" t="n">
        <v>1304</v>
      </c>
      <c r="E65" s="4" t="n">
        <v>0</v>
      </c>
      <c r="F65" s="6" t="b">
        <f aca="false">ABS(C65-D65)&lt;=E65</f>
        <v>1</v>
      </c>
      <c r="G65" s="8" t="s">
        <v>126</v>
      </c>
    </row>
    <row r="66" customFormat="false" ht="15" hidden="false" customHeight="false" outlineLevel="0" collapsed="false">
      <c r="A66" s="0" t="n">
        <v>62</v>
      </c>
      <c r="B66" s="0" t="s">
        <v>127</v>
      </c>
      <c r="C66" s="0" t="n">
        <f aca="false">SUM(Purge!E7:G8)+SUM(Purge!E11:G12)</f>
        <v>0</v>
      </c>
      <c r="D66" s="4" t="n">
        <v>0</v>
      </c>
      <c r="E66" s="4" t="n">
        <v>0</v>
      </c>
      <c r="F66" s="6" t="b">
        <f aca="false">ABS(C66-D66)&lt;=E66</f>
        <v>1</v>
      </c>
      <c r="G66" s="8" t="s">
        <v>122</v>
      </c>
    </row>
    <row r="67" customFormat="false" ht="15" hidden="false" customHeight="false" outlineLevel="0" collapsed="false">
      <c r="A67" s="0" t="n">
        <v>63</v>
      </c>
      <c r="B67" s="0" t="s">
        <v>128</v>
      </c>
      <c r="C67" s="0" t="n">
        <f aca="false">'Golden case'!B15</f>
        <v>0.5</v>
      </c>
      <c r="D67" s="4" t="n">
        <v>0.5</v>
      </c>
      <c r="E67" s="4" t="n">
        <v>5.0000001E-007</v>
      </c>
      <c r="F67" s="6" t="b">
        <f aca="false">ABS(C67-D67)&lt;=E67</f>
        <v>1</v>
      </c>
      <c r="G67" s="8" t="s">
        <v>129</v>
      </c>
    </row>
    <row r="68" customFormat="false" ht="15" hidden="false" customHeight="false" outlineLevel="0" collapsed="false">
      <c r="A68" s="0" t="n">
        <v>64</v>
      </c>
      <c r="B68" s="0" t="s">
        <v>130</v>
      </c>
      <c r="C68" s="0" t="n">
        <f aca="false">'Golden case'!B16</f>
        <v>0.5</v>
      </c>
      <c r="D68" s="4" t="n">
        <v>0.5</v>
      </c>
      <c r="E68" s="4" t="n">
        <v>5.0000001E-007</v>
      </c>
      <c r="F68" s="6" t="b">
        <f aca="false">ABS(C68-D68)&lt;=E68</f>
        <v>1</v>
      </c>
      <c r="G68" s="8" t="s">
        <v>129</v>
      </c>
    </row>
    <row r="69" customFormat="false" ht="15" hidden="false" customHeight="false" outlineLevel="0" collapsed="false">
      <c r="A69" s="0" t="n">
        <v>65</v>
      </c>
      <c r="B69" s="0" t="s">
        <v>131</v>
      </c>
      <c r="C69" s="0" t="n">
        <f aca="false">'Golden case'!B17</f>
        <v>0.5</v>
      </c>
      <c r="D69" s="4" t="n">
        <v>0.5</v>
      </c>
      <c r="E69" s="4" t="n">
        <v>5.0000001E-007</v>
      </c>
      <c r="F69" s="6" t="b">
        <f aca="false">ABS(C69-D69)&lt;=E69</f>
        <v>1</v>
      </c>
      <c r="G69" s="8" t="s">
        <v>129</v>
      </c>
    </row>
    <row r="70" customFormat="false" ht="15" hidden="false" customHeight="false" outlineLevel="0" collapsed="false">
      <c r="A70" s="0" t="n">
        <v>66</v>
      </c>
      <c r="B70" s="0" t="s">
        <v>132</v>
      </c>
      <c r="C70" s="0" t="n">
        <f aca="false">'Golden case'!B18</f>
        <v>1</v>
      </c>
      <c r="D70" s="4" t="n">
        <v>1</v>
      </c>
      <c r="E70" s="4" t="n">
        <v>5.0000001E-007</v>
      </c>
      <c r="F70" s="6" t="b">
        <f aca="false">ABS(C70-D70)&lt;=E70</f>
        <v>1</v>
      </c>
      <c r="G70" s="8" t="s">
        <v>129</v>
      </c>
    </row>
    <row r="71" customFormat="false" ht="15" hidden="false" customHeight="false" outlineLevel="0" collapsed="false">
      <c r="A71" s="0" t="n">
        <v>67</v>
      </c>
      <c r="B71" s="0" t="s">
        <v>133</v>
      </c>
      <c r="C71" s="0" t="n">
        <f aca="false">'Golden case'!B19</f>
        <v>0.1925</v>
      </c>
      <c r="D71" s="4" t="n">
        <v>0.1925</v>
      </c>
      <c r="E71" s="4" t="n">
        <v>5.0000001E-007</v>
      </c>
      <c r="F71" s="6" t="b">
        <f aca="false">ABS(C71-D71)&lt;=E71</f>
        <v>1</v>
      </c>
      <c r="G71" s="8" t="s">
        <v>129</v>
      </c>
    </row>
    <row r="72" customFormat="false" ht="15" hidden="false" customHeight="false" outlineLevel="0" collapsed="false">
      <c r="A72" s="0" t="n">
        <v>68</v>
      </c>
      <c r="B72" s="0" t="s">
        <v>134</v>
      </c>
      <c r="C72" s="0" t="n">
        <f aca="false">'Golden case'!B20</f>
        <v>0.833333333333333</v>
      </c>
      <c r="D72" s="4" t="n">
        <v>0.833333333333333</v>
      </c>
      <c r="E72" s="4" t="n">
        <v>5.0000001E-007</v>
      </c>
      <c r="F72" s="6" t="b">
        <f aca="false">ABS(C72-D72)&lt;=E72</f>
        <v>1</v>
      </c>
      <c r="G72" s="8" t="s">
        <v>129</v>
      </c>
    </row>
    <row r="73" customFormat="false" ht="15" hidden="false" customHeight="false" outlineLevel="0" collapsed="false">
      <c r="A73" s="0" t="n">
        <v>69</v>
      </c>
      <c r="B73" s="0" t="s">
        <v>135</v>
      </c>
      <c r="C73" s="0" t="n">
        <f aca="false">'Golden case'!B21</f>
        <v>10</v>
      </c>
      <c r="D73" s="4" t="n">
        <v>10</v>
      </c>
      <c r="E73" s="4" t="n">
        <v>5.0000001E-007</v>
      </c>
      <c r="F73" s="6" t="b">
        <f aca="false">ABS(C73-D73)&lt;=E73</f>
        <v>1</v>
      </c>
      <c r="G73" s="8" t="s">
        <v>129</v>
      </c>
    </row>
    <row r="74" customFormat="false" ht="15" hidden="false" customHeight="false" outlineLevel="0" collapsed="false">
      <c r="A74" s="0" t="n">
        <v>70</v>
      </c>
      <c r="B74" s="0" t="s">
        <v>136</v>
      </c>
      <c r="C74" s="0" t="n">
        <f aca="false">'Golden case'!B22</f>
        <v>8.45</v>
      </c>
      <c r="D74" s="4" t="n">
        <v>8.45</v>
      </c>
      <c r="E74" s="4" t="n">
        <v>5.0000001E-007</v>
      </c>
      <c r="F74" s="6" t="b">
        <f aca="false">ABS(C74-D74)&lt;=E74</f>
        <v>1</v>
      </c>
      <c r="G74" s="8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26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0" t="s">
        <v>138</v>
      </c>
    </row>
    <row r="4" customFormat="false" ht="41.75" hidden="false" customHeight="false" outlineLevel="0" collapsed="false">
      <c r="A4" s="7" t="s">
        <v>139</v>
      </c>
      <c r="B4" s="7" t="s">
        <v>140</v>
      </c>
      <c r="C4" s="7" t="s">
        <v>141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146</v>
      </c>
      <c r="I4" s="7" t="s">
        <v>147</v>
      </c>
      <c r="J4" s="7" t="s">
        <v>148</v>
      </c>
      <c r="K4" s="7" t="s">
        <v>149</v>
      </c>
    </row>
    <row r="5" customFormat="false" ht="15" hidden="false" customHeight="false" outlineLevel="0" collapsed="false">
      <c r="A5" s="0" t="s">
        <v>150</v>
      </c>
      <c r="B5" s="0" t="s">
        <v>151</v>
      </c>
      <c r="C5" s="0" t="n">
        <f aca="false">COUNT('Test table'!$L$5:$L$1517)</f>
        <v>1513</v>
      </c>
      <c r="D5" s="0" t="n">
        <f aca="false">SUM('Test table'!$K$5:$K$1517)</f>
        <v>189</v>
      </c>
      <c r="E5" s="0" t="n">
        <f aca="false">D5/C5</f>
        <v>0.12491738268341</v>
      </c>
      <c r="F5" s="0" t="n">
        <f aca="false">SUM('Test table'!$U$5:$U$1517)/D5</f>
        <v>0.12679280276249</v>
      </c>
      <c r="G5" s="0" t="n">
        <f aca="false">LARGE('Test table'!$L$5:$L$1517,25)</f>
        <v>0.981331</v>
      </c>
      <c r="H5" s="0" t="n">
        <f aca="false">SUM('Test table'!$Z$5:$Z$1517)/C5</f>
        <v>0.326542985866302</v>
      </c>
      <c r="I5" s="0" t="n">
        <f aca="false">AVERAGE('Test table'!$L$5:$L$1517)</f>
        <v>0.491802762062128</v>
      </c>
      <c r="J5" s="4" t="n">
        <v>0.126793</v>
      </c>
      <c r="K5" s="4" t="n">
        <v>0.326543</v>
      </c>
    </row>
    <row r="6" customFormat="false" ht="15" hidden="false" customHeight="false" outlineLevel="0" collapsed="false">
      <c r="A6" s="0" t="s">
        <v>152</v>
      </c>
      <c r="B6" s="0" t="s">
        <v>153</v>
      </c>
      <c r="C6" s="0" t="n">
        <f aca="false">COUNT('Test table'!$M$5:$M$1517)</f>
        <v>1513</v>
      </c>
      <c r="D6" s="0" t="n">
        <f aca="false">SUM('Test table'!$K$5:$K$1517)</f>
        <v>189</v>
      </c>
      <c r="E6" s="0" t="n">
        <f aca="false">D6/C6</f>
        <v>0.12491738268341</v>
      </c>
      <c r="F6" s="0" t="n">
        <f aca="false">SUM('Test table'!$V$5:$V$1517)/D6</f>
        <v>0.136652833107394</v>
      </c>
      <c r="G6" s="0" t="n">
        <f aca="false">LARGE('Test table'!$M$5:$M$1517,25)</f>
        <v>0.184211</v>
      </c>
      <c r="H6" s="0" t="n">
        <f aca="false">SUM('Test table'!$AA$5:$AA$1517)/C6</f>
        <v>0.109254804584027</v>
      </c>
      <c r="I6" s="0" t="n">
        <f aca="false">AVERAGE('Test table'!$M$5:$M$1517)</f>
        <v>0.103817503635162</v>
      </c>
      <c r="J6" s="4" t="n">
        <v>0.136653</v>
      </c>
      <c r="K6" s="4" t="n">
        <v>0.109255</v>
      </c>
    </row>
    <row r="7" customFormat="false" ht="15" hidden="false" customHeight="false" outlineLevel="0" collapsed="false">
      <c r="A7" s="0" t="s">
        <v>18</v>
      </c>
      <c r="B7" s="0" t="s">
        <v>154</v>
      </c>
      <c r="C7" s="0" t="n">
        <f aca="false">COUNT('Test table'!$N$5:$N$1517)</f>
        <v>1513</v>
      </c>
      <c r="D7" s="0" t="n">
        <f aca="false">SUM('Test table'!$K$5:$K$1517)</f>
        <v>189</v>
      </c>
      <c r="E7" s="0" t="n">
        <f aca="false">D7/C7</f>
        <v>0.12491738268341</v>
      </c>
      <c r="F7" s="0" t="n">
        <f aca="false">SUM('Test table'!$W$5:$W$1517)/D7</f>
        <v>0.238552174810603</v>
      </c>
      <c r="G7" s="0" t="n">
        <f aca="false">LARGE('Test table'!$N$5:$N$1517,25)</f>
        <v>0.238419</v>
      </c>
      <c r="H7" s="0" t="n">
        <f aca="false">SUM('Test table'!$AB$5:$AB$1517)/C7</f>
        <v>0.10501911049411</v>
      </c>
      <c r="I7" s="0" t="n">
        <f aca="false">AVERAGE('Test table'!$N$5:$N$1517)</f>
        <v>0.0963140614672835</v>
      </c>
      <c r="J7" s="4" t="n">
        <v>0.238552</v>
      </c>
      <c r="K7" s="4" t="n">
        <v>0.105019</v>
      </c>
    </row>
    <row r="8" customFormat="false" ht="15" hidden="false" customHeight="false" outlineLevel="0" collapsed="false">
      <c r="A8" s="0" t="s">
        <v>155</v>
      </c>
      <c r="B8" s="0" t="s">
        <v>156</v>
      </c>
      <c r="C8" s="0" t="n">
        <f aca="false">COUNT('Test table'!$O$5:$O$1517)</f>
        <v>1513</v>
      </c>
      <c r="D8" s="0" t="n">
        <f aca="false">SUM('Test table'!$K$5:$K$1517)</f>
        <v>189</v>
      </c>
      <c r="E8" s="0" t="n">
        <f aca="false">D8/C8</f>
        <v>0.12491738268341</v>
      </c>
      <c r="F8" s="0" t="n">
        <f aca="false">SUM('Test table'!$X$5:$X$1517)/D8</f>
        <v>0.12491738268341</v>
      </c>
      <c r="G8" s="0" t="n">
        <f aca="false">LARGE('Test table'!$O$5:$O$1517,25)</f>
        <v>0.106183</v>
      </c>
      <c r="H8" s="0" t="n">
        <f aca="false">SUM('Test table'!$AC$5:$AC$1517)/C8</f>
        <v>0.109664007281465</v>
      </c>
      <c r="I8" s="0" t="n">
        <f aca="false">AVERAGE('Test table'!$O$5:$O$1517)</f>
        <v>0.106183</v>
      </c>
      <c r="J8" s="4" t="n">
        <v>0.124917</v>
      </c>
      <c r="K8" s="4" t="n">
        <v>0.109664</v>
      </c>
    </row>
    <row r="9" customFormat="false" ht="15" hidden="false" customHeight="false" outlineLevel="0" collapsed="false">
      <c r="A9" s="0" t="s">
        <v>157</v>
      </c>
      <c r="B9" s="0" t="s">
        <v>158</v>
      </c>
      <c r="C9" s="0" t="n">
        <f aca="false">COUNT('Test table'!$P$5:$P$1517)</f>
        <v>1513</v>
      </c>
      <c r="D9" s="0" t="n">
        <f aca="false">SUM('Test table'!$K$5:$K$1517)</f>
        <v>189</v>
      </c>
      <c r="E9" s="0" t="n">
        <f aca="false">D9/C9</f>
        <v>0.12491738268341</v>
      </c>
      <c r="F9" s="0" t="n">
        <f aca="false">SUM('Test table'!$Y$5:$Y$1517)/D9</f>
        <v>0.238552174810603</v>
      </c>
      <c r="G9" s="0" t="n">
        <f aca="false">LARGE('Test table'!$P$5:$P$1517,25)</f>
        <v>0.259675</v>
      </c>
      <c r="H9" s="0" t="n">
        <f aca="false">SUM('Test table'!$AD$5:$AD$1517)/C9</f>
        <v>0.104514850046318</v>
      </c>
      <c r="I9" s="0" t="n">
        <f aca="false">AVERAGE('Test table'!$P$5:$P$1517)</f>
        <v>0.102358276933245</v>
      </c>
      <c r="J9" s="4" t="n">
        <v>0.238552</v>
      </c>
      <c r="K9" s="4" t="n">
        <v>0.104515</v>
      </c>
    </row>
    <row r="11" customFormat="false" ht="15" hidden="false" customHeight="false" outlineLevel="0" collapsed="false">
      <c r="A11" s="2" t="s">
        <v>159</v>
      </c>
    </row>
    <row r="12" customFormat="false" ht="28.35" hidden="false" customHeight="false" outlineLevel="0" collapsed="false">
      <c r="A12" s="7" t="s">
        <v>160</v>
      </c>
      <c r="B12" s="7" t="s">
        <v>161</v>
      </c>
      <c r="C12" s="7" t="s">
        <v>162</v>
      </c>
      <c r="D12" s="7" t="s">
        <v>163</v>
      </c>
      <c r="E12" s="7" t="s">
        <v>164</v>
      </c>
    </row>
    <row r="13" customFormat="false" ht="15" hidden="false" customHeight="false" outlineLevel="0" collapsed="false">
      <c r="A13" s="0" t="s">
        <v>165</v>
      </c>
      <c r="B13" s="4" t="n">
        <v>0.03</v>
      </c>
      <c r="C13" s="8" t="n">
        <f aca="false">ROUND(F7,6)-ROUND(F6,6)</f>
        <v>0.101899</v>
      </c>
      <c r="D13" s="0" t="str">
        <f aca="false">IF(ISNUMBER(B13),IF(C13&gt;=B13,"met, by construction (D-G02)","not met"),"reference, not a target")</f>
        <v>met, by construction (D-G02)</v>
      </c>
      <c r="E13" s="4" t="n">
        <v>0.101899</v>
      </c>
    </row>
    <row r="14" customFormat="false" ht="15" hidden="false" customHeight="false" outlineLevel="0" collapsed="false">
      <c r="A14" s="0" t="s">
        <v>166</v>
      </c>
      <c r="B14" s="4" t="n">
        <v>0.05</v>
      </c>
      <c r="C14" s="8" t="n">
        <f aca="false">ROUND(F7,6)-ROUND(F5,6)</f>
        <v>0.111759</v>
      </c>
      <c r="D14" s="0" t="str">
        <f aca="false">IF(ISNUMBER(B14),IF(C14&gt;=B14,"met, by construction (D-G02)","not met"),"reference, not a target")</f>
        <v>met, by construction (D-G02)</v>
      </c>
      <c r="E14" s="4" t="n">
        <v>0.111759</v>
      </c>
    </row>
    <row r="15" customFormat="false" ht="15" hidden="false" customHeight="false" outlineLevel="0" collapsed="false">
      <c r="A15" s="0" t="s">
        <v>167</v>
      </c>
      <c r="B15" s="4" t="n">
        <v>0.002</v>
      </c>
      <c r="C15" s="8" t="n">
        <f aca="false">ROUND(H6,6)-ROUND(H7,6)</f>
        <v>0.004236</v>
      </c>
      <c r="D15" s="0" t="str">
        <f aca="false">IF(ISNUMBER(B15),IF(C15&gt;=B15,"met, by construction (D-G02)","not met"),"reference, not a target")</f>
        <v>met, by construction (D-G02)</v>
      </c>
      <c r="E15" s="4" t="n">
        <v>0.004236</v>
      </c>
    </row>
    <row r="16" customFormat="false" ht="15" hidden="false" customHeight="false" outlineLevel="0" collapsed="false">
      <c r="A16" s="0" t="s">
        <v>168</v>
      </c>
      <c r="B16" s="4" t="n">
        <v>0.05</v>
      </c>
      <c r="C16" s="8" t="n">
        <f aca="false">ROUND(H5,6)-ROUND(H7,6)</f>
        <v>0.221524</v>
      </c>
      <c r="D16" s="0" t="str">
        <f aca="false">IF(ISNUMBER(B16),IF(C16&gt;=B16,"met, by construction (D-G02)","not met"),"reference, not a target")</f>
        <v>met, by construction (D-G02)</v>
      </c>
      <c r="E16" s="4" t="n">
        <v>0.221524</v>
      </c>
    </row>
    <row r="17" customFormat="false" ht="15" hidden="false" customHeight="false" outlineLevel="0" collapsed="false">
      <c r="A17" s="0" t="s">
        <v>169</v>
      </c>
      <c r="C17" s="0" t="n">
        <f aca="false">ROUND(F7,6)-ROUND(F8,6)</f>
        <v>0.113635</v>
      </c>
      <c r="D17" s="0" t="str">
        <f aca="false">IF(ISNUMBER(B17),IF(C17&gt;=B17,"met, by construction (D-G02)","not met"),"reference, not a target")</f>
        <v>reference, not a target</v>
      </c>
      <c r="E17" s="4" t="n">
        <v>0.113635</v>
      </c>
    </row>
    <row r="18" customFormat="false" ht="15" hidden="false" customHeight="false" outlineLevel="0" collapsed="false">
      <c r="A18" s="0" t="s">
        <v>170</v>
      </c>
      <c r="C18" s="0" t="n">
        <f aca="false">ROUND(H8,6)-ROUND(H7,6)</f>
        <v>0.004645</v>
      </c>
      <c r="D18" s="0" t="str">
        <f aca="false">IF(ISNUMBER(B18),IF(C18&gt;=B18,"met, by construction (D-G02)","not met"),"reference, not a target")</f>
        <v>reference, not a target</v>
      </c>
      <c r="E18" s="4" t="n">
        <v>0.004645</v>
      </c>
    </row>
    <row r="20" customFormat="false" ht="95.5" hidden="false" customHeight="false" outlineLevel="0" collapsed="false">
      <c r="A20" s="1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0" t="s">
        <v>173</v>
      </c>
    </row>
    <row r="3" customFormat="false" ht="15" hidden="false" customHeight="false" outlineLevel="0" collapsed="false">
      <c r="A3" s="2" t="s">
        <v>174</v>
      </c>
    </row>
    <row r="4" customFormat="false" ht="28.35" hidden="false" customHeight="false" outlineLevel="0" collapsed="false">
      <c r="A4" s="7" t="s">
        <v>175</v>
      </c>
      <c r="B4" s="7" t="s">
        <v>176</v>
      </c>
      <c r="C4" s="7" t="s">
        <v>177</v>
      </c>
      <c r="D4" s="7" t="s">
        <v>141</v>
      </c>
      <c r="E4" s="7" t="s">
        <v>142</v>
      </c>
      <c r="F4" s="7" t="s">
        <v>178</v>
      </c>
      <c r="G4" s="7" t="s">
        <v>179</v>
      </c>
      <c r="H4" s="7" t="s">
        <v>180</v>
      </c>
      <c r="I4" s="7" t="s">
        <v>181</v>
      </c>
      <c r="J4" s="7" t="s">
        <v>182</v>
      </c>
      <c r="K4" s="7" t="s">
        <v>183</v>
      </c>
      <c r="L4" s="7" t="s">
        <v>184</v>
      </c>
    </row>
    <row r="5" customFormat="false" ht="15" hidden="false" customHeight="false" outlineLevel="0" collapsed="false">
      <c r="A5" s="0" t="n">
        <v>0</v>
      </c>
      <c r="B5" s="4" t="n">
        <v>0</v>
      </c>
      <c r="C5" s="4" t="n">
        <v>0.1</v>
      </c>
      <c r="D5" s="8" t="n">
        <f aca="false">COUNTIF('Test table'!$AE$5:$AE$1517,A5)</f>
        <v>815</v>
      </c>
      <c r="E5" s="8" t="n">
        <f aca="false">COUNTIFS('Test table'!$AE$5:$AE$1517,A5,'Test table'!$K$5:$K$1517,1)</f>
        <v>56</v>
      </c>
      <c r="F5" s="8" t="n">
        <f aca="false">IF(D5=0,"",AVERAGEIFS('Test table'!$N$5:$N$1517,'Test table'!$AE$5:$AE$1517,A5))</f>
        <v>0.0566542895705521</v>
      </c>
      <c r="G5" s="8" t="n">
        <f aca="false">IF(D5=0,"",E5/D5)</f>
        <v>0.0687116564417178</v>
      </c>
      <c r="H5" s="8" t="n">
        <f aca="false">IF(D5=0,"",(F5-G5)*100)</f>
        <v>-1.20573668711657</v>
      </c>
      <c r="I5" s="4" t="n">
        <v>815</v>
      </c>
      <c r="J5" s="4" t="n">
        <v>-1.21</v>
      </c>
      <c r="K5" s="8" t="n">
        <f aca="false">ABS(D5-I5)</f>
        <v>0</v>
      </c>
      <c r="L5" s="8" t="n">
        <f aca="false">IF(D5=0,0,ABS(H5-J5))</f>
        <v>0.00426331288343462</v>
      </c>
    </row>
    <row r="6" customFormat="false" ht="15" hidden="false" customHeight="false" outlineLevel="0" collapsed="false">
      <c r="A6" s="0" t="n">
        <v>1</v>
      </c>
      <c r="B6" s="4" t="n">
        <v>0.1</v>
      </c>
      <c r="C6" s="4" t="n">
        <v>0.2</v>
      </c>
      <c r="D6" s="8" t="n">
        <f aca="false">COUNTIF('Test table'!$AE$5:$AE$1517,A6)</f>
        <v>640</v>
      </c>
      <c r="E6" s="8" t="n">
        <f aca="false">COUNTIFS('Test table'!$AE$5:$AE$1517,A6,'Test table'!$K$5:$K$1517,1)</f>
        <v>117</v>
      </c>
      <c r="F6" s="8" t="n">
        <f aca="false">IF(D6=0,"",AVERAGEIFS('Test table'!$N$5:$N$1517,'Test table'!$AE$5:$AE$1517,A6))</f>
        <v>0.133244765625</v>
      </c>
      <c r="G6" s="8" t="n">
        <f aca="false">IF(D6=0,"",E6/D6)</f>
        <v>0.1828125</v>
      </c>
      <c r="H6" s="8" t="n">
        <f aca="false">IF(D6=0,"",(F6-G6)*100)</f>
        <v>-4.9567734375</v>
      </c>
      <c r="I6" s="4" t="n">
        <v>640</v>
      </c>
      <c r="J6" s="4" t="n">
        <v>-4.96</v>
      </c>
      <c r="K6" s="8" t="n">
        <f aca="false">ABS(D6-I6)</f>
        <v>0</v>
      </c>
      <c r="L6" s="8" t="n">
        <f aca="false">IF(D6=0,0,ABS(H6-J6))</f>
        <v>0.00322656250000186</v>
      </c>
    </row>
    <row r="7" customFormat="false" ht="15" hidden="false" customHeight="false" outlineLevel="0" collapsed="false">
      <c r="A7" s="0" t="n">
        <v>2</v>
      </c>
      <c r="B7" s="4" t="n">
        <v>0.2</v>
      </c>
      <c r="C7" s="4" t="n">
        <v>0.3</v>
      </c>
      <c r="D7" s="8" t="n">
        <f aca="false">COUNTIF('Test table'!$AE$5:$AE$1517,A7)</f>
        <v>50</v>
      </c>
      <c r="E7" s="8" t="n">
        <f aca="false">COUNTIFS('Test table'!$AE$5:$AE$1517,A7,'Test table'!$K$5:$K$1517,1)</f>
        <v>15</v>
      </c>
      <c r="F7" s="8" t="n">
        <f aca="false">IF(D7=0,"",AVERAGEIFS('Test table'!$N$5:$N$1517,'Test table'!$AE$5:$AE$1517,A7))</f>
        <v>0.23010702</v>
      </c>
      <c r="G7" s="8" t="n">
        <f aca="false">IF(D7=0,"",E7/D7)</f>
        <v>0.3</v>
      </c>
      <c r="H7" s="8" t="n">
        <f aca="false">IF(D7=0,"",(F7-G7)*100)</f>
        <v>-6.989298</v>
      </c>
      <c r="I7" s="4" t="n">
        <v>50</v>
      </c>
      <c r="J7" s="4" t="n">
        <v>-6.99</v>
      </c>
      <c r="K7" s="8" t="n">
        <f aca="false">ABS(D7-I7)</f>
        <v>0</v>
      </c>
      <c r="L7" s="8" t="n">
        <f aca="false">IF(D7=0,0,ABS(H7-J7))</f>
        <v>0.000702000000000425</v>
      </c>
    </row>
    <row r="8" customFormat="false" ht="15" hidden="false" customHeight="false" outlineLevel="0" collapsed="false">
      <c r="A8" s="0" t="n">
        <v>3</v>
      </c>
      <c r="B8" s="4" t="n">
        <v>0.3</v>
      </c>
      <c r="C8" s="4" t="n">
        <v>0.4</v>
      </c>
      <c r="D8" s="8" t="n">
        <f aca="false">COUNTIF('Test table'!$AE$5:$AE$1517,A8)</f>
        <v>8</v>
      </c>
      <c r="E8" s="8" t="n">
        <f aca="false">COUNTIFS('Test table'!$AE$5:$AE$1517,A8,'Test table'!$K$5:$K$1517,1)</f>
        <v>1</v>
      </c>
      <c r="F8" s="8" t="n">
        <f aca="false">IF(D8=0,"",AVERAGEIFS('Test table'!$N$5:$N$1517,'Test table'!$AE$5:$AE$1517,A8))</f>
        <v>0.345991</v>
      </c>
      <c r="G8" s="8" t="n">
        <f aca="false">IF(D8=0,"",E8/D8)</f>
        <v>0.125</v>
      </c>
      <c r="H8" s="8" t="n">
        <f aca="false">IF(D8=0,"",(F8-G8)*100)</f>
        <v>22.0991</v>
      </c>
      <c r="I8" s="4" t="n">
        <v>8</v>
      </c>
      <c r="J8" s="4" t="n">
        <v>22.1</v>
      </c>
      <c r="K8" s="8" t="n">
        <f aca="false">ABS(D8-I8)</f>
        <v>0</v>
      </c>
      <c r="L8" s="8" t="n">
        <f aca="false">IF(D8=0,0,ABS(H8-J8))</f>
        <v>0.000900000000001455</v>
      </c>
    </row>
    <row r="9" customFormat="false" ht="15" hidden="false" customHeight="false" outlineLevel="0" collapsed="false">
      <c r="A9" s="0" t="n">
        <v>4</v>
      </c>
      <c r="B9" s="4" t="n">
        <v>0.4</v>
      </c>
      <c r="C9" s="4" t="n">
        <v>0.5</v>
      </c>
      <c r="D9" s="8" t="n">
        <f aca="false">COUNTIF('Test table'!$AE$5:$AE$1517,A9)</f>
        <v>0</v>
      </c>
      <c r="E9" s="8" t="n">
        <f aca="false">COUNTIFS('Test table'!$AE$5:$AE$1517,A9,'Test table'!$K$5:$K$1517,1)</f>
        <v>0</v>
      </c>
      <c r="F9" s="0" t="str">
        <f aca="false">IF(D9=0,"",AVERAGEIFS('Test table'!$N$5:$N$1517,'Test table'!$AE$5:$AE$1517,A9))</f>
        <v/>
      </c>
      <c r="G9" s="0" t="str">
        <f aca="false">IF(D9=0,"",E9/D9)</f>
        <v/>
      </c>
      <c r="H9" s="0" t="str">
        <f aca="false">IF(D9=0,"",(F9-G9)*100)</f>
        <v/>
      </c>
      <c r="I9" s="4" t="n">
        <v>0</v>
      </c>
      <c r="J9" s="4"/>
      <c r="K9" s="8" t="n">
        <f aca="false">ABS(D9-I9)</f>
        <v>0</v>
      </c>
      <c r="L9" s="8" t="n">
        <f aca="false">IF(D9=0,0,ABS(H9-J9))</f>
        <v>0</v>
      </c>
    </row>
    <row r="10" customFormat="false" ht="15" hidden="false" customHeight="false" outlineLevel="0" collapsed="false">
      <c r="A10" s="0" t="n">
        <v>5</v>
      </c>
      <c r="B10" s="4" t="n">
        <v>0.5</v>
      </c>
      <c r="C10" s="4" t="n">
        <v>0.6</v>
      </c>
      <c r="D10" s="8" t="n">
        <f aca="false">COUNTIF('Test table'!$AE$5:$AE$1517,A10)</f>
        <v>0</v>
      </c>
      <c r="E10" s="8" t="n">
        <f aca="false">COUNTIFS('Test table'!$AE$5:$AE$1517,A10,'Test table'!$K$5:$K$1517,1)</f>
        <v>0</v>
      </c>
      <c r="F10" s="0" t="str">
        <f aca="false">IF(D10=0,"",AVERAGEIFS('Test table'!$N$5:$N$1517,'Test table'!$AE$5:$AE$1517,A10))</f>
        <v/>
      </c>
      <c r="G10" s="0" t="str">
        <f aca="false">IF(D10=0,"",E10/D10)</f>
        <v/>
      </c>
      <c r="H10" s="0" t="str">
        <f aca="false">IF(D10=0,"",(F10-G10)*100)</f>
        <v/>
      </c>
      <c r="I10" s="4" t="n">
        <v>0</v>
      </c>
      <c r="J10" s="4"/>
      <c r="K10" s="8" t="n">
        <f aca="false">ABS(D10-I10)</f>
        <v>0</v>
      </c>
      <c r="L10" s="8" t="n">
        <f aca="false">IF(D10=0,0,ABS(H10-J10))</f>
        <v>0</v>
      </c>
    </row>
    <row r="11" customFormat="false" ht="15" hidden="false" customHeight="false" outlineLevel="0" collapsed="false">
      <c r="A11" s="0" t="n">
        <v>6</v>
      </c>
      <c r="B11" s="4" t="n">
        <v>0.6</v>
      </c>
      <c r="C11" s="4" t="n">
        <v>0.7</v>
      </c>
      <c r="D11" s="8" t="n">
        <f aca="false">COUNTIF('Test table'!$AE$5:$AE$1517,A11)</f>
        <v>0</v>
      </c>
      <c r="E11" s="8" t="n">
        <f aca="false">COUNTIFS('Test table'!$AE$5:$AE$1517,A11,'Test table'!$K$5:$K$1517,1)</f>
        <v>0</v>
      </c>
      <c r="F11" s="0" t="str">
        <f aca="false">IF(D11=0,"",AVERAGEIFS('Test table'!$N$5:$N$1517,'Test table'!$AE$5:$AE$1517,A11))</f>
        <v/>
      </c>
      <c r="G11" s="0" t="str">
        <f aca="false">IF(D11=0,"",E11/D11)</f>
        <v/>
      </c>
      <c r="H11" s="0" t="str">
        <f aca="false">IF(D11=0,"",(F11-G11)*100)</f>
        <v/>
      </c>
      <c r="I11" s="4" t="n">
        <v>0</v>
      </c>
      <c r="J11" s="4"/>
      <c r="K11" s="8" t="n">
        <f aca="false">ABS(D11-I11)</f>
        <v>0</v>
      </c>
      <c r="L11" s="8" t="n">
        <f aca="false">IF(D11=0,0,ABS(H11-J11))</f>
        <v>0</v>
      </c>
    </row>
    <row r="12" customFormat="false" ht="15" hidden="false" customHeight="false" outlineLevel="0" collapsed="false">
      <c r="A12" s="0" t="n">
        <v>7</v>
      </c>
      <c r="B12" s="4" t="n">
        <v>0.7</v>
      </c>
      <c r="C12" s="4" t="n">
        <v>0.8</v>
      </c>
      <c r="D12" s="8" t="n">
        <f aca="false">COUNTIF('Test table'!$AE$5:$AE$1517,A12)</f>
        <v>0</v>
      </c>
      <c r="E12" s="8" t="n">
        <f aca="false">COUNTIFS('Test table'!$AE$5:$AE$1517,A12,'Test table'!$K$5:$K$1517,1)</f>
        <v>0</v>
      </c>
      <c r="F12" s="0" t="str">
        <f aca="false">IF(D12=0,"",AVERAGEIFS('Test table'!$N$5:$N$1517,'Test table'!$AE$5:$AE$1517,A12))</f>
        <v/>
      </c>
      <c r="G12" s="0" t="str">
        <f aca="false">IF(D12=0,"",E12/D12)</f>
        <v/>
      </c>
      <c r="H12" s="0" t="str">
        <f aca="false">IF(D12=0,"",(F12-G12)*100)</f>
        <v/>
      </c>
      <c r="I12" s="4" t="n">
        <v>0</v>
      </c>
      <c r="J12" s="4"/>
      <c r="K12" s="8" t="n">
        <f aca="false">ABS(D12-I12)</f>
        <v>0</v>
      </c>
      <c r="L12" s="8" t="n">
        <f aca="false">IF(D12=0,0,ABS(H12-J12))</f>
        <v>0</v>
      </c>
    </row>
    <row r="13" customFormat="false" ht="15" hidden="false" customHeight="false" outlineLevel="0" collapsed="false">
      <c r="A13" s="0" t="n">
        <v>8</v>
      </c>
      <c r="B13" s="4" t="n">
        <v>0.8</v>
      </c>
      <c r="C13" s="4" t="n">
        <v>0.9</v>
      </c>
      <c r="D13" s="8" t="n">
        <f aca="false">COUNTIF('Test table'!$AE$5:$AE$1517,A13)</f>
        <v>0</v>
      </c>
      <c r="E13" s="8" t="n">
        <f aca="false">COUNTIFS('Test table'!$AE$5:$AE$1517,A13,'Test table'!$K$5:$K$1517,1)</f>
        <v>0</v>
      </c>
      <c r="F13" s="0" t="str">
        <f aca="false">IF(D13=0,"",AVERAGEIFS('Test table'!$N$5:$N$1517,'Test table'!$AE$5:$AE$1517,A13))</f>
        <v/>
      </c>
      <c r="G13" s="0" t="str">
        <f aca="false">IF(D13=0,"",E13/D13)</f>
        <v/>
      </c>
      <c r="H13" s="0" t="str">
        <f aca="false">IF(D13=0,"",(F13-G13)*100)</f>
        <v/>
      </c>
      <c r="I13" s="4" t="n">
        <v>0</v>
      </c>
      <c r="J13" s="4"/>
      <c r="K13" s="8" t="n">
        <f aca="false">ABS(D13-I13)</f>
        <v>0</v>
      </c>
      <c r="L13" s="8" t="n">
        <f aca="false">IF(D13=0,0,ABS(H13-J13))</f>
        <v>0</v>
      </c>
    </row>
    <row r="14" customFormat="false" ht="15" hidden="false" customHeight="false" outlineLevel="0" collapsed="false">
      <c r="A14" s="0" t="n">
        <v>9</v>
      </c>
      <c r="B14" s="4" t="n">
        <v>0.9</v>
      </c>
      <c r="C14" s="4" t="n">
        <v>1</v>
      </c>
      <c r="D14" s="8" t="n">
        <f aca="false">COUNTIF('Test table'!$AE$5:$AE$1517,A14)</f>
        <v>0</v>
      </c>
      <c r="E14" s="8" t="n">
        <f aca="false">COUNTIFS('Test table'!$AE$5:$AE$1517,A14,'Test table'!$K$5:$K$1517,1)</f>
        <v>0</v>
      </c>
      <c r="F14" s="0" t="str">
        <f aca="false">IF(D14=0,"",AVERAGEIFS('Test table'!$N$5:$N$1517,'Test table'!$AE$5:$AE$1517,A14))</f>
        <v/>
      </c>
      <c r="G14" s="0" t="str">
        <f aca="false">IF(D14=0,"",E14/D14)</f>
        <v/>
      </c>
      <c r="H14" s="0" t="str">
        <f aca="false">IF(D14=0,"",(F14-G14)*100)</f>
        <v/>
      </c>
      <c r="I14" s="4" t="n">
        <v>0</v>
      </c>
      <c r="J14" s="4"/>
      <c r="K14" s="8" t="n">
        <f aca="false">ABS(D14-I14)</f>
        <v>0</v>
      </c>
      <c r="L14" s="8" t="n">
        <f aca="false">IF(D14=0,0,ABS(H14-J14))</f>
        <v>0</v>
      </c>
    </row>
    <row r="17" customFormat="false" ht="15" hidden="false" customHeight="false" outlineLevel="0" collapsed="false">
      <c r="A17" s="2" t="s">
        <v>185</v>
      </c>
    </row>
    <row r="18" customFormat="false" ht="28.35" hidden="false" customHeight="false" outlineLevel="0" collapsed="false">
      <c r="A18" s="7" t="s">
        <v>175</v>
      </c>
      <c r="B18" s="7" t="s">
        <v>176</v>
      </c>
      <c r="C18" s="7" t="s">
        <v>177</v>
      </c>
      <c r="D18" s="7" t="s">
        <v>141</v>
      </c>
      <c r="E18" s="7" t="s">
        <v>142</v>
      </c>
      <c r="F18" s="7" t="s">
        <v>178</v>
      </c>
      <c r="G18" s="7" t="s">
        <v>179</v>
      </c>
      <c r="H18" s="7" t="s">
        <v>180</v>
      </c>
      <c r="I18" s="7" t="s">
        <v>181</v>
      </c>
      <c r="J18" s="7" t="s">
        <v>182</v>
      </c>
      <c r="K18" s="7" t="s">
        <v>183</v>
      </c>
      <c r="L18" s="7" t="s">
        <v>184</v>
      </c>
    </row>
    <row r="19" customFormat="false" ht="15" hidden="false" customHeight="false" outlineLevel="0" collapsed="false">
      <c r="A19" s="0" t="n">
        <v>0</v>
      </c>
      <c r="B19" s="4" t="n">
        <v>0</v>
      </c>
      <c r="C19" s="4" t="n">
        <v>0.1</v>
      </c>
      <c r="D19" s="8" t="n">
        <f aca="false">COUNTIF('Test table'!$AF$5:$AF$1517,A19)</f>
        <v>778</v>
      </c>
      <c r="E19" s="8" t="n">
        <f aca="false">COUNTIFS('Test table'!$AF$5:$AF$1517,A19,'Test table'!$K$5:$K$1517,1)</f>
        <v>51</v>
      </c>
      <c r="F19" s="8" t="n">
        <f aca="false">IF(D19=0,"",AVERAGEIFS('Test table'!$P$5:$P$1517,'Test table'!$AF$5:$AF$1517,A19))</f>
        <v>0.0567200951156812</v>
      </c>
      <c r="G19" s="8" t="n">
        <f aca="false">IF(D19=0,"",E19/D19)</f>
        <v>0.0655526992287918</v>
      </c>
      <c r="H19" s="8" t="n">
        <f aca="false">IF(D19=0,"",(F19-G19)*100)</f>
        <v>-0.883260411311054</v>
      </c>
      <c r="I19" s="4" t="n">
        <v>778</v>
      </c>
      <c r="J19" s="4" t="n">
        <v>-0.88</v>
      </c>
      <c r="K19" s="8" t="n">
        <f aca="false">ABS(D19-I19)</f>
        <v>0</v>
      </c>
      <c r="L19" s="8" t="n">
        <f aca="false">IF(D19=0,0,ABS(H19-J19))</f>
        <v>0.00326041131105359</v>
      </c>
    </row>
    <row r="20" customFormat="false" ht="15" hidden="false" customHeight="false" outlineLevel="0" collapsed="false">
      <c r="A20" s="0" t="n">
        <v>1</v>
      </c>
      <c r="B20" s="4" t="n">
        <v>0.1</v>
      </c>
      <c r="C20" s="4" t="n">
        <v>0.2</v>
      </c>
      <c r="D20" s="8" t="n">
        <f aca="false">COUNTIF('Test table'!$AF$5:$AF$1517,A20)</f>
        <v>653</v>
      </c>
      <c r="E20" s="8" t="n">
        <f aca="false">COUNTIFS('Test table'!$AF$5:$AF$1517,A20,'Test table'!$K$5:$K$1517,1)</f>
        <v>113</v>
      </c>
      <c r="F20" s="8" t="n">
        <f aca="false">IF(D20=0,"",AVERAGEIFS('Test table'!$P$5:$P$1517,'Test table'!$AF$5:$AF$1517,A20))</f>
        <v>0.138021408882083</v>
      </c>
      <c r="G20" s="8" t="n">
        <f aca="false">IF(D20=0,"",E20/D20)</f>
        <v>0.173047473200613</v>
      </c>
      <c r="H20" s="8" t="n">
        <f aca="false">IF(D20=0,"",(F20-G20)*100)</f>
        <v>-3.50260643185299</v>
      </c>
      <c r="I20" s="4" t="n">
        <v>653</v>
      </c>
      <c r="J20" s="4" t="n">
        <v>-3.5</v>
      </c>
      <c r="K20" s="8" t="n">
        <f aca="false">ABS(D20-I20)</f>
        <v>0</v>
      </c>
      <c r="L20" s="8" t="n">
        <f aca="false">IF(D20=0,0,ABS(H20-J20))</f>
        <v>0.00260643185298637</v>
      </c>
    </row>
    <row r="21" customFormat="false" ht="15" hidden="false" customHeight="false" outlineLevel="0" collapsed="false">
      <c r="A21" s="0" t="n">
        <v>2</v>
      </c>
      <c r="B21" s="4" t="n">
        <v>0.2</v>
      </c>
      <c r="C21" s="4" t="n">
        <v>0.3</v>
      </c>
      <c r="D21" s="8" t="n">
        <f aca="false">COUNTIF('Test table'!$AF$5:$AF$1517,A21)</f>
        <v>72</v>
      </c>
      <c r="E21" s="8" t="n">
        <f aca="false">COUNTIFS('Test table'!$AF$5:$AF$1517,A21,'Test table'!$K$5:$K$1517,1)</f>
        <v>23</v>
      </c>
      <c r="F21" s="8" t="n">
        <f aca="false">IF(D21=0,"",AVERAGEIFS('Test table'!$P$5:$P$1517,'Test table'!$AF$5:$AF$1517,A21))</f>
        <v>0.235707430555556</v>
      </c>
      <c r="G21" s="8" t="n">
        <f aca="false">IF(D21=0,"",E21/D21)</f>
        <v>0.319444444444444</v>
      </c>
      <c r="H21" s="8" t="n">
        <f aca="false">IF(D21=0,"",(F21-G21)*100)</f>
        <v>-8.37370138888888</v>
      </c>
      <c r="I21" s="4" t="n">
        <v>72</v>
      </c>
      <c r="J21" s="4" t="n">
        <v>-8.37</v>
      </c>
      <c r="K21" s="8" t="n">
        <f aca="false">ABS(D21-I21)</f>
        <v>0</v>
      </c>
      <c r="L21" s="8" t="n">
        <f aca="false">IF(D21=0,0,ABS(H21-J21))</f>
        <v>0.00370138888888505</v>
      </c>
    </row>
    <row r="22" customFormat="false" ht="15" hidden="false" customHeight="false" outlineLevel="0" collapsed="false">
      <c r="A22" s="0" t="n">
        <v>3</v>
      </c>
      <c r="B22" s="4" t="n">
        <v>0.3</v>
      </c>
      <c r="C22" s="4" t="n">
        <v>0.4</v>
      </c>
      <c r="D22" s="8" t="n">
        <f aca="false">COUNTIF('Test table'!$AF$5:$AF$1517,A22)</f>
        <v>7</v>
      </c>
      <c r="E22" s="8" t="n">
        <f aca="false">COUNTIFS('Test table'!$AF$5:$AF$1517,A22,'Test table'!$K$5:$K$1517,1)</f>
        <v>2</v>
      </c>
      <c r="F22" s="8" t="n">
        <f aca="false">IF(D22=0,"",AVERAGEIFS('Test table'!$P$5:$P$1517,'Test table'!$AF$5:$AF$1517,A22))</f>
        <v>0.340665</v>
      </c>
      <c r="G22" s="8" t="n">
        <f aca="false">IF(D22=0,"",E22/D22)</f>
        <v>0.285714285714286</v>
      </c>
      <c r="H22" s="8" t="n">
        <f aca="false">IF(D22=0,"",(F22-G22)*100)</f>
        <v>5.49507142857143</v>
      </c>
      <c r="I22" s="4" t="n">
        <v>7</v>
      </c>
      <c r="J22" s="4" t="n">
        <v>5.5</v>
      </c>
      <c r="K22" s="8" t="n">
        <f aca="false">ABS(D22-I22)</f>
        <v>0</v>
      </c>
      <c r="L22" s="8" t="n">
        <f aca="false">IF(D22=0,0,ABS(H22-J22))</f>
        <v>0.00492857142856984</v>
      </c>
    </row>
    <row r="23" customFormat="false" ht="15" hidden="false" customHeight="false" outlineLevel="0" collapsed="false">
      <c r="A23" s="0" t="n">
        <v>4</v>
      </c>
      <c r="B23" s="4" t="n">
        <v>0.4</v>
      </c>
      <c r="C23" s="4" t="n">
        <v>0.5</v>
      </c>
      <c r="D23" s="8" t="n">
        <f aca="false">COUNTIF('Test table'!$AF$5:$AF$1517,A23)</f>
        <v>3</v>
      </c>
      <c r="E23" s="8" t="n">
        <f aca="false">COUNTIFS('Test table'!$AF$5:$AF$1517,A23,'Test table'!$K$5:$K$1517,1)</f>
        <v>0</v>
      </c>
      <c r="F23" s="8" t="n">
        <f aca="false">IF(D23=0,"",AVERAGEIFS('Test table'!$P$5:$P$1517,'Test table'!$AF$5:$AF$1517,A23))</f>
        <v>0.418756333333333</v>
      </c>
      <c r="G23" s="8" t="n">
        <f aca="false">IF(D23=0,"",E23/D23)</f>
        <v>0</v>
      </c>
      <c r="H23" s="8" t="n">
        <f aca="false">IF(D23=0,"",(F23-G23)*100)</f>
        <v>41.8756333333333</v>
      </c>
      <c r="I23" s="4" t="n">
        <v>3</v>
      </c>
      <c r="J23" s="4" t="n">
        <v>41.88</v>
      </c>
      <c r="K23" s="8" t="n">
        <f aca="false">ABS(D23-I23)</f>
        <v>0</v>
      </c>
      <c r="L23" s="8" t="n">
        <f aca="false">IF(D23=0,0,ABS(H23-J23))</f>
        <v>0.00436666666666952</v>
      </c>
    </row>
    <row r="24" customFormat="false" ht="15" hidden="false" customHeight="false" outlineLevel="0" collapsed="false">
      <c r="A24" s="0" t="n">
        <v>5</v>
      </c>
      <c r="B24" s="4" t="n">
        <v>0.5</v>
      </c>
      <c r="C24" s="4" t="n">
        <v>0.6</v>
      </c>
      <c r="D24" s="8" t="n">
        <f aca="false">COUNTIF('Test table'!$AF$5:$AF$1517,A24)</f>
        <v>0</v>
      </c>
      <c r="E24" s="8" t="n">
        <f aca="false">COUNTIFS('Test table'!$AF$5:$AF$1517,A24,'Test table'!$K$5:$K$1517,1)</f>
        <v>0</v>
      </c>
      <c r="F24" s="0" t="str">
        <f aca="false">IF(D24=0,"",AVERAGEIFS('Test table'!$P$5:$P$1517,'Test table'!$AF$5:$AF$1517,A24))</f>
        <v/>
      </c>
      <c r="G24" s="0" t="str">
        <f aca="false">IF(D24=0,"",E24/D24)</f>
        <v/>
      </c>
      <c r="H24" s="0" t="str">
        <f aca="false">IF(D24=0,"",(F24-G24)*100)</f>
        <v/>
      </c>
      <c r="I24" s="4" t="n">
        <v>0</v>
      </c>
      <c r="J24" s="4"/>
      <c r="K24" s="8" t="n">
        <f aca="false">ABS(D24-I24)</f>
        <v>0</v>
      </c>
      <c r="L24" s="8" t="n">
        <f aca="false">IF(D24=0,0,ABS(H24-J24))</f>
        <v>0</v>
      </c>
    </row>
    <row r="25" customFormat="false" ht="15" hidden="false" customHeight="false" outlineLevel="0" collapsed="false">
      <c r="A25" s="0" t="n">
        <v>6</v>
      </c>
      <c r="B25" s="4" t="n">
        <v>0.6</v>
      </c>
      <c r="C25" s="4" t="n">
        <v>0.7</v>
      </c>
      <c r="D25" s="8" t="n">
        <f aca="false">COUNTIF('Test table'!$AF$5:$AF$1517,A25)</f>
        <v>0</v>
      </c>
      <c r="E25" s="8" t="n">
        <f aca="false">COUNTIFS('Test table'!$AF$5:$AF$1517,A25,'Test table'!$K$5:$K$1517,1)</f>
        <v>0</v>
      </c>
      <c r="F25" s="0" t="str">
        <f aca="false">IF(D25=0,"",AVERAGEIFS('Test table'!$P$5:$P$1517,'Test table'!$AF$5:$AF$1517,A25))</f>
        <v/>
      </c>
      <c r="G25" s="0" t="str">
        <f aca="false">IF(D25=0,"",E25/D25)</f>
        <v/>
      </c>
      <c r="H25" s="0" t="str">
        <f aca="false">IF(D25=0,"",(F25-G25)*100)</f>
        <v/>
      </c>
      <c r="I25" s="4" t="n">
        <v>0</v>
      </c>
      <c r="J25" s="4"/>
      <c r="K25" s="8" t="n">
        <f aca="false">ABS(D25-I25)</f>
        <v>0</v>
      </c>
      <c r="L25" s="8" t="n">
        <f aca="false">IF(D25=0,0,ABS(H25-J25))</f>
        <v>0</v>
      </c>
    </row>
    <row r="26" customFormat="false" ht="15" hidden="false" customHeight="false" outlineLevel="0" collapsed="false">
      <c r="A26" s="0" t="n">
        <v>7</v>
      </c>
      <c r="B26" s="4" t="n">
        <v>0.7</v>
      </c>
      <c r="C26" s="4" t="n">
        <v>0.8</v>
      </c>
      <c r="D26" s="8" t="n">
        <f aca="false">COUNTIF('Test table'!$AF$5:$AF$1517,A26)</f>
        <v>0</v>
      </c>
      <c r="E26" s="8" t="n">
        <f aca="false">COUNTIFS('Test table'!$AF$5:$AF$1517,A26,'Test table'!$K$5:$K$1517,1)</f>
        <v>0</v>
      </c>
      <c r="F26" s="0" t="str">
        <f aca="false">IF(D26=0,"",AVERAGEIFS('Test table'!$P$5:$P$1517,'Test table'!$AF$5:$AF$1517,A26))</f>
        <v/>
      </c>
      <c r="G26" s="0" t="str">
        <f aca="false">IF(D26=0,"",E26/D26)</f>
        <v/>
      </c>
      <c r="H26" s="0" t="str">
        <f aca="false">IF(D26=0,"",(F26-G26)*100)</f>
        <v/>
      </c>
      <c r="I26" s="4" t="n">
        <v>0</v>
      </c>
      <c r="J26" s="4"/>
      <c r="K26" s="8" t="n">
        <f aca="false">ABS(D26-I26)</f>
        <v>0</v>
      </c>
      <c r="L26" s="8" t="n">
        <f aca="false">IF(D26=0,0,ABS(H26-J26))</f>
        <v>0</v>
      </c>
    </row>
    <row r="27" customFormat="false" ht="15" hidden="false" customHeight="false" outlineLevel="0" collapsed="false">
      <c r="A27" s="0" t="n">
        <v>8</v>
      </c>
      <c r="B27" s="4" t="n">
        <v>0.8</v>
      </c>
      <c r="C27" s="4" t="n">
        <v>0.9</v>
      </c>
      <c r="D27" s="8" t="n">
        <f aca="false">COUNTIF('Test table'!$AF$5:$AF$1517,A27)</f>
        <v>0</v>
      </c>
      <c r="E27" s="8" t="n">
        <f aca="false">COUNTIFS('Test table'!$AF$5:$AF$1517,A27,'Test table'!$K$5:$K$1517,1)</f>
        <v>0</v>
      </c>
      <c r="F27" s="0" t="str">
        <f aca="false">IF(D27=0,"",AVERAGEIFS('Test table'!$P$5:$P$1517,'Test table'!$AF$5:$AF$1517,A27))</f>
        <v/>
      </c>
      <c r="G27" s="0" t="str">
        <f aca="false">IF(D27=0,"",E27/D27)</f>
        <v/>
      </c>
      <c r="H27" s="0" t="str">
        <f aca="false">IF(D27=0,"",(F27-G27)*100)</f>
        <v/>
      </c>
      <c r="I27" s="4" t="n">
        <v>0</v>
      </c>
      <c r="J27" s="4"/>
      <c r="K27" s="8" t="n">
        <f aca="false">ABS(D27-I27)</f>
        <v>0</v>
      </c>
      <c r="L27" s="8" t="n">
        <f aca="false">IF(D27=0,0,ABS(H27-J27))</f>
        <v>0</v>
      </c>
    </row>
    <row r="28" customFormat="false" ht="15" hidden="false" customHeight="false" outlineLevel="0" collapsed="false">
      <c r="A28" s="0" t="n">
        <v>9</v>
      </c>
      <c r="B28" s="4" t="n">
        <v>0.9</v>
      </c>
      <c r="C28" s="4" t="n">
        <v>1</v>
      </c>
      <c r="D28" s="8" t="n">
        <f aca="false">COUNTIF('Test table'!$AF$5:$AF$1517,A28)</f>
        <v>0</v>
      </c>
      <c r="E28" s="8" t="n">
        <f aca="false">COUNTIFS('Test table'!$AF$5:$AF$1517,A28,'Test table'!$K$5:$K$1517,1)</f>
        <v>0</v>
      </c>
      <c r="F28" s="0" t="str">
        <f aca="false">IF(D28=0,"",AVERAGEIFS('Test table'!$P$5:$P$1517,'Test table'!$AF$5:$AF$1517,A28))</f>
        <v/>
      </c>
      <c r="G28" s="0" t="str">
        <f aca="false">IF(D28=0,"",E28/D28)</f>
        <v/>
      </c>
      <c r="H28" s="0" t="str">
        <f aca="false">IF(D28=0,"",(F28-G28)*100)</f>
        <v/>
      </c>
      <c r="I28" s="4" t="n">
        <v>0</v>
      </c>
      <c r="J28" s="4"/>
      <c r="K28" s="8" t="n">
        <f aca="false">ABS(D28-I28)</f>
        <v>0</v>
      </c>
      <c r="L28" s="8" t="n">
        <f aca="false">IF(D28=0,0,ABS(H28-J28))</f>
        <v>0</v>
      </c>
    </row>
    <row r="34" customFormat="false" ht="15" hidden="false" customHeight="false" outlineLevel="0" collapsed="false">
      <c r="A34" s="2" t="s">
        <v>186</v>
      </c>
    </row>
    <row r="35" customFormat="false" ht="55.2" hidden="false" customHeight="false" outlineLevel="0" collapsed="false">
      <c r="A35" s="7" t="s">
        <v>187</v>
      </c>
      <c r="B35" s="7" t="s">
        <v>37</v>
      </c>
      <c r="C35" s="7" t="s">
        <v>188</v>
      </c>
    </row>
    <row r="36" customFormat="false" ht="15" hidden="false" customHeight="false" outlineLevel="0" collapsed="false">
      <c r="A36" s="0" t="s">
        <v>189</v>
      </c>
      <c r="B36" s="0" t="n">
        <f aca="false">Models!H9</f>
        <v>0.104514850046318</v>
      </c>
      <c r="C36" s="4" t="n">
        <v>0.104515</v>
      </c>
    </row>
    <row r="37" customFormat="false" ht="15" hidden="false" customHeight="false" outlineLevel="0" collapsed="false">
      <c r="A37" s="0" t="s">
        <v>190</v>
      </c>
      <c r="B37" s="0" t="n">
        <f aca="false">Models!H7</f>
        <v>0.10501911049411</v>
      </c>
      <c r="C37" s="4" t="n">
        <v>0.105019</v>
      </c>
    </row>
    <row r="38" customFormat="false" ht="15" hidden="false" customHeight="false" outlineLevel="0" collapsed="false">
      <c r="A38" s="0" t="s">
        <v>191</v>
      </c>
      <c r="B38" s="0" t="n">
        <f aca="false">ROUND(Models!H7,6)-ROUND(Models!H9,6)</f>
        <v>0.000504000000000004</v>
      </c>
      <c r="C38" s="4" t="n">
        <v>0.000504</v>
      </c>
    </row>
    <row r="39" customFormat="false" ht="15" hidden="false" customHeight="false" outlineLevel="0" collapsed="false">
      <c r="A39" s="0" t="s">
        <v>192</v>
      </c>
      <c r="B39" s="0" t="n">
        <f aca="false">(Models!I9-Models!E7)*100</f>
        <v>-2.25591057501652</v>
      </c>
      <c r="C39" s="4" t="n">
        <v>-2.26</v>
      </c>
    </row>
    <row r="40" customFormat="false" ht="15" hidden="false" customHeight="false" outlineLevel="0" collapsed="false">
      <c r="A40" s="0" t="s">
        <v>193</v>
      </c>
      <c r="B40" s="0" t="n">
        <f aca="false">(Models!I7-Models!E7)*100</f>
        <v>-2.86033212161269</v>
      </c>
      <c r="C40" s="4" t="n">
        <v>-2.86</v>
      </c>
    </row>
    <row r="41" customFormat="false" ht="15" hidden="false" customHeight="false" outlineLevel="0" collapsed="false">
      <c r="A41" s="0" t="s">
        <v>194</v>
      </c>
      <c r="B41" s="6" t="b">
        <f aca="false">ROUND(Models!H7,6)&gt;ROUND(Models!H9,6)</f>
        <v>1</v>
      </c>
      <c r="C41" s="9" t="b">
        <f aca="false">TRUE()</f>
        <v>1</v>
      </c>
    </row>
    <row r="43" customFormat="false" ht="68.65" hidden="false" customHeight="false" outlineLevel="0" collapsed="false">
      <c r="A43" s="10" t="s">
        <v>195</v>
      </c>
    </row>
    <row r="46" customFormat="false" ht="15" hidden="false" customHeight="false" outlineLevel="0" collapsed="false">
      <c r="A46" s="2" t="s">
        <v>196</v>
      </c>
    </row>
    <row r="47" customFormat="false" ht="28.35" hidden="false" customHeight="false" outlineLevel="0" collapsed="false">
      <c r="A47" s="7" t="s">
        <v>197</v>
      </c>
      <c r="B47" s="7" t="s">
        <v>198</v>
      </c>
      <c r="C47" s="7" t="s">
        <v>141</v>
      </c>
      <c r="D47" s="7" t="s">
        <v>142</v>
      </c>
      <c r="E47" s="7" t="s">
        <v>178</v>
      </c>
      <c r="F47" s="7" t="s">
        <v>179</v>
      </c>
      <c r="G47" s="7" t="s">
        <v>180</v>
      </c>
      <c r="H47" s="7" t="s">
        <v>182</v>
      </c>
      <c r="I47" s="7" t="s">
        <v>199</v>
      </c>
    </row>
    <row r="48" customFormat="false" ht="15" hidden="false" customHeight="false" outlineLevel="0" collapsed="false">
      <c r="A48" s="0" t="s">
        <v>200</v>
      </c>
      <c r="B48" s="0" t="s">
        <v>201</v>
      </c>
      <c r="C48" s="0" t="n">
        <f aca="false">COUNTIF('Test table'!$E$5:$E$1517,B48)</f>
        <v>213</v>
      </c>
      <c r="D48" s="0" t="n">
        <f aca="false">COUNTIFS('Test table'!$E$5:$E$1517,B48,'Test table'!$K$5:$K$1517,1)</f>
        <v>11</v>
      </c>
      <c r="E48" s="0" t="n">
        <f aca="false">AVERAGEIFS('Test table'!$N$5:$N$1517,'Test table'!$E$5:$E$1517,B48)</f>
        <v>0.038806661971831</v>
      </c>
      <c r="F48" s="0" t="n">
        <f aca="false">D48/C48</f>
        <v>0.0516431924882629</v>
      </c>
      <c r="G48" s="0" t="n">
        <f aca="false">(E48-F48)*100</f>
        <v>-1.28365305164319</v>
      </c>
      <c r="H48" s="4" t="n">
        <v>-1.28</v>
      </c>
      <c r="I48" s="8" t="n">
        <f aca="false">ABS(G48-H48)</f>
        <v>0.0036530516431923</v>
      </c>
    </row>
    <row r="49" customFormat="false" ht="15" hidden="false" customHeight="false" outlineLevel="0" collapsed="false">
      <c r="A49" s="0" t="s">
        <v>200</v>
      </c>
      <c r="B49" s="0" t="s">
        <v>202</v>
      </c>
      <c r="C49" s="0" t="n">
        <f aca="false">COUNTIF('Test table'!$E$5:$E$1517,B49)</f>
        <v>380</v>
      </c>
      <c r="D49" s="0" t="n">
        <f aca="false">COUNTIFS('Test table'!$E$5:$E$1517,B49,'Test table'!$K$5:$K$1517,1)</f>
        <v>34</v>
      </c>
      <c r="E49" s="0" t="n">
        <f aca="false">AVERAGEIFS('Test table'!$N$5:$N$1517,'Test table'!$E$5:$E$1517,B49)</f>
        <v>0.0695372236842105</v>
      </c>
      <c r="F49" s="0" t="n">
        <f aca="false">D49/C49</f>
        <v>0.0894736842105263</v>
      </c>
      <c r="G49" s="0" t="n">
        <f aca="false">(E49-F49)*100</f>
        <v>-1.99364605263158</v>
      </c>
      <c r="H49" s="4" t="n">
        <v>-1.99</v>
      </c>
      <c r="I49" s="8" t="n">
        <f aca="false">ABS(G49-H49)</f>
        <v>0.00364605263157869</v>
      </c>
    </row>
    <row r="50" customFormat="false" ht="15" hidden="false" customHeight="false" outlineLevel="0" collapsed="false">
      <c r="A50" s="0" t="s">
        <v>200</v>
      </c>
      <c r="B50" s="0" t="s">
        <v>203</v>
      </c>
      <c r="C50" s="0" t="n">
        <f aca="false">COUNTIF('Test table'!$E$5:$E$1517,B50)</f>
        <v>498</v>
      </c>
      <c r="D50" s="0" t="n">
        <f aca="false">COUNTIFS('Test table'!$E$5:$E$1517,B50,'Test table'!$K$5:$K$1517,1)</f>
        <v>52</v>
      </c>
      <c r="E50" s="0" t="n">
        <f aca="false">AVERAGEIFS('Test table'!$N$5:$N$1517,'Test table'!$E$5:$E$1517,B50)</f>
        <v>0.106581130522088</v>
      </c>
      <c r="F50" s="0" t="n">
        <f aca="false">D50/C50</f>
        <v>0.104417670682731</v>
      </c>
      <c r="G50" s="0" t="n">
        <f aca="false">(E50-F50)*100</f>
        <v>0.216345983935742</v>
      </c>
      <c r="H50" s="4" t="n">
        <v>0.22</v>
      </c>
      <c r="I50" s="8" t="n">
        <f aca="false">ABS(G50-H50)</f>
        <v>0.00365401606425766</v>
      </c>
    </row>
    <row r="51" customFormat="false" ht="15" hidden="false" customHeight="false" outlineLevel="0" collapsed="false">
      <c r="A51" s="0" t="s">
        <v>200</v>
      </c>
      <c r="B51" s="0" t="s">
        <v>204</v>
      </c>
      <c r="C51" s="0" t="n">
        <f aca="false">COUNTIF('Test table'!$E$5:$E$1517,B51)</f>
        <v>422</v>
      </c>
      <c r="D51" s="0" t="n">
        <f aca="false">COUNTIFS('Test table'!$E$5:$E$1517,B51,'Test table'!$K$5:$K$1517,1)</f>
        <v>92</v>
      </c>
      <c r="E51" s="0" t="n">
        <f aca="false">AVERAGEIFS('Test table'!$N$5:$N$1517,'Test table'!$E$5:$E$1517,B51)</f>
        <v>0.137336037914692</v>
      </c>
      <c r="F51" s="0" t="n">
        <f aca="false">D51/C51</f>
        <v>0.218009478672986</v>
      </c>
      <c r="G51" s="0" t="n">
        <f aca="false">(E51-F51)*100</f>
        <v>-8.06734407582939</v>
      </c>
      <c r="H51" s="4" t="n">
        <v>-8.07</v>
      </c>
      <c r="I51" s="8" t="n">
        <f aca="false">ABS(G51-H51)</f>
        <v>0.00265592417061455</v>
      </c>
    </row>
    <row r="52" customFormat="false" ht="15" hidden="false" customHeight="false" outlineLevel="0" collapsed="false">
      <c r="A52" s="0" t="s">
        <v>205</v>
      </c>
      <c r="B52" s="0" t="s">
        <v>206</v>
      </c>
      <c r="C52" s="0" t="n">
        <f aca="false">COUNTIF('Test table'!$F$5:$F$1517,B52)</f>
        <v>597</v>
      </c>
      <c r="D52" s="0" t="n">
        <f aca="false">COUNTIFS('Test table'!$F$5:$F$1517,B52,'Test table'!$K$5:$K$1517,1)</f>
        <v>58</v>
      </c>
      <c r="E52" s="0" t="n">
        <f aca="false">AVERAGEIFS('Test table'!$N$5:$N$1517,'Test table'!$F$5:$F$1517,B52)</f>
        <v>0.0912383953098827</v>
      </c>
      <c r="F52" s="0" t="n">
        <f aca="false">D52/C52</f>
        <v>0.0971524288107203</v>
      </c>
      <c r="G52" s="0" t="n">
        <f aca="false">(E52-F52)*100</f>
        <v>-0.591403350083752</v>
      </c>
      <c r="H52" s="4" t="n">
        <v>-0.59</v>
      </c>
      <c r="I52" s="8" t="n">
        <f aca="false">ABS(G52-H52)</f>
        <v>0.00140335008375236</v>
      </c>
    </row>
    <row r="53" customFormat="false" ht="15" hidden="false" customHeight="false" outlineLevel="0" collapsed="false">
      <c r="A53" s="0" t="s">
        <v>205</v>
      </c>
      <c r="B53" s="0" t="s">
        <v>207</v>
      </c>
      <c r="C53" s="0" t="n">
        <f aca="false">COUNTIF('Test table'!$F$5:$F$1517,B53)</f>
        <v>135</v>
      </c>
      <c r="D53" s="0" t="n">
        <f aca="false">COUNTIFS('Test table'!$F$5:$F$1517,B53,'Test table'!$K$5:$K$1517,1)</f>
        <v>17</v>
      </c>
      <c r="E53" s="0" t="n">
        <f aca="false">AVERAGEIFS('Test table'!$N$5:$N$1517,'Test table'!$F$5:$F$1517,B53)</f>
        <v>0.0926620814814815</v>
      </c>
      <c r="F53" s="0" t="n">
        <f aca="false">D53/C53</f>
        <v>0.125925925925926</v>
      </c>
      <c r="G53" s="0" t="n">
        <f aca="false">(E53-F53)*100</f>
        <v>-3.32638444444444</v>
      </c>
      <c r="H53" s="4" t="n">
        <v>-3.33</v>
      </c>
      <c r="I53" s="8" t="n">
        <f aca="false">ABS(G53-H53)</f>
        <v>0.00361555555555615</v>
      </c>
    </row>
    <row r="54" customFormat="false" ht="15" hidden="false" customHeight="false" outlineLevel="0" collapsed="false">
      <c r="A54" s="0" t="s">
        <v>205</v>
      </c>
      <c r="B54" s="0" t="s">
        <v>208</v>
      </c>
      <c r="C54" s="0" t="n">
        <f aca="false">COUNTIF('Test table'!$F$5:$F$1517,B54)</f>
        <v>233</v>
      </c>
      <c r="D54" s="0" t="n">
        <f aca="false">COUNTIFS('Test table'!$F$5:$F$1517,B54,'Test table'!$K$5:$K$1517,1)</f>
        <v>49</v>
      </c>
      <c r="E54" s="0" t="n">
        <f aca="false">AVERAGEIFS('Test table'!$N$5:$N$1517,'Test table'!$F$5:$F$1517,B54)</f>
        <v>0.103481068669528</v>
      </c>
      <c r="F54" s="0" t="n">
        <f aca="false">D54/C54</f>
        <v>0.210300429184549</v>
      </c>
      <c r="G54" s="0" t="n">
        <f aca="false">(E54-F54)*100</f>
        <v>-10.6819360515021</v>
      </c>
      <c r="H54" s="4" t="n">
        <v>-10.68</v>
      </c>
      <c r="I54" s="8" t="n">
        <f aca="false">ABS(G54-H54)</f>
        <v>0.00193605150214538</v>
      </c>
    </row>
    <row r="55" customFormat="false" ht="15" hidden="false" customHeight="false" outlineLevel="0" collapsed="false">
      <c r="A55" s="0" t="s">
        <v>205</v>
      </c>
      <c r="B55" s="0" t="s">
        <v>209</v>
      </c>
      <c r="C55" s="0" t="n">
        <f aca="false">COUNTIF('Test table'!$F$5:$F$1517,B55)</f>
        <v>373</v>
      </c>
      <c r="D55" s="0" t="n">
        <f aca="false">COUNTIFS('Test table'!$F$5:$F$1517,B55,'Test table'!$K$5:$K$1517,1)</f>
        <v>42</v>
      </c>
      <c r="E55" s="0" t="n">
        <f aca="false">AVERAGEIFS('Test table'!$N$5:$N$1517,'Test table'!$F$5:$F$1517,B55)</f>
        <v>0.102084600536193</v>
      </c>
      <c r="F55" s="0" t="n">
        <f aca="false">D55/C55</f>
        <v>0.11260053619303</v>
      </c>
      <c r="G55" s="0" t="n">
        <f aca="false">(E55-F55)*100</f>
        <v>-1.05159356568365</v>
      </c>
      <c r="H55" s="4" t="n">
        <v>-1.05</v>
      </c>
      <c r="I55" s="8" t="n">
        <f aca="false">ABS(G55-H55)</f>
        <v>0.00159356568364633</v>
      </c>
    </row>
    <row r="56" customFormat="false" ht="15" hidden="false" customHeight="false" outlineLevel="0" collapsed="false">
      <c r="A56" s="0" t="s">
        <v>205</v>
      </c>
      <c r="B56" s="0" t="s">
        <v>210</v>
      </c>
      <c r="C56" s="0" t="n">
        <f aca="false">COUNTIF('Test table'!$F$5:$F$1517,B56)</f>
        <v>175</v>
      </c>
      <c r="D56" s="0" t="n">
        <f aca="false">COUNTIFS('Test table'!$F$5:$F$1517,B56,'Test table'!$K$5:$K$1517,1)</f>
        <v>23</v>
      </c>
      <c r="E56" s="0" t="n">
        <f aca="false">AVERAGEIFS('Test table'!$N$5:$N$1517,'Test table'!$F$5:$F$1517,B56)</f>
        <v>0.0946047257142857</v>
      </c>
      <c r="F56" s="0" t="n">
        <f aca="false">D56/C56</f>
        <v>0.131428571428571</v>
      </c>
      <c r="G56" s="0" t="n">
        <f aca="false">(E56-F56)*100</f>
        <v>-3.68238457142857</v>
      </c>
      <c r="H56" s="4" t="n">
        <v>-3.68</v>
      </c>
      <c r="I56" s="8" t="n">
        <f aca="false">ABS(G56-H56)</f>
        <v>0.00238457142857085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211</v>
      </c>
    </row>
    <row r="2" customFormat="false" ht="15" hidden="false" customHeight="false" outlineLevel="0" collapsed="false">
      <c r="A2" s="0" t="s">
        <v>212</v>
      </c>
    </row>
    <row r="4" customFormat="false" ht="28.35" hidden="false" customHeight="false" outlineLevel="0" collapsed="false">
      <c r="A4" s="7" t="s">
        <v>139</v>
      </c>
      <c r="B4" s="7" t="s">
        <v>213</v>
      </c>
      <c r="C4" s="7" t="s">
        <v>214</v>
      </c>
      <c r="D4" s="7" t="s">
        <v>215</v>
      </c>
      <c r="E4" s="7" t="s">
        <v>216</v>
      </c>
      <c r="F4" s="7" t="s">
        <v>217</v>
      </c>
      <c r="G4" s="7" t="s">
        <v>218</v>
      </c>
      <c r="H4" s="7" t="s">
        <v>219</v>
      </c>
      <c r="I4" s="7" t="s">
        <v>220</v>
      </c>
      <c r="J4" s="7" t="s">
        <v>221</v>
      </c>
      <c r="K4" s="7" t="s">
        <v>222</v>
      </c>
    </row>
    <row r="5" customFormat="false" ht="15" hidden="false" customHeight="false" outlineLevel="0" collapsed="false">
      <c r="A5" s="0" t="s">
        <v>150</v>
      </c>
      <c r="B5" s="0" t="str">
        <f aca="false">Scenarios!A5</f>
        <v>sc-001</v>
      </c>
      <c r="C5" s="0" t="n">
        <f aca="false">Scenarios!B5</f>
        <v>5</v>
      </c>
      <c r="D5" s="0" t="n">
        <f aca="false">COUNTIFS('Test table'!$Q$5:$Q$1517,"&lt;="&amp;C5,'Test table'!$K$5:$K$1517,1)</f>
        <v>0</v>
      </c>
      <c r="E5" s="0" t="n">
        <f aca="false">D5/C5</f>
        <v>0</v>
      </c>
      <c r="F5" s="0" t="n">
        <f aca="false">D5/Models!$D$5</f>
        <v>0</v>
      </c>
      <c r="G5" s="0" t="n">
        <f aca="false">E5/Models!$E$5</f>
        <v>0</v>
      </c>
      <c r="H5" s="4" t="n">
        <v>0</v>
      </c>
      <c r="I5" s="4" t="n">
        <v>0</v>
      </c>
      <c r="J5" s="4" t="n">
        <v>0</v>
      </c>
      <c r="K5" s="9" t="b">
        <f aca="false">FALSE()</f>
        <v>0</v>
      </c>
    </row>
    <row r="6" customFormat="false" ht="15" hidden="false" customHeight="false" outlineLevel="0" collapsed="false">
      <c r="A6" s="0" t="s">
        <v>150</v>
      </c>
      <c r="B6" s="0" t="str">
        <f aca="false">Scenarios!A6</f>
        <v>sc-002</v>
      </c>
      <c r="C6" s="0" t="n">
        <f aca="false">Scenarios!B6</f>
        <v>10</v>
      </c>
      <c r="D6" s="0" t="n">
        <f aca="false">COUNTIFS('Test table'!$Q$5:$Q$1517,"&lt;="&amp;C6,'Test table'!$K$5:$K$1517,1)</f>
        <v>1</v>
      </c>
      <c r="E6" s="0" t="n">
        <f aca="false">D6/C6</f>
        <v>0.1</v>
      </c>
      <c r="F6" s="0" t="n">
        <f aca="false">D6/Models!$D$5</f>
        <v>0.00529100529100529</v>
      </c>
      <c r="G6" s="0" t="n">
        <f aca="false">E6/Models!$E$5</f>
        <v>0.800529100529101</v>
      </c>
      <c r="H6" s="4" t="n">
        <v>0.1</v>
      </c>
      <c r="I6" s="4" t="n">
        <v>0.005291</v>
      </c>
      <c r="J6" s="4" t="n">
        <v>0.800529</v>
      </c>
      <c r="K6" s="9" t="b">
        <f aca="false">FALSE()</f>
        <v>0</v>
      </c>
    </row>
    <row r="7" customFormat="false" ht="15" hidden="false" customHeight="false" outlineLevel="0" collapsed="false">
      <c r="A7" s="0" t="s">
        <v>150</v>
      </c>
      <c r="B7" s="0" t="str">
        <f aca="false">Scenarios!A7</f>
        <v>sc-003</v>
      </c>
      <c r="C7" s="0" t="n">
        <f aca="false">Scenarios!B7</f>
        <v>20</v>
      </c>
      <c r="D7" s="0" t="n">
        <f aca="false">COUNTIFS('Test table'!$Q$5:$Q$1517,"&lt;="&amp;C7,'Test table'!$K$5:$K$1517,1)</f>
        <v>1</v>
      </c>
      <c r="E7" s="0" t="n">
        <f aca="false">D7/C7</f>
        <v>0.05</v>
      </c>
      <c r="F7" s="0" t="n">
        <f aca="false">D7/Models!$D$5</f>
        <v>0.00529100529100529</v>
      </c>
      <c r="G7" s="0" t="n">
        <f aca="false">E7/Models!$E$5</f>
        <v>0.40026455026455</v>
      </c>
      <c r="H7" s="4" t="n">
        <v>0.05</v>
      </c>
      <c r="I7" s="4" t="n">
        <v>0.005291</v>
      </c>
      <c r="J7" s="4" t="n">
        <v>0.400265</v>
      </c>
      <c r="K7" s="9" t="b">
        <f aca="false">FALSE()</f>
        <v>0</v>
      </c>
    </row>
    <row r="8" customFormat="false" ht="15" hidden="false" customHeight="false" outlineLevel="0" collapsed="false">
      <c r="A8" s="0" t="s">
        <v>152</v>
      </c>
      <c r="B8" s="0" t="str">
        <f aca="false">Scenarios!A5</f>
        <v>sc-001</v>
      </c>
      <c r="C8" s="0" t="n">
        <f aca="false">Scenarios!B5</f>
        <v>5</v>
      </c>
      <c r="D8" s="0" t="n">
        <f aca="false">COUNTIFS('Test table'!$R$5:$R$1517,"&lt;="&amp;C8,'Test table'!$K$5:$K$1517,1)</f>
        <v>2</v>
      </c>
      <c r="E8" s="0" t="n">
        <f aca="false">D8/C8</f>
        <v>0.4</v>
      </c>
      <c r="F8" s="0" t="n">
        <f aca="false">D8/Models!$D$6</f>
        <v>0.0105820105820106</v>
      </c>
      <c r="G8" s="0" t="n">
        <f aca="false">E8/Models!$E$6</f>
        <v>3.2021164021164</v>
      </c>
      <c r="H8" s="4" t="n">
        <v>0.4</v>
      </c>
      <c r="I8" s="4" t="n">
        <v>0.010582</v>
      </c>
      <c r="J8" s="4" t="n">
        <v>3.202116</v>
      </c>
      <c r="K8" s="9" t="b">
        <f aca="false">TRUE()</f>
        <v>1</v>
      </c>
    </row>
    <row r="9" customFormat="false" ht="15" hidden="false" customHeight="false" outlineLevel="0" collapsed="false">
      <c r="A9" s="0" t="s">
        <v>152</v>
      </c>
      <c r="B9" s="0" t="str">
        <f aca="false">Scenarios!A6</f>
        <v>sc-002</v>
      </c>
      <c r="C9" s="0" t="n">
        <f aca="false">Scenarios!B6</f>
        <v>10</v>
      </c>
      <c r="D9" s="0" t="n">
        <f aca="false">COUNTIFS('Test table'!$R$5:$R$1517,"&lt;="&amp;C9,'Test table'!$K$5:$K$1517,1)</f>
        <v>3</v>
      </c>
      <c r="E9" s="0" t="n">
        <f aca="false">D9/C9</f>
        <v>0.3</v>
      </c>
      <c r="F9" s="0" t="n">
        <f aca="false">D9/Models!$D$6</f>
        <v>0.0158730158730159</v>
      </c>
      <c r="G9" s="0" t="n">
        <f aca="false">E9/Models!$E$6</f>
        <v>2.4015873015873</v>
      </c>
      <c r="H9" s="4" t="n">
        <v>0.3</v>
      </c>
      <c r="I9" s="4" t="n">
        <v>0.015873</v>
      </c>
      <c r="J9" s="4" t="n">
        <v>2.401587</v>
      </c>
      <c r="K9" s="9" t="b">
        <f aca="false">TRUE()</f>
        <v>1</v>
      </c>
    </row>
    <row r="10" customFormat="false" ht="15" hidden="false" customHeight="false" outlineLevel="0" collapsed="false">
      <c r="A10" s="0" t="s">
        <v>152</v>
      </c>
      <c r="B10" s="0" t="str">
        <f aca="false">Scenarios!A7</f>
        <v>sc-003</v>
      </c>
      <c r="C10" s="0" t="n">
        <f aca="false">Scenarios!B7</f>
        <v>20</v>
      </c>
      <c r="D10" s="0" t="n">
        <f aca="false">COUNTIFS('Test table'!$R$5:$R$1517,"&lt;="&amp;C10,'Test table'!$K$5:$K$1517,1)</f>
        <v>3</v>
      </c>
      <c r="E10" s="0" t="n">
        <f aca="false">D10/C10</f>
        <v>0.15</v>
      </c>
      <c r="F10" s="0" t="n">
        <f aca="false">D10/Models!$D$6</f>
        <v>0.0158730158730159</v>
      </c>
      <c r="G10" s="0" t="n">
        <f aca="false">E10/Models!$E$6</f>
        <v>1.20079365079365</v>
      </c>
      <c r="H10" s="4" t="n">
        <v>0.15</v>
      </c>
      <c r="I10" s="4" t="n">
        <v>0.015873</v>
      </c>
      <c r="J10" s="4" t="n">
        <v>1.200794</v>
      </c>
      <c r="K10" s="9" t="b">
        <f aca="false">TRUE()</f>
        <v>1</v>
      </c>
    </row>
    <row r="11" customFormat="false" ht="15" hidden="false" customHeight="false" outlineLevel="0" collapsed="false">
      <c r="A11" s="0" t="s">
        <v>18</v>
      </c>
      <c r="B11" s="0" t="str">
        <f aca="false">Scenarios!A5</f>
        <v>sc-001</v>
      </c>
      <c r="C11" s="0" t="n">
        <f aca="false">Scenarios!B5</f>
        <v>5</v>
      </c>
      <c r="D11" s="0" t="n">
        <f aca="false">COUNTIFS('Test table'!$S$5:$S$1517,"&lt;="&amp;C11,'Test table'!$K$5:$K$1517,1)</f>
        <v>0</v>
      </c>
      <c r="E11" s="0" t="n">
        <f aca="false">D11/C11</f>
        <v>0</v>
      </c>
      <c r="F11" s="0" t="n">
        <f aca="false">D11/Models!$D$7</f>
        <v>0</v>
      </c>
      <c r="G11" s="0" t="n">
        <f aca="false">E11/Models!$E$7</f>
        <v>0</v>
      </c>
      <c r="H11" s="4" t="n">
        <v>0</v>
      </c>
      <c r="I11" s="4" t="n">
        <v>0</v>
      </c>
      <c r="J11" s="4" t="n">
        <v>0</v>
      </c>
      <c r="K11" s="9" t="b">
        <f aca="false">FALSE()</f>
        <v>0</v>
      </c>
    </row>
    <row r="12" customFormat="false" ht="15" hidden="false" customHeight="false" outlineLevel="0" collapsed="false">
      <c r="A12" s="0" t="s">
        <v>18</v>
      </c>
      <c r="B12" s="0" t="str">
        <f aca="false">Scenarios!A6</f>
        <v>sc-002</v>
      </c>
      <c r="C12" s="0" t="n">
        <f aca="false">Scenarios!B6</f>
        <v>10</v>
      </c>
      <c r="D12" s="0" t="n">
        <f aca="false">COUNTIFS('Test table'!$S$5:$S$1517,"&lt;="&amp;C12,'Test table'!$K$5:$K$1517,1)</f>
        <v>2</v>
      </c>
      <c r="E12" s="0" t="n">
        <f aca="false">D12/C12</f>
        <v>0.2</v>
      </c>
      <c r="F12" s="0" t="n">
        <f aca="false">D12/Models!$D$7</f>
        <v>0.0105820105820106</v>
      </c>
      <c r="G12" s="0" t="n">
        <f aca="false">E12/Models!$E$7</f>
        <v>1.6010582010582</v>
      </c>
      <c r="H12" s="4" t="n">
        <v>0.2</v>
      </c>
      <c r="I12" s="4" t="n">
        <v>0.010582</v>
      </c>
      <c r="J12" s="4" t="n">
        <v>1.601058</v>
      </c>
      <c r="K12" s="9" t="b">
        <f aca="false">FALSE()</f>
        <v>0</v>
      </c>
    </row>
    <row r="13" customFormat="false" ht="15" hidden="false" customHeight="false" outlineLevel="0" collapsed="false">
      <c r="A13" s="0" t="s">
        <v>18</v>
      </c>
      <c r="B13" s="0" t="str">
        <f aca="false">Scenarios!A7</f>
        <v>sc-003</v>
      </c>
      <c r="C13" s="0" t="n">
        <f aca="false">Scenarios!B7</f>
        <v>20</v>
      </c>
      <c r="D13" s="0" t="n">
        <f aca="false">COUNTIFS('Test table'!$S$5:$S$1517,"&lt;="&amp;C13,'Test table'!$K$5:$K$1517,1)</f>
        <v>5</v>
      </c>
      <c r="E13" s="0" t="n">
        <f aca="false">D13/C13</f>
        <v>0.25</v>
      </c>
      <c r="F13" s="0" t="n">
        <f aca="false">D13/Models!$D$7</f>
        <v>0.0264550264550265</v>
      </c>
      <c r="G13" s="0" t="n">
        <f aca="false">E13/Models!$E$7</f>
        <v>2.00132275132275</v>
      </c>
      <c r="H13" s="4" t="n">
        <v>0.25</v>
      </c>
      <c r="I13" s="4" t="n">
        <v>0.026455</v>
      </c>
      <c r="J13" s="4" t="n">
        <v>2.001323</v>
      </c>
      <c r="K13" s="9" t="b">
        <f aca="false">FALSE()</f>
        <v>0</v>
      </c>
    </row>
    <row r="14" customFormat="false" ht="15" hidden="false" customHeight="false" outlineLevel="0" collapsed="false">
      <c r="A14" s="0" t="s">
        <v>155</v>
      </c>
      <c r="B14" s="0" t="str">
        <f aca="false">Scenarios!A5</f>
        <v>sc-001</v>
      </c>
      <c r="C14" s="0" t="n">
        <f aca="false">Scenarios!B5</f>
        <v>5</v>
      </c>
      <c r="D14" s="0" t="n">
        <f aca="false">COUNTIFS('Test table'!$T$5:$T$1517,"&lt;="&amp;C14,'Test table'!$K$5:$K$1517,1)</f>
        <v>0</v>
      </c>
      <c r="E14" s="0" t="n">
        <f aca="false">D14/C14</f>
        <v>0</v>
      </c>
      <c r="F14" s="0" t="n">
        <f aca="false">D14/Models!$D$8</f>
        <v>0</v>
      </c>
      <c r="G14" s="0" t="n">
        <f aca="false">E14/Models!$E$8</f>
        <v>0</v>
      </c>
      <c r="H14" s="4" t="n">
        <v>0</v>
      </c>
      <c r="I14" s="4" t="n">
        <v>0</v>
      </c>
      <c r="J14" s="4" t="n">
        <v>0</v>
      </c>
      <c r="K14" s="9" t="b">
        <f aca="false">TRUE()</f>
        <v>1</v>
      </c>
    </row>
    <row r="15" customFormat="false" ht="15" hidden="false" customHeight="false" outlineLevel="0" collapsed="false">
      <c r="A15" s="0" t="s">
        <v>155</v>
      </c>
      <c r="B15" s="0" t="str">
        <f aca="false">Scenarios!A6</f>
        <v>sc-002</v>
      </c>
      <c r="C15" s="0" t="n">
        <f aca="false">Scenarios!B6</f>
        <v>10</v>
      </c>
      <c r="D15" s="0" t="n">
        <f aca="false">COUNTIFS('Test table'!$T$5:$T$1517,"&lt;="&amp;C15,'Test table'!$K$5:$K$1517,1)</f>
        <v>0</v>
      </c>
      <c r="E15" s="0" t="n">
        <f aca="false">D15/C15</f>
        <v>0</v>
      </c>
      <c r="F15" s="0" t="n">
        <f aca="false">D15/Models!$D$8</f>
        <v>0</v>
      </c>
      <c r="G15" s="0" t="n">
        <f aca="false">E15/Models!$E$8</f>
        <v>0</v>
      </c>
      <c r="H15" s="4" t="n">
        <v>0</v>
      </c>
      <c r="I15" s="4" t="n">
        <v>0</v>
      </c>
      <c r="J15" s="4" t="n">
        <v>0</v>
      </c>
      <c r="K15" s="9" t="b">
        <f aca="false">TRUE()</f>
        <v>1</v>
      </c>
    </row>
    <row r="16" customFormat="false" ht="15" hidden="false" customHeight="false" outlineLevel="0" collapsed="false">
      <c r="A16" s="0" t="s">
        <v>155</v>
      </c>
      <c r="B16" s="0" t="str">
        <f aca="false">Scenarios!A7</f>
        <v>sc-003</v>
      </c>
      <c r="C16" s="0" t="n">
        <f aca="false">Scenarios!B7</f>
        <v>20</v>
      </c>
      <c r="D16" s="0" t="n">
        <f aca="false">COUNTIFS('Test table'!$T$5:$T$1517,"&lt;="&amp;C16,'Test table'!$K$5:$K$1517,1)</f>
        <v>0</v>
      </c>
      <c r="E16" s="0" t="n">
        <f aca="false">D16/C16</f>
        <v>0</v>
      </c>
      <c r="F16" s="0" t="n">
        <f aca="false">D16/Models!$D$8</f>
        <v>0</v>
      </c>
      <c r="G16" s="0" t="n">
        <f aca="false">E16/Models!$E$8</f>
        <v>0</v>
      </c>
      <c r="H16" s="4" t="n">
        <v>0</v>
      </c>
      <c r="I16" s="4" t="n">
        <v>0</v>
      </c>
      <c r="J16" s="4" t="n">
        <v>0</v>
      </c>
      <c r="K16" s="9" t="b">
        <f aca="false">TRUE()</f>
        <v>1</v>
      </c>
    </row>
    <row r="19" customFormat="false" ht="15" hidden="false" customHeight="false" outlineLevel="0" collapsed="false">
      <c r="A19" s="2" t="s">
        <v>223</v>
      </c>
    </row>
    <row r="20" customFormat="false" ht="41.75" hidden="false" customHeight="false" outlineLevel="0" collapsed="false">
      <c r="A20" s="7" t="s">
        <v>213</v>
      </c>
      <c r="B20" s="7" t="s">
        <v>214</v>
      </c>
      <c r="C20" s="7" t="s">
        <v>215</v>
      </c>
      <c r="D20" s="7" t="s">
        <v>216</v>
      </c>
      <c r="E20" s="7" t="s">
        <v>217</v>
      </c>
      <c r="F20" s="7" t="s">
        <v>218</v>
      </c>
    </row>
    <row r="21" customFormat="false" ht="15" hidden="false" customHeight="false" outlineLevel="0" collapsed="false">
      <c r="A21" s="0" t="str">
        <f aca="false">Scenarios!A5</f>
        <v>sc-001</v>
      </c>
      <c r="B21" s="0" t="n">
        <f aca="false">Scenarios!B5</f>
        <v>5</v>
      </c>
      <c r="C21" s="0" t="n">
        <f aca="false">INDEX(D$5:D$16,(Controls!$B$4-1)*3+1)</f>
        <v>0</v>
      </c>
      <c r="D21" s="0" t="n">
        <f aca="false">INDEX(E$5:E$16,(Controls!$B$4-1)*3+1)</f>
        <v>0</v>
      </c>
      <c r="E21" s="0" t="n">
        <f aca="false">INDEX(F$5:F$16,(Controls!$B$4-1)*3+1)</f>
        <v>0</v>
      </c>
      <c r="F21" s="0" t="n">
        <f aca="false">INDEX(G$5:G$16,(Controls!$B$4-1)*3+1)</f>
        <v>0</v>
      </c>
    </row>
    <row r="22" customFormat="false" ht="15" hidden="false" customHeight="false" outlineLevel="0" collapsed="false">
      <c r="A22" s="0" t="str">
        <f aca="false">Scenarios!A6</f>
        <v>sc-002</v>
      </c>
      <c r="B22" s="0" t="n">
        <f aca="false">Scenarios!B6</f>
        <v>10</v>
      </c>
      <c r="C22" s="0" t="n">
        <f aca="false">INDEX(D$5:D$16,(Controls!$B$4-1)*3+2)</f>
        <v>2</v>
      </c>
      <c r="D22" s="0" t="n">
        <f aca="false">INDEX(E$5:E$16,(Controls!$B$4-1)*3+2)</f>
        <v>0.2</v>
      </c>
      <c r="E22" s="0" t="n">
        <f aca="false">INDEX(F$5:F$16,(Controls!$B$4-1)*3+2)</f>
        <v>0.0105820105820106</v>
      </c>
      <c r="F22" s="0" t="n">
        <f aca="false">INDEX(G$5:G$16,(Controls!$B$4-1)*3+2)</f>
        <v>1.6010582010582</v>
      </c>
    </row>
    <row r="23" customFormat="false" ht="15" hidden="false" customHeight="false" outlineLevel="0" collapsed="false">
      <c r="A23" s="0" t="str">
        <f aca="false">Scenarios!A7</f>
        <v>sc-003</v>
      </c>
      <c r="B23" s="0" t="n">
        <f aca="false">Scenarios!B7</f>
        <v>20</v>
      </c>
      <c r="C23" s="0" t="n">
        <f aca="false">INDEX(D$5:D$16,(Controls!$B$4-1)*3+3)</f>
        <v>5</v>
      </c>
      <c r="D23" s="0" t="n">
        <f aca="false">INDEX(E$5:E$16,(Controls!$B$4-1)*3+3)</f>
        <v>0.25</v>
      </c>
      <c r="E23" s="0" t="n">
        <f aca="false">INDEX(F$5:F$16,(Controls!$B$4-1)*3+3)</f>
        <v>0.0264550264550265</v>
      </c>
      <c r="F23" s="0" t="n">
        <f aca="false">INDEX(G$5:G$16,(Controls!$B$4-1)*3+3)</f>
        <v>2.00132275132275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28"/>
    <col collapsed="false" customWidth="true" hidden="false" outlineLevel="0" max="9" min="9" style="0" width="24"/>
    <col collapsed="false" customWidth="true" hidden="false" outlineLevel="0" max="10" min="10" style="0" width="30"/>
    <col collapsed="false" customWidth="true" hidden="false" outlineLevel="0" max="12" min="11" style="0" width="14"/>
    <col collapsed="false" customWidth="true" hidden="false" outlineLevel="0" max="13" min="13" style="0" width="70"/>
  </cols>
  <sheetData>
    <row r="1" customFormat="false" ht="17.35" hidden="false" customHeight="false" outlineLevel="0" collapsed="false">
      <c r="A1" s="1" t="s">
        <v>224</v>
      </c>
    </row>
    <row r="2" customFormat="false" ht="15" hidden="false" customHeight="false" outlineLevel="0" collapsed="false">
      <c r="A2" s="0" t="s">
        <v>225</v>
      </c>
    </row>
    <row r="4" customFormat="false" ht="28.35" hidden="false" customHeight="false" outlineLevel="0" collapsed="false">
      <c r="A4" s="7" t="s">
        <v>226</v>
      </c>
      <c r="B4" s="7" t="s">
        <v>227</v>
      </c>
      <c r="C4" s="7" t="s">
        <v>228</v>
      </c>
      <c r="E4" s="7" t="s">
        <v>213</v>
      </c>
      <c r="F4" s="7" t="s">
        <v>229</v>
      </c>
      <c r="G4" s="7" t="s">
        <v>230</v>
      </c>
      <c r="H4" s="7" t="s">
        <v>231</v>
      </c>
      <c r="I4" s="7" t="s">
        <v>232</v>
      </c>
      <c r="J4" s="7" t="s">
        <v>233</v>
      </c>
      <c r="K4" s="7" t="s">
        <v>234</v>
      </c>
      <c r="L4" s="7" t="s">
        <v>235</v>
      </c>
      <c r="M4" s="7" t="s">
        <v>236</v>
      </c>
    </row>
    <row r="5" customFormat="false" ht="15" hidden="false" customHeight="false" outlineLevel="0" collapsed="false">
      <c r="A5" s="4" t="n">
        <v>11</v>
      </c>
      <c r="B5" s="4" t="n">
        <v>0.127847</v>
      </c>
      <c r="C5" s="8" t="n">
        <f aca="false">1+COUNTIF($B$5:$B$101,"&gt;"&amp;B5)+COUNTIFS($B$5:$B$101,B5,$A$5:$A$101,"&lt;"&amp;A5)</f>
        <v>27</v>
      </c>
      <c r="E5" s="0" t="str">
        <f aca="false">Scenarios!A5</f>
        <v>sc-001</v>
      </c>
      <c r="F5" s="8" t="n">
        <f aca="false">Scenarios!B5</f>
        <v>5</v>
      </c>
      <c r="G5" s="8" t="n">
        <f aca="false">ROUND(F5*Scenarios!C5,2)</f>
        <v>40</v>
      </c>
      <c r="H5" s="8" t="n">
        <f aca="false">ROUND(SUMPRODUCT(($C$5:$C$101&lt;=F5)*($B$5:$B$101*Scenarios!D5*Scenarios!E5-Scenarios!C5)),2)</f>
        <v>21.38</v>
      </c>
      <c r="I5" s="4" t="n">
        <v>21.38</v>
      </c>
      <c r="J5" s="4" t="n">
        <v>81.13</v>
      </c>
      <c r="K5" s="4" t="n">
        <v>1241</v>
      </c>
      <c r="L5" s="8" t="s">
        <v>237</v>
      </c>
      <c r="M5" s="8" t="s">
        <v>238</v>
      </c>
    </row>
    <row r="6" customFormat="false" ht="15" hidden="false" customHeight="false" outlineLevel="0" collapsed="false">
      <c r="A6" s="4" t="n">
        <v>20</v>
      </c>
      <c r="B6" s="4" t="n">
        <v>0.09385</v>
      </c>
      <c r="C6" s="8" t="n">
        <f aca="false">1+COUNTIF($B$5:$B$101,"&gt;"&amp;B6)+COUNTIFS($B$5:$B$101,B6,$A$5:$A$101,"&lt;"&amp;A6)</f>
        <v>45</v>
      </c>
      <c r="E6" s="0" t="str">
        <f aca="false">Scenarios!A6</f>
        <v>sc-002</v>
      </c>
      <c r="F6" s="8" t="n">
        <f aca="false">Scenarios!B6</f>
        <v>10</v>
      </c>
      <c r="G6" s="8" t="n">
        <f aca="false">ROUND(F6*Scenarios!C6,2)</f>
        <v>80</v>
      </c>
      <c r="H6" s="8" t="n">
        <f aca="false">ROUND(SUMPRODUCT(($C$5:$C$101&lt;=F6)*($B$5:$B$101*Scenarios!D6*Scenarios!E6-Scenarios!C6)),2)</f>
        <v>-6.87</v>
      </c>
      <c r="I6" s="4" t="n">
        <v>-6.87</v>
      </c>
      <c r="J6" s="4" t="n">
        <v>71.04</v>
      </c>
      <c r="K6" s="4" t="n">
        <v>1241</v>
      </c>
      <c r="L6" s="8" t="s">
        <v>237</v>
      </c>
      <c r="M6" s="8" t="s">
        <v>238</v>
      </c>
    </row>
    <row r="7" customFormat="false" ht="15" hidden="false" customHeight="false" outlineLevel="0" collapsed="false">
      <c r="A7" s="4" t="n">
        <v>43</v>
      </c>
      <c r="B7" s="4" t="n">
        <v>0.131947</v>
      </c>
      <c r="C7" s="8" t="n">
        <f aca="false">1+COUNTIF($B$5:$B$101,"&gt;"&amp;B7)+COUNTIFS($B$5:$B$101,B7,$A$5:$A$101,"&lt;"&amp;A7)</f>
        <v>20</v>
      </c>
      <c r="E7" s="0" t="str">
        <f aca="false">Scenarios!A7</f>
        <v>sc-003</v>
      </c>
      <c r="F7" s="8" t="n">
        <f aca="false">Scenarios!B7</f>
        <v>20</v>
      </c>
      <c r="G7" s="8" t="n">
        <f aca="false">ROUND(F7*Scenarios!C7,2)</f>
        <v>160</v>
      </c>
      <c r="H7" s="8" t="n">
        <f aca="false">ROUND(SUMPRODUCT(($C$5:$C$101&lt;=F7)*($B$5:$B$101*Scenarios!D7*Scenarios!E7-Scenarios!C7)),2)</f>
        <v>-95.46</v>
      </c>
      <c r="I7" s="4" t="n">
        <v>-95.46</v>
      </c>
      <c r="J7" s="4" t="n">
        <v>-29.12</v>
      </c>
      <c r="K7" s="4" t="n">
        <v>1241</v>
      </c>
      <c r="L7" s="8" t="s">
        <v>237</v>
      </c>
      <c r="M7" s="8" t="s">
        <v>238</v>
      </c>
    </row>
    <row r="8" customFormat="false" ht="15" hidden="false" customHeight="false" outlineLevel="0" collapsed="false">
      <c r="A8" s="4" t="n">
        <v>159</v>
      </c>
      <c r="B8" s="4" t="n">
        <v>0.054025</v>
      </c>
      <c r="C8" s="8" t="n">
        <f aca="false">1+COUNTIF($B$5:$B$101,"&gt;"&amp;B8)+COUNTIFS($B$5:$B$101,B8,$A$5:$A$101,"&lt;"&amp;A8)</f>
        <v>73</v>
      </c>
    </row>
    <row r="9" customFormat="false" ht="15" hidden="false" customHeight="false" outlineLevel="0" collapsed="false">
      <c r="A9" s="4" t="n">
        <v>176</v>
      </c>
      <c r="B9" s="4" t="n">
        <v>0.026838</v>
      </c>
      <c r="C9" s="8" t="n">
        <f aca="false">1+COUNTIF($B$5:$B$101,"&gt;"&amp;B9)+COUNTIFS($B$5:$B$101,B9,$A$5:$A$101,"&lt;"&amp;A9)</f>
        <v>92</v>
      </c>
    </row>
    <row r="10" customFormat="false" ht="15" hidden="false" customHeight="false" outlineLevel="0" collapsed="false">
      <c r="A10" s="4" t="n">
        <v>183</v>
      </c>
      <c r="B10" s="4" t="n">
        <v>0.050814</v>
      </c>
      <c r="C10" s="8" t="n">
        <f aca="false">1+COUNTIF($B$5:$B$101,"&gt;"&amp;B10)+COUNTIFS($B$5:$B$101,B10,$A$5:$A$101,"&lt;"&amp;A10)</f>
        <v>76</v>
      </c>
      <c r="E10" s="2" t="s">
        <v>239</v>
      </c>
    </row>
    <row r="11" customFormat="false" ht="15" hidden="false" customHeight="false" outlineLevel="0" collapsed="false">
      <c r="A11" s="4" t="n">
        <v>185</v>
      </c>
      <c r="B11" s="4" t="n">
        <v>0.045482</v>
      </c>
      <c r="C11" s="8" t="n">
        <f aca="false">1+COUNTIF($B$5:$B$101,"&gt;"&amp;B11)+COUNTIFS($B$5:$B$101,B11,$A$5:$A$101,"&lt;"&amp;A11)</f>
        <v>83</v>
      </c>
      <c r="E11" s="8" t="s">
        <v>229</v>
      </c>
      <c r="F11" s="8" t="n">
        <f aca="false">Controls!B11</f>
        <v>5</v>
      </c>
    </row>
    <row r="12" customFormat="false" ht="15" hidden="false" customHeight="false" outlineLevel="0" collapsed="false">
      <c r="A12" s="4" t="n">
        <v>243</v>
      </c>
      <c r="B12" s="4" t="n">
        <v>0.124832</v>
      </c>
      <c r="C12" s="8" t="n">
        <f aca="false">1+COUNTIF($B$5:$B$101,"&gt;"&amp;B12)+COUNTIFS($B$5:$B$101,B12,$A$5:$A$101,"&lt;"&amp;A12)</f>
        <v>30</v>
      </c>
      <c r="E12" s="8" t="s">
        <v>240</v>
      </c>
      <c r="F12" s="8" t="n">
        <f aca="false">ROUND(Controls!B11*Controls!B12,2)</f>
        <v>40</v>
      </c>
    </row>
    <row r="13" customFormat="false" ht="15" hidden="false" customHeight="false" outlineLevel="0" collapsed="false">
      <c r="A13" s="4" t="n">
        <v>247</v>
      </c>
      <c r="B13" s="4" t="n">
        <v>0.091857</v>
      </c>
      <c r="C13" s="8" t="n">
        <f aca="false">1+COUNTIF($B$5:$B$101,"&gt;"&amp;B13)+COUNTIFS($B$5:$B$101,B13,$A$5:$A$101,"&lt;"&amp;A13)</f>
        <v>49</v>
      </c>
      <c r="E13" s="8" t="s">
        <v>241</v>
      </c>
      <c r="F13" s="8" t="n">
        <f aca="false">ROUND(SUMPRODUCT(($C$5:$C$101&lt;=Controls!B11)*($B$5:$B$101*Controls!B13*Controls!B14-Controls!B12)),2)</f>
        <v>21.38</v>
      </c>
    </row>
    <row r="14" customFormat="false" ht="15" hidden="false" customHeight="false" outlineLevel="0" collapsed="false">
      <c r="A14" s="4" t="n">
        <v>265</v>
      </c>
      <c r="B14" s="4" t="n">
        <v>0.161134</v>
      </c>
      <c r="C14" s="8" t="n">
        <f aca="false">1+COUNTIF($B$5:$B$101,"&gt;"&amp;B14)+COUNTIFS($B$5:$B$101,B14,$A$5:$A$101,"&lt;"&amp;A14)</f>
        <v>7</v>
      </c>
      <c r="E14" s="8" t="s">
        <v>242</v>
      </c>
    </row>
    <row r="15" customFormat="false" ht="15" hidden="false" customHeight="false" outlineLevel="0" collapsed="false">
      <c r="A15" s="4" t="n">
        <v>268</v>
      </c>
      <c r="B15" s="4" t="n">
        <v>0.12865</v>
      </c>
      <c r="C15" s="8" t="n">
        <f aca="false">1+COUNTIF($B$5:$B$101,"&gt;"&amp;B15)+COUNTIFS($B$5:$B$101,B15,$A$5:$A$101,"&lt;"&amp;A15)</f>
        <v>25</v>
      </c>
    </row>
    <row r="16" customFormat="false" ht="15" hidden="false" customHeight="false" outlineLevel="0" collapsed="false">
      <c r="A16" s="4" t="n">
        <v>272</v>
      </c>
      <c r="B16" s="4" t="n">
        <v>0.159722</v>
      </c>
      <c r="C16" s="8" t="n">
        <f aca="false">1+COUNTIF($B$5:$B$101,"&gt;"&amp;B16)+COUNTIFS($B$5:$B$101,B16,$A$5:$A$101,"&lt;"&amp;A16)</f>
        <v>8</v>
      </c>
      <c r="E16" s="8" t="s">
        <v>243</v>
      </c>
    </row>
    <row r="17" customFormat="false" ht="15" hidden="false" customHeight="false" outlineLevel="0" collapsed="false">
      <c r="A17" s="4" t="n">
        <v>291</v>
      </c>
      <c r="B17" s="4" t="n">
        <v>0.077542</v>
      </c>
      <c r="C17" s="8" t="n">
        <f aca="false">1+COUNTIF($B$5:$B$101,"&gt;"&amp;B17)+COUNTIFS($B$5:$B$101,B17,$A$5:$A$101,"&lt;"&amp;A17)</f>
        <v>56</v>
      </c>
    </row>
    <row r="18" customFormat="false" ht="15" hidden="false" customHeight="false" outlineLevel="0" collapsed="false">
      <c r="A18" s="4" t="n">
        <v>317</v>
      </c>
      <c r="B18" s="4" t="n">
        <v>0.129433</v>
      </c>
      <c r="C18" s="8" t="n">
        <f aca="false">1+COUNTIF($B$5:$B$101,"&gt;"&amp;B18)+COUNTIFS($B$5:$B$101,B18,$A$5:$A$101,"&lt;"&amp;A18)</f>
        <v>23</v>
      </c>
    </row>
    <row r="19" customFormat="false" ht="15" hidden="false" customHeight="false" outlineLevel="0" collapsed="false">
      <c r="A19" s="4" t="n">
        <v>383</v>
      </c>
      <c r="B19" s="4" t="n">
        <v>0.124025</v>
      </c>
      <c r="C19" s="8" t="n">
        <f aca="false">1+COUNTIF($B$5:$B$101,"&gt;"&amp;B19)+COUNTIFS($B$5:$B$101,B19,$A$5:$A$101,"&lt;"&amp;A19)</f>
        <v>32</v>
      </c>
    </row>
    <row r="20" customFormat="false" ht="15" hidden="false" customHeight="false" outlineLevel="0" collapsed="false">
      <c r="A20" s="4" t="n">
        <v>421</v>
      </c>
      <c r="B20" s="4" t="n">
        <v>0.10545</v>
      </c>
      <c r="C20" s="8" t="n">
        <f aca="false">1+COUNTIF($B$5:$B$101,"&gt;"&amp;B20)+COUNTIFS($B$5:$B$101,B20,$A$5:$A$101,"&lt;"&amp;A20)</f>
        <v>43</v>
      </c>
    </row>
    <row r="21" customFormat="false" ht="15" hidden="false" customHeight="false" outlineLevel="0" collapsed="false">
      <c r="A21" s="4" t="n">
        <v>445</v>
      </c>
      <c r="B21" s="4" t="n">
        <v>0.134482</v>
      </c>
      <c r="C21" s="8" t="n">
        <f aca="false">1+COUNTIF($B$5:$B$101,"&gt;"&amp;B21)+COUNTIFS($B$5:$B$101,B21,$A$5:$A$101,"&lt;"&amp;A21)</f>
        <v>18</v>
      </c>
    </row>
    <row r="22" customFormat="false" ht="15" hidden="false" customHeight="false" outlineLevel="0" collapsed="false">
      <c r="A22" s="4" t="n">
        <v>449</v>
      </c>
      <c r="B22" s="4" t="n">
        <v>0.070662</v>
      </c>
      <c r="C22" s="8" t="n">
        <f aca="false">1+COUNTIF($B$5:$B$101,"&gt;"&amp;B22)+COUNTIFS($B$5:$B$101,B22,$A$5:$A$101,"&lt;"&amp;A22)</f>
        <v>58</v>
      </c>
    </row>
    <row r="23" customFormat="false" ht="15" hidden="false" customHeight="false" outlineLevel="0" collapsed="false">
      <c r="A23" s="4" t="n">
        <v>468</v>
      </c>
      <c r="B23" s="4" t="n">
        <v>0.10052</v>
      </c>
      <c r="C23" s="8" t="n">
        <f aca="false">1+COUNTIF($B$5:$B$101,"&gt;"&amp;B23)+COUNTIFS($B$5:$B$101,B23,$A$5:$A$101,"&lt;"&amp;A23)</f>
        <v>44</v>
      </c>
    </row>
    <row r="24" customFormat="false" ht="15" hidden="false" customHeight="false" outlineLevel="0" collapsed="false">
      <c r="A24" s="4" t="n">
        <v>680</v>
      </c>
      <c r="B24" s="4" t="n">
        <v>0.046693</v>
      </c>
      <c r="C24" s="8" t="n">
        <f aca="false">1+COUNTIF($B$5:$B$101,"&gt;"&amp;B24)+COUNTIFS($B$5:$B$101,B24,$A$5:$A$101,"&lt;"&amp;A24)</f>
        <v>81</v>
      </c>
    </row>
    <row r="25" customFormat="false" ht="15" hidden="false" customHeight="false" outlineLevel="0" collapsed="false">
      <c r="A25" s="4" t="n">
        <v>700</v>
      </c>
      <c r="B25" s="4" t="n">
        <v>0.062069</v>
      </c>
      <c r="C25" s="8" t="n">
        <f aca="false">1+COUNTIF($B$5:$B$101,"&gt;"&amp;B25)+COUNTIFS($B$5:$B$101,B25,$A$5:$A$101,"&lt;"&amp;A25)</f>
        <v>64</v>
      </c>
    </row>
    <row r="26" customFormat="false" ht="15" hidden="false" customHeight="false" outlineLevel="0" collapsed="false">
      <c r="A26" s="4" t="n">
        <v>703</v>
      </c>
      <c r="B26" s="4" t="n">
        <v>0.050384</v>
      </c>
      <c r="C26" s="8" t="n">
        <f aca="false">1+COUNTIF($B$5:$B$101,"&gt;"&amp;B26)+COUNTIFS($B$5:$B$101,B26,$A$5:$A$101,"&lt;"&amp;A26)</f>
        <v>77</v>
      </c>
    </row>
    <row r="27" customFormat="false" ht="15" hidden="false" customHeight="false" outlineLevel="0" collapsed="false">
      <c r="A27" s="4" t="n">
        <v>712</v>
      </c>
      <c r="B27" s="4" t="n">
        <v>0.050384</v>
      </c>
      <c r="C27" s="8" t="n">
        <f aca="false">1+COUNTIF($B$5:$B$101,"&gt;"&amp;B27)+COUNTIFS($B$5:$B$101,B27,$A$5:$A$101,"&lt;"&amp;A27)</f>
        <v>78</v>
      </c>
    </row>
    <row r="28" customFormat="false" ht="15" hidden="false" customHeight="false" outlineLevel="0" collapsed="false">
      <c r="A28" s="4" t="n">
        <v>754</v>
      </c>
      <c r="B28" s="4" t="n">
        <v>0.004575</v>
      </c>
      <c r="C28" s="8" t="n">
        <f aca="false">1+COUNTIF($B$5:$B$101,"&gt;"&amp;B28)+COUNTIFS($B$5:$B$101,B28,$A$5:$A$101,"&lt;"&amp;A28)</f>
        <v>97</v>
      </c>
    </row>
    <row r="29" customFormat="false" ht="15" hidden="false" customHeight="false" outlineLevel="0" collapsed="false">
      <c r="A29" s="4" t="n">
        <v>887</v>
      </c>
      <c r="B29" s="4" t="n">
        <v>0.014709</v>
      </c>
      <c r="C29" s="8" t="n">
        <f aca="false">1+COUNTIF($B$5:$B$101,"&gt;"&amp;B29)+COUNTIFS($B$5:$B$101,B29,$A$5:$A$101,"&lt;"&amp;A29)</f>
        <v>93</v>
      </c>
    </row>
    <row r="30" customFormat="false" ht="15" hidden="false" customHeight="false" outlineLevel="0" collapsed="false">
      <c r="A30" s="4" t="n">
        <v>914</v>
      </c>
      <c r="B30" s="4" t="n">
        <v>0.036059</v>
      </c>
      <c r="C30" s="8" t="n">
        <f aca="false">1+COUNTIF($B$5:$B$101,"&gt;"&amp;B30)+COUNTIFS($B$5:$B$101,B30,$A$5:$A$101,"&lt;"&amp;A30)</f>
        <v>85</v>
      </c>
    </row>
    <row r="31" customFormat="false" ht="15" hidden="false" customHeight="false" outlineLevel="0" collapsed="false">
      <c r="A31" s="4" t="n">
        <v>929</v>
      </c>
      <c r="B31" s="4" t="n">
        <v>0.064489</v>
      </c>
      <c r="C31" s="8" t="n">
        <f aca="false">1+COUNTIF($B$5:$B$101,"&gt;"&amp;B31)+COUNTIFS($B$5:$B$101,B31,$A$5:$A$101,"&lt;"&amp;A31)</f>
        <v>63</v>
      </c>
    </row>
    <row r="32" customFormat="false" ht="15" hidden="false" customHeight="false" outlineLevel="0" collapsed="false">
      <c r="A32" s="4" t="n">
        <v>937</v>
      </c>
      <c r="B32" s="4" t="n">
        <v>0.061122</v>
      </c>
      <c r="C32" s="8" t="n">
        <f aca="false">1+COUNTIF($B$5:$B$101,"&gt;"&amp;B32)+COUNTIFS($B$5:$B$101,B32,$A$5:$A$101,"&lt;"&amp;A32)</f>
        <v>68</v>
      </c>
    </row>
    <row r="33" customFormat="false" ht="15" hidden="false" customHeight="false" outlineLevel="0" collapsed="false">
      <c r="A33" s="4" t="n">
        <v>951</v>
      </c>
      <c r="B33" s="4" t="n">
        <v>0.107402</v>
      </c>
      <c r="C33" s="8" t="n">
        <f aca="false">1+COUNTIF($B$5:$B$101,"&gt;"&amp;B33)+COUNTIFS($B$5:$B$101,B33,$A$5:$A$101,"&lt;"&amp;A33)</f>
        <v>41</v>
      </c>
    </row>
    <row r="34" customFormat="false" ht="15" hidden="false" customHeight="false" outlineLevel="0" collapsed="false">
      <c r="A34" s="4" t="n">
        <v>978</v>
      </c>
      <c r="B34" s="4" t="n">
        <v>0.16882</v>
      </c>
      <c r="C34" s="8" t="n">
        <f aca="false">1+COUNTIF($B$5:$B$101,"&gt;"&amp;B34)+COUNTIFS($B$5:$B$101,B34,$A$5:$A$101,"&lt;"&amp;A34)</f>
        <v>5</v>
      </c>
    </row>
    <row r="35" customFormat="false" ht="15" hidden="false" customHeight="false" outlineLevel="0" collapsed="false">
      <c r="A35" s="4" t="n">
        <v>994</v>
      </c>
      <c r="B35" s="4" t="n">
        <v>0.032725</v>
      </c>
      <c r="C35" s="8" t="n">
        <f aca="false">1+COUNTIF($B$5:$B$101,"&gt;"&amp;B35)+COUNTIFS($B$5:$B$101,B35,$A$5:$A$101,"&lt;"&amp;A35)</f>
        <v>88</v>
      </c>
    </row>
    <row r="36" customFormat="false" ht="15" hidden="false" customHeight="false" outlineLevel="0" collapsed="false">
      <c r="A36" s="4" t="n">
        <v>1046</v>
      </c>
      <c r="B36" s="4" t="n">
        <v>0.014076</v>
      </c>
      <c r="C36" s="8" t="n">
        <f aca="false">1+COUNTIF($B$5:$B$101,"&gt;"&amp;B36)+COUNTIFS($B$5:$B$101,B36,$A$5:$A$101,"&lt;"&amp;A36)</f>
        <v>94</v>
      </c>
    </row>
    <row r="37" customFormat="false" ht="15" hidden="false" customHeight="false" outlineLevel="0" collapsed="false">
      <c r="A37" s="4" t="n">
        <v>1079</v>
      </c>
      <c r="B37" s="4" t="n">
        <v>0.092553</v>
      </c>
      <c r="C37" s="8" t="n">
        <f aca="false">1+COUNTIF($B$5:$B$101,"&gt;"&amp;B37)+COUNTIFS($B$5:$B$101,B37,$A$5:$A$101,"&lt;"&amp;A37)</f>
        <v>46</v>
      </c>
    </row>
    <row r="38" customFormat="false" ht="15" hidden="false" customHeight="false" outlineLevel="0" collapsed="false">
      <c r="A38" s="4" t="n">
        <v>1101</v>
      </c>
      <c r="B38" s="4" t="n">
        <v>0.140611</v>
      </c>
      <c r="C38" s="8" t="n">
        <f aca="false">1+COUNTIF($B$5:$B$101,"&gt;"&amp;B38)+COUNTIFS($B$5:$B$101,B38,$A$5:$A$101,"&lt;"&amp;A38)</f>
        <v>14</v>
      </c>
    </row>
    <row r="39" customFormat="false" ht="15" hidden="false" customHeight="false" outlineLevel="0" collapsed="false">
      <c r="A39" s="4" t="n">
        <v>1116</v>
      </c>
      <c r="B39" s="4" t="n">
        <v>0.081596</v>
      </c>
      <c r="C39" s="8" t="n">
        <f aca="false">1+COUNTIF($B$5:$B$101,"&gt;"&amp;B39)+COUNTIFS($B$5:$B$101,B39,$A$5:$A$101,"&lt;"&amp;A39)</f>
        <v>50</v>
      </c>
    </row>
    <row r="40" customFormat="false" ht="15" hidden="false" customHeight="false" outlineLevel="0" collapsed="false">
      <c r="A40" s="4" t="n">
        <v>1130</v>
      </c>
      <c r="B40" s="4" t="n">
        <v>0.068502</v>
      </c>
      <c r="C40" s="8" t="n">
        <f aca="false">1+COUNTIF($B$5:$B$101,"&gt;"&amp;B40)+COUNTIFS($B$5:$B$101,B40,$A$5:$A$101,"&lt;"&amp;A40)</f>
        <v>59</v>
      </c>
    </row>
    <row r="41" customFormat="false" ht="15" hidden="false" customHeight="false" outlineLevel="0" collapsed="false">
      <c r="A41" s="4" t="n">
        <v>1141</v>
      </c>
      <c r="B41" s="4" t="n">
        <v>0.126611</v>
      </c>
      <c r="C41" s="8" t="n">
        <f aca="false">1+COUNTIF($B$5:$B$101,"&gt;"&amp;B41)+COUNTIFS($B$5:$B$101,B41,$A$5:$A$101,"&lt;"&amp;A41)</f>
        <v>28</v>
      </c>
    </row>
    <row r="42" customFormat="false" ht="15" hidden="false" customHeight="false" outlineLevel="0" collapsed="false">
      <c r="A42" s="4" t="n">
        <v>1198</v>
      </c>
      <c r="B42" s="4" t="n">
        <v>0.219089</v>
      </c>
      <c r="C42" s="8" t="n">
        <f aca="false">1+COUNTIF($B$5:$B$101,"&gt;"&amp;B42)+COUNTIFS($B$5:$B$101,B42,$A$5:$A$101,"&lt;"&amp;A42)</f>
        <v>2</v>
      </c>
    </row>
    <row r="43" customFormat="false" ht="15" hidden="false" customHeight="false" outlineLevel="0" collapsed="false">
      <c r="A43" s="4" t="n">
        <v>1236</v>
      </c>
      <c r="B43" s="4" t="n">
        <v>0.114513</v>
      </c>
      <c r="C43" s="8" t="n">
        <f aca="false">1+COUNTIF($B$5:$B$101,"&gt;"&amp;B43)+COUNTIFS($B$5:$B$101,B43,$A$5:$A$101,"&lt;"&amp;A43)</f>
        <v>34</v>
      </c>
    </row>
    <row r="44" customFormat="false" ht="15" hidden="false" customHeight="false" outlineLevel="0" collapsed="false">
      <c r="A44" s="4" t="n">
        <v>1237</v>
      </c>
      <c r="B44" s="4" t="n">
        <v>0.177554</v>
      </c>
      <c r="C44" s="8" t="n">
        <f aca="false">1+COUNTIF($B$5:$B$101,"&gt;"&amp;B44)+COUNTIFS($B$5:$B$101,B44,$A$5:$A$101,"&lt;"&amp;A44)</f>
        <v>4</v>
      </c>
    </row>
    <row r="45" customFormat="false" ht="15" hidden="false" customHeight="false" outlineLevel="0" collapsed="false">
      <c r="A45" s="4" t="n">
        <v>1263</v>
      </c>
      <c r="B45" s="4" t="n">
        <v>0.062051</v>
      </c>
      <c r="C45" s="8" t="n">
        <f aca="false">1+COUNTIF($B$5:$B$101,"&gt;"&amp;B45)+COUNTIFS($B$5:$B$101,B45,$A$5:$A$101,"&lt;"&amp;A45)</f>
        <v>66</v>
      </c>
    </row>
    <row r="46" customFormat="false" ht="15" hidden="false" customHeight="false" outlineLevel="0" collapsed="false">
      <c r="A46" s="4" t="n">
        <v>1289</v>
      </c>
      <c r="B46" s="4" t="n">
        <v>0.108852</v>
      </c>
      <c r="C46" s="8" t="n">
        <f aca="false">1+COUNTIF($B$5:$B$101,"&gt;"&amp;B46)+COUNTIFS($B$5:$B$101,B46,$A$5:$A$101,"&lt;"&amp;A46)</f>
        <v>40</v>
      </c>
    </row>
    <row r="47" customFormat="false" ht="15" hidden="false" customHeight="false" outlineLevel="0" collapsed="false">
      <c r="A47" s="4" t="n">
        <v>1323</v>
      </c>
      <c r="B47" s="4" t="n">
        <v>0.128867</v>
      </c>
      <c r="C47" s="8" t="n">
        <f aca="false">1+COUNTIF($B$5:$B$101,"&gt;"&amp;B47)+COUNTIFS($B$5:$B$101,B47,$A$5:$A$101,"&lt;"&amp;A47)</f>
        <v>24</v>
      </c>
    </row>
    <row r="48" customFormat="false" ht="15" hidden="false" customHeight="false" outlineLevel="0" collapsed="false">
      <c r="A48" s="4" t="n">
        <v>1385</v>
      </c>
      <c r="B48" s="4" t="n">
        <v>0.079911</v>
      </c>
      <c r="C48" s="8" t="n">
        <f aca="false">1+COUNTIF($B$5:$B$101,"&gt;"&amp;B48)+COUNTIFS($B$5:$B$101,B48,$A$5:$A$101,"&lt;"&amp;A48)</f>
        <v>51</v>
      </c>
    </row>
    <row r="49" customFormat="false" ht="15" hidden="false" customHeight="false" outlineLevel="0" collapsed="false">
      <c r="A49" s="4" t="n">
        <v>1386</v>
      </c>
      <c r="B49" s="4" t="n">
        <v>0.065643</v>
      </c>
      <c r="C49" s="8" t="n">
        <f aca="false">1+COUNTIF($B$5:$B$101,"&gt;"&amp;B49)+COUNTIFS($B$5:$B$101,B49,$A$5:$A$101,"&lt;"&amp;A49)</f>
        <v>61</v>
      </c>
    </row>
    <row r="50" customFormat="false" ht="15" hidden="false" customHeight="false" outlineLevel="0" collapsed="false">
      <c r="A50" s="4" t="n">
        <v>1388</v>
      </c>
      <c r="B50" s="4" t="n">
        <v>0.110417</v>
      </c>
      <c r="C50" s="8" t="n">
        <f aca="false">1+COUNTIF($B$5:$B$101,"&gt;"&amp;B50)+COUNTIFS($B$5:$B$101,B50,$A$5:$A$101,"&lt;"&amp;A50)</f>
        <v>36</v>
      </c>
    </row>
    <row r="51" customFormat="false" ht="15" hidden="false" customHeight="false" outlineLevel="0" collapsed="false">
      <c r="A51" s="4" t="n">
        <v>1398</v>
      </c>
      <c r="B51" s="4" t="n">
        <v>0.110487</v>
      </c>
      <c r="C51" s="8" t="n">
        <f aca="false">1+COUNTIF($B$5:$B$101,"&gt;"&amp;B51)+COUNTIFS($B$5:$B$101,B51,$A$5:$A$101,"&lt;"&amp;A51)</f>
        <v>35</v>
      </c>
    </row>
    <row r="52" customFormat="false" ht="15" hidden="false" customHeight="false" outlineLevel="0" collapsed="false">
      <c r="A52" s="4" t="n">
        <v>1428</v>
      </c>
      <c r="B52" s="4" t="n">
        <v>0.045889</v>
      </c>
      <c r="C52" s="8" t="n">
        <f aca="false">1+COUNTIF($B$5:$B$101,"&gt;"&amp;B52)+COUNTIFS($B$5:$B$101,B52,$A$5:$A$101,"&lt;"&amp;A52)</f>
        <v>82</v>
      </c>
    </row>
    <row r="53" customFormat="false" ht="15" hidden="false" customHeight="false" outlineLevel="0" collapsed="false">
      <c r="A53" s="4" t="n">
        <v>1434</v>
      </c>
      <c r="B53" s="4" t="n">
        <v>0.092407</v>
      </c>
      <c r="C53" s="8" t="n">
        <f aca="false">1+COUNTIF($B$5:$B$101,"&gt;"&amp;B53)+COUNTIFS($B$5:$B$101,B53,$A$5:$A$101,"&lt;"&amp;A53)</f>
        <v>47</v>
      </c>
    </row>
    <row r="54" customFormat="false" ht="15" hidden="false" customHeight="false" outlineLevel="0" collapsed="false">
      <c r="A54" s="4" t="n">
        <v>1454</v>
      </c>
      <c r="B54" s="4" t="n">
        <v>0.047716</v>
      </c>
      <c r="C54" s="8" t="n">
        <f aca="false">1+COUNTIF($B$5:$B$101,"&gt;"&amp;B54)+COUNTIFS($B$5:$B$101,B54,$A$5:$A$101,"&lt;"&amp;A54)</f>
        <v>80</v>
      </c>
    </row>
    <row r="55" customFormat="false" ht="15" hidden="false" customHeight="false" outlineLevel="0" collapsed="false">
      <c r="A55" s="4" t="n">
        <v>1459</v>
      </c>
      <c r="B55" s="4" t="n">
        <v>0.13604</v>
      </c>
      <c r="C55" s="8" t="n">
        <f aca="false">1+COUNTIF($B$5:$B$101,"&gt;"&amp;B55)+COUNTIFS($B$5:$B$101,B55,$A$5:$A$101,"&lt;"&amp;A55)</f>
        <v>16</v>
      </c>
    </row>
    <row r="56" customFormat="false" ht="15" hidden="false" customHeight="false" outlineLevel="0" collapsed="false">
      <c r="A56" s="4" t="n">
        <v>1472</v>
      </c>
      <c r="B56" s="4" t="n">
        <v>0.01346</v>
      </c>
      <c r="C56" s="8" t="n">
        <f aca="false">1+COUNTIF($B$5:$B$101,"&gt;"&amp;B56)+COUNTIFS($B$5:$B$101,B56,$A$5:$A$101,"&lt;"&amp;A56)</f>
        <v>95</v>
      </c>
    </row>
    <row r="57" customFormat="false" ht="15" hidden="false" customHeight="false" outlineLevel="0" collapsed="false">
      <c r="A57" s="4" t="n">
        <v>1477</v>
      </c>
      <c r="B57" s="4" t="n">
        <v>0.12406</v>
      </c>
      <c r="C57" s="8" t="n">
        <f aca="false">1+COUNTIF($B$5:$B$101,"&gt;"&amp;B57)+COUNTIFS($B$5:$B$101,B57,$A$5:$A$101,"&lt;"&amp;A57)</f>
        <v>31</v>
      </c>
    </row>
    <row r="58" customFormat="false" ht="15" hidden="false" customHeight="false" outlineLevel="0" collapsed="false">
      <c r="A58" s="4" t="n">
        <v>1519</v>
      </c>
      <c r="B58" s="4" t="n">
        <v>0.079035</v>
      </c>
      <c r="C58" s="8" t="n">
        <f aca="false">1+COUNTIF($B$5:$B$101,"&gt;"&amp;B58)+COUNTIFS($B$5:$B$101,B58,$A$5:$A$101,"&lt;"&amp;A58)</f>
        <v>54</v>
      </c>
    </row>
    <row r="59" customFormat="false" ht="15" hidden="false" customHeight="false" outlineLevel="0" collapsed="false">
      <c r="A59" s="4" t="n">
        <v>1523</v>
      </c>
      <c r="B59" s="4" t="n">
        <v>0.091997</v>
      </c>
      <c r="C59" s="8" t="n">
        <f aca="false">1+COUNTIF($B$5:$B$101,"&gt;"&amp;B59)+COUNTIFS($B$5:$B$101,B59,$A$5:$A$101,"&lt;"&amp;A59)</f>
        <v>48</v>
      </c>
    </row>
    <row r="60" customFormat="false" ht="15" hidden="false" customHeight="false" outlineLevel="0" collapsed="false">
      <c r="A60" s="4" t="n">
        <v>1546</v>
      </c>
      <c r="B60" s="4" t="n">
        <v>0.149074</v>
      </c>
      <c r="C60" s="8" t="n">
        <f aca="false">1+COUNTIF($B$5:$B$101,"&gt;"&amp;B60)+COUNTIFS($B$5:$B$101,B60,$A$5:$A$101,"&lt;"&amp;A60)</f>
        <v>12</v>
      </c>
    </row>
    <row r="61" customFormat="false" ht="15" hidden="false" customHeight="false" outlineLevel="0" collapsed="false">
      <c r="A61" s="4" t="n">
        <v>1579</v>
      </c>
      <c r="B61" s="4" t="n">
        <v>0.032466</v>
      </c>
      <c r="C61" s="8" t="n">
        <f aca="false">1+COUNTIF($B$5:$B$101,"&gt;"&amp;B61)+COUNTIFS($B$5:$B$101,B61,$A$5:$A$101,"&lt;"&amp;A61)</f>
        <v>89</v>
      </c>
    </row>
    <row r="62" customFormat="false" ht="15" hidden="false" customHeight="false" outlineLevel="0" collapsed="false">
      <c r="A62" s="4" t="n">
        <v>1598</v>
      </c>
      <c r="B62" s="4" t="n">
        <v>0.030232</v>
      </c>
      <c r="C62" s="8" t="n">
        <f aca="false">1+COUNTIF($B$5:$B$101,"&gt;"&amp;B62)+COUNTIFS($B$5:$B$101,B62,$A$5:$A$101,"&lt;"&amp;A62)</f>
        <v>90</v>
      </c>
    </row>
    <row r="63" customFormat="false" ht="15" hidden="false" customHeight="false" outlineLevel="0" collapsed="false">
      <c r="A63" s="4" t="n">
        <v>1637</v>
      </c>
      <c r="B63" s="4" t="n">
        <v>0.15954</v>
      </c>
      <c r="C63" s="8" t="n">
        <f aca="false">1+COUNTIF($B$5:$B$101,"&gt;"&amp;B63)+COUNTIFS($B$5:$B$101,B63,$A$5:$A$101,"&lt;"&amp;A63)</f>
        <v>9</v>
      </c>
    </row>
    <row r="64" customFormat="false" ht="15" hidden="false" customHeight="false" outlineLevel="0" collapsed="false">
      <c r="A64" s="4" t="n">
        <v>1711</v>
      </c>
      <c r="B64" s="4" t="n">
        <v>0.146853</v>
      </c>
      <c r="C64" s="8" t="n">
        <f aca="false">1+COUNTIF($B$5:$B$101,"&gt;"&amp;B64)+COUNTIFS($B$5:$B$101,B64,$A$5:$A$101,"&lt;"&amp;A64)</f>
        <v>13</v>
      </c>
    </row>
    <row r="65" customFormat="false" ht="15" hidden="false" customHeight="false" outlineLevel="0" collapsed="false">
      <c r="A65" s="4" t="n">
        <v>1713</v>
      </c>
      <c r="B65" s="4" t="n">
        <v>0.110015</v>
      </c>
      <c r="C65" s="8" t="n">
        <f aca="false">1+COUNTIF($B$5:$B$101,"&gt;"&amp;B65)+COUNTIFS($B$5:$B$101,B65,$A$5:$A$101,"&lt;"&amp;A65)</f>
        <v>38</v>
      </c>
    </row>
    <row r="66" customFormat="false" ht="15" hidden="false" customHeight="false" outlineLevel="0" collapsed="false">
      <c r="A66" s="4" t="n">
        <v>1715</v>
      </c>
      <c r="B66" s="4" t="n">
        <v>0.074544</v>
      </c>
      <c r="C66" s="8" t="n">
        <f aca="false">1+COUNTIF($B$5:$B$101,"&gt;"&amp;B66)+COUNTIFS($B$5:$B$101,B66,$A$5:$A$101,"&lt;"&amp;A66)</f>
        <v>57</v>
      </c>
    </row>
    <row r="67" customFormat="false" ht="15" hidden="false" customHeight="false" outlineLevel="0" collapsed="false">
      <c r="A67" s="4" t="n">
        <v>1778</v>
      </c>
      <c r="B67" s="4" t="n">
        <v>0.035224</v>
      </c>
      <c r="C67" s="8" t="n">
        <f aca="false">1+COUNTIF($B$5:$B$101,"&gt;"&amp;B67)+COUNTIFS($B$5:$B$101,B67,$A$5:$A$101,"&lt;"&amp;A67)</f>
        <v>86</v>
      </c>
    </row>
    <row r="68" customFormat="false" ht="15" hidden="false" customHeight="false" outlineLevel="0" collapsed="false">
      <c r="A68" s="4" t="n">
        <v>1781</v>
      </c>
      <c r="B68" s="4" t="n">
        <v>0.053136</v>
      </c>
      <c r="C68" s="8" t="n">
        <f aca="false">1+COUNTIF($B$5:$B$101,"&gt;"&amp;B68)+COUNTIFS($B$5:$B$101,B68,$A$5:$A$101,"&lt;"&amp;A68)</f>
        <v>74</v>
      </c>
    </row>
    <row r="69" customFormat="false" ht="15" hidden="false" customHeight="false" outlineLevel="0" collapsed="false">
      <c r="A69" s="4" t="n">
        <v>1789</v>
      </c>
      <c r="B69" s="4" t="n">
        <v>0.058155</v>
      </c>
      <c r="C69" s="8" t="n">
        <f aca="false">1+COUNTIF($B$5:$B$101,"&gt;"&amp;B69)+COUNTIFS($B$5:$B$101,B69,$A$5:$A$101,"&lt;"&amp;A69)</f>
        <v>69</v>
      </c>
    </row>
    <row r="70" customFormat="false" ht="15" hidden="false" customHeight="false" outlineLevel="0" collapsed="false">
      <c r="A70" s="4" t="n">
        <v>1795</v>
      </c>
      <c r="B70" s="4" t="n">
        <v>0.035137</v>
      </c>
      <c r="C70" s="8" t="n">
        <f aca="false">1+COUNTIF($B$5:$B$101,"&gt;"&amp;B70)+COUNTIFS($B$5:$B$101,B70,$A$5:$A$101,"&lt;"&amp;A70)</f>
        <v>87</v>
      </c>
    </row>
    <row r="71" customFormat="false" ht="15" hidden="false" customHeight="false" outlineLevel="0" collapsed="false">
      <c r="A71" s="4" t="n">
        <v>1807</v>
      </c>
      <c r="B71" s="4" t="n">
        <v>0.04809</v>
      </c>
      <c r="C71" s="8" t="n">
        <f aca="false">1+COUNTIF($B$5:$B$101,"&gt;"&amp;B71)+COUNTIFS($B$5:$B$101,B71,$A$5:$A$101,"&lt;"&amp;A71)</f>
        <v>79</v>
      </c>
    </row>
    <row r="72" customFormat="false" ht="15" hidden="false" customHeight="false" outlineLevel="0" collapsed="false">
      <c r="A72" s="4" t="n">
        <v>1822</v>
      </c>
      <c r="B72" s="4" t="n">
        <v>0.130134</v>
      </c>
      <c r="C72" s="8" t="n">
        <f aca="false">1+COUNTIF($B$5:$B$101,"&gt;"&amp;B72)+COUNTIFS($B$5:$B$101,B72,$A$5:$A$101,"&lt;"&amp;A72)</f>
        <v>22</v>
      </c>
    </row>
    <row r="73" customFormat="false" ht="15" hidden="false" customHeight="false" outlineLevel="0" collapsed="false">
      <c r="A73" s="4" t="n">
        <v>1825</v>
      </c>
      <c r="B73" s="4" t="n">
        <v>0.137707</v>
      </c>
      <c r="C73" s="8" t="n">
        <f aca="false">1+COUNTIF($B$5:$B$101,"&gt;"&amp;B73)+COUNTIFS($B$5:$B$101,B73,$A$5:$A$101,"&lt;"&amp;A73)</f>
        <v>15</v>
      </c>
    </row>
    <row r="74" customFormat="false" ht="15" hidden="false" customHeight="false" outlineLevel="0" collapsed="false">
      <c r="A74" s="4" t="n">
        <v>1854</v>
      </c>
      <c r="B74" s="4" t="n">
        <v>0.134771</v>
      </c>
      <c r="C74" s="8" t="n">
        <f aca="false">1+COUNTIF($B$5:$B$101,"&gt;"&amp;B74)+COUNTIFS($B$5:$B$101,B74,$A$5:$A$101,"&lt;"&amp;A74)</f>
        <v>17</v>
      </c>
    </row>
    <row r="75" customFormat="false" ht="15" hidden="false" customHeight="false" outlineLevel="0" collapsed="false">
      <c r="A75" s="4" t="n">
        <v>1856</v>
      </c>
      <c r="B75" s="4" t="n">
        <v>0.133232</v>
      </c>
      <c r="C75" s="8" t="n">
        <f aca="false">1+COUNTIF($B$5:$B$101,"&gt;"&amp;B75)+COUNTIFS($B$5:$B$101,B75,$A$5:$A$101,"&lt;"&amp;A75)</f>
        <v>19</v>
      </c>
    </row>
    <row r="76" customFormat="false" ht="15" hidden="false" customHeight="false" outlineLevel="0" collapsed="false">
      <c r="A76" s="4" t="n">
        <v>1867</v>
      </c>
      <c r="B76" s="4" t="n">
        <v>0.065286</v>
      </c>
      <c r="C76" s="8" t="n">
        <f aca="false">1+COUNTIF($B$5:$B$101,"&gt;"&amp;B76)+COUNTIFS($B$5:$B$101,B76,$A$5:$A$101,"&lt;"&amp;A76)</f>
        <v>62</v>
      </c>
    </row>
    <row r="77" customFormat="false" ht="15" hidden="false" customHeight="false" outlineLevel="0" collapsed="false">
      <c r="A77" s="4" t="n">
        <v>1873</v>
      </c>
      <c r="B77" s="4" t="n">
        <v>0.052801</v>
      </c>
      <c r="C77" s="8" t="n">
        <f aca="false">1+COUNTIF($B$5:$B$101,"&gt;"&amp;B77)+COUNTIFS($B$5:$B$101,B77,$A$5:$A$101,"&lt;"&amp;A77)</f>
        <v>75</v>
      </c>
    </row>
    <row r="78" customFormat="false" ht="15" hidden="false" customHeight="false" outlineLevel="0" collapsed="false">
      <c r="A78" s="4" t="n">
        <v>1918</v>
      </c>
      <c r="B78" s="4" t="n">
        <v>0.158673</v>
      </c>
      <c r="C78" s="8" t="n">
        <f aca="false">1+COUNTIF($B$5:$B$101,"&gt;"&amp;B78)+COUNTIFS($B$5:$B$101,B78,$A$5:$A$101,"&lt;"&amp;A78)</f>
        <v>10</v>
      </c>
    </row>
    <row r="79" customFormat="false" ht="15" hidden="false" customHeight="false" outlineLevel="0" collapsed="false">
      <c r="A79" s="4" t="n">
        <v>1925</v>
      </c>
      <c r="B79" s="4" t="n">
        <v>0.027048</v>
      </c>
      <c r="C79" s="8" t="n">
        <f aca="false">1+COUNTIF($B$5:$B$101,"&gt;"&amp;B79)+COUNTIFS($B$5:$B$101,B79,$A$5:$A$101,"&lt;"&amp;A79)</f>
        <v>91</v>
      </c>
    </row>
    <row r="80" customFormat="false" ht="15" hidden="false" customHeight="false" outlineLevel="0" collapsed="false">
      <c r="A80" s="4" t="n">
        <v>1928</v>
      </c>
      <c r="B80" s="4" t="n">
        <v>0.246329</v>
      </c>
      <c r="C80" s="8" t="n">
        <f aca="false">1+COUNTIF($B$5:$B$101,"&gt;"&amp;B80)+COUNTIFS($B$5:$B$101,B80,$A$5:$A$101,"&lt;"&amp;A80)</f>
        <v>1</v>
      </c>
    </row>
    <row r="81" customFormat="false" ht="15" hidden="false" customHeight="false" outlineLevel="0" collapsed="false">
      <c r="A81" s="4" t="n">
        <v>1964</v>
      </c>
      <c r="B81" s="4" t="n">
        <v>0.062069</v>
      </c>
      <c r="C81" s="8" t="n">
        <f aca="false">1+COUNTIF($B$5:$B$101,"&gt;"&amp;B81)+COUNTIFS($B$5:$B$101,B81,$A$5:$A$101,"&lt;"&amp;A81)</f>
        <v>65</v>
      </c>
    </row>
    <row r="82" customFormat="false" ht="15" hidden="false" customHeight="false" outlineLevel="0" collapsed="false">
      <c r="A82" s="4" t="n">
        <v>1995</v>
      </c>
      <c r="B82" s="4" t="n">
        <v>0.211245</v>
      </c>
      <c r="C82" s="8" t="n">
        <f aca="false">1+COUNTIF($B$5:$B$101,"&gt;"&amp;B82)+COUNTIFS($B$5:$B$101,B82,$A$5:$A$101,"&lt;"&amp;A82)</f>
        <v>3</v>
      </c>
    </row>
    <row r="83" customFormat="false" ht="15" hidden="false" customHeight="false" outlineLevel="0" collapsed="false">
      <c r="A83" s="4" t="n">
        <v>1998</v>
      </c>
      <c r="B83" s="4" t="n">
        <v>0.055295</v>
      </c>
      <c r="C83" s="8" t="n">
        <f aca="false">1+COUNTIF($B$5:$B$101,"&gt;"&amp;B83)+COUNTIFS($B$5:$B$101,B83,$A$5:$A$101,"&lt;"&amp;A83)</f>
        <v>70</v>
      </c>
    </row>
    <row r="84" customFormat="false" ht="15" hidden="false" customHeight="false" outlineLevel="0" collapsed="false">
      <c r="A84" s="4" t="n">
        <v>2007</v>
      </c>
      <c r="B84" s="4" t="n">
        <v>0.038622</v>
      </c>
      <c r="C84" s="8" t="n">
        <f aca="false">1+COUNTIF($B$5:$B$101,"&gt;"&amp;B84)+COUNTIFS($B$5:$B$101,B84,$A$5:$A$101,"&lt;"&amp;A84)</f>
        <v>84</v>
      </c>
    </row>
    <row r="85" customFormat="false" ht="15" hidden="false" customHeight="false" outlineLevel="0" collapsed="false">
      <c r="A85" s="4" t="n">
        <v>2008</v>
      </c>
      <c r="B85" s="4" t="n">
        <v>0.079184</v>
      </c>
      <c r="C85" s="8" t="n">
        <f aca="false">1+COUNTIF($B$5:$B$101,"&gt;"&amp;B85)+COUNTIFS($B$5:$B$101,B85,$A$5:$A$101,"&lt;"&amp;A85)</f>
        <v>53</v>
      </c>
    </row>
    <row r="86" customFormat="false" ht="15" hidden="false" customHeight="false" outlineLevel="0" collapsed="false">
      <c r="A86" s="4" t="n">
        <v>2040</v>
      </c>
      <c r="B86" s="4" t="n">
        <v>0.110325</v>
      </c>
      <c r="C86" s="8" t="n">
        <f aca="false">1+COUNTIF($B$5:$B$101,"&gt;"&amp;B86)+COUNTIFS($B$5:$B$101,B86,$A$5:$A$101,"&lt;"&amp;A86)</f>
        <v>37</v>
      </c>
    </row>
    <row r="87" customFormat="false" ht="15" hidden="false" customHeight="false" outlineLevel="0" collapsed="false">
      <c r="A87" s="4" t="n">
        <v>2051</v>
      </c>
      <c r="B87" s="4" t="n">
        <v>0.061481</v>
      </c>
      <c r="C87" s="8" t="n">
        <f aca="false">1+COUNTIF($B$5:$B$101,"&gt;"&amp;B87)+COUNTIFS($B$5:$B$101,B87,$A$5:$A$101,"&lt;"&amp;A87)</f>
        <v>67</v>
      </c>
    </row>
    <row r="88" customFormat="false" ht="15" hidden="false" customHeight="false" outlineLevel="0" collapsed="false">
      <c r="A88" s="4" t="n">
        <v>2073</v>
      </c>
      <c r="B88" s="4" t="n">
        <v>0.123972</v>
      </c>
      <c r="C88" s="8" t="n">
        <f aca="false">1+COUNTIF($B$5:$B$101,"&gt;"&amp;B88)+COUNTIFS($B$5:$B$101,B88,$A$5:$A$101,"&lt;"&amp;A88)</f>
        <v>33</v>
      </c>
    </row>
    <row r="89" customFormat="false" ht="15" hidden="false" customHeight="false" outlineLevel="0" collapsed="false">
      <c r="A89" s="4" t="n">
        <v>2101</v>
      </c>
      <c r="B89" s="4" t="n">
        <v>0.10894</v>
      </c>
      <c r="C89" s="8" t="n">
        <f aca="false">1+COUNTIF($B$5:$B$101,"&gt;"&amp;B89)+COUNTIFS($B$5:$B$101,B89,$A$5:$A$101,"&lt;"&amp;A89)</f>
        <v>39</v>
      </c>
    </row>
    <row r="90" customFormat="false" ht="15" hidden="false" customHeight="false" outlineLevel="0" collapsed="false">
      <c r="A90" s="4" t="n">
        <v>2129</v>
      </c>
      <c r="B90" s="4" t="n">
        <v>0.106794</v>
      </c>
      <c r="C90" s="8" t="n">
        <f aca="false">1+COUNTIF($B$5:$B$101,"&gt;"&amp;B90)+COUNTIFS($B$5:$B$101,B90,$A$5:$A$101,"&lt;"&amp;A90)</f>
        <v>42</v>
      </c>
    </row>
    <row r="91" customFormat="false" ht="15" hidden="false" customHeight="false" outlineLevel="0" collapsed="false">
      <c r="A91" s="4" t="n">
        <v>2173</v>
      </c>
      <c r="B91" s="4" t="n">
        <v>0.128295</v>
      </c>
      <c r="C91" s="8" t="n">
        <f aca="false">1+COUNTIF($B$5:$B$101,"&gt;"&amp;B91)+COUNTIFS($B$5:$B$101,B91,$A$5:$A$101,"&lt;"&amp;A91)</f>
        <v>26</v>
      </c>
    </row>
    <row r="92" customFormat="false" ht="15" hidden="false" customHeight="false" outlineLevel="0" collapsed="false">
      <c r="A92" s="4" t="n">
        <v>2176</v>
      </c>
      <c r="B92" s="4" t="n">
        <v>0.054868</v>
      </c>
      <c r="C92" s="8" t="n">
        <f aca="false">1+COUNTIF($B$5:$B$101,"&gt;"&amp;B92)+COUNTIFS($B$5:$B$101,B92,$A$5:$A$101,"&lt;"&amp;A92)</f>
        <v>71</v>
      </c>
    </row>
    <row r="93" customFormat="false" ht="15" hidden="false" customHeight="false" outlineLevel="0" collapsed="false">
      <c r="A93" s="4" t="n">
        <v>2182</v>
      </c>
      <c r="B93" s="4" t="n">
        <v>0.054445</v>
      </c>
      <c r="C93" s="8" t="n">
        <f aca="false">1+COUNTIF($B$5:$B$101,"&gt;"&amp;B93)+COUNTIFS($B$5:$B$101,B93,$A$5:$A$101,"&lt;"&amp;A93)</f>
        <v>72</v>
      </c>
    </row>
    <row r="94" customFormat="false" ht="15" hidden="false" customHeight="false" outlineLevel="0" collapsed="false">
      <c r="A94" s="4" t="n">
        <v>2190</v>
      </c>
      <c r="B94" s="4" t="n">
        <v>0.012217</v>
      </c>
      <c r="C94" s="8" t="n">
        <f aca="false">1+COUNTIF($B$5:$B$101,"&gt;"&amp;B94)+COUNTIFS($B$5:$B$101,B94,$A$5:$A$101,"&lt;"&amp;A94)</f>
        <v>96</v>
      </c>
    </row>
    <row r="95" customFormat="false" ht="15" hidden="false" customHeight="false" outlineLevel="0" collapsed="false">
      <c r="A95" s="4" t="n">
        <v>2196</v>
      </c>
      <c r="B95" s="4" t="n">
        <v>0.166148</v>
      </c>
      <c r="C95" s="8" t="n">
        <f aca="false">1+COUNTIF($B$5:$B$101,"&gt;"&amp;B95)+COUNTIFS($B$5:$B$101,B95,$A$5:$A$101,"&lt;"&amp;A95)</f>
        <v>6</v>
      </c>
    </row>
    <row r="96" customFormat="false" ht="15" hidden="false" customHeight="false" outlineLevel="0" collapsed="false">
      <c r="A96" s="4" t="n">
        <v>2201</v>
      </c>
      <c r="B96" s="4" t="n">
        <v>0.126285</v>
      </c>
      <c r="C96" s="8" t="n">
        <f aca="false">1+COUNTIF($B$5:$B$101,"&gt;"&amp;B96)+COUNTIFS($B$5:$B$101,B96,$A$5:$A$101,"&lt;"&amp;A96)</f>
        <v>29</v>
      </c>
    </row>
    <row r="97" customFormat="false" ht="15" hidden="false" customHeight="false" outlineLevel="0" collapsed="false">
      <c r="A97" s="4" t="n">
        <v>2215</v>
      </c>
      <c r="B97" s="4" t="n">
        <v>0.130418</v>
      </c>
      <c r="C97" s="8" t="n">
        <f aca="false">1+COUNTIF($B$5:$B$101,"&gt;"&amp;B97)+COUNTIFS($B$5:$B$101,B97,$A$5:$A$101,"&lt;"&amp;A97)</f>
        <v>21</v>
      </c>
    </row>
    <row r="98" customFormat="false" ht="15" hidden="false" customHeight="false" outlineLevel="0" collapsed="false">
      <c r="A98" s="4" t="n">
        <v>2218</v>
      </c>
      <c r="B98" s="4" t="n">
        <v>0.079773</v>
      </c>
      <c r="C98" s="8" t="n">
        <f aca="false">1+COUNTIF($B$5:$B$101,"&gt;"&amp;B98)+COUNTIFS($B$5:$B$101,B98,$A$5:$A$101,"&lt;"&amp;A98)</f>
        <v>52</v>
      </c>
    </row>
    <row r="99" customFormat="false" ht="15" hidden="false" customHeight="false" outlineLevel="0" collapsed="false">
      <c r="A99" s="4" t="n">
        <v>2248</v>
      </c>
      <c r="B99" s="4" t="n">
        <v>0.154217</v>
      </c>
      <c r="C99" s="8" t="n">
        <f aca="false">1+COUNTIF($B$5:$B$101,"&gt;"&amp;B99)+COUNTIFS($B$5:$B$101,B99,$A$5:$A$101,"&lt;"&amp;A99)</f>
        <v>11</v>
      </c>
    </row>
    <row r="100" customFormat="false" ht="15" hidden="false" customHeight="false" outlineLevel="0" collapsed="false">
      <c r="A100" s="4" t="n">
        <v>2294</v>
      </c>
      <c r="B100" s="4" t="n">
        <v>0.078683</v>
      </c>
      <c r="C100" s="8" t="n">
        <f aca="false">1+COUNTIF($B$5:$B$101,"&gt;"&amp;B100)+COUNTIFS($B$5:$B$101,B100,$A$5:$A$101,"&lt;"&amp;A100)</f>
        <v>55</v>
      </c>
    </row>
    <row r="101" customFormat="false" ht="15" hidden="false" customHeight="false" outlineLevel="0" collapsed="false">
      <c r="A101" s="4" t="n">
        <v>2296</v>
      </c>
      <c r="B101" s="4" t="n">
        <v>0.067519</v>
      </c>
      <c r="C101" s="8" t="n">
        <f aca="false">1+COUNTIF($B$5:$B$101,"&gt;"&amp;B101)+COUNTIFS($B$5:$B$101,B101,$A$5:$A$101,"&lt;"&amp;A101)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8" min="6" style="0" width="14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2" min="11" style="0" width="12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0" t="s">
        <v>245</v>
      </c>
    </row>
    <row r="4" customFormat="false" ht="95.5" hidden="false" customHeight="false" outlineLevel="0" collapsed="false">
      <c r="A4" s="7" t="s">
        <v>246</v>
      </c>
      <c r="B4" s="7" t="s">
        <v>247</v>
      </c>
      <c r="C4" s="7" t="s">
        <v>248</v>
      </c>
      <c r="D4" s="7" t="s">
        <v>249</v>
      </c>
      <c r="E4" s="7" t="s">
        <v>250</v>
      </c>
      <c r="F4" s="7" t="s">
        <v>251</v>
      </c>
      <c r="G4" s="7" t="s">
        <v>252</v>
      </c>
      <c r="H4" s="7" t="s">
        <v>253</v>
      </c>
      <c r="I4" s="7" t="s">
        <v>254</v>
      </c>
      <c r="J4" s="7" t="s">
        <v>255</v>
      </c>
      <c r="K4" s="7" t="s">
        <v>256</v>
      </c>
      <c r="L4" s="7" t="s">
        <v>257</v>
      </c>
      <c r="M4" s="7" t="s">
        <v>258</v>
      </c>
      <c r="N4" s="7" t="s">
        <v>259</v>
      </c>
      <c r="O4" s="7" t="s">
        <v>260</v>
      </c>
    </row>
    <row r="5" customFormat="false" ht="15" hidden="false" customHeight="false" outlineLevel="0" collapsed="false">
      <c r="A5" s="11" t="n">
        <v>45658</v>
      </c>
      <c r="B5" s="4" t="s">
        <v>261</v>
      </c>
      <c r="C5" s="4" t="n">
        <v>113</v>
      </c>
      <c r="D5" s="4" t="n">
        <v>113</v>
      </c>
      <c r="E5" s="4" t="n">
        <v>0</v>
      </c>
      <c r="F5" s="4" t="n">
        <v>12</v>
      </c>
      <c r="G5" s="8" t="n">
        <f aca="false">E5/C5</f>
        <v>0</v>
      </c>
      <c r="H5" s="8" t="n">
        <f aca="false">IF(D5=0,"",F5/D5)</f>
        <v>0.106194690265487</v>
      </c>
      <c r="J5" s="0" t="str">
        <f aca="false">IF(ISNUMBER(I5),ROUND(I5*C5,0),"")</f>
        <v/>
      </c>
      <c r="K5" s="4" t="n">
        <v>14</v>
      </c>
      <c r="L5" s="4" t="n">
        <v>0</v>
      </c>
      <c r="M5" s="4" t="n">
        <v>0</v>
      </c>
      <c r="N5" s="8" t="n">
        <f aca="false">L5/K5</f>
        <v>0</v>
      </c>
      <c r="O5" s="8" t="n">
        <f aca="false">IF(ISNUMBER(I5),ABS(J5-I5*C5),0)</f>
        <v>0</v>
      </c>
    </row>
    <row r="6" customFormat="false" ht="15" hidden="false" customHeight="false" outlineLevel="0" collapsed="false">
      <c r="A6" s="11" t="n">
        <v>45689</v>
      </c>
      <c r="B6" s="4" t="s">
        <v>261</v>
      </c>
      <c r="C6" s="4" t="n">
        <v>126</v>
      </c>
      <c r="D6" s="4" t="n">
        <v>126</v>
      </c>
      <c r="E6" s="4" t="n">
        <v>0</v>
      </c>
      <c r="F6" s="4" t="n">
        <v>13</v>
      </c>
      <c r="G6" s="8" t="n">
        <f aca="false">E6/C6</f>
        <v>0</v>
      </c>
      <c r="H6" s="8" t="n">
        <f aca="false">IF(D6=0,"",F6/D6)</f>
        <v>0.103174603174603</v>
      </c>
      <c r="J6" s="0" t="str">
        <f aca="false">IF(ISNUMBER(I6),ROUND(I6*C6,0),"")</f>
        <v/>
      </c>
      <c r="K6" s="4" t="n">
        <v>14</v>
      </c>
      <c r="L6" s="4" t="n">
        <v>0</v>
      </c>
      <c r="M6" s="4" t="n">
        <v>0</v>
      </c>
      <c r="N6" s="8" t="n">
        <f aca="false">L6/K6</f>
        <v>0</v>
      </c>
      <c r="O6" s="8" t="n">
        <f aca="false">IF(ISNUMBER(I6),ABS(J6-I6*C6),0)</f>
        <v>0</v>
      </c>
    </row>
    <row r="7" customFormat="false" ht="15" hidden="false" customHeight="false" outlineLevel="0" collapsed="false">
      <c r="A7" s="11" t="n">
        <v>45717</v>
      </c>
      <c r="B7" s="4" t="s">
        <v>261</v>
      </c>
      <c r="C7" s="4" t="n">
        <v>131</v>
      </c>
      <c r="D7" s="4" t="n">
        <v>131</v>
      </c>
      <c r="E7" s="4" t="n">
        <v>0</v>
      </c>
      <c r="F7" s="4" t="n">
        <v>12</v>
      </c>
      <c r="G7" s="8" t="n">
        <f aca="false">E7/C7</f>
        <v>0</v>
      </c>
      <c r="H7" s="8" t="n">
        <f aca="false">IF(D7=0,"",F7/D7)</f>
        <v>0.0916030534351145</v>
      </c>
      <c r="J7" s="0" t="str">
        <f aca="false">IF(ISNUMBER(I7),ROUND(I7*C7,0),"")</f>
        <v/>
      </c>
      <c r="K7" s="4" t="n">
        <v>14</v>
      </c>
      <c r="L7" s="4" t="n">
        <v>0</v>
      </c>
      <c r="M7" s="4" t="n">
        <v>0</v>
      </c>
      <c r="N7" s="8" t="n">
        <f aca="false">L7/K7</f>
        <v>0</v>
      </c>
      <c r="O7" s="8" t="n">
        <f aca="false">IF(ISNUMBER(I7),ABS(J7-I7*C7),0)</f>
        <v>0</v>
      </c>
    </row>
    <row r="8" customFormat="false" ht="15" hidden="false" customHeight="false" outlineLevel="0" collapsed="false">
      <c r="A8" s="11" t="n">
        <v>45748</v>
      </c>
      <c r="B8" s="4" t="s">
        <v>261</v>
      </c>
      <c r="C8" s="4" t="n">
        <v>150</v>
      </c>
      <c r="D8" s="4" t="n">
        <v>150</v>
      </c>
      <c r="E8" s="4" t="n">
        <v>0</v>
      </c>
      <c r="F8" s="4" t="n">
        <v>12</v>
      </c>
      <c r="G8" s="8" t="n">
        <f aca="false">E8/C8</f>
        <v>0</v>
      </c>
      <c r="H8" s="8" t="n">
        <f aca="false">IF(D8=0,"",F8/D8)</f>
        <v>0.08</v>
      </c>
      <c r="J8" s="0" t="str">
        <f aca="false">IF(ISNUMBER(I8),ROUND(I8*C8,0),"")</f>
        <v/>
      </c>
      <c r="K8" s="4" t="n">
        <v>13</v>
      </c>
      <c r="L8" s="4" t="n">
        <v>0</v>
      </c>
      <c r="M8" s="4" t="n">
        <v>0</v>
      </c>
      <c r="N8" s="8" t="n">
        <f aca="false">L8/K8</f>
        <v>0</v>
      </c>
      <c r="O8" s="8" t="n">
        <f aca="false">IF(ISNUMBER(I8),ABS(J8-I8*C8),0)</f>
        <v>0</v>
      </c>
    </row>
    <row r="9" customFormat="false" ht="15" hidden="false" customHeight="false" outlineLevel="0" collapsed="false">
      <c r="A9" s="11" t="n">
        <v>45778</v>
      </c>
      <c r="B9" s="4" t="s">
        <v>261</v>
      </c>
      <c r="C9" s="4" t="n">
        <v>165</v>
      </c>
      <c r="D9" s="4" t="n">
        <v>165</v>
      </c>
      <c r="E9" s="4" t="n">
        <v>0</v>
      </c>
      <c r="F9" s="4" t="n">
        <v>13</v>
      </c>
      <c r="G9" s="8" t="n">
        <f aca="false">E9/C9</f>
        <v>0</v>
      </c>
      <c r="H9" s="8" t="n">
        <f aca="false">IF(D9=0,"",F9/D9)</f>
        <v>0.0787878787878788</v>
      </c>
      <c r="J9" s="0" t="str">
        <f aca="false">IF(ISNUMBER(I9),ROUND(I9*C9,0),"")</f>
        <v/>
      </c>
      <c r="K9" s="4" t="n">
        <v>15</v>
      </c>
      <c r="L9" s="4" t="n">
        <v>0</v>
      </c>
      <c r="M9" s="4" t="n">
        <v>0</v>
      </c>
      <c r="N9" s="8" t="n">
        <f aca="false">L9/K9</f>
        <v>0</v>
      </c>
      <c r="O9" s="8" t="n">
        <f aca="false">IF(ISNUMBER(I9),ABS(J9-I9*C9),0)</f>
        <v>0</v>
      </c>
    </row>
    <row r="10" customFormat="false" ht="15" hidden="false" customHeight="false" outlineLevel="0" collapsed="false">
      <c r="A10" s="11" t="n">
        <v>45809</v>
      </c>
      <c r="B10" s="4" t="s">
        <v>261</v>
      </c>
      <c r="C10" s="4" t="n">
        <v>183</v>
      </c>
      <c r="D10" s="4" t="n">
        <v>183</v>
      </c>
      <c r="E10" s="4" t="n">
        <v>0</v>
      </c>
      <c r="F10" s="4" t="n">
        <v>17</v>
      </c>
      <c r="G10" s="8" t="n">
        <f aca="false">E10/C10</f>
        <v>0</v>
      </c>
      <c r="H10" s="8" t="n">
        <f aca="false">IF(D10=0,"",F10/D10)</f>
        <v>0.092896174863388</v>
      </c>
      <c r="J10" s="0" t="str">
        <f aca="false">IF(ISNUMBER(I10),ROUND(I10*C10,0),"")</f>
        <v/>
      </c>
      <c r="K10" s="4" t="n">
        <v>16</v>
      </c>
      <c r="L10" s="4" t="n">
        <v>0</v>
      </c>
      <c r="M10" s="4" t="n">
        <v>0</v>
      </c>
      <c r="N10" s="8" t="n">
        <f aca="false">L10/K10</f>
        <v>0</v>
      </c>
      <c r="O10" s="8" t="n">
        <f aca="false">IF(ISNUMBER(I10),ABS(J10-I10*C10),0)</f>
        <v>0</v>
      </c>
    </row>
    <row r="11" customFormat="false" ht="15" hidden="false" customHeight="false" outlineLevel="0" collapsed="false">
      <c r="A11" s="11" t="n">
        <v>45839</v>
      </c>
      <c r="B11" s="4" t="s">
        <v>261</v>
      </c>
      <c r="C11" s="4" t="n">
        <v>198</v>
      </c>
      <c r="D11" s="4" t="n">
        <v>198</v>
      </c>
      <c r="E11" s="4" t="n">
        <v>0</v>
      </c>
      <c r="F11" s="4" t="n">
        <v>20</v>
      </c>
      <c r="G11" s="8" t="n">
        <f aca="false">E11/C11</f>
        <v>0</v>
      </c>
      <c r="H11" s="8" t="n">
        <f aca="false">IF(D11=0,"",F11/D11)</f>
        <v>0.101010101010101</v>
      </c>
      <c r="J11" s="0" t="str">
        <f aca="false">IF(ISNUMBER(I11),ROUND(I11*C11,0),"")</f>
        <v/>
      </c>
      <c r="K11" s="4" t="n">
        <v>20</v>
      </c>
      <c r="L11" s="4" t="n">
        <v>0</v>
      </c>
      <c r="M11" s="4" t="n">
        <v>0</v>
      </c>
      <c r="N11" s="8" t="n">
        <f aca="false">L11/K11</f>
        <v>0</v>
      </c>
      <c r="O11" s="8" t="n">
        <f aca="false">IF(ISNUMBER(I11),ABS(J11-I11*C11),0)</f>
        <v>0</v>
      </c>
    </row>
    <row r="12" customFormat="false" ht="15" hidden="false" customHeight="false" outlineLevel="0" collapsed="false">
      <c r="A12" s="11" t="n">
        <v>45870</v>
      </c>
      <c r="B12" s="4" t="s">
        <v>261</v>
      </c>
      <c r="C12" s="4" t="n">
        <v>214</v>
      </c>
      <c r="D12" s="4" t="n">
        <v>214</v>
      </c>
      <c r="E12" s="4" t="n">
        <v>0</v>
      </c>
      <c r="F12" s="4" t="n">
        <v>27</v>
      </c>
      <c r="G12" s="8" t="n">
        <f aca="false">E12/C12</f>
        <v>0</v>
      </c>
      <c r="H12" s="8" t="n">
        <f aca="false">IF(D12=0,"",F12/D12)</f>
        <v>0.126168224299065</v>
      </c>
      <c r="J12" s="0" t="str">
        <f aca="false">IF(ISNUMBER(I12),ROUND(I12*C12,0),"")</f>
        <v/>
      </c>
      <c r="K12" s="4" t="n">
        <v>22</v>
      </c>
      <c r="L12" s="4" t="n">
        <v>0</v>
      </c>
      <c r="M12" s="4" t="n">
        <v>0</v>
      </c>
      <c r="N12" s="8" t="n">
        <f aca="false">L12/K12</f>
        <v>0</v>
      </c>
      <c r="O12" s="8" t="n">
        <f aca="false">IF(ISNUMBER(I12),ABS(J12-I12*C12),0)</f>
        <v>0</v>
      </c>
    </row>
    <row r="13" customFormat="false" ht="15" hidden="false" customHeight="false" outlineLevel="0" collapsed="false">
      <c r="A13" s="11" t="n">
        <v>45901</v>
      </c>
      <c r="B13" s="4" t="s">
        <v>261</v>
      </c>
      <c r="C13" s="4" t="n">
        <v>228</v>
      </c>
      <c r="D13" s="4" t="n">
        <v>228</v>
      </c>
      <c r="E13" s="4" t="n">
        <v>0</v>
      </c>
      <c r="F13" s="4" t="n">
        <v>23</v>
      </c>
      <c r="G13" s="8" t="n">
        <f aca="false">E13/C13</f>
        <v>0</v>
      </c>
      <c r="H13" s="8" t="n">
        <f aca="false">IF(D13=0,"",F13/D13)</f>
        <v>0.100877192982456</v>
      </c>
      <c r="J13" s="0" t="str">
        <f aca="false">IF(ISNUMBER(I13),ROUND(I13*C13,0),"")</f>
        <v/>
      </c>
      <c r="K13" s="4" t="n">
        <v>23</v>
      </c>
      <c r="L13" s="4" t="n">
        <v>0</v>
      </c>
      <c r="M13" s="4" t="n">
        <v>0</v>
      </c>
      <c r="N13" s="8" t="n">
        <f aca="false">L13/K13</f>
        <v>0</v>
      </c>
      <c r="O13" s="8" t="n">
        <f aca="false">IF(ISNUMBER(I13),ABS(J13-I13*C13),0)</f>
        <v>0</v>
      </c>
    </row>
    <row r="14" customFormat="false" ht="15" hidden="false" customHeight="false" outlineLevel="0" collapsed="false">
      <c r="A14" s="11" t="n">
        <v>45931</v>
      </c>
      <c r="B14" s="4" t="s">
        <v>262</v>
      </c>
      <c r="C14" s="4" t="n">
        <v>300</v>
      </c>
      <c r="D14" s="4" t="n">
        <v>300</v>
      </c>
      <c r="E14" s="4" t="n">
        <v>0</v>
      </c>
      <c r="F14" s="4" t="n">
        <v>27</v>
      </c>
      <c r="G14" s="8" t="n">
        <f aca="false">E14/C14</f>
        <v>0</v>
      </c>
      <c r="H14" s="8" t="n">
        <f aca="false">IF(D14=0,"",F14/D14)</f>
        <v>0.09</v>
      </c>
      <c r="J14" s="0" t="str">
        <f aca="false">IF(ISNUMBER(I14),ROUND(I14*C14,0),"")</f>
        <v/>
      </c>
      <c r="K14" s="4" t="n">
        <v>24</v>
      </c>
      <c r="L14" s="4" t="n">
        <v>0</v>
      </c>
      <c r="M14" s="4" t="n">
        <v>0</v>
      </c>
      <c r="N14" s="8" t="n">
        <f aca="false">L14/K14</f>
        <v>0</v>
      </c>
      <c r="O14" s="8" t="n">
        <f aca="false">IF(ISNUMBER(I14),ABS(J14-I14*C14),0)</f>
        <v>0</v>
      </c>
    </row>
    <row r="15" customFormat="false" ht="15" hidden="false" customHeight="false" outlineLevel="0" collapsed="false">
      <c r="A15" s="11" t="n">
        <v>45962</v>
      </c>
      <c r="B15" s="4" t="s">
        <v>262</v>
      </c>
      <c r="C15" s="4" t="n">
        <v>318</v>
      </c>
      <c r="D15" s="4" t="n">
        <v>318</v>
      </c>
      <c r="E15" s="4" t="n">
        <v>0</v>
      </c>
      <c r="F15" s="4" t="n">
        <v>25</v>
      </c>
      <c r="G15" s="8" t="n">
        <f aca="false">E15/C15</f>
        <v>0</v>
      </c>
      <c r="H15" s="8" t="n">
        <f aca="false">IF(D15=0,"",F15/D15)</f>
        <v>0.0786163522012579</v>
      </c>
      <c r="J15" s="0" t="str">
        <f aca="false">IF(ISNUMBER(I15),ROUND(I15*C15,0),"")</f>
        <v/>
      </c>
      <c r="K15" s="4" t="n">
        <v>25</v>
      </c>
      <c r="L15" s="4" t="n">
        <v>0</v>
      </c>
      <c r="M15" s="4" t="n">
        <v>0</v>
      </c>
      <c r="N15" s="8" t="n">
        <f aca="false">L15/K15</f>
        <v>0</v>
      </c>
      <c r="O15" s="8" t="n">
        <f aca="false">IF(ISNUMBER(I15),ABS(J15-I15*C15),0)</f>
        <v>0</v>
      </c>
    </row>
    <row r="16" customFormat="false" ht="15" hidden="false" customHeight="false" outlineLevel="0" collapsed="false">
      <c r="A16" s="11" t="n">
        <v>45992</v>
      </c>
      <c r="B16" s="4" t="s">
        <v>262</v>
      </c>
      <c r="C16" s="4" t="n">
        <v>329</v>
      </c>
      <c r="D16" s="4" t="n">
        <v>329</v>
      </c>
      <c r="E16" s="4" t="n">
        <v>0</v>
      </c>
      <c r="F16" s="4" t="n">
        <v>26</v>
      </c>
      <c r="G16" s="8" t="n">
        <f aca="false">E16/C16</f>
        <v>0</v>
      </c>
      <c r="H16" s="8" t="n">
        <f aca="false">IF(D16=0,"",F16/D16)</f>
        <v>0.0790273556231003</v>
      </c>
      <c r="J16" s="0" t="str">
        <f aca="false">IF(ISNUMBER(I16),ROUND(I16*C16,0),"")</f>
        <v/>
      </c>
      <c r="K16" s="4" t="n">
        <v>28</v>
      </c>
      <c r="L16" s="4" t="n">
        <v>0</v>
      </c>
      <c r="M16" s="4" t="n">
        <v>0</v>
      </c>
      <c r="N16" s="8" t="n">
        <f aca="false">L16/K16</f>
        <v>0</v>
      </c>
      <c r="O16" s="8" t="n">
        <f aca="false">IF(ISNUMBER(I16),ABS(J16-I16*C16),0)</f>
        <v>0</v>
      </c>
    </row>
    <row r="17" customFormat="false" ht="15" hidden="false" customHeight="false" outlineLevel="0" collapsed="false">
      <c r="A17" s="11" t="n">
        <v>46023</v>
      </c>
      <c r="B17" s="4" t="s">
        <v>262</v>
      </c>
      <c r="C17" s="4" t="n">
        <v>353</v>
      </c>
      <c r="D17" s="4" t="n">
        <v>353</v>
      </c>
      <c r="E17" s="4" t="n">
        <v>0</v>
      </c>
      <c r="F17" s="4" t="n">
        <v>36</v>
      </c>
      <c r="G17" s="8" t="n">
        <f aca="false">E17/C17</f>
        <v>0</v>
      </c>
      <c r="H17" s="8" t="n">
        <f aca="false">IF(D17=0,"",F17/D17)</f>
        <v>0.101983002832861</v>
      </c>
      <c r="J17" s="0" t="str">
        <f aca="false">IF(ISNUMBER(I17),ROUND(I17*C17,0),"")</f>
        <v/>
      </c>
      <c r="K17" s="4" t="n">
        <v>30</v>
      </c>
      <c r="L17" s="4" t="n">
        <v>0</v>
      </c>
      <c r="M17" s="4" t="n">
        <v>0</v>
      </c>
      <c r="N17" s="8" t="n">
        <f aca="false">L17/K17</f>
        <v>0</v>
      </c>
      <c r="O17" s="8" t="n">
        <f aca="false">IF(ISNUMBER(I17),ABS(J17-I17*C17),0)</f>
        <v>0</v>
      </c>
    </row>
    <row r="18" customFormat="false" ht="15" hidden="false" customHeight="false" outlineLevel="0" collapsed="false">
      <c r="A18" s="11" t="n">
        <v>46054</v>
      </c>
      <c r="B18" s="4" t="s">
        <v>263</v>
      </c>
      <c r="C18" s="4" t="n">
        <v>364</v>
      </c>
      <c r="D18" s="4" t="n">
        <v>364</v>
      </c>
      <c r="E18" s="4" t="n">
        <v>0</v>
      </c>
      <c r="F18" s="4" t="n">
        <v>47</v>
      </c>
      <c r="G18" s="8" t="n">
        <f aca="false">E18/C18</f>
        <v>0</v>
      </c>
      <c r="H18" s="8" t="n">
        <f aca="false">IF(D18=0,"",F18/D18)</f>
        <v>0.129120879120879</v>
      </c>
      <c r="J18" s="0" t="str">
        <f aca="false">IF(ISNUMBER(I18),ROUND(I18*C18,0),"")</f>
        <v/>
      </c>
      <c r="K18" s="4" t="n">
        <v>32</v>
      </c>
      <c r="L18" s="4" t="n">
        <v>0</v>
      </c>
      <c r="M18" s="4" t="n">
        <v>0</v>
      </c>
      <c r="N18" s="8" t="n">
        <f aca="false">L18/K18</f>
        <v>0</v>
      </c>
      <c r="O18" s="8" t="n">
        <f aca="false">IF(ISNUMBER(I18),ABS(J18-I18*C18),0)</f>
        <v>0</v>
      </c>
    </row>
    <row r="19" customFormat="false" ht="15" hidden="false" customHeight="false" outlineLevel="0" collapsed="false">
      <c r="A19" s="11" t="n">
        <v>46082</v>
      </c>
      <c r="B19" s="4" t="s">
        <v>263</v>
      </c>
      <c r="C19" s="4" t="n">
        <v>372</v>
      </c>
      <c r="D19" s="4" t="n">
        <v>372</v>
      </c>
      <c r="E19" s="4" t="n">
        <v>0</v>
      </c>
      <c r="F19" s="4" t="n">
        <v>46</v>
      </c>
      <c r="G19" s="8" t="n">
        <f aca="false">E19/C19</f>
        <v>0</v>
      </c>
      <c r="H19" s="8" t="n">
        <f aca="false">IF(D19=0,"",F19/D19)</f>
        <v>0.123655913978495</v>
      </c>
      <c r="J19" s="0" t="str">
        <f aca="false">IF(ISNUMBER(I19),ROUND(I19*C19,0),"")</f>
        <v/>
      </c>
      <c r="K19" s="4" t="n">
        <v>32</v>
      </c>
      <c r="L19" s="4" t="n">
        <v>0</v>
      </c>
      <c r="M19" s="4" t="n">
        <v>0</v>
      </c>
      <c r="N19" s="8" t="n">
        <f aca="false">L19/K19</f>
        <v>0</v>
      </c>
      <c r="O19" s="8" t="n">
        <f aca="false">IF(ISNUMBER(I19),ABS(J19-I19*C19),0)</f>
        <v>0</v>
      </c>
    </row>
    <row r="20" customFormat="false" ht="15" hidden="false" customHeight="false" outlineLevel="0" collapsed="false">
      <c r="A20" s="11" t="n">
        <v>46113</v>
      </c>
      <c r="B20" s="4" t="s">
        <v>263</v>
      </c>
      <c r="C20" s="4" t="n">
        <v>385</v>
      </c>
      <c r="D20" s="4" t="n">
        <v>385</v>
      </c>
      <c r="E20" s="4" t="n">
        <v>0</v>
      </c>
      <c r="F20" s="4" t="n">
        <v>51</v>
      </c>
      <c r="G20" s="8" t="n">
        <f aca="false">E20/C20</f>
        <v>0</v>
      </c>
      <c r="H20" s="8" t="n">
        <f aca="false">IF(D20=0,"",F20/D20)</f>
        <v>0.132467532467532</v>
      </c>
      <c r="J20" s="0" t="str">
        <f aca="false">IF(ISNUMBER(I20),ROUND(I20*C20,0),"")</f>
        <v/>
      </c>
      <c r="K20" s="4" t="n">
        <v>34</v>
      </c>
      <c r="L20" s="4" t="n">
        <v>0</v>
      </c>
      <c r="M20" s="4" t="n">
        <v>0</v>
      </c>
      <c r="N20" s="8" t="n">
        <f aca="false">L20/K20</f>
        <v>0</v>
      </c>
      <c r="O20" s="8" t="n">
        <f aca="false">IF(ISNUMBER(I20),ABS(J20-I20*C20),0)</f>
        <v>0</v>
      </c>
    </row>
    <row r="21" customFormat="false" ht="15" hidden="false" customHeight="false" outlineLevel="0" collapsed="false">
      <c r="A21" s="11" t="n">
        <v>46143</v>
      </c>
      <c r="B21" s="4" t="s">
        <v>263</v>
      </c>
      <c r="C21" s="4" t="n">
        <v>392</v>
      </c>
      <c r="D21" s="4" t="n">
        <v>392</v>
      </c>
      <c r="E21" s="4" t="n">
        <v>0</v>
      </c>
      <c r="F21" s="4" t="n">
        <v>45</v>
      </c>
      <c r="G21" s="8" t="n">
        <f aca="false">E21/C21</f>
        <v>0</v>
      </c>
      <c r="H21" s="8" t="n">
        <f aca="false">IF(D21=0,"",F21/D21)</f>
        <v>0.114795918367347</v>
      </c>
      <c r="J21" s="0" t="str">
        <f aca="false">IF(ISNUMBER(I21),ROUND(I21*C21,0),"")</f>
        <v/>
      </c>
      <c r="K21" s="4" t="n">
        <v>33</v>
      </c>
      <c r="L21" s="4" t="n">
        <v>0</v>
      </c>
      <c r="M21" s="4" t="n">
        <v>0</v>
      </c>
      <c r="N21" s="8" t="n">
        <f aca="false">L21/K21</f>
        <v>0</v>
      </c>
      <c r="O21" s="8" t="n">
        <f aca="false">IF(ISNUMBER(I21),ABS(J21-I21*C21),0)</f>
        <v>0</v>
      </c>
    </row>
    <row r="22" customFormat="false" ht="15" hidden="false" customHeight="false" outlineLevel="0" collapsed="false">
      <c r="A22" s="11" t="n">
        <v>46174</v>
      </c>
      <c r="B22" s="4" t="s">
        <v>264</v>
      </c>
      <c r="C22" s="4" t="n">
        <v>1124</v>
      </c>
      <c r="D22" s="4" t="n">
        <v>1124</v>
      </c>
      <c r="E22" s="4" t="n">
        <v>0</v>
      </c>
      <c r="F22" s="4" t="n">
        <v>117</v>
      </c>
      <c r="G22" s="8" t="n">
        <f aca="false">E22/C22</f>
        <v>0</v>
      </c>
      <c r="H22" s="8" t="n">
        <f aca="false">IF(D22=0,"",F22/D22)</f>
        <v>0.104092526690391</v>
      </c>
      <c r="J22" s="0" t="str">
        <f aca="false">IF(ISNUMBER(I22),ROUND(I22*C22,0),"")</f>
        <v/>
      </c>
      <c r="K22" s="4" t="n">
        <v>90</v>
      </c>
      <c r="L22" s="4" t="n">
        <v>0</v>
      </c>
      <c r="M22" s="4" t="n">
        <v>0</v>
      </c>
      <c r="N22" s="8" t="n">
        <f aca="false">L22/K22</f>
        <v>0</v>
      </c>
      <c r="O22" s="8" t="n">
        <f aca="false">IF(ISNUMBER(I22),ABS(J22-I22*C22),0)</f>
        <v>0</v>
      </c>
    </row>
    <row r="23" customFormat="false" ht="15" hidden="false" customHeight="false" outlineLevel="0" collapsed="false">
      <c r="A23" s="11" t="n">
        <v>46204</v>
      </c>
      <c r="B23" s="4" t="s">
        <v>264</v>
      </c>
      <c r="C23" s="4" t="n">
        <v>1154</v>
      </c>
      <c r="D23" s="4" t="n">
        <v>0</v>
      </c>
      <c r="E23" s="4" t="n">
        <v>1154</v>
      </c>
      <c r="F23" s="4" t="n">
        <v>0</v>
      </c>
      <c r="G23" s="8" t="n">
        <f aca="false">E23/C23</f>
        <v>1</v>
      </c>
      <c r="H23" s="0" t="str">
        <f aca="false">IF(D23=0,"",F23/D23)</f>
        <v/>
      </c>
      <c r="I23" s="4" t="n">
        <v>0.094454</v>
      </c>
      <c r="J23" s="8" t="n">
        <f aca="false">IF(ISNUMBER(I23),ROUND(I23*C23,0),"")</f>
        <v>109</v>
      </c>
      <c r="K23" s="4" t="n">
        <v>94</v>
      </c>
      <c r="L23" s="4" t="n">
        <v>94</v>
      </c>
      <c r="M23" s="4" t="n">
        <v>11</v>
      </c>
      <c r="N23" s="8" t="n">
        <f aca="false">L23/K23</f>
        <v>1</v>
      </c>
      <c r="O23" s="8" t="n">
        <f aca="false">IF(ISNUMBER(I23),ABS(J23-I23*C23),0)</f>
        <v>8.40000000010832E-005</v>
      </c>
    </row>
    <row r="24" customFormat="false" ht="15" hidden="false" customHeight="false" outlineLevel="0" collapsed="false">
      <c r="A24" s="11" t="n">
        <v>46235</v>
      </c>
      <c r="B24" s="4" t="s">
        <v>264</v>
      </c>
      <c r="C24" s="4" t="n">
        <v>1199</v>
      </c>
      <c r="D24" s="4" t="n">
        <v>0</v>
      </c>
      <c r="E24" s="4" t="n">
        <v>1199</v>
      </c>
      <c r="F24" s="4" t="n">
        <v>0</v>
      </c>
      <c r="G24" s="8" t="n">
        <f aca="false">E24/C24</f>
        <v>1</v>
      </c>
      <c r="H24" s="0" t="str">
        <f aca="false">IF(D24=0,"",F24/D24)</f>
        <v/>
      </c>
      <c r="I24" s="4" t="n">
        <v>0.069224</v>
      </c>
      <c r="J24" s="8" t="n">
        <f aca="false">IF(ISNUMBER(I24),ROUND(I24*C24,0),"")</f>
        <v>83</v>
      </c>
      <c r="K24" s="4" t="n">
        <v>95</v>
      </c>
      <c r="L24" s="4" t="n">
        <v>95</v>
      </c>
      <c r="M24" s="4" t="n">
        <v>9</v>
      </c>
      <c r="N24" s="8" t="n">
        <f aca="false">L24/K24</f>
        <v>1</v>
      </c>
      <c r="O24" s="8" t="n">
        <f aca="false">IF(ISNUMBER(I24),ABS(J24-I24*C24),0)</f>
        <v>0.000424000000009528</v>
      </c>
    </row>
    <row r="25" customFormat="false" ht="15" hidden="false" customHeight="false" outlineLevel="0" collapsed="false">
      <c r="A25" s="11" t="n">
        <v>46266</v>
      </c>
      <c r="B25" s="4" t="s">
        <v>264</v>
      </c>
      <c r="C25" s="4" t="n">
        <v>1241</v>
      </c>
      <c r="D25" s="4" t="n">
        <v>0</v>
      </c>
      <c r="E25" s="4" t="n">
        <v>1241</v>
      </c>
      <c r="F25" s="4" t="n">
        <v>0</v>
      </c>
      <c r="G25" s="8" t="n">
        <f aca="false">E25/C25</f>
        <v>1</v>
      </c>
      <c r="H25" s="0" t="str">
        <f aca="false">IF(D25=0,"",F25/D25)</f>
        <v/>
      </c>
      <c r="I25" s="4" t="n">
        <v>0.038678</v>
      </c>
      <c r="J25" s="8" t="n">
        <f aca="false">IF(ISNUMBER(I25),ROUND(I25*C25,0),"")</f>
        <v>48</v>
      </c>
      <c r="K25" s="4" t="n">
        <v>97</v>
      </c>
      <c r="L25" s="4" t="n">
        <v>97</v>
      </c>
      <c r="M25" s="4" t="n">
        <v>4</v>
      </c>
      <c r="N25" s="8" t="n">
        <f aca="false">L25/K25</f>
        <v>1</v>
      </c>
      <c r="O25" s="8" t="n">
        <f aca="false">IF(ISNUMBER(I25),ABS(J25-I25*C25),0)</f>
        <v>0.000602000000000658</v>
      </c>
    </row>
    <row r="26" customFormat="false" ht="15" hidden="false" customHeight="false" outlineLevel="0" collapsed="false">
      <c r="A26" s="2" t="s">
        <v>265</v>
      </c>
      <c r="C26" s="8" t="n">
        <f aca="false">SUM(C5:C25)</f>
        <v>9039</v>
      </c>
      <c r="D26" s="8" t="n">
        <f aca="false">SUM(D5:D25)</f>
        <v>5445</v>
      </c>
      <c r="E26" s="8" t="n">
        <f aca="false">SUM(E5:E25)</f>
        <v>3594</v>
      </c>
      <c r="F26" s="8" t="n">
        <f aca="false">SUM(F5:F25)</f>
        <v>569</v>
      </c>
      <c r="G26" s="8" t="n">
        <f aca="false">E26/C26</f>
        <v>0.39761035512778</v>
      </c>
      <c r="H26" s="8" t="n">
        <f aca="false">F26/D26</f>
        <v>0.104499540863177</v>
      </c>
      <c r="K26" s="8" t="n">
        <f aca="false">SUM(K5:K25)</f>
        <v>765</v>
      </c>
      <c r="L26" s="8" t="n">
        <f aca="false">SUM(L5:L25)</f>
        <v>286</v>
      </c>
      <c r="M26" s="8" t="n">
        <f aca="false">SUM(M5:M25)</f>
        <v>24</v>
      </c>
      <c r="N26" s="8" t="n">
        <f aca="false">L26/K26</f>
        <v>0.373856209150327</v>
      </c>
    </row>
    <row r="28" customFormat="false" ht="243.25" hidden="false" customHeight="false" outlineLevel="0" collapsed="false">
      <c r="A28" s="10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6" min="4" style="0" width="12"/>
    <col collapsed="false" customWidth="true" hidden="false" outlineLevel="0" max="7" min="7" style="0" width="40"/>
    <col collapsed="false" customWidth="true" hidden="false" outlineLevel="0" max="12" min="12" style="0" width="14"/>
    <col collapsed="false" customWidth="true" hidden="false" outlineLevel="0" max="14" min="14" style="0" width="18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0" t="s">
        <v>268</v>
      </c>
    </row>
    <row r="4" customFormat="false" ht="28.35" hidden="false" customHeight="false" outlineLevel="0" collapsed="false">
      <c r="A4" s="7" t="s">
        <v>198</v>
      </c>
      <c r="B4" s="7" t="s">
        <v>269</v>
      </c>
      <c r="C4" s="7" t="s">
        <v>270</v>
      </c>
      <c r="D4" s="7" t="s">
        <v>271</v>
      </c>
      <c r="E4" s="7" t="s">
        <v>272</v>
      </c>
      <c r="F4" s="7" t="s">
        <v>273</v>
      </c>
      <c r="G4" s="7" t="s">
        <v>274</v>
      </c>
      <c r="H4" s="7" t="s">
        <v>275</v>
      </c>
      <c r="I4" s="7" t="s">
        <v>276</v>
      </c>
      <c r="J4" s="7" t="s">
        <v>277</v>
      </c>
      <c r="K4" s="7" t="s">
        <v>278</v>
      </c>
      <c r="L4" s="7" t="s">
        <v>279</v>
      </c>
      <c r="M4" s="7" t="s">
        <v>280</v>
      </c>
      <c r="N4" s="7" t="s">
        <v>281</v>
      </c>
      <c r="O4" s="7" t="s">
        <v>199</v>
      </c>
    </row>
    <row r="5" customFormat="false" ht="15" hidden="false" customHeight="false" outlineLevel="0" collapsed="false">
      <c r="A5" s="0" t="s">
        <v>208</v>
      </c>
      <c r="B5" s="0" t="n">
        <v>0</v>
      </c>
      <c r="C5" s="0" t="n">
        <f aca="false">COUNTIFS('Test table'!$C$5:$C$1517,$B5,'Test table'!$F$5:$F$1517,"apac",'Test table'!$G$5:$G$1517,"&gt;=0",'Test table'!$G$5:$G$1517,"&lt;1")</f>
        <v>5</v>
      </c>
      <c r="D5" s="0" t="n">
        <f aca="false">COUNTIFS('Test table'!$C$5:$C$1517,$B5,'Test table'!$F$5:$F$1517,"apac",'Test table'!$G$5:$G$1517,"&gt;=1",'Test table'!$G$5:$G$1517,"&lt;3")</f>
        <v>7</v>
      </c>
      <c r="E5" s="0" t="n">
        <f aca="false">COUNTIFS('Test table'!$C$5:$C$1517,$B5,'Test table'!$F$5:$F$1517,"apac",'Test table'!$G$5:$G$1517,"&gt;=3")</f>
        <v>45</v>
      </c>
      <c r="F5" s="0" t="n">
        <f aca="false">COUNTIFS('Test table'!$C$5:$C$1517,0,'Test table'!$F$5:$F$1517,"apac",'Test table'!$G$5:$G$1517,"&gt;=0",'Test table'!$G$5:$G$1517,"&lt;1")</f>
        <v>5</v>
      </c>
      <c r="G5" s="0" t="n">
        <f aca="false">COUNTIFS('Test table'!$C$5:$C$1517,0,'Test table'!$F$5:$F$1517,"apac",'Test table'!$G$5:$G$1517,"&gt;=1",'Test table'!$G$5:$G$1517,"&lt;3")</f>
        <v>7</v>
      </c>
      <c r="H5" s="0" t="n">
        <f aca="false">COUNTIFS('Test table'!$C$5:$C$1517,0,'Test table'!$F$5:$F$1517,"apac",'Test table'!$G$5:$G$1517,"&gt;=3")</f>
        <v>45</v>
      </c>
      <c r="I5" s="0" t="n">
        <f aca="false">SUM(C5:E5)</f>
        <v>57</v>
      </c>
      <c r="J5" s="0" t="n">
        <f aca="false">SUM(F5:H5)</f>
        <v>57</v>
      </c>
      <c r="K5" s="0" t="n">
        <f aca="false">SUMPRODUCT(--((C5:E5=0)+(F5:H5=0)&gt;0))</f>
        <v>0</v>
      </c>
      <c r="L5" s="0" t="n">
        <f aca="false">((IF(C5=0,0.0001,C5/$I5)-IF(F5=0,0.0001,F5/$J5))*LN(IF(C5=0,0.0001,C5/$I5)/IF(F5=0,0.0001,F5/$J5)))+((IF(D5=0,0.0001,D5/$I5)-IF(G5=0,0.0001,G5/$J5))*LN(IF(D5=0,0.0001,D5/$I5)/IF(G5=0,0.0001,G5/$J5)))+((IF(E5=0,0.0001,E5/$I5)-IF(H5=0,0.0001,H5/$J5))*LN(IF(E5=0,0.0001,E5/$I5)/IF(H5=0,0.0001,H5/$J5)))</f>
        <v>0</v>
      </c>
      <c r="M5" s="6" t="b">
        <f aca="false">L5&gt;0.2</f>
        <v>0</v>
      </c>
      <c r="N5" s="4" t="n">
        <v>0</v>
      </c>
      <c r="O5" s="8" t="n">
        <f aca="false">ABS(L5-N5)</f>
        <v>0</v>
      </c>
    </row>
    <row r="6" customFormat="false" ht="15" hidden="false" customHeight="false" outlineLevel="0" collapsed="false">
      <c r="A6" s="0" t="s">
        <v>208</v>
      </c>
      <c r="B6" s="0" t="n">
        <v>1</v>
      </c>
      <c r="C6" s="0" t="n">
        <f aca="false">COUNTIFS('Test table'!$C$5:$C$1517,$B6,'Test table'!$F$5:$F$1517,"apac",'Test table'!$G$5:$G$1517,"&gt;=0",'Test table'!$G$5:$G$1517,"&lt;1")</f>
        <v>1</v>
      </c>
      <c r="D6" s="0" t="n">
        <f aca="false">COUNTIFS('Test table'!$C$5:$C$1517,$B6,'Test table'!$F$5:$F$1517,"apac",'Test table'!$G$5:$G$1517,"&gt;=1",'Test table'!$G$5:$G$1517,"&lt;3")</f>
        <v>11</v>
      </c>
      <c r="E6" s="0" t="n">
        <f aca="false">COUNTIFS('Test table'!$C$5:$C$1517,$B6,'Test table'!$F$5:$F$1517,"apac",'Test table'!$G$5:$G$1517,"&gt;=3")</f>
        <v>47</v>
      </c>
      <c r="F6" s="0" t="n">
        <f aca="false">COUNTIFS('Test table'!$C$5:$C$1517,0,'Test table'!$F$5:$F$1517,"apac",'Test table'!$G$5:$G$1517,"&gt;=0",'Test table'!$G$5:$G$1517,"&lt;1")</f>
        <v>5</v>
      </c>
      <c r="G6" s="0" t="n">
        <f aca="false">COUNTIFS('Test table'!$C$5:$C$1517,0,'Test table'!$F$5:$F$1517,"apac",'Test table'!$G$5:$G$1517,"&gt;=1",'Test table'!$G$5:$G$1517,"&lt;3")</f>
        <v>7</v>
      </c>
      <c r="H6" s="0" t="n">
        <f aca="false">COUNTIFS('Test table'!$C$5:$C$1517,0,'Test table'!$F$5:$F$1517,"apac",'Test table'!$G$5:$G$1517,"&gt;=3")</f>
        <v>45</v>
      </c>
      <c r="I6" s="0" t="n">
        <f aca="false">SUM(C6:E6)</f>
        <v>59</v>
      </c>
      <c r="J6" s="0" t="n">
        <f aca="false">SUM(F6:H6)</f>
        <v>57</v>
      </c>
      <c r="K6" s="0" t="n">
        <f aca="false">SUMPRODUCT(--((C6:E6=0)+(F6:H6=0)&gt;0))</f>
        <v>0</v>
      </c>
      <c r="L6" s="0" t="n">
        <f aca="false">((IF(C6=0,0.0001,C6/$I6)-IF(F6=0,0.0001,F6/$J6))*LN(IF(C6=0,0.0001,C6/$I6)/IF(F6=0,0.0001,F6/$J6)))+((IF(D6=0,0.0001,D6/$I6)-IF(G6=0,0.0001,G6/$J6))*LN(IF(D6=0,0.0001,D6/$I6)/IF(G6=0,0.0001,G6/$J6)))+((IF(E6=0,0.0001,E6/$I6)-IF(H6=0,0.0001,H6/$J6))*LN(IF(E6=0,0.0001,E6/$I6)/IF(H6=0,0.0001,H6/$J6)))</f>
        <v>0.142971954304753</v>
      </c>
      <c r="M6" s="6" t="b">
        <f aca="false">L6&gt;0.2</f>
        <v>0</v>
      </c>
      <c r="N6" s="4" t="n">
        <v>0.142972</v>
      </c>
      <c r="O6" s="8" t="n">
        <f aca="false">ABS(L6-N6)</f>
        <v>4.56952471139527E-008</v>
      </c>
    </row>
    <row r="7" customFormat="false" ht="15" hidden="false" customHeight="false" outlineLevel="0" collapsed="false">
      <c r="A7" s="0" t="s">
        <v>208</v>
      </c>
      <c r="B7" s="0" t="n">
        <v>2</v>
      </c>
      <c r="C7" s="0" t="n">
        <f aca="false">COUNTIFS('Test table'!$C$5:$C$1517,$B7,'Test table'!$F$5:$F$1517,"apac",'Test table'!$G$5:$G$1517,"&gt;=0",'Test table'!$G$5:$G$1517,"&lt;1")</f>
        <v>3</v>
      </c>
      <c r="D7" s="0" t="n">
        <f aca="false">COUNTIFS('Test table'!$C$5:$C$1517,$B7,'Test table'!$F$5:$F$1517,"apac",'Test table'!$G$5:$G$1517,"&gt;=1",'Test table'!$G$5:$G$1517,"&lt;3")</f>
        <v>12</v>
      </c>
      <c r="E7" s="0" t="n">
        <f aca="false">COUNTIFS('Test table'!$C$5:$C$1517,$B7,'Test table'!$F$5:$F$1517,"apac",'Test table'!$G$5:$G$1517,"&gt;=3")</f>
        <v>46</v>
      </c>
      <c r="F7" s="0" t="n">
        <f aca="false">COUNTIFS('Test table'!$C$5:$C$1517,0,'Test table'!$F$5:$F$1517,"apac",'Test table'!$G$5:$G$1517,"&gt;=0",'Test table'!$G$5:$G$1517,"&lt;1")</f>
        <v>5</v>
      </c>
      <c r="G7" s="0" t="n">
        <f aca="false">COUNTIFS('Test table'!$C$5:$C$1517,0,'Test table'!$F$5:$F$1517,"apac",'Test table'!$G$5:$G$1517,"&gt;=1",'Test table'!$G$5:$G$1517,"&lt;3")</f>
        <v>7</v>
      </c>
      <c r="H7" s="0" t="n">
        <f aca="false">COUNTIFS('Test table'!$C$5:$C$1517,0,'Test table'!$F$5:$F$1517,"apac",'Test table'!$G$5:$G$1517,"&gt;=3")</f>
        <v>45</v>
      </c>
      <c r="I7" s="0" t="n">
        <f aca="false">SUM(C7:E7)</f>
        <v>61</v>
      </c>
      <c r="J7" s="0" t="n">
        <f aca="false">SUM(F7:H7)</f>
        <v>57</v>
      </c>
      <c r="K7" s="0" t="n">
        <f aca="false">SUMPRODUCT(--((C7:E7=0)+(F7:H7=0)&gt;0))</f>
        <v>0</v>
      </c>
      <c r="L7" s="0" t="n">
        <f aca="false">((IF(C7=0,0.0001,C7/$I7)-IF(F7=0,0.0001,F7/$J7))*LN(IF(C7=0,0.0001,C7/$I7)/IF(F7=0,0.0001,F7/$J7)))+((IF(D7=0,0.0001,D7/$I7)-IF(G7=0,0.0001,G7/$J7))*LN(IF(D7=0,0.0001,D7/$I7)/IF(G7=0,0.0001,G7/$J7)))+((IF(E7=0,0.0001,E7/$I7)-IF(H7=0,0.0001,H7/$J7))*LN(IF(E7=0,0.0001,E7/$I7)/IF(H7=0,0.0001,H7/$J7)))</f>
        <v>0.0587487284286839</v>
      </c>
      <c r="M7" s="6" t="b">
        <f aca="false">L7&gt;0.2</f>
        <v>0</v>
      </c>
      <c r="N7" s="4" t="n">
        <v>0.058749</v>
      </c>
      <c r="O7" s="8" t="n">
        <f aca="false">ABS(L7-N7)</f>
        <v>2.71571316087793E-007</v>
      </c>
    </row>
    <row r="8" customFormat="false" ht="15" hidden="false" customHeight="false" outlineLevel="0" collapsed="false">
      <c r="A8" s="0" t="s">
        <v>208</v>
      </c>
      <c r="B8" s="0" t="n">
        <v>3</v>
      </c>
      <c r="C8" s="0" t="n">
        <f aca="false">COUNTIFS('Test table'!$C$5:$C$1517,$B8,'Test table'!$F$5:$F$1517,"apac",'Test table'!$G$5:$G$1517,"&gt;=0",'Test table'!$G$5:$G$1517,"&lt;1")</f>
        <v>8</v>
      </c>
      <c r="D8" s="0" t="n">
        <f aca="false">COUNTIFS('Test table'!$C$5:$C$1517,$B8,'Test table'!$F$5:$F$1517,"apac",'Test table'!$G$5:$G$1517,"&gt;=1",'Test table'!$G$5:$G$1517,"&lt;3")</f>
        <v>22</v>
      </c>
      <c r="E8" s="0" t="n">
        <f aca="false">COUNTIFS('Test table'!$C$5:$C$1517,$B8,'Test table'!$F$5:$F$1517,"apac",'Test table'!$G$5:$G$1517,"&gt;=3")</f>
        <v>26</v>
      </c>
      <c r="F8" s="0" t="n">
        <f aca="false">COUNTIFS('Test table'!$C$5:$C$1517,0,'Test table'!$F$5:$F$1517,"apac",'Test table'!$G$5:$G$1517,"&gt;=0",'Test table'!$G$5:$G$1517,"&lt;1")</f>
        <v>5</v>
      </c>
      <c r="G8" s="0" t="n">
        <f aca="false">COUNTIFS('Test table'!$C$5:$C$1517,0,'Test table'!$F$5:$F$1517,"apac",'Test table'!$G$5:$G$1517,"&gt;=1",'Test table'!$G$5:$G$1517,"&lt;3")</f>
        <v>7</v>
      </c>
      <c r="H8" s="0" t="n">
        <f aca="false">COUNTIFS('Test table'!$C$5:$C$1517,0,'Test table'!$F$5:$F$1517,"apac",'Test table'!$G$5:$G$1517,"&gt;=3")</f>
        <v>45</v>
      </c>
      <c r="I8" s="0" t="n">
        <f aca="false">SUM(C8:E8)</f>
        <v>56</v>
      </c>
      <c r="J8" s="0" t="n">
        <f aca="false">SUM(F8:H8)</f>
        <v>57</v>
      </c>
      <c r="K8" s="0" t="n">
        <f aca="false">SUMPRODUCT(--((C8:E8=0)+(F8:H8=0)&gt;0))</f>
        <v>0</v>
      </c>
      <c r="L8" s="0" t="n">
        <f aca="false">((IF(C8=0,0.0001,C8/$I8)-IF(F8=0,0.0001,F8/$J8))*LN(IF(C8=0,0.0001,C8/$I8)/IF(F8=0,0.0001,F8/$J8)))+((IF(D8=0,0.0001,D8/$I8)-IF(G8=0,0.0001,G8/$J8))*LN(IF(D8=0,0.0001,D8/$I8)/IF(G8=0,0.0001,G8/$J8)))+((IF(E8=0,0.0001,E8/$I8)-IF(H8=0,0.0001,H8/$J8))*LN(IF(E8=0,0.0001,E8/$I8)/IF(H8=0,0.0001,H8/$J8)))</f>
        <v>0.513545157572597</v>
      </c>
      <c r="M8" s="6" t="b">
        <f aca="false">L8&gt;0.2</f>
        <v>1</v>
      </c>
      <c r="N8" s="4" t="n">
        <v>0.513545</v>
      </c>
      <c r="O8" s="8" t="n">
        <f aca="false">ABS(L8-N8)</f>
        <v>1.57572597414557E-007</v>
      </c>
    </row>
    <row r="9" customFormat="false" ht="15" hidden="false" customHeight="false" outlineLevel="0" collapsed="false">
      <c r="A9" s="0" t="s">
        <v>282</v>
      </c>
      <c r="B9" s="0" t="n">
        <v>0</v>
      </c>
      <c r="C9" s="0" t="n">
        <f aca="false">COUNTIFS('Test table'!$C$5:$C$1517,$B9,'Test table'!$F$5:$F$1517,"&lt;&gt;apac",'Test table'!$G$5:$G$1517,"&gt;=0",'Test table'!$G$5:$G$1517,"&lt;1")</f>
        <v>9</v>
      </c>
      <c r="D9" s="0" t="n">
        <f aca="false">COUNTIFS('Test table'!$C$5:$C$1517,$B9,'Test table'!$F$5:$F$1517,"&lt;&gt;apac",'Test table'!$G$5:$G$1517,"&gt;=1",'Test table'!$G$5:$G$1517,"&lt;3")</f>
        <v>61</v>
      </c>
      <c r="E9" s="0" t="n">
        <f aca="false">COUNTIFS('Test table'!$C$5:$C$1517,$B9,'Test table'!$F$5:$F$1517,"&lt;&gt;apac",'Test table'!$G$5:$G$1517,"&gt;=3")</f>
        <v>237</v>
      </c>
      <c r="F9" s="0" t="n">
        <f aca="false">COUNTIFS('Test table'!$C$5:$C$1517,0,'Test table'!$F$5:$F$1517,"&lt;&gt;apac",'Test table'!$G$5:$G$1517,"&gt;=0",'Test table'!$G$5:$G$1517,"&lt;1")</f>
        <v>9</v>
      </c>
      <c r="G9" s="0" t="n">
        <f aca="false">COUNTIFS('Test table'!$C$5:$C$1517,0,'Test table'!$F$5:$F$1517,"&lt;&gt;apac",'Test table'!$G$5:$G$1517,"&gt;=1",'Test table'!$G$5:$G$1517,"&lt;3")</f>
        <v>61</v>
      </c>
      <c r="H9" s="0" t="n">
        <f aca="false">COUNTIFS('Test table'!$C$5:$C$1517,0,'Test table'!$F$5:$F$1517,"&lt;&gt;apac",'Test table'!$G$5:$G$1517,"&gt;=3")</f>
        <v>237</v>
      </c>
      <c r="I9" s="0" t="n">
        <f aca="false">SUM(C9:E9)</f>
        <v>307</v>
      </c>
      <c r="J9" s="0" t="n">
        <f aca="false">SUM(F9:H9)</f>
        <v>307</v>
      </c>
      <c r="K9" s="0" t="n">
        <f aca="false">SUMPRODUCT(--((C9:E9=0)+(F9:H9=0)&gt;0))</f>
        <v>0</v>
      </c>
      <c r="L9" s="0" t="n">
        <f aca="false">((IF(C9=0,0.0001,C9/$I9)-IF(F9=0,0.0001,F9/$J9))*LN(IF(C9=0,0.0001,C9/$I9)/IF(F9=0,0.0001,F9/$J9)))+((IF(D9=0,0.0001,D9/$I9)-IF(G9=0,0.0001,G9/$J9))*LN(IF(D9=0,0.0001,D9/$I9)/IF(G9=0,0.0001,G9/$J9)))+((IF(E9=0,0.0001,E9/$I9)-IF(H9=0,0.0001,H9/$J9))*LN(IF(E9=0,0.0001,E9/$I9)/IF(H9=0,0.0001,H9/$J9)))</f>
        <v>0</v>
      </c>
      <c r="M9" s="6" t="b">
        <f aca="false">L9&gt;0.2</f>
        <v>0</v>
      </c>
      <c r="N9" s="4" t="n">
        <v>0</v>
      </c>
      <c r="O9" s="8" t="n">
        <f aca="false">ABS(L9-N9)</f>
        <v>0</v>
      </c>
    </row>
    <row r="10" customFormat="false" ht="15" hidden="false" customHeight="false" outlineLevel="0" collapsed="false">
      <c r="A10" s="0" t="s">
        <v>282</v>
      </c>
      <c r="B10" s="0" t="n">
        <v>1</v>
      </c>
      <c r="C10" s="0" t="n">
        <f aca="false">COUNTIFS('Test table'!$C$5:$C$1517,$B10,'Test table'!$F$5:$F$1517,"&lt;&gt;apac",'Test table'!$G$5:$G$1517,"&gt;=0",'Test table'!$G$5:$G$1517,"&lt;1")</f>
        <v>4</v>
      </c>
      <c r="D10" s="0" t="n">
        <f aca="false">COUNTIFS('Test table'!$C$5:$C$1517,$B10,'Test table'!$F$5:$F$1517,"&lt;&gt;apac",'Test table'!$G$5:$G$1517,"&gt;=1",'Test table'!$G$5:$G$1517,"&lt;3")</f>
        <v>55</v>
      </c>
      <c r="E10" s="0" t="n">
        <f aca="false">COUNTIFS('Test table'!$C$5:$C$1517,$B10,'Test table'!$F$5:$F$1517,"&lt;&gt;apac",'Test table'!$G$5:$G$1517,"&gt;=3")</f>
        <v>254</v>
      </c>
      <c r="F10" s="0" t="n">
        <f aca="false">COUNTIFS('Test table'!$C$5:$C$1517,0,'Test table'!$F$5:$F$1517,"&lt;&gt;apac",'Test table'!$G$5:$G$1517,"&gt;=0",'Test table'!$G$5:$G$1517,"&lt;1")</f>
        <v>9</v>
      </c>
      <c r="G10" s="0" t="n">
        <f aca="false">COUNTIFS('Test table'!$C$5:$C$1517,0,'Test table'!$F$5:$F$1517,"&lt;&gt;apac",'Test table'!$G$5:$G$1517,"&gt;=1",'Test table'!$G$5:$G$1517,"&lt;3")</f>
        <v>61</v>
      </c>
      <c r="H10" s="0" t="n">
        <f aca="false">COUNTIFS('Test table'!$C$5:$C$1517,0,'Test table'!$F$5:$F$1517,"&lt;&gt;apac",'Test table'!$G$5:$G$1517,"&gt;=3")</f>
        <v>237</v>
      </c>
      <c r="I10" s="0" t="n">
        <f aca="false">SUM(C10:E10)</f>
        <v>313</v>
      </c>
      <c r="J10" s="0" t="n">
        <f aca="false">SUM(F10:H10)</f>
        <v>307</v>
      </c>
      <c r="K10" s="0" t="n">
        <f aca="false">SUMPRODUCT(--((C10:E10=0)+(F10:H10=0)&gt;0))</f>
        <v>0</v>
      </c>
      <c r="L10" s="0" t="n">
        <f aca="false">((IF(C10=0,0.0001,C10/$I10)-IF(F10=0,0.0001,F10/$J10))*LN(IF(C10=0,0.0001,C10/$I10)/IF(F10=0,0.0001,F10/$J10)))+((IF(D10=0,0.0001,D10/$I10)-IF(G10=0,0.0001,G10/$J10))*LN(IF(D10=0,0.0001,D10/$I10)/IF(G10=0,0.0001,G10/$J10)))+((IF(E10=0,0.0001,E10/$I10)-IF(H10=0,0.0001,H10/$J10))*LN(IF(E10=0,0.0001,E10/$I10)/IF(H10=0,0.0001,H10/$J10)))</f>
        <v>0.018526394653489</v>
      </c>
      <c r="M10" s="6" t="b">
        <f aca="false">L10&gt;0.2</f>
        <v>0</v>
      </c>
      <c r="N10" s="4" t="n">
        <v>0.018526</v>
      </c>
      <c r="O10" s="8" t="n">
        <f aca="false">ABS(L10-N10)</f>
        <v>3.94653489006747E-007</v>
      </c>
    </row>
    <row r="11" customFormat="false" ht="15" hidden="false" customHeight="false" outlineLevel="0" collapsed="false">
      <c r="A11" s="0" t="s">
        <v>282</v>
      </c>
      <c r="B11" s="0" t="n">
        <v>2</v>
      </c>
      <c r="C11" s="0" t="n">
        <f aca="false">COUNTIFS('Test table'!$C$5:$C$1517,$B11,'Test table'!$F$5:$F$1517,"&lt;&gt;apac",'Test table'!$G$5:$G$1517,"&gt;=0",'Test table'!$G$5:$G$1517,"&lt;1")</f>
        <v>8</v>
      </c>
      <c r="D11" s="0" t="n">
        <f aca="false">COUNTIFS('Test table'!$C$5:$C$1517,$B11,'Test table'!$F$5:$F$1517,"&lt;&gt;apac",'Test table'!$G$5:$G$1517,"&gt;=1",'Test table'!$G$5:$G$1517,"&lt;3")</f>
        <v>49</v>
      </c>
      <c r="E11" s="0" t="n">
        <f aca="false">COUNTIFS('Test table'!$C$5:$C$1517,$B11,'Test table'!$F$5:$F$1517,"&lt;&gt;apac",'Test table'!$G$5:$G$1517,"&gt;=3")</f>
        <v>267</v>
      </c>
      <c r="F11" s="0" t="n">
        <f aca="false">COUNTIFS('Test table'!$C$5:$C$1517,0,'Test table'!$F$5:$F$1517,"&lt;&gt;apac",'Test table'!$G$5:$G$1517,"&gt;=0",'Test table'!$G$5:$G$1517,"&lt;1")</f>
        <v>9</v>
      </c>
      <c r="G11" s="0" t="n">
        <f aca="false">COUNTIFS('Test table'!$C$5:$C$1517,0,'Test table'!$F$5:$F$1517,"&lt;&gt;apac",'Test table'!$G$5:$G$1517,"&gt;=1",'Test table'!$G$5:$G$1517,"&lt;3")</f>
        <v>61</v>
      </c>
      <c r="H11" s="0" t="n">
        <f aca="false">COUNTIFS('Test table'!$C$5:$C$1517,0,'Test table'!$F$5:$F$1517,"&lt;&gt;apac",'Test table'!$G$5:$G$1517,"&gt;=3")</f>
        <v>237</v>
      </c>
      <c r="I11" s="0" t="n">
        <f aca="false">SUM(C11:E11)</f>
        <v>324</v>
      </c>
      <c r="J11" s="0" t="n">
        <f aca="false">SUM(F11:H11)</f>
        <v>307</v>
      </c>
      <c r="K11" s="0" t="n">
        <f aca="false">SUMPRODUCT(--((C11:E11=0)+(F11:H11=0)&gt;0))</f>
        <v>0</v>
      </c>
      <c r="L11" s="0" t="n">
        <f aca="false">((IF(C11=0,0.0001,C11/$I11)-IF(F11=0,0.0001,F11/$J11))*LN(IF(C11=0,0.0001,C11/$I11)/IF(F11=0,0.0001,F11/$J11)))+((IF(D11=0,0.0001,D11/$I11)-IF(G11=0,0.0001,G11/$J11))*LN(IF(D11=0,0.0001,D11/$I11)/IF(G11=0,0.0001,G11/$J11)))+((IF(E11=0,0.0001,E11/$I11)-IF(H11=0,0.0001,H11/$J11))*LN(IF(E11=0,0.0001,E11/$I11)/IF(H11=0,0.0001,H11/$J11)))</f>
        <v>0.0171497143778346</v>
      </c>
      <c r="M11" s="6" t="b">
        <f aca="false">L11&gt;0.2</f>
        <v>0</v>
      </c>
      <c r="N11" s="4" t="n">
        <v>0.01715</v>
      </c>
      <c r="O11" s="8" t="n">
        <f aca="false">ABS(L11-N11)</f>
        <v>2.85622165432931E-007</v>
      </c>
    </row>
    <row r="12" customFormat="false" ht="15" hidden="false" customHeight="false" outlineLevel="0" collapsed="false">
      <c r="A12" s="0" t="s">
        <v>282</v>
      </c>
      <c r="B12" s="0" t="n">
        <v>3</v>
      </c>
      <c r="C12" s="0" t="n">
        <f aca="false">COUNTIFS('Test table'!$C$5:$C$1517,$B12,'Test table'!$F$5:$F$1517,"&lt;&gt;apac",'Test table'!$G$5:$G$1517,"&gt;=0",'Test table'!$G$5:$G$1517,"&lt;1")</f>
        <v>5</v>
      </c>
      <c r="D12" s="0" t="n">
        <f aca="false">COUNTIFS('Test table'!$C$5:$C$1517,$B12,'Test table'!$F$5:$F$1517,"&lt;&gt;apac",'Test table'!$G$5:$G$1517,"&gt;=1",'Test table'!$G$5:$G$1517,"&lt;3")</f>
        <v>72</v>
      </c>
      <c r="E12" s="0" t="n">
        <f aca="false">COUNTIFS('Test table'!$C$5:$C$1517,$B12,'Test table'!$F$5:$F$1517,"&lt;&gt;apac",'Test table'!$G$5:$G$1517,"&gt;=3")</f>
        <v>259</v>
      </c>
      <c r="F12" s="0" t="n">
        <f aca="false">COUNTIFS('Test table'!$C$5:$C$1517,0,'Test table'!$F$5:$F$1517,"&lt;&gt;apac",'Test table'!$G$5:$G$1517,"&gt;=0",'Test table'!$G$5:$G$1517,"&lt;1")</f>
        <v>9</v>
      </c>
      <c r="G12" s="0" t="n">
        <f aca="false">COUNTIFS('Test table'!$C$5:$C$1517,0,'Test table'!$F$5:$F$1517,"&lt;&gt;apac",'Test table'!$G$5:$G$1517,"&gt;=1",'Test table'!$G$5:$G$1517,"&lt;3")</f>
        <v>61</v>
      </c>
      <c r="H12" s="0" t="n">
        <f aca="false">COUNTIFS('Test table'!$C$5:$C$1517,0,'Test table'!$F$5:$F$1517,"&lt;&gt;apac",'Test table'!$G$5:$G$1517,"&gt;=3")</f>
        <v>237</v>
      </c>
      <c r="I12" s="0" t="n">
        <f aca="false">SUM(C12:E12)</f>
        <v>336</v>
      </c>
      <c r="J12" s="0" t="n">
        <f aca="false">SUM(F12:H12)</f>
        <v>307</v>
      </c>
      <c r="K12" s="0" t="n">
        <f aca="false">SUMPRODUCT(--((C12:E12=0)+(F12:H12=0)&gt;0))</f>
        <v>0</v>
      </c>
      <c r="L12" s="0" t="n">
        <f aca="false">((IF(C12=0,0.0001,C12/$I12)-IF(F12=0,0.0001,F12/$J12))*LN(IF(C12=0,0.0001,C12/$I12)/IF(F12=0,0.0001,F12/$J12)))+((IF(D12=0,0.0001,D12/$I12)-IF(G12=0,0.0001,G12/$J12))*LN(IF(D12=0,0.0001,D12/$I12)/IF(G12=0,0.0001,G12/$J12)))+((IF(E12=0,0.0001,E12/$I12)-IF(H12=0,0.0001,H12/$J12))*LN(IF(E12=0,0.0001,E12/$I12)/IF(H12=0,0.0001,H12/$J12)))</f>
        <v>0.0109667762843108</v>
      </c>
      <c r="M12" s="6" t="b">
        <f aca="false">L12&gt;0.2</f>
        <v>0</v>
      </c>
      <c r="N12" s="4" t="n">
        <v>0.010967</v>
      </c>
      <c r="O12" s="8" t="n">
        <f aca="false">ABS(L12-N12)</f>
        <v>2.23715689242829E-007</v>
      </c>
    </row>
    <row r="13" customFormat="false" ht="15" hidden="false" customHeight="false" outlineLevel="0" collapsed="false">
      <c r="A13" s="0" t="s">
        <v>283</v>
      </c>
      <c r="B13" s="0" t="n">
        <v>0</v>
      </c>
      <c r="C13" s="0" t="n">
        <f aca="false">COUNTIFS('Test table'!$C$5:$C$1517,$B13,'Test table'!$G$5:$G$1517,"&gt;=0",'Test table'!$G$5:$G$1517,"&lt;1")</f>
        <v>14</v>
      </c>
      <c r="D13" s="0" t="n">
        <f aca="false">COUNTIFS('Test table'!$C$5:$C$1517,$B13,'Test table'!$G$5:$G$1517,"&gt;=1",'Test table'!$G$5:$G$1517,"&lt;3")</f>
        <v>68</v>
      </c>
      <c r="E13" s="0" t="n">
        <f aca="false">COUNTIFS('Test table'!$C$5:$C$1517,$B13,'Test table'!$G$5:$G$1517,"&gt;=3")</f>
        <v>282</v>
      </c>
      <c r="F13" s="0" t="n">
        <f aca="false">COUNTIFS('Test table'!$C$5:$C$1517,0,'Test table'!$G$5:$G$1517,"&gt;=0",'Test table'!$G$5:$G$1517,"&lt;1")</f>
        <v>14</v>
      </c>
      <c r="G13" s="0" t="n">
        <f aca="false">COUNTIFS('Test table'!$C$5:$C$1517,0,'Test table'!$G$5:$G$1517,"&gt;=1",'Test table'!$G$5:$G$1517,"&lt;3")</f>
        <v>68</v>
      </c>
      <c r="H13" s="0" t="n">
        <f aca="false">COUNTIFS('Test table'!$C$5:$C$1517,0,'Test table'!$G$5:$G$1517,"&gt;=3")</f>
        <v>282</v>
      </c>
      <c r="I13" s="0" t="n">
        <f aca="false">SUM(C13:E13)</f>
        <v>364</v>
      </c>
      <c r="J13" s="0" t="n">
        <f aca="false">SUM(F13:H13)</f>
        <v>364</v>
      </c>
      <c r="K13" s="0" t="n">
        <f aca="false">SUMPRODUCT(--((C13:E13=0)+(F13:H13=0)&gt;0))</f>
        <v>0</v>
      </c>
      <c r="L13" s="0" t="n">
        <f aca="false">((IF(C13=0,0.0001,C13/$I13)-IF(F13=0,0.0001,F13/$J13))*LN(IF(C13=0,0.0001,C13/$I13)/IF(F13=0,0.0001,F13/$J13)))+((IF(D13=0,0.0001,D13/$I13)-IF(G13=0,0.0001,G13/$J13))*LN(IF(D13=0,0.0001,D13/$I13)/IF(G13=0,0.0001,G13/$J13)))+((IF(E13=0,0.0001,E13/$I13)-IF(H13=0,0.0001,H13/$J13))*LN(IF(E13=0,0.0001,E13/$I13)/IF(H13=0,0.0001,H13/$J13)))</f>
        <v>0</v>
      </c>
      <c r="M13" s="6" t="b">
        <f aca="false">L13&gt;0.2</f>
        <v>0</v>
      </c>
      <c r="N13" s="4" t="n">
        <v>0</v>
      </c>
      <c r="O13" s="8" t="n">
        <f aca="false">ABS(L13-N13)</f>
        <v>0</v>
      </c>
    </row>
    <row r="14" customFormat="false" ht="15" hidden="false" customHeight="false" outlineLevel="0" collapsed="false">
      <c r="A14" s="0" t="s">
        <v>283</v>
      </c>
      <c r="B14" s="0" t="n">
        <v>1</v>
      </c>
      <c r="C14" s="0" t="n">
        <f aca="false">COUNTIFS('Test table'!$C$5:$C$1517,$B14,'Test table'!$G$5:$G$1517,"&gt;=0",'Test table'!$G$5:$G$1517,"&lt;1")</f>
        <v>5</v>
      </c>
      <c r="D14" s="0" t="n">
        <f aca="false">COUNTIFS('Test table'!$C$5:$C$1517,$B14,'Test table'!$G$5:$G$1517,"&gt;=1",'Test table'!$G$5:$G$1517,"&lt;3")</f>
        <v>66</v>
      </c>
      <c r="E14" s="0" t="n">
        <f aca="false">COUNTIFS('Test table'!$C$5:$C$1517,$B14,'Test table'!$G$5:$G$1517,"&gt;=3")</f>
        <v>301</v>
      </c>
      <c r="F14" s="0" t="n">
        <f aca="false">COUNTIFS('Test table'!$C$5:$C$1517,0,'Test table'!$G$5:$G$1517,"&gt;=0",'Test table'!$G$5:$G$1517,"&lt;1")</f>
        <v>14</v>
      </c>
      <c r="G14" s="0" t="n">
        <f aca="false">COUNTIFS('Test table'!$C$5:$C$1517,0,'Test table'!$G$5:$G$1517,"&gt;=1",'Test table'!$G$5:$G$1517,"&lt;3")</f>
        <v>68</v>
      </c>
      <c r="H14" s="0" t="n">
        <f aca="false">COUNTIFS('Test table'!$C$5:$C$1517,0,'Test table'!$G$5:$G$1517,"&gt;=3")</f>
        <v>282</v>
      </c>
      <c r="I14" s="0" t="n">
        <f aca="false">SUM(C14:E14)</f>
        <v>372</v>
      </c>
      <c r="J14" s="0" t="n">
        <f aca="false">SUM(F14:H14)</f>
        <v>364</v>
      </c>
      <c r="K14" s="0" t="n">
        <f aca="false">SUMPRODUCT(--((C14:E14=0)+(F14:H14=0)&gt;0))</f>
        <v>0</v>
      </c>
      <c r="L14" s="0" t="n">
        <f aca="false">((IF(C14=0,0.0001,C14/$I14)-IF(F14=0,0.0001,F14/$J14))*LN(IF(C14=0,0.0001,C14/$I14)/IF(F14=0,0.0001,F14/$J14)))+((IF(D14=0,0.0001,D14/$I14)-IF(G14=0,0.0001,G14/$J14))*LN(IF(D14=0,0.0001,D14/$I14)/IF(G14=0,0.0001,G14/$J14)))+((IF(E14=0,0.0001,E14/$I14)-IF(H14=0,0.0001,H14/$J14))*LN(IF(E14=0,0.0001,E14/$I14)/IF(H14=0,0.0001,H14/$J14)))</f>
        <v>0.028286145853231</v>
      </c>
      <c r="M14" s="6" t="b">
        <f aca="false">L14&gt;0.2</f>
        <v>0</v>
      </c>
      <c r="N14" s="4" t="n">
        <v>0.028286</v>
      </c>
      <c r="O14" s="8" t="n">
        <f aca="false">ABS(L14-N14)</f>
        <v>1.45853231044851E-007</v>
      </c>
    </row>
    <row r="15" customFormat="false" ht="15" hidden="false" customHeight="false" outlineLevel="0" collapsed="false">
      <c r="A15" s="0" t="s">
        <v>283</v>
      </c>
      <c r="B15" s="0" t="n">
        <v>2</v>
      </c>
      <c r="C15" s="0" t="n">
        <f aca="false">COUNTIFS('Test table'!$C$5:$C$1517,$B15,'Test table'!$G$5:$G$1517,"&gt;=0",'Test table'!$G$5:$G$1517,"&lt;1")</f>
        <v>11</v>
      </c>
      <c r="D15" s="0" t="n">
        <f aca="false">COUNTIFS('Test table'!$C$5:$C$1517,$B15,'Test table'!$G$5:$G$1517,"&gt;=1",'Test table'!$G$5:$G$1517,"&lt;3")</f>
        <v>61</v>
      </c>
      <c r="E15" s="0" t="n">
        <f aca="false">COUNTIFS('Test table'!$C$5:$C$1517,$B15,'Test table'!$G$5:$G$1517,"&gt;=3")</f>
        <v>313</v>
      </c>
      <c r="F15" s="0" t="n">
        <f aca="false">COUNTIFS('Test table'!$C$5:$C$1517,0,'Test table'!$G$5:$G$1517,"&gt;=0",'Test table'!$G$5:$G$1517,"&lt;1")</f>
        <v>14</v>
      </c>
      <c r="G15" s="0" t="n">
        <f aca="false">COUNTIFS('Test table'!$C$5:$C$1517,0,'Test table'!$G$5:$G$1517,"&gt;=1",'Test table'!$G$5:$G$1517,"&lt;3")</f>
        <v>68</v>
      </c>
      <c r="H15" s="0" t="n">
        <f aca="false">COUNTIFS('Test table'!$C$5:$C$1517,0,'Test table'!$G$5:$G$1517,"&gt;=3")</f>
        <v>282</v>
      </c>
      <c r="I15" s="0" t="n">
        <f aca="false">SUM(C15:E15)</f>
        <v>385</v>
      </c>
      <c r="J15" s="0" t="n">
        <f aca="false">SUM(F15:H15)</f>
        <v>364</v>
      </c>
      <c r="K15" s="0" t="n">
        <f aca="false">SUMPRODUCT(--((C15:E15=0)+(F15:H15=0)&gt;0))</f>
        <v>0</v>
      </c>
      <c r="L15" s="0" t="n">
        <f aca="false">((IF(C15=0,0.0001,C15/$I15)-IF(F15=0,0.0001,F15/$J15))*LN(IF(C15=0,0.0001,C15/$I15)/IF(F15=0,0.0001,F15/$J15)))+((IF(D15=0,0.0001,D15/$I15)-IF(G15=0,0.0001,G15/$J15))*LN(IF(D15=0,0.0001,D15/$I15)/IF(G15=0,0.0001,G15/$J15)))+((IF(E15=0,0.0001,E15/$I15)-IF(H15=0,0.0001,H15/$J15))*LN(IF(E15=0,0.0001,E15/$I15)/IF(H15=0,0.0001,H15/$J15)))</f>
        <v>0.00945778903868602</v>
      </c>
      <c r="M15" s="6" t="b">
        <f aca="false">L15&gt;0.2</f>
        <v>0</v>
      </c>
      <c r="N15" s="4" t="n">
        <v>0.009458</v>
      </c>
      <c r="O15" s="8" t="n">
        <f aca="false">ABS(L15-N15)</f>
        <v>2.1096131398203E-007</v>
      </c>
    </row>
    <row r="16" customFormat="false" ht="15" hidden="false" customHeight="false" outlineLevel="0" collapsed="false">
      <c r="A16" s="0" t="s">
        <v>283</v>
      </c>
      <c r="B16" s="0" t="n">
        <v>3</v>
      </c>
      <c r="C16" s="0" t="n">
        <f aca="false">COUNTIFS('Test table'!$C$5:$C$1517,$B16,'Test table'!$G$5:$G$1517,"&gt;=0",'Test table'!$G$5:$G$1517,"&lt;1")</f>
        <v>13</v>
      </c>
      <c r="D16" s="0" t="n">
        <f aca="false">COUNTIFS('Test table'!$C$5:$C$1517,$B16,'Test table'!$G$5:$G$1517,"&gt;=1",'Test table'!$G$5:$G$1517,"&lt;3")</f>
        <v>94</v>
      </c>
      <c r="E16" s="0" t="n">
        <f aca="false">COUNTIFS('Test table'!$C$5:$C$1517,$B16,'Test table'!$G$5:$G$1517,"&gt;=3")</f>
        <v>285</v>
      </c>
      <c r="F16" s="0" t="n">
        <f aca="false">COUNTIFS('Test table'!$C$5:$C$1517,0,'Test table'!$G$5:$G$1517,"&gt;=0",'Test table'!$G$5:$G$1517,"&lt;1")</f>
        <v>14</v>
      </c>
      <c r="G16" s="0" t="n">
        <f aca="false">COUNTIFS('Test table'!$C$5:$C$1517,0,'Test table'!$G$5:$G$1517,"&gt;=1",'Test table'!$G$5:$G$1517,"&lt;3")</f>
        <v>68</v>
      </c>
      <c r="H16" s="0" t="n">
        <f aca="false">COUNTIFS('Test table'!$C$5:$C$1517,0,'Test table'!$G$5:$G$1517,"&gt;=3")</f>
        <v>282</v>
      </c>
      <c r="I16" s="0" t="n">
        <f aca="false">SUM(C16:E16)</f>
        <v>392</v>
      </c>
      <c r="J16" s="0" t="n">
        <f aca="false">SUM(F16:H16)</f>
        <v>364</v>
      </c>
      <c r="K16" s="0" t="n">
        <f aca="false">SUMPRODUCT(--((C16:E16=0)+(F16:H16=0)&gt;0))</f>
        <v>0</v>
      </c>
      <c r="L16" s="0" t="n">
        <f aca="false">((IF(C16=0,0.0001,C16/$I16)-IF(F16=0,0.0001,F16/$J16))*LN(IF(C16=0,0.0001,C16/$I16)/IF(F16=0,0.0001,F16/$J16)))+((IF(D16=0,0.0001,D16/$I16)-IF(G16=0,0.0001,G16/$J16))*LN(IF(D16=0,0.0001,D16/$I16)/IF(G16=0,0.0001,G16/$J16)))+((IF(E16=0,0.0001,E16/$I16)-IF(H16=0,0.0001,H16/$J16))*LN(IF(E16=0,0.0001,E16/$I16)/IF(H16=0,0.0001,H16/$J16)))</f>
        <v>0.0170431659136935</v>
      </c>
      <c r="M16" s="6" t="b">
        <f aca="false">L16&gt;0.2</f>
        <v>0</v>
      </c>
      <c r="N16" s="4" t="n">
        <v>0.017043</v>
      </c>
      <c r="O16" s="8" t="n">
        <f aca="false">ABS(L16-N16)</f>
        <v>1.65913693530445E-007</v>
      </c>
    </row>
    <row r="19" customFormat="false" ht="15" hidden="false" customHeight="false" outlineLevel="0" collapsed="false">
      <c r="A19" s="0" t="s">
        <v>284</v>
      </c>
      <c r="B19" s="0" t="n">
        <f aca="false">COUNTIFS(A5:A16,"apac",M5:M16,TRUE())</f>
        <v>1</v>
      </c>
    </row>
    <row r="21" customFormat="false" ht="15" hidden="false" customHeight="false" outlineLevel="0" collapsed="false">
      <c r="A21" s="2" t="s">
        <v>285</v>
      </c>
    </row>
    <row r="22" customFormat="false" ht="28.35" hidden="false" customHeight="false" outlineLevel="0" collapsed="false">
      <c r="A22" s="7" t="s">
        <v>246</v>
      </c>
      <c r="B22" s="7" t="s">
        <v>286</v>
      </c>
      <c r="C22" s="7" t="s">
        <v>278</v>
      </c>
      <c r="D22" s="7" t="s">
        <v>287</v>
      </c>
      <c r="E22" s="7" t="s">
        <v>288</v>
      </c>
      <c r="F22" s="7" t="s">
        <v>289</v>
      </c>
      <c r="G22" s="7" t="s">
        <v>290</v>
      </c>
    </row>
    <row r="23" customFormat="false" ht="15" hidden="false" customHeight="false" outlineLevel="0" collapsed="false">
      <c r="A23" s="11" t="n">
        <v>45658</v>
      </c>
      <c r="B23" s="4" t="n">
        <v>0.10835</v>
      </c>
      <c r="C23" s="4" t="n">
        <v>0</v>
      </c>
      <c r="D23" s="6" t="b">
        <f aca="false">B23&gt;0.2</f>
        <v>0</v>
      </c>
      <c r="E23" s="4" t="n">
        <v>0.016721</v>
      </c>
      <c r="F23" s="4" t="n">
        <v>0.023959</v>
      </c>
      <c r="G23" s="6" t="b">
        <f aca="false">AND(D23,C23&gt;0)</f>
        <v>0</v>
      </c>
    </row>
    <row r="24" customFormat="false" ht="15" hidden="false" customHeight="false" outlineLevel="0" collapsed="false">
      <c r="A24" s="11" t="n">
        <v>45689</v>
      </c>
      <c r="B24" s="4" t="n">
        <v>0.638981</v>
      </c>
      <c r="C24" s="4" t="n">
        <v>1</v>
      </c>
      <c r="D24" s="6" t="b">
        <f aca="false">B24&gt;0.2</f>
        <v>1</v>
      </c>
      <c r="E24" s="4" t="n">
        <v>0.02245</v>
      </c>
      <c r="F24" s="4" t="n">
        <v>0.051631</v>
      </c>
      <c r="G24" s="6" t="b">
        <f aca="false">AND(D24,C24&gt;0)</f>
        <v>1</v>
      </c>
    </row>
    <row r="25" customFormat="false" ht="15" hidden="false" customHeight="false" outlineLevel="0" collapsed="false">
      <c r="A25" s="11" t="n">
        <v>45717</v>
      </c>
      <c r="B25" s="4" t="n">
        <v>0.051031</v>
      </c>
      <c r="C25" s="4" t="n">
        <v>0</v>
      </c>
      <c r="D25" s="6" t="b">
        <f aca="false">B25&gt;0.2</f>
        <v>0</v>
      </c>
      <c r="E25" s="4" t="n">
        <v>0.009982</v>
      </c>
      <c r="F25" s="4" t="n">
        <v>0.007233</v>
      </c>
      <c r="G25" s="6" t="b">
        <f aca="false">AND(D25,C25&gt;0)</f>
        <v>0</v>
      </c>
    </row>
    <row r="26" customFormat="false" ht="15" hidden="false" customHeight="false" outlineLevel="0" collapsed="false">
      <c r="A26" s="11" t="n">
        <v>45748</v>
      </c>
      <c r="B26" s="4" t="n">
        <v>0.006783</v>
      </c>
      <c r="C26" s="4" t="n">
        <v>0</v>
      </c>
      <c r="D26" s="6" t="b">
        <f aca="false">B26&gt;0.2</f>
        <v>0</v>
      </c>
      <c r="E26" s="4" t="n">
        <v>0.006141</v>
      </c>
      <c r="F26" s="4" t="n">
        <v>0.009378</v>
      </c>
      <c r="G26" s="6" t="b">
        <f aca="false">AND(D26,C26&gt;0)</f>
        <v>0</v>
      </c>
    </row>
    <row r="27" customFormat="false" ht="15" hidden="false" customHeight="false" outlineLevel="0" collapsed="false">
      <c r="A27" s="11" t="n">
        <v>45778</v>
      </c>
      <c r="B27" s="4" t="n">
        <v>0.111157</v>
      </c>
      <c r="C27" s="4" t="n">
        <v>0</v>
      </c>
      <c r="D27" s="6" t="b">
        <f aca="false">B27&gt;0.2</f>
        <v>0</v>
      </c>
      <c r="E27" s="4" t="n">
        <v>0.012696</v>
      </c>
      <c r="F27" s="4" t="n">
        <v>0.007907</v>
      </c>
      <c r="G27" s="6" t="b">
        <f aca="false">AND(D27,C27&gt;0)</f>
        <v>0</v>
      </c>
    </row>
    <row r="28" customFormat="false" ht="15" hidden="false" customHeight="false" outlineLevel="0" collapsed="false">
      <c r="A28" s="11" t="n">
        <v>45809</v>
      </c>
      <c r="B28" s="4" t="n">
        <v>0.641052</v>
      </c>
      <c r="C28" s="4" t="n">
        <v>1</v>
      </c>
      <c r="D28" s="6" t="b">
        <f aca="false">B28&gt;0.2</f>
        <v>1</v>
      </c>
      <c r="E28" s="4" t="n">
        <v>0.04373</v>
      </c>
      <c r="F28" s="4" t="n">
        <v>0.018169</v>
      </c>
      <c r="G28" s="6" t="b">
        <f aca="false">AND(D28,C28&gt;0)</f>
        <v>1</v>
      </c>
    </row>
    <row r="29" customFormat="false" ht="15" hidden="false" customHeight="false" outlineLevel="0" collapsed="false">
      <c r="A29" s="11" t="n">
        <v>45839</v>
      </c>
      <c r="B29" s="4" t="n">
        <v>0.026742</v>
      </c>
      <c r="C29" s="4" t="n">
        <v>0</v>
      </c>
      <c r="D29" s="6" t="b">
        <f aca="false">B29&gt;0.2</f>
        <v>0</v>
      </c>
      <c r="E29" s="4" t="n">
        <v>0.002029</v>
      </c>
      <c r="F29" s="4" t="n">
        <v>0.000923</v>
      </c>
      <c r="G29" s="6" t="b">
        <f aca="false">AND(D29,C29&gt;0)</f>
        <v>0</v>
      </c>
    </row>
    <row r="30" customFormat="false" ht="15" hidden="false" customHeight="false" outlineLevel="0" collapsed="false">
      <c r="A30" s="11" t="n">
        <v>45870</v>
      </c>
      <c r="B30" s="4" t="n">
        <v>0.623027</v>
      </c>
      <c r="C30" s="4" t="n">
        <v>1</v>
      </c>
      <c r="D30" s="6" t="b">
        <f aca="false">B30&gt;0.2</f>
        <v>1</v>
      </c>
      <c r="E30" s="4" t="n">
        <v>0.001181</v>
      </c>
      <c r="F30" s="4" t="n">
        <v>0.00483</v>
      </c>
      <c r="G30" s="6" t="b">
        <f aca="false">AND(D30,C30&gt;0)</f>
        <v>1</v>
      </c>
    </row>
    <row r="31" customFormat="false" ht="15" hidden="false" customHeight="false" outlineLevel="0" collapsed="false">
      <c r="A31" s="11" t="n">
        <v>45901</v>
      </c>
      <c r="B31" s="4" t="n">
        <v>0.1815</v>
      </c>
      <c r="C31" s="4" t="n">
        <v>0</v>
      </c>
      <c r="D31" s="6" t="b">
        <f aca="false">B31&gt;0.2</f>
        <v>0</v>
      </c>
      <c r="E31" s="4" t="n">
        <v>0.018325</v>
      </c>
      <c r="F31" s="4" t="n">
        <v>0.008635</v>
      </c>
      <c r="G31" s="6" t="b">
        <f aca="false">AND(D31,C31&gt;0)</f>
        <v>0</v>
      </c>
    </row>
    <row r="32" customFormat="false" ht="15" hidden="false" customHeight="false" outlineLevel="0" collapsed="false">
      <c r="A32" s="11" t="n">
        <v>45931</v>
      </c>
      <c r="B32" s="4" t="n">
        <v>0.679573</v>
      </c>
      <c r="C32" s="4" t="n">
        <v>1</v>
      </c>
      <c r="D32" s="6" t="b">
        <f aca="false">B32&gt;0.2</f>
        <v>1</v>
      </c>
      <c r="E32" s="4" t="n">
        <v>0.011837</v>
      </c>
      <c r="F32" s="4" t="n">
        <v>0.025216</v>
      </c>
      <c r="G32" s="6" t="b">
        <f aca="false">AND(D32,C32&gt;0)</f>
        <v>1</v>
      </c>
    </row>
    <row r="33" customFormat="false" ht="15" hidden="false" customHeight="false" outlineLevel="0" collapsed="false">
      <c r="A33" s="11" t="n">
        <v>45962</v>
      </c>
      <c r="B33" s="4" t="n">
        <v>0.085816</v>
      </c>
      <c r="C33" s="4" t="n">
        <v>0</v>
      </c>
      <c r="D33" s="6" t="b">
        <f aca="false">B33&gt;0.2</f>
        <v>0</v>
      </c>
      <c r="E33" s="4" t="n">
        <v>0.003782</v>
      </c>
      <c r="F33" s="4" t="n">
        <v>0.000323</v>
      </c>
      <c r="G33" s="6" t="b">
        <f aca="false">AND(D33,C33&gt;0)</f>
        <v>0</v>
      </c>
    </row>
    <row r="34" customFormat="false" ht="15" hidden="false" customHeight="false" outlineLevel="0" collapsed="false">
      <c r="A34" s="11" t="n">
        <v>45992</v>
      </c>
      <c r="B34" s="4" t="n">
        <v>0.139882</v>
      </c>
      <c r="C34" s="4" t="n">
        <v>0</v>
      </c>
      <c r="D34" s="6" t="b">
        <f aca="false">B34&gt;0.2</f>
        <v>0</v>
      </c>
      <c r="E34" s="4" t="n">
        <v>0.010498</v>
      </c>
      <c r="F34" s="4" t="n">
        <v>0.009134</v>
      </c>
      <c r="G34" s="6" t="b">
        <f aca="false">AND(D34,C34&gt;0)</f>
        <v>0</v>
      </c>
    </row>
    <row r="35" customFormat="false" ht="15" hidden="false" customHeight="false" outlineLevel="0" collapsed="false">
      <c r="A35" s="11" t="n">
        <v>46023</v>
      </c>
      <c r="B35" s="4" t="n">
        <v>0.251339</v>
      </c>
      <c r="C35" s="4" t="n">
        <v>0</v>
      </c>
      <c r="D35" s="6" t="b">
        <f aca="false">B35&gt;0.2</f>
        <v>1</v>
      </c>
      <c r="E35" s="4" t="n">
        <v>0.004366</v>
      </c>
      <c r="F35" s="4" t="n">
        <v>0.013403</v>
      </c>
      <c r="G35" s="6" t="b">
        <f aca="false">AND(D35,C35&gt;0)</f>
        <v>0</v>
      </c>
    </row>
    <row r="36" customFormat="false" ht="15" hidden="false" customHeight="false" outlineLevel="0" collapsed="false">
      <c r="A36" s="11" t="n">
        <v>46054</v>
      </c>
      <c r="B36" s="4" t="n">
        <v>0</v>
      </c>
      <c r="C36" s="4" t="n">
        <v>0</v>
      </c>
      <c r="D36" s="6" t="b">
        <f aca="false">B36&gt;0.2</f>
        <v>0</v>
      </c>
      <c r="E36" s="4" t="n">
        <v>0</v>
      </c>
      <c r="F36" s="4" t="n">
        <v>0</v>
      </c>
      <c r="G36" s="6" t="b">
        <f aca="false">AND(D36,C36&gt;0)</f>
        <v>0</v>
      </c>
    </row>
    <row r="37" customFormat="false" ht="15" hidden="false" customHeight="false" outlineLevel="0" collapsed="false">
      <c r="A37" s="11" t="n">
        <v>46082</v>
      </c>
      <c r="B37" s="4" t="n">
        <v>0.142972</v>
      </c>
      <c r="C37" s="4" t="n">
        <v>0</v>
      </c>
      <c r="D37" s="6" t="b">
        <f aca="false">B37&gt;0.2</f>
        <v>0</v>
      </c>
      <c r="E37" s="4" t="n">
        <v>0.028286</v>
      </c>
      <c r="F37" s="4" t="n">
        <v>0.018526</v>
      </c>
      <c r="G37" s="6" t="b">
        <f aca="false">AND(D37,C37&gt;0)</f>
        <v>0</v>
      </c>
    </row>
    <row r="38" customFormat="false" ht="15" hidden="false" customHeight="false" outlineLevel="0" collapsed="false">
      <c r="A38" s="11" t="n">
        <v>46113</v>
      </c>
      <c r="B38" s="4" t="n">
        <v>0.058749</v>
      </c>
      <c r="C38" s="4" t="n">
        <v>0</v>
      </c>
      <c r="D38" s="6" t="b">
        <f aca="false">B38&gt;0.2</f>
        <v>0</v>
      </c>
      <c r="E38" s="4" t="n">
        <v>0.009458</v>
      </c>
      <c r="F38" s="4" t="n">
        <v>0.01715</v>
      </c>
      <c r="G38" s="6" t="b">
        <f aca="false">AND(D38,C38&gt;0)</f>
        <v>0</v>
      </c>
    </row>
    <row r="39" customFormat="false" ht="15" hidden="false" customHeight="false" outlineLevel="0" collapsed="false">
      <c r="A39" s="11" t="n">
        <v>46143</v>
      </c>
      <c r="B39" s="4" t="n">
        <v>0.513545</v>
      </c>
      <c r="C39" s="4" t="n">
        <v>0</v>
      </c>
      <c r="D39" s="6" t="b">
        <f aca="false">B39&gt;0.2</f>
        <v>1</v>
      </c>
      <c r="E39" s="4" t="n">
        <v>0.017043</v>
      </c>
      <c r="F39" s="4" t="n">
        <v>0.010967</v>
      </c>
      <c r="G39" s="6" t="b">
        <f aca="false">AND(D39,C39&gt;0)</f>
        <v>0</v>
      </c>
    </row>
    <row r="40" customFormat="false" ht="15" hidden="false" customHeight="false" outlineLevel="0" collapsed="false">
      <c r="A40" s="11" t="n">
        <v>46174</v>
      </c>
      <c r="B40" s="4" t="n">
        <v>0.551353</v>
      </c>
      <c r="C40" s="4" t="n">
        <v>0</v>
      </c>
      <c r="D40" s="6" t="b">
        <f aca="false">B40&gt;0.2</f>
        <v>1</v>
      </c>
      <c r="E40" s="4" t="n">
        <v>0.000867</v>
      </c>
      <c r="F40" s="4" t="n">
        <v>0.016833</v>
      </c>
      <c r="G40" s="6" t="b">
        <f aca="false">AND(D40,C40&gt;0)</f>
        <v>0</v>
      </c>
    </row>
    <row r="41" customFormat="false" ht="15" hidden="false" customHeight="false" outlineLevel="0" collapsed="false">
      <c r="A41" s="11" t="n">
        <v>46204</v>
      </c>
      <c r="B41" s="4" t="n">
        <v>0.57974</v>
      </c>
      <c r="C41" s="4" t="n">
        <v>0</v>
      </c>
      <c r="D41" s="6" t="b">
        <f aca="false">B41&gt;0.2</f>
        <v>1</v>
      </c>
      <c r="E41" s="4" t="n">
        <v>0.000647</v>
      </c>
      <c r="F41" s="4" t="n">
        <v>0.020612</v>
      </c>
      <c r="G41" s="6" t="b">
        <f aca="false">AND(D41,C41&gt;0)</f>
        <v>0</v>
      </c>
    </row>
    <row r="42" customFormat="false" ht="15" hidden="false" customHeight="false" outlineLevel="0" collapsed="false">
      <c r="A42" s="11" t="n">
        <v>46235</v>
      </c>
      <c r="B42" s="4" t="n">
        <v>0.765053</v>
      </c>
      <c r="C42" s="4" t="n">
        <v>0</v>
      </c>
      <c r="D42" s="6" t="b">
        <f aca="false">B42&gt;0.2</f>
        <v>1</v>
      </c>
      <c r="E42" s="4" t="n">
        <v>0.00302</v>
      </c>
      <c r="F42" s="4" t="n">
        <v>0.014031</v>
      </c>
      <c r="G42" s="6" t="b">
        <f aca="false">AND(D42,C42&gt;0)</f>
        <v>0</v>
      </c>
    </row>
    <row r="43" customFormat="false" ht="15" hidden="false" customHeight="false" outlineLevel="0" collapsed="false">
      <c r="A43" s="11" t="n">
        <v>46266</v>
      </c>
      <c r="B43" s="4" t="n">
        <v>0.491035</v>
      </c>
      <c r="C43" s="4" t="n">
        <v>0</v>
      </c>
      <c r="D43" s="6" t="b">
        <f aca="false">B43&gt;0.2</f>
        <v>1</v>
      </c>
      <c r="E43" s="4" t="n">
        <v>0.002069</v>
      </c>
      <c r="F43" s="4" t="n">
        <v>0.022153</v>
      </c>
      <c r="G43" s="6" t="b">
        <f aca="false">AND(D43,C43&gt;0)</f>
        <v>0</v>
      </c>
    </row>
    <row r="45" customFormat="false" ht="15" hidden="false" customHeight="false" outlineLevel="0" collapsed="false">
      <c r="A45" s="0" t="s">
        <v>291</v>
      </c>
      <c r="B45" s="0" t="n">
        <f aca="false">COUNTIFS(A23:A43,"&lt;"&amp;DATE(2026,3,31),D23:D43,TRUE())</f>
        <v>5</v>
      </c>
    </row>
    <row r="46" customFormat="false" ht="15" hidden="false" customHeight="false" outlineLevel="0" collapsed="false">
      <c r="A46" s="0" t="s">
        <v>292</v>
      </c>
      <c r="B46" s="0" t="n">
        <f aca="false">COUNTIFS(A23:A43,"&lt;"&amp;DATE(2026,3,31),G23:G43,TRUE())</f>
        <v>4</v>
      </c>
    </row>
    <row r="47" customFormat="false" ht="15" hidden="false" customHeight="false" outlineLevel="0" collapsed="false">
      <c r="A47" s="0" t="s">
        <v>293</v>
      </c>
      <c r="B47" s="0" t="n">
        <f aca="false">COUNTIFS(A23:A43,"&gt;="&amp;DATE(2026,5,1),D23:D43,TRUE())</f>
        <v>5</v>
      </c>
    </row>
    <row r="48" customFormat="false" ht="15" hidden="false" customHeight="false" outlineLevel="0" collapsed="false">
      <c r="A48" s="0" t="s">
        <v>294</v>
      </c>
      <c r="B48" s="0" t="n">
        <f aca="false">MAX(E23:E43)</f>
        <v>0.04373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6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0" t="s">
        <v>296</v>
      </c>
    </row>
    <row r="4" customFormat="false" ht="28.35" hidden="false" customHeight="false" outlineLevel="0" collapsed="false">
      <c r="A4" s="7" t="s">
        <v>297</v>
      </c>
      <c r="B4" s="7" t="s">
        <v>247</v>
      </c>
      <c r="C4" s="7" t="s">
        <v>298</v>
      </c>
      <c r="D4" s="7" t="s">
        <v>299</v>
      </c>
      <c r="E4" s="7" t="s">
        <v>300</v>
      </c>
      <c r="F4" s="7" t="s">
        <v>301</v>
      </c>
      <c r="G4" s="7" t="s">
        <v>302</v>
      </c>
      <c r="H4" s="7" t="s">
        <v>303</v>
      </c>
      <c r="I4" s="7" t="s">
        <v>304</v>
      </c>
    </row>
    <row r="5" customFormat="false" ht="15" hidden="false" customHeight="false" outlineLevel="0" collapsed="false">
      <c r="A5" s="0" t="s">
        <v>305</v>
      </c>
      <c r="B5" s="0" t="s">
        <v>261</v>
      </c>
      <c r="C5" s="4" t="n">
        <v>220</v>
      </c>
      <c r="D5" s="4" t="n">
        <v>86</v>
      </c>
      <c r="E5" s="4" t="n">
        <v>97</v>
      </c>
      <c r="F5" s="4" t="n">
        <v>32</v>
      </c>
      <c r="G5" s="4" t="n">
        <v>5</v>
      </c>
      <c r="H5" s="8" t="n">
        <f aca="false">C5-D5</f>
        <v>134</v>
      </c>
      <c r="I5" s="6" t="b">
        <f aca="false">D5+E5+F5+G5=C5</f>
        <v>1</v>
      </c>
    </row>
    <row r="6" customFormat="false" ht="15" hidden="false" customHeight="false" outlineLevel="0" collapsed="false">
      <c r="A6" s="0" t="s">
        <v>305</v>
      </c>
      <c r="B6" s="0" t="s">
        <v>262</v>
      </c>
      <c r="C6" s="4" t="n">
        <v>141</v>
      </c>
      <c r="D6" s="4" t="n">
        <v>31</v>
      </c>
      <c r="E6" s="4" t="n">
        <v>107</v>
      </c>
      <c r="F6" s="4" t="n">
        <v>3</v>
      </c>
      <c r="G6" s="4" t="n">
        <v>0</v>
      </c>
      <c r="H6" s="8" t="n">
        <f aca="false">C6-D6</f>
        <v>110</v>
      </c>
      <c r="I6" s="6" t="b">
        <f aca="false">D6+E6+F6+G6=C6</f>
        <v>1</v>
      </c>
    </row>
    <row r="7" customFormat="false" ht="15" hidden="false" customHeight="false" outlineLevel="0" collapsed="false">
      <c r="A7" s="0" t="s">
        <v>305</v>
      </c>
      <c r="B7" s="0" t="s">
        <v>263</v>
      </c>
      <c r="C7" s="4" t="n">
        <v>161</v>
      </c>
      <c r="D7" s="4" t="n">
        <v>161</v>
      </c>
      <c r="E7" s="4" t="n">
        <v>0</v>
      </c>
      <c r="F7" s="4" t="n">
        <v>0</v>
      </c>
      <c r="G7" s="4" t="n">
        <v>0</v>
      </c>
      <c r="H7" s="8" t="n">
        <f aca="false">C7-D7</f>
        <v>0</v>
      </c>
      <c r="I7" s="6" t="b">
        <f aca="false">D7+E7+F7+G7=C7</f>
        <v>1</v>
      </c>
    </row>
    <row r="8" customFormat="false" ht="15" hidden="false" customHeight="false" outlineLevel="0" collapsed="false">
      <c r="A8" s="0" t="s">
        <v>305</v>
      </c>
      <c r="B8" s="0" t="s">
        <v>264</v>
      </c>
      <c r="C8" s="4" t="n">
        <v>448</v>
      </c>
      <c r="D8" s="4" t="n">
        <v>448</v>
      </c>
      <c r="E8" s="4" t="n">
        <v>0</v>
      </c>
      <c r="F8" s="4" t="n">
        <v>0</v>
      </c>
      <c r="G8" s="4" t="n">
        <v>0</v>
      </c>
      <c r="H8" s="8" t="n">
        <f aca="false">C8-D8</f>
        <v>0</v>
      </c>
      <c r="I8" s="6" t="b">
        <f aca="false">D8+E8+F8+G8=C8</f>
        <v>1</v>
      </c>
    </row>
    <row r="9" customFormat="false" ht="15" hidden="false" customHeight="false" outlineLevel="0" collapsed="false">
      <c r="A9" s="0" t="s">
        <v>306</v>
      </c>
      <c r="B9" s="0" t="s">
        <v>261</v>
      </c>
      <c r="C9" s="4" t="n">
        <v>2143</v>
      </c>
      <c r="D9" s="4" t="n">
        <v>1088</v>
      </c>
      <c r="E9" s="4" t="n">
        <v>879</v>
      </c>
      <c r="F9" s="4" t="n">
        <v>124</v>
      </c>
      <c r="G9" s="4" t="n">
        <v>52</v>
      </c>
      <c r="H9" s="8" t="n">
        <f aca="false">C9-D9</f>
        <v>1055</v>
      </c>
      <c r="I9" s="6" t="b">
        <f aca="false">D9+E9+F9+G9=C9</f>
        <v>1</v>
      </c>
    </row>
    <row r="10" customFormat="false" ht="15" hidden="false" customHeight="false" outlineLevel="0" collapsed="false">
      <c r="A10" s="0" t="s">
        <v>306</v>
      </c>
      <c r="B10" s="0" t="s">
        <v>262</v>
      </c>
      <c r="C10" s="4" t="n">
        <v>1688</v>
      </c>
      <c r="D10" s="4" t="n">
        <v>384</v>
      </c>
      <c r="E10" s="4" t="n">
        <v>1291</v>
      </c>
      <c r="F10" s="4" t="n">
        <v>13</v>
      </c>
      <c r="G10" s="4" t="n">
        <v>0</v>
      </c>
      <c r="H10" s="8" t="n">
        <f aca="false">C10-D10</f>
        <v>1304</v>
      </c>
      <c r="I10" s="6" t="b">
        <f aca="false">D10+E10+F10+G10=C10</f>
        <v>1</v>
      </c>
    </row>
    <row r="11" customFormat="false" ht="15" hidden="false" customHeight="false" outlineLevel="0" collapsed="false">
      <c r="A11" s="0" t="s">
        <v>306</v>
      </c>
      <c r="B11" s="0" t="s">
        <v>263</v>
      </c>
      <c r="C11" s="4" t="n">
        <v>1862</v>
      </c>
      <c r="D11" s="4" t="n">
        <v>1862</v>
      </c>
      <c r="E11" s="4" t="n">
        <v>0</v>
      </c>
      <c r="F11" s="4" t="n">
        <v>0</v>
      </c>
      <c r="G11" s="4" t="n">
        <v>0</v>
      </c>
      <c r="H11" s="8" t="n">
        <f aca="false">C11-D11</f>
        <v>0</v>
      </c>
      <c r="I11" s="6" t="b">
        <f aca="false">D11+E11+F11+G11=C11</f>
        <v>1</v>
      </c>
    </row>
    <row r="12" customFormat="false" ht="15" hidden="false" customHeight="false" outlineLevel="0" collapsed="false">
      <c r="A12" s="0" t="s">
        <v>306</v>
      </c>
      <c r="B12" s="0" t="s">
        <v>264</v>
      </c>
      <c r="C12" s="4" t="n">
        <v>5550</v>
      </c>
      <c r="D12" s="4" t="n">
        <v>5550</v>
      </c>
      <c r="E12" s="4" t="n">
        <v>0</v>
      </c>
      <c r="F12" s="4" t="n">
        <v>0</v>
      </c>
      <c r="G12" s="4" t="n">
        <v>0</v>
      </c>
      <c r="H12" s="8" t="n">
        <f aca="false">C12-D12</f>
        <v>0</v>
      </c>
      <c r="I12" s="6" t="b">
        <f aca="false">D12+E12+F12+G12=C12</f>
        <v>1</v>
      </c>
    </row>
    <row r="20" customFormat="false" ht="15" hidden="false" customHeight="false" outlineLevel="0" collapsed="false">
      <c r="A20" s="0" t="s">
        <v>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0" t="s">
        <v>309</v>
      </c>
    </row>
    <row r="4" customFormat="false" ht="15" hidden="false" customHeight="false" outlineLevel="0" collapsed="false">
      <c r="A4" s="7" t="s">
        <v>310</v>
      </c>
      <c r="B4" s="7" t="s">
        <v>311</v>
      </c>
      <c r="C4" s="7" t="s">
        <v>312</v>
      </c>
      <c r="D4" s="7" t="s">
        <v>313</v>
      </c>
      <c r="E4" s="7" t="s">
        <v>314</v>
      </c>
      <c r="F4" s="7" t="s">
        <v>315</v>
      </c>
    </row>
    <row r="5" customFormat="false" ht="15" hidden="false" customHeight="false" outlineLevel="0" collapsed="false">
      <c r="A5" s="4" t="n">
        <v>1</v>
      </c>
      <c r="B5" s="4" t="n">
        <v>0.8</v>
      </c>
      <c r="C5" s="4" t="n">
        <v>1</v>
      </c>
      <c r="D5" s="8" t="n">
        <f aca="false">1+COUNTIF($B$5:$B$8,"&gt;"&amp;B5)+COUNTIFS($B$5:$B$8,B5,$A$5:$A$8,"&lt;"&amp;A5)</f>
        <v>1</v>
      </c>
      <c r="E5" s="8" t="n">
        <f aca="false">(B5-C5)^2</f>
        <v>0.04</v>
      </c>
      <c r="F5" s="8" t="n">
        <f aca="false">IF(C5=1,COUNTIFS($B$5:$B$8,"&gt;="&amp;B5,$C$5:$C$8,1)/COUNTIF($B$5:$B$8,"&gt;="&amp;B5),0)</f>
        <v>1</v>
      </c>
    </row>
    <row r="6" customFormat="false" ht="15" hidden="false" customHeight="false" outlineLevel="0" collapsed="false">
      <c r="A6" s="4" t="n">
        <v>2</v>
      </c>
      <c r="B6" s="4" t="n">
        <v>0.6</v>
      </c>
      <c r="C6" s="4" t="n">
        <v>0</v>
      </c>
      <c r="D6" s="8" t="n">
        <f aca="false">1+COUNTIF($B$5:$B$8,"&gt;"&amp;B6)+COUNTIFS($B$5:$B$8,B6,$A$5:$A$8,"&lt;"&amp;A6)</f>
        <v>2</v>
      </c>
      <c r="E6" s="8" t="n">
        <f aca="false">(B6-C6)^2</f>
        <v>0.36</v>
      </c>
      <c r="F6" s="8" t="n">
        <f aca="false">IF(C6=1,COUNTIFS($B$5:$B$8,"&gt;="&amp;B6,$C$5:$C$8,1)/COUNTIF($B$5:$B$8,"&gt;="&amp;B6),0)</f>
        <v>0</v>
      </c>
    </row>
    <row r="7" customFormat="false" ht="15" hidden="false" customHeight="false" outlineLevel="0" collapsed="false">
      <c r="A7" s="4" t="n">
        <v>3</v>
      </c>
      <c r="B7" s="4" t="n">
        <v>0.4</v>
      </c>
      <c r="C7" s="4" t="n">
        <v>1</v>
      </c>
      <c r="D7" s="8" t="n">
        <f aca="false">1+COUNTIF($B$5:$B$8,"&gt;"&amp;B7)+COUNTIFS($B$5:$B$8,B7,$A$5:$A$8,"&lt;"&amp;A7)</f>
        <v>3</v>
      </c>
      <c r="E7" s="8" t="n">
        <f aca="false">(B7-C7)^2</f>
        <v>0.36</v>
      </c>
      <c r="F7" s="8" t="n">
        <f aca="false">IF(C7=1,COUNTIFS($B$5:$B$8,"&gt;="&amp;B7,$C$5:$C$8,1)/COUNTIF($B$5:$B$8,"&gt;="&amp;B7),0)</f>
        <v>0.666666666666667</v>
      </c>
    </row>
    <row r="8" customFormat="false" ht="15" hidden="false" customHeight="false" outlineLevel="0" collapsed="false">
      <c r="A8" s="4" t="n">
        <v>4</v>
      </c>
      <c r="B8" s="4" t="n">
        <v>0.1</v>
      </c>
      <c r="C8" s="4" t="n">
        <v>0</v>
      </c>
      <c r="D8" s="8" t="n">
        <f aca="false">1+COUNTIF($B$5:$B$8,"&gt;"&amp;B8)+COUNTIFS($B$5:$B$8,B8,$A$5:$A$8,"&lt;"&amp;A8)</f>
        <v>4</v>
      </c>
      <c r="E8" s="8" t="n">
        <f aca="false">(B8-C8)^2</f>
        <v>0.01</v>
      </c>
      <c r="F8" s="8" t="n">
        <f aca="false">IF(C8=1,COUNTIFS($B$5:$B$8,"&gt;="&amp;B8,$C$5:$C$8,1)/COUNTIF($B$5:$B$8,"&gt;="&amp;B8),0)</f>
        <v>0</v>
      </c>
    </row>
    <row r="11" customFormat="false" ht="15" hidden="false" customHeight="false" outlineLevel="0" collapsed="false">
      <c r="A11" s="0" t="s">
        <v>316</v>
      </c>
      <c r="B11" s="2" t="s">
        <v>229</v>
      </c>
      <c r="C11" s="2" t="s">
        <v>317</v>
      </c>
      <c r="D11" s="2" t="s">
        <v>318</v>
      </c>
      <c r="E11" s="2" t="s">
        <v>319</v>
      </c>
    </row>
    <row r="12" customFormat="false" ht="15" hidden="false" customHeight="false" outlineLevel="0" collapsed="false">
      <c r="B12" s="4" t="n">
        <v>2</v>
      </c>
      <c r="C12" s="4" t="n">
        <v>5</v>
      </c>
      <c r="D12" s="4" t="n">
        <v>0.1</v>
      </c>
      <c r="E12" s="4" t="n">
        <v>131.75</v>
      </c>
    </row>
    <row r="14" customFormat="false" ht="28.35" hidden="false" customHeight="false" outlineLevel="0" collapsed="false">
      <c r="A14" s="7" t="s">
        <v>187</v>
      </c>
      <c r="B14" s="7" t="s">
        <v>37</v>
      </c>
      <c r="C14" s="7" t="s">
        <v>320</v>
      </c>
      <c r="D14" s="7" t="s">
        <v>321</v>
      </c>
    </row>
    <row r="15" customFormat="false" ht="15" hidden="false" customHeight="false" outlineLevel="0" collapsed="false">
      <c r="A15" s="0" t="s">
        <v>322</v>
      </c>
      <c r="B15" s="0" t="n">
        <f aca="false">SUM(C5:C8)/COUNT(C5:C8)</f>
        <v>0.5</v>
      </c>
      <c r="C15" s="4" t="n">
        <v>0.5</v>
      </c>
      <c r="D15" s="6" t="b">
        <f aca="false">ABS(B15-C15)&lt;=0.0000005</f>
        <v>1</v>
      </c>
    </row>
    <row r="16" customFormat="false" ht="15" hidden="false" customHeight="false" outlineLevel="0" collapsed="false">
      <c r="A16" s="0" t="s">
        <v>323</v>
      </c>
      <c r="B16" s="0" t="n">
        <f aca="false">SUMPRODUCT((D5:D8&lt;=B12)*C5:C8)/B12</f>
        <v>0.5</v>
      </c>
      <c r="C16" s="4" t="n">
        <v>0.5</v>
      </c>
      <c r="D16" s="6" t="b">
        <f aca="false">ABS(B16-C16)&lt;=0.0000005</f>
        <v>1</v>
      </c>
    </row>
    <row r="17" customFormat="false" ht="15" hidden="false" customHeight="false" outlineLevel="0" collapsed="false">
      <c r="A17" s="0" t="s">
        <v>324</v>
      </c>
      <c r="B17" s="0" t="n">
        <f aca="false">SUMPRODUCT((D5:D8&lt;=B12)*C5:C8)/SUM(C5:C8)</f>
        <v>0.5</v>
      </c>
      <c r="C17" s="4" t="n">
        <v>0.5</v>
      </c>
      <c r="D17" s="6" t="b">
        <f aca="false">ABS(B17-C17)&lt;=0.0000005</f>
        <v>1</v>
      </c>
    </row>
    <row r="18" customFormat="false" ht="15" hidden="false" customHeight="false" outlineLevel="0" collapsed="false">
      <c r="A18" s="0" t="s">
        <v>325</v>
      </c>
      <c r="B18" s="0" t="n">
        <f aca="false">(SUMPRODUCT((D5:D8&lt;=B12)*C5:C8)/B12)/(SUM(C5:C8)/COUNT(C5:C8))</f>
        <v>1</v>
      </c>
      <c r="C18" s="4" t="n">
        <v>1</v>
      </c>
      <c r="D18" s="6" t="b">
        <f aca="false">ABS(B18-C18)&lt;=0.0000005</f>
        <v>1</v>
      </c>
    </row>
    <row r="19" customFormat="false" ht="15" hidden="false" customHeight="false" outlineLevel="0" collapsed="false">
      <c r="A19" s="0" t="s">
        <v>146</v>
      </c>
      <c r="B19" s="0" t="n">
        <f aca="false">AVERAGE(E5:E8)</f>
        <v>0.1925</v>
      </c>
      <c r="C19" s="4" t="n">
        <v>0.1925</v>
      </c>
      <c r="D19" s="6" t="b">
        <f aca="false">ABS(B19-C19)&lt;=0.0000005</f>
        <v>1</v>
      </c>
    </row>
    <row r="20" customFormat="false" ht="15" hidden="false" customHeight="false" outlineLevel="0" collapsed="false">
      <c r="A20" s="0" t="s">
        <v>326</v>
      </c>
      <c r="B20" s="0" t="n">
        <f aca="false">SUM(F5:F8)/SUM(C5:C8)</f>
        <v>0.833333333333333</v>
      </c>
      <c r="C20" s="4" t="n">
        <v>0.833333333333333</v>
      </c>
      <c r="D20" s="6" t="b">
        <f aca="false">ABS(B20-C20)&lt;=0.0000005</f>
        <v>1</v>
      </c>
    </row>
    <row r="21" customFormat="false" ht="15" hidden="false" customHeight="false" outlineLevel="0" collapsed="false">
      <c r="A21" s="0" t="s">
        <v>240</v>
      </c>
      <c r="B21" s="0" t="n">
        <f aca="false">ROUND(B12*C12,2)</f>
        <v>10</v>
      </c>
      <c r="C21" s="4" t="n">
        <v>10</v>
      </c>
      <c r="D21" s="6" t="b">
        <f aca="false">ABS(B21-C21)&lt;=0.0000005</f>
        <v>1</v>
      </c>
    </row>
    <row r="22" customFormat="false" ht="15" hidden="false" customHeight="false" outlineLevel="0" collapsed="false">
      <c r="A22" s="0" t="s">
        <v>327</v>
      </c>
      <c r="B22" s="0" t="n">
        <f aca="false">ROUND(SUMPRODUCT((D5:D8&lt;=B12)*(B5:B8*D12*E12-C12)),2)</f>
        <v>8.45</v>
      </c>
      <c r="C22" s="4" t="n">
        <v>8.45</v>
      </c>
      <c r="D22" s="6" t="b">
        <f aca="false">ABS(B22-C22)&lt;=0.0000005</f>
        <v>1</v>
      </c>
    </row>
    <row r="24" customFormat="false" ht="15" hidden="false" customHeight="false" outlineLevel="0" collapsed="false">
      <c r="A24" s="0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0"/>
  </cols>
  <sheetData>
    <row r="1" customFormat="false" ht="17.35" hidden="false" customHeight="false" outlineLevel="0" collapsed="false">
      <c r="A1" s="1" t="s">
        <v>329</v>
      </c>
    </row>
    <row r="3" customFormat="false" ht="15" hidden="false" customHeight="false" outlineLevel="0" collapsed="false">
      <c r="A3" s="7" t="s">
        <v>330</v>
      </c>
      <c r="B3" s="7" t="s">
        <v>331</v>
      </c>
    </row>
    <row r="4" customFormat="false" ht="28.35" hidden="false" customHeight="false" outlineLevel="0" collapsed="false">
      <c r="A4" s="2" t="s">
        <v>332</v>
      </c>
      <c r="B4" s="3" t="s">
        <v>333</v>
      </c>
    </row>
    <row r="5" customFormat="false" ht="28.35" hidden="false" customHeight="false" outlineLevel="0" collapsed="false">
      <c r="A5" s="2" t="s">
        <v>334</v>
      </c>
      <c r="B5" s="3" t="s">
        <v>335</v>
      </c>
    </row>
    <row r="6" customFormat="false" ht="28.35" hidden="false" customHeight="false" outlineLevel="0" collapsed="false">
      <c r="A6" s="2" t="s">
        <v>336</v>
      </c>
      <c r="B6" s="3" t="s">
        <v>337</v>
      </c>
    </row>
    <row r="7" customFormat="false" ht="15" hidden="false" customHeight="false" outlineLevel="0" collapsed="false">
      <c r="A7" s="2" t="s">
        <v>338</v>
      </c>
      <c r="B7" s="3" t="s">
        <v>339</v>
      </c>
    </row>
    <row r="8" customFormat="false" ht="41.75" hidden="false" customHeight="false" outlineLevel="0" collapsed="false">
      <c r="A8" s="2" t="s">
        <v>340</v>
      </c>
      <c r="B8" s="3" t="s">
        <v>341</v>
      </c>
    </row>
    <row r="9" customFormat="false" ht="28.35" hidden="false" customHeight="false" outlineLevel="0" collapsed="false">
      <c r="A9" s="2" t="s">
        <v>342</v>
      </c>
      <c r="B9" s="3" t="s">
        <v>343</v>
      </c>
    </row>
    <row r="10" customFormat="false" ht="28.35" hidden="false" customHeight="false" outlineLevel="0" collapsed="false">
      <c r="A10" s="2" t="s">
        <v>344</v>
      </c>
      <c r="B10" s="3" t="s">
        <v>345</v>
      </c>
    </row>
    <row r="11" customFormat="false" ht="28.35" hidden="false" customHeight="false" outlineLevel="0" collapsed="false">
      <c r="A11" s="2" t="s">
        <v>346</v>
      </c>
      <c r="B11" s="3" t="s">
        <v>347</v>
      </c>
    </row>
    <row r="12" customFormat="false" ht="28.35" hidden="false" customHeight="false" outlineLevel="0" collapsed="false">
      <c r="A12" s="2" t="s">
        <v>348</v>
      </c>
      <c r="B12" s="3" t="s">
        <v>349</v>
      </c>
    </row>
    <row r="13" customFormat="false" ht="41.75" hidden="false" customHeight="false" outlineLevel="0" collapsed="false">
      <c r="A13" s="2" t="s">
        <v>350</v>
      </c>
      <c r="B13" s="3" t="s">
        <v>351</v>
      </c>
    </row>
    <row r="14" customFormat="false" ht="15" hidden="false" customHeight="false" outlineLevel="0" collapsed="false">
      <c r="A14" s="2" t="s">
        <v>352</v>
      </c>
      <c r="B14" s="3" t="s">
        <v>353</v>
      </c>
    </row>
    <row r="15" customFormat="false" ht="15" hidden="false" customHeight="false" outlineLevel="0" collapsed="false">
      <c r="A15" s="2" t="s">
        <v>354</v>
      </c>
      <c r="B15" s="3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356</v>
      </c>
    </row>
    <row r="2" customFormat="false" ht="15" hidden="false" customHeight="false" outlineLevel="0" collapsed="false">
      <c r="A2" s="0" t="s">
        <v>357</v>
      </c>
    </row>
    <row r="4" customFormat="false" ht="28.35" hidden="false" customHeight="false" outlineLevel="0" collapsed="false">
      <c r="A4" s="7" t="s">
        <v>358</v>
      </c>
      <c r="B4" s="7" t="s">
        <v>229</v>
      </c>
      <c r="C4" s="7" t="s">
        <v>359</v>
      </c>
      <c r="D4" s="7" t="s">
        <v>360</v>
      </c>
      <c r="E4" s="7" t="s">
        <v>361</v>
      </c>
      <c r="F4" s="7" t="s">
        <v>235</v>
      </c>
    </row>
    <row r="5" customFormat="false" ht="15" hidden="false" customHeight="false" outlineLevel="0" collapsed="false">
      <c r="A5" s="4" t="s">
        <v>21</v>
      </c>
      <c r="B5" s="4" t="n">
        <v>5</v>
      </c>
      <c r="C5" s="4" t="n">
        <v>8</v>
      </c>
      <c r="D5" s="4" t="n">
        <v>0.3</v>
      </c>
      <c r="E5" s="4" t="n">
        <v>200</v>
      </c>
      <c r="F5" s="4" t="s">
        <v>237</v>
      </c>
    </row>
    <row r="6" customFormat="false" ht="15" hidden="false" customHeight="false" outlineLevel="0" collapsed="false">
      <c r="A6" s="4" t="s">
        <v>362</v>
      </c>
      <c r="B6" s="4" t="n">
        <v>10</v>
      </c>
      <c r="C6" s="4" t="n">
        <v>8</v>
      </c>
      <c r="D6" s="4" t="n">
        <v>0.2</v>
      </c>
      <c r="E6" s="4" t="n">
        <v>200</v>
      </c>
      <c r="F6" s="4" t="s">
        <v>237</v>
      </c>
    </row>
    <row r="7" customFormat="false" ht="15" hidden="false" customHeight="false" outlineLevel="0" collapsed="false">
      <c r="A7" s="4" t="s">
        <v>363</v>
      </c>
      <c r="B7" s="4" t="n">
        <v>20</v>
      </c>
      <c r="C7" s="4" t="n">
        <v>8</v>
      </c>
      <c r="D7" s="4" t="n">
        <v>0.1</v>
      </c>
      <c r="E7" s="4" t="n">
        <v>200</v>
      </c>
      <c r="F7" s="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5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8"/>
  </cols>
  <sheetData>
    <row r="1" customFormat="false" ht="17.35" hidden="false" customHeight="false" outlineLevel="0" collapsed="false">
      <c r="A1" s="1" t="s">
        <v>364</v>
      </c>
    </row>
    <row r="2" customFormat="false" ht="15" hidden="false" customHeight="false" outlineLevel="0" collapsed="false">
      <c r="A2" s="0" t="s">
        <v>365</v>
      </c>
    </row>
    <row r="4" customFormat="false" ht="55.2" hidden="false" customHeight="false" outlineLevel="0" collapsed="false">
      <c r="A4" s="7" t="s">
        <v>366</v>
      </c>
      <c r="B4" s="7" t="s">
        <v>226</v>
      </c>
      <c r="C4" s="7" t="s">
        <v>367</v>
      </c>
      <c r="D4" s="7" t="s">
        <v>368</v>
      </c>
      <c r="E4" s="7" t="s">
        <v>200</v>
      </c>
      <c r="F4" s="7" t="s">
        <v>205</v>
      </c>
      <c r="G4" s="7" t="s">
        <v>369</v>
      </c>
      <c r="H4" s="7" t="s">
        <v>370</v>
      </c>
      <c r="I4" s="7" t="s">
        <v>371</v>
      </c>
      <c r="J4" s="7" t="s">
        <v>372</v>
      </c>
      <c r="K4" s="7" t="s">
        <v>373</v>
      </c>
      <c r="L4" s="7" t="s">
        <v>374</v>
      </c>
      <c r="M4" s="7" t="s">
        <v>375</v>
      </c>
      <c r="N4" s="7" t="s">
        <v>376</v>
      </c>
      <c r="O4" s="7" t="s">
        <v>377</v>
      </c>
      <c r="P4" s="7" t="s">
        <v>378</v>
      </c>
      <c r="Q4" s="7" t="s">
        <v>379</v>
      </c>
      <c r="R4" s="7" t="s">
        <v>380</v>
      </c>
      <c r="S4" s="7" t="s">
        <v>381</v>
      </c>
      <c r="T4" s="7" t="s">
        <v>382</v>
      </c>
      <c r="U4" s="7" t="s">
        <v>383</v>
      </c>
      <c r="V4" s="7" t="s">
        <v>384</v>
      </c>
      <c r="W4" s="7" t="s">
        <v>385</v>
      </c>
      <c r="X4" s="7" t="s">
        <v>386</v>
      </c>
      <c r="Y4" s="7" t="s">
        <v>387</v>
      </c>
      <c r="Z4" s="7" t="s">
        <v>388</v>
      </c>
      <c r="AA4" s="7" t="s">
        <v>389</v>
      </c>
      <c r="AB4" s="7" t="s">
        <v>390</v>
      </c>
      <c r="AC4" s="7" t="s">
        <v>391</v>
      </c>
      <c r="AD4" s="7" t="s">
        <v>392</v>
      </c>
      <c r="AE4" s="7" t="s">
        <v>393</v>
      </c>
      <c r="AF4" s="7" t="s">
        <v>394</v>
      </c>
    </row>
    <row r="5" customFormat="false" ht="15" hidden="false" customHeight="false" outlineLevel="0" collapsed="false">
      <c r="A5" s="4" t="n">
        <v>1</v>
      </c>
      <c r="B5" s="4" t="n">
        <v>10</v>
      </c>
      <c r="C5" s="4" t="n">
        <v>0</v>
      </c>
      <c r="D5" s="11" t="n">
        <v>46054</v>
      </c>
      <c r="E5" s="4" t="s">
        <v>204</v>
      </c>
      <c r="F5" s="4" t="s">
        <v>208</v>
      </c>
      <c r="G5" s="4" t="n">
        <v>5</v>
      </c>
      <c r="H5" s="4" t="n">
        <v>1</v>
      </c>
      <c r="I5" s="4" t="n">
        <v>0</v>
      </c>
      <c r="J5" s="4" t="n">
        <v>84</v>
      </c>
      <c r="K5" s="4" t="n">
        <v>0</v>
      </c>
      <c r="L5" s="12" t="n">
        <v>0.142373</v>
      </c>
      <c r="M5" s="12" t="n">
        <v>0.092063</v>
      </c>
      <c r="N5" s="12" t="n">
        <v>0.108834</v>
      </c>
      <c r="O5" s="12" t="n">
        <v>0.106183</v>
      </c>
      <c r="P5" s="12" t="n">
        <v>0.115702</v>
      </c>
      <c r="Q5" s="0" t="str">
        <f aca="false">IF(L5&gt;=Models!$G$5,1+COUNTIF($L$5:$L$1517,"&gt;"&amp;L5)+COUNTIFS($L$5:$L$1517,L5,$B$5:$B$1517,"&lt;"&amp;B5)+COUNTIFS($L$5:$L$1517,L5,$B$5:$B$1517,B5,$C$5:$C$1517,"&lt;"&amp;C5),"")</f>
        <v/>
      </c>
      <c r="R5" s="0" t="str">
        <f aca="false">IF(M5&gt;=Models!$G$6,1+COUNTIF($M$5:$M$1517,"&gt;"&amp;M5)+COUNTIFS($M$5:$M$1517,M5,$B$5:$B$1517,"&lt;"&amp;B5)+COUNTIFS($M$5:$M$1517,M5,$B$5:$B$1517,B5,$C$5:$C$1517,"&lt;"&amp;C5),"")</f>
        <v/>
      </c>
      <c r="S5" s="0" t="str">
        <f aca="false">IF(N5&gt;=Models!$G$7,1+COUNTIF($N$5:$N$1517,"&gt;"&amp;N5)+COUNTIFS($N$5:$N$1517,N5,$B$5:$B$1517,"&lt;"&amp;B5)+COUNTIFS($N$5:$N$1517,N5,$B$5:$B$1517,B5,$C$5:$C$1517,"&lt;"&amp;C5),"")</f>
        <v/>
      </c>
      <c r="T5" s="8" t="n">
        <f aca="false">IF(O5&gt;=Models!$G$8,1+COUNTIF($O$5:$O$1517,"&gt;"&amp;O5)+COUNTIFS($O$5:$O$1517,O5,$B$5:$B$1517,"&lt;"&amp;B5)+COUNTIFS($O$5:$O$1517,O5,$B$5:$B$1517,B5,$C$5:$C$1517,"&lt;"&amp;C5),"")</f>
        <v>1</v>
      </c>
      <c r="U5" s="8" t="n">
        <f aca="false">IF($K5=1,COUNTIFS($L$5:$L$1517,"&gt;="&amp;L5,$K$5:$K$1517,1)/COUNTIF($L$5:$L$1517,"&gt;="&amp;L5),0)</f>
        <v>0</v>
      </c>
      <c r="V5" s="8" t="n">
        <f aca="false">IF($K5=1,COUNTIFS($M$5:$M$1517,"&gt;="&amp;M5,$K$5:$K$1517,1)/COUNTIF($M$5:$M$1517,"&gt;="&amp;M5),0)</f>
        <v>0</v>
      </c>
      <c r="W5" s="8" t="n">
        <f aca="false">IF($K5=1,COUNTIFS($N$5:$N$1517,"&gt;="&amp;N5,$K$5:$K$1517,1)/COUNTIF($N$5:$N$1517,"&gt;="&amp;N5),0)</f>
        <v>0</v>
      </c>
      <c r="X5" s="8" t="n">
        <f aca="false">IF($K5=1,COUNTIFS($O$5:$O$1517,"&gt;="&amp;O5,$K$5:$K$1517,1)/COUNTIF($O$5:$O$1517,"&gt;="&amp;O5),0)</f>
        <v>0</v>
      </c>
      <c r="Y5" s="8" t="n">
        <f aca="false">IF($K5=1,COUNTIFS($P$5:$P$1517,"&gt;="&amp;P5,$K$5:$K$1517,1)/COUNTIF($P$5:$P$1517,"&gt;="&amp;P5),0)</f>
        <v>0</v>
      </c>
      <c r="Z5" s="8" t="n">
        <f aca="false">(L5-$K5)^2</f>
        <v>0.020270071129</v>
      </c>
      <c r="AA5" s="8" t="n">
        <f aca="false">(M5-$K5)^2</f>
        <v>0.008475595969</v>
      </c>
      <c r="AB5" s="8" t="n">
        <f aca="false">(N5-$K5)^2</f>
        <v>0.011844839556</v>
      </c>
      <c r="AC5" s="8" t="n">
        <f aca="false">(O5-$K5)^2</f>
        <v>0.011274829489</v>
      </c>
      <c r="AD5" s="8" t="n">
        <f aca="false">(P5-$K5)^2</f>
        <v>0.013386952804</v>
      </c>
      <c r="AE5" s="8" t="n">
        <f aca="false">MIN(INT(ROUND(N5*1000000,0)/100000),9)</f>
        <v>1</v>
      </c>
      <c r="AF5" s="8" t="n">
        <f aca="false">MIN(INT(ROUND(P5*1000000,0)/100000),9)</f>
        <v>1</v>
      </c>
    </row>
    <row r="6" customFormat="false" ht="15" hidden="false" customHeight="false" outlineLevel="0" collapsed="false">
      <c r="A6" s="4" t="n">
        <v>2</v>
      </c>
      <c r="B6" s="4" t="n">
        <v>11</v>
      </c>
      <c r="C6" s="4" t="n">
        <v>0</v>
      </c>
      <c r="D6" s="11" t="n">
        <v>46054</v>
      </c>
      <c r="E6" s="4" t="s">
        <v>204</v>
      </c>
      <c r="F6" s="4" t="s">
        <v>206</v>
      </c>
      <c r="G6" s="4" t="n">
        <v>1</v>
      </c>
      <c r="H6" s="4" t="n">
        <v>25</v>
      </c>
      <c r="I6" s="4" t="n">
        <v>0</v>
      </c>
      <c r="J6" s="4" t="n">
        <v>42</v>
      </c>
      <c r="K6" s="4" t="n">
        <v>0</v>
      </c>
      <c r="L6" s="12" t="n">
        <v>0.281434</v>
      </c>
      <c r="M6" s="12" t="n">
        <v>0.092063</v>
      </c>
      <c r="N6" s="12" t="n">
        <v>0.176009</v>
      </c>
      <c r="O6" s="12" t="n">
        <v>0.106183</v>
      </c>
      <c r="P6" s="12" t="n">
        <v>0.190294</v>
      </c>
      <c r="Q6" s="0" t="str">
        <f aca="false">IF(L6&gt;=Models!$G$5,1+COUNTIF($L$5:$L$1517,"&gt;"&amp;L6)+COUNTIFS($L$5:$L$1517,L6,$B$5:$B$1517,"&lt;"&amp;B6)+COUNTIFS($L$5:$L$1517,L6,$B$5:$B$1517,B6,$C$5:$C$1517,"&lt;"&amp;C6),"")</f>
        <v/>
      </c>
      <c r="R6" s="0" t="str">
        <f aca="false">IF(M6&gt;=Models!$G$6,1+COUNTIF($M$5:$M$1517,"&gt;"&amp;M6)+COUNTIFS($M$5:$M$1517,M6,$B$5:$B$1517,"&lt;"&amp;B6)+COUNTIFS($M$5:$M$1517,M6,$B$5:$B$1517,B6,$C$5:$C$1517,"&lt;"&amp;C6),"")</f>
        <v/>
      </c>
      <c r="S6" s="0" t="str">
        <f aca="false">IF(N6&gt;=Models!$G$7,1+COUNTIF($N$5:$N$1517,"&gt;"&amp;N6)+COUNTIFS($N$5:$N$1517,N6,$B$5:$B$1517,"&lt;"&amp;B6)+COUNTIFS($N$5:$N$1517,N6,$B$5:$B$1517,B6,$C$5:$C$1517,"&lt;"&amp;C6),"")</f>
        <v/>
      </c>
      <c r="T6" s="8" t="n">
        <f aca="false">IF(O6&gt;=Models!$G$8,1+COUNTIF($O$5:$O$1517,"&gt;"&amp;O6)+COUNTIFS($O$5:$O$1517,O6,$B$5:$B$1517,"&lt;"&amp;B6)+COUNTIFS($O$5:$O$1517,O6,$B$5:$B$1517,B6,$C$5:$C$1517,"&lt;"&amp;C6),"")</f>
        <v>5</v>
      </c>
      <c r="U6" s="8" t="n">
        <f aca="false">IF($K6=1,COUNTIFS($L$5:$L$1517,"&gt;="&amp;L6,$K$5:$K$1517,1)/COUNTIF($L$5:$L$1517,"&gt;="&amp;L6),0)</f>
        <v>0</v>
      </c>
      <c r="V6" s="8" t="n">
        <f aca="false">IF($K6=1,COUNTIFS($M$5:$M$1517,"&gt;="&amp;M6,$K$5:$K$1517,1)/COUNTIF($M$5:$M$1517,"&gt;="&amp;M6),0)</f>
        <v>0</v>
      </c>
      <c r="W6" s="8" t="n">
        <f aca="false">IF($K6=1,COUNTIFS($N$5:$N$1517,"&gt;="&amp;N6,$K$5:$K$1517,1)/COUNTIF($N$5:$N$1517,"&gt;="&amp;N6),0)</f>
        <v>0</v>
      </c>
      <c r="X6" s="8" t="n">
        <f aca="false">IF($K6=1,COUNTIFS($O$5:$O$1517,"&gt;="&amp;O6,$K$5:$K$1517,1)/COUNTIF($O$5:$O$1517,"&gt;="&amp;O6),0)</f>
        <v>0</v>
      </c>
      <c r="Y6" s="8" t="n">
        <f aca="false">IF($K6=1,COUNTIFS($P$5:$P$1517,"&gt;="&amp;P6,$K$5:$K$1517,1)/COUNTIF($P$5:$P$1517,"&gt;="&amp;P6),0)</f>
        <v>0</v>
      </c>
      <c r="Z6" s="8" t="n">
        <f aca="false">(L6-$K6)^2</f>
        <v>0.079205096356</v>
      </c>
      <c r="AA6" s="8" t="n">
        <f aca="false">(M6-$K6)^2</f>
        <v>0.008475595969</v>
      </c>
      <c r="AB6" s="8" t="n">
        <f aca="false">(N6-$K6)^2</f>
        <v>0.030979168081</v>
      </c>
      <c r="AC6" s="8" t="n">
        <f aca="false">(O6-$K6)^2</f>
        <v>0.011274829489</v>
      </c>
      <c r="AD6" s="8" t="n">
        <f aca="false">(P6-$K6)^2</f>
        <v>0.036211806436</v>
      </c>
      <c r="AE6" s="8" t="n">
        <f aca="false">MIN(INT(ROUND(N6*1000000,0)/100000),9)</f>
        <v>1</v>
      </c>
      <c r="AF6" s="8" t="n">
        <f aca="false">MIN(INT(ROUND(P6*1000000,0)/100000),9)</f>
        <v>1</v>
      </c>
    </row>
    <row r="7" customFormat="false" ht="15" hidden="false" customHeight="false" outlineLevel="0" collapsed="false">
      <c r="A7" s="4" t="n">
        <v>3</v>
      </c>
      <c r="B7" s="4" t="n">
        <v>20</v>
      </c>
      <c r="C7" s="4" t="n">
        <v>0</v>
      </c>
      <c r="D7" s="11" t="n">
        <v>46054</v>
      </c>
      <c r="E7" s="4" t="s">
        <v>204</v>
      </c>
      <c r="F7" s="4" t="s">
        <v>210</v>
      </c>
      <c r="G7" s="4" t="n">
        <v>5</v>
      </c>
      <c r="H7" s="4" t="n">
        <v>8</v>
      </c>
      <c r="I7" s="4" t="n">
        <v>0</v>
      </c>
      <c r="J7" s="4" t="n">
        <v>105</v>
      </c>
      <c r="K7" s="4" t="n">
        <v>0</v>
      </c>
      <c r="L7" s="12" t="n">
        <v>0.27567</v>
      </c>
      <c r="M7" s="12" t="n">
        <v>0.092063</v>
      </c>
      <c r="N7" s="12" t="n">
        <v>0.1144</v>
      </c>
      <c r="O7" s="12" t="n">
        <v>0.106183</v>
      </c>
      <c r="P7" s="12" t="n">
        <v>0.121857</v>
      </c>
      <c r="Q7" s="0" t="str">
        <f aca="false">IF(L7&gt;=Models!$G$5,1+COUNTIF($L$5:$L$1517,"&gt;"&amp;L7)+COUNTIFS($L$5:$L$1517,L7,$B$5:$B$1517,"&lt;"&amp;B7)+COUNTIFS($L$5:$L$1517,L7,$B$5:$B$1517,B7,$C$5:$C$1517,"&lt;"&amp;C7),"")</f>
        <v/>
      </c>
      <c r="R7" s="0" t="str">
        <f aca="false">IF(M7&gt;=Models!$G$6,1+COUNTIF($M$5:$M$1517,"&gt;"&amp;M7)+COUNTIFS($M$5:$M$1517,M7,$B$5:$B$1517,"&lt;"&amp;B7)+COUNTIFS($M$5:$M$1517,M7,$B$5:$B$1517,B7,$C$5:$C$1517,"&lt;"&amp;C7),"")</f>
        <v/>
      </c>
      <c r="S7" s="0" t="str">
        <f aca="false">IF(N7&gt;=Models!$G$7,1+COUNTIF($N$5:$N$1517,"&gt;"&amp;N7)+COUNTIFS($N$5:$N$1517,N7,$B$5:$B$1517,"&lt;"&amp;B7)+COUNTIFS($N$5:$N$1517,N7,$B$5:$B$1517,B7,$C$5:$C$1517,"&lt;"&amp;C7),"")</f>
        <v/>
      </c>
      <c r="T7" s="8" t="n">
        <f aca="false">IF(O7&gt;=Models!$G$8,1+COUNTIF($O$5:$O$1517,"&gt;"&amp;O7)+COUNTIFS($O$5:$O$1517,O7,$B$5:$B$1517,"&lt;"&amp;B7)+COUNTIFS($O$5:$O$1517,O7,$B$5:$B$1517,B7,$C$5:$C$1517,"&lt;"&amp;C7),"")</f>
        <v>9</v>
      </c>
      <c r="U7" s="8" t="n">
        <f aca="false">IF($K7=1,COUNTIFS($L$5:$L$1517,"&gt;="&amp;L7,$K$5:$K$1517,1)/COUNTIF($L$5:$L$1517,"&gt;="&amp;L7),0)</f>
        <v>0</v>
      </c>
      <c r="V7" s="8" t="n">
        <f aca="false">IF($K7=1,COUNTIFS($M$5:$M$1517,"&gt;="&amp;M7,$K$5:$K$1517,1)/COUNTIF($M$5:$M$1517,"&gt;="&amp;M7),0)</f>
        <v>0</v>
      </c>
      <c r="W7" s="8" t="n">
        <f aca="false">IF($K7=1,COUNTIFS($N$5:$N$1517,"&gt;="&amp;N7,$K$5:$K$1517,1)/COUNTIF($N$5:$N$1517,"&gt;="&amp;N7),0)</f>
        <v>0</v>
      </c>
      <c r="X7" s="8" t="n">
        <f aca="false">IF($K7=1,COUNTIFS($O$5:$O$1517,"&gt;="&amp;O7,$K$5:$K$1517,1)/COUNTIF($O$5:$O$1517,"&gt;="&amp;O7),0)</f>
        <v>0</v>
      </c>
      <c r="Y7" s="8" t="n">
        <f aca="false">IF($K7=1,COUNTIFS($P$5:$P$1517,"&gt;="&amp;P7,$K$5:$K$1517,1)/COUNTIF($P$5:$P$1517,"&gt;="&amp;P7),0)</f>
        <v>0</v>
      </c>
      <c r="Z7" s="8" t="n">
        <f aca="false">(L7-$K7)^2</f>
        <v>0.0759939489</v>
      </c>
      <c r="AA7" s="8" t="n">
        <f aca="false">(M7-$K7)^2</f>
        <v>0.008475595969</v>
      </c>
      <c r="AB7" s="8" t="n">
        <f aca="false">(N7-$K7)^2</f>
        <v>0.01308736</v>
      </c>
      <c r="AC7" s="8" t="n">
        <f aca="false">(O7-$K7)^2</f>
        <v>0.011274829489</v>
      </c>
      <c r="AD7" s="8" t="n">
        <f aca="false">(P7-$K7)^2</f>
        <v>0.014849128449</v>
      </c>
      <c r="AE7" s="8" t="n">
        <f aca="false">MIN(INT(ROUND(N7*1000000,0)/100000),9)</f>
        <v>1</v>
      </c>
      <c r="AF7" s="8" t="n">
        <f aca="false">MIN(INT(ROUND(P7*1000000,0)/100000),9)</f>
        <v>1</v>
      </c>
    </row>
    <row r="8" customFormat="false" ht="15" hidden="false" customHeight="false" outlineLevel="0" collapsed="false">
      <c r="A8" s="4" t="n">
        <v>4</v>
      </c>
      <c r="B8" s="4" t="n">
        <v>26</v>
      </c>
      <c r="C8" s="4" t="n">
        <v>0</v>
      </c>
      <c r="D8" s="11" t="n">
        <v>46054</v>
      </c>
      <c r="E8" s="4" t="s">
        <v>204</v>
      </c>
      <c r="F8" s="4" t="s">
        <v>206</v>
      </c>
      <c r="G8" s="4" t="n">
        <v>2</v>
      </c>
      <c r="H8" s="4" t="n">
        <v>9</v>
      </c>
      <c r="I8" s="4" t="n">
        <v>0</v>
      </c>
      <c r="J8" s="4" t="n">
        <v>73.5</v>
      </c>
      <c r="K8" s="4" t="n">
        <v>0</v>
      </c>
      <c r="L8" s="12" t="n">
        <v>0.19752</v>
      </c>
      <c r="M8" s="12" t="n">
        <v>0.092063</v>
      </c>
      <c r="N8" s="12" t="n">
        <v>0.14597</v>
      </c>
      <c r="O8" s="12" t="n">
        <v>0.106183</v>
      </c>
      <c r="P8" s="12" t="n">
        <v>0.156878</v>
      </c>
      <c r="Q8" s="0" t="str">
        <f aca="false">IF(L8&gt;=Models!$G$5,1+COUNTIF($L$5:$L$1517,"&gt;"&amp;L8)+COUNTIFS($L$5:$L$1517,L8,$B$5:$B$1517,"&lt;"&amp;B8)+COUNTIFS($L$5:$L$1517,L8,$B$5:$B$1517,B8,$C$5:$C$1517,"&lt;"&amp;C8),"")</f>
        <v/>
      </c>
      <c r="R8" s="0" t="str">
        <f aca="false">IF(M8&gt;=Models!$G$6,1+COUNTIF($M$5:$M$1517,"&gt;"&amp;M8)+COUNTIFS($M$5:$M$1517,M8,$B$5:$B$1517,"&lt;"&amp;B8)+COUNTIFS($M$5:$M$1517,M8,$B$5:$B$1517,B8,$C$5:$C$1517,"&lt;"&amp;C8),"")</f>
        <v/>
      </c>
      <c r="S8" s="0" t="str">
        <f aca="false">IF(N8&gt;=Models!$G$7,1+COUNTIF($N$5:$N$1517,"&gt;"&amp;N8)+COUNTIFS($N$5:$N$1517,N8,$B$5:$B$1517,"&lt;"&amp;B8)+COUNTIFS($N$5:$N$1517,N8,$B$5:$B$1517,B8,$C$5:$C$1517,"&lt;"&amp;C8),"")</f>
        <v/>
      </c>
      <c r="T8" s="8" t="n">
        <f aca="false">IF(O8&gt;=Models!$G$8,1+COUNTIF($O$5:$O$1517,"&gt;"&amp;O8)+COUNTIFS($O$5:$O$1517,O8,$B$5:$B$1517,"&lt;"&amp;B8)+COUNTIFS($O$5:$O$1517,O8,$B$5:$B$1517,B8,$C$5:$C$1517,"&lt;"&amp;C8),"")</f>
        <v>13</v>
      </c>
      <c r="U8" s="8" t="n">
        <f aca="false">IF($K8=1,COUNTIFS($L$5:$L$1517,"&gt;="&amp;L8,$K$5:$K$1517,1)/COUNTIF($L$5:$L$1517,"&gt;="&amp;L8),0)</f>
        <v>0</v>
      </c>
      <c r="V8" s="8" t="n">
        <f aca="false">IF($K8=1,COUNTIFS($M$5:$M$1517,"&gt;="&amp;M8,$K$5:$K$1517,1)/COUNTIF($M$5:$M$1517,"&gt;="&amp;M8),0)</f>
        <v>0</v>
      </c>
      <c r="W8" s="8" t="n">
        <f aca="false">IF($K8=1,COUNTIFS($N$5:$N$1517,"&gt;="&amp;N8,$K$5:$K$1517,1)/COUNTIF($N$5:$N$1517,"&gt;="&amp;N8),0)</f>
        <v>0</v>
      </c>
      <c r="X8" s="8" t="n">
        <f aca="false">IF($K8=1,COUNTIFS($O$5:$O$1517,"&gt;="&amp;O8,$K$5:$K$1517,1)/COUNTIF($O$5:$O$1517,"&gt;="&amp;O8),0)</f>
        <v>0</v>
      </c>
      <c r="Y8" s="8" t="n">
        <f aca="false">IF($K8=1,COUNTIFS($P$5:$P$1517,"&gt;="&amp;P8,$K$5:$K$1517,1)/COUNTIF($P$5:$P$1517,"&gt;="&amp;P8),0)</f>
        <v>0</v>
      </c>
      <c r="Z8" s="8" t="n">
        <f aca="false">(L8-$K8)^2</f>
        <v>0.0390141504</v>
      </c>
      <c r="AA8" s="8" t="n">
        <f aca="false">(M8-$K8)^2</f>
        <v>0.008475595969</v>
      </c>
      <c r="AB8" s="8" t="n">
        <f aca="false">(N8-$K8)^2</f>
        <v>0.0213072409</v>
      </c>
      <c r="AC8" s="8" t="n">
        <f aca="false">(O8-$K8)^2</f>
        <v>0.011274829489</v>
      </c>
      <c r="AD8" s="8" t="n">
        <f aca="false">(P8-$K8)^2</f>
        <v>0.024610706884</v>
      </c>
      <c r="AE8" s="8" t="n">
        <f aca="false">MIN(INT(ROUND(N8*1000000,0)/100000),9)</f>
        <v>1</v>
      </c>
      <c r="AF8" s="8" t="n">
        <f aca="false">MIN(INT(ROUND(P8*1000000,0)/100000),9)</f>
        <v>1</v>
      </c>
    </row>
    <row r="9" customFormat="false" ht="15" hidden="false" customHeight="false" outlineLevel="0" collapsed="false">
      <c r="A9" s="4" t="n">
        <v>5</v>
      </c>
      <c r="B9" s="4" t="n">
        <v>30</v>
      </c>
      <c r="C9" s="4" t="n">
        <v>0</v>
      </c>
      <c r="D9" s="11" t="n">
        <v>46054</v>
      </c>
      <c r="E9" s="4" t="s">
        <v>203</v>
      </c>
      <c r="F9" s="4" t="s">
        <v>209</v>
      </c>
      <c r="G9" s="4" t="n">
        <v>4</v>
      </c>
      <c r="H9" s="4" t="n">
        <v>2</v>
      </c>
      <c r="I9" s="4" t="n">
        <v>0</v>
      </c>
      <c r="J9" s="4" t="n">
        <v>1438.2</v>
      </c>
      <c r="K9" s="4" t="n">
        <v>0</v>
      </c>
      <c r="L9" s="12" t="n">
        <v>0.122994</v>
      </c>
      <c r="M9" s="12" t="n">
        <v>0.092063</v>
      </c>
      <c r="N9" s="12" t="n">
        <v>0.110745</v>
      </c>
      <c r="O9" s="12" t="n">
        <v>0.106183</v>
      </c>
      <c r="P9" s="12" t="n">
        <v>0.117814</v>
      </c>
      <c r="Q9" s="0" t="str">
        <f aca="false">IF(L9&gt;=Models!$G$5,1+COUNTIF($L$5:$L$1517,"&gt;"&amp;L9)+COUNTIFS($L$5:$L$1517,L9,$B$5:$B$1517,"&lt;"&amp;B9)+COUNTIFS($L$5:$L$1517,L9,$B$5:$B$1517,B9,$C$5:$C$1517,"&lt;"&amp;C9),"")</f>
        <v/>
      </c>
      <c r="R9" s="0" t="str">
        <f aca="false">IF(M9&gt;=Models!$G$6,1+COUNTIF($M$5:$M$1517,"&gt;"&amp;M9)+COUNTIFS($M$5:$M$1517,M9,$B$5:$B$1517,"&lt;"&amp;B9)+COUNTIFS($M$5:$M$1517,M9,$B$5:$B$1517,B9,$C$5:$C$1517,"&lt;"&amp;C9),"")</f>
        <v/>
      </c>
      <c r="S9" s="0" t="str">
        <f aca="false">IF(N9&gt;=Models!$G$7,1+COUNTIF($N$5:$N$1517,"&gt;"&amp;N9)+COUNTIFS($N$5:$N$1517,N9,$B$5:$B$1517,"&lt;"&amp;B9)+COUNTIFS($N$5:$N$1517,N9,$B$5:$B$1517,B9,$C$5:$C$1517,"&lt;"&amp;C9),"")</f>
        <v/>
      </c>
      <c r="T9" s="8" t="n">
        <f aca="false">IF(O9&gt;=Models!$G$8,1+COUNTIF($O$5:$O$1517,"&gt;"&amp;O9)+COUNTIFS($O$5:$O$1517,O9,$B$5:$B$1517,"&lt;"&amp;B9)+COUNTIFS($O$5:$O$1517,O9,$B$5:$B$1517,B9,$C$5:$C$1517,"&lt;"&amp;C9),"")</f>
        <v>17</v>
      </c>
      <c r="U9" s="8" t="n">
        <f aca="false">IF($K9=1,COUNTIFS($L$5:$L$1517,"&gt;="&amp;L9,$K$5:$K$1517,1)/COUNTIF($L$5:$L$1517,"&gt;="&amp;L9),0)</f>
        <v>0</v>
      </c>
      <c r="V9" s="8" t="n">
        <f aca="false">IF($K9=1,COUNTIFS($M$5:$M$1517,"&gt;="&amp;M9,$K$5:$K$1517,1)/COUNTIF($M$5:$M$1517,"&gt;="&amp;M9),0)</f>
        <v>0</v>
      </c>
      <c r="W9" s="8" t="n">
        <f aca="false">IF($K9=1,COUNTIFS($N$5:$N$1517,"&gt;="&amp;N9,$K$5:$K$1517,1)/COUNTIF($N$5:$N$1517,"&gt;="&amp;N9),0)</f>
        <v>0</v>
      </c>
      <c r="X9" s="8" t="n">
        <f aca="false">IF($K9=1,COUNTIFS($O$5:$O$1517,"&gt;="&amp;O9,$K$5:$K$1517,1)/COUNTIF($O$5:$O$1517,"&gt;="&amp;O9),0)</f>
        <v>0</v>
      </c>
      <c r="Y9" s="8" t="n">
        <f aca="false">IF($K9=1,COUNTIFS($P$5:$P$1517,"&gt;="&amp;P9,$K$5:$K$1517,1)/COUNTIF($P$5:$P$1517,"&gt;="&amp;P9),0)</f>
        <v>0</v>
      </c>
      <c r="Z9" s="8" t="n">
        <f aca="false">(L9-$K9)^2</f>
        <v>0.015127524036</v>
      </c>
      <c r="AA9" s="8" t="n">
        <f aca="false">(M9-$K9)^2</f>
        <v>0.008475595969</v>
      </c>
      <c r="AB9" s="8" t="n">
        <f aca="false">(N9-$K9)^2</f>
        <v>0.012264455025</v>
      </c>
      <c r="AC9" s="8" t="n">
        <f aca="false">(O9-$K9)^2</f>
        <v>0.011274829489</v>
      </c>
      <c r="AD9" s="8" t="n">
        <f aca="false">(P9-$K9)^2</f>
        <v>0.013880138596</v>
      </c>
      <c r="AE9" s="8" t="n">
        <f aca="false">MIN(INT(ROUND(N9*1000000,0)/100000),9)</f>
        <v>1</v>
      </c>
      <c r="AF9" s="8" t="n">
        <f aca="false">MIN(INT(ROUND(P9*1000000,0)/100000),9)</f>
        <v>1</v>
      </c>
    </row>
    <row r="10" customFormat="false" ht="15" hidden="false" customHeight="false" outlineLevel="0" collapsed="false">
      <c r="A10" s="4" t="n">
        <v>6</v>
      </c>
      <c r="B10" s="4" t="n">
        <v>31</v>
      </c>
      <c r="C10" s="4" t="n">
        <v>0</v>
      </c>
      <c r="D10" s="11" t="n">
        <v>46054</v>
      </c>
      <c r="E10" s="4" t="s">
        <v>202</v>
      </c>
      <c r="F10" s="4" t="s">
        <v>206</v>
      </c>
      <c r="G10" s="4" t="n">
        <v>5</v>
      </c>
      <c r="H10" s="4" t="n">
        <v>0</v>
      </c>
      <c r="I10" s="4" t="n">
        <v>0</v>
      </c>
      <c r="J10" s="4" t="n">
        <v>730.8</v>
      </c>
      <c r="K10" s="4" t="n">
        <v>0</v>
      </c>
      <c r="L10" s="12" t="n">
        <v>0.508978</v>
      </c>
      <c r="M10" s="12" t="n">
        <v>0.092063</v>
      </c>
      <c r="N10" s="12" t="n">
        <v>0.104476</v>
      </c>
      <c r="O10" s="12" t="n">
        <v>0.106183</v>
      </c>
      <c r="P10" s="12" t="n">
        <v>0.110888</v>
      </c>
      <c r="Q10" s="0" t="str">
        <f aca="false">IF(L10&gt;=Models!$G$5,1+COUNTIF($L$5:$L$1517,"&gt;"&amp;L10)+COUNTIFS($L$5:$L$1517,L10,$B$5:$B$1517,"&lt;"&amp;B10)+COUNTIFS($L$5:$L$1517,L10,$B$5:$B$1517,B10,$C$5:$C$1517,"&lt;"&amp;C10),"")</f>
        <v/>
      </c>
      <c r="R10" s="0" t="str">
        <f aca="false">IF(M10&gt;=Models!$G$6,1+COUNTIF($M$5:$M$1517,"&gt;"&amp;M10)+COUNTIFS($M$5:$M$1517,M10,$B$5:$B$1517,"&lt;"&amp;B10)+COUNTIFS($M$5:$M$1517,M10,$B$5:$B$1517,B10,$C$5:$C$1517,"&lt;"&amp;C10),"")</f>
        <v/>
      </c>
      <c r="S10" s="0" t="str">
        <f aca="false">IF(N10&gt;=Models!$G$7,1+COUNTIF($N$5:$N$1517,"&gt;"&amp;N10)+COUNTIFS($N$5:$N$1517,N10,$B$5:$B$1517,"&lt;"&amp;B10)+COUNTIFS($N$5:$N$1517,N10,$B$5:$B$1517,B10,$C$5:$C$1517,"&lt;"&amp;C10),"")</f>
        <v/>
      </c>
      <c r="T10" s="8" t="n">
        <f aca="false">IF(O10&gt;=Models!$G$8,1+COUNTIF($O$5:$O$1517,"&gt;"&amp;O10)+COUNTIFS($O$5:$O$1517,O10,$B$5:$B$1517,"&lt;"&amp;B10)+COUNTIFS($O$5:$O$1517,O10,$B$5:$B$1517,B10,$C$5:$C$1517,"&lt;"&amp;C10),"")</f>
        <v>21</v>
      </c>
      <c r="U10" s="8" t="n">
        <f aca="false">IF($K10=1,COUNTIFS($L$5:$L$1517,"&gt;="&amp;L10,$K$5:$K$1517,1)/COUNTIF($L$5:$L$1517,"&gt;="&amp;L10),0)</f>
        <v>0</v>
      </c>
      <c r="V10" s="8" t="n">
        <f aca="false">IF($K10=1,COUNTIFS($M$5:$M$1517,"&gt;="&amp;M10,$K$5:$K$1517,1)/COUNTIF($M$5:$M$1517,"&gt;="&amp;M10),0)</f>
        <v>0</v>
      </c>
      <c r="W10" s="8" t="n">
        <f aca="false">IF($K10=1,COUNTIFS($N$5:$N$1517,"&gt;="&amp;N10,$K$5:$K$1517,1)/COUNTIF($N$5:$N$1517,"&gt;="&amp;N10),0)</f>
        <v>0</v>
      </c>
      <c r="X10" s="8" t="n">
        <f aca="false">IF($K10=1,COUNTIFS($O$5:$O$1517,"&gt;="&amp;O10,$K$5:$K$1517,1)/COUNTIF($O$5:$O$1517,"&gt;="&amp;O10),0)</f>
        <v>0</v>
      </c>
      <c r="Y10" s="8" t="n">
        <f aca="false">IF($K10=1,COUNTIFS($P$5:$P$1517,"&gt;="&amp;P10,$K$5:$K$1517,1)/COUNTIF($P$5:$P$1517,"&gt;="&amp;P10),0)</f>
        <v>0</v>
      </c>
      <c r="Z10" s="8" t="n">
        <f aca="false">(L10-$K10)^2</f>
        <v>0.259058604484</v>
      </c>
      <c r="AA10" s="8" t="n">
        <f aca="false">(M10-$K10)^2</f>
        <v>0.008475595969</v>
      </c>
      <c r="AB10" s="8" t="n">
        <f aca="false">(N10-$K10)^2</f>
        <v>0.010915234576</v>
      </c>
      <c r="AC10" s="8" t="n">
        <f aca="false">(O10-$K10)^2</f>
        <v>0.011274829489</v>
      </c>
      <c r="AD10" s="8" t="n">
        <f aca="false">(P10-$K10)^2</f>
        <v>0.012296148544</v>
      </c>
      <c r="AE10" s="8" t="n">
        <f aca="false">MIN(INT(ROUND(N10*1000000,0)/100000),9)</f>
        <v>1</v>
      </c>
      <c r="AF10" s="8" t="n">
        <f aca="false">MIN(INT(ROUND(P10*1000000,0)/100000),9)</f>
        <v>1</v>
      </c>
    </row>
    <row r="11" customFormat="false" ht="15" hidden="false" customHeight="false" outlineLevel="0" collapsed="false">
      <c r="A11" s="4" t="n">
        <v>7</v>
      </c>
      <c r="B11" s="4" t="n">
        <v>33</v>
      </c>
      <c r="C11" s="4" t="n">
        <v>0</v>
      </c>
      <c r="D11" s="11" t="n">
        <v>46054</v>
      </c>
      <c r="E11" s="4" t="s">
        <v>202</v>
      </c>
      <c r="F11" s="4" t="s">
        <v>208</v>
      </c>
      <c r="G11" s="4" t="n">
        <v>18</v>
      </c>
      <c r="H11" s="4" t="n">
        <v>2</v>
      </c>
      <c r="I11" s="4" t="n">
        <v>0</v>
      </c>
      <c r="J11" s="4" t="n">
        <v>1023</v>
      </c>
      <c r="K11" s="4" t="n">
        <v>0</v>
      </c>
      <c r="L11" s="12" t="n">
        <v>0.902214</v>
      </c>
      <c r="M11" s="12" t="n">
        <v>0.092063</v>
      </c>
      <c r="N11" s="12" t="n">
        <v>0.034927</v>
      </c>
      <c r="O11" s="12" t="n">
        <v>0.106183</v>
      </c>
      <c r="P11" s="12" t="n">
        <v>0.035302</v>
      </c>
      <c r="Q11" s="0" t="str">
        <f aca="false">IF(L11&gt;=Models!$G$5,1+COUNTIF($L$5:$L$1517,"&gt;"&amp;L11)+COUNTIFS($L$5:$L$1517,L11,$B$5:$B$1517,"&lt;"&amp;B11)+COUNTIFS($L$5:$L$1517,L11,$B$5:$B$1517,B11,$C$5:$C$1517,"&lt;"&amp;C11),"")</f>
        <v/>
      </c>
      <c r="R11" s="0" t="str">
        <f aca="false">IF(M11&gt;=Models!$G$6,1+COUNTIF($M$5:$M$1517,"&gt;"&amp;M11)+COUNTIFS($M$5:$M$1517,M11,$B$5:$B$1517,"&lt;"&amp;B11)+COUNTIFS($M$5:$M$1517,M11,$B$5:$B$1517,B11,$C$5:$C$1517,"&lt;"&amp;C11),"")</f>
        <v/>
      </c>
      <c r="S11" s="0" t="str">
        <f aca="false">IF(N11&gt;=Models!$G$7,1+COUNTIF($N$5:$N$1517,"&gt;"&amp;N11)+COUNTIFS($N$5:$N$1517,N11,$B$5:$B$1517,"&lt;"&amp;B11)+COUNTIFS($N$5:$N$1517,N11,$B$5:$B$1517,B11,$C$5:$C$1517,"&lt;"&amp;C11),"")</f>
        <v/>
      </c>
      <c r="T11" s="8" t="n">
        <f aca="false">IF(O11&gt;=Models!$G$8,1+COUNTIF($O$5:$O$1517,"&gt;"&amp;O11)+COUNTIFS($O$5:$O$1517,O11,$B$5:$B$1517,"&lt;"&amp;B11)+COUNTIFS($O$5:$O$1517,O11,$B$5:$B$1517,B11,$C$5:$C$1517,"&lt;"&amp;C11),"")</f>
        <v>25</v>
      </c>
      <c r="U11" s="8" t="n">
        <f aca="false">IF($K11=1,COUNTIFS($L$5:$L$1517,"&gt;="&amp;L11,$K$5:$K$1517,1)/COUNTIF($L$5:$L$1517,"&gt;="&amp;L11),0)</f>
        <v>0</v>
      </c>
      <c r="V11" s="8" t="n">
        <f aca="false">IF($K11=1,COUNTIFS($M$5:$M$1517,"&gt;="&amp;M11,$K$5:$K$1517,1)/COUNTIF($M$5:$M$1517,"&gt;="&amp;M11),0)</f>
        <v>0</v>
      </c>
      <c r="W11" s="8" t="n">
        <f aca="false">IF($K11=1,COUNTIFS($N$5:$N$1517,"&gt;="&amp;N11,$K$5:$K$1517,1)/COUNTIF($N$5:$N$1517,"&gt;="&amp;N11),0)</f>
        <v>0</v>
      </c>
      <c r="X11" s="8" t="n">
        <f aca="false">IF($K11=1,COUNTIFS($O$5:$O$1517,"&gt;="&amp;O11,$K$5:$K$1517,1)/COUNTIF($O$5:$O$1517,"&gt;="&amp;O11),0)</f>
        <v>0</v>
      </c>
      <c r="Y11" s="8" t="n">
        <f aca="false">IF($K11=1,COUNTIFS($P$5:$P$1517,"&gt;="&amp;P11,$K$5:$K$1517,1)/COUNTIF($P$5:$P$1517,"&gt;="&amp;P11),0)</f>
        <v>0</v>
      </c>
      <c r="Z11" s="8" t="n">
        <f aca="false">(L11-$K11)^2</f>
        <v>0.813990101796</v>
      </c>
      <c r="AA11" s="8" t="n">
        <f aca="false">(M11-$K11)^2</f>
        <v>0.008475595969</v>
      </c>
      <c r="AB11" s="8" t="n">
        <f aca="false">(N11-$K11)^2</f>
        <v>0.001219895329</v>
      </c>
      <c r="AC11" s="8" t="n">
        <f aca="false">(O11-$K11)^2</f>
        <v>0.011274829489</v>
      </c>
      <c r="AD11" s="8" t="n">
        <f aca="false">(P11-$K11)^2</f>
        <v>0.001246231204</v>
      </c>
      <c r="AE11" s="8" t="n">
        <f aca="false">MIN(INT(ROUND(N11*1000000,0)/100000),9)</f>
        <v>0</v>
      </c>
      <c r="AF11" s="8" t="n">
        <f aca="false">MIN(INT(ROUND(P11*1000000,0)/100000),9)</f>
        <v>0</v>
      </c>
    </row>
    <row r="12" customFormat="false" ht="15" hidden="false" customHeight="false" outlineLevel="0" collapsed="false">
      <c r="A12" s="4" t="n">
        <v>8</v>
      </c>
      <c r="B12" s="4" t="n">
        <v>37</v>
      </c>
      <c r="C12" s="4" t="n">
        <v>0</v>
      </c>
      <c r="D12" s="11" t="n">
        <v>46054</v>
      </c>
      <c r="E12" s="4" t="s">
        <v>202</v>
      </c>
      <c r="F12" s="4" t="s">
        <v>209</v>
      </c>
      <c r="G12" s="4" t="n">
        <v>7</v>
      </c>
      <c r="H12" s="4" t="n">
        <v>9</v>
      </c>
      <c r="I12" s="4" t="n">
        <v>0</v>
      </c>
      <c r="J12" s="4" t="n">
        <v>2723.4</v>
      </c>
      <c r="K12" s="4" t="n">
        <v>0</v>
      </c>
      <c r="L12" s="12" t="n">
        <v>0.363104</v>
      </c>
      <c r="M12" s="12" t="n">
        <v>0.092063</v>
      </c>
      <c r="N12" s="12" t="n">
        <v>0.085458</v>
      </c>
      <c r="O12" s="12" t="n">
        <v>0.106183</v>
      </c>
      <c r="P12" s="12" t="n">
        <v>0.089953</v>
      </c>
      <c r="Q12" s="0" t="str">
        <f aca="false">IF(L12&gt;=Models!$G$5,1+COUNTIF($L$5:$L$1517,"&gt;"&amp;L12)+COUNTIFS($L$5:$L$1517,L12,$B$5:$B$1517,"&lt;"&amp;B12)+COUNTIFS($L$5:$L$1517,L12,$B$5:$B$1517,B12,$C$5:$C$1517,"&lt;"&amp;C12),"")</f>
        <v/>
      </c>
      <c r="R12" s="0" t="str">
        <f aca="false">IF(M12&gt;=Models!$G$6,1+COUNTIF($M$5:$M$1517,"&gt;"&amp;M12)+COUNTIFS($M$5:$M$1517,M12,$B$5:$B$1517,"&lt;"&amp;B12)+COUNTIFS($M$5:$M$1517,M12,$B$5:$B$1517,B12,$C$5:$C$1517,"&lt;"&amp;C12),"")</f>
        <v/>
      </c>
      <c r="S12" s="0" t="str">
        <f aca="false">IF(N12&gt;=Models!$G$7,1+COUNTIF($N$5:$N$1517,"&gt;"&amp;N12)+COUNTIFS($N$5:$N$1517,N12,$B$5:$B$1517,"&lt;"&amp;B12)+COUNTIFS($N$5:$N$1517,N12,$B$5:$B$1517,B12,$C$5:$C$1517,"&lt;"&amp;C12),"")</f>
        <v/>
      </c>
      <c r="T12" s="8" t="n">
        <f aca="false">IF(O12&gt;=Models!$G$8,1+COUNTIF($O$5:$O$1517,"&gt;"&amp;O12)+COUNTIFS($O$5:$O$1517,O12,$B$5:$B$1517,"&lt;"&amp;B12)+COUNTIFS($O$5:$O$1517,O12,$B$5:$B$1517,B12,$C$5:$C$1517,"&lt;"&amp;C12),"")</f>
        <v>29</v>
      </c>
      <c r="U12" s="8" t="n">
        <f aca="false">IF($K12=1,COUNTIFS($L$5:$L$1517,"&gt;="&amp;L12,$K$5:$K$1517,1)/COUNTIF($L$5:$L$1517,"&gt;="&amp;L12),0)</f>
        <v>0</v>
      </c>
      <c r="V12" s="8" t="n">
        <f aca="false">IF($K12=1,COUNTIFS($M$5:$M$1517,"&gt;="&amp;M12,$K$5:$K$1517,1)/COUNTIF($M$5:$M$1517,"&gt;="&amp;M12),0)</f>
        <v>0</v>
      </c>
      <c r="W12" s="8" t="n">
        <f aca="false">IF($K12=1,COUNTIFS($N$5:$N$1517,"&gt;="&amp;N12,$K$5:$K$1517,1)/COUNTIF($N$5:$N$1517,"&gt;="&amp;N12),0)</f>
        <v>0</v>
      </c>
      <c r="X12" s="8" t="n">
        <f aca="false">IF($K12=1,COUNTIFS($O$5:$O$1517,"&gt;="&amp;O12,$K$5:$K$1517,1)/COUNTIF($O$5:$O$1517,"&gt;="&amp;O12),0)</f>
        <v>0</v>
      </c>
      <c r="Y12" s="8" t="n">
        <f aca="false">IF($K12=1,COUNTIFS($P$5:$P$1517,"&gt;="&amp;P12,$K$5:$K$1517,1)/COUNTIF($P$5:$P$1517,"&gt;="&amp;P12),0)</f>
        <v>0</v>
      </c>
      <c r="Z12" s="8" t="n">
        <f aca="false">(L12-$K12)^2</f>
        <v>0.131844514816</v>
      </c>
      <c r="AA12" s="8" t="n">
        <f aca="false">(M12-$K12)^2</f>
        <v>0.008475595969</v>
      </c>
      <c r="AB12" s="8" t="n">
        <f aca="false">(N12-$K12)^2</f>
        <v>0.007303069764</v>
      </c>
      <c r="AC12" s="8" t="n">
        <f aca="false">(O12-$K12)^2</f>
        <v>0.011274829489</v>
      </c>
      <c r="AD12" s="8" t="n">
        <f aca="false">(P12-$K12)^2</f>
        <v>0.008091542209</v>
      </c>
      <c r="AE12" s="8" t="n">
        <f aca="false">MIN(INT(ROUND(N12*1000000,0)/100000),9)</f>
        <v>0</v>
      </c>
      <c r="AF12" s="8" t="n">
        <f aca="false">MIN(INT(ROUND(P12*1000000,0)/100000),9)</f>
        <v>0</v>
      </c>
    </row>
    <row r="13" customFormat="false" ht="15" hidden="false" customHeight="false" outlineLevel="0" collapsed="false">
      <c r="A13" s="4" t="n">
        <v>9</v>
      </c>
      <c r="B13" s="4" t="n">
        <v>44</v>
      </c>
      <c r="C13" s="4" t="n">
        <v>0</v>
      </c>
      <c r="D13" s="11" t="n">
        <v>46054</v>
      </c>
      <c r="E13" s="4" t="s">
        <v>202</v>
      </c>
      <c r="F13" s="4" t="s">
        <v>206</v>
      </c>
      <c r="G13" s="4" t="n">
        <v>10</v>
      </c>
      <c r="H13" s="4" t="n">
        <v>0</v>
      </c>
      <c r="I13" s="4" t="n">
        <v>0</v>
      </c>
      <c r="J13" s="4" t="n">
        <v>1016.4</v>
      </c>
      <c r="K13" s="4" t="n">
        <v>0</v>
      </c>
      <c r="L13" s="12" t="n">
        <v>0.141485</v>
      </c>
      <c r="M13" s="12" t="n">
        <v>0.092063</v>
      </c>
      <c r="N13" s="12" t="n">
        <v>0.068179</v>
      </c>
      <c r="O13" s="12" t="n">
        <v>0.106183</v>
      </c>
      <c r="P13" s="12" t="n">
        <v>0.071065</v>
      </c>
      <c r="Q13" s="0" t="str">
        <f aca="false">IF(L13&gt;=Models!$G$5,1+COUNTIF($L$5:$L$1517,"&gt;"&amp;L13)+COUNTIFS($L$5:$L$1517,L13,$B$5:$B$1517,"&lt;"&amp;B13)+COUNTIFS($L$5:$L$1517,L13,$B$5:$B$1517,B13,$C$5:$C$1517,"&lt;"&amp;C13),"")</f>
        <v/>
      </c>
      <c r="R13" s="0" t="str">
        <f aca="false">IF(M13&gt;=Models!$G$6,1+COUNTIF($M$5:$M$1517,"&gt;"&amp;M13)+COUNTIFS($M$5:$M$1517,M13,$B$5:$B$1517,"&lt;"&amp;B13)+COUNTIFS($M$5:$M$1517,M13,$B$5:$B$1517,B13,$C$5:$C$1517,"&lt;"&amp;C13),"")</f>
        <v/>
      </c>
      <c r="S13" s="0" t="str">
        <f aca="false">IF(N13&gt;=Models!$G$7,1+COUNTIF($N$5:$N$1517,"&gt;"&amp;N13)+COUNTIFS($N$5:$N$1517,N13,$B$5:$B$1517,"&lt;"&amp;B13)+COUNTIFS($N$5:$N$1517,N13,$B$5:$B$1517,B13,$C$5:$C$1517,"&lt;"&amp;C13),"")</f>
        <v/>
      </c>
      <c r="T13" s="8" t="n">
        <f aca="false">IF(O13&gt;=Models!$G$8,1+COUNTIF($O$5:$O$1517,"&gt;"&amp;O13)+COUNTIFS($O$5:$O$1517,O13,$B$5:$B$1517,"&lt;"&amp;B13)+COUNTIFS($O$5:$O$1517,O13,$B$5:$B$1517,B13,$C$5:$C$1517,"&lt;"&amp;C13),"")</f>
        <v>33</v>
      </c>
      <c r="U13" s="8" t="n">
        <f aca="false">IF($K13=1,COUNTIFS($L$5:$L$1517,"&gt;="&amp;L13,$K$5:$K$1517,1)/COUNTIF($L$5:$L$1517,"&gt;="&amp;L13),0)</f>
        <v>0</v>
      </c>
      <c r="V13" s="8" t="n">
        <f aca="false">IF($K13=1,COUNTIFS($M$5:$M$1517,"&gt;="&amp;M13,$K$5:$K$1517,1)/COUNTIF($M$5:$M$1517,"&gt;="&amp;M13),0)</f>
        <v>0</v>
      </c>
      <c r="W13" s="8" t="n">
        <f aca="false">IF($K13=1,COUNTIFS($N$5:$N$1517,"&gt;="&amp;N13,$K$5:$K$1517,1)/COUNTIF($N$5:$N$1517,"&gt;="&amp;N13),0)</f>
        <v>0</v>
      </c>
      <c r="X13" s="8" t="n">
        <f aca="false">IF($K13=1,COUNTIFS($O$5:$O$1517,"&gt;="&amp;O13,$K$5:$K$1517,1)/COUNTIF($O$5:$O$1517,"&gt;="&amp;O13),0)</f>
        <v>0</v>
      </c>
      <c r="Y13" s="8" t="n">
        <f aca="false">IF($K13=1,COUNTIFS($P$5:$P$1517,"&gt;="&amp;P13,$K$5:$K$1517,1)/COUNTIF($P$5:$P$1517,"&gt;="&amp;P13),0)</f>
        <v>0</v>
      </c>
      <c r="Z13" s="8" t="n">
        <f aca="false">(L13-$K13)^2</f>
        <v>0.020018005225</v>
      </c>
      <c r="AA13" s="8" t="n">
        <f aca="false">(M13-$K13)^2</f>
        <v>0.008475595969</v>
      </c>
      <c r="AB13" s="8" t="n">
        <f aca="false">(N13-$K13)^2</f>
        <v>0.004648376041</v>
      </c>
      <c r="AC13" s="8" t="n">
        <f aca="false">(O13-$K13)^2</f>
        <v>0.011274829489</v>
      </c>
      <c r="AD13" s="8" t="n">
        <f aca="false">(P13-$K13)^2</f>
        <v>0.005050234225</v>
      </c>
      <c r="AE13" s="8" t="n">
        <f aca="false">MIN(INT(ROUND(N13*1000000,0)/100000),9)</f>
        <v>0</v>
      </c>
      <c r="AF13" s="8" t="n">
        <f aca="false">MIN(INT(ROUND(P13*1000000,0)/100000),9)</f>
        <v>0</v>
      </c>
    </row>
    <row r="14" customFormat="false" ht="15" hidden="false" customHeight="false" outlineLevel="0" collapsed="false">
      <c r="A14" s="4" t="n">
        <v>10</v>
      </c>
      <c r="B14" s="4" t="n">
        <v>50</v>
      </c>
      <c r="C14" s="4" t="n">
        <v>0</v>
      </c>
      <c r="D14" s="11" t="n">
        <v>46054</v>
      </c>
      <c r="E14" s="4" t="s">
        <v>203</v>
      </c>
      <c r="F14" s="4" t="s">
        <v>208</v>
      </c>
      <c r="G14" s="4" t="n">
        <v>13</v>
      </c>
      <c r="H14" s="4" t="n">
        <v>1</v>
      </c>
      <c r="I14" s="4" t="n">
        <v>0</v>
      </c>
      <c r="J14" s="4" t="n">
        <v>318</v>
      </c>
      <c r="K14" s="4" t="n">
        <v>0</v>
      </c>
      <c r="L14" s="12" t="n">
        <v>0.414604</v>
      </c>
      <c r="M14" s="12" t="n">
        <v>0.092063</v>
      </c>
      <c r="N14" s="12" t="n">
        <v>0.055398</v>
      </c>
      <c r="O14" s="12" t="n">
        <v>0.106183</v>
      </c>
      <c r="P14" s="12" t="n">
        <v>0.057206</v>
      </c>
      <c r="Q14" s="0" t="str">
        <f aca="false">IF(L14&gt;=Models!$G$5,1+COUNTIF($L$5:$L$1517,"&gt;"&amp;L14)+COUNTIFS($L$5:$L$1517,L14,$B$5:$B$1517,"&lt;"&amp;B14)+COUNTIFS($L$5:$L$1517,L14,$B$5:$B$1517,B14,$C$5:$C$1517,"&lt;"&amp;C14),"")</f>
        <v/>
      </c>
      <c r="R14" s="0" t="str">
        <f aca="false">IF(M14&gt;=Models!$G$6,1+COUNTIF($M$5:$M$1517,"&gt;"&amp;M14)+COUNTIFS($M$5:$M$1517,M14,$B$5:$B$1517,"&lt;"&amp;B14)+COUNTIFS($M$5:$M$1517,M14,$B$5:$B$1517,B14,$C$5:$C$1517,"&lt;"&amp;C14),"")</f>
        <v/>
      </c>
      <c r="S14" s="0" t="str">
        <f aca="false">IF(N14&gt;=Models!$G$7,1+COUNTIF($N$5:$N$1517,"&gt;"&amp;N14)+COUNTIFS($N$5:$N$1517,N14,$B$5:$B$1517,"&lt;"&amp;B14)+COUNTIFS($N$5:$N$1517,N14,$B$5:$B$1517,B14,$C$5:$C$1517,"&lt;"&amp;C14),"")</f>
        <v/>
      </c>
      <c r="T14" s="8" t="n">
        <f aca="false">IF(O14&gt;=Models!$G$8,1+COUNTIF($O$5:$O$1517,"&gt;"&amp;O14)+COUNTIFS($O$5:$O$1517,O14,$B$5:$B$1517,"&lt;"&amp;B14)+COUNTIFS($O$5:$O$1517,O14,$B$5:$B$1517,B14,$C$5:$C$1517,"&lt;"&amp;C14),"")</f>
        <v>37</v>
      </c>
      <c r="U14" s="8" t="n">
        <f aca="false">IF($K14=1,COUNTIFS($L$5:$L$1517,"&gt;="&amp;L14,$K$5:$K$1517,1)/COUNTIF($L$5:$L$1517,"&gt;="&amp;L14),0)</f>
        <v>0</v>
      </c>
      <c r="V14" s="8" t="n">
        <f aca="false">IF($K14=1,COUNTIFS($M$5:$M$1517,"&gt;="&amp;M14,$K$5:$K$1517,1)/COUNTIF($M$5:$M$1517,"&gt;="&amp;M14),0)</f>
        <v>0</v>
      </c>
      <c r="W14" s="8" t="n">
        <f aca="false">IF($K14=1,COUNTIFS($N$5:$N$1517,"&gt;="&amp;N14,$K$5:$K$1517,1)/COUNTIF($N$5:$N$1517,"&gt;="&amp;N14),0)</f>
        <v>0</v>
      </c>
      <c r="X14" s="8" t="n">
        <f aca="false">IF($K14=1,COUNTIFS($O$5:$O$1517,"&gt;="&amp;O14,$K$5:$K$1517,1)/COUNTIF($O$5:$O$1517,"&gt;="&amp;O14),0)</f>
        <v>0</v>
      </c>
      <c r="Y14" s="8" t="n">
        <f aca="false">IF($K14=1,COUNTIFS($P$5:$P$1517,"&gt;="&amp;P14,$K$5:$K$1517,1)/COUNTIF($P$5:$P$1517,"&gt;="&amp;P14),0)</f>
        <v>0</v>
      </c>
      <c r="Z14" s="8" t="n">
        <f aca="false">(L14-$K14)^2</f>
        <v>0.171896476816</v>
      </c>
      <c r="AA14" s="8" t="n">
        <f aca="false">(M14-$K14)^2</f>
        <v>0.008475595969</v>
      </c>
      <c r="AB14" s="8" t="n">
        <f aca="false">(N14-$K14)^2</f>
        <v>0.003068938404</v>
      </c>
      <c r="AC14" s="8" t="n">
        <f aca="false">(O14-$K14)^2</f>
        <v>0.011274829489</v>
      </c>
      <c r="AD14" s="8" t="n">
        <f aca="false">(P14-$K14)^2</f>
        <v>0.003272526436</v>
      </c>
      <c r="AE14" s="8" t="n">
        <f aca="false">MIN(INT(ROUND(N14*1000000,0)/100000),9)</f>
        <v>0</v>
      </c>
      <c r="AF14" s="8" t="n">
        <f aca="false">MIN(INT(ROUND(P14*1000000,0)/100000),9)</f>
        <v>0</v>
      </c>
    </row>
    <row r="15" customFormat="false" ht="15" hidden="false" customHeight="false" outlineLevel="0" collapsed="false">
      <c r="A15" s="4" t="n">
        <v>11</v>
      </c>
      <c r="B15" s="4" t="n">
        <v>56</v>
      </c>
      <c r="C15" s="4" t="n">
        <v>0</v>
      </c>
      <c r="D15" s="11" t="n">
        <v>46054</v>
      </c>
      <c r="E15" s="4" t="s">
        <v>203</v>
      </c>
      <c r="F15" s="4" t="s">
        <v>208</v>
      </c>
      <c r="G15" s="4" t="n">
        <v>5</v>
      </c>
      <c r="H15" s="4" t="n">
        <v>0</v>
      </c>
      <c r="I15" s="4" t="n">
        <v>0</v>
      </c>
      <c r="J15" s="4" t="n">
        <v>291.9</v>
      </c>
      <c r="K15" s="4" t="n">
        <v>0</v>
      </c>
      <c r="L15" s="12" t="n">
        <v>0.534536</v>
      </c>
      <c r="M15" s="12" t="n">
        <v>0.092063</v>
      </c>
      <c r="N15" s="12" t="n">
        <v>0.106884</v>
      </c>
      <c r="O15" s="12" t="n">
        <v>0.106183</v>
      </c>
      <c r="P15" s="12" t="n">
        <v>0.113547</v>
      </c>
      <c r="Q15" s="0" t="str">
        <f aca="false">IF(L15&gt;=Models!$G$5,1+COUNTIF($L$5:$L$1517,"&gt;"&amp;L15)+COUNTIFS($L$5:$L$1517,L15,$B$5:$B$1517,"&lt;"&amp;B15)+COUNTIFS($L$5:$L$1517,L15,$B$5:$B$1517,B15,$C$5:$C$1517,"&lt;"&amp;C15),"")</f>
        <v/>
      </c>
      <c r="R15" s="0" t="str">
        <f aca="false">IF(M15&gt;=Models!$G$6,1+COUNTIF($M$5:$M$1517,"&gt;"&amp;M15)+COUNTIFS($M$5:$M$1517,M15,$B$5:$B$1517,"&lt;"&amp;B15)+COUNTIFS($M$5:$M$1517,M15,$B$5:$B$1517,B15,$C$5:$C$1517,"&lt;"&amp;C15),"")</f>
        <v/>
      </c>
      <c r="S15" s="0" t="str">
        <f aca="false">IF(N15&gt;=Models!$G$7,1+COUNTIF($N$5:$N$1517,"&gt;"&amp;N15)+COUNTIFS($N$5:$N$1517,N15,$B$5:$B$1517,"&lt;"&amp;B15)+COUNTIFS($N$5:$N$1517,N15,$B$5:$B$1517,B15,$C$5:$C$1517,"&lt;"&amp;C15),"")</f>
        <v/>
      </c>
      <c r="T15" s="8" t="n">
        <f aca="false">IF(O15&gt;=Models!$G$8,1+COUNTIF($O$5:$O$1517,"&gt;"&amp;O15)+COUNTIFS($O$5:$O$1517,O15,$B$5:$B$1517,"&lt;"&amp;B15)+COUNTIFS($O$5:$O$1517,O15,$B$5:$B$1517,B15,$C$5:$C$1517,"&lt;"&amp;C15),"")</f>
        <v>41</v>
      </c>
      <c r="U15" s="8" t="n">
        <f aca="false">IF($K15=1,COUNTIFS($L$5:$L$1517,"&gt;="&amp;L15,$K$5:$K$1517,1)/COUNTIF($L$5:$L$1517,"&gt;="&amp;L15),0)</f>
        <v>0</v>
      </c>
      <c r="V15" s="8" t="n">
        <f aca="false">IF($K15=1,COUNTIFS($M$5:$M$1517,"&gt;="&amp;M15,$K$5:$K$1517,1)/COUNTIF($M$5:$M$1517,"&gt;="&amp;M15),0)</f>
        <v>0</v>
      </c>
      <c r="W15" s="8" t="n">
        <f aca="false">IF($K15=1,COUNTIFS($N$5:$N$1517,"&gt;="&amp;N15,$K$5:$K$1517,1)/COUNTIF($N$5:$N$1517,"&gt;="&amp;N15),0)</f>
        <v>0</v>
      </c>
      <c r="X15" s="8" t="n">
        <f aca="false">IF($K15=1,COUNTIFS($O$5:$O$1517,"&gt;="&amp;O15,$K$5:$K$1517,1)/COUNTIF($O$5:$O$1517,"&gt;="&amp;O15),0)</f>
        <v>0</v>
      </c>
      <c r="Y15" s="8" t="n">
        <f aca="false">IF($K15=1,COUNTIFS($P$5:$P$1517,"&gt;="&amp;P15,$K$5:$K$1517,1)/COUNTIF($P$5:$P$1517,"&gt;="&amp;P15),0)</f>
        <v>0</v>
      </c>
      <c r="Z15" s="8" t="n">
        <f aca="false">(L15-$K15)^2</f>
        <v>0.285728735296</v>
      </c>
      <c r="AA15" s="8" t="n">
        <f aca="false">(M15-$K15)^2</f>
        <v>0.008475595969</v>
      </c>
      <c r="AB15" s="8" t="n">
        <f aca="false">(N15-$K15)^2</f>
        <v>0.011424189456</v>
      </c>
      <c r="AC15" s="8" t="n">
        <f aca="false">(O15-$K15)^2</f>
        <v>0.011274829489</v>
      </c>
      <c r="AD15" s="8" t="n">
        <f aca="false">(P15-$K15)^2</f>
        <v>0.012892921209</v>
      </c>
      <c r="AE15" s="8" t="n">
        <f aca="false">MIN(INT(ROUND(N15*1000000,0)/100000),9)</f>
        <v>1</v>
      </c>
      <c r="AF15" s="8" t="n">
        <f aca="false">MIN(INT(ROUND(P15*1000000,0)/100000),9)</f>
        <v>1</v>
      </c>
    </row>
    <row r="16" customFormat="false" ht="15" hidden="false" customHeight="false" outlineLevel="0" collapsed="false">
      <c r="A16" s="4" t="n">
        <v>12</v>
      </c>
      <c r="B16" s="4" t="n">
        <v>60</v>
      </c>
      <c r="C16" s="4" t="n">
        <v>0</v>
      </c>
      <c r="D16" s="11" t="n">
        <v>46054</v>
      </c>
      <c r="E16" s="4" t="s">
        <v>203</v>
      </c>
      <c r="F16" s="4" t="s">
        <v>209</v>
      </c>
      <c r="G16" s="4" t="n">
        <v>5</v>
      </c>
      <c r="H16" s="4" t="n">
        <v>5</v>
      </c>
      <c r="I16" s="4" t="n">
        <v>1</v>
      </c>
      <c r="J16" s="4" t="n">
        <v>411</v>
      </c>
      <c r="K16" s="4" t="n">
        <v>1</v>
      </c>
      <c r="L16" s="12" t="n">
        <v>0.513713</v>
      </c>
      <c r="M16" s="12" t="n">
        <v>0.184211</v>
      </c>
      <c r="N16" s="12" t="n">
        <v>0.183491</v>
      </c>
      <c r="O16" s="12" t="n">
        <v>0.106183</v>
      </c>
      <c r="P16" s="12" t="n">
        <v>0.198621</v>
      </c>
      <c r="Q16" s="0" t="str">
        <f aca="false">IF(L16&gt;=Models!$G$5,1+COUNTIF($L$5:$L$1517,"&gt;"&amp;L16)+COUNTIFS($L$5:$L$1517,L16,$B$5:$B$1517,"&lt;"&amp;B16)+COUNTIFS($L$5:$L$1517,L16,$B$5:$B$1517,B16,$C$5:$C$1517,"&lt;"&amp;C16),"")</f>
        <v/>
      </c>
      <c r="R16" s="8" t="n">
        <f aca="false">IF(M16&gt;=Models!$G$6,1+COUNTIF($M$5:$M$1517,"&gt;"&amp;M16)+COUNTIFS($M$5:$M$1517,M16,$B$5:$B$1517,"&lt;"&amp;B16)+COUNTIFS($M$5:$M$1517,M16,$B$5:$B$1517,B16,$C$5:$C$1517,"&lt;"&amp;C16),"")</f>
        <v>2</v>
      </c>
      <c r="S16" s="0" t="str">
        <f aca="false">IF(N16&gt;=Models!$G$7,1+COUNTIF($N$5:$N$1517,"&gt;"&amp;N16)+COUNTIFS($N$5:$N$1517,N16,$B$5:$B$1517,"&lt;"&amp;B16)+COUNTIFS($N$5:$N$1517,N16,$B$5:$B$1517,B16,$C$5:$C$1517,"&lt;"&amp;C16),"")</f>
        <v/>
      </c>
      <c r="T16" s="8" t="n">
        <f aca="false">IF(O16&gt;=Models!$G$8,1+COUNTIF($O$5:$O$1517,"&gt;"&amp;O16)+COUNTIFS($O$5:$O$1517,O16,$B$5:$B$1517,"&lt;"&amp;B16)+COUNTIFS($O$5:$O$1517,O16,$B$5:$B$1517,B16,$C$5:$C$1517,"&lt;"&amp;C16),"")</f>
        <v>45</v>
      </c>
      <c r="U16" s="8" t="n">
        <f aca="false">IF($K16=1,COUNTIFS($L$5:$L$1517,"&gt;="&amp;L16,$K$5:$K$1517,1)/COUNTIF($L$5:$L$1517,"&gt;="&amp;L16),0)</f>
        <v>0.117565698478562</v>
      </c>
      <c r="V16" s="8" t="n">
        <f aca="false">IF($K16=1,COUNTIFS($M$5:$M$1517,"&gt;="&amp;M16,$K$5:$K$1517,1)/COUNTIF($M$5:$M$1517,"&gt;="&amp;M16),0)</f>
        <v>0.186528497409326</v>
      </c>
      <c r="W16" s="8" t="n">
        <f aca="false">IF($K16=1,COUNTIFS($N$5:$N$1517,"&gt;="&amp;N16,$K$5:$K$1517,1)/COUNTIF($N$5:$N$1517,"&gt;="&amp;N16),0)</f>
        <v>0.305882352941177</v>
      </c>
      <c r="X16" s="8" t="n">
        <f aca="false">IF($K16=1,COUNTIFS($O$5:$O$1517,"&gt;="&amp;O16,$K$5:$K$1517,1)/COUNTIF($O$5:$O$1517,"&gt;="&amp;O16),0)</f>
        <v>0.12491738268341</v>
      </c>
      <c r="Y16" s="8" t="n">
        <f aca="false">IF($K16=1,COUNTIFS($P$5:$P$1517,"&gt;="&amp;P16,$K$5:$K$1517,1)/COUNTIF($P$5:$P$1517,"&gt;="&amp;P16),0)</f>
        <v>0.305882352941177</v>
      </c>
      <c r="Z16" s="8" t="n">
        <f aca="false">(L16-$K16)^2</f>
        <v>0.236475046369</v>
      </c>
      <c r="AA16" s="8" t="n">
        <f aca="false">(M16-$K16)^2</f>
        <v>0.665511692521</v>
      </c>
      <c r="AB16" s="8" t="n">
        <f aca="false">(N16-$K16)^2</f>
        <v>0.666686947081</v>
      </c>
      <c r="AC16" s="8" t="n">
        <f aca="false">(O16-$K16)^2</f>
        <v>0.798908829489</v>
      </c>
      <c r="AD16" s="8" t="n">
        <f aca="false">(P16-$K16)^2</f>
        <v>0.642208301641</v>
      </c>
      <c r="AE16" s="8" t="n">
        <f aca="false">MIN(INT(ROUND(N16*1000000,0)/100000),9)</f>
        <v>1</v>
      </c>
      <c r="AF16" s="8" t="n">
        <f aca="false">MIN(INT(ROUND(P16*1000000,0)/100000),9)</f>
        <v>1</v>
      </c>
    </row>
    <row r="17" customFormat="false" ht="15" hidden="false" customHeight="false" outlineLevel="0" collapsed="false">
      <c r="A17" s="4" t="n">
        <v>13</v>
      </c>
      <c r="B17" s="4" t="n">
        <v>61</v>
      </c>
      <c r="C17" s="4" t="n">
        <v>0</v>
      </c>
      <c r="D17" s="11" t="n">
        <v>46054</v>
      </c>
      <c r="E17" s="4" t="s">
        <v>203</v>
      </c>
      <c r="F17" s="4" t="s">
        <v>207</v>
      </c>
      <c r="G17" s="4" t="n">
        <v>5</v>
      </c>
      <c r="H17" s="4" t="n">
        <v>4</v>
      </c>
      <c r="I17" s="4" t="n">
        <v>0</v>
      </c>
      <c r="J17" s="4" t="n">
        <v>354</v>
      </c>
      <c r="K17" s="4" t="n">
        <v>0</v>
      </c>
      <c r="L17" s="12" t="n">
        <v>0.090433</v>
      </c>
      <c r="M17" s="12" t="n">
        <v>0.092063</v>
      </c>
      <c r="N17" s="12" t="n">
        <v>0.109701</v>
      </c>
      <c r="O17" s="12" t="n">
        <v>0.106183</v>
      </c>
      <c r="P17" s="12" t="n">
        <v>0.11666</v>
      </c>
      <c r="Q17" s="0" t="str">
        <f aca="false">IF(L17&gt;=Models!$G$5,1+COUNTIF($L$5:$L$1517,"&gt;"&amp;L17)+COUNTIFS($L$5:$L$1517,L17,$B$5:$B$1517,"&lt;"&amp;B17)+COUNTIFS($L$5:$L$1517,L17,$B$5:$B$1517,B17,$C$5:$C$1517,"&lt;"&amp;C17),"")</f>
        <v/>
      </c>
      <c r="R17" s="0" t="str">
        <f aca="false">IF(M17&gt;=Models!$G$6,1+COUNTIF($M$5:$M$1517,"&gt;"&amp;M17)+COUNTIFS($M$5:$M$1517,M17,$B$5:$B$1517,"&lt;"&amp;B17)+COUNTIFS($M$5:$M$1517,M17,$B$5:$B$1517,B17,$C$5:$C$1517,"&lt;"&amp;C17),"")</f>
        <v/>
      </c>
      <c r="S17" s="0" t="str">
        <f aca="false">IF(N17&gt;=Models!$G$7,1+COUNTIF($N$5:$N$1517,"&gt;"&amp;N17)+COUNTIFS($N$5:$N$1517,N17,$B$5:$B$1517,"&lt;"&amp;B17)+COUNTIFS($N$5:$N$1517,N17,$B$5:$B$1517,B17,$C$5:$C$1517,"&lt;"&amp;C17),"")</f>
        <v/>
      </c>
      <c r="T17" s="8" t="n">
        <f aca="false">IF(O17&gt;=Models!$G$8,1+COUNTIF($O$5:$O$1517,"&gt;"&amp;O17)+COUNTIFS($O$5:$O$1517,O17,$B$5:$B$1517,"&lt;"&amp;B17)+COUNTIFS($O$5:$O$1517,O17,$B$5:$B$1517,B17,$C$5:$C$1517,"&lt;"&amp;C17),"")</f>
        <v>48</v>
      </c>
      <c r="U17" s="8" t="n">
        <f aca="false">IF($K17=1,COUNTIFS($L$5:$L$1517,"&gt;="&amp;L17,$K$5:$K$1517,1)/COUNTIF($L$5:$L$1517,"&gt;="&amp;L17),0)</f>
        <v>0</v>
      </c>
      <c r="V17" s="8" t="n">
        <f aca="false">IF($K17=1,COUNTIFS($M$5:$M$1517,"&gt;="&amp;M17,$K$5:$K$1517,1)/COUNTIF($M$5:$M$1517,"&gt;="&amp;M17),0)</f>
        <v>0</v>
      </c>
      <c r="W17" s="8" t="n">
        <f aca="false">IF($K17=1,COUNTIFS($N$5:$N$1517,"&gt;="&amp;N17,$K$5:$K$1517,1)/COUNTIF($N$5:$N$1517,"&gt;="&amp;N17),0)</f>
        <v>0</v>
      </c>
      <c r="X17" s="8" t="n">
        <f aca="false">IF($K17=1,COUNTIFS($O$5:$O$1517,"&gt;="&amp;O17,$K$5:$K$1517,1)/COUNTIF($O$5:$O$1517,"&gt;="&amp;O17),0)</f>
        <v>0</v>
      </c>
      <c r="Y17" s="8" t="n">
        <f aca="false">IF($K17=1,COUNTIFS($P$5:$P$1517,"&gt;="&amp;P17,$K$5:$K$1517,1)/COUNTIF($P$5:$P$1517,"&gt;="&amp;P17),0)</f>
        <v>0</v>
      </c>
      <c r="Z17" s="8" t="n">
        <f aca="false">(L17-$K17)^2</f>
        <v>0.008178127489</v>
      </c>
      <c r="AA17" s="8" t="n">
        <f aca="false">(M17-$K17)^2</f>
        <v>0.008475595969</v>
      </c>
      <c r="AB17" s="8" t="n">
        <f aca="false">(N17-$K17)^2</f>
        <v>0.012034309401</v>
      </c>
      <c r="AC17" s="8" t="n">
        <f aca="false">(O17-$K17)^2</f>
        <v>0.011274829489</v>
      </c>
      <c r="AD17" s="8" t="n">
        <f aca="false">(P17-$K17)^2</f>
        <v>0.0136095556</v>
      </c>
      <c r="AE17" s="8" t="n">
        <f aca="false">MIN(INT(ROUND(N17*1000000,0)/100000),9)</f>
        <v>1</v>
      </c>
      <c r="AF17" s="8" t="n">
        <f aca="false">MIN(INT(ROUND(P17*1000000,0)/100000),9)</f>
        <v>1</v>
      </c>
    </row>
    <row r="18" customFormat="false" ht="15" hidden="false" customHeight="false" outlineLevel="0" collapsed="false">
      <c r="A18" s="4" t="n">
        <v>14</v>
      </c>
      <c r="B18" s="4" t="n">
        <v>62</v>
      </c>
      <c r="C18" s="4" t="n">
        <v>0</v>
      </c>
      <c r="D18" s="11" t="n">
        <v>46054</v>
      </c>
      <c r="E18" s="4" t="s">
        <v>204</v>
      </c>
      <c r="F18" s="4" t="s">
        <v>209</v>
      </c>
      <c r="G18" s="4" t="n">
        <v>6</v>
      </c>
      <c r="H18" s="4" t="n">
        <v>9</v>
      </c>
      <c r="I18" s="4" t="n">
        <v>0</v>
      </c>
      <c r="J18" s="4" t="n">
        <v>69</v>
      </c>
      <c r="K18" s="4" t="n">
        <v>0</v>
      </c>
      <c r="L18" s="12" t="n">
        <v>0.982189</v>
      </c>
      <c r="M18" s="12" t="n">
        <v>0.092063</v>
      </c>
      <c r="N18" s="12" t="n">
        <v>0.10657</v>
      </c>
      <c r="O18" s="12" t="n">
        <v>0.106183</v>
      </c>
      <c r="P18" s="12" t="n">
        <v>0.1132</v>
      </c>
      <c r="Q18" s="8" t="n">
        <f aca="false">IF(L18&gt;=Models!$G$5,1+COUNTIF($L$5:$L$1517,"&gt;"&amp;L18)+COUNTIFS($L$5:$L$1517,L18,$B$5:$B$1517,"&lt;"&amp;B18)+COUNTIFS($L$5:$L$1517,L18,$B$5:$B$1517,B18,$C$5:$C$1517,"&lt;"&amp;C18),"")</f>
        <v>22</v>
      </c>
      <c r="R18" s="0" t="str">
        <f aca="false">IF(M18&gt;=Models!$G$6,1+COUNTIF($M$5:$M$1517,"&gt;"&amp;M18)+COUNTIFS($M$5:$M$1517,M18,$B$5:$B$1517,"&lt;"&amp;B18)+COUNTIFS($M$5:$M$1517,M18,$B$5:$B$1517,B18,$C$5:$C$1517,"&lt;"&amp;C18),"")</f>
        <v/>
      </c>
      <c r="S18" s="0" t="str">
        <f aca="false">IF(N18&gt;=Models!$G$7,1+COUNTIF($N$5:$N$1517,"&gt;"&amp;N18)+COUNTIFS($N$5:$N$1517,N18,$B$5:$B$1517,"&lt;"&amp;B18)+COUNTIFS($N$5:$N$1517,N18,$B$5:$B$1517,B18,$C$5:$C$1517,"&lt;"&amp;C18),"")</f>
        <v/>
      </c>
      <c r="T18" s="8" t="n">
        <f aca="false">IF(O18&gt;=Models!$G$8,1+COUNTIF($O$5:$O$1517,"&gt;"&amp;O18)+COUNTIFS($O$5:$O$1517,O18,$B$5:$B$1517,"&lt;"&amp;B18)+COUNTIFS($O$5:$O$1517,O18,$B$5:$B$1517,B18,$C$5:$C$1517,"&lt;"&amp;C18),"")</f>
        <v>52</v>
      </c>
      <c r="U18" s="8" t="n">
        <f aca="false">IF($K18=1,COUNTIFS($L$5:$L$1517,"&gt;="&amp;L18,$K$5:$K$1517,1)/COUNTIF($L$5:$L$1517,"&gt;="&amp;L18),0)</f>
        <v>0</v>
      </c>
      <c r="V18" s="8" t="n">
        <f aca="false">IF($K18=1,COUNTIFS($M$5:$M$1517,"&gt;="&amp;M18,$K$5:$K$1517,1)/COUNTIF($M$5:$M$1517,"&gt;="&amp;M18),0)</f>
        <v>0</v>
      </c>
      <c r="W18" s="8" t="n">
        <f aca="false">IF($K18=1,COUNTIFS($N$5:$N$1517,"&gt;="&amp;N18,$K$5:$K$1517,1)/COUNTIF($N$5:$N$1517,"&gt;="&amp;N18),0)</f>
        <v>0</v>
      </c>
      <c r="X18" s="8" t="n">
        <f aca="false">IF($K18=1,COUNTIFS($O$5:$O$1517,"&gt;="&amp;O18,$K$5:$K$1517,1)/COUNTIF($O$5:$O$1517,"&gt;="&amp;O18),0)</f>
        <v>0</v>
      </c>
      <c r="Y18" s="8" t="n">
        <f aca="false">IF($K18=1,COUNTIFS($P$5:$P$1517,"&gt;="&amp;P18,$K$5:$K$1517,1)/COUNTIF($P$5:$P$1517,"&gt;="&amp;P18),0)</f>
        <v>0</v>
      </c>
      <c r="Z18" s="8" t="n">
        <f aca="false">(L18-$K18)^2</f>
        <v>0.964695231721</v>
      </c>
      <c r="AA18" s="8" t="n">
        <f aca="false">(M18-$K18)^2</f>
        <v>0.008475595969</v>
      </c>
      <c r="AB18" s="8" t="n">
        <f aca="false">(N18-$K18)^2</f>
        <v>0.0113571649</v>
      </c>
      <c r="AC18" s="8" t="n">
        <f aca="false">(O18-$K18)^2</f>
        <v>0.011274829489</v>
      </c>
      <c r="AD18" s="8" t="n">
        <f aca="false">(P18-$K18)^2</f>
        <v>0.01281424</v>
      </c>
      <c r="AE18" s="8" t="n">
        <f aca="false">MIN(INT(ROUND(N18*1000000,0)/100000),9)</f>
        <v>1</v>
      </c>
      <c r="AF18" s="8" t="n">
        <f aca="false">MIN(INT(ROUND(P18*1000000,0)/100000),9)</f>
        <v>1</v>
      </c>
    </row>
    <row r="19" customFormat="false" ht="15" hidden="false" customHeight="false" outlineLevel="0" collapsed="false">
      <c r="A19" s="4" t="n">
        <v>15</v>
      </c>
      <c r="B19" s="4" t="n">
        <v>70</v>
      </c>
      <c r="C19" s="4" t="n">
        <v>0</v>
      </c>
      <c r="D19" s="11" t="n">
        <v>46054</v>
      </c>
      <c r="E19" s="4" t="s">
        <v>203</v>
      </c>
      <c r="F19" s="4" t="s">
        <v>207</v>
      </c>
      <c r="G19" s="4" t="n">
        <v>3</v>
      </c>
      <c r="H19" s="4" t="n">
        <v>7</v>
      </c>
      <c r="I19" s="4" t="n">
        <v>0</v>
      </c>
      <c r="J19" s="4" t="n">
        <v>390</v>
      </c>
      <c r="K19" s="4" t="n">
        <v>0</v>
      </c>
      <c r="L19" s="12" t="n">
        <v>0.30143</v>
      </c>
      <c r="M19" s="12" t="n">
        <v>0.092063</v>
      </c>
      <c r="N19" s="12" t="n">
        <v>0.131094</v>
      </c>
      <c r="O19" s="12" t="n">
        <v>0.106183</v>
      </c>
      <c r="P19" s="12" t="n">
        <v>0.140356</v>
      </c>
      <c r="Q19" s="0" t="str">
        <f aca="false">IF(L19&gt;=Models!$G$5,1+COUNTIF($L$5:$L$1517,"&gt;"&amp;L19)+COUNTIFS($L$5:$L$1517,L19,$B$5:$B$1517,"&lt;"&amp;B19)+COUNTIFS($L$5:$L$1517,L19,$B$5:$B$1517,B19,$C$5:$C$1517,"&lt;"&amp;C19),"")</f>
        <v/>
      </c>
      <c r="R19" s="0" t="str">
        <f aca="false">IF(M19&gt;=Models!$G$6,1+COUNTIF($M$5:$M$1517,"&gt;"&amp;M19)+COUNTIFS($M$5:$M$1517,M19,$B$5:$B$1517,"&lt;"&amp;B19)+COUNTIFS($M$5:$M$1517,M19,$B$5:$B$1517,B19,$C$5:$C$1517,"&lt;"&amp;C19),"")</f>
        <v/>
      </c>
      <c r="S19" s="0" t="str">
        <f aca="false">IF(N19&gt;=Models!$G$7,1+COUNTIF($N$5:$N$1517,"&gt;"&amp;N19)+COUNTIFS($N$5:$N$1517,N19,$B$5:$B$1517,"&lt;"&amp;B19)+COUNTIFS($N$5:$N$1517,N19,$B$5:$B$1517,B19,$C$5:$C$1517,"&lt;"&amp;C19),"")</f>
        <v/>
      </c>
      <c r="T19" s="8" t="n">
        <f aca="false">IF(O19&gt;=Models!$G$8,1+COUNTIF($O$5:$O$1517,"&gt;"&amp;O19)+COUNTIFS($O$5:$O$1517,O19,$B$5:$B$1517,"&lt;"&amp;B19)+COUNTIFS($O$5:$O$1517,O19,$B$5:$B$1517,B19,$C$5:$C$1517,"&lt;"&amp;C19),"")</f>
        <v>56</v>
      </c>
      <c r="U19" s="8" t="n">
        <f aca="false">IF($K19=1,COUNTIFS($L$5:$L$1517,"&gt;="&amp;L19,$K$5:$K$1517,1)/COUNTIF($L$5:$L$1517,"&gt;="&amp;L19),0)</f>
        <v>0</v>
      </c>
      <c r="V19" s="8" t="n">
        <f aca="false">IF($K19=1,COUNTIFS($M$5:$M$1517,"&gt;="&amp;M19,$K$5:$K$1517,1)/COUNTIF($M$5:$M$1517,"&gt;="&amp;M19),0)</f>
        <v>0</v>
      </c>
      <c r="W19" s="8" t="n">
        <f aca="false">IF($K19=1,COUNTIFS($N$5:$N$1517,"&gt;="&amp;N19,$K$5:$K$1517,1)/COUNTIF($N$5:$N$1517,"&gt;="&amp;N19),0)</f>
        <v>0</v>
      </c>
      <c r="X19" s="8" t="n">
        <f aca="false">IF($K19=1,COUNTIFS($O$5:$O$1517,"&gt;="&amp;O19,$K$5:$K$1517,1)/COUNTIF($O$5:$O$1517,"&gt;="&amp;O19),0)</f>
        <v>0</v>
      </c>
      <c r="Y19" s="8" t="n">
        <f aca="false">IF($K19=1,COUNTIFS($P$5:$P$1517,"&gt;="&amp;P19,$K$5:$K$1517,1)/COUNTIF($P$5:$P$1517,"&gt;="&amp;P19),0)</f>
        <v>0</v>
      </c>
      <c r="Z19" s="8" t="n">
        <f aca="false">(L19-$K19)^2</f>
        <v>0.0908600449</v>
      </c>
      <c r="AA19" s="8" t="n">
        <f aca="false">(M19-$K19)^2</f>
        <v>0.008475595969</v>
      </c>
      <c r="AB19" s="8" t="n">
        <f aca="false">(N19-$K19)^2</f>
        <v>0.017185636836</v>
      </c>
      <c r="AC19" s="8" t="n">
        <f aca="false">(O19-$K19)^2</f>
        <v>0.011274829489</v>
      </c>
      <c r="AD19" s="8" t="n">
        <f aca="false">(P19-$K19)^2</f>
        <v>0.019699806736</v>
      </c>
      <c r="AE19" s="8" t="n">
        <f aca="false">MIN(INT(ROUND(N19*1000000,0)/100000),9)</f>
        <v>1</v>
      </c>
      <c r="AF19" s="8" t="n">
        <f aca="false">MIN(INT(ROUND(P19*1000000,0)/100000),9)</f>
        <v>1</v>
      </c>
    </row>
    <row r="20" customFormat="false" ht="15" hidden="false" customHeight="false" outlineLevel="0" collapsed="false">
      <c r="A20" s="4" t="n">
        <v>16</v>
      </c>
      <c r="B20" s="4" t="n">
        <v>80</v>
      </c>
      <c r="C20" s="4" t="n">
        <v>0</v>
      </c>
      <c r="D20" s="11" t="n">
        <v>46054</v>
      </c>
      <c r="E20" s="4" t="s">
        <v>203</v>
      </c>
      <c r="F20" s="4" t="s">
        <v>208</v>
      </c>
      <c r="G20" s="4" t="n">
        <v>9</v>
      </c>
      <c r="H20" s="4" t="n">
        <v>13</v>
      </c>
      <c r="I20" s="4" t="n">
        <v>0</v>
      </c>
      <c r="J20" s="4" t="n">
        <v>277.2</v>
      </c>
      <c r="K20" s="4" t="n">
        <v>0</v>
      </c>
      <c r="L20" s="12" t="n">
        <v>0.521885</v>
      </c>
      <c r="M20" s="12" t="n">
        <v>0.092063</v>
      </c>
      <c r="N20" s="12" t="n">
        <v>0.085056</v>
      </c>
      <c r="O20" s="12" t="n">
        <v>0.106183</v>
      </c>
      <c r="P20" s="12" t="n">
        <v>0.089512</v>
      </c>
      <c r="Q20" s="0" t="str">
        <f aca="false">IF(L20&gt;=Models!$G$5,1+COUNTIF($L$5:$L$1517,"&gt;"&amp;L20)+COUNTIFS($L$5:$L$1517,L20,$B$5:$B$1517,"&lt;"&amp;B20)+COUNTIFS($L$5:$L$1517,L20,$B$5:$B$1517,B20,$C$5:$C$1517,"&lt;"&amp;C20),"")</f>
        <v/>
      </c>
      <c r="R20" s="0" t="str">
        <f aca="false">IF(M20&gt;=Models!$G$6,1+COUNTIF($M$5:$M$1517,"&gt;"&amp;M20)+COUNTIFS($M$5:$M$1517,M20,$B$5:$B$1517,"&lt;"&amp;B20)+COUNTIFS($M$5:$M$1517,M20,$B$5:$B$1517,B20,$C$5:$C$1517,"&lt;"&amp;C20),"")</f>
        <v/>
      </c>
      <c r="S20" s="0" t="str">
        <f aca="false">IF(N20&gt;=Models!$G$7,1+COUNTIF($N$5:$N$1517,"&gt;"&amp;N20)+COUNTIFS($N$5:$N$1517,N20,$B$5:$B$1517,"&lt;"&amp;B20)+COUNTIFS($N$5:$N$1517,N20,$B$5:$B$1517,B20,$C$5:$C$1517,"&lt;"&amp;C20),"")</f>
        <v/>
      </c>
      <c r="T20" s="8" t="n">
        <f aca="false">IF(O20&gt;=Models!$G$8,1+COUNTIF($O$5:$O$1517,"&gt;"&amp;O20)+COUNTIFS($O$5:$O$1517,O20,$B$5:$B$1517,"&lt;"&amp;B20)+COUNTIFS($O$5:$O$1517,O20,$B$5:$B$1517,B20,$C$5:$C$1517,"&lt;"&amp;C20),"")</f>
        <v>60</v>
      </c>
      <c r="U20" s="8" t="n">
        <f aca="false">IF($K20=1,COUNTIFS($L$5:$L$1517,"&gt;="&amp;L20,$K$5:$K$1517,1)/COUNTIF($L$5:$L$1517,"&gt;="&amp;L20),0)</f>
        <v>0</v>
      </c>
      <c r="V20" s="8" t="n">
        <f aca="false">IF($K20=1,COUNTIFS($M$5:$M$1517,"&gt;="&amp;M20,$K$5:$K$1517,1)/COUNTIF($M$5:$M$1517,"&gt;="&amp;M20),0)</f>
        <v>0</v>
      </c>
      <c r="W20" s="8" t="n">
        <f aca="false">IF($K20=1,COUNTIFS($N$5:$N$1517,"&gt;="&amp;N20,$K$5:$K$1517,1)/COUNTIF($N$5:$N$1517,"&gt;="&amp;N20),0)</f>
        <v>0</v>
      </c>
      <c r="X20" s="8" t="n">
        <f aca="false">IF($K20=1,COUNTIFS($O$5:$O$1517,"&gt;="&amp;O20,$K$5:$K$1517,1)/COUNTIF($O$5:$O$1517,"&gt;="&amp;O20),0)</f>
        <v>0</v>
      </c>
      <c r="Y20" s="8" t="n">
        <f aca="false">IF($K20=1,COUNTIFS($P$5:$P$1517,"&gt;="&amp;P20,$K$5:$K$1517,1)/COUNTIF($P$5:$P$1517,"&gt;="&amp;P20),0)</f>
        <v>0</v>
      </c>
      <c r="Z20" s="8" t="n">
        <f aca="false">(L20-$K20)^2</f>
        <v>0.272363953225</v>
      </c>
      <c r="AA20" s="8" t="n">
        <f aca="false">(M20-$K20)^2</f>
        <v>0.008475595969</v>
      </c>
      <c r="AB20" s="8" t="n">
        <f aca="false">(N20-$K20)^2</f>
        <v>0.007234523136</v>
      </c>
      <c r="AC20" s="8" t="n">
        <f aca="false">(O20-$K20)^2</f>
        <v>0.011274829489</v>
      </c>
      <c r="AD20" s="8" t="n">
        <f aca="false">(P20-$K20)^2</f>
        <v>0.008012398144</v>
      </c>
      <c r="AE20" s="8" t="n">
        <f aca="false">MIN(INT(ROUND(N20*1000000,0)/100000),9)</f>
        <v>0</v>
      </c>
      <c r="AF20" s="8" t="n">
        <f aca="false">MIN(INT(ROUND(P20*1000000,0)/100000),9)</f>
        <v>0</v>
      </c>
    </row>
    <row r="21" customFormat="false" ht="15" hidden="false" customHeight="false" outlineLevel="0" collapsed="false">
      <c r="A21" s="4" t="n">
        <v>17</v>
      </c>
      <c r="B21" s="4" t="n">
        <v>86</v>
      </c>
      <c r="C21" s="4" t="n">
        <v>0</v>
      </c>
      <c r="D21" s="11" t="n">
        <v>46054</v>
      </c>
      <c r="E21" s="4" t="s">
        <v>201</v>
      </c>
      <c r="F21" s="4" t="s">
        <v>206</v>
      </c>
      <c r="G21" s="4" t="n">
        <v>14</v>
      </c>
      <c r="H21" s="4" t="n">
        <v>5</v>
      </c>
      <c r="I21" s="4" t="n">
        <v>0</v>
      </c>
      <c r="J21" s="4"/>
      <c r="K21" s="4" t="n">
        <v>0</v>
      </c>
      <c r="L21" s="12" t="n">
        <v>0.486618</v>
      </c>
      <c r="M21" s="12" t="n">
        <v>0.092063</v>
      </c>
      <c r="N21" s="12" t="n">
        <v>0.025788</v>
      </c>
      <c r="O21" s="12" t="n">
        <v>0.106183</v>
      </c>
      <c r="P21" s="12" t="n">
        <v>0.025692</v>
      </c>
      <c r="Q21" s="0" t="str">
        <f aca="false">IF(L21&gt;=Models!$G$5,1+COUNTIF($L$5:$L$1517,"&gt;"&amp;L21)+COUNTIFS($L$5:$L$1517,L21,$B$5:$B$1517,"&lt;"&amp;B21)+COUNTIFS($L$5:$L$1517,L21,$B$5:$B$1517,B21,$C$5:$C$1517,"&lt;"&amp;C21),"")</f>
        <v/>
      </c>
      <c r="R21" s="0" t="str">
        <f aca="false">IF(M21&gt;=Models!$G$6,1+COUNTIF($M$5:$M$1517,"&gt;"&amp;M21)+COUNTIFS($M$5:$M$1517,M21,$B$5:$B$1517,"&lt;"&amp;B21)+COUNTIFS($M$5:$M$1517,M21,$B$5:$B$1517,B21,$C$5:$C$1517,"&lt;"&amp;C21),"")</f>
        <v/>
      </c>
      <c r="S21" s="0" t="str">
        <f aca="false">IF(N21&gt;=Models!$G$7,1+COUNTIF($N$5:$N$1517,"&gt;"&amp;N21)+COUNTIFS($N$5:$N$1517,N21,$B$5:$B$1517,"&lt;"&amp;B21)+COUNTIFS($N$5:$N$1517,N21,$B$5:$B$1517,B21,$C$5:$C$1517,"&lt;"&amp;C21),"")</f>
        <v/>
      </c>
      <c r="T21" s="8" t="n">
        <f aca="false">IF(O21&gt;=Models!$G$8,1+COUNTIF($O$5:$O$1517,"&gt;"&amp;O21)+COUNTIFS($O$5:$O$1517,O21,$B$5:$B$1517,"&lt;"&amp;B21)+COUNTIFS($O$5:$O$1517,O21,$B$5:$B$1517,B21,$C$5:$C$1517,"&lt;"&amp;C21),"")</f>
        <v>64</v>
      </c>
      <c r="U21" s="8" t="n">
        <f aca="false">IF($K21=1,COUNTIFS($L$5:$L$1517,"&gt;="&amp;L21,$K$5:$K$1517,1)/COUNTIF($L$5:$L$1517,"&gt;="&amp;L21),0)</f>
        <v>0</v>
      </c>
      <c r="V21" s="8" t="n">
        <f aca="false">IF($K21=1,COUNTIFS($M$5:$M$1517,"&gt;="&amp;M21,$K$5:$K$1517,1)/COUNTIF($M$5:$M$1517,"&gt;="&amp;M21),0)</f>
        <v>0</v>
      </c>
      <c r="W21" s="8" t="n">
        <f aca="false">IF($K21=1,COUNTIFS($N$5:$N$1517,"&gt;="&amp;N21,$K$5:$K$1517,1)/COUNTIF($N$5:$N$1517,"&gt;="&amp;N21),0)</f>
        <v>0</v>
      </c>
      <c r="X21" s="8" t="n">
        <f aca="false">IF($K21=1,COUNTIFS($O$5:$O$1517,"&gt;="&amp;O21,$K$5:$K$1517,1)/COUNTIF($O$5:$O$1517,"&gt;="&amp;O21),0)</f>
        <v>0</v>
      </c>
      <c r="Y21" s="8" t="n">
        <f aca="false">IF($K21=1,COUNTIFS($P$5:$P$1517,"&gt;="&amp;P21,$K$5:$K$1517,1)/COUNTIF($P$5:$P$1517,"&gt;="&amp;P21),0)</f>
        <v>0</v>
      </c>
      <c r="Z21" s="8" t="n">
        <f aca="false">(L21-$K21)^2</f>
        <v>0.236797077924</v>
      </c>
      <c r="AA21" s="8" t="n">
        <f aca="false">(M21-$K21)^2</f>
        <v>0.008475595969</v>
      </c>
      <c r="AB21" s="8" t="n">
        <f aca="false">(N21-$K21)^2</f>
        <v>0.000665020944</v>
      </c>
      <c r="AC21" s="8" t="n">
        <f aca="false">(O21-$K21)^2</f>
        <v>0.011274829489</v>
      </c>
      <c r="AD21" s="8" t="n">
        <f aca="false">(P21-$K21)^2</f>
        <v>0.000660078864</v>
      </c>
      <c r="AE21" s="8" t="n">
        <f aca="false">MIN(INT(ROUND(N21*1000000,0)/100000),9)</f>
        <v>0</v>
      </c>
      <c r="AF21" s="8" t="n">
        <f aca="false">MIN(INT(ROUND(P21*1000000,0)/100000),9)</f>
        <v>0</v>
      </c>
    </row>
    <row r="22" customFormat="false" ht="15" hidden="false" customHeight="false" outlineLevel="0" collapsed="false">
      <c r="A22" s="4" t="n">
        <v>18</v>
      </c>
      <c r="B22" s="4" t="n">
        <v>87</v>
      </c>
      <c r="C22" s="4" t="n">
        <v>0</v>
      </c>
      <c r="D22" s="11" t="n">
        <v>46054</v>
      </c>
      <c r="E22" s="4" t="s">
        <v>202</v>
      </c>
      <c r="F22" s="4" t="s">
        <v>206</v>
      </c>
      <c r="G22" s="4" t="n">
        <v>5</v>
      </c>
      <c r="H22" s="4" t="n">
        <v>5</v>
      </c>
      <c r="I22" s="4" t="n">
        <v>0</v>
      </c>
      <c r="J22" s="4"/>
      <c r="K22" s="4" t="n">
        <v>0</v>
      </c>
      <c r="L22" s="12" t="n">
        <v>0.233114</v>
      </c>
      <c r="M22" s="12" t="n">
        <v>0.092063</v>
      </c>
      <c r="N22" s="12" t="n">
        <v>0.056157</v>
      </c>
      <c r="O22" s="12" t="n">
        <v>0.106183</v>
      </c>
      <c r="P22" s="12" t="n">
        <v>0.058026</v>
      </c>
      <c r="Q22" s="0" t="str">
        <f aca="false">IF(L22&gt;=Models!$G$5,1+COUNTIF($L$5:$L$1517,"&gt;"&amp;L22)+COUNTIFS($L$5:$L$1517,L22,$B$5:$B$1517,"&lt;"&amp;B22)+COUNTIFS($L$5:$L$1517,L22,$B$5:$B$1517,B22,$C$5:$C$1517,"&lt;"&amp;C22),"")</f>
        <v/>
      </c>
      <c r="R22" s="0" t="str">
        <f aca="false">IF(M22&gt;=Models!$G$6,1+COUNTIF($M$5:$M$1517,"&gt;"&amp;M22)+COUNTIFS($M$5:$M$1517,M22,$B$5:$B$1517,"&lt;"&amp;B22)+COUNTIFS($M$5:$M$1517,M22,$B$5:$B$1517,B22,$C$5:$C$1517,"&lt;"&amp;C22),"")</f>
        <v/>
      </c>
      <c r="S22" s="0" t="str">
        <f aca="false">IF(N22&gt;=Models!$G$7,1+COUNTIF($N$5:$N$1517,"&gt;"&amp;N22)+COUNTIFS($N$5:$N$1517,N22,$B$5:$B$1517,"&lt;"&amp;B22)+COUNTIFS($N$5:$N$1517,N22,$B$5:$B$1517,B22,$C$5:$C$1517,"&lt;"&amp;C22),"")</f>
        <v/>
      </c>
      <c r="T22" s="8" t="n">
        <f aca="false">IF(O22&gt;=Models!$G$8,1+COUNTIF($O$5:$O$1517,"&gt;"&amp;O22)+COUNTIFS($O$5:$O$1517,O22,$B$5:$B$1517,"&lt;"&amp;B22)+COUNTIFS($O$5:$O$1517,O22,$B$5:$B$1517,B22,$C$5:$C$1517,"&lt;"&amp;C22),"")</f>
        <v>68</v>
      </c>
      <c r="U22" s="8" t="n">
        <f aca="false">IF($K22=1,COUNTIFS($L$5:$L$1517,"&gt;="&amp;L22,$K$5:$K$1517,1)/COUNTIF($L$5:$L$1517,"&gt;="&amp;L22),0)</f>
        <v>0</v>
      </c>
      <c r="V22" s="8" t="n">
        <f aca="false">IF($K22=1,COUNTIFS($M$5:$M$1517,"&gt;="&amp;M22,$K$5:$K$1517,1)/COUNTIF($M$5:$M$1517,"&gt;="&amp;M22),0)</f>
        <v>0</v>
      </c>
      <c r="W22" s="8" t="n">
        <f aca="false">IF($K22=1,COUNTIFS($N$5:$N$1517,"&gt;="&amp;N22,$K$5:$K$1517,1)/COUNTIF($N$5:$N$1517,"&gt;="&amp;N22),0)</f>
        <v>0</v>
      </c>
      <c r="X22" s="8" t="n">
        <f aca="false">IF($K22=1,COUNTIFS($O$5:$O$1517,"&gt;="&amp;O22,$K$5:$K$1517,1)/COUNTIF($O$5:$O$1517,"&gt;="&amp;O22),0)</f>
        <v>0</v>
      </c>
      <c r="Y22" s="8" t="n">
        <f aca="false">IF($K22=1,COUNTIFS($P$5:$P$1517,"&gt;="&amp;P22,$K$5:$K$1517,1)/COUNTIF($P$5:$P$1517,"&gt;="&amp;P22),0)</f>
        <v>0</v>
      </c>
      <c r="Z22" s="8" t="n">
        <f aca="false">(L22-$K22)^2</f>
        <v>0.054342136996</v>
      </c>
      <c r="AA22" s="8" t="n">
        <f aca="false">(M22-$K22)^2</f>
        <v>0.008475595969</v>
      </c>
      <c r="AB22" s="8" t="n">
        <f aca="false">(N22-$K22)^2</f>
        <v>0.003153608649</v>
      </c>
      <c r="AC22" s="8" t="n">
        <f aca="false">(O22-$K22)^2</f>
        <v>0.011274829489</v>
      </c>
      <c r="AD22" s="8" t="n">
        <f aca="false">(P22-$K22)^2</f>
        <v>0.003367016676</v>
      </c>
      <c r="AE22" s="8" t="n">
        <f aca="false">MIN(INT(ROUND(N22*1000000,0)/100000),9)</f>
        <v>0</v>
      </c>
      <c r="AF22" s="8" t="n">
        <f aca="false">MIN(INT(ROUND(P22*1000000,0)/100000),9)</f>
        <v>0</v>
      </c>
    </row>
    <row r="23" customFormat="false" ht="15" hidden="false" customHeight="false" outlineLevel="0" collapsed="false">
      <c r="A23" s="4" t="n">
        <v>19</v>
      </c>
      <c r="B23" s="4" t="n">
        <v>90</v>
      </c>
      <c r="C23" s="4" t="n">
        <v>0</v>
      </c>
      <c r="D23" s="11" t="n">
        <v>46054</v>
      </c>
      <c r="E23" s="4" t="s">
        <v>204</v>
      </c>
      <c r="F23" s="4" t="s">
        <v>206</v>
      </c>
      <c r="G23" s="4" t="n">
        <v>4</v>
      </c>
      <c r="H23" s="4" t="n">
        <v>0</v>
      </c>
      <c r="I23" s="4" t="n">
        <v>0</v>
      </c>
      <c r="J23" s="4" t="n">
        <v>69</v>
      </c>
      <c r="K23" s="4" t="n">
        <v>1</v>
      </c>
      <c r="L23" s="12" t="n">
        <v>0.857076</v>
      </c>
      <c r="M23" s="12" t="n">
        <v>0.092063</v>
      </c>
      <c r="N23" s="12" t="n">
        <v>0.117116</v>
      </c>
      <c r="O23" s="12" t="n">
        <v>0.106183</v>
      </c>
      <c r="P23" s="12" t="n">
        <v>0.124862</v>
      </c>
      <c r="Q23" s="0" t="str">
        <f aca="false">IF(L23&gt;=Models!$G$5,1+COUNTIF($L$5:$L$1517,"&gt;"&amp;L23)+COUNTIFS($L$5:$L$1517,L23,$B$5:$B$1517,"&lt;"&amp;B23)+COUNTIFS($L$5:$L$1517,L23,$B$5:$B$1517,B23,$C$5:$C$1517,"&lt;"&amp;C23),"")</f>
        <v/>
      </c>
      <c r="R23" s="0" t="str">
        <f aca="false">IF(M23&gt;=Models!$G$6,1+COUNTIF($M$5:$M$1517,"&gt;"&amp;M23)+COUNTIFS($M$5:$M$1517,M23,$B$5:$B$1517,"&lt;"&amp;B23)+COUNTIFS($M$5:$M$1517,M23,$B$5:$B$1517,B23,$C$5:$C$1517,"&lt;"&amp;C23),"")</f>
        <v/>
      </c>
      <c r="S23" s="0" t="str">
        <f aca="false">IF(N23&gt;=Models!$G$7,1+COUNTIF($N$5:$N$1517,"&gt;"&amp;N23)+COUNTIFS($N$5:$N$1517,N23,$B$5:$B$1517,"&lt;"&amp;B23)+COUNTIFS($N$5:$N$1517,N23,$B$5:$B$1517,B23,$C$5:$C$1517,"&lt;"&amp;C23),"")</f>
        <v/>
      </c>
      <c r="T23" s="8" t="n">
        <f aca="false">IF(O23&gt;=Models!$G$8,1+COUNTIF($O$5:$O$1517,"&gt;"&amp;O23)+COUNTIFS($O$5:$O$1517,O23,$B$5:$B$1517,"&lt;"&amp;B23)+COUNTIFS($O$5:$O$1517,O23,$B$5:$B$1517,B23,$C$5:$C$1517,"&lt;"&amp;C23),"")</f>
        <v>72</v>
      </c>
      <c r="U23" s="8" t="n">
        <f aca="false">IF($K23=1,COUNTIFS($L$5:$L$1517,"&gt;="&amp;L23,$K$5:$K$1517,1)/COUNTIF($L$5:$L$1517,"&gt;="&amp;L23),0)</f>
        <v>0.119047619047619</v>
      </c>
      <c r="V23" s="8" t="n">
        <f aca="false">IF($K23=1,COUNTIFS($M$5:$M$1517,"&gt;="&amp;M23,$K$5:$K$1517,1)/COUNTIF($M$5:$M$1517,"&gt;="&amp;M23),0)</f>
        <v>0.12491738268341</v>
      </c>
      <c r="W23" s="8" t="n">
        <f aca="false">IF($K23=1,COUNTIFS($N$5:$N$1517,"&gt;="&amp;N23,$K$5:$K$1517,1)/COUNTIF($N$5:$N$1517,"&gt;="&amp;N23),0)</f>
        <v>0.214</v>
      </c>
      <c r="X23" s="8" t="n">
        <f aca="false">IF($K23=1,COUNTIFS($O$5:$O$1517,"&gt;="&amp;O23,$K$5:$K$1517,1)/COUNTIF($O$5:$O$1517,"&gt;="&amp;O23),0)</f>
        <v>0.12491738268341</v>
      </c>
      <c r="Y23" s="8" t="n">
        <f aca="false">IF($K23=1,COUNTIFS($P$5:$P$1517,"&gt;="&amp;P23,$K$5:$K$1517,1)/COUNTIF($P$5:$P$1517,"&gt;="&amp;P23),0)</f>
        <v>0.214</v>
      </c>
      <c r="Z23" s="8" t="n">
        <f aca="false">(L23-$K23)^2</f>
        <v>0.020427269776</v>
      </c>
      <c r="AA23" s="8" t="n">
        <f aca="false">(M23-$K23)^2</f>
        <v>0.824349595969</v>
      </c>
      <c r="AB23" s="8" t="n">
        <f aca="false">(N23-$K23)^2</f>
        <v>0.779484157456</v>
      </c>
      <c r="AC23" s="8" t="n">
        <f aca="false">(O23-$K23)^2</f>
        <v>0.798908829489</v>
      </c>
      <c r="AD23" s="8" t="n">
        <f aca="false">(P23-$K23)^2</f>
        <v>0.765866519044</v>
      </c>
      <c r="AE23" s="8" t="n">
        <f aca="false">MIN(INT(ROUND(N23*1000000,0)/100000),9)</f>
        <v>1</v>
      </c>
      <c r="AF23" s="8" t="n">
        <f aca="false">MIN(INT(ROUND(P23*1000000,0)/100000),9)</f>
        <v>1</v>
      </c>
    </row>
    <row r="24" customFormat="false" ht="15" hidden="false" customHeight="false" outlineLevel="0" collapsed="false">
      <c r="A24" s="4" t="n">
        <v>20</v>
      </c>
      <c r="B24" s="4" t="n">
        <v>95</v>
      </c>
      <c r="C24" s="4" t="n">
        <v>0</v>
      </c>
      <c r="D24" s="11" t="n">
        <v>46054</v>
      </c>
      <c r="E24" s="4" t="s">
        <v>203</v>
      </c>
      <c r="F24" s="4" t="s">
        <v>209</v>
      </c>
      <c r="G24" s="4" t="n">
        <v>5</v>
      </c>
      <c r="H24" s="4" t="n">
        <v>0</v>
      </c>
      <c r="I24" s="4" t="n">
        <v>0</v>
      </c>
      <c r="J24" s="4"/>
      <c r="K24" s="4" t="n">
        <v>0</v>
      </c>
      <c r="L24" s="12" t="n">
        <v>0.488044</v>
      </c>
      <c r="M24" s="12" t="n">
        <v>0.092063</v>
      </c>
      <c r="N24" s="12" t="n">
        <v>0.054025</v>
      </c>
      <c r="O24" s="12" t="n">
        <v>0.106183</v>
      </c>
      <c r="P24" s="12" t="n">
        <v>0.055724</v>
      </c>
      <c r="Q24" s="0" t="str">
        <f aca="false">IF(L24&gt;=Models!$G$5,1+COUNTIF($L$5:$L$1517,"&gt;"&amp;L24)+COUNTIFS($L$5:$L$1517,L24,$B$5:$B$1517,"&lt;"&amp;B24)+COUNTIFS($L$5:$L$1517,L24,$B$5:$B$1517,B24,$C$5:$C$1517,"&lt;"&amp;C24),"")</f>
        <v/>
      </c>
      <c r="R24" s="0" t="str">
        <f aca="false">IF(M24&gt;=Models!$G$6,1+COUNTIF($M$5:$M$1517,"&gt;"&amp;M24)+COUNTIFS($M$5:$M$1517,M24,$B$5:$B$1517,"&lt;"&amp;B24)+COUNTIFS($M$5:$M$1517,M24,$B$5:$B$1517,B24,$C$5:$C$1517,"&lt;"&amp;C24),"")</f>
        <v/>
      </c>
      <c r="S24" s="0" t="str">
        <f aca="false">IF(N24&gt;=Models!$G$7,1+COUNTIF($N$5:$N$1517,"&gt;"&amp;N24)+COUNTIFS($N$5:$N$1517,N24,$B$5:$B$1517,"&lt;"&amp;B24)+COUNTIFS($N$5:$N$1517,N24,$B$5:$B$1517,B24,$C$5:$C$1517,"&lt;"&amp;C24),"")</f>
        <v/>
      </c>
      <c r="T24" s="8" t="n">
        <f aca="false">IF(O24&gt;=Models!$G$8,1+COUNTIF($O$5:$O$1517,"&gt;"&amp;O24)+COUNTIFS($O$5:$O$1517,O24,$B$5:$B$1517,"&lt;"&amp;B24)+COUNTIFS($O$5:$O$1517,O24,$B$5:$B$1517,B24,$C$5:$C$1517,"&lt;"&amp;C24),"")</f>
        <v>75</v>
      </c>
      <c r="U24" s="8" t="n">
        <f aca="false">IF($K24=1,COUNTIFS($L$5:$L$1517,"&gt;="&amp;L24,$K$5:$K$1517,1)/COUNTIF($L$5:$L$1517,"&gt;="&amp;L24),0)</f>
        <v>0</v>
      </c>
      <c r="V24" s="8" t="n">
        <f aca="false">IF($K24=1,COUNTIFS($M$5:$M$1517,"&gt;="&amp;M24,$K$5:$K$1517,1)/COUNTIF($M$5:$M$1517,"&gt;="&amp;M24),0)</f>
        <v>0</v>
      </c>
      <c r="W24" s="8" t="n">
        <f aca="false">IF($K24=1,COUNTIFS($N$5:$N$1517,"&gt;="&amp;N24,$K$5:$K$1517,1)/COUNTIF($N$5:$N$1517,"&gt;="&amp;N24),0)</f>
        <v>0</v>
      </c>
      <c r="X24" s="8" t="n">
        <f aca="false">IF($K24=1,COUNTIFS($O$5:$O$1517,"&gt;="&amp;O24,$K$5:$K$1517,1)/COUNTIF($O$5:$O$1517,"&gt;="&amp;O24),0)</f>
        <v>0</v>
      </c>
      <c r="Y24" s="8" t="n">
        <f aca="false">IF($K24=1,COUNTIFS($P$5:$P$1517,"&gt;="&amp;P24,$K$5:$K$1517,1)/COUNTIF($P$5:$P$1517,"&gt;="&amp;P24),0)</f>
        <v>0</v>
      </c>
      <c r="Z24" s="8" t="n">
        <f aca="false">(L24-$K24)^2</f>
        <v>0.238186945936</v>
      </c>
      <c r="AA24" s="8" t="n">
        <f aca="false">(M24-$K24)^2</f>
        <v>0.008475595969</v>
      </c>
      <c r="AB24" s="8" t="n">
        <f aca="false">(N24-$K24)^2</f>
        <v>0.002918700625</v>
      </c>
      <c r="AC24" s="8" t="n">
        <f aca="false">(O24-$K24)^2</f>
        <v>0.011274829489</v>
      </c>
      <c r="AD24" s="8" t="n">
        <f aca="false">(P24-$K24)^2</f>
        <v>0.003105164176</v>
      </c>
      <c r="AE24" s="8" t="n">
        <f aca="false">MIN(INT(ROUND(N24*1000000,0)/100000),9)</f>
        <v>0</v>
      </c>
      <c r="AF24" s="8" t="n">
        <f aca="false">MIN(INT(ROUND(P24*1000000,0)/100000),9)</f>
        <v>0</v>
      </c>
    </row>
    <row r="25" customFormat="false" ht="15" hidden="false" customHeight="false" outlineLevel="0" collapsed="false">
      <c r="A25" s="4" t="n">
        <v>21</v>
      </c>
      <c r="B25" s="4" t="n">
        <v>98</v>
      </c>
      <c r="C25" s="4" t="n">
        <v>0</v>
      </c>
      <c r="D25" s="11" t="n">
        <v>46054</v>
      </c>
      <c r="E25" s="4" t="s">
        <v>202</v>
      </c>
      <c r="F25" s="4" t="s">
        <v>206</v>
      </c>
      <c r="G25" s="4" t="n">
        <v>10</v>
      </c>
      <c r="H25" s="4" t="n">
        <v>3</v>
      </c>
      <c r="I25" s="4" t="n">
        <v>0</v>
      </c>
      <c r="J25" s="4" t="n">
        <v>1479</v>
      </c>
      <c r="K25" s="4" t="n">
        <v>0</v>
      </c>
      <c r="L25" s="12" t="n">
        <v>0.545561</v>
      </c>
      <c r="M25" s="12" t="n">
        <v>0.092063</v>
      </c>
      <c r="N25" s="12" t="n">
        <v>0.068035</v>
      </c>
      <c r="O25" s="12" t="n">
        <v>0.106183</v>
      </c>
      <c r="P25" s="12" t="n">
        <v>0.070908</v>
      </c>
      <c r="Q25" s="0" t="str">
        <f aca="false">IF(L25&gt;=Models!$G$5,1+COUNTIF($L$5:$L$1517,"&gt;"&amp;L25)+COUNTIFS($L$5:$L$1517,L25,$B$5:$B$1517,"&lt;"&amp;B25)+COUNTIFS($L$5:$L$1517,L25,$B$5:$B$1517,B25,$C$5:$C$1517,"&lt;"&amp;C25),"")</f>
        <v/>
      </c>
      <c r="R25" s="0" t="str">
        <f aca="false">IF(M25&gt;=Models!$G$6,1+COUNTIF($M$5:$M$1517,"&gt;"&amp;M25)+COUNTIFS($M$5:$M$1517,M25,$B$5:$B$1517,"&lt;"&amp;B25)+COUNTIFS($M$5:$M$1517,M25,$B$5:$B$1517,B25,$C$5:$C$1517,"&lt;"&amp;C25),"")</f>
        <v/>
      </c>
      <c r="S25" s="0" t="str">
        <f aca="false">IF(N25&gt;=Models!$G$7,1+COUNTIF($N$5:$N$1517,"&gt;"&amp;N25)+COUNTIFS($N$5:$N$1517,N25,$B$5:$B$1517,"&lt;"&amp;B25)+COUNTIFS($N$5:$N$1517,N25,$B$5:$B$1517,B25,$C$5:$C$1517,"&lt;"&amp;C25),"")</f>
        <v/>
      </c>
      <c r="T25" s="8" t="n">
        <f aca="false">IF(O25&gt;=Models!$G$8,1+COUNTIF($O$5:$O$1517,"&gt;"&amp;O25)+COUNTIFS($O$5:$O$1517,O25,$B$5:$B$1517,"&lt;"&amp;B25)+COUNTIFS($O$5:$O$1517,O25,$B$5:$B$1517,B25,$C$5:$C$1517,"&lt;"&amp;C25),"")</f>
        <v>79</v>
      </c>
      <c r="U25" s="8" t="n">
        <f aca="false">IF($K25=1,COUNTIFS($L$5:$L$1517,"&gt;="&amp;L25,$K$5:$K$1517,1)/COUNTIF($L$5:$L$1517,"&gt;="&amp;L25),0)</f>
        <v>0</v>
      </c>
      <c r="V25" s="8" t="n">
        <f aca="false">IF($K25=1,COUNTIFS($M$5:$M$1517,"&gt;="&amp;M25,$K$5:$K$1517,1)/COUNTIF($M$5:$M$1517,"&gt;="&amp;M25),0)</f>
        <v>0</v>
      </c>
      <c r="W25" s="8" t="n">
        <f aca="false">IF($K25=1,COUNTIFS($N$5:$N$1517,"&gt;="&amp;N25,$K$5:$K$1517,1)/COUNTIF($N$5:$N$1517,"&gt;="&amp;N25),0)</f>
        <v>0</v>
      </c>
      <c r="X25" s="8" t="n">
        <f aca="false">IF($K25=1,COUNTIFS($O$5:$O$1517,"&gt;="&amp;O25,$K$5:$K$1517,1)/COUNTIF($O$5:$O$1517,"&gt;="&amp;O25),0)</f>
        <v>0</v>
      </c>
      <c r="Y25" s="8" t="n">
        <f aca="false">IF($K25=1,COUNTIFS($P$5:$P$1517,"&gt;="&amp;P25,$K$5:$K$1517,1)/COUNTIF($P$5:$P$1517,"&gt;="&amp;P25),0)</f>
        <v>0</v>
      </c>
      <c r="Z25" s="8" t="n">
        <f aca="false">(L25-$K25)^2</f>
        <v>0.297636804721</v>
      </c>
      <c r="AA25" s="8" t="n">
        <f aca="false">(M25-$K25)^2</f>
        <v>0.008475595969</v>
      </c>
      <c r="AB25" s="8" t="n">
        <f aca="false">(N25-$K25)^2</f>
        <v>0.004628761225</v>
      </c>
      <c r="AC25" s="8" t="n">
        <f aca="false">(O25-$K25)^2</f>
        <v>0.011274829489</v>
      </c>
      <c r="AD25" s="8" t="n">
        <f aca="false">(P25-$K25)^2</f>
        <v>0.005027944464</v>
      </c>
      <c r="AE25" s="8" t="n">
        <f aca="false">MIN(INT(ROUND(N25*1000000,0)/100000),9)</f>
        <v>0</v>
      </c>
      <c r="AF25" s="8" t="n">
        <f aca="false">MIN(INT(ROUND(P25*1000000,0)/100000),9)</f>
        <v>0</v>
      </c>
    </row>
    <row r="26" customFormat="false" ht="15" hidden="false" customHeight="false" outlineLevel="0" collapsed="false">
      <c r="A26" s="4" t="n">
        <v>22</v>
      </c>
      <c r="B26" s="4" t="n">
        <v>99</v>
      </c>
      <c r="C26" s="4" t="n">
        <v>0</v>
      </c>
      <c r="D26" s="11" t="n">
        <v>46054</v>
      </c>
      <c r="E26" s="4" t="s">
        <v>203</v>
      </c>
      <c r="F26" s="4" t="s">
        <v>208</v>
      </c>
      <c r="G26" s="4" t="n">
        <v>4</v>
      </c>
      <c r="H26" s="4" t="n">
        <v>2</v>
      </c>
      <c r="I26" s="4" t="n">
        <v>0</v>
      </c>
      <c r="J26" s="4"/>
      <c r="K26" s="4" t="n">
        <v>0</v>
      </c>
      <c r="L26" s="12" t="n">
        <v>0.214789</v>
      </c>
      <c r="M26" s="12" t="n">
        <v>0.092063</v>
      </c>
      <c r="N26" s="12" t="n">
        <v>0.059727</v>
      </c>
      <c r="O26" s="12" t="n">
        <v>0.106183</v>
      </c>
      <c r="P26" s="12" t="n">
        <v>0.061887</v>
      </c>
      <c r="Q26" s="0" t="str">
        <f aca="false">IF(L26&gt;=Models!$G$5,1+COUNTIF($L$5:$L$1517,"&gt;"&amp;L26)+COUNTIFS($L$5:$L$1517,L26,$B$5:$B$1517,"&lt;"&amp;B26)+COUNTIFS($L$5:$L$1517,L26,$B$5:$B$1517,B26,$C$5:$C$1517,"&lt;"&amp;C26),"")</f>
        <v/>
      </c>
      <c r="R26" s="0" t="str">
        <f aca="false">IF(M26&gt;=Models!$G$6,1+COUNTIF($M$5:$M$1517,"&gt;"&amp;M26)+COUNTIFS($M$5:$M$1517,M26,$B$5:$B$1517,"&lt;"&amp;B26)+COUNTIFS($M$5:$M$1517,M26,$B$5:$B$1517,B26,$C$5:$C$1517,"&lt;"&amp;C26),"")</f>
        <v/>
      </c>
      <c r="S26" s="0" t="str">
        <f aca="false">IF(N26&gt;=Models!$G$7,1+COUNTIF($N$5:$N$1517,"&gt;"&amp;N26)+COUNTIFS($N$5:$N$1517,N26,$B$5:$B$1517,"&lt;"&amp;B26)+COUNTIFS($N$5:$N$1517,N26,$B$5:$B$1517,B26,$C$5:$C$1517,"&lt;"&amp;C26),"")</f>
        <v/>
      </c>
      <c r="T26" s="8" t="n">
        <f aca="false">IF(O26&gt;=Models!$G$8,1+COUNTIF($O$5:$O$1517,"&gt;"&amp;O26)+COUNTIFS($O$5:$O$1517,O26,$B$5:$B$1517,"&lt;"&amp;B26)+COUNTIFS($O$5:$O$1517,O26,$B$5:$B$1517,B26,$C$5:$C$1517,"&lt;"&amp;C26),"")</f>
        <v>83</v>
      </c>
      <c r="U26" s="8" t="n">
        <f aca="false">IF($K26=1,COUNTIFS($L$5:$L$1517,"&gt;="&amp;L26,$K$5:$K$1517,1)/COUNTIF($L$5:$L$1517,"&gt;="&amp;L26),0)</f>
        <v>0</v>
      </c>
      <c r="V26" s="8" t="n">
        <f aca="false">IF($K26=1,COUNTIFS($M$5:$M$1517,"&gt;="&amp;M26,$K$5:$K$1517,1)/COUNTIF($M$5:$M$1517,"&gt;="&amp;M26),0)</f>
        <v>0</v>
      </c>
      <c r="W26" s="8" t="n">
        <f aca="false">IF($K26=1,COUNTIFS($N$5:$N$1517,"&gt;="&amp;N26,$K$5:$K$1517,1)/COUNTIF($N$5:$N$1517,"&gt;="&amp;N26),0)</f>
        <v>0</v>
      </c>
      <c r="X26" s="8" t="n">
        <f aca="false">IF($K26=1,COUNTIFS($O$5:$O$1517,"&gt;="&amp;O26,$K$5:$K$1517,1)/COUNTIF($O$5:$O$1517,"&gt;="&amp;O26),0)</f>
        <v>0</v>
      </c>
      <c r="Y26" s="8" t="n">
        <f aca="false">IF($K26=1,COUNTIFS($P$5:$P$1517,"&gt;="&amp;P26,$K$5:$K$1517,1)/COUNTIF($P$5:$P$1517,"&gt;="&amp;P26),0)</f>
        <v>0</v>
      </c>
      <c r="Z26" s="8" t="n">
        <f aca="false">(L26-$K26)^2</f>
        <v>0.046134314521</v>
      </c>
      <c r="AA26" s="8" t="n">
        <f aca="false">(M26-$K26)^2</f>
        <v>0.008475595969</v>
      </c>
      <c r="AB26" s="8" t="n">
        <f aca="false">(N26-$K26)^2</f>
        <v>0.003567314529</v>
      </c>
      <c r="AC26" s="8" t="n">
        <f aca="false">(O26-$K26)^2</f>
        <v>0.011274829489</v>
      </c>
      <c r="AD26" s="8" t="n">
        <f aca="false">(P26-$K26)^2</f>
        <v>0.003830000769</v>
      </c>
      <c r="AE26" s="8" t="n">
        <f aca="false">MIN(INT(ROUND(N26*1000000,0)/100000),9)</f>
        <v>0</v>
      </c>
      <c r="AF26" s="8" t="n">
        <f aca="false">MIN(INT(ROUND(P26*1000000,0)/100000),9)</f>
        <v>0</v>
      </c>
    </row>
    <row r="27" customFormat="false" ht="15" hidden="false" customHeight="false" outlineLevel="0" collapsed="false">
      <c r="A27" s="4" t="n">
        <v>23</v>
      </c>
      <c r="B27" s="4" t="n">
        <v>113</v>
      </c>
      <c r="C27" s="4" t="n">
        <v>0</v>
      </c>
      <c r="D27" s="11" t="n">
        <v>46054</v>
      </c>
      <c r="E27" s="4" t="s">
        <v>202</v>
      </c>
      <c r="F27" s="4" t="s">
        <v>210</v>
      </c>
      <c r="G27" s="4" t="n">
        <v>9</v>
      </c>
      <c r="H27" s="4" t="n">
        <v>2</v>
      </c>
      <c r="I27" s="4" t="n">
        <v>0</v>
      </c>
      <c r="J27" s="4" t="n">
        <v>1371</v>
      </c>
      <c r="K27" s="4" t="n">
        <v>0</v>
      </c>
      <c r="L27" s="12" t="n">
        <v>0.131522</v>
      </c>
      <c r="M27" s="12" t="n">
        <v>0.092063</v>
      </c>
      <c r="N27" s="12" t="n">
        <v>0.073835</v>
      </c>
      <c r="O27" s="12" t="n">
        <v>0.106183</v>
      </c>
      <c r="P27" s="12" t="n">
        <v>0.077231</v>
      </c>
      <c r="Q27" s="0" t="str">
        <f aca="false">IF(L27&gt;=Models!$G$5,1+COUNTIF($L$5:$L$1517,"&gt;"&amp;L27)+COUNTIFS($L$5:$L$1517,L27,$B$5:$B$1517,"&lt;"&amp;B27)+COUNTIFS($L$5:$L$1517,L27,$B$5:$B$1517,B27,$C$5:$C$1517,"&lt;"&amp;C27),"")</f>
        <v/>
      </c>
      <c r="R27" s="0" t="str">
        <f aca="false">IF(M27&gt;=Models!$G$6,1+COUNTIF($M$5:$M$1517,"&gt;"&amp;M27)+COUNTIFS($M$5:$M$1517,M27,$B$5:$B$1517,"&lt;"&amp;B27)+COUNTIFS($M$5:$M$1517,M27,$B$5:$B$1517,B27,$C$5:$C$1517,"&lt;"&amp;C27),"")</f>
        <v/>
      </c>
      <c r="S27" s="0" t="str">
        <f aca="false">IF(N27&gt;=Models!$G$7,1+COUNTIF($N$5:$N$1517,"&gt;"&amp;N27)+COUNTIFS($N$5:$N$1517,N27,$B$5:$B$1517,"&lt;"&amp;B27)+COUNTIFS($N$5:$N$1517,N27,$B$5:$B$1517,B27,$C$5:$C$1517,"&lt;"&amp;C27),"")</f>
        <v/>
      </c>
      <c r="T27" s="8" t="n">
        <f aca="false">IF(O27&gt;=Models!$G$8,1+COUNTIF($O$5:$O$1517,"&gt;"&amp;O27)+COUNTIFS($O$5:$O$1517,O27,$B$5:$B$1517,"&lt;"&amp;B27)+COUNTIFS($O$5:$O$1517,O27,$B$5:$B$1517,B27,$C$5:$C$1517,"&lt;"&amp;C27),"")</f>
        <v>87</v>
      </c>
      <c r="U27" s="8" t="n">
        <f aca="false">IF($K27=1,COUNTIFS($L$5:$L$1517,"&gt;="&amp;L27,$K$5:$K$1517,1)/COUNTIF($L$5:$L$1517,"&gt;="&amp;L27),0)</f>
        <v>0</v>
      </c>
      <c r="V27" s="8" t="n">
        <f aca="false">IF($K27=1,COUNTIFS($M$5:$M$1517,"&gt;="&amp;M27,$K$5:$K$1517,1)/COUNTIF($M$5:$M$1517,"&gt;="&amp;M27),0)</f>
        <v>0</v>
      </c>
      <c r="W27" s="8" t="n">
        <f aca="false">IF($K27=1,COUNTIFS($N$5:$N$1517,"&gt;="&amp;N27,$K$5:$K$1517,1)/COUNTIF($N$5:$N$1517,"&gt;="&amp;N27),0)</f>
        <v>0</v>
      </c>
      <c r="X27" s="8" t="n">
        <f aca="false">IF($K27=1,COUNTIFS($O$5:$O$1517,"&gt;="&amp;O27,$K$5:$K$1517,1)/COUNTIF($O$5:$O$1517,"&gt;="&amp;O27),0)</f>
        <v>0</v>
      </c>
      <c r="Y27" s="8" t="n">
        <f aca="false">IF($K27=1,COUNTIFS($P$5:$P$1517,"&gt;="&amp;P27,$K$5:$K$1517,1)/COUNTIF($P$5:$P$1517,"&gt;="&amp;P27),0)</f>
        <v>0</v>
      </c>
      <c r="Z27" s="8" t="n">
        <f aca="false">(L27-$K27)^2</f>
        <v>0.017298036484</v>
      </c>
      <c r="AA27" s="8" t="n">
        <f aca="false">(M27-$K27)^2</f>
        <v>0.008475595969</v>
      </c>
      <c r="AB27" s="8" t="n">
        <f aca="false">(N27-$K27)^2</f>
        <v>0.005451607225</v>
      </c>
      <c r="AC27" s="8" t="n">
        <f aca="false">(O27-$K27)^2</f>
        <v>0.011274829489</v>
      </c>
      <c r="AD27" s="8" t="n">
        <f aca="false">(P27-$K27)^2</f>
        <v>0.005964627361</v>
      </c>
      <c r="AE27" s="8" t="n">
        <f aca="false">MIN(INT(ROUND(N27*1000000,0)/100000),9)</f>
        <v>0</v>
      </c>
      <c r="AF27" s="8" t="n">
        <f aca="false">MIN(INT(ROUND(P27*1000000,0)/100000),9)</f>
        <v>0</v>
      </c>
    </row>
    <row r="28" customFormat="false" ht="15" hidden="false" customHeight="false" outlineLevel="0" collapsed="false">
      <c r="A28" s="4" t="n">
        <v>24</v>
      </c>
      <c r="B28" s="4" t="n">
        <v>114</v>
      </c>
      <c r="C28" s="4" t="n">
        <v>0</v>
      </c>
      <c r="D28" s="11" t="n">
        <v>46054</v>
      </c>
      <c r="E28" s="4" t="s">
        <v>202</v>
      </c>
      <c r="F28" s="4" t="s">
        <v>206</v>
      </c>
      <c r="G28" s="4" t="n">
        <v>14</v>
      </c>
      <c r="H28" s="4" t="n">
        <v>2</v>
      </c>
      <c r="I28" s="4" t="n">
        <v>0</v>
      </c>
      <c r="J28" s="4"/>
      <c r="K28" s="4" t="n">
        <v>0</v>
      </c>
      <c r="L28" s="12" t="n">
        <v>0.555638</v>
      </c>
      <c r="M28" s="12" t="n">
        <v>0.092063</v>
      </c>
      <c r="N28" s="12" t="n">
        <v>0.025177</v>
      </c>
      <c r="O28" s="12" t="n">
        <v>0.106183</v>
      </c>
      <c r="P28" s="12" t="n">
        <v>0.025055</v>
      </c>
      <c r="Q28" s="0" t="str">
        <f aca="false">IF(L28&gt;=Models!$G$5,1+COUNTIF($L$5:$L$1517,"&gt;"&amp;L28)+COUNTIFS($L$5:$L$1517,L28,$B$5:$B$1517,"&lt;"&amp;B28)+COUNTIFS($L$5:$L$1517,L28,$B$5:$B$1517,B28,$C$5:$C$1517,"&lt;"&amp;C28),"")</f>
        <v/>
      </c>
      <c r="R28" s="0" t="str">
        <f aca="false">IF(M28&gt;=Models!$G$6,1+COUNTIF($M$5:$M$1517,"&gt;"&amp;M28)+COUNTIFS($M$5:$M$1517,M28,$B$5:$B$1517,"&lt;"&amp;B28)+COUNTIFS($M$5:$M$1517,M28,$B$5:$B$1517,B28,$C$5:$C$1517,"&lt;"&amp;C28),"")</f>
        <v/>
      </c>
      <c r="S28" s="0" t="str">
        <f aca="false">IF(N28&gt;=Models!$G$7,1+COUNTIF($N$5:$N$1517,"&gt;"&amp;N28)+COUNTIFS($N$5:$N$1517,N28,$B$5:$B$1517,"&lt;"&amp;B28)+COUNTIFS($N$5:$N$1517,N28,$B$5:$B$1517,B28,$C$5:$C$1517,"&lt;"&amp;C28),"")</f>
        <v/>
      </c>
      <c r="T28" s="8" t="n">
        <f aca="false">IF(O28&gt;=Models!$G$8,1+COUNTIF($O$5:$O$1517,"&gt;"&amp;O28)+COUNTIFS($O$5:$O$1517,O28,$B$5:$B$1517,"&lt;"&amp;B28)+COUNTIFS($O$5:$O$1517,O28,$B$5:$B$1517,B28,$C$5:$C$1517,"&lt;"&amp;C28),"")</f>
        <v>91</v>
      </c>
      <c r="U28" s="8" t="n">
        <f aca="false">IF($K28=1,COUNTIFS($L$5:$L$1517,"&gt;="&amp;L28,$K$5:$K$1517,1)/COUNTIF($L$5:$L$1517,"&gt;="&amp;L28),0)</f>
        <v>0</v>
      </c>
      <c r="V28" s="8" t="n">
        <f aca="false">IF($K28=1,COUNTIFS($M$5:$M$1517,"&gt;="&amp;M28,$K$5:$K$1517,1)/COUNTIF($M$5:$M$1517,"&gt;="&amp;M28),0)</f>
        <v>0</v>
      </c>
      <c r="W28" s="8" t="n">
        <f aca="false">IF($K28=1,COUNTIFS($N$5:$N$1517,"&gt;="&amp;N28,$K$5:$K$1517,1)/COUNTIF($N$5:$N$1517,"&gt;="&amp;N28),0)</f>
        <v>0</v>
      </c>
      <c r="X28" s="8" t="n">
        <f aca="false">IF($K28=1,COUNTIFS($O$5:$O$1517,"&gt;="&amp;O28,$K$5:$K$1517,1)/COUNTIF($O$5:$O$1517,"&gt;="&amp;O28),0)</f>
        <v>0</v>
      </c>
      <c r="Y28" s="8" t="n">
        <f aca="false">IF($K28=1,COUNTIFS($P$5:$P$1517,"&gt;="&amp;P28,$K$5:$K$1517,1)/COUNTIF($P$5:$P$1517,"&gt;="&amp;P28),0)</f>
        <v>0</v>
      </c>
      <c r="Z28" s="8" t="n">
        <f aca="false">(L28-$K28)^2</f>
        <v>0.308733587044</v>
      </c>
      <c r="AA28" s="8" t="n">
        <f aca="false">(M28-$K28)^2</f>
        <v>0.008475595969</v>
      </c>
      <c r="AB28" s="8" t="n">
        <f aca="false">(N28-$K28)^2</f>
        <v>0.000633881329</v>
      </c>
      <c r="AC28" s="8" t="n">
        <f aca="false">(O28-$K28)^2</f>
        <v>0.011274829489</v>
      </c>
      <c r="AD28" s="8" t="n">
        <f aca="false">(P28-$K28)^2</f>
        <v>0.000627753025</v>
      </c>
      <c r="AE28" s="8" t="n">
        <f aca="false">MIN(INT(ROUND(N28*1000000,0)/100000),9)</f>
        <v>0</v>
      </c>
      <c r="AF28" s="8" t="n">
        <f aca="false">MIN(INT(ROUND(P28*1000000,0)/100000),9)</f>
        <v>0</v>
      </c>
    </row>
    <row r="29" customFormat="false" ht="15" hidden="false" customHeight="false" outlineLevel="0" collapsed="false">
      <c r="A29" s="4" t="n">
        <v>25</v>
      </c>
      <c r="B29" s="4" t="n">
        <v>146</v>
      </c>
      <c r="C29" s="4" t="n">
        <v>0</v>
      </c>
      <c r="D29" s="11" t="n">
        <v>46054</v>
      </c>
      <c r="E29" s="4" t="s">
        <v>202</v>
      </c>
      <c r="F29" s="4" t="s">
        <v>206</v>
      </c>
      <c r="G29" s="4" t="n">
        <v>5</v>
      </c>
      <c r="H29" s="4" t="n">
        <v>0</v>
      </c>
      <c r="I29" s="4" t="n">
        <v>0</v>
      </c>
      <c r="J29" s="4"/>
      <c r="K29" s="4" t="n">
        <v>0</v>
      </c>
      <c r="L29" s="12" t="n">
        <v>0.876658</v>
      </c>
      <c r="M29" s="12" t="n">
        <v>0.092063</v>
      </c>
      <c r="N29" s="12" t="n">
        <v>0.054025</v>
      </c>
      <c r="O29" s="12" t="n">
        <v>0.106183</v>
      </c>
      <c r="P29" s="12" t="n">
        <v>0.055724</v>
      </c>
      <c r="Q29" s="0" t="str">
        <f aca="false">IF(L29&gt;=Models!$G$5,1+COUNTIF($L$5:$L$1517,"&gt;"&amp;L29)+COUNTIFS($L$5:$L$1517,L29,$B$5:$B$1517,"&lt;"&amp;B29)+COUNTIFS($L$5:$L$1517,L29,$B$5:$B$1517,B29,$C$5:$C$1517,"&lt;"&amp;C29),"")</f>
        <v/>
      </c>
      <c r="R29" s="0" t="str">
        <f aca="false">IF(M29&gt;=Models!$G$6,1+COUNTIF($M$5:$M$1517,"&gt;"&amp;M29)+COUNTIFS($M$5:$M$1517,M29,$B$5:$B$1517,"&lt;"&amp;B29)+COUNTIFS($M$5:$M$1517,M29,$B$5:$B$1517,B29,$C$5:$C$1517,"&lt;"&amp;C29),"")</f>
        <v/>
      </c>
      <c r="S29" s="0" t="str">
        <f aca="false">IF(N29&gt;=Models!$G$7,1+COUNTIF($N$5:$N$1517,"&gt;"&amp;N29)+COUNTIFS($N$5:$N$1517,N29,$B$5:$B$1517,"&lt;"&amp;B29)+COUNTIFS($N$5:$N$1517,N29,$B$5:$B$1517,B29,$C$5:$C$1517,"&lt;"&amp;C29),"")</f>
        <v/>
      </c>
      <c r="T29" s="8" t="n">
        <f aca="false">IF(O29&gt;=Models!$G$8,1+COUNTIF($O$5:$O$1517,"&gt;"&amp;O29)+COUNTIFS($O$5:$O$1517,O29,$B$5:$B$1517,"&lt;"&amp;B29)+COUNTIFS($O$5:$O$1517,O29,$B$5:$B$1517,B29,$C$5:$C$1517,"&lt;"&amp;C29),"")</f>
        <v>95</v>
      </c>
      <c r="U29" s="8" t="n">
        <f aca="false">IF($K29=1,COUNTIFS($L$5:$L$1517,"&gt;="&amp;L29,$K$5:$K$1517,1)/COUNTIF($L$5:$L$1517,"&gt;="&amp;L29),0)</f>
        <v>0</v>
      </c>
      <c r="V29" s="8" t="n">
        <f aca="false">IF($K29=1,COUNTIFS($M$5:$M$1517,"&gt;="&amp;M29,$K$5:$K$1517,1)/COUNTIF($M$5:$M$1517,"&gt;="&amp;M29),0)</f>
        <v>0</v>
      </c>
      <c r="W29" s="8" t="n">
        <f aca="false">IF($K29=1,COUNTIFS($N$5:$N$1517,"&gt;="&amp;N29,$K$5:$K$1517,1)/COUNTIF($N$5:$N$1517,"&gt;="&amp;N29),0)</f>
        <v>0</v>
      </c>
      <c r="X29" s="8" t="n">
        <f aca="false">IF($K29=1,COUNTIFS($O$5:$O$1517,"&gt;="&amp;O29,$K$5:$K$1517,1)/COUNTIF($O$5:$O$1517,"&gt;="&amp;O29),0)</f>
        <v>0</v>
      </c>
      <c r="Y29" s="8" t="n">
        <f aca="false">IF($K29=1,COUNTIFS($P$5:$P$1517,"&gt;="&amp;P29,$K$5:$K$1517,1)/COUNTIF($P$5:$P$1517,"&gt;="&amp;P29),0)</f>
        <v>0</v>
      </c>
      <c r="Z29" s="8" t="n">
        <f aca="false">(L29-$K29)^2</f>
        <v>0.768529248964</v>
      </c>
      <c r="AA29" s="8" t="n">
        <f aca="false">(M29-$K29)^2</f>
        <v>0.008475595969</v>
      </c>
      <c r="AB29" s="8" t="n">
        <f aca="false">(N29-$K29)^2</f>
        <v>0.002918700625</v>
      </c>
      <c r="AC29" s="8" t="n">
        <f aca="false">(O29-$K29)^2</f>
        <v>0.011274829489</v>
      </c>
      <c r="AD29" s="8" t="n">
        <f aca="false">(P29-$K29)^2</f>
        <v>0.003105164176</v>
      </c>
      <c r="AE29" s="8" t="n">
        <f aca="false">MIN(INT(ROUND(N29*1000000,0)/100000),9)</f>
        <v>0</v>
      </c>
      <c r="AF29" s="8" t="n">
        <f aca="false">MIN(INT(ROUND(P29*1000000,0)/100000),9)</f>
        <v>0</v>
      </c>
    </row>
    <row r="30" customFormat="false" ht="15" hidden="false" customHeight="false" outlineLevel="0" collapsed="false">
      <c r="A30" s="4" t="n">
        <v>26</v>
      </c>
      <c r="B30" s="4" t="n">
        <v>147</v>
      </c>
      <c r="C30" s="4" t="n">
        <v>0</v>
      </c>
      <c r="D30" s="11" t="n">
        <v>46054</v>
      </c>
      <c r="E30" s="4" t="s">
        <v>202</v>
      </c>
      <c r="F30" s="4" t="s">
        <v>206</v>
      </c>
      <c r="G30" s="4" t="n">
        <v>6</v>
      </c>
      <c r="H30" s="4" t="n">
        <v>3</v>
      </c>
      <c r="I30" s="4" t="n">
        <v>0</v>
      </c>
      <c r="J30" s="4"/>
      <c r="K30" s="4" t="n">
        <v>0</v>
      </c>
      <c r="L30" s="12" t="n">
        <v>0.555965</v>
      </c>
      <c r="M30" s="12" t="n">
        <v>0.092063</v>
      </c>
      <c r="N30" s="12" t="n">
        <v>0.050778</v>
      </c>
      <c r="O30" s="12" t="n">
        <v>0.106183</v>
      </c>
      <c r="P30" s="12" t="n">
        <v>0.052227</v>
      </c>
      <c r="Q30" s="0" t="str">
        <f aca="false">IF(L30&gt;=Models!$G$5,1+COUNTIF($L$5:$L$1517,"&gt;"&amp;L30)+COUNTIFS($L$5:$L$1517,L30,$B$5:$B$1517,"&lt;"&amp;B30)+COUNTIFS($L$5:$L$1517,L30,$B$5:$B$1517,B30,$C$5:$C$1517,"&lt;"&amp;C30),"")</f>
        <v/>
      </c>
      <c r="R30" s="0" t="str">
        <f aca="false">IF(M30&gt;=Models!$G$6,1+COUNTIF($M$5:$M$1517,"&gt;"&amp;M30)+COUNTIFS($M$5:$M$1517,M30,$B$5:$B$1517,"&lt;"&amp;B30)+COUNTIFS($M$5:$M$1517,M30,$B$5:$B$1517,B30,$C$5:$C$1517,"&lt;"&amp;C30),"")</f>
        <v/>
      </c>
      <c r="S30" s="0" t="str">
        <f aca="false">IF(N30&gt;=Models!$G$7,1+COUNTIF($N$5:$N$1517,"&gt;"&amp;N30)+COUNTIFS($N$5:$N$1517,N30,$B$5:$B$1517,"&lt;"&amp;B30)+COUNTIFS($N$5:$N$1517,N30,$B$5:$B$1517,B30,$C$5:$C$1517,"&lt;"&amp;C30),"")</f>
        <v/>
      </c>
      <c r="T30" s="8" t="n">
        <f aca="false">IF(O30&gt;=Models!$G$8,1+COUNTIF($O$5:$O$1517,"&gt;"&amp;O30)+COUNTIFS($O$5:$O$1517,O30,$B$5:$B$1517,"&lt;"&amp;B30)+COUNTIFS($O$5:$O$1517,O30,$B$5:$B$1517,B30,$C$5:$C$1517,"&lt;"&amp;C30),"")</f>
        <v>99</v>
      </c>
      <c r="U30" s="8" t="n">
        <f aca="false">IF($K30=1,COUNTIFS($L$5:$L$1517,"&gt;="&amp;L30,$K$5:$K$1517,1)/COUNTIF($L$5:$L$1517,"&gt;="&amp;L30),0)</f>
        <v>0</v>
      </c>
      <c r="V30" s="8" t="n">
        <f aca="false">IF($K30=1,COUNTIFS($M$5:$M$1517,"&gt;="&amp;M30,$K$5:$K$1517,1)/COUNTIF($M$5:$M$1517,"&gt;="&amp;M30),0)</f>
        <v>0</v>
      </c>
      <c r="W30" s="8" t="n">
        <f aca="false">IF($K30=1,COUNTIFS($N$5:$N$1517,"&gt;="&amp;N30,$K$5:$K$1517,1)/COUNTIF($N$5:$N$1517,"&gt;="&amp;N30),0)</f>
        <v>0</v>
      </c>
      <c r="X30" s="8" t="n">
        <f aca="false">IF($K30=1,COUNTIFS($O$5:$O$1517,"&gt;="&amp;O30,$K$5:$K$1517,1)/COUNTIF($O$5:$O$1517,"&gt;="&amp;O30),0)</f>
        <v>0</v>
      </c>
      <c r="Y30" s="8" t="n">
        <f aca="false">IF($K30=1,COUNTIFS($P$5:$P$1517,"&gt;="&amp;P30,$K$5:$K$1517,1)/COUNTIF($P$5:$P$1517,"&gt;="&amp;P30),0)</f>
        <v>0</v>
      </c>
      <c r="Z30" s="8" t="n">
        <f aca="false">(L30-$K30)^2</f>
        <v>0.309097081225</v>
      </c>
      <c r="AA30" s="8" t="n">
        <f aca="false">(M30-$K30)^2</f>
        <v>0.008475595969</v>
      </c>
      <c r="AB30" s="8" t="n">
        <f aca="false">(N30-$K30)^2</f>
        <v>0.002578405284</v>
      </c>
      <c r="AC30" s="8" t="n">
        <f aca="false">(O30-$K30)^2</f>
        <v>0.011274829489</v>
      </c>
      <c r="AD30" s="8" t="n">
        <f aca="false">(P30-$K30)^2</f>
        <v>0.002727659529</v>
      </c>
      <c r="AE30" s="8" t="n">
        <f aca="false">MIN(INT(ROUND(N30*1000000,0)/100000),9)</f>
        <v>0</v>
      </c>
      <c r="AF30" s="8" t="n">
        <f aca="false">MIN(INT(ROUND(P30*1000000,0)/100000),9)</f>
        <v>0</v>
      </c>
    </row>
    <row r="31" customFormat="false" ht="15" hidden="false" customHeight="false" outlineLevel="0" collapsed="false">
      <c r="A31" s="4" t="n">
        <v>27</v>
      </c>
      <c r="B31" s="4" t="n">
        <v>148</v>
      </c>
      <c r="C31" s="4" t="n">
        <v>0</v>
      </c>
      <c r="D31" s="11" t="n">
        <v>46054</v>
      </c>
      <c r="E31" s="4" t="s">
        <v>204</v>
      </c>
      <c r="F31" s="4" t="s">
        <v>206</v>
      </c>
      <c r="G31" s="4" t="n">
        <v>4</v>
      </c>
      <c r="H31" s="4" t="n">
        <v>7</v>
      </c>
      <c r="I31" s="4" t="n">
        <v>0</v>
      </c>
      <c r="J31" s="4" t="n">
        <v>117</v>
      </c>
      <c r="K31" s="4" t="n">
        <v>0</v>
      </c>
      <c r="L31" s="12" t="n">
        <v>0.390668</v>
      </c>
      <c r="M31" s="12" t="n">
        <v>0.092063</v>
      </c>
      <c r="N31" s="12" t="n">
        <v>0.122877</v>
      </c>
      <c r="O31" s="12" t="n">
        <v>0.106183</v>
      </c>
      <c r="P31" s="12" t="n">
        <v>0.131244</v>
      </c>
      <c r="Q31" s="0" t="str">
        <f aca="false">IF(L31&gt;=Models!$G$5,1+COUNTIF($L$5:$L$1517,"&gt;"&amp;L31)+COUNTIFS($L$5:$L$1517,L31,$B$5:$B$1517,"&lt;"&amp;B31)+COUNTIFS($L$5:$L$1517,L31,$B$5:$B$1517,B31,$C$5:$C$1517,"&lt;"&amp;C31),"")</f>
        <v/>
      </c>
      <c r="R31" s="0" t="str">
        <f aca="false">IF(M31&gt;=Models!$G$6,1+COUNTIF($M$5:$M$1517,"&gt;"&amp;M31)+COUNTIFS($M$5:$M$1517,M31,$B$5:$B$1517,"&lt;"&amp;B31)+COUNTIFS($M$5:$M$1517,M31,$B$5:$B$1517,B31,$C$5:$C$1517,"&lt;"&amp;C31),"")</f>
        <v/>
      </c>
      <c r="S31" s="0" t="str">
        <f aca="false">IF(N31&gt;=Models!$G$7,1+COUNTIF($N$5:$N$1517,"&gt;"&amp;N31)+COUNTIFS($N$5:$N$1517,N31,$B$5:$B$1517,"&lt;"&amp;B31)+COUNTIFS($N$5:$N$1517,N31,$B$5:$B$1517,B31,$C$5:$C$1517,"&lt;"&amp;C31),"")</f>
        <v/>
      </c>
      <c r="T31" s="8" t="n">
        <f aca="false">IF(O31&gt;=Models!$G$8,1+COUNTIF($O$5:$O$1517,"&gt;"&amp;O31)+COUNTIFS($O$5:$O$1517,O31,$B$5:$B$1517,"&lt;"&amp;B31)+COUNTIFS($O$5:$O$1517,O31,$B$5:$B$1517,B31,$C$5:$C$1517,"&lt;"&amp;C31),"")</f>
        <v>103</v>
      </c>
      <c r="U31" s="8" t="n">
        <f aca="false">IF($K31=1,COUNTIFS($L$5:$L$1517,"&gt;="&amp;L31,$K$5:$K$1517,1)/COUNTIF($L$5:$L$1517,"&gt;="&amp;L31),0)</f>
        <v>0</v>
      </c>
      <c r="V31" s="8" t="n">
        <f aca="false">IF($K31=1,COUNTIFS($M$5:$M$1517,"&gt;="&amp;M31,$K$5:$K$1517,1)/COUNTIF($M$5:$M$1517,"&gt;="&amp;M31),0)</f>
        <v>0</v>
      </c>
      <c r="W31" s="8" t="n">
        <f aca="false">IF($K31=1,COUNTIFS($N$5:$N$1517,"&gt;="&amp;N31,$K$5:$K$1517,1)/COUNTIF($N$5:$N$1517,"&gt;="&amp;N31),0)</f>
        <v>0</v>
      </c>
      <c r="X31" s="8" t="n">
        <f aca="false">IF($K31=1,COUNTIFS($O$5:$O$1517,"&gt;="&amp;O31,$K$5:$K$1517,1)/COUNTIF($O$5:$O$1517,"&gt;="&amp;O31),0)</f>
        <v>0</v>
      </c>
      <c r="Y31" s="8" t="n">
        <f aca="false">IF($K31=1,COUNTIFS($P$5:$P$1517,"&gt;="&amp;P31,$K$5:$K$1517,1)/COUNTIF($P$5:$P$1517,"&gt;="&amp;P31),0)</f>
        <v>0</v>
      </c>
      <c r="Z31" s="8" t="n">
        <f aca="false">(L31-$K31)^2</f>
        <v>0.152621486224</v>
      </c>
      <c r="AA31" s="8" t="n">
        <f aca="false">(M31-$K31)^2</f>
        <v>0.008475595969</v>
      </c>
      <c r="AB31" s="8" t="n">
        <f aca="false">(N31-$K31)^2</f>
        <v>0.015098757129</v>
      </c>
      <c r="AC31" s="8" t="n">
        <f aca="false">(O31-$K31)^2</f>
        <v>0.011274829489</v>
      </c>
      <c r="AD31" s="8" t="n">
        <f aca="false">(P31-$K31)^2</f>
        <v>0.017224987536</v>
      </c>
      <c r="AE31" s="8" t="n">
        <f aca="false">MIN(INT(ROUND(N31*1000000,0)/100000),9)</f>
        <v>1</v>
      </c>
      <c r="AF31" s="8" t="n">
        <f aca="false">MIN(INT(ROUND(P31*1000000,0)/100000),9)</f>
        <v>1</v>
      </c>
    </row>
    <row r="32" customFormat="false" ht="15" hidden="false" customHeight="false" outlineLevel="0" collapsed="false">
      <c r="A32" s="4" t="n">
        <v>28</v>
      </c>
      <c r="B32" s="4" t="n">
        <v>159</v>
      </c>
      <c r="C32" s="4" t="n">
        <v>0</v>
      </c>
      <c r="D32" s="11" t="n">
        <v>46054</v>
      </c>
      <c r="E32" s="4" t="s">
        <v>203</v>
      </c>
      <c r="F32" s="4" t="s">
        <v>210</v>
      </c>
      <c r="G32" s="4" t="n">
        <v>2</v>
      </c>
      <c r="H32" s="4" t="n">
        <v>14</v>
      </c>
      <c r="I32" s="4" t="n">
        <v>0</v>
      </c>
      <c r="J32" s="4"/>
      <c r="K32" s="4" t="n">
        <v>0</v>
      </c>
      <c r="L32" s="12" t="n">
        <v>0.447085</v>
      </c>
      <c r="M32" s="12" t="n">
        <v>0.092063</v>
      </c>
      <c r="N32" s="12" t="n">
        <v>0.07741</v>
      </c>
      <c r="O32" s="12" t="n">
        <v>0.106183</v>
      </c>
      <c r="P32" s="12" t="n">
        <v>0.081137</v>
      </c>
      <c r="Q32" s="0" t="str">
        <f aca="false">IF(L32&gt;=Models!$G$5,1+COUNTIF($L$5:$L$1517,"&gt;"&amp;L32)+COUNTIFS($L$5:$L$1517,L32,$B$5:$B$1517,"&lt;"&amp;B32)+COUNTIFS($L$5:$L$1517,L32,$B$5:$B$1517,B32,$C$5:$C$1517,"&lt;"&amp;C32),"")</f>
        <v/>
      </c>
      <c r="R32" s="0" t="str">
        <f aca="false">IF(M32&gt;=Models!$G$6,1+COUNTIF($M$5:$M$1517,"&gt;"&amp;M32)+COUNTIFS($M$5:$M$1517,M32,$B$5:$B$1517,"&lt;"&amp;B32)+COUNTIFS($M$5:$M$1517,M32,$B$5:$B$1517,B32,$C$5:$C$1517,"&lt;"&amp;C32),"")</f>
        <v/>
      </c>
      <c r="S32" s="0" t="str">
        <f aca="false">IF(N32&gt;=Models!$G$7,1+COUNTIF($N$5:$N$1517,"&gt;"&amp;N32)+COUNTIFS($N$5:$N$1517,N32,$B$5:$B$1517,"&lt;"&amp;B32)+COUNTIFS($N$5:$N$1517,N32,$B$5:$B$1517,B32,$C$5:$C$1517,"&lt;"&amp;C32),"")</f>
        <v/>
      </c>
      <c r="T32" s="8" t="n">
        <f aca="false">IF(O32&gt;=Models!$G$8,1+COUNTIF($O$5:$O$1517,"&gt;"&amp;O32)+COUNTIFS($O$5:$O$1517,O32,$B$5:$B$1517,"&lt;"&amp;B32)+COUNTIFS($O$5:$O$1517,O32,$B$5:$B$1517,B32,$C$5:$C$1517,"&lt;"&amp;C32),"")</f>
        <v>107</v>
      </c>
      <c r="U32" s="8" t="n">
        <f aca="false">IF($K32=1,COUNTIFS($L$5:$L$1517,"&gt;="&amp;L32,$K$5:$K$1517,1)/COUNTIF($L$5:$L$1517,"&gt;="&amp;L32),0)</f>
        <v>0</v>
      </c>
      <c r="V32" s="8" t="n">
        <f aca="false">IF($K32=1,COUNTIFS($M$5:$M$1517,"&gt;="&amp;M32,$K$5:$K$1517,1)/COUNTIF($M$5:$M$1517,"&gt;="&amp;M32),0)</f>
        <v>0</v>
      </c>
      <c r="W32" s="8" t="n">
        <f aca="false">IF($K32=1,COUNTIFS($N$5:$N$1517,"&gt;="&amp;N32,$K$5:$K$1517,1)/COUNTIF($N$5:$N$1517,"&gt;="&amp;N32),0)</f>
        <v>0</v>
      </c>
      <c r="X32" s="8" t="n">
        <f aca="false">IF($K32=1,COUNTIFS($O$5:$O$1517,"&gt;="&amp;O32,$K$5:$K$1517,1)/COUNTIF($O$5:$O$1517,"&gt;="&amp;O32),0)</f>
        <v>0</v>
      </c>
      <c r="Y32" s="8" t="n">
        <f aca="false">IF($K32=1,COUNTIFS($P$5:$P$1517,"&gt;="&amp;P32,$K$5:$K$1517,1)/COUNTIF($P$5:$P$1517,"&gt;="&amp;P32),0)</f>
        <v>0</v>
      </c>
      <c r="Z32" s="8" t="n">
        <f aca="false">(L32-$K32)^2</f>
        <v>0.199884997225</v>
      </c>
      <c r="AA32" s="8" t="n">
        <f aca="false">(M32-$K32)^2</f>
        <v>0.008475595969</v>
      </c>
      <c r="AB32" s="8" t="n">
        <f aca="false">(N32-$K32)^2</f>
        <v>0.0059923081</v>
      </c>
      <c r="AC32" s="8" t="n">
        <f aca="false">(O32-$K32)^2</f>
        <v>0.011274829489</v>
      </c>
      <c r="AD32" s="8" t="n">
        <f aca="false">(P32-$K32)^2</f>
        <v>0.006583212769</v>
      </c>
      <c r="AE32" s="8" t="n">
        <f aca="false">MIN(INT(ROUND(N32*1000000,0)/100000),9)</f>
        <v>0</v>
      </c>
      <c r="AF32" s="8" t="n">
        <f aca="false">MIN(INT(ROUND(P32*1000000,0)/100000),9)</f>
        <v>0</v>
      </c>
    </row>
    <row r="33" customFormat="false" ht="15" hidden="false" customHeight="false" outlineLevel="0" collapsed="false">
      <c r="A33" s="4" t="n">
        <v>29</v>
      </c>
      <c r="B33" s="4" t="n">
        <v>160</v>
      </c>
      <c r="C33" s="4" t="n">
        <v>0</v>
      </c>
      <c r="D33" s="11" t="n">
        <v>46054</v>
      </c>
      <c r="E33" s="4" t="s">
        <v>203</v>
      </c>
      <c r="F33" s="4" t="s">
        <v>206</v>
      </c>
      <c r="G33" s="4" t="n">
        <v>5</v>
      </c>
      <c r="H33" s="4" t="n">
        <v>10</v>
      </c>
      <c r="I33" s="4" t="n">
        <v>1</v>
      </c>
      <c r="J33" s="4"/>
      <c r="K33" s="4" t="n">
        <v>0</v>
      </c>
      <c r="L33" s="12" t="n">
        <v>0.455335</v>
      </c>
      <c r="M33" s="12" t="n">
        <v>0.184211</v>
      </c>
      <c r="N33" s="12" t="n">
        <v>0.101124</v>
      </c>
      <c r="O33" s="12" t="n">
        <v>0.106183</v>
      </c>
      <c r="P33" s="12" t="n">
        <v>0.10719</v>
      </c>
      <c r="Q33" s="0" t="str">
        <f aca="false">IF(L33&gt;=Models!$G$5,1+COUNTIF($L$5:$L$1517,"&gt;"&amp;L33)+COUNTIFS($L$5:$L$1517,L33,$B$5:$B$1517,"&lt;"&amp;B33)+COUNTIFS($L$5:$L$1517,L33,$B$5:$B$1517,B33,$C$5:$C$1517,"&lt;"&amp;C33),"")</f>
        <v/>
      </c>
      <c r="R33" s="8" t="n">
        <f aca="false">IF(M33&gt;=Models!$G$6,1+COUNTIF($M$5:$M$1517,"&gt;"&amp;M33)+COUNTIFS($M$5:$M$1517,M33,$B$5:$B$1517,"&lt;"&amp;B33)+COUNTIFS($M$5:$M$1517,M33,$B$5:$B$1517,B33,$C$5:$C$1517,"&lt;"&amp;C33),"")</f>
        <v>13</v>
      </c>
      <c r="S33" s="0" t="str">
        <f aca="false">IF(N33&gt;=Models!$G$7,1+COUNTIF($N$5:$N$1517,"&gt;"&amp;N33)+COUNTIFS($N$5:$N$1517,N33,$B$5:$B$1517,"&lt;"&amp;B33)+COUNTIFS($N$5:$N$1517,N33,$B$5:$B$1517,B33,$C$5:$C$1517,"&lt;"&amp;C33),"")</f>
        <v/>
      </c>
      <c r="T33" s="8" t="n">
        <f aca="false">IF(O33&gt;=Models!$G$8,1+COUNTIF($O$5:$O$1517,"&gt;"&amp;O33)+COUNTIFS($O$5:$O$1517,O33,$B$5:$B$1517,"&lt;"&amp;B33)+COUNTIFS($O$5:$O$1517,O33,$B$5:$B$1517,B33,$C$5:$C$1517,"&lt;"&amp;C33),"")</f>
        <v>111</v>
      </c>
      <c r="U33" s="8" t="n">
        <f aca="false">IF($K33=1,COUNTIFS($L$5:$L$1517,"&gt;="&amp;L33,$K$5:$K$1517,1)/COUNTIF($L$5:$L$1517,"&gt;="&amp;L33),0)</f>
        <v>0</v>
      </c>
      <c r="V33" s="8" t="n">
        <f aca="false">IF($K33=1,COUNTIFS($M$5:$M$1517,"&gt;="&amp;M33,$K$5:$K$1517,1)/COUNTIF($M$5:$M$1517,"&gt;="&amp;M33),0)</f>
        <v>0</v>
      </c>
      <c r="W33" s="8" t="n">
        <f aca="false">IF($K33=1,COUNTIFS($N$5:$N$1517,"&gt;="&amp;N33,$K$5:$K$1517,1)/COUNTIF($N$5:$N$1517,"&gt;="&amp;N33),0)</f>
        <v>0</v>
      </c>
      <c r="X33" s="8" t="n">
        <f aca="false">IF($K33=1,COUNTIFS($O$5:$O$1517,"&gt;="&amp;O33,$K$5:$K$1517,1)/COUNTIF($O$5:$O$1517,"&gt;="&amp;O33),0)</f>
        <v>0</v>
      </c>
      <c r="Y33" s="8" t="n">
        <f aca="false">IF($K33=1,COUNTIFS($P$5:$P$1517,"&gt;="&amp;P33,$K$5:$K$1517,1)/COUNTIF($P$5:$P$1517,"&gt;="&amp;P33),0)</f>
        <v>0</v>
      </c>
      <c r="Z33" s="8" t="n">
        <f aca="false">(L33-$K33)^2</f>
        <v>0.207329962225</v>
      </c>
      <c r="AA33" s="8" t="n">
        <f aca="false">(M33-$K33)^2</f>
        <v>0.033933692521</v>
      </c>
      <c r="AB33" s="8" t="n">
        <f aca="false">(N33-$K33)^2</f>
        <v>0.010226063376</v>
      </c>
      <c r="AC33" s="8" t="n">
        <f aca="false">(O33-$K33)^2</f>
        <v>0.011274829489</v>
      </c>
      <c r="AD33" s="8" t="n">
        <f aca="false">(P33-$K33)^2</f>
        <v>0.0114896961</v>
      </c>
      <c r="AE33" s="8" t="n">
        <f aca="false">MIN(INT(ROUND(N33*1000000,0)/100000),9)</f>
        <v>1</v>
      </c>
      <c r="AF33" s="8" t="n">
        <f aca="false">MIN(INT(ROUND(P33*1000000,0)/100000),9)</f>
        <v>1</v>
      </c>
    </row>
    <row r="34" customFormat="false" ht="15" hidden="false" customHeight="false" outlineLevel="0" collapsed="false">
      <c r="A34" s="4" t="n">
        <v>30</v>
      </c>
      <c r="B34" s="4" t="n">
        <v>167</v>
      </c>
      <c r="C34" s="4" t="n">
        <v>0</v>
      </c>
      <c r="D34" s="11" t="n">
        <v>46054</v>
      </c>
      <c r="E34" s="4" t="s">
        <v>204</v>
      </c>
      <c r="F34" s="4" t="s">
        <v>209</v>
      </c>
      <c r="G34" s="4" t="n">
        <v>1</v>
      </c>
      <c r="H34" s="4" t="n">
        <v>28</v>
      </c>
      <c r="I34" s="4" t="n">
        <v>0</v>
      </c>
      <c r="J34" s="4"/>
      <c r="K34" s="4" t="n">
        <v>0</v>
      </c>
      <c r="L34" s="12" t="n">
        <v>0.410759</v>
      </c>
      <c r="M34" s="12" t="n">
        <v>0.092063</v>
      </c>
      <c r="N34" s="12" t="n">
        <v>0.093354</v>
      </c>
      <c r="O34" s="12" t="n">
        <v>0.106183</v>
      </c>
      <c r="P34" s="12" t="n">
        <v>0.09863</v>
      </c>
      <c r="Q34" s="0" t="str">
        <f aca="false">IF(L34&gt;=Models!$G$5,1+COUNTIF($L$5:$L$1517,"&gt;"&amp;L34)+COUNTIFS($L$5:$L$1517,L34,$B$5:$B$1517,"&lt;"&amp;B34)+COUNTIFS($L$5:$L$1517,L34,$B$5:$B$1517,B34,$C$5:$C$1517,"&lt;"&amp;C34),"")</f>
        <v/>
      </c>
      <c r="R34" s="0" t="str">
        <f aca="false">IF(M34&gt;=Models!$G$6,1+COUNTIF($M$5:$M$1517,"&gt;"&amp;M34)+COUNTIFS($M$5:$M$1517,M34,$B$5:$B$1517,"&lt;"&amp;B34)+COUNTIFS($M$5:$M$1517,M34,$B$5:$B$1517,B34,$C$5:$C$1517,"&lt;"&amp;C34),"")</f>
        <v/>
      </c>
      <c r="S34" s="0" t="str">
        <f aca="false">IF(N34&gt;=Models!$G$7,1+COUNTIF($N$5:$N$1517,"&gt;"&amp;N34)+COUNTIFS($N$5:$N$1517,N34,$B$5:$B$1517,"&lt;"&amp;B34)+COUNTIFS($N$5:$N$1517,N34,$B$5:$B$1517,B34,$C$5:$C$1517,"&lt;"&amp;C34),"")</f>
        <v/>
      </c>
      <c r="T34" s="8" t="n">
        <f aca="false">IF(O34&gt;=Models!$G$8,1+COUNTIF($O$5:$O$1517,"&gt;"&amp;O34)+COUNTIFS($O$5:$O$1517,O34,$B$5:$B$1517,"&lt;"&amp;B34)+COUNTIFS($O$5:$O$1517,O34,$B$5:$B$1517,B34,$C$5:$C$1517,"&lt;"&amp;C34),"")</f>
        <v>115</v>
      </c>
      <c r="U34" s="8" t="n">
        <f aca="false">IF($K34=1,COUNTIFS($L$5:$L$1517,"&gt;="&amp;L34,$K$5:$K$1517,1)/COUNTIF($L$5:$L$1517,"&gt;="&amp;L34),0)</f>
        <v>0</v>
      </c>
      <c r="V34" s="8" t="n">
        <f aca="false">IF($K34=1,COUNTIFS($M$5:$M$1517,"&gt;="&amp;M34,$K$5:$K$1517,1)/COUNTIF($M$5:$M$1517,"&gt;="&amp;M34),0)</f>
        <v>0</v>
      </c>
      <c r="W34" s="8" t="n">
        <f aca="false">IF($K34=1,COUNTIFS($N$5:$N$1517,"&gt;="&amp;N34,$K$5:$K$1517,1)/COUNTIF($N$5:$N$1517,"&gt;="&amp;N34),0)</f>
        <v>0</v>
      </c>
      <c r="X34" s="8" t="n">
        <f aca="false">IF($K34=1,COUNTIFS($O$5:$O$1517,"&gt;="&amp;O34,$K$5:$K$1517,1)/COUNTIF($O$5:$O$1517,"&gt;="&amp;O34),0)</f>
        <v>0</v>
      </c>
      <c r="Y34" s="8" t="n">
        <f aca="false">IF($K34=1,COUNTIFS($P$5:$P$1517,"&gt;="&amp;P34,$K$5:$K$1517,1)/COUNTIF($P$5:$P$1517,"&gt;="&amp;P34),0)</f>
        <v>0</v>
      </c>
      <c r="Z34" s="8" t="n">
        <f aca="false">(L34-$K34)^2</f>
        <v>0.168722956081</v>
      </c>
      <c r="AA34" s="8" t="n">
        <f aca="false">(M34-$K34)^2</f>
        <v>0.008475595969</v>
      </c>
      <c r="AB34" s="8" t="n">
        <f aca="false">(N34-$K34)^2</f>
        <v>0.008714969316</v>
      </c>
      <c r="AC34" s="8" t="n">
        <f aca="false">(O34-$K34)^2</f>
        <v>0.011274829489</v>
      </c>
      <c r="AD34" s="8" t="n">
        <f aca="false">(P34-$K34)^2</f>
        <v>0.0097278769</v>
      </c>
      <c r="AE34" s="8" t="n">
        <f aca="false">MIN(INT(ROUND(N34*1000000,0)/100000),9)</f>
        <v>0</v>
      </c>
      <c r="AF34" s="8" t="n">
        <f aca="false">MIN(INT(ROUND(P34*1000000,0)/100000),9)</f>
        <v>0</v>
      </c>
    </row>
    <row r="35" customFormat="false" ht="15" hidden="false" customHeight="false" outlineLevel="0" collapsed="false">
      <c r="A35" s="4" t="n">
        <v>31</v>
      </c>
      <c r="B35" s="4" t="n">
        <v>171</v>
      </c>
      <c r="C35" s="4" t="n">
        <v>0</v>
      </c>
      <c r="D35" s="11" t="n">
        <v>46054</v>
      </c>
      <c r="E35" s="4" t="s">
        <v>204</v>
      </c>
      <c r="F35" s="4" t="s">
        <v>209</v>
      </c>
      <c r="G35" s="4" t="n">
        <v>2</v>
      </c>
      <c r="H35" s="4" t="n">
        <v>0</v>
      </c>
      <c r="I35" s="4" t="n">
        <v>0</v>
      </c>
      <c r="J35" s="4" t="n">
        <v>114</v>
      </c>
      <c r="K35" s="4" t="n">
        <v>0</v>
      </c>
      <c r="L35" s="12" t="n">
        <v>0.816135</v>
      </c>
      <c r="M35" s="12" t="n">
        <v>0.092063</v>
      </c>
      <c r="N35" s="12" t="n">
        <v>0.136736</v>
      </c>
      <c r="O35" s="12" t="n">
        <v>0.106183</v>
      </c>
      <c r="P35" s="12" t="n">
        <v>0.146619</v>
      </c>
      <c r="Q35" s="0" t="str">
        <f aca="false">IF(L35&gt;=Models!$G$5,1+COUNTIF($L$5:$L$1517,"&gt;"&amp;L35)+COUNTIFS($L$5:$L$1517,L35,$B$5:$B$1517,"&lt;"&amp;B35)+COUNTIFS($L$5:$L$1517,L35,$B$5:$B$1517,B35,$C$5:$C$1517,"&lt;"&amp;C35),"")</f>
        <v/>
      </c>
      <c r="R35" s="0" t="str">
        <f aca="false">IF(M35&gt;=Models!$G$6,1+COUNTIF($M$5:$M$1517,"&gt;"&amp;M35)+COUNTIFS($M$5:$M$1517,M35,$B$5:$B$1517,"&lt;"&amp;B35)+COUNTIFS($M$5:$M$1517,M35,$B$5:$B$1517,B35,$C$5:$C$1517,"&lt;"&amp;C35),"")</f>
        <v/>
      </c>
      <c r="S35" s="0" t="str">
        <f aca="false">IF(N35&gt;=Models!$G$7,1+COUNTIF($N$5:$N$1517,"&gt;"&amp;N35)+COUNTIFS($N$5:$N$1517,N35,$B$5:$B$1517,"&lt;"&amp;B35)+COUNTIFS($N$5:$N$1517,N35,$B$5:$B$1517,B35,$C$5:$C$1517,"&lt;"&amp;C35),"")</f>
        <v/>
      </c>
      <c r="T35" s="8" t="n">
        <f aca="false">IF(O35&gt;=Models!$G$8,1+COUNTIF($O$5:$O$1517,"&gt;"&amp;O35)+COUNTIFS($O$5:$O$1517,O35,$B$5:$B$1517,"&lt;"&amp;B35)+COUNTIFS($O$5:$O$1517,O35,$B$5:$B$1517,B35,$C$5:$C$1517,"&lt;"&amp;C35),"")</f>
        <v>119</v>
      </c>
      <c r="U35" s="8" t="n">
        <f aca="false">IF($K35=1,COUNTIFS($L$5:$L$1517,"&gt;="&amp;L35,$K$5:$K$1517,1)/COUNTIF($L$5:$L$1517,"&gt;="&amp;L35),0)</f>
        <v>0</v>
      </c>
      <c r="V35" s="8" t="n">
        <f aca="false">IF($K35=1,COUNTIFS($M$5:$M$1517,"&gt;="&amp;M35,$K$5:$K$1517,1)/COUNTIF($M$5:$M$1517,"&gt;="&amp;M35),0)</f>
        <v>0</v>
      </c>
      <c r="W35" s="8" t="n">
        <f aca="false">IF($K35=1,COUNTIFS($N$5:$N$1517,"&gt;="&amp;N35,$K$5:$K$1517,1)/COUNTIF($N$5:$N$1517,"&gt;="&amp;N35),0)</f>
        <v>0</v>
      </c>
      <c r="X35" s="8" t="n">
        <f aca="false">IF($K35=1,COUNTIFS($O$5:$O$1517,"&gt;="&amp;O35,$K$5:$K$1517,1)/COUNTIF($O$5:$O$1517,"&gt;="&amp;O35),0)</f>
        <v>0</v>
      </c>
      <c r="Y35" s="8" t="n">
        <f aca="false">IF($K35=1,COUNTIFS($P$5:$P$1517,"&gt;="&amp;P35,$K$5:$K$1517,1)/COUNTIF($P$5:$P$1517,"&gt;="&amp;P35),0)</f>
        <v>0</v>
      </c>
      <c r="Z35" s="8" t="n">
        <f aca="false">(L35-$K35)^2</f>
        <v>0.666076338225</v>
      </c>
      <c r="AA35" s="8" t="n">
        <f aca="false">(M35-$K35)^2</f>
        <v>0.008475595969</v>
      </c>
      <c r="AB35" s="8" t="n">
        <f aca="false">(N35-$K35)^2</f>
        <v>0.018696733696</v>
      </c>
      <c r="AC35" s="8" t="n">
        <f aca="false">(O35-$K35)^2</f>
        <v>0.011274829489</v>
      </c>
      <c r="AD35" s="8" t="n">
        <f aca="false">(P35-$K35)^2</f>
        <v>0.021497131161</v>
      </c>
      <c r="AE35" s="8" t="n">
        <f aca="false">MIN(INT(ROUND(N35*1000000,0)/100000),9)</f>
        <v>1</v>
      </c>
      <c r="AF35" s="8" t="n">
        <f aca="false">MIN(INT(ROUND(P35*1000000,0)/100000),9)</f>
        <v>1</v>
      </c>
    </row>
    <row r="36" customFormat="false" ht="15" hidden="false" customHeight="false" outlineLevel="0" collapsed="false">
      <c r="A36" s="4" t="n">
        <v>32</v>
      </c>
      <c r="B36" s="4" t="n">
        <v>176</v>
      </c>
      <c r="C36" s="4" t="n">
        <v>0</v>
      </c>
      <c r="D36" s="11" t="n">
        <v>46054</v>
      </c>
      <c r="E36" s="4" t="s">
        <v>201</v>
      </c>
      <c r="F36" s="4" t="s">
        <v>206</v>
      </c>
      <c r="G36" s="4" t="n">
        <v>6</v>
      </c>
      <c r="H36" s="4" t="n">
        <v>5</v>
      </c>
      <c r="I36" s="4" t="n">
        <v>1</v>
      </c>
      <c r="J36" s="4"/>
      <c r="K36" s="4" t="n">
        <v>0</v>
      </c>
      <c r="L36" s="12" t="n">
        <v>0.331893</v>
      </c>
      <c r="M36" s="12" t="n">
        <v>0.184211</v>
      </c>
      <c r="N36" s="12" t="n">
        <v>0.089827</v>
      </c>
      <c r="O36" s="12" t="n">
        <v>0.106183</v>
      </c>
      <c r="P36" s="12" t="n">
        <v>0.094751</v>
      </c>
      <c r="Q36" s="0" t="str">
        <f aca="false">IF(L36&gt;=Models!$G$5,1+COUNTIF($L$5:$L$1517,"&gt;"&amp;L36)+COUNTIFS($L$5:$L$1517,L36,$B$5:$B$1517,"&lt;"&amp;B36)+COUNTIFS($L$5:$L$1517,L36,$B$5:$B$1517,B36,$C$5:$C$1517,"&lt;"&amp;C36),"")</f>
        <v/>
      </c>
      <c r="R36" s="8" t="n">
        <f aca="false">IF(M36&gt;=Models!$G$6,1+COUNTIF($M$5:$M$1517,"&gt;"&amp;M36)+COUNTIFS($M$5:$M$1517,M36,$B$5:$B$1517,"&lt;"&amp;B36)+COUNTIFS($M$5:$M$1517,M36,$B$5:$B$1517,B36,$C$5:$C$1517,"&lt;"&amp;C36),"")</f>
        <v>14</v>
      </c>
      <c r="S36" s="0" t="str">
        <f aca="false">IF(N36&gt;=Models!$G$7,1+COUNTIF($N$5:$N$1517,"&gt;"&amp;N36)+COUNTIFS($N$5:$N$1517,N36,$B$5:$B$1517,"&lt;"&amp;B36)+COUNTIFS($N$5:$N$1517,N36,$B$5:$B$1517,B36,$C$5:$C$1517,"&lt;"&amp;C36),"")</f>
        <v/>
      </c>
      <c r="T36" s="8" t="n">
        <f aca="false">IF(O36&gt;=Models!$G$8,1+COUNTIF($O$5:$O$1517,"&gt;"&amp;O36)+COUNTIFS($O$5:$O$1517,O36,$B$5:$B$1517,"&lt;"&amp;B36)+COUNTIFS($O$5:$O$1517,O36,$B$5:$B$1517,B36,$C$5:$C$1517,"&lt;"&amp;C36),"")</f>
        <v>123</v>
      </c>
      <c r="U36" s="8" t="n">
        <f aca="false">IF($K36=1,COUNTIFS($L$5:$L$1517,"&gt;="&amp;L36,$K$5:$K$1517,1)/COUNTIF($L$5:$L$1517,"&gt;="&amp;L36),0)</f>
        <v>0</v>
      </c>
      <c r="V36" s="8" t="n">
        <f aca="false">IF($K36=1,COUNTIFS($M$5:$M$1517,"&gt;="&amp;M36,$K$5:$K$1517,1)/COUNTIF($M$5:$M$1517,"&gt;="&amp;M36),0)</f>
        <v>0</v>
      </c>
      <c r="W36" s="8" t="n">
        <f aca="false">IF($K36=1,COUNTIFS($N$5:$N$1517,"&gt;="&amp;N36,$K$5:$K$1517,1)/COUNTIF($N$5:$N$1517,"&gt;="&amp;N36),0)</f>
        <v>0</v>
      </c>
      <c r="X36" s="8" t="n">
        <f aca="false">IF($K36=1,COUNTIFS($O$5:$O$1517,"&gt;="&amp;O36,$K$5:$K$1517,1)/COUNTIF($O$5:$O$1517,"&gt;="&amp;O36),0)</f>
        <v>0</v>
      </c>
      <c r="Y36" s="8" t="n">
        <f aca="false">IF($K36=1,COUNTIFS($P$5:$P$1517,"&gt;="&amp;P36,$K$5:$K$1517,1)/COUNTIF($P$5:$P$1517,"&gt;="&amp;P36),0)</f>
        <v>0</v>
      </c>
      <c r="Z36" s="8" t="n">
        <f aca="false">(L36-$K36)^2</f>
        <v>0.110152963449</v>
      </c>
      <c r="AA36" s="8" t="n">
        <f aca="false">(M36-$K36)^2</f>
        <v>0.033933692521</v>
      </c>
      <c r="AB36" s="8" t="n">
        <f aca="false">(N36-$K36)^2</f>
        <v>0.008068889929</v>
      </c>
      <c r="AC36" s="8" t="n">
        <f aca="false">(O36-$K36)^2</f>
        <v>0.011274829489</v>
      </c>
      <c r="AD36" s="8" t="n">
        <f aca="false">(P36-$K36)^2</f>
        <v>0.008977752001</v>
      </c>
      <c r="AE36" s="8" t="n">
        <f aca="false">MIN(INT(ROUND(N36*1000000,0)/100000),9)</f>
        <v>0</v>
      </c>
      <c r="AF36" s="8" t="n">
        <f aca="false">MIN(INT(ROUND(P36*1000000,0)/100000),9)</f>
        <v>0</v>
      </c>
    </row>
    <row r="37" customFormat="false" ht="15" hidden="false" customHeight="false" outlineLevel="0" collapsed="false">
      <c r="A37" s="4" t="n">
        <v>33</v>
      </c>
      <c r="B37" s="4" t="n">
        <v>177</v>
      </c>
      <c r="C37" s="4" t="n">
        <v>0</v>
      </c>
      <c r="D37" s="11" t="n">
        <v>46054</v>
      </c>
      <c r="E37" s="4" t="s">
        <v>203</v>
      </c>
      <c r="F37" s="4" t="s">
        <v>209</v>
      </c>
      <c r="G37" s="4" t="n">
        <v>2</v>
      </c>
      <c r="H37" s="4" t="n">
        <v>22</v>
      </c>
      <c r="I37" s="4" t="n">
        <v>0</v>
      </c>
      <c r="J37" s="4" t="n">
        <v>390</v>
      </c>
      <c r="K37" s="4" t="n">
        <v>0</v>
      </c>
      <c r="L37" s="12" t="n">
        <v>0.117309</v>
      </c>
      <c r="M37" s="12" t="n">
        <v>0.092063</v>
      </c>
      <c r="N37" s="12" t="n">
        <v>0.157306</v>
      </c>
      <c r="O37" s="12" t="n">
        <v>0.106183</v>
      </c>
      <c r="P37" s="12" t="n">
        <v>0.169483</v>
      </c>
      <c r="Q37" s="0" t="str">
        <f aca="false">IF(L37&gt;=Models!$G$5,1+COUNTIF($L$5:$L$1517,"&gt;"&amp;L37)+COUNTIFS($L$5:$L$1517,L37,$B$5:$B$1517,"&lt;"&amp;B37)+COUNTIFS($L$5:$L$1517,L37,$B$5:$B$1517,B37,$C$5:$C$1517,"&lt;"&amp;C37),"")</f>
        <v/>
      </c>
      <c r="R37" s="0" t="str">
        <f aca="false">IF(M37&gt;=Models!$G$6,1+COUNTIF($M$5:$M$1517,"&gt;"&amp;M37)+COUNTIFS($M$5:$M$1517,M37,$B$5:$B$1517,"&lt;"&amp;B37)+COUNTIFS($M$5:$M$1517,M37,$B$5:$B$1517,B37,$C$5:$C$1517,"&lt;"&amp;C37),"")</f>
        <v/>
      </c>
      <c r="S37" s="0" t="str">
        <f aca="false">IF(N37&gt;=Models!$G$7,1+COUNTIF($N$5:$N$1517,"&gt;"&amp;N37)+COUNTIFS($N$5:$N$1517,N37,$B$5:$B$1517,"&lt;"&amp;B37)+COUNTIFS($N$5:$N$1517,N37,$B$5:$B$1517,B37,$C$5:$C$1517,"&lt;"&amp;C37),"")</f>
        <v/>
      </c>
      <c r="T37" s="8" t="n">
        <f aca="false">IF(O37&gt;=Models!$G$8,1+COUNTIF($O$5:$O$1517,"&gt;"&amp;O37)+COUNTIFS($O$5:$O$1517,O37,$B$5:$B$1517,"&lt;"&amp;B37)+COUNTIFS($O$5:$O$1517,O37,$B$5:$B$1517,B37,$C$5:$C$1517,"&lt;"&amp;C37),"")</f>
        <v>127</v>
      </c>
      <c r="U37" s="8" t="n">
        <f aca="false">IF($K37=1,COUNTIFS($L$5:$L$1517,"&gt;="&amp;L37,$K$5:$K$1517,1)/COUNTIF($L$5:$L$1517,"&gt;="&amp;L37),0)</f>
        <v>0</v>
      </c>
      <c r="V37" s="8" t="n">
        <f aca="false">IF($K37=1,COUNTIFS($M$5:$M$1517,"&gt;="&amp;M37,$K$5:$K$1517,1)/COUNTIF($M$5:$M$1517,"&gt;="&amp;M37),0)</f>
        <v>0</v>
      </c>
      <c r="W37" s="8" t="n">
        <f aca="false">IF($K37=1,COUNTIFS($N$5:$N$1517,"&gt;="&amp;N37,$K$5:$K$1517,1)/COUNTIF($N$5:$N$1517,"&gt;="&amp;N37),0)</f>
        <v>0</v>
      </c>
      <c r="X37" s="8" t="n">
        <f aca="false">IF($K37=1,COUNTIFS($O$5:$O$1517,"&gt;="&amp;O37,$K$5:$K$1517,1)/COUNTIF($O$5:$O$1517,"&gt;="&amp;O37),0)</f>
        <v>0</v>
      </c>
      <c r="Y37" s="8" t="n">
        <f aca="false">IF($K37=1,COUNTIFS($P$5:$P$1517,"&gt;="&amp;P37,$K$5:$K$1517,1)/COUNTIF($P$5:$P$1517,"&gt;="&amp;P37),0)</f>
        <v>0</v>
      </c>
      <c r="Z37" s="8" t="n">
        <f aca="false">(L37-$K37)^2</f>
        <v>0.013761401481</v>
      </c>
      <c r="AA37" s="8" t="n">
        <f aca="false">(M37-$K37)^2</f>
        <v>0.008475595969</v>
      </c>
      <c r="AB37" s="8" t="n">
        <f aca="false">(N37-$K37)^2</f>
        <v>0.024745177636</v>
      </c>
      <c r="AC37" s="8" t="n">
        <f aca="false">(O37-$K37)^2</f>
        <v>0.011274829489</v>
      </c>
      <c r="AD37" s="8" t="n">
        <f aca="false">(P37-$K37)^2</f>
        <v>0.028724487289</v>
      </c>
      <c r="AE37" s="8" t="n">
        <f aca="false">MIN(INT(ROUND(N37*1000000,0)/100000),9)</f>
        <v>1</v>
      </c>
      <c r="AF37" s="8" t="n">
        <f aca="false">MIN(INT(ROUND(P37*1000000,0)/100000),9)</f>
        <v>1</v>
      </c>
    </row>
    <row r="38" customFormat="false" ht="15" hidden="false" customHeight="false" outlineLevel="0" collapsed="false">
      <c r="A38" s="4" t="n">
        <v>34</v>
      </c>
      <c r="B38" s="4" t="n">
        <v>183</v>
      </c>
      <c r="C38" s="4" t="n">
        <v>0</v>
      </c>
      <c r="D38" s="11" t="n">
        <v>46054</v>
      </c>
      <c r="E38" s="4" t="s">
        <v>203</v>
      </c>
      <c r="F38" s="4" t="s">
        <v>206</v>
      </c>
      <c r="G38" s="4" t="n">
        <v>6</v>
      </c>
      <c r="H38" s="4" t="n">
        <v>14</v>
      </c>
      <c r="I38" s="4" t="n">
        <v>0</v>
      </c>
      <c r="J38" s="4" t="n">
        <v>339</v>
      </c>
      <c r="K38" s="4" t="n">
        <v>0</v>
      </c>
      <c r="L38" s="12" t="n">
        <v>0.003458</v>
      </c>
      <c r="M38" s="12" t="n">
        <v>0.092063</v>
      </c>
      <c r="N38" s="12" t="n">
        <v>0.109003</v>
      </c>
      <c r="O38" s="12" t="n">
        <v>0.106183</v>
      </c>
      <c r="P38" s="12" t="n">
        <v>0.115888</v>
      </c>
      <c r="Q38" s="0" t="str">
        <f aca="false">IF(L38&gt;=Models!$G$5,1+COUNTIF($L$5:$L$1517,"&gt;"&amp;L38)+COUNTIFS($L$5:$L$1517,L38,$B$5:$B$1517,"&lt;"&amp;B38)+COUNTIFS($L$5:$L$1517,L38,$B$5:$B$1517,B38,$C$5:$C$1517,"&lt;"&amp;C38),"")</f>
        <v/>
      </c>
      <c r="R38" s="0" t="str">
        <f aca="false">IF(M38&gt;=Models!$G$6,1+COUNTIF($M$5:$M$1517,"&gt;"&amp;M38)+COUNTIFS($M$5:$M$1517,M38,$B$5:$B$1517,"&lt;"&amp;B38)+COUNTIFS($M$5:$M$1517,M38,$B$5:$B$1517,B38,$C$5:$C$1517,"&lt;"&amp;C38),"")</f>
        <v/>
      </c>
      <c r="S38" s="0" t="str">
        <f aca="false">IF(N38&gt;=Models!$G$7,1+COUNTIF($N$5:$N$1517,"&gt;"&amp;N38)+COUNTIFS($N$5:$N$1517,N38,$B$5:$B$1517,"&lt;"&amp;B38)+COUNTIFS($N$5:$N$1517,N38,$B$5:$B$1517,B38,$C$5:$C$1517,"&lt;"&amp;C38),"")</f>
        <v/>
      </c>
      <c r="T38" s="8" t="n">
        <f aca="false">IF(O38&gt;=Models!$G$8,1+COUNTIF($O$5:$O$1517,"&gt;"&amp;O38)+COUNTIFS($O$5:$O$1517,O38,$B$5:$B$1517,"&lt;"&amp;B38)+COUNTIFS($O$5:$O$1517,O38,$B$5:$B$1517,B38,$C$5:$C$1517,"&lt;"&amp;C38),"")</f>
        <v>131</v>
      </c>
      <c r="U38" s="8" t="n">
        <f aca="false">IF($K38=1,COUNTIFS($L$5:$L$1517,"&gt;="&amp;L38,$K$5:$K$1517,1)/COUNTIF($L$5:$L$1517,"&gt;="&amp;L38),0)</f>
        <v>0</v>
      </c>
      <c r="V38" s="8" t="n">
        <f aca="false">IF($K38=1,COUNTIFS($M$5:$M$1517,"&gt;="&amp;M38,$K$5:$K$1517,1)/COUNTIF($M$5:$M$1517,"&gt;="&amp;M38),0)</f>
        <v>0</v>
      </c>
      <c r="W38" s="8" t="n">
        <f aca="false">IF($K38=1,COUNTIFS($N$5:$N$1517,"&gt;="&amp;N38,$K$5:$K$1517,1)/COUNTIF($N$5:$N$1517,"&gt;="&amp;N38),0)</f>
        <v>0</v>
      </c>
      <c r="X38" s="8" t="n">
        <f aca="false">IF($K38=1,COUNTIFS($O$5:$O$1517,"&gt;="&amp;O38,$K$5:$K$1517,1)/COUNTIF($O$5:$O$1517,"&gt;="&amp;O38),0)</f>
        <v>0</v>
      </c>
      <c r="Y38" s="8" t="n">
        <f aca="false">IF($K38=1,COUNTIFS($P$5:$P$1517,"&gt;="&amp;P38,$K$5:$K$1517,1)/COUNTIF($P$5:$P$1517,"&gt;="&amp;P38),0)</f>
        <v>0</v>
      </c>
      <c r="Z38" s="8" t="n">
        <f aca="false">(L38-$K38)^2</f>
        <v>1.1957764E-005</v>
      </c>
      <c r="AA38" s="8" t="n">
        <f aca="false">(M38-$K38)^2</f>
        <v>0.008475595969</v>
      </c>
      <c r="AB38" s="8" t="n">
        <f aca="false">(N38-$K38)^2</f>
        <v>0.011881654009</v>
      </c>
      <c r="AC38" s="8" t="n">
        <f aca="false">(O38-$K38)^2</f>
        <v>0.011274829489</v>
      </c>
      <c r="AD38" s="8" t="n">
        <f aca="false">(P38-$K38)^2</f>
        <v>0.013430028544</v>
      </c>
      <c r="AE38" s="8" t="n">
        <f aca="false">MIN(INT(ROUND(N38*1000000,0)/100000),9)</f>
        <v>1</v>
      </c>
      <c r="AF38" s="8" t="n">
        <f aca="false">MIN(INT(ROUND(P38*1000000,0)/100000),9)</f>
        <v>1</v>
      </c>
    </row>
    <row r="39" customFormat="false" ht="15" hidden="false" customHeight="false" outlineLevel="0" collapsed="false">
      <c r="A39" s="4" t="n">
        <v>35</v>
      </c>
      <c r="B39" s="4" t="n">
        <v>184</v>
      </c>
      <c r="C39" s="4" t="n">
        <v>0</v>
      </c>
      <c r="D39" s="11" t="n">
        <v>46054</v>
      </c>
      <c r="E39" s="4" t="s">
        <v>204</v>
      </c>
      <c r="F39" s="4" t="s">
        <v>206</v>
      </c>
      <c r="G39" s="4" t="n">
        <v>1</v>
      </c>
      <c r="H39" s="4" t="n">
        <v>7</v>
      </c>
      <c r="I39" s="4" t="n">
        <v>0</v>
      </c>
      <c r="J39" s="4" t="n">
        <v>102</v>
      </c>
      <c r="K39" s="4" t="n">
        <v>0</v>
      </c>
      <c r="L39" s="12" t="n">
        <v>0.519102</v>
      </c>
      <c r="M39" s="12" t="n">
        <v>0.092063</v>
      </c>
      <c r="N39" s="12" t="n">
        <v>0.15517</v>
      </c>
      <c r="O39" s="12" t="n">
        <v>0.106183</v>
      </c>
      <c r="P39" s="12" t="n">
        <v>0.167107</v>
      </c>
      <c r="Q39" s="0" t="str">
        <f aca="false">IF(L39&gt;=Models!$G$5,1+COUNTIF($L$5:$L$1517,"&gt;"&amp;L39)+COUNTIFS($L$5:$L$1517,L39,$B$5:$B$1517,"&lt;"&amp;B39)+COUNTIFS($L$5:$L$1517,L39,$B$5:$B$1517,B39,$C$5:$C$1517,"&lt;"&amp;C39),"")</f>
        <v/>
      </c>
      <c r="R39" s="0" t="str">
        <f aca="false">IF(M39&gt;=Models!$G$6,1+COUNTIF($M$5:$M$1517,"&gt;"&amp;M39)+COUNTIFS($M$5:$M$1517,M39,$B$5:$B$1517,"&lt;"&amp;B39)+COUNTIFS($M$5:$M$1517,M39,$B$5:$B$1517,B39,$C$5:$C$1517,"&lt;"&amp;C39),"")</f>
        <v/>
      </c>
      <c r="S39" s="0" t="str">
        <f aca="false">IF(N39&gt;=Models!$G$7,1+COUNTIF($N$5:$N$1517,"&gt;"&amp;N39)+COUNTIFS($N$5:$N$1517,N39,$B$5:$B$1517,"&lt;"&amp;B39)+COUNTIFS($N$5:$N$1517,N39,$B$5:$B$1517,B39,$C$5:$C$1517,"&lt;"&amp;C39),"")</f>
        <v/>
      </c>
      <c r="T39" s="8" t="n">
        <f aca="false">IF(O39&gt;=Models!$G$8,1+COUNTIF($O$5:$O$1517,"&gt;"&amp;O39)+COUNTIFS($O$5:$O$1517,O39,$B$5:$B$1517,"&lt;"&amp;B39)+COUNTIFS($O$5:$O$1517,O39,$B$5:$B$1517,B39,$C$5:$C$1517,"&lt;"&amp;C39),"")</f>
        <v>135</v>
      </c>
      <c r="U39" s="8" t="n">
        <f aca="false">IF($K39=1,COUNTIFS($L$5:$L$1517,"&gt;="&amp;L39,$K$5:$K$1517,1)/COUNTIF($L$5:$L$1517,"&gt;="&amp;L39),0)</f>
        <v>0</v>
      </c>
      <c r="V39" s="8" t="n">
        <f aca="false">IF($K39=1,COUNTIFS($M$5:$M$1517,"&gt;="&amp;M39,$K$5:$K$1517,1)/COUNTIF($M$5:$M$1517,"&gt;="&amp;M39),0)</f>
        <v>0</v>
      </c>
      <c r="W39" s="8" t="n">
        <f aca="false">IF($K39=1,COUNTIFS($N$5:$N$1517,"&gt;="&amp;N39,$K$5:$K$1517,1)/COUNTIF($N$5:$N$1517,"&gt;="&amp;N39),0)</f>
        <v>0</v>
      </c>
      <c r="X39" s="8" t="n">
        <f aca="false">IF($K39=1,COUNTIFS($O$5:$O$1517,"&gt;="&amp;O39,$K$5:$K$1517,1)/COUNTIF($O$5:$O$1517,"&gt;="&amp;O39),0)</f>
        <v>0</v>
      </c>
      <c r="Y39" s="8" t="n">
        <f aca="false">IF($K39=1,COUNTIFS($P$5:$P$1517,"&gt;="&amp;P39,$K$5:$K$1517,1)/COUNTIF($P$5:$P$1517,"&gt;="&amp;P39),0)</f>
        <v>0</v>
      </c>
      <c r="Z39" s="8" t="n">
        <f aca="false">(L39-$K39)^2</f>
        <v>0.269466886404</v>
      </c>
      <c r="AA39" s="8" t="n">
        <f aca="false">(M39-$K39)^2</f>
        <v>0.008475595969</v>
      </c>
      <c r="AB39" s="8" t="n">
        <f aca="false">(N39-$K39)^2</f>
        <v>0.0240777289</v>
      </c>
      <c r="AC39" s="8" t="n">
        <f aca="false">(O39-$K39)^2</f>
        <v>0.011274829489</v>
      </c>
      <c r="AD39" s="8" t="n">
        <f aca="false">(P39-$K39)^2</f>
        <v>0.027924749449</v>
      </c>
      <c r="AE39" s="8" t="n">
        <f aca="false">MIN(INT(ROUND(N39*1000000,0)/100000),9)</f>
        <v>1</v>
      </c>
      <c r="AF39" s="8" t="n">
        <f aca="false">MIN(INT(ROUND(P39*1000000,0)/100000),9)</f>
        <v>1</v>
      </c>
    </row>
    <row r="40" customFormat="false" ht="15" hidden="false" customHeight="false" outlineLevel="0" collapsed="false">
      <c r="A40" s="4" t="n">
        <v>36</v>
      </c>
      <c r="B40" s="4" t="n">
        <v>204</v>
      </c>
      <c r="C40" s="4" t="n">
        <v>0</v>
      </c>
      <c r="D40" s="11" t="n">
        <v>46054</v>
      </c>
      <c r="E40" s="4" t="s">
        <v>203</v>
      </c>
      <c r="F40" s="4" t="s">
        <v>210</v>
      </c>
      <c r="G40" s="4" t="n">
        <v>4</v>
      </c>
      <c r="H40" s="4" t="n">
        <v>2</v>
      </c>
      <c r="I40" s="4" t="n">
        <v>0</v>
      </c>
      <c r="J40" s="4"/>
      <c r="K40" s="4" t="n">
        <v>0</v>
      </c>
      <c r="L40" s="12" t="n">
        <v>0.730973</v>
      </c>
      <c r="M40" s="12" t="n">
        <v>0.092063</v>
      </c>
      <c r="N40" s="12" t="n">
        <v>0.059727</v>
      </c>
      <c r="O40" s="12" t="n">
        <v>0.106183</v>
      </c>
      <c r="P40" s="12" t="n">
        <v>0.061887</v>
      </c>
      <c r="Q40" s="0" t="str">
        <f aca="false">IF(L40&gt;=Models!$G$5,1+COUNTIF($L$5:$L$1517,"&gt;"&amp;L40)+COUNTIFS($L$5:$L$1517,L40,$B$5:$B$1517,"&lt;"&amp;B40)+COUNTIFS($L$5:$L$1517,L40,$B$5:$B$1517,B40,$C$5:$C$1517,"&lt;"&amp;C40),"")</f>
        <v/>
      </c>
      <c r="R40" s="0" t="str">
        <f aca="false">IF(M40&gt;=Models!$G$6,1+COUNTIF($M$5:$M$1517,"&gt;"&amp;M40)+COUNTIFS($M$5:$M$1517,M40,$B$5:$B$1517,"&lt;"&amp;B40)+COUNTIFS($M$5:$M$1517,M40,$B$5:$B$1517,B40,$C$5:$C$1517,"&lt;"&amp;C40),"")</f>
        <v/>
      </c>
      <c r="S40" s="0" t="str">
        <f aca="false">IF(N40&gt;=Models!$G$7,1+COUNTIF($N$5:$N$1517,"&gt;"&amp;N40)+COUNTIFS($N$5:$N$1517,N40,$B$5:$B$1517,"&lt;"&amp;B40)+COUNTIFS($N$5:$N$1517,N40,$B$5:$B$1517,B40,$C$5:$C$1517,"&lt;"&amp;C40),"")</f>
        <v/>
      </c>
      <c r="T40" s="8" t="n">
        <f aca="false">IF(O40&gt;=Models!$G$8,1+COUNTIF($O$5:$O$1517,"&gt;"&amp;O40)+COUNTIFS($O$5:$O$1517,O40,$B$5:$B$1517,"&lt;"&amp;B40)+COUNTIFS($O$5:$O$1517,O40,$B$5:$B$1517,B40,$C$5:$C$1517,"&lt;"&amp;C40),"")</f>
        <v>139</v>
      </c>
      <c r="U40" s="8" t="n">
        <f aca="false">IF($K40=1,COUNTIFS($L$5:$L$1517,"&gt;="&amp;L40,$K$5:$K$1517,1)/COUNTIF($L$5:$L$1517,"&gt;="&amp;L40),0)</f>
        <v>0</v>
      </c>
      <c r="V40" s="8" t="n">
        <f aca="false">IF($K40=1,COUNTIFS($M$5:$M$1517,"&gt;="&amp;M40,$K$5:$K$1517,1)/COUNTIF($M$5:$M$1517,"&gt;="&amp;M40),0)</f>
        <v>0</v>
      </c>
      <c r="W40" s="8" t="n">
        <f aca="false">IF($K40=1,COUNTIFS($N$5:$N$1517,"&gt;="&amp;N40,$K$5:$K$1517,1)/COUNTIF($N$5:$N$1517,"&gt;="&amp;N40),0)</f>
        <v>0</v>
      </c>
      <c r="X40" s="8" t="n">
        <f aca="false">IF($K40=1,COUNTIFS($O$5:$O$1517,"&gt;="&amp;O40,$K$5:$K$1517,1)/COUNTIF($O$5:$O$1517,"&gt;="&amp;O40),0)</f>
        <v>0</v>
      </c>
      <c r="Y40" s="8" t="n">
        <f aca="false">IF($K40=1,COUNTIFS($P$5:$P$1517,"&gt;="&amp;P40,$K$5:$K$1517,1)/COUNTIF($P$5:$P$1517,"&gt;="&amp;P40),0)</f>
        <v>0</v>
      </c>
      <c r="Z40" s="8" t="n">
        <f aca="false">(L40-$K40)^2</f>
        <v>0.534321526729</v>
      </c>
      <c r="AA40" s="8" t="n">
        <f aca="false">(M40-$K40)^2</f>
        <v>0.008475595969</v>
      </c>
      <c r="AB40" s="8" t="n">
        <f aca="false">(N40-$K40)^2</f>
        <v>0.003567314529</v>
      </c>
      <c r="AC40" s="8" t="n">
        <f aca="false">(O40-$K40)^2</f>
        <v>0.011274829489</v>
      </c>
      <c r="AD40" s="8" t="n">
        <f aca="false">(P40-$K40)^2</f>
        <v>0.003830000769</v>
      </c>
      <c r="AE40" s="8" t="n">
        <f aca="false">MIN(INT(ROUND(N40*1000000,0)/100000),9)</f>
        <v>0</v>
      </c>
      <c r="AF40" s="8" t="n">
        <f aca="false">MIN(INT(ROUND(P40*1000000,0)/100000),9)</f>
        <v>0</v>
      </c>
    </row>
    <row r="41" customFormat="false" ht="15" hidden="false" customHeight="false" outlineLevel="0" collapsed="false">
      <c r="A41" s="4" t="n">
        <v>37</v>
      </c>
      <c r="B41" s="4" t="n">
        <v>220</v>
      </c>
      <c r="C41" s="4" t="n">
        <v>0</v>
      </c>
      <c r="D41" s="11" t="n">
        <v>46054</v>
      </c>
      <c r="E41" s="4" t="s">
        <v>203</v>
      </c>
      <c r="F41" s="4" t="s">
        <v>206</v>
      </c>
      <c r="G41" s="4" t="n">
        <v>6</v>
      </c>
      <c r="H41" s="4" t="n">
        <v>5</v>
      </c>
      <c r="I41" s="4" t="n">
        <v>0</v>
      </c>
      <c r="J41" s="4"/>
      <c r="K41" s="4" t="n">
        <v>0</v>
      </c>
      <c r="L41" s="12" t="n">
        <v>0.958257</v>
      </c>
      <c r="M41" s="12" t="n">
        <v>0.092063</v>
      </c>
      <c r="N41" s="12" t="n">
        <v>0.051574</v>
      </c>
      <c r="O41" s="12" t="n">
        <v>0.106183</v>
      </c>
      <c r="P41" s="12" t="n">
        <v>0.053083</v>
      </c>
      <c r="Q41" s="0" t="str">
        <f aca="false">IF(L41&gt;=Models!$G$5,1+COUNTIF($L$5:$L$1517,"&gt;"&amp;L41)+COUNTIFS($L$5:$L$1517,L41,$B$5:$B$1517,"&lt;"&amp;B41)+COUNTIFS($L$5:$L$1517,L41,$B$5:$B$1517,B41,$C$5:$C$1517,"&lt;"&amp;C41),"")</f>
        <v/>
      </c>
      <c r="R41" s="0" t="str">
        <f aca="false">IF(M41&gt;=Models!$G$6,1+COUNTIF($M$5:$M$1517,"&gt;"&amp;M41)+COUNTIFS($M$5:$M$1517,M41,$B$5:$B$1517,"&lt;"&amp;B41)+COUNTIFS($M$5:$M$1517,M41,$B$5:$B$1517,B41,$C$5:$C$1517,"&lt;"&amp;C41),"")</f>
        <v/>
      </c>
      <c r="S41" s="0" t="str">
        <f aca="false">IF(N41&gt;=Models!$G$7,1+COUNTIF($N$5:$N$1517,"&gt;"&amp;N41)+COUNTIFS($N$5:$N$1517,N41,$B$5:$B$1517,"&lt;"&amp;B41)+COUNTIFS($N$5:$N$1517,N41,$B$5:$B$1517,B41,$C$5:$C$1517,"&lt;"&amp;C41),"")</f>
        <v/>
      </c>
      <c r="T41" s="8" t="n">
        <f aca="false">IF(O41&gt;=Models!$G$8,1+COUNTIF($O$5:$O$1517,"&gt;"&amp;O41)+COUNTIFS($O$5:$O$1517,O41,$B$5:$B$1517,"&lt;"&amp;B41)+COUNTIFS($O$5:$O$1517,O41,$B$5:$B$1517,B41,$C$5:$C$1517,"&lt;"&amp;C41),"")</f>
        <v>143</v>
      </c>
      <c r="U41" s="8" t="n">
        <f aca="false">IF($K41=1,COUNTIFS($L$5:$L$1517,"&gt;="&amp;L41,$K$5:$K$1517,1)/COUNTIF($L$5:$L$1517,"&gt;="&amp;L41),0)</f>
        <v>0</v>
      </c>
      <c r="V41" s="8" t="n">
        <f aca="false">IF($K41=1,COUNTIFS($M$5:$M$1517,"&gt;="&amp;M41,$K$5:$K$1517,1)/COUNTIF($M$5:$M$1517,"&gt;="&amp;M41),0)</f>
        <v>0</v>
      </c>
      <c r="W41" s="8" t="n">
        <f aca="false">IF($K41=1,COUNTIFS($N$5:$N$1517,"&gt;="&amp;N41,$K$5:$K$1517,1)/COUNTIF($N$5:$N$1517,"&gt;="&amp;N41),0)</f>
        <v>0</v>
      </c>
      <c r="X41" s="8" t="n">
        <f aca="false">IF($K41=1,COUNTIFS($O$5:$O$1517,"&gt;="&amp;O41,$K$5:$K$1517,1)/COUNTIF($O$5:$O$1517,"&gt;="&amp;O41),0)</f>
        <v>0</v>
      </c>
      <c r="Y41" s="8" t="n">
        <f aca="false">IF($K41=1,COUNTIFS($P$5:$P$1517,"&gt;="&amp;P41,$K$5:$K$1517,1)/COUNTIF($P$5:$P$1517,"&gt;="&amp;P41),0)</f>
        <v>0</v>
      </c>
      <c r="Z41" s="8" t="n">
        <f aca="false">(L41-$K41)^2</f>
        <v>0.918256478049</v>
      </c>
      <c r="AA41" s="8" t="n">
        <f aca="false">(M41-$K41)^2</f>
        <v>0.008475595969</v>
      </c>
      <c r="AB41" s="8" t="n">
        <f aca="false">(N41-$K41)^2</f>
        <v>0.002659877476</v>
      </c>
      <c r="AC41" s="8" t="n">
        <f aca="false">(O41-$K41)^2</f>
        <v>0.011274829489</v>
      </c>
      <c r="AD41" s="8" t="n">
        <f aca="false">(P41-$K41)^2</f>
        <v>0.002817804889</v>
      </c>
      <c r="AE41" s="8" t="n">
        <f aca="false">MIN(INT(ROUND(N41*1000000,0)/100000),9)</f>
        <v>0</v>
      </c>
      <c r="AF41" s="8" t="n">
        <f aca="false">MIN(INT(ROUND(P41*1000000,0)/100000),9)</f>
        <v>0</v>
      </c>
    </row>
    <row r="42" customFormat="false" ht="15" hidden="false" customHeight="false" outlineLevel="0" collapsed="false">
      <c r="A42" s="4" t="n">
        <v>38</v>
      </c>
      <c r="B42" s="4" t="n">
        <v>228</v>
      </c>
      <c r="C42" s="4" t="n">
        <v>0</v>
      </c>
      <c r="D42" s="11" t="n">
        <v>46054</v>
      </c>
      <c r="E42" s="4" t="s">
        <v>204</v>
      </c>
      <c r="F42" s="4" t="s">
        <v>206</v>
      </c>
      <c r="G42" s="4" t="n">
        <v>6</v>
      </c>
      <c r="H42" s="4" t="n">
        <v>0</v>
      </c>
      <c r="I42" s="4" t="n">
        <v>0</v>
      </c>
      <c r="J42" s="4"/>
      <c r="K42" s="4" t="n">
        <v>0</v>
      </c>
      <c r="L42" s="12" t="n">
        <v>0.996429</v>
      </c>
      <c r="M42" s="12" t="n">
        <v>0.092063</v>
      </c>
      <c r="N42" s="12" t="n">
        <v>0.049606</v>
      </c>
      <c r="O42" s="12" t="n">
        <v>0.106183</v>
      </c>
      <c r="P42" s="12" t="n">
        <v>0.050966</v>
      </c>
      <c r="Q42" s="8" t="n">
        <f aca="false">IF(L42&gt;=Models!$G$5,1+COUNTIF($L$5:$L$1517,"&gt;"&amp;L42)+COUNTIFS($L$5:$L$1517,L42,$B$5:$B$1517,"&lt;"&amp;B42)+COUNTIFS($L$5:$L$1517,L42,$B$5:$B$1517,B42,$C$5:$C$1517,"&lt;"&amp;C42),"")</f>
        <v>3</v>
      </c>
      <c r="R42" s="0" t="str">
        <f aca="false">IF(M42&gt;=Models!$G$6,1+COUNTIF($M$5:$M$1517,"&gt;"&amp;M42)+COUNTIFS($M$5:$M$1517,M42,$B$5:$B$1517,"&lt;"&amp;B42)+COUNTIFS($M$5:$M$1517,M42,$B$5:$B$1517,B42,$C$5:$C$1517,"&lt;"&amp;C42),"")</f>
        <v/>
      </c>
      <c r="S42" s="0" t="str">
        <f aca="false">IF(N42&gt;=Models!$G$7,1+COUNTIF($N$5:$N$1517,"&gt;"&amp;N42)+COUNTIFS($N$5:$N$1517,N42,$B$5:$B$1517,"&lt;"&amp;B42)+COUNTIFS($N$5:$N$1517,N42,$B$5:$B$1517,B42,$C$5:$C$1517,"&lt;"&amp;C42),"")</f>
        <v/>
      </c>
      <c r="T42" s="8" t="n">
        <f aca="false">IF(O42&gt;=Models!$G$8,1+COUNTIF($O$5:$O$1517,"&gt;"&amp;O42)+COUNTIFS($O$5:$O$1517,O42,$B$5:$B$1517,"&lt;"&amp;B42)+COUNTIFS($O$5:$O$1517,O42,$B$5:$B$1517,B42,$C$5:$C$1517,"&lt;"&amp;C42),"")</f>
        <v>147</v>
      </c>
      <c r="U42" s="8" t="n">
        <f aca="false">IF($K42=1,COUNTIFS($L$5:$L$1517,"&gt;="&amp;L42,$K$5:$K$1517,1)/COUNTIF($L$5:$L$1517,"&gt;="&amp;L42),0)</f>
        <v>0</v>
      </c>
      <c r="V42" s="8" t="n">
        <f aca="false">IF($K42=1,COUNTIFS($M$5:$M$1517,"&gt;="&amp;M42,$K$5:$K$1517,1)/COUNTIF($M$5:$M$1517,"&gt;="&amp;M42),0)</f>
        <v>0</v>
      </c>
      <c r="W42" s="8" t="n">
        <f aca="false">IF($K42=1,COUNTIFS($N$5:$N$1517,"&gt;="&amp;N42,$K$5:$K$1517,1)/COUNTIF($N$5:$N$1517,"&gt;="&amp;N42),0)</f>
        <v>0</v>
      </c>
      <c r="X42" s="8" t="n">
        <f aca="false">IF($K42=1,COUNTIFS($O$5:$O$1517,"&gt;="&amp;O42,$K$5:$K$1517,1)/COUNTIF($O$5:$O$1517,"&gt;="&amp;O42),0)</f>
        <v>0</v>
      </c>
      <c r="Y42" s="8" t="n">
        <f aca="false">IF($K42=1,COUNTIFS($P$5:$P$1517,"&gt;="&amp;P42,$K$5:$K$1517,1)/COUNTIF($P$5:$P$1517,"&gt;="&amp;P42),0)</f>
        <v>0</v>
      </c>
      <c r="Z42" s="8" t="n">
        <f aca="false">(L42-$K42)^2</f>
        <v>0.992870752041</v>
      </c>
      <c r="AA42" s="8" t="n">
        <f aca="false">(M42-$K42)^2</f>
        <v>0.008475595969</v>
      </c>
      <c r="AB42" s="8" t="n">
        <f aca="false">(N42-$K42)^2</f>
        <v>0.002460755236</v>
      </c>
      <c r="AC42" s="8" t="n">
        <f aca="false">(O42-$K42)^2</f>
        <v>0.011274829489</v>
      </c>
      <c r="AD42" s="8" t="n">
        <f aca="false">(P42-$K42)^2</f>
        <v>0.002597533156</v>
      </c>
      <c r="AE42" s="8" t="n">
        <f aca="false">MIN(INT(ROUND(N42*1000000,0)/100000),9)</f>
        <v>0</v>
      </c>
      <c r="AF42" s="8" t="n">
        <f aca="false">MIN(INT(ROUND(P42*1000000,0)/100000),9)</f>
        <v>0</v>
      </c>
    </row>
    <row r="43" customFormat="false" ht="15" hidden="false" customHeight="false" outlineLevel="0" collapsed="false">
      <c r="A43" s="4" t="n">
        <v>39</v>
      </c>
      <c r="B43" s="4" t="n">
        <v>229</v>
      </c>
      <c r="C43" s="4" t="n">
        <v>0</v>
      </c>
      <c r="D43" s="11" t="n">
        <v>46054</v>
      </c>
      <c r="E43" s="4" t="s">
        <v>204</v>
      </c>
      <c r="F43" s="4" t="s">
        <v>206</v>
      </c>
      <c r="G43" s="4" t="n">
        <v>5</v>
      </c>
      <c r="H43" s="4" t="n">
        <v>3</v>
      </c>
      <c r="I43" s="4" t="n">
        <v>0</v>
      </c>
      <c r="J43" s="4"/>
      <c r="K43" s="4" t="n">
        <v>0</v>
      </c>
      <c r="L43" s="12" t="n">
        <v>0.516942</v>
      </c>
      <c r="M43" s="12" t="n">
        <v>0.092063</v>
      </c>
      <c r="N43" s="12" t="n">
        <v>0.055295</v>
      </c>
      <c r="O43" s="12" t="n">
        <v>0.106183</v>
      </c>
      <c r="P43" s="12" t="n">
        <v>0.057095</v>
      </c>
      <c r="Q43" s="0" t="str">
        <f aca="false">IF(L43&gt;=Models!$G$5,1+COUNTIF($L$5:$L$1517,"&gt;"&amp;L43)+COUNTIFS($L$5:$L$1517,L43,$B$5:$B$1517,"&lt;"&amp;B43)+COUNTIFS($L$5:$L$1517,L43,$B$5:$B$1517,B43,$C$5:$C$1517,"&lt;"&amp;C43),"")</f>
        <v/>
      </c>
      <c r="R43" s="0" t="str">
        <f aca="false">IF(M43&gt;=Models!$G$6,1+COUNTIF($M$5:$M$1517,"&gt;"&amp;M43)+COUNTIFS($M$5:$M$1517,M43,$B$5:$B$1517,"&lt;"&amp;B43)+COUNTIFS($M$5:$M$1517,M43,$B$5:$B$1517,B43,$C$5:$C$1517,"&lt;"&amp;C43),"")</f>
        <v/>
      </c>
      <c r="S43" s="0" t="str">
        <f aca="false">IF(N43&gt;=Models!$G$7,1+COUNTIF($N$5:$N$1517,"&gt;"&amp;N43)+COUNTIFS($N$5:$N$1517,N43,$B$5:$B$1517,"&lt;"&amp;B43)+COUNTIFS($N$5:$N$1517,N43,$B$5:$B$1517,B43,$C$5:$C$1517,"&lt;"&amp;C43),"")</f>
        <v/>
      </c>
      <c r="T43" s="8" t="n">
        <f aca="false">IF(O43&gt;=Models!$G$8,1+COUNTIF($O$5:$O$1517,"&gt;"&amp;O43)+COUNTIFS($O$5:$O$1517,O43,$B$5:$B$1517,"&lt;"&amp;B43)+COUNTIFS($O$5:$O$1517,O43,$B$5:$B$1517,B43,$C$5:$C$1517,"&lt;"&amp;C43),"")</f>
        <v>151</v>
      </c>
      <c r="U43" s="8" t="n">
        <f aca="false">IF($K43=1,COUNTIFS($L$5:$L$1517,"&gt;="&amp;L43,$K$5:$K$1517,1)/COUNTIF($L$5:$L$1517,"&gt;="&amp;L43),0)</f>
        <v>0</v>
      </c>
      <c r="V43" s="8" t="n">
        <f aca="false">IF($K43=1,COUNTIFS($M$5:$M$1517,"&gt;="&amp;M43,$K$5:$K$1517,1)/COUNTIF($M$5:$M$1517,"&gt;="&amp;M43),0)</f>
        <v>0</v>
      </c>
      <c r="W43" s="8" t="n">
        <f aca="false">IF($K43=1,COUNTIFS($N$5:$N$1517,"&gt;="&amp;N43,$K$5:$K$1517,1)/COUNTIF($N$5:$N$1517,"&gt;="&amp;N43),0)</f>
        <v>0</v>
      </c>
      <c r="X43" s="8" t="n">
        <f aca="false">IF($K43=1,COUNTIFS($O$5:$O$1517,"&gt;="&amp;O43,$K$5:$K$1517,1)/COUNTIF($O$5:$O$1517,"&gt;="&amp;O43),0)</f>
        <v>0</v>
      </c>
      <c r="Y43" s="8" t="n">
        <f aca="false">IF($K43=1,COUNTIFS($P$5:$P$1517,"&gt;="&amp;P43,$K$5:$K$1517,1)/COUNTIF($P$5:$P$1517,"&gt;="&amp;P43),0)</f>
        <v>0</v>
      </c>
      <c r="Z43" s="8" t="n">
        <f aca="false">(L43-$K43)^2</f>
        <v>0.267229031364</v>
      </c>
      <c r="AA43" s="8" t="n">
        <f aca="false">(M43-$K43)^2</f>
        <v>0.008475595969</v>
      </c>
      <c r="AB43" s="8" t="n">
        <f aca="false">(N43-$K43)^2</f>
        <v>0.003057537025</v>
      </c>
      <c r="AC43" s="8" t="n">
        <f aca="false">(O43-$K43)^2</f>
        <v>0.011274829489</v>
      </c>
      <c r="AD43" s="8" t="n">
        <f aca="false">(P43-$K43)^2</f>
        <v>0.003259839025</v>
      </c>
      <c r="AE43" s="8" t="n">
        <f aca="false">MIN(INT(ROUND(N43*1000000,0)/100000),9)</f>
        <v>0</v>
      </c>
      <c r="AF43" s="8" t="n">
        <f aca="false">MIN(INT(ROUND(P43*1000000,0)/100000),9)</f>
        <v>0</v>
      </c>
    </row>
    <row r="44" customFormat="false" ht="15" hidden="false" customHeight="false" outlineLevel="0" collapsed="false">
      <c r="A44" s="4" t="n">
        <v>40</v>
      </c>
      <c r="B44" s="4" t="n">
        <v>231</v>
      </c>
      <c r="C44" s="4" t="n">
        <v>0</v>
      </c>
      <c r="D44" s="11" t="n">
        <v>46054</v>
      </c>
      <c r="E44" s="4" t="s">
        <v>204</v>
      </c>
      <c r="F44" s="4" t="s">
        <v>209</v>
      </c>
      <c r="G44" s="4" t="n">
        <v>2</v>
      </c>
      <c r="H44" s="4" t="n">
        <v>19</v>
      </c>
      <c r="I44" s="4" t="n">
        <v>0</v>
      </c>
      <c r="J44" s="4" t="n">
        <v>102</v>
      </c>
      <c r="K44" s="4" t="n">
        <v>1</v>
      </c>
      <c r="L44" s="12" t="n">
        <v>0.086617</v>
      </c>
      <c r="M44" s="12" t="n">
        <v>0.092063</v>
      </c>
      <c r="N44" s="12" t="n">
        <v>0.156267</v>
      </c>
      <c r="O44" s="12" t="n">
        <v>0.106183</v>
      </c>
      <c r="P44" s="12" t="n">
        <v>0.168327</v>
      </c>
      <c r="Q44" s="0" t="str">
        <f aca="false">IF(L44&gt;=Models!$G$5,1+COUNTIF($L$5:$L$1517,"&gt;"&amp;L44)+COUNTIFS($L$5:$L$1517,L44,$B$5:$B$1517,"&lt;"&amp;B44)+COUNTIFS($L$5:$L$1517,L44,$B$5:$B$1517,B44,$C$5:$C$1517,"&lt;"&amp;C44),"")</f>
        <v/>
      </c>
      <c r="R44" s="0" t="str">
        <f aca="false">IF(M44&gt;=Models!$G$6,1+COUNTIF($M$5:$M$1517,"&gt;"&amp;M44)+COUNTIFS($M$5:$M$1517,M44,$B$5:$B$1517,"&lt;"&amp;B44)+COUNTIFS($M$5:$M$1517,M44,$B$5:$B$1517,B44,$C$5:$C$1517,"&lt;"&amp;C44),"")</f>
        <v/>
      </c>
      <c r="S44" s="0" t="str">
        <f aca="false">IF(N44&gt;=Models!$G$7,1+COUNTIF($N$5:$N$1517,"&gt;"&amp;N44)+COUNTIFS($N$5:$N$1517,N44,$B$5:$B$1517,"&lt;"&amp;B44)+COUNTIFS($N$5:$N$1517,N44,$B$5:$B$1517,B44,$C$5:$C$1517,"&lt;"&amp;C44),"")</f>
        <v/>
      </c>
      <c r="T44" s="8" t="n">
        <f aca="false">IF(O44&gt;=Models!$G$8,1+COUNTIF($O$5:$O$1517,"&gt;"&amp;O44)+COUNTIFS($O$5:$O$1517,O44,$B$5:$B$1517,"&lt;"&amp;B44)+COUNTIFS($O$5:$O$1517,O44,$B$5:$B$1517,B44,$C$5:$C$1517,"&lt;"&amp;C44),"")</f>
        <v>155</v>
      </c>
      <c r="U44" s="8" t="n">
        <f aca="false">IF($K44=1,COUNTIFS($L$5:$L$1517,"&gt;="&amp;L44,$K$5:$K$1517,1)/COUNTIF($L$5:$L$1517,"&gt;="&amp;L44),0)</f>
        <v>0.12463768115942</v>
      </c>
      <c r="V44" s="8" t="n">
        <f aca="false">IF($K44=1,COUNTIFS($M$5:$M$1517,"&gt;="&amp;M44,$K$5:$K$1517,1)/COUNTIF($M$5:$M$1517,"&gt;="&amp;M44),0)</f>
        <v>0.12491738268341</v>
      </c>
      <c r="W44" s="8" t="n">
        <f aca="false">IF($K44=1,COUNTIFS($N$5:$N$1517,"&gt;="&amp;N44,$K$5:$K$1517,1)/COUNTIF($N$5:$N$1517,"&gt;="&amp;N44),0)</f>
        <v>0.307692307692308</v>
      </c>
      <c r="X44" s="8" t="n">
        <f aca="false">IF($K44=1,COUNTIFS($O$5:$O$1517,"&gt;="&amp;O44,$K$5:$K$1517,1)/COUNTIF($O$5:$O$1517,"&gt;="&amp;O44),0)</f>
        <v>0.12491738268341</v>
      </c>
      <c r="Y44" s="8" t="n">
        <f aca="false">IF($K44=1,COUNTIFS($P$5:$P$1517,"&gt;="&amp;P44,$K$5:$K$1517,1)/COUNTIF($P$5:$P$1517,"&gt;="&amp;P44),0)</f>
        <v>0.307692307692308</v>
      </c>
      <c r="Z44" s="8" t="n">
        <f aca="false">(L44-$K44)^2</f>
        <v>0.834268504689</v>
      </c>
      <c r="AA44" s="8" t="n">
        <f aca="false">(M44-$K44)^2</f>
        <v>0.824349595969</v>
      </c>
      <c r="AB44" s="8" t="n">
        <f aca="false">(N44-$K44)^2</f>
        <v>0.711885375289</v>
      </c>
      <c r="AC44" s="8" t="n">
        <f aca="false">(O44-$K44)^2</f>
        <v>0.798908829489</v>
      </c>
      <c r="AD44" s="8" t="n">
        <f aca="false">(P44-$K44)^2</f>
        <v>0.691679978929</v>
      </c>
      <c r="AE44" s="8" t="n">
        <f aca="false">MIN(INT(ROUND(N44*1000000,0)/100000),9)</f>
        <v>1</v>
      </c>
      <c r="AF44" s="8" t="n">
        <f aca="false">MIN(INT(ROUND(P44*1000000,0)/100000),9)</f>
        <v>1</v>
      </c>
    </row>
    <row r="45" customFormat="false" ht="15" hidden="false" customHeight="false" outlineLevel="0" collapsed="false">
      <c r="A45" s="4" t="n">
        <v>41</v>
      </c>
      <c r="B45" s="4" t="n">
        <v>232</v>
      </c>
      <c r="C45" s="4" t="n">
        <v>0</v>
      </c>
      <c r="D45" s="11" t="n">
        <v>46054</v>
      </c>
      <c r="E45" s="4" t="s">
        <v>202</v>
      </c>
      <c r="F45" s="4" t="s">
        <v>206</v>
      </c>
      <c r="G45" s="4" t="n">
        <v>5</v>
      </c>
      <c r="H45" s="4" t="n">
        <v>5</v>
      </c>
      <c r="I45" s="4" t="n">
        <v>0</v>
      </c>
      <c r="J45" s="4"/>
      <c r="K45" s="4" t="n">
        <v>0</v>
      </c>
      <c r="L45" s="12" t="n">
        <v>0.039882</v>
      </c>
      <c r="M45" s="12" t="n">
        <v>0.092063</v>
      </c>
      <c r="N45" s="12" t="n">
        <v>0.056157</v>
      </c>
      <c r="O45" s="12" t="n">
        <v>0.106183</v>
      </c>
      <c r="P45" s="12" t="n">
        <v>0.058026</v>
      </c>
      <c r="Q45" s="0" t="str">
        <f aca="false">IF(L45&gt;=Models!$G$5,1+COUNTIF($L$5:$L$1517,"&gt;"&amp;L45)+COUNTIFS($L$5:$L$1517,L45,$B$5:$B$1517,"&lt;"&amp;B45)+COUNTIFS($L$5:$L$1517,L45,$B$5:$B$1517,B45,$C$5:$C$1517,"&lt;"&amp;C45),"")</f>
        <v/>
      </c>
      <c r="R45" s="0" t="str">
        <f aca="false">IF(M45&gt;=Models!$G$6,1+COUNTIF($M$5:$M$1517,"&gt;"&amp;M45)+COUNTIFS($M$5:$M$1517,M45,$B$5:$B$1517,"&lt;"&amp;B45)+COUNTIFS($M$5:$M$1517,M45,$B$5:$B$1517,B45,$C$5:$C$1517,"&lt;"&amp;C45),"")</f>
        <v/>
      </c>
      <c r="S45" s="0" t="str">
        <f aca="false">IF(N45&gt;=Models!$G$7,1+COUNTIF($N$5:$N$1517,"&gt;"&amp;N45)+COUNTIFS($N$5:$N$1517,N45,$B$5:$B$1517,"&lt;"&amp;B45)+COUNTIFS($N$5:$N$1517,N45,$B$5:$B$1517,B45,$C$5:$C$1517,"&lt;"&amp;C45),"")</f>
        <v/>
      </c>
      <c r="T45" s="8" t="n">
        <f aca="false">IF(O45&gt;=Models!$G$8,1+COUNTIF($O$5:$O$1517,"&gt;"&amp;O45)+COUNTIFS($O$5:$O$1517,O45,$B$5:$B$1517,"&lt;"&amp;B45)+COUNTIFS($O$5:$O$1517,O45,$B$5:$B$1517,B45,$C$5:$C$1517,"&lt;"&amp;C45),"")</f>
        <v>158</v>
      </c>
      <c r="U45" s="8" t="n">
        <f aca="false">IF($K45=1,COUNTIFS($L$5:$L$1517,"&gt;="&amp;L45,$K$5:$K$1517,1)/COUNTIF($L$5:$L$1517,"&gt;="&amp;L45),0)</f>
        <v>0</v>
      </c>
      <c r="V45" s="8" t="n">
        <f aca="false">IF($K45=1,COUNTIFS($M$5:$M$1517,"&gt;="&amp;M45,$K$5:$K$1517,1)/COUNTIF($M$5:$M$1517,"&gt;="&amp;M45),0)</f>
        <v>0</v>
      </c>
      <c r="W45" s="8" t="n">
        <f aca="false">IF($K45=1,COUNTIFS($N$5:$N$1517,"&gt;="&amp;N45,$K$5:$K$1517,1)/COUNTIF($N$5:$N$1517,"&gt;="&amp;N45),0)</f>
        <v>0</v>
      </c>
      <c r="X45" s="8" t="n">
        <f aca="false">IF($K45=1,COUNTIFS($O$5:$O$1517,"&gt;="&amp;O45,$K$5:$K$1517,1)/COUNTIF($O$5:$O$1517,"&gt;="&amp;O45),0)</f>
        <v>0</v>
      </c>
      <c r="Y45" s="8" t="n">
        <f aca="false">IF($K45=1,COUNTIFS($P$5:$P$1517,"&gt;="&amp;P45,$K$5:$K$1517,1)/COUNTIF($P$5:$P$1517,"&gt;="&amp;P45),0)</f>
        <v>0</v>
      </c>
      <c r="Z45" s="8" t="n">
        <f aca="false">(L45-$K45)^2</f>
        <v>0.001590573924</v>
      </c>
      <c r="AA45" s="8" t="n">
        <f aca="false">(M45-$K45)^2</f>
        <v>0.008475595969</v>
      </c>
      <c r="AB45" s="8" t="n">
        <f aca="false">(N45-$K45)^2</f>
        <v>0.003153608649</v>
      </c>
      <c r="AC45" s="8" t="n">
        <f aca="false">(O45-$K45)^2</f>
        <v>0.011274829489</v>
      </c>
      <c r="AD45" s="8" t="n">
        <f aca="false">(P45-$K45)^2</f>
        <v>0.003367016676</v>
      </c>
      <c r="AE45" s="8" t="n">
        <f aca="false">MIN(INT(ROUND(N45*1000000,0)/100000),9)</f>
        <v>0</v>
      </c>
      <c r="AF45" s="8" t="n">
        <f aca="false">MIN(INT(ROUND(P45*1000000,0)/100000),9)</f>
        <v>0</v>
      </c>
    </row>
    <row r="46" customFormat="false" ht="15" hidden="false" customHeight="false" outlineLevel="0" collapsed="false">
      <c r="A46" s="4" t="n">
        <v>42</v>
      </c>
      <c r="B46" s="4" t="n">
        <v>236</v>
      </c>
      <c r="C46" s="4" t="n">
        <v>0</v>
      </c>
      <c r="D46" s="11" t="n">
        <v>46054</v>
      </c>
      <c r="E46" s="4" t="s">
        <v>201</v>
      </c>
      <c r="F46" s="4" t="s">
        <v>210</v>
      </c>
      <c r="G46" s="4" t="n">
        <v>10</v>
      </c>
      <c r="H46" s="4" t="n">
        <v>5</v>
      </c>
      <c r="I46" s="4" t="n">
        <v>0</v>
      </c>
      <c r="J46" s="4" t="n">
        <v>8850</v>
      </c>
      <c r="K46" s="4" t="n">
        <v>0</v>
      </c>
      <c r="L46" s="12" t="n">
        <v>0.633489</v>
      </c>
      <c r="M46" s="12" t="n">
        <v>0.092063</v>
      </c>
      <c r="N46" s="12" t="n">
        <v>0.046136</v>
      </c>
      <c r="O46" s="12" t="n">
        <v>0.106183</v>
      </c>
      <c r="P46" s="12" t="n">
        <v>0.047243</v>
      </c>
      <c r="Q46" s="0" t="str">
        <f aca="false">IF(L46&gt;=Models!$G$5,1+COUNTIF($L$5:$L$1517,"&gt;"&amp;L46)+COUNTIFS($L$5:$L$1517,L46,$B$5:$B$1517,"&lt;"&amp;B46)+COUNTIFS($L$5:$L$1517,L46,$B$5:$B$1517,B46,$C$5:$C$1517,"&lt;"&amp;C46),"")</f>
        <v/>
      </c>
      <c r="R46" s="0" t="str">
        <f aca="false">IF(M46&gt;=Models!$G$6,1+COUNTIF($M$5:$M$1517,"&gt;"&amp;M46)+COUNTIFS($M$5:$M$1517,M46,$B$5:$B$1517,"&lt;"&amp;B46)+COUNTIFS($M$5:$M$1517,M46,$B$5:$B$1517,B46,$C$5:$C$1517,"&lt;"&amp;C46),"")</f>
        <v/>
      </c>
      <c r="S46" s="0" t="str">
        <f aca="false">IF(N46&gt;=Models!$G$7,1+COUNTIF($N$5:$N$1517,"&gt;"&amp;N46)+COUNTIFS($N$5:$N$1517,N46,$B$5:$B$1517,"&lt;"&amp;B46)+COUNTIFS($N$5:$N$1517,N46,$B$5:$B$1517,B46,$C$5:$C$1517,"&lt;"&amp;C46),"")</f>
        <v/>
      </c>
      <c r="T46" s="8" t="n">
        <f aca="false">IF(O46&gt;=Models!$G$8,1+COUNTIF($O$5:$O$1517,"&gt;"&amp;O46)+COUNTIFS($O$5:$O$1517,O46,$B$5:$B$1517,"&lt;"&amp;B46)+COUNTIFS($O$5:$O$1517,O46,$B$5:$B$1517,B46,$C$5:$C$1517,"&lt;"&amp;C46),"")</f>
        <v>162</v>
      </c>
      <c r="U46" s="8" t="n">
        <f aca="false">IF($K46=1,COUNTIFS($L$5:$L$1517,"&gt;="&amp;L46,$K$5:$K$1517,1)/COUNTIF($L$5:$L$1517,"&gt;="&amp;L46),0)</f>
        <v>0</v>
      </c>
      <c r="V46" s="8" t="n">
        <f aca="false">IF($K46=1,COUNTIFS($M$5:$M$1517,"&gt;="&amp;M46,$K$5:$K$1517,1)/COUNTIF($M$5:$M$1517,"&gt;="&amp;M46),0)</f>
        <v>0</v>
      </c>
      <c r="W46" s="8" t="n">
        <f aca="false">IF($K46=1,COUNTIFS($N$5:$N$1517,"&gt;="&amp;N46,$K$5:$K$1517,1)/COUNTIF($N$5:$N$1517,"&gt;="&amp;N46),0)</f>
        <v>0</v>
      </c>
      <c r="X46" s="8" t="n">
        <f aca="false">IF($K46=1,COUNTIFS($O$5:$O$1517,"&gt;="&amp;O46,$K$5:$K$1517,1)/COUNTIF($O$5:$O$1517,"&gt;="&amp;O46),0)</f>
        <v>0</v>
      </c>
      <c r="Y46" s="8" t="n">
        <f aca="false">IF($K46=1,COUNTIFS($P$5:$P$1517,"&gt;="&amp;P46,$K$5:$K$1517,1)/COUNTIF($P$5:$P$1517,"&gt;="&amp;P46),0)</f>
        <v>0</v>
      </c>
      <c r="Z46" s="8" t="n">
        <f aca="false">(L46-$K46)^2</f>
        <v>0.401308313121</v>
      </c>
      <c r="AA46" s="8" t="n">
        <f aca="false">(M46-$K46)^2</f>
        <v>0.008475595969</v>
      </c>
      <c r="AB46" s="8" t="n">
        <f aca="false">(N46-$K46)^2</f>
        <v>0.002128530496</v>
      </c>
      <c r="AC46" s="8" t="n">
        <f aca="false">(O46-$K46)^2</f>
        <v>0.011274829489</v>
      </c>
      <c r="AD46" s="8" t="n">
        <f aca="false">(P46-$K46)^2</f>
        <v>0.002231901049</v>
      </c>
      <c r="AE46" s="8" t="n">
        <f aca="false">MIN(INT(ROUND(N46*1000000,0)/100000),9)</f>
        <v>0</v>
      </c>
      <c r="AF46" s="8" t="n">
        <f aca="false">MIN(INT(ROUND(P46*1000000,0)/100000),9)</f>
        <v>0</v>
      </c>
    </row>
    <row r="47" customFormat="false" ht="15" hidden="false" customHeight="false" outlineLevel="0" collapsed="false">
      <c r="A47" s="4" t="n">
        <v>43</v>
      </c>
      <c r="B47" s="4" t="n">
        <v>237</v>
      </c>
      <c r="C47" s="4" t="n">
        <v>0</v>
      </c>
      <c r="D47" s="11" t="n">
        <v>46054</v>
      </c>
      <c r="E47" s="4" t="s">
        <v>202</v>
      </c>
      <c r="F47" s="4" t="s">
        <v>206</v>
      </c>
      <c r="G47" s="4" t="n">
        <v>5</v>
      </c>
      <c r="H47" s="4" t="n">
        <v>0</v>
      </c>
      <c r="I47" s="4" t="n">
        <v>1</v>
      </c>
      <c r="J47" s="4"/>
      <c r="K47" s="4" t="n">
        <v>0</v>
      </c>
      <c r="L47" s="12" t="n">
        <v>0.846216</v>
      </c>
      <c r="M47" s="12" t="n">
        <v>0.184211</v>
      </c>
      <c r="N47" s="12" t="n">
        <v>0.093916</v>
      </c>
      <c r="O47" s="12" t="n">
        <v>0.106183</v>
      </c>
      <c r="P47" s="12" t="n">
        <v>0.099248</v>
      </c>
      <c r="Q47" s="0" t="str">
        <f aca="false">IF(L47&gt;=Models!$G$5,1+COUNTIF($L$5:$L$1517,"&gt;"&amp;L47)+COUNTIFS($L$5:$L$1517,L47,$B$5:$B$1517,"&lt;"&amp;B47)+COUNTIFS($L$5:$L$1517,L47,$B$5:$B$1517,B47,$C$5:$C$1517,"&lt;"&amp;C47),"")</f>
        <v/>
      </c>
      <c r="R47" s="8" t="n">
        <f aca="false">IF(M47&gt;=Models!$G$6,1+COUNTIF($M$5:$M$1517,"&gt;"&amp;M47)+COUNTIFS($M$5:$M$1517,M47,$B$5:$B$1517,"&lt;"&amp;B47)+COUNTIFS($M$5:$M$1517,M47,$B$5:$B$1517,B47,$C$5:$C$1517,"&lt;"&amp;C47),"")</f>
        <v>18</v>
      </c>
      <c r="S47" s="0" t="str">
        <f aca="false">IF(N47&gt;=Models!$G$7,1+COUNTIF($N$5:$N$1517,"&gt;"&amp;N47)+COUNTIFS($N$5:$N$1517,N47,$B$5:$B$1517,"&lt;"&amp;B47)+COUNTIFS($N$5:$N$1517,N47,$B$5:$B$1517,B47,$C$5:$C$1517,"&lt;"&amp;C47),"")</f>
        <v/>
      </c>
      <c r="T47" s="8" t="n">
        <f aca="false">IF(O47&gt;=Models!$G$8,1+COUNTIF($O$5:$O$1517,"&gt;"&amp;O47)+COUNTIFS($O$5:$O$1517,O47,$B$5:$B$1517,"&lt;"&amp;B47)+COUNTIFS($O$5:$O$1517,O47,$B$5:$B$1517,B47,$C$5:$C$1517,"&lt;"&amp;C47),"")</f>
        <v>166</v>
      </c>
      <c r="U47" s="8" t="n">
        <f aca="false">IF($K47=1,COUNTIFS($L$5:$L$1517,"&gt;="&amp;L47,$K$5:$K$1517,1)/COUNTIF($L$5:$L$1517,"&gt;="&amp;L47),0)</f>
        <v>0</v>
      </c>
      <c r="V47" s="8" t="n">
        <f aca="false">IF($K47=1,COUNTIFS($M$5:$M$1517,"&gt;="&amp;M47,$K$5:$K$1517,1)/COUNTIF($M$5:$M$1517,"&gt;="&amp;M47),0)</f>
        <v>0</v>
      </c>
      <c r="W47" s="8" t="n">
        <f aca="false">IF($K47=1,COUNTIFS($N$5:$N$1517,"&gt;="&amp;N47,$K$5:$K$1517,1)/COUNTIF($N$5:$N$1517,"&gt;="&amp;N47),0)</f>
        <v>0</v>
      </c>
      <c r="X47" s="8" t="n">
        <f aca="false">IF($K47=1,COUNTIFS($O$5:$O$1517,"&gt;="&amp;O47,$K$5:$K$1517,1)/COUNTIF($O$5:$O$1517,"&gt;="&amp;O47),0)</f>
        <v>0</v>
      </c>
      <c r="Y47" s="8" t="n">
        <f aca="false">IF($K47=1,COUNTIFS($P$5:$P$1517,"&gt;="&amp;P47,$K$5:$K$1517,1)/COUNTIF($P$5:$P$1517,"&gt;="&amp;P47),0)</f>
        <v>0</v>
      </c>
      <c r="Z47" s="8" t="n">
        <f aca="false">(L47-$K47)^2</f>
        <v>0.716081518656</v>
      </c>
      <c r="AA47" s="8" t="n">
        <f aca="false">(M47-$K47)^2</f>
        <v>0.033933692521</v>
      </c>
      <c r="AB47" s="8" t="n">
        <f aca="false">(N47-$K47)^2</f>
        <v>0.008820215056</v>
      </c>
      <c r="AC47" s="8" t="n">
        <f aca="false">(O47-$K47)^2</f>
        <v>0.011274829489</v>
      </c>
      <c r="AD47" s="8" t="n">
        <f aca="false">(P47-$K47)^2</f>
        <v>0.009850165504</v>
      </c>
      <c r="AE47" s="8" t="n">
        <f aca="false">MIN(INT(ROUND(N47*1000000,0)/100000),9)</f>
        <v>0</v>
      </c>
      <c r="AF47" s="8" t="n">
        <f aca="false">MIN(INT(ROUND(P47*1000000,0)/100000),9)</f>
        <v>0</v>
      </c>
    </row>
    <row r="48" customFormat="false" ht="15" hidden="false" customHeight="false" outlineLevel="0" collapsed="false">
      <c r="A48" s="4" t="n">
        <v>44</v>
      </c>
      <c r="B48" s="4" t="n">
        <v>249</v>
      </c>
      <c r="C48" s="4" t="n">
        <v>0</v>
      </c>
      <c r="D48" s="11" t="n">
        <v>46054</v>
      </c>
      <c r="E48" s="4" t="s">
        <v>203</v>
      </c>
      <c r="F48" s="4" t="s">
        <v>206</v>
      </c>
      <c r="G48" s="4" t="n">
        <v>4</v>
      </c>
      <c r="H48" s="4" t="n">
        <v>1</v>
      </c>
      <c r="I48" s="4" t="n">
        <v>0</v>
      </c>
      <c r="J48" s="4" t="n">
        <v>315</v>
      </c>
      <c r="K48" s="4" t="n">
        <v>0</v>
      </c>
      <c r="L48" s="12" t="n">
        <v>0.289433</v>
      </c>
      <c r="M48" s="12" t="n">
        <v>0.092063</v>
      </c>
      <c r="N48" s="12" t="n">
        <v>0.116487</v>
      </c>
      <c r="O48" s="12" t="n">
        <v>0.106183</v>
      </c>
      <c r="P48" s="12" t="n">
        <v>0.124166</v>
      </c>
      <c r="Q48" s="0" t="str">
        <f aca="false">IF(L48&gt;=Models!$G$5,1+COUNTIF($L$5:$L$1517,"&gt;"&amp;L48)+COUNTIFS($L$5:$L$1517,L48,$B$5:$B$1517,"&lt;"&amp;B48)+COUNTIFS($L$5:$L$1517,L48,$B$5:$B$1517,B48,$C$5:$C$1517,"&lt;"&amp;C48),"")</f>
        <v/>
      </c>
      <c r="R48" s="0" t="str">
        <f aca="false">IF(M48&gt;=Models!$G$6,1+COUNTIF($M$5:$M$1517,"&gt;"&amp;M48)+COUNTIFS($M$5:$M$1517,M48,$B$5:$B$1517,"&lt;"&amp;B48)+COUNTIFS($M$5:$M$1517,M48,$B$5:$B$1517,B48,$C$5:$C$1517,"&lt;"&amp;C48),"")</f>
        <v/>
      </c>
      <c r="S48" s="0" t="str">
        <f aca="false">IF(N48&gt;=Models!$G$7,1+COUNTIF($N$5:$N$1517,"&gt;"&amp;N48)+COUNTIFS($N$5:$N$1517,N48,$B$5:$B$1517,"&lt;"&amp;B48)+COUNTIFS($N$5:$N$1517,N48,$B$5:$B$1517,B48,$C$5:$C$1517,"&lt;"&amp;C48),"")</f>
        <v/>
      </c>
      <c r="T48" s="8" t="n">
        <f aca="false">IF(O48&gt;=Models!$G$8,1+COUNTIF($O$5:$O$1517,"&gt;"&amp;O48)+COUNTIFS($O$5:$O$1517,O48,$B$5:$B$1517,"&lt;"&amp;B48)+COUNTIFS($O$5:$O$1517,O48,$B$5:$B$1517,B48,$C$5:$C$1517,"&lt;"&amp;C48),"")</f>
        <v>170</v>
      </c>
      <c r="U48" s="8" t="n">
        <f aca="false">IF($K48=1,COUNTIFS($L$5:$L$1517,"&gt;="&amp;L48,$K$5:$K$1517,1)/COUNTIF($L$5:$L$1517,"&gt;="&amp;L48),0)</f>
        <v>0</v>
      </c>
      <c r="V48" s="8" t="n">
        <f aca="false">IF($K48=1,COUNTIFS($M$5:$M$1517,"&gt;="&amp;M48,$K$5:$K$1517,1)/COUNTIF($M$5:$M$1517,"&gt;="&amp;M48),0)</f>
        <v>0</v>
      </c>
      <c r="W48" s="8" t="n">
        <f aca="false">IF($K48=1,COUNTIFS($N$5:$N$1517,"&gt;="&amp;N48,$K$5:$K$1517,1)/COUNTIF($N$5:$N$1517,"&gt;="&amp;N48),0)</f>
        <v>0</v>
      </c>
      <c r="X48" s="8" t="n">
        <f aca="false">IF($K48=1,COUNTIFS($O$5:$O$1517,"&gt;="&amp;O48,$K$5:$K$1517,1)/COUNTIF($O$5:$O$1517,"&gt;="&amp;O48),0)</f>
        <v>0</v>
      </c>
      <c r="Y48" s="8" t="n">
        <f aca="false">IF($K48=1,COUNTIFS($P$5:$P$1517,"&gt;="&amp;P48,$K$5:$K$1517,1)/COUNTIF($P$5:$P$1517,"&gt;="&amp;P48),0)</f>
        <v>0</v>
      </c>
      <c r="Z48" s="8" t="n">
        <f aca="false">(L48-$K48)^2</f>
        <v>0.083771461489</v>
      </c>
      <c r="AA48" s="8" t="n">
        <f aca="false">(M48-$K48)^2</f>
        <v>0.008475595969</v>
      </c>
      <c r="AB48" s="8" t="n">
        <f aca="false">(N48-$K48)^2</f>
        <v>0.013569221169</v>
      </c>
      <c r="AC48" s="8" t="n">
        <f aca="false">(O48-$K48)^2</f>
        <v>0.011274829489</v>
      </c>
      <c r="AD48" s="8" t="n">
        <f aca="false">(P48-$K48)^2</f>
        <v>0.015417195556</v>
      </c>
      <c r="AE48" s="8" t="n">
        <f aca="false">MIN(INT(ROUND(N48*1000000,0)/100000),9)</f>
        <v>1</v>
      </c>
      <c r="AF48" s="8" t="n">
        <f aca="false">MIN(INT(ROUND(P48*1000000,0)/100000),9)</f>
        <v>1</v>
      </c>
    </row>
    <row r="49" customFormat="false" ht="15" hidden="false" customHeight="false" outlineLevel="0" collapsed="false">
      <c r="A49" s="4" t="n">
        <v>45</v>
      </c>
      <c r="B49" s="4" t="n">
        <v>253</v>
      </c>
      <c r="C49" s="4" t="n">
        <v>0</v>
      </c>
      <c r="D49" s="11" t="n">
        <v>46054</v>
      </c>
      <c r="E49" s="4" t="s">
        <v>201</v>
      </c>
      <c r="F49" s="4" t="s">
        <v>206</v>
      </c>
      <c r="G49" s="4" t="n">
        <v>17</v>
      </c>
      <c r="H49" s="4" t="n">
        <v>2</v>
      </c>
      <c r="I49" s="4" t="n">
        <v>1</v>
      </c>
      <c r="J49" s="4"/>
      <c r="K49" s="4" t="n">
        <v>0</v>
      </c>
      <c r="L49" s="12" t="n">
        <v>0.222392</v>
      </c>
      <c r="M49" s="12" t="n">
        <v>0.184211</v>
      </c>
      <c r="N49" s="12" t="n">
        <v>0.034548</v>
      </c>
      <c r="O49" s="12" t="n">
        <v>0.106183</v>
      </c>
      <c r="P49" s="12" t="n">
        <v>0.034901</v>
      </c>
      <c r="Q49" s="0" t="str">
        <f aca="false">IF(L49&gt;=Models!$G$5,1+COUNTIF($L$5:$L$1517,"&gt;"&amp;L49)+COUNTIFS($L$5:$L$1517,L49,$B$5:$B$1517,"&lt;"&amp;B49)+COUNTIFS($L$5:$L$1517,L49,$B$5:$B$1517,B49,$C$5:$C$1517,"&lt;"&amp;C49),"")</f>
        <v/>
      </c>
      <c r="R49" s="8" t="n">
        <f aca="false">IF(M49&gt;=Models!$G$6,1+COUNTIF($M$5:$M$1517,"&gt;"&amp;M49)+COUNTIFS($M$5:$M$1517,M49,$B$5:$B$1517,"&lt;"&amp;B49)+COUNTIFS($M$5:$M$1517,M49,$B$5:$B$1517,B49,$C$5:$C$1517,"&lt;"&amp;C49),"")</f>
        <v>19</v>
      </c>
      <c r="S49" s="0" t="str">
        <f aca="false">IF(N49&gt;=Models!$G$7,1+COUNTIF($N$5:$N$1517,"&gt;"&amp;N49)+COUNTIFS($N$5:$N$1517,N49,$B$5:$B$1517,"&lt;"&amp;B49)+COUNTIFS($N$5:$N$1517,N49,$B$5:$B$1517,B49,$C$5:$C$1517,"&lt;"&amp;C49),"")</f>
        <v/>
      </c>
      <c r="T49" s="8" t="n">
        <f aca="false">IF(O49&gt;=Models!$G$8,1+COUNTIF($O$5:$O$1517,"&gt;"&amp;O49)+COUNTIFS($O$5:$O$1517,O49,$B$5:$B$1517,"&lt;"&amp;B49)+COUNTIFS($O$5:$O$1517,O49,$B$5:$B$1517,B49,$C$5:$C$1517,"&lt;"&amp;C49),"")</f>
        <v>174</v>
      </c>
      <c r="U49" s="8" t="n">
        <f aca="false">IF($K49=1,COUNTIFS($L$5:$L$1517,"&gt;="&amp;L49,$K$5:$K$1517,1)/COUNTIF($L$5:$L$1517,"&gt;="&amp;L49),0)</f>
        <v>0</v>
      </c>
      <c r="V49" s="8" t="n">
        <f aca="false">IF($K49=1,COUNTIFS($M$5:$M$1517,"&gt;="&amp;M49,$K$5:$K$1517,1)/COUNTIF($M$5:$M$1517,"&gt;="&amp;M49),0)</f>
        <v>0</v>
      </c>
      <c r="W49" s="8" t="n">
        <f aca="false">IF($K49=1,COUNTIFS($N$5:$N$1517,"&gt;="&amp;N49,$K$5:$K$1517,1)/COUNTIF($N$5:$N$1517,"&gt;="&amp;N49),0)</f>
        <v>0</v>
      </c>
      <c r="X49" s="8" t="n">
        <f aca="false">IF($K49=1,COUNTIFS($O$5:$O$1517,"&gt;="&amp;O49,$K$5:$K$1517,1)/COUNTIF($O$5:$O$1517,"&gt;="&amp;O49),0)</f>
        <v>0</v>
      </c>
      <c r="Y49" s="8" t="n">
        <f aca="false">IF($K49=1,COUNTIFS($P$5:$P$1517,"&gt;="&amp;P49,$K$5:$K$1517,1)/COUNTIF($P$5:$P$1517,"&gt;="&amp;P49),0)</f>
        <v>0</v>
      </c>
      <c r="Z49" s="8" t="n">
        <f aca="false">(L49-$K49)^2</f>
        <v>0.049458201664</v>
      </c>
      <c r="AA49" s="8" t="n">
        <f aca="false">(M49-$K49)^2</f>
        <v>0.033933692521</v>
      </c>
      <c r="AB49" s="8" t="n">
        <f aca="false">(N49-$K49)^2</f>
        <v>0.001193564304</v>
      </c>
      <c r="AC49" s="8" t="n">
        <f aca="false">(O49-$K49)^2</f>
        <v>0.011274829489</v>
      </c>
      <c r="AD49" s="8" t="n">
        <f aca="false">(P49-$K49)^2</f>
        <v>0.001218079801</v>
      </c>
      <c r="AE49" s="8" t="n">
        <f aca="false">MIN(INT(ROUND(N49*1000000,0)/100000),9)</f>
        <v>0</v>
      </c>
      <c r="AF49" s="8" t="n">
        <f aca="false">MIN(INT(ROUND(P49*1000000,0)/100000),9)</f>
        <v>0</v>
      </c>
    </row>
    <row r="50" customFormat="false" ht="15" hidden="false" customHeight="false" outlineLevel="0" collapsed="false">
      <c r="A50" s="4" t="n">
        <v>46</v>
      </c>
      <c r="B50" s="4" t="n">
        <v>259</v>
      </c>
      <c r="C50" s="4" t="n">
        <v>0</v>
      </c>
      <c r="D50" s="11" t="n">
        <v>46054</v>
      </c>
      <c r="E50" s="4" t="s">
        <v>204</v>
      </c>
      <c r="F50" s="4" t="s">
        <v>209</v>
      </c>
      <c r="G50" s="4" t="n">
        <v>1</v>
      </c>
      <c r="H50" s="4" t="n">
        <v>14</v>
      </c>
      <c r="I50" s="4" t="n">
        <v>0</v>
      </c>
      <c r="J50" s="4" t="n">
        <v>69</v>
      </c>
      <c r="K50" s="4" t="n">
        <v>1</v>
      </c>
      <c r="L50" s="12" t="n">
        <v>0.654423</v>
      </c>
      <c r="M50" s="12" t="n">
        <v>0.092063</v>
      </c>
      <c r="N50" s="12" t="n">
        <v>0.163101</v>
      </c>
      <c r="O50" s="12" t="n">
        <v>0.106183</v>
      </c>
      <c r="P50" s="12" t="n">
        <v>0.17593</v>
      </c>
      <c r="Q50" s="0" t="str">
        <f aca="false">IF(L50&gt;=Models!$G$5,1+COUNTIF($L$5:$L$1517,"&gt;"&amp;L50)+COUNTIFS($L$5:$L$1517,L50,$B$5:$B$1517,"&lt;"&amp;B50)+COUNTIFS($L$5:$L$1517,L50,$B$5:$B$1517,B50,$C$5:$C$1517,"&lt;"&amp;C50),"")</f>
        <v/>
      </c>
      <c r="R50" s="0" t="str">
        <f aca="false">IF(M50&gt;=Models!$G$6,1+COUNTIF($M$5:$M$1517,"&gt;"&amp;M50)+COUNTIFS($M$5:$M$1517,M50,$B$5:$B$1517,"&lt;"&amp;B50)+COUNTIFS($M$5:$M$1517,M50,$B$5:$B$1517,B50,$C$5:$C$1517,"&lt;"&amp;C50),"")</f>
        <v/>
      </c>
      <c r="S50" s="0" t="str">
        <f aca="false">IF(N50&gt;=Models!$G$7,1+COUNTIF($N$5:$N$1517,"&gt;"&amp;N50)+COUNTIFS($N$5:$N$1517,N50,$B$5:$B$1517,"&lt;"&amp;B50)+COUNTIFS($N$5:$N$1517,N50,$B$5:$B$1517,B50,$C$5:$C$1517,"&lt;"&amp;C50),"")</f>
        <v/>
      </c>
      <c r="T50" s="8" t="n">
        <f aca="false">IF(O50&gt;=Models!$G$8,1+COUNTIF($O$5:$O$1517,"&gt;"&amp;O50)+COUNTIFS($O$5:$O$1517,O50,$B$5:$B$1517,"&lt;"&amp;B50)+COUNTIFS($O$5:$O$1517,O50,$B$5:$B$1517,B50,$C$5:$C$1517,"&lt;"&amp;C50),"")</f>
        <v>178</v>
      </c>
      <c r="U50" s="8" t="n">
        <f aca="false">IF($K50=1,COUNTIFS($L$5:$L$1517,"&gt;="&amp;L50,$K$5:$K$1517,1)/COUNTIF($L$5:$L$1517,"&gt;="&amp;L50),0)</f>
        <v>0.130859375</v>
      </c>
      <c r="V50" s="8" t="n">
        <f aca="false">IF($K50=1,COUNTIFS($M$5:$M$1517,"&gt;="&amp;M50,$K$5:$K$1517,1)/COUNTIF($M$5:$M$1517,"&gt;="&amp;M50),0)</f>
        <v>0.12491738268341</v>
      </c>
      <c r="W50" s="8" t="n">
        <f aca="false">IF($K50=1,COUNTIFS($N$5:$N$1517,"&gt;="&amp;N50,$K$5:$K$1517,1)/COUNTIF($N$5:$N$1517,"&gt;="&amp;N50),0)</f>
        <v>0.308219178082192</v>
      </c>
      <c r="X50" s="8" t="n">
        <f aca="false">IF($K50=1,COUNTIFS($O$5:$O$1517,"&gt;="&amp;O50,$K$5:$K$1517,1)/COUNTIF($O$5:$O$1517,"&gt;="&amp;O50),0)</f>
        <v>0.12491738268341</v>
      </c>
      <c r="Y50" s="8" t="n">
        <f aca="false">IF($K50=1,COUNTIFS($P$5:$P$1517,"&gt;="&amp;P50,$K$5:$K$1517,1)/COUNTIF($P$5:$P$1517,"&gt;="&amp;P50),0)</f>
        <v>0.308219178082192</v>
      </c>
      <c r="Z50" s="8" t="n">
        <f aca="false">(L50-$K50)^2</f>
        <v>0.119423462929</v>
      </c>
      <c r="AA50" s="8" t="n">
        <f aca="false">(M50-$K50)^2</f>
        <v>0.824349595969</v>
      </c>
      <c r="AB50" s="8" t="n">
        <f aca="false">(N50-$K50)^2</f>
        <v>0.700399936201</v>
      </c>
      <c r="AC50" s="8" t="n">
        <f aca="false">(O50-$K50)^2</f>
        <v>0.798908829489</v>
      </c>
      <c r="AD50" s="8" t="n">
        <f aca="false">(P50-$K50)^2</f>
        <v>0.6790913649</v>
      </c>
      <c r="AE50" s="8" t="n">
        <f aca="false">MIN(INT(ROUND(N50*1000000,0)/100000),9)</f>
        <v>1</v>
      </c>
      <c r="AF50" s="8" t="n">
        <f aca="false">MIN(INT(ROUND(P50*1000000,0)/100000),9)</f>
        <v>1</v>
      </c>
    </row>
    <row r="51" customFormat="false" ht="15" hidden="false" customHeight="false" outlineLevel="0" collapsed="false">
      <c r="A51" s="4" t="n">
        <v>47</v>
      </c>
      <c r="B51" s="4" t="n">
        <v>265</v>
      </c>
      <c r="C51" s="4" t="n">
        <v>0</v>
      </c>
      <c r="D51" s="11" t="n">
        <v>46054</v>
      </c>
      <c r="E51" s="4" t="s">
        <v>203</v>
      </c>
      <c r="F51" s="4" t="s">
        <v>206</v>
      </c>
      <c r="G51" s="4" t="n">
        <v>6</v>
      </c>
      <c r="H51" s="4" t="n">
        <v>1</v>
      </c>
      <c r="I51" s="4" t="n">
        <v>0</v>
      </c>
      <c r="J51" s="4" t="n">
        <v>321</v>
      </c>
      <c r="K51" s="4" t="n">
        <v>0</v>
      </c>
      <c r="L51" s="12" t="n">
        <v>0.266913</v>
      </c>
      <c r="M51" s="12" t="n">
        <v>0.092063</v>
      </c>
      <c r="N51" s="12" t="n">
        <v>0.099172</v>
      </c>
      <c r="O51" s="12" t="n">
        <v>0.106183</v>
      </c>
      <c r="P51" s="12" t="n">
        <v>0.105037</v>
      </c>
      <c r="Q51" s="0" t="str">
        <f aca="false">IF(L51&gt;=Models!$G$5,1+COUNTIF($L$5:$L$1517,"&gt;"&amp;L51)+COUNTIFS($L$5:$L$1517,L51,$B$5:$B$1517,"&lt;"&amp;B51)+COUNTIFS($L$5:$L$1517,L51,$B$5:$B$1517,B51,$C$5:$C$1517,"&lt;"&amp;C51),"")</f>
        <v/>
      </c>
      <c r="R51" s="0" t="str">
        <f aca="false">IF(M51&gt;=Models!$G$6,1+COUNTIF($M$5:$M$1517,"&gt;"&amp;M51)+COUNTIFS($M$5:$M$1517,M51,$B$5:$B$1517,"&lt;"&amp;B51)+COUNTIFS($M$5:$M$1517,M51,$B$5:$B$1517,B51,$C$5:$C$1517,"&lt;"&amp;C51),"")</f>
        <v/>
      </c>
      <c r="S51" s="0" t="str">
        <f aca="false">IF(N51&gt;=Models!$G$7,1+COUNTIF($N$5:$N$1517,"&gt;"&amp;N51)+COUNTIFS($N$5:$N$1517,N51,$B$5:$B$1517,"&lt;"&amp;B51)+COUNTIFS($N$5:$N$1517,N51,$B$5:$B$1517,B51,$C$5:$C$1517,"&lt;"&amp;C51),"")</f>
        <v/>
      </c>
      <c r="T51" s="8" t="n">
        <f aca="false">IF(O51&gt;=Models!$G$8,1+COUNTIF($O$5:$O$1517,"&gt;"&amp;O51)+COUNTIFS($O$5:$O$1517,O51,$B$5:$B$1517,"&lt;"&amp;B51)+COUNTIFS($O$5:$O$1517,O51,$B$5:$B$1517,B51,$C$5:$C$1517,"&lt;"&amp;C51),"")</f>
        <v>180</v>
      </c>
      <c r="U51" s="8" t="n">
        <f aca="false">IF($K51=1,COUNTIFS($L$5:$L$1517,"&gt;="&amp;L51,$K$5:$K$1517,1)/COUNTIF($L$5:$L$1517,"&gt;="&amp;L51),0)</f>
        <v>0</v>
      </c>
      <c r="V51" s="8" t="n">
        <f aca="false">IF($K51=1,COUNTIFS($M$5:$M$1517,"&gt;="&amp;M51,$K$5:$K$1517,1)/COUNTIF($M$5:$M$1517,"&gt;="&amp;M51),0)</f>
        <v>0</v>
      </c>
      <c r="W51" s="8" t="n">
        <f aca="false">IF($K51=1,COUNTIFS($N$5:$N$1517,"&gt;="&amp;N51,$K$5:$K$1517,1)/COUNTIF($N$5:$N$1517,"&gt;="&amp;N51),0)</f>
        <v>0</v>
      </c>
      <c r="X51" s="8" t="n">
        <f aca="false">IF($K51=1,COUNTIFS($O$5:$O$1517,"&gt;="&amp;O51,$K$5:$K$1517,1)/COUNTIF($O$5:$O$1517,"&gt;="&amp;O51),0)</f>
        <v>0</v>
      </c>
      <c r="Y51" s="8" t="n">
        <f aca="false">IF($K51=1,COUNTIFS($P$5:$P$1517,"&gt;="&amp;P51,$K$5:$K$1517,1)/COUNTIF($P$5:$P$1517,"&gt;="&amp;P51),0)</f>
        <v>0</v>
      </c>
      <c r="Z51" s="8" t="n">
        <f aca="false">(L51-$K51)^2</f>
        <v>0.071242549569</v>
      </c>
      <c r="AA51" s="8" t="n">
        <f aca="false">(M51-$K51)^2</f>
        <v>0.008475595969</v>
      </c>
      <c r="AB51" s="8" t="n">
        <f aca="false">(N51-$K51)^2</f>
        <v>0.009835085584</v>
      </c>
      <c r="AC51" s="8" t="n">
        <f aca="false">(O51-$K51)^2</f>
        <v>0.011274829489</v>
      </c>
      <c r="AD51" s="8" t="n">
        <f aca="false">(P51-$K51)^2</f>
        <v>0.011032771369</v>
      </c>
      <c r="AE51" s="8" t="n">
        <f aca="false">MIN(INT(ROUND(N51*1000000,0)/100000),9)</f>
        <v>0</v>
      </c>
      <c r="AF51" s="8" t="n">
        <f aca="false">MIN(INT(ROUND(P51*1000000,0)/100000),9)</f>
        <v>1</v>
      </c>
    </row>
    <row r="52" customFormat="false" ht="15" hidden="false" customHeight="false" outlineLevel="0" collapsed="false">
      <c r="A52" s="4" t="n">
        <v>48</v>
      </c>
      <c r="B52" s="4" t="n">
        <v>266</v>
      </c>
      <c r="C52" s="4" t="n">
        <v>0</v>
      </c>
      <c r="D52" s="11" t="n">
        <v>46054</v>
      </c>
      <c r="E52" s="4" t="s">
        <v>203</v>
      </c>
      <c r="F52" s="4" t="s">
        <v>209</v>
      </c>
      <c r="G52" s="4" t="n">
        <v>2</v>
      </c>
      <c r="H52" s="4" t="n">
        <v>2</v>
      </c>
      <c r="I52" s="4" t="n">
        <v>0</v>
      </c>
      <c r="J52" s="4" t="n">
        <v>303</v>
      </c>
      <c r="K52" s="4" t="n">
        <v>0</v>
      </c>
      <c r="L52" s="12" t="n">
        <v>0.271739</v>
      </c>
      <c r="M52" s="12" t="n">
        <v>0.092063</v>
      </c>
      <c r="N52" s="12" t="n">
        <v>0.137377</v>
      </c>
      <c r="O52" s="12" t="n">
        <v>0.106183</v>
      </c>
      <c r="P52" s="12" t="n">
        <v>0.147331</v>
      </c>
      <c r="Q52" s="0" t="str">
        <f aca="false">IF(L52&gt;=Models!$G$5,1+COUNTIF($L$5:$L$1517,"&gt;"&amp;L52)+COUNTIFS($L$5:$L$1517,L52,$B$5:$B$1517,"&lt;"&amp;B52)+COUNTIFS($L$5:$L$1517,L52,$B$5:$B$1517,B52,$C$5:$C$1517,"&lt;"&amp;C52),"")</f>
        <v/>
      </c>
      <c r="R52" s="0" t="str">
        <f aca="false">IF(M52&gt;=Models!$G$6,1+COUNTIF($M$5:$M$1517,"&gt;"&amp;M52)+COUNTIFS($M$5:$M$1517,M52,$B$5:$B$1517,"&lt;"&amp;B52)+COUNTIFS($M$5:$M$1517,M52,$B$5:$B$1517,B52,$C$5:$C$1517,"&lt;"&amp;C52),"")</f>
        <v/>
      </c>
      <c r="S52" s="0" t="str">
        <f aca="false">IF(N52&gt;=Models!$G$7,1+COUNTIF($N$5:$N$1517,"&gt;"&amp;N52)+COUNTIFS($N$5:$N$1517,N52,$B$5:$B$1517,"&lt;"&amp;B52)+COUNTIFS($N$5:$N$1517,N52,$B$5:$B$1517,B52,$C$5:$C$1517,"&lt;"&amp;C52),"")</f>
        <v/>
      </c>
      <c r="T52" s="8" t="n">
        <f aca="false">IF(O52&gt;=Models!$G$8,1+COUNTIF($O$5:$O$1517,"&gt;"&amp;O52)+COUNTIFS($O$5:$O$1517,O52,$B$5:$B$1517,"&lt;"&amp;B52)+COUNTIFS($O$5:$O$1517,O52,$B$5:$B$1517,B52,$C$5:$C$1517,"&lt;"&amp;C52),"")</f>
        <v>184</v>
      </c>
      <c r="U52" s="8" t="n">
        <f aca="false">IF($K52=1,COUNTIFS($L$5:$L$1517,"&gt;="&amp;L52,$K$5:$K$1517,1)/COUNTIF($L$5:$L$1517,"&gt;="&amp;L52),0)</f>
        <v>0</v>
      </c>
      <c r="V52" s="8" t="n">
        <f aca="false">IF($K52=1,COUNTIFS($M$5:$M$1517,"&gt;="&amp;M52,$K$5:$K$1517,1)/COUNTIF($M$5:$M$1517,"&gt;="&amp;M52),0)</f>
        <v>0</v>
      </c>
      <c r="W52" s="8" t="n">
        <f aca="false">IF($K52=1,COUNTIFS($N$5:$N$1517,"&gt;="&amp;N52,$K$5:$K$1517,1)/COUNTIF($N$5:$N$1517,"&gt;="&amp;N52),0)</f>
        <v>0</v>
      </c>
      <c r="X52" s="8" t="n">
        <f aca="false">IF($K52=1,COUNTIFS($O$5:$O$1517,"&gt;="&amp;O52,$K$5:$K$1517,1)/COUNTIF($O$5:$O$1517,"&gt;="&amp;O52),0)</f>
        <v>0</v>
      </c>
      <c r="Y52" s="8" t="n">
        <f aca="false">IF($K52=1,COUNTIFS($P$5:$P$1517,"&gt;="&amp;P52,$K$5:$K$1517,1)/COUNTIF($P$5:$P$1517,"&gt;="&amp;P52),0)</f>
        <v>0</v>
      </c>
      <c r="Z52" s="8" t="n">
        <f aca="false">(L52-$K52)^2</f>
        <v>0.073842084121</v>
      </c>
      <c r="AA52" s="8" t="n">
        <f aca="false">(M52-$K52)^2</f>
        <v>0.008475595969</v>
      </c>
      <c r="AB52" s="8" t="n">
        <f aca="false">(N52-$K52)^2</f>
        <v>0.018872440129</v>
      </c>
      <c r="AC52" s="8" t="n">
        <f aca="false">(O52-$K52)^2</f>
        <v>0.011274829489</v>
      </c>
      <c r="AD52" s="8" t="n">
        <f aca="false">(P52-$K52)^2</f>
        <v>0.021706423561</v>
      </c>
      <c r="AE52" s="8" t="n">
        <f aca="false">MIN(INT(ROUND(N52*1000000,0)/100000),9)</f>
        <v>1</v>
      </c>
      <c r="AF52" s="8" t="n">
        <f aca="false">MIN(INT(ROUND(P52*1000000,0)/100000),9)</f>
        <v>1</v>
      </c>
    </row>
    <row r="53" customFormat="false" ht="15" hidden="false" customHeight="false" outlineLevel="0" collapsed="false">
      <c r="A53" s="4" t="n">
        <v>49</v>
      </c>
      <c r="B53" s="4" t="n">
        <v>270</v>
      </c>
      <c r="C53" s="4" t="n">
        <v>0</v>
      </c>
      <c r="D53" s="11" t="n">
        <v>46054</v>
      </c>
      <c r="E53" s="4" t="s">
        <v>203</v>
      </c>
      <c r="F53" s="4" t="s">
        <v>207</v>
      </c>
      <c r="G53" s="4" t="n">
        <v>7</v>
      </c>
      <c r="H53" s="4" t="n">
        <v>0</v>
      </c>
      <c r="I53" s="4" t="n">
        <v>0</v>
      </c>
      <c r="J53" s="4"/>
      <c r="K53" s="4" t="n">
        <v>0</v>
      </c>
      <c r="L53" s="12" t="n">
        <v>0.972052</v>
      </c>
      <c r="M53" s="12" t="n">
        <v>0.092063</v>
      </c>
      <c r="N53" s="12" t="n">
        <v>0.045531</v>
      </c>
      <c r="O53" s="12" t="n">
        <v>0.106183</v>
      </c>
      <c r="P53" s="12" t="n">
        <v>0.046595</v>
      </c>
      <c r="Q53" s="0" t="str">
        <f aca="false">IF(L53&gt;=Models!$G$5,1+COUNTIF($L$5:$L$1517,"&gt;"&amp;L53)+COUNTIFS($L$5:$L$1517,L53,$B$5:$B$1517,"&lt;"&amp;B53)+COUNTIFS($L$5:$L$1517,L53,$B$5:$B$1517,B53,$C$5:$C$1517,"&lt;"&amp;C53),"")</f>
        <v/>
      </c>
      <c r="R53" s="0" t="str">
        <f aca="false">IF(M53&gt;=Models!$G$6,1+COUNTIF($M$5:$M$1517,"&gt;"&amp;M53)+COUNTIFS($M$5:$M$1517,M53,$B$5:$B$1517,"&lt;"&amp;B53)+COUNTIFS($M$5:$M$1517,M53,$B$5:$B$1517,B53,$C$5:$C$1517,"&lt;"&amp;C53),"")</f>
        <v/>
      </c>
      <c r="S53" s="0" t="str">
        <f aca="false">IF(N53&gt;=Models!$G$7,1+COUNTIF($N$5:$N$1517,"&gt;"&amp;N53)+COUNTIFS($N$5:$N$1517,N53,$B$5:$B$1517,"&lt;"&amp;B53)+COUNTIFS($N$5:$N$1517,N53,$B$5:$B$1517,B53,$C$5:$C$1517,"&lt;"&amp;C53),"")</f>
        <v/>
      </c>
      <c r="T53" s="8" t="n">
        <f aca="false">IF(O53&gt;=Models!$G$8,1+COUNTIF($O$5:$O$1517,"&gt;"&amp;O53)+COUNTIFS($O$5:$O$1517,O53,$B$5:$B$1517,"&lt;"&amp;B53)+COUNTIFS($O$5:$O$1517,O53,$B$5:$B$1517,B53,$C$5:$C$1517,"&lt;"&amp;C53),"")</f>
        <v>188</v>
      </c>
      <c r="U53" s="8" t="n">
        <f aca="false">IF($K53=1,COUNTIFS($L$5:$L$1517,"&gt;="&amp;L53,$K$5:$K$1517,1)/COUNTIF($L$5:$L$1517,"&gt;="&amp;L53),0)</f>
        <v>0</v>
      </c>
      <c r="V53" s="8" t="n">
        <f aca="false">IF($K53=1,COUNTIFS($M$5:$M$1517,"&gt;="&amp;M53,$K$5:$K$1517,1)/COUNTIF($M$5:$M$1517,"&gt;="&amp;M53),0)</f>
        <v>0</v>
      </c>
      <c r="W53" s="8" t="n">
        <f aca="false">IF($K53=1,COUNTIFS($N$5:$N$1517,"&gt;="&amp;N53,$K$5:$K$1517,1)/COUNTIF($N$5:$N$1517,"&gt;="&amp;N53),0)</f>
        <v>0</v>
      </c>
      <c r="X53" s="8" t="n">
        <f aca="false">IF($K53=1,COUNTIFS($O$5:$O$1517,"&gt;="&amp;O53,$K$5:$K$1517,1)/COUNTIF($O$5:$O$1517,"&gt;="&amp;O53),0)</f>
        <v>0</v>
      </c>
      <c r="Y53" s="8" t="n">
        <f aca="false">IF($K53=1,COUNTIFS($P$5:$P$1517,"&gt;="&amp;P53,$K$5:$K$1517,1)/COUNTIF($P$5:$P$1517,"&gt;="&amp;P53),0)</f>
        <v>0</v>
      </c>
      <c r="Z53" s="8" t="n">
        <f aca="false">(L53-$K53)^2</f>
        <v>0.944885090704</v>
      </c>
      <c r="AA53" s="8" t="n">
        <f aca="false">(M53-$K53)^2</f>
        <v>0.008475595969</v>
      </c>
      <c r="AB53" s="8" t="n">
        <f aca="false">(N53-$K53)^2</f>
        <v>0.002073071961</v>
      </c>
      <c r="AC53" s="8" t="n">
        <f aca="false">(O53-$K53)^2</f>
        <v>0.011274829489</v>
      </c>
      <c r="AD53" s="8" t="n">
        <f aca="false">(P53-$K53)^2</f>
        <v>0.002171094025</v>
      </c>
      <c r="AE53" s="8" t="n">
        <f aca="false">MIN(INT(ROUND(N53*1000000,0)/100000),9)</f>
        <v>0</v>
      </c>
      <c r="AF53" s="8" t="n">
        <f aca="false">MIN(INT(ROUND(P53*1000000,0)/100000),9)</f>
        <v>0</v>
      </c>
    </row>
    <row r="54" customFormat="false" ht="15" hidden="false" customHeight="false" outlineLevel="0" collapsed="false">
      <c r="A54" s="4" t="n">
        <v>50</v>
      </c>
      <c r="B54" s="4" t="n">
        <v>271</v>
      </c>
      <c r="C54" s="4" t="n">
        <v>0</v>
      </c>
      <c r="D54" s="11" t="n">
        <v>46054</v>
      </c>
      <c r="E54" s="4" t="s">
        <v>202</v>
      </c>
      <c r="F54" s="4" t="s">
        <v>206</v>
      </c>
      <c r="G54" s="4" t="n">
        <v>4</v>
      </c>
      <c r="H54" s="4" t="n">
        <v>9</v>
      </c>
      <c r="I54" s="4" t="n">
        <v>1</v>
      </c>
      <c r="J54" s="4"/>
      <c r="K54" s="4" t="n">
        <v>0</v>
      </c>
      <c r="L54" s="12" t="n">
        <v>0.305845</v>
      </c>
      <c r="M54" s="12" t="n">
        <v>0.184211</v>
      </c>
      <c r="N54" s="12" t="n">
        <v>0.108806</v>
      </c>
      <c r="O54" s="12" t="n">
        <v>0.106183</v>
      </c>
      <c r="P54" s="12" t="n">
        <v>0.115671</v>
      </c>
      <c r="Q54" s="0" t="str">
        <f aca="false">IF(L54&gt;=Models!$G$5,1+COUNTIF($L$5:$L$1517,"&gt;"&amp;L54)+COUNTIFS($L$5:$L$1517,L54,$B$5:$B$1517,"&lt;"&amp;B54)+COUNTIFS($L$5:$L$1517,L54,$B$5:$B$1517,B54,$C$5:$C$1517,"&lt;"&amp;C54),"")</f>
        <v/>
      </c>
      <c r="R54" s="8" t="n">
        <f aca="false">IF(M54&gt;=Models!$G$6,1+COUNTIF($M$5:$M$1517,"&gt;"&amp;M54)+COUNTIFS($M$5:$M$1517,M54,$B$5:$B$1517,"&lt;"&amp;B54)+COUNTIFS($M$5:$M$1517,M54,$B$5:$B$1517,B54,$C$5:$C$1517,"&lt;"&amp;C54),"")</f>
        <v>23</v>
      </c>
      <c r="S54" s="0" t="str">
        <f aca="false">IF(N54&gt;=Models!$G$7,1+COUNTIF($N$5:$N$1517,"&gt;"&amp;N54)+COUNTIFS($N$5:$N$1517,N54,$B$5:$B$1517,"&lt;"&amp;B54)+COUNTIFS($N$5:$N$1517,N54,$B$5:$B$1517,B54,$C$5:$C$1517,"&lt;"&amp;C54),"")</f>
        <v/>
      </c>
      <c r="T54" s="8" t="n">
        <f aca="false">IF(O54&gt;=Models!$G$8,1+COUNTIF($O$5:$O$1517,"&gt;"&amp;O54)+COUNTIFS($O$5:$O$1517,O54,$B$5:$B$1517,"&lt;"&amp;B54)+COUNTIFS($O$5:$O$1517,O54,$B$5:$B$1517,B54,$C$5:$C$1517,"&lt;"&amp;C54),"")</f>
        <v>192</v>
      </c>
      <c r="U54" s="8" t="n">
        <f aca="false">IF($K54=1,COUNTIFS($L$5:$L$1517,"&gt;="&amp;L54,$K$5:$K$1517,1)/COUNTIF($L$5:$L$1517,"&gt;="&amp;L54),0)</f>
        <v>0</v>
      </c>
      <c r="V54" s="8" t="n">
        <f aca="false">IF($K54=1,COUNTIFS($M$5:$M$1517,"&gt;="&amp;M54,$K$5:$K$1517,1)/COUNTIF($M$5:$M$1517,"&gt;="&amp;M54),0)</f>
        <v>0</v>
      </c>
      <c r="W54" s="8" t="n">
        <f aca="false">IF($K54=1,COUNTIFS($N$5:$N$1517,"&gt;="&amp;N54,$K$5:$K$1517,1)/COUNTIF($N$5:$N$1517,"&gt;="&amp;N54),0)</f>
        <v>0</v>
      </c>
      <c r="X54" s="8" t="n">
        <f aca="false">IF($K54=1,COUNTIFS($O$5:$O$1517,"&gt;="&amp;O54,$K$5:$K$1517,1)/COUNTIF($O$5:$O$1517,"&gt;="&amp;O54),0)</f>
        <v>0</v>
      </c>
      <c r="Y54" s="8" t="n">
        <f aca="false">IF($K54=1,COUNTIFS($P$5:$P$1517,"&gt;="&amp;P54,$K$5:$K$1517,1)/COUNTIF($P$5:$P$1517,"&gt;="&amp;P54),0)</f>
        <v>0</v>
      </c>
      <c r="Z54" s="8" t="n">
        <f aca="false">(L54-$K54)^2</f>
        <v>0.093541164025</v>
      </c>
      <c r="AA54" s="8" t="n">
        <f aca="false">(M54-$K54)^2</f>
        <v>0.033933692521</v>
      </c>
      <c r="AB54" s="8" t="n">
        <f aca="false">(N54-$K54)^2</f>
        <v>0.011838745636</v>
      </c>
      <c r="AC54" s="8" t="n">
        <f aca="false">(O54-$K54)^2</f>
        <v>0.011274829489</v>
      </c>
      <c r="AD54" s="8" t="n">
        <f aca="false">(P54-$K54)^2</f>
        <v>0.013379780241</v>
      </c>
      <c r="AE54" s="8" t="n">
        <f aca="false">MIN(INT(ROUND(N54*1000000,0)/100000),9)</f>
        <v>1</v>
      </c>
      <c r="AF54" s="8" t="n">
        <f aca="false">MIN(INT(ROUND(P54*1000000,0)/100000),9)</f>
        <v>1</v>
      </c>
    </row>
    <row r="55" customFormat="false" ht="15" hidden="false" customHeight="false" outlineLevel="0" collapsed="false">
      <c r="A55" s="4" t="n">
        <v>51</v>
      </c>
      <c r="B55" s="4" t="n">
        <v>277</v>
      </c>
      <c r="C55" s="4" t="n">
        <v>0</v>
      </c>
      <c r="D55" s="11" t="n">
        <v>46054</v>
      </c>
      <c r="E55" s="4" t="s">
        <v>203</v>
      </c>
      <c r="F55" s="4" t="s">
        <v>210</v>
      </c>
      <c r="G55" s="4" t="n">
        <v>5</v>
      </c>
      <c r="H55" s="4" t="n">
        <v>2</v>
      </c>
      <c r="I55" s="4" t="n">
        <v>0</v>
      </c>
      <c r="J55" s="4" t="n">
        <v>378</v>
      </c>
      <c r="K55" s="4" t="n">
        <v>0</v>
      </c>
      <c r="L55" s="12" t="n">
        <v>0.088891</v>
      </c>
      <c r="M55" s="12" t="n">
        <v>0.092063</v>
      </c>
      <c r="N55" s="12" t="n">
        <v>0.107976</v>
      </c>
      <c r="O55" s="12" t="n">
        <v>0.106183</v>
      </c>
      <c r="P55" s="12" t="n">
        <v>0.114754</v>
      </c>
      <c r="Q55" s="0" t="str">
        <f aca="false">IF(L55&gt;=Models!$G$5,1+COUNTIF($L$5:$L$1517,"&gt;"&amp;L55)+COUNTIFS($L$5:$L$1517,L55,$B$5:$B$1517,"&lt;"&amp;B55)+COUNTIFS($L$5:$L$1517,L55,$B$5:$B$1517,B55,$C$5:$C$1517,"&lt;"&amp;C55),"")</f>
        <v/>
      </c>
      <c r="R55" s="0" t="str">
        <f aca="false">IF(M55&gt;=Models!$G$6,1+COUNTIF($M$5:$M$1517,"&gt;"&amp;M55)+COUNTIFS($M$5:$M$1517,M55,$B$5:$B$1517,"&lt;"&amp;B55)+COUNTIFS($M$5:$M$1517,M55,$B$5:$B$1517,B55,$C$5:$C$1517,"&lt;"&amp;C55),"")</f>
        <v/>
      </c>
      <c r="S55" s="0" t="str">
        <f aca="false">IF(N55&gt;=Models!$G$7,1+COUNTIF($N$5:$N$1517,"&gt;"&amp;N55)+COUNTIFS($N$5:$N$1517,N55,$B$5:$B$1517,"&lt;"&amp;B55)+COUNTIFS($N$5:$N$1517,N55,$B$5:$B$1517,B55,$C$5:$C$1517,"&lt;"&amp;C55),"")</f>
        <v/>
      </c>
      <c r="T55" s="8" t="n">
        <f aca="false">IF(O55&gt;=Models!$G$8,1+COUNTIF($O$5:$O$1517,"&gt;"&amp;O55)+COUNTIFS($O$5:$O$1517,O55,$B$5:$B$1517,"&lt;"&amp;B55)+COUNTIFS($O$5:$O$1517,O55,$B$5:$B$1517,B55,$C$5:$C$1517,"&lt;"&amp;C55),"")</f>
        <v>196</v>
      </c>
      <c r="U55" s="8" t="n">
        <f aca="false">IF($K55=1,COUNTIFS($L$5:$L$1517,"&gt;="&amp;L55,$K$5:$K$1517,1)/COUNTIF($L$5:$L$1517,"&gt;="&amp;L55),0)</f>
        <v>0</v>
      </c>
      <c r="V55" s="8" t="n">
        <f aca="false">IF($K55=1,COUNTIFS($M$5:$M$1517,"&gt;="&amp;M55,$K$5:$K$1517,1)/COUNTIF($M$5:$M$1517,"&gt;="&amp;M55),0)</f>
        <v>0</v>
      </c>
      <c r="W55" s="8" t="n">
        <f aca="false">IF($K55=1,COUNTIFS($N$5:$N$1517,"&gt;="&amp;N55,$K$5:$K$1517,1)/COUNTIF($N$5:$N$1517,"&gt;="&amp;N55),0)</f>
        <v>0</v>
      </c>
      <c r="X55" s="8" t="n">
        <f aca="false">IF($K55=1,COUNTIFS($O$5:$O$1517,"&gt;="&amp;O55,$K$5:$K$1517,1)/COUNTIF($O$5:$O$1517,"&gt;="&amp;O55),0)</f>
        <v>0</v>
      </c>
      <c r="Y55" s="8" t="n">
        <f aca="false">IF($K55=1,COUNTIFS($P$5:$P$1517,"&gt;="&amp;P55,$K$5:$K$1517,1)/COUNTIF($P$5:$P$1517,"&gt;="&amp;P55),0)</f>
        <v>0</v>
      </c>
      <c r="Z55" s="8" t="n">
        <f aca="false">(L55-$K55)^2</f>
        <v>0.007901609881</v>
      </c>
      <c r="AA55" s="8" t="n">
        <f aca="false">(M55-$K55)^2</f>
        <v>0.008475595969</v>
      </c>
      <c r="AB55" s="8" t="n">
        <f aca="false">(N55-$K55)^2</f>
        <v>0.011658816576</v>
      </c>
      <c r="AC55" s="8" t="n">
        <f aca="false">(O55-$K55)^2</f>
        <v>0.011274829489</v>
      </c>
      <c r="AD55" s="8" t="n">
        <f aca="false">(P55-$K55)^2</f>
        <v>0.013168480516</v>
      </c>
      <c r="AE55" s="8" t="n">
        <f aca="false">MIN(INT(ROUND(N55*1000000,0)/100000),9)</f>
        <v>1</v>
      </c>
      <c r="AF55" s="8" t="n">
        <f aca="false">MIN(INT(ROUND(P55*1000000,0)/100000),9)</f>
        <v>1</v>
      </c>
    </row>
    <row r="56" customFormat="false" ht="15" hidden="false" customHeight="false" outlineLevel="0" collapsed="false">
      <c r="A56" s="4" t="n">
        <v>52</v>
      </c>
      <c r="B56" s="4" t="n">
        <v>283</v>
      </c>
      <c r="C56" s="4" t="n">
        <v>0</v>
      </c>
      <c r="D56" s="11" t="n">
        <v>46054</v>
      </c>
      <c r="E56" s="4" t="s">
        <v>203</v>
      </c>
      <c r="F56" s="4" t="s">
        <v>208</v>
      </c>
      <c r="G56" s="4" t="n">
        <v>1</v>
      </c>
      <c r="H56" s="4" t="n">
        <v>26</v>
      </c>
      <c r="I56" s="4" t="n">
        <v>1</v>
      </c>
      <c r="J56" s="4" t="n">
        <v>384</v>
      </c>
      <c r="K56" s="4" t="n">
        <v>1</v>
      </c>
      <c r="L56" s="12" t="n">
        <v>0.240925</v>
      </c>
      <c r="M56" s="12" t="n">
        <v>0.184211</v>
      </c>
      <c r="N56" s="12" t="n">
        <v>0.277029</v>
      </c>
      <c r="O56" s="12" t="n">
        <v>0.106183</v>
      </c>
      <c r="P56" s="12" t="n">
        <v>0.302394</v>
      </c>
      <c r="Q56" s="0" t="str">
        <f aca="false">IF(L56&gt;=Models!$G$5,1+COUNTIF($L$5:$L$1517,"&gt;"&amp;L56)+COUNTIFS($L$5:$L$1517,L56,$B$5:$B$1517,"&lt;"&amp;B56)+COUNTIFS($L$5:$L$1517,L56,$B$5:$B$1517,B56,$C$5:$C$1517,"&lt;"&amp;C56),"")</f>
        <v/>
      </c>
      <c r="R56" s="8" t="n">
        <f aca="false">IF(M56&gt;=Models!$G$6,1+COUNTIF($M$5:$M$1517,"&gt;"&amp;M56)+COUNTIFS($M$5:$M$1517,M56,$B$5:$B$1517,"&lt;"&amp;B56)+COUNTIFS($M$5:$M$1517,M56,$B$5:$B$1517,B56,$C$5:$C$1517,"&lt;"&amp;C56),"")</f>
        <v>24</v>
      </c>
      <c r="S56" s="8" t="n">
        <f aca="false">IF(N56&gt;=Models!$G$7,1+COUNTIF($N$5:$N$1517,"&gt;"&amp;N56)+COUNTIFS($N$5:$N$1517,N56,$B$5:$B$1517,"&lt;"&amp;B56)+COUNTIFS($N$5:$N$1517,N56,$B$5:$B$1517,B56,$C$5:$C$1517,"&lt;"&amp;C56),"")</f>
        <v>10</v>
      </c>
      <c r="T56" s="8" t="n">
        <f aca="false">IF(O56&gt;=Models!$G$8,1+COUNTIF($O$5:$O$1517,"&gt;"&amp;O56)+COUNTIFS($O$5:$O$1517,O56,$B$5:$B$1517,"&lt;"&amp;B56)+COUNTIFS($O$5:$O$1517,O56,$B$5:$B$1517,B56,$C$5:$C$1517,"&lt;"&amp;C56),"")</f>
        <v>200</v>
      </c>
      <c r="U56" s="8" t="n">
        <f aca="false">IF($K56=1,COUNTIFS($L$5:$L$1517,"&gt;="&amp;L56,$K$5:$K$1517,1)/COUNTIF($L$5:$L$1517,"&gt;="&amp;L56),0)</f>
        <v>0.1306266548985</v>
      </c>
      <c r="V56" s="8" t="n">
        <f aca="false">IF($K56=1,COUNTIFS($M$5:$M$1517,"&gt;="&amp;M56,$K$5:$K$1517,1)/COUNTIF($M$5:$M$1517,"&gt;="&amp;M56),0)</f>
        <v>0.186528497409326</v>
      </c>
      <c r="W56" s="8" t="n">
        <f aca="false">IF($K56=1,COUNTIFS($N$5:$N$1517,"&gt;="&amp;N56,$K$5:$K$1517,1)/COUNTIF($N$5:$N$1517,"&gt;="&amp;N56),0)</f>
        <v>0.2</v>
      </c>
      <c r="X56" s="8" t="n">
        <f aca="false">IF($K56=1,COUNTIFS($O$5:$O$1517,"&gt;="&amp;O56,$K$5:$K$1517,1)/COUNTIF($O$5:$O$1517,"&gt;="&amp;O56),0)</f>
        <v>0.12491738268341</v>
      </c>
      <c r="Y56" s="8" t="n">
        <f aca="false">IF($K56=1,COUNTIFS($P$5:$P$1517,"&gt;="&amp;P56,$K$5:$K$1517,1)/COUNTIF($P$5:$P$1517,"&gt;="&amp;P56),0)</f>
        <v>0.2</v>
      </c>
      <c r="Z56" s="8" t="n">
        <f aca="false">(L56-$K56)^2</f>
        <v>0.576194855625</v>
      </c>
      <c r="AA56" s="8" t="n">
        <f aca="false">(M56-$K56)^2</f>
        <v>0.665511692521</v>
      </c>
      <c r="AB56" s="8" t="n">
        <f aca="false">(N56-$K56)^2</f>
        <v>0.522687066841</v>
      </c>
      <c r="AC56" s="8" t="n">
        <f aca="false">(O56-$K56)^2</f>
        <v>0.798908829489</v>
      </c>
      <c r="AD56" s="8" t="n">
        <f aca="false">(P56-$K56)^2</f>
        <v>0.486654131236</v>
      </c>
      <c r="AE56" s="8" t="n">
        <f aca="false">MIN(INT(ROUND(N56*1000000,0)/100000),9)</f>
        <v>2</v>
      </c>
      <c r="AF56" s="8" t="n">
        <f aca="false">MIN(INT(ROUND(P56*1000000,0)/100000),9)</f>
        <v>3</v>
      </c>
    </row>
    <row r="57" customFormat="false" ht="15" hidden="false" customHeight="false" outlineLevel="0" collapsed="false">
      <c r="A57" s="4" t="n">
        <v>53</v>
      </c>
      <c r="B57" s="4" t="n">
        <v>289</v>
      </c>
      <c r="C57" s="4" t="n">
        <v>0</v>
      </c>
      <c r="D57" s="11" t="n">
        <v>46054</v>
      </c>
      <c r="E57" s="4" t="s">
        <v>201</v>
      </c>
      <c r="F57" s="4" t="s">
        <v>208</v>
      </c>
      <c r="G57" s="4" t="n">
        <v>11</v>
      </c>
      <c r="H57" s="4" t="n">
        <v>0</v>
      </c>
      <c r="I57" s="4" t="n">
        <v>0</v>
      </c>
      <c r="J57" s="4"/>
      <c r="K57" s="4" t="n">
        <v>0</v>
      </c>
      <c r="L57" s="12" t="n">
        <v>0.665651</v>
      </c>
      <c r="M57" s="12" t="n">
        <v>0.092063</v>
      </c>
      <c r="N57" s="12" t="n">
        <v>0.03221</v>
      </c>
      <c r="O57" s="12" t="n">
        <v>0.106183</v>
      </c>
      <c r="P57" s="12" t="n">
        <v>0.032432</v>
      </c>
      <c r="Q57" s="0" t="str">
        <f aca="false">IF(L57&gt;=Models!$G$5,1+COUNTIF($L$5:$L$1517,"&gt;"&amp;L57)+COUNTIFS($L$5:$L$1517,L57,$B$5:$B$1517,"&lt;"&amp;B57)+COUNTIFS($L$5:$L$1517,L57,$B$5:$B$1517,B57,$C$5:$C$1517,"&lt;"&amp;C57),"")</f>
        <v/>
      </c>
      <c r="R57" s="0" t="str">
        <f aca="false">IF(M57&gt;=Models!$G$6,1+COUNTIF($M$5:$M$1517,"&gt;"&amp;M57)+COUNTIFS($M$5:$M$1517,M57,$B$5:$B$1517,"&lt;"&amp;B57)+COUNTIFS($M$5:$M$1517,M57,$B$5:$B$1517,B57,$C$5:$C$1517,"&lt;"&amp;C57),"")</f>
        <v/>
      </c>
      <c r="S57" s="0" t="str">
        <f aca="false">IF(N57&gt;=Models!$G$7,1+COUNTIF($N$5:$N$1517,"&gt;"&amp;N57)+COUNTIFS($N$5:$N$1517,N57,$B$5:$B$1517,"&lt;"&amp;B57)+COUNTIFS($N$5:$N$1517,N57,$B$5:$B$1517,B57,$C$5:$C$1517,"&lt;"&amp;C57),"")</f>
        <v/>
      </c>
      <c r="T57" s="8" t="n">
        <f aca="false">IF(O57&gt;=Models!$G$8,1+COUNTIF($O$5:$O$1517,"&gt;"&amp;O57)+COUNTIFS($O$5:$O$1517,O57,$B$5:$B$1517,"&lt;"&amp;B57)+COUNTIFS($O$5:$O$1517,O57,$B$5:$B$1517,B57,$C$5:$C$1517,"&lt;"&amp;C57),"")</f>
        <v>202</v>
      </c>
      <c r="U57" s="8" t="n">
        <f aca="false">IF($K57=1,COUNTIFS($L$5:$L$1517,"&gt;="&amp;L57,$K$5:$K$1517,1)/COUNTIF($L$5:$L$1517,"&gt;="&amp;L57),0)</f>
        <v>0</v>
      </c>
      <c r="V57" s="8" t="n">
        <f aca="false">IF($K57=1,COUNTIFS($M$5:$M$1517,"&gt;="&amp;M57,$K$5:$K$1517,1)/COUNTIF($M$5:$M$1517,"&gt;="&amp;M57),0)</f>
        <v>0</v>
      </c>
      <c r="W57" s="8" t="n">
        <f aca="false">IF($K57=1,COUNTIFS($N$5:$N$1517,"&gt;="&amp;N57,$K$5:$K$1517,1)/COUNTIF($N$5:$N$1517,"&gt;="&amp;N57),0)</f>
        <v>0</v>
      </c>
      <c r="X57" s="8" t="n">
        <f aca="false">IF($K57=1,COUNTIFS($O$5:$O$1517,"&gt;="&amp;O57,$K$5:$K$1517,1)/COUNTIF($O$5:$O$1517,"&gt;="&amp;O57),0)</f>
        <v>0</v>
      </c>
      <c r="Y57" s="8" t="n">
        <f aca="false">IF($K57=1,COUNTIFS($P$5:$P$1517,"&gt;="&amp;P57,$K$5:$K$1517,1)/COUNTIF($P$5:$P$1517,"&gt;="&amp;P57),0)</f>
        <v>0</v>
      </c>
      <c r="Z57" s="8" t="n">
        <f aca="false">(L57-$K57)^2</f>
        <v>0.443091253801</v>
      </c>
      <c r="AA57" s="8" t="n">
        <f aca="false">(M57-$K57)^2</f>
        <v>0.008475595969</v>
      </c>
      <c r="AB57" s="8" t="n">
        <f aca="false">(N57-$K57)^2</f>
        <v>0.0010374841</v>
      </c>
      <c r="AC57" s="8" t="n">
        <f aca="false">(O57-$K57)^2</f>
        <v>0.011274829489</v>
      </c>
      <c r="AD57" s="8" t="n">
        <f aca="false">(P57-$K57)^2</f>
        <v>0.001051834624</v>
      </c>
      <c r="AE57" s="8" t="n">
        <f aca="false">MIN(INT(ROUND(N57*1000000,0)/100000),9)</f>
        <v>0</v>
      </c>
      <c r="AF57" s="8" t="n">
        <f aca="false">MIN(INT(ROUND(P57*1000000,0)/100000),9)</f>
        <v>0</v>
      </c>
    </row>
    <row r="58" customFormat="false" ht="15" hidden="false" customHeight="false" outlineLevel="0" collapsed="false">
      <c r="A58" s="4" t="n">
        <v>54</v>
      </c>
      <c r="B58" s="4" t="n">
        <v>293</v>
      </c>
      <c r="C58" s="4" t="n">
        <v>0</v>
      </c>
      <c r="D58" s="11" t="n">
        <v>46054</v>
      </c>
      <c r="E58" s="4" t="s">
        <v>204</v>
      </c>
      <c r="F58" s="4" t="s">
        <v>208</v>
      </c>
      <c r="G58" s="4" t="n">
        <v>0</v>
      </c>
      <c r="H58" s="4" t="n">
        <v>35</v>
      </c>
      <c r="I58" s="4" t="n">
        <v>0</v>
      </c>
      <c r="J58" s="4" t="n">
        <v>99</v>
      </c>
      <c r="K58" s="4" t="n">
        <v>0</v>
      </c>
      <c r="L58" s="12" t="n">
        <v>0.965906</v>
      </c>
      <c r="M58" s="12" t="n">
        <v>0.184211</v>
      </c>
      <c r="N58" s="12" t="n">
        <v>0.201814</v>
      </c>
      <c r="O58" s="12" t="n">
        <v>0.106183</v>
      </c>
      <c r="P58" s="12" t="n">
        <v>0.21901</v>
      </c>
      <c r="Q58" s="0" t="str">
        <f aca="false">IF(L58&gt;=Models!$G$5,1+COUNTIF($L$5:$L$1517,"&gt;"&amp;L58)+COUNTIFS($L$5:$L$1517,L58,$B$5:$B$1517,"&lt;"&amp;B58)+COUNTIFS($L$5:$L$1517,L58,$B$5:$B$1517,B58,$C$5:$C$1517,"&lt;"&amp;C58),"")</f>
        <v/>
      </c>
      <c r="R58" s="8" t="n">
        <f aca="false">IF(M58&gt;=Models!$G$6,1+COUNTIF($M$5:$M$1517,"&gt;"&amp;M58)+COUNTIFS($M$5:$M$1517,M58,$B$5:$B$1517,"&lt;"&amp;B58)+COUNTIFS($M$5:$M$1517,M58,$B$5:$B$1517,B58,$C$5:$C$1517,"&lt;"&amp;C58),"")</f>
        <v>25</v>
      </c>
      <c r="S58" s="0" t="str">
        <f aca="false">IF(N58&gt;=Models!$G$7,1+COUNTIF($N$5:$N$1517,"&gt;"&amp;N58)+COUNTIFS($N$5:$N$1517,N58,$B$5:$B$1517,"&lt;"&amp;B58)+COUNTIFS($N$5:$N$1517,N58,$B$5:$B$1517,B58,$C$5:$C$1517,"&lt;"&amp;C58),"")</f>
        <v/>
      </c>
      <c r="T58" s="8" t="n">
        <f aca="false">IF(O58&gt;=Models!$G$8,1+COUNTIF($O$5:$O$1517,"&gt;"&amp;O58)+COUNTIFS($O$5:$O$1517,O58,$B$5:$B$1517,"&lt;"&amp;B58)+COUNTIFS($O$5:$O$1517,O58,$B$5:$B$1517,B58,$C$5:$C$1517,"&lt;"&amp;C58),"")</f>
        <v>206</v>
      </c>
      <c r="U58" s="8" t="n">
        <f aca="false">IF($K58=1,COUNTIFS($L$5:$L$1517,"&gt;="&amp;L58,$K$5:$K$1517,1)/COUNTIF($L$5:$L$1517,"&gt;="&amp;L58),0)</f>
        <v>0</v>
      </c>
      <c r="V58" s="8" t="n">
        <f aca="false">IF($K58=1,COUNTIFS($M$5:$M$1517,"&gt;="&amp;M58,$K$5:$K$1517,1)/COUNTIF($M$5:$M$1517,"&gt;="&amp;M58),0)</f>
        <v>0</v>
      </c>
      <c r="W58" s="8" t="n">
        <f aca="false">IF($K58=1,COUNTIFS($N$5:$N$1517,"&gt;="&amp;N58,$K$5:$K$1517,1)/COUNTIF($N$5:$N$1517,"&gt;="&amp;N58),0)</f>
        <v>0</v>
      </c>
      <c r="X58" s="8" t="n">
        <f aca="false">IF($K58=1,COUNTIFS($O$5:$O$1517,"&gt;="&amp;O58,$K$5:$K$1517,1)/COUNTIF($O$5:$O$1517,"&gt;="&amp;O58),0)</f>
        <v>0</v>
      </c>
      <c r="Y58" s="8" t="n">
        <f aca="false">IF($K58=1,COUNTIFS($P$5:$P$1517,"&gt;="&amp;P58,$K$5:$K$1517,1)/COUNTIF($P$5:$P$1517,"&gt;="&amp;P58),0)</f>
        <v>0</v>
      </c>
      <c r="Z58" s="8" t="n">
        <f aca="false">(L58-$K58)^2</f>
        <v>0.932974400836</v>
      </c>
      <c r="AA58" s="8" t="n">
        <f aca="false">(M58-$K58)^2</f>
        <v>0.033933692521</v>
      </c>
      <c r="AB58" s="8" t="n">
        <f aca="false">(N58-$K58)^2</f>
        <v>0.040728890596</v>
      </c>
      <c r="AC58" s="8" t="n">
        <f aca="false">(O58-$K58)^2</f>
        <v>0.011274829489</v>
      </c>
      <c r="AD58" s="8" t="n">
        <f aca="false">(P58-$K58)^2</f>
        <v>0.0479653801</v>
      </c>
      <c r="AE58" s="8" t="n">
        <f aca="false">MIN(INT(ROUND(N58*1000000,0)/100000),9)</f>
        <v>2</v>
      </c>
      <c r="AF58" s="8" t="n">
        <f aca="false">MIN(INT(ROUND(P58*1000000,0)/100000),9)</f>
        <v>2</v>
      </c>
    </row>
    <row r="59" customFormat="false" ht="15" hidden="false" customHeight="false" outlineLevel="0" collapsed="false">
      <c r="A59" s="4" t="n">
        <v>55</v>
      </c>
      <c r="B59" s="4" t="n">
        <v>304</v>
      </c>
      <c r="C59" s="4" t="n">
        <v>0</v>
      </c>
      <c r="D59" s="11" t="n">
        <v>46054</v>
      </c>
      <c r="E59" s="4" t="s">
        <v>204</v>
      </c>
      <c r="F59" s="4" t="s">
        <v>206</v>
      </c>
      <c r="G59" s="4" t="n">
        <v>7</v>
      </c>
      <c r="H59" s="4" t="n">
        <v>1</v>
      </c>
      <c r="I59" s="4" t="n">
        <v>0</v>
      </c>
      <c r="J59" s="4" t="n">
        <v>69</v>
      </c>
      <c r="K59" s="4" t="n">
        <v>0</v>
      </c>
      <c r="L59" s="12" t="n">
        <v>0.908094</v>
      </c>
      <c r="M59" s="12" t="n">
        <v>0.092063</v>
      </c>
      <c r="N59" s="12" t="n">
        <v>0.09264</v>
      </c>
      <c r="O59" s="12" t="n">
        <v>0.106183</v>
      </c>
      <c r="P59" s="12" t="n">
        <v>0.097844</v>
      </c>
      <c r="Q59" s="0" t="str">
        <f aca="false">IF(L59&gt;=Models!$G$5,1+COUNTIF($L$5:$L$1517,"&gt;"&amp;L59)+COUNTIFS($L$5:$L$1517,L59,$B$5:$B$1517,"&lt;"&amp;B59)+COUNTIFS($L$5:$L$1517,L59,$B$5:$B$1517,B59,$C$5:$C$1517,"&lt;"&amp;C59),"")</f>
        <v/>
      </c>
      <c r="R59" s="0" t="str">
        <f aca="false">IF(M59&gt;=Models!$G$6,1+COUNTIF($M$5:$M$1517,"&gt;"&amp;M59)+COUNTIFS($M$5:$M$1517,M59,$B$5:$B$1517,"&lt;"&amp;B59)+COUNTIFS($M$5:$M$1517,M59,$B$5:$B$1517,B59,$C$5:$C$1517,"&lt;"&amp;C59),"")</f>
        <v/>
      </c>
      <c r="S59" s="0" t="str">
        <f aca="false">IF(N59&gt;=Models!$G$7,1+COUNTIF($N$5:$N$1517,"&gt;"&amp;N59)+COUNTIFS($N$5:$N$1517,N59,$B$5:$B$1517,"&lt;"&amp;B59)+COUNTIFS($N$5:$N$1517,N59,$B$5:$B$1517,B59,$C$5:$C$1517,"&lt;"&amp;C59),"")</f>
        <v/>
      </c>
      <c r="T59" s="8" t="n">
        <f aca="false">IF(O59&gt;=Models!$G$8,1+COUNTIF($O$5:$O$1517,"&gt;"&amp;O59)+COUNTIFS($O$5:$O$1517,O59,$B$5:$B$1517,"&lt;"&amp;B59)+COUNTIFS($O$5:$O$1517,O59,$B$5:$B$1517,B59,$C$5:$C$1517,"&lt;"&amp;C59),"")</f>
        <v>210</v>
      </c>
      <c r="U59" s="8" t="n">
        <f aca="false">IF($K59=1,COUNTIFS($L$5:$L$1517,"&gt;="&amp;L59,$K$5:$K$1517,1)/COUNTIF($L$5:$L$1517,"&gt;="&amp;L59),0)</f>
        <v>0</v>
      </c>
      <c r="V59" s="8" t="n">
        <f aca="false">IF($K59=1,COUNTIFS($M$5:$M$1517,"&gt;="&amp;M59,$K$5:$K$1517,1)/COUNTIF($M$5:$M$1517,"&gt;="&amp;M59),0)</f>
        <v>0</v>
      </c>
      <c r="W59" s="8" t="n">
        <f aca="false">IF($K59=1,COUNTIFS($N$5:$N$1517,"&gt;="&amp;N59,$K$5:$K$1517,1)/COUNTIF($N$5:$N$1517,"&gt;="&amp;N59),0)</f>
        <v>0</v>
      </c>
      <c r="X59" s="8" t="n">
        <f aca="false">IF($K59=1,COUNTIFS($O$5:$O$1517,"&gt;="&amp;O59,$K$5:$K$1517,1)/COUNTIF($O$5:$O$1517,"&gt;="&amp;O59),0)</f>
        <v>0</v>
      </c>
      <c r="Y59" s="8" t="n">
        <f aca="false">IF($K59=1,COUNTIFS($P$5:$P$1517,"&gt;="&amp;P59,$K$5:$K$1517,1)/COUNTIF($P$5:$P$1517,"&gt;="&amp;P59),0)</f>
        <v>0</v>
      </c>
      <c r="Z59" s="8" t="n">
        <f aca="false">(L59-$K59)^2</f>
        <v>0.824634712836</v>
      </c>
      <c r="AA59" s="8" t="n">
        <f aca="false">(M59-$K59)^2</f>
        <v>0.008475595969</v>
      </c>
      <c r="AB59" s="8" t="n">
        <f aca="false">(N59-$K59)^2</f>
        <v>0.0085821696</v>
      </c>
      <c r="AC59" s="8" t="n">
        <f aca="false">(O59-$K59)^2</f>
        <v>0.011274829489</v>
      </c>
      <c r="AD59" s="8" t="n">
        <f aca="false">(P59-$K59)^2</f>
        <v>0.009573448336</v>
      </c>
      <c r="AE59" s="8" t="n">
        <f aca="false">MIN(INT(ROUND(N59*1000000,0)/100000),9)</f>
        <v>0</v>
      </c>
      <c r="AF59" s="8" t="n">
        <f aca="false">MIN(INT(ROUND(P59*1000000,0)/100000),9)</f>
        <v>0</v>
      </c>
    </row>
    <row r="60" customFormat="false" ht="15" hidden="false" customHeight="false" outlineLevel="0" collapsed="false">
      <c r="A60" s="4" t="n">
        <v>56</v>
      </c>
      <c r="B60" s="4" t="n">
        <v>317</v>
      </c>
      <c r="C60" s="4" t="n">
        <v>0</v>
      </c>
      <c r="D60" s="11" t="n">
        <v>46054</v>
      </c>
      <c r="E60" s="4" t="s">
        <v>204</v>
      </c>
      <c r="F60" s="4" t="s">
        <v>206</v>
      </c>
      <c r="G60" s="4" t="n">
        <v>7</v>
      </c>
      <c r="H60" s="4" t="n">
        <v>2</v>
      </c>
      <c r="I60" s="4" t="n">
        <v>0</v>
      </c>
      <c r="J60" s="4" t="n">
        <v>78</v>
      </c>
      <c r="K60" s="4" t="n">
        <v>0</v>
      </c>
      <c r="L60" s="12" t="n">
        <v>0.754174</v>
      </c>
      <c r="M60" s="12" t="n">
        <v>0.092063</v>
      </c>
      <c r="N60" s="12" t="n">
        <v>0.093287</v>
      </c>
      <c r="O60" s="12" t="n">
        <v>0.106183</v>
      </c>
      <c r="P60" s="12" t="n">
        <v>0.098556</v>
      </c>
      <c r="Q60" s="0" t="str">
        <f aca="false">IF(L60&gt;=Models!$G$5,1+COUNTIF($L$5:$L$1517,"&gt;"&amp;L60)+COUNTIFS($L$5:$L$1517,L60,$B$5:$B$1517,"&lt;"&amp;B60)+COUNTIFS($L$5:$L$1517,L60,$B$5:$B$1517,B60,$C$5:$C$1517,"&lt;"&amp;C60),"")</f>
        <v/>
      </c>
      <c r="R60" s="0" t="str">
        <f aca="false">IF(M60&gt;=Models!$G$6,1+COUNTIF($M$5:$M$1517,"&gt;"&amp;M60)+COUNTIFS($M$5:$M$1517,M60,$B$5:$B$1517,"&lt;"&amp;B60)+COUNTIFS($M$5:$M$1517,M60,$B$5:$B$1517,B60,$C$5:$C$1517,"&lt;"&amp;C60),"")</f>
        <v/>
      </c>
      <c r="S60" s="0" t="str">
        <f aca="false">IF(N60&gt;=Models!$G$7,1+COUNTIF($N$5:$N$1517,"&gt;"&amp;N60)+COUNTIFS($N$5:$N$1517,N60,$B$5:$B$1517,"&lt;"&amp;B60)+COUNTIFS($N$5:$N$1517,N60,$B$5:$B$1517,B60,$C$5:$C$1517,"&lt;"&amp;C60),"")</f>
        <v/>
      </c>
      <c r="T60" s="8" t="n">
        <f aca="false">IF(O60&gt;=Models!$G$8,1+COUNTIF($O$5:$O$1517,"&gt;"&amp;O60)+COUNTIFS($O$5:$O$1517,O60,$B$5:$B$1517,"&lt;"&amp;B60)+COUNTIFS($O$5:$O$1517,O60,$B$5:$B$1517,B60,$C$5:$C$1517,"&lt;"&amp;C60),"")</f>
        <v>214</v>
      </c>
      <c r="U60" s="8" t="n">
        <f aca="false">IF($K60=1,COUNTIFS($L$5:$L$1517,"&gt;="&amp;L60,$K$5:$K$1517,1)/COUNTIF($L$5:$L$1517,"&gt;="&amp;L60),0)</f>
        <v>0</v>
      </c>
      <c r="V60" s="8" t="n">
        <f aca="false">IF($K60=1,COUNTIFS($M$5:$M$1517,"&gt;="&amp;M60,$K$5:$K$1517,1)/COUNTIF($M$5:$M$1517,"&gt;="&amp;M60),0)</f>
        <v>0</v>
      </c>
      <c r="W60" s="8" t="n">
        <f aca="false">IF($K60=1,COUNTIFS($N$5:$N$1517,"&gt;="&amp;N60,$K$5:$K$1517,1)/COUNTIF($N$5:$N$1517,"&gt;="&amp;N60),0)</f>
        <v>0</v>
      </c>
      <c r="X60" s="8" t="n">
        <f aca="false">IF($K60=1,COUNTIFS($O$5:$O$1517,"&gt;="&amp;O60,$K$5:$K$1517,1)/COUNTIF($O$5:$O$1517,"&gt;="&amp;O60),0)</f>
        <v>0</v>
      </c>
      <c r="Y60" s="8" t="n">
        <f aca="false">IF($K60=1,COUNTIFS($P$5:$P$1517,"&gt;="&amp;P60,$K$5:$K$1517,1)/COUNTIF($P$5:$P$1517,"&gt;="&amp;P60),0)</f>
        <v>0</v>
      </c>
      <c r="Z60" s="8" t="n">
        <f aca="false">(L60-$K60)^2</f>
        <v>0.568778422276</v>
      </c>
      <c r="AA60" s="8" t="n">
        <f aca="false">(M60-$K60)^2</f>
        <v>0.008475595969</v>
      </c>
      <c r="AB60" s="8" t="n">
        <f aca="false">(N60-$K60)^2</f>
        <v>0.008702464369</v>
      </c>
      <c r="AC60" s="8" t="n">
        <f aca="false">(O60-$K60)^2</f>
        <v>0.011274829489</v>
      </c>
      <c r="AD60" s="8" t="n">
        <f aca="false">(P60-$K60)^2</f>
        <v>0.009713285136</v>
      </c>
      <c r="AE60" s="8" t="n">
        <f aca="false">MIN(INT(ROUND(N60*1000000,0)/100000),9)</f>
        <v>0</v>
      </c>
      <c r="AF60" s="8" t="n">
        <f aca="false">MIN(INT(ROUND(P60*1000000,0)/100000),9)</f>
        <v>0</v>
      </c>
    </row>
    <row r="61" customFormat="false" ht="15" hidden="false" customHeight="false" outlineLevel="0" collapsed="false">
      <c r="A61" s="4" t="n">
        <v>57</v>
      </c>
      <c r="B61" s="4" t="n">
        <v>318</v>
      </c>
      <c r="C61" s="4" t="n">
        <v>0</v>
      </c>
      <c r="D61" s="11" t="n">
        <v>46054</v>
      </c>
      <c r="E61" s="4" t="s">
        <v>202</v>
      </c>
      <c r="F61" s="4" t="s">
        <v>206</v>
      </c>
      <c r="G61" s="4" t="n">
        <v>10</v>
      </c>
      <c r="H61" s="4" t="n">
        <v>1</v>
      </c>
      <c r="I61" s="4" t="n">
        <v>0</v>
      </c>
      <c r="J61" s="4" t="n">
        <v>1026</v>
      </c>
      <c r="K61" s="4" t="n">
        <v>1</v>
      </c>
      <c r="L61" s="12" t="n">
        <v>0.547033</v>
      </c>
      <c r="M61" s="12" t="n">
        <v>0.092063</v>
      </c>
      <c r="N61" s="12" t="n">
        <v>0.068666</v>
      </c>
      <c r="O61" s="12" t="n">
        <v>0.106183</v>
      </c>
      <c r="P61" s="12" t="n">
        <v>0.071595</v>
      </c>
      <c r="Q61" s="0" t="str">
        <f aca="false">IF(L61&gt;=Models!$G$5,1+COUNTIF($L$5:$L$1517,"&gt;"&amp;L61)+COUNTIFS($L$5:$L$1517,L61,$B$5:$B$1517,"&lt;"&amp;B61)+COUNTIFS($L$5:$L$1517,L61,$B$5:$B$1517,B61,$C$5:$C$1517,"&lt;"&amp;C61),"")</f>
        <v/>
      </c>
      <c r="R61" s="0" t="str">
        <f aca="false">IF(M61&gt;=Models!$G$6,1+COUNTIF($M$5:$M$1517,"&gt;"&amp;M61)+COUNTIFS($M$5:$M$1517,M61,$B$5:$B$1517,"&lt;"&amp;B61)+COUNTIFS($M$5:$M$1517,M61,$B$5:$B$1517,B61,$C$5:$C$1517,"&lt;"&amp;C61),"")</f>
        <v/>
      </c>
      <c r="S61" s="0" t="str">
        <f aca="false">IF(N61&gt;=Models!$G$7,1+COUNTIF($N$5:$N$1517,"&gt;"&amp;N61)+COUNTIFS($N$5:$N$1517,N61,$B$5:$B$1517,"&lt;"&amp;B61)+COUNTIFS($N$5:$N$1517,N61,$B$5:$B$1517,B61,$C$5:$C$1517,"&lt;"&amp;C61),"")</f>
        <v/>
      </c>
      <c r="T61" s="8" t="n">
        <f aca="false">IF(O61&gt;=Models!$G$8,1+COUNTIF($O$5:$O$1517,"&gt;"&amp;O61)+COUNTIFS($O$5:$O$1517,O61,$B$5:$B$1517,"&lt;"&amp;B61)+COUNTIFS($O$5:$O$1517,O61,$B$5:$B$1517,B61,$C$5:$C$1517,"&lt;"&amp;C61),"")</f>
        <v>218</v>
      </c>
      <c r="U61" s="8" t="n">
        <f aca="false">IF($K61=1,COUNTIFS($L$5:$L$1517,"&gt;="&amp;L61,$K$5:$K$1517,1)/COUNTIF($L$5:$L$1517,"&gt;="&amp;L61),0)</f>
        <v>0.119822485207101</v>
      </c>
      <c r="V61" s="8" t="n">
        <f aca="false">IF($K61=1,COUNTIFS($M$5:$M$1517,"&gt;="&amp;M61,$K$5:$K$1517,1)/COUNTIF($M$5:$M$1517,"&gt;="&amp;M61),0)</f>
        <v>0.12491738268341</v>
      </c>
      <c r="W61" s="8" t="n">
        <f aca="false">IF($K61=1,COUNTIFS($N$5:$N$1517,"&gt;="&amp;N61,$K$5:$K$1517,1)/COUNTIF($N$5:$N$1517,"&gt;="&amp;N61),0)</f>
        <v>0.163432073544433</v>
      </c>
      <c r="X61" s="8" t="n">
        <f aca="false">IF($K61=1,COUNTIFS($O$5:$O$1517,"&gt;="&amp;O61,$K$5:$K$1517,1)/COUNTIF($O$5:$O$1517,"&gt;="&amp;O61),0)</f>
        <v>0.12491738268341</v>
      </c>
      <c r="Y61" s="8" t="n">
        <f aca="false">IF($K61=1,COUNTIFS($P$5:$P$1517,"&gt;="&amp;P61,$K$5:$K$1517,1)/COUNTIF($P$5:$P$1517,"&gt;="&amp;P61),0)</f>
        <v>0.163432073544433</v>
      </c>
      <c r="Z61" s="8" t="n">
        <f aca="false">(L61-$K61)^2</f>
        <v>0.205179103089</v>
      </c>
      <c r="AA61" s="8" t="n">
        <f aca="false">(M61-$K61)^2</f>
        <v>0.824349595969</v>
      </c>
      <c r="AB61" s="8" t="n">
        <f aca="false">(N61-$K61)^2</f>
        <v>0.867383019556</v>
      </c>
      <c r="AC61" s="8" t="n">
        <f aca="false">(O61-$K61)^2</f>
        <v>0.798908829489</v>
      </c>
      <c r="AD61" s="8" t="n">
        <f aca="false">(P61-$K61)^2</f>
        <v>0.861935844025</v>
      </c>
      <c r="AE61" s="8" t="n">
        <f aca="false">MIN(INT(ROUND(N61*1000000,0)/100000),9)</f>
        <v>0</v>
      </c>
      <c r="AF61" s="8" t="n">
        <f aca="false">MIN(INT(ROUND(P61*1000000,0)/100000),9)</f>
        <v>0</v>
      </c>
    </row>
    <row r="62" customFormat="false" ht="15" hidden="false" customHeight="false" outlineLevel="0" collapsed="false">
      <c r="A62" s="4" t="n">
        <v>58</v>
      </c>
      <c r="B62" s="4" t="n">
        <v>319</v>
      </c>
      <c r="C62" s="4" t="n">
        <v>0</v>
      </c>
      <c r="D62" s="11" t="n">
        <v>46054</v>
      </c>
      <c r="E62" s="4" t="s">
        <v>203</v>
      </c>
      <c r="F62" s="4" t="s">
        <v>210</v>
      </c>
      <c r="G62" s="4" t="n">
        <v>7</v>
      </c>
      <c r="H62" s="4" t="n">
        <v>1</v>
      </c>
      <c r="I62" s="4" t="n">
        <v>0</v>
      </c>
      <c r="J62" s="4" t="n">
        <v>321</v>
      </c>
      <c r="K62" s="4" t="n">
        <v>0</v>
      </c>
      <c r="L62" s="12" t="n">
        <v>0.56357</v>
      </c>
      <c r="M62" s="12" t="n">
        <v>0.092063</v>
      </c>
      <c r="N62" s="12" t="n">
        <v>0.091418</v>
      </c>
      <c r="O62" s="12" t="n">
        <v>0.106183</v>
      </c>
      <c r="P62" s="12" t="n">
        <v>0.0965</v>
      </c>
      <c r="Q62" s="0" t="str">
        <f aca="false">IF(L62&gt;=Models!$G$5,1+COUNTIF($L$5:$L$1517,"&gt;"&amp;L62)+COUNTIFS($L$5:$L$1517,L62,$B$5:$B$1517,"&lt;"&amp;B62)+COUNTIFS($L$5:$L$1517,L62,$B$5:$B$1517,B62,$C$5:$C$1517,"&lt;"&amp;C62),"")</f>
        <v/>
      </c>
      <c r="R62" s="0" t="str">
        <f aca="false">IF(M62&gt;=Models!$G$6,1+COUNTIF($M$5:$M$1517,"&gt;"&amp;M62)+COUNTIFS($M$5:$M$1517,M62,$B$5:$B$1517,"&lt;"&amp;B62)+COUNTIFS($M$5:$M$1517,M62,$B$5:$B$1517,B62,$C$5:$C$1517,"&lt;"&amp;C62),"")</f>
        <v/>
      </c>
      <c r="S62" s="0" t="str">
        <f aca="false">IF(N62&gt;=Models!$G$7,1+COUNTIF($N$5:$N$1517,"&gt;"&amp;N62)+COUNTIFS($N$5:$N$1517,N62,$B$5:$B$1517,"&lt;"&amp;B62)+COUNTIFS($N$5:$N$1517,N62,$B$5:$B$1517,B62,$C$5:$C$1517,"&lt;"&amp;C62),"")</f>
        <v/>
      </c>
      <c r="T62" s="8" t="n">
        <f aca="false">IF(O62&gt;=Models!$G$8,1+COUNTIF($O$5:$O$1517,"&gt;"&amp;O62)+COUNTIFS($O$5:$O$1517,O62,$B$5:$B$1517,"&lt;"&amp;B62)+COUNTIFS($O$5:$O$1517,O62,$B$5:$B$1517,B62,$C$5:$C$1517,"&lt;"&amp;C62),"")</f>
        <v>220</v>
      </c>
      <c r="U62" s="8" t="n">
        <f aca="false">IF($K62=1,COUNTIFS($L$5:$L$1517,"&gt;="&amp;L62,$K$5:$K$1517,1)/COUNTIF($L$5:$L$1517,"&gt;="&amp;L62),0)</f>
        <v>0</v>
      </c>
      <c r="V62" s="8" t="n">
        <f aca="false">IF($K62=1,COUNTIFS($M$5:$M$1517,"&gt;="&amp;M62,$K$5:$K$1517,1)/COUNTIF($M$5:$M$1517,"&gt;="&amp;M62),0)</f>
        <v>0</v>
      </c>
      <c r="W62" s="8" t="n">
        <f aca="false">IF($K62=1,COUNTIFS($N$5:$N$1517,"&gt;="&amp;N62,$K$5:$K$1517,1)/COUNTIF($N$5:$N$1517,"&gt;="&amp;N62),0)</f>
        <v>0</v>
      </c>
      <c r="X62" s="8" t="n">
        <f aca="false">IF($K62=1,COUNTIFS($O$5:$O$1517,"&gt;="&amp;O62,$K$5:$K$1517,1)/COUNTIF($O$5:$O$1517,"&gt;="&amp;O62),0)</f>
        <v>0</v>
      </c>
      <c r="Y62" s="8" t="n">
        <f aca="false">IF($K62=1,COUNTIFS($P$5:$P$1517,"&gt;="&amp;P62,$K$5:$K$1517,1)/COUNTIF($P$5:$P$1517,"&gt;="&amp;P62),0)</f>
        <v>0</v>
      </c>
      <c r="Z62" s="8" t="n">
        <f aca="false">(L62-$K62)^2</f>
        <v>0.3176111449</v>
      </c>
      <c r="AA62" s="8" t="n">
        <f aca="false">(M62-$K62)^2</f>
        <v>0.008475595969</v>
      </c>
      <c r="AB62" s="8" t="n">
        <f aca="false">(N62-$K62)^2</f>
        <v>0.008357250724</v>
      </c>
      <c r="AC62" s="8" t="n">
        <f aca="false">(O62-$K62)^2</f>
        <v>0.011274829489</v>
      </c>
      <c r="AD62" s="8" t="n">
        <f aca="false">(P62-$K62)^2</f>
        <v>0.00931225</v>
      </c>
      <c r="AE62" s="8" t="n">
        <f aca="false">MIN(INT(ROUND(N62*1000000,0)/100000),9)</f>
        <v>0</v>
      </c>
      <c r="AF62" s="8" t="n">
        <f aca="false">MIN(INT(ROUND(P62*1000000,0)/100000),9)</f>
        <v>0</v>
      </c>
    </row>
    <row r="63" customFormat="false" ht="15" hidden="false" customHeight="false" outlineLevel="0" collapsed="false">
      <c r="A63" s="4" t="n">
        <v>59</v>
      </c>
      <c r="B63" s="4" t="n">
        <v>324</v>
      </c>
      <c r="C63" s="4" t="n">
        <v>0</v>
      </c>
      <c r="D63" s="11" t="n">
        <v>46054</v>
      </c>
      <c r="E63" s="4" t="s">
        <v>202</v>
      </c>
      <c r="F63" s="4" t="s">
        <v>207</v>
      </c>
      <c r="G63" s="4" t="n">
        <v>6</v>
      </c>
      <c r="H63" s="4" t="n">
        <v>0</v>
      </c>
      <c r="I63" s="4" t="n">
        <v>0</v>
      </c>
      <c r="J63" s="4"/>
      <c r="K63" s="4" t="n">
        <v>0</v>
      </c>
      <c r="L63" s="12" t="n">
        <v>0.247213</v>
      </c>
      <c r="M63" s="12" t="n">
        <v>0.092063</v>
      </c>
      <c r="N63" s="12" t="n">
        <v>0.049606</v>
      </c>
      <c r="O63" s="12" t="n">
        <v>0.106183</v>
      </c>
      <c r="P63" s="12" t="n">
        <v>0.050966</v>
      </c>
      <c r="Q63" s="0" t="str">
        <f aca="false">IF(L63&gt;=Models!$G$5,1+COUNTIF($L$5:$L$1517,"&gt;"&amp;L63)+COUNTIFS($L$5:$L$1517,L63,$B$5:$B$1517,"&lt;"&amp;B63)+COUNTIFS($L$5:$L$1517,L63,$B$5:$B$1517,B63,$C$5:$C$1517,"&lt;"&amp;C63),"")</f>
        <v/>
      </c>
      <c r="R63" s="0" t="str">
        <f aca="false">IF(M63&gt;=Models!$G$6,1+COUNTIF($M$5:$M$1517,"&gt;"&amp;M63)+COUNTIFS($M$5:$M$1517,M63,$B$5:$B$1517,"&lt;"&amp;B63)+COUNTIFS($M$5:$M$1517,M63,$B$5:$B$1517,B63,$C$5:$C$1517,"&lt;"&amp;C63),"")</f>
        <v/>
      </c>
      <c r="S63" s="0" t="str">
        <f aca="false">IF(N63&gt;=Models!$G$7,1+COUNTIF($N$5:$N$1517,"&gt;"&amp;N63)+COUNTIFS($N$5:$N$1517,N63,$B$5:$B$1517,"&lt;"&amp;B63)+COUNTIFS($N$5:$N$1517,N63,$B$5:$B$1517,B63,$C$5:$C$1517,"&lt;"&amp;C63),"")</f>
        <v/>
      </c>
      <c r="T63" s="8" t="n">
        <f aca="false">IF(O63&gt;=Models!$G$8,1+COUNTIF($O$5:$O$1517,"&gt;"&amp;O63)+COUNTIFS($O$5:$O$1517,O63,$B$5:$B$1517,"&lt;"&amp;B63)+COUNTIFS($O$5:$O$1517,O63,$B$5:$B$1517,B63,$C$5:$C$1517,"&lt;"&amp;C63),"")</f>
        <v>224</v>
      </c>
      <c r="U63" s="8" t="n">
        <f aca="false">IF($K63=1,COUNTIFS($L$5:$L$1517,"&gt;="&amp;L63,$K$5:$K$1517,1)/COUNTIF($L$5:$L$1517,"&gt;="&amp;L63),0)</f>
        <v>0</v>
      </c>
      <c r="V63" s="8" t="n">
        <f aca="false">IF($K63=1,COUNTIFS($M$5:$M$1517,"&gt;="&amp;M63,$K$5:$K$1517,1)/COUNTIF($M$5:$M$1517,"&gt;="&amp;M63),0)</f>
        <v>0</v>
      </c>
      <c r="W63" s="8" t="n">
        <f aca="false">IF($K63=1,COUNTIFS($N$5:$N$1517,"&gt;="&amp;N63,$K$5:$K$1517,1)/COUNTIF($N$5:$N$1517,"&gt;="&amp;N63),0)</f>
        <v>0</v>
      </c>
      <c r="X63" s="8" t="n">
        <f aca="false">IF($K63=1,COUNTIFS($O$5:$O$1517,"&gt;="&amp;O63,$K$5:$K$1517,1)/COUNTIF($O$5:$O$1517,"&gt;="&amp;O63),0)</f>
        <v>0</v>
      </c>
      <c r="Y63" s="8" t="n">
        <f aca="false">IF($K63=1,COUNTIFS($P$5:$P$1517,"&gt;="&amp;P63,$K$5:$K$1517,1)/COUNTIF($P$5:$P$1517,"&gt;="&amp;P63),0)</f>
        <v>0</v>
      </c>
      <c r="Z63" s="8" t="n">
        <f aca="false">(L63-$K63)^2</f>
        <v>0.061114267369</v>
      </c>
      <c r="AA63" s="8" t="n">
        <f aca="false">(M63-$K63)^2</f>
        <v>0.008475595969</v>
      </c>
      <c r="AB63" s="8" t="n">
        <f aca="false">(N63-$K63)^2</f>
        <v>0.002460755236</v>
      </c>
      <c r="AC63" s="8" t="n">
        <f aca="false">(O63-$K63)^2</f>
        <v>0.011274829489</v>
      </c>
      <c r="AD63" s="8" t="n">
        <f aca="false">(P63-$K63)^2</f>
        <v>0.002597533156</v>
      </c>
      <c r="AE63" s="8" t="n">
        <f aca="false">MIN(INT(ROUND(N63*1000000,0)/100000),9)</f>
        <v>0</v>
      </c>
      <c r="AF63" s="8" t="n">
        <f aca="false">MIN(INT(ROUND(P63*1000000,0)/100000),9)</f>
        <v>0</v>
      </c>
    </row>
    <row r="64" customFormat="false" ht="15" hidden="false" customHeight="false" outlineLevel="0" collapsed="false">
      <c r="A64" s="4" t="n">
        <v>60</v>
      </c>
      <c r="B64" s="4" t="n">
        <v>325</v>
      </c>
      <c r="C64" s="4" t="n">
        <v>0</v>
      </c>
      <c r="D64" s="11" t="n">
        <v>46054</v>
      </c>
      <c r="E64" s="4" t="s">
        <v>202</v>
      </c>
      <c r="F64" s="4" t="s">
        <v>210</v>
      </c>
      <c r="G64" s="4" t="n">
        <v>7</v>
      </c>
      <c r="H64" s="4" t="n">
        <v>8</v>
      </c>
      <c r="I64" s="4" t="n">
        <v>0</v>
      </c>
      <c r="J64" s="4"/>
      <c r="K64" s="4" t="n">
        <v>0</v>
      </c>
      <c r="L64" s="12" t="n">
        <v>0.025817</v>
      </c>
      <c r="M64" s="12" t="n">
        <v>0.092063</v>
      </c>
      <c r="N64" s="12" t="n">
        <v>0.048466</v>
      </c>
      <c r="O64" s="12" t="n">
        <v>0.106183</v>
      </c>
      <c r="P64" s="12" t="n">
        <v>0.049742</v>
      </c>
      <c r="Q64" s="0" t="str">
        <f aca="false">IF(L64&gt;=Models!$G$5,1+COUNTIF($L$5:$L$1517,"&gt;"&amp;L64)+COUNTIFS($L$5:$L$1517,L64,$B$5:$B$1517,"&lt;"&amp;B64)+COUNTIFS($L$5:$L$1517,L64,$B$5:$B$1517,B64,$C$5:$C$1517,"&lt;"&amp;C64),"")</f>
        <v/>
      </c>
      <c r="R64" s="0" t="str">
        <f aca="false">IF(M64&gt;=Models!$G$6,1+COUNTIF($M$5:$M$1517,"&gt;"&amp;M64)+COUNTIFS($M$5:$M$1517,M64,$B$5:$B$1517,"&lt;"&amp;B64)+COUNTIFS($M$5:$M$1517,M64,$B$5:$B$1517,B64,$C$5:$C$1517,"&lt;"&amp;C64),"")</f>
        <v/>
      </c>
      <c r="S64" s="0" t="str">
        <f aca="false">IF(N64&gt;=Models!$G$7,1+COUNTIF($N$5:$N$1517,"&gt;"&amp;N64)+COUNTIFS($N$5:$N$1517,N64,$B$5:$B$1517,"&lt;"&amp;B64)+COUNTIFS($N$5:$N$1517,N64,$B$5:$B$1517,B64,$C$5:$C$1517,"&lt;"&amp;C64),"")</f>
        <v/>
      </c>
      <c r="T64" s="8" t="n">
        <f aca="false">IF(O64&gt;=Models!$G$8,1+COUNTIF($O$5:$O$1517,"&gt;"&amp;O64)+COUNTIFS($O$5:$O$1517,O64,$B$5:$B$1517,"&lt;"&amp;B64)+COUNTIFS($O$5:$O$1517,O64,$B$5:$B$1517,B64,$C$5:$C$1517,"&lt;"&amp;C64),"")</f>
        <v>228</v>
      </c>
      <c r="U64" s="8" t="n">
        <f aca="false">IF($K64=1,COUNTIFS($L$5:$L$1517,"&gt;="&amp;L64,$K$5:$K$1517,1)/COUNTIF($L$5:$L$1517,"&gt;="&amp;L64),0)</f>
        <v>0</v>
      </c>
      <c r="V64" s="8" t="n">
        <f aca="false">IF($K64=1,COUNTIFS($M$5:$M$1517,"&gt;="&amp;M64,$K$5:$K$1517,1)/COUNTIF($M$5:$M$1517,"&gt;="&amp;M64),0)</f>
        <v>0</v>
      </c>
      <c r="W64" s="8" t="n">
        <f aca="false">IF($K64=1,COUNTIFS($N$5:$N$1517,"&gt;="&amp;N64,$K$5:$K$1517,1)/COUNTIF($N$5:$N$1517,"&gt;="&amp;N64),0)</f>
        <v>0</v>
      </c>
      <c r="X64" s="8" t="n">
        <f aca="false">IF($K64=1,COUNTIFS($O$5:$O$1517,"&gt;="&amp;O64,$K$5:$K$1517,1)/COUNTIF($O$5:$O$1517,"&gt;="&amp;O64),0)</f>
        <v>0</v>
      </c>
      <c r="Y64" s="8" t="n">
        <f aca="false">IF($K64=1,COUNTIFS($P$5:$P$1517,"&gt;="&amp;P64,$K$5:$K$1517,1)/COUNTIF($P$5:$P$1517,"&gt;="&amp;P64),0)</f>
        <v>0</v>
      </c>
      <c r="Z64" s="8" t="n">
        <f aca="false">(L64-$K64)^2</f>
        <v>0.000666517489</v>
      </c>
      <c r="AA64" s="8" t="n">
        <f aca="false">(M64-$K64)^2</f>
        <v>0.008475595969</v>
      </c>
      <c r="AB64" s="8" t="n">
        <f aca="false">(N64-$K64)^2</f>
        <v>0.002348953156</v>
      </c>
      <c r="AC64" s="8" t="n">
        <f aca="false">(O64-$K64)^2</f>
        <v>0.011274829489</v>
      </c>
      <c r="AD64" s="8" t="n">
        <f aca="false">(P64-$K64)^2</f>
        <v>0.002474266564</v>
      </c>
      <c r="AE64" s="8" t="n">
        <f aca="false">MIN(INT(ROUND(N64*1000000,0)/100000),9)</f>
        <v>0</v>
      </c>
      <c r="AF64" s="8" t="n">
        <f aca="false">MIN(INT(ROUND(P64*1000000,0)/100000),9)</f>
        <v>0</v>
      </c>
    </row>
    <row r="65" customFormat="false" ht="15" hidden="false" customHeight="false" outlineLevel="0" collapsed="false">
      <c r="A65" s="4" t="n">
        <v>61</v>
      </c>
      <c r="B65" s="4" t="n">
        <v>335</v>
      </c>
      <c r="C65" s="4" t="n">
        <v>0</v>
      </c>
      <c r="D65" s="11" t="n">
        <v>46054</v>
      </c>
      <c r="E65" s="4" t="s">
        <v>203</v>
      </c>
      <c r="F65" s="4" t="s">
        <v>206</v>
      </c>
      <c r="G65" s="4" t="n">
        <v>3</v>
      </c>
      <c r="H65" s="4" t="n">
        <v>18</v>
      </c>
      <c r="I65" s="4" t="n">
        <v>0</v>
      </c>
      <c r="J65" s="4" t="n">
        <v>423</v>
      </c>
      <c r="K65" s="4" t="n">
        <v>0</v>
      </c>
      <c r="L65" s="12" t="n">
        <v>0.671145</v>
      </c>
      <c r="M65" s="12" t="n">
        <v>0.092063</v>
      </c>
      <c r="N65" s="12" t="n">
        <v>0.141474</v>
      </c>
      <c r="O65" s="12" t="n">
        <v>0.106183</v>
      </c>
      <c r="P65" s="12" t="n">
        <v>0.151882</v>
      </c>
      <c r="Q65" s="0" t="str">
        <f aca="false">IF(L65&gt;=Models!$G$5,1+COUNTIF($L$5:$L$1517,"&gt;"&amp;L65)+COUNTIFS($L$5:$L$1517,L65,$B$5:$B$1517,"&lt;"&amp;B65)+COUNTIFS($L$5:$L$1517,L65,$B$5:$B$1517,B65,$C$5:$C$1517,"&lt;"&amp;C65),"")</f>
        <v/>
      </c>
      <c r="R65" s="0" t="str">
        <f aca="false">IF(M65&gt;=Models!$G$6,1+COUNTIF($M$5:$M$1517,"&gt;"&amp;M65)+COUNTIFS($M$5:$M$1517,M65,$B$5:$B$1517,"&lt;"&amp;B65)+COUNTIFS($M$5:$M$1517,M65,$B$5:$B$1517,B65,$C$5:$C$1517,"&lt;"&amp;C65),"")</f>
        <v/>
      </c>
      <c r="S65" s="0" t="str">
        <f aca="false">IF(N65&gt;=Models!$G$7,1+COUNTIF($N$5:$N$1517,"&gt;"&amp;N65)+COUNTIFS($N$5:$N$1517,N65,$B$5:$B$1517,"&lt;"&amp;B65)+COUNTIFS($N$5:$N$1517,N65,$B$5:$B$1517,B65,$C$5:$C$1517,"&lt;"&amp;C65),"")</f>
        <v/>
      </c>
      <c r="T65" s="8" t="n">
        <f aca="false">IF(O65&gt;=Models!$G$8,1+COUNTIF($O$5:$O$1517,"&gt;"&amp;O65)+COUNTIFS($O$5:$O$1517,O65,$B$5:$B$1517,"&lt;"&amp;B65)+COUNTIFS($O$5:$O$1517,O65,$B$5:$B$1517,B65,$C$5:$C$1517,"&lt;"&amp;C65),"")</f>
        <v>232</v>
      </c>
      <c r="U65" s="8" t="n">
        <f aca="false">IF($K65=1,COUNTIFS($L$5:$L$1517,"&gt;="&amp;L65,$K$5:$K$1517,1)/COUNTIF($L$5:$L$1517,"&gt;="&amp;L65),0)</f>
        <v>0</v>
      </c>
      <c r="V65" s="8" t="n">
        <f aca="false">IF($K65=1,COUNTIFS($M$5:$M$1517,"&gt;="&amp;M65,$K$5:$K$1517,1)/COUNTIF($M$5:$M$1517,"&gt;="&amp;M65),0)</f>
        <v>0</v>
      </c>
      <c r="W65" s="8" t="n">
        <f aca="false">IF($K65=1,COUNTIFS($N$5:$N$1517,"&gt;="&amp;N65,$K$5:$K$1517,1)/COUNTIF($N$5:$N$1517,"&gt;="&amp;N65),0)</f>
        <v>0</v>
      </c>
      <c r="X65" s="8" t="n">
        <f aca="false">IF($K65=1,COUNTIFS($O$5:$O$1517,"&gt;="&amp;O65,$K$5:$K$1517,1)/COUNTIF($O$5:$O$1517,"&gt;="&amp;O65),0)</f>
        <v>0</v>
      </c>
      <c r="Y65" s="8" t="n">
        <f aca="false">IF($K65=1,COUNTIFS($P$5:$P$1517,"&gt;="&amp;P65,$K$5:$K$1517,1)/COUNTIF($P$5:$P$1517,"&gt;="&amp;P65),0)</f>
        <v>0</v>
      </c>
      <c r="Z65" s="8" t="n">
        <f aca="false">(L65-$K65)^2</f>
        <v>0.450435611025</v>
      </c>
      <c r="AA65" s="8" t="n">
        <f aca="false">(M65-$K65)^2</f>
        <v>0.008475595969</v>
      </c>
      <c r="AB65" s="8" t="n">
        <f aca="false">(N65-$K65)^2</f>
        <v>0.020014892676</v>
      </c>
      <c r="AC65" s="8" t="n">
        <f aca="false">(O65-$K65)^2</f>
        <v>0.011274829489</v>
      </c>
      <c r="AD65" s="8" t="n">
        <f aca="false">(P65-$K65)^2</f>
        <v>0.023068141924</v>
      </c>
      <c r="AE65" s="8" t="n">
        <f aca="false">MIN(INT(ROUND(N65*1000000,0)/100000),9)</f>
        <v>1</v>
      </c>
      <c r="AF65" s="8" t="n">
        <f aca="false">MIN(INT(ROUND(P65*1000000,0)/100000),9)</f>
        <v>1</v>
      </c>
    </row>
    <row r="66" customFormat="false" ht="15" hidden="false" customHeight="false" outlineLevel="0" collapsed="false">
      <c r="A66" s="4" t="n">
        <v>62</v>
      </c>
      <c r="B66" s="4" t="n">
        <v>336</v>
      </c>
      <c r="C66" s="4" t="n">
        <v>0</v>
      </c>
      <c r="D66" s="11" t="n">
        <v>46054</v>
      </c>
      <c r="E66" s="4" t="s">
        <v>202</v>
      </c>
      <c r="F66" s="4" t="s">
        <v>206</v>
      </c>
      <c r="G66" s="4" t="n">
        <v>5</v>
      </c>
      <c r="H66" s="4" t="n">
        <v>4</v>
      </c>
      <c r="I66" s="4" t="n">
        <v>0</v>
      </c>
      <c r="J66" s="4" t="n">
        <v>1176</v>
      </c>
      <c r="K66" s="4" t="n">
        <v>0</v>
      </c>
      <c r="L66" s="12" t="n">
        <v>0.916604</v>
      </c>
      <c r="M66" s="12" t="n">
        <v>0.092063</v>
      </c>
      <c r="N66" s="12" t="n">
        <v>0.105125</v>
      </c>
      <c r="O66" s="12" t="n">
        <v>0.106183</v>
      </c>
      <c r="P66" s="12" t="n">
        <v>0.111605</v>
      </c>
      <c r="Q66" s="0" t="str">
        <f aca="false">IF(L66&gt;=Models!$G$5,1+COUNTIF($L$5:$L$1517,"&gt;"&amp;L66)+COUNTIFS($L$5:$L$1517,L66,$B$5:$B$1517,"&lt;"&amp;B66)+COUNTIFS($L$5:$L$1517,L66,$B$5:$B$1517,B66,$C$5:$C$1517,"&lt;"&amp;C66),"")</f>
        <v/>
      </c>
      <c r="R66" s="0" t="str">
        <f aca="false">IF(M66&gt;=Models!$G$6,1+COUNTIF($M$5:$M$1517,"&gt;"&amp;M66)+COUNTIFS($M$5:$M$1517,M66,$B$5:$B$1517,"&lt;"&amp;B66)+COUNTIFS($M$5:$M$1517,M66,$B$5:$B$1517,B66,$C$5:$C$1517,"&lt;"&amp;C66),"")</f>
        <v/>
      </c>
      <c r="S66" s="0" t="str">
        <f aca="false">IF(N66&gt;=Models!$G$7,1+COUNTIF($N$5:$N$1517,"&gt;"&amp;N66)+COUNTIFS($N$5:$N$1517,N66,$B$5:$B$1517,"&lt;"&amp;B66)+COUNTIFS($N$5:$N$1517,N66,$B$5:$B$1517,B66,$C$5:$C$1517,"&lt;"&amp;C66),"")</f>
        <v/>
      </c>
      <c r="T66" s="8" t="n">
        <f aca="false">IF(O66&gt;=Models!$G$8,1+COUNTIF($O$5:$O$1517,"&gt;"&amp;O66)+COUNTIFS($O$5:$O$1517,O66,$B$5:$B$1517,"&lt;"&amp;B66)+COUNTIFS($O$5:$O$1517,O66,$B$5:$B$1517,B66,$C$5:$C$1517,"&lt;"&amp;C66),"")</f>
        <v>236</v>
      </c>
      <c r="U66" s="8" t="n">
        <f aca="false">IF($K66=1,COUNTIFS($L$5:$L$1517,"&gt;="&amp;L66,$K$5:$K$1517,1)/COUNTIF($L$5:$L$1517,"&gt;="&amp;L66),0)</f>
        <v>0</v>
      </c>
      <c r="V66" s="8" t="n">
        <f aca="false">IF($K66=1,COUNTIFS($M$5:$M$1517,"&gt;="&amp;M66,$K$5:$K$1517,1)/COUNTIF($M$5:$M$1517,"&gt;="&amp;M66),0)</f>
        <v>0</v>
      </c>
      <c r="W66" s="8" t="n">
        <f aca="false">IF($K66=1,COUNTIFS($N$5:$N$1517,"&gt;="&amp;N66,$K$5:$K$1517,1)/COUNTIF($N$5:$N$1517,"&gt;="&amp;N66),0)</f>
        <v>0</v>
      </c>
      <c r="X66" s="8" t="n">
        <f aca="false">IF($K66=1,COUNTIFS($O$5:$O$1517,"&gt;="&amp;O66,$K$5:$K$1517,1)/COUNTIF($O$5:$O$1517,"&gt;="&amp;O66),0)</f>
        <v>0</v>
      </c>
      <c r="Y66" s="8" t="n">
        <f aca="false">IF($K66=1,COUNTIFS($P$5:$P$1517,"&gt;="&amp;P66,$K$5:$K$1517,1)/COUNTIF($P$5:$P$1517,"&gt;="&amp;P66),0)</f>
        <v>0</v>
      </c>
      <c r="Z66" s="8" t="n">
        <f aca="false">(L66-$K66)^2</f>
        <v>0.840162892816</v>
      </c>
      <c r="AA66" s="8" t="n">
        <f aca="false">(M66-$K66)^2</f>
        <v>0.008475595969</v>
      </c>
      <c r="AB66" s="8" t="n">
        <f aca="false">(N66-$K66)^2</f>
        <v>0.011051265625</v>
      </c>
      <c r="AC66" s="8" t="n">
        <f aca="false">(O66-$K66)^2</f>
        <v>0.011274829489</v>
      </c>
      <c r="AD66" s="8" t="n">
        <f aca="false">(P66-$K66)^2</f>
        <v>0.012455676025</v>
      </c>
      <c r="AE66" s="8" t="n">
        <f aca="false">MIN(INT(ROUND(N66*1000000,0)/100000),9)</f>
        <v>1</v>
      </c>
      <c r="AF66" s="8" t="n">
        <f aca="false">MIN(INT(ROUND(P66*1000000,0)/100000),9)</f>
        <v>1</v>
      </c>
    </row>
    <row r="67" customFormat="false" ht="15" hidden="false" customHeight="false" outlineLevel="0" collapsed="false">
      <c r="A67" s="4" t="n">
        <v>63</v>
      </c>
      <c r="B67" s="4" t="n">
        <v>345</v>
      </c>
      <c r="C67" s="4" t="n">
        <v>0</v>
      </c>
      <c r="D67" s="11" t="n">
        <v>46054</v>
      </c>
      <c r="E67" s="4" t="s">
        <v>203</v>
      </c>
      <c r="F67" s="4" t="s">
        <v>207</v>
      </c>
      <c r="G67" s="4" t="n">
        <v>5</v>
      </c>
      <c r="H67" s="4" t="n">
        <v>3</v>
      </c>
      <c r="I67" s="4" t="n">
        <v>0</v>
      </c>
      <c r="J67" s="4" t="n">
        <v>264</v>
      </c>
      <c r="K67" s="4" t="n">
        <v>0</v>
      </c>
      <c r="L67" s="12" t="n">
        <v>0.470653</v>
      </c>
      <c r="M67" s="12" t="n">
        <v>0.092063</v>
      </c>
      <c r="N67" s="12" t="n">
        <v>0.109412</v>
      </c>
      <c r="O67" s="12" t="n">
        <v>0.106183</v>
      </c>
      <c r="P67" s="12" t="n">
        <v>0.11634</v>
      </c>
      <c r="Q67" s="0" t="str">
        <f aca="false">IF(L67&gt;=Models!$G$5,1+COUNTIF($L$5:$L$1517,"&gt;"&amp;L67)+COUNTIFS($L$5:$L$1517,L67,$B$5:$B$1517,"&lt;"&amp;B67)+COUNTIFS($L$5:$L$1517,L67,$B$5:$B$1517,B67,$C$5:$C$1517,"&lt;"&amp;C67),"")</f>
        <v/>
      </c>
      <c r="R67" s="0" t="str">
        <f aca="false">IF(M67&gt;=Models!$G$6,1+COUNTIF($M$5:$M$1517,"&gt;"&amp;M67)+COUNTIFS($M$5:$M$1517,M67,$B$5:$B$1517,"&lt;"&amp;B67)+COUNTIFS($M$5:$M$1517,M67,$B$5:$B$1517,B67,$C$5:$C$1517,"&lt;"&amp;C67),"")</f>
        <v/>
      </c>
      <c r="S67" s="0" t="str">
        <f aca="false">IF(N67&gt;=Models!$G$7,1+COUNTIF($N$5:$N$1517,"&gt;"&amp;N67)+COUNTIFS($N$5:$N$1517,N67,$B$5:$B$1517,"&lt;"&amp;B67)+COUNTIFS($N$5:$N$1517,N67,$B$5:$B$1517,B67,$C$5:$C$1517,"&lt;"&amp;C67),"")</f>
        <v/>
      </c>
      <c r="T67" s="8" t="n">
        <f aca="false">IF(O67&gt;=Models!$G$8,1+COUNTIF($O$5:$O$1517,"&gt;"&amp;O67)+COUNTIFS($O$5:$O$1517,O67,$B$5:$B$1517,"&lt;"&amp;B67)+COUNTIFS($O$5:$O$1517,O67,$B$5:$B$1517,B67,$C$5:$C$1517,"&lt;"&amp;C67),"")</f>
        <v>240</v>
      </c>
      <c r="U67" s="8" t="n">
        <f aca="false">IF($K67=1,COUNTIFS($L$5:$L$1517,"&gt;="&amp;L67,$K$5:$K$1517,1)/COUNTIF($L$5:$L$1517,"&gt;="&amp;L67),0)</f>
        <v>0</v>
      </c>
      <c r="V67" s="8" t="n">
        <f aca="false">IF($K67=1,COUNTIFS($M$5:$M$1517,"&gt;="&amp;M67,$K$5:$K$1517,1)/COUNTIF($M$5:$M$1517,"&gt;="&amp;M67),0)</f>
        <v>0</v>
      </c>
      <c r="W67" s="8" t="n">
        <f aca="false">IF($K67=1,COUNTIFS($N$5:$N$1517,"&gt;="&amp;N67,$K$5:$K$1517,1)/COUNTIF($N$5:$N$1517,"&gt;="&amp;N67),0)</f>
        <v>0</v>
      </c>
      <c r="X67" s="8" t="n">
        <f aca="false">IF($K67=1,COUNTIFS($O$5:$O$1517,"&gt;="&amp;O67,$K$5:$K$1517,1)/COUNTIF($O$5:$O$1517,"&gt;="&amp;O67),0)</f>
        <v>0</v>
      </c>
      <c r="Y67" s="8" t="n">
        <f aca="false">IF($K67=1,COUNTIFS($P$5:$P$1517,"&gt;="&amp;P67,$K$5:$K$1517,1)/COUNTIF($P$5:$P$1517,"&gt;="&amp;P67),0)</f>
        <v>0</v>
      </c>
      <c r="Z67" s="8" t="n">
        <f aca="false">(L67-$K67)^2</f>
        <v>0.221514246409</v>
      </c>
      <c r="AA67" s="8" t="n">
        <f aca="false">(M67-$K67)^2</f>
        <v>0.008475595969</v>
      </c>
      <c r="AB67" s="8" t="n">
        <f aca="false">(N67-$K67)^2</f>
        <v>0.011970985744</v>
      </c>
      <c r="AC67" s="8" t="n">
        <f aca="false">(O67-$K67)^2</f>
        <v>0.011274829489</v>
      </c>
      <c r="AD67" s="8" t="n">
        <f aca="false">(P67-$K67)^2</f>
        <v>0.0135349956</v>
      </c>
      <c r="AE67" s="8" t="n">
        <f aca="false">MIN(INT(ROUND(N67*1000000,0)/100000),9)</f>
        <v>1</v>
      </c>
      <c r="AF67" s="8" t="n">
        <f aca="false">MIN(INT(ROUND(P67*1000000,0)/100000),9)</f>
        <v>1</v>
      </c>
    </row>
    <row r="68" customFormat="false" ht="15" hidden="false" customHeight="false" outlineLevel="0" collapsed="false">
      <c r="A68" s="4" t="n">
        <v>64</v>
      </c>
      <c r="B68" s="4" t="n">
        <v>353</v>
      </c>
      <c r="C68" s="4" t="n">
        <v>0</v>
      </c>
      <c r="D68" s="11" t="n">
        <v>46054</v>
      </c>
      <c r="E68" s="4" t="s">
        <v>201</v>
      </c>
      <c r="F68" s="4" t="s">
        <v>210</v>
      </c>
      <c r="G68" s="4" t="n">
        <v>11</v>
      </c>
      <c r="H68" s="4" t="n">
        <v>5</v>
      </c>
      <c r="I68" s="4" t="n">
        <v>0</v>
      </c>
      <c r="J68" s="4"/>
      <c r="K68" s="4" t="n">
        <v>0</v>
      </c>
      <c r="L68" s="12" t="n">
        <v>0.502158</v>
      </c>
      <c r="M68" s="12" t="n">
        <v>0.092063</v>
      </c>
      <c r="N68" s="12" t="n">
        <v>0.033512</v>
      </c>
      <c r="O68" s="12" t="n">
        <v>0.106183</v>
      </c>
      <c r="P68" s="12" t="n">
        <v>0.033806</v>
      </c>
      <c r="Q68" s="0" t="str">
        <f aca="false">IF(L68&gt;=Models!$G$5,1+COUNTIF($L$5:$L$1517,"&gt;"&amp;L68)+COUNTIFS($L$5:$L$1517,L68,$B$5:$B$1517,"&lt;"&amp;B68)+COUNTIFS($L$5:$L$1517,L68,$B$5:$B$1517,B68,$C$5:$C$1517,"&lt;"&amp;C68),"")</f>
        <v/>
      </c>
      <c r="R68" s="0" t="str">
        <f aca="false">IF(M68&gt;=Models!$G$6,1+COUNTIF($M$5:$M$1517,"&gt;"&amp;M68)+COUNTIFS($M$5:$M$1517,M68,$B$5:$B$1517,"&lt;"&amp;B68)+COUNTIFS($M$5:$M$1517,M68,$B$5:$B$1517,B68,$C$5:$C$1517,"&lt;"&amp;C68),"")</f>
        <v/>
      </c>
      <c r="S68" s="0" t="str">
        <f aca="false">IF(N68&gt;=Models!$G$7,1+COUNTIF($N$5:$N$1517,"&gt;"&amp;N68)+COUNTIFS($N$5:$N$1517,N68,$B$5:$B$1517,"&lt;"&amp;B68)+COUNTIFS($N$5:$N$1517,N68,$B$5:$B$1517,B68,$C$5:$C$1517,"&lt;"&amp;C68),"")</f>
        <v/>
      </c>
      <c r="T68" s="8" t="n">
        <f aca="false">IF(O68&gt;=Models!$G$8,1+COUNTIF($O$5:$O$1517,"&gt;"&amp;O68)+COUNTIFS($O$5:$O$1517,O68,$B$5:$B$1517,"&lt;"&amp;B68)+COUNTIFS($O$5:$O$1517,O68,$B$5:$B$1517,B68,$C$5:$C$1517,"&lt;"&amp;C68),"")</f>
        <v>244</v>
      </c>
      <c r="U68" s="8" t="n">
        <f aca="false">IF($K68=1,COUNTIFS($L$5:$L$1517,"&gt;="&amp;L68,$K$5:$K$1517,1)/COUNTIF($L$5:$L$1517,"&gt;="&amp;L68),0)</f>
        <v>0</v>
      </c>
      <c r="V68" s="8" t="n">
        <f aca="false">IF($K68=1,COUNTIFS($M$5:$M$1517,"&gt;="&amp;M68,$K$5:$K$1517,1)/COUNTIF($M$5:$M$1517,"&gt;="&amp;M68),0)</f>
        <v>0</v>
      </c>
      <c r="W68" s="8" t="n">
        <f aca="false">IF($K68=1,COUNTIFS($N$5:$N$1517,"&gt;="&amp;N68,$K$5:$K$1517,1)/COUNTIF($N$5:$N$1517,"&gt;="&amp;N68),0)</f>
        <v>0</v>
      </c>
      <c r="X68" s="8" t="n">
        <f aca="false">IF($K68=1,COUNTIFS($O$5:$O$1517,"&gt;="&amp;O68,$K$5:$K$1517,1)/COUNTIF($O$5:$O$1517,"&gt;="&amp;O68),0)</f>
        <v>0</v>
      </c>
      <c r="Y68" s="8" t="n">
        <f aca="false">IF($K68=1,COUNTIFS($P$5:$P$1517,"&gt;="&amp;P68,$K$5:$K$1517,1)/COUNTIF($P$5:$P$1517,"&gt;="&amp;P68),0)</f>
        <v>0</v>
      </c>
      <c r="Z68" s="8" t="n">
        <f aca="false">(L68-$K68)^2</f>
        <v>0.252162656964</v>
      </c>
      <c r="AA68" s="8" t="n">
        <f aca="false">(M68-$K68)^2</f>
        <v>0.008475595969</v>
      </c>
      <c r="AB68" s="8" t="n">
        <f aca="false">(N68-$K68)^2</f>
        <v>0.001123054144</v>
      </c>
      <c r="AC68" s="8" t="n">
        <f aca="false">(O68-$K68)^2</f>
        <v>0.011274829489</v>
      </c>
      <c r="AD68" s="8" t="n">
        <f aca="false">(P68-$K68)^2</f>
        <v>0.001142845636</v>
      </c>
      <c r="AE68" s="8" t="n">
        <f aca="false">MIN(INT(ROUND(N68*1000000,0)/100000),9)</f>
        <v>0</v>
      </c>
      <c r="AF68" s="8" t="n">
        <f aca="false">MIN(INT(ROUND(P68*1000000,0)/100000),9)</f>
        <v>0</v>
      </c>
    </row>
    <row r="69" customFormat="false" ht="15" hidden="false" customHeight="false" outlineLevel="0" collapsed="false">
      <c r="A69" s="4" t="n">
        <v>65</v>
      </c>
      <c r="B69" s="4" t="n">
        <v>361</v>
      </c>
      <c r="C69" s="4" t="n">
        <v>0</v>
      </c>
      <c r="D69" s="11" t="n">
        <v>46054</v>
      </c>
      <c r="E69" s="4" t="s">
        <v>202</v>
      </c>
      <c r="F69" s="4" t="s">
        <v>209</v>
      </c>
      <c r="G69" s="4" t="n">
        <v>9</v>
      </c>
      <c r="H69" s="4" t="n">
        <v>1</v>
      </c>
      <c r="I69" s="4" t="n">
        <v>0</v>
      </c>
      <c r="J69" s="4" t="n">
        <v>1563</v>
      </c>
      <c r="K69" s="4" t="n">
        <v>0</v>
      </c>
      <c r="L69" s="12" t="n">
        <v>0.220946</v>
      </c>
      <c r="M69" s="12" t="n">
        <v>0.092063</v>
      </c>
      <c r="N69" s="12" t="n">
        <v>0.072523</v>
      </c>
      <c r="O69" s="12" t="n">
        <v>0.106183</v>
      </c>
      <c r="P69" s="12" t="n">
        <v>0.075799</v>
      </c>
      <c r="Q69" s="0" t="str">
        <f aca="false">IF(L69&gt;=Models!$G$5,1+COUNTIF($L$5:$L$1517,"&gt;"&amp;L69)+COUNTIFS($L$5:$L$1517,L69,$B$5:$B$1517,"&lt;"&amp;B69)+COUNTIFS($L$5:$L$1517,L69,$B$5:$B$1517,B69,$C$5:$C$1517,"&lt;"&amp;C69),"")</f>
        <v/>
      </c>
      <c r="R69" s="0" t="str">
        <f aca="false">IF(M69&gt;=Models!$G$6,1+COUNTIF($M$5:$M$1517,"&gt;"&amp;M69)+COUNTIFS($M$5:$M$1517,M69,$B$5:$B$1517,"&lt;"&amp;B69)+COUNTIFS($M$5:$M$1517,M69,$B$5:$B$1517,B69,$C$5:$C$1517,"&lt;"&amp;C69),"")</f>
        <v/>
      </c>
      <c r="S69" s="0" t="str">
        <f aca="false">IF(N69&gt;=Models!$G$7,1+COUNTIF($N$5:$N$1517,"&gt;"&amp;N69)+COUNTIFS($N$5:$N$1517,N69,$B$5:$B$1517,"&lt;"&amp;B69)+COUNTIFS($N$5:$N$1517,N69,$B$5:$B$1517,B69,$C$5:$C$1517,"&lt;"&amp;C69),"")</f>
        <v/>
      </c>
      <c r="T69" s="8" t="n">
        <f aca="false">IF(O69&gt;=Models!$G$8,1+COUNTIF($O$5:$O$1517,"&gt;"&amp;O69)+COUNTIFS($O$5:$O$1517,O69,$B$5:$B$1517,"&lt;"&amp;B69)+COUNTIFS($O$5:$O$1517,O69,$B$5:$B$1517,B69,$C$5:$C$1517,"&lt;"&amp;C69),"")</f>
        <v>248</v>
      </c>
      <c r="U69" s="8" t="n">
        <f aca="false">IF($K69=1,COUNTIFS($L$5:$L$1517,"&gt;="&amp;L69,$K$5:$K$1517,1)/COUNTIF($L$5:$L$1517,"&gt;="&amp;L69),0)</f>
        <v>0</v>
      </c>
      <c r="V69" s="8" t="n">
        <f aca="false">IF($K69=1,COUNTIFS($M$5:$M$1517,"&gt;="&amp;M69,$K$5:$K$1517,1)/COUNTIF($M$5:$M$1517,"&gt;="&amp;M69),0)</f>
        <v>0</v>
      </c>
      <c r="W69" s="8" t="n">
        <f aca="false">IF($K69=1,COUNTIFS($N$5:$N$1517,"&gt;="&amp;N69,$K$5:$K$1517,1)/COUNTIF($N$5:$N$1517,"&gt;="&amp;N69),0)</f>
        <v>0</v>
      </c>
      <c r="X69" s="8" t="n">
        <f aca="false">IF($K69=1,COUNTIFS($O$5:$O$1517,"&gt;="&amp;O69,$K$5:$K$1517,1)/COUNTIF($O$5:$O$1517,"&gt;="&amp;O69),0)</f>
        <v>0</v>
      </c>
      <c r="Y69" s="8" t="n">
        <f aca="false">IF($K69=1,COUNTIFS($P$5:$P$1517,"&gt;="&amp;P69,$K$5:$K$1517,1)/COUNTIF($P$5:$P$1517,"&gt;="&amp;P69),0)</f>
        <v>0</v>
      </c>
      <c r="Z69" s="8" t="n">
        <f aca="false">(L69-$K69)^2</f>
        <v>0.048817134916</v>
      </c>
      <c r="AA69" s="8" t="n">
        <f aca="false">(M69-$K69)^2</f>
        <v>0.008475595969</v>
      </c>
      <c r="AB69" s="8" t="n">
        <f aca="false">(N69-$K69)^2</f>
        <v>0.005259585529</v>
      </c>
      <c r="AC69" s="8" t="n">
        <f aca="false">(O69-$K69)^2</f>
        <v>0.011274829489</v>
      </c>
      <c r="AD69" s="8" t="n">
        <f aca="false">(P69-$K69)^2</f>
        <v>0.005745488401</v>
      </c>
      <c r="AE69" s="8" t="n">
        <f aca="false">MIN(INT(ROUND(N69*1000000,0)/100000),9)</f>
        <v>0</v>
      </c>
      <c r="AF69" s="8" t="n">
        <f aca="false">MIN(INT(ROUND(P69*1000000,0)/100000),9)</f>
        <v>0</v>
      </c>
    </row>
    <row r="70" customFormat="false" ht="15" hidden="false" customHeight="false" outlineLevel="0" collapsed="false">
      <c r="A70" s="4" t="n">
        <v>66</v>
      </c>
      <c r="B70" s="4" t="n">
        <v>364</v>
      </c>
      <c r="C70" s="4" t="n">
        <v>0</v>
      </c>
      <c r="D70" s="11" t="n">
        <v>46054</v>
      </c>
      <c r="E70" s="4" t="s">
        <v>203</v>
      </c>
      <c r="F70" s="4" t="s">
        <v>206</v>
      </c>
      <c r="G70" s="4" t="n">
        <v>5</v>
      </c>
      <c r="H70" s="4" t="n">
        <v>11</v>
      </c>
      <c r="I70" s="4" t="n">
        <v>0</v>
      </c>
      <c r="J70" s="4" t="n">
        <v>432</v>
      </c>
      <c r="K70" s="4" t="n">
        <v>1</v>
      </c>
      <c r="L70" s="12" t="n">
        <v>0.295968</v>
      </c>
      <c r="M70" s="12" t="n">
        <v>0.092063</v>
      </c>
      <c r="N70" s="12" t="n">
        <v>0.114969</v>
      </c>
      <c r="O70" s="12" t="n">
        <v>0.106183</v>
      </c>
      <c r="P70" s="12" t="n">
        <v>0.122486</v>
      </c>
      <c r="Q70" s="0" t="str">
        <f aca="false">IF(L70&gt;=Models!$G$5,1+COUNTIF($L$5:$L$1517,"&gt;"&amp;L70)+COUNTIFS($L$5:$L$1517,L70,$B$5:$B$1517,"&lt;"&amp;B70)+COUNTIFS($L$5:$L$1517,L70,$B$5:$B$1517,B70,$C$5:$C$1517,"&lt;"&amp;C70),"")</f>
        <v/>
      </c>
      <c r="R70" s="0" t="str">
        <f aca="false">IF(M70&gt;=Models!$G$6,1+COUNTIF($M$5:$M$1517,"&gt;"&amp;M70)+COUNTIFS($M$5:$M$1517,M70,$B$5:$B$1517,"&lt;"&amp;B70)+COUNTIFS($M$5:$M$1517,M70,$B$5:$B$1517,B70,$C$5:$C$1517,"&lt;"&amp;C70),"")</f>
        <v/>
      </c>
      <c r="S70" s="0" t="str">
        <f aca="false">IF(N70&gt;=Models!$G$7,1+COUNTIF($N$5:$N$1517,"&gt;"&amp;N70)+COUNTIFS($N$5:$N$1517,N70,$B$5:$B$1517,"&lt;"&amp;B70)+COUNTIFS($N$5:$N$1517,N70,$B$5:$B$1517,B70,$C$5:$C$1517,"&lt;"&amp;C70),"")</f>
        <v/>
      </c>
      <c r="T70" s="8" t="n">
        <f aca="false">IF(O70&gt;=Models!$G$8,1+COUNTIF($O$5:$O$1517,"&gt;"&amp;O70)+COUNTIFS($O$5:$O$1517,O70,$B$5:$B$1517,"&lt;"&amp;B70)+COUNTIFS($O$5:$O$1517,O70,$B$5:$B$1517,B70,$C$5:$C$1517,"&lt;"&amp;C70),"")</f>
        <v>252</v>
      </c>
      <c r="U70" s="8" t="n">
        <f aca="false">IF($K70=1,COUNTIFS($L$5:$L$1517,"&gt;="&amp;L70,$K$5:$K$1517,1)/COUNTIF($L$5:$L$1517,"&gt;="&amp;L70),0)</f>
        <v>0.12952380952381</v>
      </c>
      <c r="V70" s="8" t="n">
        <f aca="false">IF($K70=1,COUNTIFS($M$5:$M$1517,"&gt;="&amp;M70,$K$5:$K$1517,1)/COUNTIF($M$5:$M$1517,"&gt;="&amp;M70),0)</f>
        <v>0.12491738268341</v>
      </c>
      <c r="W70" s="8" t="n">
        <f aca="false">IF($K70=1,COUNTIFS($N$5:$N$1517,"&gt;="&amp;N70,$K$5:$K$1517,1)/COUNTIF($N$5:$N$1517,"&gt;="&amp;N70),0)</f>
        <v>0.213883677298311</v>
      </c>
      <c r="X70" s="8" t="n">
        <f aca="false">IF($K70=1,COUNTIFS($O$5:$O$1517,"&gt;="&amp;O70,$K$5:$K$1517,1)/COUNTIF($O$5:$O$1517,"&gt;="&amp;O70),0)</f>
        <v>0.12491738268341</v>
      </c>
      <c r="Y70" s="8" t="n">
        <f aca="false">IF($K70=1,COUNTIFS($P$5:$P$1517,"&gt;="&amp;P70,$K$5:$K$1517,1)/COUNTIF($P$5:$P$1517,"&gt;="&amp;P70),0)</f>
        <v>0.213883677298311</v>
      </c>
      <c r="Z70" s="8" t="n">
        <f aca="false">(L70-$K70)^2</f>
        <v>0.495661057024</v>
      </c>
      <c r="AA70" s="8" t="n">
        <f aca="false">(M70-$K70)^2</f>
        <v>0.824349595969</v>
      </c>
      <c r="AB70" s="8" t="n">
        <f aca="false">(N70-$K70)^2</f>
        <v>0.783279870961</v>
      </c>
      <c r="AC70" s="8" t="n">
        <f aca="false">(O70-$K70)^2</f>
        <v>0.798908829489</v>
      </c>
      <c r="AD70" s="8" t="n">
        <f aca="false">(P70-$K70)^2</f>
        <v>0.770030820196</v>
      </c>
      <c r="AE70" s="8" t="n">
        <f aca="false">MIN(INT(ROUND(N70*1000000,0)/100000),9)</f>
        <v>1</v>
      </c>
      <c r="AF70" s="8" t="n">
        <f aca="false">MIN(INT(ROUND(P70*1000000,0)/100000),9)</f>
        <v>1</v>
      </c>
    </row>
    <row r="71" customFormat="false" ht="15" hidden="false" customHeight="false" outlineLevel="0" collapsed="false">
      <c r="A71" s="4" t="n">
        <v>67</v>
      </c>
      <c r="B71" s="4" t="n">
        <v>381</v>
      </c>
      <c r="C71" s="4" t="n">
        <v>0</v>
      </c>
      <c r="D71" s="11" t="n">
        <v>46054</v>
      </c>
      <c r="E71" s="4" t="s">
        <v>202</v>
      </c>
      <c r="F71" s="4" t="s">
        <v>210</v>
      </c>
      <c r="G71" s="4" t="n">
        <v>2</v>
      </c>
      <c r="H71" s="4" t="n">
        <v>4</v>
      </c>
      <c r="I71" s="4" t="n">
        <v>0</v>
      </c>
      <c r="J71" s="4"/>
      <c r="K71" s="4" t="n">
        <v>0</v>
      </c>
      <c r="L71" s="12" t="n">
        <v>0.593601</v>
      </c>
      <c r="M71" s="12" t="n">
        <v>0.092063</v>
      </c>
      <c r="N71" s="12" t="n">
        <v>0.071756</v>
      </c>
      <c r="O71" s="12" t="n">
        <v>0.106183</v>
      </c>
      <c r="P71" s="12" t="n">
        <v>0.074962</v>
      </c>
      <c r="Q71" s="0" t="str">
        <f aca="false">IF(L71&gt;=Models!$G$5,1+COUNTIF($L$5:$L$1517,"&gt;"&amp;L71)+COUNTIFS($L$5:$L$1517,L71,$B$5:$B$1517,"&lt;"&amp;B71)+COUNTIFS($L$5:$L$1517,L71,$B$5:$B$1517,B71,$C$5:$C$1517,"&lt;"&amp;C71),"")</f>
        <v/>
      </c>
      <c r="R71" s="0" t="str">
        <f aca="false">IF(M71&gt;=Models!$G$6,1+COUNTIF($M$5:$M$1517,"&gt;"&amp;M71)+COUNTIFS($M$5:$M$1517,M71,$B$5:$B$1517,"&lt;"&amp;B71)+COUNTIFS($M$5:$M$1517,M71,$B$5:$B$1517,B71,$C$5:$C$1517,"&lt;"&amp;C71),"")</f>
        <v/>
      </c>
      <c r="S71" s="0" t="str">
        <f aca="false">IF(N71&gt;=Models!$G$7,1+COUNTIF($N$5:$N$1517,"&gt;"&amp;N71)+COUNTIFS($N$5:$N$1517,N71,$B$5:$B$1517,"&lt;"&amp;B71)+COUNTIFS($N$5:$N$1517,N71,$B$5:$B$1517,B71,$C$5:$C$1517,"&lt;"&amp;C71),"")</f>
        <v/>
      </c>
      <c r="T71" s="8" t="n">
        <f aca="false">IF(O71&gt;=Models!$G$8,1+COUNTIF($O$5:$O$1517,"&gt;"&amp;O71)+COUNTIFS($O$5:$O$1517,O71,$B$5:$B$1517,"&lt;"&amp;B71)+COUNTIFS($O$5:$O$1517,O71,$B$5:$B$1517,B71,$C$5:$C$1517,"&lt;"&amp;C71),"")</f>
        <v>254</v>
      </c>
      <c r="U71" s="8" t="n">
        <f aca="false">IF($K71=1,COUNTIFS($L$5:$L$1517,"&gt;="&amp;L71,$K$5:$K$1517,1)/COUNTIF($L$5:$L$1517,"&gt;="&amp;L71),0)</f>
        <v>0</v>
      </c>
      <c r="V71" s="8" t="n">
        <f aca="false">IF($K71=1,COUNTIFS($M$5:$M$1517,"&gt;="&amp;M71,$K$5:$K$1517,1)/COUNTIF($M$5:$M$1517,"&gt;="&amp;M71),0)</f>
        <v>0</v>
      </c>
      <c r="W71" s="8" t="n">
        <f aca="false">IF($K71=1,COUNTIFS($N$5:$N$1517,"&gt;="&amp;N71,$K$5:$K$1517,1)/COUNTIF($N$5:$N$1517,"&gt;="&amp;N71),0)</f>
        <v>0</v>
      </c>
      <c r="X71" s="8" t="n">
        <f aca="false">IF($K71=1,COUNTIFS($O$5:$O$1517,"&gt;="&amp;O71,$K$5:$K$1517,1)/COUNTIF($O$5:$O$1517,"&gt;="&amp;O71),0)</f>
        <v>0</v>
      </c>
      <c r="Y71" s="8" t="n">
        <f aca="false">IF($K71=1,COUNTIFS($P$5:$P$1517,"&gt;="&amp;P71,$K$5:$K$1517,1)/COUNTIF($P$5:$P$1517,"&gt;="&amp;P71),0)</f>
        <v>0</v>
      </c>
      <c r="Z71" s="8" t="n">
        <f aca="false">(L71-$K71)^2</f>
        <v>0.352362147201</v>
      </c>
      <c r="AA71" s="8" t="n">
        <f aca="false">(M71-$K71)^2</f>
        <v>0.008475595969</v>
      </c>
      <c r="AB71" s="8" t="n">
        <f aca="false">(N71-$K71)^2</f>
        <v>0.005148923536</v>
      </c>
      <c r="AC71" s="8" t="n">
        <f aca="false">(O71-$K71)^2</f>
        <v>0.011274829489</v>
      </c>
      <c r="AD71" s="8" t="n">
        <f aca="false">(P71-$K71)^2</f>
        <v>0.005619301444</v>
      </c>
      <c r="AE71" s="8" t="n">
        <f aca="false">MIN(INT(ROUND(N71*1000000,0)/100000),9)</f>
        <v>0</v>
      </c>
      <c r="AF71" s="8" t="n">
        <f aca="false">MIN(INT(ROUND(P71*1000000,0)/100000),9)</f>
        <v>0</v>
      </c>
    </row>
    <row r="72" customFormat="false" ht="15" hidden="false" customHeight="false" outlineLevel="0" collapsed="false">
      <c r="A72" s="4" t="n">
        <v>68</v>
      </c>
      <c r="B72" s="4" t="n">
        <v>383</v>
      </c>
      <c r="C72" s="4" t="n">
        <v>0</v>
      </c>
      <c r="D72" s="11" t="n">
        <v>46054</v>
      </c>
      <c r="E72" s="4" t="s">
        <v>203</v>
      </c>
      <c r="F72" s="4" t="s">
        <v>209</v>
      </c>
      <c r="G72" s="4" t="n">
        <v>4</v>
      </c>
      <c r="H72" s="4" t="n">
        <v>13</v>
      </c>
      <c r="I72" s="4" t="n">
        <v>1</v>
      </c>
      <c r="J72" s="4"/>
      <c r="K72" s="4" t="n">
        <v>0</v>
      </c>
      <c r="L72" s="12" t="n">
        <v>0.413546</v>
      </c>
      <c r="M72" s="12" t="n">
        <v>0.184211</v>
      </c>
      <c r="N72" s="12" t="n">
        <v>0.112026</v>
      </c>
      <c r="O72" s="12" t="n">
        <v>0.106183</v>
      </c>
      <c r="P72" s="12" t="n">
        <v>0.11923</v>
      </c>
      <c r="Q72" s="0" t="str">
        <f aca="false">IF(L72&gt;=Models!$G$5,1+COUNTIF($L$5:$L$1517,"&gt;"&amp;L72)+COUNTIFS($L$5:$L$1517,L72,$B$5:$B$1517,"&lt;"&amp;B72)+COUNTIFS($L$5:$L$1517,L72,$B$5:$B$1517,B72,$C$5:$C$1517,"&lt;"&amp;C72),"")</f>
        <v/>
      </c>
      <c r="R72" s="8" t="n">
        <f aca="false">IF(M72&gt;=Models!$G$6,1+COUNTIF($M$5:$M$1517,"&gt;"&amp;M72)+COUNTIFS($M$5:$M$1517,M72,$B$5:$B$1517,"&lt;"&amp;B72)+COUNTIFS($M$5:$M$1517,M72,$B$5:$B$1517,B72,$C$5:$C$1517,"&lt;"&amp;C72),"")</f>
        <v>26</v>
      </c>
      <c r="S72" s="0" t="str">
        <f aca="false">IF(N72&gt;=Models!$G$7,1+COUNTIF($N$5:$N$1517,"&gt;"&amp;N72)+COUNTIFS($N$5:$N$1517,N72,$B$5:$B$1517,"&lt;"&amp;B72)+COUNTIFS($N$5:$N$1517,N72,$B$5:$B$1517,B72,$C$5:$C$1517,"&lt;"&amp;C72),"")</f>
        <v/>
      </c>
      <c r="T72" s="8" t="n">
        <f aca="false">IF(O72&gt;=Models!$G$8,1+COUNTIF($O$5:$O$1517,"&gt;"&amp;O72)+COUNTIFS($O$5:$O$1517,O72,$B$5:$B$1517,"&lt;"&amp;B72)+COUNTIFS($O$5:$O$1517,O72,$B$5:$B$1517,B72,$C$5:$C$1517,"&lt;"&amp;C72),"")</f>
        <v>258</v>
      </c>
      <c r="U72" s="8" t="n">
        <f aca="false">IF($K72=1,COUNTIFS($L$5:$L$1517,"&gt;="&amp;L72,$K$5:$K$1517,1)/COUNTIF($L$5:$L$1517,"&gt;="&amp;L72),0)</f>
        <v>0</v>
      </c>
      <c r="V72" s="8" t="n">
        <f aca="false">IF($K72=1,COUNTIFS($M$5:$M$1517,"&gt;="&amp;M72,$K$5:$K$1517,1)/COUNTIF($M$5:$M$1517,"&gt;="&amp;M72),0)</f>
        <v>0</v>
      </c>
      <c r="W72" s="8" t="n">
        <f aca="false">IF($K72=1,COUNTIFS($N$5:$N$1517,"&gt;="&amp;N72,$K$5:$K$1517,1)/COUNTIF($N$5:$N$1517,"&gt;="&amp;N72),0)</f>
        <v>0</v>
      </c>
      <c r="X72" s="8" t="n">
        <f aca="false">IF($K72=1,COUNTIFS($O$5:$O$1517,"&gt;="&amp;O72,$K$5:$K$1517,1)/COUNTIF($O$5:$O$1517,"&gt;="&amp;O72),0)</f>
        <v>0</v>
      </c>
      <c r="Y72" s="8" t="n">
        <f aca="false">IF($K72=1,COUNTIFS($P$5:$P$1517,"&gt;="&amp;P72,$K$5:$K$1517,1)/COUNTIF($P$5:$P$1517,"&gt;="&amp;P72),0)</f>
        <v>0</v>
      </c>
      <c r="Z72" s="8" t="n">
        <f aca="false">(L72-$K72)^2</f>
        <v>0.171020294116</v>
      </c>
      <c r="AA72" s="8" t="n">
        <f aca="false">(M72-$K72)^2</f>
        <v>0.033933692521</v>
      </c>
      <c r="AB72" s="8" t="n">
        <f aca="false">(N72-$K72)^2</f>
        <v>0.012549824676</v>
      </c>
      <c r="AC72" s="8" t="n">
        <f aca="false">(O72-$K72)^2</f>
        <v>0.011274829489</v>
      </c>
      <c r="AD72" s="8" t="n">
        <f aca="false">(P72-$K72)^2</f>
        <v>0.0142157929</v>
      </c>
      <c r="AE72" s="8" t="n">
        <f aca="false">MIN(INT(ROUND(N72*1000000,0)/100000),9)</f>
        <v>1</v>
      </c>
      <c r="AF72" s="8" t="n">
        <f aca="false">MIN(INT(ROUND(P72*1000000,0)/100000),9)</f>
        <v>1</v>
      </c>
    </row>
    <row r="73" customFormat="false" ht="15" hidden="false" customHeight="false" outlineLevel="0" collapsed="false">
      <c r="A73" s="4" t="n">
        <v>69</v>
      </c>
      <c r="B73" s="4" t="n">
        <v>385</v>
      </c>
      <c r="C73" s="4" t="n">
        <v>0</v>
      </c>
      <c r="D73" s="11" t="n">
        <v>46054</v>
      </c>
      <c r="E73" s="4" t="s">
        <v>203</v>
      </c>
      <c r="F73" s="4" t="s">
        <v>207</v>
      </c>
      <c r="G73" s="4" t="n">
        <v>4</v>
      </c>
      <c r="H73" s="4" t="n">
        <v>4</v>
      </c>
      <c r="I73" s="4" t="n">
        <v>1</v>
      </c>
      <c r="J73" s="4" t="n">
        <v>261</v>
      </c>
      <c r="K73" s="4" t="n">
        <v>0</v>
      </c>
      <c r="L73" s="12" t="n">
        <v>0.962736</v>
      </c>
      <c r="M73" s="12" t="n">
        <v>0.184211</v>
      </c>
      <c r="N73" s="12" t="n">
        <v>0.19744</v>
      </c>
      <c r="O73" s="12" t="n">
        <v>0.106183</v>
      </c>
      <c r="P73" s="12" t="n">
        <v>0.214144</v>
      </c>
      <c r="Q73" s="0" t="str">
        <f aca="false">IF(L73&gt;=Models!$G$5,1+COUNTIF($L$5:$L$1517,"&gt;"&amp;L73)+COUNTIFS($L$5:$L$1517,L73,$B$5:$B$1517,"&lt;"&amp;B73)+COUNTIFS($L$5:$L$1517,L73,$B$5:$B$1517,B73,$C$5:$C$1517,"&lt;"&amp;C73),"")</f>
        <v/>
      </c>
      <c r="R73" s="8" t="n">
        <f aca="false">IF(M73&gt;=Models!$G$6,1+COUNTIF($M$5:$M$1517,"&gt;"&amp;M73)+COUNTIFS($M$5:$M$1517,M73,$B$5:$B$1517,"&lt;"&amp;B73)+COUNTIFS($M$5:$M$1517,M73,$B$5:$B$1517,B73,$C$5:$C$1517,"&lt;"&amp;C73),"")</f>
        <v>27</v>
      </c>
      <c r="S73" s="0" t="str">
        <f aca="false">IF(N73&gt;=Models!$G$7,1+COUNTIF($N$5:$N$1517,"&gt;"&amp;N73)+COUNTIFS($N$5:$N$1517,N73,$B$5:$B$1517,"&lt;"&amp;B73)+COUNTIFS($N$5:$N$1517,N73,$B$5:$B$1517,B73,$C$5:$C$1517,"&lt;"&amp;C73),"")</f>
        <v/>
      </c>
      <c r="T73" s="8" t="n">
        <f aca="false">IF(O73&gt;=Models!$G$8,1+COUNTIF($O$5:$O$1517,"&gt;"&amp;O73)+COUNTIFS($O$5:$O$1517,O73,$B$5:$B$1517,"&lt;"&amp;B73)+COUNTIFS($O$5:$O$1517,O73,$B$5:$B$1517,B73,$C$5:$C$1517,"&lt;"&amp;C73),"")</f>
        <v>262</v>
      </c>
      <c r="U73" s="8" t="n">
        <f aca="false">IF($K73=1,COUNTIFS($L$5:$L$1517,"&gt;="&amp;L73,$K$5:$K$1517,1)/COUNTIF($L$5:$L$1517,"&gt;="&amp;L73),0)</f>
        <v>0</v>
      </c>
      <c r="V73" s="8" t="n">
        <f aca="false">IF($K73=1,COUNTIFS($M$5:$M$1517,"&gt;="&amp;M73,$K$5:$K$1517,1)/COUNTIF($M$5:$M$1517,"&gt;="&amp;M73),0)</f>
        <v>0</v>
      </c>
      <c r="W73" s="8" t="n">
        <f aca="false">IF($K73=1,COUNTIFS($N$5:$N$1517,"&gt;="&amp;N73,$K$5:$K$1517,1)/COUNTIF($N$5:$N$1517,"&gt;="&amp;N73),0)</f>
        <v>0</v>
      </c>
      <c r="X73" s="8" t="n">
        <f aca="false">IF($K73=1,COUNTIFS($O$5:$O$1517,"&gt;="&amp;O73,$K$5:$K$1517,1)/COUNTIF($O$5:$O$1517,"&gt;="&amp;O73),0)</f>
        <v>0</v>
      </c>
      <c r="Y73" s="8" t="n">
        <f aca="false">IF($K73=1,COUNTIFS($P$5:$P$1517,"&gt;="&amp;P73,$K$5:$K$1517,1)/COUNTIF($P$5:$P$1517,"&gt;="&amp;P73),0)</f>
        <v>0</v>
      </c>
      <c r="Z73" s="8" t="n">
        <f aca="false">(L73-$K73)^2</f>
        <v>0.926860605696</v>
      </c>
      <c r="AA73" s="8" t="n">
        <f aca="false">(M73-$K73)^2</f>
        <v>0.033933692521</v>
      </c>
      <c r="AB73" s="8" t="n">
        <f aca="false">(N73-$K73)^2</f>
        <v>0.0389825536</v>
      </c>
      <c r="AC73" s="8" t="n">
        <f aca="false">(O73-$K73)^2</f>
        <v>0.011274829489</v>
      </c>
      <c r="AD73" s="8" t="n">
        <f aca="false">(P73-$K73)^2</f>
        <v>0.045857652736</v>
      </c>
      <c r="AE73" s="8" t="n">
        <f aca="false">MIN(INT(ROUND(N73*1000000,0)/100000),9)</f>
        <v>1</v>
      </c>
      <c r="AF73" s="8" t="n">
        <f aca="false">MIN(INT(ROUND(P73*1000000,0)/100000),9)</f>
        <v>2</v>
      </c>
    </row>
    <row r="74" customFormat="false" ht="15" hidden="false" customHeight="false" outlineLevel="0" collapsed="false">
      <c r="A74" s="4" t="n">
        <v>70</v>
      </c>
      <c r="B74" s="4" t="n">
        <v>401</v>
      </c>
      <c r="C74" s="4" t="n">
        <v>0</v>
      </c>
      <c r="D74" s="11" t="n">
        <v>46054</v>
      </c>
      <c r="E74" s="4" t="s">
        <v>202</v>
      </c>
      <c r="F74" s="4" t="s">
        <v>206</v>
      </c>
      <c r="G74" s="4" t="n">
        <v>17</v>
      </c>
      <c r="H74" s="4" t="n">
        <v>0</v>
      </c>
      <c r="I74" s="4" t="n">
        <v>0</v>
      </c>
      <c r="J74" s="4" t="n">
        <v>1500</v>
      </c>
      <c r="K74" s="4" t="n">
        <v>0</v>
      </c>
      <c r="L74" s="12" t="n">
        <v>0.637143</v>
      </c>
      <c r="M74" s="12" t="n">
        <v>0.092063</v>
      </c>
      <c r="N74" s="12" t="n">
        <v>0.036508</v>
      </c>
      <c r="O74" s="12" t="n">
        <v>0.106183</v>
      </c>
      <c r="P74" s="12" t="n">
        <v>0.036977</v>
      </c>
      <c r="Q74" s="0" t="str">
        <f aca="false">IF(L74&gt;=Models!$G$5,1+COUNTIF($L$5:$L$1517,"&gt;"&amp;L74)+COUNTIFS($L$5:$L$1517,L74,$B$5:$B$1517,"&lt;"&amp;B74)+COUNTIFS($L$5:$L$1517,L74,$B$5:$B$1517,B74,$C$5:$C$1517,"&lt;"&amp;C74),"")</f>
        <v/>
      </c>
      <c r="R74" s="0" t="str">
        <f aca="false">IF(M74&gt;=Models!$G$6,1+COUNTIF($M$5:$M$1517,"&gt;"&amp;M74)+COUNTIFS($M$5:$M$1517,M74,$B$5:$B$1517,"&lt;"&amp;B74)+COUNTIFS($M$5:$M$1517,M74,$B$5:$B$1517,B74,$C$5:$C$1517,"&lt;"&amp;C74),"")</f>
        <v/>
      </c>
      <c r="S74" s="0" t="str">
        <f aca="false">IF(N74&gt;=Models!$G$7,1+COUNTIF($N$5:$N$1517,"&gt;"&amp;N74)+COUNTIFS($N$5:$N$1517,N74,$B$5:$B$1517,"&lt;"&amp;B74)+COUNTIFS($N$5:$N$1517,N74,$B$5:$B$1517,B74,$C$5:$C$1517,"&lt;"&amp;C74),"")</f>
        <v/>
      </c>
      <c r="T74" s="8" t="n">
        <f aca="false">IF(O74&gt;=Models!$G$8,1+COUNTIF($O$5:$O$1517,"&gt;"&amp;O74)+COUNTIFS($O$5:$O$1517,O74,$B$5:$B$1517,"&lt;"&amp;B74)+COUNTIFS($O$5:$O$1517,O74,$B$5:$B$1517,B74,$C$5:$C$1517,"&lt;"&amp;C74),"")</f>
        <v>266</v>
      </c>
      <c r="U74" s="8" t="n">
        <f aca="false">IF($K74=1,COUNTIFS($L$5:$L$1517,"&gt;="&amp;L74,$K$5:$K$1517,1)/COUNTIF($L$5:$L$1517,"&gt;="&amp;L74),0)</f>
        <v>0</v>
      </c>
      <c r="V74" s="8" t="n">
        <f aca="false">IF($K74=1,COUNTIFS($M$5:$M$1517,"&gt;="&amp;M74,$K$5:$K$1517,1)/COUNTIF($M$5:$M$1517,"&gt;="&amp;M74),0)</f>
        <v>0</v>
      </c>
      <c r="W74" s="8" t="n">
        <f aca="false">IF($K74=1,COUNTIFS($N$5:$N$1517,"&gt;="&amp;N74,$K$5:$K$1517,1)/COUNTIF($N$5:$N$1517,"&gt;="&amp;N74),0)</f>
        <v>0</v>
      </c>
      <c r="X74" s="8" t="n">
        <f aca="false">IF($K74=1,COUNTIFS($O$5:$O$1517,"&gt;="&amp;O74,$K$5:$K$1517,1)/COUNTIF($O$5:$O$1517,"&gt;="&amp;O74),0)</f>
        <v>0</v>
      </c>
      <c r="Y74" s="8" t="n">
        <f aca="false">IF($K74=1,COUNTIFS($P$5:$P$1517,"&gt;="&amp;P74,$K$5:$K$1517,1)/COUNTIF($P$5:$P$1517,"&gt;="&amp;P74),0)</f>
        <v>0</v>
      </c>
      <c r="Z74" s="8" t="n">
        <f aca="false">(L74-$K74)^2</f>
        <v>0.405951202449</v>
      </c>
      <c r="AA74" s="8" t="n">
        <f aca="false">(M74-$K74)^2</f>
        <v>0.008475595969</v>
      </c>
      <c r="AB74" s="8" t="n">
        <f aca="false">(N74-$K74)^2</f>
        <v>0.001332834064</v>
      </c>
      <c r="AC74" s="8" t="n">
        <f aca="false">(O74-$K74)^2</f>
        <v>0.011274829489</v>
      </c>
      <c r="AD74" s="8" t="n">
        <f aca="false">(P74-$K74)^2</f>
        <v>0.001367298529</v>
      </c>
      <c r="AE74" s="8" t="n">
        <f aca="false">MIN(INT(ROUND(N74*1000000,0)/100000),9)</f>
        <v>0</v>
      </c>
      <c r="AF74" s="8" t="n">
        <f aca="false">MIN(INT(ROUND(P74*1000000,0)/100000),9)</f>
        <v>0</v>
      </c>
    </row>
    <row r="75" customFormat="false" ht="15" hidden="false" customHeight="false" outlineLevel="0" collapsed="false">
      <c r="A75" s="4" t="n">
        <v>71</v>
      </c>
      <c r="B75" s="4" t="n">
        <v>402</v>
      </c>
      <c r="C75" s="4" t="n">
        <v>0</v>
      </c>
      <c r="D75" s="11" t="n">
        <v>46054</v>
      </c>
      <c r="E75" s="4" t="s">
        <v>201</v>
      </c>
      <c r="F75" s="4" t="s">
        <v>206</v>
      </c>
      <c r="G75" s="4" t="n">
        <v>19</v>
      </c>
      <c r="H75" s="4" t="n">
        <v>0</v>
      </c>
      <c r="I75" s="4" t="n">
        <v>0</v>
      </c>
      <c r="J75" s="4"/>
      <c r="K75" s="4" t="n">
        <v>0</v>
      </c>
      <c r="L75" s="12" t="n">
        <v>0.774622</v>
      </c>
      <c r="M75" s="12" t="n">
        <v>0.092063</v>
      </c>
      <c r="N75" s="12" t="n">
        <v>0.015943</v>
      </c>
      <c r="O75" s="12" t="n">
        <v>0.106183</v>
      </c>
      <c r="P75" s="12" t="n">
        <v>0.015522</v>
      </c>
      <c r="Q75" s="0" t="str">
        <f aca="false">IF(L75&gt;=Models!$G$5,1+COUNTIF($L$5:$L$1517,"&gt;"&amp;L75)+COUNTIFS($L$5:$L$1517,L75,$B$5:$B$1517,"&lt;"&amp;B75)+COUNTIFS($L$5:$L$1517,L75,$B$5:$B$1517,B75,$C$5:$C$1517,"&lt;"&amp;C75),"")</f>
        <v/>
      </c>
      <c r="R75" s="0" t="str">
        <f aca="false">IF(M75&gt;=Models!$G$6,1+COUNTIF($M$5:$M$1517,"&gt;"&amp;M75)+COUNTIFS($M$5:$M$1517,M75,$B$5:$B$1517,"&lt;"&amp;B75)+COUNTIFS($M$5:$M$1517,M75,$B$5:$B$1517,B75,$C$5:$C$1517,"&lt;"&amp;C75),"")</f>
        <v/>
      </c>
      <c r="S75" s="0" t="str">
        <f aca="false">IF(N75&gt;=Models!$G$7,1+COUNTIF($N$5:$N$1517,"&gt;"&amp;N75)+COUNTIFS($N$5:$N$1517,N75,$B$5:$B$1517,"&lt;"&amp;B75)+COUNTIFS($N$5:$N$1517,N75,$B$5:$B$1517,B75,$C$5:$C$1517,"&lt;"&amp;C75),"")</f>
        <v/>
      </c>
      <c r="T75" s="8" t="n">
        <f aca="false">IF(O75&gt;=Models!$G$8,1+COUNTIF($O$5:$O$1517,"&gt;"&amp;O75)+COUNTIFS($O$5:$O$1517,O75,$B$5:$B$1517,"&lt;"&amp;B75)+COUNTIFS($O$5:$O$1517,O75,$B$5:$B$1517,B75,$C$5:$C$1517,"&lt;"&amp;C75),"")</f>
        <v>270</v>
      </c>
      <c r="U75" s="8" t="n">
        <f aca="false">IF($K75=1,COUNTIFS($L$5:$L$1517,"&gt;="&amp;L75,$K$5:$K$1517,1)/COUNTIF($L$5:$L$1517,"&gt;="&amp;L75),0)</f>
        <v>0</v>
      </c>
      <c r="V75" s="8" t="n">
        <f aca="false">IF($K75=1,COUNTIFS($M$5:$M$1517,"&gt;="&amp;M75,$K$5:$K$1517,1)/COUNTIF($M$5:$M$1517,"&gt;="&amp;M75),0)</f>
        <v>0</v>
      </c>
      <c r="W75" s="8" t="n">
        <f aca="false">IF($K75=1,COUNTIFS($N$5:$N$1517,"&gt;="&amp;N75,$K$5:$K$1517,1)/COUNTIF($N$5:$N$1517,"&gt;="&amp;N75),0)</f>
        <v>0</v>
      </c>
      <c r="X75" s="8" t="n">
        <f aca="false">IF($K75=1,COUNTIFS($O$5:$O$1517,"&gt;="&amp;O75,$K$5:$K$1517,1)/COUNTIF($O$5:$O$1517,"&gt;="&amp;O75),0)</f>
        <v>0</v>
      </c>
      <c r="Y75" s="8" t="n">
        <f aca="false">IF($K75=1,COUNTIFS($P$5:$P$1517,"&gt;="&amp;P75,$K$5:$K$1517,1)/COUNTIF($P$5:$P$1517,"&gt;="&amp;P75),0)</f>
        <v>0</v>
      </c>
      <c r="Z75" s="8" t="n">
        <f aca="false">(L75-$K75)^2</f>
        <v>0.600039242884</v>
      </c>
      <c r="AA75" s="8" t="n">
        <f aca="false">(M75-$K75)^2</f>
        <v>0.008475595969</v>
      </c>
      <c r="AB75" s="8" t="n">
        <f aca="false">(N75-$K75)^2</f>
        <v>0.000254179249</v>
      </c>
      <c r="AC75" s="8" t="n">
        <f aca="false">(O75-$K75)^2</f>
        <v>0.011274829489</v>
      </c>
      <c r="AD75" s="8" t="n">
        <f aca="false">(P75-$K75)^2</f>
        <v>0.000240932484</v>
      </c>
      <c r="AE75" s="8" t="n">
        <f aca="false">MIN(INT(ROUND(N75*1000000,0)/100000),9)</f>
        <v>0</v>
      </c>
      <c r="AF75" s="8" t="n">
        <f aca="false">MIN(INT(ROUND(P75*1000000,0)/100000),9)</f>
        <v>0</v>
      </c>
    </row>
    <row r="76" customFormat="false" ht="15" hidden="false" customHeight="false" outlineLevel="0" collapsed="false">
      <c r="A76" s="4" t="n">
        <v>72</v>
      </c>
      <c r="B76" s="4" t="n">
        <v>403</v>
      </c>
      <c r="C76" s="4" t="n">
        <v>0</v>
      </c>
      <c r="D76" s="11" t="n">
        <v>46054</v>
      </c>
      <c r="E76" s="4" t="s">
        <v>202</v>
      </c>
      <c r="F76" s="4" t="s">
        <v>208</v>
      </c>
      <c r="G76" s="4" t="n">
        <v>10</v>
      </c>
      <c r="H76" s="4" t="n">
        <v>1</v>
      </c>
      <c r="I76" s="4" t="n">
        <v>0</v>
      </c>
      <c r="J76" s="4"/>
      <c r="K76" s="4" t="n">
        <v>0</v>
      </c>
      <c r="L76" s="12" t="n">
        <v>0.429392</v>
      </c>
      <c r="M76" s="12" t="n">
        <v>0.092063</v>
      </c>
      <c r="N76" s="12" t="n">
        <v>0.035415</v>
      </c>
      <c r="O76" s="12" t="n">
        <v>0.106183</v>
      </c>
      <c r="P76" s="12" t="n">
        <v>0.035819</v>
      </c>
      <c r="Q76" s="0" t="str">
        <f aca="false">IF(L76&gt;=Models!$G$5,1+COUNTIF($L$5:$L$1517,"&gt;"&amp;L76)+COUNTIFS($L$5:$L$1517,L76,$B$5:$B$1517,"&lt;"&amp;B76)+COUNTIFS($L$5:$L$1517,L76,$B$5:$B$1517,B76,$C$5:$C$1517,"&lt;"&amp;C76),"")</f>
        <v/>
      </c>
      <c r="R76" s="0" t="str">
        <f aca="false">IF(M76&gt;=Models!$G$6,1+COUNTIF($M$5:$M$1517,"&gt;"&amp;M76)+COUNTIFS($M$5:$M$1517,M76,$B$5:$B$1517,"&lt;"&amp;B76)+COUNTIFS($M$5:$M$1517,M76,$B$5:$B$1517,B76,$C$5:$C$1517,"&lt;"&amp;C76),"")</f>
        <v/>
      </c>
      <c r="S76" s="0" t="str">
        <f aca="false">IF(N76&gt;=Models!$G$7,1+COUNTIF($N$5:$N$1517,"&gt;"&amp;N76)+COUNTIFS($N$5:$N$1517,N76,$B$5:$B$1517,"&lt;"&amp;B76)+COUNTIFS($N$5:$N$1517,N76,$B$5:$B$1517,B76,$C$5:$C$1517,"&lt;"&amp;C76),"")</f>
        <v/>
      </c>
      <c r="T76" s="8" t="n">
        <f aca="false">IF(O76&gt;=Models!$G$8,1+COUNTIF($O$5:$O$1517,"&gt;"&amp;O76)+COUNTIFS($O$5:$O$1517,O76,$B$5:$B$1517,"&lt;"&amp;B76)+COUNTIFS($O$5:$O$1517,O76,$B$5:$B$1517,B76,$C$5:$C$1517,"&lt;"&amp;C76),"")</f>
        <v>274</v>
      </c>
      <c r="U76" s="8" t="n">
        <f aca="false">IF($K76=1,COUNTIFS($L$5:$L$1517,"&gt;="&amp;L76,$K$5:$K$1517,1)/COUNTIF($L$5:$L$1517,"&gt;="&amp;L76),0)</f>
        <v>0</v>
      </c>
      <c r="V76" s="8" t="n">
        <f aca="false">IF($K76=1,COUNTIFS($M$5:$M$1517,"&gt;="&amp;M76,$K$5:$K$1517,1)/COUNTIF($M$5:$M$1517,"&gt;="&amp;M76),0)</f>
        <v>0</v>
      </c>
      <c r="W76" s="8" t="n">
        <f aca="false">IF($K76=1,COUNTIFS($N$5:$N$1517,"&gt;="&amp;N76,$K$5:$K$1517,1)/COUNTIF($N$5:$N$1517,"&gt;="&amp;N76),0)</f>
        <v>0</v>
      </c>
      <c r="X76" s="8" t="n">
        <f aca="false">IF($K76=1,COUNTIFS($O$5:$O$1517,"&gt;="&amp;O76,$K$5:$K$1517,1)/COUNTIF($O$5:$O$1517,"&gt;="&amp;O76),0)</f>
        <v>0</v>
      </c>
      <c r="Y76" s="8" t="n">
        <f aca="false">IF($K76=1,COUNTIFS($P$5:$P$1517,"&gt;="&amp;P76,$K$5:$K$1517,1)/COUNTIF($P$5:$P$1517,"&gt;="&amp;P76),0)</f>
        <v>0</v>
      </c>
      <c r="Z76" s="8" t="n">
        <f aca="false">(L76-$K76)^2</f>
        <v>0.184377489664</v>
      </c>
      <c r="AA76" s="8" t="n">
        <f aca="false">(M76-$K76)^2</f>
        <v>0.008475595969</v>
      </c>
      <c r="AB76" s="8" t="n">
        <f aca="false">(N76-$K76)^2</f>
        <v>0.001254222225</v>
      </c>
      <c r="AC76" s="8" t="n">
        <f aca="false">(O76-$K76)^2</f>
        <v>0.011274829489</v>
      </c>
      <c r="AD76" s="8" t="n">
        <f aca="false">(P76-$K76)^2</f>
        <v>0.001283000761</v>
      </c>
      <c r="AE76" s="8" t="n">
        <f aca="false">MIN(INT(ROUND(N76*1000000,0)/100000),9)</f>
        <v>0</v>
      </c>
      <c r="AF76" s="8" t="n">
        <f aca="false">MIN(INT(ROUND(P76*1000000,0)/100000),9)</f>
        <v>0</v>
      </c>
    </row>
    <row r="77" customFormat="false" ht="15" hidden="false" customHeight="false" outlineLevel="0" collapsed="false">
      <c r="A77" s="4" t="n">
        <v>73</v>
      </c>
      <c r="B77" s="4" t="n">
        <v>406</v>
      </c>
      <c r="C77" s="4" t="n">
        <v>0</v>
      </c>
      <c r="D77" s="11" t="n">
        <v>46054</v>
      </c>
      <c r="E77" s="4" t="s">
        <v>204</v>
      </c>
      <c r="F77" s="4" t="s">
        <v>206</v>
      </c>
      <c r="G77" s="4" t="n">
        <v>6</v>
      </c>
      <c r="H77" s="4" t="n">
        <v>19</v>
      </c>
      <c r="I77" s="4" t="n">
        <v>0</v>
      </c>
      <c r="J77" s="4" t="n">
        <v>75</v>
      </c>
      <c r="K77" s="4" t="n">
        <v>0</v>
      </c>
      <c r="L77" s="12" t="n">
        <v>0.02743</v>
      </c>
      <c r="M77" s="12" t="n">
        <v>0.092063</v>
      </c>
      <c r="N77" s="12" t="n">
        <v>0.114592</v>
      </c>
      <c r="O77" s="12" t="n">
        <v>0.106183</v>
      </c>
      <c r="P77" s="12" t="n">
        <v>0.122069</v>
      </c>
      <c r="Q77" s="0" t="str">
        <f aca="false">IF(L77&gt;=Models!$G$5,1+COUNTIF($L$5:$L$1517,"&gt;"&amp;L77)+COUNTIFS($L$5:$L$1517,L77,$B$5:$B$1517,"&lt;"&amp;B77)+COUNTIFS($L$5:$L$1517,L77,$B$5:$B$1517,B77,$C$5:$C$1517,"&lt;"&amp;C77),"")</f>
        <v/>
      </c>
      <c r="R77" s="0" t="str">
        <f aca="false">IF(M77&gt;=Models!$G$6,1+COUNTIF($M$5:$M$1517,"&gt;"&amp;M77)+COUNTIFS($M$5:$M$1517,M77,$B$5:$B$1517,"&lt;"&amp;B77)+COUNTIFS($M$5:$M$1517,M77,$B$5:$B$1517,B77,$C$5:$C$1517,"&lt;"&amp;C77),"")</f>
        <v/>
      </c>
      <c r="S77" s="0" t="str">
        <f aca="false">IF(N77&gt;=Models!$G$7,1+COUNTIF($N$5:$N$1517,"&gt;"&amp;N77)+COUNTIFS($N$5:$N$1517,N77,$B$5:$B$1517,"&lt;"&amp;B77)+COUNTIFS($N$5:$N$1517,N77,$B$5:$B$1517,B77,$C$5:$C$1517,"&lt;"&amp;C77),"")</f>
        <v/>
      </c>
      <c r="T77" s="8" t="n">
        <f aca="false">IF(O77&gt;=Models!$G$8,1+COUNTIF($O$5:$O$1517,"&gt;"&amp;O77)+COUNTIFS($O$5:$O$1517,O77,$B$5:$B$1517,"&lt;"&amp;B77)+COUNTIFS($O$5:$O$1517,O77,$B$5:$B$1517,B77,$C$5:$C$1517,"&lt;"&amp;C77),"")</f>
        <v>278</v>
      </c>
      <c r="U77" s="8" t="n">
        <f aca="false">IF($K77=1,COUNTIFS($L$5:$L$1517,"&gt;="&amp;L77,$K$5:$K$1517,1)/COUNTIF($L$5:$L$1517,"&gt;="&amp;L77),0)</f>
        <v>0</v>
      </c>
      <c r="V77" s="8" t="n">
        <f aca="false">IF($K77=1,COUNTIFS($M$5:$M$1517,"&gt;="&amp;M77,$K$5:$K$1517,1)/COUNTIF($M$5:$M$1517,"&gt;="&amp;M77),0)</f>
        <v>0</v>
      </c>
      <c r="W77" s="8" t="n">
        <f aca="false">IF($K77=1,COUNTIFS($N$5:$N$1517,"&gt;="&amp;N77,$K$5:$K$1517,1)/COUNTIF($N$5:$N$1517,"&gt;="&amp;N77),0)</f>
        <v>0</v>
      </c>
      <c r="X77" s="8" t="n">
        <f aca="false">IF($K77=1,COUNTIFS($O$5:$O$1517,"&gt;="&amp;O77,$K$5:$K$1517,1)/COUNTIF($O$5:$O$1517,"&gt;="&amp;O77),0)</f>
        <v>0</v>
      </c>
      <c r="Y77" s="8" t="n">
        <f aca="false">IF($K77=1,COUNTIFS($P$5:$P$1517,"&gt;="&amp;P77,$K$5:$K$1517,1)/COUNTIF($P$5:$P$1517,"&gt;="&amp;P77),0)</f>
        <v>0</v>
      </c>
      <c r="Z77" s="8" t="n">
        <f aca="false">(L77-$K77)^2</f>
        <v>0.0007524049</v>
      </c>
      <c r="AA77" s="8" t="n">
        <f aca="false">(M77-$K77)^2</f>
        <v>0.008475595969</v>
      </c>
      <c r="AB77" s="8" t="n">
        <f aca="false">(N77-$K77)^2</f>
        <v>0.013131326464</v>
      </c>
      <c r="AC77" s="8" t="n">
        <f aca="false">(O77-$K77)^2</f>
        <v>0.011274829489</v>
      </c>
      <c r="AD77" s="8" t="n">
        <f aca="false">(P77-$K77)^2</f>
        <v>0.014900840761</v>
      </c>
      <c r="AE77" s="8" t="n">
        <f aca="false">MIN(INT(ROUND(N77*1000000,0)/100000),9)</f>
        <v>1</v>
      </c>
      <c r="AF77" s="8" t="n">
        <f aca="false">MIN(INT(ROUND(P77*1000000,0)/100000),9)</f>
        <v>1</v>
      </c>
    </row>
    <row r="78" customFormat="false" ht="15" hidden="false" customHeight="false" outlineLevel="0" collapsed="false">
      <c r="A78" s="4" t="n">
        <v>74</v>
      </c>
      <c r="B78" s="4" t="n">
        <v>411</v>
      </c>
      <c r="C78" s="4" t="n">
        <v>0</v>
      </c>
      <c r="D78" s="11" t="n">
        <v>46054</v>
      </c>
      <c r="E78" s="4" t="s">
        <v>203</v>
      </c>
      <c r="F78" s="4" t="s">
        <v>209</v>
      </c>
      <c r="G78" s="4" t="n">
        <v>4</v>
      </c>
      <c r="H78" s="4" t="n">
        <v>8</v>
      </c>
      <c r="I78" s="4" t="n">
        <v>0</v>
      </c>
      <c r="J78" s="4"/>
      <c r="K78" s="4" t="n">
        <v>1</v>
      </c>
      <c r="L78" s="12" t="n">
        <v>0.594338</v>
      </c>
      <c r="M78" s="12" t="n">
        <v>0.092063</v>
      </c>
      <c r="N78" s="12" t="n">
        <v>0.062549</v>
      </c>
      <c r="O78" s="12" t="n">
        <v>0.106183</v>
      </c>
      <c r="P78" s="12" t="n">
        <v>0.064946</v>
      </c>
      <c r="Q78" s="0" t="str">
        <f aca="false">IF(L78&gt;=Models!$G$5,1+COUNTIF($L$5:$L$1517,"&gt;"&amp;L78)+COUNTIFS($L$5:$L$1517,L78,$B$5:$B$1517,"&lt;"&amp;B78)+COUNTIFS($L$5:$L$1517,L78,$B$5:$B$1517,B78,$C$5:$C$1517,"&lt;"&amp;C78),"")</f>
        <v/>
      </c>
      <c r="R78" s="0" t="str">
        <f aca="false">IF(M78&gt;=Models!$G$6,1+COUNTIF($M$5:$M$1517,"&gt;"&amp;M78)+COUNTIFS($M$5:$M$1517,M78,$B$5:$B$1517,"&lt;"&amp;B78)+COUNTIFS($M$5:$M$1517,M78,$B$5:$B$1517,B78,$C$5:$C$1517,"&lt;"&amp;C78),"")</f>
        <v/>
      </c>
      <c r="S78" s="0" t="str">
        <f aca="false">IF(N78&gt;=Models!$G$7,1+COUNTIF($N$5:$N$1517,"&gt;"&amp;N78)+COUNTIFS($N$5:$N$1517,N78,$B$5:$B$1517,"&lt;"&amp;B78)+COUNTIFS($N$5:$N$1517,N78,$B$5:$B$1517,B78,$C$5:$C$1517,"&lt;"&amp;C78),"")</f>
        <v/>
      </c>
      <c r="T78" s="8" t="n">
        <f aca="false">IF(O78&gt;=Models!$G$8,1+COUNTIF($O$5:$O$1517,"&gt;"&amp;O78)+COUNTIFS($O$5:$O$1517,O78,$B$5:$B$1517,"&lt;"&amp;B78)+COUNTIFS($O$5:$O$1517,O78,$B$5:$B$1517,B78,$C$5:$C$1517,"&lt;"&amp;C78),"")</f>
        <v>282</v>
      </c>
      <c r="U78" s="8" t="n">
        <f aca="false">IF($K78=1,COUNTIFS($L$5:$L$1517,"&gt;="&amp;L78,$K$5:$K$1517,1)/COUNTIF($L$5:$L$1517,"&gt;="&amp;L78),0)</f>
        <v>0.124792013311148</v>
      </c>
      <c r="V78" s="8" t="n">
        <f aca="false">IF($K78=1,COUNTIFS($M$5:$M$1517,"&gt;="&amp;M78,$K$5:$K$1517,1)/COUNTIF($M$5:$M$1517,"&gt;="&amp;M78),0)</f>
        <v>0.12491738268341</v>
      </c>
      <c r="W78" s="8" t="n">
        <f aca="false">IF($K78=1,COUNTIFS($N$5:$N$1517,"&gt;="&amp;N78,$K$5:$K$1517,1)/COUNTIF($N$5:$N$1517,"&gt;="&amp;N78),0)</f>
        <v>0.158197507190796</v>
      </c>
      <c r="X78" s="8" t="n">
        <f aca="false">IF($K78=1,COUNTIFS($O$5:$O$1517,"&gt;="&amp;O78,$K$5:$K$1517,1)/COUNTIF($O$5:$O$1517,"&gt;="&amp;O78),0)</f>
        <v>0.12491738268341</v>
      </c>
      <c r="Y78" s="8" t="n">
        <f aca="false">IF($K78=1,COUNTIFS($P$5:$P$1517,"&gt;="&amp;P78,$K$5:$K$1517,1)/COUNTIF($P$5:$P$1517,"&gt;="&amp;P78),0)</f>
        <v>0.158197507190796</v>
      </c>
      <c r="Z78" s="8" t="n">
        <f aca="false">(L78-$K78)^2</f>
        <v>0.164561658244</v>
      </c>
      <c r="AA78" s="8" t="n">
        <f aca="false">(M78-$K78)^2</f>
        <v>0.824349595969</v>
      </c>
      <c r="AB78" s="8" t="n">
        <f aca="false">(N78-$K78)^2</f>
        <v>0.878814377401</v>
      </c>
      <c r="AC78" s="8" t="n">
        <f aca="false">(O78-$K78)^2</f>
        <v>0.798908829489</v>
      </c>
      <c r="AD78" s="8" t="n">
        <f aca="false">(P78-$K78)^2</f>
        <v>0.874325982916</v>
      </c>
      <c r="AE78" s="8" t="n">
        <f aca="false">MIN(INT(ROUND(N78*1000000,0)/100000),9)</f>
        <v>0</v>
      </c>
      <c r="AF78" s="8" t="n">
        <f aca="false">MIN(INT(ROUND(P78*1000000,0)/100000),9)</f>
        <v>0</v>
      </c>
    </row>
    <row r="79" customFormat="false" ht="15" hidden="false" customHeight="false" outlineLevel="0" collapsed="false">
      <c r="A79" s="4" t="n">
        <v>75</v>
      </c>
      <c r="B79" s="4" t="n">
        <v>415</v>
      </c>
      <c r="C79" s="4" t="n">
        <v>0</v>
      </c>
      <c r="D79" s="11" t="n">
        <v>46054</v>
      </c>
      <c r="E79" s="4" t="s">
        <v>204</v>
      </c>
      <c r="F79" s="4" t="s">
        <v>206</v>
      </c>
      <c r="G79" s="4" t="n">
        <v>5</v>
      </c>
      <c r="H79" s="4" t="n">
        <v>6</v>
      </c>
      <c r="I79" s="4" t="n">
        <v>0</v>
      </c>
      <c r="J79" s="4" t="n">
        <v>117</v>
      </c>
      <c r="K79" s="4" t="n">
        <v>0</v>
      </c>
      <c r="L79" s="12" t="n">
        <v>0.979334</v>
      </c>
      <c r="M79" s="12" t="n">
        <v>0.092063</v>
      </c>
      <c r="N79" s="12" t="n">
        <v>0.112681</v>
      </c>
      <c r="O79" s="12" t="n">
        <v>0.106183</v>
      </c>
      <c r="P79" s="12" t="n">
        <v>0.119955</v>
      </c>
      <c r="Q79" s="0" t="str">
        <f aca="false">IF(L79&gt;=Models!$G$5,1+COUNTIF($L$5:$L$1517,"&gt;"&amp;L79)+COUNTIFS($L$5:$L$1517,L79,$B$5:$B$1517,"&lt;"&amp;B79)+COUNTIFS($L$5:$L$1517,L79,$B$5:$B$1517,B79,$C$5:$C$1517,"&lt;"&amp;C79),"")</f>
        <v/>
      </c>
      <c r="R79" s="0" t="str">
        <f aca="false">IF(M79&gt;=Models!$G$6,1+COUNTIF($M$5:$M$1517,"&gt;"&amp;M79)+COUNTIFS($M$5:$M$1517,M79,$B$5:$B$1517,"&lt;"&amp;B79)+COUNTIFS($M$5:$M$1517,M79,$B$5:$B$1517,B79,$C$5:$C$1517,"&lt;"&amp;C79),"")</f>
        <v/>
      </c>
      <c r="S79" s="0" t="str">
        <f aca="false">IF(N79&gt;=Models!$G$7,1+COUNTIF($N$5:$N$1517,"&gt;"&amp;N79)+COUNTIFS($N$5:$N$1517,N79,$B$5:$B$1517,"&lt;"&amp;B79)+COUNTIFS($N$5:$N$1517,N79,$B$5:$B$1517,B79,$C$5:$C$1517,"&lt;"&amp;C79),"")</f>
        <v/>
      </c>
      <c r="T79" s="8" t="n">
        <f aca="false">IF(O79&gt;=Models!$G$8,1+COUNTIF($O$5:$O$1517,"&gt;"&amp;O79)+COUNTIFS($O$5:$O$1517,O79,$B$5:$B$1517,"&lt;"&amp;B79)+COUNTIFS($O$5:$O$1517,O79,$B$5:$B$1517,B79,$C$5:$C$1517,"&lt;"&amp;C79),"")</f>
        <v>283</v>
      </c>
      <c r="U79" s="8" t="n">
        <f aca="false">IF($K79=1,COUNTIFS($L$5:$L$1517,"&gt;="&amp;L79,$K$5:$K$1517,1)/COUNTIF($L$5:$L$1517,"&gt;="&amp;L79),0)</f>
        <v>0</v>
      </c>
      <c r="V79" s="8" t="n">
        <f aca="false">IF($K79=1,COUNTIFS($M$5:$M$1517,"&gt;="&amp;M79,$K$5:$K$1517,1)/COUNTIF($M$5:$M$1517,"&gt;="&amp;M79),0)</f>
        <v>0</v>
      </c>
      <c r="W79" s="8" t="n">
        <f aca="false">IF($K79=1,COUNTIFS($N$5:$N$1517,"&gt;="&amp;N79,$K$5:$K$1517,1)/COUNTIF($N$5:$N$1517,"&gt;="&amp;N79),0)</f>
        <v>0</v>
      </c>
      <c r="X79" s="8" t="n">
        <f aca="false">IF($K79=1,COUNTIFS($O$5:$O$1517,"&gt;="&amp;O79,$K$5:$K$1517,1)/COUNTIF($O$5:$O$1517,"&gt;="&amp;O79),0)</f>
        <v>0</v>
      </c>
      <c r="Y79" s="8" t="n">
        <f aca="false">IF($K79=1,COUNTIFS($P$5:$P$1517,"&gt;="&amp;P79,$K$5:$K$1517,1)/COUNTIF($P$5:$P$1517,"&gt;="&amp;P79),0)</f>
        <v>0</v>
      </c>
      <c r="Z79" s="8" t="n">
        <f aca="false">(L79-$K79)^2</f>
        <v>0.959095083556</v>
      </c>
      <c r="AA79" s="8" t="n">
        <f aca="false">(M79-$K79)^2</f>
        <v>0.008475595969</v>
      </c>
      <c r="AB79" s="8" t="n">
        <f aca="false">(N79-$K79)^2</f>
        <v>0.012697007761</v>
      </c>
      <c r="AC79" s="8" t="n">
        <f aca="false">(O79-$K79)^2</f>
        <v>0.011274829489</v>
      </c>
      <c r="AD79" s="8" t="n">
        <f aca="false">(P79-$K79)^2</f>
        <v>0.014389202025</v>
      </c>
      <c r="AE79" s="8" t="n">
        <f aca="false">MIN(INT(ROUND(N79*1000000,0)/100000),9)</f>
        <v>1</v>
      </c>
      <c r="AF79" s="8" t="n">
        <f aca="false">MIN(INT(ROUND(P79*1000000,0)/100000),9)</f>
        <v>1</v>
      </c>
    </row>
    <row r="80" customFormat="false" ht="15" hidden="false" customHeight="false" outlineLevel="0" collapsed="false">
      <c r="A80" s="4" t="n">
        <v>76</v>
      </c>
      <c r="B80" s="4" t="n">
        <v>418</v>
      </c>
      <c r="C80" s="4" t="n">
        <v>0</v>
      </c>
      <c r="D80" s="11" t="n">
        <v>46054</v>
      </c>
      <c r="E80" s="4" t="s">
        <v>204</v>
      </c>
      <c r="F80" s="4" t="s">
        <v>208</v>
      </c>
      <c r="G80" s="4" t="n">
        <v>4</v>
      </c>
      <c r="H80" s="4" t="n">
        <v>5</v>
      </c>
      <c r="I80" s="4" t="n">
        <v>0</v>
      </c>
      <c r="J80" s="4" t="n">
        <v>87</v>
      </c>
      <c r="K80" s="4" t="n">
        <v>0</v>
      </c>
      <c r="L80" s="12" t="n">
        <v>0.305032</v>
      </c>
      <c r="M80" s="12" t="n">
        <v>0.092063</v>
      </c>
      <c r="N80" s="12" t="n">
        <v>0.121308</v>
      </c>
      <c r="O80" s="12" t="n">
        <v>0.106183</v>
      </c>
      <c r="P80" s="12" t="n">
        <v>0.129505</v>
      </c>
      <c r="Q80" s="0" t="str">
        <f aca="false">IF(L80&gt;=Models!$G$5,1+COUNTIF($L$5:$L$1517,"&gt;"&amp;L80)+COUNTIFS($L$5:$L$1517,L80,$B$5:$B$1517,"&lt;"&amp;B80)+COUNTIFS($L$5:$L$1517,L80,$B$5:$B$1517,B80,$C$5:$C$1517,"&lt;"&amp;C80),"")</f>
        <v/>
      </c>
      <c r="R80" s="0" t="str">
        <f aca="false">IF(M80&gt;=Models!$G$6,1+COUNTIF($M$5:$M$1517,"&gt;"&amp;M80)+COUNTIFS($M$5:$M$1517,M80,$B$5:$B$1517,"&lt;"&amp;B80)+COUNTIFS($M$5:$M$1517,M80,$B$5:$B$1517,B80,$C$5:$C$1517,"&lt;"&amp;C80),"")</f>
        <v/>
      </c>
      <c r="S80" s="0" t="str">
        <f aca="false">IF(N80&gt;=Models!$G$7,1+COUNTIF($N$5:$N$1517,"&gt;"&amp;N80)+COUNTIFS($N$5:$N$1517,N80,$B$5:$B$1517,"&lt;"&amp;B80)+COUNTIFS($N$5:$N$1517,N80,$B$5:$B$1517,B80,$C$5:$C$1517,"&lt;"&amp;C80),"")</f>
        <v/>
      </c>
      <c r="T80" s="8" t="n">
        <f aca="false">IF(O80&gt;=Models!$G$8,1+COUNTIF($O$5:$O$1517,"&gt;"&amp;O80)+COUNTIFS($O$5:$O$1517,O80,$B$5:$B$1517,"&lt;"&amp;B80)+COUNTIFS($O$5:$O$1517,O80,$B$5:$B$1517,B80,$C$5:$C$1517,"&lt;"&amp;C80),"")</f>
        <v>287</v>
      </c>
      <c r="U80" s="8" t="n">
        <f aca="false">IF($K80=1,COUNTIFS($L$5:$L$1517,"&gt;="&amp;L80,$K$5:$K$1517,1)/COUNTIF($L$5:$L$1517,"&gt;="&amp;L80),0)</f>
        <v>0</v>
      </c>
      <c r="V80" s="8" t="n">
        <f aca="false">IF($K80=1,COUNTIFS($M$5:$M$1517,"&gt;="&amp;M80,$K$5:$K$1517,1)/COUNTIF($M$5:$M$1517,"&gt;="&amp;M80),0)</f>
        <v>0</v>
      </c>
      <c r="W80" s="8" t="n">
        <f aca="false">IF($K80=1,COUNTIFS($N$5:$N$1517,"&gt;="&amp;N80,$K$5:$K$1517,1)/COUNTIF($N$5:$N$1517,"&gt;="&amp;N80),0)</f>
        <v>0</v>
      </c>
      <c r="X80" s="8" t="n">
        <f aca="false">IF($K80=1,COUNTIFS($O$5:$O$1517,"&gt;="&amp;O80,$K$5:$K$1517,1)/COUNTIF($O$5:$O$1517,"&gt;="&amp;O80),0)</f>
        <v>0</v>
      </c>
      <c r="Y80" s="8" t="n">
        <f aca="false">IF($K80=1,COUNTIFS($P$5:$P$1517,"&gt;="&amp;P80,$K$5:$K$1517,1)/COUNTIF($P$5:$P$1517,"&gt;="&amp;P80),0)</f>
        <v>0</v>
      </c>
      <c r="Z80" s="8" t="n">
        <f aca="false">(L80-$K80)^2</f>
        <v>0.093044521024</v>
      </c>
      <c r="AA80" s="8" t="n">
        <f aca="false">(M80-$K80)^2</f>
        <v>0.008475595969</v>
      </c>
      <c r="AB80" s="8" t="n">
        <f aca="false">(N80-$K80)^2</f>
        <v>0.014715630864</v>
      </c>
      <c r="AC80" s="8" t="n">
        <f aca="false">(O80-$K80)^2</f>
        <v>0.011274829489</v>
      </c>
      <c r="AD80" s="8" t="n">
        <f aca="false">(P80-$K80)^2</f>
        <v>0.016771545025</v>
      </c>
      <c r="AE80" s="8" t="n">
        <f aca="false">MIN(INT(ROUND(N80*1000000,0)/100000),9)</f>
        <v>1</v>
      </c>
      <c r="AF80" s="8" t="n">
        <f aca="false">MIN(INT(ROUND(P80*1000000,0)/100000),9)</f>
        <v>1</v>
      </c>
    </row>
    <row r="81" customFormat="false" ht="15" hidden="false" customHeight="false" outlineLevel="0" collapsed="false">
      <c r="A81" s="4" t="n">
        <v>77</v>
      </c>
      <c r="B81" s="4" t="n">
        <v>420</v>
      </c>
      <c r="C81" s="4" t="n">
        <v>0</v>
      </c>
      <c r="D81" s="11" t="n">
        <v>46054</v>
      </c>
      <c r="E81" s="4" t="s">
        <v>203</v>
      </c>
      <c r="F81" s="4" t="s">
        <v>206</v>
      </c>
      <c r="G81" s="4" t="n">
        <v>7</v>
      </c>
      <c r="H81" s="4" t="n">
        <v>0</v>
      </c>
      <c r="I81" s="4" t="n">
        <v>0</v>
      </c>
      <c r="J81" s="4" t="n">
        <v>297</v>
      </c>
      <c r="K81" s="4" t="n">
        <v>0</v>
      </c>
      <c r="L81" s="12" t="n">
        <v>0.69854</v>
      </c>
      <c r="M81" s="12" t="n">
        <v>0.092063</v>
      </c>
      <c r="N81" s="12" t="n">
        <v>0.090854</v>
      </c>
      <c r="O81" s="12" t="n">
        <v>0.106183</v>
      </c>
      <c r="P81" s="12" t="n">
        <v>0.09588</v>
      </c>
      <c r="Q81" s="0" t="str">
        <f aca="false">IF(L81&gt;=Models!$G$5,1+COUNTIF($L$5:$L$1517,"&gt;"&amp;L81)+COUNTIFS($L$5:$L$1517,L81,$B$5:$B$1517,"&lt;"&amp;B81)+COUNTIFS($L$5:$L$1517,L81,$B$5:$B$1517,B81,$C$5:$C$1517,"&lt;"&amp;C81),"")</f>
        <v/>
      </c>
      <c r="R81" s="0" t="str">
        <f aca="false">IF(M81&gt;=Models!$G$6,1+COUNTIF($M$5:$M$1517,"&gt;"&amp;M81)+COUNTIFS($M$5:$M$1517,M81,$B$5:$B$1517,"&lt;"&amp;B81)+COUNTIFS($M$5:$M$1517,M81,$B$5:$B$1517,B81,$C$5:$C$1517,"&lt;"&amp;C81),"")</f>
        <v/>
      </c>
      <c r="S81" s="0" t="str">
        <f aca="false">IF(N81&gt;=Models!$G$7,1+COUNTIF($N$5:$N$1517,"&gt;"&amp;N81)+COUNTIFS($N$5:$N$1517,N81,$B$5:$B$1517,"&lt;"&amp;B81)+COUNTIFS($N$5:$N$1517,N81,$B$5:$B$1517,B81,$C$5:$C$1517,"&lt;"&amp;C81),"")</f>
        <v/>
      </c>
      <c r="T81" s="8" t="n">
        <f aca="false">IF(O81&gt;=Models!$G$8,1+COUNTIF($O$5:$O$1517,"&gt;"&amp;O81)+COUNTIFS($O$5:$O$1517,O81,$B$5:$B$1517,"&lt;"&amp;B81)+COUNTIFS($O$5:$O$1517,O81,$B$5:$B$1517,B81,$C$5:$C$1517,"&lt;"&amp;C81),"")</f>
        <v>291</v>
      </c>
      <c r="U81" s="8" t="n">
        <f aca="false">IF($K81=1,COUNTIFS($L$5:$L$1517,"&gt;="&amp;L81,$K$5:$K$1517,1)/COUNTIF($L$5:$L$1517,"&gt;="&amp;L81),0)</f>
        <v>0</v>
      </c>
      <c r="V81" s="8" t="n">
        <f aca="false">IF($K81=1,COUNTIFS($M$5:$M$1517,"&gt;="&amp;M81,$K$5:$K$1517,1)/COUNTIF($M$5:$M$1517,"&gt;="&amp;M81),0)</f>
        <v>0</v>
      </c>
      <c r="W81" s="8" t="n">
        <f aca="false">IF($K81=1,COUNTIFS($N$5:$N$1517,"&gt;="&amp;N81,$K$5:$K$1517,1)/COUNTIF($N$5:$N$1517,"&gt;="&amp;N81),0)</f>
        <v>0</v>
      </c>
      <c r="X81" s="8" t="n">
        <f aca="false">IF($K81=1,COUNTIFS($O$5:$O$1517,"&gt;="&amp;O81,$K$5:$K$1517,1)/COUNTIF($O$5:$O$1517,"&gt;="&amp;O81),0)</f>
        <v>0</v>
      </c>
      <c r="Y81" s="8" t="n">
        <f aca="false">IF($K81=1,COUNTIFS($P$5:$P$1517,"&gt;="&amp;P81,$K$5:$K$1517,1)/COUNTIF($P$5:$P$1517,"&gt;="&amp;P81),0)</f>
        <v>0</v>
      </c>
      <c r="Z81" s="8" t="n">
        <f aca="false">(L81-$K81)^2</f>
        <v>0.4879581316</v>
      </c>
      <c r="AA81" s="8" t="n">
        <f aca="false">(M81-$K81)^2</f>
        <v>0.008475595969</v>
      </c>
      <c r="AB81" s="8" t="n">
        <f aca="false">(N81-$K81)^2</f>
        <v>0.008254449316</v>
      </c>
      <c r="AC81" s="8" t="n">
        <f aca="false">(O81-$K81)^2</f>
        <v>0.011274829489</v>
      </c>
      <c r="AD81" s="8" t="n">
        <f aca="false">(P81-$K81)^2</f>
        <v>0.0091929744</v>
      </c>
      <c r="AE81" s="8" t="n">
        <f aca="false">MIN(INT(ROUND(N81*1000000,0)/100000),9)</f>
        <v>0</v>
      </c>
      <c r="AF81" s="8" t="n">
        <f aca="false">MIN(INT(ROUND(P81*1000000,0)/100000),9)</f>
        <v>0</v>
      </c>
    </row>
    <row r="82" customFormat="false" ht="15" hidden="false" customHeight="false" outlineLevel="0" collapsed="false">
      <c r="A82" s="4" t="n">
        <v>78</v>
      </c>
      <c r="B82" s="4" t="n">
        <v>422</v>
      </c>
      <c r="C82" s="4" t="n">
        <v>0</v>
      </c>
      <c r="D82" s="11" t="n">
        <v>46054</v>
      </c>
      <c r="E82" s="4" t="s">
        <v>202</v>
      </c>
      <c r="F82" s="4" t="s">
        <v>206</v>
      </c>
      <c r="G82" s="4" t="n">
        <v>11</v>
      </c>
      <c r="H82" s="4" t="n">
        <v>0</v>
      </c>
      <c r="I82" s="4" t="n">
        <v>0</v>
      </c>
      <c r="J82" s="4" t="n">
        <v>861</v>
      </c>
      <c r="K82" s="4" t="n">
        <v>1</v>
      </c>
      <c r="L82" s="12" t="n">
        <v>0.444115</v>
      </c>
      <c r="M82" s="12" t="n">
        <v>0.092063</v>
      </c>
      <c r="N82" s="12" t="n">
        <v>0.063211</v>
      </c>
      <c r="O82" s="12" t="n">
        <v>0.106183</v>
      </c>
      <c r="P82" s="12" t="n">
        <v>0.065665</v>
      </c>
      <c r="Q82" s="0" t="str">
        <f aca="false">IF(L82&gt;=Models!$G$5,1+COUNTIF($L$5:$L$1517,"&gt;"&amp;L82)+COUNTIFS($L$5:$L$1517,L82,$B$5:$B$1517,"&lt;"&amp;B82)+COUNTIFS($L$5:$L$1517,L82,$B$5:$B$1517,B82,$C$5:$C$1517,"&lt;"&amp;C82),"")</f>
        <v/>
      </c>
      <c r="R82" s="0" t="str">
        <f aca="false">IF(M82&gt;=Models!$G$6,1+COUNTIF($M$5:$M$1517,"&gt;"&amp;M82)+COUNTIFS($M$5:$M$1517,M82,$B$5:$B$1517,"&lt;"&amp;B82)+COUNTIFS($M$5:$M$1517,M82,$B$5:$B$1517,B82,$C$5:$C$1517,"&lt;"&amp;C82),"")</f>
        <v/>
      </c>
      <c r="S82" s="0" t="str">
        <f aca="false">IF(N82&gt;=Models!$G$7,1+COUNTIF($N$5:$N$1517,"&gt;"&amp;N82)+COUNTIFS($N$5:$N$1517,N82,$B$5:$B$1517,"&lt;"&amp;B82)+COUNTIFS($N$5:$N$1517,N82,$B$5:$B$1517,B82,$C$5:$C$1517,"&lt;"&amp;C82),"")</f>
        <v/>
      </c>
      <c r="T82" s="8" t="n">
        <f aca="false">IF(O82&gt;=Models!$G$8,1+COUNTIF($O$5:$O$1517,"&gt;"&amp;O82)+COUNTIFS($O$5:$O$1517,O82,$B$5:$B$1517,"&lt;"&amp;B82)+COUNTIFS($O$5:$O$1517,O82,$B$5:$B$1517,B82,$C$5:$C$1517,"&lt;"&amp;C82),"")</f>
        <v>295</v>
      </c>
      <c r="U82" s="8" t="n">
        <f aca="false">IF($K82=1,COUNTIFS($L$5:$L$1517,"&gt;="&amp;L82,$K$5:$K$1517,1)/COUNTIF($L$5:$L$1517,"&gt;="&amp;L82),0)</f>
        <v>0.125</v>
      </c>
      <c r="V82" s="8" t="n">
        <f aca="false">IF($K82=1,COUNTIFS($M$5:$M$1517,"&gt;="&amp;M82,$K$5:$K$1517,1)/COUNTIF($M$5:$M$1517,"&gt;="&amp;M82),0)</f>
        <v>0.12491738268341</v>
      </c>
      <c r="W82" s="8" t="n">
        <f aca="false">IF($K82=1,COUNTIFS($N$5:$N$1517,"&gt;="&amp;N82,$K$5:$K$1517,1)/COUNTIF($N$5:$N$1517,"&gt;="&amp;N82),0)</f>
        <v>0.157487922705314</v>
      </c>
      <c r="X82" s="8" t="n">
        <f aca="false">IF($K82=1,COUNTIFS($O$5:$O$1517,"&gt;="&amp;O82,$K$5:$K$1517,1)/COUNTIF($O$5:$O$1517,"&gt;="&amp;O82),0)</f>
        <v>0.12491738268341</v>
      </c>
      <c r="Y82" s="8" t="n">
        <f aca="false">IF($K82=1,COUNTIFS($P$5:$P$1517,"&gt;="&amp;P82,$K$5:$K$1517,1)/COUNTIF($P$5:$P$1517,"&gt;="&amp;P82),0)</f>
        <v>0.157487922705314</v>
      </c>
      <c r="Z82" s="8" t="n">
        <f aca="false">(L82-$K82)^2</f>
        <v>0.309008133225</v>
      </c>
      <c r="AA82" s="8" t="n">
        <f aca="false">(M82-$K82)^2</f>
        <v>0.824349595969</v>
      </c>
      <c r="AB82" s="8" t="n">
        <f aca="false">(N82-$K82)^2</f>
        <v>0.877573630521</v>
      </c>
      <c r="AC82" s="8" t="n">
        <f aca="false">(O82-$K82)^2</f>
        <v>0.798908829489</v>
      </c>
      <c r="AD82" s="8" t="n">
        <f aca="false">(P82-$K82)^2</f>
        <v>0.872981892225</v>
      </c>
      <c r="AE82" s="8" t="n">
        <f aca="false">MIN(INT(ROUND(N82*1000000,0)/100000),9)</f>
        <v>0</v>
      </c>
      <c r="AF82" s="8" t="n">
        <f aca="false">MIN(INT(ROUND(P82*1000000,0)/100000),9)</f>
        <v>0</v>
      </c>
    </row>
    <row r="83" customFormat="false" ht="15" hidden="false" customHeight="false" outlineLevel="0" collapsed="false">
      <c r="A83" s="4" t="n">
        <v>79</v>
      </c>
      <c r="B83" s="4" t="n">
        <v>430</v>
      </c>
      <c r="C83" s="4" t="n">
        <v>0</v>
      </c>
      <c r="D83" s="11" t="n">
        <v>46054</v>
      </c>
      <c r="E83" s="4" t="s">
        <v>204</v>
      </c>
      <c r="F83" s="4" t="s">
        <v>210</v>
      </c>
      <c r="G83" s="4" t="n">
        <v>0</v>
      </c>
      <c r="H83" s="4" t="n">
        <v>33</v>
      </c>
      <c r="I83" s="4" t="n">
        <v>0</v>
      </c>
      <c r="J83" s="4" t="n">
        <v>93</v>
      </c>
      <c r="K83" s="4" t="n">
        <v>0</v>
      </c>
      <c r="L83" s="12" t="n">
        <v>0.63039</v>
      </c>
      <c r="M83" s="12" t="n">
        <v>0.184211</v>
      </c>
      <c r="N83" s="12" t="n">
        <v>0.199243</v>
      </c>
      <c r="O83" s="12" t="n">
        <v>0.106183</v>
      </c>
      <c r="P83" s="12" t="n">
        <v>0.216149</v>
      </c>
      <c r="Q83" s="0" t="str">
        <f aca="false">IF(L83&gt;=Models!$G$5,1+COUNTIF($L$5:$L$1517,"&gt;"&amp;L83)+COUNTIFS($L$5:$L$1517,L83,$B$5:$B$1517,"&lt;"&amp;B83)+COUNTIFS($L$5:$L$1517,L83,$B$5:$B$1517,B83,$C$5:$C$1517,"&lt;"&amp;C83),"")</f>
        <v/>
      </c>
      <c r="R83" s="8" t="n">
        <f aca="false">IF(M83&gt;=Models!$G$6,1+COUNTIF($M$5:$M$1517,"&gt;"&amp;M83)+COUNTIFS($M$5:$M$1517,M83,$B$5:$B$1517,"&lt;"&amp;B83)+COUNTIFS($M$5:$M$1517,M83,$B$5:$B$1517,B83,$C$5:$C$1517,"&lt;"&amp;C83),"")</f>
        <v>34</v>
      </c>
      <c r="S83" s="0" t="str">
        <f aca="false">IF(N83&gt;=Models!$G$7,1+COUNTIF($N$5:$N$1517,"&gt;"&amp;N83)+COUNTIFS($N$5:$N$1517,N83,$B$5:$B$1517,"&lt;"&amp;B83)+COUNTIFS($N$5:$N$1517,N83,$B$5:$B$1517,B83,$C$5:$C$1517,"&lt;"&amp;C83),"")</f>
        <v/>
      </c>
      <c r="T83" s="8" t="n">
        <f aca="false">IF(O83&gt;=Models!$G$8,1+COUNTIF($O$5:$O$1517,"&gt;"&amp;O83)+COUNTIFS($O$5:$O$1517,O83,$B$5:$B$1517,"&lt;"&amp;B83)+COUNTIFS($O$5:$O$1517,O83,$B$5:$B$1517,B83,$C$5:$C$1517,"&lt;"&amp;C83),"")</f>
        <v>297</v>
      </c>
      <c r="U83" s="8" t="n">
        <f aca="false">IF($K83=1,COUNTIFS($L$5:$L$1517,"&gt;="&amp;L83,$K$5:$K$1517,1)/COUNTIF($L$5:$L$1517,"&gt;="&amp;L83),0)</f>
        <v>0</v>
      </c>
      <c r="V83" s="8" t="n">
        <f aca="false">IF($K83=1,COUNTIFS($M$5:$M$1517,"&gt;="&amp;M83,$K$5:$K$1517,1)/COUNTIF($M$5:$M$1517,"&gt;="&amp;M83),0)</f>
        <v>0</v>
      </c>
      <c r="W83" s="8" t="n">
        <f aca="false">IF($K83=1,COUNTIFS($N$5:$N$1517,"&gt;="&amp;N83,$K$5:$K$1517,1)/COUNTIF($N$5:$N$1517,"&gt;="&amp;N83),0)</f>
        <v>0</v>
      </c>
      <c r="X83" s="8" t="n">
        <f aca="false">IF($K83=1,COUNTIFS($O$5:$O$1517,"&gt;="&amp;O83,$K$5:$K$1517,1)/COUNTIF($O$5:$O$1517,"&gt;="&amp;O83),0)</f>
        <v>0</v>
      </c>
      <c r="Y83" s="8" t="n">
        <f aca="false">IF($K83=1,COUNTIFS($P$5:$P$1517,"&gt;="&amp;P83,$K$5:$K$1517,1)/COUNTIF($P$5:$P$1517,"&gt;="&amp;P83),0)</f>
        <v>0</v>
      </c>
      <c r="Z83" s="8" t="n">
        <f aca="false">(L83-$K83)^2</f>
        <v>0.3973915521</v>
      </c>
      <c r="AA83" s="8" t="n">
        <f aca="false">(M83-$K83)^2</f>
        <v>0.033933692521</v>
      </c>
      <c r="AB83" s="8" t="n">
        <f aca="false">(N83-$K83)^2</f>
        <v>0.039697773049</v>
      </c>
      <c r="AC83" s="8" t="n">
        <f aca="false">(O83-$K83)^2</f>
        <v>0.011274829489</v>
      </c>
      <c r="AD83" s="8" t="n">
        <f aca="false">(P83-$K83)^2</f>
        <v>0.046720390201</v>
      </c>
      <c r="AE83" s="8" t="n">
        <f aca="false">MIN(INT(ROUND(N83*1000000,0)/100000),9)</f>
        <v>1</v>
      </c>
      <c r="AF83" s="8" t="n">
        <f aca="false">MIN(INT(ROUND(P83*1000000,0)/100000),9)</f>
        <v>2</v>
      </c>
    </row>
    <row r="84" customFormat="false" ht="15" hidden="false" customHeight="false" outlineLevel="0" collapsed="false">
      <c r="A84" s="4" t="n">
        <v>80</v>
      </c>
      <c r="B84" s="4" t="n">
        <v>431</v>
      </c>
      <c r="C84" s="4" t="n">
        <v>0</v>
      </c>
      <c r="D84" s="11" t="n">
        <v>46054</v>
      </c>
      <c r="E84" s="4" t="s">
        <v>203</v>
      </c>
      <c r="F84" s="4" t="s">
        <v>206</v>
      </c>
      <c r="G84" s="4" t="n">
        <v>6</v>
      </c>
      <c r="H84" s="4" t="n">
        <v>8</v>
      </c>
      <c r="I84" s="4" t="n">
        <v>0</v>
      </c>
      <c r="J84" s="4"/>
      <c r="K84" s="4" t="n">
        <v>0</v>
      </c>
      <c r="L84" s="12" t="n">
        <v>0.821388</v>
      </c>
      <c r="M84" s="12" t="n">
        <v>0.092063</v>
      </c>
      <c r="N84" s="12" t="n">
        <v>0.052789</v>
      </c>
      <c r="O84" s="12" t="n">
        <v>0.106183</v>
      </c>
      <c r="P84" s="12" t="n">
        <v>0.054392</v>
      </c>
      <c r="Q84" s="0" t="str">
        <f aca="false">IF(L84&gt;=Models!$G$5,1+COUNTIF($L$5:$L$1517,"&gt;"&amp;L84)+COUNTIFS($L$5:$L$1517,L84,$B$5:$B$1517,"&lt;"&amp;B84)+COUNTIFS($L$5:$L$1517,L84,$B$5:$B$1517,B84,$C$5:$C$1517,"&lt;"&amp;C84),"")</f>
        <v/>
      </c>
      <c r="R84" s="0" t="str">
        <f aca="false">IF(M84&gt;=Models!$G$6,1+COUNTIF($M$5:$M$1517,"&gt;"&amp;M84)+COUNTIFS($M$5:$M$1517,M84,$B$5:$B$1517,"&lt;"&amp;B84)+COUNTIFS($M$5:$M$1517,M84,$B$5:$B$1517,B84,$C$5:$C$1517,"&lt;"&amp;C84),"")</f>
        <v/>
      </c>
      <c r="S84" s="0" t="str">
        <f aca="false">IF(N84&gt;=Models!$G$7,1+COUNTIF($N$5:$N$1517,"&gt;"&amp;N84)+COUNTIFS($N$5:$N$1517,N84,$B$5:$B$1517,"&lt;"&amp;B84)+COUNTIFS($N$5:$N$1517,N84,$B$5:$B$1517,B84,$C$5:$C$1517,"&lt;"&amp;C84),"")</f>
        <v/>
      </c>
      <c r="T84" s="8" t="n">
        <f aca="false">IF(O84&gt;=Models!$G$8,1+COUNTIF($O$5:$O$1517,"&gt;"&amp;O84)+COUNTIFS($O$5:$O$1517,O84,$B$5:$B$1517,"&lt;"&amp;B84)+COUNTIFS($O$5:$O$1517,O84,$B$5:$B$1517,B84,$C$5:$C$1517,"&lt;"&amp;C84),"")</f>
        <v>301</v>
      </c>
      <c r="U84" s="8" t="n">
        <f aca="false">IF($K84=1,COUNTIFS($L$5:$L$1517,"&gt;="&amp;L84,$K$5:$K$1517,1)/COUNTIF($L$5:$L$1517,"&gt;="&amp;L84),0)</f>
        <v>0</v>
      </c>
      <c r="V84" s="8" t="n">
        <f aca="false">IF($K84=1,COUNTIFS($M$5:$M$1517,"&gt;="&amp;M84,$K$5:$K$1517,1)/COUNTIF($M$5:$M$1517,"&gt;="&amp;M84),0)</f>
        <v>0</v>
      </c>
      <c r="W84" s="8" t="n">
        <f aca="false">IF($K84=1,COUNTIFS($N$5:$N$1517,"&gt;="&amp;N84,$K$5:$K$1517,1)/COUNTIF($N$5:$N$1517,"&gt;="&amp;N84),0)</f>
        <v>0</v>
      </c>
      <c r="X84" s="8" t="n">
        <f aca="false">IF($K84=1,COUNTIFS($O$5:$O$1517,"&gt;="&amp;O84,$K$5:$K$1517,1)/COUNTIF($O$5:$O$1517,"&gt;="&amp;O84),0)</f>
        <v>0</v>
      </c>
      <c r="Y84" s="8" t="n">
        <f aca="false">IF($K84=1,COUNTIFS($P$5:$P$1517,"&gt;="&amp;P84,$K$5:$K$1517,1)/COUNTIF($P$5:$P$1517,"&gt;="&amp;P84),0)</f>
        <v>0</v>
      </c>
      <c r="Z84" s="8" t="n">
        <f aca="false">(L84-$K84)^2</f>
        <v>0.674678246544</v>
      </c>
      <c r="AA84" s="8" t="n">
        <f aca="false">(M84-$K84)^2</f>
        <v>0.008475595969</v>
      </c>
      <c r="AB84" s="8" t="n">
        <f aca="false">(N84-$K84)^2</f>
        <v>0.002786678521</v>
      </c>
      <c r="AC84" s="8" t="n">
        <f aca="false">(O84-$K84)^2</f>
        <v>0.011274829489</v>
      </c>
      <c r="AD84" s="8" t="n">
        <f aca="false">(P84-$K84)^2</f>
        <v>0.002958489664</v>
      </c>
      <c r="AE84" s="8" t="n">
        <f aca="false">MIN(INT(ROUND(N84*1000000,0)/100000),9)</f>
        <v>0</v>
      </c>
      <c r="AF84" s="8" t="n">
        <f aca="false">MIN(INT(ROUND(P84*1000000,0)/100000),9)</f>
        <v>0</v>
      </c>
    </row>
    <row r="85" customFormat="false" ht="15" hidden="false" customHeight="false" outlineLevel="0" collapsed="false">
      <c r="A85" s="4" t="n">
        <v>81</v>
      </c>
      <c r="B85" s="4" t="n">
        <v>432</v>
      </c>
      <c r="C85" s="4" t="n">
        <v>0</v>
      </c>
      <c r="D85" s="11" t="n">
        <v>46054</v>
      </c>
      <c r="E85" s="4" t="s">
        <v>202</v>
      </c>
      <c r="F85" s="4" t="s">
        <v>208</v>
      </c>
      <c r="G85" s="4" t="n">
        <v>7</v>
      </c>
      <c r="H85" s="4" t="n">
        <v>7</v>
      </c>
      <c r="I85" s="4" t="n">
        <v>0</v>
      </c>
      <c r="J85" s="4"/>
      <c r="K85" s="4" t="n">
        <v>0</v>
      </c>
      <c r="L85" s="12" t="n">
        <v>0.359091</v>
      </c>
      <c r="M85" s="12" t="n">
        <v>0.092063</v>
      </c>
      <c r="N85" s="12" t="n">
        <v>0.04809</v>
      </c>
      <c r="O85" s="12" t="n">
        <v>0.106183</v>
      </c>
      <c r="P85" s="12" t="n">
        <v>0.049338</v>
      </c>
      <c r="Q85" s="0" t="str">
        <f aca="false">IF(L85&gt;=Models!$G$5,1+COUNTIF($L$5:$L$1517,"&gt;"&amp;L85)+COUNTIFS($L$5:$L$1517,L85,$B$5:$B$1517,"&lt;"&amp;B85)+COUNTIFS($L$5:$L$1517,L85,$B$5:$B$1517,B85,$C$5:$C$1517,"&lt;"&amp;C85),"")</f>
        <v/>
      </c>
      <c r="R85" s="0" t="str">
        <f aca="false">IF(M85&gt;=Models!$G$6,1+COUNTIF($M$5:$M$1517,"&gt;"&amp;M85)+COUNTIFS($M$5:$M$1517,M85,$B$5:$B$1517,"&lt;"&amp;B85)+COUNTIFS($M$5:$M$1517,M85,$B$5:$B$1517,B85,$C$5:$C$1517,"&lt;"&amp;C85),"")</f>
        <v/>
      </c>
      <c r="S85" s="0" t="str">
        <f aca="false">IF(N85&gt;=Models!$G$7,1+COUNTIF($N$5:$N$1517,"&gt;"&amp;N85)+COUNTIFS($N$5:$N$1517,N85,$B$5:$B$1517,"&lt;"&amp;B85)+COUNTIFS($N$5:$N$1517,N85,$B$5:$B$1517,B85,$C$5:$C$1517,"&lt;"&amp;C85),"")</f>
        <v/>
      </c>
      <c r="T85" s="8" t="n">
        <f aca="false">IF(O85&gt;=Models!$G$8,1+COUNTIF($O$5:$O$1517,"&gt;"&amp;O85)+COUNTIFS($O$5:$O$1517,O85,$B$5:$B$1517,"&lt;"&amp;B85)+COUNTIFS($O$5:$O$1517,O85,$B$5:$B$1517,B85,$C$5:$C$1517,"&lt;"&amp;C85),"")</f>
        <v>305</v>
      </c>
      <c r="U85" s="8" t="n">
        <f aca="false">IF($K85=1,COUNTIFS($L$5:$L$1517,"&gt;="&amp;L85,$K$5:$K$1517,1)/COUNTIF($L$5:$L$1517,"&gt;="&amp;L85),0)</f>
        <v>0</v>
      </c>
      <c r="V85" s="8" t="n">
        <f aca="false">IF($K85=1,COUNTIFS($M$5:$M$1517,"&gt;="&amp;M85,$K$5:$K$1517,1)/COUNTIF($M$5:$M$1517,"&gt;="&amp;M85),0)</f>
        <v>0</v>
      </c>
      <c r="W85" s="8" t="n">
        <f aca="false">IF($K85=1,COUNTIFS($N$5:$N$1517,"&gt;="&amp;N85,$K$5:$K$1517,1)/COUNTIF($N$5:$N$1517,"&gt;="&amp;N85),0)</f>
        <v>0</v>
      </c>
      <c r="X85" s="8" t="n">
        <f aca="false">IF($K85=1,COUNTIFS($O$5:$O$1517,"&gt;="&amp;O85,$K$5:$K$1517,1)/COUNTIF($O$5:$O$1517,"&gt;="&amp;O85),0)</f>
        <v>0</v>
      </c>
      <c r="Y85" s="8" t="n">
        <f aca="false">IF($K85=1,COUNTIFS($P$5:$P$1517,"&gt;="&amp;P85,$K$5:$K$1517,1)/COUNTIF($P$5:$P$1517,"&gt;="&amp;P85),0)</f>
        <v>0</v>
      </c>
      <c r="Z85" s="8" t="n">
        <f aca="false">(L85-$K85)^2</f>
        <v>0.128946346281</v>
      </c>
      <c r="AA85" s="8" t="n">
        <f aca="false">(M85-$K85)^2</f>
        <v>0.008475595969</v>
      </c>
      <c r="AB85" s="8" t="n">
        <f aca="false">(N85-$K85)^2</f>
        <v>0.0023126481</v>
      </c>
      <c r="AC85" s="8" t="n">
        <f aca="false">(O85-$K85)^2</f>
        <v>0.011274829489</v>
      </c>
      <c r="AD85" s="8" t="n">
        <f aca="false">(P85-$K85)^2</f>
        <v>0.002434238244</v>
      </c>
      <c r="AE85" s="8" t="n">
        <f aca="false">MIN(INT(ROUND(N85*1000000,0)/100000),9)</f>
        <v>0</v>
      </c>
      <c r="AF85" s="8" t="n">
        <f aca="false">MIN(INT(ROUND(P85*1000000,0)/100000),9)</f>
        <v>0</v>
      </c>
    </row>
    <row r="86" customFormat="false" ht="15" hidden="false" customHeight="false" outlineLevel="0" collapsed="false">
      <c r="A86" s="4" t="n">
        <v>82</v>
      </c>
      <c r="B86" s="4" t="n">
        <v>438</v>
      </c>
      <c r="C86" s="4" t="n">
        <v>0</v>
      </c>
      <c r="D86" s="11" t="n">
        <v>46054</v>
      </c>
      <c r="E86" s="4" t="s">
        <v>204</v>
      </c>
      <c r="F86" s="4" t="s">
        <v>208</v>
      </c>
      <c r="G86" s="4" t="n">
        <v>1</v>
      </c>
      <c r="H86" s="4" t="n">
        <v>9</v>
      </c>
      <c r="I86" s="4" t="n">
        <v>1</v>
      </c>
      <c r="J86" s="4" t="n">
        <v>72.9</v>
      </c>
      <c r="K86" s="4" t="n">
        <v>1</v>
      </c>
      <c r="L86" s="12" t="n">
        <v>0.012278</v>
      </c>
      <c r="M86" s="12" t="n">
        <v>0.184211</v>
      </c>
      <c r="N86" s="12" t="n">
        <v>0.253412</v>
      </c>
      <c r="O86" s="12" t="n">
        <v>0.106183</v>
      </c>
      <c r="P86" s="12" t="n">
        <v>0.27629</v>
      </c>
      <c r="Q86" s="0" t="str">
        <f aca="false">IF(L86&gt;=Models!$G$5,1+COUNTIF($L$5:$L$1517,"&gt;"&amp;L86)+COUNTIFS($L$5:$L$1517,L86,$B$5:$B$1517,"&lt;"&amp;B86)+COUNTIFS($L$5:$L$1517,L86,$B$5:$B$1517,B86,$C$5:$C$1517,"&lt;"&amp;C86),"")</f>
        <v/>
      </c>
      <c r="R86" s="8" t="n">
        <f aca="false">IF(M86&gt;=Models!$G$6,1+COUNTIF($M$5:$M$1517,"&gt;"&amp;M86)+COUNTIFS($M$5:$M$1517,M86,$B$5:$B$1517,"&lt;"&amp;B86)+COUNTIFS($M$5:$M$1517,M86,$B$5:$B$1517,B86,$C$5:$C$1517,"&lt;"&amp;C86),"")</f>
        <v>36</v>
      </c>
      <c r="S86" s="8" t="n">
        <f aca="false">IF(N86&gt;=Models!$G$7,1+COUNTIF($N$5:$N$1517,"&gt;"&amp;N86)+COUNTIFS($N$5:$N$1517,N86,$B$5:$B$1517,"&lt;"&amp;B86)+COUNTIFS($N$5:$N$1517,N86,$B$5:$B$1517,B86,$C$5:$C$1517,"&lt;"&amp;C86),"")</f>
        <v>15</v>
      </c>
      <c r="T86" s="8" t="n">
        <f aca="false">IF(O86&gt;=Models!$G$8,1+COUNTIF($O$5:$O$1517,"&gt;"&amp;O86)+COUNTIFS($O$5:$O$1517,O86,$B$5:$B$1517,"&lt;"&amp;B86)+COUNTIFS($O$5:$O$1517,O86,$B$5:$B$1517,B86,$C$5:$C$1517,"&lt;"&amp;C86),"")</f>
        <v>309</v>
      </c>
      <c r="U86" s="8" t="n">
        <f aca="false">IF($K86=1,COUNTIFS($L$5:$L$1517,"&gt;="&amp;L86,$K$5:$K$1517,1)/COUNTIF($L$5:$L$1517,"&gt;="&amp;L86),0)</f>
        <v>0.125503355704698</v>
      </c>
      <c r="V86" s="8" t="n">
        <f aca="false">IF($K86=1,COUNTIFS($M$5:$M$1517,"&gt;="&amp;M86,$K$5:$K$1517,1)/COUNTIF($M$5:$M$1517,"&gt;="&amp;M86),0)</f>
        <v>0.186528497409326</v>
      </c>
      <c r="W86" s="8" t="n">
        <f aca="false">IF($K86=1,COUNTIFS($N$5:$N$1517,"&gt;="&amp;N86,$K$5:$K$1517,1)/COUNTIF($N$5:$N$1517,"&gt;="&amp;N86),0)</f>
        <v>0.333333333333333</v>
      </c>
      <c r="X86" s="8" t="n">
        <f aca="false">IF($K86=1,COUNTIFS($O$5:$O$1517,"&gt;="&amp;O86,$K$5:$K$1517,1)/COUNTIF($O$5:$O$1517,"&gt;="&amp;O86),0)</f>
        <v>0.12491738268341</v>
      </c>
      <c r="Y86" s="8" t="n">
        <f aca="false">IF($K86=1,COUNTIFS($P$5:$P$1517,"&gt;="&amp;P86,$K$5:$K$1517,1)/COUNTIF($P$5:$P$1517,"&gt;="&amp;P86),0)</f>
        <v>0.333333333333333</v>
      </c>
      <c r="Z86" s="8" t="n">
        <f aca="false">(L86-$K86)^2</f>
        <v>0.975594749284</v>
      </c>
      <c r="AA86" s="8" t="n">
        <f aca="false">(M86-$K86)^2</f>
        <v>0.665511692521</v>
      </c>
      <c r="AB86" s="8" t="n">
        <f aca="false">(N86-$K86)^2</f>
        <v>0.557393641744</v>
      </c>
      <c r="AC86" s="8" t="n">
        <f aca="false">(O86-$K86)^2</f>
        <v>0.798908829489</v>
      </c>
      <c r="AD86" s="8" t="n">
        <f aca="false">(P86-$K86)^2</f>
        <v>0.5237561641</v>
      </c>
      <c r="AE86" s="8" t="n">
        <f aca="false">MIN(INT(ROUND(N86*1000000,0)/100000),9)</f>
        <v>2</v>
      </c>
      <c r="AF86" s="8" t="n">
        <f aca="false">MIN(INT(ROUND(P86*1000000,0)/100000),9)</f>
        <v>2</v>
      </c>
    </row>
    <row r="87" customFormat="false" ht="15" hidden="false" customHeight="false" outlineLevel="0" collapsed="false">
      <c r="A87" s="4" t="n">
        <v>83</v>
      </c>
      <c r="B87" s="4" t="n">
        <v>440</v>
      </c>
      <c r="C87" s="4" t="n">
        <v>0</v>
      </c>
      <c r="D87" s="11" t="n">
        <v>46054</v>
      </c>
      <c r="E87" s="4" t="s">
        <v>202</v>
      </c>
      <c r="F87" s="4" t="s">
        <v>207</v>
      </c>
      <c r="G87" s="4" t="n">
        <v>13</v>
      </c>
      <c r="H87" s="4" t="n">
        <v>10</v>
      </c>
      <c r="I87" s="4" t="n">
        <v>0</v>
      </c>
      <c r="J87" s="4"/>
      <c r="K87" s="4" t="n">
        <v>0</v>
      </c>
      <c r="L87" s="12" t="n">
        <v>0.550819</v>
      </c>
      <c r="M87" s="12" t="n">
        <v>0.092063</v>
      </c>
      <c r="N87" s="12" t="n">
        <v>0.02929</v>
      </c>
      <c r="O87" s="12" t="n">
        <v>0.106183</v>
      </c>
      <c r="P87" s="12" t="n">
        <v>0.029359</v>
      </c>
      <c r="Q87" s="0" t="str">
        <f aca="false">IF(L87&gt;=Models!$G$5,1+COUNTIF($L$5:$L$1517,"&gt;"&amp;L87)+COUNTIFS($L$5:$L$1517,L87,$B$5:$B$1517,"&lt;"&amp;B87)+COUNTIFS($L$5:$L$1517,L87,$B$5:$B$1517,B87,$C$5:$C$1517,"&lt;"&amp;C87),"")</f>
        <v/>
      </c>
      <c r="R87" s="0" t="str">
        <f aca="false">IF(M87&gt;=Models!$G$6,1+COUNTIF($M$5:$M$1517,"&gt;"&amp;M87)+COUNTIFS($M$5:$M$1517,M87,$B$5:$B$1517,"&lt;"&amp;B87)+COUNTIFS($M$5:$M$1517,M87,$B$5:$B$1517,B87,$C$5:$C$1517,"&lt;"&amp;C87),"")</f>
        <v/>
      </c>
      <c r="S87" s="0" t="str">
        <f aca="false">IF(N87&gt;=Models!$G$7,1+COUNTIF($N$5:$N$1517,"&gt;"&amp;N87)+COUNTIFS($N$5:$N$1517,N87,$B$5:$B$1517,"&lt;"&amp;B87)+COUNTIFS($N$5:$N$1517,N87,$B$5:$B$1517,B87,$C$5:$C$1517,"&lt;"&amp;C87),"")</f>
        <v/>
      </c>
      <c r="T87" s="8" t="n">
        <f aca="false">IF(O87&gt;=Models!$G$8,1+COUNTIF($O$5:$O$1517,"&gt;"&amp;O87)+COUNTIFS($O$5:$O$1517,O87,$B$5:$B$1517,"&lt;"&amp;B87)+COUNTIFS($O$5:$O$1517,O87,$B$5:$B$1517,B87,$C$5:$C$1517,"&lt;"&amp;C87),"")</f>
        <v>312</v>
      </c>
      <c r="U87" s="8" t="n">
        <f aca="false">IF($K87=1,COUNTIFS($L$5:$L$1517,"&gt;="&amp;L87,$K$5:$K$1517,1)/COUNTIF($L$5:$L$1517,"&gt;="&amp;L87),0)</f>
        <v>0</v>
      </c>
      <c r="V87" s="8" t="n">
        <f aca="false">IF($K87=1,COUNTIFS($M$5:$M$1517,"&gt;="&amp;M87,$K$5:$K$1517,1)/COUNTIF($M$5:$M$1517,"&gt;="&amp;M87),0)</f>
        <v>0</v>
      </c>
      <c r="W87" s="8" t="n">
        <f aca="false">IF($K87=1,COUNTIFS($N$5:$N$1517,"&gt;="&amp;N87,$K$5:$K$1517,1)/COUNTIF($N$5:$N$1517,"&gt;="&amp;N87),0)</f>
        <v>0</v>
      </c>
      <c r="X87" s="8" t="n">
        <f aca="false">IF($K87=1,COUNTIFS($O$5:$O$1517,"&gt;="&amp;O87,$K$5:$K$1517,1)/COUNTIF($O$5:$O$1517,"&gt;="&amp;O87),0)</f>
        <v>0</v>
      </c>
      <c r="Y87" s="8" t="n">
        <f aca="false">IF($K87=1,COUNTIFS($P$5:$P$1517,"&gt;="&amp;P87,$K$5:$K$1517,1)/COUNTIF($P$5:$P$1517,"&gt;="&amp;P87),0)</f>
        <v>0</v>
      </c>
      <c r="Z87" s="8" t="n">
        <f aca="false">(L87-$K87)^2</f>
        <v>0.303401570761</v>
      </c>
      <c r="AA87" s="8" t="n">
        <f aca="false">(M87-$K87)^2</f>
        <v>0.008475595969</v>
      </c>
      <c r="AB87" s="8" t="n">
        <f aca="false">(N87-$K87)^2</f>
        <v>0.0008579041</v>
      </c>
      <c r="AC87" s="8" t="n">
        <f aca="false">(O87-$K87)^2</f>
        <v>0.011274829489</v>
      </c>
      <c r="AD87" s="8" t="n">
        <f aca="false">(P87-$K87)^2</f>
        <v>0.000861950881</v>
      </c>
      <c r="AE87" s="8" t="n">
        <f aca="false">MIN(INT(ROUND(N87*1000000,0)/100000),9)</f>
        <v>0</v>
      </c>
      <c r="AF87" s="8" t="n">
        <f aca="false">MIN(INT(ROUND(P87*1000000,0)/100000),9)</f>
        <v>0</v>
      </c>
    </row>
    <row r="88" customFormat="false" ht="15" hidden="false" customHeight="false" outlineLevel="0" collapsed="false">
      <c r="A88" s="4" t="n">
        <v>84</v>
      </c>
      <c r="B88" s="4" t="n">
        <v>441</v>
      </c>
      <c r="C88" s="4" t="n">
        <v>0</v>
      </c>
      <c r="D88" s="11" t="n">
        <v>46054</v>
      </c>
      <c r="E88" s="4" t="s">
        <v>204</v>
      </c>
      <c r="F88" s="4" t="s">
        <v>206</v>
      </c>
      <c r="G88" s="4" t="n">
        <v>2</v>
      </c>
      <c r="H88" s="4" t="n">
        <v>13</v>
      </c>
      <c r="I88" s="4" t="n">
        <v>0</v>
      </c>
      <c r="J88" s="4" t="n">
        <v>90</v>
      </c>
      <c r="K88" s="4" t="n">
        <v>1</v>
      </c>
      <c r="L88" s="12" t="n">
        <v>0.322747</v>
      </c>
      <c r="M88" s="12" t="n">
        <v>0.092063</v>
      </c>
      <c r="N88" s="12" t="n">
        <v>0.149982</v>
      </c>
      <c r="O88" s="12" t="n">
        <v>0.106183</v>
      </c>
      <c r="P88" s="12" t="n">
        <v>0.161338</v>
      </c>
      <c r="Q88" s="0" t="str">
        <f aca="false">IF(L88&gt;=Models!$G$5,1+COUNTIF($L$5:$L$1517,"&gt;"&amp;L88)+COUNTIFS($L$5:$L$1517,L88,$B$5:$B$1517,"&lt;"&amp;B88)+COUNTIFS($L$5:$L$1517,L88,$B$5:$B$1517,B88,$C$5:$C$1517,"&lt;"&amp;C88),"")</f>
        <v/>
      </c>
      <c r="R88" s="0" t="str">
        <f aca="false">IF(M88&gt;=Models!$G$6,1+COUNTIF($M$5:$M$1517,"&gt;"&amp;M88)+COUNTIFS($M$5:$M$1517,M88,$B$5:$B$1517,"&lt;"&amp;B88)+COUNTIFS($M$5:$M$1517,M88,$B$5:$B$1517,B88,$C$5:$C$1517,"&lt;"&amp;C88),"")</f>
        <v/>
      </c>
      <c r="S88" s="0" t="str">
        <f aca="false">IF(N88&gt;=Models!$G$7,1+COUNTIF($N$5:$N$1517,"&gt;"&amp;N88)+COUNTIFS($N$5:$N$1517,N88,$B$5:$B$1517,"&lt;"&amp;B88)+COUNTIFS($N$5:$N$1517,N88,$B$5:$B$1517,B88,$C$5:$C$1517,"&lt;"&amp;C88),"")</f>
        <v/>
      </c>
      <c r="T88" s="8" t="n">
        <f aca="false">IF(O88&gt;=Models!$G$8,1+COUNTIF($O$5:$O$1517,"&gt;"&amp;O88)+COUNTIFS($O$5:$O$1517,O88,$B$5:$B$1517,"&lt;"&amp;B88)+COUNTIFS($O$5:$O$1517,O88,$B$5:$B$1517,B88,$C$5:$C$1517,"&lt;"&amp;C88),"")</f>
        <v>316</v>
      </c>
      <c r="U88" s="8" t="n">
        <f aca="false">IF($K88=1,COUNTIFS($L$5:$L$1517,"&gt;="&amp;L88,$K$5:$K$1517,1)/COUNTIF($L$5:$L$1517,"&gt;="&amp;L88),0)</f>
        <v>0.127744510978044</v>
      </c>
      <c r="V88" s="8" t="n">
        <f aca="false">IF($K88=1,COUNTIFS($M$5:$M$1517,"&gt;="&amp;M88,$K$5:$K$1517,1)/COUNTIF($M$5:$M$1517,"&gt;="&amp;M88),0)</f>
        <v>0.12491738268341</v>
      </c>
      <c r="W88" s="8" t="n">
        <f aca="false">IF($K88=1,COUNTIFS($N$5:$N$1517,"&gt;="&amp;N88,$K$5:$K$1517,1)/COUNTIF($N$5:$N$1517,"&gt;="&amp;N88),0)</f>
        <v>0.30188679245283</v>
      </c>
      <c r="X88" s="8" t="n">
        <f aca="false">IF($K88=1,COUNTIFS($O$5:$O$1517,"&gt;="&amp;O88,$K$5:$K$1517,1)/COUNTIF($O$5:$O$1517,"&gt;="&amp;O88),0)</f>
        <v>0.12491738268341</v>
      </c>
      <c r="Y88" s="8" t="n">
        <f aca="false">IF($K88=1,COUNTIFS($P$5:$P$1517,"&gt;="&amp;P88,$K$5:$K$1517,1)/COUNTIF($P$5:$P$1517,"&gt;="&amp;P88),0)</f>
        <v>0.30188679245283</v>
      </c>
      <c r="Z88" s="8" t="n">
        <f aca="false">(L88-$K88)^2</f>
        <v>0.458671626009</v>
      </c>
      <c r="AA88" s="8" t="n">
        <f aca="false">(M88-$K88)^2</f>
        <v>0.824349595969</v>
      </c>
      <c r="AB88" s="8" t="n">
        <f aca="false">(N88-$K88)^2</f>
        <v>0.722530600324</v>
      </c>
      <c r="AC88" s="8" t="n">
        <f aca="false">(O88-$K88)^2</f>
        <v>0.798908829489</v>
      </c>
      <c r="AD88" s="8" t="n">
        <f aca="false">(P88-$K88)^2</f>
        <v>0.703353950244</v>
      </c>
      <c r="AE88" s="8" t="n">
        <f aca="false">MIN(INT(ROUND(N88*1000000,0)/100000),9)</f>
        <v>1</v>
      </c>
      <c r="AF88" s="8" t="n">
        <f aca="false">MIN(INT(ROUND(P88*1000000,0)/100000),9)</f>
        <v>1</v>
      </c>
    </row>
    <row r="89" customFormat="false" ht="15" hidden="false" customHeight="false" outlineLevel="0" collapsed="false">
      <c r="A89" s="4" t="n">
        <v>85</v>
      </c>
      <c r="B89" s="4" t="n">
        <v>443</v>
      </c>
      <c r="C89" s="4" t="n">
        <v>0</v>
      </c>
      <c r="D89" s="11" t="n">
        <v>46054</v>
      </c>
      <c r="E89" s="4" t="s">
        <v>203</v>
      </c>
      <c r="F89" s="4" t="s">
        <v>209</v>
      </c>
      <c r="G89" s="4" t="n">
        <v>3</v>
      </c>
      <c r="H89" s="4" t="n">
        <v>3</v>
      </c>
      <c r="I89" s="4" t="n">
        <v>0</v>
      </c>
      <c r="J89" s="4" t="n">
        <v>224.7</v>
      </c>
      <c r="K89" s="4" t="n">
        <v>0</v>
      </c>
      <c r="L89" s="12" t="n">
        <v>0.907897</v>
      </c>
      <c r="M89" s="12" t="n">
        <v>0.092063</v>
      </c>
      <c r="N89" s="12" t="n">
        <v>0.128476</v>
      </c>
      <c r="O89" s="12" t="n">
        <v>0.106183</v>
      </c>
      <c r="P89" s="12" t="n">
        <v>0.137452</v>
      </c>
      <c r="Q89" s="0" t="str">
        <f aca="false">IF(L89&gt;=Models!$G$5,1+COUNTIF($L$5:$L$1517,"&gt;"&amp;L89)+COUNTIFS($L$5:$L$1517,L89,$B$5:$B$1517,"&lt;"&amp;B89)+COUNTIFS($L$5:$L$1517,L89,$B$5:$B$1517,B89,$C$5:$C$1517,"&lt;"&amp;C89),"")</f>
        <v/>
      </c>
      <c r="R89" s="0" t="str">
        <f aca="false">IF(M89&gt;=Models!$G$6,1+COUNTIF($M$5:$M$1517,"&gt;"&amp;M89)+COUNTIFS($M$5:$M$1517,M89,$B$5:$B$1517,"&lt;"&amp;B89)+COUNTIFS($M$5:$M$1517,M89,$B$5:$B$1517,B89,$C$5:$C$1517,"&lt;"&amp;C89),"")</f>
        <v/>
      </c>
      <c r="S89" s="0" t="str">
        <f aca="false">IF(N89&gt;=Models!$G$7,1+COUNTIF($N$5:$N$1517,"&gt;"&amp;N89)+COUNTIFS($N$5:$N$1517,N89,$B$5:$B$1517,"&lt;"&amp;B89)+COUNTIFS($N$5:$N$1517,N89,$B$5:$B$1517,B89,$C$5:$C$1517,"&lt;"&amp;C89),"")</f>
        <v/>
      </c>
      <c r="T89" s="8" t="n">
        <f aca="false">IF(O89&gt;=Models!$G$8,1+COUNTIF($O$5:$O$1517,"&gt;"&amp;O89)+COUNTIFS($O$5:$O$1517,O89,$B$5:$B$1517,"&lt;"&amp;B89)+COUNTIFS($O$5:$O$1517,O89,$B$5:$B$1517,B89,$C$5:$C$1517,"&lt;"&amp;C89),"")</f>
        <v>319</v>
      </c>
      <c r="U89" s="8" t="n">
        <f aca="false">IF($K89=1,COUNTIFS($L$5:$L$1517,"&gt;="&amp;L89,$K$5:$K$1517,1)/COUNTIF($L$5:$L$1517,"&gt;="&amp;L89),0)</f>
        <v>0</v>
      </c>
      <c r="V89" s="8" t="n">
        <f aca="false">IF($K89=1,COUNTIFS($M$5:$M$1517,"&gt;="&amp;M89,$K$5:$K$1517,1)/COUNTIF($M$5:$M$1517,"&gt;="&amp;M89),0)</f>
        <v>0</v>
      </c>
      <c r="W89" s="8" t="n">
        <f aca="false">IF($K89=1,COUNTIFS($N$5:$N$1517,"&gt;="&amp;N89,$K$5:$K$1517,1)/COUNTIF($N$5:$N$1517,"&gt;="&amp;N89),0)</f>
        <v>0</v>
      </c>
      <c r="X89" s="8" t="n">
        <f aca="false">IF($K89=1,COUNTIFS($O$5:$O$1517,"&gt;="&amp;O89,$K$5:$K$1517,1)/COUNTIF($O$5:$O$1517,"&gt;="&amp;O89),0)</f>
        <v>0</v>
      </c>
      <c r="Y89" s="8" t="n">
        <f aca="false">IF($K89=1,COUNTIFS($P$5:$P$1517,"&gt;="&amp;P89,$K$5:$K$1517,1)/COUNTIF($P$5:$P$1517,"&gt;="&amp;P89),0)</f>
        <v>0</v>
      </c>
      <c r="Z89" s="8" t="n">
        <f aca="false">(L89-$K89)^2</f>
        <v>0.824276962609</v>
      </c>
      <c r="AA89" s="8" t="n">
        <f aca="false">(M89-$K89)^2</f>
        <v>0.008475595969</v>
      </c>
      <c r="AB89" s="8" t="n">
        <f aca="false">(N89-$K89)^2</f>
        <v>0.016506082576</v>
      </c>
      <c r="AC89" s="8" t="n">
        <f aca="false">(O89-$K89)^2</f>
        <v>0.011274829489</v>
      </c>
      <c r="AD89" s="8" t="n">
        <f aca="false">(P89-$K89)^2</f>
        <v>0.018893052304</v>
      </c>
      <c r="AE89" s="8" t="n">
        <f aca="false">MIN(INT(ROUND(N89*1000000,0)/100000),9)</f>
        <v>1</v>
      </c>
      <c r="AF89" s="8" t="n">
        <f aca="false">MIN(INT(ROUND(P89*1000000,0)/100000),9)</f>
        <v>1</v>
      </c>
    </row>
    <row r="90" customFormat="false" ht="15" hidden="false" customHeight="false" outlineLevel="0" collapsed="false">
      <c r="A90" s="4" t="n">
        <v>86</v>
      </c>
      <c r="B90" s="4" t="n">
        <v>445</v>
      </c>
      <c r="C90" s="4" t="n">
        <v>0</v>
      </c>
      <c r="D90" s="11" t="n">
        <v>46054</v>
      </c>
      <c r="E90" s="4" t="s">
        <v>203</v>
      </c>
      <c r="F90" s="4" t="s">
        <v>207</v>
      </c>
      <c r="G90" s="4" t="n">
        <v>6</v>
      </c>
      <c r="H90" s="4" t="n">
        <v>5</v>
      </c>
      <c r="I90" s="4" t="n">
        <v>0</v>
      </c>
      <c r="J90" s="4"/>
      <c r="K90" s="4" t="n">
        <v>0</v>
      </c>
      <c r="L90" s="12" t="n">
        <v>0.291705</v>
      </c>
      <c r="M90" s="12" t="n">
        <v>0.092063</v>
      </c>
      <c r="N90" s="12" t="n">
        <v>0.051574</v>
      </c>
      <c r="O90" s="12" t="n">
        <v>0.106183</v>
      </c>
      <c r="P90" s="12" t="n">
        <v>0.053083</v>
      </c>
      <c r="Q90" s="0" t="str">
        <f aca="false">IF(L90&gt;=Models!$G$5,1+COUNTIF($L$5:$L$1517,"&gt;"&amp;L90)+COUNTIFS($L$5:$L$1517,L90,$B$5:$B$1517,"&lt;"&amp;B90)+COUNTIFS($L$5:$L$1517,L90,$B$5:$B$1517,B90,$C$5:$C$1517,"&lt;"&amp;C90),"")</f>
        <v/>
      </c>
      <c r="R90" s="0" t="str">
        <f aca="false">IF(M90&gt;=Models!$G$6,1+COUNTIF($M$5:$M$1517,"&gt;"&amp;M90)+COUNTIFS($M$5:$M$1517,M90,$B$5:$B$1517,"&lt;"&amp;B90)+COUNTIFS($M$5:$M$1517,M90,$B$5:$B$1517,B90,$C$5:$C$1517,"&lt;"&amp;C90),"")</f>
        <v/>
      </c>
      <c r="S90" s="0" t="str">
        <f aca="false">IF(N90&gt;=Models!$G$7,1+COUNTIF($N$5:$N$1517,"&gt;"&amp;N90)+COUNTIFS($N$5:$N$1517,N90,$B$5:$B$1517,"&lt;"&amp;B90)+COUNTIFS($N$5:$N$1517,N90,$B$5:$B$1517,B90,$C$5:$C$1517,"&lt;"&amp;C90),"")</f>
        <v/>
      </c>
      <c r="T90" s="8" t="n">
        <f aca="false">IF(O90&gt;=Models!$G$8,1+COUNTIF($O$5:$O$1517,"&gt;"&amp;O90)+COUNTIFS($O$5:$O$1517,O90,$B$5:$B$1517,"&lt;"&amp;B90)+COUNTIFS($O$5:$O$1517,O90,$B$5:$B$1517,B90,$C$5:$C$1517,"&lt;"&amp;C90),"")</f>
        <v>323</v>
      </c>
      <c r="U90" s="8" t="n">
        <f aca="false">IF($K90=1,COUNTIFS($L$5:$L$1517,"&gt;="&amp;L90,$K$5:$K$1517,1)/COUNTIF($L$5:$L$1517,"&gt;="&amp;L90),0)</f>
        <v>0</v>
      </c>
      <c r="V90" s="8" t="n">
        <f aca="false">IF($K90=1,COUNTIFS($M$5:$M$1517,"&gt;="&amp;M90,$K$5:$K$1517,1)/COUNTIF($M$5:$M$1517,"&gt;="&amp;M90),0)</f>
        <v>0</v>
      </c>
      <c r="W90" s="8" t="n">
        <f aca="false">IF($K90=1,COUNTIFS($N$5:$N$1517,"&gt;="&amp;N90,$K$5:$K$1517,1)/COUNTIF($N$5:$N$1517,"&gt;="&amp;N90),0)</f>
        <v>0</v>
      </c>
      <c r="X90" s="8" t="n">
        <f aca="false">IF($K90=1,COUNTIFS($O$5:$O$1517,"&gt;="&amp;O90,$K$5:$K$1517,1)/COUNTIF($O$5:$O$1517,"&gt;="&amp;O90),0)</f>
        <v>0</v>
      </c>
      <c r="Y90" s="8" t="n">
        <f aca="false">IF($K90=1,COUNTIFS($P$5:$P$1517,"&gt;="&amp;P90,$K$5:$K$1517,1)/COUNTIF($P$5:$P$1517,"&gt;="&amp;P90),0)</f>
        <v>0</v>
      </c>
      <c r="Z90" s="8" t="n">
        <f aca="false">(L90-$K90)^2</f>
        <v>0.085091807025</v>
      </c>
      <c r="AA90" s="8" t="n">
        <f aca="false">(M90-$K90)^2</f>
        <v>0.008475595969</v>
      </c>
      <c r="AB90" s="8" t="n">
        <f aca="false">(N90-$K90)^2</f>
        <v>0.002659877476</v>
      </c>
      <c r="AC90" s="8" t="n">
        <f aca="false">(O90-$K90)^2</f>
        <v>0.011274829489</v>
      </c>
      <c r="AD90" s="8" t="n">
        <f aca="false">(P90-$K90)^2</f>
        <v>0.002817804889</v>
      </c>
      <c r="AE90" s="8" t="n">
        <f aca="false">MIN(INT(ROUND(N90*1000000,0)/100000),9)</f>
        <v>0</v>
      </c>
      <c r="AF90" s="8" t="n">
        <f aca="false">MIN(INT(ROUND(P90*1000000,0)/100000),9)</f>
        <v>0</v>
      </c>
    </row>
    <row r="91" customFormat="false" ht="15" hidden="false" customHeight="false" outlineLevel="0" collapsed="false">
      <c r="A91" s="4" t="n">
        <v>87</v>
      </c>
      <c r="B91" s="4" t="n">
        <v>450</v>
      </c>
      <c r="C91" s="4" t="n">
        <v>0</v>
      </c>
      <c r="D91" s="11" t="n">
        <v>46054</v>
      </c>
      <c r="E91" s="4" t="s">
        <v>203</v>
      </c>
      <c r="F91" s="4" t="s">
        <v>206</v>
      </c>
      <c r="G91" s="4" t="n">
        <v>4</v>
      </c>
      <c r="H91" s="4" t="n">
        <v>6</v>
      </c>
      <c r="I91" s="4" t="n">
        <v>0</v>
      </c>
      <c r="J91" s="4" t="n">
        <v>375</v>
      </c>
      <c r="K91" s="4" t="n">
        <v>0</v>
      </c>
      <c r="L91" s="12" t="n">
        <v>0.876785</v>
      </c>
      <c r="M91" s="12" t="n">
        <v>0.092063</v>
      </c>
      <c r="N91" s="12" t="n">
        <v>0.120402</v>
      </c>
      <c r="O91" s="12" t="n">
        <v>0.106183</v>
      </c>
      <c r="P91" s="12" t="n">
        <v>0.128501</v>
      </c>
      <c r="Q91" s="0" t="str">
        <f aca="false">IF(L91&gt;=Models!$G$5,1+COUNTIF($L$5:$L$1517,"&gt;"&amp;L91)+COUNTIFS($L$5:$L$1517,L91,$B$5:$B$1517,"&lt;"&amp;B91)+COUNTIFS($L$5:$L$1517,L91,$B$5:$B$1517,B91,$C$5:$C$1517,"&lt;"&amp;C91),"")</f>
        <v/>
      </c>
      <c r="R91" s="0" t="str">
        <f aca="false">IF(M91&gt;=Models!$G$6,1+COUNTIF($M$5:$M$1517,"&gt;"&amp;M91)+COUNTIFS($M$5:$M$1517,M91,$B$5:$B$1517,"&lt;"&amp;B91)+COUNTIFS($M$5:$M$1517,M91,$B$5:$B$1517,B91,$C$5:$C$1517,"&lt;"&amp;C91),"")</f>
        <v/>
      </c>
      <c r="S91" s="0" t="str">
        <f aca="false">IF(N91&gt;=Models!$G$7,1+COUNTIF($N$5:$N$1517,"&gt;"&amp;N91)+COUNTIFS($N$5:$N$1517,N91,$B$5:$B$1517,"&lt;"&amp;B91)+COUNTIFS($N$5:$N$1517,N91,$B$5:$B$1517,B91,$C$5:$C$1517,"&lt;"&amp;C91),"")</f>
        <v/>
      </c>
      <c r="T91" s="8" t="n">
        <f aca="false">IF(O91&gt;=Models!$G$8,1+COUNTIF($O$5:$O$1517,"&gt;"&amp;O91)+COUNTIFS($O$5:$O$1517,O91,$B$5:$B$1517,"&lt;"&amp;B91)+COUNTIFS($O$5:$O$1517,O91,$B$5:$B$1517,B91,$C$5:$C$1517,"&lt;"&amp;C91),"")</f>
        <v>327</v>
      </c>
      <c r="U91" s="8" t="n">
        <f aca="false">IF($K91=1,COUNTIFS($L$5:$L$1517,"&gt;="&amp;L91,$K$5:$K$1517,1)/COUNTIF($L$5:$L$1517,"&gt;="&amp;L91),0)</f>
        <v>0</v>
      </c>
      <c r="V91" s="8" t="n">
        <f aca="false">IF($K91=1,COUNTIFS($M$5:$M$1517,"&gt;="&amp;M91,$K$5:$K$1517,1)/COUNTIF($M$5:$M$1517,"&gt;="&amp;M91),0)</f>
        <v>0</v>
      </c>
      <c r="W91" s="8" t="n">
        <f aca="false">IF($K91=1,COUNTIFS($N$5:$N$1517,"&gt;="&amp;N91,$K$5:$K$1517,1)/COUNTIF($N$5:$N$1517,"&gt;="&amp;N91),0)</f>
        <v>0</v>
      </c>
      <c r="X91" s="8" t="n">
        <f aca="false">IF($K91=1,COUNTIFS($O$5:$O$1517,"&gt;="&amp;O91,$K$5:$K$1517,1)/COUNTIF($O$5:$O$1517,"&gt;="&amp;O91),0)</f>
        <v>0</v>
      </c>
      <c r="Y91" s="8" t="n">
        <f aca="false">IF($K91=1,COUNTIFS($P$5:$P$1517,"&gt;="&amp;P91,$K$5:$K$1517,1)/COUNTIF($P$5:$P$1517,"&gt;="&amp;P91),0)</f>
        <v>0</v>
      </c>
      <c r="Z91" s="8" t="n">
        <f aca="false">(L91-$K91)^2</f>
        <v>0.768751936225</v>
      </c>
      <c r="AA91" s="8" t="n">
        <f aca="false">(M91-$K91)^2</f>
        <v>0.008475595969</v>
      </c>
      <c r="AB91" s="8" t="n">
        <f aca="false">(N91-$K91)^2</f>
        <v>0.014496641604</v>
      </c>
      <c r="AC91" s="8" t="n">
        <f aca="false">(O91-$K91)^2</f>
        <v>0.011274829489</v>
      </c>
      <c r="AD91" s="8" t="n">
        <f aca="false">(P91-$K91)^2</f>
        <v>0.016512507001</v>
      </c>
      <c r="AE91" s="8" t="n">
        <f aca="false">MIN(INT(ROUND(N91*1000000,0)/100000),9)</f>
        <v>1</v>
      </c>
      <c r="AF91" s="8" t="n">
        <f aca="false">MIN(INT(ROUND(P91*1000000,0)/100000),9)</f>
        <v>1</v>
      </c>
    </row>
    <row r="92" customFormat="false" ht="15" hidden="false" customHeight="false" outlineLevel="0" collapsed="false">
      <c r="A92" s="4" t="n">
        <v>88</v>
      </c>
      <c r="B92" s="4" t="n">
        <v>461</v>
      </c>
      <c r="C92" s="4" t="n">
        <v>0</v>
      </c>
      <c r="D92" s="11" t="n">
        <v>46054</v>
      </c>
      <c r="E92" s="4" t="s">
        <v>204</v>
      </c>
      <c r="F92" s="4" t="s">
        <v>206</v>
      </c>
      <c r="G92" s="4" t="n">
        <v>2</v>
      </c>
      <c r="H92" s="4" t="n">
        <v>6</v>
      </c>
      <c r="I92" s="4" t="n">
        <v>0</v>
      </c>
      <c r="J92" s="4" t="n">
        <v>90</v>
      </c>
      <c r="K92" s="4" t="n">
        <v>0</v>
      </c>
      <c r="L92" s="12" t="n">
        <v>0.396561</v>
      </c>
      <c r="M92" s="12" t="n">
        <v>0.092063</v>
      </c>
      <c r="N92" s="12" t="n">
        <v>0.142816</v>
      </c>
      <c r="O92" s="12" t="n">
        <v>0.106183</v>
      </c>
      <c r="P92" s="12" t="n">
        <v>0.153372</v>
      </c>
      <c r="Q92" s="0" t="str">
        <f aca="false">IF(L92&gt;=Models!$G$5,1+COUNTIF($L$5:$L$1517,"&gt;"&amp;L92)+COUNTIFS($L$5:$L$1517,L92,$B$5:$B$1517,"&lt;"&amp;B92)+COUNTIFS($L$5:$L$1517,L92,$B$5:$B$1517,B92,$C$5:$C$1517,"&lt;"&amp;C92),"")</f>
        <v/>
      </c>
      <c r="R92" s="0" t="str">
        <f aca="false">IF(M92&gt;=Models!$G$6,1+COUNTIF($M$5:$M$1517,"&gt;"&amp;M92)+COUNTIFS($M$5:$M$1517,M92,$B$5:$B$1517,"&lt;"&amp;B92)+COUNTIFS($M$5:$M$1517,M92,$B$5:$B$1517,B92,$C$5:$C$1517,"&lt;"&amp;C92),"")</f>
        <v/>
      </c>
      <c r="S92" s="0" t="str">
        <f aca="false">IF(N92&gt;=Models!$G$7,1+COUNTIF($N$5:$N$1517,"&gt;"&amp;N92)+COUNTIFS($N$5:$N$1517,N92,$B$5:$B$1517,"&lt;"&amp;B92)+COUNTIFS($N$5:$N$1517,N92,$B$5:$B$1517,B92,$C$5:$C$1517,"&lt;"&amp;C92),"")</f>
        <v/>
      </c>
      <c r="T92" s="8" t="n">
        <f aca="false">IF(O92&gt;=Models!$G$8,1+COUNTIF($O$5:$O$1517,"&gt;"&amp;O92)+COUNTIFS($O$5:$O$1517,O92,$B$5:$B$1517,"&lt;"&amp;B92)+COUNTIFS($O$5:$O$1517,O92,$B$5:$B$1517,B92,$C$5:$C$1517,"&lt;"&amp;C92),"")</f>
        <v>331</v>
      </c>
      <c r="U92" s="8" t="n">
        <f aca="false">IF($K92=1,COUNTIFS($L$5:$L$1517,"&gt;="&amp;L92,$K$5:$K$1517,1)/COUNTIF($L$5:$L$1517,"&gt;="&amp;L92),0)</f>
        <v>0</v>
      </c>
      <c r="V92" s="8" t="n">
        <f aca="false">IF($K92=1,COUNTIFS($M$5:$M$1517,"&gt;="&amp;M92,$K$5:$K$1517,1)/COUNTIF($M$5:$M$1517,"&gt;="&amp;M92),0)</f>
        <v>0</v>
      </c>
      <c r="W92" s="8" t="n">
        <f aca="false">IF($K92=1,COUNTIFS($N$5:$N$1517,"&gt;="&amp;N92,$K$5:$K$1517,1)/COUNTIF($N$5:$N$1517,"&gt;="&amp;N92),0)</f>
        <v>0</v>
      </c>
      <c r="X92" s="8" t="n">
        <f aca="false">IF($K92=1,COUNTIFS($O$5:$O$1517,"&gt;="&amp;O92,$K$5:$K$1517,1)/COUNTIF($O$5:$O$1517,"&gt;="&amp;O92),0)</f>
        <v>0</v>
      </c>
      <c r="Y92" s="8" t="n">
        <f aca="false">IF($K92=1,COUNTIFS($P$5:$P$1517,"&gt;="&amp;P92,$K$5:$K$1517,1)/COUNTIF($P$5:$P$1517,"&gt;="&amp;P92),0)</f>
        <v>0</v>
      </c>
      <c r="Z92" s="8" t="n">
        <f aca="false">(L92-$K92)^2</f>
        <v>0.157260626721</v>
      </c>
      <c r="AA92" s="8" t="n">
        <f aca="false">(M92-$K92)^2</f>
        <v>0.008475595969</v>
      </c>
      <c r="AB92" s="8" t="n">
        <f aca="false">(N92-$K92)^2</f>
        <v>0.020396409856</v>
      </c>
      <c r="AC92" s="8" t="n">
        <f aca="false">(O92-$K92)^2</f>
        <v>0.011274829489</v>
      </c>
      <c r="AD92" s="8" t="n">
        <f aca="false">(P92-$K92)^2</f>
        <v>0.023522970384</v>
      </c>
      <c r="AE92" s="8" t="n">
        <f aca="false">MIN(INT(ROUND(N92*1000000,0)/100000),9)</f>
        <v>1</v>
      </c>
      <c r="AF92" s="8" t="n">
        <f aca="false">MIN(INT(ROUND(P92*1000000,0)/100000),9)</f>
        <v>1</v>
      </c>
    </row>
    <row r="93" customFormat="false" ht="15" hidden="false" customHeight="false" outlineLevel="0" collapsed="false">
      <c r="A93" s="4" t="n">
        <v>89</v>
      </c>
      <c r="B93" s="4" t="n">
        <v>462</v>
      </c>
      <c r="C93" s="4" t="n">
        <v>0</v>
      </c>
      <c r="D93" s="11" t="n">
        <v>46054</v>
      </c>
      <c r="E93" s="4" t="s">
        <v>203</v>
      </c>
      <c r="F93" s="4" t="s">
        <v>210</v>
      </c>
      <c r="G93" s="4" t="n">
        <v>0</v>
      </c>
      <c r="H93" s="4" t="n">
        <v>35</v>
      </c>
      <c r="I93" s="4" t="n">
        <v>0</v>
      </c>
      <c r="J93" s="4" t="n">
        <v>408</v>
      </c>
      <c r="K93" s="4" t="n">
        <v>0</v>
      </c>
      <c r="L93" s="12" t="n">
        <v>0.08274</v>
      </c>
      <c r="M93" s="12" t="n">
        <v>0.184211</v>
      </c>
      <c r="N93" s="12" t="n">
        <v>0.19894</v>
      </c>
      <c r="O93" s="12" t="n">
        <v>0.106183</v>
      </c>
      <c r="P93" s="12" t="n">
        <v>0.215812</v>
      </c>
      <c r="Q93" s="0" t="str">
        <f aca="false">IF(L93&gt;=Models!$G$5,1+COUNTIF($L$5:$L$1517,"&gt;"&amp;L93)+COUNTIFS($L$5:$L$1517,L93,$B$5:$B$1517,"&lt;"&amp;B93)+COUNTIFS($L$5:$L$1517,L93,$B$5:$B$1517,B93,$C$5:$C$1517,"&lt;"&amp;C93),"")</f>
        <v/>
      </c>
      <c r="R93" s="8" t="n">
        <f aca="false">IF(M93&gt;=Models!$G$6,1+COUNTIF($M$5:$M$1517,"&gt;"&amp;M93)+COUNTIFS($M$5:$M$1517,M93,$B$5:$B$1517,"&lt;"&amp;B93)+COUNTIFS($M$5:$M$1517,M93,$B$5:$B$1517,B93,$C$5:$C$1517,"&lt;"&amp;C93),"")</f>
        <v>39</v>
      </c>
      <c r="S93" s="0" t="str">
        <f aca="false">IF(N93&gt;=Models!$G$7,1+COUNTIF($N$5:$N$1517,"&gt;"&amp;N93)+COUNTIFS($N$5:$N$1517,N93,$B$5:$B$1517,"&lt;"&amp;B93)+COUNTIFS($N$5:$N$1517,N93,$B$5:$B$1517,B93,$C$5:$C$1517,"&lt;"&amp;C93),"")</f>
        <v/>
      </c>
      <c r="T93" s="8" t="n">
        <f aca="false">IF(O93&gt;=Models!$G$8,1+COUNTIF($O$5:$O$1517,"&gt;"&amp;O93)+COUNTIFS($O$5:$O$1517,O93,$B$5:$B$1517,"&lt;"&amp;B93)+COUNTIFS($O$5:$O$1517,O93,$B$5:$B$1517,B93,$C$5:$C$1517,"&lt;"&amp;C93),"")</f>
        <v>335</v>
      </c>
      <c r="U93" s="8" t="n">
        <f aca="false">IF($K93=1,COUNTIFS($L$5:$L$1517,"&gt;="&amp;L93,$K$5:$K$1517,1)/COUNTIF($L$5:$L$1517,"&gt;="&amp;L93),0)</f>
        <v>0</v>
      </c>
      <c r="V93" s="8" t="n">
        <f aca="false">IF($K93=1,COUNTIFS($M$5:$M$1517,"&gt;="&amp;M93,$K$5:$K$1517,1)/COUNTIF($M$5:$M$1517,"&gt;="&amp;M93),0)</f>
        <v>0</v>
      </c>
      <c r="W93" s="8" t="n">
        <f aca="false">IF($K93=1,COUNTIFS($N$5:$N$1517,"&gt;="&amp;N93,$K$5:$K$1517,1)/COUNTIF($N$5:$N$1517,"&gt;="&amp;N93),0)</f>
        <v>0</v>
      </c>
      <c r="X93" s="8" t="n">
        <f aca="false">IF($K93=1,COUNTIFS($O$5:$O$1517,"&gt;="&amp;O93,$K$5:$K$1517,1)/COUNTIF($O$5:$O$1517,"&gt;="&amp;O93),0)</f>
        <v>0</v>
      </c>
      <c r="Y93" s="8" t="n">
        <f aca="false">IF($K93=1,COUNTIFS($P$5:$P$1517,"&gt;="&amp;P93,$K$5:$K$1517,1)/COUNTIF($P$5:$P$1517,"&gt;="&amp;P93),0)</f>
        <v>0</v>
      </c>
      <c r="Z93" s="8" t="n">
        <f aca="false">(L93-$K93)^2</f>
        <v>0.0068459076</v>
      </c>
      <c r="AA93" s="8" t="n">
        <f aca="false">(M93-$K93)^2</f>
        <v>0.033933692521</v>
      </c>
      <c r="AB93" s="8" t="n">
        <f aca="false">(N93-$K93)^2</f>
        <v>0.0395771236</v>
      </c>
      <c r="AC93" s="8" t="n">
        <f aca="false">(O93-$K93)^2</f>
        <v>0.011274829489</v>
      </c>
      <c r="AD93" s="8" t="n">
        <f aca="false">(P93-$K93)^2</f>
        <v>0.046574819344</v>
      </c>
      <c r="AE93" s="8" t="n">
        <f aca="false">MIN(INT(ROUND(N93*1000000,0)/100000),9)</f>
        <v>1</v>
      </c>
      <c r="AF93" s="8" t="n">
        <f aca="false">MIN(INT(ROUND(P93*1000000,0)/100000),9)</f>
        <v>2</v>
      </c>
    </row>
    <row r="94" customFormat="false" ht="15" hidden="false" customHeight="false" outlineLevel="0" collapsed="false">
      <c r="A94" s="4" t="n">
        <v>90</v>
      </c>
      <c r="B94" s="4" t="n">
        <v>463</v>
      </c>
      <c r="C94" s="4" t="n">
        <v>0</v>
      </c>
      <c r="D94" s="11" t="n">
        <v>46054</v>
      </c>
      <c r="E94" s="4" t="s">
        <v>204</v>
      </c>
      <c r="F94" s="4" t="s">
        <v>206</v>
      </c>
      <c r="G94" s="4" t="n">
        <v>1</v>
      </c>
      <c r="H94" s="4" t="n">
        <v>28</v>
      </c>
      <c r="I94" s="4" t="n">
        <v>0</v>
      </c>
      <c r="J94" s="4"/>
      <c r="K94" s="4" t="n">
        <v>0</v>
      </c>
      <c r="L94" s="12" t="n">
        <v>0.755058</v>
      </c>
      <c r="M94" s="12" t="n">
        <v>0.092063</v>
      </c>
      <c r="N94" s="12" t="n">
        <v>0.093354</v>
      </c>
      <c r="O94" s="12" t="n">
        <v>0.106183</v>
      </c>
      <c r="P94" s="12" t="n">
        <v>0.09863</v>
      </c>
      <c r="Q94" s="0" t="str">
        <f aca="false">IF(L94&gt;=Models!$G$5,1+COUNTIF($L$5:$L$1517,"&gt;"&amp;L94)+COUNTIFS($L$5:$L$1517,L94,$B$5:$B$1517,"&lt;"&amp;B94)+COUNTIFS($L$5:$L$1517,L94,$B$5:$B$1517,B94,$C$5:$C$1517,"&lt;"&amp;C94),"")</f>
        <v/>
      </c>
      <c r="R94" s="0" t="str">
        <f aca="false">IF(M94&gt;=Models!$G$6,1+COUNTIF($M$5:$M$1517,"&gt;"&amp;M94)+COUNTIFS($M$5:$M$1517,M94,$B$5:$B$1517,"&lt;"&amp;B94)+COUNTIFS($M$5:$M$1517,M94,$B$5:$B$1517,B94,$C$5:$C$1517,"&lt;"&amp;C94),"")</f>
        <v/>
      </c>
      <c r="S94" s="0" t="str">
        <f aca="false">IF(N94&gt;=Models!$G$7,1+COUNTIF($N$5:$N$1517,"&gt;"&amp;N94)+COUNTIFS($N$5:$N$1517,N94,$B$5:$B$1517,"&lt;"&amp;B94)+COUNTIFS($N$5:$N$1517,N94,$B$5:$B$1517,B94,$C$5:$C$1517,"&lt;"&amp;C94),"")</f>
        <v/>
      </c>
      <c r="T94" s="8" t="n">
        <f aca="false">IF(O94&gt;=Models!$G$8,1+COUNTIF($O$5:$O$1517,"&gt;"&amp;O94)+COUNTIFS($O$5:$O$1517,O94,$B$5:$B$1517,"&lt;"&amp;B94)+COUNTIFS($O$5:$O$1517,O94,$B$5:$B$1517,B94,$C$5:$C$1517,"&lt;"&amp;C94),"")</f>
        <v>339</v>
      </c>
      <c r="U94" s="8" t="n">
        <f aca="false">IF($K94=1,COUNTIFS($L$5:$L$1517,"&gt;="&amp;L94,$K$5:$K$1517,1)/COUNTIF($L$5:$L$1517,"&gt;="&amp;L94),0)</f>
        <v>0</v>
      </c>
      <c r="V94" s="8" t="n">
        <f aca="false">IF($K94=1,COUNTIFS($M$5:$M$1517,"&gt;="&amp;M94,$K$5:$K$1517,1)/COUNTIF($M$5:$M$1517,"&gt;="&amp;M94),0)</f>
        <v>0</v>
      </c>
      <c r="W94" s="8" t="n">
        <f aca="false">IF($K94=1,COUNTIFS($N$5:$N$1517,"&gt;="&amp;N94,$K$5:$K$1517,1)/COUNTIF($N$5:$N$1517,"&gt;="&amp;N94),0)</f>
        <v>0</v>
      </c>
      <c r="X94" s="8" t="n">
        <f aca="false">IF($K94=1,COUNTIFS($O$5:$O$1517,"&gt;="&amp;O94,$K$5:$K$1517,1)/COUNTIF($O$5:$O$1517,"&gt;="&amp;O94),0)</f>
        <v>0</v>
      </c>
      <c r="Y94" s="8" t="n">
        <f aca="false">IF($K94=1,COUNTIFS($P$5:$P$1517,"&gt;="&amp;P94,$K$5:$K$1517,1)/COUNTIF($P$5:$P$1517,"&gt;="&amp;P94),0)</f>
        <v>0</v>
      </c>
      <c r="Z94" s="8" t="n">
        <f aca="false">(L94-$K94)^2</f>
        <v>0.570112583364</v>
      </c>
      <c r="AA94" s="8" t="n">
        <f aca="false">(M94-$K94)^2</f>
        <v>0.008475595969</v>
      </c>
      <c r="AB94" s="8" t="n">
        <f aca="false">(N94-$K94)^2</f>
        <v>0.008714969316</v>
      </c>
      <c r="AC94" s="8" t="n">
        <f aca="false">(O94-$K94)^2</f>
        <v>0.011274829489</v>
      </c>
      <c r="AD94" s="8" t="n">
        <f aca="false">(P94-$K94)^2</f>
        <v>0.0097278769</v>
      </c>
      <c r="AE94" s="8" t="n">
        <f aca="false">MIN(INT(ROUND(N94*1000000,0)/100000),9)</f>
        <v>0</v>
      </c>
      <c r="AF94" s="8" t="n">
        <f aca="false">MIN(INT(ROUND(P94*1000000,0)/100000),9)</f>
        <v>0</v>
      </c>
    </row>
    <row r="95" customFormat="false" ht="15" hidden="false" customHeight="false" outlineLevel="0" collapsed="false">
      <c r="A95" s="4" t="n">
        <v>91</v>
      </c>
      <c r="B95" s="4" t="n">
        <v>466</v>
      </c>
      <c r="C95" s="4" t="n">
        <v>0</v>
      </c>
      <c r="D95" s="11" t="n">
        <v>46054</v>
      </c>
      <c r="E95" s="4" t="s">
        <v>202</v>
      </c>
      <c r="F95" s="4" t="s">
        <v>207</v>
      </c>
      <c r="G95" s="4" t="n">
        <v>15</v>
      </c>
      <c r="H95" s="4" t="n">
        <v>1</v>
      </c>
      <c r="I95" s="4" t="n">
        <v>0</v>
      </c>
      <c r="J95" s="4"/>
      <c r="K95" s="4" t="n">
        <v>0</v>
      </c>
      <c r="L95" s="12" t="n">
        <v>0.869415</v>
      </c>
      <c r="M95" s="12" t="n">
        <v>0.092063</v>
      </c>
      <c r="N95" s="12" t="n">
        <v>0.022877</v>
      </c>
      <c r="O95" s="12" t="n">
        <v>0.106183</v>
      </c>
      <c r="P95" s="12" t="n">
        <v>0.022662</v>
      </c>
      <c r="Q95" s="0" t="str">
        <f aca="false">IF(L95&gt;=Models!$G$5,1+COUNTIF($L$5:$L$1517,"&gt;"&amp;L95)+COUNTIFS($L$5:$L$1517,L95,$B$5:$B$1517,"&lt;"&amp;B95)+COUNTIFS($L$5:$L$1517,L95,$B$5:$B$1517,B95,$C$5:$C$1517,"&lt;"&amp;C95),"")</f>
        <v/>
      </c>
      <c r="R95" s="0" t="str">
        <f aca="false">IF(M95&gt;=Models!$G$6,1+COUNTIF($M$5:$M$1517,"&gt;"&amp;M95)+COUNTIFS($M$5:$M$1517,M95,$B$5:$B$1517,"&lt;"&amp;B95)+COUNTIFS($M$5:$M$1517,M95,$B$5:$B$1517,B95,$C$5:$C$1517,"&lt;"&amp;C95),"")</f>
        <v/>
      </c>
      <c r="S95" s="0" t="str">
        <f aca="false">IF(N95&gt;=Models!$G$7,1+COUNTIF($N$5:$N$1517,"&gt;"&amp;N95)+COUNTIFS($N$5:$N$1517,N95,$B$5:$B$1517,"&lt;"&amp;B95)+COUNTIFS($N$5:$N$1517,N95,$B$5:$B$1517,B95,$C$5:$C$1517,"&lt;"&amp;C95),"")</f>
        <v/>
      </c>
      <c r="T95" s="8" t="n">
        <f aca="false">IF(O95&gt;=Models!$G$8,1+COUNTIF($O$5:$O$1517,"&gt;"&amp;O95)+COUNTIFS($O$5:$O$1517,O95,$B$5:$B$1517,"&lt;"&amp;B95)+COUNTIFS($O$5:$O$1517,O95,$B$5:$B$1517,B95,$C$5:$C$1517,"&lt;"&amp;C95),"")</f>
        <v>343</v>
      </c>
      <c r="U95" s="8" t="n">
        <f aca="false">IF($K95=1,COUNTIFS($L$5:$L$1517,"&gt;="&amp;L95,$K$5:$K$1517,1)/COUNTIF($L$5:$L$1517,"&gt;="&amp;L95),0)</f>
        <v>0</v>
      </c>
      <c r="V95" s="8" t="n">
        <f aca="false">IF($K95=1,COUNTIFS($M$5:$M$1517,"&gt;="&amp;M95,$K$5:$K$1517,1)/COUNTIF($M$5:$M$1517,"&gt;="&amp;M95),0)</f>
        <v>0</v>
      </c>
      <c r="W95" s="8" t="n">
        <f aca="false">IF($K95=1,COUNTIFS($N$5:$N$1517,"&gt;="&amp;N95,$K$5:$K$1517,1)/COUNTIF($N$5:$N$1517,"&gt;="&amp;N95),0)</f>
        <v>0</v>
      </c>
      <c r="X95" s="8" t="n">
        <f aca="false">IF($K95=1,COUNTIFS($O$5:$O$1517,"&gt;="&amp;O95,$K$5:$K$1517,1)/COUNTIF($O$5:$O$1517,"&gt;="&amp;O95),0)</f>
        <v>0</v>
      </c>
      <c r="Y95" s="8" t="n">
        <f aca="false">IF($K95=1,COUNTIFS($P$5:$P$1517,"&gt;="&amp;P95,$K$5:$K$1517,1)/COUNTIF($P$5:$P$1517,"&gt;="&amp;P95),0)</f>
        <v>0</v>
      </c>
      <c r="Z95" s="8" t="n">
        <f aca="false">(L95-$K95)^2</f>
        <v>0.755882442225</v>
      </c>
      <c r="AA95" s="8" t="n">
        <f aca="false">(M95-$K95)^2</f>
        <v>0.008475595969</v>
      </c>
      <c r="AB95" s="8" t="n">
        <f aca="false">(N95-$K95)^2</f>
        <v>0.000523357129</v>
      </c>
      <c r="AC95" s="8" t="n">
        <f aca="false">(O95-$K95)^2</f>
        <v>0.011274829489</v>
      </c>
      <c r="AD95" s="8" t="n">
        <f aca="false">(P95-$K95)^2</f>
        <v>0.000513566244</v>
      </c>
      <c r="AE95" s="8" t="n">
        <f aca="false">MIN(INT(ROUND(N95*1000000,0)/100000),9)</f>
        <v>0</v>
      </c>
      <c r="AF95" s="8" t="n">
        <f aca="false">MIN(INT(ROUND(P95*1000000,0)/100000),9)</f>
        <v>0</v>
      </c>
    </row>
    <row r="96" customFormat="false" ht="15" hidden="false" customHeight="false" outlineLevel="0" collapsed="false">
      <c r="A96" s="4" t="n">
        <v>92</v>
      </c>
      <c r="B96" s="4" t="n">
        <v>477</v>
      </c>
      <c r="C96" s="4" t="n">
        <v>0</v>
      </c>
      <c r="D96" s="11" t="n">
        <v>46054</v>
      </c>
      <c r="E96" s="4" t="s">
        <v>204</v>
      </c>
      <c r="F96" s="4" t="s">
        <v>206</v>
      </c>
      <c r="G96" s="4" t="n">
        <v>3</v>
      </c>
      <c r="H96" s="4" t="n">
        <v>20</v>
      </c>
      <c r="I96" s="4" t="n">
        <v>0</v>
      </c>
      <c r="J96" s="4"/>
      <c r="K96" s="4" t="n">
        <v>0</v>
      </c>
      <c r="L96" s="12" t="n">
        <v>0.668305</v>
      </c>
      <c r="M96" s="12" t="n">
        <v>0.092063</v>
      </c>
      <c r="N96" s="12" t="n">
        <v>0.074544</v>
      </c>
      <c r="O96" s="12" t="n">
        <v>0.106183</v>
      </c>
      <c r="P96" s="12" t="n">
        <v>0.078005</v>
      </c>
      <c r="Q96" s="0" t="str">
        <f aca="false">IF(L96&gt;=Models!$G$5,1+COUNTIF($L$5:$L$1517,"&gt;"&amp;L96)+COUNTIFS($L$5:$L$1517,L96,$B$5:$B$1517,"&lt;"&amp;B96)+COUNTIFS($L$5:$L$1517,L96,$B$5:$B$1517,B96,$C$5:$C$1517,"&lt;"&amp;C96),"")</f>
        <v/>
      </c>
      <c r="R96" s="0" t="str">
        <f aca="false">IF(M96&gt;=Models!$G$6,1+COUNTIF($M$5:$M$1517,"&gt;"&amp;M96)+COUNTIFS($M$5:$M$1517,M96,$B$5:$B$1517,"&lt;"&amp;B96)+COUNTIFS($M$5:$M$1517,M96,$B$5:$B$1517,B96,$C$5:$C$1517,"&lt;"&amp;C96),"")</f>
        <v/>
      </c>
      <c r="S96" s="0" t="str">
        <f aca="false">IF(N96&gt;=Models!$G$7,1+COUNTIF($N$5:$N$1517,"&gt;"&amp;N96)+COUNTIFS($N$5:$N$1517,N96,$B$5:$B$1517,"&lt;"&amp;B96)+COUNTIFS($N$5:$N$1517,N96,$B$5:$B$1517,B96,$C$5:$C$1517,"&lt;"&amp;C96),"")</f>
        <v/>
      </c>
      <c r="T96" s="8" t="n">
        <f aca="false">IF(O96&gt;=Models!$G$8,1+COUNTIF($O$5:$O$1517,"&gt;"&amp;O96)+COUNTIFS($O$5:$O$1517,O96,$B$5:$B$1517,"&lt;"&amp;B96)+COUNTIFS($O$5:$O$1517,O96,$B$5:$B$1517,B96,$C$5:$C$1517,"&lt;"&amp;C96),"")</f>
        <v>347</v>
      </c>
      <c r="U96" s="8" t="n">
        <f aca="false">IF($K96=1,COUNTIFS($L$5:$L$1517,"&gt;="&amp;L96,$K$5:$K$1517,1)/COUNTIF($L$5:$L$1517,"&gt;="&amp;L96),0)</f>
        <v>0</v>
      </c>
      <c r="V96" s="8" t="n">
        <f aca="false">IF($K96=1,COUNTIFS($M$5:$M$1517,"&gt;="&amp;M96,$K$5:$K$1517,1)/COUNTIF($M$5:$M$1517,"&gt;="&amp;M96),0)</f>
        <v>0</v>
      </c>
      <c r="W96" s="8" t="n">
        <f aca="false">IF($K96=1,COUNTIFS($N$5:$N$1517,"&gt;="&amp;N96,$K$5:$K$1517,1)/COUNTIF($N$5:$N$1517,"&gt;="&amp;N96),0)</f>
        <v>0</v>
      </c>
      <c r="X96" s="8" t="n">
        <f aca="false">IF($K96=1,COUNTIFS($O$5:$O$1517,"&gt;="&amp;O96,$K$5:$K$1517,1)/COUNTIF($O$5:$O$1517,"&gt;="&amp;O96),0)</f>
        <v>0</v>
      </c>
      <c r="Y96" s="8" t="n">
        <f aca="false">IF($K96=1,COUNTIFS($P$5:$P$1517,"&gt;="&amp;P96,$K$5:$K$1517,1)/COUNTIF($P$5:$P$1517,"&gt;="&amp;P96),0)</f>
        <v>0</v>
      </c>
      <c r="Z96" s="8" t="n">
        <f aca="false">(L96-$K96)^2</f>
        <v>0.446631573025</v>
      </c>
      <c r="AA96" s="8" t="n">
        <f aca="false">(M96-$K96)^2</f>
        <v>0.008475595969</v>
      </c>
      <c r="AB96" s="8" t="n">
        <f aca="false">(N96-$K96)^2</f>
        <v>0.005556807936</v>
      </c>
      <c r="AC96" s="8" t="n">
        <f aca="false">(O96-$K96)^2</f>
        <v>0.011274829489</v>
      </c>
      <c r="AD96" s="8" t="n">
        <f aca="false">(P96-$K96)^2</f>
        <v>0.006084780025</v>
      </c>
      <c r="AE96" s="8" t="n">
        <f aca="false">MIN(INT(ROUND(N96*1000000,0)/100000),9)</f>
        <v>0</v>
      </c>
      <c r="AF96" s="8" t="n">
        <f aca="false">MIN(INT(ROUND(P96*1000000,0)/100000),9)</f>
        <v>0</v>
      </c>
    </row>
    <row r="97" customFormat="false" ht="15" hidden="false" customHeight="false" outlineLevel="0" collapsed="false">
      <c r="A97" s="4" t="n">
        <v>93</v>
      </c>
      <c r="B97" s="4" t="n">
        <v>493</v>
      </c>
      <c r="C97" s="4" t="n">
        <v>0</v>
      </c>
      <c r="D97" s="11" t="n">
        <v>46054</v>
      </c>
      <c r="E97" s="4" t="s">
        <v>204</v>
      </c>
      <c r="F97" s="4" t="s">
        <v>208</v>
      </c>
      <c r="G97" s="4" t="n">
        <v>3</v>
      </c>
      <c r="H97" s="4" t="n">
        <v>1</v>
      </c>
      <c r="I97" s="4" t="n">
        <v>0</v>
      </c>
      <c r="J97" s="4" t="n">
        <v>81</v>
      </c>
      <c r="K97" s="4" t="n">
        <v>0</v>
      </c>
      <c r="L97" s="12" t="n">
        <v>0.994432</v>
      </c>
      <c r="M97" s="12" t="n">
        <v>0.092063</v>
      </c>
      <c r="N97" s="12" t="n">
        <v>0.127578</v>
      </c>
      <c r="O97" s="12" t="n">
        <v>0.106183</v>
      </c>
      <c r="P97" s="12" t="n">
        <v>0.136456</v>
      </c>
      <c r="Q97" s="8" t="n">
        <f aca="false">IF(L97&gt;=Models!$G$5,1+COUNTIF($L$5:$L$1517,"&gt;"&amp;L97)+COUNTIFS($L$5:$L$1517,L97,$B$5:$B$1517,"&lt;"&amp;B97)+COUNTIFS($L$5:$L$1517,L97,$B$5:$B$1517,B97,$C$5:$C$1517,"&lt;"&amp;C97),"")</f>
        <v>10</v>
      </c>
      <c r="R97" s="0" t="str">
        <f aca="false">IF(M97&gt;=Models!$G$6,1+COUNTIF($M$5:$M$1517,"&gt;"&amp;M97)+COUNTIFS($M$5:$M$1517,M97,$B$5:$B$1517,"&lt;"&amp;B97)+COUNTIFS($M$5:$M$1517,M97,$B$5:$B$1517,B97,$C$5:$C$1517,"&lt;"&amp;C97),"")</f>
        <v/>
      </c>
      <c r="S97" s="0" t="str">
        <f aca="false">IF(N97&gt;=Models!$G$7,1+COUNTIF($N$5:$N$1517,"&gt;"&amp;N97)+COUNTIFS($N$5:$N$1517,N97,$B$5:$B$1517,"&lt;"&amp;B97)+COUNTIFS($N$5:$N$1517,N97,$B$5:$B$1517,B97,$C$5:$C$1517,"&lt;"&amp;C97),"")</f>
        <v/>
      </c>
      <c r="T97" s="8" t="n">
        <f aca="false">IF(O97&gt;=Models!$G$8,1+COUNTIF($O$5:$O$1517,"&gt;"&amp;O97)+COUNTIFS($O$5:$O$1517,O97,$B$5:$B$1517,"&lt;"&amp;B97)+COUNTIFS($O$5:$O$1517,O97,$B$5:$B$1517,B97,$C$5:$C$1517,"&lt;"&amp;C97),"")</f>
        <v>351</v>
      </c>
      <c r="U97" s="8" t="n">
        <f aca="false">IF($K97=1,COUNTIFS($L$5:$L$1517,"&gt;="&amp;L97,$K$5:$K$1517,1)/COUNTIF($L$5:$L$1517,"&gt;="&amp;L97),0)</f>
        <v>0</v>
      </c>
      <c r="V97" s="8" t="n">
        <f aca="false">IF($K97=1,COUNTIFS($M$5:$M$1517,"&gt;="&amp;M97,$K$5:$K$1517,1)/COUNTIF($M$5:$M$1517,"&gt;="&amp;M97),0)</f>
        <v>0</v>
      </c>
      <c r="W97" s="8" t="n">
        <f aca="false">IF($K97=1,COUNTIFS($N$5:$N$1517,"&gt;="&amp;N97,$K$5:$K$1517,1)/COUNTIF($N$5:$N$1517,"&gt;="&amp;N97),0)</f>
        <v>0</v>
      </c>
      <c r="X97" s="8" t="n">
        <f aca="false">IF($K97=1,COUNTIFS($O$5:$O$1517,"&gt;="&amp;O97,$K$5:$K$1517,1)/COUNTIF($O$5:$O$1517,"&gt;="&amp;O97),0)</f>
        <v>0</v>
      </c>
      <c r="Y97" s="8" t="n">
        <f aca="false">IF($K97=1,COUNTIFS($P$5:$P$1517,"&gt;="&amp;P97,$K$5:$K$1517,1)/COUNTIF($P$5:$P$1517,"&gt;="&amp;P97),0)</f>
        <v>0</v>
      </c>
      <c r="Z97" s="8" t="n">
        <f aca="false">(L97-$K97)^2</f>
        <v>0.988895002624</v>
      </c>
      <c r="AA97" s="8" t="n">
        <f aca="false">(M97-$K97)^2</f>
        <v>0.008475595969</v>
      </c>
      <c r="AB97" s="8" t="n">
        <f aca="false">(N97-$K97)^2</f>
        <v>0.016276146084</v>
      </c>
      <c r="AC97" s="8" t="n">
        <f aca="false">(O97-$K97)^2</f>
        <v>0.011274829489</v>
      </c>
      <c r="AD97" s="8" t="n">
        <f aca="false">(P97-$K97)^2</f>
        <v>0.018620239936</v>
      </c>
      <c r="AE97" s="8" t="n">
        <f aca="false">MIN(INT(ROUND(N97*1000000,0)/100000),9)</f>
        <v>1</v>
      </c>
      <c r="AF97" s="8" t="n">
        <f aca="false">MIN(INT(ROUND(P97*1000000,0)/100000),9)</f>
        <v>1</v>
      </c>
    </row>
    <row r="98" customFormat="false" ht="15" hidden="false" customHeight="false" outlineLevel="0" collapsed="false">
      <c r="A98" s="4" t="n">
        <v>94</v>
      </c>
      <c r="B98" s="4" t="n">
        <v>494</v>
      </c>
      <c r="C98" s="4" t="n">
        <v>0</v>
      </c>
      <c r="D98" s="11" t="n">
        <v>46054</v>
      </c>
      <c r="E98" s="4" t="s">
        <v>204</v>
      </c>
      <c r="F98" s="4" t="s">
        <v>206</v>
      </c>
      <c r="G98" s="4" t="n">
        <v>1</v>
      </c>
      <c r="H98" s="4" t="n">
        <v>19</v>
      </c>
      <c r="I98" s="4" t="n">
        <v>0</v>
      </c>
      <c r="J98" s="4" t="n">
        <v>90</v>
      </c>
      <c r="K98" s="4" t="n">
        <v>1</v>
      </c>
      <c r="L98" s="12" t="n">
        <v>0.940316</v>
      </c>
      <c r="M98" s="12" t="n">
        <v>0.092063</v>
      </c>
      <c r="N98" s="12" t="n">
        <v>0.1686</v>
      </c>
      <c r="O98" s="12" t="n">
        <v>0.106183</v>
      </c>
      <c r="P98" s="12" t="n">
        <v>0.182049</v>
      </c>
      <c r="Q98" s="0" t="str">
        <f aca="false">IF(L98&gt;=Models!$G$5,1+COUNTIF($L$5:$L$1517,"&gt;"&amp;L98)+COUNTIFS($L$5:$L$1517,L98,$B$5:$B$1517,"&lt;"&amp;B98)+COUNTIFS($L$5:$L$1517,L98,$B$5:$B$1517,B98,$C$5:$C$1517,"&lt;"&amp;C98),"")</f>
        <v/>
      </c>
      <c r="R98" s="0" t="str">
        <f aca="false">IF(M98&gt;=Models!$G$6,1+COUNTIF($M$5:$M$1517,"&gt;"&amp;M98)+COUNTIFS($M$5:$M$1517,M98,$B$5:$B$1517,"&lt;"&amp;B98)+COUNTIFS($M$5:$M$1517,M98,$B$5:$B$1517,B98,$C$5:$C$1517,"&lt;"&amp;C98),"")</f>
        <v/>
      </c>
      <c r="S98" s="0" t="str">
        <f aca="false">IF(N98&gt;=Models!$G$7,1+COUNTIF($N$5:$N$1517,"&gt;"&amp;N98)+COUNTIFS($N$5:$N$1517,N98,$B$5:$B$1517,"&lt;"&amp;B98)+COUNTIFS($N$5:$N$1517,N98,$B$5:$B$1517,B98,$C$5:$C$1517,"&lt;"&amp;C98),"")</f>
        <v/>
      </c>
      <c r="T98" s="8" t="n">
        <f aca="false">IF(O98&gt;=Models!$G$8,1+COUNTIF($O$5:$O$1517,"&gt;"&amp;O98)+COUNTIFS($O$5:$O$1517,O98,$B$5:$B$1517,"&lt;"&amp;B98)+COUNTIFS($O$5:$O$1517,O98,$B$5:$B$1517,B98,$C$5:$C$1517,"&lt;"&amp;C98),"")</f>
        <v>355</v>
      </c>
      <c r="U98" s="8" t="n">
        <f aca="false">IF($K98=1,COUNTIFS($L$5:$L$1517,"&gt;="&amp;L98,$K$5:$K$1517,1)/COUNTIF($L$5:$L$1517,"&gt;="&amp;L98),0)</f>
        <v>0.0978260869565217</v>
      </c>
      <c r="V98" s="8" t="n">
        <f aca="false">IF($K98=1,COUNTIFS($M$5:$M$1517,"&gt;="&amp;M98,$K$5:$K$1517,1)/COUNTIF($M$5:$M$1517,"&gt;="&amp;M98),0)</f>
        <v>0.12491738268341</v>
      </c>
      <c r="W98" s="8" t="n">
        <f aca="false">IF($K98=1,COUNTIFS($N$5:$N$1517,"&gt;="&amp;N98,$K$5:$K$1517,1)/COUNTIF($N$5:$N$1517,"&gt;="&amp;N98),0)</f>
        <v>0.306451612903226</v>
      </c>
      <c r="X98" s="8" t="n">
        <f aca="false">IF($K98=1,COUNTIFS($O$5:$O$1517,"&gt;="&amp;O98,$K$5:$K$1517,1)/COUNTIF($O$5:$O$1517,"&gt;="&amp;O98),0)</f>
        <v>0.12491738268341</v>
      </c>
      <c r="Y98" s="8" t="n">
        <f aca="false">IF($K98=1,COUNTIFS($P$5:$P$1517,"&gt;="&amp;P98,$K$5:$K$1517,1)/COUNTIF($P$5:$P$1517,"&gt;="&amp;P98),0)</f>
        <v>0.306451612903226</v>
      </c>
      <c r="Z98" s="8" t="n">
        <f aca="false">(L98-$K98)^2</f>
        <v>0.003562179856</v>
      </c>
      <c r="AA98" s="8" t="n">
        <f aca="false">(M98-$K98)^2</f>
        <v>0.824349595969</v>
      </c>
      <c r="AB98" s="8" t="n">
        <f aca="false">(N98-$K98)^2</f>
        <v>0.69122596</v>
      </c>
      <c r="AC98" s="8" t="n">
        <f aca="false">(O98-$K98)^2</f>
        <v>0.798908829489</v>
      </c>
      <c r="AD98" s="8" t="n">
        <f aca="false">(P98-$K98)^2</f>
        <v>0.669043838401</v>
      </c>
      <c r="AE98" s="8" t="n">
        <f aca="false">MIN(INT(ROUND(N98*1000000,0)/100000),9)</f>
        <v>1</v>
      </c>
      <c r="AF98" s="8" t="n">
        <f aca="false">MIN(INT(ROUND(P98*1000000,0)/100000),9)</f>
        <v>1</v>
      </c>
    </row>
    <row r="99" customFormat="false" ht="15" hidden="false" customHeight="false" outlineLevel="0" collapsed="false">
      <c r="A99" s="4" t="n">
        <v>95</v>
      </c>
      <c r="B99" s="4" t="n">
        <v>496</v>
      </c>
      <c r="C99" s="4" t="n">
        <v>0</v>
      </c>
      <c r="D99" s="11" t="n">
        <v>46054</v>
      </c>
      <c r="E99" s="4" t="s">
        <v>204</v>
      </c>
      <c r="F99" s="4" t="s">
        <v>206</v>
      </c>
      <c r="G99" s="4" t="n">
        <v>1</v>
      </c>
      <c r="H99" s="4" t="n">
        <v>7</v>
      </c>
      <c r="I99" s="4" t="n">
        <v>0</v>
      </c>
      <c r="J99" s="4" t="n">
        <v>63</v>
      </c>
      <c r="K99" s="4" t="n">
        <v>0</v>
      </c>
      <c r="L99" s="12" t="n">
        <v>0.142963</v>
      </c>
      <c r="M99" s="12" t="n">
        <v>0.092063</v>
      </c>
      <c r="N99" s="12" t="n">
        <v>0.155468</v>
      </c>
      <c r="O99" s="12" t="n">
        <v>0.106183</v>
      </c>
      <c r="P99" s="12" t="n">
        <v>0.167438</v>
      </c>
      <c r="Q99" s="0" t="str">
        <f aca="false">IF(L99&gt;=Models!$G$5,1+COUNTIF($L$5:$L$1517,"&gt;"&amp;L99)+COUNTIFS($L$5:$L$1517,L99,$B$5:$B$1517,"&lt;"&amp;B99)+COUNTIFS($L$5:$L$1517,L99,$B$5:$B$1517,B99,$C$5:$C$1517,"&lt;"&amp;C99),"")</f>
        <v/>
      </c>
      <c r="R99" s="0" t="str">
        <f aca="false">IF(M99&gt;=Models!$G$6,1+COUNTIF($M$5:$M$1517,"&gt;"&amp;M99)+COUNTIFS($M$5:$M$1517,M99,$B$5:$B$1517,"&lt;"&amp;B99)+COUNTIFS($M$5:$M$1517,M99,$B$5:$B$1517,B99,$C$5:$C$1517,"&lt;"&amp;C99),"")</f>
        <v/>
      </c>
      <c r="S99" s="0" t="str">
        <f aca="false">IF(N99&gt;=Models!$G$7,1+COUNTIF($N$5:$N$1517,"&gt;"&amp;N99)+COUNTIFS($N$5:$N$1517,N99,$B$5:$B$1517,"&lt;"&amp;B99)+COUNTIFS($N$5:$N$1517,N99,$B$5:$B$1517,B99,$C$5:$C$1517,"&lt;"&amp;C99),"")</f>
        <v/>
      </c>
      <c r="T99" s="8" t="n">
        <f aca="false">IF(O99&gt;=Models!$G$8,1+COUNTIF($O$5:$O$1517,"&gt;"&amp;O99)+COUNTIFS($O$5:$O$1517,O99,$B$5:$B$1517,"&lt;"&amp;B99)+COUNTIFS($O$5:$O$1517,O99,$B$5:$B$1517,B99,$C$5:$C$1517,"&lt;"&amp;C99),"")</f>
        <v>358</v>
      </c>
      <c r="U99" s="8" t="n">
        <f aca="false">IF($K99=1,COUNTIFS($L$5:$L$1517,"&gt;="&amp;L99,$K$5:$K$1517,1)/COUNTIF($L$5:$L$1517,"&gt;="&amp;L99),0)</f>
        <v>0</v>
      </c>
      <c r="V99" s="8" t="n">
        <f aca="false">IF($K99=1,COUNTIFS($M$5:$M$1517,"&gt;="&amp;M99,$K$5:$K$1517,1)/COUNTIF($M$5:$M$1517,"&gt;="&amp;M99),0)</f>
        <v>0</v>
      </c>
      <c r="W99" s="8" t="n">
        <f aca="false">IF($K99=1,COUNTIFS($N$5:$N$1517,"&gt;="&amp;N99,$K$5:$K$1517,1)/COUNTIF($N$5:$N$1517,"&gt;="&amp;N99),0)</f>
        <v>0</v>
      </c>
      <c r="X99" s="8" t="n">
        <f aca="false">IF($K99=1,COUNTIFS($O$5:$O$1517,"&gt;="&amp;O99,$K$5:$K$1517,1)/COUNTIF($O$5:$O$1517,"&gt;="&amp;O99),0)</f>
        <v>0</v>
      </c>
      <c r="Y99" s="8" t="n">
        <f aca="false">IF($K99=1,COUNTIFS($P$5:$P$1517,"&gt;="&amp;P99,$K$5:$K$1517,1)/COUNTIF($P$5:$P$1517,"&gt;="&amp;P99),0)</f>
        <v>0</v>
      </c>
      <c r="Z99" s="8" t="n">
        <f aca="false">(L99-$K99)^2</f>
        <v>0.020438419369</v>
      </c>
      <c r="AA99" s="8" t="n">
        <f aca="false">(M99-$K99)^2</f>
        <v>0.008475595969</v>
      </c>
      <c r="AB99" s="8" t="n">
        <f aca="false">(N99-$K99)^2</f>
        <v>0.024170299024</v>
      </c>
      <c r="AC99" s="8" t="n">
        <f aca="false">(O99-$K99)^2</f>
        <v>0.011274829489</v>
      </c>
      <c r="AD99" s="8" t="n">
        <f aca="false">(P99-$K99)^2</f>
        <v>0.028035483844</v>
      </c>
      <c r="AE99" s="8" t="n">
        <f aca="false">MIN(INT(ROUND(N99*1000000,0)/100000),9)</f>
        <v>1</v>
      </c>
      <c r="AF99" s="8" t="n">
        <f aca="false">MIN(INT(ROUND(P99*1000000,0)/100000),9)</f>
        <v>1</v>
      </c>
    </row>
    <row r="100" customFormat="false" ht="15" hidden="false" customHeight="false" outlineLevel="0" collapsed="false">
      <c r="A100" s="4" t="n">
        <v>96</v>
      </c>
      <c r="B100" s="4" t="n">
        <v>497</v>
      </c>
      <c r="C100" s="4" t="n">
        <v>0</v>
      </c>
      <c r="D100" s="11" t="n">
        <v>46054</v>
      </c>
      <c r="E100" s="4" t="s">
        <v>203</v>
      </c>
      <c r="F100" s="4" t="s">
        <v>206</v>
      </c>
      <c r="G100" s="4" t="n">
        <v>4</v>
      </c>
      <c r="H100" s="4" t="n">
        <v>11</v>
      </c>
      <c r="I100" s="4" t="n">
        <v>0</v>
      </c>
      <c r="J100" s="4" t="n">
        <v>369</v>
      </c>
      <c r="K100" s="4" t="n">
        <v>0</v>
      </c>
      <c r="L100" s="12" t="n">
        <v>0.429696</v>
      </c>
      <c r="M100" s="12" t="n">
        <v>0.092063</v>
      </c>
      <c r="N100" s="12" t="n">
        <v>0.124847</v>
      </c>
      <c r="O100" s="12" t="n">
        <v>0.106183</v>
      </c>
      <c r="P100" s="12" t="n">
        <v>0.133427</v>
      </c>
      <c r="Q100" s="0" t="str">
        <f aca="false">IF(L100&gt;=Models!$G$5,1+COUNTIF($L$5:$L$1517,"&gt;"&amp;L100)+COUNTIFS($L$5:$L$1517,L100,$B$5:$B$1517,"&lt;"&amp;B100)+COUNTIFS($L$5:$L$1517,L100,$B$5:$B$1517,B100,$C$5:$C$1517,"&lt;"&amp;C100),"")</f>
        <v/>
      </c>
      <c r="R100" s="0" t="str">
        <f aca="false">IF(M100&gt;=Models!$G$6,1+COUNTIF($M$5:$M$1517,"&gt;"&amp;M100)+COUNTIFS($M$5:$M$1517,M100,$B$5:$B$1517,"&lt;"&amp;B100)+COUNTIFS($M$5:$M$1517,M100,$B$5:$B$1517,B100,$C$5:$C$1517,"&lt;"&amp;C100),"")</f>
        <v/>
      </c>
      <c r="S100" s="0" t="str">
        <f aca="false">IF(N100&gt;=Models!$G$7,1+COUNTIF($N$5:$N$1517,"&gt;"&amp;N100)+COUNTIFS($N$5:$N$1517,N100,$B$5:$B$1517,"&lt;"&amp;B100)+COUNTIFS($N$5:$N$1517,N100,$B$5:$B$1517,B100,$C$5:$C$1517,"&lt;"&amp;C100),"")</f>
        <v/>
      </c>
      <c r="T100" s="8" t="n">
        <f aca="false">IF(O100&gt;=Models!$G$8,1+COUNTIF($O$5:$O$1517,"&gt;"&amp;O100)+COUNTIFS($O$5:$O$1517,O100,$B$5:$B$1517,"&lt;"&amp;B100)+COUNTIFS($O$5:$O$1517,O100,$B$5:$B$1517,B100,$C$5:$C$1517,"&lt;"&amp;C100),"")</f>
        <v>362</v>
      </c>
      <c r="U100" s="8" t="n">
        <f aca="false">IF($K100=1,COUNTIFS($L$5:$L$1517,"&gt;="&amp;L100,$K$5:$K$1517,1)/COUNTIF($L$5:$L$1517,"&gt;="&amp;L100),0)</f>
        <v>0</v>
      </c>
      <c r="V100" s="8" t="n">
        <f aca="false">IF($K100=1,COUNTIFS($M$5:$M$1517,"&gt;="&amp;M100,$K$5:$K$1517,1)/COUNTIF($M$5:$M$1517,"&gt;="&amp;M100),0)</f>
        <v>0</v>
      </c>
      <c r="W100" s="8" t="n">
        <f aca="false">IF($K100=1,COUNTIFS($N$5:$N$1517,"&gt;="&amp;N100,$K$5:$K$1517,1)/COUNTIF($N$5:$N$1517,"&gt;="&amp;N100),0)</f>
        <v>0</v>
      </c>
      <c r="X100" s="8" t="n">
        <f aca="false">IF($K100=1,COUNTIFS($O$5:$O$1517,"&gt;="&amp;O100,$K$5:$K$1517,1)/COUNTIF($O$5:$O$1517,"&gt;="&amp;O100),0)</f>
        <v>0</v>
      </c>
      <c r="Y100" s="8" t="n">
        <f aca="false">IF($K100=1,COUNTIFS($P$5:$P$1517,"&gt;="&amp;P100,$K$5:$K$1517,1)/COUNTIF($P$5:$P$1517,"&gt;="&amp;P100),0)</f>
        <v>0</v>
      </c>
      <c r="Z100" s="8" t="n">
        <f aca="false">(L100-$K100)^2</f>
        <v>0.184638652416</v>
      </c>
      <c r="AA100" s="8" t="n">
        <f aca="false">(M100-$K100)^2</f>
        <v>0.008475595969</v>
      </c>
      <c r="AB100" s="8" t="n">
        <f aca="false">(N100-$K100)^2</f>
        <v>0.015586773409</v>
      </c>
      <c r="AC100" s="8" t="n">
        <f aca="false">(O100-$K100)^2</f>
        <v>0.011274829489</v>
      </c>
      <c r="AD100" s="8" t="n">
        <f aca="false">(P100-$K100)^2</f>
        <v>0.017802764329</v>
      </c>
      <c r="AE100" s="8" t="n">
        <f aca="false">MIN(INT(ROUND(N100*1000000,0)/100000),9)</f>
        <v>1</v>
      </c>
      <c r="AF100" s="8" t="n">
        <f aca="false">MIN(INT(ROUND(P100*1000000,0)/100000),9)</f>
        <v>1</v>
      </c>
    </row>
    <row r="101" customFormat="false" ht="15" hidden="false" customHeight="false" outlineLevel="0" collapsed="false">
      <c r="A101" s="4" t="n">
        <v>97</v>
      </c>
      <c r="B101" s="4" t="n">
        <v>499</v>
      </c>
      <c r="C101" s="4" t="n">
        <v>0</v>
      </c>
      <c r="D101" s="11" t="n">
        <v>46054</v>
      </c>
      <c r="E101" s="4" t="s">
        <v>201</v>
      </c>
      <c r="F101" s="4" t="s">
        <v>208</v>
      </c>
      <c r="G101" s="4" t="n">
        <v>12</v>
      </c>
      <c r="H101" s="4" t="n">
        <v>4</v>
      </c>
      <c r="I101" s="4" t="n">
        <v>0</v>
      </c>
      <c r="J101" s="4"/>
      <c r="K101" s="4" t="n">
        <v>0</v>
      </c>
      <c r="L101" s="12" t="n">
        <v>0.042394</v>
      </c>
      <c r="M101" s="12" t="n">
        <v>0.092063</v>
      </c>
      <c r="N101" s="12" t="n">
        <v>0.030474</v>
      </c>
      <c r="O101" s="12" t="n">
        <v>0.106183</v>
      </c>
      <c r="P101" s="12" t="n">
        <v>0.030603</v>
      </c>
      <c r="Q101" s="0" t="str">
        <f aca="false">IF(L101&gt;=Models!$G$5,1+COUNTIF($L$5:$L$1517,"&gt;"&amp;L101)+COUNTIFS($L$5:$L$1517,L101,$B$5:$B$1517,"&lt;"&amp;B101)+COUNTIFS($L$5:$L$1517,L101,$B$5:$B$1517,B101,$C$5:$C$1517,"&lt;"&amp;C101),"")</f>
        <v/>
      </c>
      <c r="R101" s="0" t="str">
        <f aca="false">IF(M101&gt;=Models!$G$6,1+COUNTIF($M$5:$M$1517,"&gt;"&amp;M101)+COUNTIFS($M$5:$M$1517,M101,$B$5:$B$1517,"&lt;"&amp;B101)+COUNTIFS($M$5:$M$1517,M101,$B$5:$B$1517,B101,$C$5:$C$1517,"&lt;"&amp;C101),"")</f>
        <v/>
      </c>
      <c r="S101" s="0" t="str">
        <f aca="false">IF(N101&gt;=Models!$G$7,1+COUNTIF($N$5:$N$1517,"&gt;"&amp;N101)+COUNTIFS($N$5:$N$1517,N101,$B$5:$B$1517,"&lt;"&amp;B101)+COUNTIFS($N$5:$N$1517,N101,$B$5:$B$1517,B101,$C$5:$C$1517,"&lt;"&amp;C101),"")</f>
        <v/>
      </c>
      <c r="T101" s="8" t="n">
        <f aca="false">IF(O101&gt;=Models!$G$8,1+COUNTIF($O$5:$O$1517,"&gt;"&amp;O101)+COUNTIFS($O$5:$O$1517,O101,$B$5:$B$1517,"&lt;"&amp;B101)+COUNTIFS($O$5:$O$1517,O101,$B$5:$B$1517,B101,$C$5:$C$1517,"&lt;"&amp;C101),"")</f>
        <v>366</v>
      </c>
      <c r="U101" s="8" t="n">
        <f aca="false">IF($K101=1,COUNTIFS($L$5:$L$1517,"&gt;="&amp;L101,$K$5:$K$1517,1)/COUNTIF($L$5:$L$1517,"&gt;="&amp;L101),0)</f>
        <v>0</v>
      </c>
      <c r="V101" s="8" t="n">
        <f aca="false">IF($K101=1,COUNTIFS($M$5:$M$1517,"&gt;="&amp;M101,$K$5:$K$1517,1)/COUNTIF($M$5:$M$1517,"&gt;="&amp;M101),0)</f>
        <v>0</v>
      </c>
      <c r="W101" s="8" t="n">
        <f aca="false">IF($K101=1,COUNTIFS($N$5:$N$1517,"&gt;="&amp;N101,$K$5:$K$1517,1)/COUNTIF($N$5:$N$1517,"&gt;="&amp;N101),0)</f>
        <v>0</v>
      </c>
      <c r="X101" s="8" t="n">
        <f aca="false">IF($K101=1,COUNTIFS($O$5:$O$1517,"&gt;="&amp;O101,$K$5:$K$1517,1)/COUNTIF($O$5:$O$1517,"&gt;="&amp;O101),0)</f>
        <v>0</v>
      </c>
      <c r="Y101" s="8" t="n">
        <f aca="false">IF($K101=1,COUNTIFS($P$5:$P$1517,"&gt;="&amp;P101,$K$5:$K$1517,1)/COUNTIF($P$5:$P$1517,"&gt;="&amp;P101),0)</f>
        <v>0</v>
      </c>
      <c r="Z101" s="8" t="n">
        <f aca="false">(L101-$K101)^2</f>
        <v>0.001797251236</v>
      </c>
      <c r="AA101" s="8" t="n">
        <f aca="false">(M101-$K101)^2</f>
        <v>0.008475595969</v>
      </c>
      <c r="AB101" s="8" t="n">
        <f aca="false">(N101-$K101)^2</f>
        <v>0.000928664676</v>
      </c>
      <c r="AC101" s="8" t="n">
        <f aca="false">(O101-$K101)^2</f>
        <v>0.011274829489</v>
      </c>
      <c r="AD101" s="8" t="n">
        <f aca="false">(P101-$K101)^2</f>
        <v>0.000936543609</v>
      </c>
      <c r="AE101" s="8" t="n">
        <f aca="false">MIN(INT(ROUND(N101*1000000,0)/100000),9)</f>
        <v>0</v>
      </c>
      <c r="AF101" s="8" t="n">
        <f aca="false">MIN(INT(ROUND(P101*1000000,0)/100000),9)</f>
        <v>0</v>
      </c>
    </row>
    <row r="102" customFormat="false" ht="15" hidden="false" customHeight="false" outlineLevel="0" collapsed="false">
      <c r="A102" s="4" t="n">
        <v>98</v>
      </c>
      <c r="B102" s="4" t="n">
        <v>500</v>
      </c>
      <c r="C102" s="4" t="n">
        <v>0</v>
      </c>
      <c r="D102" s="11" t="n">
        <v>46054</v>
      </c>
      <c r="E102" s="4" t="s">
        <v>204</v>
      </c>
      <c r="F102" s="4" t="s">
        <v>206</v>
      </c>
      <c r="G102" s="4" t="n">
        <v>1</v>
      </c>
      <c r="H102" s="4" t="n">
        <v>9</v>
      </c>
      <c r="I102" s="4" t="n">
        <v>0</v>
      </c>
      <c r="J102" s="4" t="n">
        <v>78</v>
      </c>
      <c r="K102" s="4" t="n">
        <v>0</v>
      </c>
      <c r="L102" s="12" t="n">
        <v>0.2529</v>
      </c>
      <c r="M102" s="12" t="n">
        <v>0.092063</v>
      </c>
      <c r="N102" s="12" t="n">
        <v>0.157516</v>
      </c>
      <c r="O102" s="12" t="n">
        <v>0.106183</v>
      </c>
      <c r="P102" s="12" t="n">
        <v>0.169716</v>
      </c>
      <c r="Q102" s="0" t="str">
        <f aca="false">IF(L102&gt;=Models!$G$5,1+COUNTIF($L$5:$L$1517,"&gt;"&amp;L102)+COUNTIFS($L$5:$L$1517,L102,$B$5:$B$1517,"&lt;"&amp;B102)+COUNTIFS($L$5:$L$1517,L102,$B$5:$B$1517,B102,$C$5:$C$1517,"&lt;"&amp;C102),"")</f>
        <v/>
      </c>
      <c r="R102" s="0" t="str">
        <f aca="false">IF(M102&gt;=Models!$G$6,1+COUNTIF($M$5:$M$1517,"&gt;"&amp;M102)+COUNTIFS($M$5:$M$1517,M102,$B$5:$B$1517,"&lt;"&amp;B102)+COUNTIFS($M$5:$M$1517,M102,$B$5:$B$1517,B102,$C$5:$C$1517,"&lt;"&amp;C102),"")</f>
        <v/>
      </c>
      <c r="S102" s="0" t="str">
        <f aca="false">IF(N102&gt;=Models!$G$7,1+COUNTIF($N$5:$N$1517,"&gt;"&amp;N102)+COUNTIFS($N$5:$N$1517,N102,$B$5:$B$1517,"&lt;"&amp;B102)+COUNTIFS($N$5:$N$1517,N102,$B$5:$B$1517,B102,$C$5:$C$1517,"&lt;"&amp;C102),"")</f>
        <v/>
      </c>
      <c r="T102" s="8" t="n">
        <f aca="false">IF(O102&gt;=Models!$G$8,1+COUNTIF($O$5:$O$1517,"&gt;"&amp;O102)+COUNTIFS($O$5:$O$1517,O102,$B$5:$B$1517,"&lt;"&amp;B102)+COUNTIFS($O$5:$O$1517,O102,$B$5:$B$1517,B102,$C$5:$C$1517,"&lt;"&amp;C102),"")</f>
        <v>370</v>
      </c>
      <c r="U102" s="8" t="n">
        <f aca="false">IF($K102=1,COUNTIFS($L$5:$L$1517,"&gt;="&amp;L102,$K$5:$K$1517,1)/COUNTIF($L$5:$L$1517,"&gt;="&amp;L102),0)</f>
        <v>0</v>
      </c>
      <c r="V102" s="8" t="n">
        <f aca="false">IF($K102=1,COUNTIFS($M$5:$M$1517,"&gt;="&amp;M102,$K$5:$K$1517,1)/COUNTIF($M$5:$M$1517,"&gt;="&amp;M102),0)</f>
        <v>0</v>
      </c>
      <c r="W102" s="8" t="n">
        <f aca="false">IF($K102=1,COUNTIFS($N$5:$N$1517,"&gt;="&amp;N102,$K$5:$K$1517,1)/COUNTIF($N$5:$N$1517,"&gt;="&amp;N102),0)</f>
        <v>0</v>
      </c>
      <c r="X102" s="8" t="n">
        <f aca="false">IF($K102=1,COUNTIFS($O$5:$O$1517,"&gt;="&amp;O102,$K$5:$K$1517,1)/COUNTIF($O$5:$O$1517,"&gt;="&amp;O102),0)</f>
        <v>0</v>
      </c>
      <c r="Y102" s="8" t="n">
        <f aca="false">IF($K102=1,COUNTIFS($P$5:$P$1517,"&gt;="&amp;P102,$K$5:$K$1517,1)/COUNTIF($P$5:$P$1517,"&gt;="&amp;P102),0)</f>
        <v>0</v>
      </c>
      <c r="Z102" s="8" t="n">
        <f aca="false">(L102-$K102)^2</f>
        <v>0.06395841</v>
      </c>
      <c r="AA102" s="8" t="n">
        <f aca="false">(M102-$K102)^2</f>
        <v>0.008475595969</v>
      </c>
      <c r="AB102" s="8" t="n">
        <f aca="false">(N102-$K102)^2</f>
        <v>0.024811290256</v>
      </c>
      <c r="AC102" s="8" t="n">
        <f aca="false">(O102-$K102)^2</f>
        <v>0.011274829489</v>
      </c>
      <c r="AD102" s="8" t="n">
        <f aca="false">(P102-$K102)^2</f>
        <v>0.028803520656</v>
      </c>
      <c r="AE102" s="8" t="n">
        <f aca="false">MIN(INT(ROUND(N102*1000000,0)/100000),9)</f>
        <v>1</v>
      </c>
      <c r="AF102" s="8" t="n">
        <f aca="false">MIN(INT(ROUND(P102*1000000,0)/100000),9)</f>
        <v>1</v>
      </c>
    </row>
    <row r="103" customFormat="false" ht="15" hidden="false" customHeight="false" outlineLevel="0" collapsed="false">
      <c r="A103" s="4" t="n">
        <v>99</v>
      </c>
      <c r="B103" s="4" t="n">
        <v>508</v>
      </c>
      <c r="C103" s="4" t="n">
        <v>0</v>
      </c>
      <c r="D103" s="11" t="n">
        <v>46054</v>
      </c>
      <c r="E103" s="4" t="s">
        <v>204</v>
      </c>
      <c r="F103" s="4" t="s">
        <v>209</v>
      </c>
      <c r="G103" s="4" t="n">
        <v>1</v>
      </c>
      <c r="H103" s="4" t="n">
        <v>29</v>
      </c>
      <c r="I103" s="4" t="n">
        <v>0</v>
      </c>
      <c r="J103" s="4" t="n">
        <v>75</v>
      </c>
      <c r="K103" s="4" t="n">
        <v>0</v>
      </c>
      <c r="L103" s="12" t="n">
        <v>0.8115</v>
      </c>
      <c r="M103" s="12" t="n">
        <v>0.092063</v>
      </c>
      <c r="N103" s="12" t="n">
        <v>0.18053</v>
      </c>
      <c r="O103" s="12" t="n">
        <v>0.106183</v>
      </c>
      <c r="P103" s="12" t="n">
        <v>0.195326</v>
      </c>
      <c r="Q103" s="0" t="str">
        <f aca="false">IF(L103&gt;=Models!$G$5,1+COUNTIF($L$5:$L$1517,"&gt;"&amp;L103)+COUNTIFS($L$5:$L$1517,L103,$B$5:$B$1517,"&lt;"&amp;B103)+COUNTIFS($L$5:$L$1517,L103,$B$5:$B$1517,B103,$C$5:$C$1517,"&lt;"&amp;C103),"")</f>
        <v/>
      </c>
      <c r="R103" s="0" t="str">
        <f aca="false">IF(M103&gt;=Models!$G$6,1+COUNTIF($M$5:$M$1517,"&gt;"&amp;M103)+COUNTIFS($M$5:$M$1517,M103,$B$5:$B$1517,"&lt;"&amp;B103)+COUNTIFS($M$5:$M$1517,M103,$B$5:$B$1517,B103,$C$5:$C$1517,"&lt;"&amp;C103),"")</f>
        <v/>
      </c>
      <c r="S103" s="0" t="str">
        <f aca="false">IF(N103&gt;=Models!$G$7,1+COUNTIF($N$5:$N$1517,"&gt;"&amp;N103)+COUNTIFS($N$5:$N$1517,N103,$B$5:$B$1517,"&lt;"&amp;B103)+COUNTIFS($N$5:$N$1517,N103,$B$5:$B$1517,B103,$C$5:$C$1517,"&lt;"&amp;C103),"")</f>
        <v/>
      </c>
      <c r="T103" s="8" t="n">
        <f aca="false">IF(O103&gt;=Models!$G$8,1+COUNTIF($O$5:$O$1517,"&gt;"&amp;O103)+COUNTIFS($O$5:$O$1517,O103,$B$5:$B$1517,"&lt;"&amp;B103)+COUNTIFS($O$5:$O$1517,O103,$B$5:$B$1517,B103,$C$5:$C$1517,"&lt;"&amp;C103),"")</f>
        <v>374</v>
      </c>
      <c r="U103" s="8" t="n">
        <f aca="false">IF($K103=1,COUNTIFS($L$5:$L$1517,"&gt;="&amp;L103,$K$5:$K$1517,1)/COUNTIF($L$5:$L$1517,"&gt;="&amp;L103),0)</f>
        <v>0</v>
      </c>
      <c r="V103" s="8" t="n">
        <f aca="false">IF($K103=1,COUNTIFS($M$5:$M$1517,"&gt;="&amp;M103,$K$5:$K$1517,1)/COUNTIF($M$5:$M$1517,"&gt;="&amp;M103),0)</f>
        <v>0</v>
      </c>
      <c r="W103" s="8" t="n">
        <f aca="false">IF($K103=1,COUNTIFS($N$5:$N$1517,"&gt;="&amp;N103,$K$5:$K$1517,1)/COUNTIF($N$5:$N$1517,"&gt;="&amp;N103),0)</f>
        <v>0</v>
      </c>
      <c r="X103" s="8" t="n">
        <f aca="false">IF($K103=1,COUNTIFS($O$5:$O$1517,"&gt;="&amp;O103,$K$5:$K$1517,1)/COUNTIF($O$5:$O$1517,"&gt;="&amp;O103),0)</f>
        <v>0</v>
      </c>
      <c r="Y103" s="8" t="n">
        <f aca="false">IF($K103=1,COUNTIFS($P$5:$P$1517,"&gt;="&amp;P103,$K$5:$K$1517,1)/COUNTIF($P$5:$P$1517,"&gt;="&amp;P103),0)</f>
        <v>0</v>
      </c>
      <c r="Z103" s="8" t="n">
        <f aca="false">(L103-$K103)^2</f>
        <v>0.65853225</v>
      </c>
      <c r="AA103" s="8" t="n">
        <f aca="false">(M103-$K103)^2</f>
        <v>0.008475595969</v>
      </c>
      <c r="AB103" s="8" t="n">
        <f aca="false">(N103-$K103)^2</f>
        <v>0.0325910809</v>
      </c>
      <c r="AC103" s="8" t="n">
        <f aca="false">(O103-$K103)^2</f>
        <v>0.011274829489</v>
      </c>
      <c r="AD103" s="8" t="n">
        <f aca="false">(P103-$K103)^2</f>
        <v>0.038152246276</v>
      </c>
      <c r="AE103" s="8" t="n">
        <f aca="false">MIN(INT(ROUND(N103*1000000,0)/100000),9)</f>
        <v>1</v>
      </c>
      <c r="AF103" s="8" t="n">
        <f aca="false">MIN(INT(ROUND(P103*1000000,0)/100000),9)</f>
        <v>1</v>
      </c>
    </row>
    <row r="104" customFormat="false" ht="15" hidden="false" customHeight="false" outlineLevel="0" collapsed="false">
      <c r="A104" s="4" t="n">
        <v>100</v>
      </c>
      <c r="B104" s="4" t="n">
        <v>510</v>
      </c>
      <c r="C104" s="4" t="n">
        <v>0</v>
      </c>
      <c r="D104" s="11" t="n">
        <v>46054</v>
      </c>
      <c r="E104" s="4" t="s">
        <v>204</v>
      </c>
      <c r="F104" s="4" t="s">
        <v>210</v>
      </c>
      <c r="G104" s="4" t="n">
        <v>1</v>
      </c>
      <c r="H104" s="4" t="n">
        <v>19</v>
      </c>
      <c r="I104" s="4" t="n">
        <v>0</v>
      </c>
      <c r="J104" s="4" t="n">
        <v>71.4</v>
      </c>
      <c r="K104" s="4" t="n">
        <v>0</v>
      </c>
      <c r="L104" s="12" t="n">
        <v>0.960847</v>
      </c>
      <c r="M104" s="12" t="n">
        <v>0.092063</v>
      </c>
      <c r="N104" s="12" t="n">
        <v>0.168752</v>
      </c>
      <c r="O104" s="12" t="n">
        <v>0.106183</v>
      </c>
      <c r="P104" s="12" t="n">
        <v>0.182218</v>
      </c>
      <c r="Q104" s="0" t="str">
        <f aca="false">IF(L104&gt;=Models!$G$5,1+COUNTIF($L$5:$L$1517,"&gt;"&amp;L104)+COUNTIFS($L$5:$L$1517,L104,$B$5:$B$1517,"&lt;"&amp;B104)+COUNTIFS($L$5:$L$1517,L104,$B$5:$B$1517,B104,$C$5:$C$1517,"&lt;"&amp;C104),"")</f>
        <v/>
      </c>
      <c r="R104" s="0" t="str">
        <f aca="false">IF(M104&gt;=Models!$G$6,1+COUNTIF($M$5:$M$1517,"&gt;"&amp;M104)+COUNTIFS($M$5:$M$1517,M104,$B$5:$B$1517,"&lt;"&amp;B104)+COUNTIFS($M$5:$M$1517,M104,$B$5:$B$1517,B104,$C$5:$C$1517,"&lt;"&amp;C104),"")</f>
        <v/>
      </c>
      <c r="S104" s="0" t="str">
        <f aca="false">IF(N104&gt;=Models!$G$7,1+COUNTIF($N$5:$N$1517,"&gt;"&amp;N104)+COUNTIFS($N$5:$N$1517,N104,$B$5:$B$1517,"&lt;"&amp;B104)+COUNTIFS($N$5:$N$1517,N104,$B$5:$B$1517,B104,$C$5:$C$1517,"&lt;"&amp;C104),"")</f>
        <v/>
      </c>
      <c r="T104" s="8" t="n">
        <f aca="false">IF(O104&gt;=Models!$G$8,1+COUNTIF($O$5:$O$1517,"&gt;"&amp;O104)+COUNTIFS($O$5:$O$1517,O104,$B$5:$B$1517,"&lt;"&amp;B104)+COUNTIFS($O$5:$O$1517,O104,$B$5:$B$1517,B104,$C$5:$C$1517,"&lt;"&amp;C104),"")</f>
        <v>378</v>
      </c>
      <c r="U104" s="8" t="n">
        <f aca="false">IF($K104=1,COUNTIFS($L$5:$L$1517,"&gt;="&amp;L104,$K$5:$K$1517,1)/COUNTIF($L$5:$L$1517,"&gt;="&amp;L104),0)</f>
        <v>0</v>
      </c>
      <c r="V104" s="8" t="n">
        <f aca="false">IF($K104=1,COUNTIFS($M$5:$M$1517,"&gt;="&amp;M104,$K$5:$K$1517,1)/COUNTIF($M$5:$M$1517,"&gt;="&amp;M104),0)</f>
        <v>0</v>
      </c>
      <c r="W104" s="8" t="n">
        <f aca="false">IF($K104=1,COUNTIFS($N$5:$N$1517,"&gt;="&amp;N104,$K$5:$K$1517,1)/COUNTIF($N$5:$N$1517,"&gt;="&amp;N104),0)</f>
        <v>0</v>
      </c>
      <c r="X104" s="8" t="n">
        <f aca="false">IF($K104=1,COUNTIFS($O$5:$O$1517,"&gt;="&amp;O104,$K$5:$K$1517,1)/COUNTIF($O$5:$O$1517,"&gt;="&amp;O104),0)</f>
        <v>0</v>
      </c>
      <c r="Y104" s="8" t="n">
        <f aca="false">IF($K104=1,COUNTIFS($P$5:$P$1517,"&gt;="&amp;P104,$K$5:$K$1517,1)/COUNTIF($P$5:$P$1517,"&gt;="&amp;P104),0)</f>
        <v>0</v>
      </c>
      <c r="Z104" s="8" t="n">
        <f aca="false">(L104-$K104)^2</f>
        <v>0.923226957409</v>
      </c>
      <c r="AA104" s="8" t="n">
        <f aca="false">(M104-$K104)^2</f>
        <v>0.008475595969</v>
      </c>
      <c r="AB104" s="8" t="n">
        <f aca="false">(N104-$K104)^2</f>
        <v>0.028477237504</v>
      </c>
      <c r="AC104" s="8" t="n">
        <f aca="false">(O104-$K104)^2</f>
        <v>0.011274829489</v>
      </c>
      <c r="AD104" s="8" t="n">
        <f aca="false">(P104-$K104)^2</f>
        <v>0.033203399524</v>
      </c>
      <c r="AE104" s="8" t="n">
        <f aca="false">MIN(INT(ROUND(N104*1000000,0)/100000),9)</f>
        <v>1</v>
      </c>
      <c r="AF104" s="8" t="n">
        <f aca="false">MIN(INT(ROUND(P104*1000000,0)/100000),9)</f>
        <v>1</v>
      </c>
    </row>
    <row r="105" customFormat="false" ht="15" hidden="false" customHeight="false" outlineLevel="0" collapsed="false">
      <c r="A105" s="4" t="n">
        <v>101</v>
      </c>
      <c r="B105" s="4" t="n">
        <v>512</v>
      </c>
      <c r="C105" s="4" t="n">
        <v>0</v>
      </c>
      <c r="D105" s="11" t="n">
        <v>46054</v>
      </c>
      <c r="E105" s="4" t="s">
        <v>201</v>
      </c>
      <c r="F105" s="4" t="s">
        <v>208</v>
      </c>
      <c r="G105" s="4" t="n">
        <v>12</v>
      </c>
      <c r="H105" s="4" t="n">
        <v>2</v>
      </c>
      <c r="I105" s="4" t="n">
        <v>1</v>
      </c>
      <c r="J105" s="4" t="n">
        <v>4344</v>
      </c>
      <c r="K105" s="4" t="n">
        <v>1</v>
      </c>
      <c r="L105" s="12" t="n">
        <v>0.40404</v>
      </c>
      <c r="M105" s="12" t="n">
        <v>0.184211</v>
      </c>
      <c r="N105" s="12" t="n">
        <v>0.085038</v>
      </c>
      <c r="O105" s="12" t="n">
        <v>0.106183</v>
      </c>
      <c r="P105" s="12" t="n">
        <v>0.089492</v>
      </c>
      <c r="Q105" s="0" t="str">
        <f aca="false">IF(L105&gt;=Models!$G$5,1+COUNTIF($L$5:$L$1517,"&gt;"&amp;L105)+COUNTIFS($L$5:$L$1517,L105,$B$5:$B$1517,"&lt;"&amp;B105)+COUNTIFS($L$5:$L$1517,L105,$B$5:$B$1517,B105,$C$5:$C$1517,"&lt;"&amp;C105),"")</f>
        <v/>
      </c>
      <c r="R105" s="8" t="n">
        <f aca="false">IF(M105&gt;=Models!$G$6,1+COUNTIF($M$5:$M$1517,"&gt;"&amp;M105)+COUNTIFS($M$5:$M$1517,M105,$B$5:$B$1517,"&lt;"&amp;B105)+COUNTIFS($M$5:$M$1517,M105,$B$5:$B$1517,B105,$C$5:$C$1517,"&lt;"&amp;C105),"")</f>
        <v>42</v>
      </c>
      <c r="S105" s="0" t="str">
        <f aca="false">IF(N105&gt;=Models!$G$7,1+COUNTIF($N$5:$N$1517,"&gt;"&amp;N105)+COUNTIFS($N$5:$N$1517,N105,$B$5:$B$1517,"&lt;"&amp;B105)+COUNTIFS($N$5:$N$1517,N105,$B$5:$B$1517,B105,$C$5:$C$1517,"&lt;"&amp;C105),"")</f>
        <v/>
      </c>
      <c r="T105" s="8" t="n">
        <f aca="false">IF(O105&gt;=Models!$G$8,1+COUNTIF($O$5:$O$1517,"&gt;"&amp;O105)+COUNTIFS($O$5:$O$1517,O105,$B$5:$B$1517,"&lt;"&amp;B105)+COUNTIFS($O$5:$O$1517,O105,$B$5:$B$1517,B105,$C$5:$C$1517,"&lt;"&amp;C105),"")</f>
        <v>382</v>
      </c>
      <c r="U105" s="8" t="n">
        <f aca="false">IF($K105=1,COUNTIFS($L$5:$L$1517,"&gt;="&amp;L105,$K$5:$K$1517,1)/COUNTIF($L$5:$L$1517,"&gt;="&amp;L105),0)</f>
        <v>0.131460674157303</v>
      </c>
      <c r="V105" s="8" t="n">
        <f aca="false">IF($K105=1,COUNTIFS($M$5:$M$1517,"&gt;="&amp;M105,$K$5:$K$1517,1)/COUNTIF($M$5:$M$1517,"&gt;="&amp;M105),0)</f>
        <v>0.186528497409326</v>
      </c>
      <c r="W105" s="8" t="n">
        <f aca="false">IF($K105=1,COUNTIFS($N$5:$N$1517,"&gt;="&amp;N105,$K$5:$K$1517,1)/COUNTIF($N$5:$N$1517,"&gt;="&amp;N105),0)</f>
        <v>0.176682692307692</v>
      </c>
      <c r="X105" s="8" t="n">
        <f aca="false">IF($K105=1,COUNTIFS($O$5:$O$1517,"&gt;="&amp;O105,$K$5:$K$1517,1)/COUNTIF($O$5:$O$1517,"&gt;="&amp;O105),0)</f>
        <v>0.12491738268341</v>
      </c>
      <c r="Y105" s="8" t="n">
        <f aca="false">IF($K105=1,COUNTIFS($P$5:$P$1517,"&gt;="&amp;P105,$K$5:$K$1517,1)/COUNTIF($P$5:$P$1517,"&gt;="&amp;P105),0)</f>
        <v>0.176682692307692</v>
      </c>
      <c r="Z105" s="8" t="n">
        <f aca="false">(L105-$K105)^2</f>
        <v>0.3551683216</v>
      </c>
      <c r="AA105" s="8" t="n">
        <f aca="false">(M105-$K105)^2</f>
        <v>0.665511692521</v>
      </c>
      <c r="AB105" s="8" t="n">
        <f aca="false">(N105-$K105)^2</f>
        <v>0.837155461444</v>
      </c>
      <c r="AC105" s="8" t="n">
        <f aca="false">(O105-$K105)^2</f>
        <v>0.798908829489</v>
      </c>
      <c r="AD105" s="8" t="n">
        <f aca="false">(P105-$K105)^2</f>
        <v>0.829024818064</v>
      </c>
      <c r="AE105" s="8" t="n">
        <f aca="false">MIN(INT(ROUND(N105*1000000,0)/100000),9)</f>
        <v>0</v>
      </c>
      <c r="AF105" s="8" t="n">
        <f aca="false">MIN(INT(ROUND(P105*1000000,0)/100000),9)</f>
        <v>0</v>
      </c>
    </row>
    <row r="106" customFormat="false" ht="15" hidden="false" customHeight="false" outlineLevel="0" collapsed="false">
      <c r="A106" s="4" t="n">
        <v>102</v>
      </c>
      <c r="B106" s="4" t="n">
        <v>513</v>
      </c>
      <c r="C106" s="4" t="n">
        <v>0</v>
      </c>
      <c r="D106" s="11" t="n">
        <v>46054</v>
      </c>
      <c r="E106" s="4" t="s">
        <v>204</v>
      </c>
      <c r="F106" s="4" t="s">
        <v>206</v>
      </c>
      <c r="G106" s="4" t="n">
        <v>2</v>
      </c>
      <c r="H106" s="4" t="n">
        <v>1</v>
      </c>
      <c r="I106" s="4" t="n">
        <v>0</v>
      </c>
      <c r="J106" s="4" t="n">
        <v>117</v>
      </c>
      <c r="K106" s="4" t="n">
        <v>0</v>
      </c>
      <c r="L106" s="12" t="n">
        <v>0.5493</v>
      </c>
      <c r="M106" s="12" t="n">
        <v>0.092063</v>
      </c>
      <c r="N106" s="12" t="n">
        <v>0.137686</v>
      </c>
      <c r="O106" s="12" t="n">
        <v>0.106183</v>
      </c>
      <c r="P106" s="12" t="n">
        <v>0.147674</v>
      </c>
      <c r="Q106" s="0" t="str">
        <f aca="false">IF(L106&gt;=Models!$G$5,1+COUNTIF($L$5:$L$1517,"&gt;"&amp;L106)+COUNTIFS($L$5:$L$1517,L106,$B$5:$B$1517,"&lt;"&amp;B106)+COUNTIFS($L$5:$L$1517,L106,$B$5:$B$1517,B106,$C$5:$C$1517,"&lt;"&amp;C106),"")</f>
        <v/>
      </c>
      <c r="R106" s="0" t="str">
        <f aca="false">IF(M106&gt;=Models!$G$6,1+COUNTIF($M$5:$M$1517,"&gt;"&amp;M106)+COUNTIFS($M$5:$M$1517,M106,$B$5:$B$1517,"&lt;"&amp;B106)+COUNTIFS($M$5:$M$1517,M106,$B$5:$B$1517,B106,$C$5:$C$1517,"&lt;"&amp;C106),"")</f>
        <v/>
      </c>
      <c r="S106" s="0" t="str">
        <f aca="false">IF(N106&gt;=Models!$G$7,1+COUNTIF($N$5:$N$1517,"&gt;"&amp;N106)+COUNTIFS($N$5:$N$1517,N106,$B$5:$B$1517,"&lt;"&amp;B106)+COUNTIFS($N$5:$N$1517,N106,$B$5:$B$1517,B106,$C$5:$C$1517,"&lt;"&amp;C106),"")</f>
        <v/>
      </c>
      <c r="T106" s="8" t="n">
        <f aca="false">IF(O106&gt;=Models!$G$8,1+COUNTIF($O$5:$O$1517,"&gt;"&amp;O106)+COUNTIFS($O$5:$O$1517,O106,$B$5:$B$1517,"&lt;"&amp;B106)+COUNTIFS($O$5:$O$1517,O106,$B$5:$B$1517,B106,$C$5:$C$1517,"&lt;"&amp;C106),"")</f>
        <v>385</v>
      </c>
      <c r="U106" s="8" t="n">
        <f aca="false">IF($K106=1,COUNTIFS($L$5:$L$1517,"&gt;="&amp;L106,$K$5:$K$1517,1)/COUNTIF($L$5:$L$1517,"&gt;="&amp;L106),0)</f>
        <v>0</v>
      </c>
      <c r="V106" s="8" t="n">
        <f aca="false">IF($K106=1,COUNTIFS($M$5:$M$1517,"&gt;="&amp;M106,$K$5:$K$1517,1)/COUNTIF($M$5:$M$1517,"&gt;="&amp;M106),0)</f>
        <v>0</v>
      </c>
      <c r="W106" s="8" t="n">
        <f aca="false">IF($K106=1,COUNTIFS($N$5:$N$1517,"&gt;="&amp;N106,$K$5:$K$1517,1)/COUNTIF($N$5:$N$1517,"&gt;="&amp;N106),0)</f>
        <v>0</v>
      </c>
      <c r="X106" s="8" t="n">
        <f aca="false">IF($K106=1,COUNTIFS($O$5:$O$1517,"&gt;="&amp;O106,$K$5:$K$1517,1)/COUNTIF($O$5:$O$1517,"&gt;="&amp;O106),0)</f>
        <v>0</v>
      </c>
      <c r="Y106" s="8" t="n">
        <f aca="false">IF($K106=1,COUNTIFS($P$5:$P$1517,"&gt;="&amp;P106,$K$5:$K$1517,1)/COUNTIF($P$5:$P$1517,"&gt;="&amp;P106),0)</f>
        <v>0</v>
      </c>
      <c r="Z106" s="8" t="n">
        <f aca="false">(L106-$K106)^2</f>
        <v>0.30173049</v>
      </c>
      <c r="AA106" s="8" t="n">
        <f aca="false">(M106-$K106)^2</f>
        <v>0.008475595969</v>
      </c>
      <c r="AB106" s="8" t="n">
        <f aca="false">(N106-$K106)^2</f>
        <v>0.018957434596</v>
      </c>
      <c r="AC106" s="8" t="n">
        <f aca="false">(O106-$K106)^2</f>
        <v>0.011274829489</v>
      </c>
      <c r="AD106" s="8" t="n">
        <f aca="false">(P106-$K106)^2</f>
        <v>0.021807610276</v>
      </c>
      <c r="AE106" s="8" t="n">
        <f aca="false">MIN(INT(ROUND(N106*1000000,0)/100000),9)</f>
        <v>1</v>
      </c>
      <c r="AF106" s="8" t="n">
        <f aca="false">MIN(INT(ROUND(P106*1000000,0)/100000),9)</f>
        <v>1</v>
      </c>
    </row>
    <row r="107" customFormat="false" ht="15" hidden="false" customHeight="false" outlineLevel="0" collapsed="false">
      <c r="A107" s="4" t="n">
        <v>103</v>
      </c>
      <c r="B107" s="4" t="n">
        <v>514</v>
      </c>
      <c r="C107" s="4" t="n">
        <v>0</v>
      </c>
      <c r="D107" s="11" t="n">
        <v>46054</v>
      </c>
      <c r="E107" s="4" t="s">
        <v>203</v>
      </c>
      <c r="F107" s="4" t="s">
        <v>208</v>
      </c>
      <c r="G107" s="4" t="n">
        <v>14</v>
      </c>
      <c r="H107" s="4" t="n">
        <v>0</v>
      </c>
      <c r="I107" s="4" t="n">
        <v>0</v>
      </c>
      <c r="J107" s="4"/>
      <c r="K107" s="4" t="n">
        <v>0</v>
      </c>
      <c r="L107" s="12" t="n">
        <v>0.602135</v>
      </c>
      <c r="M107" s="12" t="n">
        <v>0.092063</v>
      </c>
      <c r="N107" s="12" t="n">
        <v>0.024778</v>
      </c>
      <c r="O107" s="12" t="n">
        <v>0.106183</v>
      </c>
      <c r="P107" s="12" t="n">
        <v>0.024639</v>
      </c>
      <c r="Q107" s="0" t="str">
        <f aca="false">IF(L107&gt;=Models!$G$5,1+COUNTIF($L$5:$L$1517,"&gt;"&amp;L107)+COUNTIFS($L$5:$L$1517,L107,$B$5:$B$1517,"&lt;"&amp;B107)+COUNTIFS($L$5:$L$1517,L107,$B$5:$B$1517,B107,$C$5:$C$1517,"&lt;"&amp;C107),"")</f>
        <v/>
      </c>
      <c r="R107" s="0" t="str">
        <f aca="false">IF(M107&gt;=Models!$G$6,1+COUNTIF($M$5:$M$1517,"&gt;"&amp;M107)+COUNTIFS($M$5:$M$1517,M107,$B$5:$B$1517,"&lt;"&amp;B107)+COUNTIFS($M$5:$M$1517,M107,$B$5:$B$1517,B107,$C$5:$C$1517,"&lt;"&amp;C107),"")</f>
        <v/>
      </c>
      <c r="S107" s="0" t="str">
        <f aca="false">IF(N107&gt;=Models!$G$7,1+COUNTIF($N$5:$N$1517,"&gt;"&amp;N107)+COUNTIFS($N$5:$N$1517,N107,$B$5:$B$1517,"&lt;"&amp;B107)+COUNTIFS($N$5:$N$1517,N107,$B$5:$B$1517,B107,$C$5:$C$1517,"&lt;"&amp;C107),"")</f>
        <v/>
      </c>
      <c r="T107" s="8" t="n">
        <f aca="false">IF(O107&gt;=Models!$G$8,1+COUNTIF($O$5:$O$1517,"&gt;"&amp;O107)+COUNTIFS($O$5:$O$1517,O107,$B$5:$B$1517,"&lt;"&amp;B107)+COUNTIFS($O$5:$O$1517,O107,$B$5:$B$1517,B107,$C$5:$C$1517,"&lt;"&amp;C107),"")</f>
        <v>389</v>
      </c>
      <c r="U107" s="8" t="n">
        <f aca="false">IF($K107=1,COUNTIFS($L$5:$L$1517,"&gt;="&amp;L107,$K$5:$K$1517,1)/COUNTIF($L$5:$L$1517,"&gt;="&amp;L107),0)</f>
        <v>0</v>
      </c>
      <c r="V107" s="8" t="n">
        <f aca="false">IF($K107=1,COUNTIFS($M$5:$M$1517,"&gt;="&amp;M107,$K$5:$K$1517,1)/COUNTIF($M$5:$M$1517,"&gt;="&amp;M107),0)</f>
        <v>0</v>
      </c>
      <c r="W107" s="8" t="n">
        <f aca="false">IF($K107=1,COUNTIFS($N$5:$N$1517,"&gt;="&amp;N107,$K$5:$K$1517,1)/COUNTIF($N$5:$N$1517,"&gt;="&amp;N107),0)</f>
        <v>0</v>
      </c>
      <c r="X107" s="8" t="n">
        <f aca="false">IF($K107=1,COUNTIFS($O$5:$O$1517,"&gt;="&amp;O107,$K$5:$K$1517,1)/COUNTIF($O$5:$O$1517,"&gt;="&amp;O107),0)</f>
        <v>0</v>
      </c>
      <c r="Y107" s="8" t="n">
        <f aca="false">IF($K107=1,COUNTIFS($P$5:$P$1517,"&gt;="&amp;P107,$K$5:$K$1517,1)/COUNTIF($P$5:$P$1517,"&gt;="&amp;P107),0)</f>
        <v>0</v>
      </c>
      <c r="Z107" s="8" t="n">
        <f aca="false">(L107-$K107)^2</f>
        <v>0.362566558225</v>
      </c>
      <c r="AA107" s="8" t="n">
        <f aca="false">(M107-$K107)^2</f>
        <v>0.008475595969</v>
      </c>
      <c r="AB107" s="8" t="n">
        <f aca="false">(N107-$K107)^2</f>
        <v>0.000613949284</v>
      </c>
      <c r="AC107" s="8" t="n">
        <f aca="false">(O107-$K107)^2</f>
        <v>0.011274829489</v>
      </c>
      <c r="AD107" s="8" t="n">
        <f aca="false">(P107-$K107)^2</f>
        <v>0.000607080321</v>
      </c>
      <c r="AE107" s="8" t="n">
        <f aca="false">MIN(INT(ROUND(N107*1000000,0)/100000),9)</f>
        <v>0</v>
      </c>
      <c r="AF107" s="8" t="n">
        <f aca="false">MIN(INT(ROUND(P107*1000000,0)/100000),9)</f>
        <v>0</v>
      </c>
    </row>
    <row r="108" customFormat="false" ht="15" hidden="false" customHeight="false" outlineLevel="0" collapsed="false">
      <c r="A108" s="4" t="n">
        <v>104</v>
      </c>
      <c r="B108" s="4" t="n">
        <v>515</v>
      </c>
      <c r="C108" s="4" t="n">
        <v>0</v>
      </c>
      <c r="D108" s="11" t="n">
        <v>46054</v>
      </c>
      <c r="E108" s="4" t="s">
        <v>201</v>
      </c>
      <c r="F108" s="4" t="s">
        <v>209</v>
      </c>
      <c r="G108" s="4" t="n">
        <v>11</v>
      </c>
      <c r="H108" s="4" t="n">
        <v>9</v>
      </c>
      <c r="I108" s="4" t="n">
        <v>0</v>
      </c>
      <c r="J108" s="4"/>
      <c r="K108" s="4" t="n">
        <v>0</v>
      </c>
      <c r="L108" s="12" t="n">
        <v>0.884631</v>
      </c>
      <c r="M108" s="12" t="n">
        <v>0.092063</v>
      </c>
      <c r="N108" s="12" t="n">
        <v>0.034591</v>
      </c>
      <c r="O108" s="12" t="n">
        <v>0.106183</v>
      </c>
      <c r="P108" s="12" t="n">
        <v>0.034946</v>
      </c>
      <c r="Q108" s="0" t="str">
        <f aca="false">IF(L108&gt;=Models!$G$5,1+COUNTIF($L$5:$L$1517,"&gt;"&amp;L108)+COUNTIFS($L$5:$L$1517,L108,$B$5:$B$1517,"&lt;"&amp;B108)+COUNTIFS($L$5:$L$1517,L108,$B$5:$B$1517,B108,$C$5:$C$1517,"&lt;"&amp;C108),"")</f>
        <v/>
      </c>
      <c r="R108" s="0" t="str">
        <f aca="false">IF(M108&gt;=Models!$G$6,1+COUNTIF($M$5:$M$1517,"&gt;"&amp;M108)+COUNTIFS($M$5:$M$1517,M108,$B$5:$B$1517,"&lt;"&amp;B108)+COUNTIFS($M$5:$M$1517,M108,$B$5:$B$1517,B108,$C$5:$C$1517,"&lt;"&amp;C108),"")</f>
        <v/>
      </c>
      <c r="S108" s="0" t="str">
        <f aca="false">IF(N108&gt;=Models!$G$7,1+COUNTIF($N$5:$N$1517,"&gt;"&amp;N108)+COUNTIFS($N$5:$N$1517,N108,$B$5:$B$1517,"&lt;"&amp;B108)+COUNTIFS($N$5:$N$1517,N108,$B$5:$B$1517,B108,$C$5:$C$1517,"&lt;"&amp;C108),"")</f>
        <v/>
      </c>
      <c r="T108" s="8" t="n">
        <f aca="false">IF(O108&gt;=Models!$G$8,1+COUNTIF($O$5:$O$1517,"&gt;"&amp;O108)+COUNTIFS($O$5:$O$1517,O108,$B$5:$B$1517,"&lt;"&amp;B108)+COUNTIFS($O$5:$O$1517,O108,$B$5:$B$1517,B108,$C$5:$C$1517,"&lt;"&amp;C108),"")</f>
        <v>393</v>
      </c>
      <c r="U108" s="8" t="n">
        <f aca="false">IF($K108=1,COUNTIFS($L$5:$L$1517,"&gt;="&amp;L108,$K$5:$K$1517,1)/COUNTIF($L$5:$L$1517,"&gt;="&amp;L108),0)</f>
        <v>0</v>
      </c>
      <c r="V108" s="8" t="n">
        <f aca="false">IF($K108=1,COUNTIFS($M$5:$M$1517,"&gt;="&amp;M108,$K$5:$K$1517,1)/COUNTIF($M$5:$M$1517,"&gt;="&amp;M108),0)</f>
        <v>0</v>
      </c>
      <c r="W108" s="8" t="n">
        <f aca="false">IF($K108=1,COUNTIFS($N$5:$N$1517,"&gt;="&amp;N108,$K$5:$K$1517,1)/COUNTIF($N$5:$N$1517,"&gt;="&amp;N108),0)</f>
        <v>0</v>
      </c>
      <c r="X108" s="8" t="n">
        <f aca="false">IF($K108=1,COUNTIFS($O$5:$O$1517,"&gt;="&amp;O108,$K$5:$K$1517,1)/COUNTIF($O$5:$O$1517,"&gt;="&amp;O108),0)</f>
        <v>0</v>
      </c>
      <c r="Y108" s="8" t="n">
        <f aca="false">IF($K108=1,COUNTIFS($P$5:$P$1517,"&gt;="&amp;P108,$K$5:$K$1517,1)/COUNTIF($P$5:$P$1517,"&gt;="&amp;P108),0)</f>
        <v>0</v>
      </c>
      <c r="Z108" s="8" t="n">
        <f aca="false">(L108-$K108)^2</f>
        <v>0.782572006161</v>
      </c>
      <c r="AA108" s="8" t="n">
        <f aca="false">(M108-$K108)^2</f>
        <v>0.008475595969</v>
      </c>
      <c r="AB108" s="8" t="n">
        <f aca="false">(N108-$K108)^2</f>
        <v>0.001196537281</v>
      </c>
      <c r="AC108" s="8" t="n">
        <f aca="false">(O108-$K108)^2</f>
        <v>0.011274829489</v>
      </c>
      <c r="AD108" s="8" t="n">
        <f aca="false">(P108-$K108)^2</f>
        <v>0.001221222916</v>
      </c>
      <c r="AE108" s="8" t="n">
        <f aca="false">MIN(INT(ROUND(N108*1000000,0)/100000),9)</f>
        <v>0</v>
      </c>
      <c r="AF108" s="8" t="n">
        <f aca="false">MIN(INT(ROUND(P108*1000000,0)/100000),9)</f>
        <v>0</v>
      </c>
    </row>
    <row r="109" customFormat="false" ht="15" hidden="false" customHeight="false" outlineLevel="0" collapsed="false">
      <c r="A109" s="4" t="n">
        <v>105</v>
      </c>
      <c r="B109" s="4" t="n">
        <v>528</v>
      </c>
      <c r="C109" s="4" t="n">
        <v>0</v>
      </c>
      <c r="D109" s="11" t="n">
        <v>46054</v>
      </c>
      <c r="E109" s="4" t="s">
        <v>201</v>
      </c>
      <c r="F109" s="4" t="s">
        <v>206</v>
      </c>
      <c r="G109" s="4" t="n">
        <v>11</v>
      </c>
      <c r="H109" s="4" t="n">
        <v>5</v>
      </c>
      <c r="I109" s="4" t="n">
        <v>0</v>
      </c>
      <c r="J109" s="4" t="n">
        <v>5820</v>
      </c>
      <c r="K109" s="4" t="n">
        <v>0</v>
      </c>
      <c r="L109" s="12" t="n">
        <v>0.220971</v>
      </c>
      <c r="M109" s="12" t="n">
        <v>0.092063</v>
      </c>
      <c r="N109" s="12" t="n">
        <v>0.05007</v>
      </c>
      <c r="O109" s="12" t="n">
        <v>0.106183</v>
      </c>
      <c r="P109" s="12" t="n">
        <v>0.051465</v>
      </c>
      <c r="Q109" s="0" t="str">
        <f aca="false">IF(L109&gt;=Models!$G$5,1+COUNTIF($L$5:$L$1517,"&gt;"&amp;L109)+COUNTIFS($L$5:$L$1517,L109,$B$5:$B$1517,"&lt;"&amp;B109)+COUNTIFS($L$5:$L$1517,L109,$B$5:$B$1517,B109,$C$5:$C$1517,"&lt;"&amp;C109),"")</f>
        <v/>
      </c>
      <c r="R109" s="0" t="str">
        <f aca="false">IF(M109&gt;=Models!$G$6,1+COUNTIF($M$5:$M$1517,"&gt;"&amp;M109)+COUNTIFS($M$5:$M$1517,M109,$B$5:$B$1517,"&lt;"&amp;B109)+COUNTIFS($M$5:$M$1517,M109,$B$5:$B$1517,B109,$C$5:$C$1517,"&lt;"&amp;C109),"")</f>
        <v/>
      </c>
      <c r="S109" s="0" t="str">
        <f aca="false">IF(N109&gt;=Models!$G$7,1+COUNTIF($N$5:$N$1517,"&gt;"&amp;N109)+COUNTIFS($N$5:$N$1517,N109,$B$5:$B$1517,"&lt;"&amp;B109)+COUNTIFS($N$5:$N$1517,N109,$B$5:$B$1517,B109,$C$5:$C$1517,"&lt;"&amp;C109),"")</f>
        <v/>
      </c>
      <c r="T109" s="8" t="n">
        <f aca="false">IF(O109&gt;=Models!$G$8,1+COUNTIF($O$5:$O$1517,"&gt;"&amp;O109)+COUNTIFS($O$5:$O$1517,O109,$B$5:$B$1517,"&lt;"&amp;B109)+COUNTIFS($O$5:$O$1517,O109,$B$5:$B$1517,B109,$C$5:$C$1517,"&lt;"&amp;C109),"")</f>
        <v>397</v>
      </c>
      <c r="U109" s="8" t="n">
        <f aca="false">IF($K109=1,COUNTIFS($L$5:$L$1517,"&gt;="&amp;L109,$K$5:$K$1517,1)/COUNTIF($L$5:$L$1517,"&gt;="&amp;L109),0)</f>
        <v>0</v>
      </c>
      <c r="V109" s="8" t="n">
        <f aca="false">IF($K109=1,COUNTIFS($M$5:$M$1517,"&gt;="&amp;M109,$K$5:$K$1517,1)/COUNTIF($M$5:$M$1517,"&gt;="&amp;M109),0)</f>
        <v>0</v>
      </c>
      <c r="W109" s="8" t="n">
        <f aca="false">IF($K109=1,COUNTIFS($N$5:$N$1517,"&gt;="&amp;N109,$K$5:$K$1517,1)/COUNTIF($N$5:$N$1517,"&gt;="&amp;N109),0)</f>
        <v>0</v>
      </c>
      <c r="X109" s="8" t="n">
        <f aca="false">IF($K109=1,COUNTIFS($O$5:$O$1517,"&gt;="&amp;O109,$K$5:$K$1517,1)/COUNTIF($O$5:$O$1517,"&gt;="&amp;O109),0)</f>
        <v>0</v>
      </c>
      <c r="Y109" s="8" t="n">
        <f aca="false">IF($K109=1,COUNTIFS($P$5:$P$1517,"&gt;="&amp;P109,$K$5:$K$1517,1)/COUNTIF($P$5:$P$1517,"&gt;="&amp;P109),0)</f>
        <v>0</v>
      </c>
      <c r="Z109" s="8" t="n">
        <f aca="false">(L109-$K109)^2</f>
        <v>0.048828182841</v>
      </c>
      <c r="AA109" s="8" t="n">
        <f aca="false">(M109-$K109)^2</f>
        <v>0.008475595969</v>
      </c>
      <c r="AB109" s="8" t="n">
        <f aca="false">(N109-$K109)^2</f>
        <v>0.0025070049</v>
      </c>
      <c r="AC109" s="8" t="n">
        <f aca="false">(O109-$K109)^2</f>
        <v>0.011274829489</v>
      </c>
      <c r="AD109" s="8" t="n">
        <f aca="false">(P109-$K109)^2</f>
        <v>0.002648646225</v>
      </c>
      <c r="AE109" s="8" t="n">
        <f aca="false">MIN(INT(ROUND(N109*1000000,0)/100000),9)</f>
        <v>0</v>
      </c>
      <c r="AF109" s="8" t="n">
        <f aca="false">MIN(INT(ROUND(P109*1000000,0)/100000),9)</f>
        <v>0</v>
      </c>
    </row>
    <row r="110" customFormat="false" ht="15" hidden="false" customHeight="false" outlineLevel="0" collapsed="false">
      <c r="A110" s="4" t="n">
        <v>106</v>
      </c>
      <c r="B110" s="4" t="n">
        <v>536</v>
      </c>
      <c r="C110" s="4" t="n">
        <v>0</v>
      </c>
      <c r="D110" s="11" t="n">
        <v>46054</v>
      </c>
      <c r="E110" s="4" t="s">
        <v>204</v>
      </c>
      <c r="F110" s="4" t="s">
        <v>206</v>
      </c>
      <c r="G110" s="4" t="n">
        <v>0</v>
      </c>
      <c r="H110" s="4" t="n">
        <v>46</v>
      </c>
      <c r="I110" s="4" t="n">
        <v>0</v>
      </c>
      <c r="J110" s="4"/>
      <c r="K110" s="4" t="n">
        <v>0</v>
      </c>
      <c r="L110" s="12" t="n">
        <v>0.927274</v>
      </c>
      <c r="M110" s="12" t="n">
        <v>0.184211</v>
      </c>
      <c r="N110" s="12" t="n">
        <v>0.115489</v>
      </c>
      <c r="O110" s="12" t="n">
        <v>0.106183</v>
      </c>
      <c r="P110" s="12" t="n">
        <v>0.123062</v>
      </c>
      <c r="Q110" s="0" t="str">
        <f aca="false">IF(L110&gt;=Models!$G$5,1+COUNTIF($L$5:$L$1517,"&gt;"&amp;L110)+COUNTIFS($L$5:$L$1517,L110,$B$5:$B$1517,"&lt;"&amp;B110)+COUNTIFS($L$5:$L$1517,L110,$B$5:$B$1517,B110,$C$5:$C$1517,"&lt;"&amp;C110),"")</f>
        <v/>
      </c>
      <c r="R110" s="8" t="n">
        <f aca="false">IF(M110&gt;=Models!$G$6,1+COUNTIF($M$5:$M$1517,"&gt;"&amp;M110)+COUNTIFS($M$5:$M$1517,M110,$B$5:$B$1517,"&lt;"&amp;B110)+COUNTIFS($M$5:$M$1517,M110,$B$5:$B$1517,B110,$C$5:$C$1517,"&lt;"&amp;C110),"")</f>
        <v>43</v>
      </c>
      <c r="S110" s="0" t="str">
        <f aca="false">IF(N110&gt;=Models!$G$7,1+COUNTIF($N$5:$N$1517,"&gt;"&amp;N110)+COUNTIFS($N$5:$N$1517,N110,$B$5:$B$1517,"&lt;"&amp;B110)+COUNTIFS($N$5:$N$1517,N110,$B$5:$B$1517,B110,$C$5:$C$1517,"&lt;"&amp;C110),"")</f>
        <v/>
      </c>
      <c r="T110" s="8" t="n">
        <f aca="false">IF(O110&gt;=Models!$G$8,1+COUNTIF($O$5:$O$1517,"&gt;"&amp;O110)+COUNTIFS($O$5:$O$1517,O110,$B$5:$B$1517,"&lt;"&amp;B110)+COUNTIFS($O$5:$O$1517,O110,$B$5:$B$1517,B110,$C$5:$C$1517,"&lt;"&amp;C110),"")</f>
        <v>401</v>
      </c>
      <c r="U110" s="8" t="n">
        <f aca="false">IF($K110=1,COUNTIFS($L$5:$L$1517,"&gt;="&amp;L110,$K$5:$K$1517,1)/COUNTIF($L$5:$L$1517,"&gt;="&amp;L110),0)</f>
        <v>0</v>
      </c>
      <c r="V110" s="8" t="n">
        <f aca="false">IF($K110=1,COUNTIFS($M$5:$M$1517,"&gt;="&amp;M110,$K$5:$K$1517,1)/COUNTIF($M$5:$M$1517,"&gt;="&amp;M110),0)</f>
        <v>0</v>
      </c>
      <c r="W110" s="8" t="n">
        <f aca="false">IF($K110=1,COUNTIFS($N$5:$N$1517,"&gt;="&amp;N110,$K$5:$K$1517,1)/COUNTIF($N$5:$N$1517,"&gt;="&amp;N110),0)</f>
        <v>0</v>
      </c>
      <c r="X110" s="8" t="n">
        <f aca="false">IF($K110=1,COUNTIFS($O$5:$O$1517,"&gt;="&amp;O110,$K$5:$K$1517,1)/COUNTIF($O$5:$O$1517,"&gt;="&amp;O110),0)</f>
        <v>0</v>
      </c>
      <c r="Y110" s="8" t="n">
        <f aca="false">IF($K110=1,COUNTIFS($P$5:$P$1517,"&gt;="&amp;P110,$K$5:$K$1517,1)/COUNTIF($P$5:$P$1517,"&gt;="&amp;P110),0)</f>
        <v>0</v>
      </c>
      <c r="Z110" s="8" t="n">
        <f aca="false">(L110-$K110)^2</f>
        <v>0.859837071076</v>
      </c>
      <c r="AA110" s="8" t="n">
        <f aca="false">(M110-$K110)^2</f>
        <v>0.033933692521</v>
      </c>
      <c r="AB110" s="8" t="n">
        <f aca="false">(N110-$K110)^2</f>
        <v>0.013337709121</v>
      </c>
      <c r="AC110" s="8" t="n">
        <f aca="false">(O110-$K110)^2</f>
        <v>0.011274829489</v>
      </c>
      <c r="AD110" s="8" t="n">
        <f aca="false">(P110-$K110)^2</f>
        <v>0.015144255844</v>
      </c>
      <c r="AE110" s="8" t="n">
        <f aca="false">MIN(INT(ROUND(N110*1000000,0)/100000),9)</f>
        <v>1</v>
      </c>
      <c r="AF110" s="8" t="n">
        <f aca="false">MIN(INT(ROUND(P110*1000000,0)/100000),9)</f>
        <v>1</v>
      </c>
    </row>
    <row r="111" customFormat="false" ht="15" hidden="false" customHeight="false" outlineLevel="0" collapsed="false">
      <c r="A111" s="4" t="n">
        <v>107</v>
      </c>
      <c r="B111" s="4" t="n">
        <v>537</v>
      </c>
      <c r="C111" s="4" t="n">
        <v>0</v>
      </c>
      <c r="D111" s="11" t="n">
        <v>46054</v>
      </c>
      <c r="E111" s="4" t="s">
        <v>202</v>
      </c>
      <c r="F111" s="4" t="s">
        <v>208</v>
      </c>
      <c r="G111" s="4" t="n">
        <v>7</v>
      </c>
      <c r="H111" s="4" t="n">
        <v>4</v>
      </c>
      <c r="I111" s="4" t="n">
        <v>0</v>
      </c>
      <c r="J111" s="4"/>
      <c r="K111" s="4" t="n">
        <v>0</v>
      </c>
      <c r="L111" s="12" t="n">
        <v>0.081373</v>
      </c>
      <c r="M111" s="12" t="n">
        <v>0.092063</v>
      </c>
      <c r="N111" s="12" t="n">
        <v>0.046977</v>
      </c>
      <c r="O111" s="12" t="n">
        <v>0.106183</v>
      </c>
      <c r="P111" s="12" t="n">
        <v>0.048144</v>
      </c>
      <c r="Q111" s="0" t="str">
        <f aca="false">IF(L111&gt;=Models!$G$5,1+COUNTIF($L$5:$L$1517,"&gt;"&amp;L111)+COUNTIFS($L$5:$L$1517,L111,$B$5:$B$1517,"&lt;"&amp;B111)+COUNTIFS($L$5:$L$1517,L111,$B$5:$B$1517,B111,$C$5:$C$1517,"&lt;"&amp;C111),"")</f>
        <v/>
      </c>
      <c r="R111" s="0" t="str">
        <f aca="false">IF(M111&gt;=Models!$G$6,1+COUNTIF($M$5:$M$1517,"&gt;"&amp;M111)+COUNTIFS($M$5:$M$1517,M111,$B$5:$B$1517,"&lt;"&amp;B111)+COUNTIFS($M$5:$M$1517,M111,$B$5:$B$1517,B111,$C$5:$C$1517,"&lt;"&amp;C111),"")</f>
        <v/>
      </c>
      <c r="S111" s="0" t="str">
        <f aca="false">IF(N111&gt;=Models!$G$7,1+COUNTIF($N$5:$N$1517,"&gt;"&amp;N111)+COUNTIFS($N$5:$N$1517,N111,$B$5:$B$1517,"&lt;"&amp;B111)+COUNTIFS($N$5:$N$1517,N111,$B$5:$B$1517,B111,$C$5:$C$1517,"&lt;"&amp;C111),"")</f>
        <v/>
      </c>
      <c r="T111" s="8" t="n">
        <f aca="false">IF(O111&gt;=Models!$G$8,1+COUNTIF($O$5:$O$1517,"&gt;"&amp;O111)+COUNTIFS($O$5:$O$1517,O111,$B$5:$B$1517,"&lt;"&amp;B111)+COUNTIFS($O$5:$O$1517,O111,$B$5:$B$1517,B111,$C$5:$C$1517,"&lt;"&amp;C111),"")</f>
        <v>405</v>
      </c>
      <c r="U111" s="8" t="n">
        <f aca="false">IF($K111=1,COUNTIFS($L$5:$L$1517,"&gt;="&amp;L111,$K$5:$K$1517,1)/COUNTIF($L$5:$L$1517,"&gt;="&amp;L111),0)</f>
        <v>0</v>
      </c>
      <c r="V111" s="8" t="n">
        <f aca="false">IF($K111=1,COUNTIFS($M$5:$M$1517,"&gt;="&amp;M111,$K$5:$K$1517,1)/COUNTIF($M$5:$M$1517,"&gt;="&amp;M111),0)</f>
        <v>0</v>
      </c>
      <c r="W111" s="8" t="n">
        <f aca="false">IF($K111=1,COUNTIFS($N$5:$N$1517,"&gt;="&amp;N111,$K$5:$K$1517,1)/COUNTIF($N$5:$N$1517,"&gt;="&amp;N111),0)</f>
        <v>0</v>
      </c>
      <c r="X111" s="8" t="n">
        <f aca="false">IF($K111=1,COUNTIFS($O$5:$O$1517,"&gt;="&amp;O111,$K$5:$K$1517,1)/COUNTIF($O$5:$O$1517,"&gt;="&amp;O111),0)</f>
        <v>0</v>
      </c>
      <c r="Y111" s="8" t="n">
        <f aca="false">IF($K111=1,COUNTIFS($P$5:$P$1517,"&gt;="&amp;P111,$K$5:$K$1517,1)/COUNTIF($P$5:$P$1517,"&gt;="&amp;P111),0)</f>
        <v>0</v>
      </c>
      <c r="Z111" s="8" t="n">
        <f aca="false">(L111-$K111)^2</f>
        <v>0.006621565129</v>
      </c>
      <c r="AA111" s="8" t="n">
        <f aca="false">(M111-$K111)^2</f>
        <v>0.008475595969</v>
      </c>
      <c r="AB111" s="8" t="n">
        <f aca="false">(N111-$K111)^2</f>
        <v>0.002206838529</v>
      </c>
      <c r="AC111" s="8" t="n">
        <f aca="false">(O111-$K111)^2</f>
        <v>0.011274829489</v>
      </c>
      <c r="AD111" s="8" t="n">
        <f aca="false">(P111-$K111)^2</f>
        <v>0.002317844736</v>
      </c>
      <c r="AE111" s="8" t="n">
        <f aca="false">MIN(INT(ROUND(N111*1000000,0)/100000),9)</f>
        <v>0</v>
      </c>
      <c r="AF111" s="8" t="n">
        <f aca="false">MIN(INT(ROUND(P111*1000000,0)/100000),9)</f>
        <v>0</v>
      </c>
    </row>
    <row r="112" customFormat="false" ht="15" hidden="false" customHeight="false" outlineLevel="0" collapsed="false">
      <c r="A112" s="4" t="n">
        <v>108</v>
      </c>
      <c r="B112" s="4" t="n">
        <v>540</v>
      </c>
      <c r="C112" s="4" t="n">
        <v>0</v>
      </c>
      <c r="D112" s="11" t="n">
        <v>46054</v>
      </c>
      <c r="E112" s="4" t="s">
        <v>204</v>
      </c>
      <c r="F112" s="4" t="s">
        <v>210</v>
      </c>
      <c r="G112" s="4" t="n">
        <v>4</v>
      </c>
      <c r="H112" s="4" t="n">
        <v>3</v>
      </c>
      <c r="I112" s="4" t="n">
        <v>1</v>
      </c>
      <c r="J112" s="4" t="n">
        <v>108</v>
      </c>
      <c r="K112" s="4" t="n">
        <v>0</v>
      </c>
      <c r="L112" s="12" t="n">
        <v>0.843637</v>
      </c>
      <c r="M112" s="12" t="n">
        <v>0.184211</v>
      </c>
      <c r="N112" s="12" t="n">
        <v>0.19755</v>
      </c>
      <c r="O112" s="12" t="n">
        <v>0.106183</v>
      </c>
      <c r="P112" s="12" t="n">
        <v>0.214266</v>
      </c>
      <c r="Q112" s="0" t="str">
        <f aca="false">IF(L112&gt;=Models!$G$5,1+COUNTIF($L$5:$L$1517,"&gt;"&amp;L112)+COUNTIFS($L$5:$L$1517,L112,$B$5:$B$1517,"&lt;"&amp;B112)+COUNTIFS($L$5:$L$1517,L112,$B$5:$B$1517,B112,$C$5:$C$1517,"&lt;"&amp;C112),"")</f>
        <v/>
      </c>
      <c r="R112" s="8" t="n">
        <f aca="false">IF(M112&gt;=Models!$G$6,1+COUNTIF($M$5:$M$1517,"&gt;"&amp;M112)+COUNTIFS($M$5:$M$1517,M112,$B$5:$B$1517,"&lt;"&amp;B112)+COUNTIFS($M$5:$M$1517,M112,$B$5:$B$1517,B112,$C$5:$C$1517,"&lt;"&amp;C112),"")</f>
        <v>46</v>
      </c>
      <c r="S112" s="0" t="str">
        <f aca="false">IF(N112&gt;=Models!$G$7,1+COUNTIF($N$5:$N$1517,"&gt;"&amp;N112)+COUNTIFS($N$5:$N$1517,N112,$B$5:$B$1517,"&lt;"&amp;B112)+COUNTIFS($N$5:$N$1517,N112,$B$5:$B$1517,B112,$C$5:$C$1517,"&lt;"&amp;C112),"")</f>
        <v/>
      </c>
      <c r="T112" s="8" t="n">
        <f aca="false">IF(O112&gt;=Models!$G$8,1+COUNTIF($O$5:$O$1517,"&gt;"&amp;O112)+COUNTIFS($O$5:$O$1517,O112,$B$5:$B$1517,"&lt;"&amp;B112)+COUNTIFS($O$5:$O$1517,O112,$B$5:$B$1517,B112,$C$5:$C$1517,"&lt;"&amp;C112),"")</f>
        <v>409</v>
      </c>
      <c r="U112" s="8" t="n">
        <f aca="false">IF($K112=1,COUNTIFS($L$5:$L$1517,"&gt;="&amp;L112,$K$5:$K$1517,1)/COUNTIF($L$5:$L$1517,"&gt;="&amp;L112),0)</f>
        <v>0</v>
      </c>
      <c r="V112" s="8" t="n">
        <f aca="false">IF($K112=1,COUNTIFS($M$5:$M$1517,"&gt;="&amp;M112,$K$5:$K$1517,1)/COUNTIF($M$5:$M$1517,"&gt;="&amp;M112),0)</f>
        <v>0</v>
      </c>
      <c r="W112" s="8" t="n">
        <f aca="false">IF($K112=1,COUNTIFS($N$5:$N$1517,"&gt;="&amp;N112,$K$5:$K$1517,1)/COUNTIF($N$5:$N$1517,"&gt;="&amp;N112),0)</f>
        <v>0</v>
      </c>
      <c r="X112" s="8" t="n">
        <f aca="false">IF($K112=1,COUNTIFS($O$5:$O$1517,"&gt;="&amp;O112,$K$5:$K$1517,1)/COUNTIF($O$5:$O$1517,"&gt;="&amp;O112),0)</f>
        <v>0</v>
      </c>
      <c r="Y112" s="8" t="n">
        <f aca="false">IF($K112=1,COUNTIFS($P$5:$P$1517,"&gt;="&amp;P112,$K$5:$K$1517,1)/COUNTIF($P$5:$P$1517,"&gt;="&amp;P112),0)</f>
        <v>0</v>
      </c>
      <c r="Z112" s="8" t="n">
        <f aca="false">(L112-$K112)^2</f>
        <v>0.711723387769</v>
      </c>
      <c r="AA112" s="8" t="n">
        <f aca="false">(M112-$K112)^2</f>
        <v>0.033933692521</v>
      </c>
      <c r="AB112" s="8" t="n">
        <f aca="false">(N112-$K112)^2</f>
        <v>0.0390260025</v>
      </c>
      <c r="AC112" s="8" t="n">
        <f aca="false">(O112-$K112)^2</f>
        <v>0.011274829489</v>
      </c>
      <c r="AD112" s="8" t="n">
        <f aca="false">(P112-$K112)^2</f>
        <v>0.045909918756</v>
      </c>
      <c r="AE112" s="8" t="n">
        <f aca="false">MIN(INT(ROUND(N112*1000000,0)/100000),9)</f>
        <v>1</v>
      </c>
      <c r="AF112" s="8" t="n">
        <f aca="false">MIN(INT(ROUND(P112*1000000,0)/100000),9)</f>
        <v>2</v>
      </c>
    </row>
    <row r="113" customFormat="false" ht="15" hidden="false" customHeight="false" outlineLevel="0" collapsed="false">
      <c r="A113" s="4" t="n">
        <v>109</v>
      </c>
      <c r="B113" s="4" t="n">
        <v>556</v>
      </c>
      <c r="C113" s="4" t="n">
        <v>0</v>
      </c>
      <c r="D113" s="11" t="n">
        <v>46054</v>
      </c>
      <c r="E113" s="4" t="s">
        <v>202</v>
      </c>
      <c r="F113" s="4" t="s">
        <v>206</v>
      </c>
      <c r="G113" s="4" t="n">
        <v>4</v>
      </c>
      <c r="H113" s="4" t="n">
        <v>1</v>
      </c>
      <c r="I113" s="4" t="n">
        <v>0</v>
      </c>
      <c r="J113" s="4"/>
      <c r="K113" s="4" t="n">
        <v>0</v>
      </c>
      <c r="L113" s="12" t="n">
        <v>0.749865</v>
      </c>
      <c r="M113" s="12" t="n">
        <v>0.092063</v>
      </c>
      <c r="N113" s="12" t="n">
        <v>0.059268</v>
      </c>
      <c r="O113" s="12" t="n">
        <v>0.106183</v>
      </c>
      <c r="P113" s="12" t="n">
        <v>0.06139</v>
      </c>
      <c r="Q113" s="0" t="str">
        <f aca="false">IF(L113&gt;=Models!$G$5,1+COUNTIF($L$5:$L$1517,"&gt;"&amp;L113)+COUNTIFS($L$5:$L$1517,L113,$B$5:$B$1517,"&lt;"&amp;B113)+COUNTIFS($L$5:$L$1517,L113,$B$5:$B$1517,B113,$C$5:$C$1517,"&lt;"&amp;C113),"")</f>
        <v/>
      </c>
      <c r="R113" s="0" t="str">
        <f aca="false">IF(M113&gt;=Models!$G$6,1+COUNTIF($M$5:$M$1517,"&gt;"&amp;M113)+COUNTIFS($M$5:$M$1517,M113,$B$5:$B$1517,"&lt;"&amp;B113)+COUNTIFS($M$5:$M$1517,M113,$B$5:$B$1517,B113,$C$5:$C$1517,"&lt;"&amp;C113),"")</f>
        <v/>
      </c>
      <c r="S113" s="0" t="str">
        <f aca="false">IF(N113&gt;=Models!$G$7,1+COUNTIF($N$5:$N$1517,"&gt;"&amp;N113)+COUNTIFS($N$5:$N$1517,N113,$B$5:$B$1517,"&lt;"&amp;B113)+COUNTIFS($N$5:$N$1517,N113,$B$5:$B$1517,B113,$C$5:$C$1517,"&lt;"&amp;C113),"")</f>
        <v/>
      </c>
      <c r="T113" s="8" t="n">
        <f aca="false">IF(O113&gt;=Models!$G$8,1+COUNTIF($O$5:$O$1517,"&gt;"&amp;O113)+COUNTIFS($O$5:$O$1517,O113,$B$5:$B$1517,"&lt;"&amp;B113)+COUNTIFS($O$5:$O$1517,O113,$B$5:$B$1517,B113,$C$5:$C$1517,"&lt;"&amp;C113),"")</f>
        <v>413</v>
      </c>
      <c r="U113" s="8" t="n">
        <f aca="false">IF($K113=1,COUNTIFS($L$5:$L$1517,"&gt;="&amp;L113,$K$5:$K$1517,1)/COUNTIF($L$5:$L$1517,"&gt;="&amp;L113),0)</f>
        <v>0</v>
      </c>
      <c r="V113" s="8" t="n">
        <f aca="false">IF($K113=1,COUNTIFS($M$5:$M$1517,"&gt;="&amp;M113,$K$5:$K$1517,1)/COUNTIF($M$5:$M$1517,"&gt;="&amp;M113),0)</f>
        <v>0</v>
      </c>
      <c r="W113" s="8" t="n">
        <f aca="false">IF($K113=1,COUNTIFS($N$5:$N$1517,"&gt;="&amp;N113,$K$5:$K$1517,1)/COUNTIF($N$5:$N$1517,"&gt;="&amp;N113),0)</f>
        <v>0</v>
      </c>
      <c r="X113" s="8" t="n">
        <f aca="false">IF($K113=1,COUNTIFS($O$5:$O$1517,"&gt;="&amp;O113,$K$5:$K$1517,1)/COUNTIF($O$5:$O$1517,"&gt;="&amp;O113),0)</f>
        <v>0</v>
      </c>
      <c r="Y113" s="8" t="n">
        <f aca="false">IF($K113=1,COUNTIFS($P$5:$P$1517,"&gt;="&amp;P113,$K$5:$K$1517,1)/COUNTIF($P$5:$P$1517,"&gt;="&amp;P113),0)</f>
        <v>0</v>
      </c>
      <c r="Z113" s="8" t="n">
        <f aca="false">(L113-$K113)^2</f>
        <v>0.562297518225</v>
      </c>
      <c r="AA113" s="8" t="n">
        <f aca="false">(M113-$K113)^2</f>
        <v>0.008475595969</v>
      </c>
      <c r="AB113" s="8" t="n">
        <f aca="false">(N113-$K113)^2</f>
        <v>0.003512695824</v>
      </c>
      <c r="AC113" s="8" t="n">
        <f aca="false">(O113-$K113)^2</f>
        <v>0.011274829489</v>
      </c>
      <c r="AD113" s="8" t="n">
        <f aca="false">(P113-$K113)^2</f>
        <v>0.0037687321</v>
      </c>
      <c r="AE113" s="8" t="n">
        <f aca="false">MIN(INT(ROUND(N113*1000000,0)/100000),9)</f>
        <v>0</v>
      </c>
      <c r="AF113" s="8" t="n">
        <f aca="false">MIN(INT(ROUND(P113*1000000,0)/100000),9)</f>
        <v>0</v>
      </c>
    </row>
    <row r="114" customFormat="false" ht="15" hidden="false" customHeight="false" outlineLevel="0" collapsed="false">
      <c r="A114" s="4" t="n">
        <v>110</v>
      </c>
      <c r="B114" s="4" t="n">
        <v>567</v>
      </c>
      <c r="C114" s="4" t="n">
        <v>0</v>
      </c>
      <c r="D114" s="11" t="n">
        <v>46054</v>
      </c>
      <c r="E114" s="4" t="s">
        <v>203</v>
      </c>
      <c r="F114" s="4" t="s">
        <v>209</v>
      </c>
      <c r="G114" s="4" t="n">
        <v>10</v>
      </c>
      <c r="H114" s="4" t="n">
        <v>0</v>
      </c>
      <c r="I114" s="4" t="n">
        <v>0</v>
      </c>
      <c r="J114" s="4"/>
      <c r="K114" s="4" t="n">
        <v>0</v>
      </c>
      <c r="L114" s="12" t="n">
        <v>0.953662</v>
      </c>
      <c r="M114" s="12" t="n">
        <v>0.092063</v>
      </c>
      <c r="N114" s="12" t="n">
        <v>0.035137</v>
      </c>
      <c r="O114" s="12" t="n">
        <v>0.106183</v>
      </c>
      <c r="P114" s="12" t="n">
        <v>0.035524</v>
      </c>
      <c r="Q114" s="0" t="str">
        <f aca="false">IF(L114&gt;=Models!$G$5,1+COUNTIF($L$5:$L$1517,"&gt;"&amp;L114)+COUNTIFS($L$5:$L$1517,L114,$B$5:$B$1517,"&lt;"&amp;B114)+COUNTIFS($L$5:$L$1517,L114,$B$5:$B$1517,B114,$C$5:$C$1517,"&lt;"&amp;C114),"")</f>
        <v/>
      </c>
      <c r="R114" s="0" t="str">
        <f aca="false">IF(M114&gt;=Models!$G$6,1+COUNTIF($M$5:$M$1517,"&gt;"&amp;M114)+COUNTIFS($M$5:$M$1517,M114,$B$5:$B$1517,"&lt;"&amp;B114)+COUNTIFS($M$5:$M$1517,M114,$B$5:$B$1517,B114,$C$5:$C$1517,"&lt;"&amp;C114),"")</f>
        <v/>
      </c>
      <c r="S114" s="0" t="str">
        <f aca="false">IF(N114&gt;=Models!$G$7,1+COUNTIF($N$5:$N$1517,"&gt;"&amp;N114)+COUNTIFS($N$5:$N$1517,N114,$B$5:$B$1517,"&lt;"&amp;B114)+COUNTIFS($N$5:$N$1517,N114,$B$5:$B$1517,B114,$C$5:$C$1517,"&lt;"&amp;C114),"")</f>
        <v/>
      </c>
      <c r="T114" s="8" t="n">
        <f aca="false">IF(O114&gt;=Models!$G$8,1+COUNTIF($O$5:$O$1517,"&gt;"&amp;O114)+COUNTIFS($O$5:$O$1517,O114,$B$5:$B$1517,"&lt;"&amp;B114)+COUNTIFS($O$5:$O$1517,O114,$B$5:$B$1517,B114,$C$5:$C$1517,"&lt;"&amp;C114),"")</f>
        <v>417</v>
      </c>
      <c r="U114" s="8" t="n">
        <f aca="false">IF($K114=1,COUNTIFS($L$5:$L$1517,"&gt;="&amp;L114,$K$5:$K$1517,1)/COUNTIF($L$5:$L$1517,"&gt;="&amp;L114),0)</f>
        <v>0</v>
      </c>
      <c r="V114" s="8" t="n">
        <f aca="false">IF($K114=1,COUNTIFS($M$5:$M$1517,"&gt;="&amp;M114,$K$5:$K$1517,1)/COUNTIF($M$5:$M$1517,"&gt;="&amp;M114),0)</f>
        <v>0</v>
      </c>
      <c r="W114" s="8" t="n">
        <f aca="false">IF($K114=1,COUNTIFS($N$5:$N$1517,"&gt;="&amp;N114,$K$5:$K$1517,1)/COUNTIF($N$5:$N$1517,"&gt;="&amp;N114),0)</f>
        <v>0</v>
      </c>
      <c r="X114" s="8" t="n">
        <f aca="false">IF($K114=1,COUNTIFS($O$5:$O$1517,"&gt;="&amp;O114,$K$5:$K$1517,1)/COUNTIF($O$5:$O$1517,"&gt;="&amp;O114),0)</f>
        <v>0</v>
      </c>
      <c r="Y114" s="8" t="n">
        <f aca="false">IF($K114=1,COUNTIFS($P$5:$P$1517,"&gt;="&amp;P114,$K$5:$K$1517,1)/COUNTIF($P$5:$P$1517,"&gt;="&amp;P114),0)</f>
        <v>0</v>
      </c>
      <c r="Z114" s="8" t="n">
        <f aca="false">(L114-$K114)^2</f>
        <v>0.909471210244</v>
      </c>
      <c r="AA114" s="8" t="n">
        <f aca="false">(M114-$K114)^2</f>
        <v>0.008475595969</v>
      </c>
      <c r="AB114" s="8" t="n">
        <f aca="false">(N114-$K114)^2</f>
        <v>0.001234608769</v>
      </c>
      <c r="AC114" s="8" t="n">
        <f aca="false">(O114-$K114)^2</f>
        <v>0.011274829489</v>
      </c>
      <c r="AD114" s="8" t="n">
        <f aca="false">(P114-$K114)^2</f>
        <v>0.001261954576</v>
      </c>
      <c r="AE114" s="8" t="n">
        <f aca="false">MIN(INT(ROUND(N114*1000000,0)/100000),9)</f>
        <v>0</v>
      </c>
      <c r="AF114" s="8" t="n">
        <f aca="false">MIN(INT(ROUND(P114*1000000,0)/100000),9)</f>
        <v>0</v>
      </c>
    </row>
    <row r="115" customFormat="false" ht="15" hidden="false" customHeight="false" outlineLevel="0" collapsed="false">
      <c r="A115" s="4" t="n">
        <v>111</v>
      </c>
      <c r="B115" s="4" t="n">
        <v>570</v>
      </c>
      <c r="C115" s="4" t="n">
        <v>0</v>
      </c>
      <c r="D115" s="11" t="n">
        <v>46054</v>
      </c>
      <c r="E115" s="4" t="s">
        <v>202</v>
      </c>
      <c r="F115" s="4" t="s">
        <v>210</v>
      </c>
      <c r="G115" s="4" t="n">
        <v>15</v>
      </c>
      <c r="H115" s="4" t="n">
        <v>3</v>
      </c>
      <c r="I115" s="4" t="n">
        <v>0</v>
      </c>
      <c r="J115" s="4"/>
      <c r="K115" s="4" t="n">
        <v>0</v>
      </c>
      <c r="L115" s="12" t="n">
        <v>0.138268</v>
      </c>
      <c r="M115" s="12" t="n">
        <v>0.092063</v>
      </c>
      <c r="N115" s="12" t="n">
        <v>0.023246</v>
      </c>
      <c r="O115" s="12" t="n">
        <v>0.106183</v>
      </c>
      <c r="P115" s="12" t="n">
        <v>0.023045</v>
      </c>
      <c r="Q115" s="0" t="str">
        <f aca="false">IF(L115&gt;=Models!$G$5,1+COUNTIF($L$5:$L$1517,"&gt;"&amp;L115)+COUNTIFS($L$5:$L$1517,L115,$B$5:$B$1517,"&lt;"&amp;B115)+COUNTIFS($L$5:$L$1517,L115,$B$5:$B$1517,B115,$C$5:$C$1517,"&lt;"&amp;C115),"")</f>
        <v/>
      </c>
      <c r="R115" s="0" t="str">
        <f aca="false">IF(M115&gt;=Models!$G$6,1+COUNTIF($M$5:$M$1517,"&gt;"&amp;M115)+COUNTIFS($M$5:$M$1517,M115,$B$5:$B$1517,"&lt;"&amp;B115)+COUNTIFS($M$5:$M$1517,M115,$B$5:$B$1517,B115,$C$5:$C$1517,"&lt;"&amp;C115),"")</f>
        <v/>
      </c>
      <c r="S115" s="0" t="str">
        <f aca="false">IF(N115&gt;=Models!$G$7,1+COUNTIF($N$5:$N$1517,"&gt;"&amp;N115)+COUNTIFS($N$5:$N$1517,N115,$B$5:$B$1517,"&lt;"&amp;B115)+COUNTIFS($N$5:$N$1517,N115,$B$5:$B$1517,B115,$C$5:$C$1517,"&lt;"&amp;C115),"")</f>
        <v/>
      </c>
      <c r="T115" s="8" t="n">
        <f aca="false">IF(O115&gt;=Models!$G$8,1+COUNTIF($O$5:$O$1517,"&gt;"&amp;O115)+COUNTIFS($O$5:$O$1517,O115,$B$5:$B$1517,"&lt;"&amp;B115)+COUNTIFS($O$5:$O$1517,O115,$B$5:$B$1517,B115,$C$5:$C$1517,"&lt;"&amp;C115),"")</f>
        <v>421</v>
      </c>
      <c r="U115" s="8" t="n">
        <f aca="false">IF($K115=1,COUNTIFS($L$5:$L$1517,"&gt;="&amp;L115,$K$5:$K$1517,1)/COUNTIF($L$5:$L$1517,"&gt;="&amp;L115),0)</f>
        <v>0</v>
      </c>
      <c r="V115" s="8" t="n">
        <f aca="false">IF($K115=1,COUNTIFS($M$5:$M$1517,"&gt;="&amp;M115,$K$5:$K$1517,1)/COUNTIF($M$5:$M$1517,"&gt;="&amp;M115),0)</f>
        <v>0</v>
      </c>
      <c r="W115" s="8" t="n">
        <f aca="false">IF($K115=1,COUNTIFS($N$5:$N$1517,"&gt;="&amp;N115,$K$5:$K$1517,1)/COUNTIF($N$5:$N$1517,"&gt;="&amp;N115),0)</f>
        <v>0</v>
      </c>
      <c r="X115" s="8" t="n">
        <f aca="false">IF($K115=1,COUNTIFS($O$5:$O$1517,"&gt;="&amp;O115,$K$5:$K$1517,1)/COUNTIF($O$5:$O$1517,"&gt;="&amp;O115),0)</f>
        <v>0</v>
      </c>
      <c r="Y115" s="8" t="n">
        <f aca="false">IF($K115=1,COUNTIFS($P$5:$P$1517,"&gt;="&amp;P115,$K$5:$K$1517,1)/COUNTIF($P$5:$P$1517,"&gt;="&amp;P115),0)</f>
        <v>0</v>
      </c>
      <c r="Z115" s="8" t="n">
        <f aca="false">(L115-$K115)^2</f>
        <v>0.019118039824</v>
      </c>
      <c r="AA115" s="8" t="n">
        <f aca="false">(M115-$K115)^2</f>
        <v>0.008475595969</v>
      </c>
      <c r="AB115" s="8" t="n">
        <f aca="false">(N115-$K115)^2</f>
        <v>0.000540376516</v>
      </c>
      <c r="AC115" s="8" t="n">
        <f aca="false">(O115-$K115)^2</f>
        <v>0.011274829489</v>
      </c>
      <c r="AD115" s="8" t="n">
        <f aca="false">(P115-$K115)^2</f>
        <v>0.000531072025</v>
      </c>
      <c r="AE115" s="8" t="n">
        <f aca="false">MIN(INT(ROUND(N115*1000000,0)/100000),9)</f>
        <v>0</v>
      </c>
      <c r="AF115" s="8" t="n">
        <f aca="false">MIN(INT(ROUND(P115*1000000,0)/100000),9)</f>
        <v>0</v>
      </c>
    </row>
    <row r="116" customFormat="false" ht="15" hidden="false" customHeight="false" outlineLevel="0" collapsed="false">
      <c r="A116" s="4" t="n">
        <v>112</v>
      </c>
      <c r="B116" s="4" t="n">
        <v>572</v>
      </c>
      <c r="C116" s="4" t="n">
        <v>0</v>
      </c>
      <c r="D116" s="11" t="n">
        <v>46054</v>
      </c>
      <c r="E116" s="4" t="s">
        <v>203</v>
      </c>
      <c r="F116" s="4" t="s">
        <v>210</v>
      </c>
      <c r="G116" s="4" t="n">
        <v>9</v>
      </c>
      <c r="H116" s="4" t="n">
        <v>2</v>
      </c>
      <c r="I116" s="4" t="n">
        <v>0</v>
      </c>
      <c r="J116" s="4" t="n">
        <v>384</v>
      </c>
      <c r="K116" s="4" t="n">
        <v>0</v>
      </c>
      <c r="L116" s="12" t="n">
        <v>0.107914</v>
      </c>
      <c r="M116" s="12" t="n">
        <v>0.092063</v>
      </c>
      <c r="N116" s="12" t="n">
        <v>0.077852</v>
      </c>
      <c r="O116" s="12" t="n">
        <v>0.106183</v>
      </c>
      <c r="P116" s="12" t="n">
        <v>0.08162</v>
      </c>
      <c r="Q116" s="0" t="str">
        <f aca="false">IF(L116&gt;=Models!$G$5,1+COUNTIF($L$5:$L$1517,"&gt;"&amp;L116)+COUNTIFS($L$5:$L$1517,L116,$B$5:$B$1517,"&lt;"&amp;B116)+COUNTIFS($L$5:$L$1517,L116,$B$5:$B$1517,B116,$C$5:$C$1517,"&lt;"&amp;C116),"")</f>
        <v/>
      </c>
      <c r="R116" s="0" t="str">
        <f aca="false">IF(M116&gt;=Models!$G$6,1+COUNTIF($M$5:$M$1517,"&gt;"&amp;M116)+COUNTIFS($M$5:$M$1517,M116,$B$5:$B$1517,"&lt;"&amp;B116)+COUNTIFS($M$5:$M$1517,M116,$B$5:$B$1517,B116,$C$5:$C$1517,"&lt;"&amp;C116),"")</f>
        <v/>
      </c>
      <c r="S116" s="0" t="str">
        <f aca="false">IF(N116&gt;=Models!$G$7,1+COUNTIF($N$5:$N$1517,"&gt;"&amp;N116)+COUNTIFS($N$5:$N$1517,N116,$B$5:$B$1517,"&lt;"&amp;B116)+COUNTIFS($N$5:$N$1517,N116,$B$5:$B$1517,B116,$C$5:$C$1517,"&lt;"&amp;C116),"")</f>
        <v/>
      </c>
      <c r="T116" s="8" t="n">
        <f aca="false">IF(O116&gt;=Models!$G$8,1+COUNTIF($O$5:$O$1517,"&gt;"&amp;O116)+COUNTIFS($O$5:$O$1517,O116,$B$5:$B$1517,"&lt;"&amp;B116)+COUNTIFS($O$5:$O$1517,O116,$B$5:$B$1517,B116,$C$5:$C$1517,"&lt;"&amp;C116),"")</f>
        <v>425</v>
      </c>
      <c r="U116" s="8" t="n">
        <f aca="false">IF($K116=1,COUNTIFS($L$5:$L$1517,"&gt;="&amp;L116,$K$5:$K$1517,1)/COUNTIF($L$5:$L$1517,"&gt;="&amp;L116),0)</f>
        <v>0</v>
      </c>
      <c r="V116" s="8" t="n">
        <f aca="false">IF($K116=1,COUNTIFS($M$5:$M$1517,"&gt;="&amp;M116,$K$5:$K$1517,1)/COUNTIF($M$5:$M$1517,"&gt;="&amp;M116),0)</f>
        <v>0</v>
      </c>
      <c r="W116" s="8" t="n">
        <f aca="false">IF($K116=1,COUNTIFS($N$5:$N$1517,"&gt;="&amp;N116,$K$5:$K$1517,1)/COUNTIF($N$5:$N$1517,"&gt;="&amp;N116),0)</f>
        <v>0</v>
      </c>
      <c r="X116" s="8" t="n">
        <f aca="false">IF($K116=1,COUNTIFS($O$5:$O$1517,"&gt;="&amp;O116,$K$5:$K$1517,1)/COUNTIF($O$5:$O$1517,"&gt;="&amp;O116),0)</f>
        <v>0</v>
      </c>
      <c r="Y116" s="8" t="n">
        <f aca="false">IF($K116=1,COUNTIFS($P$5:$P$1517,"&gt;="&amp;P116,$K$5:$K$1517,1)/COUNTIF($P$5:$P$1517,"&gt;="&amp;P116),0)</f>
        <v>0</v>
      </c>
      <c r="Z116" s="8" t="n">
        <f aca="false">(L116-$K116)^2</f>
        <v>0.011645431396</v>
      </c>
      <c r="AA116" s="8" t="n">
        <f aca="false">(M116-$K116)^2</f>
        <v>0.008475595969</v>
      </c>
      <c r="AB116" s="8" t="n">
        <f aca="false">(N116-$K116)^2</f>
        <v>0.006060933904</v>
      </c>
      <c r="AC116" s="8" t="n">
        <f aca="false">(O116-$K116)^2</f>
        <v>0.011274829489</v>
      </c>
      <c r="AD116" s="8" t="n">
        <f aca="false">(P116-$K116)^2</f>
        <v>0.0066618244</v>
      </c>
      <c r="AE116" s="8" t="n">
        <f aca="false">MIN(INT(ROUND(N116*1000000,0)/100000),9)</f>
        <v>0</v>
      </c>
      <c r="AF116" s="8" t="n">
        <f aca="false">MIN(INT(ROUND(P116*1000000,0)/100000),9)</f>
        <v>0</v>
      </c>
    </row>
    <row r="117" customFormat="false" ht="15" hidden="false" customHeight="false" outlineLevel="0" collapsed="false">
      <c r="A117" s="4" t="n">
        <v>113</v>
      </c>
      <c r="B117" s="4" t="n">
        <v>573</v>
      </c>
      <c r="C117" s="4" t="n">
        <v>0</v>
      </c>
      <c r="D117" s="11" t="n">
        <v>46054</v>
      </c>
      <c r="E117" s="4" t="s">
        <v>202</v>
      </c>
      <c r="F117" s="4" t="s">
        <v>206</v>
      </c>
      <c r="G117" s="4" t="n">
        <v>10</v>
      </c>
      <c r="H117" s="4" t="n">
        <v>5</v>
      </c>
      <c r="I117" s="4" t="n">
        <v>0</v>
      </c>
      <c r="J117" s="4" t="n">
        <v>1293</v>
      </c>
      <c r="K117" s="4" t="n">
        <v>0</v>
      </c>
      <c r="L117" s="12" t="n">
        <v>0.409576</v>
      </c>
      <c r="M117" s="12" t="n">
        <v>0.092063</v>
      </c>
      <c r="N117" s="12" t="n">
        <v>0.069779</v>
      </c>
      <c r="O117" s="12" t="n">
        <v>0.106183</v>
      </c>
      <c r="P117" s="12" t="n">
        <v>0.072807</v>
      </c>
      <c r="Q117" s="0" t="str">
        <f aca="false">IF(L117&gt;=Models!$G$5,1+COUNTIF($L$5:$L$1517,"&gt;"&amp;L117)+COUNTIFS($L$5:$L$1517,L117,$B$5:$B$1517,"&lt;"&amp;B117)+COUNTIFS($L$5:$L$1517,L117,$B$5:$B$1517,B117,$C$5:$C$1517,"&lt;"&amp;C117),"")</f>
        <v/>
      </c>
      <c r="R117" s="0" t="str">
        <f aca="false">IF(M117&gt;=Models!$G$6,1+COUNTIF($M$5:$M$1517,"&gt;"&amp;M117)+COUNTIFS($M$5:$M$1517,M117,$B$5:$B$1517,"&lt;"&amp;B117)+COUNTIFS($M$5:$M$1517,M117,$B$5:$B$1517,B117,$C$5:$C$1517,"&lt;"&amp;C117),"")</f>
        <v/>
      </c>
      <c r="S117" s="0" t="str">
        <f aca="false">IF(N117&gt;=Models!$G$7,1+COUNTIF($N$5:$N$1517,"&gt;"&amp;N117)+COUNTIFS($N$5:$N$1517,N117,$B$5:$B$1517,"&lt;"&amp;B117)+COUNTIFS($N$5:$N$1517,N117,$B$5:$B$1517,B117,$C$5:$C$1517,"&lt;"&amp;C117),"")</f>
        <v/>
      </c>
      <c r="T117" s="8" t="n">
        <f aca="false">IF(O117&gt;=Models!$G$8,1+COUNTIF($O$5:$O$1517,"&gt;"&amp;O117)+COUNTIFS($O$5:$O$1517,O117,$B$5:$B$1517,"&lt;"&amp;B117)+COUNTIFS($O$5:$O$1517,O117,$B$5:$B$1517,B117,$C$5:$C$1517,"&lt;"&amp;C117),"")</f>
        <v>429</v>
      </c>
      <c r="U117" s="8" t="n">
        <f aca="false">IF($K117=1,COUNTIFS($L$5:$L$1517,"&gt;="&amp;L117,$K$5:$K$1517,1)/COUNTIF($L$5:$L$1517,"&gt;="&amp;L117),0)</f>
        <v>0</v>
      </c>
      <c r="V117" s="8" t="n">
        <f aca="false">IF($K117=1,COUNTIFS($M$5:$M$1517,"&gt;="&amp;M117,$K$5:$K$1517,1)/COUNTIF($M$5:$M$1517,"&gt;="&amp;M117),0)</f>
        <v>0</v>
      </c>
      <c r="W117" s="8" t="n">
        <f aca="false">IF($K117=1,COUNTIFS($N$5:$N$1517,"&gt;="&amp;N117,$K$5:$K$1517,1)/COUNTIF($N$5:$N$1517,"&gt;="&amp;N117),0)</f>
        <v>0</v>
      </c>
      <c r="X117" s="8" t="n">
        <f aca="false">IF($K117=1,COUNTIFS($O$5:$O$1517,"&gt;="&amp;O117,$K$5:$K$1517,1)/COUNTIF($O$5:$O$1517,"&gt;="&amp;O117),0)</f>
        <v>0</v>
      </c>
      <c r="Y117" s="8" t="n">
        <f aca="false">IF($K117=1,COUNTIFS($P$5:$P$1517,"&gt;="&amp;P117,$K$5:$K$1517,1)/COUNTIF($P$5:$P$1517,"&gt;="&amp;P117),0)</f>
        <v>0</v>
      </c>
      <c r="Z117" s="8" t="n">
        <f aca="false">(L117-$K117)^2</f>
        <v>0.167752499776</v>
      </c>
      <c r="AA117" s="8" t="n">
        <f aca="false">(M117-$K117)^2</f>
        <v>0.008475595969</v>
      </c>
      <c r="AB117" s="8" t="n">
        <f aca="false">(N117-$K117)^2</f>
        <v>0.004869108841</v>
      </c>
      <c r="AC117" s="8" t="n">
        <f aca="false">(O117-$K117)^2</f>
        <v>0.011274829489</v>
      </c>
      <c r="AD117" s="8" t="n">
        <f aca="false">(P117-$K117)^2</f>
        <v>0.005300859249</v>
      </c>
      <c r="AE117" s="8" t="n">
        <f aca="false">MIN(INT(ROUND(N117*1000000,0)/100000),9)</f>
        <v>0</v>
      </c>
      <c r="AF117" s="8" t="n">
        <f aca="false">MIN(INT(ROUND(P117*1000000,0)/100000),9)</f>
        <v>0</v>
      </c>
    </row>
    <row r="118" customFormat="false" ht="15" hidden="false" customHeight="false" outlineLevel="0" collapsed="false">
      <c r="A118" s="4" t="n">
        <v>114</v>
      </c>
      <c r="B118" s="4" t="n">
        <v>575</v>
      </c>
      <c r="C118" s="4" t="n">
        <v>0</v>
      </c>
      <c r="D118" s="11" t="n">
        <v>46054</v>
      </c>
      <c r="E118" s="4" t="s">
        <v>203</v>
      </c>
      <c r="F118" s="4" t="s">
        <v>208</v>
      </c>
      <c r="G118" s="4" t="n">
        <v>8</v>
      </c>
      <c r="H118" s="4" t="n">
        <v>2</v>
      </c>
      <c r="I118" s="4" t="n">
        <v>0</v>
      </c>
      <c r="J118" s="4" t="n">
        <v>354</v>
      </c>
      <c r="K118" s="4" t="n">
        <v>0</v>
      </c>
      <c r="L118" s="12" t="n">
        <v>0.821815</v>
      </c>
      <c r="M118" s="12" t="n">
        <v>0.092063</v>
      </c>
      <c r="N118" s="12" t="n">
        <v>0.084698</v>
      </c>
      <c r="O118" s="12" t="n">
        <v>0.106183</v>
      </c>
      <c r="P118" s="12" t="n">
        <v>0.089119</v>
      </c>
      <c r="Q118" s="0" t="str">
        <f aca="false">IF(L118&gt;=Models!$G$5,1+COUNTIF($L$5:$L$1517,"&gt;"&amp;L118)+COUNTIFS($L$5:$L$1517,L118,$B$5:$B$1517,"&lt;"&amp;B118)+COUNTIFS($L$5:$L$1517,L118,$B$5:$B$1517,B118,$C$5:$C$1517,"&lt;"&amp;C118),"")</f>
        <v/>
      </c>
      <c r="R118" s="0" t="str">
        <f aca="false">IF(M118&gt;=Models!$G$6,1+COUNTIF($M$5:$M$1517,"&gt;"&amp;M118)+COUNTIFS($M$5:$M$1517,M118,$B$5:$B$1517,"&lt;"&amp;B118)+COUNTIFS($M$5:$M$1517,M118,$B$5:$B$1517,B118,$C$5:$C$1517,"&lt;"&amp;C118),"")</f>
        <v/>
      </c>
      <c r="S118" s="0" t="str">
        <f aca="false">IF(N118&gt;=Models!$G$7,1+COUNTIF($N$5:$N$1517,"&gt;"&amp;N118)+COUNTIFS($N$5:$N$1517,N118,$B$5:$B$1517,"&lt;"&amp;B118)+COUNTIFS($N$5:$N$1517,N118,$B$5:$B$1517,B118,$C$5:$C$1517,"&lt;"&amp;C118),"")</f>
        <v/>
      </c>
      <c r="T118" s="8" t="n">
        <f aca="false">IF(O118&gt;=Models!$G$8,1+COUNTIF($O$5:$O$1517,"&gt;"&amp;O118)+COUNTIFS($O$5:$O$1517,O118,$B$5:$B$1517,"&lt;"&amp;B118)+COUNTIFS($O$5:$O$1517,O118,$B$5:$B$1517,B118,$C$5:$C$1517,"&lt;"&amp;C118),"")</f>
        <v>433</v>
      </c>
      <c r="U118" s="8" t="n">
        <f aca="false">IF($K118=1,COUNTIFS($L$5:$L$1517,"&gt;="&amp;L118,$K$5:$K$1517,1)/COUNTIF($L$5:$L$1517,"&gt;="&amp;L118),0)</f>
        <v>0</v>
      </c>
      <c r="V118" s="8" t="n">
        <f aca="false">IF($K118=1,COUNTIFS($M$5:$M$1517,"&gt;="&amp;M118,$K$5:$K$1517,1)/COUNTIF($M$5:$M$1517,"&gt;="&amp;M118),0)</f>
        <v>0</v>
      </c>
      <c r="W118" s="8" t="n">
        <f aca="false">IF($K118=1,COUNTIFS($N$5:$N$1517,"&gt;="&amp;N118,$K$5:$K$1517,1)/COUNTIF($N$5:$N$1517,"&gt;="&amp;N118),0)</f>
        <v>0</v>
      </c>
      <c r="X118" s="8" t="n">
        <f aca="false">IF($K118=1,COUNTIFS($O$5:$O$1517,"&gt;="&amp;O118,$K$5:$K$1517,1)/COUNTIF($O$5:$O$1517,"&gt;="&amp;O118),0)</f>
        <v>0</v>
      </c>
      <c r="Y118" s="8" t="n">
        <f aca="false">IF($K118=1,COUNTIFS($P$5:$P$1517,"&gt;="&amp;P118,$K$5:$K$1517,1)/COUNTIF($P$5:$P$1517,"&gt;="&amp;P118),0)</f>
        <v>0</v>
      </c>
      <c r="Z118" s="8" t="n">
        <f aca="false">(L118-$K118)^2</f>
        <v>0.675379894225</v>
      </c>
      <c r="AA118" s="8" t="n">
        <f aca="false">(M118-$K118)^2</f>
        <v>0.008475595969</v>
      </c>
      <c r="AB118" s="8" t="n">
        <f aca="false">(N118-$K118)^2</f>
        <v>0.007173751204</v>
      </c>
      <c r="AC118" s="8" t="n">
        <f aca="false">(O118-$K118)^2</f>
        <v>0.011274829489</v>
      </c>
      <c r="AD118" s="8" t="n">
        <f aca="false">(P118-$K118)^2</f>
        <v>0.007942196161</v>
      </c>
      <c r="AE118" s="8" t="n">
        <f aca="false">MIN(INT(ROUND(N118*1000000,0)/100000),9)</f>
        <v>0</v>
      </c>
      <c r="AF118" s="8" t="n">
        <f aca="false">MIN(INT(ROUND(P118*1000000,0)/100000),9)</f>
        <v>0</v>
      </c>
    </row>
    <row r="119" customFormat="false" ht="15" hidden="false" customHeight="false" outlineLevel="0" collapsed="false">
      <c r="A119" s="4" t="n">
        <v>115</v>
      </c>
      <c r="B119" s="4" t="n">
        <v>577</v>
      </c>
      <c r="C119" s="4" t="n">
        <v>0</v>
      </c>
      <c r="D119" s="11" t="n">
        <v>46054</v>
      </c>
      <c r="E119" s="4" t="s">
        <v>203</v>
      </c>
      <c r="F119" s="4" t="s">
        <v>206</v>
      </c>
      <c r="G119" s="4" t="n">
        <v>11</v>
      </c>
      <c r="H119" s="4" t="n">
        <v>1</v>
      </c>
      <c r="I119" s="4" t="n">
        <v>0</v>
      </c>
      <c r="J119" s="4" t="n">
        <v>441</v>
      </c>
      <c r="K119" s="4" t="n">
        <v>0</v>
      </c>
      <c r="L119" s="12" t="n">
        <v>0.5131</v>
      </c>
      <c r="M119" s="12" t="n">
        <v>0.092063</v>
      </c>
      <c r="N119" s="12" t="n">
        <v>0.065169</v>
      </c>
      <c r="O119" s="12" t="n">
        <v>0.106183</v>
      </c>
      <c r="P119" s="12" t="n">
        <v>0.067791</v>
      </c>
      <c r="Q119" s="0" t="str">
        <f aca="false">IF(L119&gt;=Models!$G$5,1+COUNTIF($L$5:$L$1517,"&gt;"&amp;L119)+COUNTIFS($L$5:$L$1517,L119,$B$5:$B$1517,"&lt;"&amp;B119)+COUNTIFS($L$5:$L$1517,L119,$B$5:$B$1517,B119,$C$5:$C$1517,"&lt;"&amp;C119),"")</f>
        <v/>
      </c>
      <c r="R119" s="0" t="str">
        <f aca="false">IF(M119&gt;=Models!$G$6,1+COUNTIF($M$5:$M$1517,"&gt;"&amp;M119)+COUNTIFS($M$5:$M$1517,M119,$B$5:$B$1517,"&lt;"&amp;B119)+COUNTIFS($M$5:$M$1517,M119,$B$5:$B$1517,B119,$C$5:$C$1517,"&lt;"&amp;C119),"")</f>
        <v/>
      </c>
      <c r="S119" s="0" t="str">
        <f aca="false">IF(N119&gt;=Models!$G$7,1+COUNTIF($N$5:$N$1517,"&gt;"&amp;N119)+COUNTIFS($N$5:$N$1517,N119,$B$5:$B$1517,"&lt;"&amp;B119)+COUNTIFS($N$5:$N$1517,N119,$B$5:$B$1517,B119,$C$5:$C$1517,"&lt;"&amp;C119),"")</f>
        <v/>
      </c>
      <c r="T119" s="8" t="n">
        <f aca="false">IF(O119&gt;=Models!$G$8,1+COUNTIF($O$5:$O$1517,"&gt;"&amp;O119)+COUNTIFS($O$5:$O$1517,O119,$B$5:$B$1517,"&lt;"&amp;B119)+COUNTIFS($O$5:$O$1517,O119,$B$5:$B$1517,B119,$C$5:$C$1517,"&lt;"&amp;C119),"")</f>
        <v>437</v>
      </c>
      <c r="U119" s="8" t="n">
        <f aca="false">IF($K119=1,COUNTIFS($L$5:$L$1517,"&gt;="&amp;L119,$K$5:$K$1517,1)/COUNTIF($L$5:$L$1517,"&gt;="&amp;L119),0)</f>
        <v>0</v>
      </c>
      <c r="V119" s="8" t="n">
        <f aca="false">IF($K119=1,COUNTIFS($M$5:$M$1517,"&gt;="&amp;M119,$K$5:$K$1517,1)/COUNTIF($M$5:$M$1517,"&gt;="&amp;M119),0)</f>
        <v>0</v>
      </c>
      <c r="W119" s="8" t="n">
        <f aca="false">IF($K119=1,COUNTIFS($N$5:$N$1517,"&gt;="&amp;N119,$K$5:$K$1517,1)/COUNTIF($N$5:$N$1517,"&gt;="&amp;N119),0)</f>
        <v>0</v>
      </c>
      <c r="X119" s="8" t="n">
        <f aca="false">IF($K119=1,COUNTIFS($O$5:$O$1517,"&gt;="&amp;O119,$K$5:$K$1517,1)/COUNTIF($O$5:$O$1517,"&gt;="&amp;O119),0)</f>
        <v>0</v>
      </c>
      <c r="Y119" s="8" t="n">
        <f aca="false">IF($K119=1,COUNTIFS($P$5:$P$1517,"&gt;="&amp;P119,$K$5:$K$1517,1)/COUNTIF($P$5:$P$1517,"&gt;="&amp;P119),0)</f>
        <v>0</v>
      </c>
      <c r="Z119" s="8" t="n">
        <f aca="false">(L119-$K119)^2</f>
        <v>0.26327161</v>
      </c>
      <c r="AA119" s="8" t="n">
        <f aca="false">(M119-$K119)^2</f>
        <v>0.008475595969</v>
      </c>
      <c r="AB119" s="8" t="n">
        <f aca="false">(N119-$K119)^2</f>
        <v>0.004246998561</v>
      </c>
      <c r="AC119" s="8" t="n">
        <f aca="false">(O119-$K119)^2</f>
        <v>0.011274829489</v>
      </c>
      <c r="AD119" s="8" t="n">
        <f aca="false">(P119-$K119)^2</f>
        <v>0.004595619681</v>
      </c>
      <c r="AE119" s="8" t="n">
        <f aca="false">MIN(INT(ROUND(N119*1000000,0)/100000),9)</f>
        <v>0</v>
      </c>
      <c r="AF119" s="8" t="n">
        <f aca="false">MIN(INT(ROUND(P119*1000000,0)/100000),9)</f>
        <v>0</v>
      </c>
    </row>
    <row r="120" customFormat="false" ht="15" hidden="false" customHeight="false" outlineLevel="0" collapsed="false">
      <c r="A120" s="4" t="n">
        <v>116</v>
      </c>
      <c r="B120" s="4" t="n">
        <v>586</v>
      </c>
      <c r="C120" s="4" t="n">
        <v>0</v>
      </c>
      <c r="D120" s="11" t="n">
        <v>46054</v>
      </c>
      <c r="E120" s="4" t="s">
        <v>202</v>
      </c>
      <c r="F120" s="4" t="s">
        <v>206</v>
      </c>
      <c r="G120" s="4" t="n">
        <v>10</v>
      </c>
      <c r="H120" s="4" t="n">
        <v>2</v>
      </c>
      <c r="I120" s="4" t="n">
        <v>0</v>
      </c>
      <c r="J120" s="4"/>
      <c r="K120" s="4" t="n">
        <v>0</v>
      </c>
      <c r="L120" s="12" t="n">
        <v>0.664278</v>
      </c>
      <c r="M120" s="12" t="n">
        <v>0.092063</v>
      </c>
      <c r="N120" s="12" t="n">
        <v>0.035697</v>
      </c>
      <c r="O120" s="12" t="n">
        <v>0.106183</v>
      </c>
      <c r="P120" s="12" t="n">
        <v>0.036117</v>
      </c>
      <c r="Q120" s="0" t="str">
        <f aca="false">IF(L120&gt;=Models!$G$5,1+COUNTIF($L$5:$L$1517,"&gt;"&amp;L120)+COUNTIFS($L$5:$L$1517,L120,$B$5:$B$1517,"&lt;"&amp;B120)+COUNTIFS($L$5:$L$1517,L120,$B$5:$B$1517,B120,$C$5:$C$1517,"&lt;"&amp;C120),"")</f>
        <v/>
      </c>
      <c r="R120" s="0" t="str">
        <f aca="false">IF(M120&gt;=Models!$G$6,1+COUNTIF($M$5:$M$1517,"&gt;"&amp;M120)+COUNTIFS($M$5:$M$1517,M120,$B$5:$B$1517,"&lt;"&amp;B120)+COUNTIFS($M$5:$M$1517,M120,$B$5:$B$1517,B120,$C$5:$C$1517,"&lt;"&amp;C120),"")</f>
        <v/>
      </c>
      <c r="S120" s="0" t="str">
        <f aca="false">IF(N120&gt;=Models!$G$7,1+COUNTIF($N$5:$N$1517,"&gt;"&amp;N120)+COUNTIFS($N$5:$N$1517,N120,$B$5:$B$1517,"&lt;"&amp;B120)+COUNTIFS($N$5:$N$1517,N120,$B$5:$B$1517,B120,$C$5:$C$1517,"&lt;"&amp;C120),"")</f>
        <v/>
      </c>
      <c r="T120" s="8" t="n">
        <f aca="false">IF(O120&gt;=Models!$G$8,1+COUNTIF($O$5:$O$1517,"&gt;"&amp;O120)+COUNTIFS($O$5:$O$1517,O120,$B$5:$B$1517,"&lt;"&amp;B120)+COUNTIFS($O$5:$O$1517,O120,$B$5:$B$1517,B120,$C$5:$C$1517,"&lt;"&amp;C120),"")</f>
        <v>441</v>
      </c>
      <c r="U120" s="8" t="n">
        <f aca="false">IF($K120=1,COUNTIFS($L$5:$L$1517,"&gt;="&amp;L120,$K$5:$K$1517,1)/COUNTIF($L$5:$L$1517,"&gt;="&amp;L120),0)</f>
        <v>0</v>
      </c>
      <c r="V120" s="8" t="n">
        <f aca="false">IF($K120=1,COUNTIFS($M$5:$M$1517,"&gt;="&amp;M120,$K$5:$K$1517,1)/COUNTIF($M$5:$M$1517,"&gt;="&amp;M120),0)</f>
        <v>0</v>
      </c>
      <c r="W120" s="8" t="n">
        <f aca="false">IF($K120=1,COUNTIFS($N$5:$N$1517,"&gt;="&amp;N120,$K$5:$K$1517,1)/COUNTIF($N$5:$N$1517,"&gt;="&amp;N120),0)</f>
        <v>0</v>
      </c>
      <c r="X120" s="8" t="n">
        <f aca="false">IF($K120=1,COUNTIFS($O$5:$O$1517,"&gt;="&amp;O120,$K$5:$K$1517,1)/COUNTIF($O$5:$O$1517,"&gt;="&amp;O120),0)</f>
        <v>0</v>
      </c>
      <c r="Y120" s="8" t="n">
        <f aca="false">IF($K120=1,COUNTIFS($P$5:$P$1517,"&gt;="&amp;P120,$K$5:$K$1517,1)/COUNTIF($P$5:$P$1517,"&gt;="&amp;P120),0)</f>
        <v>0</v>
      </c>
      <c r="Z120" s="8" t="n">
        <f aca="false">(L120-$K120)^2</f>
        <v>0.441265261284</v>
      </c>
      <c r="AA120" s="8" t="n">
        <f aca="false">(M120-$K120)^2</f>
        <v>0.008475595969</v>
      </c>
      <c r="AB120" s="8" t="n">
        <f aca="false">(N120-$K120)^2</f>
        <v>0.001274275809</v>
      </c>
      <c r="AC120" s="8" t="n">
        <f aca="false">(O120-$K120)^2</f>
        <v>0.011274829489</v>
      </c>
      <c r="AD120" s="8" t="n">
        <f aca="false">(P120-$K120)^2</f>
        <v>0.001304437689</v>
      </c>
      <c r="AE120" s="8" t="n">
        <f aca="false">MIN(INT(ROUND(N120*1000000,0)/100000),9)</f>
        <v>0</v>
      </c>
      <c r="AF120" s="8" t="n">
        <f aca="false">MIN(INT(ROUND(P120*1000000,0)/100000),9)</f>
        <v>0</v>
      </c>
    </row>
    <row r="121" customFormat="false" ht="15" hidden="false" customHeight="false" outlineLevel="0" collapsed="false">
      <c r="A121" s="4" t="n">
        <v>117</v>
      </c>
      <c r="B121" s="4" t="n">
        <v>591</v>
      </c>
      <c r="C121" s="4" t="n">
        <v>0</v>
      </c>
      <c r="D121" s="11" t="n">
        <v>46054</v>
      </c>
      <c r="E121" s="4" t="s">
        <v>204</v>
      </c>
      <c r="F121" s="4" t="s">
        <v>210</v>
      </c>
      <c r="G121" s="4" t="n">
        <v>1</v>
      </c>
      <c r="H121" s="4" t="n">
        <v>21</v>
      </c>
      <c r="I121" s="4" t="n">
        <v>0</v>
      </c>
      <c r="J121" s="4"/>
      <c r="K121" s="4" t="n">
        <v>0</v>
      </c>
      <c r="L121" s="12" t="n">
        <v>0.161918</v>
      </c>
      <c r="M121" s="12" t="n">
        <v>0.092063</v>
      </c>
      <c r="N121" s="12" t="n">
        <v>0.088611</v>
      </c>
      <c r="O121" s="12" t="n">
        <v>0.106183</v>
      </c>
      <c r="P121" s="12" t="n">
        <v>0.093415</v>
      </c>
      <c r="Q121" s="0" t="str">
        <f aca="false">IF(L121&gt;=Models!$G$5,1+COUNTIF($L$5:$L$1517,"&gt;"&amp;L121)+COUNTIFS($L$5:$L$1517,L121,$B$5:$B$1517,"&lt;"&amp;B121)+COUNTIFS($L$5:$L$1517,L121,$B$5:$B$1517,B121,$C$5:$C$1517,"&lt;"&amp;C121),"")</f>
        <v/>
      </c>
      <c r="R121" s="0" t="str">
        <f aca="false">IF(M121&gt;=Models!$G$6,1+COUNTIF($M$5:$M$1517,"&gt;"&amp;M121)+COUNTIFS($M$5:$M$1517,M121,$B$5:$B$1517,"&lt;"&amp;B121)+COUNTIFS($M$5:$M$1517,M121,$B$5:$B$1517,B121,$C$5:$C$1517,"&lt;"&amp;C121),"")</f>
        <v/>
      </c>
      <c r="S121" s="0" t="str">
        <f aca="false">IF(N121&gt;=Models!$G$7,1+COUNTIF($N$5:$N$1517,"&gt;"&amp;N121)+COUNTIFS($N$5:$N$1517,N121,$B$5:$B$1517,"&lt;"&amp;B121)+COUNTIFS($N$5:$N$1517,N121,$B$5:$B$1517,B121,$C$5:$C$1517,"&lt;"&amp;C121),"")</f>
        <v/>
      </c>
      <c r="T121" s="8" t="n">
        <f aca="false">IF(O121&gt;=Models!$G$8,1+COUNTIF($O$5:$O$1517,"&gt;"&amp;O121)+COUNTIFS($O$5:$O$1517,O121,$B$5:$B$1517,"&lt;"&amp;B121)+COUNTIFS($O$5:$O$1517,O121,$B$5:$B$1517,B121,$C$5:$C$1517,"&lt;"&amp;C121),"")</f>
        <v>445</v>
      </c>
      <c r="U121" s="8" t="n">
        <f aca="false">IF($K121=1,COUNTIFS($L$5:$L$1517,"&gt;="&amp;L121,$K$5:$K$1517,1)/COUNTIF($L$5:$L$1517,"&gt;="&amp;L121),0)</f>
        <v>0</v>
      </c>
      <c r="V121" s="8" t="n">
        <f aca="false">IF($K121=1,COUNTIFS($M$5:$M$1517,"&gt;="&amp;M121,$K$5:$K$1517,1)/COUNTIF($M$5:$M$1517,"&gt;="&amp;M121),0)</f>
        <v>0</v>
      </c>
      <c r="W121" s="8" t="n">
        <f aca="false">IF($K121=1,COUNTIFS($N$5:$N$1517,"&gt;="&amp;N121,$K$5:$K$1517,1)/COUNTIF($N$5:$N$1517,"&gt;="&amp;N121),0)</f>
        <v>0</v>
      </c>
      <c r="X121" s="8" t="n">
        <f aca="false">IF($K121=1,COUNTIFS($O$5:$O$1517,"&gt;="&amp;O121,$K$5:$K$1517,1)/COUNTIF($O$5:$O$1517,"&gt;="&amp;O121),0)</f>
        <v>0</v>
      </c>
      <c r="Y121" s="8" t="n">
        <f aca="false">IF($K121=1,COUNTIFS($P$5:$P$1517,"&gt;="&amp;P121,$K$5:$K$1517,1)/COUNTIF($P$5:$P$1517,"&gt;="&amp;P121),0)</f>
        <v>0</v>
      </c>
      <c r="Z121" s="8" t="n">
        <f aca="false">(L121-$K121)^2</f>
        <v>0.026217438724</v>
      </c>
      <c r="AA121" s="8" t="n">
        <f aca="false">(M121-$K121)^2</f>
        <v>0.008475595969</v>
      </c>
      <c r="AB121" s="8" t="n">
        <f aca="false">(N121-$K121)^2</f>
        <v>0.007851909321</v>
      </c>
      <c r="AC121" s="8" t="n">
        <f aca="false">(O121-$K121)^2</f>
        <v>0.011274829489</v>
      </c>
      <c r="AD121" s="8" t="n">
        <f aca="false">(P121-$K121)^2</f>
        <v>0.008726362225</v>
      </c>
      <c r="AE121" s="8" t="n">
        <f aca="false">MIN(INT(ROUND(N121*1000000,0)/100000),9)</f>
        <v>0</v>
      </c>
      <c r="AF121" s="8" t="n">
        <f aca="false">MIN(INT(ROUND(P121*1000000,0)/100000),9)</f>
        <v>0</v>
      </c>
    </row>
    <row r="122" customFormat="false" ht="15" hidden="false" customHeight="false" outlineLevel="0" collapsed="false">
      <c r="A122" s="4" t="n">
        <v>118</v>
      </c>
      <c r="B122" s="4" t="n">
        <v>596</v>
      </c>
      <c r="C122" s="4" t="n">
        <v>0</v>
      </c>
      <c r="D122" s="11" t="n">
        <v>46054</v>
      </c>
      <c r="E122" s="4" t="s">
        <v>202</v>
      </c>
      <c r="F122" s="4" t="s">
        <v>208</v>
      </c>
      <c r="G122" s="4" t="n">
        <v>12</v>
      </c>
      <c r="H122" s="4" t="n">
        <v>5</v>
      </c>
      <c r="I122" s="4" t="n">
        <v>0</v>
      </c>
      <c r="J122" s="4"/>
      <c r="K122" s="4" t="n">
        <v>0</v>
      </c>
      <c r="L122" s="12" t="n">
        <v>0.665199</v>
      </c>
      <c r="M122" s="12" t="n">
        <v>0.092063</v>
      </c>
      <c r="N122" s="12" t="n">
        <v>0.030717</v>
      </c>
      <c r="O122" s="12" t="n">
        <v>0.106183</v>
      </c>
      <c r="P122" s="12" t="n">
        <v>0.030859</v>
      </c>
      <c r="Q122" s="0" t="str">
        <f aca="false">IF(L122&gt;=Models!$G$5,1+COUNTIF($L$5:$L$1517,"&gt;"&amp;L122)+COUNTIFS($L$5:$L$1517,L122,$B$5:$B$1517,"&lt;"&amp;B122)+COUNTIFS($L$5:$L$1517,L122,$B$5:$B$1517,B122,$C$5:$C$1517,"&lt;"&amp;C122),"")</f>
        <v/>
      </c>
      <c r="R122" s="0" t="str">
        <f aca="false">IF(M122&gt;=Models!$G$6,1+COUNTIF($M$5:$M$1517,"&gt;"&amp;M122)+COUNTIFS($M$5:$M$1517,M122,$B$5:$B$1517,"&lt;"&amp;B122)+COUNTIFS($M$5:$M$1517,M122,$B$5:$B$1517,B122,$C$5:$C$1517,"&lt;"&amp;C122),"")</f>
        <v/>
      </c>
      <c r="S122" s="0" t="str">
        <f aca="false">IF(N122&gt;=Models!$G$7,1+COUNTIF($N$5:$N$1517,"&gt;"&amp;N122)+COUNTIFS($N$5:$N$1517,N122,$B$5:$B$1517,"&lt;"&amp;B122)+COUNTIFS($N$5:$N$1517,N122,$B$5:$B$1517,B122,$C$5:$C$1517,"&lt;"&amp;C122),"")</f>
        <v/>
      </c>
      <c r="T122" s="8" t="n">
        <f aca="false">IF(O122&gt;=Models!$G$8,1+COUNTIF($O$5:$O$1517,"&gt;"&amp;O122)+COUNTIFS($O$5:$O$1517,O122,$B$5:$B$1517,"&lt;"&amp;B122)+COUNTIFS($O$5:$O$1517,O122,$B$5:$B$1517,B122,$C$5:$C$1517,"&lt;"&amp;C122),"")</f>
        <v>449</v>
      </c>
      <c r="U122" s="8" t="n">
        <f aca="false">IF($K122=1,COUNTIFS($L$5:$L$1517,"&gt;="&amp;L122,$K$5:$K$1517,1)/COUNTIF($L$5:$L$1517,"&gt;="&amp;L122),0)</f>
        <v>0</v>
      </c>
      <c r="V122" s="8" t="n">
        <f aca="false">IF($K122=1,COUNTIFS($M$5:$M$1517,"&gt;="&amp;M122,$K$5:$K$1517,1)/COUNTIF($M$5:$M$1517,"&gt;="&amp;M122),0)</f>
        <v>0</v>
      </c>
      <c r="W122" s="8" t="n">
        <f aca="false">IF($K122=1,COUNTIFS($N$5:$N$1517,"&gt;="&amp;N122,$K$5:$K$1517,1)/COUNTIF($N$5:$N$1517,"&gt;="&amp;N122),0)</f>
        <v>0</v>
      </c>
      <c r="X122" s="8" t="n">
        <f aca="false">IF($K122=1,COUNTIFS($O$5:$O$1517,"&gt;="&amp;O122,$K$5:$K$1517,1)/COUNTIF($O$5:$O$1517,"&gt;="&amp;O122),0)</f>
        <v>0</v>
      </c>
      <c r="Y122" s="8" t="n">
        <f aca="false">IF($K122=1,COUNTIFS($P$5:$P$1517,"&gt;="&amp;P122,$K$5:$K$1517,1)/COUNTIF($P$5:$P$1517,"&gt;="&amp;P122),0)</f>
        <v>0</v>
      </c>
      <c r="Z122" s="8" t="n">
        <f aca="false">(L122-$K122)^2</f>
        <v>0.442489709601</v>
      </c>
      <c r="AA122" s="8" t="n">
        <f aca="false">(M122-$K122)^2</f>
        <v>0.008475595969</v>
      </c>
      <c r="AB122" s="8" t="n">
        <f aca="false">(N122-$K122)^2</f>
        <v>0.000943534089</v>
      </c>
      <c r="AC122" s="8" t="n">
        <f aca="false">(O122-$K122)^2</f>
        <v>0.011274829489</v>
      </c>
      <c r="AD122" s="8" t="n">
        <f aca="false">(P122-$K122)^2</f>
        <v>0.000952277881</v>
      </c>
      <c r="AE122" s="8" t="n">
        <f aca="false">MIN(INT(ROUND(N122*1000000,0)/100000),9)</f>
        <v>0</v>
      </c>
      <c r="AF122" s="8" t="n">
        <f aca="false">MIN(INT(ROUND(P122*1000000,0)/100000),9)</f>
        <v>0</v>
      </c>
    </row>
    <row r="123" customFormat="false" ht="15" hidden="false" customHeight="false" outlineLevel="0" collapsed="false">
      <c r="A123" s="4" t="n">
        <v>119</v>
      </c>
      <c r="B123" s="4" t="n">
        <v>604</v>
      </c>
      <c r="C123" s="4" t="n">
        <v>0</v>
      </c>
      <c r="D123" s="11" t="n">
        <v>46054</v>
      </c>
      <c r="E123" s="4" t="s">
        <v>202</v>
      </c>
      <c r="F123" s="4" t="s">
        <v>208</v>
      </c>
      <c r="G123" s="4" t="n">
        <v>3</v>
      </c>
      <c r="H123" s="4" t="n">
        <v>1</v>
      </c>
      <c r="I123" s="4" t="n">
        <v>0</v>
      </c>
      <c r="J123" s="4"/>
      <c r="K123" s="4" t="n">
        <v>0</v>
      </c>
      <c r="L123" s="12" t="n">
        <v>0.60658</v>
      </c>
      <c r="M123" s="12" t="n">
        <v>0.092063</v>
      </c>
      <c r="N123" s="12" t="n">
        <v>0.064489</v>
      </c>
      <c r="O123" s="12" t="n">
        <v>0.106183</v>
      </c>
      <c r="P123" s="12" t="n">
        <v>0.067052</v>
      </c>
      <c r="Q123" s="0" t="str">
        <f aca="false">IF(L123&gt;=Models!$G$5,1+COUNTIF($L$5:$L$1517,"&gt;"&amp;L123)+COUNTIFS($L$5:$L$1517,L123,$B$5:$B$1517,"&lt;"&amp;B123)+COUNTIFS($L$5:$L$1517,L123,$B$5:$B$1517,B123,$C$5:$C$1517,"&lt;"&amp;C123),"")</f>
        <v/>
      </c>
      <c r="R123" s="0" t="str">
        <f aca="false">IF(M123&gt;=Models!$G$6,1+COUNTIF($M$5:$M$1517,"&gt;"&amp;M123)+COUNTIFS($M$5:$M$1517,M123,$B$5:$B$1517,"&lt;"&amp;B123)+COUNTIFS($M$5:$M$1517,M123,$B$5:$B$1517,B123,$C$5:$C$1517,"&lt;"&amp;C123),"")</f>
        <v/>
      </c>
      <c r="S123" s="0" t="str">
        <f aca="false">IF(N123&gt;=Models!$G$7,1+COUNTIF($N$5:$N$1517,"&gt;"&amp;N123)+COUNTIFS($N$5:$N$1517,N123,$B$5:$B$1517,"&lt;"&amp;B123)+COUNTIFS($N$5:$N$1517,N123,$B$5:$B$1517,B123,$C$5:$C$1517,"&lt;"&amp;C123),"")</f>
        <v/>
      </c>
      <c r="T123" s="8" t="n">
        <f aca="false">IF(O123&gt;=Models!$G$8,1+COUNTIF($O$5:$O$1517,"&gt;"&amp;O123)+COUNTIFS($O$5:$O$1517,O123,$B$5:$B$1517,"&lt;"&amp;B123)+COUNTIFS($O$5:$O$1517,O123,$B$5:$B$1517,B123,$C$5:$C$1517,"&lt;"&amp;C123),"")</f>
        <v>453</v>
      </c>
      <c r="U123" s="8" t="n">
        <f aca="false">IF($K123=1,COUNTIFS($L$5:$L$1517,"&gt;="&amp;L123,$K$5:$K$1517,1)/COUNTIF($L$5:$L$1517,"&gt;="&amp;L123),0)</f>
        <v>0</v>
      </c>
      <c r="V123" s="8" t="n">
        <f aca="false">IF($K123=1,COUNTIFS($M$5:$M$1517,"&gt;="&amp;M123,$K$5:$K$1517,1)/COUNTIF($M$5:$M$1517,"&gt;="&amp;M123),0)</f>
        <v>0</v>
      </c>
      <c r="W123" s="8" t="n">
        <f aca="false">IF($K123=1,COUNTIFS($N$5:$N$1517,"&gt;="&amp;N123,$K$5:$K$1517,1)/COUNTIF($N$5:$N$1517,"&gt;="&amp;N123),0)</f>
        <v>0</v>
      </c>
      <c r="X123" s="8" t="n">
        <f aca="false">IF($K123=1,COUNTIFS($O$5:$O$1517,"&gt;="&amp;O123,$K$5:$K$1517,1)/COUNTIF($O$5:$O$1517,"&gt;="&amp;O123),0)</f>
        <v>0</v>
      </c>
      <c r="Y123" s="8" t="n">
        <f aca="false">IF($K123=1,COUNTIFS($P$5:$P$1517,"&gt;="&amp;P123,$K$5:$K$1517,1)/COUNTIF($P$5:$P$1517,"&gt;="&amp;P123),0)</f>
        <v>0</v>
      </c>
      <c r="Z123" s="8" t="n">
        <f aca="false">(L123-$K123)^2</f>
        <v>0.3679392964</v>
      </c>
      <c r="AA123" s="8" t="n">
        <f aca="false">(M123-$K123)^2</f>
        <v>0.008475595969</v>
      </c>
      <c r="AB123" s="8" t="n">
        <f aca="false">(N123-$K123)^2</f>
        <v>0.004158831121</v>
      </c>
      <c r="AC123" s="8" t="n">
        <f aca="false">(O123-$K123)^2</f>
        <v>0.011274829489</v>
      </c>
      <c r="AD123" s="8" t="n">
        <f aca="false">(P123-$K123)^2</f>
        <v>0.004495970704</v>
      </c>
      <c r="AE123" s="8" t="n">
        <f aca="false">MIN(INT(ROUND(N123*1000000,0)/100000),9)</f>
        <v>0</v>
      </c>
      <c r="AF123" s="8" t="n">
        <f aca="false">MIN(INT(ROUND(P123*1000000,0)/100000),9)</f>
        <v>0</v>
      </c>
    </row>
    <row r="124" customFormat="false" ht="15" hidden="false" customHeight="false" outlineLevel="0" collapsed="false">
      <c r="A124" s="4" t="n">
        <v>120</v>
      </c>
      <c r="B124" s="4" t="n">
        <v>607</v>
      </c>
      <c r="C124" s="4" t="n">
        <v>0</v>
      </c>
      <c r="D124" s="11" t="n">
        <v>46054</v>
      </c>
      <c r="E124" s="4" t="s">
        <v>201</v>
      </c>
      <c r="F124" s="4" t="s">
        <v>210</v>
      </c>
      <c r="G124" s="4" t="n">
        <v>20</v>
      </c>
      <c r="H124" s="4" t="n">
        <v>3</v>
      </c>
      <c r="I124" s="4" t="n">
        <v>0</v>
      </c>
      <c r="J124" s="4" t="n">
        <v>16065</v>
      </c>
      <c r="K124" s="4" t="n">
        <v>0</v>
      </c>
      <c r="L124" s="12" t="n">
        <v>0.937298</v>
      </c>
      <c r="M124" s="12" t="n">
        <v>0.092063</v>
      </c>
      <c r="N124" s="12" t="n">
        <v>0.012565</v>
      </c>
      <c r="O124" s="12" t="n">
        <v>0.106183</v>
      </c>
      <c r="P124" s="12" t="n">
        <v>0.012094</v>
      </c>
      <c r="Q124" s="0" t="str">
        <f aca="false">IF(L124&gt;=Models!$G$5,1+COUNTIF($L$5:$L$1517,"&gt;"&amp;L124)+COUNTIFS($L$5:$L$1517,L124,$B$5:$B$1517,"&lt;"&amp;B124)+COUNTIFS($L$5:$L$1517,L124,$B$5:$B$1517,B124,$C$5:$C$1517,"&lt;"&amp;C124),"")</f>
        <v/>
      </c>
      <c r="R124" s="0" t="str">
        <f aca="false">IF(M124&gt;=Models!$G$6,1+COUNTIF($M$5:$M$1517,"&gt;"&amp;M124)+COUNTIFS($M$5:$M$1517,M124,$B$5:$B$1517,"&lt;"&amp;B124)+COUNTIFS($M$5:$M$1517,M124,$B$5:$B$1517,B124,$C$5:$C$1517,"&lt;"&amp;C124),"")</f>
        <v/>
      </c>
      <c r="S124" s="0" t="str">
        <f aca="false">IF(N124&gt;=Models!$G$7,1+COUNTIF($N$5:$N$1517,"&gt;"&amp;N124)+COUNTIFS($N$5:$N$1517,N124,$B$5:$B$1517,"&lt;"&amp;B124)+COUNTIFS($N$5:$N$1517,N124,$B$5:$B$1517,B124,$C$5:$C$1517,"&lt;"&amp;C124),"")</f>
        <v/>
      </c>
      <c r="T124" s="8" t="n">
        <f aca="false">IF(O124&gt;=Models!$G$8,1+COUNTIF($O$5:$O$1517,"&gt;"&amp;O124)+COUNTIFS($O$5:$O$1517,O124,$B$5:$B$1517,"&lt;"&amp;B124)+COUNTIFS($O$5:$O$1517,O124,$B$5:$B$1517,B124,$C$5:$C$1517,"&lt;"&amp;C124),"")</f>
        <v>457</v>
      </c>
      <c r="U124" s="8" t="n">
        <f aca="false">IF($K124=1,COUNTIFS($L$5:$L$1517,"&gt;="&amp;L124,$K$5:$K$1517,1)/COUNTIF($L$5:$L$1517,"&gt;="&amp;L124),0)</f>
        <v>0</v>
      </c>
      <c r="V124" s="8" t="n">
        <f aca="false">IF($K124=1,COUNTIFS($M$5:$M$1517,"&gt;="&amp;M124,$K$5:$K$1517,1)/COUNTIF($M$5:$M$1517,"&gt;="&amp;M124),0)</f>
        <v>0</v>
      </c>
      <c r="W124" s="8" t="n">
        <f aca="false">IF($K124=1,COUNTIFS($N$5:$N$1517,"&gt;="&amp;N124,$K$5:$K$1517,1)/COUNTIF($N$5:$N$1517,"&gt;="&amp;N124),0)</f>
        <v>0</v>
      </c>
      <c r="X124" s="8" t="n">
        <f aca="false">IF($K124=1,COUNTIFS($O$5:$O$1517,"&gt;="&amp;O124,$K$5:$K$1517,1)/COUNTIF($O$5:$O$1517,"&gt;="&amp;O124),0)</f>
        <v>0</v>
      </c>
      <c r="Y124" s="8" t="n">
        <f aca="false">IF($K124=1,COUNTIFS($P$5:$P$1517,"&gt;="&amp;P124,$K$5:$K$1517,1)/COUNTIF($P$5:$P$1517,"&gt;="&amp;P124),0)</f>
        <v>0</v>
      </c>
      <c r="Z124" s="8" t="n">
        <f aca="false">(L124-$K124)^2</f>
        <v>0.878527540804</v>
      </c>
      <c r="AA124" s="8" t="n">
        <f aca="false">(M124-$K124)^2</f>
        <v>0.008475595969</v>
      </c>
      <c r="AB124" s="8" t="n">
        <f aca="false">(N124-$K124)^2</f>
        <v>0.000157879225</v>
      </c>
      <c r="AC124" s="8" t="n">
        <f aca="false">(O124-$K124)^2</f>
        <v>0.011274829489</v>
      </c>
      <c r="AD124" s="8" t="n">
        <f aca="false">(P124-$K124)^2</f>
        <v>0.000146264836</v>
      </c>
      <c r="AE124" s="8" t="n">
        <f aca="false">MIN(INT(ROUND(N124*1000000,0)/100000),9)</f>
        <v>0</v>
      </c>
      <c r="AF124" s="8" t="n">
        <f aca="false">MIN(INT(ROUND(P124*1000000,0)/100000),9)</f>
        <v>0</v>
      </c>
    </row>
    <row r="125" customFormat="false" ht="15" hidden="false" customHeight="false" outlineLevel="0" collapsed="false">
      <c r="A125" s="4" t="n">
        <v>121</v>
      </c>
      <c r="B125" s="4" t="n">
        <v>618</v>
      </c>
      <c r="C125" s="4" t="n">
        <v>0</v>
      </c>
      <c r="D125" s="11" t="n">
        <v>46054</v>
      </c>
      <c r="E125" s="4" t="s">
        <v>203</v>
      </c>
      <c r="F125" s="4" t="s">
        <v>206</v>
      </c>
      <c r="G125" s="4" t="n">
        <v>10</v>
      </c>
      <c r="H125" s="4" t="n">
        <v>2</v>
      </c>
      <c r="I125" s="4" t="n">
        <v>0</v>
      </c>
      <c r="J125" s="4" t="n">
        <v>441</v>
      </c>
      <c r="K125" s="4" t="n">
        <v>0</v>
      </c>
      <c r="L125" s="12" t="n">
        <v>0.640088</v>
      </c>
      <c r="M125" s="12" t="n">
        <v>0.092063</v>
      </c>
      <c r="N125" s="12" t="n">
        <v>0.071412</v>
      </c>
      <c r="O125" s="12" t="n">
        <v>0.106183</v>
      </c>
      <c r="P125" s="12" t="n">
        <v>0.074587</v>
      </c>
      <c r="Q125" s="0" t="str">
        <f aca="false">IF(L125&gt;=Models!$G$5,1+COUNTIF($L$5:$L$1517,"&gt;"&amp;L125)+COUNTIFS($L$5:$L$1517,L125,$B$5:$B$1517,"&lt;"&amp;B125)+COUNTIFS($L$5:$L$1517,L125,$B$5:$B$1517,B125,$C$5:$C$1517,"&lt;"&amp;C125),"")</f>
        <v/>
      </c>
      <c r="R125" s="0" t="str">
        <f aca="false">IF(M125&gt;=Models!$G$6,1+COUNTIF($M$5:$M$1517,"&gt;"&amp;M125)+COUNTIFS($M$5:$M$1517,M125,$B$5:$B$1517,"&lt;"&amp;B125)+COUNTIFS($M$5:$M$1517,M125,$B$5:$B$1517,B125,$C$5:$C$1517,"&lt;"&amp;C125),"")</f>
        <v/>
      </c>
      <c r="S125" s="0" t="str">
        <f aca="false">IF(N125&gt;=Models!$G$7,1+COUNTIF($N$5:$N$1517,"&gt;"&amp;N125)+COUNTIFS($N$5:$N$1517,N125,$B$5:$B$1517,"&lt;"&amp;B125)+COUNTIFS($N$5:$N$1517,N125,$B$5:$B$1517,B125,$C$5:$C$1517,"&lt;"&amp;C125),"")</f>
        <v/>
      </c>
      <c r="T125" s="8" t="n">
        <f aca="false">IF(O125&gt;=Models!$G$8,1+COUNTIF($O$5:$O$1517,"&gt;"&amp;O125)+COUNTIFS($O$5:$O$1517,O125,$B$5:$B$1517,"&lt;"&amp;B125)+COUNTIFS($O$5:$O$1517,O125,$B$5:$B$1517,B125,$C$5:$C$1517,"&lt;"&amp;C125),"")</f>
        <v>461</v>
      </c>
      <c r="U125" s="8" t="n">
        <f aca="false">IF($K125=1,COUNTIFS($L$5:$L$1517,"&gt;="&amp;L125,$K$5:$K$1517,1)/COUNTIF($L$5:$L$1517,"&gt;="&amp;L125),0)</f>
        <v>0</v>
      </c>
      <c r="V125" s="8" t="n">
        <f aca="false">IF($K125=1,COUNTIFS($M$5:$M$1517,"&gt;="&amp;M125,$K$5:$K$1517,1)/COUNTIF($M$5:$M$1517,"&gt;="&amp;M125),0)</f>
        <v>0</v>
      </c>
      <c r="W125" s="8" t="n">
        <f aca="false">IF($K125=1,COUNTIFS($N$5:$N$1517,"&gt;="&amp;N125,$K$5:$K$1517,1)/COUNTIF($N$5:$N$1517,"&gt;="&amp;N125),0)</f>
        <v>0</v>
      </c>
      <c r="X125" s="8" t="n">
        <f aca="false">IF($K125=1,COUNTIFS($O$5:$O$1517,"&gt;="&amp;O125,$K$5:$K$1517,1)/COUNTIF($O$5:$O$1517,"&gt;="&amp;O125),0)</f>
        <v>0</v>
      </c>
      <c r="Y125" s="8" t="n">
        <f aca="false">IF($K125=1,COUNTIFS($P$5:$P$1517,"&gt;="&amp;P125,$K$5:$K$1517,1)/COUNTIF($P$5:$P$1517,"&gt;="&amp;P125),0)</f>
        <v>0</v>
      </c>
      <c r="Z125" s="8" t="n">
        <f aca="false">(L125-$K125)^2</f>
        <v>0.409712647744</v>
      </c>
      <c r="AA125" s="8" t="n">
        <f aca="false">(M125-$K125)^2</f>
        <v>0.008475595969</v>
      </c>
      <c r="AB125" s="8" t="n">
        <f aca="false">(N125-$K125)^2</f>
        <v>0.005099673744</v>
      </c>
      <c r="AC125" s="8" t="n">
        <f aca="false">(O125-$K125)^2</f>
        <v>0.011274829489</v>
      </c>
      <c r="AD125" s="8" t="n">
        <f aca="false">(P125-$K125)^2</f>
        <v>0.005563220569</v>
      </c>
      <c r="AE125" s="8" t="n">
        <f aca="false">MIN(INT(ROUND(N125*1000000,0)/100000),9)</f>
        <v>0</v>
      </c>
      <c r="AF125" s="8" t="n">
        <f aca="false">MIN(INT(ROUND(P125*1000000,0)/100000),9)</f>
        <v>0</v>
      </c>
    </row>
    <row r="126" customFormat="false" ht="15" hidden="false" customHeight="false" outlineLevel="0" collapsed="false">
      <c r="A126" s="4" t="n">
        <v>122</v>
      </c>
      <c r="B126" s="4" t="n">
        <v>621</v>
      </c>
      <c r="C126" s="4" t="n">
        <v>0</v>
      </c>
      <c r="D126" s="11" t="n">
        <v>46054</v>
      </c>
      <c r="E126" s="4" t="s">
        <v>201</v>
      </c>
      <c r="F126" s="4" t="s">
        <v>209</v>
      </c>
      <c r="G126" s="4" t="n">
        <v>3</v>
      </c>
      <c r="H126" s="4" t="n">
        <v>8</v>
      </c>
      <c r="I126" s="4" t="n">
        <v>0</v>
      </c>
      <c r="J126" s="4" t="n">
        <v>6883.8</v>
      </c>
      <c r="K126" s="4" t="n">
        <v>0</v>
      </c>
      <c r="L126" s="12" t="n">
        <v>0.301694</v>
      </c>
      <c r="M126" s="12" t="n">
        <v>0.092063</v>
      </c>
      <c r="N126" s="12" t="n">
        <v>0.094472</v>
      </c>
      <c r="O126" s="12" t="n">
        <v>0.106183</v>
      </c>
      <c r="P126" s="12" t="n">
        <v>0.09986</v>
      </c>
      <c r="Q126" s="0" t="str">
        <f aca="false">IF(L126&gt;=Models!$G$5,1+COUNTIF($L$5:$L$1517,"&gt;"&amp;L126)+COUNTIFS($L$5:$L$1517,L126,$B$5:$B$1517,"&lt;"&amp;B126)+COUNTIFS($L$5:$L$1517,L126,$B$5:$B$1517,B126,$C$5:$C$1517,"&lt;"&amp;C126),"")</f>
        <v/>
      </c>
      <c r="R126" s="0" t="str">
        <f aca="false">IF(M126&gt;=Models!$G$6,1+COUNTIF($M$5:$M$1517,"&gt;"&amp;M126)+COUNTIFS($M$5:$M$1517,M126,$B$5:$B$1517,"&lt;"&amp;B126)+COUNTIFS($M$5:$M$1517,M126,$B$5:$B$1517,B126,$C$5:$C$1517,"&lt;"&amp;C126),"")</f>
        <v/>
      </c>
      <c r="S126" s="0" t="str">
        <f aca="false">IF(N126&gt;=Models!$G$7,1+COUNTIF($N$5:$N$1517,"&gt;"&amp;N126)+COUNTIFS($N$5:$N$1517,N126,$B$5:$B$1517,"&lt;"&amp;B126)+COUNTIFS($N$5:$N$1517,N126,$B$5:$B$1517,B126,$C$5:$C$1517,"&lt;"&amp;C126),"")</f>
        <v/>
      </c>
      <c r="T126" s="8" t="n">
        <f aca="false">IF(O126&gt;=Models!$G$8,1+COUNTIF($O$5:$O$1517,"&gt;"&amp;O126)+COUNTIFS($O$5:$O$1517,O126,$B$5:$B$1517,"&lt;"&amp;B126)+COUNTIFS($O$5:$O$1517,O126,$B$5:$B$1517,B126,$C$5:$C$1517,"&lt;"&amp;C126),"")</f>
        <v>465</v>
      </c>
      <c r="U126" s="8" t="n">
        <f aca="false">IF($K126=1,COUNTIFS($L$5:$L$1517,"&gt;="&amp;L126,$K$5:$K$1517,1)/COUNTIF($L$5:$L$1517,"&gt;="&amp;L126),0)</f>
        <v>0</v>
      </c>
      <c r="V126" s="8" t="n">
        <f aca="false">IF($K126=1,COUNTIFS($M$5:$M$1517,"&gt;="&amp;M126,$K$5:$K$1517,1)/COUNTIF($M$5:$M$1517,"&gt;="&amp;M126),0)</f>
        <v>0</v>
      </c>
      <c r="W126" s="8" t="n">
        <f aca="false">IF($K126=1,COUNTIFS($N$5:$N$1517,"&gt;="&amp;N126,$K$5:$K$1517,1)/COUNTIF($N$5:$N$1517,"&gt;="&amp;N126),0)</f>
        <v>0</v>
      </c>
      <c r="X126" s="8" t="n">
        <f aca="false">IF($K126=1,COUNTIFS($O$5:$O$1517,"&gt;="&amp;O126,$K$5:$K$1517,1)/COUNTIF($O$5:$O$1517,"&gt;="&amp;O126),0)</f>
        <v>0</v>
      </c>
      <c r="Y126" s="8" t="n">
        <f aca="false">IF($K126=1,COUNTIFS($P$5:$P$1517,"&gt;="&amp;P126,$K$5:$K$1517,1)/COUNTIF($P$5:$P$1517,"&gt;="&amp;P126),0)</f>
        <v>0</v>
      </c>
      <c r="Z126" s="8" t="n">
        <f aca="false">(L126-$K126)^2</f>
        <v>0.091019269636</v>
      </c>
      <c r="AA126" s="8" t="n">
        <f aca="false">(M126-$K126)^2</f>
        <v>0.008475595969</v>
      </c>
      <c r="AB126" s="8" t="n">
        <f aca="false">(N126-$K126)^2</f>
        <v>0.008924958784</v>
      </c>
      <c r="AC126" s="8" t="n">
        <f aca="false">(O126-$K126)^2</f>
        <v>0.011274829489</v>
      </c>
      <c r="AD126" s="8" t="n">
        <f aca="false">(P126-$K126)^2</f>
        <v>0.0099720196</v>
      </c>
      <c r="AE126" s="8" t="n">
        <f aca="false">MIN(INT(ROUND(N126*1000000,0)/100000),9)</f>
        <v>0</v>
      </c>
      <c r="AF126" s="8" t="n">
        <f aca="false">MIN(INT(ROUND(P126*1000000,0)/100000),9)</f>
        <v>0</v>
      </c>
    </row>
    <row r="127" customFormat="false" ht="15" hidden="false" customHeight="false" outlineLevel="0" collapsed="false">
      <c r="A127" s="4" t="n">
        <v>123</v>
      </c>
      <c r="B127" s="4" t="n">
        <v>629</v>
      </c>
      <c r="C127" s="4" t="n">
        <v>0</v>
      </c>
      <c r="D127" s="11" t="n">
        <v>46054</v>
      </c>
      <c r="E127" s="4" t="s">
        <v>201</v>
      </c>
      <c r="F127" s="4" t="s">
        <v>210</v>
      </c>
      <c r="G127" s="4" t="n">
        <v>13</v>
      </c>
      <c r="H127" s="4" t="n">
        <v>1</v>
      </c>
      <c r="I127" s="4" t="n">
        <v>0</v>
      </c>
      <c r="J127" s="4" t="n">
        <v>31936.2</v>
      </c>
      <c r="K127" s="4" t="n">
        <v>0</v>
      </c>
      <c r="L127" s="12" t="n">
        <v>0.137176</v>
      </c>
      <c r="M127" s="12" t="n">
        <v>0.092063</v>
      </c>
      <c r="N127" s="12" t="n">
        <v>0.009265</v>
      </c>
      <c r="O127" s="12" t="n">
        <v>0.106183</v>
      </c>
      <c r="P127" s="12" t="n">
        <v>0.008788</v>
      </c>
      <c r="Q127" s="0" t="str">
        <f aca="false">IF(L127&gt;=Models!$G$5,1+COUNTIF($L$5:$L$1517,"&gt;"&amp;L127)+COUNTIFS($L$5:$L$1517,L127,$B$5:$B$1517,"&lt;"&amp;B127)+COUNTIFS($L$5:$L$1517,L127,$B$5:$B$1517,B127,$C$5:$C$1517,"&lt;"&amp;C127),"")</f>
        <v/>
      </c>
      <c r="R127" s="0" t="str">
        <f aca="false">IF(M127&gt;=Models!$G$6,1+COUNTIF($M$5:$M$1517,"&gt;"&amp;M127)+COUNTIFS($M$5:$M$1517,M127,$B$5:$B$1517,"&lt;"&amp;B127)+COUNTIFS($M$5:$M$1517,M127,$B$5:$B$1517,B127,$C$5:$C$1517,"&lt;"&amp;C127),"")</f>
        <v/>
      </c>
      <c r="S127" s="0" t="str">
        <f aca="false">IF(N127&gt;=Models!$G$7,1+COUNTIF($N$5:$N$1517,"&gt;"&amp;N127)+COUNTIFS($N$5:$N$1517,N127,$B$5:$B$1517,"&lt;"&amp;B127)+COUNTIFS($N$5:$N$1517,N127,$B$5:$B$1517,B127,$C$5:$C$1517,"&lt;"&amp;C127),"")</f>
        <v/>
      </c>
      <c r="T127" s="8" t="n">
        <f aca="false">IF(O127&gt;=Models!$G$8,1+COUNTIF($O$5:$O$1517,"&gt;"&amp;O127)+COUNTIFS($O$5:$O$1517,O127,$B$5:$B$1517,"&lt;"&amp;B127)+COUNTIFS($O$5:$O$1517,O127,$B$5:$B$1517,B127,$C$5:$C$1517,"&lt;"&amp;C127),"")</f>
        <v>469</v>
      </c>
      <c r="U127" s="8" t="n">
        <f aca="false">IF($K127=1,COUNTIFS($L$5:$L$1517,"&gt;="&amp;L127,$K$5:$K$1517,1)/COUNTIF($L$5:$L$1517,"&gt;="&amp;L127),0)</f>
        <v>0</v>
      </c>
      <c r="V127" s="8" t="n">
        <f aca="false">IF($K127=1,COUNTIFS($M$5:$M$1517,"&gt;="&amp;M127,$K$5:$K$1517,1)/COUNTIF($M$5:$M$1517,"&gt;="&amp;M127),0)</f>
        <v>0</v>
      </c>
      <c r="W127" s="8" t="n">
        <f aca="false">IF($K127=1,COUNTIFS($N$5:$N$1517,"&gt;="&amp;N127,$K$5:$K$1517,1)/COUNTIF($N$5:$N$1517,"&gt;="&amp;N127),0)</f>
        <v>0</v>
      </c>
      <c r="X127" s="8" t="n">
        <f aca="false">IF($K127=1,COUNTIFS($O$5:$O$1517,"&gt;="&amp;O127,$K$5:$K$1517,1)/COUNTIF($O$5:$O$1517,"&gt;="&amp;O127),0)</f>
        <v>0</v>
      </c>
      <c r="Y127" s="8" t="n">
        <f aca="false">IF($K127=1,COUNTIFS($P$5:$P$1517,"&gt;="&amp;P127,$K$5:$K$1517,1)/COUNTIF($P$5:$P$1517,"&gt;="&amp;P127),0)</f>
        <v>0</v>
      </c>
      <c r="Z127" s="8" t="n">
        <f aca="false">(L127-$K127)^2</f>
        <v>0.018817254976</v>
      </c>
      <c r="AA127" s="8" t="n">
        <f aca="false">(M127-$K127)^2</f>
        <v>0.008475595969</v>
      </c>
      <c r="AB127" s="8" t="n">
        <f aca="false">(N127-$K127)^2</f>
        <v>8.5840225E-005</v>
      </c>
      <c r="AC127" s="8" t="n">
        <f aca="false">(O127-$K127)^2</f>
        <v>0.011274829489</v>
      </c>
      <c r="AD127" s="8" t="n">
        <f aca="false">(P127-$K127)^2</f>
        <v>7.7228944E-005</v>
      </c>
      <c r="AE127" s="8" t="n">
        <f aca="false">MIN(INT(ROUND(N127*1000000,0)/100000),9)</f>
        <v>0</v>
      </c>
      <c r="AF127" s="8" t="n">
        <f aca="false">MIN(INT(ROUND(P127*1000000,0)/100000),9)</f>
        <v>0</v>
      </c>
    </row>
    <row r="128" customFormat="false" ht="15" hidden="false" customHeight="false" outlineLevel="0" collapsed="false">
      <c r="A128" s="4" t="n">
        <v>124</v>
      </c>
      <c r="B128" s="4" t="n">
        <v>633</v>
      </c>
      <c r="C128" s="4" t="n">
        <v>0</v>
      </c>
      <c r="D128" s="11" t="n">
        <v>46054</v>
      </c>
      <c r="E128" s="4" t="s">
        <v>201</v>
      </c>
      <c r="F128" s="4" t="s">
        <v>206</v>
      </c>
      <c r="G128" s="4" t="n">
        <v>23</v>
      </c>
      <c r="H128" s="4" t="n">
        <v>4</v>
      </c>
      <c r="I128" s="4" t="n">
        <v>0</v>
      </c>
      <c r="J128" s="4" t="n">
        <v>14351.4</v>
      </c>
      <c r="K128" s="4" t="n">
        <v>0</v>
      </c>
      <c r="L128" s="12" t="n">
        <v>0.973073</v>
      </c>
      <c r="M128" s="12" t="n">
        <v>0.092063</v>
      </c>
      <c r="N128" s="12" t="n">
        <v>0.010703</v>
      </c>
      <c r="O128" s="12" t="n">
        <v>0.106183</v>
      </c>
      <c r="P128" s="12" t="n">
        <v>0.010223</v>
      </c>
      <c r="Q128" s="0" t="str">
        <f aca="false">IF(L128&gt;=Models!$G$5,1+COUNTIF($L$5:$L$1517,"&gt;"&amp;L128)+COUNTIFS($L$5:$L$1517,L128,$B$5:$B$1517,"&lt;"&amp;B128)+COUNTIFS($L$5:$L$1517,L128,$B$5:$B$1517,B128,$C$5:$C$1517,"&lt;"&amp;C128),"")</f>
        <v/>
      </c>
      <c r="R128" s="0" t="str">
        <f aca="false">IF(M128&gt;=Models!$G$6,1+COUNTIF($M$5:$M$1517,"&gt;"&amp;M128)+COUNTIFS($M$5:$M$1517,M128,$B$5:$B$1517,"&lt;"&amp;B128)+COUNTIFS($M$5:$M$1517,M128,$B$5:$B$1517,B128,$C$5:$C$1517,"&lt;"&amp;C128),"")</f>
        <v/>
      </c>
      <c r="S128" s="0" t="str">
        <f aca="false">IF(N128&gt;=Models!$G$7,1+COUNTIF($N$5:$N$1517,"&gt;"&amp;N128)+COUNTIFS($N$5:$N$1517,N128,$B$5:$B$1517,"&lt;"&amp;B128)+COUNTIFS($N$5:$N$1517,N128,$B$5:$B$1517,B128,$C$5:$C$1517,"&lt;"&amp;C128),"")</f>
        <v/>
      </c>
      <c r="T128" s="8" t="n">
        <f aca="false">IF(O128&gt;=Models!$G$8,1+COUNTIF($O$5:$O$1517,"&gt;"&amp;O128)+COUNTIFS($O$5:$O$1517,O128,$B$5:$B$1517,"&lt;"&amp;B128)+COUNTIFS($O$5:$O$1517,O128,$B$5:$B$1517,B128,$C$5:$C$1517,"&lt;"&amp;C128),"")</f>
        <v>473</v>
      </c>
      <c r="U128" s="8" t="n">
        <f aca="false">IF($K128=1,COUNTIFS($L$5:$L$1517,"&gt;="&amp;L128,$K$5:$K$1517,1)/COUNTIF($L$5:$L$1517,"&gt;="&amp;L128),0)</f>
        <v>0</v>
      </c>
      <c r="V128" s="8" t="n">
        <f aca="false">IF($K128=1,COUNTIFS($M$5:$M$1517,"&gt;="&amp;M128,$K$5:$K$1517,1)/COUNTIF($M$5:$M$1517,"&gt;="&amp;M128),0)</f>
        <v>0</v>
      </c>
      <c r="W128" s="8" t="n">
        <f aca="false">IF($K128=1,COUNTIFS($N$5:$N$1517,"&gt;="&amp;N128,$K$5:$K$1517,1)/COUNTIF($N$5:$N$1517,"&gt;="&amp;N128),0)</f>
        <v>0</v>
      </c>
      <c r="X128" s="8" t="n">
        <f aca="false">IF($K128=1,COUNTIFS($O$5:$O$1517,"&gt;="&amp;O128,$K$5:$K$1517,1)/COUNTIF($O$5:$O$1517,"&gt;="&amp;O128),0)</f>
        <v>0</v>
      </c>
      <c r="Y128" s="8" t="n">
        <f aca="false">IF($K128=1,COUNTIFS($P$5:$P$1517,"&gt;="&amp;P128,$K$5:$K$1517,1)/COUNTIF($P$5:$P$1517,"&gt;="&amp;P128),0)</f>
        <v>0</v>
      </c>
      <c r="Z128" s="8" t="n">
        <f aca="false">(L128-$K128)^2</f>
        <v>0.946871063329</v>
      </c>
      <c r="AA128" s="8" t="n">
        <f aca="false">(M128-$K128)^2</f>
        <v>0.008475595969</v>
      </c>
      <c r="AB128" s="8" t="n">
        <f aca="false">(N128-$K128)^2</f>
        <v>0.000114554209</v>
      </c>
      <c r="AC128" s="8" t="n">
        <f aca="false">(O128-$K128)^2</f>
        <v>0.011274829489</v>
      </c>
      <c r="AD128" s="8" t="n">
        <f aca="false">(P128-$K128)^2</f>
        <v>0.000104509729</v>
      </c>
      <c r="AE128" s="8" t="n">
        <f aca="false">MIN(INT(ROUND(N128*1000000,0)/100000),9)</f>
        <v>0</v>
      </c>
      <c r="AF128" s="8" t="n">
        <f aca="false">MIN(INT(ROUND(P128*1000000,0)/100000),9)</f>
        <v>0</v>
      </c>
    </row>
    <row r="129" customFormat="false" ht="15" hidden="false" customHeight="false" outlineLevel="0" collapsed="false">
      <c r="A129" s="4" t="n">
        <v>125</v>
      </c>
      <c r="B129" s="4" t="n">
        <v>634</v>
      </c>
      <c r="C129" s="4" t="n">
        <v>0</v>
      </c>
      <c r="D129" s="11" t="n">
        <v>46054</v>
      </c>
      <c r="E129" s="4" t="s">
        <v>201</v>
      </c>
      <c r="F129" s="4" t="s">
        <v>206</v>
      </c>
      <c r="G129" s="4" t="n">
        <v>22</v>
      </c>
      <c r="H129" s="4" t="n">
        <v>1</v>
      </c>
      <c r="I129" s="4" t="n">
        <v>0</v>
      </c>
      <c r="J129" s="4" t="n">
        <v>21481.2</v>
      </c>
      <c r="K129" s="4" t="n">
        <v>1</v>
      </c>
      <c r="L129" s="12" t="n">
        <v>0.765168</v>
      </c>
      <c r="M129" s="12" t="n">
        <v>0.092063</v>
      </c>
      <c r="N129" s="12" t="n">
        <v>0.007577</v>
      </c>
      <c r="O129" s="12" t="n">
        <v>0.106183</v>
      </c>
      <c r="P129" s="12" t="n">
        <v>0.007118</v>
      </c>
      <c r="Q129" s="0" t="str">
        <f aca="false">IF(L129&gt;=Models!$G$5,1+COUNTIF($L$5:$L$1517,"&gt;"&amp;L129)+COUNTIFS($L$5:$L$1517,L129,$B$5:$B$1517,"&lt;"&amp;B129)+COUNTIFS($L$5:$L$1517,L129,$B$5:$B$1517,B129,$C$5:$C$1517,"&lt;"&amp;C129),"")</f>
        <v/>
      </c>
      <c r="R129" s="0" t="str">
        <f aca="false">IF(M129&gt;=Models!$G$6,1+COUNTIF($M$5:$M$1517,"&gt;"&amp;M129)+COUNTIFS($M$5:$M$1517,M129,$B$5:$B$1517,"&lt;"&amp;B129)+COUNTIFS($M$5:$M$1517,M129,$B$5:$B$1517,B129,$C$5:$C$1517,"&lt;"&amp;C129),"")</f>
        <v/>
      </c>
      <c r="S129" s="0" t="str">
        <f aca="false">IF(N129&gt;=Models!$G$7,1+COUNTIF($N$5:$N$1517,"&gt;"&amp;N129)+COUNTIFS($N$5:$N$1517,N129,$B$5:$B$1517,"&lt;"&amp;B129)+COUNTIFS($N$5:$N$1517,N129,$B$5:$B$1517,B129,$C$5:$C$1517,"&lt;"&amp;C129),"")</f>
        <v/>
      </c>
      <c r="T129" s="8" t="n">
        <f aca="false">IF(O129&gt;=Models!$G$8,1+COUNTIF($O$5:$O$1517,"&gt;"&amp;O129)+COUNTIFS($O$5:$O$1517,O129,$B$5:$B$1517,"&lt;"&amp;B129)+COUNTIFS($O$5:$O$1517,O129,$B$5:$B$1517,B129,$C$5:$C$1517,"&lt;"&amp;C129),"")</f>
        <v>477</v>
      </c>
      <c r="U129" s="8" t="n">
        <f aca="false">IF($K129=1,COUNTIFS($L$5:$L$1517,"&gt;="&amp;L129,$K$5:$K$1517,1)/COUNTIF($L$5:$L$1517,"&gt;="&amp;L129),0)</f>
        <v>0.142857142857143</v>
      </c>
      <c r="V129" s="8" t="n">
        <f aca="false">IF($K129=1,COUNTIFS($M$5:$M$1517,"&gt;="&amp;M129,$K$5:$K$1517,1)/COUNTIF($M$5:$M$1517,"&gt;="&amp;M129),0)</f>
        <v>0.12491738268341</v>
      </c>
      <c r="W129" s="8" t="n">
        <f aca="false">IF($K129=1,COUNTIFS($N$5:$N$1517,"&gt;="&amp;N129,$K$5:$K$1517,1)/COUNTIF($N$5:$N$1517,"&gt;="&amp;N129),0)</f>
        <v>0.125498007968128</v>
      </c>
      <c r="X129" s="8" t="n">
        <f aca="false">IF($K129=1,COUNTIFS($O$5:$O$1517,"&gt;="&amp;O129,$K$5:$K$1517,1)/COUNTIF($O$5:$O$1517,"&gt;="&amp;O129),0)</f>
        <v>0.12491738268341</v>
      </c>
      <c r="Y129" s="8" t="n">
        <f aca="false">IF($K129=1,COUNTIFS($P$5:$P$1517,"&gt;="&amp;P129,$K$5:$K$1517,1)/COUNTIF($P$5:$P$1517,"&gt;="&amp;P129),0)</f>
        <v>0.125498007968128</v>
      </c>
      <c r="Z129" s="8" t="n">
        <f aca="false">(L129-$K129)^2</f>
        <v>0.055146068224</v>
      </c>
      <c r="AA129" s="8" t="n">
        <f aca="false">(M129-$K129)^2</f>
        <v>0.824349595969</v>
      </c>
      <c r="AB129" s="8" t="n">
        <f aca="false">(N129-$K129)^2</f>
        <v>0.984903410929</v>
      </c>
      <c r="AC129" s="8" t="n">
        <f aca="false">(O129-$K129)^2</f>
        <v>0.798908829489</v>
      </c>
      <c r="AD129" s="8" t="n">
        <f aca="false">(P129-$K129)^2</f>
        <v>0.985814665924</v>
      </c>
      <c r="AE129" s="8" t="n">
        <f aca="false">MIN(INT(ROUND(N129*1000000,0)/100000),9)</f>
        <v>0</v>
      </c>
      <c r="AF129" s="8" t="n">
        <f aca="false">MIN(INT(ROUND(P129*1000000,0)/100000),9)</f>
        <v>0</v>
      </c>
    </row>
    <row r="130" customFormat="false" ht="15" hidden="false" customHeight="false" outlineLevel="0" collapsed="false">
      <c r="A130" s="4" t="n">
        <v>126</v>
      </c>
      <c r="B130" s="4" t="n">
        <v>635</v>
      </c>
      <c r="C130" s="4" t="n">
        <v>0</v>
      </c>
      <c r="D130" s="11" t="n">
        <v>46054</v>
      </c>
      <c r="E130" s="4" t="s">
        <v>201</v>
      </c>
      <c r="F130" s="4" t="s">
        <v>208</v>
      </c>
      <c r="G130" s="4" t="n">
        <v>25</v>
      </c>
      <c r="H130" s="4" t="n">
        <v>0</v>
      </c>
      <c r="I130" s="4" t="n">
        <v>0</v>
      </c>
      <c r="J130" s="4" t="n">
        <v>18594.6</v>
      </c>
      <c r="K130" s="4" t="n">
        <v>0</v>
      </c>
      <c r="L130" s="12" t="n">
        <v>0.023689</v>
      </c>
      <c r="M130" s="12" t="n">
        <v>0.092063</v>
      </c>
      <c r="N130" s="12" t="n">
        <v>0.006789</v>
      </c>
      <c r="O130" s="12" t="n">
        <v>0.106183</v>
      </c>
      <c r="P130" s="12" t="n">
        <v>0.006344</v>
      </c>
      <c r="Q130" s="0" t="str">
        <f aca="false">IF(L130&gt;=Models!$G$5,1+COUNTIF($L$5:$L$1517,"&gt;"&amp;L130)+COUNTIFS($L$5:$L$1517,L130,$B$5:$B$1517,"&lt;"&amp;B130)+COUNTIFS($L$5:$L$1517,L130,$B$5:$B$1517,B130,$C$5:$C$1517,"&lt;"&amp;C130),"")</f>
        <v/>
      </c>
      <c r="R130" s="0" t="str">
        <f aca="false">IF(M130&gt;=Models!$G$6,1+COUNTIF($M$5:$M$1517,"&gt;"&amp;M130)+COUNTIFS($M$5:$M$1517,M130,$B$5:$B$1517,"&lt;"&amp;B130)+COUNTIFS($M$5:$M$1517,M130,$B$5:$B$1517,B130,$C$5:$C$1517,"&lt;"&amp;C130),"")</f>
        <v/>
      </c>
      <c r="S130" s="0" t="str">
        <f aca="false">IF(N130&gt;=Models!$G$7,1+COUNTIF($N$5:$N$1517,"&gt;"&amp;N130)+COUNTIFS($N$5:$N$1517,N130,$B$5:$B$1517,"&lt;"&amp;B130)+COUNTIFS($N$5:$N$1517,N130,$B$5:$B$1517,B130,$C$5:$C$1517,"&lt;"&amp;C130),"")</f>
        <v/>
      </c>
      <c r="T130" s="8" t="n">
        <f aca="false">IF(O130&gt;=Models!$G$8,1+COUNTIF($O$5:$O$1517,"&gt;"&amp;O130)+COUNTIFS($O$5:$O$1517,O130,$B$5:$B$1517,"&lt;"&amp;B130)+COUNTIFS($O$5:$O$1517,O130,$B$5:$B$1517,B130,$C$5:$C$1517,"&lt;"&amp;C130),"")</f>
        <v>478</v>
      </c>
      <c r="U130" s="8" t="n">
        <f aca="false">IF($K130=1,COUNTIFS($L$5:$L$1517,"&gt;="&amp;L130,$K$5:$K$1517,1)/COUNTIF($L$5:$L$1517,"&gt;="&amp;L130),0)</f>
        <v>0</v>
      </c>
      <c r="V130" s="8" t="n">
        <f aca="false">IF($K130=1,COUNTIFS($M$5:$M$1517,"&gt;="&amp;M130,$K$5:$K$1517,1)/COUNTIF($M$5:$M$1517,"&gt;="&amp;M130),0)</f>
        <v>0</v>
      </c>
      <c r="W130" s="8" t="n">
        <f aca="false">IF($K130=1,COUNTIFS($N$5:$N$1517,"&gt;="&amp;N130,$K$5:$K$1517,1)/COUNTIF($N$5:$N$1517,"&gt;="&amp;N130),0)</f>
        <v>0</v>
      </c>
      <c r="X130" s="8" t="n">
        <f aca="false">IF($K130=1,COUNTIFS($O$5:$O$1517,"&gt;="&amp;O130,$K$5:$K$1517,1)/COUNTIF($O$5:$O$1517,"&gt;="&amp;O130),0)</f>
        <v>0</v>
      </c>
      <c r="Y130" s="8" t="n">
        <f aca="false">IF($K130=1,COUNTIFS($P$5:$P$1517,"&gt;="&amp;P130,$K$5:$K$1517,1)/COUNTIF($P$5:$P$1517,"&gt;="&amp;P130),0)</f>
        <v>0</v>
      </c>
      <c r="Z130" s="8" t="n">
        <f aca="false">(L130-$K130)^2</f>
        <v>0.000561168721</v>
      </c>
      <c r="AA130" s="8" t="n">
        <f aca="false">(M130-$K130)^2</f>
        <v>0.008475595969</v>
      </c>
      <c r="AB130" s="8" t="n">
        <f aca="false">(N130-$K130)^2</f>
        <v>4.6090521E-005</v>
      </c>
      <c r="AC130" s="8" t="n">
        <f aca="false">(O130-$K130)^2</f>
        <v>0.011274829489</v>
      </c>
      <c r="AD130" s="8" t="n">
        <f aca="false">(P130-$K130)^2</f>
        <v>4.0246336E-005</v>
      </c>
      <c r="AE130" s="8" t="n">
        <f aca="false">MIN(INT(ROUND(N130*1000000,0)/100000),9)</f>
        <v>0</v>
      </c>
      <c r="AF130" s="8" t="n">
        <f aca="false">MIN(INT(ROUND(P130*1000000,0)/100000),9)</f>
        <v>0</v>
      </c>
    </row>
    <row r="131" customFormat="false" ht="15" hidden="false" customHeight="false" outlineLevel="0" collapsed="false">
      <c r="A131" s="4" t="n">
        <v>127</v>
      </c>
      <c r="B131" s="4" t="n">
        <v>642</v>
      </c>
      <c r="C131" s="4" t="n">
        <v>0</v>
      </c>
      <c r="D131" s="11" t="n">
        <v>46054</v>
      </c>
      <c r="E131" s="4" t="s">
        <v>201</v>
      </c>
      <c r="F131" s="4" t="s">
        <v>209</v>
      </c>
      <c r="G131" s="4" t="n">
        <v>13</v>
      </c>
      <c r="H131" s="4" t="n">
        <v>8</v>
      </c>
      <c r="I131" s="4" t="n">
        <v>0</v>
      </c>
      <c r="J131" s="4" t="n">
        <v>7773</v>
      </c>
      <c r="K131" s="4" t="n">
        <v>0</v>
      </c>
      <c r="L131" s="12" t="n">
        <v>0.098593</v>
      </c>
      <c r="M131" s="12" t="n">
        <v>0.092063</v>
      </c>
      <c r="N131" s="12" t="n">
        <v>0.038725</v>
      </c>
      <c r="O131" s="12" t="n">
        <v>0.106183</v>
      </c>
      <c r="P131" s="12" t="n">
        <v>0.039331</v>
      </c>
      <c r="Q131" s="0" t="str">
        <f aca="false">IF(L131&gt;=Models!$G$5,1+COUNTIF($L$5:$L$1517,"&gt;"&amp;L131)+COUNTIFS($L$5:$L$1517,L131,$B$5:$B$1517,"&lt;"&amp;B131)+COUNTIFS($L$5:$L$1517,L131,$B$5:$B$1517,B131,$C$5:$C$1517,"&lt;"&amp;C131),"")</f>
        <v/>
      </c>
      <c r="R131" s="0" t="str">
        <f aca="false">IF(M131&gt;=Models!$G$6,1+COUNTIF($M$5:$M$1517,"&gt;"&amp;M131)+COUNTIFS($M$5:$M$1517,M131,$B$5:$B$1517,"&lt;"&amp;B131)+COUNTIFS($M$5:$M$1517,M131,$B$5:$B$1517,B131,$C$5:$C$1517,"&lt;"&amp;C131),"")</f>
        <v/>
      </c>
      <c r="S131" s="0" t="str">
        <f aca="false">IF(N131&gt;=Models!$G$7,1+COUNTIF($N$5:$N$1517,"&gt;"&amp;N131)+COUNTIFS($N$5:$N$1517,N131,$B$5:$B$1517,"&lt;"&amp;B131)+COUNTIFS($N$5:$N$1517,N131,$B$5:$B$1517,B131,$C$5:$C$1517,"&lt;"&amp;C131),"")</f>
        <v/>
      </c>
      <c r="T131" s="8" t="n">
        <f aca="false">IF(O131&gt;=Models!$G$8,1+COUNTIF($O$5:$O$1517,"&gt;"&amp;O131)+COUNTIFS($O$5:$O$1517,O131,$B$5:$B$1517,"&lt;"&amp;B131)+COUNTIFS($O$5:$O$1517,O131,$B$5:$B$1517,B131,$C$5:$C$1517,"&lt;"&amp;C131),"")</f>
        <v>482</v>
      </c>
      <c r="U131" s="8" t="n">
        <f aca="false">IF($K131=1,COUNTIFS($L$5:$L$1517,"&gt;="&amp;L131,$K$5:$K$1517,1)/COUNTIF($L$5:$L$1517,"&gt;="&amp;L131),0)</f>
        <v>0</v>
      </c>
      <c r="V131" s="8" t="n">
        <f aca="false">IF($K131=1,COUNTIFS($M$5:$M$1517,"&gt;="&amp;M131,$K$5:$K$1517,1)/COUNTIF($M$5:$M$1517,"&gt;="&amp;M131),0)</f>
        <v>0</v>
      </c>
      <c r="W131" s="8" t="n">
        <f aca="false">IF($K131=1,COUNTIFS($N$5:$N$1517,"&gt;="&amp;N131,$K$5:$K$1517,1)/COUNTIF($N$5:$N$1517,"&gt;="&amp;N131),0)</f>
        <v>0</v>
      </c>
      <c r="X131" s="8" t="n">
        <f aca="false">IF($K131=1,COUNTIFS($O$5:$O$1517,"&gt;="&amp;O131,$K$5:$K$1517,1)/COUNTIF($O$5:$O$1517,"&gt;="&amp;O131),0)</f>
        <v>0</v>
      </c>
      <c r="Y131" s="8" t="n">
        <f aca="false">IF($K131=1,COUNTIFS($P$5:$P$1517,"&gt;="&amp;P131,$K$5:$K$1517,1)/COUNTIF($P$5:$P$1517,"&gt;="&amp;P131),0)</f>
        <v>0</v>
      </c>
      <c r="Z131" s="8" t="n">
        <f aca="false">(L131-$K131)^2</f>
        <v>0.009720579649</v>
      </c>
      <c r="AA131" s="8" t="n">
        <f aca="false">(M131-$K131)^2</f>
        <v>0.008475595969</v>
      </c>
      <c r="AB131" s="8" t="n">
        <f aca="false">(N131-$K131)^2</f>
        <v>0.001499625625</v>
      </c>
      <c r="AC131" s="8" t="n">
        <f aca="false">(O131-$K131)^2</f>
        <v>0.011274829489</v>
      </c>
      <c r="AD131" s="8" t="n">
        <f aca="false">(P131-$K131)^2</f>
        <v>0.001546927561</v>
      </c>
      <c r="AE131" s="8" t="n">
        <f aca="false">MIN(INT(ROUND(N131*1000000,0)/100000),9)</f>
        <v>0</v>
      </c>
      <c r="AF131" s="8" t="n">
        <f aca="false">MIN(INT(ROUND(P131*1000000,0)/100000),9)</f>
        <v>0</v>
      </c>
    </row>
    <row r="132" customFormat="false" ht="15" hidden="false" customHeight="false" outlineLevel="0" collapsed="false">
      <c r="A132" s="4" t="n">
        <v>128</v>
      </c>
      <c r="B132" s="4" t="n">
        <v>646</v>
      </c>
      <c r="C132" s="4" t="n">
        <v>0</v>
      </c>
      <c r="D132" s="11" t="n">
        <v>46054</v>
      </c>
      <c r="E132" s="4" t="s">
        <v>203</v>
      </c>
      <c r="F132" s="4" t="s">
        <v>210</v>
      </c>
      <c r="G132" s="4" t="n">
        <v>3</v>
      </c>
      <c r="H132" s="4" t="n">
        <v>6</v>
      </c>
      <c r="I132" s="4" t="n">
        <v>0</v>
      </c>
      <c r="J132" s="4" t="n">
        <v>938.4</v>
      </c>
      <c r="K132" s="4" t="n">
        <v>0</v>
      </c>
      <c r="L132" s="12" t="n">
        <v>0.981331</v>
      </c>
      <c r="M132" s="12" t="n">
        <v>0.092063</v>
      </c>
      <c r="N132" s="12" t="n">
        <v>0.1266</v>
      </c>
      <c r="O132" s="12" t="n">
        <v>0.106183</v>
      </c>
      <c r="P132" s="12" t="n">
        <v>0.135371</v>
      </c>
      <c r="Q132" s="8" t="n">
        <f aca="false">IF(L132&gt;=Models!$G$5,1+COUNTIF($L$5:$L$1517,"&gt;"&amp;L132)+COUNTIFS($L$5:$L$1517,L132,$B$5:$B$1517,"&lt;"&amp;B132)+COUNTIFS($L$5:$L$1517,L132,$B$5:$B$1517,B132,$C$5:$C$1517,"&lt;"&amp;C132),"")</f>
        <v>25</v>
      </c>
      <c r="R132" s="0" t="str">
        <f aca="false">IF(M132&gt;=Models!$G$6,1+COUNTIF($M$5:$M$1517,"&gt;"&amp;M132)+COUNTIFS($M$5:$M$1517,M132,$B$5:$B$1517,"&lt;"&amp;B132)+COUNTIFS($M$5:$M$1517,M132,$B$5:$B$1517,B132,$C$5:$C$1517,"&lt;"&amp;C132),"")</f>
        <v/>
      </c>
      <c r="S132" s="0" t="str">
        <f aca="false">IF(N132&gt;=Models!$G$7,1+COUNTIF($N$5:$N$1517,"&gt;"&amp;N132)+COUNTIFS($N$5:$N$1517,N132,$B$5:$B$1517,"&lt;"&amp;B132)+COUNTIFS($N$5:$N$1517,N132,$B$5:$B$1517,B132,$C$5:$C$1517,"&lt;"&amp;C132),"")</f>
        <v/>
      </c>
      <c r="T132" s="8" t="n">
        <f aca="false">IF(O132&gt;=Models!$G$8,1+COUNTIF($O$5:$O$1517,"&gt;"&amp;O132)+COUNTIFS($O$5:$O$1517,O132,$B$5:$B$1517,"&lt;"&amp;B132)+COUNTIFS($O$5:$O$1517,O132,$B$5:$B$1517,B132,$C$5:$C$1517,"&lt;"&amp;C132),"")</f>
        <v>486</v>
      </c>
      <c r="U132" s="8" t="n">
        <f aca="false">IF($K132=1,COUNTIFS($L$5:$L$1517,"&gt;="&amp;L132,$K$5:$K$1517,1)/COUNTIF($L$5:$L$1517,"&gt;="&amp;L132),0)</f>
        <v>0</v>
      </c>
      <c r="V132" s="8" t="n">
        <f aca="false">IF($K132=1,COUNTIFS($M$5:$M$1517,"&gt;="&amp;M132,$K$5:$K$1517,1)/COUNTIF($M$5:$M$1517,"&gt;="&amp;M132),0)</f>
        <v>0</v>
      </c>
      <c r="W132" s="8" t="n">
        <f aca="false">IF($K132=1,COUNTIFS($N$5:$N$1517,"&gt;="&amp;N132,$K$5:$K$1517,1)/COUNTIF($N$5:$N$1517,"&gt;="&amp;N132),0)</f>
        <v>0</v>
      </c>
      <c r="X132" s="8" t="n">
        <f aca="false">IF($K132=1,COUNTIFS($O$5:$O$1517,"&gt;="&amp;O132,$K$5:$K$1517,1)/COUNTIF($O$5:$O$1517,"&gt;="&amp;O132),0)</f>
        <v>0</v>
      </c>
      <c r="Y132" s="8" t="n">
        <f aca="false">IF($K132=1,COUNTIFS($P$5:$P$1517,"&gt;="&amp;P132,$K$5:$K$1517,1)/COUNTIF($P$5:$P$1517,"&gt;="&amp;P132),0)</f>
        <v>0</v>
      </c>
      <c r="Z132" s="8" t="n">
        <f aca="false">(L132-$K132)^2</f>
        <v>0.963010531561</v>
      </c>
      <c r="AA132" s="8" t="n">
        <f aca="false">(M132-$K132)^2</f>
        <v>0.008475595969</v>
      </c>
      <c r="AB132" s="8" t="n">
        <f aca="false">(N132-$K132)^2</f>
        <v>0.01602756</v>
      </c>
      <c r="AC132" s="8" t="n">
        <f aca="false">(O132-$K132)^2</f>
        <v>0.011274829489</v>
      </c>
      <c r="AD132" s="8" t="n">
        <f aca="false">(P132-$K132)^2</f>
        <v>0.018325307641</v>
      </c>
      <c r="AE132" s="8" t="n">
        <f aca="false">MIN(INT(ROUND(N132*1000000,0)/100000),9)</f>
        <v>1</v>
      </c>
      <c r="AF132" s="8" t="n">
        <f aca="false">MIN(INT(ROUND(P132*1000000,0)/100000),9)</f>
        <v>1</v>
      </c>
    </row>
    <row r="133" customFormat="false" ht="15" hidden="false" customHeight="false" outlineLevel="0" collapsed="false">
      <c r="A133" s="4" t="n">
        <v>129</v>
      </c>
      <c r="B133" s="4" t="n">
        <v>649</v>
      </c>
      <c r="C133" s="4" t="n">
        <v>0</v>
      </c>
      <c r="D133" s="11" t="n">
        <v>46054</v>
      </c>
      <c r="E133" s="4" t="s">
        <v>201</v>
      </c>
      <c r="F133" s="4" t="s">
        <v>209</v>
      </c>
      <c r="G133" s="4" t="n">
        <v>9</v>
      </c>
      <c r="H133" s="4" t="n">
        <v>2</v>
      </c>
      <c r="I133" s="4" t="n">
        <v>0</v>
      </c>
      <c r="J133" s="4" t="n">
        <v>7632</v>
      </c>
      <c r="K133" s="4" t="n">
        <v>0</v>
      </c>
      <c r="L133" s="12" t="n">
        <v>0.264581</v>
      </c>
      <c r="M133" s="12" t="n">
        <v>0.092063</v>
      </c>
      <c r="N133" s="12" t="n">
        <v>0.052512</v>
      </c>
      <c r="O133" s="12" t="n">
        <v>0.106183</v>
      </c>
      <c r="P133" s="12" t="n">
        <v>0.054093</v>
      </c>
      <c r="Q133" s="0" t="str">
        <f aca="false">IF(L133&gt;=Models!$G$5,1+COUNTIF($L$5:$L$1517,"&gt;"&amp;L133)+COUNTIFS($L$5:$L$1517,L133,$B$5:$B$1517,"&lt;"&amp;B133)+COUNTIFS($L$5:$L$1517,L133,$B$5:$B$1517,B133,$C$5:$C$1517,"&lt;"&amp;C133),"")</f>
        <v/>
      </c>
      <c r="R133" s="0" t="str">
        <f aca="false">IF(M133&gt;=Models!$G$6,1+COUNTIF($M$5:$M$1517,"&gt;"&amp;M133)+COUNTIFS($M$5:$M$1517,M133,$B$5:$B$1517,"&lt;"&amp;B133)+COUNTIFS($M$5:$M$1517,M133,$B$5:$B$1517,B133,$C$5:$C$1517,"&lt;"&amp;C133),"")</f>
        <v/>
      </c>
      <c r="S133" s="0" t="str">
        <f aca="false">IF(N133&gt;=Models!$G$7,1+COUNTIF($N$5:$N$1517,"&gt;"&amp;N133)+COUNTIFS($N$5:$N$1517,N133,$B$5:$B$1517,"&lt;"&amp;B133)+COUNTIFS($N$5:$N$1517,N133,$B$5:$B$1517,B133,$C$5:$C$1517,"&lt;"&amp;C133),"")</f>
        <v/>
      </c>
      <c r="T133" s="8" t="n">
        <f aca="false">IF(O133&gt;=Models!$G$8,1+COUNTIF($O$5:$O$1517,"&gt;"&amp;O133)+COUNTIFS($O$5:$O$1517,O133,$B$5:$B$1517,"&lt;"&amp;B133)+COUNTIFS($O$5:$O$1517,O133,$B$5:$B$1517,B133,$C$5:$C$1517,"&lt;"&amp;C133),"")</f>
        <v>490</v>
      </c>
      <c r="U133" s="8" t="n">
        <f aca="false">IF($K133=1,COUNTIFS($L$5:$L$1517,"&gt;="&amp;L133,$K$5:$K$1517,1)/COUNTIF($L$5:$L$1517,"&gt;="&amp;L133),0)</f>
        <v>0</v>
      </c>
      <c r="V133" s="8" t="n">
        <f aca="false">IF($K133=1,COUNTIFS($M$5:$M$1517,"&gt;="&amp;M133,$K$5:$K$1517,1)/COUNTIF($M$5:$M$1517,"&gt;="&amp;M133),0)</f>
        <v>0</v>
      </c>
      <c r="W133" s="8" t="n">
        <f aca="false">IF($K133=1,COUNTIFS($N$5:$N$1517,"&gt;="&amp;N133,$K$5:$K$1517,1)/COUNTIF($N$5:$N$1517,"&gt;="&amp;N133),0)</f>
        <v>0</v>
      </c>
      <c r="X133" s="8" t="n">
        <f aca="false">IF($K133=1,COUNTIFS($O$5:$O$1517,"&gt;="&amp;O133,$K$5:$K$1517,1)/COUNTIF($O$5:$O$1517,"&gt;="&amp;O133),0)</f>
        <v>0</v>
      </c>
      <c r="Y133" s="8" t="n">
        <f aca="false">IF($K133=1,COUNTIFS($P$5:$P$1517,"&gt;="&amp;P133,$K$5:$K$1517,1)/COUNTIF($P$5:$P$1517,"&gt;="&amp;P133),0)</f>
        <v>0</v>
      </c>
      <c r="Z133" s="8" t="n">
        <f aca="false">(L133-$K133)^2</f>
        <v>0.070003105561</v>
      </c>
      <c r="AA133" s="8" t="n">
        <f aca="false">(M133-$K133)^2</f>
        <v>0.008475595969</v>
      </c>
      <c r="AB133" s="8" t="n">
        <f aca="false">(N133-$K133)^2</f>
        <v>0.002757510144</v>
      </c>
      <c r="AC133" s="8" t="n">
        <f aca="false">(O133-$K133)^2</f>
        <v>0.011274829489</v>
      </c>
      <c r="AD133" s="8" t="n">
        <f aca="false">(P133-$K133)^2</f>
        <v>0.002926052649</v>
      </c>
      <c r="AE133" s="8" t="n">
        <f aca="false">MIN(INT(ROUND(N133*1000000,0)/100000),9)</f>
        <v>0</v>
      </c>
      <c r="AF133" s="8" t="n">
        <f aca="false">MIN(INT(ROUND(P133*1000000,0)/100000),9)</f>
        <v>0</v>
      </c>
    </row>
    <row r="134" customFormat="false" ht="15" hidden="false" customHeight="false" outlineLevel="0" collapsed="false">
      <c r="A134" s="4" t="n">
        <v>130</v>
      </c>
      <c r="B134" s="4" t="n">
        <v>657</v>
      </c>
      <c r="C134" s="4" t="n">
        <v>0</v>
      </c>
      <c r="D134" s="11" t="n">
        <v>46054</v>
      </c>
      <c r="E134" s="4" t="s">
        <v>203</v>
      </c>
      <c r="F134" s="4" t="s">
        <v>209</v>
      </c>
      <c r="G134" s="4" t="n">
        <v>8</v>
      </c>
      <c r="H134" s="4" t="n">
        <v>3</v>
      </c>
      <c r="I134" s="4" t="n">
        <v>0</v>
      </c>
      <c r="J134" s="4" t="n">
        <v>339</v>
      </c>
      <c r="K134" s="4" t="n">
        <v>0</v>
      </c>
      <c r="L134" s="12" t="n">
        <v>0.3422</v>
      </c>
      <c r="M134" s="12" t="n">
        <v>0.092063</v>
      </c>
      <c r="N134" s="12" t="n">
        <v>0.085403</v>
      </c>
      <c r="O134" s="12" t="n">
        <v>0.106183</v>
      </c>
      <c r="P134" s="12" t="n">
        <v>0.089893</v>
      </c>
      <c r="Q134" s="0" t="str">
        <f aca="false">IF(L134&gt;=Models!$G$5,1+COUNTIF($L$5:$L$1517,"&gt;"&amp;L134)+COUNTIFS($L$5:$L$1517,L134,$B$5:$B$1517,"&lt;"&amp;B134)+COUNTIFS($L$5:$L$1517,L134,$B$5:$B$1517,B134,$C$5:$C$1517,"&lt;"&amp;C134),"")</f>
        <v/>
      </c>
      <c r="R134" s="0" t="str">
        <f aca="false">IF(M134&gt;=Models!$G$6,1+COUNTIF($M$5:$M$1517,"&gt;"&amp;M134)+COUNTIFS($M$5:$M$1517,M134,$B$5:$B$1517,"&lt;"&amp;B134)+COUNTIFS($M$5:$M$1517,M134,$B$5:$B$1517,B134,$C$5:$C$1517,"&lt;"&amp;C134),"")</f>
        <v/>
      </c>
      <c r="S134" s="0" t="str">
        <f aca="false">IF(N134&gt;=Models!$G$7,1+COUNTIF($N$5:$N$1517,"&gt;"&amp;N134)+COUNTIFS($N$5:$N$1517,N134,$B$5:$B$1517,"&lt;"&amp;B134)+COUNTIFS($N$5:$N$1517,N134,$B$5:$B$1517,B134,$C$5:$C$1517,"&lt;"&amp;C134),"")</f>
        <v/>
      </c>
      <c r="T134" s="8" t="n">
        <f aca="false">IF(O134&gt;=Models!$G$8,1+COUNTIF($O$5:$O$1517,"&gt;"&amp;O134)+COUNTIFS($O$5:$O$1517,O134,$B$5:$B$1517,"&lt;"&amp;B134)+COUNTIFS($O$5:$O$1517,O134,$B$5:$B$1517,B134,$C$5:$C$1517,"&lt;"&amp;C134),"")</f>
        <v>494</v>
      </c>
      <c r="U134" s="8" t="n">
        <f aca="false">IF($K134=1,COUNTIFS($L$5:$L$1517,"&gt;="&amp;L134,$K$5:$K$1517,1)/COUNTIF($L$5:$L$1517,"&gt;="&amp;L134),0)</f>
        <v>0</v>
      </c>
      <c r="V134" s="8" t="n">
        <f aca="false">IF($K134=1,COUNTIFS($M$5:$M$1517,"&gt;="&amp;M134,$K$5:$K$1517,1)/COUNTIF($M$5:$M$1517,"&gt;="&amp;M134),0)</f>
        <v>0</v>
      </c>
      <c r="W134" s="8" t="n">
        <f aca="false">IF($K134=1,COUNTIFS($N$5:$N$1517,"&gt;="&amp;N134,$K$5:$K$1517,1)/COUNTIF($N$5:$N$1517,"&gt;="&amp;N134),0)</f>
        <v>0</v>
      </c>
      <c r="X134" s="8" t="n">
        <f aca="false">IF($K134=1,COUNTIFS($O$5:$O$1517,"&gt;="&amp;O134,$K$5:$K$1517,1)/COUNTIF($O$5:$O$1517,"&gt;="&amp;O134),0)</f>
        <v>0</v>
      </c>
      <c r="Y134" s="8" t="n">
        <f aca="false">IF($K134=1,COUNTIFS($P$5:$P$1517,"&gt;="&amp;P134,$K$5:$K$1517,1)/COUNTIF($P$5:$P$1517,"&gt;="&amp;P134),0)</f>
        <v>0</v>
      </c>
      <c r="Z134" s="8" t="n">
        <f aca="false">(L134-$K134)^2</f>
        <v>0.11710084</v>
      </c>
      <c r="AA134" s="8" t="n">
        <f aca="false">(M134-$K134)^2</f>
        <v>0.008475595969</v>
      </c>
      <c r="AB134" s="8" t="n">
        <f aca="false">(N134-$K134)^2</f>
        <v>0.007293672409</v>
      </c>
      <c r="AC134" s="8" t="n">
        <f aca="false">(O134-$K134)^2</f>
        <v>0.011274829489</v>
      </c>
      <c r="AD134" s="8" t="n">
        <f aca="false">(P134-$K134)^2</f>
        <v>0.008080751449</v>
      </c>
      <c r="AE134" s="8" t="n">
        <f aca="false">MIN(INT(ROUND(N134*1000000,0)/100000),9)</f>
        <v>0</v>
      </c>
      <c r="AF134" s="8" t="n">
        <f aca="false">MIN(INT(ROUND(P134*1000000,0)/100000),9)</f>
        <v>0</v>
      </c>
    </row>
    <row r="135" customFormat="false" ht="15" hidden="false" customHeight="false" outlineLevel="0" collapsed="false">
      <c r="A135" s="4" t="n">
        <v>131</v>
      </c>
      <c r="B135" s="4" t="n">
        <v>659</v>
      </c>
      <c r="C135" s="4" t="n">
        <v>0</v>
      </c>
      <c r="D135" s="11" t="n">
        <v>46054</v>
      </c>
      <c r="E135" s="4" t="s">
        <v>203</v>
      </c>
      <c r="F135" s="4" t="s">
        <v>206</v>
      </c>
      <c r="G135" s="4" t="n">
        <v>3</v>
      </c>
      <c r="H135" s="4" t="n">
        <v>17</v>
      </c>
      <c r="I135" s="4" t="n">
        <v>0</v>
      </c>
      <c r="J135" s="4" t="n">
        <v>306</v>
      </c>
      <c r="K135" s="4" t="n">
        <v>0</v>
      </c>
      <c r="L135" s="12" t="n">
        <v>0.704643</v>
      </c>
      <c r="M135" s="12" t="n">
        <v>0.092063</v>
      </c>
      <c r="N135" s="12" t="n">
        <v>0.141304</v>
      </c>
      <c r="O135" s="12" t="n">
        <v>0.106183</v>
      </c>
      <c r="P135" s="12" t="n">
        <v>0.151693</v>
      </c>
      <c r="Q135" s="0" t="str">
        <f aca="false">IF(L135&gt;=Models!$G$5,1+COUNTIF($L$5:$L$1517,"&gt;"&amp;L135)+COUNTIFS($L$5:$L$1517,L135,$B$5:$B$1517,"&lt;"&amp;B135)+COUNTIFS($L$5:$L$1517,L135,$B$5:$B$1517,B135,$C$5:$C$1517,"&lt;"&amp;C135),"")</f>
        <v/>
      </c>
      <c r="R135" s="0" t="str">
        <f aca="false">IF(M135&gt;=Models!$G$6,1+COUNTIF($M$5:$M$1517,"&gt;"&amp;M135)+COUNTIFS($M$5:$M$1517,M135,$B$5:$B$1517,"&lt;"&amp;B135)+COUNTIFS($M$5:$M$1517,M135,$B$5:$B$1517,B135,$C$5:$C$1517,"&lt;"&amp;C135),"")</f>
        <v/>
      </c>
      <c r="S135" s="0" t="str">
        <f aca="false">IF(N135&gt;=Models!$G$7,1+COUNTIF($N$5:$N$1517,"&gt;"&amp;N135)+COUNTIFS($N$5:$N$1517,N135,$B$5:$B$1517,"&lt;"&amp;B135)+COUNTIFS($N$5:$N$1517,N135,$B$5:$B$1517,B135,$C$5:$C$1517,"&lt;"&amp;C135),"")</f>
        <v/>
      </c>
      <c r="T135" s="8" t="n">
        <f aca="false">IF(O135&gt;=Models!$G$8,1+COUNTIF($O$5:$O$1517,"&gt;"&amp;O135)+COUNTIFS($O$5:$O$1517,O135,$B$5:$B$1517,"&lt;"&amp;B135)+COUNTIFS($O$5:$O$1517,O135,$B$5:$B$1517,B135,$C$5:$C$1517,"&lt;"&amp;C135),"")</f>
        <v>498</v>
      </c>
      <c r="U135" s="8" t="n">
        <f aca="false">IF($K135=1,COUNTIFS($L$5:$L$1517,"&gt;="&amp;L135,$K$5:$K$1517,1)/COUNTIF($L$5:$L$1517,"&gt;="&amp;L135),0)</f>
        <v>0</v>
      </c>
      <c r="V135" s="8" t="n">
        <f aca="false">IF($K135=1,COUNTIFS($M$5:$M$1517,"&gt;="&amp;M135,$K$5:$K$1517,1)/COUNTIF($M$5:$M$1517,"&gt;="&amp;M135),0)</f>
        <v>0</v>
      </c>
      <c r="W135" s="8" t="n">
        <f aca="false">IF($K135=1,COUNTIFS($N$5:$N$1517,"&gt;="&amp;N135,$K$5:$K$1517,1)/COUNTIF($N$5:$N$1517,"&gt;="&amp;N135),0)</f>
        <v>0</v>
      </c>
      <c r="X135" s="8" t="n">
        <f aca="false">IF($K135=1,COUNTIFS($O$5:$O$1517,"&gt;="&amp;O135,$K$5:$K$1517,1)/COUNTIF($O$5:$O$1517,"&gt;="&amp;O135),0)</f>
        <v>0</v>
      </c>
      <c r="Y135" s="8" t="n">
        <f aca="false">IF($K135=1,COUNTIFS($P$5:$P$1517,"&gt;="&amp;P135,$K$5:$K$1517,1)/COUNTIF($P$5:$P$1517,"&gt;="&amp;P135),0)</f>
        <v>0</v>
      </c>
      <c r="Z135" s="8" t="n">
        <f aca="false">(L135-$K135)^2</f>
        <v>0.496521757449</v>
      </c>
      <c r="AA135" s="8" t="n">
        <f aca="false">(M135-$K135)^2</f>
        <v>0.008475595969</v>
      </c>
      <c r="AB135" s="8" t="n">
        <f aca="false">(N135-$K135)^2</f>
        <v>0.019966820416</v>
      </c>
      <c r="AC135" s="8" t="n">
        <f aca="false">(O135-$K135)^2</f>
        <v>0.011274829489</v>
      </c>
      <c r="AD135" s="8" t="n">
        <f aca="false">(P135-$K135)^2</f>
        <v>0.023010766249</v>
      </c>
      <c r="AE135" s="8" t="n">
        <f aca="false">MIN(INT(ROUND(N135*1000000,0)/100000),9)</f>
        <v>1</v>
      </c>
      <c r="AF135" s="8" t="n">
        <f aca="false">MIN(INT(ROUND(P135*1000000,0)/100000),9)</f>
        <v>1</v>
      </c>
    </row>
    <row r="136" customFormat="false" ht="15" hidden="false" customHeight="false" outlineLevel="0" collapsed="false">
      <c r="A136" s="4" t="n">
        <v>132</v>
      </c>
      <c r="B136" s="4" t="n">
        <v>665</v>
      </c>
      <c r="C136" s="4" t="n">
        <v>0</v>
      </c>
      <c r="D136" s="11" t="n">
        <v>46054</v>
      </c>
      <c r="E136" s="4" t="s">
        <v>204</v>
      </c>
      <c r="F136" s="4" t="s">
        <v>206</v>
      </c>
      <c r="G136" s="4" t="n">
        <v>0</v>
      </c>
      <c r="H136" s="4" t="n">
        <v>49</v>
      </c>
      <c r="I136" s="4" t="n">
        <v>0</v>
      </c>
      <c r="J136" s="4" t="n">
        <v>93</v>
      </c>
      <c r="K136" s="4" t="n">
        <v>0</v>
      </c>
      <c r="L136" s="12" t="n">
        <v>0.895454</v>
      </c>
      <c r="M136" s="12" t="n">
        <v>0.184211</v>
      </c>
      <c r="N136" s="12" t="n">
        <v>0.220988</v>
      </c>
      <c r="O136" s="12" t="n">
        <v>0.106183</v>
      </c>
      <c r="P136" s="12" t="n">
        <v>0.240325</v>
      </c>
      <c r="Q136" s="0" t="str">
        <f aca="false">IF(L136&gt;=Models!$G$5,1+COUNTIF($L$5:$L$1517,"&gt;"&amp;L136)+COUNTIFS($L$5:$L$1517,L136,$B$5:$B$1517,"&lt;"&amp;B136)+COUNTIFS($L$5:$L$1517,L136,$B$5:$B$1517,B136,$C$5:$C$1517,"&lt;"&amp;C136),"")</f>
        <v/>
      </c>
      <c r="R136" s="8" t="n">
        <f aca="false">IF(M136&gt;=Models!$G$6,1+COUNTIF($M$5:$M$1517,"&gt;"&amp;M136)+COUNTIFS($M$5:$M$1517,M136,$B$5:$B$1517,"&lt;"&amp;B136)+COUNTIFS($M$5:$M$1517,M136,$B$5:$B$1517,B136,$C$5:$C$1517,"&lt;"&amp;C136),"")</f>
        <v>51</v>
      </c>
      <c r="S136" s="0" t="str">
        <f aca="false">IF(N136&gt;=Models!$G$7,1+COUNTIF($N$5:$N$1517,"&gt;"&amp;N136)+COUNTIFS($N$5:$N$1517,N136,$B$5:$B$1517,"&lt;"&amp;B136)+COUNTIFS($N$5:$N$1517,N136,$B$5:$B$1517,B136,$C$5:$C$1517,"&lt;"&amp;C136),"")</f>
        <v/>
      </c>
      <c r="T136" s="8" t="n">
        <f aca="false">IF(O136&gt;=Models!$G$8,1+COUNTIF($O$5:$O$1517,"&gt;"&amp;O136)+COUNTIFS($O$5:$O$1517,O136,$B$5:$B$1517,"&lt;"&amp;B136)+COUNTIFS($O$5:$O$1517,O136,$B$5:$B$1517,B136,$C$5:$C$1517,"&lt;"&amp;C136),"")</f>
        <v>502</v>
      </c>
      <c r="U136" s="8" t="n">
        <f aca="false">IF($K136=1,COUNTIFS($L$5:$L$1517,"&gt;="&amp;L136,$K$5:$K$1517,1)/COUNTIF($L$5:$L$1517,"&gt;="&amp;L136),0)</f>
        <v>0</v>
      </c>
      <c r="V136" s="8" t="n">
        <f aca="false">IF($K136=1,COUNTIFS($M$5:$M$1517,"&gt;="&amp;M136,$K$5:$K$1517,1)/COUNTIF($M$5:$M$1517,"&gt;="&amp;M136),0)</f>
        <v>0</v>
      </c>
      <c r="W136" s="8" t="n">
        <f aca="false">IF($K136=1,COUNTIFS($N$5:$N$1517,"&gt;="&amp;N136,$K$5:$K$1517,1)/COUNTIF($N$5:$N$1517,"&gt;="&amp;N136),0)</f>
        <v>0</v>
      </c>
      <c r="X136" s="8" t="n">
        <f aca="false">IF($K136=1,COUNTIFS($O$5:$O$1517,"&gt;="&amp;O136,$K$5:$K$1517,1)/COUNTIF($O$5:$O$1517,"&gt;="&amp;O136),0)</f>
        <v>0</v>
      </c>
      <c r="Y136" s="8" t="n">
        <f aca="false">IF($K136=1,COUNTIFS($P$5:$P$1517,"&gt;="&amp;P136,$K$5:$K$1517,1)/COUNTIF($P$5:$P$1517,"&gt;="&amp;P136),0)</f>
        <v>0</v>
      </c>
      <c r="Z136" s="8" t="n">
        <f aca="false">(L136-$K136)^2</f>
        <v>0.801837866116</v>
      </c>
      <c r="AA136" s="8" t="n">
        <f aca="false">(M136-$K136)^2</f>
        <v>0.033933692521</v>
      </c>
      <c r="AB136" s="8" t="n">
        <f aca="false">(N136-$K136)^2</f>
        <v>0.048835696144</v>
      </c>
      <c r="AC136" s="8" t="n">
        <f aca="false">(O136-$K136)^2</f>
        <v>0.011274829489</v>
      </c>
      <c r="AD136" s="8" t="n">
        <f aca="false">(P136-$K136)^2</f>
        <v>0.057756105625</v>
      </c>
      <c r="AE136" s="8" t="n">
        <f aca="false">MIN(INT(ROUND(N136*1000000,0)/100000),9)</f>
        <v>2</v>
      </c>
      <c r="AF136" s="8" t="n">
        <f aca="false">MIN(INT(ROUND(P136*1000000,0)/100000),9)</f>
        <v>2</v>
      </c>
    </row>
    <row r="137" customFormat="false" ht="15" hidden="false" customHeight="false" outlineLevel="0" collapsed="false">
      <c r="A137" s="4" t="n">
        <v>133</v>
      </c>
      <c r="B137" s="4" t="n">
        <v>670</v>
      </c>
      <c r="C137" s="4" t="n">
        <v>0</v>
      </c>
      <c r="D137" s="11" t="n">
        <v>46054</v>
      </c>
      <c r="E137" s="4" t="s">
        <v>201</v>
      </c>
      <c r="F137" s="4" t="s">
        <v>208</v>
      </c>
      <c r="G137" s="4" t="n">
        <v>9</v>
      </c>
      <c r="H137" s="4" t="n">
        <v>1</v>
      </c>
      <c r="I137" s="4" t="n">
        <v>0</v>
      </c>
      <c r="J137" s="4" t="n">
        <v>27244.2</v>
      </c>
      <c r="K137" s="4" t="n">
        <v>0</v>
      </c>
      <c r="L137" s="12" t="n">
        <v>0.526909</v>
      </c>
      <c r="M137" s="12" t="n">
        <v>0.092063</v>
      </c>
      <c r="N137" s="12" t="n">
        <v>0.017295</v>
      </c>
      <c r="O137" s="12" t="n">
        <v>0.106183</v>
      </c>
      <c r="P137" s="12" t="n">
        <v>0.016905</v>
      </c>
      <c r="Q137" s="0" t="str">
        <f aca="false">IF(L137&gt;=Models!$G$5,1+COUNTIF($L$5:$L$1517,"&gt;"&amp;L137)+COUNTIFS($L$5:$L$1517,L137,$B$5:$B$1517,"&lt;"&amp;B137)+COUNTIFS($L$5:$L$1517,L137,$B$5:$B$1517,B137,$C$5:$C$1517,"&lt;"&amp;C137),"")</f>
        <v/>
      </c>
      <c r="R137" s="0" t="str">
        <f aca="false">IF(M137&gt;=Models!$G$6,1+COUNTIF($M$5:$M$1517,"&gt;"&amp;M137)+COUNTIFS($M$5:$M$1517,M137,$B$5:$B$1517,"&lt;"&amp;B137)+COUNTIFS($M$5:$M$1517,M137,$B$5:$B$1517,B137,$C$5:$C$1517,"&lt;"&amp;C137),"")</f>
        <v/>
      </c>
      <c r="S137" s="0" t="str">
        <f aca="false">IF(N137&gt;=Models!$G$7,1+COUNTIF($N$5:$N$1517,"&gt;"&amp;N137)+COUNTIFS($N$5:$N$1517,N137,$B$5:$B$1517,"&lt;"&amp;B137)+COUNTIFS($N$5:$N$1517,N137,$B$5:$B$1517,B137,$C$5:$C$1517,"&lt;"&amp;C137),"")</f>
        <v/>
      </c>
      <c r="T137" s="8" t="n">
        <f aca="false">IF(O137&gt;=Models!$G$8,1+COUNTIF($O$5:$O$1517,"&gt;"&amp;O137)+COUNTIFS($O$5:$O$1517,O137,$B$5:$B$1517,"&lt;"&amp;B137)+COUNTIFS($O$5:$O$1517,O137,$B$5:$B$1517,B137,$C$5:$C$1517,"&lt;"&amp;C137),"")</f>
        <v>506</v>
      </c>
      <c r="U137" s="8" t="n">
        <f aca="false">IF($K137=1,COUNTIFS($L$5:$L$1517,"&gt;="&amp;L137,$K$5:$K$1517,1)/COUNTIF($L$5:$L$1517,"&gt;="&amp;L137),0)</f>
        <v>0</v>
      </c>
      <c r="V137" s="8" t="n">
        <f aca="false">IF($K137=1,COUNTIFS($M$5:$M$1517,"&gt;="&amp;M137,$K$5:$K$1517,1)/COUNTIF($M$5:$M$1517,"&gt;="&amp;M137),0)</f>
        <v>0</v>
      </c>
      <c r="W137" s="8" t="n">
        <f aca="false">IF($K137=1,COUNTIFS($N$5:$N$1517,"&gt;="&amp;N137,$K$5:$K$1517,1)/COUNTIF($N$5:$N$1517,"&gt;="&amp;N137),0)</f>
        <v>0</v>
      </c>
      <c r="X137" s="8" t="n">
        <f aca="false">IF($K137=1,COUNTIFS($O$5:$O$1517,"&gt;="&amp;O137,$K$5:$K$1517,1)/COUNTIF($O$5:$O$1517,"&gt;="&amp;O137),0)</f>
        <v>0</v>
      </c>
      <c r="Y137" s="8" t="n">
        <f aca="false">IF($K137=1,COUNTIFS($P$5:$P$1517,"&gt;="&amp;P137,$K$5:$K$1517,1)/COUNTIF($P$5:$P$1517,"&gt;="&amp;P137),0)</f>
        <v>0</v>
      </c>
      <c r="Z137" s="8" t="n">
        <f aca="false">(L137-$K137)^2</f>
        <v>0.277633094281</v>
      </c>
      <c r="AA137" s="8" t="n">
        <f aca="false">(M137-$K137)^2</f>
        <v>0.008475595969</v>
      </c>
      <c r="AB137" s="8" t="n">
        <f aca="false">(N137-$K137)^2</f>
        <v>0.000299117025</v>
      </c>
      <c r="AC137" s="8" t="n">
        <f aca="false">(O137-$K137)^2</f>
        <v>0.011274829489</v>
      </c>
      <c r="AD137" s="8" t="n">
        <f aca="false">(P137-$K137)^2</f>
        <v>0.000285779025</v>
      </c>
      <c r="AE137" s="8" t="n">
        <f aca="false">MIN(INT(ROUND(N137*1000000,0)/100000),9)</f>
        <v>0</v>
      </c>
      <c r="AF137" s="8" t="n">
        <f aca="false">MIN(INT(ROUND(P137*1000000,0)/100000),9)</f>
        <v>0</v>
      </c>
    </row>
    <row r="138" customFormat="false" ht="15" hidden="false" customHeight="false" outlineLevel="0" collapsed="false">
      <c r="A138" s="4" t="n">
        <v>134</v>
      </c>
      <c r="B138" s="4" t="n">
        <v>671</v>
      </c>
      <c r="C138" s="4" t="n">
        <v>0</v>
      </c>
      <c r="D138" s="11" t="n">
        <v>46054</v>
      </c>
      <c r="E138" s="4" t="s">
        <v>203</v>
      </c>
      <c r="F138" s="4" t="s">
        <v>209</v>
      </c>
      <c r="G138" s="4" t="n">
        <v>3</v>
      </c>
      <c r="H138" s="4" t="n">
        <v>6</v>
      </c>
      <c r="I138" s="4" t="n">
        <v>0</v>
      </c>
      <c r="J138" s="4" t="n">
        <v>1213.8</v>
      </c>
      <c r="K138" s="4" t="n">
        <v>0</v>
      </c>
      <c r="L138" s="12" t="n">
        <v>0.321818</v>
      </c>
      <c r="M138" s="12" t="n">
        <v>0.092063</v>
      </c>
      <c r="N138" s="12" t="n">
        <v>0.124842</v>
      </c>
      <c r="O138" s="12" t="n">
        <v>0.106183</v>
      </c>
      <c r="P138" s="12" t="n">
        <v>0.133422</v>
      </c>
      <c r="Q138" s="0" t="str">
        <f aca="false">IF(L138&gt;=Models!$G$5,1+COUNTIF($L$5:$L$1517,"&gt;"&amp;L138)+COUNTIFS($L$5:$L$1517,L138,$B$5:$B$1517,"&lt;"&amp;B138)+COUNTIFS($L$5:$L$1517,L138,$B$5:$B$1517,B138,$C$5:$C$1517,"&lt;"&amp;C138),"")</f>
        <v/>
      </c>
      <c r="R138" s="0" t="str">
        <f aca="false">IF(M138&gt;=Models!$G$6,1+COUNTIF($M$5:$M$1517,"&gt;"&amp;M138)+COUNTIFS($M$5:$M$1517,M138,$B$5:$B$1517,"&lt;"&amp;B138)+COUNTIFS($M$5:$M$1517,M138,$B$5:$B$1517,B138,$C$5:$C$1517,"&lt;"&amp;C138),"")</f>
        <v/>
      </c>
      <c r="S138" s="0" t="str">
        <f aca="false">IF(N138&gt;=Models!$G$7,1+COUNTIF($N$5:$N$1517,"&gt;"&amp;N138)+COUNTIFS($N$5:$N$1517,N138,$B$5:$B$1517,"&lt;"&amp;B138)+COUNTIFS($N$5:$N$1517,N138,$B$5:$B$1517,B138,$C$5:$C$1517,"&lt;"&amp;C138),"")</f>
        <v/>
      </c>
      <c r="T138" s="8" t="n">
        <f aca="false">IF(O138&gt;=Models!$G$8,1+COUNTIF($O$5:$O$1517,"&gt;"&amp;O138)+COUNTIFS($O$5:$O$1517,O138,$B$5:$B$1517,"&lt;"&amp;B138)+COUNTIFS($O$5:$O$1517,O138,$B$5:$B$1517,B138,$C$5:$C$1517,"&lt;"&amp;C138),"")</f>
        <v>510</v>
      </c>
      <c r="U138" s="8" t="n">
        <f aca="false">IF($K138=1,COUNTIFS($L$5:$L$1517,"&gt;="&amp;L138,$K$5:$K$1517,1)/COUNTIF($L$5:$L$1517,"&gt;="&amp;L138),0)</f>
        <v>0</v>
      </c>
      <c r="V138" s="8" t="n">
        <f aca="false">IF($K138=1,COUNTIFS($M$5:$M$1517,"&gt;="&amp;M138,$K$5:$K$1517,1)/COUNTIF($M$5:$M$1517,"&gt;="&amp;M138),0)</f>
        <v>0</v>
      </c>
      <c r="W138" s="8" t="n">
        <f aca="false">IF($K138=1,COUNTIFS($N$5:$N$1517,"&gt;="&amp;N138,$K$5:$K$1517,1)/COUNTIF($N$5:$N$1517,"&gt;="&amp;N138),0)</f>
        <v>0</v>
      </c>
      <c r="X138" s="8" t="n">
        <f aca="false">IF($K138=1,COUNTIFS($O$5:$O$1517,"&gt;="&amp;O138,$K$5:$K$1517,1)/COUNTIF($O$5:$O$1517,"&gt;="&amp;O138),0)</f>
        <v>0</v>
      </c>
      <c r="Y138" s="8" t="n">
        <f aca="false">IF($K138=1,COUNTIFS($P$5:$P$1517,"&gt;="&amp;P138,$K$5:$K$1517,1)/COUNTIF($P$5:$P$1517,"&gt;="&amp;P138),0)</f>
        <v>0</v>
      </c>
      <c r="Z138" s="8" t="n">
        <f aca="false">(L138-$K138)^2</f>
        <v>0.103566825124</v>
      </c>
      <c r="AA138" s="8" t="n">
        <f aca="false">(M138-$K138)^2</f>
        <v>0.008475595969</v>
      </c>
      <c r="AB138" s="8" t="n">
        <f aca="false">(N138-$K138)^2</f>
        <v>0.015585524964</v>
      </c>
      <c r="AC138" s="8" t="n">
        <f aca="false">(O138-$K138)^2</f>
        <v>0.011274829489</v>
      </c>
      <c r="AD138" s="8" t="n">
        <f aca="false">(P138-$K138)^2</f>
        <v>0.017801430084</v>
      </c>
      <c r="AE138" s="8" t="n">
        <f aca="false">MIN(INT(ROUND(N138*1000000,0)/100000),9)</f>
        <v>1</v>
      </c>
      <c r="AF138" s="8" t="n">
        <f aca="false">MIN(INT(ROUND(P138*1000000,0)/100000),9)</f>
        <v>1</v>
      </c>
    </row>
    <row r="139" customFormat="false" ht="15" hidden="false" customHeight="false" outlineLevel="0" collapsed="false">
      <c r="A139" s="4" t="n">
        <v>135</v>
      </c>
      <c r="B139" s="4" t="n">
        <v>675</v>
      </c>
      <c r="C139" s="4" t="n">
        <v>0</v>
      </c>
      <c r="D139" s="11" t="n">
        <v>46054</v>
      </c>
      <c r="E139" s="4" t="s">
        <v>201</v>
      </c>
      <c r="F139" s="4" t="s">
        <v>207</v>
      </c>
      <c r="G139" s="4" t="n">
        <v>23</v>
      </c>
      <c r="H139" s="4" t="n">
        <v>1</v>
      </c>
      <c r="I139" s="4" t="n">
        <v>0</v>
      </c>
      <c r="J139" s="4" t="n">
        <v>3960</v>
      </c>
      <c r="K139" s="4" t="n">
        <v>0</v>
      </c>
      <c r="L139" s="12" t="n">
        <v>0.824089</v>
      </c>
      <c r="M139" s="12" t="n">
        <v>0.092063</v>
      </c>
      <c r="N139" s="12" t="n">
        <v>0.018935</v>
      </c>
      <c r="O139" s="12" t="n">
        <v>0.106183</v>
      </c>
      <c r="P139" s="12" t="n">
        <v>0.018588</v>
      </c>
      <c r="Q139" s="0" t="str">
        <f aca="false">IF(L139&gt;=Models!$G$5,1+COUNTIF($L$5:$L$1517,"&gt;"&amp;L139)+COUNTIFS($L$5:$L$1517,L139,$B$5:$B$1517,"&lt;"&amp;B139)+COUNTIFS($L$5:$L$1517,L139,$B$5:$B$1517,B139,$C$5:$C$1517,"&lt;"&amp;C139),"")</f>
        <v/>
      </c>
      <c r="R139" s="0" t="str">
        <f aca="false">IF(M139&gt;=Models!$G$6,1+COUNTIF($M$5:$M$1517,"&gt;"&amp;M139)+COUNTIFS($M$5:$M$1517,M139,$B$5:$B$1517,"&lt;"&amp;B139)+COUNTIFS($M$5:$M$1517,M139,$B$5:$B$1517,B139,$C$5:$C$1517,"&lt;"&amp;C139),"")</f>
        <v/>
      </c>
      <c r="S139" s="0" t="str">
        <f aca="false">IF(N139&gt;=Models!$G$7,1+COUNTIF($N$5:$N$1517,"&gt;"&amp;N139)+COUNTIFS($N$5:$N$1517,N139,$B$5:$B$1517,"&lt;"&amp;B139)+COUNTIFS($N$5:$N$1517,N139,$B$5:$B$1517,B139,$C$5:$C$1517,"&lt;"&amp;C139),"")</f>
        <v/>
      </c>
      <c r="T139" s="8" t="n">
        <f aca="false">IF(O139&gt;=Models!$G$8,1+COUNTIF($O$5:$O$1517,"&gt;"&amp;O139)+COUNTIFS($O$5:$O$1517,O139,$B$5:$B$1517,"&lt;"&amp;B139)+COUNTIFS($O$5:$O$1517,O139,$B$5:$B$1517,B139,$C$5:$C$1517,"&lt;"&amp;C139),"")</f>
        <v>514</v>
      </c>
      <c r="U139" s="8" t="n">
        <f aca="false">IF($K139=1,COUNTIFS($L$5:$L$1517,"&gt;="&amp;L139,$K$5:$K$1517,1)/COUNTIF($L$5:$L$1517,"&gt;="&amp;L139),0)</f>
        <v>0</v>
      </c>
      <c r="V139" s="8" t="n">
        <f aca="false">IF($K139=1,COUNTIFS($M$5:$M$1517,"&gt;="&amp;M139,$K$5:$K$1517,1)/COUNTIF($M$5:$M$1517,"&gt;="&amp;M139),0)</f>
        <v>0</v>
      </c>
      <c r="W139" s="8" t="n">
        <f aca="false">IF($K139=1,COUNTIFS($N$5:$N$1517,"&gt;="&amp;N139,$K$5:$K$1517,1)/COUNTIF($N$5:$N$1517,"&gt;="&amp;N139),0)</f>
        <v>0</v>
      </c>
      <c r="X139" s="8" t="n">
        <f aca="false">IF($K139=1,COUNTIFS($O$5:$O$1517,"&gt;="&amp;O139,$K$5:$K$1517,1)/COUNTIF($O$5:$O$1517,"&gt;="&amp;O139),0)</f>
        <v>0</v>
      </c>
      <c r="Y139" s="8" t="n">
        <f aca="false">IF($K139=1,COUNTIFS($P$5:$P$1517,"&gt;="&amp;P139,$K$5:$K$1517,1)/COUNTIF($P$5:$P$1517,"&gt;="&amp;P139),0)</f>
        <v>0</v>
      </c>
      <c r="Z139" s="8" t="n">
        <f aca="false">(L139-$K139)^2</f>
        <v>0.679122679921</v>
      </c>
      <c r="AA139" s="8" t="n">
        <f aca="false">(M139-$K139)^2</f>
        <v>0.008475595969</v>
      </c>
      <c r="AB139" s="8" t="n">
        <f aca="false">(N139-$K139)^2</f>
        <v>0.000358534225</v>
      </c>
      <c r="AC139" s="8" t="n">
        <f aca="false">(O139-$K139)^2</f>
        <v>0.011274829489</v>
      </c>
      <c r="AD139" s="8" t="n">
        <f aca="false">(P139-$K139)^2</f>
        <v>0.000345513744</v>
      </c>
      <c r="AE139" s="8" t="n">
        <f aca="false">MIN(INT(ROUND(N139*1000000,0)/100000),9)</f>
        <v>0</v>
      </c>
      <c r="AF139" s="8" t="n">
        <f aca="false">MIN(INT(ROUND(P139*1000000,0)/100000),9)</f>
        <v>0</v>
      </c>
    </row>
    <row r="140" customFormat="false" ht="15" hidden="false" customHeight="false" outlineLevel="0" collapsed="false">
      <c r="A140" s="4" t="n">
        <v>136</v>
      </c>
      <c r="B140" s="4" t="n">
        <v>677</v>
      </c>
      <c r="C140" s="4" t="n">
        <v>0</v>
      </c>
      <c r="D140" s="11" t="n">
        <v>46054</v>
      </c>
      <c r="E140" s="4" t="s">
        <v>201</v>
      </c>
      <c r="F140" s="4" t="s">
        <v>210</v>
      </c>
      <c r="G140" s="4" t="n">
        <v>5</v>
      </c>
      <c r="H140" s="4" t="n">
        <v>2</v>
      </c>
      <c r="I140" s="4" t="n">
        <v>0</v>
      </c>
      <c r="J140" s="4" t="n">
        <v>15330.6</v>
      </c>
      <c r="K140" s="4" t="n">
        <v>0</v>
      </c>
      <c r="L140" s="12" t="n">
        <v>0.680445</v>
      </c>
      <c r="M140" s="12" t="n">
        <v>0.092063</v>
      </c>
      <c r="N140" s="12" t="n">
        <v>0.048344</v>
      </c>
      <c r="O140" s="12" t="n">
        <v>0.106183</v>
      </c>
      <c r="P140" s="12" t="n">
        <v>0.049611</v>
      </c>
      <c r="Q140" s="0" t="str">
        <f aca="false">IF(L140&gt;=Models!$G$5,1+COUNTIF($L$5:$L$1517,"&gt;"&amp;L140)+COUNTIFS($L$5:$L$1517,L140,$B$5:$B$1517,"&lt;"&amp;B140)+COUNTIFS($L$5:$L$1517,L140,$B$5:$B$1517,B140,$C$5:$C$1517,"&lt;"&amp;C140),"")</f>
        <v/>
      </c>
      <c r="R140" s="0" t="str">
        <f aca="false">IF(M140&gt;=Models!$G$6,1+COUNTIF($M$5:$M$1517,"&gt;"&amp;M140)+COUNTIFS($M$5:$M$1517,M140,$B$5:$B$1517,"&lt;"&amp;B140)+COUNTIFS($M$5:$M$1517,M140,$B$5:$B$1517,B140,$C$5:$C$1517,"&lt;"&amp;C140),"")</f>
        <v/>
      </c>
      <c r="S140" s="0" t="str">
        <f aca="false">IF(N140&gt;=Models!$G$7,1+COUNTIF($N$5:$N$1517,"&gt;"&amp;N140)+COUNTIFS($N$5:$N$1517,N140,$B$5:$B$1517,"&lt;"&amp;B140)+COUNTIFS($N$5:$N$1517,N140,$B$5:$B$1517,B140,$C$5:$C$1517,"&lt;"&amp;C140),"")</f>
        <v/>
      </c>
      <c r="T140" s="8" t="n">
        <f aca="false">IF(O140&gt;=Models!$G$8,1+COUNTIF($O$5:$O$1517,"&gt;"&amp;O140)+COUNTIFS($O$5:$O$1517,O140,$B$5:$B$1517,"&lt;"&amp;B140)+COUNTIFS($O$5:$O$1517,O140,$B$5:$B$1517,B140,$C$5:$C$1517,"&lt;"&amp;C140),"")</f>
        <v>518</v>
      </c>
      <c r="U140" s="8" t="n">
        <f aca="false">IF($K140=1,COUNTIFS($L$5:$L$1517,"&gt;="&amp;L140,$K$5:$K$1517,1)/COUNTIF($L$5:$L$1517,"&gt;="&amp;L140),0)</f>
        <v>0</v>
      </c>
      <c r="V140" s="8" t="n">
        <f aca="false">IF($K140=1,COUNTIFS($M$5:$M$1517,"&gt;="&amp;M140,$K$5:$K$1517,1)/COUNTIF($M$5:$M$1517,"&gt;="&amp;M140),0)</f>
        <v>0</v>
      </c>
      <c r="W140" s="8" t="n">
        <f aca="false">IF($K140=1,COUNTIFS($N$5:$N$1517,"&gt;="&amp;N140,$K$5:$K$1517,1)/COUNTIF($N$5:$N$1517,"&gt;="&amp;N140),0)</f>
        <v>0</v>
      </c>
      <c r="X140" s="8" t="n">
        <f aca="false">IF($K140=1,COUNTIFS($O$5:$O$1517,"&gt;="&amp;O140,$K$5:$K$1517,1)/COUNTIF($O$5:$O$1517,"&gt;="&amp;O140),0)</f>
        <v>0</v>
      </c>
      <c r="Y140" s="8" t="n">
        <f aca="false">IF($K140=1,COUNTIFS($P$5:$P$1517,"&gt;="&amp;P140,$K$5:$K$1517,1)/COUNTIF($P$5:$P$1517,"&gt;="&amp;P140),0)</f>
        <v>0</v>
      </c>
      <c r="Z140" s="8" t="n">
        <f aca="false">(L140-$K140)^2</f>
        <v>0.463005398025</v>
      </c>
      <c r="AA140" s="8" t="n">
        <f aca="false">(M140-$K140)^2</f>
        <v>0.008475595969</v>
      </c>
      <c r="AB140" s="8" t="n">
        <f aca="false">(N140-$K140)^2</f>
        <v>0.002337142336</v>
      </c>
      <c r="AC140" s="8" t="n">
        <f aca="false">(O140-$K140)^2</f>
        <v>0.011274829489</v>
      </c>
      <c r="AD140" s="8" t="n">
        <f aca="false">(P140-$K140)^2</f>
        <v>0.002461251321</v>
      </c>
      <c r="AE140" s="8" t="n">
        <f aca="false">MIN(INT(ROUND(N140*1000000,0)/100000),9)</f>
        <v>0</v>
      </c>
      <c r="AF140" s="8" t="n">
        <f aca="false">MIN(INT(ROUND(P140*1000000,0)/100000),9)</f>
        <v>0</v>
      </c>
    </row>
    <row r="141" customFormat="false" ht="15" hidden="false" customHeight="false" outlineLevel="0" collapsed="false">
      <c r="A141" s="4" t="n">
        <v>137</v>
      </c>
      <c r="B141" s="4" t="n">
        <v>680</v>
      </c>
      <c r="C141" s="4" t="n">
        <v>0</v>
      </c>
      <c r="D141" s="11" t="n">
        <v>46054</v>
      </c>
      <c r="E141" s="4" t="s">
        <v>201</v>
      </c>
      <c r="F141" s="4" t="s">
        <v>207</v>
      </c>
      <c r="G141" s="4" t="n">
        <v>14</v>
      </c>
      <c r="H141" s="4" t="n">
        <v>5</v>
      </c>
      <c r="I141" s="4" t="n">
        <v>0</v>
      </c>
      <c r="J141" s="4" t="n">
        <v>3843</v>
      </c>
      <c r="K141" s="4" t="n">
        <v>0</v>
      </c>
      <c r="L141" s="12" t="n">
        <v>0.125375</v>
      </c>
      <c r="M141" s="12" t="n">
        <v>0.092063</v>
      </c>
      <c r="N141" s="12" t="n">
        <v>0.043184</v>
      </c>
      <c r="O141" s="12" t="n">
        <v>0.106183</v>
      </c>
      <c r="P141" s="12" t="n">
        <v>0.044084</v>
      </c>
      <c r="Q141" s="0" t="str">
        <f aca="false">IF(L141&gt;=Models!$G$5,1+COUNTIF($L$5:$L$1517,"&gt;"&amp;L141)+COUNTIFS($L$5:$L$1517,L141,$B$5:$B$1517,"&lt;"&amp;B141)+COUNTIFS($L$5:$L$1517,L141,$B$5:$B$1517,B141,$C$5:$C$1517,"&lt;"&amp;C141),"")</f>
        <v/>
      </c>
      <c r="R141" s="0" t="str">
        <f aca="false">IF(M141&gt;=Models!$G$6,1+COUNTIF($M$5:$M$1517,"&gt;"&amp;M141)+COUNTIFS($M$5:$M$1517,M141,$B$5:$B$1517,"&lt;"&amp;B141)+COUNTIFS($M$5:$M$1517,M141,$B$5:$B$1517,B141,$C$5:$C$1517,"&lt;"&amp;C141),"")</f>
        <v/>
      </c>
      <c r="S141" s="0" t="str">
        <f aca="false">IF(N141&gt;=Models!$G$7,1+COUNTIF($N$5:$N$1517,"&gt;"&amp;N141)+COUNTIFS($N$5:$N$1517,N141,$B$5:$B$1517,"&lt;"&amp;B141)+COUNTIFS($N$5:$N$1517,N141,$B$5:$B$1517,B141,$C$5:$C$1517,"&lt;"&amp;C141),"")</f>
        <v/>
      </c>
      <c r="T141" s="8" t="n">
        <f aca="false">IF(O141&gt;=Models!$G$8,1+COUNTIF($O$5:$O$1517,"&gt;"&amp;O141)+COUNTIFS($O$5:$O$1517,O141,$B$5:$B$1517,"&lt;"&amp;B141)+COUNTIFS($O$5:$O$1517,O141,$B$5:$B$1517,B141,$C$5:$C$1517,"&lt;"&amp;C141),"")</f>
        <v>522</v>
      </c>
      <c r="U141" s="8" t="n">
        <f aca="false">IF($K141=1,COUNTIFS($L$5:$L$1517,"&gt;="&amp;L141,$K$5:$K$1517,1)/COUNTIF($L$5:$L$1517,"&gt;="&amp;L141),0)</f>
        <v>0</v>
      </c>
      <c r="V141" s="8" t="n">
        <f aca="false">IF($K141=1,COUNTIFS($M$5:$M$1517,"&gt;="&amp;M141,$K$5:$K$1517,1)/COUNTIF($M$5:$M$1517,"&gt;="&amp;M141),0)</f>
        <v>0</v>
      </c>
      <c r="W141" s="8" t="n">
        <f aca="false">IF($K141=1,COUNTIFS($N$5:$N$1517,"&gt;="&amp;N141,$K$5:$K$1517,1)/COUNTIF($N$5:$N$1517,"&gt;="&amp;N141),0)</f>
        <v>0</v>
      </c>
      <c r="X141" s="8" t="n">
        <f aca="false">IF($K141=1,COUNTIFS($O$5:$O$1517,"&gt;="&amp;O141,$K$5:$K$1517,1)/COUNTIF($O$5:$O$1517,"&gt;="&amp;O141),0)</f>
        <v>0</v>
      </c>
      <c r="Y141" s="8" t="n">
        <f aca="false">IF($K141=1,COUNTIFS($P$5:$P$1517,"&gt;="&amp;P141,$K$5:$K$1517,1)/COUNTIF($P$5:$P$1517,"&gt;="&amp;P141),0)</f>
        <v>0</v>
      </c>
      <c r="Z141" s="8" t="n">
        <f aca="false">(L141-$K141)^2</f>
        <v>0.015718890625</v>
      </c>
      <c r="AA141" s="8" t="n">
        <f aca="false">(M141-$K141)^2</f>
        <v>0.008475595969</v>
      </c>
      <c r="AB141" s="8" t="n">
        <f aca="false">(N141-$K141)^2</f>
        <v>0.001864857856</v>
      </c>
      <c r="AC141" s="8" t="n">
        <f aca="false">(O141-$K141)^2</f>
        <v>0.011274829489</v>
      </c>
      <c r="AD141" s="8" t="n">
        <f aca="false">(P141-$K141)^2</f>
        <v>0.001943399056</v>
      </c>
      <c r="AE141" s="8" t="n">
        <f aca="false">MIN(INT(ROUND(N141*1000000,0)/100000),9)</f>
        <v>0</v>
      </c>
      <c r="AF141" s="8" t="n">
        <f aca="false">MIN(INT(ROUND(P141*1000000,0)/100000),9)</f>
        <v>0</v>
      </c>
    </row>
    <row r="142" customFormat="false" ht="15" hidden="false" customHeight="false" outlineLevel="0" collapsed="false">
      <c r="A142" s="4" t="n">
        <v>138</v>
      </c>
      <c r="B142" s="4" t="n">
        <v>683</v>
      </c>
      <c r="C142" s="4" t="n">
        <v>0</v>
      </c>
      <c r="D142" s="11" t="n">
        <v>46054</v>
      </c>
      <c r="E142" s="4" t="s">
        <v>204</v>
      </c>
      <c r="F142" s="4" t="s">
        <v>206</v>
      </c>
      <c r="G142" s="4" t="n">
        <v>2</v>
      </c>
      <c r="H142" s="4" t="n">
        <v>19</v>
      </c>
      <c r="I142" s="4" t="n">
        <v>0</v>
      </c>
      <c r="J142" s="4" t="n">
        <v>114</v>
      </c>
      <c r="K142" s="4" t="n">
        <v>0</v>
      </c>
      <c r="L142" s="12" t="n">
        <v>0.100223</v>
      </c>
      <c r="M142" s="12" t="n">
        <v>0.092063</v>
      </c>
      <c r="N142" s="12" t="n">
        <v>0.156175</v>
      </c>
      <c r="O142" s="12" t="n">
        <v>0.106183</v>
      </c>
      <c r="P142" s="12" t="n">
        <v>0.168225</v>
      </c>
      <c r="Q142" s="0" t="str">
        <f aca="false">IF(L142&gt;=Models!$G$5,1+COUNTIF($L$5:$L$1517,"&gt;"&amp;L142)+COUNTIFS($L$5:$L$1517,L142,$B$5:$B$1517,"&lt;"&amp;B142)+COUNTIFS($L$5:$L$1517,L142,$B$5:$B$1517,B142,$C$5:$C$1517,"&lt;"&amp;C142),"")</f>
        <v/>
      </c>
      <c r="R142" s="0" t="str">
        <f aca="false">IF(M142&gt;=Models!$G$6,1+COUNTIF($M$5:$M$1517,"&gt;"&amp;M142)+COUNTIFS($M$5:$M$1517,M142,$B$5:$B$1517,"&lt;"&amp;B142)+COUNTIFS($M$5:$M$1517,M142,$B$5:$B$1517,B142,$C$5:$C$1517,"&lt;"&amp;C142),"")</f>
        <v/>
      </c>
      <c r="S142" s="0" t="str">
        <f aca="false">IF(N142&gt;=Models!$G$7,1+COUNTIF($N$5:$N$1517,"&gt;"&amp;N142)+COUNTIFS($N$5:$N$1517,N142,$B$5:$B$1517,"&lt;"&amp;B142)+COUNTIFS($N$5:$N$1517,N142,$B$5:$B$1517,B142,$C$5:$C$1517,"&lt;"&amp;C142),"")</f>
        <v/>
      </c>
      <c r="T142" s="8" t="n">
        <f aca="false">IF(O142&gt;=Models!$G$8,1+COUNTIF($O$5:$O$1517,"&gt;"&amp;O142)+COUNTIFS($O$5:$O$1517,O142,$B$5:$B$1517,"&lt;"&amp;B142)+COUNTIFS($O$5:$O$1517,O142,$B$5:$B$1517,B142,$C$5:$C$1517,"&lt;"&amp;C142),"")</f>
        <v>526</v>
      </c>
      <c r="U142" s="8" t="n">
        <f aca="false">IF($K142=1,COUNTIFS($L$5:$L$1517,"&gt;="&amp;L142,$K$5:$K$1517,1)/COUNTIF($L$5:$L$1517,"&gt;="&amp;L142),0)</f>
        <v>0</v>
      </c>
      <c r="V142" s="8" t="n">
        <f aca="false">IF($K142=1,COUNTIFS($M$5:$M$1517,"&gt;="&amp;M142,$K$5:$K$1517,1)/COUNTIF($M$5:$M$1517,"&gt;="&amp;M142),0)</f>
        <v>0</v>
      </c>
      <c r="W142" s="8" t="n">
        <f aca="false">IF($K142=1,COUNTIFS($N$5:$N$1517,"&gt;="&amp;N142,$K$5:$K$1517,1)/COUNTIF($N$5:$N$1517,"&gt;="&amp;N142),0)</f>
        <v>0</v>
      </c>
      <c r="X142" s="8" t="n">
        <f aca="false">IF($K142=1,COUNTIFS($O$5:$O$1517,"&gt;="&amp;O142,$K$5:$K$1517,1)/COUNTIF($O$5:$O$1517,"&gt;="&amp;O142),0)</f>
        <v>0</v>
      </c>
      <c r="Y142" s="8" t="n">
        <f aca="false">IF($K142=1,COUNTIFS($P$5:$P$1517,"&gt;="&amp;P142,$K$5:$K$1517,1)/COUNTIF($P$5:$P$1517,"&gt;="&amp;P142),0)</f>
        <v>0</v>
      </c>
      <c r="Z142" s="8" t="n">
        <f aca="false">(L142-$K142)^2</f>
        <v>0.010044649729</v>
      </c>
      <c r="AA142" s="8" t="n">
        <f aca="false">(M142-$K142)^2</f>
        <v>0.008475595969</v>
      </c>
      <c r="AB142" s="8" t="n">
        <f aca="false">(N142-$K142)^2</f>
        <v>0.024390630625</v>
      </c>
      <c r="AC142" s="8" t="n">
        <f aca="false">(O142-$K142)^2</f>
        <v>0.011274829489</v>
      </c>
      <c r="AD142" s="8" t="n">
        <f aca="false">(P142-$K142)^2</f>
        <v>0.028299650625</v>
      </c>
      <c r="AE142" s="8" t="n">
        <f aca="false">MIN(INT(ROUND(N142*1000000,0)/100000),9)</f>
        <v>1</v>
      </c>
      <c r="AF142" s="8" t="n">
        <f aca="false">MIN(INT(ROUND(P142*1000000,0)/100000),9)</f>
        <v>1</v>
      </c>
    </row>
    <row r="143" customFormat="false" ht="15" hidden="false" customHeight="false" outlineLevel="0" collapsed="false">
      <c r="A143" s="4" t="n">
        <v>139</v>
      </c>
      <c r="B143" s="4" t="n">
        <v>701</v>
      </c>
      <c r="C143" s="4" t="n">
        <v>0</v>
      </c>
      <c r="D143" s="11" t="n">
        <v>46054</v>
      </c>
      <c r="E143" s="4" t="s">
        <v>202</v>
      </c>
      <c r="F143" s="4" t="s">
        <v>207</v>
      </c>
      <c r="G143" s="4" t="n">
        <v>6</v>
      </c>
      <c r="H143" s="4" t="n">
        <v>0</v>
      </c>
      <c r="I143" s="4" t="n">
        <v>0</v>
      </c>
      <c r="J143" s="4" t="n">
        <v>3315</v>
      </c>
      <c r="K143" s="4" t="n">
        <v>0</v>
      </c>
      <c r="L143" s="12" t="n">
        <v>0.085131</v>
      </c>
      <c r="M143" s="12" t="n">
        <v>0.092063</v>
      </c>
      <c r="N143" s="12" t="n">
        <v>0.084053</v>
      </c>
      <c r="O143" s="12" t="n">
        <v>0.106183</v>
      </c>
      <c r="P143" s="12" t="n">
        <v>0.088412</v>
      </c>
      <c r="Q143" s="0" t="str">
        <f aca="false">IF(L143&gt;=Models!$G$5,1+COUNTIF($L$5:$L$1517,"&gt;"&amp;L143)+COUNTIFS($L$5:$L$1517,L143,$B$5:$B$1517,"&lt;"&amp;B143)+COUNTIFS($L$5:$L$1517,L143,$B$5:$B$1517,B143,$C$5:$C$1517,"&lt;"&amp;C143),"")</f>
        <v/>
      </c>
      <c r="R143" s="0" t="str">
        <f aca="false">IF(M143&gt;=Models!$G$6,1+COUNTIF($M$5:$M$1517,"&gt;"&amp;M143)+COUNTIFS($M$5:$M$1517,M143,$B$5:$B$1517,"&lt;"&amp;B143)+COUNTIFS($M$5:$M$1517,M143,$B$5:$B$1517,B143,$C$5:$C$1517,"&lt;"&amp;C143),"")</f>
        <v/>
      </c>
      <c r="S143" s="0" t="str">
        <f aca="false">IF(N143&gt;=Models!$G$7,1+COUNTIF($N$5:$N$1517,"&gt;"&amp;N143)+COUNTIFS($N$5:$N$1517,N143,$B$5:$B$1517,"&lt;"&amp;B143)+COUNTIFS($N$5:$N$1517,N143,$B$5:$B$1517,B143,$C$5:$C$1517,"&lt;"&amp;C143),"")</f>
        <v/>
      </c>
      <c r="T143" s="8" t="n">
        <f aca="false">IF(O143&gt;=Models!$G$8,1+COUNTIF($O$5:$O$1517,"&gt;"&amp;O143)+COUNTIFS($O$5:$O$1517,O143,$B$5:$B$1517,"&lt;"&amp;B143)+COUNTIFS($O$5:$O$1517,O143,$B$5:$B$1517,B143,$C$5:$C$1517,"&lt;"&amp;C143),"")</f>
        <v>530</v>
      </c>
      <c r="U143" s="8" t="n">
        <f aca="false">IF($K143=1,COUNTIFS($L$5:$L$1517,"&gt;="&amp;L143,$K$5:$K$1517,1)/COUNTIF($L$5:$L$1517,"&gt;="&amp;L143),0)</f>
        <v>0</v>
      </c>
      <c r="V143" s="8" t="n">
        <f aca="false">IF($K143=1,COUNTIFS($M$5:$M$1517,"&gt;="&amp;M143,$K$5:$K$1517,1)/COUNTIF($M$5:$M$1517,"&gt;="&amp;M143),0)</f>
        <v>0</v>
      </c>
      <c r="W143" s="8" t="n">
        <f aca="false">IF($K143=1,COUNTIFS($N$5:$N$1517,"&gt;="&amp;N143,$K$5:$K$1517,1)/COUNTIF($N$5:$N$1517,"&gt;="&amp;N143),0)</f>
        <v>0</v>
      </c>
      <c r="X143" s="8" t="n">
        <f aca="false">IF($K143=1,COUNTIFS($O$5:$O$1517,"&gt;="&amp;O143,$K$5:$K$1517,1)/COUNTIF($O$5:$O$1517,"&gt;="&amp;O143),0)</f>
        <v>0</v>
      </c>
      <c r="Y143" s="8" t="n">
        <f aca="false">IF($K143=1,COUNTIFS($P$5:$P$1517,"&gt;="&amp;P143,$K$5:$K$1517,1)/COUNTIF($P$5:$P$1517,"&gt;="&amp;P143),0)</f>
        <v>0</v>
      </c>
      <c r="Z143" s="8" t="n">
        <f aca="false">(L143-$K143)^2</f>
        <v>0.007247287161</v>
      </c>
      <c r="AA143" s="8" t="n">
        <f aca="false">(M143-$K143)^2</f>
        <v>0.008475595969</v>
      </c>
      <c r="AB143" s="8" t="n">
        <f aca="false">(N143-$K143)^2</f>
        <v>0.007064906809</v>
      </c>
      <c r="AC143" s="8" t="n">
        <f aca="false">(O143-$K143)^2</f>
        <v>0.011274829489</v>
      </c>
      <c r="AD143" s="8" t="n">
        <f aca="false">(P143-$K143)^2</f>
        <v>0.007816681744</v>
      </c>
      <c r="AE143" s="8" t="n">
        <f aca="false">MIN(INT(ROUND(N143*1000000,0)/100000),9)</f>
        <v>0</v>
      </c>
      <c r="AF143" s="8" t="n">
        <f aca="false">MIN(INT(ROUND(P143*1000000,0)/100000),9)</f>
        <v>0</v>
      </c>
    </row>
    <row r="144" customFormat="false" ht="15" hidden="false" customHeight="false" outlineLevel="0" collapsed="false">
      <c r="A144" s="4" t="n">
        <v>140</v>
      </c>
      <c r="B144" s="4" t="n">
        <v>706</v>
      </c>
      <c r="C144" s="4" t="n">
        <v>0</v>
      </c>
      <c r="D144" s="11" t="n">
        <v>46054</v>
      </c>
      <c r="E144" s="4" t="s">
        <v>202</v>
      </c>
      <c r="F144" s="4" t="s">
        <v>206</v>
      </c>
      <c r="G144" s="4" t="n">
        <v>3</v>
      </c>
      <c r="H144" s="4" t="n">
        <v>12</v>
      </c>
      <c r="I144" s="4" t="n">
        <v>0</v>
      </c>
      <c r="J144" s="4" t="n">
        <v>4222.8</v>
      </c>
      <c r="K144" s="4" t="n">
        <v>0</v>
      </c>
      <c r="L144" s="12" t="n">
        <v>0.405286</v>
      </c>
      <c r="M144" s="12" t="n">
        <v>0.092063</v>
      </c>
      <c r="N144" s="12" t="n">
        <v>0.111757</v>
      </c>
      <c r="O144" s="12" t="n">
        <v>0.106183</v>
      </c>
      <c r="P144" s="12" t="n">
        <v>0.118933</v>
      </c>
      <c r="Q144" s="0" t="str">
        <f aca="false">IF(L144&gt;=Models!$G$5,1+COUNTIF($L$5:$L$1517,"&gt;"&amp;L144)+COUNTIFS($L$5:$L$1517,L144,$B$5:$B$1517,"&lt;"&amp;B144)+COUNTIFS($L$5:$L$1517,L144,$B$5:$B$1517,B144,$C$5:$C$1517,"&lt;"&amp;C144),"")</f>
        <v/>
      </c>
      <c r="R144" s="0" t="str">
        <f aca="false">IF(M144&gt;=Models!$G$6,1+COUNTIF($M$5:$M$1517,"&gt;"&amp;M144)+COUNTIFS($M$5:$M$1517,M144,$B$5:$B$1517,"&lt;"&amp;B144)+COUNTIFS($M$5:$M$1517,M144,$B$5:$B$1517,B144,$C$5:$C$1517,"&lt;"&amp;C144),"")</f>
        <v/>
      </c>
      <c r="S144" s="0" t="str">
        <f aca="false">IF(N144&gt;=Models!$G$7,1+COUNTIF($N$5:$N$1517,"&gt;"&amp;N144)+COUNTIFS($N$5:$N$1517,N144,$B$5:$B$1517,"&lt;"&amp;B144)+COUNTIFS($N$5:$N$1517,N144,$B$5:$B$1517,B144,$C$5:$C$1517,"&lt;"&amp;C144),"")</f>
        <v/>
      </c>
      <c r="T144" s="8" t="n">
        <f aca="false">IF(O144&gt;=Models!$G$8,1+COUNTIF($O$5:$O$1517,"&gt;"&amp;O144)+COUNTIFS($O$5:$O$1517,O144,$B$5:$B$1517,"&lt;"&amp;B144)+COUNTIFS($O$5:$O$1517,O144,$B$5:$B$1517,B144,$C$5:$C$1517,"&lt;"&amp;C144),"")</f>
        <v>534</v>
      </c>
      <c r="U144" s="8" t="n">
        <f aca="false">IF($K144=1,COUNTIFS($L$5:$L$1517,"&gt;="&amp;L144,$K$5:$K$1517,1)/COUNTIF($L$5:$L$1517,"&gt;="&amp;L144),0)</f>
        <v>0</v>
      </c>
      <c r="V144" s="8" t="n">
        <f aca="false">IF($K144=1,COUNTIFS($M$5:$M$1517,"&gt;="&amp;M144,$K$5:$K$1517,1)/COUNTIF($M$5:$M$1517,"&gt;="&amp;M144),0)</f>
        <v>0</v>
      </c>
      <c r="W144" s="8" t="n">
        <f aca="false">IF($K144=1,COUNTIFS($N$5:$N$1517,"&gt;="&amp;N144,$K$5:$K$1517,1)/COUNTIF($N$5:$N$1517,"&gt;="&amp;N144),0)</f>
        <v>0</v>
      </c>
      <c r="X144" s="8" t="n">
        <f aca="false">IF($K144=1,COUNTIFS($O$5:$O$1517,"&gt;="&amp;O144,$K$5:$K$1517,1)/COUNTIF($O$5:$O$1517,"&gt;="&amp;O144),0)</f>
        <v>0</v>
      </c>
      <c r="Y144" s="8" t="n">
        <f aca="false">IF($K144=1,COUNTIFS($P$5:$P$1517,"&gt;="&amp;P144,$K$5:$K$1517,1)/COUNTIF($P$5:$P$1517,"&gt;="&amp;P144),0)</f>
        <v>0</v>
      </c>
      <c r="Z144" s="8" t="n">
        <f aca="false">(L144-$K144)^2</f>
        <v>0.164256741796</v>
      </c>
      <c r="AA144" s="8" t="n">
        <f aca="false">(M144-$K144)^2</f>
        <v>0.008475595969</v>
      </c>
      <c r="AB144" s="8" t="n">
        <f aca="false">(N144-$K144)^2</f>
        <v>0.012489627049</v>
      </c>
      <c r="AC144" s="8" t="n">
        <f aca="false">(O144-$K144)^2</f>
        <v>0.011274829489</v>
      </c>
      <c r="AD144" s="8" t="n">
        <f aca="false">(P144-$K144)^2</f>
        <v>0.014145058489</v>
      </c>
      <c r="AE144" s="8" t="n">
        <f aca="false">MIN(INT(ROUND(N144*1000000,0)/100000),9)</f>
        <v>1</v>
      </c>
      <c r="AF144" s="8" t="n">
        <f aca="false">MIN(INT(ROUND(P144*1000000,0)/100000),9)</f>
        <v>1</v>
      </c>
    </row>
    <row r="145" customFormat="false" ht="15" hidden="false" customHeight="false" outlineLevel="0" collapsed="false">
      <c r="A145" s="4" t="n">
        <v>141</v>
      </c>
      <c r="B145" s="4" t="n">
        <v>708</v>
      </c>
      <c r="C145" s="4" t="n">
        <v>0</v>
      </c>
      <c r="D145" s="11" t="n">
        <v>46054</v>
      </c>
      <c r="E145" s="4" t="s">
        <v>201</v>
      </c>
      <c r="F145" s="4" t="s">
        <v>206</v>
      </c>
      <c r="G145" s="4" t="n">
        <v>17</v>
      </c>
      <c r="H145" s="4" t="n">
        <v>1</v>
      </c>
      <c r="I145" s="4" t="n">
        <v>0</v>
      </c>
      <c r="J145" s="4" t="n">
        <v>20542.8</v>
      </c>
      <c r="K145" s="4" t="n">
        <v>0</v>
      </c>
      <c r="L145" s="12" t="n">
        <v>0.186378</v>
      </c>
      <c r="M145" s="12" t="n">
        <v>0.092063</v>
      </c>
      <c r="N145" s="12" t="n">
        <v>0.012485</v>
      </c>
      <c r="O145" s="12" t="n">
        <v>0.106183</v>
      </c>
      <c r="P145" s="12" t="n">
        <v>0.012014</v>
      </c>
      <c r="Q145" s="0" t="str">
        <f aca="false">IF(L145&gt;=Models!$G$5,1+COUNTIF($L$5:$L$1517,"&gt;"&amp;L145)+COUNTIFS($L$5:$L$1517,L145,$B$5:$B$1517,"&lt;"&amp;B145)+COUNTIFS($L$5:$L$1517,L145,$B$5:$B$1517,B145,$C$5:$C$1517,"&lt;"&amp;C145),"")</f>
        <v/>
      </c>
      <c r="R145" s="0" t="str">
        <f aca="false">IF(M145&gt;=Models!$G$6,1+COUNTIF($M$5:$M$1517,"&gt;"&amp;M145)+COUNTIFS($M$5:$M$1517,M145,$B$5:$B$1517,"&lt;"&amp;B145)+COUNTIFS($M$5:$M$1517,M145,$B$5:$B$1517,B145,$C$5:$C$1517,"&lt;"&amp;C145),"")</f>
        <v/>
      </c>
      <c r="S145" s="0" t="str">
        <f aca="false">IF(N145&gt;=Models!$G$7,1+COUNTIF($N$5:$N$1517,"&gt;"&amp;N145)+COUNTIFS($N$5:$N$1517,N145,$B$5:$B$1517,"&lt;"&amp;B145)+COUNTIFS($N$5:$N$1517,N145,$B$5:$B$1517,B145,$C$5:$C$1517,"&lt;"&amp;C145),"")</f>
        <v/>
      </c>
      <c r="T145" s="8" t="n">
        <f aca="false">IF(O145&gt;=Models!$G$8,1+COUNTIF($O$5:$O$1517,"&gt;"&amp;O145)+COUNTIFS($O$5:$O$1517,O145,$B$5:$B$1517,"&lt;"&amp;B145)+COUNTIFS($O$5:$O$1517,O145,$B$5:$B$1517,B145,$C$5:$C$1517,"&lt;"&amp;C145),"")</f>
        <v>538</v>
      </c>
      <c r="U145" s="8" t="n">
        <f aca="false">IF($K145=1,COUNTIFS($L$5:$L$1517,"&gt;="&amp;L145,$K$5:$K$1517,1)/COUNTIF($L$5:$L$1517,"&gt;="&amp;L145),0)</f>
        <v>0</v>
      </c>
      <c r="V145" s="8" t="n">
        <f aca="false">IF($K145=1,COUNTIFS($M$5:$M$1517,"&gt;="&amp;M145,$K$5:$K$1517,1)/COUNTIF($M$5:$M$1517,"&gt;="&amp;M145),0)</f>
        <v>0</v>
      </c>
      <c r="W145" s="8" t="n">
        <f aca="false">IF($K145=1,COUNTIFS($N$5:$N$1517,"&gt;="&amp;N145,$K$5:$K$1517,1)/COUNTIF($N$5:$N$1517,"&gt;="&amp;N145),0)</f>
        <v>0</v>
      </c>
      <c r="X145" s="8" t="n">
        <f aca="false">IF($K145=1,COUNTIFS($O$5:$O$1517,"&gt;="&amp;O145,$K$5:$K$1517,1)/COUNTIF($O$5:$O$1517,"&gt;="&amp;O145),0)</f>
        <v>0</v>
      </c>
      <c r="Y145" s="8" t="n">
        <f aca="false">IF($K145=1,COUNTIFS($P$5:$P$1517,"&gt;="&amp;P145,$K$5:$K$1517,1)/COUNTIF($P$5:$P$1517,"&gt;="&amp;P145),0)</f>
        <v>0</v>
      </c>
      <c r="Z145" s="8" t="n">
        <f aca="false">(L145-$K145)^2</f>
        <v>0.034736758884</v>
      </c>
      <c r="AA145" s="8" t="n">
        <f aca="false">(M145-$K145)^2</f>
        <v>0.008475595969</v>
      </c>
      <c r="AB145" s="8" t="n">
        <f aca="false">(N145-$K145)^2</f>
        <v>0.000155875225</v>
      </c>
      <c r="AC145" s="8" t="n">
        <f aca="false">(O145-$K145)^2</f>
        <v>0.011274829489</v>
      </c>
      <c r="AD145" s="8" t="n">
        <f aca="false">(P145-$K145)^2</f>
        <v>0.000144336196</v>
      </c>
      <c r="AE145" s="8" t="n">
        <f aca="false">MIN(INT(ROUND(N145*1000000,0)/100000),9)</f>
        <v>0</v>
      </c>
      <c r="AF145" s="8" t="n">
        <f aca="false">MIN(INT(ROUND(P145*1000000,0)/100000),9)</f>
        <v>0</v>
      </c>
    </row>
    <row r="146" customFormat="false" ht="15" hidden="false" customHeight="false" outlineLevel="0" collapsed="false">
      <c r="A146" s="4" t="n">
        <v>142</v>
      </c>
      <c r="B146" s="4" t="n">
        <v>712</v>
      </c>
      <c r="C146" s="4" t="n">
        <v>0</v>
      </c>
      <c r="D146" s="11" t="n">
        <v>46054</v>
      </c>
      <c r="E146" s="4" t="s">
        <v>201</v>
      </c>
      <c r="F146" s="4" t="s">
        <v>209</v>
      </c>
      <c r="G146" s="4" t="n">
        <v>19</v>
      </c>
      <c r="H146" s="4" t="n">
        <v>1</v>
      </c>
      <c r="I146" s="4" t="n">
        <v>0</v>
      </c>
      <c r="J146" s="4" t="n">
        <v>22939.8</v>
      </c>
      <c r="K146" s="4" t="n">
        <v>0</v>
      </c>
      <c r="L146" s="12" t="n">
        <v>0.240832</v>
      </c>
      <c r="M146" s="12" t="n">
        <v>0.092063</v>
      </c>
      <c r="N146" s="12" t="n">
        <v>0.009105</v>
      </c>
      <c r="O146" s="12" t="n">
        <v>0.106183</v>
      </c>
      <c r="P146" s="12" t="n">
        <v>0.008629</v>
      </c>
      <c r="Q146" s="0" t="str">
        <f aca="false">IF(L146&gt;=Models!$G$5,1+COUNTIF($L$5:$L$1517,"&gt;"&amp;L146)+COUNTIFS($L$5:$L$1517,L146,$B$5:$B$1517,"&lt;"&amp;B146)+COUNTIFS($L$5:$L$1517,L146,$B$5:$B$1517,B146,$C$5:$C$1517,"&lt;"&amp;C146),"")</f>
        <v/>
      </c>
      <c r="R146" s="0" t="str">
        <f aca="false">IF(M146&gt;=Models!$G$6,1+COUNTIF($M$5:$M$1517,"&gt;"&amp;M146)+COUNTIFS($M$5:$M$1517,M146,$B$5:$B$1517,"&lt;"&amp;B146)+COUNTIFS($M$5:$M$1517,M146,$B$5:$B$1517,B146,$C$5:$C$1517,"&lt;"&amp;C146),"")</f>
        <v/>
      </c>
      <c r="S146" s="0" t="str">
        <f aca="false">IF(N146&gt;=Models!$G$7,1+COUNTIF($N$5:$N$1517,"&gt;"&amp;N146)+COUNTIFS($N$5:$N$1517,N146,$B$5:$B$1517,"&lt;"&amp;B146)+COUNTIFS($N$5:$N$1517,N146,$B$5:$B$1517,B146,$C$5:$C$1517,"&lt;"&amp;C146),"")</f>
        <v/>
      </c>
      <c r="T146" s="8" t="n">
        <f aca="false">IF(O146&gt;=Models!$G$8,1+COUNTIF($O$5:$O$1517,"&gt;"&amp;O146)+COUNTIFS($O$5:$O$1517,O146,$B$5:$B$1517,"&lt;"&amp;B146)+COUNTIFS($O$5:$O$1517,O146,$B$5:$B$1517,B146,$C$5:$C$1517,"&lt;"&amp;C146),"")</f>
        <v>542</v>
      </c>
      <c r="U146" s="8" t="n">
        <f aca="false">IF($K146=1,COUNTIFS($L$5:$L$1517,"&gt;="&amp;L146,$K$5:$K$1517,1)/COUNTIF($L$5:$L$1517,"&gt;="&amp;L146),0)</f>
        <v>0</v>
      </c>
      <c r="V146" s="8" t="n">
        <f aca="false">IF($K146=1,COUNTIFS($M$5:$M$1517,"&gt;="&amp;M146,$K$5:$K$1517,1)/COUNTIF($M$5:$M$1517,"&gt;="&amp;M146),0)</f>
        <v>0</v>
      </c>
      <c r="W146" s="8" t="n">
        <f aca="false">IF($K146=1,COUNTIFS($N$5:$N$1517,"&gt;="&amp;N146,$K$5:$K$1517,1)/COUNTIF($N$5:$N$1517,"&gt;="&amp;N146),0)</f>
        <v>0</v>
      </c>
      <c r="X146" s="8" t="n">
        <f aca="false">IF($K146=1,COUNTIFS($O$5:$O$1517,"&gt;="&amp;O146,$K$5:$K$1517,1)/COUNTIF($O$5:$O$1517,"&gt;="&amp;O146),0)</f>
        <v>0</v>
      </c>
      <c r="Y146" s="8" t="n">
        <f aca="false">IF($K146=1,COUNTIFS($P$5:$P$1517,"&gt;="&amp;P146,$K$5:$K$1517,1)/COUNTIF($P$5:$P$1517,"&gt;="&amp;P146),0)</f>
        <v>0</v>
      </c>
      <c r="Z146" s="8" t="n">
        <f aca="false">(L146-$K146)^2</f>
        <v>0.058000052224</v>
      </c>
      <c r="AA146" s="8" t="n">
        <f aca="false">(M146-$K146)^2</f>
        <v>0.008475595969</v>
      </c>
      <c r="AB146" s="8" t="n">
        <f aca="false">(N146-$K146)^2</f>
        <v>8.2901025E-005</v>
      </c>
      <c r="AC146" s="8" t="n">
        <f aca="false">(O146-$K146)^2</f>
        <v>0.011274829489</v>
      </c>
      <c r="AD146" s="8" t="n">
        <f aca="false">(P146-$K146)^2</f>
        <v>7.4459641E-005</v>
      </c>
      <c r="AE146" s="8" t="n">
        <f aca="false">MIN(INT(ROUND(N146*1000000,0)/100000),9)</f>
        <v>0</v>
      </c>
      <c r="AF146" s="8" t="n">
        <f aca="false">MIN(INT(ROUND(P146*1000000,0)/100000),9)</f>
        <v>0</v>
      </c>
    </row>
    <row r="147" customFormat="false" ht="15" hidden="false" customHeight="false" outlineLevel="0" collapsed="false">
      <c r="A147" s="4" t="n">
        <v>143</v>
      </c>
      <c r="B147" s="4" t="n">
        <v>715</v>
      </c>
      <c r="C147" s="4" t="n">
        <v>0</v>
      </c>
      <c r="D147" s="11" t="n">
        <v>46054</v>
      </c>
      <c r="E147" s="4" t="s">
        <v>201</v>
      </c>
      <c r="F147" s="4" t="s">
        <v>209</v>
      </c>
      <c r="G147" s="4" t="n">
        <v>4</v>
      </c>
      <c r="H147" s="4" t="n">
        <v>1</v>
      </c>
      <c r="I147" s="4" t="n">
        <v>1</v>
      </c>
      <c r="J147" s="4" t="n">
        <v>13147.8</v>
      </c>
      <c r="K147" s="4" t="n">
        <v>0</v>
      </c>
      <c r="L147" s="12" t="n">
        <v>0.807054</v>
      </c>
      <c r="M147" s="12" t="n">
        <v>0.184211</v>
      </c>
      <c r="N147" s="12" t="n">
        <v>0.101993</v>
      </c>
      <c r="O147" s="12" t="n">
        <v>0.106183</v>
      </c>
      <c r="P147" s="12" t="n">
        <v>0.108148</v>
      </c>
      <c r="Q147" s="0" t="str">
        <f aca="false">IF(L147&gt;=Models!$G$5,1+COUNTIF($L$5:$L$1517,"&gt;"&amp;L147)+COUNTIFS($L$5:$L$1517,L147,$B$5:$B$1517,"&lt;"&amp;B147)+COUNTIFS($L$5:$L$1517,L147,$B$5:$B$1517,B147,$C$5:$C$1517,"&lt;"&amp;C147),"")</f>
        <v/>
      </c>
      <c r="R147" s="8" t="n">
        <f aca="false">IF(M147&gt;=Models!$G$6,1+COUNTIF($M$5:$M$1517,"&gt;"&amp;M147)+COUNTIFS($M$5:$M$1517,M147,$B$5:$B$1517,"&lt;"&amp;B147)+COUNTIFS($M$5:$M$1517,M147,$B$5:$B$1517,B147,$C$5:$C$1517,"&lt;"&amp;C147),"")</f>
        <v>58</v>
      </c>
      <c r="S147" s="0" t="str">
        <f aca="false">IF(N147&gt;=Models!$G$7,1+COUNTIF($N$5:$N$1517,"&gt;"&amp;N147)+COUNTIFS($N$5:$N$1517,N147,$B$5:$B$1517,"&lt;"&amp;B147)+COUNTIFS($N$5:$N$1517,N147,$B$5:$B$1517,B147,$C$5:$C$1517,"&lt;"&amp;C147),"")</f>
        <v/>
      </c>
      <c r="T147" s="8" t="n">
        <f aca="false">IF(O147&gt;=Models!$G$8,1+COUNTIF($O$5:$O$1517,"&gt;"&amp;O147)+COUNTIFS($O$5:$O$1517,O147,$B$5:$B$1517,"&lt;"&amp;B147)+COUNTIFS($O$5:$O$1517,O147,$B$5:$B$1517,B147,$C$5:$C$1517,"&lt;"&amp;C147),"")</f>
        <v>546</v>
      </c>
      <c r="U147" s="8" t="n">
        <f aca="false">IF($K147=1,COUNTIFS($L$5:$L$1517,"&gt;="&amp;L147,$K$5:$K$1517,1)/COUNTIF($L$5:$L$1517,"&gt;="&amp;L147),0)</f>
        <v>0</v>
      </c>
      <c r="V147" s="8" t="n">
        <f aca="false">IF($K147=1,COUNTIFS($M$5:$M$1517,"&gt;="&amp;M147,$K$5:$K$1517,1)/COUNTIF($M$5:$M$1517,"&gt;="&amp;M147),0)</f>
        <v>0</v>
      </c>
      <c r="W147" s="8" t="n">
        <f aca="false">IF($K147=1,COUNTIFS($N$5:$N$1517,"&gt;="&amp;N147,$K$5:$K$1517,1)/COUNTIF($N$5:$N$1517,"&gt;="&amp;N147),0)</f>
        <v>0</v>
      </c>
      <c r="X147" s="8" t="n">
        <f aca="false">IF($K147=1,COUNTIFS($O$5:$O$1517,"&gt;="&amp;O147,$K$5:$K$1517,1)/COUNTIF($O$5:$O$1517,"&gt;="&amp;O147),0)</f>
        <v>0</v>
      </c>
      <c r="Y147" s="8" t="n">
        <f aca="false">IF($K147=1,COUNTIFS($P$5:$P$1517,"&gt;="&amp;P147,$K$5:$K$1517,1)/COUNTIF($P$5:$P$1517,"&gt;="&amp;P147),0)</f>
        <v>0</v>
      </c>
      <c r="Z147" s="8" t="n">
        <f aca="false">(L147-$K147)^2</f>
        <v>0.651336158916</v>
      </c>
      <c r="AA147" s="8" t="n">
        <f aca="false">(M147-$K147)^2</f>
        <v>0.033933692521</v>
      </c>
      <c r="AB147" s="8" t="n">
        <f aca="false">(N147-$K147)^2</f>
        <v>0.010402572049</v>
      </c>
      <c r="AC147" s="8" t="n">
        <f aca="false">(O147-$K147)^2</f>
        <v>0.011274829489</v>
      </c>
      <c r="AD147" s="8" t="n">
        <f aca="false">(P147-$K147)^2</f>
        <v>0.011695989904</v>
      </c>
      <c r="AE147" s="8" t="n">
        <f aca="false">MIN(INT(ROUND(N147*1000000,0)/100000),9)</f>
        <v>1</v>
      </c>
      <c r="AF147" s="8" t="n">
        <f aca="false">MIN(INT(ROUND(P147*1000000,0)/100000),9)</f>
        <v>1</v>
      </c>
    </row>
    <row r="148" customFormat="false" ht="15" hidden="false" customHeight="false" outlineLevel="0" collapsed="false">
      <c r="A148" s="4" t="n">
        <v>144</v>
      </c>
      <c r="B148" s="4" t="n">
        <v>717</v>
      </c>
      <c r="C148" s="4" t="n">
        <v>0</v>
      </c>
      <c r="D148" s="11" t="n">
        <v>46054</v>
      </c>
      <c r="E148" s="4" t="s">
        <v>203</v>
      </c>
      <c r="F148" s="4" t="s">
        <v>209</v>
      </c>
      <c r="G148" s="4" t="n">
        <v>8</v>
      </c>
      <c r="H148" s="4" t="n">
        <v>11</v>
      </c>
      <c r="I148" s="4" t="n">
        <v>0</v>
      </c>
      <c r="J148" s="4" t="n">
        <v>285</v>
      </c>
      <c r="K148" s="4" t="n">
        <v>0</v>
      </c>
      <c r="L148" s="12" t="n">
        <v>0.279817</v>
      </c>
      <c r="M148" s="12" t="n">
        <v>0.092063</v>
      </c>
      <c r="N148" s="12" t="n">
        <v>0.090924</v>
      </c>
      <c r="O148" s="12" t="n">
        <v>0.106183</v>
      </c>
      <c r="P148" s="12" t="n">
        <v>0.095957</v>
      </c>
      <c r="Q148" s="0" t="str">
        <f aca="false">IF(L148&gt;=Models!$G$5,1+COUNTIF($L$5:$L$1517,"&gt;"&amp;L148)+COUNTIFS($L$5:$L$1517,L148,$B$5:$B$1517,"&lt;"&amp;B148)+COUNTIFS($L$5:$L$1517,L148,$B$5:$B$1517,B148,$C$5:$C$1517,"&lt;"&amp;C148),"")</f>
        <v/>
      </c>
      <c r="R148" s="0" t="str">
        <f aca="false">IF(M148&gt;=Models!$G$6,1+COUNTIF($M$5:$M$1517,"&gt;"&amp;M148)+COUNTIFS($M$5:$M$1517,M148,$B$5:$B$1517,"&lt;"&amp;B148)+COUNTIFS($M$5:$M$1517,M148,$B$5:$B$1517,B148,$C$5:$C$1517,"&lt;"&amp;C148),"")</f>
        <v/>
      </c>
      <c r="S148" s="0" t="str">
        <f aca="false">IF(N148&gt;=Models!$G$7,1+COUNTIF($N$5:$N$1517,"&gt;"&amp;N148)+COUNTIFS($N$5:$N$1517,N148,$B$5:$B$1517,"&lt;"&amp;B148)+COUNTIFS($N$5:$N$1517,N148,$B$5:$B$1517,B148,$C$5:$C$1517,"&lt;"&amp;C148),"")</f>
        <v/>
      </c>
      <c r="T148" s="8" t="n">
        <f aca="false">IF(O148&gt;=Models!$G$8,1+COUNTIF($O$5:$O$1517,"&gt;"&amp;O148)+COUNTIFS($O$5:$O$1517,O148,$B$5:$B$1517,"&lt;"&amp;B148)+COUNTIFS($O$5:$O$1517,O148,$B$5:$B$1517,B148,$C$5:$C$1517,"&lt;"&amp;C148),"")</f>
        <v>550</v>
      </c>
      <c r="U148" s="8" t="n">
        <f aca="false">IF($K148=1,COUNTIFS($L$5:$L$1517,"&gt;="&amp;L148,$K$5:$K$1517,1)/COUNTIF($L$5:$L$1517,"&gt;="&amp;L148),0)</f>
        <v>0</v>
      </c>
      <c r="V148" s="8" t="n">
        <f aca="false">IF($K148=1,COUNTIFS($M$5:$M$1517,"&gt;="&amp;M148,$K$5:$K$1517,1)/COUNTIF($M$5:$M$1517,"&gt;="&amp;M148),0)</f>
        <v>0</v>
      </c>
      <c r="W148" s="8" t="n">
        <f aca="false">IF($K148=1,COUNTIFS($N$5:$N$1517,"&gt;="&amp;N148,$K$5:$K$1517,1)/COUNTIF($N$5:$N$1517,"&gt;="&amp;N148),0)</f>
        <v>0</v>
      </c>
      <c r="X148" s="8" t="n">
        <f aca="false">IF($K148=1,COUNTIFS($O$5:$O$1517,"&gt;="&amp;O148,$K$5:$K$1517,1)/COUNTIF($O$5:$O$1517,"&gt;="&amp;O148),0)</f>
        <v>0</v>
      </c>
      <c r="Y148" s="8" t="n">
        <f aca="false">IF($K148=1,COUNTIFS($P$5:$P$1517,"&gt;="&amp;P148,$K$5:$K$1517,1)/COUNTIF($P$5:$P$1517,"&gt;="&amp;P148),0)</f>
        <v>0</v>
      </c>
      <c r="Z148" s="8" t="n">
        <f aca="false">(L148-$K148)^2</f>
        <v>0.078297553489</v>
      </c>
      <c r="AA148" s="8" t="n">
        <f aca="false">(M148-$K148)^2</f>
        <v>0.008475595969</v>
      </c>
      <c r="AB148" s="8" t="n">
        <f aca="false">(N148-$K148)^2</f>
        <v>0.008267173776</v>
      </c>
      <c r="AC148" s="8" t="n">
        <f aca="false">(O148-$K148)^2</f>
        <v>0.011274829489</v>
      </c>
      <c r="AD148" s="8" t="n">
        <f aca="false">(P148-$K148)^2</f>
        <v>0.009207745849</v>
      </c>
      <c r="AE148" s="8" t="n">
        <f aca="false">MIN(INT(ROUND(N148*1000000,0)/100000),9)</f>
        <v>0</v>
      </c>
      <c r="AF148" s="8" t="n">
        <f aca="false">MIN(INT(ROUND(P148*1000000,0)/100000),9)</f>
        <v>0</v>
      </c>
    </row>
    <row r="149" customFormat="false" ht="15" hidden="false" customHeight="false" outlineLevel="0" collapsed="false">
      <c r="A149" s="4" t="n">
        <v>145</v>
      </c>
      <c r="B149" s="4" t="n">
        <v>722</v>
      </c>
      <c r="C149" s="4" t="n">
        <v>0</v>
      </c>
      <c r="D149" s="11" t="n">
        <v>46054</v>
      </c>
      <c r="E149" s="4" t="s">
        <v>204</v>
      </c>
      <c r="F149" s="4" t="s">
        <v>208</v>
      </c>
      <c r="G149" s="4" t="n">
        <v>2</v>
      </c>
      <c r="H149" s="4" t="n">
        <v>11</v>
      </c>
      <c r="I149" s="4" t="n">
        <v>0</v>
      </c>
      <c r="J149" s="4" t="n">
        <v>346.8</v>
      </c>
      <c r="K149" s="4" t="n">
        <v>0</v>
      </c>
      <c r="L149" s="12" t="n">
        <v>0.846692</v>
      </c>
      <c r="M149" s="12" t="n">
        <v>0.092063</v>
      </c>
      <c r="N149" s="12" t="n">
        <v>0.146035</v>
      </c>
      <c r="O149" s="12" t="n">
        <v>0.106183</v>
      </c>
      <c r="P149" s="12" t="n">
        <v>0.15695</v>
      </c>
      <c r="Q149" s="0" t="str">
        <f aca="false">IF(L149&gt;=Models!$G$5,1+COUNTIF($L$5:$L$1517,"&gt;"&amp;L149)+COUNTIFS($L$5:$L$1517,L149,$B$5:$B$1517,"&lt;"&amp;B149)+COUNTIFS($L$5:$L$1517,L149,$B$5:$B$1517,B149,$C$5:$C$1517,"&lt;"&amp;C149),"")</f>
        <v/>
      </c>
      <c r="R149" s="0" t="str">
        <f aca="false">IF(M149&gt;=Models!$G$6,1+COUNTIF($M$5:$M$1517,"&gt;"&amp;M149)+COUNTIFS($M$5:$M$1517,M149,$B$5:$B$1517,"&lt;"&amp;B149)+COUNTIFS($M$5:$M$1517,M149,$B$5:$B$1517,B149,$C$5:$C$1517,"&lt;"&amp;C149),"")</f>
        <v/>
      </c>
      <c r="S149" s="0" t="str">
        <f aca="false">IF(N149&gt;=Models!$G$7,1+COUNTIF($N$5:$N$1517,"&gt;"&amp;N149)+COUNTIFS($N$5:$N$1517,N149,$B$5:$B$1517,"&lt;"&amp;B149)+COUNTIFS($N$5:$N$1517,N149,$B$5:$B$1517,B149,$C$5:$C$1517,"&lt;"&amp;C149),"")</f>
        <v/>
      </c>
      <c r="T149" s="8" t="n">
        <f aca="false">IF(O149&gt;=Models!$G$8,1+COUNTIF($O$5:$O$1517,"&gt;"&amp;O149)+COUNTIFS($O$5:$O$1517,O149,$B$5:$B$1517,"&lt;"&amp;B149)+COUNTIFS($O$5:$O$1517,O149,$B$5:$B$1517,B149,$C$5:$C$1517,"&lt;"&amp;C149),"")</f>
        <v>554</v>
      </c>
      <c r="U149" s="8" t="n">
        <f aca="false">IF($K149=1,COUNTIFS($L$5:$L$1517,"&gt;="&amp;L149,$K$5:$K$1517,1)/COUNTIF($L$5:$L$1517,"&gt;="&amp;L149),0)</f>
        <v>0</v>
      </c>
      <c r="V149" s="8" t="n">
        <f aca="false">IF($K149=1,COUNTIFS($M$5:$M$1517,"&gt;="&amp;M149,$K$5:$K$1517,1)/COUNTIF($M$5:$M$1517,"&gt;="&amp;M149),0)</f>
        <v>0</v>
      </c>
      <c r="W149" s="8" t="n">
        <f aca="false">IF($K149=1,COUNTIFS($N$5:$N$1517,"&gt;="&amp;N149,$K$5:$K$1517,1)/COUNTIF($N$5:$N$1517,"&gt;="&amp;N149),0)</f>
        <v>0</v>
      </c>
      <c r="X149" s="8" t="n">
        <f aca="false">IF($K149=1,COUNTIFS($O$5:$O$1517,"&gt;="&amp;O149,$K$5:$K$1517,1)/COUNTIF($O$5:$O$1517,"&gt;="&amp;O149),0)</f>
        <v>0</v>
      </c>
      <c r="Y149" s="8" t="n">
        <f aca="false">IF($K149=1,COUNTIFS($P$5:$P$1517,"&gt;="&amp;P149,$K$5:$K$1517,1)/COUNTIF($P$5:$P$1517,"&gt;="&amp;P149),0)</f>
        <v>0</v>
      </c>
      <c r="Z149" s="8" t="n">
        <f aca="false">(L149-$K149)^2</f>
        <v>0.716887342864</v>
      </c>
      <c r="AA149" s="8" t="n">
        <f aca="false">(M149-$K149)^2</f>
        <v>0.008475595969</v>
      </c>
      <c r="AB149" s="8" t="n">
        <f aca="false">(N149-$K149)^2</f>
        <v>0.021326221225</v>
      </c>
      <c r="AC149" s="8" t="n">
        <f aca="false">(O149-$K149)^2</f>
        <v>0.011274829489</v>
      </c>
      <c r="AD149" s="8" t="n">
        <f aca="false">(P149-$K149)^2</f>
        <v>0.0246333025</v>
      </c>
      <c r="AE149" s="8" t="n">
        <f aca="false">MIN(INT(ROUND(N149*1000000,0)/100000),9)</f>
        <v>1</v>
      </c>
      <c r="AF149" s="8" t="n">
        <f aca="false">MIN(INT(ROUND(P149*1000000,0)/100000),9)</f>
        <v>1</v>
      </c>
    </row>
    <row r="150" customFormat="false" ht="15" hidden="false" customHeight="false" outlineLevel="0" collapsed="false">
      <c r="A150" s="4" t="n">
        <v>146</v>
      </c>
      <c r="B150" s="4" t="n">
        <v>734</v>
      </c>
      <c r="C150" s="4" t="n">
        <v>0</v>
      </c>
      <c r="D150" s="11" t="n">
        <v>46054</v>
      </c>
      <c r="E150" s="4" t="s">
        <v>202</v>
      </c>
      <c r="F150" s="4" t="s">
        <v>209</v>
      </c>
      <c r="G150" s="4" t="n">
        <v>4</v>
      </c>
      <c r="H150" s="4" t="n">
        <v>7</v>
      </c>
      <c r="I150" s="4" t="n">
        <v>0</v>
      </c>
      <c r="J150" s="4" t="n">
        <v>810</v>
      </c>
      <c r="K150" s="4" t="n">
        <v>0</v>
      </c>
      <c r="L150" s="12" t="n">
        <v>0.908094</v>
      </c>
      <c r="M150" s="12" t="n">
        <v>0.092063</v>
      </c>
      <c r="N150" s="12" t="n">
        <v>0.118606</v>
      </c>
      <c r="O150" s="12" t="n">
        <v>0.106183</v>
      </c>
      <c r="P150" s="12" t="n">
        <v>0.126512</v>
      </c>
      <c r="Q150" s="0" t="str">
        <f aca="false">IF(L150&gt;=Models!$G$5,1+COUNTIF($L$5:$L$1517,"&gt;"&amp;L150)+COUNTIFS($L$5:$L$1517,L150,$B$5:$B$1517,"&lt;"&amp;B150)+COUNTIFS($L$5:$L$1517,L150,$B$5:$B$1517,B150,$C$5:$C$1517,"&lt;"&amp;C150),"")</f>
        <v/>
      </c>
      <c r="R150" s="0" t="str">
        <f aca="false">IF(M150&gt;=Models!$G$6,1+COUNTIF($M$5:$M$1517,"&gt;"&amp;M150)+COUNTIFS($M$5:$M$1517,M150,$B$5:$B$1517,"&lt;"&amp;B150)+COUNTIFS($M$5:$M$1517,M150,$B$5:$B$1517,B150,$C$5:$C$1517,"&lt;"&amp;C150),"")</f>
        <v/>
      </c>
      <c r="S150" s="0" t="str">
        <f aca="false">IF(N150&gt;=Models!$G$7,1+COUNTIF($N$5:$N$1517,"&gt;"&amp;N150)+COUNTIFS($N$5:$N$1517,N150,$B$5:$B$1517,"&lt;"&amp;B150)+COUNTIFS($N$5:$N$1517,N150,$B$5:$B$1517,B150,$C$5:$C$1517,"&lt;"&amp;C150),"")</f>
        <v/>
      </c>
      <c r="T150" s="8" t="n">
        <f aca="false">IF(O150&gt;=Models!$G$8,1+COUNTIF($O$5:$O$1517,"&gt;"&amp;O150)+COUNTIFS($O$5:$O$1517,O150,$B$5:$B$1517,"&lt;"&amp;B150)+COUNTIFS($O$5:$O$1517,O150,$B$5:$B$1517,B150,$C$5:$C$1517,"&lt;"&amp;C150),"")</f>
        <v>558</v>
      </c>
      <c r="U150" s="8" t="n">
        <f aca="false">IF($K150=1,COUNTIFS($L$5:$L$1517,"&gt;="&amp;L150,$K$5:$K$1517,1)/COUNTIF($L$5:$L$1517,"&gt;="&amp;L150),0)</f>
        <v>0</v>
      </c>
      <c r="V150" s="8" t="n">
        <f aca="false">IF($K150=1,COUNTIFS($M$5:$M$1517,"&gt;="&amp;M150,$K$5:$K$1517,1)/COUNTIF($M$5:$M$1517,"&gt;="&amp;M150),0)</f>
        <v>0</v>
      </c>
      <c r="W150" s="8" t="n">
        <f aca="false">IF($K150=1,COUNTIFS($N$5:$N$1517,"&gt;="&amp;N150,$K$5:$K$1517,1)/COUNTIF($N$5:$N$1517,"&gt;="&amp;N150),0)</f>
        <v>0</v>
      </c>
      <c r="X150" s="8" t="n">
        <f aca="false">IF($K150=1,COUNTIFS($O$5:$O$1517,"&gt;="&amp;O150,$K$5:$K$1517,1)/COUNTIF($O$5:$O$1517,"&gt;="&amp;O150),0)</f>
        <v>0</v>
      </c>
      <c r="Y150" s="8" t="n">
        <f aca="false">IF($K150=1,COUNTIFS($P$5:$P$1517,"&gt;="&amp;P150,$K$5:$K$1517,1)/COUNTIF($P$5:$P$1517,"&gt;="&amp;P150),0)</f>
        <v>0</v>
      </c>
      <c r="Z150" s="8" t="n">
        <f aca="false">(L150-$K150)^2</f>
        <v>0.824634712836</v>
      </c>
      <c r="AA150" s="8" t="n">
        <f aca="false">(M150-$K150)^2</f>
        <v>0.008475595969</v>
      </c>
      <c r="AB150" s="8" t="n">
        <f aca="false">(N150-$K150)^2</f>
        <v>0.014067383236</v>
      </c>
      <c r="AC150" s="8" t="n">
        <f aca="false">(O150-$K150)^2</f>
        <v>0.011274829489</v>
      </c>
      <c r="AD150" s="8" t="n">
        <f aca="false">(P150-$K150)^2</f>
        <v>0.016005286144</v>
      </c>
      <c r="AE150" s="8" t="n">
        <f aca="false">MIN(INT(ROUND(N150*1000000,0)/100000),9)</f>
        <v>1</v>
      </c>
      <c r="AF150" s="8" t="n">
        <f aca="false">MIN(INT(ROUND(P150*1000000,0)/100000),9)</f>
        <v>1</v>
      </c>
    </row>
    <row r="151" customFormat="false" ht="15" hidden="false" customHeight="false" outlineLevel="0" collapsed="false">
      <c r="A151" s="4" t="n">
        <v>147</v>
      </c>
      <c r="B151" s="4" t="n">
        <v>736</v>
      </c>
      <c r="C151" s="4" t="n">
        <v>0</v>
      </c>
      <c r="D151" s="11" t="n">
        <v>46054</v>
      </c>
      <c r="E151" s="4" t="s">
        <v>204</v>
      </c>
      <c r="F151" s="4" t="s">
        <v>207</v>
      </c>
      <c r="G151" s="4" t="n">
        <v>2</v>
      </c>
      <c r="H151" s="4" t="n">
        <v>5</v>
      </c>
      <c r="I151" s="4" t="n">
        <v>0</v>
      </c>
      <c r="J151" s="4" t="n">
        <v>99</v>
      </c>
      <c r="K151" s="4" t="n">
        <v>1</v>
      </c>
      <c r="L151" s="12" t="n">
        <v>0.746772</v>
      </c>
      <c r="M151" s="12" t="n">
        <v>0.092063</v>
      </c>
      <c r="N151" s="12" t="n">
        <v>0.141752</v>
      </c>
      <c r="O151" s="12" t="n">
        <v>0.106183</v>
      </c>
      <c r="P151" s="12" t="n">
        <v>0.15219</v>
      </c>
      <c r="Q151" s="0" t="str">
        <f aca="false">IF(L151&gt;=Models!$G$5,1+COUNTIF($L$5:$L$1517,"&gt;"&amp;L151)+COUNTIFS($L$5:$L$1517,L151,$B$5:$B$1517,"&lt;"&amp;B151)+COUNTIFS($L$5:$L$1517,L151,$B$5:$B$1517,B151,$C$5:$C$1517,"&lt;"&amp;C151),"")</f>
        <v/>
      </c>
      <c r="R151" s="0" t="str">
        <f aca="false">IF(M151&gt;=Models!$G$6,1+COUNTIF($M$5:$M$1517,"&gt;"&amp;M151)+COUNTIFS($M$5:$M$1517,M151,$B$5:$B$1517,"&lt;"&amp;B151)+COUNTIFS($M$5:$M$1517,M151,$B$5:$B$1517,B151,$C$5:$C$1517,"&lt;"&amp;C151),"")</f>
        <v/>
      </c>
      <c r="S151" s="0" t="str">
        <f aca="false">IF(N151&gt;=Models!$G$7,1+COUNTIF($N$5:$N$1517,"&gt;"&amp;N151)+COUNTIFS($N$5:$N$1517,N151,$B$5:$B$1517,"&lt;"&amp;B151)+COUNTIFS($N$5:$N$1517,N151,$B$5:$B$1517,B151,$C$5:$C$1517,"&lt;"&amp;C151),"")</f>
        <v/>
      </c>
      <c r="T151" s="8" t="n">
        <f aca="false">IF(O151&gt;=Models!$G$8,1+COUNTIF($O$5:$O$1517,"&gt;"&amp;O151)+COUNTIFS($O$5:$O$1517,O151,$B$5:$B$1517,"&lt;"&amp;B151)+COUNTIFS($O$5:$O$1517,O151,$B$5:$B$1517,B151,$C$5:$C$1517,"&lt;"&amp;C151),"")</f>
        <v>562</v>
      </c>
      <c r="U151" s="8" t="n">
        <f aca="false">IF($K151=1,COUNTIFS($L$5:$L$1517,"&gt;="&amp;L151,$K$5:$K$1517,1)/COUNTIF($L$5:$L$1517,"&gt;="&amp;L151),0)</f>
        <v>0.139344262295082</v>
      </c>
      <c r="V151" s="8" t="n">
        <f aca="false">IF($K151=1,COUNTIFS($M$5:$M$1517,"&gt;="&amp;M151,$K$5:$K$1517,1)/COUNTIF($M$5:$M$1517,"&gt;="&amp;M151),0)</f>
        <v>0.12491738268341</v>
      </c>
      <c r="W151" s="8" t="n">
        <f aca="false">IF($K151=1,COUNTIFS($N$5:$N$1517,"&gt;="&amp;N151,$K$5:$K$1517,1)/COUNTIF($N$5:$N$1517,"&gt;="&amp;N151),0)</f>
        <v>0.291187739463602</v>
      </c>
      <c r="X151" s="8" t="n">
        <f aca="false">IF($K151=1,COUNTIFS($O$5:$O$1517,"&gt;="&amp;O151,$K$5:$K$1517,1)/COUNTIF($O$5:$O$1517,"&gt;="&amp;O151),0)</f>
        <v>0.12491738268341</v>
      </c>
      <c r="Y151" s="8" t="n">
        <f aca="false">IF($K151=1,COUNTIFS($P$5:$P$1517,"&gt;="&amp;P151,$K$5:$K$1517,1)/COUNTIF($P$5:$P$1517,"&gt;="&amp;P151),0)</f>
        <v>0.291187739463602</v>
      </c>
      <c r="Z151" s="8" t="n">
        <f aca="false">(L151-$K151)^2</f>
        <v>0.064124419984</v>
      </c>
      <c r="AA151" s="8" t="n">
        <f aca="false">(M151-$K151)^2</f>
        <v>0.824349595969</v>
      </c>
      <c r="AB151" s="8" t="n">
        <f aca="false">(N151-$K151)^2</f>
        <v>0.736589629504</v>
      </c>
      <c r="AC151" s="8" t="n">
        <f aca="false">(O151-$K151)^2</f>
        <v>0.798908829489</v>
      </c>
      <c r="AD151" s="8" t="n">
        <f aca="false">(P151-$K151)^2</f>
        <v>0.7187817961</v>
      </c>
      <c r="AE151" s="8" t="n">
        <f aca="false">MIN(INT(ROUND(N151*1000000,0)/100000),9)</f>
        <v>1</v>
      </c>
      <c r="AF151" s="8" t="n">
        <f aca="false">MIN(INT(ROUND(P151*1000000,0)/100000),9)</f>
        <v>1</v>
      </c>
    </row>
    <row r="152" customFormat="false" ht="15" hidden="false" customHeight="false" outlineLevel="0" collapsed="false">
      <c r="A152" s="4" t="n">
        <v>148</v>
      </c>
      <c r="B152" s="4" t="n">
        <v>742</v>
      </c>
      <c r="C152" s="4" t="n">
        <v>0</v>
      </c>
      <c r="D152" s="11" t="n">
        <v>46054</v>
      </c>
      <c r="E152" s="4" t="s">
        <v>202</v>
      </c>
      <c r="F152" s="4" t="s">
        <v>206</v>
      </c>
      <c r="G152" s="4" t="n">
        <v>8</v>
      </c>
      <c r="H152" s="4" t="n">
        <v>3</v>
      </c>
      <c r="I152" s="4" t="n">
        <v>0</v>
      </c>
      <c r="J152" s="4" t="n">
        <v>5773.2</v>
      </c>
      <c r="K152" s="4" t="n">
        <v>0</v>
      </c>
      <c r="L152" s="12" t="n">
        <v>0.480078</v>
      </c>
      <c r="M152" s="12" t="n">
        <v>0.092063</v>
      </c>
      <c r="N152" s="12" t="n">
        <v>0.063765</v>
      </c>
      <c r="O152" s="12" t="n">
        <v>0.106183</v>
      </c>
      <c r="P152" s="12" t="n">
        <v>0.066266</v>
      </c>
      <c r="Q152" s="0" t="str">
        <f aca="false">IF(L152&gt;=Models!$G$5,1+COUNTIF($L$5:$L$1517,"&gt;"&amp;L152)+COUNTIFS($L$5:$L$1517,L152,$B$5:$B$1517,"&lt;"&amp;B152)+COUNTIFS($L$5:$L$1517,L152,$B$5:$B$1517,B152,$C$5:$C$1517,"&lt;"&amp;C152),"")</f>
        <v/>
      </c>
      <c r="R152" s="0" t="str">
        <f aca="false">IF(M152&gt;=Models!$G$6,1+COUNTIF($M$5:$M$1517,"&gt;"&amp;M152)+COUNTIFS($M$5:$M$1517,M152,$B$5:$B$1517,"&lt;"&amp;B152)+COUNTIFS($M$5:$M$1517,M152,$B$5:$B$1517,B152,$C$5:$C$1517,"&lt;"&amp;C152),"")</f>
        <v/>
      </c>
      <c r="S152" s="0" t="str">
        <f aca="false">IF(N152&gt;=Models!$G$7,1+COUNTIF($N$5:$N$1517,"&gt;"&amp;N152)+COUNTIFS($N$5:$N$1517,N152,$B$5:$B$1517,"&lt;"&amp;B152)+COUNTIFS($N$5:$N$1517,N152,$B$5:$B$1517,B152,$C$5:$C$1517,"&lt;"&amp;C152),"")</f>
        <v/>
      </c>
      <c r="T152" s="8" t="n">
        <f aca="false">IF(O152&gt;=Models!$G$8,1+COUNTIF($O$5:$O$1517,"&gt;"&amp;O152)+COUNTIFS($O$5:$O$1517,O152,$B$5:$B$1517,"&lt;"&amp;B152)+COUNTIFS($O$5:$O$1517,O152,$B$5:$B$1517,B152,$C$5:$C$1517,"&lt;"&amp;C152),"")</f>
        <v>565</v>
      </c>
      <c r="U152" s="8" t="n">
        <f aca="false">IF($K152=1,COUNTIFS($L$5:$L$1517,"&gt;="&amp;L152,$K$5:$K$1517,1)/COUNTIF($L$5:$L$1517,"&gt;="&amp;L152),0)</f>
        <v>0</v>
      </c>
      <c r="V152" s="8" t="n">
        <f aca="false">IF($K152=1,COUNTIFS($M$5:$M$1517,"&gt;="&amp;M152,$K$5:$K$1517,1)/COUNTIF($M$5:$M$1517,"&gt;="&amp;M152),0)</f>
        <v>0</v>
      </c>
      <c r="W152" s="8" t="n">
        <f aca="false">IF($K152=1,COUNTIFS($N$5:$N$1517,"&gt;="&amp;N152,$K$5:$K$1517,1)/COUNTIF($N$5:$N$1517,"&gt;="&amp;N152),0)</f>
        <v>0</v>
      </c>
      <c r="X152" s="8" t="n">
        <f aca="false">IF($K152=1,COUNTIFS($O$5:$O$1517,"&gt;="&amp;O152,$K$5:$K$1517,1)/COUNTIF($O$5:$O$1517,"&gt;="&amp;O152),0)</f>
        <v>0</v>
      </c>
      <c r="Y152" s="8" t="n">
        <f aca="false">IF($K152=1,COUNTIFS($P$5:$P$1517,"&gt;="&amp;P152,$K$5:$K$1517,1)/COUNTIF($P$5:$P$1517,"&gt;="&amp;P152),0)</f>
        <v>0</v>
      </c>
      <c r="Z152" s="8" t="n">
        <f aca="false">(L152-$K152)^2</f>
        <v>0.230474886084</v>
      </c>
      <c r="AA152" s="8" t="n">
        <f aca="false">(M152-$K152)^2</f>
        <v>0.008475595969</v>
      </c>
      <c r="AB152" s="8" t="n">
        <f aca="false">(N152-$K152)^2</f>
        <v>0.004065975225</v>
      </c>
      <c r="AC152" s="8" t="n">
        <f aca="false">(O152-$K152)^2</f>
        <v>0.011274829489</v>
      </c>
      <c r="AD152" s="8" t="n">
        <f aca="false">(P152-$K152)^2</f>
        <v>0.004391182756</v>
      </c>
      <c r="AE152" s="8" t="n">
        <f aca="false">MIN(INT(ROUND(N152*1000000,0)/100000),9)</f>
        <v>0</v>
      </c>
      <c r="AF152" s="8" t="n">
        <f aca="false">MIN(INT(ROUND(P152*1000000,0)/100000),9)</f>
        <v>0</v>
      </c>
    </row>
    <row r="153" customFormat="false" ht="15" hidden="false" customHeight="false" outlineLevel="0" collapsed="false">
      <c r="A153" s="4" t="n">
        <v>149</v>
      </c>
      <c r="B153" s="4" t="n">
        <v>745</v>
      </c>
      <c r="C153" s="4" t="n">
        <v>0</v>
      </c>
      <c r="D153" s="11" t="n">
        <v>46054</v>
      </c>
      <c r="E153" s="4" t="s">
        <v>204</v>
      </c>
      <c r="F153" s="4" t="s">
        <v>210</v>
      </c>
      <c r="G153" s="4" t="n">
        <v>1</v>
      </c>
      <c r="H153" s="4" t="n">
        <v>20</v>
      </c>
      <c r="I153" s="4" t="n">
        <v>0</v>
      </c>
      <c r="J153" s="4" t="n">
        <v>79.8</v>
      </c>
      <c r="K153" s="4" t="n">
        <v>0</v>
      </c>
      <c r="L153" s="12" t="n">
        <v>0.581712</v>
      </c>
      <c r="M153" s="12" t="n">
        <v>0.092063</v>
      </c>
      <c r="N153" s="12" t="n">
        <v>0.169836</v>
      </c>
      <c r="O153" s="12" t="n">
        <v>0.106183</v>
      </c>
      <c r="P153" s="12" t="n">
        <v>0.183424</v>
      </c>
      <c r="Q153" s="0" t="str">
        <f aca="false">IF(L153&gt;=Models!$G$5,1+COUNTIF($L$5:$L$1517,"&gt;"&amp;L153)+COUNTIFS($L$5:$L$1517,L153,$B$5:$B$1517,"&lt;"&amp;B153)+COUNTIFS($L$5:$L$1517,L153,$B$5:$B$1517,B153,$C$5:$C$1517,"&lt;"&amp;C153),"")</f>
        <v/>
      </c>
      <c r="R153" s="0" t="str">
        <f aca="false">IF(M153&gt;=Models!$G$6,1+COUNTIF($M$5:$M$1517,"&gt;"&amp;M153)+COUNTIFS($M$5:$M$1517,M153,$B$5:$B$1517,"&lt;"&amp;B153)+COUNTIFS($M$5:$M$1517,M153,$B$5:$B$1517,B153,$C$5:$C$1517,"&lt;"&amp;C153),"")</f>
        <v/>
      </c>
      <c r="S153" s="0" t="str">
        <f aca="false">IF(N153&gt;=Models!$G$7,1+COUNTIF($N$5:$N$1517,"&gt;"&amp;N153)+COUNTIFS($N$5:$N$1517,N153,$B$5:$B$1517,"&lt;"&amp;B153)+COUNTIFS($N$5:$N$1517,N153,$B$5:$B$1517,B153,$C$5:$C$1517,"&lt;"&amp;C153),"")</f>
        <v/>
      </c>
      <c r="T153" s="8" t="n">
        <f aca="false">IF(O153&gt;=Models!$G$8,1+COUNTIF($O$5:$O$1517,"&gt;"&amp;O153)+COUNTIFS($O$5:$O$1517,O153,$B$5:$B$1517,"&lt;"&amp;B153)+COUNTIFS($O$5:$O$1517,O153,$B$5:$B$1517,B153,$C$5:$C$1517,"&lt;"&amp;C153),"")</f>
        <v>569</v>
      </c>
      <c r="U153" s="8" t="n">
        <f aca="false">IF($K153=1,COUNTIFS($L$5:$L$1517,"&gt;="&amp;L153,$K$5:$K$1517,1)/COUNTIF($L$5:$L$1517,"&gt;="&amp;L153),0)</f>
        <v>0</v>
      </c>
      <c r="V153" s="8" t="n">
        <f aca="false">IF($K153=1,COUNTIFS($M$5:$M$1517,"&gt;="&amp;M153,$K$5:$K$1517,1)/COUNTIF($M$5:$M$1517,"&gt;="&amp;M153),0)</f>
        <v>0</v>
      </c>
      <c r="W153" s="8" t="n">
        <f aca="false">IF($K153=1,COUNTIFS($N$5:$N$1517,"&gt;="&amp;N153,$K$5:$K$1517,1)/COUNTIF($N$5:$N$1517,"&gt;="&amp;N153),0)</f>
        <v>0</v>
      </c>
      <c r="X153" s="8" t="n">
        <f aca="false">IF($K153=1,COUNTIFS($O$5:$O$1517,"&gt;="&amp;O153,$K$5:$K$1517,1)/COUNTIF($O$5:$O$1517,"&gt;="&amp;O153),0)</f>
        <v>0</v>
      </c>
      <c r="Y153" s="8" t="n">
        <f aca="false">IF($K153=1,COUNTIFS($P$5:$P$1517,"&gt;="&amp;P153,$K$5:$K$1517,1)/COUNTIF($P$5:$P$1517,"&gt;="&amp;P153),0)</f>
        <v>0</v>
      </c>
      <c r="Z153" s="8" t="n">
        <f aca="false">(L153-$K153)^2</f>
        <v>0.338388850944</v>
      </c>
      <c r="AA153" s="8" t="n">
        <f aca="false">(M153-$K153)^2</f>
        <v>0.008475595969</v>
      </c>
      <c r="AB153" s="8" t="n">
        <f aca="false">(N153-$K153)^2</f>
        <v>0.028844266896</v>
      </c>
      <c r="AC153" s="8" t="n">
        <f aca="false">(O153-$K153)^2</f>
        <v>0.011274829489</v>
      </c>
      <c r="AD153" s="8" t="n">
        <f aca="false">(P153-$K153)^2</f>
        <v>0.033644363776</v>
      </c>
      <c r="AE153" s="8" t="n">
        <f aca="false">MIN(INT(ROUND(N153*1000000,0)/100000),9)</f>
        <v>1</v>
      </c>
      <c r="AF153" s="8" t="n">
        <f aca="false">MIN(INT(ROUND(P153*1000000,0)/100000),9)</f>
        <v>1</v>
      </c>
    </row>
    <row r="154" customFormat="false" ht="15" hidden="false" customHeight="false" outlineLevel="0" collapsed="false">
      <c r="A154" s="4" t="n">
        <v>150</v>
      </c>
      <c r="B154" s="4" t="n">
        <v>746</v>
      </c>
      <c r="C154" s="4" t="n">
        <v>0</v>
      </c>
      <c r="D154" s="11" t="n">
        <v>46054</v>
      </c>
      <c r="E154" s="4" t="s">
        <v>204</v>
      </c>
      <c r="F154" s="4" t="s">
        <v>209</v>
      </c>
      <c r="G154" s="4" t="n">
        <v>6</v>
      </c>
      <c r="H154" s="4" t="n">
        <v>9</v>
      </c>
      <c r="I154" s="4" t="n">
        <v>0</v>
      </c>
      <c r="J154" s="4" t="n">
        <v>78</v>
      </c>
      <c r="K154" s="4" t="n">
        <v>0</v>
      </c>
      <c r="L154" s="12" t="n">
        <v>0.513198</v>
      </c>
      <c r="M154" s="12" t="n">
        <v>0.092063</v>
      </c>
      <c r="N154" s="12" t="n">
        <v>0.10652</v>
      </c>
      <c r="O154" s="12" t="n">
        <v>0.106183</v>
      </c>
      <c r="P154" s="12" t="n">
        <v>0.113145</v>
      </c>
      <c r="Q154" s="0" t="str">
        <f aca="false">IF(L154&gt;=Models!$G$5,1+COUNTIF($L$5:$L$1517,"&gt;"&amp;L154)+COUNTIFS($L$5:$L$1517,L154,$B$5:$B$1517,"&lt;"&amp;B154)+COUNTIFS($L$5:$L$1517,L154,$B$5:$B$1517,B154,$C$5:$C$1517,"&lt;"&amp;C154),"")</f>
        <v/>
      </c>
      <c r="R154" s="0" t="str">
        <f aca="false">IF(M154&gt;=Models!$G$6,1+COUNTIF($M$5:$M$1517,"&gt;"&amp;M154)+COUNTIFS($M$5:$M$1517,M154,$B$5:$B$1517,"&lt;"&amp;B154)+COUNTIFS($M$5:$M$1517,M154,$B$5:$B$1517,B154,$C$5:$C$1517,"&lt;"&amp;C154),"")</f>
        <v/>
      </c>
      <c r="S154" s="0" t="str">
        <f aca="false">IF(N154&gt;=Models!$G$7,1+COUNTIF($N$5:$N$1517,"&gt;"&amp;N154)+COUNTIFS($N$5:$N$1517,N154,$B$5:$B$1517,"&lt;"&amp;B154)+COUNTIFS($N$5:$N$1517,N154,$B$5:$B$1517,B154,$C$5:$C$1517,"&lt;"&amp;C154),"")</f>
        <v/>
      </c>
      <c r="T154" s="8" t="n">
        <f aca="false">IF(O154&gt;=Models!$G$8,1+COUNTIF($O$5:$O$1517,"&gt;"&amp;O154)+COUNTIFS($O$5:$O$1517,O154,$B$5:$B$1517,"&lt;"&amp;B154)+COUNTIFS($O$5:$O$1517,O154,$B$5:$B$1517,B154,$C$5:$C$1517,"&lt;"&amp;C154),"")</f>
        <v>573</v>
      </c>
      <c r="U154" s="8" t="n">
        <f aca="false">IF($K154=1,COUNTIFS($L$5:$L$1517,"&gt;="&amp;L154,$K$5:$K$1517,1)/COUNTIF($L$5:$L$1517,"&gt;="&amp;L154),0)</f>
        <v>0</v>
      </c>
      <c r="V154" s="8" t="n">
        <f aca="false">IF($K154=1,COUNTIFS($M$5:$M$1517,"&gt;="&amp;M154,$K$5:$K$1517,1)/COUNTIF($M$5:$M$1517,"&gt;="&amp;M154),0)</f>
        <v>0</v>
      </c>
      <c r="W154" s="8" t="n">
        <f aca="false">IF($K154=1,COUNTIFS($N$5:$N$1517,"&gt;="&amp;N154,$K$5:$K$1517,1)/COUNTIF($N$5:$N$1517,"&gt;="&amp;N154),0)</f>
        <v>0</v>
      </c>
      <c r="X154" s="8" t="n">
        <f aca="false">IF($K154=1,COUNTIFS($O$5:$O$1517,"&gt;="&amp;O154,$K$5:$K$1517,1)/COUNTIF($O$5:$O$1517,"&gt;="&amp;O154),0)</f>
        <v>0</v>
      </c>
      <c r="Y154" s="8" t="n">
        <f aca="false">IF($K154=1,COUNTIFS($P$5:$P$1517,"&gt;="&amp;P154,$K$5:$K$1517,1)/COUNTIF($P$5:$P$1517,"&gt;="&amp;P154),0)</f>
        <v>0</v>
      </c>
      <c r="Z154" s="8" t="n">
        <f aca="false">(L154-$K154)^2</f>
        <v>0.263372187204</v>
      </c>
      <c r="AA154" s="8" t="n">
        <f aca="false">(M154-$K154)^2</f>
        <v>0.008475595969</v>
      </c>
      <c r="AB154" s="8" t="n">
        <f aca="false">(N154-$K154)^2</f>
        <v>0.0113465104</v>
      </c>
      <c r="AC154" s="8" t="n">
        <f aca="false">(O154-$K154)^2</f>
        <v>0.011274829489</v>
      </c>
      <c r="AD154" s="8" t="n">
        <f aca="false">(P154-$K154)^2</f>
        <v>0.012801791025</v>
      </c>
      <c r="AE154" s="8" t="n">
        <f aca="false">MIN(INT(ROUND(N154*1000000,0)/100000),9)</f>
        <v>1</v>
      </c>
      <c r="AF154" s="8" t="n">
        <f aca="false">MIN(INT(ROUND(P154*1000000,0)/100000),9)</f>
        <v>1</v>
      </c>
    </row>
    <row r="155" customFormat="false" ht="15" hidden="false" customHeight="false" outlineLevel="0" collapsed="false">
      <c r="A155" s="4" t="n">
        <v>151</v>
      </c>
      <c r="B155" s="4" t="n">
        <v>751</v>
      </c>
      <c r="C155" s="4" t="n">
        <v>0</v>
      </c>
      <c r="D155" s="11" t="n">
        <v>46054</v>
      </c>
      <c r="E155" s="4" t="s">
        <v>204</v>
      </c>
      <c r="F155" s="4" t="s">
        <v>209</v>
      </c>
      <c r="G155" s="4" t="n">
        <v>5</v>
      </c>
      <c r="H155" s="4" t="n">
        <v>4</v>
      </c>
      <c r="I155" s="4" t="n">
        <v>0</v>
      </c>
      <c r="J155" s="4" t="n">
        <v>87</v>
      </c>
      <c r="K155" s="4" t="n">
        <v>0</v>
      </c>
      <c r="L155" s="12" t="n">
        <v>0.894102</v>
      </c>
      <c r="M155" s="12" t="n">
        <v>0.092063</v>
      </c>
      <c r="N155" s="12" t="n">
        <v>0.111224</v>
      </c>
      <c r="O155" s="12" t="n">
        <v>0.106183</v>
      </c>
      <c r="P155" s="12" t="n">
        <v>0.118344</v>
      </c>
      <c r="Q155" s="0" t="str">
        <f aca="false">IF(L155&gt;=Models!$G$5,1+COUNTIF($L$5:$L$1517,"&gt;"&amp;L155)+COUNTIFS($L$5:$L$1517,L155,$B$5:$B$1517,"&lt;"&amp;B155)+COUNTIFS($L$5:$L$1517,L155,$B$5:$B$1517,B155,$C$5:$C$1517,"&lt;"&amp;C155),"")</f>
        <v/>
      </c>
      <c r="R155" s="0" t="str">
        <f aca="false">IF(M155&gt;=Models!$G$6,1+COUNTIF($M$5:$M$1517,"&gt;"&amp;M155)+COUNTIFS($M$5:$M$1517,M155,$B$5:$B$1517,"&lt;"&amp;B155)+COUNTIFS($M$5:$M$1517,M155,$B$5:$B$1517,B155,$C$5:$C$1517,"&lt;"&amp;C155),"")</f>
        <v/>
      </c>
      <c r="S155" s="0" t="str">
        <f aca="false">IF(N155&gt;=Models!$G$7,1+COUNTIF($N$5:$N$1517,"&gt;"&amp;N155)+COUNTIFS($N$5:$N$1517,N155,$B$5:$B$1517,"&lt;"&amp;B155)+COUNTIFS($N$5:$N$1517,N155,$B$5:$B$1517,B155,$C$5:$C$1517,"&lt;"&amp;C155),"")</f>
        <v/>
      </c>
      <c r="T155" s="8" t="n">
        <f aca="false">IF(O155&gt;=Models!$G$8,1+COUNTIF($O$5:$O$1517,"&gt;"&amp;O155)+COUNTIFS($O$5:$O$1517,O155,$B$5:$B$1517,"&lt;"&amp;B155)+COUNTIFS($O$5:$O$1517,O155,$B$5:$B$1517,B155,$C$5:$C$1517,"&lt;"&amp;C155),"")</f>
        <v>577</v>
      </c>
      <c r="U155" s="8" t="n">
        <f aca="false">IF($K155=1,COUNTIFS($L$5:$L$1517,"&gt;="&amp;L155,$K$5:$K$1517,1)/COUNTIF($L$5:$L$1517,"&gt;="&amp;L155),0)</f>
        <v>0</v>
      </c>
      <c r="V155" s="8" t="n">
        <f aca="false">IF($K155=1,COUNTIFS($M$5:$M$1517,"&gt;="&amp;M155,$K$5:$K$1517,1)/COUNTIF($M$5:$M$1517,"&gt;="&amp;M155),0)</f>
        <v>0</v>
      </c>
      <c r="W155" s="8" t="n">
        <f aca="false">IF($K155=1,COUNTIFS($N$5:$N$1517,"&gt;="&amp;N155,$K$5:$K$1517,1)/COUNTIF($N$5:$N$1517,"&gt;="&amp;N155),0)</f>
        <v>0</v>
      </c>
      <c r="X155" s="8" t="n">
        <f aca="false">IF($K155=1,COUNTIFS($O$5:$O$1517,"&gt;="&amp;O155,$K$5:$K$1517,1)/COUNTIF($O$5:$O$1517,"&gt;="&amp;O155),0)</f>
        <v>0</v>
      </c>
      <c r="Y155" s="8" t="n">
        <f aca="false">IF($K155=1,COUNTIFS($P$5:$P$1517,"&gt;="&amp;P155,$K$5:$K$1517,1)/COUNTIF($P$5:$P$1517,"&gt;="&amp;P155),0)</f>
        <v>0</v>
      </c>
      <c r="Z155" s="8" t="n">
        <f aca="false">(L155-$K155)^2</f>
        <v>0.799418386404</v>
      </c>
      <c r="AA155" s="8" t="n">
        <f aca="false">(M155-$K155)^2</f>
        <v>0.008475595969</v>
      </c>
      <c r="AB155" s="8" t="n">
        <f aca="false">(N155-$K155)^2</f>
        <v>0.012370778176</v>
      </c>
      <c r="AC155" s="8" t="n">
        <f aca="false">(O155-$K155)^2</f>
        <v>0.011274829489</v>
      </c>
      <c r="AD155" s="8" t="n">
        <f aca="false">(P155-$K155)^2</f>
        <v>0.014005302336</v>
      </c>
      <c r="AE155" s="8" t="n">
        <f aca="false">MIN(INT(ROUND(N155*1000000,0)/100000),9)</f>
        <v>1</v>
      </c>
      <c r="AF155" s="8" t="n">
        <f aca="false">MIN(INT(ROUND(P155*1000000,0)/100000),9)</f>
        <v>1</v>
      </c>
    </row>
    <row r="156" customFormat="false" ht="15" hidden="false" customHeight="false" outlineLevel="0" collapsed="false">
      <c r="A156" s="4" t="n">
        <v>152</v>
      </c>
      <c r="B156" s="4" t="n">
        <v>754</v>
      </c>
      <c r="C156" s="4" t="n">
        <v>0</v>
      </c>
      <c r="D156" s="11" t="n">
        <v>46054</v>
      </c>
      <c r="E156" s="4" t="s">
        <v>201</v>
      </c>
      <c r="F156" s="4" t="s">
        <v>209</v>
      </c>
      <c r="G156" s="4" t="n">
        <v>12</v>
      </c>
      <c r="H156" s="4" t="n">
        <v>1</v>
      </c>
      <c r="I156" s="4" t="n">
        <v>0</v>
      </c>
      <c r="J156" s="4" t="n">
        <v>26632.2</v>
      </c>
      <c r="K156" s="4" t="n">
        <v>0</v>
      </c>
      <c r="L156" s="12" t="n">
        <v>0.338038</v>
      </c>
      <c r="M156" s="12" t="n">
        <v>0.092063</v>
      </c>
      <c r="N156" s="12" t="n">
        <v>0.013731</v>
      </c>
      <c r="O156" s="12" t="n">
        <v>0.106183</v>
      </c>
      <c r="P156" s="12" t="n">
        <v>0.013273</v>
      </c>
      <c r="Q156" s="0" t="str">
        <f aca="false">IF(L156&gt;=Models!$G$5,1+COUNTIF($L$5:$L$1517,"&gt;"&amp;L156)+COUNTIFS($L$5:$L$1517,L156,$B$5:$B$1517,"&lt;"&amp;B156)+COUNTIFS($L$5:$L$1517,L156,$B$5:$B$1517,B156,$C$5:$C$1517,"&lt;"&amp;C156),"")</f>
        <v/>
      </c>
      <c r="R156" s="0" t="str">
        <f aca="false">IF(M156&gt;=Models!$G$6,1+COUNTIF($M$5:$M$1517,"&gt;"&amp;M156)+COUNTIFS($M$5:$M$1517,M156,$B$5:$B$1517,"&lt;"&amp;B156)+COUNTIFS($M$5:$M$1517,M156,$B$5:$B$1517,B156,$C$5:$C$1517,"&lt;"&amp;C156),"")</f>
        <v/>
      </c>
      <c r="S156" s="0" t="str">
        <f aca="false">IF(N156&gt;=Models!$G$7,1+COUNTIF($N$5:$N$1517,"&gt;"&amp;N156)+COUNTIFS($N$5:$N$1517,N156,$B$5:$B$1517,"&lt;"&amp;B156)+COUNTIFS($N$5:$N$1517,N156,$B$5:$B$1517,B156,$C$5:$C$1517,"&lt;"&amp;C156),"")</f>
        <v/>
      </c>
      <c r="T156" s="8" t="n">
        <f aca="false">IF(O156&gt;=Models!$G$8,1+COUNTIF($O$5:$O$1517,"&gt;"&amp;O156)+COUNTIFS($O$5:$O$1517,O156,$B$5:$B$1517,"&lt;"&amp;B156)+COUNTIFS($O$5:$O$1517,O156,$B$5:$B$1517,B156,$C$5:$C$1517,"&lt;"&amp;C156),"")</f>
        <v>581</v>
      </c>
      <c r="U156" s="8" t="n">
        <f aca="false">IF($K156=1,COUNTIFS($L$5:$L$1517,"&gt;="&amp;L156,$K$5:$K$1517,1)/COUNTIF($L$5:$L$1517,"&gt;="&amp;L156),0)</f>
        <v>0</v>
      </c>
      <c r="V156" s="8" t="n">
        <f aca="false">IF($K156=1,COUNTIFS($M$5:$M$1517,"&gt;="&amp;M156,$K$5:$K$1517,1)/COUNTIF($M$5:$M$1517,"&gt;="&amp;M156),0)</f>
        <v>0</v>
      </c>
      <c r="W156" s="8" t="n">
        <f aca="false">IF($K156=1,COUNTIFS($N$5:$N$1517,"&gt;="&amp;N156,$K$5:$K$1517,1)/COUNTIF($N$5:$N$1517,"&gt;="&amp;N156),0)</f>
        <v>0</v>
      </c>
      <c r="X156" s="8" t="n">
        <f aca="false">IF($K156=1,COUNTIFS($O$5:$O$1517,"&gt;="&amp;O156,$K$5:$K$1517,1)/COUNTIF($O$5:$O$1517,"&gt;="&amp;O156),0)</f>
        <v>0</v>
      </c>
      <c r="Y156" s="8" t="n">
        <f aca="false">IF($K156=1,COUNTIFS($P$5:$P$1517,"&gt;="&amp;P156,$K$5:$K$1517,1)/COUNTIF($P$5:$P$1517,"&gt;="&amp;P156),0)</f>
        <v>0</v>
      </c>
      <c r="Z156" s="8" t="n">
        <f aca="false">(L156-$K156)^2</f>
        <v>0.114269689444</v>
      </c>
      <c r="AA156" s="8" t="n">
        <f aca="false">(M156-$K156)^2</f>
        <v>0.008475595969</v>
      </c>
      <c r="AB156" s="8" t="n">
        <f aca="false">(N156-$K156)^2</f>
        <v>0.000188540361</v>
      </c>
      <c r="AC156" s="8" t="n">
        <f aca="false">(O156-$K156)^2</f>
        <v>0.011274829489</v>
      </c>
      <c r="AD156" s="8" t="n">
        <f aca="false">(P156-$K156)^2</f>
        <v>0.000176172529</v>
      </c>
      <c r="AE156" s="8" t="n">
        <f aca="false">MIN(INT(ROUND(N156*1000000,0)/100000),9)</f>
        <v>0</v>
      </c>
      <c r="AF156" s="8" t="n">
        <f aca="false">MIN(INT(ROUND(P156*1000000,0)/100000),9)</f>
        <v>0</v>
      </c>
    </row>
    <row r="157" customFormat="false" ht="15" hidden="false" customHeight="false" outlineLevel="0" collapsed="false">
      <c r="A157" s="4" t="n">
        <v>153</v>
      </c>
      <c r="B157" s="4" t="n">
        <v>758</v>
      </c>
      <c r="C157" s="4" t="n">
        <v>0</v>
      </c>
      <c r="D157" s="11" t="n">
        <v>46054</v>
      </c>
      <c r="E157" s="4" t="s">
        <v>202</v>
      </c>
      <c r="F157" s="4" t="s">
        <v>207</v>
      </c>
      <c r="G157" s="4" t="n">
        <v>2</v>
      </c>
      <c r="H157" s="4" t="n">
        <v>28</v>
      </c>
      <c r="I157" s="4" t="n">
        <v>0</v>
      </c>
      <c r="J157" s="4" t="n">
        <v>2550</v>
      </c>
      <c r="K157" s="4" t="n">
        <v>1</v>
      </c>
      <c r="L157" s="12" t="n">
        <v>0.687346</v>
      </c>
      <c r="M157" s="12" t="n">
        <v>0.092063</v>
      </c>
      <c r="N157" s="12" t="n">
        <v>0.147459</v>
      </c>
      <c r="O157" s="12" t="n">
        <v>0.106183</v>
      </c>
      <c r="P157" s="12" t="n">
        <v>0.158533</v>
      </c>
      <c r="Q157" s="0" t="str">
        <f aca="false">IF(L157&gt;=Models!$G$5,1+COUNTIF($L$5:$L$1517,"&gt;"&amp;L157)+COUNTIFS($L$5:$L$1517,L157,$B$5:$B$1517,"&lt;"&amp;B157)+COUNTIFS($L$5:$L$1517,L157,$B$5:$B$1517,B157,$C$5:$C$1517,"&lt;"&amp;C157),"")</f>
        <v/>
      </c>
      <c r="R157" s="0" t="str">
        <f aca="false">IF(M157&gt;=Models!$G$6,1+COUNTIF($M$5:$M$1517,"&gt;"&amp;M157)+COUNTIFS($M$5:$M$1517,M157,$B$5:$B$1517,"&lt;"&amp;B157)+COUNTIFS($M$5:$M$1517,M157,$B$5:$B$1517,B157,$C$5:$C$1517,"&lt;"&amp;C157),"")</f>
        <v/>
      </c>
      <c r="S157" s="0" t="str">
        <f aca="false">IF(N157&gt;=Models!$G$7,1+COUNTIF($N$5:$N$1517,"&gt;"&amp;N157)+COUNTIFS($N$5:$N$1517,N157,$B$5:$B$1517,"&lt;"&amp;B157)+COUNTIFS($N$5:$N$1517,N157,$B$5:$B$1517,B157,$C$5:$C$1517,"&lt;"&amp;C157),"")</f>
        <v/>
      </c>
      <c r="T157" s="8" t="n">
        <f aca="false">IF(O157&gt;=Models!$G$8,1+COUNTIF($O$5:$O$1517,"&gt;"&amp;O157)+COUNTIFS($O$5:$O$1517,O157,$B$5:$B$1517,"&lt;"&amp;B157)+COUNTIFS($O$5:$O$1517,O157,$B$5:$B$1517,B157,$C$5:$C$1517,"&lt;"&amp;C157),"")</f>
        <v>585</v>
      </c>
      <c r="U157" s="8" t="n">
        <f aca="false">IF($K157=1,COUNTIFS($L$5:$L$1517,"&gt;="&amp;L157,$K$5:$K$1517,1)/COUNTIF($L$5:$L$1517,"&gt;="&amp;L157),0)</f>
        <v>0.13215859030837</v>
      </c>
      <c r="V157" s="8" t="n">
        <f aca="false">IF($K157=1,COUNTIFS($M$5:$M$1517,"&gt;="&amp;M157,$K$5:$K$1517,1)/COUNTIF($M$5:$M$1517,"&gt;="&amp;M157),0)</f>
        <v>0.12491738268341</v>
      </c>
      <c r="W157" s="8" t="n">
        <f aca="false">IF($K157=1,COUNTIFS($N$5:$N$1517,"&gt;="&amp;N157,$K$5:$K$1517,1)/COUNTIF($N$5:$N$1517,"&gt;="&amp;N157),0)</f>
        <v>0.300884955752212</v>
      </c>
      <c r="X157" s="8" t="n">
        <f aca="false">IF($K157=1,COUNTIFS($O$5:$O$1517,"&gt;="&amp;O157,$K$5:$K$1517,1)/COUNTIF($O$5:$O$1517,"&gt;="&amp;O157),0)</f>
        <v>0.12491738268341</v>
      </c>
      <c r="Y157" s="8" t="n">
        <f aca="false">IF($K157=1,COUNTIFS($P$5:$P$1517,"&gt;="&amp;P157,$K$5:$K$1517,1)/COUNTIF($P$5:$P$1517,"&gt;="&amp;P157),0)</f>
        <v>0.300884955752212</v>
      </c>
      <c r="Z157" s="8" t="n">
        <f aca="false">(L157-$K157)^2</f>
        <v>0.097752523716</v>
      </c>
      <c r="AA157" s="8" t="n">
        <f aca="false">(M157-$K157)^2</f>
        <v>0.824349595969</v>
      </c>
      <c r="AB157" s="8" t="n">
        <f aca="false">(N157-$K157)^2</f>
        <v>0.726826156681</v>
      </c>
      <c r="AC157" s="8" t="n">
        <f aca="false">(O157-$K157)^2</f>
        <v>0.798908829489</v>
      </c>
      <c r="AD157" s="8" t="n">
        <f aca="false">(P157-$K157)^2</f>
        <v>0.708066712089</v>
      </c>
      <c r="AE157" s="8" t="n">
        <f aca="false">MIN(INT(ROUND(N157*1000000,0)/100000),9)</f>
        <v>1</v>
      </c>
      <c r="AF157" s="8" t="n">
        <f aca="false">MIN(INT(ROUND(P157*1000000,0)/100000),9)</f>
        <v>1</v>
      </c>
    </row>
    <row r="158" customFormat="false" ht="15" hidden="false" customHeight="false" outlineLevel="0" collapsed="false">
      <c r="A158" s="4" t="n">
        <v>154</v>
      </c>
      <c r="B158" s="4" t="n">
        <v>759</v>
      </c>
      <c r="C158" s="4" t="n">
        <v>0</v>
      </c>
      <c r="D158" s="11" t="n">
        <v>46054</v>
      </c>
      <c r="E158" s="4" t="s">
        <v>202</v>
      </c>
      <c r="F158" s="4" t="s">
        <v>206</v>
      </c>
      <c r="G158" s="4" t="n">
        <v>11</v>
      </c>
      <c r="H158" s="4" t="n">
        <v>6</v>
      </c>
      <c r="I158" s="4" t="n">
        <v>0</v>
      </c>
      <c r="J158" s="4" t="n">
        <v>3029.4</v>
      </c>
      <c r="K158" s="4" t="n">
        <v>0</v>
      </c>
      <c r="L158" s="12" t="n">
        <v>0.486477</v>
      </c>
      <c r="M158" s="12" t="n">
        <v>0.092063</v>
      </c>
      <c r="N158" s="12" t="n">
        <v>0.058816</v>
      </c>
      <c r="O158" s="12" t="n">
        <v>0.106183</v>
      </c>
      <c r="P158" s="12" t="n">
        <v>0.060901</v>
      </c>
      <c r="Q158" s="0" t="str">
        <f aca="false">IF(L158&gt;=Models!$G$5,1+COUNTIF($L$5:$L$1517,"&gt;"&amp;L158)+COUNTIFS($L$5:$L$1517,L158,$B$5:$B$1517,"&lt;"&amp;B158)+COUNTIFS($L$5:$L$1517,L158,$B$5:$B$1517,B158,$C$5:$C$1517,"&lt;"&amp;C158),"")</f>
        <v/>
      </c>
      <c r="R158" s="0" t="str">
        <f aca="false">IF(M158&gt;=Models!$G$6,1+COUNTIF($M$5:$M$1517,"&gt;"&amp;M158)+COUNTIFS($M$5:$M$1517,M158,$B$5:$B$1517,"&lt;"&amp;B158)+COUNTIFS($M$5:$M$1517,M158,$B$5:$B$1517,B158,$C$5:$C$1517,"&lt;"&amp;C158),"")</f>
        <v/>
      </c>
      <c r="S158" s="0" t="str">
        <f aca="false">IF(N158&gt;=Models!$G$7,1+COUNTIF($N$5:$N$1517,"&gt;"&amp;N158)+COUNTIFS($N$5:$N$1517,N158,$B$5:$B$1517,"&lt;"&amp;B158)+COUNTIFS($N$5:$N$1517,N158,$B$5:$B$1517,B158,$C$5:$C$1517,"&lt;"&amp;C158),"")</f>
        <v/>
      </c>
      <c r="T158" s="8" t="n">
        <f aca="false">IF(O158&gt;=Models!$G$8,1+COUNTIF($O$5:$O$1517,"&gt;"&amp;O158)+COUNTIFS($O$5:$O$1517,O158,$B$5:$B$1517,"&lt;"&amp;B158)+COUNTIFS($O$5:$O$1517,O158,$B$5:$B$1517,B158,$C$5:$C$1517,"&lt;"&amp;C158),"")</f>
        <v>586</v>
      </c>
      <c r="U158" s="8" t="n">
        <f aca="false">IF($K158=1,COUNTIFS($L$5:$L$1517,"&gt;="&amp;L158,$K$5:$K$1517,1)/COUNTIF($L$5:$L$1517,"&gt;="&amp;L158),0)</f>
        <v>0</v>
      </c>
      <c r="V158" s="8" t="n">
        <f aca="false">IF($K158=1,COUNTIFS($M$5:$M$1517,"&gt;="&amp;M158,$K$5:$K$1517,1)/COUNTIF($M$5:$M$1517,"&gt;="&amp;M158),0)</f>
        <v>0</v>
      </c>
      <c r="W158" s="8" t="n">
        <f aca="false">IF($K158=1,COUNTIFS($N$5:$N$1517,"&gt;="&amp;N158,$K$5:$K$1517,1)/COUNTIF($N$5:$N$1517,"&gt;="&amp;N158),0)</f>
        <v>0</v>
      </c>
      <c r="X158" s="8" t="n">
        <f aca="false">IF($K158=1,COUNTIFS($O$5:$O$1517,"&gt;="&amp;O158,$K$5:$K$1517,1)/COUNTIF($O$5:$O$1517,"&gt;="&amp;O158),0)</f>
        <v>0</v>
      </c>
      <c r="Y158" s="8" t="n">
        <f aca="false">IF($K158=1,COUNTIFS($P$5:$P$1517,"&gt;="&amp;P158,$K$5:$K$1517,1)/COUNTIF($P$5:$P$1517,"&gt;="&amp;P158),0)</f>
        <v>0</v>
      </c>
      <c r="Z158" s="8" t="n">
        <f aca="false">(L158-$K158)^2</f>
        <v>0.236659871529</v>
      </c>
      <c r="AA158" s="8" t="n">
        <f aca="false">(M158-$K158)^2</f>
        <v>0.008475595969</v>
      </c>
      <c r="AB158" s="8" t="n">
        <f aca="false">(N158-$K158)^2</f>
        <v>0.003459321856</v>
      </c>
      <c r="AC158" s="8" t="n">
        <f aca="false">(O158-$K158)^2</f>
        <v>0.011274829489</v>
      </c>
      <c r="AD158" s="8" t="n">
        <f aca="false">(P158-$K158)^2</f>
        <v>0.003708931801</v>
      </c>
      <c r="AE158" s="8" t="n">
        <f aca="false">MIN(INT(ROUND(N158*1000000,0)/100000),9)</f>
        <v>0</v>
      </c>
      <c r="AF158" s="8" t="n">
        <f aca="false">MIN(INT(ROUND(P158*1000000,0)/100000),9)</f>
        <v>0</v>
      </c>
    </row>
    <row r="159" customFormat="false" ht="15" hidden="false" customHeight="false" outlineLevel="0" collapsed="false">
      <c r="A159" s="4" t="n">
        <v>155</v>
      </c>
      <c r="B159" s="4" t="n">
        <v>764</v>
      </c>
      <c r="C159" s="4" t="n">
        <v>0</v>
      </c>
      <c r="D159" s="11" t="n">
        <v>46054</v>
      </c>
      <c r="E159" s="4" t="s">
        <v>204</v>
      </c>
      <c r="F159" s="4" t="s">
        <v>206</v>
      </c>
      <c r="G159" s="4" t="n">
        <v>2</v>
      </c>
      <c r="H159" s="4" t="n">
        <v>4</v>
      </c>
      <c r="I159" s="4" t="n">
        <v>0</v>
      </c>
      <c r="J159" s="4" t="n">
        <v>255</v>
      </c>
      <c r="K159" s="4" t="n">
        <v>1</v>
      </c>
      <c r="L159" s="12" t="n">
        <v>0.413734</v>
      </c>
      <c r="M159" s="12" t="n">
        <v>0.092063</v>
      </c>
      <c r="N159" s="12" t="n">
        <v>0.139665</v>
      </c>
      <c r="O159" s="12" t="n">
        <v>0.106183</v>
      </c>
      <c r="P159" s="12" t="n">
        <v>0.149872</v>
      </c>
      <c r="Q159" s="0" t="str">
        <f aca="false">IF(L159&gt;=Models!$G$5,1+COUNTIF($L$5:$L$1517,"&gt;"&amp;L159)+COUNTIFS($L$5:$L$1517,L159,$B$5:$B$1517,"&lt;"&amp;B159)+COUNTIFS($L$5:$L$1517,L159,$B$5:$B$1517,B159,$C$5:$C$1517,"&lt;"&amp;C159),"")</f>
        <v/>
      </c>
      <c r="R159" s="0" t="str">
        <f aca="false">IF(M159&gt;=Models!$G$6,1+COUNTIF($M$5:$M$1517,"&gt;"&amp;M159)+COUNTIFS($M$5:$M$1517,M159,$B$5:$B$1517,"&lt;"&amp;B159)+COUNTIFS($M$5:$M$1517,M159,$B$5:$B$1517,B159,$C$5:$C$1517,"&lt;"&amp;C159),"")</f>
        <v/>
      </c>
      <c r="S159" s="0" t="str">
        <f aca="false">IF(N159&gt;=Models!$G$7,1+COUNTIF($N$5:$N$1517,"&gt;"&amp;N159)+COUNTIFS($N$5:$N$1517,N159,$B$5:$B$1517,"&lt;"&amp;B159)+COUNTIFS($N$5:$N$1517,N159,$B$5:$B$1517,B159,$C$5:$C$1517,"&lt;"&amp;C159),"")</f>
        <v/>
      </c>
      <c r="T159" s="8" t="n">
        <f aca="false">IF(O159&gt;=Models!$G$8,1+COUNTIF($O$5:$O$1517,"&gt;"&amp;O159)+COUNTIFS($O$5:$O$1517,O159,$B$5:$B$1517,"&lt;"&amp;B159)+COUNTIFS($O$5:$O$1517,O159,$B$5:$B$1517,B159,$C$5:$C$1517,"&lt;"&amp;C159),"")</f>
        <v>590</v>
      </c>
      <c r="U159" s="8" t="n">
        <f aca="false">IF($K159=1,COUNTIFS($L$5:$L$1517,"&gt;="&amp;L159,$K$5:$K$1517,1)/COUNTIF($L$5:$L$1517,"&gt;="&amp;L159),0)</f>
        <v>0.127708095781072</v>
      </c>
      <c r="V159" s="8" t="n">
        <f aca="false">IF($K159=1,COUNTIFS($M$5:$M$1517,"&gt;="&amp;M159,$K$5:$K$1517,1)/COUNTIF($M$5:$M$1517,"&gt;="&amp;M159),0)</f>
        <v>0.12491738268341</v>
      </c>
      <c r="W159" s="8" t="n">
        <f aca="false">IF($K159=1,COUNTIFS($N$5:$N$1517,"&gt;="&amp;N159,$K$5:$K$1517,1)/COUNTIF($N$5:$N$1517,"&gt;="&amp;N159),0)</f>
        <v>0.284697508896797</v>
      </c>
      <c r="X159" s="8" t="n">
        <f aca="false">IF($K159=1,COUNTIFS($O$5:$O$1517,"&gt;="&amp;O159,$K$5:$K$1517,1)/COUNTIF($O$5:$O$1517,"&gt;="&amp;O159),0)</f>
        <v>0.12491738268341</v>
      </c>
      <c r="Y159" s="8" t="n">
        <f aca="false">IF($K159=1,COUNTIFS($P$5:$P$1517,"&gt;="&amp;P159,$K$5:$K$1517,1)/COUNTIF($P$5:$P$1517,"&gt;="&amp;P159),0)</f>
        <v>0.284697508896797</v>
      </c>
      <c r="Z159" s="8" t="n">
        <f aca="false">(L159-$K159)^2</f>
        <v>0.343707822756</v>
      </c>
      <c r="AA159" s="8" t="n">
        <f aca="false">(M159-$K159)^2</f>
        <v>0.824349595969</v>
      </c>
      <c r="AB159" s="8" t="n">
        <f aca="false">(N159-$K159)^2</f>
        <v>0.740176312225</v>
      </c>
      <c r="AC159" s="8" t="n">
        <f aca="false">(O159-$K159)^2</f>
        <v>0.798908829489</v>
      </c>
      <c r="AD159" s="8" t="n">
        <f aca="false">(P159-$K159)^2</f>
        <v>0.722717616384</v>
      </c>
      <c r="AE159" s="8" t="n">
        <f aca="false">MIN(INT(ROUND(N159*1000000,0)/100000),9)</f>
        <v>1</v>
      </c>
      <c r="AF159" s="8" t="n">
        <f aca="false">MIN(INT(ROUND(P159*1000000,0)/100000),9)</f>
        <v>1</v>
      </c>
    </row>
    <row r="160" customFormat="false" ht="15" hidden="false" customHeight="false" outlineLevel="0" collapsed="false">
      <c r="A160" s="4" t="n">
        <v>156</v>
      </c>
      <c r="B160" s="4" t="n">
        <v>768</v>
      </c>
      <c r="C160" s="4" t="n">
        <v>0</v>
      </c>
      <c r="D160" s="11" t="n">
        <v>46054</v>
      </c>
      <c r="E160" s="4" t="s">
        <v>201</v>
      </c>
      <c r="F160" s="4" t="s">
        <v>207</v>
      </c>
      <c r="G160" s="4" t="n">
        <v>17</v>
      </c>
      <c r="H160" s="4" t="n">
        <v>3</v>
      </c>
      <c r="I160" s="4" t="n">
        <v>0</v>
      </c>
      <c r="J160" s="4" t="n">
        <v>22654.2</v>
      </c>
      <c r="K160" s="4" t="n">
        <v>0</v>
      </c>
      <c r="L160" s="12" t="n">
        <v>0.312654</v>
      </c>
      <c r="M160" s="12" t="n">
        <v>0.092063</v>
      </c>
      <c r="N160" s="12" t="n">
        <v>0.011241</v>
      </c>
      <c r="O160" s="12" t="n">
        <v>0.106183</v>
      </c>
      <c r="P160" s="12" t="n">
        <v>0.010762</v>
      </c>
      <c r="Q160" s="0" t="str">
        <f aca="false">IF(L160&gt;=Models!$G$5,1+COUNTIF($L$5:$L$1517,"&gt;"&amp;L160)+COUNTIFS($L$5:$L$1517,L160,$B$5:$B$1517,"&lt;"&amp;B160)+COUNTIFS($L$5:$L$1517,L160,$B$5:$B$1517,B160,$C$5:$C$1517,"&lt;"&amp;C160),"")</f>
        <v/>
      </c>
      <c r="R160" s="0" t="str">
        <f aca="false">IF(M160&gt;=Models!$G$6,1+COUNTIF($M$5:$M$1517,"&gt;"&amp;M160)+COUNTIFS($M$5:$M$1517,M160,$B$5:$B$1517,"&lt;"&amp;B160)+COUNTIFS($M$5:$M$1517,M160,$B$5:$B$1517,B160,$C$5:$C$1517,"&lt;"&amp;C160),"")</f>
        <v/>
      </c>
      <c r="S160" s="0" t="str">
        <f aca="false">IF(N160&gt;=Models!$G$7,1+COUNTIF($N$5:$N$1517,"&gt;"&amp;N160)+COUNTIFS($N$5:$N$1517,N160,$B$5:$B$1517,"&lt;"&amp;B160)+COUNTIFS($N$5:$N$1517,N160,$B$5:$B$1517,B160,$C$5:$C$1517,"&lt;"&amp;C160),"")</f>
        <v/>
      </c>
      <c r="T160" s="8" t="n">
        <f aca="false">IF(O160&gt;=Models!$G$8,1+COUNTIF($O$5:$O$1517,"&gt;"&amp;O160)+COUNTIFS($O$5:$O$1517,O160,$B$5:$B$1517,"&lt;"&amp;B160)+COUNTIFS($O$5:$O$1517,O160,$B$5:$B$1517,B160,$C$5:$C$1517,"&lt;"&amp;C160),"")</f>
        <v>592</v>
      </c>
      <c r="U160" s="8" t="n">
        <f aca="false">IF($K160=1,COUNTIFS($L$5:$L$1517,"&gt;="&amp;L160,$K$5:$K$1517,1)/COUNTIF($L$5:$L$1517,"&gt;="&amp;L160),0)</f>
        <v>0</v>
      </c>
      <c r="V160" s="8" t="n">
        <f aca="false">IF($K160=1,COUNTIFS($M$5:$M$1517,"&gt;="&amp;M160,$K$5:$K$1517,1)/COUNTIF($M$5:$M$1517,"&gt;="&amp;M160),0)</f>
        <v>0</v>
      </c>
      <c r="W160" s="8" t="n">
        <f aca="false">IF($K160=1,COUNTIFS($N$5:$N$1517,"&gt;="&amp;N160,$K$5:$K$1517,1)/COUNTIF($N$5:$N$1517,"&gt;="&amp;N160),0)</f>
        <v>0</v>
      </c>
      <c r="X160" s="8" t="n">
        <f aca="false">IF($K160=1,COUNTIFS($O$5:$O$1517,"&gt;="&amp;O160,$K$5:$K$1517,1)/COUNTIF($O$5:$O$1517,"&gt;="&amp;O160),0)</f>
        <v>0</v>
      </c>
      <c r="Y160" s="8" t="n">
        <f aca="false">IF($K160=1,COUNTIFS($P$5:$P$1517,"&gt;="&amp;P160,$K$5:$K$1517,1)/COUNTIF($P$5:$P$1517,"&gt;="&amp;P160),0)</f>
        <v>0</v>
      </c>
      <c r="Z160" s="8" t="n">
        <f aca="false">(L160-$K160)^2</f>
        <v>0.097752523716</v>
      </c>
      <c r="AA160" s="8" t="n">
        <f aca="false">(M160-$K160)^2</f>
        <v>0.008475595969</v>
      </c>
      <c r="AB160" s="8" t="n">
        <f aca="false">(N160-$K160)^2</f>
        <v>0.000126360081</v>
      </c>
      <c r="AC160" s="8" t="n">
        <f aca="false">(O160-$K160)^2</f>
        <v>0.011274829489</v>
      </c>
      <c r="AD160" s="8" t="n">
        <f aca="false">(P160-$K160)^2</f>
        <v>0.000115820644</v>
      </c>
      <c r="AE160" s="8" t="n">
        <f aca="false">MIN(INT(ROUND(N160*1000000,0)/100000),9)</f>
        <v>0</v>
      </c>
      <c r="AF160" s="8" t="n">
        <f aca="false">MIN(INT(ROUND(P160*1000000,0)/100000),9)</f>
        <v>0</v>
      </c>
    </row>
    <row r="161" customFormat="false" ht="15" hidden="false" customHeight="false" outlineLevel="0" collapsed="false">
      <c r="A161" s="4" t="n">
        <v>157</v>
      </c>
      <c r="B161" s="4" t="n">
        <v>771</v>
      </c>
      <c r="C161" s="4" t="n">
        <v>0</v>
      </c>
      <c r="D161" s="11" t="n">
        <v>46054</v>
      </c>
      <c r="E161" s="4" t="s">
        <v>202</v>
      </c>
      <c r="F161" s="4" t="s">
        <v>209</v>
      </c>
      <c r="G161" s="4" t="n">
        <v>15</v>
      </c>
      <c r="H161" s="4" t="n">
        <v>0</v>
      </c>
      <c r="I161" s="4" t="n">
        <v>0</v>
      </c>
      <c r="J161" s="4" t="n">
        <v>1116</v>
      </c>
      <c r="K161" s="4" t="n">
        <v>0</v>
      </c>
      <c r="L161" s="12" t="n">
        <v>0.496547</v>
      </c>
      <c r="M161" s="12" t="n">
        <v>0.092063</v>
      </c>
      <c r="N161" s="12" t="n">
        <v>0.044331</v>
      </c>
      <c r="O161" s="12" t="n">
        <v>0.106183</v>
      </c>
      <c r="P161" s="12" t="n">
        <v>0.04531</v>
      </c>
      <c r="Q161" s="0" t="str">
        <f aca="false">IF(L161&gt;=Models!$G$5,1+COUNTIF($L$5:$L$1517,"&gt;"&amp;L161)+COUNTIFS($L$5:$L$1517,L161,$B$5:$B$1517,"&lt;"&amp;B161)+COUNTIFS($L$5:$L$1517,L161,$B$5:$B$1517,B161,$C$5:$C$1517,"&lt;"&amp;C161),"")</f>
        <v/>
      </c>
      <c r="R161" s="0" t="str">
        <f aca="false">IF(M161&gt;=Models!$G$6,1+COUNTIF($M$5:$M$1517,"&gt;"&amp;M161)+COUNTIFS($M$5:$M$1517,M161,$B$5:$B$1517,"&lt;"&amp;B161)+COUNTIFS($M$5:$M$1517,M161,$B$5:$B$1517,B161,$C$5:$C$1517,"&lt;"&amp;C161),"")</f>
        <v/>
      </c>
      <c r="S161" s="0" t="str">
        <f aca="false">IF(N161&gt;=Models!$G$7,1+COUNTIF($N$5:$N$1517,"&gt;"&amp;N161)+COUNTIFS($N$5:$N$1517,N161,$B$5:$B$1517,"&lt;"&amp;B161)+COUNTIFS($N$5:$N$1517,N161,$B$5:$B$1517,B161,$C$5:$C$1517,"&lt;"&amp;C161),"")</f>
        <v/>
      </c>
      <c r="T161" s="8" t="n">
        <f aca="false">IF(O161&gt;=Models!$G$8,1+COUNTIF($O$5:$O$1517,"&gt;"&amp;O161)+COUNTIFS($O$5:$O$1517,O161,$B$5:$B$1517,"&lt;"&amp;B161)+COUNTIFS($O$5:$O$1517,O161,$B$5:$B$1517,B161,$C$5:$C$1517,"&lt;"&amp;C161),"")</f>
        <v>596</v>
      </c>
      <c r="U161" s="8" t="n">
        <f aca="false">IF($K161=1,COUNTIFS($L$5:$L$1517,"&gt;="&amp;L161,$K$5:$K$1517,1)/COUNTIF($L$5:$L$1517,"&gt;="&amp;L161),0)</f>
        <v>0</v>
      </c>
      <c r="V161" s="8" t="n">
        <f aca="false">IF($K161=1,COUNTIFS($M$5:$M$1517,"&gt;="&amp;M161,$K$5:$K$1517,1)/COUNTIF($M$5:$M$1517,"&gt;="&amp;M161),0)</f>
        <v>0</v>
      </c>
      <c r="W161" s="8" t="n">
        <f aca="false">IF($K161=1,COUNTIFS($N$5:$N$1517,"&gt;="&amp;N161,$K$5:$K$1517,1)/COUNTIF($N$5:$N$1517,"&gt;="&amp;N161),0)</f>
        <v>0</v>
      </c>
      <c r="X161" s="8" t="n">
        <f aca="false">IF($K161=1,COUNTIFS($O$5:$O$1517,"&gt;="&amp;O161,$K$5:$K$1517,1)/COUNTIF($O$5:$O$1517,"&gt;="&amp;O161),0)</f>
        <v>0</v>
      </c>
      <c r="Y161" s="8" t="n">
        <f aca="false">IF($K161=1,COUNTIFS($P$5:$P$1517,"&gt;="&amp;P161,$K$5:$K$1517,1)/COUNTIF($P$5:$P$1517,"&gt;="&amp;P161),0)</f>
        <v>0</v>
      </c>
      <c r="Z161" s="8" t="n">
        <f aca="false">(L161-$K161)^2</f>
        <v>0.246558923209</v>
      </c>
      <c r="AA161" s="8" t="n">
        <f aca="false">(M161-$K161)^2</f>
        <v>0.008475595969</v>
      </c>
      <c r="AB161" s="8" t="n">
        <f aca="false">(N161-$K161)^2</f>
        <v>0.001965237561</v>
      </c>
      <c r="AC161" s="8" t="n">
        <f aca="false">(O161-$K161)^2</f>
        <v>0.011274829489</v>
      </c>
      <c r="AD161" s="8" t="n">
        <f aca="false">(P161-$K161)^2</f>
        <v>0.0020529961</v>
      </c>
      <c r="AE161" s="8" t="n">
        <f aca="false">MIN(INT(ROUND(N161*1000000,0)/100000),9)</f>
        <v>0</v>
      </c>
      <c r="AF161" s="8" t="n">
        <f aca="false">MIN(INT(ROUND(P161*1000000,0)/100000),9)</f>
        <v>0</v>
      </c>
    </row>
    <row r="162" customFormat="false" ht="15" hidden="false" customHeight="false" outlineLevel="0" collapsed="false">
      <c r="A162" s="4" t="n">
        <v>158</v>
      </c>
      <c r="B162" s="4" t="n">
        <v>773</v>
      </c>
      <c r="C162" s="4" t="n">
        <v>0</v>
      </c>
      <c r="D162" s="11" t="n">
        <v>46054</v>
      </c>
      <c r="E162" s="4" t="s">
        <v>204</v>
      </c>
      <c r="F162" s="4" t="s">
        <v>209</v>
      </c>
      <c r="G162" s="4" t="n">
        <v>4</v>
      </c>
      <c r="H162" s="4" t="n">
        <v>10</v>
      </c>
      <c r="I162" s="4" t="n">
        <v>0</v>
      </c>
      <c r="J162" s="4" t="n">
        <v>66</v>
      </c>
      <c r="K162" s="4" t="n">
        <v>1</v>
      </c>
      <c r="L162" s="12" t="n">
        <v>0.782111</v>
      </c>
      <c r="M162" s="12" t="n">
        <v>0.092063</v>
      </c>
      <c r="N162" s="12" t="n">
        <v>0.125878</v>
      </c>
      <c r="O162" s="12" t="n">
        <v>0.106183</v>
      </c>
      <c r="P162" s="12" t="n">
        <v>0.13457</v>
      </c>
      <c r="Q162" s="0" t="str">
        <f aca="false">IF(L162&gt;=Models!$G$5,1+COUNTIF($L$5:$L$1517,"&gt;"&amp;L162)+COUNTIFS($L$5:$L$1517,L162,$B$5:$B$1517,"&lt;"&amp;B162)+COUNTIFS($L$5:$L$1517,L162,$B$5:$B$1517,B162,$C$5:$C$1517,"&lt;"&amp;C162),"")</f>
        <v/>
      </c>
      <c r="R162" s="0" t="str">
        <f aca="false">IF(M162&gt;=Models!$G$6,1+COUNTIF($M$5:$M$1517,"&gt;"&amp;M162)+COUNTIFS($M$5:$M$1517,M162,$B$5:$B$1517,"&lt;"&amp;B162)+COUNTIFS($M$5:$M$1517,M162,$B$5:$B$1517,B162,$C$5:$C$1517,"&lt;"&amp;C162),"")</f>
        <v/>
      </c>
      <c r="S162" s="0" t="str">
        <f aca="false">IF(N162&gt;=Models!$G$7,1+COUNTIF($N$5:$N$1517,"&gt;"&amp;N162)+COUNTIFS($N$5:$N$1517,N162,$B$5:$B$1517,"&lt;"&amp;B162)+COUNTIFS($N$5:$N$1517,N162,$B$5:$B$1517,B162,$C$5:$C$1517,"&lt;"&amp;C162),"")</f>
        <v/>
      </c>
      <c r="T162" s="8" t="n">
        <f aca="false">IF(O162&gt;=Models!$G$8,1+COUNTIF($O$5:$O$1517,"&gt;"&amp;O162)+COUNTIFS($O$5:$O$1517,O162,$B$5:$B$1517,"&lt;"&amp;B162)+COUNTIFS($O$5:$O$1517,O162,$B$5:$B$1517,B162,$C$5:$C$1517,"&lt;"&amp;C162),"")</f>
        <v>600</v>
      </c>
      <c r="U162" s="8" t="n">
        <f aca="false">IF($K162=1,COUNTIFS($L$5:$L$1517,"&gt;="&amp;L162,$K$5:$K$1517,1)/COUNTIF($L$5:$L$1517,"&gt;="&amp;L162),0)</f>
        <v>0.136942675159236</v>
      </c>
      <c r="V162" s="8" t="n">
        <f aca="false">IF($K162=1,COUNTIFS($M$5:$M$1517,"&gt;="&amp;M162,$K$5:$K$1517,1)/COUNTIF($M$5:$M$1517,"&gt;="&amp;M162),0)</f>
        <v>0.12491738268341</v>
      </c>
      <c r="W162" s="8" t="n">
        <f aca="false">IF($K162=1,COUNTIFS($N$5:$N$1517,"&gt;="&amp;N162,$K$5:$K$1517,1)/COUNTIF($N$5:$N$1517,"&gt;="&amp;N162),0)</f>
        <v>0.235732009925558</v>
      </c>
      <c r="X162" s="8" t="n">
        <f aca="false">IF($K162=1,COUNTIFS($O$5:$O$1517,"&gt;="&amp;O162,$K$5:$K$1517,1)/COUNTIF($O$5:$O$1517,"&gt;="&amp;O162),0)</f>
        <v>0.12491738268341</v>
      </c>
      <c r="Y162" s="8" t="n">
        <f aca="false">IF($K162=1,COUNTIFS($P$5:$P$1517,"&gt;="&amp;P162,$K$5:$K$1517,1)/COUNTIF($P$5:$P$1517,"&gt;="&amp;P162),0)</f>
        <v>0.235732009925558</v>
      </c>
      <c r="Z162" s="8" t="n">
        <f aca="false">(L162-$K162)^2</f>
        <v>0.047475616321</v>
      </c>
      <c r="AA162" s="8" t="n">
        <f aca="false">(M162-$K162)^2</f>
        <v>0.824349595969</v>
      </c>
      <c r="AB162" s="8" t="n">
        <f aca="false">(N162-$K162)^2</f>
        <v>0.764089270884</v>
      </c>
      <c r="AC162" s="8" t="n">
        <f aca="false">(O162-$K162)^2</f>
        <v>0.798908829489</v>
      </c>
      <c r="AD162" s="8" t="n">
        <f aca="false">(P162-$K162)^2</f>
        <v>0.7489690849</v>
      </c>
      <c r="AE162" s="8" t="n">
        <f aca="false">MIN(INT(ROUND(N162*1000000,0)/100000),9)</f>
        <v>1</v>
      </c>
      <c r="AF162" s="8" t="n">
        <f aca="false">MIN(INT(ROUND(P162*1000000,0)/100000),9)</f>
        <v>1</v>
      </c>
    </row>
    <row r="163" customFormat="false" ht="15" hidden="false" customHeight="false" outlineLevel="0" collapsed="false">
      <c r="A163" s="4" t="n">
        <v>159</v>
      </c>
      <c r="B163" s="4" t="n">
        <v>774</v>
      </c>
      <c r="C163" s="4" t="n">
        <v>0</v>
      </c>
      <c r="D163" s="11" t="n">
        <v>46054</v>
      </c>
      <c r="E163" s="4" t="s">
        <v>201</v>
      </c>
      <c r="F163" s="4" t="s">
        <v>207</v>
      </c>
      <c r="G163" s="4" t="n">
        <v>6</v>
      </c>
      <c r="H163" s="4" t="n">
        <v>0</v>
      </c>
      <c r="I163" s="4" t="n">
        <v>0</v>
      </c>
      <c r="J163" s="4" t="n">
        <v>29049.6</v>
      </c>
      <c r="K163" s="4" t="n">
        <v>0</v>
      </c>
      <c r="L163" s="12" t="n">
        <v>0.973254</v>
      </c>
      <c r="M163" s="12" t="n">
        <v>0.092063</v>
      </c>
      <c r="N163" s="12" t="n">
        <v>0.020175</v>
      </c>
      <c r="O163" s="12" t="n">
        <v>0.106183</v>
      </c>
      <c r="P163" s="12" t="n">
        <v>0.019866</v>
      </c>
      <c r="Q163" s="0" t="str">
        <f aca="false">IF(L163&gt;=Models!$G$5,1+COUNTIF($L$5:$L$1517,"&gt;"&amp;L163)+COUNTIFS($L$5:$L$1517,L163,$B$5:$B$1517,"&lt;"&amp;B163)+COUNTIFS($L$5:$L$1517,L163,$B$5:$B$1517,B163,$C$5:$C$1517,"&lt;"&amp;C163),"")</f>
        <v/>
      </c>
      <c r="R163" s="0" t="str">
        <f aca="false">IF(M163&gt;=Models!$G$6,1+COUNTIF($M$5:$M$1517,"&gt;"&amp;M163)+COUNTIFS($M$5:$M$1517,M163,$B$5:$B$1517,"&lt;"&amp;B163)+COUNTIFS($M$5:$M$1517,M163,$B$5:$B$1517,B163,$C$5:$C$1517,"&lt;"&amp;C163),"")</f>
        <v/>
      </c>
      <c r="S163" s="0" t="str">
        <f aca="false">IF(N163&gt;=Models!$G$7,1+COUNTIF($N$5:$N$1517,"&gt;"&amp;N163)+COUNTIFS($N$5:$N$1517,N163,$B$5:$B$1517,"&lt;"&amp;B163)+COUNTIFS($N$5:$N$1517,N163,$B$5:$B$1517,B163,$C$5:$C$1517,"&lt;"&amp;C163),"")</f>
        <v/>
      </c>
      <c r="T163" s="8" t="n">
        <f aca="false">IF(O163&gt;=Models!$G$8,1+COUNTIF($O$5:$O$1517,"&gt;"&amp;O163)+COUNTIFS($O$5:$O$1517,O163,$B$5:$B$1517,"&lt;"&amp;B163)+COUNTIFS($O$5:$O$1517,O163,$B$5:$B$1517,B163,$C$5:$C$1517,"&lt;"&amp;C163),"")</f>
        <v>601</v>
      </c>
      <c r="U163" s="8" t="n">
        <f aca="false">IF($K163=1,COUNTIFS($L$5:$L$1517,"&gt;="&amp;L163,$K$5:$K$1517,1)/COUNTIF($L$5:$L$1517,"&gt;="&amp;L163),0)</f>
        <v>0</v>
      </c>
      <c r="V163" s="8" t="n">
        <f aca="false">IF($K163=1,COUNTIFS($M$5:$M$1517,"&gt;="&amp;M163,$K$5:$K$1517,1)/COUNTIF($M$5:$M$1517,"&gt;="&amp;M163),0)</f>
        <v>0</v>
      </c>
      <c r="W163" s="8" t="n">
        <f aca="false">IF($K163=1,COUNTIFS($N$5:$N$1517,"&gt;="&amp;N163,$K$5:$K$1517,1)/COUNTIF($N$5:$N$1517,"&gt;="&amp;N163),0)</f>
        <v>0</v>
      </c>
      <c r="X163" s="8" t="n">
        <f aca="false">IF($K163=1,COUNTIFS($O$5:$O$1517,"&gt;="&amp;O163,$K$5:$K$1517,1)/COUNTIF($O$5:$O$1517,"&gt;="&amp;O163),0)</f>
        <v>0</v>
      </c>
      <c r="Y163" s="8" t="n">
        <f aca="false">IF($K163=1,COUNTIFS($P$5:$P$1517,"&gt;="&amp;P163,$K$5:$K$1517,1)/COUNTIF($P$5:$P$1517,"&gt;="&amp;P163),0)</f>
        <v>0</v>
      </c>
      <c r="Z163" s="8" t="n">
        <f aca="false">(L163-$K163)^2</f>
        <v>0.947223348516</v>
      </c>
      <c r="AA163" s="8" t="n">
        <f aca="false">(M163-$K163)^2</f>
        <v>0.008475595969</v>
      </c>
      <c r="AB163" s="8" t="n">
        <f aca="false">(N163-$K163)^2</f>
        <v>0.000407030625</v>
      </c>
      <c r="AC163" s="8" t="n">
        <f aca="false">(O163-$K163)^2</f>
        <v>0.011274829489</v>
      </c>
      <c r="AD163" s="8" t="n">
        <f aca="false">(P163-$K163)^2</f>
        <v>0.000394657956</v>
      </c>
      <c r="AE163" s="8" t="n">
        <f aca="false">MIN(INT(ROUND(N163*1000000,0)/100000),9)</f>
        <v>0</v>
      </c>
      <c r="AF163" s="8" t="n">
        <f aca="false">MIN(INT(ROUND(P163*1000000,0)/100000),9)</f>
        <v>0</v>
      </c>
    </row>
    <row r="164" customFormat="false" ht="15" hidden="false" customHeight="false" outlineLevel="0" collapsed="false">
      <c r="A164" s="4" t="n">
        <v>160</v>
      </c>
      <c r="B164" s="4" t="n">
        <v>775</v>
      </c>
      <c r="C164" s="4" t="n">
        <v>0</v>
      </c>
      <c r="D164" s="11" t="n">
        <v>46054</v>
      </c>
      <c r="E164" s="4" t="s">
        <v>203</v>
      </c>
      <c r="F164" s="4" t="s">
        <v>206</v>
      </c>
      <c r="G164" s="4" t="n">
        <v>3</v>
      </c>
      <c r="H164" s="4" t="n">
        <v>6</v>
      </c>
      <c r="I164" s="4" t="n">
        <v>0</v>
      </c>
      <c r="J164" s="4" t="n">
        <v>220.5</v>
      </c>
      <c r="K164" s="4" t="n">
        <v>0</v>
      </c>
      <c r="L164" s="12" t="n">
        <v>0.67015</v>
      </c>
      <c r="M164" s="12" t="n">
        <v>0.092063</v>
      </c>
      <c r="N164" s="12" t="n">
        <v>0.131282</v>
      </c>
      <c r="O164" s="12" t="n">
        <v>0.106183</v>
      </c>
      <c r="P164" s="12" t="n">
        <v>0.140565</v>
      </c>
      <c r="Q164" s="0" t="str">
        <f aca="false">IF(L164&gt;=Models!$G$5,1+COUNTIF($L$5:$L$1517,"&gt;"&amp;L164)+COUNTIFS($L$5:$L$1517,L164,$B$5:$B$1517,"&lt;"&amp;B164)+COUNTIFS($L$5:$L$1517,L164,$B$5:$B$1517,B164,$C$5:$C$1517,"&lt;"&amp;C164),"")</f>
        <v/>
      </c>
      <c r="R164" s="0" t="str">
        <f aca="false">IF(M164&gt;=Models!$G$6,1+COUNTIF($M$5:$M$1517,"&gt;"&amp;M164)+COUNTIFS($M$5:$M$1517,M164,$B$5:$B$1517,"&lt;"&amp;B164)+COUNTIFS($M$5:$M$1517,M164,$B$5:$B$1517,B164,$C$5:$C$1517,"&lt;"&amp;C164),"")</f>
        <v/>
      </c>
      <c r="S164" s="0" t="str">
        <f aca="false">IF(N164&gt;=Models!$G$7,1+COUNTIF($N$5:$N$1517,"&gt;"&amp;N164)+COUNTIFS($N$5:$N$1517,N164,$B$5:$B$1517,"&lt;"&amp;B164)+COUNTIFS($N$5:$N$1517,N164,$B$5:$B$1517,B164,$C$5:$C$1517,"&lt;"&amp;C164),"")</f>
        <v/>
      </c>
      <c r="T164" s="8" t="n">
        <f aca="false">IF(O164&gt;=Models!$G$8,1+COUNTIF($O$5:$O$1517,"&gt;"&amp;O164)+COUNTIFS($O$5:$O$1517,O164,$B$5:$B$1517,"&lt;"&amp;B164)+COUNTIFS($O$5:$O$1517,O164,$B$5:$B$1517,B164,$C$5:$C$1517,"&lt;"&amp;C164),"")</f>
        <v>605</v>
      </c>
      <c r="U164" s="8" t="n">
        <f aca="false">IF($K164=1,COUNTIFS($L$5:$L$1517,"&gt;="&amp;L164,$K$5:$K$1517,1)/COUNTIF($L$5:$L$1517,"&gt;="&amp;L164),0)</f>
        <v>0</v>
      </c>
      <c r="V164" s="8" t="n">
        <f aca="false">IF($K164=1,COUNTIFS($M$5:$M$1517,"&gt;="&amp;M164,$K$5:$K$1517,1)/COUNTIF($M$5:$M$1517,"&gt;="&amp;M164),0)</f>
        <v>0</v>
      </c>
      <c r="W164" s="8" t="n">
        <f aca="false">IF($K164=1,COUNTIFS($N$5:$N$1517,"&gt;="&amp;N164,$K$5:$K$1517,1)/COUNTIF($N$5:$N$1517,"&gt;="&amp;N164),0)</f>
        <v>0</v>
      </c>
      <c r="X164" s="8" t="n">
        <f aca="false">IF($K164=1,COUNTIFS($O$5:$O$1517,"&gt;="&amp;O164,$K$5:$K$1517,1)/COUNTIF($O$5:$O$1517,"&gt;="&amp;O164),0)</f>
        <v>0</v>
      </c>
      <c r="Y164" s="8" t="n">
        <f aca="false">IF($K164=1,COUNTIFS($P$5:$P$1517,"&gt;="&amp;P164,$K$5:$K$1517,1)/COUNTIF($P$5:$P$1517,"&gt;="&amp;P164),0)</f>
        <v>0</v>
      </c>
      <c r="Z164" s="8" t="n">
        <f aca="false">(L164-$K164)^2</f>
        <v>0.4491010225</v>
      </c>
      <c r="AA164" s="8" t="n">
        <f aca="false">(M164-$K164)^2</f>
        <v>0.008475595969</v>
      </c>
      <c r="AB164" s="8" t="n">
        <f aca="false">(N164-$K164)^2</f>
        <v>0.017234963524</v>
      </c>
      <c r="AC164" s="8" t="n">
        <f aca="false">(O164-$K164)^2</f>
        <v>0.011274829489</v>
      </c>
      <c r="AD164" s="8" t="n">
        <f aca="false">(P164-$K164)^2</f>
        <v>0.019758519225</v>
      </c>
      <c r="AE164" s="8" t="n">
        <f aca="false">MIN(INT(ROUND(N164*1000000,0)/100000),9)</f>
        <v>1</v>
      </c>
      <c r="AF164" s="8" t="n">
        <f aca="false">MIN(INT(ROUND(P164*1000000,0)/100000),9)</f>
        <v>1</v>
      </c>
    </row>
    <row r="165" customFormat="false" ht="15" hidden="false" customHeight="false" outlineLevel="0" collapsed="false">
      <c r="A165" s="4" t="n">
        <v>161</v>
      </c>
      <c r="B165" s="4" t="n">
        <v>784</v>
      </c>
      <c r="C165" s="4" t="n">
        <v>0</v>
      </c>
      <c r="D165" s="11" t="n">
        <v>46054</v>
      </c>
      <c r="E165" s="4" t="s">
        <v>204</v>
      </c>
      <c r="F165" s="4" t="s">
        <v>209</v>
      </c>
      <c r="G165" s="4" t="n">
        <v>4</v>
      </c>
      <c r="H165" s="4" t="n">
        <v>4</v>
      </c>
      <c r="I165" s="4" t="n">
        <v>1</v>
      </c>
      <c r="J165" s="4" t="n">
        <v>102</v>
      </c>
      <c r="K165" s="4" t="n">
        <v>0</v>
      </c>
      <c r="L165" s="12" t="n">
        <v>0.44584</v>
      </c>
      <c r="M165" s="12" t="n">
        <v>0.184211</v>
      </c>
      <c r="N165" s="12" t="n">
        <v>0.198908</v>
      </c>
      <c r="O165" s="12" t="n">
        <v>0.106183</v>
      </c>
      <c r="P165" s="12" t="n">
        <v>0.215777</v>
      </c>
      <c r="Q165" s="0" t="str">
        <f aca="false">IF(L165&gt;=Models!$G$5,1+COUNTIF($L$5:$L$1517,"&gt;"&amp;L165)+COUNTIFS($L$5:$L$1517,L165,$B$5:$B$1517,"&lt;"&amp;B165)+COUNTIFS($L$5:$L$1517,L165,$B$5:$B$1517,B165,$C$5:$C$1517,"&lt;"&amp;C165),"")</f>
        <v/>
      </c>
      <c r="R165" s="8" t="n">
        <f aca="false">IF(M165&gt;=Models!$G$6,1+COUNTIF($M$5:$M$1517,"&gt;"&amp;M165)+COUNTIFS($M$5:$M$1517,M165,$B$5:$B$1517,"&lt;"&amp;B165)+COUNTIFS($M$5:$M$1517,M165,$B$5:$B$1517,B165,$C$5:$C$1517,"&lt;"&amp;C165),"")</f>
        <v>65</v>
      </c>
      <c r="S165" s="0" t="str">
        <f aca="false">IF(N165&gt;=Models!$G$7,1+COUNTIF($N$5:$N$1517,"&gt;"&amp;N165)+COUNTIFS($N$5:$N$1517,N165,$B$5:$B$1517,"&lt;"&amp;B165)+COUNTIFS($N$5:$N$1517,N165,$B$5:$B$1517,B165,$C$5:$C$1517,"&lt;"&amp;C165),"")</f>
        <v/>
      </c>
      <c r="T165" s="8" t="n">
        <f aca="false">IF(O165&gt;=Models!$G$8,1+COUNTIF($O$5:$O$1517,"&gt;"&amp;O165)+COUNTIFS($O$5:$O$1517,O165,$B$5:$B$1517,"&lt;"&amp;B165)+COUNTIFS($O$5:$O$1517,O165,$B$5:$B$1517,B165,$C$5:$C$1517,"&lt;"&amp;C165),"")</f>
        <v>609</v>
      </c>
      <c r="U165" s="8" t="n">
        <f aca="false">IF($K165=1,COUNTIFS($L$5:$L$1517,"&gt;="&amp;L165,$K$5:$K$1517,1)/COUNTIF($L$5:$L$1517,"&gt;="&amp;L165),0)</f>
        <v>0</v>
      </c>
      <c r="V165" s="8" t="n">
        <f aca="false">IF($K165=1,COUNTIFS($M$5:$M$1517,"&gt;="&amp;M165,$K$5:$K$1517,1)/COUNTIF($M$5:$M$1517,"&gt;="&amp;M165),0)</f>
        <v>0</v>
      </c>
      <c r="W165" s="8" t="n">
        <f aca="false">IF($K165=1,COUNTIFS($N$5:$N$1517,"&gt;="&amp;N165,$K$5:$K$1517,1)/COUNTIF($N$5:$N$1517,"&gt;="&amp;N165),0)</f>
        <v>0</v>
      </c>
      <c r="X165" s="8" t="n">
        <f aca="false">IF($K165=1,COUNTIFS($O$5:$O$1517,"&gt;="&amp;O165,$K$5:$K$1517,1)/COUNTIF($O$5:$O$1517,"&gt;="&amp;O165),0)</f>
        <v>0</v>
      </c>
      <c r="Y165" s="8" t="n">
        <f aca="false">IF($K165=1,COUNTIFS($P$5:$P$1517,"&gt;="&amp;P165,$K$5:$K$1517,1)/COUNTIF($P$5:$P$1517,"&gt;="&amp;P165),0)</f>
        <v>0</v>
      </c>
      <c r="Z165" s="8" t="n">
        <f aca="false">(L165-$K165)^2</f>
        <v>0.1987733056</v>
      </c>
      <c r="AA165" s="8" t="n">
        <f aca="false">(M165-$K165)^2</f>
        <v>0.033933692521</v>
      </c>
      <c r="AB165" s="8" t="n">
        <f aca="false">(N165-$K165)^2</f>
        <v>0.039564392464</v>
      </c>
      <c r="AC165" s="8" t="n">
        <f aca="false">(O165-$K165)^2</f>
        <v>0.011274829489</v>
      </c>
      <c r="AD165" s="8" t="n">
        <f aca="false">(P165-$K165)^2</f>
        <v>0.046559713729</v>
      </c>
      <c r="AE165" s="8" t="n">
        <f aca="false">MIN(INT(ROUND(N165*1000000,0)/100000),9)</f>
        <v>1</v>
      </c>
      <c r="AF165" s="8" t="n">
        <f aca="false">MIN(INT(ROUND(P165*1000000,0)/100000),9)</f>
        <v>2</v>
      </c>
    </row>
    <row r="166" customFormat="false" ht="15" hidden="false" customHeight="false" outlineLevel="0" collapsed="false">
      <c r="A166" s="4" t="n">
        <v>162</v>
      </c>
      <c r="B166" s="4" t="n">
        <v>791</v>
      </c>
      <c r="C166" s="4" t="n">
        <v>0</v>
      </c>
      <c r="D166" s="11" t="n">
        <v>46054</v>
      </c>
      <c r="E166" s="4" t="s">
        <v>204</v>
      </c>
      <c r="F166" s="4" t="s">
        <v>209</v>
      </c>
      <c r="G166" s="4" t="n">
        <v>5</v>
      </c>
      <c r="H166" s="4" t="n">
        <v>4</v>
      </c>
      <c r="I166" s="4" t="n">
        <v>0</v>
      </c>
      <c r="J166" s="4" t="n">
        <v>57</v>
      </c>
      <c r="K166" s="4" t="n">
        <v>0</v>
      </c>
      <c r="L166" s="12" t="n">
        <v>0.089881</v>
      </c>
      <c r="M166" s="12" t="n">
        <v>0.092063</v>
      </c>
      <c r="N166" s="12" t="n">
        <v>0.111397</v>
      </c>
      <c r="O166" s="12" t="n">
        <v>0.106183</v>
      </c>
      <c r="P166" s="12" t="n">
        <v>0.118535</v>
      </c>
      <c r="Q166" s="0" t="str">
        <f aca="false">IF(L166&gt;=Models!$G$5,1+COUNTIF($L$5:$L$1517,"&gt;"&amp;L166)+COUNTIFS($L$5:$L$1517,L166,$B$5:$B$1517,"&lt;"&amp;B166)+COUNTIFS($L$5:$L$1517,L166,$B$5:$B$1517,B166,$C$5:$C$1517,"&lt;"&amp;C166),"")</f>
        <v/>
      </c>
      <c r="R166" s="0" t="str">
        <f aca="false">IF(M166&gt;=Models!$G$6,1+COUNTIF($M$5:$M$1517,"&gt;"&amp;M166)+COUNTIFS($M$5:$M$1517,M166,$B$5:$B$1517,"&lt;"&amp;B166)+COUNTIFS($M$5:$M$1517,M166,$B$5:$B$1517,B166,$C$5:$C$1517,"&lt;"&amp;C166),"")</f>
        <v/>
      </c>
      <c r="S166" s="0" t="str">
        <f aca="false">IF(N166&gt;=Models!$G$7,1+COUNTIF($N$5:$N$1517,"&gt;"&amp;N166)+COUNTIFS($N$5:$N$1517,N166,$B$5:$B$1517,"&lt;"&amp;B166)+COUNTIFS($N$5:$N$1517,N166,$B$5:$B$1517,B166,$C$5:$C$1517,"&lt;"&amp;C166),"")</f>
        <v/>
      </c>
      <c r="T166" s="8" t="n">
        <f aca="false">IF(O166&gt;=Models!$G$8,1+COUNTIF($O$5:$O$1517,"&gt;"&amp;O166)+COUNTIFS($O$5:$O$1517,O166,$B$5:$B$1517,"&lt;"&amp;B166)+COUNTIFS($O$5:$O$1517,O166,$B$5:$B$1517,B166,$C$5:$C$1517,"&lt;"&amp;C166),"")</f>
        <v>613</v>
      </c>
      <c r="U166" s="8" t="n">
        <f aca="false">IF($K166=1,COUNTIFS($L$5:$L$1517,"&gt;="&amp;L166,$K$5:$K$1517,1)/COUNTIF($L$5:$L$1517,"&gt;="&amp;L166),0)</f>
        <v>0</v>
      </c>
      <c r="V166" s="8" t="n">
        <f aca="false">IF($K166=1,COUNTIFS($M$5:$M$1517,"&gt;="&amp;M166,$K$5:$K$1517,1)/COUNTIF($M$5:$M$1517,"&gt;="&amp;M166),0)</f>
        <v>0</v>
      </c>
      <c r="W166" s="8" t="n">
        <f aca="false">IF($K166=1,COUNTIFS($N$5:$N$1517,"&gt;="&amp;N166,$K$5:$K$1517,1)/COUNTIF($N$5:$N$1517,"&gt;="&amp;N166),0)</f>
        <v>0</v>
      </c>
      <c r="X166" s="8" t="n">
        <f aca="false">IF($K166=1,COUNTIFS($O$5:$O$1517,"&gt;="&amp;O166,$K$5:$K$1517,1)/COUNTIF($O$5:$O$1517,"&gt;="&amp;O166),0)</f>
        <v>0</v>
      </c>
      <c r="Y166" s="8" t="n">
        <f aca="false">IF($K166=1,COUNTIFS($P$5:$P$1517,"&gt;="&amp;P166,$K$5:$K$1517,1)/COUNTIF($P$5:$P$1517,"&gt;="&amp;P166),0)</f>
        <v>0</v>
      </c>
      <c r="Z166" s="8" t="n">
        <f aca="false">(L166-$K166)^2</f>
        <v>0.008078594161</v>
      </c>
      <c r="AA166" s="8" t="n">
        <f aca="false">(M166-$K166)^2</f>
        <v>0.008475595969</v>
      </c>
      <c r="AB166" s="8" t="n">
        <f aca="false">(N166-$K166)^2</f>
        <v>0.012409291609</v>
      </c>
      <c r="AC166" s="8" t="n">
        <f aca="false">(O166-$K166)^2</f>
        <v>0.011274829489</v>
      </c>
      <c r="AD166" s="8" t="n">
        <f aca="false">(P166-$K166)^2</f>
        <v>0.014050546225</v>
      </c>
      <c r="AE166" s="8" t="n">
        <f aca="false">MIN(INT(ROUND(N166*1000000,0)/100000),9)</f>
        <v>1</v>
      </c>
      <c r="AF166" s="8" t="n">
        <f aca="false">MIN(INT(ROUND(P166*1000000,0)/100000),9)</f>
        <v>1</v>
      </c>
    </row>
    <row r="167" customFormat="false" ht="15" hidden="false" customHeight="false" outlineLevel="0" collapsed="false">
      <c r="A167" s="4" t="n">
        <v>163</v>
      </c>
      <c r="B167" s="4" t="n">
        <v>793</v>
      </c>
      <c r="C167" s="4" t="n">
        <v>0</v>
      </c>
      <c r="D167" s="11" t="n">
        <v>46054</v>
      </c>
      <c r="E167" s="4" t="s">
        <v>204</v>
      </c>
      <c r="F167" s="4" t="s">
        <v>206</v>
      </c>
      <c r="G167" s="4" t="n">
        <v>1</v>
      </c>
      <c r="H167" s="4" t="n">
        <v>27</v>
      </c>
      <c r="I167" s="4" t="n">
        <v>0</v>
      </c>
      <c r="J167" s="4" t="n">
        <v>96</v>
      </c>
      <c r="K167" s="4" t="n">
        <v>0</v>
      </c>
      <c r="L167" s="12" t="n">
        <v>0.197661</v>
      </c>
      <c r="M167" s="12" t="n">
        <v>0.092063</v>
      </c>
      <c r="N167" s="12" t="n">
        <v>0.17794</v>
      </c>
      <c r="O167" s="12" t="n">
        <v>0.106183</v>
      </c>
      <c r="P167" s="12" t="n">
        <v>0.192443</v>
      </c>
      <c r="Q167" s="0" t="str">
        <f aca="false">IF(L167&gt;=Models!$G$5,1+COUNTIF($L$5:$L$1517,"&gt;"&amp;L167)+COUNTIFS($L$5:$L$1517,L167,$B$5:$B$1517,"&lt;"&amp;B167)+COUNTIFS($L$5:$L$1517,L167,$B$5:$B$1517,B167,$C$5:$C$1517,"&lt;"&amp;C167),"")</f>
        <v/>
      </c>
      <c r="R167" s="0" t="str">
        <f aca="false">IF(M167&gt;=Models!$G$6,1+COUNTIF($M$5:$M$1517,"&gt;"&amp;M167)+COUNTIFS($M$5:$M$1517,M167,$B$5:$B$1517,"&lt;"&amp;B167)+COUNTIFS($M$5:$M$1517,M167,$B$5:$B$1517,B167,$C$5:$C$1517,"&lt;"&amp;C167),"")</f>
        <v/>
      </c>
      <c r="S167" s="0" t="str">
        <f aca="false">IF(N167&gt;=Models!$G$7,1+COUNTIF($N$5:$N$1517,"&gt;"&amp;N167)+COUNTIFS($N$5:$N$1517,N167,$B$5:$B$1517,"&lt;"&amp;B167)+COUNTIFS($N$5:$N$1517,N167,$B$5:$B$1517,B167,$C$5:$C$1517,"&lt;"&amp;C167),"")</f>
        <v/>
      </c>
      <c r="T167" s="8" t="n">
        <f aca="false">IF(O167&gt;=Models!$G$8,1+COUNTIF($O$5:$O$1517,"&gt;"&amp;O167)+COUNTIFS($O$5:$O$1517,O167,$B$5:$B$1517,"&lt;"&amp;B167)+COUNTIFS($O$5:$O$1517,O167,$B$5:$B$1517,B167,$C$5:$C$1517,"&lt;"&amp;C167),"")</f>
        <v>617</v>
      </c>
      <c r="U167" s="8" t="n">
        <f aca="false">IF($K167=1,COUNTIFS($L$5:$L$1517,"&gt;="&amp;L167,$K$5:$K$1517,1)/COUNTIF($L$5:$L$1517,"&gt;="&amp;L167),0)</f>
        <v>0</v>
      </c>
      <c r="V167" s="8" t="n">
        <f aca="false">IF($K167=1,COUNTIFS($M$5:$M$1517,"&gt;="&amp;M167,$K$5:$K$1517,1)/COUNTIF($M$5:$M$1517,"&gt;="&amp;M167),0)</f>
        <v>0</v>
      </c>
      <c r="W167" s="8" t="n">
        <f aca="false">IF($K167=1,COUNTIFS($N$5:$N$1517,"&gt;="&amp;N167,$K$5:$K$1517,1)/COUNTIF($N$5:$N$1517,"&gt;="&amp;N167),0)</f>
        <v>0</v>
      </c>
      <c r="X167" s="8" t="n">
        <f aca="false">IF($K167=1,COUNTIFS($O$5:$O$1517,"&gt;="&amp;O167,$K$5:$K$1517,1)/COUNTIF($O$5:$O$1517,"&gt;="&amp;O167),0)</f>
        <v>0</v>
      </c>
      <c r="Y167" s="8" t="n">
        <f aca="false">IF($K167=1,COUNTIFS($P$5:$P$1517,"&gt;="&amp;P167,$K$5:$K$1517,1)/COUNTIF($P$5:$P$1517,"&gt;="&amp;P167),0)</f>
        <v>0</v>
      </c>
      <c r="Z167" s="8" t="n">
        <f aca="false">(L167-$K167)^2</f>
        <v>0.039069870921</v>
      </c>
      <c r="AA167" s="8" t="n">
        <f aca="false">(M167-$K167)^2</f>
        <v>0.008475595969</v>
      </c>
      <c r="AB167" s="8" t="n">
        <f aca="false">(N167-$K167)^2</f>
        <v>0.0316626436</v>
      </c>
      <c r="AC167" s="8" t="n">
        <f aca="false">(O167-$K167)^2</f>
        <v>0.011274829489</v>
      </c>
      <c r="AD167" s="8" t="n">
        <f aca="false">(P167-$K167)^2</f>
        <v>0.037034308249</v>
      </c>
      <c r="AE167" s="8" t="n">
        <f aca="false">MIN(INT(ROUND(N167*1000000,0)/100000),9)</f>
        <v>1</v>
      </c>
      <c r="AF167" s="8" t="n">
        <f aca="false">MIN(INT(ROUND(P167*1000000,0)/100000),9)</f>
        <v>1</v>
      </c>
    </row>
    <row r="168" customFormat="false" ht="15" hidden="false" customHeight="false" outlineLevel="0" collapsed="false">
      <c r="A168" s="4" t="n">
        <v>164</v>
      </c>
      <c r="B168" s="4" t="n">
        <v>807</v>
      </c>
      <c r="C168" s="4" t="n">
        <v>0</v>
      </c>
      <c r="D168" s="11" t="n">
        <v>46054</v>
      </c>
      <c r="E168" s="4" t="s">
        <v>203</v>
      </c>
      <c r="F168" s="4" t="s">
        <v>209</v>
      </c>
      <c r="G168" s="4" t="n">
        <v>7</v>
      </c>
      <c r="H168" s="4" t="n">
        <v>4</v>
      </c>
      <c r="I168" s="4" t="n">
        <v>0</v>
      </c>
      <c r="J168" s="4" t="n">
        <v>258</v>
      </c>
      <c r="K168" s="4" t="n">
        <v>0</v>
      </c>
      <c r="L168" s="12" t="n">
        <v>0.66313</v>
      </c>
      <c r="M168" s="12" t="n">
        <v>0.092063</v>
      </c>
      <c r="N168" s="12" t="n">
        <v>0.09379</v>
      </c>
      <c r="O168" s="12" t="n">
        <v>0.106183</v>
      </c>
      <c r="P168" s="12" t="n">
        <v>0.09911</v>
      </c>
      <c r="Q168" s="0" t="str">
        <f aca="false">IF(L168&gt;=Models!$G$5,1+COUNTIF($L$5:$L$1517,"&gt;"&amp;L168)+COUNTIFS($L$5:$L$1517,L168,$B$5:$B$1517,"&lt;"&amp;B168)+COUNTIFS($L$5:$L$1517,L168,$B$5:$B$1517,B168,$C$5:$C$1517,"&lt;"&amp;C168),"")</f>
        <v/>
      </c>
      <c r="R168" s="0" t="str">
        <f aca="false">IF(M168&gt;=Models!$G$6,1+COUNTIF($M$5:$M$1517,"&gt;"&amp;M168)+COUNTIFS($M$5:$M$1517,M168,$B$5:$B$1517,"&lt;"&amp;B168)+COUNTIFS($M$5:$M$1517,M168,$B$5:$B$1517,B168,$C$5:$C$1517,"&lt;"&amp;C168),"")</f>
        <v/>
      </c>
      <c r="S168" s="0" t="str">
        <f aca="false">IF(N168&gt;=Models!$G$7,1+COUNTIF($N$5:$N$1517,"&gt;"&amp;N168)+COUNTIFS($N$5:$N$1517,N168,$B$5:$B$1517,"&lt;"&amp;B168)+COUNTIFS($N$5:$N$1517,N168,$B$5:$B$1517,B168,$C$5:$C$1517,"&lt;"&amp;C168),"")</f>
        <v/>
      </c>
      <c r="T168" s="8" t="n">
        <f aca="false">IF(O168&gt;=Models!$G$8,1+COUNTIF($O$5:$O$1517,"&gt;"&amp;O168)+COUNTIFS($O$5:$O$1517,O168,$B$5:$B$1517,"&lt;"&amp;B168)+COUNTIFS($O$5:$O$1517,O168,$B$5:$B$1517,B168,$C$5:$C$1517,"&lt;"&amp;C168),"")</f>
        <v>621</v>
      </c>
      <c r="U168" s="8" t="n">
        <f aca="false">IF($K168=1,COUNTIFS($L$5:$L$1517,"&gt;="&amp;L168,$K$5:$K$1517,1)/COUNTIF($L$5:$L$1517,"&gt;="&amp;L168),0)</f>
        <v>0</v>
      </c>
      <c r="V168" s="8" t="n">
        <f aca="false">IF($K168=1,COUNTIFS($M$5:$M$1517,"&gt;="&amp;M168,$K$5:$K$1517,1)/COUNTIF($M$5:$M$1517,"&gt;="&amp;M168),0)</f>
        <v>0</v>
      </c>
      <c r="W168" s="8" t="n">
        <f aca="false">IF($K168=1,COUNTIFS($N$5:$N$1517,"&gt;="&amp;N168,$K$5:$K$1517,1)/COUNTIF($N$5:$N$1517,"&gt;="&amp;N168),0)</f>
        <v>0</v>
      </c>
      <c r="X168" s="8" t="n">
        <f aca="false">IF($K168=1,COUNTIFS($O$5:$O$1517,"&gt;="&amp;O168,$K$5:$K$1517,1)/COUNTIF($O$5:$O$1517,"&gt;="&amp;O168),0)</f>
        <v>0</v>
      </c>
      <c r="Y168" s="8" t="n">
        <f aca="false">IF($K168=1,COUNTIFS($P$5:$P$1517,"&gt;="&amp;P168,$K$5:$K$1517,1)/COUNTIF($P$5:$P$1517,"&gt;="&amp;P168),0)</f>
        <v>0</v>
      </c>
      <c r="Z168" s="8" t="n">
        <f aca="false">(L168-$K168)^2</f>
        <v>0.4397413969</v>
      </c>
      <c r="AA168" s="8" t="n">
        <f aca="false">(M168-$K168)^2</f>
        <v>0.008475595969</v>
      </c>
      <c r="AB168" s="8" t="n">
        <f aca="false">(N168-$K168)^2</f>
        <v>0.0087965641</v>
      </c>
      <c r="AC168" s="8" t="n">
        <f aca="false">(O168-$K168)^2</f>
        <v>0.011274829489</v>
      </c>
      <c r="AD168" s="8" t="n">
        <f aca="false">(P168-$K168)^2</f>
        <v>0.0098227921</v>
      </c>
      <c r="AE168" s="8" t="n">
        <f aca="false">MIN(INT(ROUND(N168*1000000,0)/100000),9)</f>
        <v>0</v>
      </c>
      <c r="AF168" s="8" t="n">
        <f aca="false">MIN(INT(ROUND(P168*1000000,0)/100000),9)</f>
        <v>0</v>
      </c>
    </row>
    <row r="169" customFormat="false" ht="15" hidden="false" customHeight="false" outlineLevel="0" collapsed="false">
      <c r="A169" s="4" t="n">
        <v>165</v>
      </c>
      <c r="B169" s="4" t="n">
        <v>808</v>
      </c>
      <c r="C169" s="4" t="n">
        <v>0</v>
      </c>
      <c r="D169" s="11" t="n">
        <v>46054</v>
      </c>
      <c r="E169" s="4" t="s">
        <v>202</v>
      </c>
      <c r="F169" s="4" t="s">
        <v>206</v>
      </c>
      <c r="G169" s="4" t="n">
        <v>5</v>
      </c>
      <c r="H169" s="4" t="n">
        <v>1</v>
      </c>
      <c r="I169" s="4" t="n">
        <v>0</v>
      </c>
      <c r="J169" s="4" t="n">
        <v>1002</v>
      </c>
      <c r="K169" s="4" t="n">
        <v>0</v>
      </c>
      <c r="L169" s="12" t="n">
        <v>0.354867</v>
      </c>
      <c r="M169" s="12" t="n">
        <v>0.092063</v>
      </c>
      <c r="N169" s="12" t="n">
        <v>0.103771</v>
      </c>
      <c r="O169" s="12" t="n">
        <v>0.106183</v>
      </c>
      <c r="P169" s="12" t="n">
        <v>0.11011</v>
      </c>
      <c r="Q169" s="0" t="str">
        <f aca="false">IF(L169&gt;=Models!$G$5,1+COUNTIF($L$5:$L$1517,"&gt;"&amp;L169)+COUNTIFS($L$5:$L$1517,L169,$B$5:$B$1517,"&lt;"&amp;B169)+COUNTIFS($L$5:$L$1517,L169,$B$5:$B$1517,B169,$C$5:$C$1517,"&lt;"&amp;C169),"")</f>
        <v/>
      </c>
      <c r="R169" s="0" t="str">
        <f aca="false">IF(M169&gt;=Models!$G$6,1+COUNTIF($M$5:$M$1517,"&gt;"&amp;M169)+COUNTIFS($M$5:$M$1517,M169,$B$5:$B$1517,"&lt;"&amp;B169)+COUNTIFS($M$5:$M$1517,M169,$B$5:$B$1517,B169,$C$5:$C$1517,"&lt;"&amp;C169),"")</f>
        <v/>
      </c>
      <c r="S169" s="0" t="str">
        <f aca="false">IF(N169&gt;=Models!$G$7,1+COUNTIF($N$5:$N$1517,"&gt;"&amp;N169)+COUNTIFS($N$5:$N$1517,N169,$B$5:$B$1517,"&lt;"&amp;B169)+COUNTIFS($N$5:$N$1517,N169,$B$5:$B$1517,B169,$C$5:$C$1517,"&lt;"&amp;C169),"")</f>
        <v/>
      </c>
      <c r="T169" s="8" t="n">
        <f aca="false">IF(O169&gt;=Models!$G$8,1+COUNTIF($O$5:$O$1517,"&gt;"&amp;O169)+COUNTIFS($O$5:$O$1517,O169,$B$5:$B$1517,"&lt;"&amp;B169)+COUNTIFS($O$5:$O$1517,O169,$B$5:$B$1517,B169,$C$5:$C$1517,"&lt;"&amp;C169),"")</f>
        <v>625</v>
      </c>
      <c r="U169" s="8" t="n">
        <f aca="false">IF($K169=1,COUNTIFS($L$5:$L$1517,"&gt;="&amp;L169,$K$5:$K$1517,1)/COUNTIF($L$5:$L$1517,"&gt;="&amp;L169),0)</f>
        <v>0</v>
      </c>
      <c r="V169" s="8" t="n">
        <f aca="false">IF($K169=1,COUNTIFS($M$5:$M$1517,"&gt;="&amp;M169,$K$5:$K$1517,1)/COUNTIF($M$5:$M$1517,"&gt;="&amp;M169),0)</f>
        <v>0</v>
      </c>
      <c r="W169" s="8" t="n">
        <f aca="false">IF($K169=1,COUNTIFS($N$5:$N$1517,"&gt;="&amp;N169,$K$5:$K$1517,1)/COUNTIF($N$5:$N$1517,"&gt;="&amp;N169),0)</f>
        <v>0</v>
      </c>
      <c r="X169" s="8" t="n">
        <f aca="false">IF($K169=1,COUNTIFS($O$5:$O$1517,"&gt;="&amp;O169,$K$5:$K$1517,1)/COUNTIF($O$5:$O$1517,"&gt;="&amp;O169),0)</f>
        <v>0</v>
      </c>
      <c r="Y169" s="8" t="n">
        <f aca="false">IF($K169=1,COUNTIFS($P$5:$P$1517,"&gt;="&amp;P169,$K$5:$K$1517,1)/COUNTIF($P$5:$P$1517,"&gt;="&amp;P169),0)</f>
        <v>0</v>
      </c>
      <c r="Z169" s="8" t="n">
        <f aca="false">(L169-$K169)^2</f>
        <v>0.125930587689</v>
      </c>
      <c r="AA169" s="8" t="n">
        <f aca="false">(M169-$K169)^2</f>
        <v>0.008475595969</v>
      </c>
      <c r="AB169" s="8" t="n">
        <f aca="false">(N169-$K169)^2</f>
        <v>0.010768420441</v>
      </c>
      <c r="AC169" s="8" t="n">
        <f aca="false">(O169-$K169)^2</f>
        <v>0.011274829489</v>
      </c>
      <c r="AD169" s="8" t="n">
        <f aca="false">(P169-$K169)^2</f>
        <v>0.0121242121</v>
      </c>
      <c r="AE169" s="8" t="n">
        <f aca="false">MIN(INT(ROUND(N169*1000000,0)/100000),9)</f>
        <v>1</v>
      </c>
      <c r="AF169" s="8" t="n">
        <f aca="false">MIN(INT(ROUND(P169*1000000,0)/100000),9)</f>
        <v>1</v>
      </c>
    </row>
    <row r="170" customFormat="false" ht="15" hidden="false" customHeight="false" outlineLevel="0" collapsed="false">
      <c r="A170" s="4" t="n">
        <v>166</v>
      </c>
      <c r="B170" s="4" t="n">
        <v>809</v>
      </c>
      <c r="C170" s="4" t="n">
        <v>0</v>
      </c>
      <c r="D170" s="11" t="n">
        <v>46054</v>
      </c>
      <c r="E170" s="4" t="s">
        <v>204</v>
      </c>
      <c r="F170" s="4" t="s">
        <v>207</v>
      </c>
      <c r="G170" s="4" t="n">
        <v>2</v>
      </c>
      <c r="H170" s="4" t="n">
        <v>4</v>
      </c>
      <c r="I170" s="4" t="n">
        <v>0</v>
      </c>
      <c r="J170" s="4" t="n">
        <v>52.5</v>
      </c>
      <c r="K170" s="4" t="n">
        <v>0</v>
      </c>
      <c r="L170" s="12" t="n">
        <v>0.054394</v>
      </c>
      <c r="M170" s="12" t="n">
        <v>0.092063</v>
      </c>
      <c r="N170" s="12" t="n">
        <v>0.141084</v>
      </c>
      <c r="O170" s="12" t="n">
        <v>0.106183</v>
      </c>
      <c r="P170" s="12" t="n">
        <v>0.151448</v>
      </c>
      <c r="Q170" s="0" t="str">
        <f aca="false">IF(L170&gt;=Models!$G$5,1+COUNTIF($L$5:$L$1517,"&gt;"&amp;L170)+COUNTIFS($L$5:$L$1517,L170,$B$5:$B$1517,"&lt;"&amp;B170)+COUNTIFS($L$5:$L$1517,L170,$B$5:$B$1517,B170,$C$5:$C$1517,"&lt;"&amp;C170),"")</f>
        <v/>
      </c>
      <c r="R170" s="0" t="str">
        <f aca="false">IF(M170&gt;=Models!$G$6,1+COUNTIF($M$5:$M$1517,"&gt;"&amp;M170)+COUNTIFS($M$5:$M$1517,M170,$B$5:$B$1517,"&lt;"&amp;B170)+COUNTIFS($M$5:$M$1517,M170,$B$5:$B$1517,B170,$C$5:$C$1517,"&lt;"&amp;C170),"")</f>
        <v/>
      </c>
      <c r="S170" s="0" t="str">
        <f aca="false">IF(N170&gt;=Models!$G$7,1+COUNTIF($N$5:$N$1517,"&gt;"&amp;N170)+COUNTIFS($N$5:$N$1517,N170,$B$5:$B$1517,"&lt;"&amp;B170)+COUNTIFS($N$5:$N$1517,N170,$B$5:$B$1517,B170,$C$5:$C$1517,"&lt;"&amp;C170),"")</f>
        <v/>
      </c>
      <c r="T170" s="8" t="n">
        <f aca="false">IF(O170&gt;=Models!$G$8,1+COUNTIF($O$5:$O$1517,"&gt;"&amp;O170)+COUNTIFS($O$5:$O$1517,O170,$B$5:$B$1517,"&lt;"&amp;B170)+COUNTIFS($O$5:$O$1517,O170,$B$5:$B$1517,B170,$C$5:$C$1517,"&lt;"&amp;C170),"")</f>
        <v>629</v>
      </c>
      <c r="U170" s="8" t="n">
        <f aca="false">IF($K170=1,COUNTIFS($L$5:$L$1517,"&gt;="&amp;L170,$K$5:$K$1517,1)/COUNTIF($L$5:$L$1517,"&gt;="&amp;L170),0)</f>
        <v>0</v>
      </c>
      <c r="V170" s="8" t="n">
        <f aca="false">IF($K170=1,COUNTIFS($M$5:$M$1517,"&gt;="&amp;M170,$K$5:$K$1517,1)/COUNTIF($M$5:$M$1517,"&gt;="&amp;M170),0)</f>
        <v>0</v>
      </c>
      <c r="W170" s="8" t="n">
        <f aca="false">IF($K170=1,COUNTIFS($N$5:$N$1517,"&gt;="&amp;N170,$K$5:$K$1517,1)/COUNTIF($N$5:$N$1517,"&gt;="&amp;N170),0)</f>
        <v>0</v>
      </c>
      <c r="X170" s="8" t="n">
        <f aca="false">IF($K170=1,COUNTIFS($O$5:$O$1517,"&gt;="&amp;O170,$K$5:$K$1517,1)/COUNTIF($O$5:$O$1517,"&gt;="&amp;O170),0)</f>
        <v>0</v>
      </c>
      <c r="Y170" s="8" t="n">
        <f aca="false">IF($K170=1,COUNTIFS($P$5:$P$1517,"&gt;="&amp;P170,$K$5:$K$1517,1)/COUNTIF($P$5:$P$1517,"&gt;="&amp;P170),0)</f>
        <v>0</v>
      </c>
      <c r="Z170" s="8" t="n">
        <f aca="false">(L170-$K170)^2</f>
        <v>0.002958707236</v>
      </c>
      <c r="AA170" s="8" t="n">
        <f aca="false">(M170-$K170)^2</f>
        <v>0.008475595969</v>
      </c>
      <c r="AB170" s="8" t="n">
        <f aca="false">(N170-$K170)^2</f>
        <v>0.019904695056</v>
      </c>
      <c r="AC170" s="8" t="n">
        <f aca="false">(O170-$K170)^2</f>
        <v>0.011274829489</v>
      </c>
      <c r="AD170" s="8" t="n">
        <f aca="false">(P170-$K170)^2</f>
        <v>0.022936496704</v>
      </c>
      <c r="AE170" s="8" t="n">
        <f aca="false">MIN(INT(ROUND(N170*1000000,0)/100000),9)</f>
        <v>1</v>
      </c>
      <c r="AF170" s="8" t="n">
        <f aca="false">MIN(INT(ROUND(P170*1000000,0)/100000),9)</f>
        <v>1</v>
      </c>
    </row>
    <row r="171" customFormat="false" ht="15" hidden="false" customHeight="false" outlineLevel="0" collapsed="false">
      <c r="A171" s="4" t="n">
        <v>167</v>
      </c>
      <c r="B171" s="4" t="n">
        <v>813</v>
      </c>
      <c r="C171" s="4" t="n">
        <v>0</v>
      </c>
      <c r="D171" s="11" t="n">
        <v>46054</v>
      </c>
      <c r="E171" s="4" t="s">
        <v>203</v>
      </c>
      <c r="F171" s="4" t="s">
        <v>208</v>
      </c>
      <c r="G171" s="4" t="n">
        <v>3</v>
      </c>
      <c r="H171" s="4" t="n">
        <v>6</v>
      </c>
      <c r="I171" s="4" t="n">
        <v>0</v>
      </c>
      <c r="J171" s="4" t="n">
        <v>378</v>
      </c>
      <c r="K171" s="4" t="n">
        <v>0</v>
      </c>
      <c r="L171" s="12" t="n">
        <v>0.175683</v>
      </c>
      <c r="M171" s="12" t="n">
        <v>0.092063</v>
      </c>
      <c r="N171" s="12" t="n">
        <v>0.130242</v>
      </c>
      <c r="O171" s="12" t="n">
        <v>0.106183</v>
      </c>
      <c r="P171" s="12" t="n">
        <v>0.139411</v>
      </c>
      <c r="Q171" s="0" t="str">
        <f aca="false">IF(L171&gt;=Models!$G$5,1+COUNTIF($L$5:$L$1517,"&gt;"&amp;L171)+COUNTIFS($L$5:$L$1517,L171,$B$5:$B$1517,"&lt;"&amp;B171)+COUNTIFS($L$5:$L$1517,L171,$B$5:$B$1517,B171,$C$5:$C$1517,"&lt;"&amp;C171),"")</f>
        <v/>
      </c>
      <c r="R171" s="0" t="str">
        <f aca="false">IF(M171&gt;=Models!$G$6,1+COUNTIF($M$5:$M$1517,"&gt;"&amp;M171)+COUNTIFS($M$5:$M$1517,M171,$B$5:$B$1517,"&lt;"&amp;B171)+COUNTIFS($M$5:$M$1517,M171,$B$5:$B$1517,B171,$C$5:$C$1517,"&lt;"&amp;C171),"")</f>
        <v/>
      </c>
      <c r="S171" s="0" t="str">
        <f aca="false">IF(N171&gt;=Models!$G$7,1+COUNTIF($N$5:$N$1517,"&gt;"&amp;N171)+COUNTIFS($N$5:$N$1517,N171,$B$5:$B$1517,"&lt;"&amp;B171)+COUNTIFS($N$5:$N$1517,N171,$B$5:$B$1517,B171,$C$5:$C$1517,"&lt;"&amp;C171),"")</f>
        <v/>
      </c>
      <c r="T171" s="8" t="n">
        <f aca="false">IF(O171&gt;=Models!$G$8,1+COUNTIF($O$5:$O$1517,"&gt;"&amp;O171)+COUNTIFS($O$5:$O$1517,O171,$B$5:$B$1517,"&lt;"&amp;B171)+COUNTIFS($O$5:$O$1517,O171,$B$5:$B$1517,B171,$C$5:$C$1517,"&lt;"&amp;C171),"")</f>
        <v>633</v>
      </c>
      <c r="U171" s="8" t="n">
        <f aca="false">IF($K171=1,COUNTIFS($L$5:$L$1517,"&gt;="&amp;L171,$K$5:$K$1517,1)/COUNTIF($L$5:$L$1517,"&gt;="&amp;L171),0)</f>
        <v>0</v>
      </c>
      <c r="V171" s="8" t="n">
        <f aca="false">IF($K171=1,COUNTIFS($M$5:$M$1517,"&gt;="&amp;M171,$K$5:$K$1517,1)/COUNTIF($M$5:$M$1517,"&gt;="&amp;M171),0)</f>
        <v>0</v>
      </c>
      <c r="W171" s="8" t="n">
        <f aca="false">IF($K171=1,COUNTIFS($N$5:$N$1517,"&gt;="&amp;N171,$K$5:$K$1517,1)/COUNTIF($N$5:$N$1517,"&gt;="&amp;N171),0)</f>
        <v>0</v>
      </c>
      <c r="X171" s="8" t="n">
        <f aca="false">IF($K171=1,COUNTIFS($O$5:$O$1517,"&gt;="&amp;O171,$K$5:$K$1517,1)/COUNTIF($O$5:$O$1517,"&gt;="&amp;O171),0)</f>
        <v>0</v>
      </c>
      <c r="Y171" s="8" t="n">
        <f aca="false">IF($K171=1,COUNTIFS($P$5:$P$1517,"&gt;="&amp;P171,$K$5:$K$1517,1)/COUNTIF($P$5:$P$1517,"&gt;="&amp;P171),0)</f>
        <v>0</v>
      </c>
      <c r="Z171" s="8" t="n">
        <f aca="false">(L171-$K171)^2</f>
        <v>0.030864516489</v>
      </c>
      <c r="AA171" s="8" t="n">
        <f aca="false">(M171-$K171)^2</f>
        <v>0.008475595969</v>
      </c>
      <c r="AB171" s="8" t="n">
        <f aca="false">(N171-$K171)^2</f>
        <v>0.016962978564</v>
      </c>
      <c r="AC171" s="8" t="n">
        <f aca="false">(O171-$K171)^2</f>
        <v>0.011274829489</v>
      </c>
      <c r="AD171" s="8" t="n">
        <f aca="false">(P171-$K171)^2</f>
        <v>0.019435426921</v>
      </c>
      <c r="AE171" s="8" t="n">
        <f aca="false">MIN(INT(ROUND(N171*1000000,0)/100000),9)</f>
        <v>1</v>
      </c>
      <c r="AF171" s="8" t="n">
        <f aca="false">MIN(INT(ROUND(P171*1000000,0)/100000),9)</f>
        <v>1</v>
      </c>
    </row>
    <row r="172" customFormat="false" ht="15" hidden="false" customHeight="false" outlineLevel="0" collapsed="false">
      <c r="A172" s="4" t="n">
        <v>168</v>
      </c>
      <c r="B172" s="4" t="n">
        <v>814</v>
      </c>
      <c r="C172" s="4" t="n">
        <v>0</v>
      </c>
      <c r="D172" s="11" t="n">
        <v>46054</v>
      </c>
      <c r="E172" s="4" t="s">
        <v>201</v>
      </c>
      <c r="F172" s="4" t="s">
        <v>209</v>
      </c>
      <c r="G172" s="4" t="n">
        <v>15</v>
      </c>
      <c r="H172" s="4" t="n">
        <v>1</v>
      </c>
      <c r="I172" s="4" t="n">
        <v>0</v>
      </c>
      <c r="J172" s="4" t="n">
        <v>28723.2</v>
      </c>
      <c r="K172" s="4" t="n">
        <v>0</v>
      </c>
      <c r="L172" s="12" t="n">
        <v>0.918399</v>
      </c>
      <c r="M172" s="12" t="n">
        <v>0.092063</v>
      </c>
      <c r="N172" s="12" t="n">
        <v>0.009325</v>
      </c>
      <c r="O172" s="12" t="n">
        <v>0.106183</v>
      </c>
      <c r="P172" s="12" t="n">
        <v>0.008848</v>
      </c>
      <c r="Q172" s="0" t="str">
        <f aca="false">IF(L172&gt;=Models!$G$5,1+COUNTIF($L$5:$L$1517,"&gt;"&amp;L172)+COUNTIFS($L$5:$L$1517,L172,$B$5:$B$1517,"&lt;"&amp;B172)+COUNTIFS($L$5:$L$1517,L172,$B$5:$B$1517,B172,$C$5:$C$1517,"&lt;"&amp;C172),"")</f>
        <v/>
      </c>
      <c r="R172" s="0" t="str">
        <f aca="false">IF(M172&gt;=Models!$G$6,1+COUNTIF($M$5:$M$1517,"&gt;"&amp;M172)+COUNTIFS($M$5:$M$1517,M172,$B$5:$B$1517,"&lt;"&amp;B172)+COUNTIFS($M$5:$M$1517,M172,$B$5:$B$1517,B172,$C$5:$C$1517,"&lt;"&amp;C172),"")</f>
        <v/>
      </c>
      <c r="S172" s="0" t="str">
        <f aca="false">IF(N172&gt;=Models!$G$7,1+COUNTIF($N$5:$N$1517,"&gt;"&amp;N172)+COUNTIFS($N$5:$N$1517,N172,$B$5:$B$1517,"&lt;"&amp;B172)+COUNTIFS($N$5:$N$1517,N172,$B$5:$B$1517,B172,$C$5:$C$1517,"&lt;"&amp;C172),"")</f>
        <v/>
      </c>
      <c r="T172" s="8" t="n">
        <f aca="false">IF(O172&gt;=Models!$G$8,1+COUNTIF($O$5:$O$1517,"&gt;"&amp;O172)+COUNTIFS($O$5:$O$1517,O172,$B$5:$B$1517,"&lt;"&amp;B172)+COUNTIFS($O$5:$O$1517,O172,$B$5:$B$1517,B172,$C$5:$C$1517,"&lt;"&amp;C172),"")</f>
        <v>637</v>
      </c>
      <c r="U172" s="8" t="n">
        <f aca="false">IF($K172=1,COUNTIFS($L$5:$L$1517,"&gt;="&amp;L172,$K$5:$K$1517,1)/COUNTIF($L$5:$L$1517,"&gt;="&amp;L172),0)</f>
        <v>0</v>
      </c>
      <c r="V172" s="8" t="n">
        <f aca="false">IF($K172=1,COUNTIFS($M$5:$M$1517,"&gt;="&amp;M172,$K$5:$K$1517,1)/COUNTIF($M$5:$M$1517,"&gt;="&amp;M172),0)</f>
        <v>0</v>
      </c>
      <c r="W172" s="8" t="n">
        <f aca="false">IF($K172=1,COUNTIFS($N$5:$N$1517,"&gt;="&amp;N172,$K$5:$K$1517,1)/COUNTIF($N$5:$N$1517,"&gt;="&amp;N172),0)</f>
        <v>0</v>
      </c>
      <c r="X172" s="8" t="n">
        <f aca="false">IF($K172=1,COUNTIFS($O$5:$O$1517,"&gt;="&amp;O172,$K$5:$K$1517,1)/COUNTIF($O$5:$O$1517,"&gt;="&amp;O172),0)</f>
        <v>0</v>
      </c>
      <c r="Y172" s="8" t="n">
        <f aca="false">IF($K172=1,COUNTIFS($P$5:$P$1517,"&gt;="&amp;P172,$K$5:$K$1517,1)/COUNTIF($P$5:$P$1517,"&gt;="&amp;P172),0)</f>
        <v>0</v>
      </c>
      <c r="Z172" s="8" t="n">
        <f aca="false">(L172-$K172)^2</f>
        <v>0.843456723201</v>
      </c>
      <c r="AA172" s="8" t="n">
        <f aca="false">(M172-$K172)^2</f>
        <v>0.008475595969</v>
      </c>
      <c r="AB172" s="8" t="n">
        <f aca="false">(N172-$K172)^2</f>
        <v>8.6955625E-005</v>
      </c>
      <c r="AC172" s="8" t="n">
        <f aca="false">(O172-$K172)^2</f>
        <v>0.011274829489</v>
      </c>
      <c r="AD172" s="8" t="n">
        <f aca="false">(P172-$K172)^2</f>
        <v>7.8287104E-005</v>
      </c>
      <c r="AE172" s="8" t="n">
        <f aca="false">MIN(INT(ROUND(N172*1000000,0)/100000),9)</f>
        <v>0</v>
      </c>
      <c r="AF172" s="8" t="n">
        <f aca="false">MIN(INT(ROUND(P172*1000000,0)/100000),9)</f>
        <v>0</v>
      </c>
    </row>
    <row r="173" customFormat="false" ht="15" hidden="false" customHeight="false" outlineLevel="0" collapsed="false">
      <c r="A173" s="4" t="n">
        <v>169</v>
      </c>
      <c r="B173" s="4" t="n">
        <v>818</v>
      </c>
      <c r="C173" s="4" t="n">
        <v>0</v>
      </c>
      <c r="D173" s="11" t="n">
        <v>46054</v>
      </c>
      <c r="E173" s="4" t="s">
        <v>204</v>
      </c>
      <c r="F173" s="4" t="s">
        <v>209</v>
      </c>
      <c r="G173" s="4" t="n">
        <v>1</v>
      </c>
      <c r="H173" s="4" t="n">
        <v>16</v>
      </c>
      <c r="I173" s="4" t="n">
        <v>0</v>
      </c>
      <c r="J173" s="4"/>
      <c r="K173" s="4" t="n">
        <v>0</v>
      </c>
      <c r="L173" s="12" t="n">
        <v>0.14646</v>
      </c>
      <c r="M173" s="12" t="n">
        <v>0.092063</v>
      </c>
      <c r="N173" s="12" t="n">
        <v>0.085357</v>
      </c>
      <c r="O173" s="12" t="n">
        <v>0.106183</v>
      </c>
      <c r="P173" s="12" t="n">
        <v>0.089842</v>
      </c>
      <c r="Q173" s="0" t="str">
        <f aca="false">IF(L173&gt;=Models!$G$5,1+COUNTIF($L$5:$L$1517,"&gt;"&amp;L173)+COUNTIFS($L$5:$L$1517,L173,$B$5:$B$1517,"&lt;"&amp;B173)+COUNTIFS($L$5:$L$1517,L173,$B$5:$B$1517,B173,$C$5:$C$1517,"&lt;"&amp;C173),"")</f>
        <v/>
      </c>
      <c r="R173" s="0" t="str">
        <f aca="false">IF(M173&gt;=Models!$G$6,1+COUNTIF($M$5:$M$1517,"&gt;"&amp;M173)+COUNTIFS($M$5:$M$1517,M173,$B$5:$B$1517,"&lt;"&amp;B173)+COUNTIFS($M$5:$M$1517,M173,$B$5:$B$1517,B173,$C$5:$C$1517,"&lt;"&amp;C173),"")</f>
        <v/>
      </c>
      <c r="S173" s="0" t="str">
        <f aca="false">IF(N173&gt;=Models!$G$7,1+COUNTIF($N$5:$N$1517,"&gt;"&amp;N173)+COUNTIFS($N$5:$N$1517,N173,$B$5:$B$1517,"&lt;"&amp;B173)+COUNTIFS($N$5:$N$1517,N173,$B$5:$B$1517,B173,$C$5:$C$1517,"&lt;"&amp;C173),"")</f>
        <v/>
      </c>
      <c r="T173" s="8" t="n">
        <f aca="false">IF(O173&gt;=Models!$G$8,1+COUNTIF($O$5:$O$1517,"&gt;"&amp;O173)+COUNTIFS($O$5:$O$1517,O173,$B$5:$B$1517,"&lt;"&amp;B173)+COUNTIFS($O$5:$O$1517,O173,$B$5:$B$1517,B173,$C$5:$C$1517,"&lt;"&amp;C173),"")</f>
        <v>641</v>
      </c>
      <c r="U173" s="8" t="n">
        <f aca="false">IF($K173=1,COUNTIFS($L$5:$L$1517,"&gt;="&amp;L173,$K$5:$K$1517,1)/COUNTIF($L$5:$L$1517,"&gt;="&amp;L173),0)</f>
        <v>0</v>
      </c>
      <c r="V173" s="8" t="n">
        <f aca="false">IF($K173=1,COUNTIFS($M$5:$M$1517,"&gt;="&amp;M173,$K$5:$K$1517,1)/COUNTIF($M$5:$M$1517,"&gt;="&amp;M173),0)</f>
        <v>0</v>
      </c>
      <c r="W173" s="8" t="n">
        <f aca="false">IF($K173=1,COUNTIFS($N$5:$N$1517,"&gt;="&amp;N173,$K$5:$K$1517,1)/COUNTIF($N$5:$N$1517,"&gt;="&amp;N173),0)</f>
        <v>0</v>
      </c>
      <c r="X173" s="8" t="n">
        <f aca="false">IF($K173=1,COUNTIFS($O$5:$O$1517,"&gt;="&amp;O173,$K$5:$K$1517,1)/COUNTIF($O$5:$O$1517,"&gt;="&amp;O173),0)</f>
        <v>0</v>
      </c>
      <c r="Y173" s="8" t="n">
        <f aca="false">IF($K173=1,COUNTIFS($P$5:$P$1517,"&gt;="&amp;P173,$K$5:$K$1517,1)/COUNTIF($P$5:$P$1517,"&gt;="&amp;P173),0)</f>
        <v>0</v>
      </c>
      <c r="Z173" s="8" t="n">
        <f aca="false">(L173-$K173)^2</f>
        <v>0.0214505316</v>
      </c>
      <c r="AA173" s="8" t="n">
        <f aca="false">(M173-$K173)^2</f>
        <v>0.008475595969</v>
      </c>
      <c r="AB173" s="8" t="n">
        <f aca="false">(N173-$K173)^2</f>
        <v>0.007285817449</v>
      </c>
      <c r="AC173" s="8" t="n">
        <f aca="false">(O173-$K173)^2</f>
        <v>0.011274829489</v>
      </c>
      <c r="AD173" s="8" t="n">
        <f aca="false">(P173-$K173)^2</f>
        <v>0.008071584964</v>
      </c>
      <c r="AE173" s="8" t="n">
        <f aca="false">MIN(INT(ROUND(N173*1000000,0)/100000),9)</f>
        <v>0</v>
      </c>
      <c r="AF173" s="8" t="n">
        <f aca="false">MIN(INT(ROUND(P173*1000000,0)/100000),9)</f>
        <v>0</v>
      </c>
    </row>
    <row r="174" customFormat="false" ht="15" hidden="false" customHeight="false" outlineLevel="0" collapsed="false">
      <c r="A174" s="4" t="n">
        <v>170</v>
      </c>
      <c r="B174" s="4" t="n">
        <v>820</v>
      </c>
      <c r="C174" s="4" t="n">
        <v>0</v>
      </c>
      <c r="D174" s="11" t="n">
        <v>46054</v>
      </c>
      <c r="E174" s="4" t="s">
        <v>204</v>
      </c>
      <c r="F174" s="4" t="s">
        <v>206</v>
      </c>
      <c r="G174" s="4" t="n">
        <v>1</v>
      </c>
      <c r="H174" s="4" t="n">
        <v>20</v>
      </c>
      <c r="I174" s="4" t="n">
        <v>0</v>
      </c>
      <c r="J174" s="4" t="n">
        <v>102</v>
      </c>
      <c r="K174" s="4" t="n">
        <v>0</v>
      </c>
      <c r="L174" s="12" t="n">
        <v>0.136104</v>
      </c>
      <c r="M174" s="12" t="n">
        <v>0.092063</v>
      </c>
      <c r="N174" s="12" t="n">
        <v>0.169654</v>
      </c>
      <c r="O174" s="12" t="n">
        <v>0.106183</v>
      </c>
      <c r="P174" s="12" t="n">
        <v>0.183222</v>
      </c>
      <c r="Q174" s="0" t="str">
        <f aca="false">IF(L174&gt;=Models!$G$5,1+COUNTIF($L$5:$L$1517,"&gt;"&amp;L174)+COUNTIFS($L$5:$L$1517,L174,$B$5:$B$1517,"&lt;"&amp;B174)+COUNTIFS($L$5:$L$1517,L174,$B$5:$B$1517,B174,$C$5:$C$1517,"&lt;"&amp;C174),"")</f>
        <v/>
      </c>
      <c r="R174" s="0" t="str">
        <f aca="false">IF(M174&gt;=Models!$G$6,1+COUNTIF($M$5:$M$1517,"&gt;"&amp;M174)+COUNTIFS($M$5:$M$1517,M174,$B$5:$B$1517,"&lt;"&amp;B174)+COUNTIFS($M$5:$M$1517,M174,$B$5:$B$1517,B174,$C$5:$C$1517,"&lt;"&amp;C174),"")</f>
        <v/>
      </c>
      <c r="S174" s="0" t="str">
        <f aca="false">IF(N174&gt;=Models!$G$7,1+COUNTIF($N$5:$N$1517,"&gt;"&amp;N174)+COUNTIFS($N$5:$N$1517,N174,$B$5:$B$1517,"&lt;"&amp;B174)+COUNTIFS($N$5:$N$1517,N174,$B$5:$B$1517,B174,$C$5:$C$1517,"&lt;"&amp;C174),"")</f>
        <v/>
      </c>
      <c r="T174" s="8" t="n">
        <f aca="false">IF(O174&gt;=Models!$G$8,1+COUNTIF($O$5:$O$1517,"&gt;"&amp;O174)+COUNTIFS($O$5:$O$1517,O174,$B$5:$B$1517,"&lt;"&amp;B174)+COUNTIFS($O$5:$O$1517,O174,$B$5:$B$1517,B174,$C$5:$C$1517,"&lt;"&amp;C174),"")</f>
        <v>645</v>
      </c>
      <c r="U174" s="8" t="n">
        <f aca="false">IF($K174=1,COUNTIFS($L$5:$L$1517,"&gt;="&amp;L174,$K$5:$K$1517,1)/COUNTIF($L$5:$L$1517,"&gt;="&amp;L174),0)</f>
        <v>0</v>
      </c>
      <c r="V174" s="8" t="n">
        <f aca="false">IF($K174=1,COUNTIFS($M$5:$M$1517,"&gt;="&amp;M174,$K$5:$K$1517,1)/COUNTIF($M$5:$M$1517,"&gt;="&amp;M174),0)</f>
        <v>0</v>
      </c>
      <c r="W174" s="8" t="n">
        <f aca="false">IF($K174=1,COUNTIFS($N$5:$N$1517,"&gt;="&amp;N174,$K$5:$K$1517,1)/COUNTIF($N$5:$N$1517,"&gt;="&amp;N174),0)</f>
        <v>0</v>
      </c>
      <c r="X174" s="8" t="n">
        <f aca="false">IF($K174=1,COUNTIFS($O$5:$O$1517,"&gt;="&amp;O174,$K$5:$K$1517,1)/COUNTIF($O$5:$O$1517,"&gt;="&amp;O174),0)</f>
        <v>0</v>
      </c>
      <c r="Y174" s="8" t="n">
        <f aca="false">IF($K174=1,COUNTIFS($P$5:$P$1517,"&gt;="&amp;P174,$K$5:$K$1517,1)/COUNTIF($P$5:$P$1517,"&gt;="&amp;P174),0)</f>
        <v>0</v>
      </c>
      <c r="Z174" s="8" t="n">
        <f aca="false">(L174-$K174)^2</f>
        <v>0.018524298816</v>
      </c>
      <c r="AA174" s="8" t="n">
        <f aca="false">(M174-$K174)^2</f>
        <v>0.008475595969</v>
      </c>
      <c r="AB174" s="8" t="n">
        <f aca="false">(N174-$K174)^2</f>
        <v>0.028782479716</v>
      </c>
      <c r="AC174" s="8" t="n">
        <f aca="false">(O174-$K174)^2</f>
        <v>0.011274829489</v>
      </c>
      <c r="AD174" s="8" t="n">
        <f aca="false">(P174-$K174)^2</f>
        <v>0.033570301284</v>
      </c>
      <c r="AE174" s="8" t="n">
        <f aca="false">MIN(INT(ROUND(N174*1000000,0)/100000),9)</f>
        <v>1</v>
      </c>
      <c r="AF174" s="8" t="n">
        <f aca="false">MIN(INT(ROUND(P174*1000000,0)/100000),9)</f>
        <v>1</v>
      </c>
    </row>
    <row r="175" customFormat="false" ht="15" hidden="false" customHeight="false" outlineLevel="0" collapsed="false">
      <c r="A175" s="4" t="n">
        <v>171</v>
      </c>
      <c r="B175" s="4" t="n">
        <v>822</v>
      </c>
      <c r="C175" s="4" t="n">
        <v>0</v>
      </c>
      <c r="D175" s="11" t="n">
        <v>46054</v>
      </c>
      <c r="E175" s="4" t="s">
        <v>203</v>
      </c>
      <c r="F175" s="4" t="s">
        <v>206</v>
      </c>
      <c r="G175" s="4" t="n">
        <v>4</v>
      </c>
      <c r="H175" s="4" t="n">
        <v>9</v>
      </c>
      <c r="I175" s="4" t="n">
        <v>0</v>
      </c>
      <c r="J175" s="4"/>
      <c r="K175" s="4" t="n">
        <v>1</v>
      </c>
      <c r="L175" s="12" t="n">
        <v>0.085994</v>
      </c>
      <c r="M175" s="12" t="n">
        <v>0.092063</v>
      </c>
      <c r="N175" s="12" t="n">
        <v>0.063031</v>
      </c>
      <c r="O175" s="12" t="n">
        <v>0.106183</v>
      </c>
      <c r="P175" s="12" t="n">
        <v>0.065469</v>
      </c>
      <c r="Q175" s="0" t="str">
        <f aca="false">IF(L175&gt;=Models!$G$5,1+COUNTIF($L$5:$L$1517,"&gt;"&amp;L175)+COUNTIFS($L$5:$L$1517,L175,$B$5:$B$1517,"&lt;"&amp;B175)+COUNTIFS($L$5:$L$1517,L175,$B$5:$B$1517,B175,$C$5:$C$1517,"&lt;"&amp;C175),"")</f>
        <v/>
      </c>
      <c r="R175" s="0" t="str">
        <f aca="false">IF(M175&gt;=Models!$G$6,1+COUNTIF($M$5:$M$1517,"&gt;"&amp;M175)+COUNTIFS($M$5:$M$1517,M175,$B$5:$B$1517,"&lt;"&amp;B175)+COUNTIFS($M$5:$M$1517,M175,$B$5:$B$1517,B175,$C$5:$C$1517,"&lt;"&amp;C175),"")</f>
        <v/>
      </c>
      <c r="S175" s="0" t="str">
        <f aca="false">IF(N175&gt;=Models!$G$7,1+COUNTIF($N$5:$N$1517,"&gt;"&amp;N175)+COUNTIFS($N$5:$N$1517,N175,$B$5:$B$1517,"&lt;"&amp;B175)+COUNTIFS($N$5:$N$1517,N175,$B$5:$B$1517,B175,$C$5:$C$1517,"&lt;"&amp;C175),"")</f>
        <v/>
      </c>
      <c r="T175" s="8" t="n">
        <f aca="false">IF(O175&gt;=Models!$G$8,1+COUNTIF($O$5:$O$1517,"&gt;"&amp;O175)+COUNTIFS($O$5:$O$1517,O175,$B$5:$B$1517,"&lt;"&amp;B175)+COUNTIFS($O$5:$O$1517,O175,$B$5:$B$1517,B175,$C$5:$C$1517,"&lt;"&amp;C175),"")</f>
        <v>649</v>
      </c>
      <c r="U175" s="8" t="n">
        <f aca="false">IF($K175=1,COUNTIFS($L$5:$L$1517,"&gt;="&amp;L175,$K$5:$K$1517,1)/COUNTIF($L$5:$L$1517,"&gt;="&amp;L175),0)</f>
        <v>0.125271542360608</v>
      </c>
      <c r="V175" s="8" t="n">
        <f aca="false">IF($K175=1,COUNTIFS($M$5:$M$1517,"&gt;="&amp;M175,$K$5:$K$1517,1)/COUNTIF($M$5:$M$1517,"&gt;="&amp;M175),0)</f>
        <v>0.12491738268341</v>
      </c>
      <c r="W175" s="8" t="n">
        <f aca="false">IF($K175=1,COUNTIFS($N$5:$N$1517,"&gt;="&amp;N175,$K$5:$K$1517,1)/COUNTIF($N$5:$N$1517,"&gt;="&amp;N175),0)</f>
        <v>0.157996146435453</v>
      </c>
      <c r="X175" s="8" t="n">
        <f aca="false">IF($K175=1,COUNTIFS($O$5:$O$1517,"&gt;="&amp;O175,$K$5:$K$1517,1)/COUNTIF($O$5:$O$1517,"&gt;="&amp;O175),0)</f>
        <v>0.12491738268341</v>
      </c>
      <c r="Y175" s="8" t="n">
        <f aca="false">IF($K175=1,COUNTIFS($P$5:$P$1517,"&gt;="&amp;P175,$K$5:$K$1517,1)/COUNTIF($P$5:$P$1517,"&gt;="&amp;P175),0)</f>
        <v>0.157996146435453</v>
      </c>
      <c r="Z175" s="8" t="n">
        <f aca="false">(L175-$K175)^2</f>
        <v>0.835406968036</v>
      </c>
      <c r="AA175" s="8" t="n">
        <f aca="false">(M175-$K175)^2</f>
        <v>0.824349595969</v>
      </c>
      <c r="AB175" s="8" t="n">
        <f aca="false">(N175-$K175)^2</f>
        <v>0.877910906961</v>
      </c>
      <c r="AC175" s="8" t="n">
        <f aca="false">(O175-$K175)^2</f>
        <v>0.798908829489</v>
      </c>
      <c r="AD175" s="8" t="n">
        <f aca="false">(P175-$K175)^2</f>
        <v>0.873348189961</v>
      </c>
      <c r="AE175" s="8" t="n">
        <f aca="false">MIN(INT(ROUND(N175*1000000,0)/100000),9)</f>
        <v>0</v>
      </c>
      <c r="AF175" s="8" t="n">
        <f aca="false">MIN(INT(ROUND(P175*1000000,0)/100000),9)</f>
        <v>0</v>
      </c>
    </row>
    <row r="176" customFormat="false" ht="15" hidden="false" customHeight="false" outlineLevel="0" collapsed="false">
      <c r="A176" s="4" t="n">
        <v>172</v>
      </c>
      <c r="B176" s="4" t="n">
        <v>830</v>
      </c>
      <c r="C176" s="4" t="n">
        <v>0</v>
      </c>
      <c r="D176" s="11" t="n">
        <v>46054</v>
      </c>
      <c r="E176" s="4" t="s">
        <v>203</v>
      </c>
      <c r="F176" s="4" t="s">
        <v>207</v>
      </c>
      <c r="G176" s="4" t="n">
        <v>4</v>
      </c>
      <c r="H176" s="4" t="n">
        <v>12</v>
      </c>
      <c r="I176" s="4" t="n">
        <v>1</v>
      </c>
      <c r="J176" s="4" t="n">
        <v>399</v>
      </c>
      <c r="K176" s="4" t="n">
        <v>0</v>
      </c>
      <c r="L176" s="12" t="n">
        <v>0.31897</v>
      </c>
      <c r="M176" s="12" t="n">
        <v>0.184211</v>
      </c>
      <c r="N176" s="12" t="n">
        <v>0.206718</v>
      </c>
      <c r="O176" s="12" t="n">
        <v>0.106183</v>
      </c>
      <c r="P176" s="12" t="n">
        <v>0.224464</v>
      </c>
      <c r="Q176" s="0" t="str">
        <f aca="false">IF(L176&gt;=Models!$G$5,1+COUNTIF($L$5:$L$1517,"&gt;"&amp;L176)+COUNTIFS($L$5:$L$1517,L176,$B$5:$B$1517,"&lt;"&amp;B176)+COUNTIFS($L$5:$L$1517,L176,$B$5:$B$1517,B176,$C$5:$C$1517,"&lt;"&amp;C176),"")</f>
        <v/>
      </c>
      <c r="R176" s="8" t="n">
        <f aca="false">IF(M176&gt;=Models!$G$6,1+COUNTIF($M$5:$M$1517,"&gt;"&amp;M176)+COUNTIFS($M$5:$M$1517,M176,$B$5:$B$1517,"&lt;"&amp;B176)+COUNTIFS($M$5:$M$1517,M176,$B$5:$B$1517,B176,$C$5:$C$1517,"&lt;"&amp;C176),"")</f>
        <v>70</v>
      </c>
      <c r="S176" s="0" t="str">
        <f aca="false">IF(N176&gt;=Models!$G$7,1+COUNTIF($N$5:$N$1517,"&gt;"&amp;N176)+COUNTIFS($N$5:$N$1517,N176,$B$5:$B$1517,"&lt;"&amp;B176)+COUNTIFS($N$5:$N$1517,N176,$B$5:$B$1517,B176,$C$5:$C$1517,"&lt;"&amp;C176),"")</f>
        <v/>
      </c>
      <c r="T176" s="8" t="n">
        <f aca="false">IF(O176&gt;=Models!$G$8,1+COUNTIF($O$5:$O$1517,"&gt;"&amp;O176)+COUNTIFS($O$5:$O$1517,O176,$B$5:$B$1517,"&lt;"&amp;B176)+COUNTIFS($O$5:$O$1517,O176,$B$5:$B$1517,B176,$C$5:$C$1517,"&lt;"&amp;C176),"")</f>
        <v>650</v>
      </c>
      <c r="U176" s="8" t="n">
        <f aca="false">IF($K176=1,COUNTIFS($L$5:$L$1517,"&gt;="&amp;L176,$K$5:$K$1517,1)/COUNTIF($L$5:$L$1517,"&gt;="&amp;L176),0)</f>
        <v>0</v>
      </c>
      <c r="V176" s="8" t="n">
        <f aca="false">IF($K176=1,COUNTIFS($M$5:$M$1517,"&gt;="&amp;M176,$K$5:$K$1517,1)/COUNTIF($M$5:$M$1517,"&gt;="&amp;M176),0)</f>
        <v>0</v>
      </c>
      <c r="W176" s="8" t="n">
        <f aca="false">IF($K176=1,COUNTIFS($N$5:$N$1517,"&gt;="&amp;N176,$K$5:$K$1517,1)/COUNTIF($N$5:$N$1517,"&gt;="&amp;N176),0)</f>
        <v>0</v>
      </c>
      <c r="X176" s="8" t="n">
        <f aca="false">IF($K176=1,COUNTIFS($O$5:$O$1517,"&gt;="&amp;O176,$K$5:$K$1517,1)/COUNTIF($O$5:$O$1517,"&gt;="&amp;O176),0)</f>
        <v>0</v>
      </c>
      <c r="Y176" s="8" t="n">
        <f aca="false">IF($K176=1,COUNTIFS($P$5:$P$1517,"&gt;="&amp;P176,$K$5:$K$1517,1)/COUNTIF($P$5:$P$1517,"&gt;="&amp;P176),0)</f>
        <v>0</v>
      </c>
      <c r="Z176" s="8" t="n">
        <f aca="false">(L176-$K176)^2</f>
        <v>0.1017418609</v>
      </c>
      <c r="AA176" s="8" t="n">
        <f aca="false">(M176-$K176)^2</f>
        <v>0.033933692521</v>
      </c>
      <c r="AB176" s="8" t="n">
        <f aca="false">(N176-$K176)^2</f>
        <v>0.042732331524</v>
      </c>
      <c r="AC176" s="8" t="n">
        <f aca="false">(O176-$K176)^2</f>
        <v>0.011274829489</v>
      </c>
      <c r="AD176" s="8" t="n">
        <f aca="false">(P176-$K176)^2</f>
        <v>0.050384087296</v>
      </c>
      <c r="AE176" s="8" t="n">
        <f aca="false">MIN(INT(ROUND(N176*1000000,0)/100000),9)</f>
        <v>2</v>
      </c>
      <c r="AF176" s="8" t="n">
        <f aca="false">MIN(INT(ROUND(P176*1000000,0)/100000),9)</f>
        <v>2</v>
      </c>
    </row>
    <row r="177" customFormat="false" ht="15" hidden="false" customHeight="false" outlineLevel="0" collapsed="false">
      <c r="A177" s="4" t="n">
        <v>173</v>
      </c>
      <c r="B177" s="4" t="n">
        <v>835</v>
      </c>
      <c r="C177" s="4" t="n">
        <v>0</v>
      </c>
      <c r="D177" s="11" t="n">
        <v>46054</v>
      </c>
      <c r="E177" s="4" t="s">
        <v>202</v>
      </c>
      <c r="F177" s="4" t="s">
        <v>209</v>
      </c>
      <c r="G177" s="4" t="n">
        <v>3</v>
      </c>
      <c r="H177" s="4" t="n">
        <v>7</v>
      </c>
      <c r="I177" s="4" t="n">
        <v>0</v>
      </c>
      <c r="J177" s="4" t="n">
        <v>1041</v>
      </c>
      <c r="K177" s="4" t="n">
        <v>1</v>
      </c>
      <c r="L177" s="12" t="n">
        <v>0.13346</v>
      </c>
      <c r="M177" s="12" t="n">
        <v>0.092063</v>
      </c>
      <c r="N177" s="12" t="n">
        <v>0.126848</v>
      </c>
      <c r="O177" s="12" t="n">
        <v>0.106183</v>
      </c>
      <c r="P177" s="12" t="n">
        <v>0.135646</v>
      </c>
      <c r="Q177" s="0" t="str">
        <f aca="false">IF(L177&gt;=Models!$G$5,1+COUNTIF($L$5:$L$1517,"&gt;"&amp;L177)+COUNTIFS($L$5:$L$1517,L177,$B$5:$B$1517,"&lt;"&amp;B177)+COUNTIFS($L$5:$L$1517,L177,$B$5:$B$1517,B177,$C$5:$C$1517,"&lt;"&amp;C177),"")</f>
        <v/>
      </c>
      <c r="R177" s="0" t="str">
        <f aca="false">IF(M177&gt;=Models!$G$6,1+COUNTIF($M$5:$M$1517,"&gt;"&amp;M177)+COUNTIFS($M$5:$M$1517,M177,$B$5:$B$1517,"&lt;"&amp;B177)+COUNTIFS($M$5:$M$1517,M177,$B$5:$B$1517,B177,$C$5:$C$1517,"&lt;"&amp;C177),"")</f>
        <v/>
      </c>
      <c r="S177" s="0" t="str">
        <f aca="false">IF(N177&gt;=Models!$G$7,1+COUNTIF($N$5:$N$1517,"&gt;"&amp;N177)+COUNTIFS($N$5:$N$1517,N177,$B$5:$B$1517,"&lt;"&amp;B177)+COUNTIFS($N$5:$N$1517,N177,$B$5:$B$1517,B177,$C$5:$C$1517,"&lt;"&amp;C177),"")</f>
        <v/>
      </c>
      <c r="T177" s="8" t="n">
        <f aca="false">IF(O177&gt;=Models!$G$8,1+COUNTIF($O$5:$O$1517,"&gt;"&amp;O177)+COUNTIFS($O$5:$O$1517,O177,$B$5:$B$1517,"&lt;"&amp;B177)+COUNTIFS($O$5:$O$1517,O177,$B$5:$B$1517,B177,$C$5:$C$1517,"&lt;"&amp;C177),"")</f>
        <v>654</v>
      </c>
      <c r="U177" s="8" t="n">
        <f aca="false">IF($K177=1,COUNTIFS($L$5:$L$1517,"&gt;="&amp;L177,$K$5:$K$1517,1)/COUNTIF($L$5:$L$1517,"&gt;="&amp;L177),0)</f>
        <v>0.123647604327666</v>
      </c>
      <c r="V177" s="8" t="n">
        <f aca="false">IF($K177=1,COUNTIFS($M$5:$M$1517,"&gt;="&amp;M177,$K$5:$K$1517,1)/COUNTIF($M$5:$M$1517,"&gt;="&amp;M177),0)</f>
        <v>0.12491738268341</v>
      </c>
      <c r="W177" s="8" t="n">
        <f aca="false">IF($K177=1,COUNTIFS($N$5:$N$1517,"&gt;="&amp;N177,$K$5:$K$1517,1)/COUNTIF($N$5:$N$1517,"&gt;="&amp;N177),0)</f>
        <v>0.235294117647059</v>
      </c>
      <c r="X177" s="8" t="n">
        <f aca="false">IF($K177=1,COUNTIFS($O$5:$O$1517,"&gt;="&amp;O177,$K$5:$K$1517,1)/COUNTIF($O$5:$O$1517,"&gt;="&amp;O177),0)</f>
        <v>0.12491738268341</v>
      </c>
      <c r="Y177" s="8" t="n">
        <f aca="false">IF($K177=1,COUNTIFS($P$5:$P$1517,"&gt;="&amp;P177,$K$5:$K$1517,1)/COUNTIF($P$5:$P$1517,"&gt;="&amp;P177),0)</f>
        <v>0.235294117647059</v>
      </c>
      <c r="Z177" s="8" t="n">
        <f aca="false">(L177-$K177)^2</f>
        <v>0.7508915716</v>
      </c>
      <c r="AA177" s="8" t="n">
        <f aca="false">(M177-$K177)^2</f>
        <v>0.824349595969</v>
      </c>
      <c r="AB177" s="8" t="n">
        <f aca="false">(N177-$K177)^2</f>
        <v>0.762394415104</v>
      </c>
      <c r="AC177" s="8" t="n">
        <f aca="false">(O177-$K177)^2</f>
        <v>0.798908829489</v>
      </c>
      <c r="AD177" s="8" t="n">
        <f aca="false">(P177-$K177)^2</f>
        <v>0.747107837316</v>
      </c>
      <c r="AE177" s="8" t="n">
        <f aca="false">MIN(INT(ROUND(N177*1000000,0)/100000),9)</f>
        <v>1</v>
      </c>
      <c r="AF177" s="8" t="n">
        <f aca="false">MIN(INT(ROUND(P177*1000000,0)/100000),9)</f>
        <v>1</v>
      </c>
    </row>
    <row r="178" customFormat="false" ht="15" hidden="false" customHeight="false" outlineLevel="0" collapsed="false">
      <c r="A178" s="4" t="n">
        <v>174</v>
      </c>
      <c r="B178" s="4" t="n">
        <v>844</v>
      </c>
      <c r="C178" s="4" t="n">
        <v>0</v>
      </c>
      <c r="D178" s="11" t="n">
        <v>46054</v>
      </c>
      <c r="E178" s="4" t="s">
        <v>201</v>
      </c>
      <c r="F178" s="4" t="s">
        <v>208</v>
      </c>
      <c r="G178" s="4" t="n">
        <v>10</v>
      </c>
      <c r="H178" s="4" t="n">
        <v>3</v>
      </c>
      <c r="I178" s="4" t="n">
        <v>1</v>
      </c>
      <c r="J178" s="4"/>
      <c r="K178" s="4" t="n">
        <v>0</v>
      </c>
      <c r="L178" s="12" t="n">
        <v>0.205435</v>
      </c>
      <c r="M178" s="12" t="n">
        <v>0.184211</v>
      </c>
      <c r="N178" s="12" t="n">
        <v>0.063441</v>
      </c>
      <c r="O178" s="12" t="n">
        <v>0.106183</v>
      </c>
      <c r="P178" s="12" t="n">
        <v>0.065914</v>
      </c>
      <c r="Q178" s="0" t="str">
        <f aca="false">IF(L178&gt;=Models!$G$5,1+COUNTIF($L$5:$L$1517,"&gt;"&amp;L178)+COUNTIFS($L$5:$L$1517,L178,$B$5:$B$1517,"&lt;"&amp;B178)+COUNTIFS($L$5:$L$1517,L178,$B$5:$B$1517,B178,$C$5:$C$1517,"&lt;"&amp;C178),"")</f>
        <v/>
      </c>
      <c r="R178" s="8" t="n">
        <f aca="false">IF(M178&gt;=Models!$G$6,1+COUNTIF($M$5:$M$1517,"&gt;"&amp;M178)+COUNTIFS($M$5:$M$1517,M178,$B$5:$B$1517,"&lt;"&amp;B178)+COUNTIFS($M$5:$M$1517,M178,$B$5:$B$1517,B178,$C$5:$C$1517,"&lt;"&amp;C178),"")</f>
        <v>73</v>
      </c>
      <c r="S178" s="0" t="str">
        <f aca="false">IF(N178&gt;=Models!$G$7,1+COUNTIF($N$5:$N$1517,"&gt;"&amp;N178)+COUNTIFS($N$5:$N$1517,N178,$B$5:$B$1517,"&lt;"&amp;B178)+COUNTIFS($N$5:$N$1517,N178,$B$5:$B$1517,B178,$C$5:$C$1517,"&lt;"&amp;C178),"")</f>
        <v/>
      </c>
      <c r="T178" s="8" t="n">
        <f aca="false">IF(O178&gt;=Models!$G$8,1+COUNTIF($O$5:$O$1517,"&gt;"&amp;O178)+COUNTIFS($O$5:$O$1517,O178,$B$5:$B$1517,"&lt;"&amp;B178)+COUNTIFS($O$5:$O$1517,O178,$B$5:$B$1517,B178,$C$5:$C$1517,"&lt;"&amp;C178),"")</f>
        <v>657</v>
      </c>
      <c r="U178" s="8" t="n">
        <f aca="false">IF($K178=1,COUNTIFS($L$5:$L$1517,"&gt;="&amp;L178,$K$5:$K$1517,1)/COUNTIF($L$5:$L$1517,"&gt;="&amp;L178),0)</f>
        <v>0</v>
      </c>
      <c r="V178" s="8" t="n">
        <f aca="false">IF($K178=1,COUNTIFS($M$5:$M$1517,"&gt;="&amp;M178,$K$5:$K$1517,1)/COUNTIF($M$5:$M$1517,"&gt;="&amp;M178),0)</f>
        <v>0</v>
      </c>
      <c r="W178" s="8" t="n">
        <f aca="false">IF($K178=1,COUNTIFS($N$5:$N$1517,"&gt;="&amp;N178,$K$5:$K$1517,1)/COUNTIF($N$5:$N$1517,"&gt;="&amp;N178),0)</f>
        <v>0</v>
      </c>
      <c r="X178" s="8" t="n">
        <f aca="false">IF($K178=1,COUNTIFS($O$5:$O$1517,"&gt;="&amp;O178,$K$5:$K$1517,1)/COUNTIF($O$5:$O$1517,"&gt;="&amp;O178),0)</f>
        <v>0</v>
      </c>
      <c r="Y178" s="8" t="n">
        <f aca="false">IF($K178=1,COUNTIFS($P$5:$P$1517,"&gt;="&amp;P178,$K$5:$K$1517,1)/COUNTIF($P$5:$P$1517,"&gt;="&amp;P178),0)</f>
        <v>0</v>
      </c>
      <c r="Z178" s="8" t="n">
        <f aca="false">(L178-$K178)^2</f>
        <v>0.042203539225</v>
      </c>
      <c r="AA178" s="8" t="n">
        <f aca="false">(M178-$K178)^2</f>
        <v>0.033933692521</v>
      </c>
      <c r="AB178" s="8" t="n">
        <f aca="false">(N178-$K178)^2</f>
        <v>0.004024760481</v>
      </c>
      <c r="AC178" s="8" t="n">
        <f aca="false">(O178-$K178)^2</f>
        <v>0.011274829489</v>
      </c>
      <c r="AD178" s="8" t="n">
        <f aca="false">(P178-$K178)^2</f>
        <v>0.004344655396</v>
      </c>
      <c r="AE178" s="8" t="n">
        <f aca="false">MIN(INT(ROUND(N178*1000000,0)/100000),9)</f>
        <v>0</v>
      </c>
      <c r="AF178" s="8" t="n">
        <f aca="false">MIN(INT(ROUND(P178*1000000,0)/100000),9)</f>
        <v>0</v>
      </c>
    </row>
    <row r="179" customFormat="false" ht="15" hidden="false" customHeight="false" outlineLevel="0" collapsed="false">
      <c r="A179" s="4" t="n">
        <v>175</v>
      </c>
      <c r="B179" s="4" t="n">
        <v>859</v>
      </c>
      <c r="C179" s="4" t="n">
        <v>0</v>
      </c>
      <c r="D179" s="11" t="n">
        <v>46054</v>
      </c>
      <c r="E179" s="4" t="s">
        <v>204</v>
      </c>
      <c r="F179" s="4" t="s">
        <v>206</v>
      </c>
      <c r="G179" s="4" t="n">
        <v>4</v>
      </c>
      <c r="H179" s="4" t="n">
        <v>16</v>
      </c>
      <c r="I179" s="4" t="n">
        <v>0</v>
      </c>
      <c r="J179" s="4"/>
      <c r="K179" s="4" t="n">
        <v>0</v>
      </c>
      <c r="L179" s="12" t="n">
        <v>0.33673</v>
      </c>
      <c r="M179" s="12" t="n">
        <v>0.092063</v>
      </c>
      <c r="N179" s="12" t="n">
        <v>0.066505</v>
      </c>
      <c r="O179" s="12" t="n">
        <v>0.106183</v>
      </c>
      <c r="P179" s="12" t="n">
        <v>0.069243</v>
      </c>
      <c r="Q179" s="0" t="str">
        <f aca="false">IF(L179&gt;=Models!$G$5,1+COUNTIF($L$5:$L$1517,"&gt;"&amp;L179)+COUNTIFS($L$5:$L$1517,L179,$B$5:$B$1517,"&lt;"&amp;B179)+COUNTIFS($L$5:$L$1517,L179,$B$5:$B$1517,B179,$C$5:$C$1517,"&lt;"&amp;C179),"")</f>
        <v/>
      </c>
      <c r="R179" s="0" t="str">
        <f aca="false">IF(M179&gt;=Models!$G$6,1+COUNTIF($M$5:$M$1517,"&gt;"&amp;M179)+COUNTIFS($M$5:$M$1517,M179,$B$5:$B$1517,"&lt;"&amp;B179)+COUNTIFS($M$5:$M$1517,M179,$B$5:$B$1517,B179,$C$5:$C$1517,"&lt;"&amp;C179),"")</f>
        <v/>
      </c>
      <c r="S179" s="0" t="str">
        <f aca="false">IF(N179&gt;=Models!$G$7,1+COUNTIF($N$5:$N$1517,"&gt;"&amp;N179)+COUNTIFS($N$5:$N$1517,N179,$B$5:$B$1517,"&lt;"&amp;B179)+COUNTIFS($N$5:$N$1517,N179,$B$5:$B$1517,B179,$C$5:$C$1517,"&lt;"&amp;C179),"")</f>
        <v/>
      </c>
      <c r="T179" s="8" t="n">
        <f aca="false">IF(O179&gt;=Models!$G$8,1+COUNTIF($O$5:$O$1517,"&gt;"&amp;O179)+COUNTIFS($O$5:$O$1517,O179,$B$5:$B$1517,"&lt;"&amp;B179)+COUNTIFS($O$5:$O$1517,O179,$B$5:$B$1517,B179,$C$5:$C$1517,"&lt;"&amp;C179),"")</f>
        <v>661</v>
      </c>
      <c r="U179" s="8" t="n">
        <f aca="false">IF($K179=1,COUNTIFS($L$5:$L$1517,"&gt;="&amp;L179,$K$5:$K$1517,1)/COUNTIF($L$5:$L$1517,"&gt;="&amp;L179),0)</f>
        <v>0</v>
      </c>
      <c r="V179" s="8" t="n">
        <f aca="false">IF($K179=1,COUNTIFS($M$5:$M$1517,"&gt;="&amp;M179,$K$5:$K$1517,1)/COUNTIF($M$5:$M$1517,"&gt;="&amp;M179),0)</f>
        <v>0</v>
      </c>
      <c r="W179" s="8" t="n">
        <f aca="false">IF($K179=1,COUNTIFS($N$5:$N$1517,"&gt;="&amp;N179,$K$5:$K$1517,1)/COUNTIF($N$5:$N$1517,"&gt;="&amp;N179),0)</f>
        <v>0</v>
      </c>
      <c r="X179" s="8" t="n">
        <f aca="false">IF($K179=1,COUNTIFS($O$5:$O$1517,"&gt;="&amp;O179,$K$5:$K$1517,1)/COUNTIF($O$5:$O$1517,"&gt;="&amp;O179),0)</f>
        <v>0</v>
      </c>
      <c r="Y179" s="8" t="n">
        <f aca="false">IF($K179=1,COUNTIFS($P$5:$P$1517,"&gt;="&amp;P179,$K$5:$K$1517,1)/COUNTIF($P$5:$P$1517,"&gt;="&amp;P179),0)</f>
        <v>0</v>
      </c>
      <c r="Z179" s="8" t="n">
        <f aca="false">(L179-$K179)^2</f>
        <v>0.1133870929</v>
      </c>
      <c r="AA179" s="8" t="n">
        <f aca="false">(M179-$K179)^2</f>
        <v>0.008475595969</v>
      </c>
      <c r="AB179" s="8" t="n">
        <f aca="false">(N179-$K179)^2</f>
        <v>0.004422915025</v>
      </c>
      <c r="AC179" s="8" t="n">
        <f aca="false">(O179-$K179)^2</f>
        <v>0.011274829489</v>
      </c>
      <c r="AD179" s="8" t="n">
        <f aca="false">(P179-$K179)^2</f>
        <v>0.004794593049</v>
      </c>
      <c r="AE179" s="8" t="n">
        <f aca="false">MIN(INT(ROUND(N179*1000000,0)/100000),9)</f>
        <v>0</v>
      </c>
      <c r="AF179" s="8" t="n">
        <f aca="false">MIN(INT(ROUND(P179*1000000,0)/100000),9)</f>
        <v>0</v>
      </c>
    </row>
    <row r="180" customFormat="false" ht="15" hidden="false" customHeight="false" outlineLevel="0" collapsed="false">
      <c r="A180" s="4" t="n">
        <v>176</v>
      </c>
      <c r="B180" s="4" t="n">
        <v>863</v>
      </c>
      <c r="C180" s="4" t="n">
        <v>0</v>
      </c>
      <c r="D180" s="11" t="n">
        <v>46054</v>
      </c>
      <c r="E180" s="4" t="s">
        <v>203</v>
      </c>
      <c r="F180" s="4" t="s">
        <v>206</v>
      </c>
      <c r="G180" s="4" t="n">
        <v>7</v>
      </c>
      <c r="H180" s="4" t="n">
        <v>8</v>
      </c>
      <c r="I180" s="4" t="n">
        <v>0</v>
      </c>
      <c r="J180" s="4" t="n">
        <v>444</v>
      </c>
      <c r="K180" s="4" t="n">
        <v>0</v>
      </c>
      <c r="L180" s="12" t="n">
        <v>0.08488</v>
      </c>
      <c r="M180" s="12" t="n">
        <v>0.092063</v>
      </c>
      <c r="N180" s="12" t="n">
        <v>0.095675</v>
      </c>
      <c r="O180" s="12" t="n">
        <v>0.106183</v>
      </c>
      <c r="P180" s="12" t="n">
        <v>0.101185</v>
      </c>
      <c r="Q180" s="0" t="str">
        <f aca="false">IF(L180&gt;=Models!$G$5,1+COUNTIF($L$5:$L$1517,"&gt;"&amp;L180)+COUNTIFS($L$5:$L$1517,L180,$B$5:$B$1517,"&lt;"&amp;B180)+COUNTIFS($L$5:$L$1517,L180,$B$5:$B$1517,B180,$C$5:$C$1517,"&lt;"&amp;C180),"")</f>
        <v/>
      </c>
      <c r="R180" s="0" t="str">
        <f aca="false">IF(M180&gt;=Models!$G$6,1+COUNTIF($M$5:$M$1517,"&gt;"&amp;M180)+COUNTIFS($M$5:$M$1517,M180,$B$5:$B$1517,"&lt;"&amp;B180)+COUNTIFS($M$5:$M$1517,M180,$B$5:$B$1517,B180,$C$5:$C$1517,"&lt;"&amp;C180),"")</f>
        <v/>
      </c>
      <c r="S180" s="0" t="str">
        <f aca="false">IF(N180&gt;=Models!$G$7,1+COUNTIF($N$5:$N$1517,"&gt;"&amp;N180)+COUNTIFS($N$5:$N$1517,N180,$B$5:$B$1517,"&lt;"&amp;B180)+COUNTIFS($N$5:$N$1517,N180,$B$5:$B$1517,B180,$C$5:$C$1517,"&lt;"&amp;C180),"")</f>
        <v/>
      </c>
      <c r="T180" s="8" t="n">
        <f aca="false">IF(O180&gt;=Models!$G$8,1+COUNTIF($O$5:$O$1517,"&gt;"&amp;O180)+COUNTIFS($O$5:$O$1517,O180,$B$5:$B$1517,"&lt;"&amp;B180)+COUNTIFS($O$5:$O$1517,O180,$B$5:$B$1517,B180,$C$5:$C$1517,"&lt;"&amp;C180),"")</f>
        <v>665</v>
      </c>
      <c r="U180" s="8" t="n">
        <f aca="false">IF($K180=1,COUNTIFS($L$5:$L$1517,"&gt;="&amp;L180,$K$5:$K$1517,1)/COUNTIF($L$5:$L$1517,"&gt;="&amp;L180),0)</f>
        <v>0</v>
      </c>
      <c r="V180" s="8" t="n">
        <f aca="false">IF($K180=1,COUNTIFS($M$5:$M$1517,"&gt;="&amp;M180,$K$5:$K$1517,1)/COUNTIF($M$5:$M$1517,"&gt;="&amp;M180),0)</f>
        <v>0</v>
      </c>
      <c r="W180" s="8" t="n">
        <f aca="false">IF($K180=1,COUNTIFS($N$5:$N$1517,"&gt;="&amp;N180,$K$5:$K$1517,1)/COUNTIF($N$5:$N$1517,"&gt;="&amp;N180),0)</f>
        <v>0</v>
      </c>
      <c r="X180" s="8" t="n">
        <f aca="false">IF($K180=1,COUNTIFS($O$5:$O$1517,"&gt;="&amp;O180,$K$5:$K$1517,1)/COUNTIF($O$5:$O$1517,"&gt;="&amp;O180),0)</f>
        <v>0</v>
      </c>
      <c r="Y180" s="8" t="n">
        <f aca="false">IF($K180=1,COUNTIFS($P$5:$P$1517,"&gt;="&amp;P180,$K$5:$K$1517,1)/COUNTIF($P$5:$P$1517,"&gt;="&amp;P180),0)</f>
        <v>0</v>
      </c>
      <c r="Z180" s="8" t="n">
        <f aca="false">(L180-$K180)^2</f>
        <v>0.0072046144</v>
      </c>
      <c r="AA180" s="8" t="n">
        <f aca="false">(M180-$K180)^2</f>
        <v>0.008475595969</v>
      </c>
      <c r="AB180" s="8" t="n">
        <f aca="false">(N180-$K180)^2</f>
        <v>0.009153705625</v>
      </c>
      <c r="AC180" s="8" t="n">
        <f aca="false">(O180-$K180)^2</f>
        <v>0.011274829489</v>
      </c>
      <c r="AD180" s="8" t="n">
        <f aca="false">(P180-$K180)^2</f>
        <v>0.010238404225</v>
      </c>
      <c r="AE180" s="8" t="n">
        <f aca="false">MIN(INT(ROUND(N180*1000000,0)/100000),9)</f>
        <v>0</v>
      </c>
      <c r="AF180" s="8" t="n">
        <f aca="false">MIN(INT(ROUND(P180*1000000,0)/100000),9)</f>
        <v>1</v>
      </c>
    </row>
    <row r="181" customFormat="false" ht="15" hidden="false" customHeight="false" outlineLevel="0" collapsed="false">
      <c r="A181" s="4" t="n">
        <v>177</v>
      </c>
      <c r="B181" s="4" t="n">
        <v>864</v>
      </c>
      <c r="C181" s="4" t="n">
        <v>0</v>
      </c>
      <c r="D181" s="11" t="n">
        <v>46054</v>
      </c>
      <c r="E181" s="4" t="s">
        <v>203</v>
      </c>
      <c r="F181" s="4" t="s">
        <v>206</v>
      </c>
      <c r="G181" s="4" t="n">
        <v>11</v>
      </c>
      <c r="H181" s="4" t="n">
        <v>3</v>
      </c>
      <c r="I181" s="4" t="n">
        <v>0</v>
      </c>
      <c r="J181" s="4"/>
      <c r="K181" s="4" t="n">
        <v>0</v>
      </c>
      <c r="L181" s="12" t="n">
        <v>0.012284</v>
      </c>
      <c r="M181" s="12" t="n">
        <v>0.092063</v>
      </c>
      <c r="N181" s="12" t="n">
        <v>0.032986</v>
      </c>
      <c r="O181" s="12" t="n">
        <v>0.106183</v>
      </c>
      <c r="P181" s="12" t="n">
        <v>0.03325</v>
      </c>
      <c r="Q181" s="0" t="str">
        <f aca="false">IF(L181&gt;=Models!$G$5,1+COUNTIF($L$5:$L$1517,"&gt;"&amp;L181)+COUNTIFS($L$5:$L$1517,L181,$B$5:$B$1517,"&lt;"&amp;B181)+COUNTIFS($L$5:$L$1517,L181,$B$5:$B$1517,B181,$C$5:$C$1517,"&lt;"&amp;C181),"")</f>
        <v/>
      </c>
      <c r="R181" s="0" t="str">
        <f aca="false">IF(M181&gt;=Models!$G$6,1+COUNTIF($M$5:$M$1517,"&gt;"&amp;M181)+COUNTIFS($M$5:$M$1517,M181,$B$5:$B$1517,"&lt;"&amp;B181)+COUNTIFS($M$5:$M$1517,M181,$B$5:$B$1517,B181,$C$5:$C$1517,"&lt;"&amp;C181),"")</f>
        <v/>
      </c>
      <c r="S181" s="0" t="str">
        <f aca="false">IF(N181&gt;=Models!$G$7,1+COUNTIF($N$5:$N$1517,"&gt;"&amp;N181)+COUNTIFS($N$5:$N$1517,N181,$B$5:$B$1517,"&lt;"&amp;B181)+COUNTIFS($N$5:$N$1517,N181,$B$5:$B$1517,B181,$C$5:$C$1517,"&lt;"&amp;C181),"")</f>
        <v/>
      </c>
      <c r="T181" s="8" t="n">
        <f aca="false">IF(O181&gt;=Models!$G$8,1+COUNTIF($O$5:$O$1517,"&gt;"&amp;O181)+COUNTIFS($O$5:$O$1517,O181,$B$5:$B$1517,"&lt;"&amp;B181)+COUNTIFS($O$5:$O$1517,O181,$B$5:$B$1517,B181,$C$5:$C$1517,"&lt;"&amp;C181),"")</f>
        <v>669</v>
      </c>
      <c r="U181" s="8" t="n">
        <f aca="false">IF($K181=1,COUNTIFS($L$5:$L$1517,"&gt;="&amp;L181,$K$5:$K$1517,1)/COUNTIF($L$5:$L$1517,"&gt;="&amp;L181),0)</f>
        <v>0</v>
      </c>
      <c r="V181" s="8" t="n">
        <f aca="false">IF($K181=1,COUNTIFS($M$5:$M$1517,"&gt;="&amp;M181,$K$5:$K$1517,1)/COUNTIF($M$5:$M$1517,"&gt;="&amp;M181),0)</f>
        <v>0</v>
      </c>
      <c r="W181" s="8" t="n">
        <f aca="false">IF($K181=1,COUNTIFS($N$5:$N$1517,"&gt;="&amp;N181,$K$5:$K$1517,1)/COUNTIF($N$5:$N$1517,"&gt;="&amp;N181),0)</f>
        <v>0</v>
      </c>
      <c r="X181" s="8" t="n">
        <f aca="false">IF($K181=1,COUNTIFS($O$5:$O$1517,"&gt;="&amp;O181,$K$5:$K$1517,1)/COUNTIF($O$5:$O$1517,"&gt;="&amp;O181),0)</f>
        <v>0</v>
      </c>
      <c r="Y181" s="8" t="n">
        <f aca="false">IF($K181=1,COUNTIFS($P$5:$P$1517,"&gt;="&amp;P181,$K$5:$K$1517,1)/COUNTIF($P$5:$P$1517,"&gt;="&amp;P181),0)</f>
        <v>0</v>
      </c>
      <c r="Z181" s="8" t="n">
        <f aca="false">(L181-$K181)^2</f>
        <v>0.000150896656</v>
      </c>
      <c r="AA181" s="8" t="n">
        <f aca="false">(M181-$K181)^2</f>
        <v>0.008475595969</v>
      </c>
      <c r="AB181" s="8" t="n">
        <f aca="false">(N181-$K181)^2</f>
        <v>0.001088076196</v>
      </c>
      <c r="AC181" s="8" t="n">
        <f aca="false">(O181-$K181)^2</f>
        <v>0.011274829489</v>
      </c>
      <c r="AD181" s="8" t="n">
        <f aca="false">(P181-$K181)^2</f>
        <v>0.0011055625</v>
      </c>
      <c r="AE181" s="8" t="n">
        <f aca="false">MIN(INT(ROUND(N181*1000000,0)/100000),9)</f>
        <v>0</v>
      </c>
      <c r="AF181" s="8" t="n">
        <f aca="false">MIN(INT(ROUND(P181*1000000,0)/100000),9)</f>
        <v>0</v>
      </c>
    </row>
    <row r="182" customFormat="false" ht="15" hidden="false" customHeight="false" outlineLevel="0" collapsed="false">
      <c r="A182" s="4" t="n">
        <v>178</v>
      </c>
      <c r="B182" s="4" t="n">
        <v>865</v>
      </c>
      <c r="C182" s="4" t="n">
        <v>0</v>
      </c>
      <c r="D182" s="11" t="n">
        <v>46054</v>
      </c>
      <c r="E182" s="4" t="s">
        <v>203</v>
      </c>
      <c r="F182" s="4" t="s">
        <v>206</v>
      </c>
      <c r="G182" s="4" t="n">
        <v>2</v>
      </c>
      <c r="H182" s="4" t="n">
        <v>8</v>
      </c>
      <c r="I182" s="4" t="n">
        <v>0</v>
      </c>
      <c r="J182" s="4"/>
      <c r="K182" s="4" t="n">
        <v>0</v>
      </c>
      <c r="L182" s="12" t="n">
        <v>0.948856</v>
      </c>
      <c r="M182" s="12" t="n">
        <v>0.092063</v>
      </c>
      <c r="N182" s="12" t="n">
        <v>0.073971</v>
      </c>
      <c r="O182" s="12" t="n">
        <v>0.106183</v>
      </c>
      <c r="P182" s="12" t="n">
        <v>0.077379</v>
      </c>
      <c r="Q182" s="0" t="str">
        <f aca="false">IF(L182&gt;=Models!$G$5,1+COUNTIF($L$5:$L$1517,"&gt;"&amp;L182)+COUNTIFS($L$5:$L$1517,L182,$B$5:$B$1517,"&lt;"&amp;B182)+COUNTIFS($L$5:$L$1517,L182,$B$5:$B$1517,B182,$C$5:$C$1517,"&lt;"&amp;C182),"")</f>
        <v/>
      </c>
      <c r="R182" s="0" t="str">
        <f aca="false">IF(M182&gt;=Models!$G$6,1+COUNTIF($M$5:$M$1517,"&gt;"&amp;M182)+COUNTIFS($M$5:$M$1517,M182,$B$5:$B$1517,"&lt;"&amp;B182)+COUNTIFS($M$5:$M$1517,M182,$B$5:$B$1517,B182,$C$5:$C$1517,"&lt;"&amp;C182),"")</f>
        <v/>
      </c>
      <c r="S182" s="0" t="str">
        <f aca="false">IF(N182&gt;=Models!$G$7,1+COUNTIF($N$5:$N$1517,"&gt;"&amp;N182)+COUNTIFS($N$5:$N$1517,N182,$B$5:$B$1517,"&lt;"&amp;B182)+COUNTIFS($N$5:$N$1517,N182,$B$5:$B$1517,B182,$C$5:$C$1517,"&lt;"&amp;C182),"")</f>
        <v/>
      </c>
      <c r="T182" s="8" t="n">
        <f aca="false">IF(O182&gt;=Models!$G$8,1+COUNTIF($O$5:$O$1517,"&gt;"&amp;O182)+COUNTIFS($O$5:$O$1517,O182,$B$5:$B$1517,"&lt;"&amp;B182)+COUNTIFS($O$5:$O$1517,O182,$B$5:$B$1517,B182,$C$5:$C$1517,"&lt;"&amp;C182),"")</f>
        <v>673</v>
      </c>
      <c r="U182" s="8" t="n">
        <f aca="false">IF($K182=1,COUNTIFS($L$5:$L$1517,"&gt;="&amp;L182,$K$5:$K$1517,1)/COUNTIF($L$5:$L$1517,"&gt;="&amp;L182),0)</f>
        <v>0</v>
      </c>
      <c r="V182" s="8" t="n">
        <f aca="false">IF($K182=1,COUNTIFS($M$5:$M$1517,"&gt;="&amp;M182,$K$5:$K$1517,1)/COUNTIF($M$5:$M$1517,"&gt;="&amp;M182),0)</f>
        <v>0</v>
      </c>
      <c r="W182" s="8" t="n">
        <f aca="false">IF($K182=1,COUNTIFS($N$5:$N$1517,"&gt;="&amp;N182,$K$5:$K$1517,1)/COUNTIF($N$5:$N$1517,"&gt;="&amp;N182),0)</f>
        <v>0</v>
      </c>
      <c r="X182" s="8" t="n">
        <f aca="false">IF($K182=1,COUNTIFS($O$5:$O$1517,"&gt;="&amp;O182,$K$5:$K$1517,1)/COUNTIF($O$5:$O$1517,"&gt;="&amp;O182),0)</f>
        <v>0</v>
      </c>
      <c r="Y182" s="8" t="n">
        <f aca="false">IF($K182=1,COUNTIFS($P$5:$P$1517,"&gt;="&amp;P182,$K$5:$K$1517,1)/COUNTIF($P$5:$P$1517,"&gt;="&amp;P182),0)</f>
        <v>0</v>
      </c>
      <c r="Z182" s="8" t="n">
        <f aca="false">(L182-$K182)^2</f>
        <v>0.900327708736</v>
      </c>
      <c r="AA182" s="8" t="n">
        <f aca="false">(M182-$K182)^2</f>
        <v>0.008475595969</v>
      </c>
      <c r="AB182" s="8" t="n">
        <f aca="false">(N182-$K182)^2</f>
        <v>0.005471708841</v>
      </c>
      <c r="AC182" s="8" t="n">
        <f aca="false">(O182-$K182)^2</f>
        <v>0.011274829489</v>
      </c>
      <c r="AD182" s="8" t="n">
        <f aca="false">(P182-$K182)^2</f>
        <v>0.005987509641</v>
      </c>
      <c r="AE182" s="8" t="n">
        <f aca="false">MIN(INT(ROUND(N182*1000000,0)/100000),9)</f>
        <v>0</v>
      </c>
      <c r="AF182" s="8" t="n">
        <f aca="false">MIN(INT(ROUND(P182*1000000,0)/100000),9)</f>
        <v>0</v>
      </c>
    </row>
    <row r="183" customFormat="false" ht="15" hidden="false" customHeight="false" outlineLevel="0" collapsed="false">
      <c r="A183" s="4" t="n">
        <v>179</v>
      </c>
      <c r="B183" s="4" t="n">
        <v>866</v>
      </c>
      <c r="C183" s="4" t="n">
        <v>0</v>
      </c>
      <c r="D183" s="11" t="n">
        <v>46054</v>
      </c>
      <c r="E183" s="4" t="s">
        <v>201</v>
      </c>
      <c r="F183" s="4" t="s">
        <v>208</v>
      </c>
      <c r="G183" s="4" t="n">
        <v>15</v>
      </c>
      <c r="H183" s="4" t="n">
        <v>5</v>
      </c>
      <c r="I183" s="4" t="n">
        <v>0</v>
      </c>
      <c r="J183" s="4"/>
      <c r="K183" s="4" t="n">
        <v>1</v>
      </c>
      <c r="L183" s="12" t="n">
        <v>0.089494</v>
      </c>
      <c r="M183" s="12" t="n">
        <v>0.092063</v>
      </c>
      <c r="N183" s="12" t="n">
        <v>0.023621</v>
      </c>
      <c r="O183" s="12" t="n">
        <v>0.106183</v>
      </c>
      <c r="P183" s="12" t="n">
        <v>0.023435</v>
      </c>
      <c r="Q183" s="0" t="str">
        <f aca="false">IF(L183&gt;=Models!$G$5,1+COUNTIF($L$5:$L$1517,"&gt;"&amp;L183)+COUNTIFS($L$5:$L$1517,L183,$B$5:$B$1517,"&lt;"&amp;B183)+COUNTIFS($L$5:$L$1517,L183,$B$5:$B$1517,B183,$C$5:$C$1517,"&lt;"&amp;C183),"")</f>
        <v/>
      </c>
      <c r="R183" s="0" t="str">
        <f aca="false">IF(M183&gt;=Models!$G$6,1+COUNTIF($M$5:$M$1517,"&gt;"&amp;M183)+COUNTIFS($M$5:$M$1517,M183,$B$5:$B$1517,"&lt;"&amp;B183)+COUNTIFS($M$5:$M$1517,M183,$B$5:$B$1517,B183,$C$5:$C$1517,"&lt;"&amp;C183),"")</f>
        <v/>
      </c>
      <c r="S183" s="0" t="str">
        <f aca="false">IF(N183&gt;=Models!$G$7,1+COUNTIF($N$5:$N$1517,"&gt;"&amp;N183)+COUNTIFS($N$5:$N$1517,N183,$B$5:$B$1517,"&lt;"&amp;B183)+COUNTIFS($N$5:$N$1517,N183,$B$5:$B$1517,B183,$C$5:$C$1517,"&lt;"&amp;C183),"")</f>
        <v/>
      </c>
      <c r="T183" s="8" t="n">
        <f aca="false">IF(O183&gt;=Models!$G$8,1+COUNTIF($O$5:$O$1517,"&gt;"&amp;O183)+COUNTIFS($O$5:$O$1517,O183,$B$5:$B$1517,"&lt;"&amp;B183)+COUNTIFS($O$5:$O$1517,O183,$B$5:$B$1517,B183,$C$5:$C$1517,"&lt;"&amp;C183),"")</f>
        <v>677</v>
      </c>
      <c r="U183" s="8" t="n">
        <f aca="false">IF($K183=1,COUNTIFS($L$5:$L$1517,"&gt;="&amp;L183,$K$5:$K$1517,1)/COUNTIF($L$5:$L$1517,"&gt;="&amp;L183),0)</f>
        <v>0.124454148471616</v>
      </c>
      <c r="V183" s="8" t="n">
        <f aca="false">IF($K183=1,COUNTIFS($M$5:$M$1517,"&gt;="&amp;M183,$K$5:$K$1517,1)/COUNTIF($M$5:$M$1517,"&gt;="&amp;M183),0)</f>
        <v>0.12491738268341</v>
      </c>
      <c r="W183" s="8" t="n">
        <f aca="false">IF($K183=1,COUNTIFS($N$5:$N$1517,"&gt;="&amp;N183,$K$5:$K$1517,1)/COUNTIF($N$5:$N$1517,"&gt;="&amp;N183),0)</f>
        <v>0.131782945736434</v>
      </c>
      <c r="X183" s="8" t="n">
        <f aca="false">IF($K183=1,COUNTIFS($O$5:$O$1517,"&gt;="&amp;O183,$K$5:$K$1517,1)/COUNTIF($O$5:$O$1517,"&gt;="&amp;O183),0)</f>
        <v>0.12491738268341</v>
      </c>
      <c r="Y183" s="8" t="n">
        <f aca="false">IF($K183=1,COUNTIFS($P$5:$P$1517,"&gt;="&amp;P183,$K$5:$K$1517,1)/COUNTIF($P$5:$P$1517,"&gt;="&amp;P183),0)</f>
        <v>0.131782945736434</v>
      </c>
      <c r="Z183" s="8" t="n">
        <f aca="false">(L183-$K183)^2</f>
        <v>0.829021176036</v>
      </c>
      <c r="AA183" s="8" t="n">
        <f aca="false">(M183-$K183)^2</f>
        <v>0.824349595969</v>
      </c>
      <c r="AB183" s="8" t="n">
        <f aca="false">(N183-$K183)^2</f>
        <v>0.953315951641</v>
      </c>
      <c r="AC183" s="8" t="n">
        <f aca="false">(O183-$K183)^2</f>
        <v>0.798908829489</v>
      </c>
      <c r="AD183" s="8" t="n">
        <f aca="false">(P183-$K183)^2</f>
        <v>0.953679199225</v>
      </c>
      <c r="AE183" s="8" t="n">
        <f aca="false">MIN(INT(ROUND(N183*1000000,0)/100000),9)</f>
        <v>0</v>
      </c>
      <c r="AF183" s="8" t="n">
        <f aca="false">MIN(INT(ROUND(P183*1000000,0)/100000),9)</f>
        <v>0</v>
      </c>
    </row>
    <row r="184" customFormat="false" ht="15" hidden="false" customHeight="false" outlineLevel="0" collapsed="false">
      <c r="A184" s="4" t="n">
        <v>180</v>
      </c>
      <c r="B184" s="4" t="n">
        <v>874</v>
      </c>
      <c r="C184" s="4" t="n">
        <v>0</v>
      </c>
      <c r="D184" s="11" t="n">
        <v>46054</v>
      </c>
      <c r="E184" s="4" t="s">
        <v>201</v>
      </c>
      <c r="F184" s="4" t="s">
        <v>206</v>
      </c>
      <c r="G184" s="4" t="n">
        <v>4</v>
      </c>
      <c r="H184" s="4" t="n">
        <v>3</v>
      </c>
      <c r="I184" s="4" t="n">
        <v>0</v>
      </c>
      <c r="J184" s="4" t="n">
        <v>4269</v>
      </c>
      <c r="K184" s="4" t="n">
        <v>0</v>
      </c>
      <c r="L184" s="12" t="n">
        <v>0.879351</v>
      </c>
      <c r="M184" s="12" t="n">
        <v>0.092063</v>
      </c>
      <c r="N184" s="12" t="n">
        <v>0.096273</v>
      </c>
      <c r="O184" s="12" t="n">
        <v>0.106183</v>
      </c>
      <c r="P184" s="12" t="n">
        <v>0.101843</v>
      </c>
      <c r="Q184" s="0" t="str">
        <f aca="false">IF(L184&gt;=Models!$G$5,1+COUNTIF($L$5:$L$1517,"&gt;"&amp;L184)+COUNTIFS($L$5:$L$1517,L184,$B$5:$B$1517,"&lt;"&amp;B184)+COUNTIFS($L$5:$L$1517,L184,$B$5:$B$1517,B184,$C$5:$C$1517,"&lt;"&amp;C184),"")</f>
        <v/>
      </c>
      <c r="R184" s="0" t="str">
        <f aca="false">IF(M184&gt;=Models!$G$6,1+COUNTIF($M$5:$M$1517,"&gt;"&amp;M184)+COUNTIFS($M$5:$M$1517,M184,$B$5:$B$1517,"&lt;"&amp;B184)+COUNTIFS($M$5:$M$1517,M184,$B$5:$B$1517,B184,$C$5:$C$1517,"&lt;"&amp;C184),"")</f>
        <v/>
      </c>
      <c r="S184" s="0" t="str">
        <f aca="false">IF(N184&gt;=Models!$G$7,1+COUNTIF($N$5:$N$1517,"&gt;"&amp;N184)+COUNTIFS($N$5:$N$1517,N184,$B$5:$B$1517,"&lt;"&amp;B184)+COUNTIFS($N$5:$N$1517,N184,$B$5:$B$1517,B184,$C$5:$C$1517,"&lt;"&amp;C184),"")</f>
        <v/>
      </c>
      <c r="T184" s="8" t="n">
        <f aca="false">IF(O184&gt;=Models!$G$8,1+COUNTIF($O$5:$O$1517,"&gt;"&amp;O184)+COUNTIFS($O$5:$O$1517,O184,$B$5:$B$1517,"&lt;"&amp;B184)+COUNTIFS($O$5:$O$1517,O184,$B$5:$B$1517,B184,$C$5:$C$1517,"&lt;"&amp;C184),"")</f>
        <v>680</v>
      </c>
      <c r="U184" s="8" t="n">
        <f aca="false">IF($K184=1,COUNTIFS($L$5:$L$1517,"&gt;="&amp;L184,$K$5:$K$1517,1)/COUNTIF($L$5:$L$1517,"&gt;="&amp;L184),0)</f>
        <v>0</v>
      </c>
      <c r="V184" s="8" t="n">
        <f aca="false">IF($K184=1,COUNTIFS($M$5:$M$1517,"&gt;="&amp;M184,$K$5:$K$1517,1)/COUNTIF($M$5:$M$1517,"&gt;="&amp;M184),0)</f>
        <v>0</v>
      </c>
      <c r="W184" s="8" t="n">
        <f aca="false">IF($K184=1,COUNTIFS($N$5:$N$1517,"&gt;="&amp;N184,$K$5:$K$1517,1)/COUNTIF($N$5:$N$1517,"&gt;="&amp;N184),0)</f>
        <v>0</v>
      </c>
      <c r="X184" s="8" t="n">
        <f aca="false">IF($K184=1,COUNTIFS($O$5:$O$1517,"&gt;="&amp;O184,$K$5:$K$1517,1)/COUNTIF($O$5:$O$1517,"&gt;="&amp;O184),0)</f>
        <v>0</v>
      </c>
      <c r="Y184" s="8" t="n">
        <f aca="false">IF($K184=1,COUNTIFS($P$5:$P$1517,"&gt;="&amp;P184,$K$5:$K$1517,1)/COUNTIF($P$5:$P$1517,"&gt;="&amp;P184),0)</f>
        <v>0</v>
      </c>
      <c r="Z184" s="8" t="n">
        <f aca="false">(L184-$K184)^2</f>
        <v>0.773258181201</v>
      </c>
      <c r="AA184" s="8" t="n">
        <f aca="false">(M184-$K184)^2</f>
        <v>0.008475595969</v>
      </c>
      <c r="AB184" s="8" t="n">
        <f aca="false">(N184-$K184)^2</f>
        <v>0.009268490529</v>
      </c>
      <c r="AC184" s="8" t="n">
        <f aca="false">(O184-$K184)^2</f>
        <v>0.011274829489</v>
      </c>
      <c r="AD184" s="8" t="n">
        <f aca="false">(P184-$K184)^2</f>
        <v>0.010371996649</v>
      </c>
      <c r="AE184" s="8" t="n">
        <f aca="false">MIN(INT(ROUND(N184*1000000,0)/100000),9)</f>
        <v>0</v>
      </c>
      <c r="AF184" s="8" t="n">
        <f aca="false">MIN(INT(ROUND(P184*1000000,0)/100000),9)</f>
        <v>1</v>
      </c>
    </row>
    <row r="185" customFormat="false" ht="15" hidden="false" customHeight="false" outlineLevel="0" collapsed="false">
      <c r="A185" s="4" t="n">
        <v>181</v>
      </c>
      <c r="B185" s="4" t="n">
        <v>875</v>
      </c>
      <c r="C185" s="4" t="n">
        <v>0</v>
      </c>
      <c r="D185" s="11" t="n">
        <v>46054</v>
      </c>
      <c r="E185" s="4" t="s">
        <v>204</v>
      </c>
      <c r="F185" s="4" t="s">
        <v>206</v>
      </c>
      <c r="G185" s="4" t="n">
        <v>6</v>
      </c>
      <c r="H185" s="4" t="n">
        <v>3</v>
      </c>
      <c r="I185" s="4" t="n">
        <v>0</v>
      </c>
      <c r="J185" s="4" t="n">
        <v>96</v>
      </c>
      <c r="K185" s="4" t="n">
        <v>1</v>
      </c>
      <c r="L185" s="12" t="n">
        <v>0.907091</v>
      </c>
      <c r="M185" s="12" t="n">
        <v>0.092063</v>
      </c>
      <c r="N185" s="12" t="n">
        <v>0.101835</v>
      </c>
      <c r="O185" s="12" t="n">
        <v>0.106183</v>
      </c>
      <c r="P185" s="12" t="n">
        <v>0.107974</v>
      </c>
      <c r="Q185" s="0" t="str">
        <f aca="false">IF(L185&gt;=Models!$G$5,1+COUNTIF($L$5:$L$1517,"&gt;"&amp;L185)+COUNTIFS($L$5:$L$1517,L185,$B$5:$B$1517,"&lt;"&amp;B185)+COUNTIFS($L$5:$L$1517,L185,$B$5:$B$1517,B185,$C$5:$C$1517,"&lt;"&amp;C185),"")</f>
        <v/>
      </c>
      <c r="R185" s="0" t="str">
        <f aca="false">IF(M185&gt;=Models!$G$6,1+COUNTIF($M$5:$M$1517,"&gt;"&amp;M185)+COUNTIFS($M$5:$M$1517,M185,$B$5:$B$1517,"&lt;"&amp;B185)+COUNTIFS($M$5:$M$1517,M185,$B$5:$B$1517,B185,$C$5:$C$1517,"&lt;"&amp;C185),"")</f>
        <v/>
      </c>
      <c r="S185" s="0" t="str">
        <f aca="false">IF(N185&gt;=Models!$G$7,1+COUNTIF($N$5:$N$1517,"&gt;"&amp;N185)+COUNTIFS($N$5:$N$1517,N185,$B$5:$B$1517,"&lt;"&amp;B185)+COUNTIFS($N$5:$N$1517,N185,$B$5:$B$1517,B185,$C$5:$C$1517,"&lt;"&amp;C185),"")</f>
        <v/>
      </c>
      <c r="T185" s="8" t="n">
        <f aca="false">IF(O185&gt;=Models!$G$8,1+COUNTIF($O$5:$O$1517,"&gt;"&amp;O185)+COUNTIFS($O$5:$O$1517,O185,$B$5:$B$1517,"&lt;"&amp;B185)+COUNTIFS($O$5:$O$1517,O185,$B$5:$B$1517,B185,$C$5:$C$1517,"&lt;"&amp;C185),"")</f>
        <v>684</v>
      </c>
      <c r="U185" s="8" t="n">
        <f aca="false">IF($K185=1,COUNTIFS($L$5:$L$1517,"&gt;="&amp;L185,$K$5:$K$1517,1)/COUNTIF($L$5:$L$1517,"&gt;="&amp;L185),0)</f>
        <v>0.154929577464789</v>
      </c>
      <c r="V185" s="8" t="n">
        <f aca="false">IF($K185=1,COUNTIFS($M$5:$M$1517,"&gt;="&amp;M185,$K$5:$K$1517,1)/COUNTIF($M$5:$M$1517,"&gt;="&amp;M185),0)</f>
        <v>0.12491738268341</v>
      </c>
      <c r="W185" s="8" t="n">
        <f aca="false">IF($K185=1,COUNTIFS($N$5:$N$1517,"&gt;="&amp;N185,$K$5:$K$1517,1)/COUNTIF($N$5:$N$1517,"&gt;="&amp;N185),0)</f>
        <v>0.18962962962963</v>
      </c>
      <c r="X185" s="8" t="n">
        <f aca="false">IF($K185=1,COUNTIFS($O$5:$O$1517,"&gt;="&amp;O185,$K$5:$K$1517,1)/COUNTIF($O$5:$O$1517,"&gt;="&amp;O185),0)</f>
        <v>0.12491738268341</v>
      </c>
      <c r="Y185" s="8" t="n">
        <f aca="false">IF($K185=1,COUNTIFS($P$5:$P$1517,"&gt;="&amp;P185,$K$5:$K$1517,1)/COUNTIF($P$5:$P$1517,"&gt;="&amp;P185),0)</f>
        <v>0.18962962962963</v>
      </c>
      <c r="Z185" s="8" t="n">
        <f aca="false">(L185-$K185)^2</f>
        <v>0.008632082281</v>
      </c>
      <c r="AA185" s="8" t="n">
        <f aca="false">(M185-$K185)^2</f>
        <v>0.824349595969</v>
      </c>
      <c r="AB185" s="8" t="n">
        <f aca="false">(N185-$K185)^2</f>
        <v>0.806700367225</v>
      </c>
      <c r="AC185" s="8" t="n">
        <f aca="false">(O185-$K185)^2</f>
        <v>0.798908829489</v>
      </c>
      <c r="AD185" s="8" t="n">
        <f aca="false">(P185-$K185)^2</f>
        <v>0.795710384676</v>
      </c>
      <c r="AE185" s="8" t="n">
        <f aca="false">MIN(INT(ROUND(N185*1000000,0)/100000),9)</f>
        <v>1</v>
      </c>
      <c r="AF185" s="8" t="n">
        <f aca="false">MIN(INT(ROUND(P185*1000000,0)/100000),9)</f>
        <v>1</v>
      </c>
    </row>
    <row r="186" customFormat="false" ht="15" hidden="false" customHeight="false" outlineLevel="0" collapsed="false">
      <c r="A186" s="4" t="n">
        <v>182</v>
      </c>
      <c r="B186" s="4" t="n">
        <v>876</v>
      </c>
      <c r="C186" s="4" t="n">
        <v>0</v>
      </c>
      <c r="D186" s="11" t="n">
        <v>46054</v>
      </c>
      <c r="E186" s="4" t="s">
        <v>203</v>
      </c>
      <c r="F186" s="4" t="s">
        <v>209</v>
      </c>
      <c r="G186" s="4" t="n">
        <v>10</v>
      </c>
      <c r="H186" s="4" t="n">
        <v>3</v>
      </c>
      <c r="I186" s="4" t="n">
        <v>0</v>
      </c>
      <c r="J186" s="4" t="n">
        <v>264</v>
      </c>
      <c r="K186" s="4" t="n">
        <v>0</v>
      </c>
      <c r="L186" s="12" t="n">
        <v>0.532848</v>
      </c>
      <c r="M186" s="12" t="n">
        <v>0.092063</v>
      </c>
      <c r="N186" s="12" t="n">
        <v>0.072647</v>
      </c>
      <c r="O186" s="12" t="n">
        <v>0.106183</v>
      </c>
      <c r="P186" s="12" t="n">
        <v>0.075934</v>
      </c>
      <c r="Q186" s="0" t="str">
        <f aca="false">IF(L186&gt;=Models!$G$5,1+COUNTIF($L$5:$L$1517,"&gt;"&amp;L186)+COUNTIFS($L$5:$L$1517,L186,$B$5:$B$1517,"&lt;"&amp;B186)+COUNTIFS($L$5:$L$1517,L186,$B$5:$B$1517,B186,$C$5:$C$1517,"&lt;"&amp;C186),"")</f>
        <v/>
      </c>
      <c r="R186" s="0" t="str">
        <f aca="false">IF(M186&gt;=Models!$G$6,1+COUNTIF($M$5:$M$1517,"&gt;"&amp;M186)+COUNTIFS($M$5:$M$1517,M186,$B$5:$B$1517,"&lt;"&amp;B186)+COUNTIFS($M$5:$M$1517,M186,$B$5:$B$1517,B186,$C$5:$C$1517,"&lt;"&amp;C186),"")</f>
        <v/>
      </c>
      <c r="S186" s="0" t="str">
        <f aca="false">IF(N186&gt;=Models!$G$7,1+COUNTIF($N$5:$N$1517,"&gt;"&amp;N186)+COUNTIFS($N$5:$N$1517,N186,$B$5:$B$1517,"&lt;"&amp;B186)+COUNTIFS($N$5:$N$1517,N186,$B$5:$B$1517,B186,$C$5:$C$1517,"&lt;"&amp;C186),"")</f>
        <v/>
      </c>
      <c r="T186" s="8" t="n">
        <f aca="false">IF(O186&gt;=Models!$G$8,1+COUNTIF($O$5:$O$1517,"&gt;"&amp;O186)+COUNTIFS($O$5:$O$1517,O186,$B$5:$B$1517,"&lt;"&amp;B186)+COUNTIFS($O$5:$O$1517,O186,$B$5:$B$1517,B186,$C$5:$C$1517,"&lt;"&amp;C186),"")</f>
        <v>685</v>
      </c>
      <c r="U186" s="8" t="n">
        <f aca="false">IF($K186=1,COUNTIFS($L$5:$L$1517,"&gt;="&amp;L186,$K$5:$K$1517,1)/COUNTIF($L$5:$L$1517,"&gt;="&amp;L186),0)</f>
        <v>0</v>
      </c>
      <c r="V186" s="8" t="n">
        <f aca="false">IF($K186=1,COUNTIFS($M$5:$M$1517,"&gt;="&amp;M186,$K$5:$K$1517,1)/COUNTIF($M$5:$M$1517,"&gt;="&amp;M186),0)</f>
        <v>0</v>
      </c>
      <c r="W186" s="8" t="n">
        <f aca="false">IF($K186=1,COUNTIFS($N$5:$N$1517,"&gt;="&amp;N186,$K$5:$K$1517,1)/COUNTIF($N$5:$N$1517,"&gt;="&amp;N186),0)</f>
        <v>0</v>
      </c>
      <c r="X186" s="8" t="n">
        <f aca="false">IF($K186=1,COUNTIFS($O$5:$O$1517,"&gt;="&amp;O186,$K$5:$K$1517,1)/COUNTIF($O$5:$O$1517,"&gt;="&amp;O186),0)</f>
        <v>0</v>
      </c>
      <c r="Y186" s="8" t="n">
        <f aca="false">IF($K186=1,COUNTIFS($P$5:$P$1517,"&gt;="&amp;P186,$K$5:$K$1517,1)/COUNTIF($P$5:$P$1517,"&gt;="&amp;P186),0)</f>
        <v>0</v>
      </c>
      <c r="Z186" s="8" t="n">
        <f aca="false">(L186-$K186)^2</f>
        <v>0.283926991104</v>
      </c>
      <c r="AA186" s="8" t="n">
        <f aca="false">(M186-$K186)^2</f>
        <v>0.008475595969</v>
      </c>
      <c r="AB186" s="8" t="n">
        <f aca="false">(N186-$K186)^2</f>
        <v>0.005277586609</v>
      </c>
      <c r="AC186" s="8" t="n">
        <f aca="false">(O186-$K186)^2</f>
        <v>0.011274829489</v>
      </c>
      <c r="AD186" s="8" t="n">
        <f aca="false">(P186-$K186)^2</f>
        <v>0.005765972356</v>
      </c>
      <c r="AE186" s="8" t="n">
        <f aca="false">MIN(INT(ROUND(N186*1000000,0)/100000),9)</f>
        <v>0</v>
      </c>
      <c r="AF186" s="8" t="n">
        <f aca="false">MIN(INT(ROUND(P186*1000000,0)/100000),9)</f>
        <v>0</v>
      </c>
    </row>
    <row r="187" customFormat="false" ht="15" hidden="false" customHeight="false" outlineLevel="0" collapsed="false">
      <c r="A187" s="4" t="n">
        <v>183</v>
      </c>
      <c r="B187" s="4" t="n">
        <v>877</v>
      </c>
      <c r="C187" s="4" t="n">
        <v>0</v>
      </c>
      <c r="D187" s="11" t="n">
        <v>46054</v>
      </c>
      <c r="E187" s="4" t="s">
        <v>203</v>
      </c>
      <c r="F187" s="4" t="s">
        <v>210</v>
      </c>
      <c r="G187" s="4" t="n">
        <v>4</v>
      </c>
      <c r="H187" s="4" t="n">
        <v>6</v>
      </c>
      <c r="I187" s="4" t="n">
        <v>0</v>
      </c>
      <c r="J187" s="4" t="n">
        <v>420</v>
      </c>
      <c r="K187" s="4" t="n">
        <v>0</v>
      </c>
      <c r="L187" s="12" t="n">
        <v>0.047516</v>
      </c>
      <c r="M187" s="12" t="n">
        <v>0.092063</v>
      </c>
      <c r="N187" s="12" t="n">
        <v>0.120124</v>
      </c>
      <c r="O187" s="12" t="n">
        <v>0.106183</v>
      </c>
      <c r="P187" s="12" t="n">
        <v>0.128194</v>
      </c>
      <c r="Q187" s="0" t="str">
        <f aca="false">IF(L187&gt;=Models!$G$5,1+COUNTIF($L$5:$L$1517,"&gt;"&amp;L187)+COUNTIFS($L$5:$L$1517,L187,$B$5:$B$1517,"&lt;"&amp;B187)+COUNTIFS($L$5:$L$1517,L187,$B$5:$B$1517,B187,$C$5:$C$1517,"&lt;"&amp;C187),"")</f>
        <v/>
      </c>
      <c r="R187" s="0" t="str">
        <f aca="false">IF(M187&gt;=Models!$G$6,1+COUNTIF($M$5:$M$1517,"&gt;"&amp;M187)+COUNTIFS($M$5:$M$1517,M187,$B$5:$B$1517,"&lt;"&amp;B187)+COUNTIFS($M$5:$M$1517,M187,$B$5:$B$1517,B187,$C$5:$C$1517,"&lt;"&amp;C187),"")</f>
        <v/>
      </c>
      <c r="S187" s="0" t="str">
        <f aca="false">IF(N187&gt;=Models!$G$7,1+COUNTIF($N$5:$N$1517,"&gt;"&amp;N187)+COUNTIFS($N$5:$N$1517,N187,$B$5:$B$1517,"&lt;"&amp;B187)+COUNTIFS($N$5:$N$1517,N187,$B$5:$B$1517,B187,$C$5:$C$1517,"&lt;"&amp;C187),"")</f>
        <v/>
      </c>
      <c r="T187" s="8" t="n">
        <f aca="false">IF(O187&gt;=Models!$G$8,1+COUNTIF($O$5:$O$1517,"&gt;"&amp;O187)+COUNTIFS($O$5:$O$1517,O187,$B$5:$B$1517,"&lt;"&amp;B187)+COUNTIFS($O$5:$O$1517,O187,$B$5:$B$1517,B187,$C$5:$C$1517,"&lt;"&amp;C187),"")</f>
        <v>689</v>
      </c>
      <c r="U187" s="8" t="n">
        <f aca="false">IF($K187=1,COUNTIFS($L$5:$L$1517,"&gt;="&amp;L187,$K$5:$K$1517,1)/COUNTIF($L$5:$L$1517,"&gt;="&amp;L187),0)</f>
        <v>0</v>
      </c>
      <c r="V187" s="8" t="n">
        <f aca="false">IF($K187=1,COUNTIFS($M$5:$M$1517,"&gt;="&amp;M187,$K$5:$K$1517,1)/COUNTIF($M$5:$M$1517,"&gt;="&amp;M187),0)</f>
        <v>0</v>
      </c>
      <c r="W187" s="8" t="n">
        <f aca="false">IF($K187=1,COUNTIFS($N$5:$N$1517,"&gt;="&amp;N187,$K$5:$K$1517,1)/COUNTIF($N$5:$N$1517,"&gt;="&amp;N187),0)</f>
        <v>0</v>
      </c>
      <c r="X187" s="8" t="n">
        <f aca="false">IF($K187=1,COUNTIFS($O$5:$O$1517,"&gt;="&amp;O187,$K$5:$K$1517,1)/COUNTIF($O$5:$O$1517,"&gt;="&amp;O187),0)</f>
        <v>0</v>
      </c>
      <c r="Y187" s="8" t="n">
        <f aca="false">IF($K187=1,COUNTIFS($P$5:$P$1517,"&gt;="&amp;P187,$K$5:$K$1517,1)/COUNTIF($P$5:$P$1517,"&gt;="&amp;P187),0)</f>
        <v>0</v>
      </c>
      <c r="Z187" s="8" t="n">
        <f aca="false">(L187-$K187)^2</f>
        <v>0.002257770256</v>
      </c>
      <c r="AA187" s="8" t="n">
        <f aca="false">(M187-$K187)^2</f>
        <v>0.008475595969</v>
      </c>
      <c r="AB187" s="8" t="n">
        <f aca="false">(N187-$K187)^2</f>
        <v>0.014429775376</v>
      </c>
      <c r="AC187" s="8" t="n">
        <f aca="false">(O187-$K187)^2</f>
        <v>0.011274829489</v>
      </c>
      <c r="AD187" s="8" t="n">
        <f aca="false">(P187-$K187)^2</f>
        <v>0.016433701636</v>
      </c>
      <c r="AE187" s="8" t="n">
        <f aca="false">MIN(INT(ROUND(N187*1000000,0)/100000),9)</f>
        <v>1</v>
      </c>
      <c r="AF187" s="8" t="n">
        <f aca="false">MIN(INT(ROUND(P187*1000000,0)/100000),9)</f>
        <v>1</v>
      </c>
    </row>
    <row r="188" customFormat="false" ht="15" hidden="false" customHeight="false" outlineLevel="0" collapsed="false">
      <c r="A188" s="4" t="n">
        <v>184</v>
      </c>
      <c r="B188" s="4" t="n">
        <v>880</v>
      </c>
      <c r="C188" s="4" t="n">
        <v>0</v>
      </c>
      <c r="D188" s="11" t="n">
        <v>46054</v>
      </c>
      <c r="E188" s="4" t="s">
        <v>201</v>
      </c>
      <c r="F188" s="4" t="s">
        <v>206</v>
      </c>
      <c r="G188" s="4" t="n">
        <v>15</v>
      </c>
      <c r="H188" s="4" t="n">
        <v>2</v>
      </c>
      <c r="I188" s="4" t="n">
        <v>0</v>
      </c>
      <c r="J188" s="4"/>
      <c r="K188" s="4" t="n">
        <v>0</v>
      </c>
      <c r="L188" s="12" t="n">
        <v>0.102192</v>
      </c>
      <c r="M188" s="12" t="n">
        <v>0.092063</v>
      </c>
      <c r="N188" s="12" t="n">
        <v>0.023061</v>
      </c>
      <c r="O188" s="12" t="n">
        <v>0.106183</v>
      </c>
      <c r="P188" s="12" t="n">
        <v>0.022853</v>
      </c>
      <c r="Q188" s="0" t="str">
        <f aca="false">IF(L188&gt;=Models!$G$5,1+COUNTIF($L$5:$L$1517,"&gt;"&amp;L188)+COUNTIFS($L$5:$L$1517,L188,$B$5:$B$1517,"&lt;"&amp;B188)+COUNTIFS($L$5:$L$1517,L188,$B$5:$B$1517,B188,$C$5:$C$1517,"&lt;"&amp;C188),"")</f>
        <v/>
      </c>
      <c r="R188" s="0" t="str">
        <f aca="false">IF(M188&gt;=Models!$G$6,1+COUNTIF($M$5:$M$1517,"&gt;"&amp;M188)+COUNTIFS($M$5:$M$1517,M188,$B$5:$B$1517,"&lt;"&amp;B188)+COUNTIFS($M$5:$M$1517,M188,$B$5:$B$1517,B188,$C$5:$C$1517,"&lt;"&amp;C188),"")</f>
        <v/>
      </c>
      <c r="S188" s="0" t="str">
        <f aca="false">IF(N188&gt;=Models!$G$7,1+COUNTIF($N$5:$N$1517,"&gt;"&amp;N188)+COUNTIFS($N$5:$N$1517,N188,$B$5:$B$1517,"&lt;"&amp;B188)+COUNTIFS($N$5:$N$1517,N188,$B$5:$B$1517,B188,$C$5:$C$1517,"&lt;"&amp;C188),"")</f>
        <v/>
      </c>
      <c r="T188" s="8" t="n">
        <f aca="false">IF(O188&gt;=Models!$G$8,1+COUNTIF($O$5:$O$1517,"&gt;"&amp;O188)+COUNTIFS($O$5:$O$1517,O188,$B$5:$B$1517,"&lt;"&amp;B188)+COUNTIFS($O$5:$O$1517,O188,$B$5:$B$1517,B188,$C$5:$C$1517,"&lt;"&amp;C188),"")</f>
        <v>693</v>
      </c>
      <c r="U188" s="8" t="n">
        <f aca="false">IF($K188=1,COUNTIFS($L$5:$L$1517,"&gt;="&amp;L188,$K$5:$K$1517,1)/COUNTIF($L$5:$L$1517,"&gt;="&amp;L188),0)</f>
        <v>0</v>
      </c>
      <c r="V188" s="8" t="n">
        <f aca="false">IF($K188=1,COUNTIFS($M$5:$M$1517,"&gt;="&amp;M188,$K$5:$K$1517,1)/COUNTIF($M$5:$M$1517,"&gt;="&amp;M188),0)</f>
        <v>0</v>
      </c>
      <c r="W188" s="8" t="n">
        <f aca="false">IF($K188=1,COUNTIFS($N$5:$N$1517,"&gt;="&amp;N188,$K$5:$K$1517,1)/COUNTIF($N$5:$N$1517,"&gt;="&amp;N188),0)</f>
        <v>0</v>
      </c>
      <c r="X188" s="8" t="n">
        <f aca="false">IF($K188=1,COUNTIFS($O$5:$O$1517,"&gt;="&amp;O188,$K$5:$K$1517,1)/COUNTIF($O$5:$O$1517,"&gt;="&amp;O188),0)</f>
        <v>0</v>
      </c>
      <c r="Y188" s="8" t="n">
        <f aca="false">IF($K188=1,COUNTIFS($P$5:$P$1517,"&gt;="&amp;P188,$K$5:$K$1517,1)/COUNTIF($P$5:$P$1517,"&gt;="&amp;P188),0)</f>
        <v>0</v>
      </c>
      <c r="Z188" s="8" t="n">
        <f aca="false">(L188-$K188)^2</f>
        <v>0.010443204864</v>
      </c>
      <c r="AA188" s="8" t="n">
        <f aca="false">(M188-$K188)^2</f>
        <v>0.008475595969</v>
      </c>
      <c r="AB188" s="8" t="n">
        <f aca="false">(N188-$K188)^2</f>
        <v>0.000531809721</v>
      </c>
      <c r="AC188" s="8" t="n">
        <f aca="false">(O188-$K188)^2</f>
        <v>0.011274829489</v>
      </c>
      <c r="AD188" s="8" t="n">
        <f aca="false">(P188-$K188)^2</f>
        <v>0.000522259609</v>
      </c>
      <c r="AE188" s="8" t="n">
        <f aca="false">MIN(INT(ROUND(N188*1000000,0)/100000),9)</f>
        <v>0</v>
      </c>
      <c r="AF188" s="8" t="n">
        <f aca="false">MIN(INT(ROUND(P188*1000000,0)/100000),9)</f>
        <v>0</v>
      </c>
    </row>
    <row r="189" customFormat="false" ht="15" hidden="false" customHeight="false" outlineLevel="0" collapsed="false">
      <c r="A189" s="4" t="n">
        <v>185</v>
      </c>
      <c r="B189" s="4" t="n">
        <v>881</v>
      </c>
      <c r="C189" s="4" t="n">
        <v>0</v>
      </c>
      <c r="D189" s="11" t="n">
        <v>46054</v>
      </c>
      <c r="E189" s="4" t="s">
        <v>203</v>
      </c>
      <c r="F189" s="4" t="s">
        <v>209</v>
      </c>
      <c r="G189" s="4" t="n">
        <v>7</v>
      </c>
      <c r="H189" s="4" t="n">
        <v>8</v>
      </c>
      <c r="I189" s="4" t="n">
        <v>0</v>
      </c>
      <c r="J189" s="4" t="n">
        <v>390</v>
      </c>
      <c r="K189" s="4" t="n">
        <v>0</v>
      </c>
      <c r="L189" s="12" t="n">
        <v>0.104848</v>
      </c>
      <c r="M189" s="12" t="n">
        <v>0.092063</v>
      </c>
      <c r="N189" s="12" t="n">
        <v>0.095947</v>
      </c>
      <c r="O189" s="12" t="n">
        <v>0.106183</v>
      </c>
      <c r="P189" s="12" t="n">
        <v>0.101484</v>
      </c>
      <c r="Q189" s="0" t="str">
        <f aca="false">IF(L189&gt;=Models!$G$5,1+COUNTIF($L$5:$L$1517,"&gt;"&amp;L189)+COUNTIFS($L$5:$L$1517,L189,$B$5:$B$1517,"&lt;"&amp;B189)+COUNTIFS($L$5:$L$1517,L189,$B$5:$B$1517,B189,$C$5:$C$1517,"&lt;"&amp;C189),"")</f>
        <v/>
      </c>
      <c r="R189" s="0" t="str">
        <f aca="false">IF(M189&gt;=Models!$G$6,1+COUNTIF($M$5:$M$1517,"&gt;"&amp;M189)+COUNTIFS($M$5:$M$1517,M189,$B$5:$B$1517,"&lt;"&amp;B189)+COUNTIFS($M$5:$M$1517,M189,$B$5:$B$1517,B189,$C$5:$C$1517,"&lt;"&amp;C189),"")</f>
        <v/>
      </c>
      <c r="S189" s="0" t="str">
        <f aca="false">IF(N189&gt;=Models!$G$7,1+COUNTIF($N$5:$N$1517,"&gt;"&amp;N189)+COUNTIFS($N$5:$N$1517,N189,$B$5:$B$1517,"&lt;"&amp;B189)+COUNTIFS($N$5:$N$1517,N189,$B$5:$B$1517,B189,$C$5:$C$1517,"&lt;"&amp;C189),"")</f>
        <v/>
      </c>
      <c r="T189" s="8" t="n">
        <f aca="false">IF(O189&gt;=Models!$G$8,1+COUNTIF($O$5:$O$1517,"&gt;"&amp;O189)+COUNTIFS($O$5:$O$1517,O189,$B$5:$B$1517,"&lt;"&amp;B189)+COUNTIFS($O$5:$O$1517,O189,$B$5:$B$1517,B189,$C$5:$C$1517,"&lt;"&amp;C189),"")</f>
        <v>697</v>
      </c>
      <c r="U189" s="8" t="n">
        <f aca="false">IF($K189=1,COUNTIFS($L$5:$L$1517,"&gt;="&amp;L189,$K$5:$K$1517,1)/COUNTIF($L$5:$L$1517,"&gt;="&amp;L189),0)</f>
        <v>0</v>
      </c>
      <c r="V189" s="8" t="n">
        <f aca="false">IF($K189=1,COUNTIFS($M$5:$M$1517,"&gt;="&amp;M189,$K$5:$K$1517,1)/COUNTIF($M$5:$M$1517,"&gt;="&amp;M189),0)</f>
        <v>0</v>
      </c>
      <c r="W189" s="8" t="n">
        <f aca="false">IF($K189=1,COUNTIFS($N$5:$N$1517,"&gt;="&amp;N189,$K$5:$K$1517,1)/COUNTIF($N$5:$N$1517,"&gt;="&amp;N189),0)</f>
        <v>0</v>
      </c>
      <c r="X189" s="8" t="n">
        <f aca="false">IF($K189=1,COUNTIFS($O$5:$O$1517,"&gt;="&amp;O189,$K$5:$K$1517,1)/COUNTIF($O$5:$O$1517,"&gt;="&amp;O189),0)</f>
        <v>0</v>
      </c>
      <c r="Y189" s="8" t="n">
        <f aca="false">IF($K189=1,COUNTIFS($P$5:$P$1517,"&gt;="&amp;P189,$K$5:$K$1517,1)/COUNTIF($P$5:$P$1517,"&gt;="&amp;P189),0)</f>
        <v>0</v>
      </c>
      <c r="Z189" s="8" t="n">
        <f aca="false">(L189-$K189)^2</f>
        <v>0.010993103104</v>
      </c>
      <c r="AA189" s="8" t="n">
        <f aca="false">(M189-$K189)^2</f>
        <v>0.008475595969</v>
      </c>
      <c r="AB189" s="8" t="n">
        <f aca="false">(N189-$K189)^2</f>
        <v>0.009205826809</v>
      </c>
      <c r="AC189" s="8" t="n">
        <f aca="false">(O189-$K189)^2</f>
        <v>0.011274829489</v>
      </c>
      <c r="AD189" s="8" t="n">
        <f aca="false">(P189-$K189)^2</f>
        <v>0.010299002256</v>
      </c>
      <c r="AE189" s="8" t="n">
        <f aca="false">MIN(INT(ROUND(N189*1000000,0)/100000),9)</f>
        <v>0</v>
      </c>
      <c r="AF189" s="8" t="n">
        <f aca="false">MIN(INT(ROUND(P189*1000000,0)/100000),9)</f>
        <v>1</v>
      </c>
    </row>
    <row r="190" customFormat="false" ht="15" hidden="false" customHeight="false" outlineLevel="0" collapsed="false">
      <c r="A190" s="4" t="n">
        <v>186</v>
      </c>
      <c r="B190" s="4" t="n">
        <v>893</v>
      </c>
      <c r="C190" s="4" t="n">
        <v>0</v>
      </c>
      <c r="D190" s="11" t="n">
        <v>46054</v>
      </c>
      <c r="E190" s="4" t="s">
        <v>204</v>
      </c>
      <c r="F190" s="4" t="s">
        <v>206</v>
      </c>
      <c r="G190" s="4" t="n">
        <v>3</v>
      </c>
      <c r="H190" s="4" t="n">
        <v>19</v>
      </c>
      <c r="I190" s="4" t="n">
        <v>0</v>
      </c>
      <c r="J190" s="4" t="n">
        <v>105</v>
      </c>
      <c r="K190" s="4" t="n">
        <v>1</v>
      </c>
      <c r="L190" s="12" t="n">
        <v>0.908773</v>
      </c>
      <c r="M190" s="12" t="n">
        <v>0.092063</v>
      </c>
      <c r="N190" s="12" t="n">
        <v>0.144744</v>
      </c>
      <c r="O190" s="12" t="n">
        <v>0.106183</v>
      </c>
      <c r="P190" s="12" t="n">
        <v>0.155515</v>
      </c>
      <c r="Q190" s="0" t="str">
        <f aca="false">IF(L190&gt;=Models!$G$5,1+COUNTIF($L$5:$L$1517,"&gt;"&amp;L190)+COUNTIFS($L$5:$L$1517,L190,$B$5:$B$1517,"&lt;"&amp;B190)+COUNTIFS($L$5:$L$1517,L190,$B$5:$B$1517,B190,$C$5:$C$1517,"&lt;"&amp;C190),"")</f>
        <v/>
      </c>
      <c r="R190" s="0" t="str">
        <f aca="false">IF(M190&gt;=Models!$G$6,1+COUNTIF($M$5:$M$1517,"&gt;"&amp;M190)+COUNTIFS($M$5:$M$1517,M190,$B$5:$B$1517,"&lt;"&amp;B190)+COUNTIFS($M$5:$M$1517,M190,$B$5:$B$1517,B190,$C$5:$C$1517,"&lt;"&amp;C190),"")</f>
        <v/>
      </c>
      <c r="S190" s="0" t="str">
        <f aca="false">IF(N190&gt;=Models!$G$7,1+COUNTIF($N$5:$N$1517,"&gt;"&amp;N190)+COUNTIFS($N$5:$N$1517,N190,$B$5:$B$1517,"&lt;"&amp;B190)+COUNTIFS($N$5:$N$1517,N190,$B$5:$B$1517,B190,$C$5:$C$1517,"&lt;"&amp;C190),"")</f>
        <v/>
      </c>
      <c r="T190" s="8" t="n">
        <f aca="false">IF(O190&gt;=Models!$G$8,1+COUNTIF($O$5:$O$1517,"&gt;"&amp;O190)+COUNTIFS($O$5:$O$1517,O190,$B$5:$B$1517,"&lt;"&amp;B190)+COUNTIFS($O$5:$O$1517,O190,$B$5:$B$1517,B190,$C$5:$C$1517,"&lt;"&amp;C190),"")</f>
        <v>701</v>
      </c>
      <c r="U190" s="8" t="n">
        <f aca="false">IF($K190=1,COUNTIFS($L$5:$L$1517,"&gt;="&amp;L190,$K$5:$K$1517,1)/COUNTIF($L$5:$L$1517,"&gt;="&amp;L190),0)</f>
        <v>0.154411764705882</v>
      </c>
      <c r="V190" s="8" t="n">
        <f aca="false">IF($K190=1,COUNTIFS($M$5:$M$1517,"&gt;="&amp;M190,$K$5:$K$1517,1)/COUNTIF($M$5:$M$1517,"&gt;="&amp;M190),0)</f>
        <v>0.12491738268341</v>
      </c>
      <c r="W190" s="8" t="n">
        <f aca="false">IF($K190=1,COUNTIFS($N$5:$N$1517,"&gt;="&amp;N190,$K$5:$K$1517,1)/COUNTIF($N$5:$N$1517,"&gt;="&amp;N190),0)</f>
        <v>0.300411522633745</v>
      </c>
      <c r="X190" s="8" t="n">
        <f aca="false">IF($K190=1,COUNTIFS($O$5:$O$1517,"&gt;="&amp;O190,$K$5:$K$1517,1)/COUNTIF($O$5:$O$1517,"&gt;="&amp;O190),0)</f>
        <v>0.12491738268341</v>
      </c>
      <c r="Y190" s="8" t="n">
        <f aca="false">IF($K190=1,COUNTIFS($P$5:$P$1517,"&gt;="&amp;P190,$K$5:$K$1517,1)/COUNTIF($P$5:$P$1517,"&gt;="&amp;P190),0)</f>
        <v>0.300411522633745</v>
      </c>
      <c r="Z190" s="8" t="n">
        <f aca="false">(L190-$K190)^2</f>
        <v>0.00832236552899999</v>
      </c>
      <c r="AA190" s="8" t="n">
        <f aca="false">(M190-$K190)^2</f>
        <v>0.824349595969</v>
      </c>
      <c r="AB190" s="8" t="n">
        <f aca="false">(N190-$K190)^2</f>
        <v>0.731462825536</v>
      </c>
      <c r="AC190" s="8" t="n">
        <f aca="false">(O190-$K190)^2</f>
        <v>0.798908829489</v>
      </c>
      <c r="AD190" s="8" t="n">
        <f aca="false">(P190-$K190)^2</f>
        <v>0.713154915225</v>
      </c>
      <c r="AE190" s="8" t="n">
        <f aca="false">MIN(INT(ROUND(N190*1000000,0)/100000),9)</f>
        <v>1</v>
      </c>
      <c r="AF190" s="8" t="n">
        <f aca="false">MIN(INT(ROUND(P190*1000000,0)/100000),9)</f>
        <v>1</v>
      </c>
    </row>
    <row r="191" customFormat="false" ht="15" hidden="false" customHeight="false" outlineLevel="0" collapsed="false">
      <c r="A191" s="4" t="n">
        <v>187</v>
      </c>
      <c r="B191" s="4" t="n">
        <v>912</v>
      </c>
      <c r="C191" s="4" t="n">
        <v>0</v>
      </c>
      <c r="D191" s="11" t="n">
        <v>46054</v>
      </c>
      <c r="E191" s="4" t="s">
        <v>204</v>
      </c>
      <c r="F191" s="4" t="s">
        <v>209</v>
      </c>
      <c r="G191" s="4" t="n">
        <v>1</v>
      </c>
      <c r="H191" s="4" t="n">
        <v>22</v>
      </c>
      <c r="I191" s="4" t="n">
        <v>0</v>
      </c>
      <c r="J191" s="4" t="n">
        <v>57</v>
      </c>
      <c r="K191" s="4" t="n">
        <v>0</v>
      </c>
      <c r="L191" s="12" t="n">
        <v>0.313389</v>
      </c>
      <c r="M191" s="12" t="n">
        <v>0.092063</v>
      </c>
      <c r="N191" s="12" t="n">
        <v>0.172348</v>
      </c>
      <c r="O191" s="12" t="n">
        <v>0.106183</v>
      </c>
      <c r="P191" s="12" t="n">
        <v>0.18622</v>
      </c>
      <c r="Q191" s="0" t="str">
        <f aca="false">IF(L191&gt;=Models!$G$5,1+COUNTIF($L$5:$L$1517,"&gt;"&amp;L191)+COUNTIFS($L$5:$L$1517,L191,$B$5:$B$1517,"&lt;"&amp;B191)+COUNTIFS($L$5:$L$1517,L191,$B$5:$B$1517,B191,$C$5:$C$1517,"&lt;"&amp;C191),"")</f>
        <v/>
      </c>
      <c r="R191" s="0" t="str">
        <f aca="false">IF(M191&gt;=Models!$G$6,1+COUNTIF($M$5:$M$1517,"&gt;"&amp;M191)+COUNTIFS($M$5:$M$1517,M191,$B$5:$B$1517,"&lt;"&amp;B191)+COUNTIFS($M$5:$M$1517,M191,$B$5:$B$1517,B191,$C$5:$C$1517,"&lt;"&amp;C191),"")</f>
        <v/>
      </c>
      <c r="S191" s="0" t="str">
        <f aca="false">IF(N191&gt;=Models!$G$7,1+COUNTIF($N$5:$N$1517,"&gt;"&amp;N191)+COUNTIFS($N$5:$N$1517,N191,$B$5:$B$1517,"&lt;"&amp;B191)+COUNTIFS($N$5:$N$1517,N191,$B$5:$B$1517,B191,$C$5:$C$1517,"&lt;"&amp;C191),"")</f>
        <v/>
      </c>
      <c r="T191" s="8" t="n">
        <f aca="false">IF(O191&gt;=Models!$G$8,1+COUNTIF($O$5:$O$1517,"&gt;"&amp;O191)+COUNTIFS($O$5:$O$1517,O191,$B$5:$B$1517,"&lt;"&amp;B191)+COUNTIFS($O$5:$O$1517,O191,$B$5:$B$1517,B191,$C$5:$C$1517,"&lt;"&amp;C191),"")</f>
        <v>703</v>
      </c>
      <c r="U191" s="8" t="n">
        <f aca="false">IF($K191=1,COUNTIFS($L$5:$L$1517,"&gt;="&amp;L191,$K$5:$K$1517,1)/COUNTIF($L$5:$L$1517,"&gt;="&amp;L191),0)</f>
        <v>0</v>
      </c>
      <c r="V191" s="8" t="n">
        <f aca="false">IF($K191=1,COUNTIFS($M$5:$M$1517,"&gt;="&amp;M191,$K$5:$K$1517,1)/COUNTIF($M$5:$M$1517,"&gt;="&amp;M191),0)</f>
        <v>0</v>
      </c>
      <c r="W191" s="8" t="n">
        <f aca="false">IF($K191=1,COUNTIFS($N$5:$N$1517,"&gt;="&amp;N191,$K$5:$K$1517,1)/COUNTIF($N$5:$N$1517,"&gt;="&amp;N191),0)</f>
        <v>0</v>
      </c>
      <c r="X191" s="8" t="n">
        <f aca="false">IF($K191=1,COUNTIFS($O$5:$O$1517,"&gt;="&amp;O191,$K$5:$K$1517,1)/COUNTIF($O$5:$O$1517,"&gt;="&amp;O191),0)</f>
        <v>0</v>
      </c>
      <c r="Y191" s="8" t="n">
        <f aca="false">IF($K191=1,COUNTIFS($P$5:$P$1517,"&gt;="&amp;P191,$K$5:$K$1517,1)/COUNTIF($P$5:$P$1517,"&gt;="&amp;P191),0)</f>
        <v>0</v>
      </c>
      <c r="Z191" s="8" t="n">
        <f aca="false">(L191-$K191)^2</f>
        <v>0.098212665321</v>
      </c>
      <c r="AA191" s="8" t="n">
        <f aca="false">(M191-$K191)^2</f>
        <v>0.008475595969</v>
      </c>
      <c r="AB191" s="8" t="n">
        <f aca="false">(N191-$K191)^2</f>
        <v>0.029703833104</v>
      </c>
      <c r="AC191" s="8" t="n">
        <f aca="false">(O191-$K191)^2</f>
        <v>0.011274829489</v>
      </c>
      <c r="AD191" s="8" t="n">
        <f aca="false">(P191-$K191)^2</f>
        <v>0.0346778884</v>
      </c>
      <c r="AE191" s="8" t="n">
        <f aca="false">MIN(INT(ROUND(N191*1000000,0)/100000),9)</f>
        <v>1</v>
      </c>
      <c r="AF191" s="8" t="n">
        <f aca="false">MIN(INT(ROUND(P191*1000000,0)/100000),9)</f>
        <v>1</v>
      </c>
    </row>
    <row r="192" customFormat="false" ht="15" hidden="false" customHeight="false" outlineLevel="0" collapsed="false">
      <c r="A192" s="4" t="n">
        <v>188</v>
      </c>
      <c r="B192" s="4" t="n">
        <v>915</v>
      </c>
      <c r="C192" s="4" t="n">
        <v>0</v>
      </c>
      <c r="D192" s="11" t="n">
        <v>46054</v>
      </c>
      <c r="E192" s="4" t="s">
        <v>202</v>
      </c>
      <c r="F192" s="4" t="s">
        <v>206</v>
      </c>
      <c r="G192" s="4" t="n">
        <v>6</v>
      </c>
      <c r="H192" s="4" t="n">
        <v>3</v>
      </c>
      <c r="I192" s="4" t="n">
        <v>0</v>
      </c>
      <c r="J192" s="4" t="n">
        <v>1230</v>
      </c>
      <c r="K192" s="4" t="n">
        <v>1</v>
      </c>
      <c r="L192" s="12" t="n">
        <v>0.355183</v>
      </c>
      <c r="M192" s="12" t="n">
        <v>0.092063</v>
      </c>
      <c r="N192" s="12" t="n">
        <v>0.095968</v>
      </c>
      <c r="O192" s="12" t="n">
        <v>0.106183</v>
      </c>
      <c r="P192" s="12" t="n">
        <v>0.101507</v>
      </c>
      <c r="Q192" s="0" t="str">
        <f aca="false">IF(L192&gt;=Models!$G$5,1+COUNTIF($L$5:$L$1517,"&gt;"&amp;L192)+COUNTIFS($L$5:$L$1517,L192,$B$5:$B$1517,"&lt;"&amp;B192)+COUNTIFS($L$5:$L$1517,L192,$B$5:$B$1517,B192,$C$5:$C$1517,"&lt;"&amp;C192),"")</f>
        <v/>
      </c>
      <c r="R192" s="0" t="str">
        <f aca="false">IF(M192&gt;=Models!$G$6,1+COUNTIF($M$5:$M$1517,"&gt;"&amp;M192)+COUNTIFS($M$5:$M$1517,M192,$B$5:$B$1517,"&lt;"&amp;B192)+COUNTIFS($M$5:$M$1517,M192,$B$5:$B$1517,B192,$C$5:$C$1517,"&lt;"&amp;C192),"")</f>
        <v/>
      </c>
      <c r="S192" s="0" t="str">
        <f aca="false">IF(N192&gt;=Models!$G$7,1+COUNTIF($N$5:$N$1517,"&gt;"&amp;N192)+COUNTIFS($N$5:$N$1517,N192,$B$5:$B$1517,"&lt;"&amp;B192)+COUNTIFS($N$5:$N$1517,N192,$B$5:$B$1517,B192,$C$5:$C$1517,"&lt;"&amp;C192),"")</f>
        <v/>
      </c>
      <c r="T192" s="8" t="n">
        <f aca="false">IF(O192&gt;=Models!$G$8,1+COUNTIF($O$5:$O$1517,"&gt;"&amp;O192)+COUNTIFS($O$5:$O$1517,O192,$B$5:$B$1517,"&lt;"&amp;B192)+COUNTIFS($O$5:$O$1517,O192,$B$5:$B$1517,B192,$C$5:$C$1517,"&lt;"&amp;C192),"")</f>
        <v>707</v>
      </c>
      <c r="U192" s="8" t="n">
        <f aca="false">IF($K192=1,COUNTIFS($L$5:$L$1517,"&gt;="&amp;L192,$K$5:$K$1517,1)/COUNTIF($L$5:$L$1517,"&gt;="&amp;L192),0)</f>
        <v>0.128526645768025</v>
      </c>
      <c r="V192" s="8" t="n">
        <f aca="false">IF($K192=1,COUNTIFS($M$5:$M$1517,"&gt;="&amp;M192,$K$5:$K$1517,1)/COUNTIF($M$5:$M$1517,"&gt;="&amp;M192),0)</f>
        <v>0.12491738268341</v>
      </c>
      <c r="W192" s="8" t="n">
        <f aca="false">IF($K192=1,COUNTIFS($N$5:$N$1517,"&gt;="&amp;N192,$K$5:$K$1517,1)/COUNTIF($N$5:$N$1517,"&gt;="&amp;N192),0)</f>
        <v>0.189488243430152</v>
      </c>
      <c r="X192" s="8" t="n">
        <f aca="false">IF($K192=1,COUNTIFS($O$5:$O$1517,"&gt;="&amp;O192,$K$5:$K$1517,1)/COUNTIF($O$5:$O$1517,"&gt;="&amp;O192),0)</f>
        <v>0.12491738268341</v>
      </c>
      <c r="Y192" s="8" t="n">
        <f aca="false">IF($K192=1,COUNTIFS($P$5:$P$1517,"&gt;="&amp;P192,$K$5:$K$1517,1)/COUNTIF($P$5:$P$1517,"&gt;="&amp;P192),0)</f>
        <v>0.189488243430152</v>
      </c>
      <c r="Z192" s="8" t="n">
        <f aca="false">(L192-$K192)^2</f>
        <v>0.415788963489</v>
      </c>
      <c r="AA192" s="8" t="n">
        <f aca="false">(M192-$K192)^2</f>
        <v>0.824349595969</v>
      </c>
      <c r="AB192" s="8" t="n">
        <f aca="false">(N192-$K192)^2</f>
        <v>0.817273857024</v>
      </c>
      <c r="AC192" s="8" t="n">
        <f aca="false">(O192-$K192)^2</f>
        <v>0.798908829489</v>
      </c>
      <c r="AD192" s="8" t="n">
        <f aca="false">(P192-$K192)^2</f>
        <v>0.807289671049</v>
      </c>
      <c r="AE192" s="8" t="n">
        <f aca="false">MIN(INT(ROUND(N192*1000000,0)/100000),9)</f>
        <v>0</v>
      </c>
      <c r="AF192" s="8" t="n">
        <f aca="false">MIN(INT(ROUND(P192*1000000,0)/100000),9)</f>
        <v>1</v>
      </c>
    </row>
    <row r="193" customFormat="false" ht="15" hidden="false" customHeight="false" outlineLevel="0" collapsed="false">
      <c r="A193" s="4" t="n">
        <v>189</v>
      </c>
      <c r="B193" s="4" t="n">
        <v>917</v>
      </c>
      <c r="C193" s="4" t="n">
        <v>0</v>
      </c>
      <c r="D193" s="11" t="n">
        <v>46054</v>
      </c>
      <c r="E193" s="4" t="s">
        <v>203</v>
      </c>
      <c r="F193" s="4" t="s">
        <v>209</v>
      </c>
      <c r="G193" s="4" t="n">
        <v>4</v>
      </c>
      <c r="H193" s="4" t="n">
        <v>6</v>
      </c>
      <c r="I193" s="4" t="n">
        <v>0</v>
      </c>
      <c r="J193" s="4"/>
      <c r="K193" s="4" t="n">
        <v>1</v>
      </c>
      <c r="L193" s="12" t="n">
        <v>0.642848</v>
      </c>
      <c r="M193" s="12" t="n">
        <v>0.092063</v>
      </c>
      <c r="N193" s="12" t="n">
        <v>0.061595</v>
      </c>
      <c r="O193" s="12" t="n">
        <v>0.106183</v>
      </c>
      <c r="P193" s="12" t="n">
        <v>0.063911</v>
      </c>
      <c r="Q193" s="0" t="str">
        <f aca="false">IF(L193&gt;=Models!$G$5,1+COUNTIF($L$5:$L$1517,"&gt;"&amp;L193)+COUNTIFS($L$5:$L$1517,L193,$B$5:$B$1517,"&lt;"&amp;B193)+COUNTIFS($L$5:$L$1517,L193,$B$5:$B$1517,B193,$C$5:$C$1517,"&lt;"&amp;C193),"")</f>
        <v/>
      </c>
      <c r="R193" s="0" t="str">
        <f aca="false">IF(M193&gt;=Models!$G$6,1+COUNTIF($M$5:$M$1517,"&gt;"&amp;M193)+COUNTIFS($M$5:$M$1517,M193,$B$5:$B$1517,"&lt;"&amp;B193)+COUNTIFS($M$5:$M$1517,M193,$B$5:$B$1517,B193,$C$5:$C$1517,"&lt;"&amp;C193),"")</f>
        <v/>
      </c>
      <c r="S193" s="0" t="str">
        <f aca="false">IF(N193&gt;=Models!$G$7,1+COUNTIF($N$5:$N$1517,"&gt;"&amp;N193)+COUNTIFS($N$5:$N$1517,N193,$B$5:$B$1517,"&lt;"&amp;B193)+COUNTIFS($N$5:$N$1517,N193,$B$5:$B$1517,B193,$C$5:$C$1517,"&lt;"&amp;C193),"")</f>
        <v/>
      </c>
      <c r="T193" s="8" t="n">
        <f aca="false">IF(O193&gt;=Models!$G$8,1+COUNTIF($O$5:$O$1517,"&gt;"&amp;O193)+COUNTIFS($O$5:$O$1517,O193,$B$5:$B$1517,"&lt;"&amp;B193)+COUNTIFS($O$5:$O$1517,O193,$B$5:$B$1517,B193,$C$5:$C$1517,"&lt;"&amp;C193),"")</f>
        <v>711</v>
      </c>
      <c r="U193" s="8" t="n">
        <f aca="false">IF($K193=1,COUNTIFS($L$5:$L$1517,"&gt;="&amp;L193,$K$5:$K$1517,1)/COUNTIF($L$5:$L$1517,"&gt;="&amp;L193),0)</f>
        <v>0.130019120458891</v>
      </c>
      <c r="V193" s="8" t="n">
        <f aca="false">IF($K193=1,COUNTIFS($M$5:$M$1517,"&gt;="&amp;M193,$K$5:$K$1517,1)/COUNTIF($M$5:$M$1517,"&gt;="&amp;M193),0)</f>
        <v>0.12491738268341</v>
      </c>
      <c r="W193" s="8" t="n">
        <f aca="false">IF($K193=1,COUNTIFS($N$5:$N$1517,"&gt;="&amp;N193,$K$5:$K$1517,1)/COUNTIF($N$5:$N$1517,"&gt;="&amp;N193),0)</f>
        <v>0.159241706161137</v>
      </c>
      <c r="X193" s="8" t="n">
        <f aca="false">IF($K193=1,COUNTIFS($O$5:$O$1517,"&gt;="&amp;O193,$K$5:$K$1517,1)/COUNTIF($O$5:$O$1517,"&gt;="&amp;O193),0)</f>
        <v>0.12491738268341</v>
      </c>
      <c r="Y193" s="8" t="n">
        <f aca="false">IF($K193=1,COUNTIFS($P$5:$P$1517,"&gt;="&amp;P193,$K$5:$K$1517,1)/COUNTIF($P$5:$P$1517,"&gt;="&amp;P193),0)</f>
        <v>0.159241706161137</v>
      </c>
      <c r="Z193" s="8" t="n">
        <f aca="false">(L193-$K193)^2</f>
        <v>0.127557551104</v>
      </c>
      <c r="AA193" s="8" t="n">
        <f aca="false">(M193-$K193)^2</f>
        <v>0.824349595969</v>
      </c>
      <c r="AB193" s="8" t="n">
        <f aca="false">(N193-$K193)^2</f>
        <v>0.880603944025</v>
      </c>
      <c r="AC193" s="8" t="n">
        <f aca="false">(O193-$K193)^2</f>
        <v>0.798908829489</v>
      </c>
      <c r="AD193" s="8" t="n">
        <f aca="false">(P193-$K193)^2</f>
        <v>0.876262615921</v>
      </c>
      <c r="AE193" s="8" t="n">
        <f aca="false">MIN(INT(ROUND(N193*1000000,0)/100000),9)</f>
        <v>0</v>
      </c>
      <c r="AF193" s="8" t="n">
        <f aca="false">MIN(INT(ROUND(P193*1000000,0)/100000),9)</f>
        <v>0</v>
      </c>
    </row>
    <row r="194" customFormat="false" ht="15" hidden="false" customHeight="false" outlineLevel="0" collapsed="false">
      <c r="A194" s="4" t="n">
        <v>190</v>
      </c>
      <c r="B194" s="4" t="n">
        <v>918</v>
      </c>
      <c r="C194" s="4" t="n">
        <v>0</v>
      </c>
      <c r="D194" s="11" t="n">
        <v>46054</v>
      </c>
      <c r="E194" s="4" t="s">
        <v>203</v>
      </c>
      <c r="F194" s="4" t="s">
        <v>209</v>
      </c>
      <c r="G194" s="4" t="n">
        <v>4</v>
      </c>
      <c r="H194" s="4" t="n">
        <v>3</v>
      </c>
      <c r="I194" s="4" t="n">
        <v>0</v>
      </c>
      <c r="J194" s="4" t="n">
        <v>384</v>
      </c>
      <c r="K194" s="4" t="n">
        <v>0</v>
      </c>
      <c r="L194" s="12" t="n">
        <v>0.156959</v>
      </c>
      <c r="M194" s="12" t="n">
        <v>0.092063</v>
      </c>
      <c r="N194" s="12" t="n">
        <v>0.117768</v>
      </c>
      <c r="O194" s="12" t="n">
        <v>0.106183</v>
      </c>
      <c r="P194" s="12" t="n">
        <v>0.125584</v>
      </c>
      <c r="Q194" s="0" t="str">
        <f aca="false">IF(L194&gt;=Models!$G$5,1+COUNTIF($L$5:$L$1517,"&gt;"&amp;L194)+COUNTIFS($L$5:$L$1517,L194,$B$5:$B$1517,"&lt;"&amp;B194)+COUNTIFS($L$5:$L$1517,L194,$B$5:$B$1517,B194,$C$5:$C$1517,"&lt;"&amp;C194),"")</f>
        <v/>
      </c>
      <c r="R194" s="0" t="str">
        <f aca="false">IF(M194&gt;=Models!$G$6,1+COUNTIF($M$5:$M$1517,"&gt;"&amp;M194)+COUNTIFS($M$5:$M$1517,M194,$B$5:$B$1517,"&lt;"&amp;B194)+COUNTIFS($M$5:$M$1517,M194,$B$5:$B$1517,B194,$C$5:$C$1517,"&lt;"&amp;C194),"")</f>
        <v/>
      </c>
      <c r="S194" s="0" t="str">
        <f aca="false">IF(N194&gt;=Models!$G$7,1+COUNTIF($N$5:$N$1517,"&gt;"&amp;N194)+COUNTIFS($N$5:$N$1517,N194,$B$5:$B$1517,"&lt;"&amp;B194)+COUNTIFS($N$5:$N$1517,N194,$B$5:$B$1517,B194,$C$5:$C$1517,"&lt;"&amp;C194),"")</f>
        <v/>
      </c>
      <c r="T194" s="8" t="n">
        <f aca="false">IF(O194&gt;=Models!$G$8,1+COUNTIF($O$5:$O$1517,"&gt;"&amp;O194)+COUNTIFS($O$5:$O$1517,O194,$B$5:$B$1517,"&lt;"&amp;B194)+COUNTIFS($O$5:$O$1517,O194,$B$5:$B$1517,B194,$C$5:$C$1517,"&lt;"&amp;C194),"")</f>
        <v>712</v>
      </c>
      <c r="U194" s="8" t="n">
        <f aca="false">IF($K194=1,COUNTIFS($L$5:$L$1517,"&gt;="&amp;L194,$K$5:$K$1517,1)/COUNTIF($L$5:$L$1517,"&gt;="&amp;L194),0)</f>
        <v>0</v>
      </c>
      <c r="V194" s="8" t="n">
        <f aca="false">IF($K194=1,COUNTIFS($M$5:$M$1517,"&gt;="&amp;M194,$K$5:$K$1517,1)/COUNTIF($M$5:$M$1517,"&gt;="&amp;M194),0)</f>
        <v>0</v>
      </c>
      <c r="W194" s="8" t="n">
        <f aca="false">IF($K194=1,COUNTIFS($N$5:$N$1517,"&gt;="&amp;N194,$K$5:$K$1517,1)/COUNTIF($N$5:$N$1517,"&gt;="&amp;N194),0)</f>
        <v>0</v>
      </c>
      <c r="X194" s="8" t="n">
        <f aca="false">IF($K194=1,COUNTIFS($O$5:$O$1517,"&gt;="&amp;O194,$K$5:$K$1517,1)/COUNTIF($O$5:$O$1517,"&gt;="&amp;O194),0)</f>
        <v>0</v>
      </c>
      <c r="Y194" s="8" t="n">
        <f aca="false">IF($K194=1,COUNTIFS($P$5:$P$1517,"&gt;="&amp;P194,$K$5:$K$1517,1)/COUNTIF($P$5:$P$1517,"&gt;="&amp;P194),0)</f>
        <v>0</v>
      </c>
      <c r="Z194" s="8" t="n">
        <f aca="false">(L194-$K194)^2</f>
        <v>0.024636127681</v>
      </c>
      <c r="AA194" s="8" t="n">
        <f aca="false">(M194-$K194)^2</f>
        <v>0.008475595969</v>
      </c>
      <c r="AB194" s="8" t="n">
        <f aca="false">(N194-$K194)^2</f>
        <v>0.013869301824</v>
      </c>
      <c r="AC194" s="8" t="n">
        <f aca="false">(O194-$K194)^2</f>
        <v>0.011274829489</v>
      </c>
      <c r="AD194" s="8" t="n">
        <f aca="false">(P194-$K194)^2</f>
        <v>0.015771341056</v>
      </c>
      <c r="AE194" s="8" t="n">
        <f aca="false">MIN(INT(ROUND(N194*1000000,0)/100000),9)</f>
        <v>1</v>
      </c>
      <c r="AF194" s="8" t="n">
        <f aca="false">MIN(INT(ROUND(P194*1000000,0)/100000),9)</f>
        <v>1</v>
      </c>
    </row>
    <row r="195" customFormat="false" ht="15" hidden="false" customHeight="false" outlineLevel="0" collapsed="false">
      <c r="A195" s="4" t="n">
        <v>191</v>
      </c>
      <c r="B195" s="4" t="n">
        <v>920</v>
      </c>
      <c r="C195" s="4" t="n">
        <v>0</v>
      </c>
      <c r="D195" s="11" t="n">
        <v>46054</v>
      </c>
      <c r="E195" s="4" t="s">
        <v>202</v>
      </c>
      <c r="F195" s="4" t="s">
        <v>206</v>
      </c>
      <c r="G195" s="4" t="n">
        <v>11</v>
      </c>
      <c r="H195" s="4" t="n">
        <v>4</v>
      </c>
      <c r="I195" s="4" t="n">
        <v>0</v>
      </c>
      <c r="J195" s="4" t="n">
        <v>813</v>
      </c>
      <c r="K195" s="4" t="n">
        <v>0</v>
      </c>
      <c r="L195" s="12" t="n">
        <v>0.020622</v>
      </c>
      <c r="M195" s="12" t="n">
        <v>0.092063</v>
      </c>
      <c r="N195" s="12" t="n">
        <v>0.06535</v>
      </c>
      <c r="O195" s="12" t="n">
        <v>0.106183</v>
      </c>
      <c r="P195" s="12" t="n">
        <v>0.067988</v>
      </c>
      <c r="Q195" s="0" t="str">
        <f aca="false">IF(L195&gt;=Models!$G$5,1+COUNTIF($L$5:$L$1517,"&gt;"&amp;L195)+COUNTIFS($L$5:$L$1517,L195,$B$5:$B$1517,"&lt;"&amp;B195)+COUNTIFS($L$5:$L$1517,L195,$B$5:$B$1517,B195,$C$5:$C$1517,"&lt;"&amp;C195),"")</f>
        <v/>
      </c>
      <c r="R195" s="0" t="str">
        <f aca="false">IF(M195&gt;=Models!$G$6,1+COUNTIF($M$5:$M$1517,"&gt;"&amp;M195)+COUNTIFS($M$5:$M$1517,M195,$B$5:$B$1517,"&lt;"&amp;B195)+COUNTIFS($M$5:$M$1517,M195,$B$5:$B$1517,B195,$C$5:$C$1517,"&lt;"&amp;C195),"")</f>
        <v/>
      </c>
      <c r="S195" s="0" t="str">
        <f aca="false">IF(N195&gt;=Models!$G$7,1+COUNTIF($N$5:$N$1517,"&gt;"&amp;N195)+COUNTIFS($N$5:$N$1517,N195,$B$5:$B$1517,"&lt;"&amp;B195)+COUNTIFS($N$5:$N$1517,N195,$B$5:$B$1517,B195,$C$5:$C$1517,"&lt;"&amp;C195),"")</f>
        <v/>
      </c>
      <c r="T195" s="8" t="n">
        <f aca="false">IF(O195&gt;=Models!$G$8,1+COUNTIF($O$5:$O$1517,"&gt;"&amp;O195)+COUNTIFS($O$5:$O$1517,O195,$B$5:$B$1517,"&lt;"&amp;B195)+COUNTIFS($O$5:$O$1517,O195,$B$5:$B$1517,B195,$C$5:$C$1517,"&lt;"&amp;C195),"")</f>
        <v>716</v>
      </c>
      <c r="U195" s="8" t="n">
        <f aca="false">IF($K195=1,COUNTIFS($L$5:$L$1517,"&gt;="&amp;L195,$K$5:$K$1517,1)/COUNTIF($L$5:$L$1517,"&gt;="&amp;L195),0)</f>
        <v>0</v>
      </c>
      <c r="V195" s="8" t="n">
        <f aca="false">IF($K195=1,COUNTIFS($M$5:$M$1517,"&gt;="&amp;M195,$K$5:$K$1517,1)/COUNTIF($M$5:$M$1517,"&gt;="&amp;M195),0)</f>
        <v>0</v>
      </c>
      <c r="W195" s="8" t="n">
        <f aca="false">IF($K195=1,COUNTIFS($N$5:$N$1517,"&gt;="&amp;N195,$K$5:$K$1517,1)/COUNTIF($N$5:$N$1517,"&gt;="&amp;N195),0)</f>
        <v>0</v>
      </c>
      <c r="X195" s="8" t="n">
        <f aca="false">IF($K195=1,COUNTIFS($O$5:$O$1517,"&gt;="&amp;O195,$K$5:$K$1517,1)/COUNTIF($O$5:$O$1517,"&gt;="&amp;O195),0)</f>
        <v>0</v>
      </c>
      <c r="Y195" s="8" t="n">
        <f aca="false">IF($K195=1,COUNTIFS($P$5:$P$1517,"&gt;="&amp;P195,$K$5:$K$1517,1)/COUNTIF($P$5:$P$1517,"&gt;="&amp;P195),0)</f>
        <v>0</v>
      </c>
      <c r="Z195" s="8" t="n">
        <f aca="false">(L195-$K195)^2</f>
        <v>0.000425266884</v>
      </c>
      <c r="AA195" s="8" t="n">
        <f aca="false">(M195-$K195)^2</f>
        <v>0.008475595969</v>
      </c>
      <c r="AB195" s="8" t="n">
        <f aca="false">(N195-$K195)^2</f>
        <v>0.0042706225</v>
      </c>
      <c r="AC195" s="8" t="n">
        <f aca="false">(O195-$K195)^2</f>
        <v>0.011274829489</v>
      </c>
      <c r="AD195" s="8" t="n">
        <f aca="false">(P195-$K195)^2</f>
        <v>0.004622368144</v>
      </c>
      <c r="AE195" s="8" t="n">
        <f aca="false">MIN(INT(ROUND(N195*1000000,0)/100000),9)</f>
        <v>0</v>
      </c>
      <c r="AF195" s="8" t="n">
        <f aca="false">MIN(INT(ROUND(P195*1000000,0)/100000),9)</f>
        <v>0</v>
      </c>
    </row>
    <row r="196" customFormat="false" ht="15" hidden="false" customHeight="false" outlineLevel="0" collapsed="false">
      <c r="A196" s="4" t="n">
        <v>192</v>
      </c>
      <c r="B196" s="4" t="n">
        <v>926</v>
      </c>
      <c r="C196" s="4" t="n">
        <v>0</v>
      </c>
      <c r="D196" s="11" t="n">
        <v>46054</v>
      </c>
      <c r="E196" s="4" t="s">
        <v>204</v>
      </c>
      <c r="F196" s="4" t="s">
        <v>206</v>
      </c>
      <c r="G196" s="4" t="n">
        <v>5</v>
      </c>
      <c r="H196" s="4" t="n">
        <v>3</v>
      </c>
      <c r="I196" s="4" t="n">
        <v>0</v>
      </c>
      <c r="J196" s="4"/>
      <c r="K196" s="4" t="n">
        <v>0</v>
      </c>
      <c r="L196" s="12" t="n">
        <v>0.449424</v>
      </c>
      <c r="M196" s="12" t="n">
        <v>0.092063</v>
      </c>
      <c r="N196" s="12" t="n">
        <v>0.055295</v>
      </c>
      <c r="O196" s="12" t="n">
        <v>0.106183</v>
      </c>
      <c r="P196" s="12" t="n">
        <v>0.057095</v>
      </c>
      <c r="Q196" s="0" t="str">
        <f aca="false">IF(L196&gt;=Models!$G$5,1+COUNTIF($L$5:$L$1517,"&gt;"&amp;L196)+COUNTIFS($L$5:$L$1517,L196,$B$5:$B$1517,"&lt;"&amp;B196)+COUNTIFS($L$5:$L$1517,L196,$B$5:$B$1517,B196,$C$5:$C$1517,"&lt;"&amp;C196),"")</f>
        <v/>
      </c>
      <c r="R196" s="0" t="str">
        <f aca="false">IF(M196&gt;=Models!$G$6,1+COUNTIF($M$5:$M$1517,"&gt;"&amp;M196)+COUNTIFS($M$5:$M$1517,M196,$B$5:$B$1517,"&lt;"&amp;B196)+COUNTIFS($M$5:$M$1517,M196,$B$5:$B$1517,B196,$C$5:$C$1517,"&lt;"&amp;C196),"")</f>
        <v/>
      </c>
      <c r="S196" s="0" t="str">
        <f aca="false">IF(N196&gt;=Models!$G$7,1+COUNTIF($N$5:$N$1517,"&gt;"&amp;N196)+COUNTIFS($N$5:$N$1517,N196,$B$5:$B$1517,"&lt;"&amp;B196)+COUNTIFS($N$5:$N$1517,N196,$B$5:$B$1517,B196,$C$5:$C$1517,"&lt;"&amp;C196),"")</f>
        <v/>
      </c>
      <c r="T196" s="8" t="n">
        <f aca="false">IF(O196&gt;=Models!$G$8,1+COUNTIF($O$5:$O$1517,"&gt;"&amp;O196)+COUNTIFS($O$5:$O$1517,O196,$B$5:$B$1517,"&lt;"&amp;B196)+COUNTIFS($O$5:$O$1517,O196,$B$5:$B$1517,B196,$C$5:$C$1517,"&lt;"&amp;C196),"")</f>
        <v>720</v>
      </c>
      <c r="U196" s="8" t="n">
        <f aca="false">IF($K196=1,COUNTIFS($L$5:$L$1517,"&gt;="&amp;L196,$K$5:$K$1517,1)/COUNTIF($L$5:$L$1517,"&gt;="&amp;L196),0)</f>
        <v>0</v>
      </c>
      <c r="V196" s="8" t="n">
        <f aca="false">IF($K196=1,COUNTIFS($M$5:$M$1517,"&gt;="&amp;M196,$K$5:$K$1517,1)/COUNTIF($M$5:$M$1517,"&gt;="&amp;M196),0)</f>
        <v>0</v>
      </c>
      <c r="W196" s="8" t="n">
        <f aca="false">IF($K196=1,COUNTIFS($N$5:$N$1517,"&gt;="&amp;N196,$K$5:$K$1517,1)/COUNTIF($N$5:$N$1517,"&gt;="&amp;N196),0)</f>
        <v>0</v>
      </c>
      <c r="X196" s="8" t="n">
        <f aca="false">IF($K196=1,COUNTIFS($O$5:$O$1517,"&gt;="&amp;O196,$K$5:$K$1517,1)/COUNTIF($O$5:$O$1517,"&gt;="&amp;O196),0)</f>
        <v>0</v>
      </c>
      <c r="Y196" s="8" t="n">
        <f aca="false">IF($K196=1,COUNTIFS($P$5:$P$1517,"&gt;="&amp;P196,$K$5:$K$1517,1)/COUNTIF($P$5:$P$1517,"&gt;="&amp;P196),0)</f>
        <v>0</v>
      </c>
      <c r="Z196" s="8" t="n">
        <f aca="false">(L196-$K196)^2</f>
        <v>0.201981931776</v>
      </c>
      <c r="AA196" s="8" t="n">
        <f aca="false">(M196-$K196)^2</f>
        <v>0.008475595969</v>
      </c>
      <c r="AB196" s="8" t="n">
        <f aca="false">(N196-$K196)^2</f>
        <v>0.003057537025</v>
      </c>
      <c r="AC196" s="8" t="n">
        <f aca="false">(O196-$K196)^2</f>
        <v>0.011274829489</v>
      </c>
      <c r="AD196" s="8" t="n">
        <f aca="false">(P196-$K196)^2</f>
        <v>0.003259839025</v>
      </c>
      <c r="AE196" s="8" t="n">
        <f aca="false">MIN(INT(ROUND(N196*1000000,0)/100000),9)</f>
        <v>0</v>
      </c>
      <c r="AF196" s="8" t="n">
        <f aca="false">MIN(INT(ROUND(P196*1000000,0)/100000),9)</f>
        <v>0</v>
      </c>
    </row>
    <row r="197" customFormat="false" ht="15" hidden="false" customHeight="false" outlineLevel="0" collapsed="false">
      <c r="A197" s="4" t="n">
        <v>193</v>
      </c>
      <c r="B197" s="4" t="n">
        <v>930</v>
      </c>
      <c r="C197" s="4" t="n">
        <v>0</v>
      </c>
      <c r="D197" s="11" t="n">
        <v>46054</v>
      </c>
      <c r="E197" s="4" t="s">
        <v>204</v>
      </c>
      <c r="F197" s="4" t="s">
        <v>208</v>
      </c>
      <c r="G197" s="4" t="n">
        <v>6</v>
      </c>
      <c r="H197" s="4" t="n">
        <v>4</v>
      </c>
      <c r="I197" s="4" t="n">
        <v>0</v>
      </c>
      <c r="J197" s="4" t="n">
        <v>117</v>
      </c>
      <c r="K197" s="4" t="n">
        <v>0</v>
      </c>
      <c r="L197" s="12" t="n">
        <v>0.411187</v>
      </c>
      <c r="M197" s="12" t="n">
        <v>0.092063</v>
      </c>
      <c r="N197" s="12" t="n">
        <v>0.102474</v>
      </c>
      <c r="O197" s="12" t="n">
        <v>0.106183</v>
      </c>
      <c r="P197" s="12" t="n">
        <v>0.108679</v>
      </c>
      <c r="Q197" s="0" t="str">
        <f aca="false">IF(L197&gt;=Models!$G$5,1+COUNTIF($L$5:$L$1517,"&gt;"&amp;L197)+COUNTIFS($L$5:$L$1517,L197,$B$5:$B$1517,"&lt;"&amp;B197)+COUNTIFS($L$5:$L$1517,L197,$B$5:$B$1517,B197,$C$5:$C$1517,"&lt;"&amp;C197),"")</f>
        <v/>
      </c>
      <c r="R197" s="0" t="str">
        <f aca="false">IF(M197&gt;=Models!$G$6,1+COUNTIF($M$5:$M$1517,"&gt;"&amp;M197)+COUNTIFS($M$5:$M$1517,M197,$B$5:$B$1517,"&lt;"&amp;B197)+COUNTIFS($M$5:$M$1517,M197,$B$5:$B$1517,B197,$C$5:$C$1517,"&lt;"&amp;C197),"")</f>
        <v/>
      </c>
      <c r="S197" s="0" t="str">
        <f aca="false">IF(N197&gt;=Models!$G$7,1+COUNTIF($N$5:$N$1517,"&gt;"&amp;N197)+COUNTIFS($N$5:$N$1517,N197,$B$5:$B$1517,"&lt;"&amp;B197)+COUNTIFS($N$5:$N$1517,N197,$B$5:$B$1517,B197,$C$5:$C$1517,"&lt;"&amp;C197),"")</f>
        <v/>
      </c>
      <c r="T197" s="8" t="n">
        <f aca="false">IF(O197&gt;=Models!$G$8,1+COUNTIF($O$5:$O$1517,"&gt;"&amp;O197)+COUNTIFS($O$5:$O$1517,O197,$B$5:$B$1517,"&lt;"&amp;B197)+COUNTIFS($O$5:$O$1517,O197,$B$5:$B$1517,B197,$C$5:$C$1517,"&lt;"&amp;C197),"")</f>
        <v>724</v>
      </c>
      <c r="U197" s="8" t="n">
        <f aca="false">IF($K197=1,COUNTIFS($L$5:$L$1517,"&gt;="&amp;L197,$K$5:$K$1517,1)/COUNTIF($L$5:$L$1517,"&gt;="&amp;L197),0)</f>
        <v>0</v>
      </c>
      <c r="V197" s="8" t="n">
        <f aca="false">IF($K197=1,COUNTIFS($M$5:$M$1517,"&gt;="&amp;M197,$K$5:$K$1517,1)/COUNTIF($M$5:$M$1517,"&gt;="&amp;M197),0)</f>
        <v>0</v>
      </c>
      <c r="W197" s="8" t="n">
        <f aca="false">IF($K197=1,COUNTIFS($N$5:$N$1517,"&gt;="&amp;N197,$K$5:$K$1517,1)/COUNTIF($N$5:$N$1517,"&gt;="&amp;N197),0)</f>
        <v>0</v>
      </c>
      <c r="X197" s="8" t="n">
        <f aca="false">IF($K197=1,COUNTIFS($O$5:$O$1517,"&gt;="&amp;O197,$K$5:$K$1517,1)/COUNTIF($O$5:$O$1517,"&gt;="&amp;O197),0)</f>
        <v>0</v>
      </c>
      <c r="Y197" s="8" t="n">
        <f aca="false">IF($K197=1,COUNTIFS($P$5:$P$1517,"&gt;="&amp;P197,$K$5:$K$1517,1)/COUNTIF($P$5:$P$1517,"&gt;="&amp;P197),0)</f>
        <v>0</v>
      </c>
      <c r="Z197" s="8" t="n">
        <f aca="false">(L197-$K197)^2</f>
        <v>0.169074748969</v>
      </c>
      <c r="AA197" s="8" t="n">
        <f aca="false">(M197-$K197)^2</f>
        <v>0.008475595969</v>
      </c>
      <c r="AB197" s="8" t="n">
        <f aca="false">(N197-$K197)^2</f>
        <v>0.010500920676</v>
      </c>
      <c r="AC197" s="8" t="n">
        <f aca="false">(O197-$K197)^2</f>
        <v>0.011274829489</v>
      </c>
      <c r="AD197" s="8" t="n">
        <f aca="false">(P197-$K197)^2</f>
        <v>0.011811125041</v>
      </c>
      <c r="AE197" s="8" t="n">
        <f aca="false">MIN(INT(ROUND(N197*1000000,0)/100000),9)</f>
        <v>1</v>
      </c>
      <c r="AF197" s="8" t="n">
        <f aca="false">MIN(INT(ROUND(P197*1000000,0)/100000),9)</f>
        <v>1</v>
      </c>
    </row>
    <row r="198" customFormat="false" ht="15" hidden="false" customHeight="false" outlineLevel="0" collapsed="false">
      <c r="A198" s="4" t="n">
        <v>194</v>
      </c>
      <c r="B198" s="4" t="n">
        <v>934</v>
      </c>
      <c r="C198" s="4" t="n">
        <v>0</v>
      </c>
      <c r="D198" s="11" t="n">
        <v>46054</v>
      </c>
      <c r="E198" s="4" t="s">
        <v>204</v>
      </c>
      <c r="F198" s="4" t="s">
        <v>206</v>
      </c>
      <c r="G198" s="4" t="n">
        <v>6</v>
      </c>
      <c r="H198" s="4" t="n">
        <v>6</v>
      </c>
      <c r="I198" s="4" t="n">
        <v>0</v>
      </c>
      <c r="J198" s="4"/>
      <c r="K198" s="4" t="n">
        <v>0</v>
      </c>
      <c r="L198" s="12" t="n">
        <v>0.942076</v>
      </c>
      <c r="M198" s="12" t="n">
        <v>0.092063</v>
      </c>
      <c r="N198" s="12" t="n">
        <v>0.051976</v>
      </c>
      <c r="O198" s="12" t="n">
        <v>0.106183</v>
      </c>
      <c r="P198" s="12" t="n">
        <v>0.053516</v>
      </c>
      <c r="Q198" s="0" t="str">
        <f aca="false">IF(L198&gt;=Models!$G$5,1+COUNTIF($L$5:$L$1517,"&gt;"&amp;L198)+COUNTIFS($L$5:$L$1517,L198,$B$5:$B$1517,"&lt;"&amp;B198)+COUNTIFS($L$5:$L$1517,L198,$B$5:$B$1517,B198,$C$5:$C$1517,"&lt;"&amp;C198),"")</f>
        <v/>
      </c>
      <c r="R198" s="0" t="str">
        <f aca="false">IF(M198&gt;=Models!$G$6,1+COUNTIF($M$5:$M$1517,"&gt;"&amp;M198)+COUNTIFS($M$5:$M$1517,M198,$B$5:$B$1517,"&lt;"&amp;B198)+COUNTIFS($M$5:$M$1517,M198,$B$5:$B$1517,B198,$C$5:$C$1517,"&lt;"&amp;C198),"")</f>
        <v/>
      </c>
      <c r="S198" s="0" t="str">
        <f aca="false">IF(N198&gt;=Models!$G$7,1+COUNTIF($N$5:$N$1517,"&gt;"&amp;N198)+COUNTIFS($N$5:$N$1517,N198,$B$5:$B$1517,"&lt;"&amp;B198)+COUNTIFS($N$5:$N$1517,N198,$B$5:$B$1517,B198,$C$5:$C$1517,"&lt;"&amp;C198),"")</f>
        <v/>
      </c>
      <c r="T198" s="8" t="n">
        <f aca="false">IF(O198&gt;=Models!$G$8,1+COUNTIF($O$5:$O$1517,"&gt;"&amp;O198)+COUNTIFS($O$5:$O$1517,O198,$B$5:$B$1517,"&lt;"&amp;B198)+COUNTIFS($O$5:$O$1517,O198,$B$5:$B$1517,B198,$C$5:$C$1517,"&lt;"&amp;C198),"")</f>
        <v>728</v>
      </c>
      <c r="U198" s="8" t="n">
        <f aca="false">IF($K198=1,COUNTIFS($L$5:$L$1517,"&gt;="&amp;L198,$K$5:$K$1517,1)/COUNTIF($L$5:$L$1517,"&gt;="&amp;L198),0)</f>
        <v>0</v>
      </c>
      <c r="V198" s="8" t="n">
        <f aca="false">IF($K198=1,COUNTIFS($M$5:$M$1517,"&gt;="&amp;M198,$K$5:$K$1517,1)/COUNTIF($M$5:$M$1517,"&gt;="&amp;M198),0)</f>
        <v>0</v>
      </c>
      <c r="W198" s="8" t="n">
        <f aca="false">IF($K198=1,COUNTIFS($N$5:$N$1517,"&gt;="&amp;N198,$K$5:$K$1517,1)/COUNTIF($N$5:$N$1517,"&gt;="&amp;N198),0)</f>
        <v>0</v>
      </c>
      <c r="X198" s="8" t="n">
        <f aca="false">IF($K198=1,COUNTIFS($O$5:$O$1517,"&gt;="&amp;O198,$K$5:$K$1517,1)/COUNTIF($O$5:$O$1517,"&gt;="&amp;O198),0)</f>
        <v>0</v>
      </c>
      <c r="Y198" s="8" t="n">
        <f aca="false">IF($K198=1,COUNTIFS($P$5:$P$1517,"&gt;="&amp;P198,$K$5:$K$1517,1)/COUNTIF($P$5:$P$1517,"&gt;="&amp;P198),0)</f>
        <v>0</v>
      </c>
      <c r="Z198" s="8" t="n">
        <f aca="false">(L198-$K198)^2</f>
        <v>0.887507189776</v>
      </c>
      <c r="AA198" s="8" t="n">
        <f aca="false">(M198-$K198)^2</f>
        <v>0.008475595969</v>
      </c>
      <c r="AB198" s="8" t="n">
        <f aca="false">(N198-$K198)^2</f>
        <v>0.002701504576</v>
      </c>
      <c r="AC198" s="8" t="n">
        <f aca="false">(O198-$K198)^2</f>
        <v>0.011274829489</v>
      </c>
      <c r="AD198" s="8" t="n">
        <f aca="false">(P198-$K198)^2</f>
        <v>0.002863962256</v>
      </c>
      <c r="AE198" s="8" t="n">
        <f aca="false">MIN(INT(ROUND(N198*1000000,0)/100000),9)</f>
        <v>0</v>
      </c>
      <c r="AF198" s="8" t="n">
        <f aca="false">MIN(INT(ROUND(P198*1000000,0)/100000),9)</f>
        <v>0</v>
      </c>
    </row>
    <row r="199" customFormat="false" ht="15" hidden="false" customHeight="false" outlineLevel="0" collapsed="false">
      <c r="A199" s="4" t="n">
        <v>195</v>
      </c>
      <c r="B199" s="4" t="n">
        <v>935</v>
      </c>
      <c r="C199" s="4" t="n">
        <v>0</v>
      </c>
      <c r="D199" s="11" t="n">
        <v>46054</v>
      </c>
      <c r="E199" s="4" t="s">
        <v>201</v>
      </c>
      <c r="F199" s="4" t="s">
        <v>208</v>
      </c>
      <c r="G199" s="4" t="n">
        <v>22</v>
      </c>
      <c r="H199" s="4" t="n">
        <v>0</v>
      </c>
      <c r="I199" s="4" t="n">
        <v>0</v>
      </c>
      <c r="J199" s="4"/>
      <c r="K199" s="4" t="n">
        <v>0</v>
      </c>
      <c r="L199" s="12" t="n">
        <v>0.31816</v>
      </c>
      <c r="M199" s="12" t="n">
        <v>0.092063</v>
      </c>
      <c r="N199" s="12" t="n">
        <v>0.012217</v>
      </c>
      <c r="O199" s="12" t="n">
        <v>0.106183</v>
      </c>
      <c r="P199" s="12" t="n">
        <v>0.011743</v>
      </c>
      <c r="Q199" s="0" t="str">
        <f aca="false">IF(L199&gt;=Models!$G$5,1+COUNTIF($L$5:$L$1517,"&gt;"&amp;L199)+COUNTIFS($L$5:$L$1517,L199,$B$5:$B$1517,"&lt;"&amp;B199)+COUNTIFS($L$5:$L$1517,L199,$B$5:$B$1517,B199,$C$5:$C$1517,"&lt;"&amp;C199),"")</f>
        <v/>
      </c>
      <c r="R199" s="0" t="str">
        <f aca="false">IF(M199&gt;=Models!$G$6,1+COUNTIF($M$5:$M$1517,"&gt;"&amp;M199)+COUNTIFS($M$5:$M$1517,M199,$B$5:$B$1517,"&lt;"&amp;B199)+COUNTIFS($M$5:$M$1517,M199,$B$5:$B$1517,B199,$C$5:$C$1517,"&lt;"&amp;C199),"")</f>
        <v/>
      </c>
      <c r="S199" s="0" t="str">
        <f aca="false">IF(N199&gt;=Models!$G$7,1+COUNTIF($N$5:$N$1517,"&gt;"&amp;N199)+COUNTIFS($N$5:$N$1517,N199,$B$5:$B$1517,"&lt;"&amp;B199)+COUNTIFS($N$5:$N$1517,N199,$B$5:$B$1517,B199,$C$5:$C$1517,"&lt;"&amp;C199),"")</f>
        <v/>
      </c>
      <c r="T199" s="8" t="n">
        <f aca="false">IF(O199&gt;=Models!$G$8,1+COUNTIF($O$5:$O$1517,"&gt;"&amp;O199)+COUNTIFS($O$5:$O$1517,O199,$B$5:$B$1517,"&lt;"&amp;B199)+COUNTIFS($O$5:$O$1517,O199,$B$5:$B$1517,B199,$C$5:$C$1517,"&lt;"&amp;C199),"")</f>
        <v>732</v>
      </c>
      <c r="U199" s="8" t="n">
        <f aca="false">IF($K199=1,COUNTIFS($L$5:$L$1517,"&gt;="&amp;L199,$K$5:$K$1517,1)/COUNTIF($L$5:$L$1517,"&gt;="&amp;L199),0)</f>
        <v>0</v>
      </c>
      <c r="V199" s="8" t="n">
        <f aca="false">IF($K199=1,COUNTIFS($M$5:$M$1517,"&gt;="&amp;M199,$K$5:$K$1517,1)/COUNTIF($M$5:$M$1517,"&gt;="&amp;M199),0)</f>
        <v>0</v>
      </c>
      <c r="W199" s="8" t="n">
        <f aca="false">IF($K199=1,COUNTIFS($N$5:$N$1517,"&gt;="&amp;N199,$K$5:$K$1517,1)/COUNTIF($N$5:$N$1517,"&gt;="&amp;N199),0)</f>
        <v>0</v>
      </c>
      <c r="X199" s="8" t="n">
        <f aca="false">IF($K199=1,COUNTIFS($O$5:$O$1517,"&gt;="&amp;O199,$K$5:$K$1517,1)/COUNTIF($O$5:$O$1517,"&gt;="&amp;O199),0)</f>
        <v>0</v>
      </c>
      <c r="Y199" s="8" t="n">
        <f aca="false">IF($K199=1,COUNTIFS($P$5:$P$1517,"&gt;="&amp;P199,$K$5:$K$1517,1)/COUNTIF($P$5:$P$1517,"&gt;="&amp;P199),0)</f>
        <v>0</v>
      </c>
      <c r="Z199" s="8" t="n">
        <f aca="false">(L199-$K199)^2</f>
        <v>0.1012257856</v>
      </c>
      <c r="AA199" s="8" t="n">
        <f aca="false">(M199-$K199)^2</f>
        <v>0.008475595969</v>
      </c>
      <c r="AB199" s="8" t="n">
        <f aca="false">(N199-$K199)^2</f>
        <v>0.000149255089</v>
      </c>
      <c r="AC199" s="8" t="n">
        <f aca="false">(O199-$K199)^2</f>
        <v>0.011274829489</v>
      </c>
      <c r="AD199" s="8" t="n">
        <f aca="false">(P199-$K199)^2</f>
        <v>0.000137898049</v>
      </c>
      <c r="AE199" s="8" t="n">
        <f aca="false">MIN(INT(ROUND(N199*1000000,0)/100000),9)</f>
        <v>0</v>
      </c>
      <c r="AF199" s="8" t="n">
        <f aca="false">MIN(INT(ROUND(P199*1000000,0)/100000),9)</f>
        <v>0</v>
      </c>
    </row>
    <row r="200" customFormat="false" ht="15" hidden="false" customHeight="false" outlineLevel="0" collapsed="false">
      <c r="A200" s="4" t="n">
        <v>196</v>
      </c>
      <c r="B200" s="4" t="n">
        <v>937</v>
      </c>
      <c r="C200" s="4" t="n">
        <v>0</v>
      </c>
      <c r="D200" s="11" t="n">
        <v>46054</v>
      </c>
      <c r="E200" s="4" t="s">
        <v>203</v>
      </c>
      <c r="F200" s="4" t="s">
        <v>209</v>
      </c>
      <c r="G200" s="4" t="n">
        <v>3</v>
      </c>
      <c r="H200" s="4" t="n">
        <v>9</v>
      </c>
      <c r="I200" s="4" t="n">
        <v>0</v>
      </c>
      <c r="J200" s="4"/>
      <c r="K200" s="4" t="n">
        <v>0</v>
      </c>
      <c r="L200" s="12" t="n">
        <v>0.303957</v>
      </c>
      <c r="M200" s="12" t="n">
        <v>0.092063</v>
      </c>
      <c r="N200" s="12" t="n">
        <v>0.068559</v>
      </c>
      <c r="O200" s="12" t="n">
        <v>0.106183</v>
      </c>
      <c r="P200" s="12" t="n">
        <v>0.071478</v>
      </c>
      <c r="Q200" s="0" t="str">
        <f aca="false">IF(L200&gt;=Models!$G$5,1+COUNTIF($L$5:$L$1517,"&gt;"&amp;L200)+COUNTIFS($L$5:$L$1517,L200,$B$5:$B$1517,"&lt;"&amp;B200)+COUNTIFS($L$5:$L$1517,L200,$B$5:$B$1517,B200,$C$5:$C$1517,"&lt;"&amp;C200),"")</f>
        <v/>
      </c>
      <c r="R200" s="0" t="str">
        <f aca="false">IF(M200&gt;=Models!$G$6,1+COUNTIF($M$5:$M$1517,"&gt;"&amp;M200)+COUNTIFS($M$5:$M$1517,M200,$B$5:$B$1517,"&lt;"&amp;B200)+COUNTIFS($M$5:$M$1517,M200,$B$5:$B$1517,B200,$C$5:$C$1517,"&lt;"&amp;C200),"")</f>
        <v/>
      </c>
      <c r="S200" s="0" t="str">
        <f aca="false">IF(N200&gt;=Models!$G$7,1+COUNTIF($N$5:$N$1517,"&gt;"&amp;N200)+COUNTIFS($N$5:$N$1517,N200,$B$5:$B$1517,"&lt;"&amp;B200)+COUNTIFS($N$5:$N$1517,N200,$B$5:$B$1517,B200,$C$5:$C$1517,"&lt;"&amp;C200),"")</f>
        <v/>
      </c>
      <c r="T200" s="8" t="n">
        <f aca="false">IF(O200&gt;=Models!$G$8,1+COUNTIF($O$5:$O$1517,"&gt;"&amp;O200)+COUNTIFS($O$5:$O$1517,O200,$B$5:$B$1517,"&lt;"&amp;B200)+COUNTIFS($O$5:$O$1517,O200,$B$5:$B$1517,B200,$C$5:$C$1517,"&lt;"&amp;C200),"")</f>
        <v>736</v>
      </c>
      <c r="U200" s="8" t="n">
        <f aca="false">IF($K200=1,COUNTIFS($L$5:$L$1517,"&gt;="&amp;L200,$K$5:$K$1517,1)/COUNTIF($L$5:$L$1517,"&gt;="&amp;L200),0)</f>
        <v>0</v>
      </c>
      <c r="V200" s="8" t="n">
        <f aca="false">IF($K200=1,COUNTIFS($M$5:$M$1517,"&gt;="&amp;M200,$K$5:$K$1517,1)/COUNTIF($M$5:$M$1517,"&gt;="&amp;M200),0)</f>
        <v>0</v>
      </c>
      <c r="W200" s="8" t="n">
        <f aca="false">IF($K200=1,COUNTIFS($N$5:$N$1517,"&gt;="&amp;N200,$K$5:$K$1517,1)/COUNTIF($N$5:$N$1517,"&gt;="&amp;N200),0)</f>
        <v>0</v>
      </c>
      <c r="X200" s="8" t="n">
        <f aca="false">IF($K200=1,COUNTIFS($O$5:$O$1517,"&gt;="&amp;O200,$K$5:$K$1517,1)/COUNTIF($O$5:$O$1517,"&gt;="&amp;O200),0)</f>
        <v>0</v>
      </c>
      <c r="Y200" s="8" t="n">
        <f aca="false">IF($K200=1,COUNTIFS($P$5:$P$1517,"&gt;="&amp;P200,$K$5:$K$1517,1)/COUNTIF($P$5:$P$1517,"&gt;="&amp;P200),0)</f>
        <v>0</v>
      </c>
      <c r="Z200" s="8" t="n">
        <f aca="false">(L200-$K200)^2</f>
        <v>0.092389857849</v>
      </c>
      <c r="AA200" s="8" t="n">
        <f aca="false">(M200-$K200)^2</f>
        <v>0.008475595969</v>
      </c>
      <c r="AB200" s="8" t="n">
        <f aca="false">(N200-$K200)^2</f>
        <v>0.004700336481</v>
      </c>
      <c r="AC200" s="8" t="n">
        <f aca="false">(O200-$K200)^2</f>
        <v>0.011274829489</v>
      </c>
      <c r="AD200" s="8" t="n">
        <f aca="false">(P200-$K200)^2</f>
        <v>0.005109104484</v>
      </c>
      <c r="AE200" s="8" t="n">
        <f aca="false">MIN(INT(ROUND(N200*1000000,0)/100000),9)</f>
        <v>0</v>
      </c>
      <c r="AF200" s="8" t="n">
        <f aca="false">MIN(INT(ROUND(P200*1000000,0)/100000),9)</f>
        <v>0</v>
      </c>
    </row>
    <row r="201" customFormat="false" ht="15" hidden="false" customHeight="false" outlineLevel="0" collapsed="false">
      <c r="A201" s="4" t="n">
        <v>197</v>
      </c>
      <c r="B201" s="4" t="n">
        <v>939</v>
      </c>
      <c r="C201" s="4" t="n">
        <v>0</v>
      </c>
      <c r="D201" s="11" t="n">
        <v>46054</v>
      </c>
      <c r="E201" s="4" t="s">
        <v>203</v>
      </c>
      <c r="F201" s="4" t="s">
        <v>209</v>
      </c>
      <c r="G201" s="4" t="n">
        <v>5</v>
      </c>
      <c r="H201" s="4" t="n">
        <v>3</v>
      </c>
      <c r="I201" s="4" t="n">
        <v>0</v>
      </c>
      <c r="J201" s="4" t="n">
        <v>342</v>
      </c>
      <c r="K201" s="4" t="n">
        <v>1</v>
      </c>
      <c r="L201" s="12" t="n">
        <v>0.377951</v>
      </c>
      <c r="M201" s="12" t="n">
        <v>0.092063</v>
      </c>
      <c r="N201" s="12" t="n">
        <v>0.108971</v>
      </c>
      <c r="O201" s="12" t="n">
        <v>0.106183</v>
      </c>
      <c r="P201" s="12" t="n">
        <v>0.115853</v>
      </c>
      <c r="Q201" s="0" t="str">
        <f aca="false">IF(L201&gt;=Models!$G$5,1+COUNTIF($L$5:$L$1517,"&gt;"&amp;L201)+COUNTIFS($L$5:$L$1517,L201,$B$5:$B$1517,"&lt;"&amp;B201)+COUNTIFS($L$5:$L$1517,L201,$B$5:$B$1517,B201,$C$5:$C$1517,"&lt;"&amp;C201),"")</f>
        <v/>
      </c>
      <c r="R201" s="0" t="str">
        <f aca="false">IF(M201&gt;=Models!$G$6,1+COUNTIF($M$5:$M$1517,"&gt;"&amp;M201)+COUNTIFS($M$5:$M$1517,M201,$B$5:$B$1517,"&lt;"&amp;B201)+COUNTIFS($M$5:$M$1517,M201,$B$5:$B$1517,B201,$C$5:$C$1517,"&lt;"&amp;C201),"")</f>
        <v/>
      </c>
      <c r="S201" s="0" t="str">
        <f aca="false">IF(N201&gt;=Models!$G$7,1+COUNTIF($N$5:$N$1517,"&gt;"&amp;N201)+COUNTIFS($N$5:$N$1517,N201,$B$5:$B$1517,"&lt;"&amp;B201)+COUNTIFS($N$5:$N$1517,N201,$B$5:$B$1517,B201,$C$5:$C$1517,"&lt;"&amp;C201),"")</f>
        <v/>
      </c>
      <c r="T201" s="8" t="n">
        <f aca="false">IF(O201&gt;=Models!$G$8,1+COUNTIF($O$5:$O$1517,"&gt;"&amp;O201)+COUNTIFS($O$5:$O$1517,O201,$B$5:$B$1517,"&lt;"&amp;B201)+COUNTIFS($O$5:$O$1517,O201,$B$5:$B$1517,B201,$C$5:$C$1517,"&lt;"&amp;C201),"")</f>
        <v>740</v>
      </c>
      <c r="U201" s="8" t="n">
        <f aca="false">IF($K201=1,COUNTIFS($L$5:$L$1517,"&gt;="&amp;L201,$K$5:$K$1517,1)/COUNTIF($L$5:$L$1517,"&gt;="&amp;L201),0)</f>
        <v>0.130010834236186</v>
      </c>
      <c r="V201" s="8" t="n">
        <f aca="false">IF($K201=1,COUNTIFS($M$5:$M$1517,"&gt;="&amp;M201,$K$5:$K$1517,1)/COUNTIF($M$5:$M$1517,"&gt;="&amp;M201),0)</f>
        <v>0.12491738268341</v>
      </c>
      <c r="W201" s="8" t="n">
        <f aca="false">IF($K201=1,COUNTIFS($N$5:$N$1517,"&gt;="&amp;N201,$K$5:$K$1517,1)/COUNTIF($N$5:$N$1517,"&gt;="&amp;N201),0)</f>
        <v>0.206132879045997</v>
      </c>
      <c r="X201" s="8" t="n">
        <f aca="false">IF($K201=1,COUNTIFS($O$5:$O$1517,"&gt;="&amp;O201,$K$5:$K$1517,1)/COUNTIF($O$5:$O$1517,"&gt;="&amp;O201),0)</f>
        <v>0.12491738268341</v>
      </c>
      <c r="Y201" s="8" t="n">
        <f aca="false">IF($K201=1,COUNTIFS($P$5:$P$1517,"&gt;="&amp;P201,$K$5:$K$1517,1)/COUNTIF($P$5:$P$1517,"&gt;="&amp;P201),0)</f>
        <v>0.206132879045997</v>
      </c>
      <c r="Z201" s="8" t="n">
        <f aca="false">(L201-$K201)^2</f>
        <v>0.386944958401</v>
      </c>
      <c r="AA201" s="8" t="n">
        <f aca="false">(M201-$K201)^2</f>
        <v>0.824349595969</v>
      </c>
      <c r="AB201" s="8" t="n">
        <f aca="false">(N201-$K201)^2</f>
        <v>0.793932678841</v>
      </c>
      <c r="AC201" s="8" t="n">
        <f aca="false">(O201-$K201)^2</f>
        <v>0.798908829489</v>
      </c>
      <c r="AD201" s="8" t="n">
        <f aca="false">(P201-$K201)^2</f>
        <v>0.781715917609</v>
      </c>
      <c r="AE201" s="8" t="n">
        <f aca="false">MIN(INT(ROUND(N201*1000000,0)/100000),9)</f>
        <v>1</v>
      </c>
      <c r="AF201" s="8" t="n">
        <f aca="false">MIN(INT(ROUND(P201*1000000,0)/100000),9)</f>
        <v>1</v>
      </c>
    </row>
    <row r="202" customFormat="false" ht="15" hidden="false" customHeight="false" outlineLevel="0" collapsed="false">
      <c r="A202" s="4" t="n">
        <v>198</v>
      </c>
      <c r="B202" s="4" t="n">
        <v>942</v>
      </c>
      <c r="C202" s="4" t="n">
        <v>0</v>
      </c>
      <c r="D202" s="11" t="n">
        <v>46054</v>
      </c>
      <c r="E202" s="4" t="s">
        <v>203</v>
      </c>
      <c r="F202" s="4" t="s">
        <v>209</v>
      </c>
      <c r="G202" s="4" t="n">
        <v>9</v>
      </c>
      <c r="H202" s="4" t="n">
        <v>2</v>
      </c>
      <c r="I202" s="4" t="n">
        <v>0</v>
      </c>
      <c r="J202" s="4" t="n">
        <v>381</v>
      </c>
      <c r="K202" s="4" t="n">
        <v>0</v>
      </c>
      <c r="L202" s="12" t="n">
        <v>0.90631</v>
      </c>
      <c r="M202" s="12" t="n">
        <v>0.092063</v>
      </c>
      <c r="N202" s="12" t="n">
        <v>0.077864</v>
      </c>
      <c r="O202" s="12" t="n">
        <v>0.106183</v>
      </c>
      <c r="P202" s="12" t="n">
        <v>0.081634</v>
      </c>
      <c r="Q202" s="0" t="str">
        <f aca="false">IF(L202&gt;=Models!$G$5,1+COUNTIF($L$5:$L$1517,"&gt;"&amp;L202)+COUNTIFS($L$5:$L$1517,L202,$B$5:$B$1517,"&lt;"&amp;B202)+COUNTIFS($L$5:$L$1517,L202,$B$5:$B$1517,B202,$C$5:$C$1517,"&lt;"&amp;C202),"")</f>
        <v/>
      </c>
      <c r="R202" s="0" t="str">
        <f aca="false">IF(M202&gt;=Models!$G$6,1+COUNTIF($M$5:$M$1517,"&gt;"&amp;M202)+COUNTIFS($M$5:$M$1517,M202,$B$5:$B$1517,"&lt;"&amp;B202)+COUNTIFS($M$5:$M$1517,M202,$B$5:$B$1517,B202,$C$5:$C$1517,"&lt;"&amp;C202),"")</f>
        <v/>
      </c>
      <c r="S202" s="0" t="str">
        <f aca="false">IF(N202&gt;=Models!$G$7,1+COUNTIF($N$5:$N$1517,"&gt;"&amp;N202)+COUNTIFS($N$5:$N$1517,N202,$B$5:$B$1517,"&lt;"&amp;B202)+COUNTIFS($N$5:$N$1517,N202,$B$5:$B$1517,B202,$C$5:$C$1517,"&lt;"&amp;C202),"")</f>
        <v/>
      </c>
      <c r="T202" s="8" t="n">
        <f aca="false">IF(O202&gt;=Models!$G$8,1+COUNTIF($O$5:$O$1517,"&gt;"&amp;O202)+COUNTIFS($O$5:$O$1517,O202,$B$5:$B$1517,"&lt;"&amp;B202)+COUNTIFS($O$5:$O$1517,O202,$B$5:$B$1517,B202,$C$5:$C$1517,"&lt;"&amp;C202),"")</f>
        <v>743</v>
      </c>
      <c r="U202" s="8" t="n">
        <f aca="false">IF($K202=1,COUNTIFS($L$5:$L$1517,"&gt;="&amp;L202,$K$5:$K$1517,1)/COUNTIF($L$5:$L$1517,"&gt;="&amp;L202),0)</f>
        <v>0</v>
      </c>
      <c r="V202" s="8" t="n">
        <f aca="false">IF($K202=1,COUNTIFS($M$5:$M$1517,"&gt;="&amp;M202,$K$5:$K$1517,1)/COUNTIF($M$5:$M$1517,"&gt;="&amp;M202),0)</f>
        <v>0</v>
      </c>
      <c r="W202" s="8" t="n">
        <f aca="false">IF($K202=1,COUNTIFS($N$5:$N$1517,"&gt;="&amp;N202,$K$5:$K$1517,1)/COUNTIF($N$5:$N$1517,"&gt;="&amp;N202),0)</f>
        <v>0</v>
      </c>
      <c r="X202" s="8" t="n">
        <f aca="false">IF($K202=1,COUNTIFS($O$5:$O$1517,"&gt;="&amp;O202,$K$5:$K$1517,1)/COUNTIF($O$5:$O$1517,"&gt;="&amp;O202),0)</f>
        <v>0</v>
      </c>
      <c r="Y202" s="8" t="n">
        <f aca="false">IF($K202=1,COUNTIFS($P$5:$P$1517,"&gt;="&amp;P202,$K$5:$K$1517,1)/COUNTIF($P$5:$P$1517,"&gt;="&amp;P202),0)</f>
        <v>0</v>
      </c>
      <c r="Z202" s="8" t="n">
        <f aca="false">(L202-$K202)^2</f>
        <v>0.8213978161</v>
      </c>
      <c r="AA202" s="8" t="n">
        <f aca="false">(M202-$K202)^2</f>
        <v>0.008475595969</v>
      </c>
      <c r="AB202" s="8" t="n">
        <f aca="false">(N202-$K202)^2</f>
        <v>0.006062802496</v>
      </c>
      <c r="AC202" s="8" t="n">
        <f aca="false">(O202-$K202)^2</f>
        <v>0.011274829489</v>
      </c>
      <c r="AD202" s="8" t="n">
        <f aca="false">(P202-$K202)^2</f>
        <v>0.006664109956</v>
      </c>
      <c r="AE202" s="8" t="n">
        <f aca="false">MIN(INT(ROUND(N202*1000000,0)/100000),9)</f>
        <v>0</v>
      </c>
      <c r="AF202" s="8" t="n">
        <f aca="false">MIN(INT(ROUND(P202*1000000,0)/100000),9)</f>
        <v>0</v>
      </c>
    </row>
    <row r="203" customFormat="false" ht="15" hidden="false" customHeight="false" outlineLevel="0" collapsed="false">
      <c r="A203" s="4" t="n">
        <v>199</v>
      </c>
      <c r="B203" s="4" t="n">
        <v>943</v>
      </c>
      <c r="C203" s="4" t="n">
        <v>0</v>
      </c>
      <c r="D203" s="11" t="n">
        <v>46054</v>
      </c>
      <c r="E203" s="4" t="s">
        <v>204</v>
      </c>
      <c r="F203" s="4" t="s">
        <v>208</v>
      </c>
      <c r="G203" s="4" t="n">
        <v>3</v>
      </c>
      <c r="H203" s="4" t="n">
        <v>6</v>
      </c>
      <c r="I203" s="4" t="n">
        <v>0</v>
      </c>
      <c r="J203" s="4" t="n">
        <v>78</v>
      </c>
      <c r="K203" s="4" t="n">
        <v>0</v>
      </c>
      <c r="L203" s="12" t="n">
        <v>0.224514</v>
      </c>
      <c r="M203" s="12" t="n">
        <v>0.092063</v>
      </c>
      <c r="N203" s="12" t="n">
        <v>0.132229</v>
      </c>
      <c r="O203" s="12" t="n">
        <v>0.106183</v>
      </c>
      <c r="P203" s="12" t="n">
        <v>0.141615</v>
      </c>
      <c r="Q203" s="0" t="str">
        <f aca="false">IF(L203&gt;=Models!$G$5,1+COUNTIF($L$5:$L$1517,"&gt;"&amp;L203)+COUNTIFS($L$5:$L$1517,L203,$B$5:$B$1517,"&lt;"&amp;B203)+COUNTIFS($L$5:$L$1517,L203,$B$5:$B$1517,B203,$C$5:$C$1517,"&lt;"&amp;C203),"")</f>
        <v/>
      </c>
      <c r="R203" s="0" t="str">
        <f aca="false">IF(M203&gt;=Models!$G$6,1+COUNTIF($M$5:$M$1517,"&gt;"&amp;M203)+COUNTIFS($M$5:$M$1517,M203,$B$5:$B$1517,"&lt;"&amp;B203)+COUNTIFS($M$5:$M$1517,M203,$B$5:$B$1517,B203,$C$5:$C$1517,"&lt;"&amp;C203),"")</f>
        <v/>
      </c>
      <c r="S203" s="0" t="str">
        <f aca="false">IF(N203&gt;=Models!$G$7,1+COUNTIF($N$5:$N$1517,"&gt;"&amp;N203)+COUNTIFS($N$5:$N$1517,N203,$B$5:$B$1517,"&lt;"&amp;B203)+COUNTIFS($N$5:$N$1517,N203,$B$5:$B$1517,B203,$C$5:$C$1517,"&lt;"&amp;C203),"")</f>
        <v/>
      </c>
      <c r="T203" s="8" t="n">
        <f aca="false">IF(O203&gt;=Models!$G$8,1+COUNTIF($O$5:$O$1517,"&gt;"&amp;O203)+COUNTIFS($O$5:$O$1517,O203,$B$5:$B$1517,"&lt;"&amp;B203)+COUNTIFS($O$5:$O$1517,O203,$B$5:$B$1517,B203,$C$5:$C$1517,"&lt;"&amp;C203),"")</f>
        <v>747</v>
      </c>
      <c r="U203" s="8" t="n">
        <f aca="false">IF($K203=1,COUNTIFS($L$5:$L$1517,"&gt;="&amp;L203,$K$5:$K$1517,1)/COUNTIF($L$5:$L$1517,"&gt;="&amp;L203),0)</f>
        <v>0</v>
      </c>
      <c r="V203" s="8" t="n">
        <f aca="false">IF($K203=1,COUNTIFS($M$5:$M$1517,"&gt;="&amp;M203,$K$5:$K$1517,1)/COUNTIF($M$5:$M$1517,"&gt;="&amp;M203),0)</f>
        <v>0</v>
      </c>
      <c r="W203" s="8" t="n">
        <f aca="false">IF($K203=1,COUNTIFS($N$5:$N$1517,"&gt;="&amp;N203,$K$5:$K$1517,1)/COUNTIF($N$5:$N$1517,"&gt;="&amp;N203),0)</f>
        <v>0</v>
      </c>
      <c r="X203" s="8" t="n">
        <f aca="false">IF($K203=1,COUNTIFS($O$5:$O$1517,"&gt;="&amp;O203,$K$5:$K$1517,1)/COUNTIF($O$5:$O$1517,"&gt;="&amp;O203),0)</f>
        <v>0</v>
      </c>
      <c r="Y203" s="8" t="n">
        <f aca="false">IF($K203=1,COUNTIFS($P$5:$P$1517,"&gt;="&amp;P203,$K$5:$K$1517,1)/COUNTIF($P$5:$P$1517,"&gt;="&amp;P203),0)</f>
        <v>0</v>
      </c>
      <c r="Z203" s="8" t="n">
        <f aca="false">(L203-$K203)^2</f>
        <v>0.050406536196</v>
      </c>
      <c r="AA203" s="8" t="n">
        <f aca="false">(M203-$K203)^2</f>
        <v>0.008475595969</v>
      </c>
      <c r="AB203" s="8" t="n">
        <f aca="false">(N203-$K203)^2</f>
        <v>0.017484508441</v>
      </c>
      <c r="AC203" s="8" t="n">
        <f aca="false">(O203-$K203)^2</f>
        <v>0.011274829489</v>
      </c>
      <c r="AD203" s="8" t="n">
        <f aca="false">(P203-$K203)^2</f>
        <v>0.020054808225</v>
      </c>
      <c r="AE203" s="8" t="n">
        <f aca="false">MIN(INT(ROUND(N203*1000000,0)/100000),9)</f>
        <v>1</v>
      </c>
      <c r="AF203" s="8" t="n">
        <f aca="false">MIN(INT(ROUND(P203*1000000,0)/100000),9)</f>
        <v>1</v>
      </c>
    </row>
    <row r="204" customFormat="false" ht="15" hidden="false" customHeight="false" outlineLevel="0" collapsed="false">
      <c r="A204" s="4" t="n">
        <v>200</v>
      </c>
      <c r="B204" s="4" t="n">
        <v>944</v>
      </c>
      <c r="C204" s="4" t="n">
        <v>0</v>
      </c>
      <c r="D204" s="11" t="n">
        <v>46054</v>
      </c>
      <c r="E204" s="4" t="s">
        <v>204</v>
      </c>
      <c r="F204" s="4" t="s">
        <v>209</v>
      </c>
      <c r="G204" s="4" t="n">
        <v>4</v>
      </c>
      <c r="H204" s="4" t="n">
        <v>1</v>
      </c>
      <c r="I204" s="4" t="n">
        <v>0</v>
      </c>
      <c r="J204" s="4" t="n">
        <v>75</v>
      </c>
      <c r="K204" s="4" t="n">
        <v>1</v>
      </c>
      <c r="L204" s="12" t="n">
        <v>0.048081</v>
      </c>
      <c r="M204" s="12" t="n">
        <v>0.092063</v>
      </c>
      <c r="N204" s="12" t="n">
        <v>0.117929</v>
      </c>
      <c r="O204" s="12" t="n">
        <v>0.106183</v>
      </c>
      <c r="P204" s="12" t="n">
        <v>0.125763</v>
      </c>
      <c r="Q204" s="0" t="str">
        <f aca="false">IF(L204&gt;=Models!$G$5,1+COUNTIF($L$5:$L$1517,"&gt;"&amp;L204)+COUNTIFS($L$5:$L$1517,L204,$B$5:$B$1517,"&lt;"&amp;B204)+COUNTIFS($L$5:$L$1517,L204,$B$5:$B$1517,B204,$C$5:$C$1517,"&lt;"&amp;C204),"")</f>
        <v/>
      </c>
      <c r="R204" s="0" t="str">
        <f aca="false">IF(M204&gt;=Models!$G$6,1+COUNTIF($M$5:$M$1517,"&gt;"&amp;M204)+COUNTIFS($M$5:$M$1517,M204,$B$5:$B$1517,"&lt;"&amp;B204)+COUNTIFS($M$5:$M$1517,M204,$B$5:$B$1517,B204,$C$5:$C$1517,"&lt;"&amp;C204),"")</f>
        <v/>
      </c>
      <c r="S204" s="0" t="str">
        <f aca="false">IF(N204&gt;=Models!$G$7,1+COUNTIF($N$5:$N$1517,"&gt;"&amp;N204)+COUNTIFS($N$5:$N$1517,N204,$B$5:$B$1517,"&lt;"&amp;B204)+COUNTIFS($N$5:$N$1517,N204,$B$5:$B$1517,B204,$C$5:$C$1517,"&lt;"&amp;C204),"")</f>
        <v/>
      </c>
      <c r="T204" s="8" t="n">
        <f aca="false">IF(O204&gt;=Models!$G$8,1+COUNTIF($O$5:$O$1517,"&gt;"&amp;O204)+COUNTIFS($O$5:$O$1517,O204,$B$5:$B$1517,"&lt;"&amp;B204)+COUNTIFS($O$5:$O$1517,O204,$B$5:$B$1517,B204,$C$5:$C$1517,"&lt;"&amp;C204),"")</f>
        <v>751</v>
      </c>
      <c r="U204" s="8" t="n">
        <f aca="false">IF($K204=1,COUNTIFS($L$5:$L$1517,"&gt;="&amp;L204,$K$5:$K$1517,1)/COUNTIF($L$5:$L$1517,"&gt;="&amp;L204),0)</f>
        <v>0.126493323963457</v>
      </c>
      <c r="V204" s="8" t="n">
        <f aca="false">IF($K204=1,COUNTIFS($M$5:$M$1517,"&gt;="&amp;M204,$K$5:$K$1517,1)/COUNTIF($M$5:$M$1517,"&gt;="&amp;M204),0)</f>
        <v>0.12491738268341</v>
      </c>
      <c r="W204" s="8" t="n">
        <f aca="false">IF($K204=1,COUNTIFS($N$5:$N$1517,"&gt;="&amp;N204,$K$5:$K$1517,1)/COUNTIF($N$5:$N$1517,"&gt;="&amp;N204),0)</f>
        <v>0.21900826446281</v>
      </c>
      <c r="X204" s="8" t="n">
        <f aca="false">IF($K204=1,COUNTIFS($O$5:$O$1517,"&gt;="&amp;O204,$K$5:$K$1517,1)/COUNTIF($O$5:$O$1517,"&gt;="&amp;O204),0)</f>
        <v>0.12491738268341</v>
      </c>
      <c r="Y204" s="8" t="n">
        <f aca="false">IF($K204=1,COUNTIFS($P$5:$P$1517,"&gt;="&amp;P204,$K$5:$K$1517,1)/COUNTIF($P$5:$P$1517,"&gt;="&amp;P204),0)</f>
        <v>0.21900826446281</v>
      </c>
      <c r="Z204" s="8" t="n">
        <f aca="false">(L204-$K204)^2</f>
        <v>0.906149782561</v>
      </c>
      <c r="AA204" s="8" t="n">
        <f aca="false">(M204-$K204)^2</f>
        <v>0.824349595969</v>
      </c>
      <c r="AB204" s="8" t="n">
        <f aca="false">(N204-$K204)^2</f>
        <v>0.778049249041</v>
      </c>
      <c r="AC204" s="8" t="n">
        <f aca="false">(O204-$K204)^2</f>
        <v>0.798908829489</v>
      </c>
      <c r="AD204" s="8" t="n">
        <f aca="false">(P204-$K204)^2</f>
        <v>0.764290332169</v>
      </c>
      <c r="AE204" s="8" t="n">
        <f aca="false">MIN(INT(ROUND(N204*1000000,0)/100000),9)</f>
        <v>1</v>
      </c>
      <c r="AF204" s="8" t="n">
        <f aca="false">MIN(INT(ROUND(P204*1000000,0)/100000),9)</f>
        <v>1</v>
      </c>
    </row>
    <row r="205" customFormat="false" ht="15" hidden="false" customHeight="false" outlineLevel="0" collapsed="false">
      <c r="A205" s="4" t="n">
        <v>201</v>
      </c>
      <c r="B205" s="4" t="n">
        <v>950</v>
      </c>
      <c r="C205" s="4" t="n">
        <v>0</v>
      </c>
      <c r="D205" s="11" t="n">
        <v>46054</v>
      </c>
      <c r="E205" s="4" t="s">
        <v>202</v>
      </c>
      <c r="F205" s="4" t="s">
        <v>208</v>
      </c>
      <c r="G205" s="4" t="n">
        <v>10</v>
      </c>
      <c r="H205" s="4" t="n">
        <v>4</v>
      </c>
      <c r="I205" s="4" t="n">
        <v>0</v>
      </c>
      <c r="J205" s="4"/>
      <c r="K205" s="4" t="n">
        <v>0</v>
      </c>
      <c r="L205" s="12" t="n">
        <v>0.923268</v>
      </c>
      <c r="M205" s="12" t="n">
        <v>0.092063</v>
      </c>
      <c r="N205" s="12" t="n">
        <v>0.036266</v>
      </c>
      <c r="O205" s="12" t="n">
        <v>0.106183</v>
      </c>
      <c r="P205" s="12" t="n">
        <v>0.03672</v>
      </c>
      <c r="Q205" s="0" t="str">
        <f aca="false">IF(L205&gt;=Models!$G$5,1+COUNTIF($L$5:$L$1517,"&gt;"&amp;L205)+COUNTIFS($L$5:$L$1517,L205,$B$5:$B$1517,"&lt;"&amp;B205)+COUNTIFS($L$5:$L$1517,L205,$B$5:$B$1517,B205,$C$5:$C$1517,"&lt;"&amp;C205),"")</f>
        <v/>
      </c>
      <c r="R205" s="0" t="str">
        <f aca="false">IF(M205&gt;=Models!$G$6,1+COUNTIF($M$5:$M$1517,"&gt;"&amp;M205)+COUNTIFS($M$5:$M$1517,M205,$B$5:$B$1517,"&lt;"&amp;B205)+COUNTIFS($M$5:$M$1517,M205,$B$5:$B$1517,B205,$C$5:$C$1517,"&lt;"&amp;C205),"")</f>
        <v/>
      </c>
      <c r="S205" s="0" t="str">
        <f aca="false">IF(N205&gt;=Models!$G$7,1+COUNTIF($N$5:$N$1517,"&gt;"&amp;N205)+COUNTIFS($N$5:$N$1517,N205,$B$5:$B$1517,"&lt;"&amp;B205)+COUNTIFS($N$5:$N$1517,N205,$B$5:$B$1517,B205,$C$5:$C$1517,"&lt;"&amp;C205),"")</f>
        <v/>
      </c>
      <c r="T205" s="8" t="n">
        <f aca="false">IF(O205&gt;=Models!$G$8,1+COUNTIF($O$5:$O$1517,"&gt;"&amp;O205)+COUNTIFS($O$5:$O$1517,O205,$B$5:$B$1517,"&lt;"&amp;B205)+COUNTIFS($O$5:$O$1517,O205,$B$5:$B$1517,B205,$C$5:$C$1517,"&lt;"&amp;C205),"")</f>
        <v>754</v>
      </c>
      <c r="U205" s="8" t="n">
        <f aca="false">IF($K205=1,COUNTIFS($L$5:$L$1517,"&gt;="&amp;L205,$K$5:$K$1517,1)/COUNTIF($L$5:$L$1517,"&gt;="&amp;L205),0)</f>
        <v>0</v>
      </c>
      <c r="V205" s="8" t="n">
        <f aca="false">IF($K205=1,COUNTIFS($M$5:$M$1517,"&gt;="&amp;M205,$K$5:$K$1517,1)/COUNTIF($M$5:$M$1517,"&gt;="&amp;M205),0)</f>
        <v>0</v>
      </c>
      <c r="W205" s="8" t="n">
        <f aca="false">IF($K205=1,COUNTIFS($N$5:$N$1517,"&gt;="&amp;N205,$K$5:$K$1517,1)/COUNTIF($N$5:$N$1517,"&gt;="&amp;N205),0)</f>
        <v>0</v>
      </c>
      <c r="X205" s="8" t="n">
        <f aca="false">IF($K205=1,COUNTIFS($O$5:$O$1517,"&gt;="&amp;O205,$K$5:$K$1517,1)/COUNTIF($O$5:$O$1517,"&gt;="&amp;O205),0)</f>
        <v>0</v>
      </c>
      <c r="Y205" s="8" t="n">
        <f aca="false">IF($K205=1,COUNTIFS($P$5:$P$1517,"&gt;="&amp;P205,$K$5:$K$1517,1)/COUNTIF($P$5:$P$1517,"&gt;="&amp;P205),0)</f>
        <v>0</v>
      </c>
      <c r="Z205" s="8" t="n">
        <f aca="false">(L205-$K205)^2</f>
        <v>0.852423799824</v>
      </c>
      <c r="AA205" s="8" t="n">
        <f aca="false">(M205-$K205)^2</f>
        <v>0.008475595969</v>
      </c>
      <c r="AB205" s="8" t="n">
        <f aca="false">(N205-$K205)^2</f>
        <v>0.001315222756</v>
      </c>
      <c r="AC205" s="8" t="n">
        <f aca="false">(O205-$K205)^2</f>
        <v>0.011274829489</v>
      </c>
      <c r="AD205" s="8" t="n">
        <f aca="false">(P205-$K205)^2</f>
        <v>0.0013483584</v>
      </c>
      <c r="AE205" s="8" t="n">
        <f aca="false">MIN(INT(ROUND(N205*1000000,0)/100000),9)</f>
        <v>0</v>
      </c>
      <c r="AF205" s="8" t="n">
        <f aca="false">MIN(INT(ROUND(P205*1000000,0)/100000),9)</f>
        <v>0</v>
      </c>
    </row>
    <row r="206" customFormat="false" ht="15" hidden="false" customHeight="false" outlineLevel="0" collapsed="false">
      <c r="A206" s="4" t="n">
        <v>202</v>
      </c>
      <c r="B206" s="4" t="n">
        <v>951</v>
      </c>
      <c r="C206" s="4" t="n">
        <v>0</v>
      </c>
      <c r="D206" s="11" t="n">
        <v>46054</v>
      </c>
      <c r="E206" s="4" t="s">
        <v>202</v>
      </c>
      <c r="F206" s="4" t="s">
        <v>206</v>
      </c>
      <c r="G206" s="4" t="n">
        <v>4</v>
      </c>
      <c r="H206" s="4" t="n">
        <v>0</v>
      </c>
      <c r="I206" s="4" t="n">
        <v>0</v>
      </c>
      <c r="J206" s="4" t="n">
        <v>1695</v>
      </c>
      <c r="K206" s="4" t="n">
        <v>0</v>
      </c>
      <c r="L206" s="12" t="n">
        <v>0.954874</v>
      </c>
      <c r="M206" s="12" t="n">
        <v>0.092063</v>
      </c>
      <c r="N206" s="12" t="n">
        <v>0.107699</v>
      </c>
      <c r="O206" s="12" t="n">
        <v>0.106183</v>
      </c>
      <c r="P206" s="12" t="n">
        <v>0.114448</v>
      </c>
      <c r="Q206" s="0" t="str">
        <f aca="false">IF(L206&gt;=Models!$G$5,1+COUNTIF($L$5:$L$1517,"&gt;"&amp;L206)+COUNTIFS($L$5:$L$1517,L206,$B$5:$B$1517,"&lt;"&amp;B206)+COUNTIFS($L$5:$L$1517,L206,$B$5:$B$1517,B206,$C$5:$C$1517,"&lt;"&amp;C206),"")</f>
        <v/>
      </c>
      <c r="R206" s="0" t="str">
        <f aca="false">IF(M206&gt;=Models!$G$6,1+COUNTIF($M$5:$M$1517,"&gt;"&amp;M206)+COUNTIFS($M$5:$M$1517,M206,$B$5:$B$1517,"&lt;"&amp;B206)+COUNTIFS($M$5:$M$1517,M206,$B$5:$B$1517,B206,$C$5:$C$1517,"&lt;"&amp;C206),"")</f>
        <v/>
      </c>
      <c r="S206" s="0" t="str">
        <f aca="false">IF(N206&gt;=Models!$G$7,1+COUNTIF($N$5:$N$1517,"&gt;"&amp;N206)+COUNTIFS($N$5:$N$1517,N206,$B$5:$B$1517,"&lt;"&amp;B206)+COUNTIFS($N$5:$N$1517,N206,$B$5:$B$1517,B206,$C$5:$C$1517,"&lt;"&amp;C206),"")</f>
        <v/>
      </c>
      <c r="T206" s="8" t="n">
        <f aca="false">IF(O206&gt;=Models!$G$8,1+COUNTIF($O$5:$O$1517,"&gt;"&amp;O206)+COUNTIFS($O$5:$O$1517,O206,$B$5:$B$1517,"&lt;"&amp;B206)+COUNTIFS($O$5:$O$1517,O206,$B$5:$B$1517,B206,$C$5:$C$1517,"&lt;"&amp;C206),"")</f>
        <v>758</v>
      </c>
      <c r="U206" s="8" t="n">
        <f aca="false">IF($K206=1,COUNTIFS($L$5:$L$1517,"&gt;="&amp;L206,$K$5:$K$1517,1)/COUNTIF($L$5:$L$1517,"&gt;="&amp;L206),0)</f>
        <v>0</v>
      </c>
      <c r="V206" s="8" t="n">
        <f aca="false">IF($K206=1,COUNTIFS($M$5:$M$1517,"&gt;="&amp;M206,$K$5:$K$1517,1)/COUNTIF($M$5:$M$1517,"&gt;="&amp;M206),0)</f>
        <v>0</v>
      </c>
      <c r="W206" s="8" t="n">
        <f aca="false">IF($K206=1,COUNTIFS($N$5:$N$1517,"&gt;="&amp;N206,$K$5:$K$1517,1)/COUNTIF($N$5:$N$1517,"&gt;="&amp;N206),0)</f>
        <v>0</v>
      </c>
      <c r="X206" s="8" t="n">
        <f aca="false">IF($K206=1,COUNTIFS($O$5:$O$1517,"&gt;="&amp;O206,$K$5:$K$1517,1)/COUNTIF($O$5:$O$1517,"&gt;="&amp;O206),0)</f>
        <v>0</v>
      </c>
      <c r="Y206" s="8" t="n">
        <f aca="false">IF($K206=1,COUNTIFS($P$5:$P$1517,"&gt;="&amp;P206,$K$5:$K$1517,1)/COUNTIF($P$5:$P$1517,"&gt;="&amp;P206),0)</f>
        <v>0</v>
      </c>
      <c r="Z206" s="8" t="n">
        <f aca="false">(L206-$K206)^2</f>
        <v>0.911784355876</v>
      </c>
      <c r="AA206" s="8" t="n">
        <f aca="false">(M206-$K206)^2</f>
        <v>0.008475595969</v>
      </c>
      <c r="AB206" s="8" t="n">
        <f aca="false">(N206-$K206)^2</f>
        <v>0.011599074601</v>
      </c>
      <c r="AC206" s="8" t="n">
        <f aca="false">(O206-$K206)^2</f>
        <v>0.011274829489</v>
      </c>
      <c r="AD206" s="8" t="n">
        <f aca="false">(P206-$K206)^2</f>
        <v>0.013098344704</v>
      </c>
      <c r="AE206" s="8" t="n">
        <f aca="false">MIN(INT(ROUND(N206*1000000,0)/100000),9)</f>
        <v>1</v>
      </c>
      <c r="AF206" s="8" t="n">
        <f aca="false">MIN(INT(ROUND(P206*1000000,0)/100000),9)</f>
        <v>1</v>
      </c>
    </row>
    <row r="207" customFormat="false" ht="15" hidden="false" customHeight="false" outlineLevel="0" collapsed="false">
      <c r="A207" s="4" t="n">
        <v>203</v>
      </c>
      <c r="B207" s="4" t="n">
        <v>953</v>
      </c>
      <c r="C207" s="4" t="n">
        <v>0</v>
      </c>
      <c r="D207" s="11" t="n">
        <v>46054</v>
      </c>
      <c r="E207" s="4" t="s">
        <v>204</v>
      </c>
      <c r="F207" s="4" t="s">
        <v>209</v>
      </c>
      <c r="G207" s="4" t="n">
        <v>6</v>
      </c>
      <c r="H207" s="4" t="n">
        <v>5</v>
      </c>
      <c r="I207" s="4" t="n">
        <v>0</v>
      </c>
      <c r="J207" s="4" t="n">
        <v>96</v>
      </c>
      <c r="K207" s="4" t="n">
        <v>0</v>
      </c>
      <c r="L207" s="12" t="n">
        <v>0.394679</v>
      </c>
      <c r="M207" s="12" t="n">
        <v>0.092063</v>
      </c>
      <c r="N207" s="12" t="n">
        <v>0.103343</v>
      </c>
      <c r="O207" s="12" t="n">
        <v>0.106183</v>
      </c>
      <c r="P207" s="12" t="n">
        <v>0.109638</v>
      </c>
      <c r="Q207" s="0" t="str">
        <f aca="false">IF(L207&gt;=Models!$G$5,1+COUNTIF($L$5:$L$1517,"&gt;"&amp;L207)+COUNTIFS($L$5:$L$1517,L207,$B$5:$B$1517,"&lt;"&amp;B207)+COUNTIFS($L$5:$L$1517,L207,$B$5:$B$1517,B207,$C$5:$C$1517,"&lt;"&amp;C207),"")</f>
        <v/>
      </c>
      <c r="R207" s="0" t="str">
        <f aca="false">IF(M207&gt;=Models!$G$6,1+COUNTIF($M$5:$M$1517,"&gt;"&amp;M207)+COUNTIFS($M$5:$M$1517,M207,$B$5:$B$1517,"&lt;"&amp;B207)+COUNTIFS($M$5:$M$1517,M207,$B$5:$B$1517,B207,$C$5:$C$1517,"&lt;"&amp;C207),"")</f>
        <v/>
      </c>
      <c r="S207" s="0" t="str">
        <f aca="false">IF(N207&gt;=Models!$G$7,1+COUNTIF($N$5:$N$1517,"&gt;"&amp;N207)+COUNTIFS($N$5:$N$1517,N207,$B$5:$B$1517,"&lt;"&amp;B207)+COUNTIFS($N$5:$N$1517,N207,$B$5:$B$1517,B207,$C$5:$C$1517,"&lt;"&amp;C207),"")</f>
        <v/>
      </c>
      <c r="T207" s="8" t="n">
        <f aca="false">IF(O207&gt;=Models!$G$8,1+COUNTIF($O$5:$O$1517,"&gt;"&amp;O207)+COUNTIFS($O$5:$O$1517,O207,$B$5:$B$1517,"&lt;"&amp;B207)+COUNTIFS($O$5:$O$1517,O207,$B$5:$B$1517,B207,$C$5:$C$1517,"&lt;"&amp;C207),"")</f>
        <v>762</v>
      </c>
      <c r="U207" s="8" t="n">
        <f aca="false">IF($K207=1,COUNTIFS($L$5:$L$1517,"&gt;="&amp;L207,$K$5:$K$1517,1)/COUNTIF($L$5:$L$1517,"&gt;="&amp;L207),0)</f>
        <v>0</v>
      </c>
      <c r="V207" s="8" t="n">
        <f aca="false">IF($K207=1,COUNTIFS($M$5:$M$1517,"&gt;="&amp;M207,$K$5:$K$1517,1)/COUNTIF($M$5:$M$1517,"&gt;="&amp;M207),0)</f>
        <v>0</v>
      </c>
      <c r="W207" s="8" t="n">
        <f aca="false">IF($K207=1,COUNTIFS($N$5:$N$1517,"&gt;="&amp;N207,$K$5:$K$1517,1)/COUNTIF($N$5:$N$1517,"&gt;="&amp;N207),0)</f>
        <v>0</v>
      </c>
      <c r="X207" s="8" t="n">
        <f aca="false">IF($K207=1,COUNTIFS($O$5:$O$1517,"&gt;="&amp;O207,$K$5:$K$1517,1)/COUNTIF($O$5:$O$1517,"&gt;="&amp;O207),0)</f>
        <v>0</v>
      </c>
      <c r="Y207" s="8" t="n">
        <f aca="false">IF($K207=1,COUNTIFS($P$5:$P$1517,"&gt;="&amp;P207,$K$5:$K$1517,1)/COUNTIF($P$5:$P$1517,"&gt;="&amp;P207),0)</f>
        <v>0</v>
      </c>
      <c r="Z207" s="8" t="n">
        <f aca="false">(L207-$K207)^2</f>
        <v>0.155771513041</v>
      </c>
      <c r="AA207" s="8" t="n">
        <f aca="false">(M207-$K207)^2</f>
        <v>0.008475595969</v>
      </c>
      <c r="AB207" s="8" t="n">
        <f aca="false">(N207-$K207)^2</f>
        <v>0.010679775649</v>
      </c>
      <c r="AC207" s="8" t="n">
        <f aca="false">(O207-$K207)^2</f>
        <v>0.011274829489</v>
      </c>
      <c r="AD207" s="8" t="n">
        <f aca="false">(P207-$K207)^2</f>
        <v>0.012020491044</v>
      </c>
      <c r="AE207" s="8" t="n">
        <f aca="false">MIN(INT(ROUND(N207*1000000,0)/100000),9)</f>
        <v>1</v>
      </c>
      <c r="AF207" s="8" t="n">
        <f aca="false">MIN(INT(ROUND(P207*1000000,0)/100000),9)</f>
        <v>1</v>
      </c>
    </row>
    <row r="208" customFormat="false" ht="15" hidden="false" customHeight="false" outlineLevel="0" collapsed="false">
      <c r="A208" s="4" t="n">
        <v>204</v>
      </c>
      <c r="B208" s="4" t="n">
        <v>971</v>
      </c>
      <c r="C208" s="4" t="n">
        <v>0</v>
      </c>
      <c r="D208" s="11" t="n">
        <v>46054</v>
      </c>
      <c r="E208" s="4" t="s">
        <v>203</v>
      </c>
      <c r="F208" s="4" t="s">
        <v>206</v>
      </c>
      <c r="G208" s="4" t="n">
        <v>3</v>
      </c>
      <c r="H208" s="4" t="n">
        <v>2</v>
      </c>
      <c r="I208" s="4" t="n">
        <v>0</v>
      </c>
      <c r="J208" s="4" t="n">
        <v>287.7</v>
      </c>
      <c r="K208" s="4" t="n">
        <v>1</v>
      </c>
      <c r="L208" s="12" t="n">
        <v>0.303879</v>
      </c>
      <c r="M208" s="12" t="n">
        <v>0.092063</v>
      </c>
      <c r="N208" s="12" t="n">
        <v>0.127155</v>
      </c>
      <c r="O208" s="12" t="n">
        <v>0.106183</v>
      </c>
      <c r="P208" s="12" t="n">
        <v>0.135986</v>
      </c>
      <c r="Q208" s="0" t="str">
        <f aca="false">IF(L208&gt;=Models!$G$5,1+COUNTIF($L$5:$L$1517,"&gt;"&amp;L208)+COUNTIFS($L$5:$L$1517,L208,$B$5:$B$1517,"&lt;"&amp;B208)+COUNTIFS($L$5:$L$1517,L208,$B$5:$B$1517,B208,$C$5:$C$1517,"&lt;"&amp;C208),"")</f>
        <v/>
      </c>
      <c r="R208" s="0" t="str">
        <f aca="false">IF(M208&gt;=Models!$G$6,1+COUNTIF($M$5:$M$1517,"&gt;"&amp;M208)+COUNTIFS($M$5:$M$1517,M208,$B$5:$B$1517,"&lt;"&amp;B208)+COUNTIFS($M$5:$M$1517,M208,$B$5:$B$1517,B208,$C$5:$C$1517,"&lt;"&amp;C208),"")</f>
        <v/>
      </c>
      <c r="S208" s="0" t="str">
        <f aca="false">IF(N208&gt;=Models!$G$7,1+COUNTIF($N$5:$N$1517,"&gt;"&amp;N208)+COUNTIFS($N$5:$N$1517,N208,$B$5:$B$1517,"&lt;"&amp;B208)+COUNTIFS($N$5:$N$1517,N208,$B$5:$B$1517,B208,$C$5:$C$1517,"&lt;"&amp;C208),"")</f>
        <v/>
      </c>
      <c r="T208" s="8" t="n">
        <f aca="false">IF(O208&gt;=Models!$G$8,1+COUNTIF($O$5:$O$1517,"&gt;"&amp;O208)+COUNTIFS($O$5:$O$1517,O208,$B$5:$B$1517,"&lt;"&amp;B208)+COUNTIFS($O$5:$O$1517,O208,$B$5:$B$1517,B208,$C$5:$C$1517,"&lt;"&amp;C208),"")</f>
        <v>766</v>
      </c>
      <c r="U208" s="8" t="n">
        <f aca="false">IF($K208=1,COUNTIFS($L$5:$L$1517,"&gt;="&amp;L208,$K$5:$K$1517,1)/COUNTIF($L$5:$L$1517,"&gt;="&amp;L208),0)</f>
        <v>0.129593810444874</v>
      </c>
      <c r="V208" s="8" t="n">
        <f aca="false">IF($K208=1,COUNTIFS($M$5:$M$1517,"&gt;="&amp;M208,$K$5:$K$1517,1)/COUNTIF($M$5:$M$1517,"&gt;="&amp;M208),0)</f>
        <v>0.12491738268341</v>
      </c>
      <c r="W208" s="8" t="n">
        <f aca="false">IF($K208=1,COUNTIFS($N$5:$N$1517,"&gt;="&amp;N208,$K$5:$K$1517,1)/COUNTIF($N$5:$N$1517,"&gt;="&amp;N208),0)</f>
        <v>0.233933161953728</v>
      </c>
      <c r="X208" s="8" t="n">
        <f aca="false">IF($K208=1,COUNTIFS($O$5:$O$1517,"&gt;="&amp;O208,$K$5:$K$1517,1)/COUNTIF($O$5:$O$1517,"&gt;="&amp;O208),0)</f>
        <v>0.12491738268341</v>
      </c>
      <c r="Y208" s="8" t="n">
        <f aca="false">IF($K208=1,COUNTIFS($P$5:$P$1517,"&gt;="&amp;P208,$K$5:$K$1517,1)/COUNTIF($P$5:$P$1517,"&gt;="&amp;P208),0)</f>
        <v>0.233933161953728</v>
      </c>
      <c r="Z208" s="8" t="n">
        <f aca="false">(L208-$K208)^2</f>
        <v>0.484584446641</v>
      </c>
      <c r="AA208" s="8" t="n">
        <f aca="false">(M208-$K208)^2</f>
        <v>0.824349595969</v>
      </c>
      <c r="AB208" s="8" t="n">
        <f aca="false">(N208-$K208)^2</f>
        <v>0.761858394025</v>
      </c>
      <c r="AC208" s="8" t="n">
        <f aca="false">(O208-$K208)^2</f>
        <v>0.798908829489</v>
      </c>
      <c r="AD208" s="8" t="n">
        <f aca="false">(P208-$K208)^2</f>
        <v>0.746520192196</v>
      </c>
      <c r="AE208" s="8" t="n">
        <f aca="false">MIN(INT(ROUND(N208*1000000,0)/100000),9)</f>
        <v>1</v>
      </c>
      <c r="AF208" s="8" t="n">
        <f aca="false">MIN(INT(ROUND(P208*1000000,0)/100000),9)</f>
        <v>1</v>
      </c>
    </row>
    <row r="209" customFormat="false" ht="15" hidden="false" customHeight="false" outlineLevel="0" collapsed="false">
      <c r="A209" s="4" t="n">
        <v>205</v>
      </c>
      <c r="B209" s="4" t="n">
        <v>973</v>
      </c>
      <c r="C209" s="4" t="n">
        <v>0</v>
      </c>
      <c r="D209" s="11" t="n">
        <v>46054</v>
      </c>
      <c r="E209" s="4" t="s">
        <v>201</v>
      </c>
      <c r="F209" s="4" t="s">
        <v>209</v>
      </c>
      <c r="G209" s="4" t="n">
        <v>14</v>
      </c>
      <c r="H209" s="4" t="n">
        <v>0</v>
      </c>
      <c r="I209" s="4" t="n">
        <v>0</v>
      </c>
      <c r="J209" s="4"/>
      <c r="K209" s="4" t="n">
        <v>0</v>
      </c>
      <c r="L209" s="12" t="n">
        <v>0.973618</v>
      </c>
      <c r="M209" s="12" t="n">
        <v>0.092063</v>
      </c>
      <c r="N209" s="12" t="n">
        <v>0.024778</v>
      </c>
      <c r="O209" s="12" t="n">
        <v>0.106183</v>
      </c>
      <c r="P209" s="12" t="n">
        <v>0.024639</v>
      </c>
      <c r="Q209" s="0" t="str">
        <f aca="false">IF(L209&gt;=Models!$G$5,1+COUNTIF($L$5:$L$1517,"&gt;"&amp;L209)+COUNTIFS($L$5:$L$1517,L209,$B$5:$B$1517,"&lt;"&amp;B209)+COUNTIFS($L$5:$L$1517,L209,$B$5:$B$1517,B209,$C$5:$C$1517,"&lt;"&amp;C209),"")</f>
        <v/>
      </c>
      <c r="R209" s="0" t="str">
        <f aca="false">IF(M209&gt;=Models!$G$6,1+COUNTIF($M$5:$M$1517,"&gt;"&amp;M209)+COUNTIFS($M$5:$M$1517,M209,$B$5:$B$1517,"&lt;"&amp;B209)+COUNTIFS($M$5:$M$1517,M209,$B$5:$B$1517,B209,$C$5:$C$1517,"&lt;"&amp;C209),"")</f>
        <v/>
      </c>
      <c r="S209" s="0" t="str">
        <f aca="false">IF(N209&gt;=Models!$G$7,1+COUNTIF($N$5:$N$1517,"&gt;"&amp;N209)+COUNTIFS($N$5:$N$1517,N209,$B$5:$B$1517,"&lt;"&amp;B209)+COUNTIFS($N$5:$N$1517,N209,$B$5:$B$1517,B209,$C$5:$C$1517,"&lt;"&amp;C209),"")</f>
        <v/>
      </c>
      <c r="T209" s="8" t="n">
        <f aca="false">IF(O209&gt;=Models!$G$8,1+COUNTIF($O$5:$O$1517,"&gt;"&amp;O209)+COUNTIFS($O$5:$O$1517,O209,$B$5:$B$1517,"&lt;"&amp;B209)+COUNTIFS($O$5:$O$1517,O209,$B$5:$B$1517,B209,$C$5:$C$1517,"&lt;"&amp;C209),"")</f>
        <v>769</v>
      </c>
      <c r="U209" s="8" t="n">
        <f aca="false">IF($K209=1,COUNTIFS($L$5:$L$1517,"&gt;="&amp;L209,$K$5:$K$1517,1)/COUNTIF($L$5:$L$1517,"&gt;="&amp;L209),0)</f>
        <v>0</v>
      </c>
      <c r="V209" s="8" t="n">
        <f aca="false">IF($K209=1,COUNTIFS($M$5:$M$1517,"&gt;="&amp;M209,$K$5:$K$1517,1)/COUNTIF($M$5:$M$1517,"&gt;="&amp;M209),0)</f>
        <v>0</v>
      </c>
      <c r="W209" s="8" t="n">
        <f aca="false">IF($K209=1,COUNTIFS($N$5:$N$1517,"&gt;="&amp;N209,$K$5:$K$1517,1)/COUNTIF($N$5:$N$1517,"&gt;="&amp;N209),0)</f>
        <v>0</v>
      </c>
      <c r="X209" s="8" t="n">
        <f aca="false">IF($K209=1,COUNTIFS($O$5:$O$1517,"&gt;="&amp;O209,$K$5:$K$1517,1)/COUNTIF($O$5:$O$1517,"&gt;="&amp;O209),0)</f>
        <v>0</v>
      </c>
      <c r="Y209" s="8" t="n">
        <f aca="false">IF($K209=1,COUNTIFS($P$5:$P$1517,"&gt;="&amp;P209,$K$5:$K$1517,1)/COUNTIF($P$5:$P$1517,"&gt;="&amp;P209),0)</f>
        <v>0</v>
      </c>
      <c r="Z209" s="8" t="n">
        <f aca="false">(L209-$K209)^2</f>
        <v>0.947932009924</v>
      </c>
      <c r="AA209" s="8" t="n">
        <f aca="false">(M209-$K209)^2</f>
        <v>0.008475595969</v>
      </c>
      <c r="AB209" s="8" t="n">
        <f aca="false">(N209-$K209)^2</f>
        <v>0.000613949284</v>
      </c>
      <c r="AC209" s="8" t="n">
        <f aca="false">(O209-$K209)^2</f>
        <v>0.011274829489</v>
      </c>
      <c r="AD209" s="8" t="n">
        <f aca="false">(P209-$K209)^2</f>
        <v>0.000607080321</v>
      </c>
      <c r="AE209" s="8" t="n">
        <f aca="false">MIN(INT(ROUND(N209*1000000,0)/100000),9)</f>
        <v>0</v>
      </c>
      <c r="AF209" s="8" t="n">
        <f aca="false">MIN(INT(ROUND(P209*1000000,0)/100000),9)</f>
        <v>0</v>
      </c>
    </row>
    <row r="210" customFormat="false" ht="15" hidden="false" customHeight="false" outlineLevel="0" collapsed="false">
      <c r="A210" s="4" t="n">
        <v>206</v>
      </c>
      <c r="B210" s="4" t="n">
        <v>978</v>
      </c>
      <c r="C210" s="4" t="n">
        <v>0</v>
      </c>
      <c r="D210" s="11" t="n">
        <v>46054</v>
      </c>
      <c r="E210" s="4" t="s">
        <v>204</v>
      </c>
      <c r="F210" s="4" t="s">
        <v>206</v>
      </c>
      <c r="G210" s="4" t="n">
        <v>2</v>
      </c>
      <c r="H210" s="4" t="n">
        <v>12</v>
      </c>
      <c r="I210" s="4" t="n">
        <v>0</v>
      </c>
      <c r="J210" s="4" t="n">
        <v>63</v>
      </c>
      <c r="K210" s="4" t="n">
        <v>0</v>
      </c>
      <c r="L210" s="12" t="n">
        <v>0.661739</v>
      </c>
      <c r="M210" s="12" t="n">
        <v>0.092063</v>
      </c>
      <c r="N210" s="12" t="n">
        <v>0.14914</v>
      </c>
      <c r="O210" s="12" t="n">
        <v>0.106183</v>
      </c>
      <c r="P210" s="12" t="n">
        <v>0.160401</v>
      </c>
      <c r="Q210" s="0" t="str">
        <f aca="false">IF(L210&gt;=Models!$G$5,1+COUNTIF($L$5:$L$1517,"&gt;"&amp;L210)+COUNTIFS($L$5:$L$1517,L210,$B$5:$B$1517,"&lt;"&amp;B210)+COUNTIFS($L$5:$L$1517,L210,$B$5:$B$1517,B210,$C$5:$C$1517,"&lt;"&amp;C210),"")</f>
        <v/>
      </c>
      <c r="R210" s="0" t="str">
        <f aca="false">IF(M210&gt;=Models!$G$6,1+COUNTIF($M$5:$M$1517,"&gt;"&amp;M210)+COUNTIFS($M$5:$M$1517,M210,$B$5:$B$1517,"&lt;"&amp;B210)+COUNTIFS($M$5:$M$1517,M210,$B$5:$B$1517,B210,$C$5:$C$1517,"&lt;"&amp;C210),"")</f>
        <v/>
      </c>
      <c r="S210" s="0" t="str">
        <f aca="false">IF(N210&gt;=Models!$G$7,1+COUNTIF($N$5:$N$1517,"&gt;"&amp;N210)+COUNTIFS($N$5:$N$1517,N210,$B$5:$B$1517,"&lt;"&amp;B210)+COUNTIFS($N$5:$N$1517,N210,$B$5:$B$1517,B210,$C$5:$C$1517,"&lt;"&amp;C210),"")</f>
        <v/>
      </c>
      <c r="T210" s="8" t="n">
        <f aca="false">IF(O210&gt;=Models!$G$8,1+COUNTIF($O$5:$O$1517,"&gt;"&amp;O210)+COUNTIFS($O$5:$O$1517,O210,$B$5:$B$1517,"&lt;"&amp;B210)+COUNTIFS($O$5:$O$1517,O210,$B$5:$B$1517,B210,$C$5:$C$1517,"&lt;"&amp;C210),"")</f>
        <v>773</v>
      </c>
      <c r="U210" s="8" t="n">
        <f aca="false">IF($K210=1,COUNTIFS($L$5:$L$1517,"&gt;="&amp;L210,$K$5:$K$1517,1)/COUNTIF($L$5:$L$1517,"&gt;="&amp;L210),0)</f>
        <v>0</v>
      </c>
      <c r="V210" s="8" t="n">
        <f aca="false">IF($K210=1,COUNTIFS($M$5:$M$1517,"&gt;="&amp;M210,$K$5:$K$1517,1)/COUNTIF($M$5:$M$1517,"&gt;="&amp;M210),0)</f>
        <v>0</v>
      </c>
      <c r="W210" s="8" t="n">
        <f aca="false">IF($K210=1,COUNTIFS($N$5:$N$1517,"&gt;="&amp;N210,$K$5:$K$1517,1)/COUNTIF($N$5:$N$1517,"&gt;="&amp;N210),0)</f>
        <v>0</v>
      </c>
      <c r="X210" s="8" t="n">
        <f aca="false">IF($K210=1,COUNTIFS($O$5:$O$1517,"&gt;="&amp;O210,$K$5:$K$1517,1)/COUNTIF($O$5:$O$1517,"&gt;="&amp;O210),0)</f>
        <v>0</v>
      </c>
      <c r="Y210" s="8" t="n">
        <f aca="false">IF($K210=1,COUNTIFS($P$5:$P$1517,"&gt;="&amp;P210,$K$5:$K$1517,1)/COUNTIF($P$5:$P$1517,"&gt;="&amp;P210),0)</f>
        <v>0</v>
      </c>
      <c r="Z210" s="8" t="n">
        <f aca="false">(L210-$K210)^2</f>
        <v>0.437898504121</v>
      </c>
      <c r="AA210" s="8" t="n">
        <f aca="false">(M210-$K210)^2</f>
        <v>0.008475595969</v>
      </c>
      <c r="AB210" s="8" t="n">
        <f aca="false">(N210-$K210)^2</f>
        <v>0.0222427396</v>
      </c>
      <c r="AC210" s="8" t="n">
        <f aca="false">(O210-$K210)^2</f>
        <v>0.011274829489</v>
      </c>
      <c r="AD210" s="8" t="n">
        <f aca="false">(P210-$K210)^2</f>
        <v>0.025728480801</v>
      </c>
      <c r="AE210" s="8" t="n">
        <f aca="false">MIN(INT(ROUND(N210*1000000,0)/100000),9)</f>
        <v>1</v>
      </c>
      <c r="AF210" s="8" t="n">
        <f aca="false">MIN(INT(ROUND(P210*1000000,0)/100000),9)</f>
        <v>1</v>
      </c>
    </row>
    <row r="211" customFormat="false" ht="15" hidden="false" customHeight="false" outlineLevel="0" collapsed="false">
      <c r="A211" s="4" t="n">
        <v>207</v>
      </c>
      <c r="B211" s="4" t="n">
        <v>985</v>
      </c>
      <c r="C211" s="4" t="n">
        <v>0</v>
      </c>
      <c r="D211" s="11" t="n">
        <v>46054</v>
      </c>
      <c r="E211" s="4" t="s">
        <v>203</v>
      </c>
      <c r="F211" s="4" t="s">
        <v>206</v>
      </c>
      <c r="G211" s="4" t="n">
        <v>6</v>
      </c>
      <c r="H211" s="4" t="n">
        <v>5</v>
      </c>
      <c r="I211" s="4" t="n">
        <v>1</v>
      </c>
      <c r="J211" s="4"/>
      <c r="K211" s="4" t="n">
        <v>0</v>
      </c>
      <c r="L211" s="12" t="n">
        <v>0.570726</v>
      </c>
      <c r="M211" s="12" t="n">
        <v>0.184211</v>
      </c>
      <c r="N211" s="12" t="n">
        <v>0.089827</v>
      </c>
      <c r="O211" s="12" t="n">
        <v>0.106183</v>
      </c>
      <c r="P211" s="12" t="n">
        <v>0.094751</v>
      </c>
      <c r="Q211" s="0" t="str">
        <f aca="false">IF(L211&gt;=Models!$G$5,1+COUNTIF($L$5:$L$1517,"&gt;"&amp;L211)+COUNTIFS($L$5:$L$1517,L211,$B$5:$B$1517,"&lt;"&amp;B211)+COUNTIFS($L$5:$L$1517,L211,$B$5:$B$1517,B211,$C$5:$C$1517,"&lt;"&amp;C211),"")</f>
        <v/>
      </c>
      <c r="R211" s="8" t="n">
        <f aca="false">IF(M211&gt;=Models!$G$6,1+COUNTIF($M$5:$M$1517,"&gt;"&amp;M211)+COUNTIFS($M$5:$M$1517,M211,$B$5:$B$1517,"&lt;"&amp;B211)+COUNTIFS($M$5:$M$1517,M211,$B$5:$B$1517,B211,$C$5:$C$1517,"&lt;"&amp;C211),"")</f>
        <v>83</v>
      </c>
      <c r="S211" s="0" t="str">
        <f aca="false">IF(N211&gt;=Models!$G$7,1+COUNTIF($N$5:$N$1517,"&gt;"&amp;N211)+COUNTIFS($N$5:$N$1517,N211,$B$5:$B$1517,"&lt;"&amp;B211)+COUNTIFS($N$5:$N$1517,N211,$B$5:$B$1517,B211,$C$5:$C$1517,"&lt;"&amp;C211),"")</f>
        <v/>
      </c>
      <c r="T211" s="8" t="n">
        <f aca="false">IF(O211&gt;=Models!$G$8,1+COUNTIF($O$5:$O$1517,"&gt;"&amp;O211)+COUNTIFS($O$5:$O$1517,O211,$B$5:$B$1517,"&lt;"&amp;B211)+COUNTIFS($O$5:$O$1517,O211,$B$5:$B$1517,B211,$C$5:$C$1517,"&lt;"&amp;C211),"")</f>
        <v>777</v>
      </c>
      <c r="U211" s="8" t="n">
        <f aca="false">IF($K211=1,COUNTIFS($L$5:$L$1517,"&gt;="&amp;L211,$K$5:$K$1517,1)/COUNTIF($L$5:$L$1517,"&gt;="&amp;L211),0)</f>
        <v>0</v>
      </c>
      <c r="V211" s="8" t="n">
        <f aca="false">IF($K211=1,COUNTIFS($M$5:$M$1517,"&gt;="&amp;M211,$K$5:$K$1517,1)/COUNTIF($M$5:$M$1517,"&gt;="&amp;M211),0)</f>
        <v>0</v>
      </c>
      <c r="W211" s="8" t="n">
        <f aca="false">IF($K211=1,COUNTIFS($N$5:$N$1517,"&gt;="&amp;N211,$K$5:$K$1517,1)/COUNTIF($N$5:$N$1517,"&gt;="&amp;N211),0)</f>
        <v>0</v>
      </c>
      <c r="X211" s="8" t="n">
        <f aca="false">IF($K211=1,COUNTIFS($O$5:$O$1517,"&gt;="&amp;O211,$K$5:$K$1517,1)/COUNTIF($O$5:$O$1517,"&gt;="&amp;O211),0)</f>
        <v>0</v>
      </c>
      <c r="Y211" s="8" t="n">
        <f aca="false">IF($K211=1,COUNTIFS($P$5:$P$1517,"&gt;="&amp;P211,$K$5:$K$1517,1)/COUNTIF($P$5:$P$1517,"&gt;="&amp;P211),0)</f>
        <v>0</v>
      </c>
      <c r="Z211" s="8" t="n">
        <f aca="false">(L211-$K211)^2</f>
        <v>0.325728167076</v>
      </c>
      <c r="AA211" s="8" t="n">
        <f aca="false">(M211-$K211)^2</f>
        <v>0.033933692521</v>
      </c>
      <c r="AB211" s="8" t="n">
        <f aca="false">(N211-$K211)^2</f>
        <v>0.008068889929</v>
      </c>
      <c r="AC211" s="8" t="n">
        <f aca="false">(O211-$K211)^2</f>
        <v>0.011274829489</v>
      </c>
      <c r="AD211" s="8" t="n">
        <f aca="false">(P211-$K211)^2</f>
        <v>0.008977752001</v>
      </c>
      <c r="AE211" s="8" t="n">
        <f aca="false">MIN(INT(ROUND(N211*1000000,0)/100000),9)</f>
        <v>0</v>
      </c>
      <c r="AF211" s="8" t="n">
        <f aca="false">MIN(INT(ROUND(P211*1000000,0)/100000),9)</f>
        <v>0</v>
      </c>
    </row>
    <row r="212" customFormat="false" ht="15" hidden="false" customHeight="false" outlineLevel="0" collapsed="false">
      <c r="A212" s="4" t="n">
        <v>208</v>
      </c>
      <c r="B212" s="4" t="n">
        <v>986</v>
      </c>
      <c r="C212" s="4" t="n">
        <v>0</v>
      </c>
      <c r="D212" s="11" t="n">
        <v>46054</v>
      </c>
      <c r="E212" s="4" t="s">
        <v>202</v>
      </c>
      <c r="F212" s="4" t="s">
        <v>207</v>
      </c>
      <c r="G212" s="4" t="n">
        <v>9</v>
      </c>
      <c r="H212" s="4" t="n">
        <v>0</v>
      </c>
      <c r="I212" s="4" t="n">
        <v>0</v>
      </c>
      <c r="J212" s="4" t="n">
        <v>630</v>
      </c>
      <c r="K212" s="4" t="n">
        <v>0</v>
      </c>
      <c r="L212" s="12" t="n">
        <v>0.858466</v>
      </c>
      <c r="M212" s="12" t="n">
        <v>0.092063</v>
      </c>
      <c r="N212" s="12" t="n">
        <v>0.075678</v>
      </c>
      <c r="O212" s="12" t="n">
        <v>0.106183</v>
      </c>
      <c r="P212" s="12" t="n">
        <v>0.079244</v>
      </c>
      <c r="Q212" s="0" t="str">
        <f aca="false">IF(L212&gt;=Models!$G$5,1+COUNTIF($L$5:$L$1517,"&gt;"&amp;L212)+COUNTIFS($L$5:$L$1517,L212,$B$5:$B$1517,"&lt;"&amp;B212)+COUNTIFS($L$5:$L$1517,L212,$B$5:$B$1517,B212,$C$5:$C$1517,"&lt;"&amp;C212),"")</f>
        <v/>
      </c>
      <c r="R212" s="0" t="str">
        <f aca="false">IF(M212&gt;=Models!$G$6,1+COUNTIF($M$5:$M$1517,"&gt;"&amp;M212)+COUNTIFS($M$5:$M$1517,M212,$B$5:$B$1517,"&lt;"&amp;B212)+COUNTIFS($M$5:$M$1517,M212,$B$5:$B$1517,B212,$C$5:$C$1517,"&lt;"&amp;C212),"")</f>
        <v/>
      </c>
      <c r="S212" s="0" t="str">
        <f aca="false">IF(N212&gt;=Models!$G$7,1+COUNTIF($N$5:$N$1517,"&gt;"&amp;N212)+COUNTIFS($N$5:$N$1517,N212,$B$5:$B$1517,"&lt;"&amp;B212)+COUNTIFS($N$5:$N$1517,N212,$B$5:$B$1517,B212,$C$5:$C$1517,"&lt;"&amp;C212),"")</f>
        <v/>
      </c>
      <c r="T212" s="8" t="n">
        <f aca="false">IF(O212&gt;=Models!$G$8,1+COUNTIF($O$5:$O$1517,"&gt;"&amp;O212)+COUNTIFS($O$5:$O$1517,O212,$B$5:$B$1517,"&lt;"&amp;B212)+COUNTIFS($O$5:$O$1517,O212,$B$5:$B$1517,B212,$C$5:$C$1517,"&lt;"&amp;C212),"")</f>
        <v>781</v>
      </c>
      <c r="U212" s="8" t="n">
        <f aca="false">IF($K212=1,COUNTIFS($L$5:$L$1517,"&gt;="&amp;L212,$K$5:$K$1517,1)/COUNTIF($L$5:$L$1517,"&gt;="&amp;L212),0)</f>
        <v>0</v>
      </c>
      <c r="V212" s="8" t="n">
        <f aca="false">IF($K212=1,COUNTIFS($M$5:$M$1517,"&gt;="&amp;M212,$K$5:$K$1517,1)/COUNTIF($M$5:$M$1517,"&gt;="&amp;M212),0)</f>
        <v>0</v>
      </c>
      <c r="W212" s="8" t="n">
        <f aca="false">IF($K212=1,COUNTIFS($N$5:$N$1517,"&gt;="&amp;N212,$K$5:$K$1517,1)/COUNTIF($N$5:$N$1517,"&gt;="&amp;N212),0)</f>
        <v>0</v>
      </c>
      <c r="X212" s="8" t="n">
        <f aca="false">IF($K212=1,COUNTIFS($O$5:$O$1517,"&gt;="&amp;O212,$K$5:$K$1517,1)/COUNTIF($O$5:$O$1517,"&gt;="&amp;O212),0)</f>
        <v>0</v>
      </c>
      <c r="Y212" s="8" t="n">
        <f aca="false">IF($K212=1,COUNTIFS($P$5:$P$1517,"&gt;="&amp;P212,$K$5:$K$1517,1)/COUNTIF($P$5:$P$1517,"&gt;="&amp;P212),0)</f>
        <v>0</v>
      </c>
      <c r="Z212" s="8" t="n">
        <f aca="false">(L212-$K212)^2</f>
        <v>0.736963873156</v>
      </c>
      <c r="AA212" s="8" t="n">
        <f aca="false">(M212-$K212)^2</f>
        <v>0.008475595969</v>
      </c>
      <c r="AB212" s="8" t="n">
        <f aca="false">(N212-$K212)^2</f>
        <v>0.005727159684</v>
      </c>
      <c r="AC212" s="8" t="n">
        <f aca="false">(O212-$K212)^2</f>
        <v>0.011274829489</v>
      </c>
      <c r="AD212" s="8" t="n">
        <f aca="false">(P212-$K212)^2</f>
        <v>0.006279611536</v>
      </c>
      <c r="AE212" s="8" t="n">
        <f aca="false">MIN(INT(ROUND(N212*1000000,0)/100000),9)</f>
        <v>0</v>
      </c>
      <c r="AF212" s="8" t="n">
        <f aca="false">MIN(INT(ROUND(P212*1000000,0)/100000),9)</f>
        <v>0</v>
      </c>
    </row>
    <row r="213" customFormat="false" ht="15" hidden="false" customHeight="false" outlineLevel="0" collapsed="false">
      <c r="A213" s="4" t="n">
        <v>209</v>
      </c>
      <c r="B213" s="4" t="n">
        <v>987</v>
      </c>
      <c r="C213" s="4" t="n">
        <v>0</v>
      </c>
      <c r="D213" s="11" t="n">
        <v>46054</v>
      </c>
      <c r="E213" s="4" t="s">
        <v>201</v>
      </c>
      <c r="F213" s="4" t="s">
        <v>206</v>
      </c>
      <c r="G213" s="4" t="n">
        <v>11</v>
      </c>
      <c r="H213" s="4" t="n">
        <v>3</v>
      </c>
      <c r="I213" s="4" t="n">
        <v>1</v>
      </c>
      <c r="J213" s="4"/>
      <c r="K213" s="4" t="n">
        <v>0</v>
      </c>
      <c r="L213" s="12" t="n">
        <v>0.824244</v>
      </c>
      <c r="M213" s="12" t="n">
        <v>0.184211</v>
      </c>
      <c r="N213" s="12" t="n">
        <v>0.058298</v>
      </c>
      <c r="O213" s="12" t="n">
        <v>0.106183</v>
      </c>
      <c r="P213" s="12" t="n">
        <v>0.060341</v>
      </c>
      <c r="Q213" s="0" t="str">
        <f aca="false">IF(L213&gt;=Models!$G$5,1+COUNTIF($L$5:$L$1517,"&gt;"&amp;L213)+COUNTIFS($L$5:$L$1517,L213,$B$5:$B$1517,"&lt;"&amp;B213)+COUNTIFS($L$5:$L$1517,L213,$B$5:$B$1517,B213,$C$5:$C$1517,"&lt;"&amp;C213),"")</f>
        <v/>
      </c>
      <c r="R213" s="8" t="n">
        <f aca="false">IF(M213&gt;=Models!$G$6,1+COUNTIF($M$5:$M$1517,"&gt;"&amp;M213)+COUNTIFS($M$5:$M$1517,M213,$B$5:$B$1517,"&lt;"&amp;B213)+COUNTIFS($M$5:$M$1517,M213,$B$5:$B$1517,B213,$C$5:$C$1517,"&lt;"&amp;C213),"")</f>
        <v>84</v>
      </c>
      <c r="S213" s="0" t="str">
        <f aca="false">IF(N213&gt;=Models!$G$7,1+COUNTIF($N$5:$N$1517,"&gt;"&amp;N213)+COUNTIFS($N$5:$N$1517,N213,$B$5:$B$1517,"&lt;"&amp;B213)+COUNTIFS($N$5:$N$1517,N213,$B$5:$B$1517,B213,$C$5:$C$1517,"&lt;"&amp;C213),"")</f>
        <v/>
      </c>
      <c r="T213" s="8" t="n">
        <f aca="false">IF(O213&gt;=Models!$G$8,1+COUNTIF($O$5:$O$1517,"&gt;"&amp;O213)+COUNTIFS($O$5:$O$1517,O213,$B$5:$B$1517,"&lt;"&amp;B213)+COUNTIFS($O$5:$O$1517,O213,$B$5:$B$1517,B213,$C$5:$C$1517,"&lt;"&amp;C213),"")</f>
        <v>785</v>
      </c>
      <c r="U213" s="8" t="n">
        <f aca="false">IF($K213=1,COUNTIFS($L$5:$L$1517,"&gt;="&amp;L213,$K$5:$K$1517,1)/COUNTIF($L$5:$L$1517,"&gt;="&amp;L213),0)</f>
        <v>0</v>
      </c>
      <c r="V213" s="8" t="n">
        <f aca="false">IF($K213=1,COUNTIFS($M$5:$M$1517,"&gt;="&amp;M213,$K$5:$K$1517,1)/COUNTIF($M$5:$M$1517,"&gt;="&amp;M213),0)</f>
        <v>0</v>
      </c>
      <c r="W213" s="8" t="n">
        <f aca="false">IF($K213=1,COUNTIFS($N$5:$N$1517,"&gt;="&amp;N213,$K$5:$K$1517,1)/COUNTIF($N$5:$N$1517,"&gt;="&amp;N213),0)</f>
        <v>0</v>
      </c>
      <c r="X213" s="8" t="n">
        <f aca="false">IF($K213=1,COUNTIFS($O$5:$O$1517,"&gt;="&amp;O213,$K$5:$K$1517,1)/COUNTIF($O$5:$O$1517,"&gt;="&amp;O213),0)</f>
        <v>0</v>
      </c>
      <c r="Y213" s="8" t="n">
        <f aca="false">IF($K213=1,COUNTIFS($P$5:$P$1517,"&gt;="&amp;P213,$K$5:$K$1517,1)/COUNTIF($P$5:$P$1517,"&gt;="&amp;P213),0)</f>
        <v>0</v>
      </c>
      <c r="Z213" s="8" t="n">
        <f aca="false">(L213-$K213)^2</f>
        <v>0.679378171536</v>
      </c>
      <c r="AA213" s="8" t="n">
        <f aca="false">(M213-$K213)^2</f>
        <v>0.033933692521</v>
      </c>
      <c r="AB213" s="8" t="n">
        <f aca="false">(N213-$K213)^2</f>
        <v>0.003398656804</v>
      </c>
      <c r="AC213" s="8" t="n">
        <f aca="false">(O213-$K213)^2</f>
        <v>0.011274829489</v>
      </c>
      <c r="AD213" s="8" t="n">
        <f aca="false">(P213-$K213)^2</f>
        <v>0.003641036281</v>
      </c>
      <c r="AE213" s="8" t="n">
        <f aca="false">MIN(INT(ROUND(N213*1000000,0)/100000),9)</f>
        <v>0</v>
      </c>
      <c r="AF213" s="8" t="n">
        <f aca="false">MIN(INT(ROUND(P213*1000000,0)/100000),9)</f>
        <v>0</v>
      </c>
    </row>
    <row r="214" customFormat="false" ht="15" hidden="false" customHeight="false" outlineLevel="0" collapsed="false">
      <c r="A214" s="4" t="n">
        <v>210</v>
      </c>
      <c r="B214" s="4" t="n">
        <v>989</v>
      </c>
      <c r="C214" s="4" t="n">
        <v>0</v>
      </c>
      <c r="D214" s="11" t="n">
        <v>46054</v>
      </c>
      <c r="E214" s="4" t="s">
        <v>202</v>
      </c>
      <c r="F214" s="4" t="s">
        <v>209</v>
      </c>
      <c r="G214" s="4" t="n">
        <v>16</v>
      </c>
      <c r="H214" s="4" t="n">
        <v>4</v>
      </c>
      <c r="I214" s="4" t="n">
        <v>0</v>
      </c>
      <c r="J214" s="4" t="n">
        <v>1113</v>
      </c>
      <c r="K214" s="4" t="n">
        <v>0</v>
      </c>
      <c r="L214" s="12" t="n">
        <v>0.312801</v>
      </c>
      <c r="M214" s="12" t="n">
        <v>0.092063</v>
      </c>
      <c r="N214" s="12" t="n">
        <v>0.041976</v>
      </c>
      <c r="O214" s="12" t="n">
        <v>0.106183</v>
      </c>
      <c r="P214" s="12" t="n">
        <v>0.042794</v>
      </c>
      <c r="Q214" s="0" t="str">
        <f aca="false">IF(L214&gt;=Models!$G$5,1+COUNTIF($L$5:$L$1517,"&gt;"&amp;L214)+COUNTIFS($L$5:$L$1517,L214,$B$5:$B$1517,"&lt;"&amp;B214)+COUNTIFS($L$5:$L$1517,L214,$B$5:$B$1517,B214,$C$5:$C$1517,"&lt;"&amp;C214),"")</f>
        <v/>
      </c>
      <c r="R214" s="0" t="str">
        <f aca="false">IF(M214&gt;=Models!$G$6,1+COUNTIF($M$5:$M$1517,"&gt;"&amp;M214)+COUNTIFS($M$5:$M$1517,M214,$B$5:$B$1517,"&lt;"&amp;B214)+COUNTIFS($M$5:$M$1517,M214,$B$5:$B$1517,B214,$C$5:$C$1517,"&lt;"&amp;C214),"")</f>
        <v/>
      </c>
      <c r="S214" s="0" t="str">
        <f aca="false">IF(N214&gt;=Models!$G$7,1+COUNTIF($N$5:$N$1517,"&gt;"&amp;N214)+COUNTIFS($N$5:$N$1517,N214,$B$5:$B$1517,"&lt;"&amp;B214)+COUNTIFS($N$5:$N$1517,N214,$B$5:$B$1517,B214,$C$5:$C$1517,"&lt;"&amp;C214),"")</f>
        <v/>
      </c>
      <c r="T214" s="8" t="n">
        <f aca="false">IF(O214&gt;=Models!$G$8,1+COUNTIF($O$5:$O$1517,"&gt;"&amp;O214)+COUNTIFS($O$5:$O$1517,O214,$B$5:$B$1517,"&lt;"&amp;B214)+COUNTIFS($O$5:$O$1517,O214,$B$5:$B$1517,B214,$C$5:$C$1517,"&lt;"&amp;C214),"")</f>
        <v>789</v>
      </c>
      <c r="U214" s="8" t="n">
        <f aca="false">IF($K214=1,COUNTIFS($L$5:$L$1517,"&gt;="&amp;L214,$K$5:$K$1517,1)/COUNTIF($L$5:$L$1517,"&gt;="&amp;L214),0)</f>
        <v>0</v>
      </c>
      <c r="V214" s="8" t="n">
        <f aca="false">IF($K214=1,COUNTIFS($M$5:$M$1517,"&gt;="&amp;M214,$K$5:$K$1517,1)/COUNTIF($M$5:$M$1517,"&gt;="&amp;M214),0)</f>
        <v>0</v>
      </c>
      <c r="W214" s="8" t="n">
        <f aca="false">IF($K214=1,COUNTIFS($N$5:$N$1517,"&gt;="&amp;N214,$K$5:$K$1517,1)/COUNTIF($N$5:$N$1517,"&gt;="&amp;N214),0)</f>
        <v>0</v>
      </c>
      <c r="X214" s="8" t="n">
        <f aca="false">IF($K214=1,COUNTIFS($O$5:$O$1517,"&gt;="&amp;O214,$K$5:$K$1517,1)/COUNTIF($O$5:$O$1517,"&gt;="&amp;O214),0)</f>
        <v>0</v>
      </c>
      <c r="Y214" s="8" t="n">
        <f aca="false">IF($K214=1,COUNTIFS($P$5:$P$1517,"&gt;="&amp;P214,$K$5:$K$1517,1)/COUNTIF($P$5:$P$1517,"&gt;="&amp;P214),0)</f>
        <v>0</v>
      </c>
      <c r="Z214" s="8" t="n">
        <f aca="false">(L214-$K214)^2</f>
        <v>0.097844465601</v>
      </c>
      <c r="AA214" s="8" t="n">
        <f aca="false">(M214-$K214)^2</f>
        <v>0.008475595969</v>
      </c>
      <c r="AB214" s="8" t="n">
        <f aca="false">(N214-$K214)^2</f>
        <v>0.001761984576</v>
      </c>
      <c r="AC214" s="8" t="n">
        <f aca="false">(O214-$K214)^2</f>
        <v>0.011274829489</v>
      </c>
      <c r="AD214" s="8" t="n">
        <f aca="false">(P214-$K214)^2</f>
        <v>0.001831326436</v>
      </c>
      <c r="AE214" s="8" t="n">
        <f aca="false">MIN(INT(ROUND(N214*1000000,0)/100000),9)</f>
        <v>0</v>
      </c>
      <c r="AF214" s="8" t="n">
        <f aca="false">MIN(INT(ROUND(P214*1000000,0)/100000),9)</f>
        <v>0</v>
      </c>
    </row>
    <row r="215" customFormat="false" ht="15" hidden="false" customHeight="false" outlineLevel="0" collapsed="false">
      <c r="A215" s="4" t="n">
        <v>211</v>
      </c>
      <c r="B215" s="4" t="n">
        <v>997</v>
      </c>
      <c r="C215" s="4" t="n">
        <v>0</v>
      </c>
      <c r="D215" s="11" t="n">
        <v>46054</v>
      </c>
      <c r="E215" s="4" t="s">
        <v>202</v>
      </c>
      <c r="F215" s="4" t="s">
        <v>206</v>
      </c>
      <c r="G215" s="4" t="n">
        <v>5</v>
      </c>
      <c r="H215" s="4" t="n">
        <v>8</v>
      </c>
      <c r="I215" s="4" t="n">
        <v>0</v>
      </c>
      <c r="J215" s="4" t="n">
        <v>1064.7</v>
      </c>
      <c r="K215" s="4" t="n">
        <v>0</v>
      </c>
      <c r="L215" s="12" t="n">
        <v>0.758391</v>
      </c>
      <c r="M215" s="12" t="n">
        <v>0.092063</v>
      </c>
      <c r="N215" s="12" t="n">
        <v>0.108875</v>
      </c>
      <c r="O215" s="12" t="n">
        <v>0.106183</v>
      </c>
      <c r="P215" s="12" t="n">
        <v>0.115747</v>
      </c>
      <c r="Q215" s="0" t="str">
        <f aca="false">IF(L215&gt;=Models!$G$5,1+COUNTIF($L$5:$L$1517,"&gt;"&amp;L215)+COUNTIFS($L$5:$L$1517,L215,$B$5:$B$1517,"&lt;"&amp;B215)+COUNTIFS($L$5:$L$1517,L215,$B$5:$B$1517,B215,$C$5:$C$1517,"&lt;"&amp;C215),"")</f>
        <v/>
      </c>
      <c r="R215" s="0" t="str">
        <f aca="false">IF(M215&gt;=Models!$G$6,1+COUNTIF($M$5:$M$1517,"&gt;"&amp;M215)+COUNTIFS($M$5:$M$1517,M215,$B$5:$B$1517,"&lt;"&amp;B215)+COUNTIFS($M$5:$M$1517,M215,$B$5:$B$1517,B215,$C$5:$C$1517,"&lt;"&amp;C215),"")</f>
        <v/>
      </c>
      <c r="S215" s="0" t="str">
        <f aca="false">IF(N215&gt;=Models!$G$7,1+COUNTIF($N$5:$N$1517,"&gt;"&amp;N215)+COUNTIFS($N$5:$N$1517,N215,$B$5:$B$1517,"&lt;"&amp;B215)+COUNTIFS($N$5:$N$1517,N215,$B$5:$B$1517,B215,$C$5:$C$1517,"&lt;"&amp;C215),"")</f>
        <v/>
      </c>
      <c r="T215" s="8" t="n">
        <f aca="false">IF(O215&gt;=Models!$G$8,1+COUNTIF($O$5:$O$1517,"&gt;"&amp;O215)+COUNTIFS($O$5:$O$1517,O215,$B$5:$B$1517,"&lt;"&amp;B215)+COUNTIFS($O$5:$O$1517,O215,$B$5:$B$1517,B215,$C$5:$C$1517,"&lt;"&amp;C215),"")</f>
        <v>793</v>
      </c>
      <c r="U215" s="8" t="n">
        <f aca="false">IF($K215=1,COUNTIFS($L$5:$L$1517,"&gt;="&amp;L215,$K$5:$K$1517,1)/COUNTIF($L$5:$L$1517,"&gt;="&amp;L215),0)</f>
        <v>0</v>
      </c>
      <c r="V215" s="8" t="n">
        <f aca="false">IF($K215=1,COUNTIFS($M$5:$M$1517,"&gt;="&amp;M215,$K$5:$K$1517,1)/COUNTIF($M$5:$M$1517,"&gt;="&amp;M215),0)</f>
        <v>0</v>
      </c>
      <c r="W215" s="8" t="n">
        <f aca="false">IF($K215=1,COUNTIFS($N$5:$N$1517,"&gt;="&amp;N215,$K$5:$K$1517,1)/COUNTIF($N$5:$N$1517,"&gt;="&amp;N215),0)</f>
        <v>0</v>
      </c>
      <c r="X215" s="8" t="n">
        <f aca="false">IF($K215=1,COUNTIFS($O$5:$O$1517,"&gt;="&amp;O215,$K$5:$K$1517,1)/COUNTIF($O$5:$O$1517,"&gt;="&amp;O215),0)</f>
        <v>0</v>
      </c>
      <c r="Y215" s="8" t="n">
        <f aca="false">IF($K215=1,COUNTIFS($P$5:$P$1517,"&gt;="&amp;P215,$K$5:$K$1517,1)/COUNTIF($P$5:$P$1517,"&gt;="&amp;P215),0)</f>
        <v>0</v>
      </c>
      <c r="Z215" s="8" t="n">
        <f aca="false">(L215-$K215)^2</f>
        <v>0.575156908881</v>
      </c>
      <c r="AA215" s="8" t="n">
        <f aca="false">(M215-$K215)^2</f>
        <v>0.008475595969</v>
      </c>
      <c r="AB215" s="8" t="n">
        <f aca="false">(N215-$K215)^2</f>
        <v>0.011853765625</v>
      </c>
      <c r="AC215" s="8" t="n">
        <f aca="false">(O215-$K215)^2</f>
        <v>0.011274829489</v>
      </c>
      <c r="AD215" s="8" t="n">
        <f aca="false">(P215-$K215)^2</f>
        <v>0.013397368009</v>
      </c>
      <c r="AE215" s="8" t="n">
        <f aca="false">MIN(INT(ROUND(N215*1000000,0)/100000),9)</f>
        <v>1</v>
      </c>
      <c r="AF215" s="8" t="n">
        <f aca="false">MIN(INT(ROUND(P215*1000000,0)/100000),9)</f>
        <v>1</v>
      </c>
    </row>
    <row r="216" customFormat="false" ht="15" hidden="false" customHeight="false" outlineLevel="0" collapsed="false">
      <c r="A216" s="4" t="n">
        <v>212</v>
      </c>
      <c r="B216" s="4" t="n">
        <v>999</v>
      </c>
      <c r="C216" s="4" t="n">
        <v>0</v>
      </c>
      <c r="D216" s="11" t="n">
        <v>46054</v>
      </c>
      <c r="E216" s="4" t="s">
        <v>202</v>
      </c>
      <c r="F216" s="4" t="s">
        <v>206</v>
      </c>
      <c r="G216" s="4" t="n">
        <v>12</v>
      </c>
      <c r="H216" s="4" t="n">
        <v>1</v>
      </c>
      <c r="I216" s="4" t="n">
        <v>0</v>
      </c>
      <c r="J216" s="4"/>
      <c r="K216" s="4" t="n">
        <v>0</v>
      </c>
      <c r="L216" s="12" t="n">
        <v>0.007878</v>
      </c>
      <c r="M216" s="12" t="n">
        <v>0.092063</v>
      </c>
      <c r="N216" s="12" t="n">
        <v>0.029756</v>
      </c>
      <c r="O216" s="12" t="n">
        <v>0.106183</v>
      </c>
      <c r="P216" s="12" t="n">
        <v>0.029848</v>
      </c>
      <c r="Q216" s="0" t="str">
        <f aca="false">IF(L216&gt;=Models!$G$5,1+COUNTIF($L$5:$L$1517,"&gt;"&amp;L216)+COUNTIFS($L$5:$L$1517,L216,$B$5:$B$1517,"&lt;"&amp;B216)+COUNTIFS($L$5:$L$1517,L216,$B$5:$B$1517,B216,$C$5:$C$1517,"&lt;"&amp;C216),"")</f>
        <v/>
      </c>
      <c r="R216" s="0" t="str">
        <f aca="false">IF(M216&gt;=Models!$G$6,1+COUNTIF($M$5:$M$1517,"&gt;"&amp;M216)+COUNTIFS($M$5:$M$1517,M216,$B$5:$B$1517,"&lt;"&amp;B216)+COUNTIFS($M$5:$M$1517,M216,$B$5:$B$1517,B216,$C$5:$C$1517,"&lt;"&amp;C216),"")</f>
        <v/>
      </c>
      <c r="S216" s="0" t="str">
        <f aca="false">IF(N216&gt;=Models!$G$7,1+COUNTIF($N$5:$N$1517,"&gt;"&amp;N216)+COUNTIFS($N$5:$N$1517,N216,$B$5:$B$1517,"&lt;"&amp;B216)+COUNTIFS($N$5:$N$1517,N216,$B$5:$B$1517,B216,$C$5:$C$1517,"&lt;"&amp;C216),"")</f>
        <v/>
      </c>
      <c r="T216" s="8" t="n">
        <f aca="false">IF(O216&gt;=Models!$G$8,1+COUNTIF($O$5:$O$1517,"&gt;"&amp;O216)+COUNTIFS($O$5:$O$1517,O216,$B$5:$B$1517,"&lt;"&amp;B216)+COUNTIFS($O$5:$O$1517,O216,$B$5:$B$1517,B216,$C$5:$C$1517,"&lt;"&amp;C216),"")</f>
        <v>797</v>
      </c>
      <c r="U216" s="8" t="n">
        <f aca="false">IF($K216=1,COUNTIFS($L$5:$L$1517,"&gt;="&amp;L216,$K$5:$K$1517,1)/COUNTIF($L$5:$L$1517,"&gt;="&amp;L216),0)</f>
        <v>0</v>
      </c>
      <c r="V216" s="8" t="n">
        <f aca="false">IF($K216=1,COUNTIFS($M$5:$M$1517,"&gt;="&amp;M216,$K$5:$K$1517,1)/COUNTIF($M$5:$M$1517,"&gt;="&amp;M216),0)</f>
        <v>0</v>
      </c>
      <c r="W216" s="8" t="n">
        <f aca="false">IF($K216=1,COUNTIFS($N$5:$N$1517,"&gt;="&amp;N216,$K$5:$K$1517,1)/COUNTIF($N$5:$N$1517,"&gt;="&amp;N216),0)</f>
        <v>0</v>
      </c>
      <c r="X216" s="8" t="n">
        <f aca="false">IF($K216=1,COUNTIFS($O$5:$O$1517,"&gt;="&amp;O216,$K$5:$K$1517,1)/COUNTIF($O$5:$O$1517,"&gt;="&amp;O216),0)</f>
        <v>0</v>
      </c>
      <c r="Y216" s="8" t="n">
        <f aca="false">IF($K216=1,COUNTIFS($P$5:$P$1517,"&gt;="&amp;P216,$K$5:$K$1517,1)/COUNTIF($P$5:$P$1517,"&gt;="&amp;P216),0)</f>
        <v>0</v>
      </c>
      <c r="Z216" s="8" t="n">
        <f aca="false">(L216-$K216)^2</f>
        <v>6.2062884E-005</v>
      </c>
      <c r="AA216" s="8" t="n">
        <f aca="false">(M216-$K216)^2</f>
        <v>0.008475595969</v>
      </c>
      <c r="AB216" s="8" t="n">
        <f aca="false">(N216-$K216)^2</f>
        <v>0.000885419536</v>
      </c>
      <c r="AC216" s="8" t="n">
        <f aca="false">(O216-$K216)^2</f>
        <v>0.011274829489</v>
      </c>
      <c r="AD216" s="8" t="n">
        <f aca="false">(P216-$K216)^2</f>
        <v>0.000890903104</v>
      </c>
      <c r="AE216" s="8" t="n">
        <f aca="false">MIN(INT(ROUND(N216*1000000,0)/100000),9)</f>
        <v>0</v>
      </c>
      <c r="AF216" s="8" t="n">
        <f aca="false">MIN(INT(ROUND(P216*1000000,0)/100000),9)</f>
        <v>0</v>
      </c>
    </row>
    <row r="217" customFormat="false" ht="15" hidden="false" customHeight="false" outlineLevel="0" collapsed="false">
      <c r="A217" s="4" t="n">
        <v>213</v>
      </c>
      <c r="B217" s="4" t="n">
        <v>1009</v>
      </c>
      <c r="C217" s="4" t="n">
        <v>0</v>
      </c>
      <c r="D217" s="11" t="n">
        <v>46054</v>
      </c>
      <c r="E217" s="4" t="s">
        <v>204</v>
      </c>
      <c r="F217" s="4" t="s">
        <v>208</v>
      </c>
      <c r="G217" s="4" t="n">
        <v>2</v>
      </c>
      <c r="H217" s="4" t="n">
        <v>16</v>
      </c>
      <c r="I217" s="4" t="n">
        <v>0</v>
      </c>
      <c r="J217" s="4" t="n">
        <v>117</v>
      </c>
      <c r="K217" s="4" t="n">
        <v>0</v>
      </c>
      <c r="L217" s="12" t="n">
        <v>0.479653</v>
      </c>
      <c r="M217" s="12" t="n">
        <v>0.092063</v>
      </c>
      <c r="N217" s="12" t="n">
        <v>0.15294</v>
      </c>
      <c r="O217" s="12" t="n">
        <v>0.106183</v>
      </c>
      <c r="P217" s="12" t="n">
        <v>0.164627</v>
      </c>
      <c r="Q217" s="0" t="str">
        <f aca="false">IF(L217&gt;=Models!$G$5,1+COUNTIF($L$5:$L$1517,"&gt;"&amp;L217)+COUNTIFS($L$5:$L$1517,L217,$B$5:$B$1517,"&lt;"&amp;B217)+COUNTIFS($L$5:$L$1517,L217,$B$5:$B$1517,B217,$C$5:$C$1517,"&lt;"&amp;C217),"")</f>
        <v/>
      </c>
      <c r="R217" s="0" t="str">
        <f aca="false">IF(M217&gt;=Models!$G$6,1+COUNTIF($M$5:$M$1517,"&gt;"&amp;M217)+COUNTIFS($M$5:$M$1517,M217,$B$5:$B$1517,"&lt;"&amp;B217)+COUNTIFS($M$5:$M$1517,M217,$B$5:$B$1517,B217,$C$5:$C$1517,"&lt;"&amp;C217),"")</f>
        <v/>
      </c>
      <c r="S217" s="0" t="str">
        <f aca="false">IF(N217&gt;=Models!$G$7,1+COUNTIF($N$5:$N$1517,"&gt;"&amp;N217)+COUNTIFS($N$5:$N$1517,N217,$B$5:$B$1517,"&lt;"&amp;B217)+COUNTIFS($N$5:$N$1517,N217,$B$5:$B$1517,B217,$C$5:$C$1517,"&lt;"&amp;C217),"")</f>
        <v/>
      </c>
      <c r="T217" s="8" t="n">
        <f aca="false">IF(O217&gt;=Models!$G$8,1+COUNTIF($O$5:$O$1517,"&gt;"&amp;O217)+COUNTIFS($O$5:$O$1517,O217,$B$5:$B$1517,"&lt;"&amp;B217)+COUNTIFS($O$5:$O$1517,O217,$B$5:$B$1517,B217,$C$5:$C$1517,"&lt;"&amp;C217),"")</f>
        <v>801</v>
      </c>
      <c r="U217" s="8" t="n">
        <f aca="false">IF($K217=1,COUNTIFS($L$5:$L$1517,"&gt;="&amp;L217,$K$5:$K$1517,1)/COUNTIF($L$5:$L$1517,"&gt;="&amp;L217),0)</f>
        <v>0</v>
      </c>
      <c r="V217" s="8" t="n">
        <f aca="false">IF($K217=1,COUNTIFS($M$5:$M$1517,"&gt;="&amp;M217,$K$5:$K$1517,1)/COUNTIF($M$5:$M$1517,"&gt;="&amp;M217),0)</f>
        <v>0</v>
      </c>
      <c r="W217" s="8" t="n">
        <f aca="false">IF($K217=1,COUNTIFS($N$5:$N$1517,"&gt;="&amp;N217,$K$5:$K$1517,1)/COUNTIF($N$5:$N$1517,"&gt;="&amp;N217),0)</f>
        <v>0</v>
      </c>
      <c r="X217" s="8" t="n">
        <f aca="false">IF($K217=1,COUNTIFS($O$5:$O$1517,"&gt;="&amp;O217,$K$5:$K$1517,1)/COUNTIF($O$5:$O$1517,"&gt;="&amp;O217),0)</f>
        <v>0</v>
      </c>
      <c r="Y217" s="8" t="n">
        <f aca="false">IF($K217=1,COUNTIFS($P$5:$P$1517,"&gt;="&amp;P217,$K$5:$K$1517,1)/COUNTIF($P$5:$P$1517,"&gt;="&amp;P217),0)</f>
        <v>0</v>
      </c>
      <c r="Z217" s="8" t="n">
        <f aca="false">(L217-$K217)^2</f>
        <v>0.230067000409</v>
      </c>
      <c r="AA217" s="8" t="n">
        <f aca="false">(M217-$K217)^2</f>
        <v>0.008475595969</v>
      </c>
      <c r="AB217" s="8" t="n">
        <f aca="false">(N217-$K217)^2</f>
        <v>0.0233906436</v>
      </c>
      <c r="AC217" s="8" t="n">
        <f aca="false">(O217-$K217)^2</f>
        <v>0.011274829489</v>
      </c>
      <c r="AD217" s="8" t="n">
        <f aca="false">(P217-$K217)^2</f>
        <v>0.027102049129</v>
      </c>
      <c r="AE217" s="8" t="n">
        <f aca="false">MIN(INT(ROUND(N217*1000000,0)/100000),9)</f>
        <v>1</v>
      </c>
      <c r="AF217" s="8" t="n">
        <f aca="false">MIN(INT(ROUND(P217*1000000,0)/100000),9)</f>
        <v>1</v>
      </c>
    </row>
    <row r="218" customFormat="false" ht="15" hidden="false" customHeight="false" outlineLevel="0" collapsed="false">
      <c r="A218" s="4" t="n">
        <v>214</v>
      </c>
      <c r="B218" s="4" t="n">
        <v>1013</v>
      </c>
      <c r="C218" s="4" t="n">
        <v>0</v>
      </c>
      <c r="D218" s="11" t="n">
        <v>46054</v>
      </c>
      <c r="E218" s="4" t="s">
        <v>204</v>
      </c>
      <c r="F218" s="4" t="s">
        <v>209</v>
      </c>
      <c r="G218" s="4" t="n">
        <v>1</v>
      </c>
      <c r="H218" s="4" t="n">
        <v>10</v>
      </c>
      <c r="I218" s="4" t="n">
        <v>0</v>
      </c>
      <c r="J218" s="4" t="n">
        <v>84</v>
      </c>
      <c r="K218" s="4" t="n">
        <v>1</v>
      </c>
      <c r="L218" s="12" t="n">
        <v>0.93138</v>
      </c>
      <c r="M218" s="12" t="n">
        <v>0.092063</v>
      </c>
      <c r="N218" s="12" t="n">
        <v>0.158559</v>
      </c>
      <c r="O218" s="12" t="n">
        <v>0.106183</v>
      </c>
      <c r="P218" s="12" t="n">
        <v>0.170877</v>
      </c>
      <c r="Q218" s="0" t="str">
        <f aca="false">IF(L218&gt;=Models!$G$5,1+COUNTIF($L$5:$L$1517,"&gt;"&amp;L218)+COUNTIFS($L$5:$L$1517,L218,$B$5:$B$1517,"&lt;"&amp;B218)+COUNTIFS($L$5:$L$1517,L218,$B$5:$B$1517,B218,$C$5:$C$1517,"&lt;"&amp;C218),"")</f>
        <v/>
      </c>
      <c r="R218" s="0" t="str">
        <f aca="false">IF(M218&gt;=Models!$G$6,1+COUNTIF($M$5:$M$1517,"&gt;"&amp;M218)+COUNTIFS($M$5:$M$1517,M218,$B$5:$B$1517,"&lt;"&amp;B218)+COUNTIFS($M$5:$M$1517,M218,$B$5:$B$1517,B218,$C$5:$C$1517,"&lt;"&amp;C218),"")</f>
        <v/>
      </c>
      <c r="S218" s="0" t="str">
        <f aca="false">IF(N218&gt;=Models!$G$7,1+COUNTIF($N$5:$N$1517,"&gt;"&amp;N218)+COUNTIFS($N$5:$N$1517,N218,$B$5:$B$1517,"&lt;"&amp;B218)+COUNTIFS($N$5:$N$1517,N218,$B$5:$B$1517,B218,$C$5:$C$1517,"&lt;"&amp;C218),"")</f>
        <v/>
      </c>
      <c r="T218" s="8" t="n">
        <f aca="false">IF(O218&gt;=Models!$G$8,1+COUNTIF($O$5:$O$1517,"&gt;"&amp;O218)+COUNTIFS($O$5:$O$1517,O218,$B$5:$B$1517,"&lt;"&amp;B218)+COUNTIFS($O$5:$O$1517,O218,$B$5:$B$1517,B218,$C$5:$C$1517,"&lt;"&amp;C218),"")</f>
        <v>805</v>
      </c>
      <c r="U218" s="8" t="n">
        <f aca="false">IF($K218=1,COUNTIFS($L$5:$L$1517,"&gt;="&amp;L218,$K$5:$K$1517,1)/COUNTIF($L$5:$L$1517,"&gt;="&amp;L218),0)</f>
        <v>0.115384615384615</v>
      </c>
      <c r="V218" s="8" t="n">
        <f aca="false">IF($K218=1,COUNTIFS($M$5:$M$1517,"&gt;="&amp;M218,$K$5:$K$1517,1)/COUNTIF($M$5:$M$1517,"&gt;="&amp;M218),0)</f>
        <v>0.12491738268341</v>
      </c>
      <c r="W218" s="8" t="n">
        <f aca="false">IF($K218=1,COUNTIFS($N$5:$N$1517,"&gt;="&amp;N218,$K$5:$K$1517,1)/COUNTIF($N$5:$N$1517,"&gt;="&amp;N218),0)</f>
        <v>0.30625</v>
      </c>
      <c r="X218" s="8" t="n">
        <f aca="false">IF($K218=1,COUNTIFS($O$5:$O$1517,"&gt;="&amp;O218,$K$5:$K$1517,1)/COUNTIF($O$5:$O$1517,"&gt;="&amp;O218),0)</f>
        <v>0.12491738268341</v>
      </c>
      <c r="Y218" s="8" t="n">
        <f aca="false">IF($K218=1,COUNTIFS($P$5:$P$1517,"&gt;="&amp;P218,$K$5:$K$1517,1)/COUNTIF($P$5:$P$1517,"&gt;="&amp;P218),0)</f>
        <v>0.30625</v>
      </c>
      <c r="Z218" s="8" t="n">
        <f aca="false">(L218-$K218)^2</f>
        <v>0.0047087044</v>
      </c>
      <c r="AA218" s="8" t="n">
        <f aca="false">(M218-$K218)^2</f>
        <v>0.824349595969</v>
      </c>
      <c r="AB218" s="8" t="n">
        <f aca="false">(N218-$K218)^2</f>
        <v>0.708022956481</v>
      </c>
      <c r="AC218" s="8" t="n">
        <f aca="false">(O218-$K218)^2</f>
        <v>0.798908829489</v>
      </c>
      <c r="AD218" s="8" t="n">
        <f aca="false">(P218-$K218)^2</f>
        <v>0.687444949129</v>
      </c>
      <c r="AE218" s="8" t="n">
        <f aca="false">MIN(INT(ROUND(N218*1000000,0)/100000),9)</f>
        <v>1</v>
      </c>
      <c r="AF218" s="8" t="n">
        <f aca="false">MIN(INT(ROUND(P218*1000000,0)/100000),9)</f>
        <v>1</v>
      </c>
    </row>
    <row r="219" customFormat="false" ht="15" hidden="false" customHeight="false" outlineLevel="0" collapsed="false">
      <c r="A219" s="4" t="n">
        <v>215</v>
      </c>
      <c r="B219" s="4" t="n">
        <v>1015</v>
      </c>
      <c r="C219" s="4" t="n">
        <v>0</v>
      </c>
      <c r="D219" s="11" t="n">
        <v>46054</v>
      </c>
      <c r="E219" s="4" t="s">
        <v>204</v>
      </c>
      <c r="F219" s="4" t="s">
        <v>209</v>
      </c>
      <c r="G219" s="4" t="n">
        <v>2</v>
      </c>
      <c r="H219" s="4" t="n">
        <v>11</v>
      </c>
      <c r="I219" s="4" t="n">
        <v>0</v>
      </c>
      <c r="J219" s="4"/>
      <c r="K219" s="4" t="n">
        <v>0</v>
      </c>
      <c r="L219" s="12" t="n">
        <v>0.546087</v>
      </c>
      <c r="M219" s="12" t="n">
        <v>0.092063</v>
      </c>
      <c r="N219" s="12" t="n">
        <v>0.075672</v>
      </c>
      <c r="O219" s="12" t="n">
        <v>0.106183</v>
      </c>
      <c r="P219" s="12" t="n">
        <v>0.079237</v>
      </c>
      <c r="Q219" s="0" t="str">
        <f aca="false">IF(L219&gt;=Models!$G$5,1+COUNTIF($L$5:$L$1517,"&gt;"&amp;L219)+COUNTIFS($L$5:$L$1517,L219,$B$5:$B$1517,"&lt;"&amp;B219)+COUNTIFS($L$5:$L$1517,L219,$B$5:$B$1517,B219,$C$5:$C$1517,"&lt;"&amp;C219),"")</f>
        <v/>
      </c>
      <c r="R219" s="0" t="str">
        <f aca="false">IF(M219&gt;=Models!$G$6,1+COUNTIF($M$5:$M$1517,"&gt;"&amp;M219)+COUNTIFS($M$5:$M$1517,M219,$B$5:$B$1517,"&lt;"&amp;B219)+COUNTIFS($M$5:$M$1517,M219,$B$5:$B$1517,B219,$C$5:$C$1517,"&lt;"&amp;C219),"")</f>
        <v/>
      </c>
      <c r="S219" s="0" t="str">
        <f aca="false">IF(N219&gt;=Models!$G$7,1+COUNTIF($N$5:$N$1517,"&gt;"&amp;N219)+COUNTIFS($N$5:$N$1517,N219,$B$5:$B$1517,"&lt;"&amp;B219)+COUNTIFS($N$5:$N$1517,N219,$B$5:$B$1517,B219,$C$5:$C$1517,"&lt;"&amp;C219),"")</f>
        <v/>
      </c>
      <c r="T219" s="8" t="n">
        <f aca="false">IF(O219&gt;=Models!$G$8,1+COUNTIF($O$5:$O$1517,"&gt;"&amp;O219)+COUNTIFS($O$5:$O$1517,O219,$B$5:$B$1517,"&lt;"&amp;B219)+COUNTIFS($O$5:$O$1517,O219,$B$5:$B$1517,B219,$C$5:$C$1517,"&lt;"&amp;C219),"")</f>
        <v>807</v>
      </c>
      <c r="U219" s="8" t="n">
        <f aca="false">IF($K219=1,COUNTIFS($L$5:$L$1517,"&gt;="&amp;L219,$K$5:$K$1517,1)/COUNTIF($L$5:$L$1517,"&gt;="&amp;L219),0)</f>
        <v>0</v>
      </c>
      <c r="V219" s="8" t="n">
        <f aca="false">IF($K219=1,COUNTIFS($M$5:$M$1517,"&gt;="&amp;M219,$K$5:$K$1517,1)/COUNTIF($M$5:$M$1517,"&gt;="&amp;M219),0)</f>
        <v>0</v>
      </c>
      <c r="W219" s="8" t="n">
        <f aca="false">IF($K219=1,COUNTIFS($N$5:$N$1517,"&gt;="&amp;N219,$K$5:$K$1517,1)/COUNTIF($N$5:$N$1517,"&gt;="&amp;N219),0)</f>
        <v>0</v>
      </c>
      <c r="X219" s="8" t="n">
        <f aca="false">IF($K219=1,COUNTIFS($O$5:$O$1517,"&gt;="&amp;O219,$K$5:$K$1517,1)/COUNTIF($O$5:$O$1517,"&gt;="&amp;O219),0)</f>
        <v>0</v>
      </c>
      <c r="Y219" s="8" t="n">
        <f aca="false">IF($K219=1,COUNTIFS($P$5:$P$1517,"&gt;="&amp;P219,$K$5:$K$1517,1)/COUNTIF($P$5:$P$1517,"&gt;="&amp;P219),0)</f>
        <v>0</v>
      </c>
      <c r="Z219" s="8" t="n">
        <f aca="false">(L219-$K219)^2</f>
        <v>0.298211011569</v>
      </c>
      <c r="AA219" s="8" t="n">
        <f aca="false">(M219-$K219)^2</f>
        <v>0.008475595969</v>
      </c>
      <c r="AB219" s="8" t="n">
        <f aca="false">(N219-$K219)^2</f>
        <v>0.005726251584</v>
      </c>
      <c r="AC219" s="8" t="n">
        <f aca="false">(O219-$K219)^2</f>
        <v>0.011274829489</v>
      </c>
      <c r="AD219" s="8" t="n">
        <f aca="false">(P219-$K219)^2</f>
        <v>0.006278502169</v>
      </c>
      <c r="AE219" s="8" t="n">
        <f aca="false">MIN(INT(ROUND(N219*1000000,0)/100000),9)</f>
        <v>0</v>
      </c>
      <c r="AF219" s="8" t="n">
        <f aca="false">MIN(INT(ROUND(P219*1000000,0)/100000),9)</f>
        <v>0</v>
      </c>
    </row>
    <row r="220" customFormat="false" ht="15" hidden="false" customHeight="false" outlineLevel="0" collapsed="false">
      <c r="A220" s="4" t="n">
        <v>216</v>
      </c>
      <c r="B220" s="4" t="n">
        <v>1017</v>
      </c>
      <c r="C220" s="4" t="n">
        <v>0</v>
      </c>
      <c r="D220" s="11" t="n">
        <v>46054</v>
      </c>
      <c r="E220" s="4" t="s">
        <v>203</v>
      </c>
      <c r="F220" s="4" t="s">
        <v>209</v>
      </c>
      <c r="G220" s="4" t="n">
        <v>3</v>
      </c>
      <c r="H220" s="4" t="n">
        <v>0</v>
      </c>
      <c r="I220" s="4" t="n">
        <v>0</v>
      </c>
      <c r="J220" s="4" t="n">
        <v>203.7</v>
      </c>
      <c r="K220" s="4" t="n">
        <v>0</v>
      </c>
      <c r="L220" s="12" t="n">
        <v>0.188392</v>
      </c>
      <c r="M220" s="12" t="n">
        <v>0.092063</v>
      </c>
      <c r="N220" s="12" t="n">
        <v>0.125883</v>
      </c>
      <c r="O220" s="12" t="n">
        <v>0.106183</v>
      </c>
      <c r="P220" s="12" t="n">
        <v>0.134576</v>
      </c>
      <c r="Q220" s="0" t="str">
        <f aca="false">IF(L220&gt;=Models!$G$5,1+COUNTIF($L$5:$L$1517,"&gt;"&amp;L220)+COUNTIFS($L$5:$L$1517,L220,$B$5:$B$1517,"&lt;"&amp;B220)+COUNTIFS($L$5:$L$1517,L220,$B$5:$B$1517,B220,$C$5:$C$1517,"&lt;"&amp;C220),"")</f>
        <v/>
      </c>
      <c r="R220" s="0" t="str">
        <f aca="false">IF(M220&gt;=Models!$G$6,1+COUNTIF($M$5:$M$1517,"&gt;"&amp;M220)+COUNTIFS($M$5:$M$1517,M220,$B$5:$B$1517,"&lt;"&amp;B220)+COUNTIFS($M$5:$M$1517,M220,$B$5:$B$1517,B220,$C$5:$C$1517,"&lt;"&amp;C220),"")</f>
        <v/>
      </c>
      <c r="S220" s="0" t="str">
        <f aca="false">IF(N220&gt;=Models!$G$7,1+COUNTIF($N$5:$N$1517,"&gt;"&amp;N220)+COUNTIFS($N$5:$N$1517,N220,$B$5:$B$1517,"&lt;"&amp;B220)+COUNTIFS($N$5:$N$1517,N220,$B$5:$B$1517,B220,$C$5:$C$1517,"&lt;"&amp;C220),"")</f>
        <v/>
      </c>
      <c r="T220" s="8" t="n">
        <f aca="false">IF(O220&gt;=Models!$G$8,1+COUNTIF($O$5:$O$1517,"&gt;"&amp;O220)+COUNTIFS($O$5:$O$1517,O220,$B$5:$B$1517,"&lt;"&amp;B220)+COUNTIFS($O$5:$O$1517,O220,$B$5:$B$1517,B220,$C$5:$C$1517,"&lt;"&amp;C220),"")</f>
        <v>811</v>
      </c>
      <c r="U220" s="8" t="n">
        <f aca="false">IF($K220=1,COUNTIFS($L$5:$L$1517,"&gt;="&amp;L220,$K$5:$K$1517,1)/COUNTIF($L$5:$L$1517,"&gt;="&amp;L220),0)</f>
        <v>0</v>
      </c>
      <c r="V220" s="8" t="n">
        <f aca="false">IF($K220=1,COUNTIFS($M$5:$M$1517,"&gt;="&amp;M220,$K$5:$K$1517,1)/COUNTIF($M$5:$M$1517,"&gt;="&amp;M220),0)</f>
        <v>0</v>
      </c>
      <c r="W220" s="8" t="n">
        <f aca="false">IF($K220=1,COUNTIFS($N$5:$N$1517,"&gt;="&amp;N220,$K$5:$K$1517,1)/COUNTIF($N$5:$N$1517,"&gt;="&amp;N220),0)</f>
        <v>0</v>
      </c>
      <c r="X220" s="8" t="n">
        <f aca="false">IF($K220=1,COUNTIFS($O$5:$O$1517,"&gt;="&amp;O220,$K$5:$K$1517,1)/COUNTIF($O$5:$O$1517,"&gt;="&amp;O220),0)</f>
        <v>0</v>
      </c>
      <c r="Y220" s="8" t="n">
        <f aca="false">IF($K220=1,COUNTIFS($P$5:$P$1517,"&gt;="&amp;P220,$K$5:$K$1517,1)/COUNTIF($P$5:$P$1517,"&gt;="&amp;P220),0)</f>
        <v>0</v>
      </c>
      <c r="Z220" s="8" t="n">
        <f aca="false">(L220-$K220)^2</f>
        <v>0.035491545664</v>
      </c>
      <c r="AA220" s="8" t="n">
        <f aca="false">(M220-$K220)^2</f>
        <v>0.008475595969</v>
      </c>
      <c r="AB220" s="8" t="n">
        <f aca="false">(N220-$K220)^2</f>
        <v>0.015846529689</v>
      </c>
      <c r="AC220" s="8" t="n">
        <f aca="false">(O220-$K220)^2</f>
        <v>0.011274829489</v>
      </c>
      <c r="AD220" s="8" t="n">
        <f aca="false">(P220-$K220)^2</f>
        <v>0.018110699776</v>
      </c>
      <c r="AE220" s="8" t="n">
        <f aca="false">MIN(INT(ROUND(N220*1000000,0)/100000),9)</f>
        <v>1</v>
      </c>
      <c r="AF220" s="8" t="n">
        <f aca="false">MIN(INT(ROUND(P220*1000000,0)/100000),9)</f>
        <v>1</v>
      </c>
    </row>
    <row r="221" customFormat="false" ht="15" hidden="false" customHeight="false" outlineLevel="0" collapsed="false">
      <c r="A221" s="4" t="n">
        <v>217</v>
      </c>
      <c r="B221" s="4" t="n">
        <v>1019</v>
      </c>
      <c r="C221" s="4" t="n">
        <v>0</v>
      </c>
      <c r="D221" s="11" t="n">
        <v>46054</v>
      </c>
      <c r="E221" s="4" t="s">
        <v>204</v>
      </c>
      <c r="F221" s="4" t="s">
        <v>206</v>
      </c>
      <c r="G221" s="4" t="n">
        <v>2</v>
      </c>
      <c r="H221" s="4" t="n">
        <v>6</v>
      </c>
      <c r="I221" s="4" t="n">
        <v>0</v>
      </c>
      <c r="J221" s="4" t="n">
        <v>72</v>
      </c>
      <c r="K221" s="4" t="n">
        <v>0</v>
      </c>
      <c r="L221" s="12" t="n">
        <v>0.027456</v>
      </c>
      <c r="M221" s="12" t="n">
        <v>0.092063</v>
      </c>
      <c r="N221" s="12" t="n">
        <v>0.142943</v>
      </c>
      <c r="O221" s="12" t="n">
        <v>0.106183</v>
      </c>
      <c r="P221" s="12" t="n">
        <v>0.153514</v>
      </c>
      <c r="Q221" s="0" t="str">
        <f aca="false">IF(L221&gt;=Models!$G$5,1+COUNTIF($L$5:$L$1517,"&gt;"&amp;L221)+COUNTIFS($L$5:$L$1517,L221,$B$5:$B$1517,"&lt;"&amp;B221)+COUNTIFS($L$5:$L$1517,L221,$B$5:$B$1517,B221,$C$5:$C$1517,"&lt;"&amp;C221),"")</f>
        <v/>
      </c>
      <c r="R221" s="0" t="str">
        <f aca="false">IF(M221&gt;=Models!$G$6,1+COUNTIF($M$5:$M$1517,"&gt;"&amp;M221)+COUNTIFS($M$5:$M$1517,M221,$B$5:$B$1517,"&lt;"&amp;B221)+COUNTIFS($M$5:$M$1517,M221,$B$5:$B$1517,B221,$C$5:$C$1517,"&lt;"&amp;C221),"")</f>
        <v/>
      </c>
      <c r="S221" s="0" t="str">
        <f aca="false">IF(N221&gt;=Models!$G$7,1+COUNTIF($N$5:$N$1517,"&gt;"&amp;N221)+COUNTIFS($N$5:$N$1517,N221,$B$5:$B$1517,"&lt;"&amp;B221)+COUNTIFS($N$5:$N$1517,N221,$B$5:$B$1517,B221,$C$5:$C$1517,"&lt;"&amp;C221),"")</f>
        <v/>
      </c>
      <c r="T221" s="8" t="n">
        <f aca="false">IF(O221&gt;=Models!$G$8,1+COUNTIF($O$5:$O$1517,"&gt;"&amp;O221)+COUNTIFS($O$5:$O$1517,O221,$B$5:$B$1517,"&lt;"&amp;B221)+COUNTIFS($O$5:$O$1517,O221,$B$5:$B$1517,B221,$C$5:$C$1517,"&lt;"&amp;C221),"")</f>
        <v>815</v>
      </c>
      <c r="U221" s="8" t="n">
        <f aca="false">IF($K221=1,COUNTIFS($L$5:$L$1517,"&gt;="&amp;L221,$K$5:$K$1517,1)/COUNTIF($L$5:$L$1517,"&gt;="&amp;L221),0)</f>
        <v>0</v>
      </c>
      <c r="V221" s="8" t="n">
        <f aca="false">IF($K221=1,COUNTIFS($M$5:$M$1517,"&gt;="&amp;M221,$K$5:$K$1517,1)/COUNTIF($M$5:$M$1517,"&gt;="&amp;M221),0)</f>
        <v>0</v>
      </c>
      <c r="W221" s="8" t="n">
        <f aca="false">IF($K221=1,COUNTIFS($N$5:$N$1517,"&gt;="&amp;N221,$K$5:$K$1517,1)/COUNTIF($N$5:$N$1517,"&gt;="&amp;N221),0)</f>
        <v>0</v>
      </c>
      <c r="X221" s="8" t="n">
        <f aca="false">IF($K221=1,COUNTIFS($O$5:$O$1517,"&gt;="&amp;O221,$K$5:$K$1517,1)/COUNTIF($O$5:$O$1517,"&gt;="&amp;O221),0)</f>
        <v>0</v>
      </c>
      <c r="Y221" s="8" t="n">
        <f aca="false">IF($K221=1,COUNTIFS($P$5:$P$1517,"&gt;="&amp;P221,$K$5:$K$1517,1)/COUNTIF($P$5:$P$1517,"&gt;="&amp;P221),0)</f>
        <v>0</v>
      </c>
      <c r="Z221" s="8" t="n">
        <f aca="false">(L221-$K221)^2</f>
        <v>0.000753831936</v>
      </c>
      <c r="AA221" s="8" t="n">
        <f aca="false">(M221-$K221)^2</f>
        <v>0.008475595969</v>
      </c>
      <c r="AB221" s="8" t="n">
        <f aca="false">(N221-$K221)^2</f>
        <v>0.020432701249</v>
      </c>
      <c r="AC221" s="8" t="n">
        <f aca="false">(O221-$K221)^2</f>
        <v>0.011274829489</v>
      </c>
      <c r="AD221" s="8" t="n">
        <f aca="false">(P221-$K221)^2</f>
        <v>0.023566548196</v>
      </c>
      <c r="AE221" s="8" t="n">
        <f aca="false">MIN(INT(ROUND(N221*1000000,0)/100000),9)</f>
        <v>1</v>
      </c>
      <c r="AF221" s="8" t="n">
        <f aca="false">MIN(INT(ROUND(P221*1000000,0)/100000),9)</f>
        <v>1</v>
      </c>
    </row>
    <row r="222" customFormat="false" ht="15" hidden="false" customHeight="false" outlineLevel="0" collapsed="false">
      <c r="A222" s="4" t="n">
        <v>218</v>
      </c>
      <c r="B222" s="4" t="n">
        <v>1020</v>
      </c>
      <c r="C222" s="4" t="n">
        <v>0</v>
      </c>
      <c r="D222" s="11" t="n">
        <v>46054</v>
      </c>
      <c r="E222" s="4" t="s">
        <v>201</v>
      </c>
      <c r="F222" s="4" t="s">
        <v>209</v>
      </c>
      <c r="G222" s="4" t="n">
        <v>17</v>
      </c>
      <c r="H222" s="4" t="n">
        <v>1</v>
      </c>
      <c r="I222" s="4" t="n">
        <v>0</v>
      </c>
      <c r="J222" s="4" t="n">
        <v>9615</v>
      </c>
      <c r="K222" s="4" t="n">
        <v>0</v>
      </c>
      <c r="L222" s="12" t="n">
        <v>0.286724</v>
      </c>
      <c r="M222" s="12" t="n">
        <v>0.092063</v>
      </c>
      <c r="N222" s="12" t="n">
        <v>0.023292</v>
      </c>
      <c r="O222" s="12" t="n">
        <v>0.106183</v>
      </c>
      <c r="P222" s="12" t="n">
        <v>0.023093</v>
      </c>
      <c r="Q222" s="0" t="str">
        <f aca="false">IF(L222&gt;=Models!$G$5,1+COUNTIF($L$5:$L$1517,"&gt;"&amp;L222)+COUNTIFS($L$5:$L$1517,L222,$B$5:$B$1517,"&lt;"&amp;B222)+COUNTIFS($L$5:$L$1517,L222,$B$5:$B$1517,B222,$C$5:$C$1517,"&lt;"&amp;C222),"")</f>
        <v/>
      </c>
      <c r="R222" s="0" t="str">
        <f aca="false">IF(M222&gt;=Models!$G$6,1+COUNTIF($M$5:$M$1517,"&gt;"&amp;M222)+COUNTIFS($M$5:$M$1517,M222,$B$5:$B$1517,"&lt;"&amp;B222)+COUNTIFS($M$5:$M$1517,M222,$B$5:$B$1517,B222,$C$5:$C$1517,"&lt;"&amp;C222),"")</f>
        <v/>
      </c>
      <c r="S222" s="0" t="str">
        <f aca="false">IF(N222&gt;=Models!$G$7,1+COUNTIF($N$5:$N$1517,"&gt;"&amp;N222)+COUNTIFS($N$5:$N$1517,N222,$B$5:$B$1517,"&lt;"&amp;B222)+COUNTIFS($N$5:$N$1517,N222,$B$5:$B$1517,B222,$C$5:$C$1517,"&lt;"&amp;C222),"")</f>
        <v/>
      </c>
      <c r="T222" s="8" t="n">
        <f aca="false">IF(O222&gt;=Models!$G$8,1+COUNTIF($O$5:$O$1517,"&gt;"&amp;O222)+COUNTIFS($O$5:$O$1517,O222,$B$5:$B$1517,"&lt;"&amp;B222)+COUNTIFS($O$5:$O$1517,O222,$B$5:$B$1517,B222,$C$5:$C$1517,"&lt;"&amp;C222),"")</f>
        <v>819</v>
      </c>
      <c r="U222" s="8" t="n">
        <f aca="false">IF($K222=1,COUNTIFS($L$5:$L$1517,"&gt;="&amp;L222,$K$5:$K$1517,1)/COUNTIF($L$5:$L$1517,"&gt;="&amp;L222),0)</f>
        <v>0</v>
      </c>
      <c r="V222" s="8" t="n">
        <f aca="false">IF($K222=1,COUNTIFS($M$5:$M$1517,"&gt;="&amp;M222,$K$5:$K$1517,1)/COUNTIF($M$5:$M$1517,"&gt;="&amp;M222),0)</f>
        <v>0</v>
      </c>
      <c r="W222" s="8" t="n">
        <f aca="false">IF($K222=1,COUNTIFS($N$5:$N$1517,"&gt;="&amp;N222,$K$5:$K$1517,1)/COUNTIF($N$5:$N$1517,"&gt;="&amp;N222),0)</f>
        <v>0</v>
      </c>
      <c r="X222" s="8" t="n">
        <f aca="false">IF($K222=1,COUNTIFS($O$5:$O$1517,"&gt;="&amp;O222,$K$5:$K$1517,1)/COUNTIF($O$5:$O$1517,"&gt;="&amp;O222),0)</f>
        <v>0</v>
      </c>
      <c r="Y222" s="8" t="n">
        <f aca="false">IF($K222=1,COUNTIFS($P$5:$P$1517,"&gt;="&amp;P222,$K$5:$K$1517,1)/COUNTIF($P$5:$P$1517,"&gt;="&amp;P222),0)</f>
        <v>0</v>
      </c>
      <c r="Z222" s="8" t="n">
        <f aca="false">(L222-$K222)^2</f>
        <v>0.082210652176</v>
      </c>
      <c r="AA222" s="8" t="n">
        <f aca="false">(M222-$K222)^2</f>
        <v>0.008475595969</v>
      </c>
      <c r="AB222" s="8" t="n">
        <f aca="false">(N222-$K222)^2</f>
        <v>0.000542517264</v>
      </c>
      <c r="AC222" s="8" t="n">
        <f aca="false">(O222-$K222)^2</f>
        <v>0.011274829489</v>
      </c>
      <c r="AD222" s="8" t="n">
        <f aca="false">(P222-$K222)^2</f>
        <v>0.000533286649</v>
      </c>
      <c r="AE222" s="8" t="n">
        <f aca="false">MIN(INT(ROUND(N222*1000000,0)/100000),9)</f>
        <v>0</v>
      </c>
      <c r="AF222" s="8" t="n">
        <f aca="false">MIN(INT(ROUND(P222*1000000,0)/100000),9)</f>
        <v>0</v>
      </c>
    </row>
    <row r="223" customFormat="false" ht="15" hidden="false" customHeight="false" outlineLevel="0" collapsed="false">
      <c r="A223" s="4" t="n">
        <v>219</v>
      </c>
      <c r="B223" s="4" t="n">
        <v>1025</v>
      </c>
      <c r="C223" s="4" t="n">
        <v>0</v>
      </c>
      <c r="D223" s="11" t="n">
        <v>46054</v>
      </c>
      <c r="E223" s="4" t="s">
        <v>201</v>
      </c>
      <c r="F223" s="4" t="s">
        <v>206</v>
      </c>
      <c r="G223" s="4" t="n">
        <v>23</v>
      </c>
      <c r="H223" s="4" t="n">
        <v>4</v>
      </c>
      <c r="I223" s="4" t="n">
        <v>0</v>
      </c>
      <c r="J223" s="4"/>
      <c r="K223" s="4" t="n">
        <v>0</v>
      </c>
      <c r="L223" s="12" t="n">
        <v>0.029903</v>
      </c>
      <c r="M223" s="12" t="n">
        <v>0.092063</v>
      </c>
      <c r="N223" s="12" t="n">
        <v>0.011546</v>
      </c>
      <c r="O223" s="12" t="n">
        <v>0.106183</v>
      </c>
      <c r="P223" s="12" t="n">
        <v>0.011068</v>
      </c>
      <c r="Q223" s="0" t="str">
        <f aca="false">IF(L223&gt;=Models!$G$5,1+COUNTIF($L$5:$L$1517,"&gt;"&amp;L223)+COUNTIFS($L$5:$L$1517,L223,$B$5:$B$1517,"&lt;"&amp;B223)+COUNTIFS($L$5:$L$1517,L223,$B$5:$B$1517,B223,$C$5:$C$1517,"&lt;"&amp;C223),"")</f>
        <v/>
      </c>
      <c r="R223" s="0" t="str">
        <f aca="false">IF(M223&gt;=Models!$G$6,1+COUNTIF($M$5:$M$1517,"&gt;"&amp;M223)+COUNTIFS($M$5:$M$1517,M223,$B$5:$B$1517,"&lt;"&amp;B223)+COUNTIFS($M$5:$M$1517,M223,$B$5:$B$1517,B223,$C$5:$C$1517,"&lt;"&amp;C223),"")</f>
        <v/>
      </c>
      <c r="S223" s="0" t="str">
        <f aca="false">IF(N223&gt;=Models!$G$7,1+COUNTIF($N$5:$N$1517,"&gt;"&amp;N223)+COUNTIFS($N$5:$N$1517,N223,$B$5:$B$1517,"&lt;"&amp;B223)+COUNTIFS($N$5:$N$1517,N223,$B$5:$B$1517,B223,$C$5:$C$1517,"&lt;"&amp;C223),"")</f>
        <v/>
      </c>
      <c r="T223" s="8" t="n">
        <f aca="false">IF(O223&gt;=Models!$G$8,1+COUNTIF($O$5:$O$1517,"&gt;"&amp;O223)+COUNTIFS($O$5:$O$1517,O223,$B$5:$B$1517,"&lt;"&amp;B223)+COUNTIFS($O$5:$O$1517,O223,$B$5:$B$1517,B223,$C$5:$C$1517,"&lt;"&amp;C223),"")</f>
        <v>823</v>
      </c>
      <c r="U223" s="8" t="n">
        <f aca="false">IF($K223=1,COUNTIFS($L$5:$L$1517,"&gt;="&amp;L223,$K$5:$K$1517,1)/COUNTIF($L$5:$L$1517,"&gt;="&amp;L223),0)</f>
        <v>0</v>
      </c>
      <c r="V223" s="8" t="n">
        <f aca="false">IF($K223=1,COUNTIFS($M$5:$M$1517,"&gt;="&amp;M223,$K$5:$K$1517,1)/COUNTIF($M$5:$M$1517,"&gt;="&amp;M223),0)</f>
        <v>0</v>
      </c>
      <c r="W223" s="8" t="n">
        <f aca="false">IF($K223=1,COUNTIFS($N$5:$N$1517,"&gt;="&amp;N223,$K$5:$K$1517,1)/COUNTIF($N$5:$N$1517,"&gt;="&amp;N223),0)</f>
        <v>0</v>
      </c>
      <c r="X223" s="8" t="n">
        <f aca="false">IF($K223=1,COUNTIFS($O$5:$O$1517,"&gt;="&amp;O223,$K$5:$K$1517,1)/COUNTIF($O$5:$O$1517,"&gt;="&amp;O223),0)</f>
        <v>0</v>
      </c>
      <c r="Y223" s="8" t="n">
        <f aca="false">IF($K223=1,COUNTIFS($P$5:$P$1517,"&gt;="&amp;P223,$K$5:$K$1517,1)/COUNTIF($P$5:$P$1517,"&gt;="&amp;P223),0)</f>
        <v>0</v>
      </c>
      <c r="Z223" s="8" t="n">
        <f aca="false">(L223-$K223)^2</f>
        <v>0.000894189409</v>
      </c>
      <c r="AA223" s="8" t="n">
        <f aca="false">(M223-$K223)^2</f>
        <v>0.008475595969</v>
      </c>
      <c r="AB223" s="8" t="n">
        <f aca="false">(N223-$K223)^2</f>
        <v>0.000133310116</v>
      </c>
      <c r="AC223" s="8" t="n">
        <f aca="false">(O223-$K223)^2</f>
        <v>0.011274829489</v>
      </c>
      <c r="AD223" s="8" t="n">
        <f aca="false">(P223-$K223)^2</f>
        <v>0.000122500624</v>
      </c>
      <c r="AE223" s="8" t="n">
        <f aca="false">MIN(INT(ROUND(N223*1000000,0)/100000),9)</f>
        <v>0</v>
      </c>
      <c r="AF223" s="8" t="n">
        <f aca="false">MIN(INT(ROUND(P223*1000000,0)/100000),9)</f>
        <v>0</v>
      </c>
    </row>
    <row r="224" customFormat="false" ht="15" hidden="false" customHeight="false" outlineLevel="0" collapsed="false">
      <c r="A224" s="4" t="n">
        <v>220</v>
      </c>
      <c r="B224" s="4" t="n">
        <v>1031</v>
      </c>
      <c r="C224" s="4" t="n">
        <v>0</v>
      </c>
      <c r="D224" s="11" t="n">
        <v>46054</v>
      </c>
      <c r="E224" s="4" t="s">
        <v>203</v>
      </c>
      <c r="F224" s="4" t="s">
        <v>209</v>
      </c>
      <c r="G224" s="4" t="n">
        <v>4</v>
      </c>
      <c r="H224" s="4" t="n">
        <v>5</v>
      </c>
      <c r="I224" s="4" t="n">
        <v>0</v>
      </c>
      <c r="J224" s="4" t="n">
        <v>333</v>
      </c>
      <c r="K224" s="4" t="n">
        <v>0</v>
      </c>
      <c r="L224" s="12" t="n">
        <v>0.662075</v>
      </c>
      <c r="M224" s="12" t="n">
        <v>0.092063</v>
      </c>
      <c r="N224" s="12" t="n">
        <v>0.119793</v>
      </c>
      <c r="O224" s="12" t="n">
        <v>0.106183</v>
      </c>
      <c r="P224" s="12" t="n">
        <v>0.127827</v>
      </c>
      <c r="Q224" s="0" t="str">
        <f aca="false">IF(L224&gt;=Models!$G$5,1+COUNTIF($L$5:$L$1517,"&gt;"&amp;L224)+COUNTIFS($L$5:$L$1517,L224,$B$5:$B$1517,"&lt;"&amp;B224)+COUNTIFS($L$5:$L$1517,L224,$B$5:$B$1517,B224,$C$5:$C$1517,"&lt;"&amp;C224),"")</f>
        <v/>
      </c>
      <c r="R224" s="0" t="str">
        <f aca="false">IF(M224&gt;=Models!$G$6,1+COUNTIF($M$5:$M$1517,"&gt;"&amp;M224)+COUNTIFS($M$5:$M$1517,M224,$B$5:$B$1517,"&lt;"&amp;B224)+COUNTIFS($M$5:$M$1517,M224,$B$5:$B$1517,B224,$C$5:$C$1517,"&lt;"&amp;C224),"")</f>
        <v/>
      </c>
      <c r="S224" s="0" t="str">
        <f aca="false">IF(N224&gt;=Models!$G$7,1+COUNTIF($N$5:$N$1517,"&gt;"&amp;N224)+COUNTIFS($N$5:$N$1517,N224,$B$5:$B$1517,"&lt;"&amp;B224)+COUNTIFS($N$5:$N$1517,N224,$B$5:$B$1517,B224,$C$5:$C$1517,"&lt;"&amp;C224),"")</f>
        <v/>
      </c>
      <c r="T224" s="8" t="n">
        <f aca="false">IF(O224&gt;=Models!$G$8,1+COUNTIF($O$5:$O$1517,"&gt;"&amp;O224)+COUNTIFS($O$5:$O$1517,O224,$B$5:$B$1517,"&lt;"&amp;B224)+COUNTIFS($O$5:$O$1517,O224,$B$5:$B$1517,B224,$C$5:$C$1517,"&lt;"&amp;C224),"")</f>
        <v>827</v>
      </c>
      <c r="U224" s="8" t="n">
        <f aca="false">IF($K224=1,COUNTIFS($L$5:$L$1517,"&gt;="&amp;L224,$K$5:$K$1517,1)/COUNTIF($L$5:$L$1517,"&gt;="&amp;L224),0)</f>
        <v>0</v>
      </c>
      <c r="V224" s="8" t="n">
        <f aca="false">IF($K224=1,COUNTIFS($M$5:$M$1517,"&gt;="&amp;M224,$K$5:$K$1517,1)/COUNTIF($M$5:$M$1517,"&gt;="&amp;M224),0)</f>
        <v>0</v>
      </c>
      <c r="W224" s="8" t="n">
        <f aca="false">IF($K224=1,COUNTIFS($N$5:$N$1517,"&gt;="&amp;N224,$K$5:$K$1517,1)/COUNTIF($N$5:$N$1517,"&gt;="&amp;N224),0)</f>
        <v>0</v>
      </c>
      <c r="X224" s="8" t="n">
        <f aca="false">IF($K224=1,COUNTIFS($O$5:$O$1517,"&gt;="&amp;O224,$K$5:$K$1517,1)/COUNTIF($O$5:$O$1517,"&gt;="&amp;O224),0)</f>
        <v>0</v>
      </c>
      <c r="Y224" s="8" t="n">
        <f aca="false">IF($K224=1,COUNTIFS($P$5:$P$1517,"&gt;="&amp;P224,$K$5:$K$1517,1)/COUNTIF($P$5:$P$1517,"&gt;="&amp;P224),0)</f>
        <v>0</v>
      </c>
      <c r="Z224" s="8" t="n">
        <f aca="false">(L224-$K224)^2</f>
        <v>0.438343305625</v>
      </c>
      <c r="AA224" s="8" t="n">
        <f aca="false">(M224-$K224)^2</f>
        <v>0.008475595969</v>
      </c>
      <c r="AB224" s="8" t="n">
        <f aca="false">(N224-$K224)^2</f>
        <v>0.014350362849</v>
      </c>
      <c r="AC224" s="8" t="n">
        <f aca="false">(O224-$K224)^2</f>
        <v>0.011274829489</v>
      </c>
      <c r="AD224" s="8" t="n">
        <f aca="false">(P224-$K224)^2</f>
        <v>0.016339741929</v>
      </c>
      <c r="AE224" s="8" t="n">
        <f aca="false">MIN(INT(ROUND(N224*1000000,0)/100000),9)</f>
        <v>1</v>
      </c>
      <c r="AF224" s="8" t="n">
        <f aca="false">MIN(INT(ROUND(P224*1000000,0)/100000),9)</f>
        <v>1</v>
      </c>
    </row>
    <row r="225" customFormat="false" ht="15" hidden="false" customHeight="false" outlineLevel="0" collapsed="false">
      <c r="A225" s="4" t="n">
        <v>221</v>
      </c>
      <c r="B225" s="4" t="n">
        <v>1038</v>
      </c>
      <c r="C225" s="4" t="n">
        <v>0</v>
      </c>
      <c r="D225" s="11" t="n">
        <v>46054</v>
      </c>
      <c r="E225" s="4" t="s">
        <v>203</v>
      </c>
      <c r="F225" s="4" t="s">
        <v>209</v>
      </c>
      <c r="G225" s="4" t="n">
        <v>4</v>
      </c>
      <c r="H225" s="4" t="n">
        <v>3</v>
      </c>
      <c r="I225" s="4" t="n">
        <v>0</v>
      </c>
      <c r="J225" s="4" t="n">
        <v>324</v>
      </c>
      <c r="K225" s="4" t="n">
        <v>0</v>
      </c>
      <c r="L225" s="12" t="n">
        <v>0.486846</v>
      </c>
      <c r="M225" s="12" t="n">
        <v>0.092063</v>
      </c>
      <c r="N225" s="12" t="n">
        <v>0.11813</v>
      </c>
      <c r="O225" s="12" t="n">
        <v>0.106183</v>
      </c>
      <c r="P225" s="12" t="n">
        <v>0.125985</v>
      </c>
      <c r="Q225" s="0" t="str">
        <f aca="false">IF(L225&gt;=Models!$G$5,1+COUNTIF($L$5:$L$1517,"&gt;"&amp;L225)+COUNTIFS($L$5:$L$1517,L225,$B$5:$B$1517,"&lt;"&amp;B225)+COUNTIFS($L$5:$L$1517,L225,$B$5:$B$1517,B225,$C$5:$C$1517,"&lt;"&amp;C225),"")</f>
        <v/>
      </c>
      <c r="R225" s="0" t="str">
        <f aca="false">IF(M225&gt;=Models!$G$6,1+COUNTIF($M$5:$M$1517,"&gt;"&amp;M225)+COUNTIFS($M$5:$M$1517,M225,$B$5:$B$1517,"&lt;"&amp;B225)+COUNTIFS($M$5:$M$1517,M225,$B$5:$B$1517,B225,$C$5:$C$1517,"&lt;"&amp;C225),"")</f>
        <v/>
      </c>
      <c r="S225" s="0" t="str">
        <f aca="false">IF(N225&gt;=Models!$G$7,1+COUNTIF($N$5:$N$1517,"&gt;"&amp;N225)+COUNTIFS($N$5:$N$1517,N225,$B$5:$B$1517,"&lt;"&amp;B225)+COUNTIFS($N$5:$N$1517,N225,$B$5:$B$1517,B225,$C$5:$C$1517,"&lt;"&amp;C225),"")</f>
        <v/>
      </c>
      <c r="T225" s="8" t="n">
        <f aca="false">IF(O225&gt;=Models!$G$8,1+COUNTIF($O$5:$O$1517,"&gt;"&amp;O225)+COUNTIFS($O$5:$O$1517,O225,$B$5:$B$1517,"&lt;"&amp;B225)+COUNTIFS($O$5:$O$1517,O225,$B$5:$B$1517,B225,$C$5:$C$1517,"&lt;"&amp;C225),"")</f>
        <v>831</v>
      </c>
      <c r="U225" s="8" t="n">
        <f aca="false">IF($K225=1,COUNTIFS($L$5:$L$1517,"&gt;="&amp;L225,$K$5:$K$1517,1)/COUNTIF($L$5:$L$1517,"&gt;="&amp;L225),0)</f>
        <v>0</v>
      </c>
      <c r="V225" s="8" t="n">
        <f aca="false">IF($K225=1,COUNTIFS($M$5:$M$1517,"&gt;="&amp;M225,$K$5:$K$1517,1)/COUNTIF($M$5:$M$1517,"&gt;="&amp;M225),0)</f>
        <v>0</v>
      </c>
      <c r="W225" s="8" t="n">
        <f aca="false">IF($K225=1,COUNTIFS($N$5:$N$1517,"&gt;="&amp;N225,$K$5:$K$1517,1)/COUNTIF($N$5:$N$1517,"&gt;="&amp;N225),0)</f>
        <v>0</v>
      </c>
      <c r="X225" s="8" t="n">
        <f aca="false">IF($K225=1,COUNTIFS($O$5:$O$1517,"&gt;="&amp;O225,$K$5:$K$1517,1)/COUNTIF($O$5:$O$1517,"&gt;="&amp;O225),0)</f>
        <v>0</v>
      </c>
      <c r="Y225" s="8" t="n">
        <f aca="false">IF($K225=1,COUNTIFS($P$5:$P$1517,"&gt;="&amp;P225,$K$5:$K$1517,1)/COUNTIF($P$5:$P$1517,"&gt;="&amp;P225),0)</f>
        <v>0</v>
      </c>
      <c r="Z225" s="8" t="n">
        <f aca="false">(L225-$K225)^2</f>
        <v>0.237019027716</v>
      </c>
      <c r="AA225" s="8" t="n">
        <f aca="false">(M225-$K225)^2</f>
        <v>0.008475595969</v>
      </c>
      <c r="AB225" s="8" t="n">
        <f aca="false">(N225-$K225)^2</f>
        <v>0.0139546969</v>
      </c>
      <c r="AC225" s="8" t="n">
        <f aca="false">(O225-$K225)^2</f>
        <v>0.011274829489</v>
      </c>
      <c r="AD225" s="8" t="n">
        <f aca="false">(P225-$K225)^2</f>
        <v>0.015872220225</v>
      </c>
      <c r="AE225" s="8" t="n">
        <f aca="false">MIN(INT(ROUND(N225*1000000,0)/100000),9)</f>
        <v>1</v>
      </c>
      <c r="AF225" s="8" t="n">
        <f aca="false">MIN(INT(ROUND(P225*1000000,0)/100000),9)</f>
        <v>1</v>
      </c>
    </row>
    <row r="226" customFormat="false" ht="15" hidden="false" customHeight="false" outlineLevel="0" collapsed="false">
      <c r="A226" s="4" t="n">
        <v>222</v>
      </c>
      <c r="B226" s="4" t="n">
        <v>1039</v>
      </c>
      <c r="C226" s="4" t="n">
        <v>0</v>
      </c>
      <c r="D226" s="11" t="n">
        <v>46054</v>
      </c>
      <c r="E226" s="4" t="s">
        <v>203</v>
      </c>
      <c r="F226" s="4" t="s">
        <v>206</v>
      </c>
      <c r="G226" s="4" t="n">
        <v>7</v>
      </c>
      <c r="H226" s="4" t="n">
        <v>5</v>
      </c>
      <c r="I226" s="4" t="n">
        <v>0</v>
      </c>
      <c r="J226" s="4"/>
      <c r="K226" s="4" t="n">
        <v>0</v>
      </c>
      <c r="L226" s="12" t="n">
        <v>0.006165</v>
      </c>
      <c r="M226" s="12" t="n">
        <v>0.092063</v>
      </c>
      <c r="N226" s="12" t="n">
        <v>0.047345</v>
      </c>
      <c r="O226" s="12" t="n">
        <v>0.106183</v>
      </c>
      <c r="P226" s="12" t="n">
        <v>0.048539</v>
      </c>
      <c r="Q226" s="0" t="str">
        <f aca="false">IF(L226&gt;=Models!$G$5,1+COUNTIF($L$5:$L$1517,"&gt;"&amp;L226)+COUNTIFS($L$5:$L$1517,L226,$B$5:$B$1517,"&lt;"&amp;B226)+COUNTIFS($L$5:$L$1517,L226,$B$5:$B$1517,B226,$C$5:$C$1517,"&lt;"&amp;C226),"")</f>
        <v/>
      </c>
      <c r="R226" s="0" t="str">
        <f aca="false">IF(M226&gt;=Models!$G$6,1+COUNTIF($M$5:$M$1517,"&gt;"&amp;M226)+COUNTIFS($M$5:$M$1517,M226,$B$5:$B$1517,"&lt;"&amp;B226)+COUNTIFS($M$5:$M$1517,M226,$B$5:$B$1517,B226,$C$5:$C$1517,"&lt;"&amp;C226),"")</f>
        <v/>
      </c>
      <c r="S226" s="0" t="str">
        <f aca="false">IF(N226&gt;=Models!$G$7,1+COUNTIF($N$5:$N$1517,"&gt;"&amp;N226)+COUNTIFS($N$5:$N$1517,N226,$B$5:$B$1517,"&lt;"&amp;B226)+COUNTIFS($N$5:$N$1517,N226,$B$5:$B$1517,B226,$C$5:$C$1517,"&lt;"&amp;C226),"")</f>
        <v/>
      </c>
      <c r="T226" s="8" t="n">
        <f aca="false">IF(O226&gt;=Models!$G$8,1+COUNTIF($O$5:$O$1517,"&gt;"&amp;O226)+COUNTIFS($O$5:$O$1517,O226,$B$5:$B$1517,"&lt;"&amp;B226)+COUNTIFS($O$5:$O$1517,O226,$B$5:$B$1517,B226,$C$5:$C$1517,"&lt;"&amp;C226),"")</f>
        <v>835</v>
      </c>
      <c r="U226" s="8" t="n">
        <f aca="false">IF($K226=1,COUNTIFS($L$5:$L$1517,"&gt;="&amp;L226,$K$5:$K$1517,1)/COUNTIF($L$5:$L$1517,"&gt;="&amp;L226),0)</f>
        <v>0</v>
      </c>
      <c r="V226" s="8" t="n">
        <f aca="false">IF($K226=1,COUNTIFS($M$5:$M$1517,"&gt;="&amp;M226,$K$5:$K$1517,1)/COUNTIF($M$5:$M$1517,"&gt;="&amp;M226),0)</f>
        <v>0</v>
      </c>
      <c r="W226" s="8" t="n">
        <f aca="false">IF($K226=1,COUNTIFS($N$5:$N$1517,"&gt;="&amp;N226,$K$5:$K$1517,1)/COUNTIF($N$5:$N$1517,"&gt;="&amp;N226),0)</f>
        <v>0</v>
      </c>
      <c r="X226" s="8" t="n">
        <f aca="false">IF($K226=1,COUNTIFS($O$5:$O$1517,"&gt;="&amp;O226,$K$5:$K$1517,1)/COUNTIF($O$5:$O$1517,"&gt;="&amp;O226),0)</f>
        <v>0</v>
      </c>
      <c r="Y226" s="8" t="n">
        <f aca="false">IF($K226=1,COUNTIFS($P$5:$P$1517,"&gt;="&amp;P226,$K$5:$K$1517,1)/COUNTIF($P$5:$P$1517,"&gt;="&amp;P226),0)</f>
        <v>0</v>
      </c>
      <c r="Z226" s="8" t="n">
        <f aca="false">(L226-$K226)^2</f>
        <v>3.8007225E-005</v>
      </c>
      <c r="AA226" s="8" t="n">
        <f aca="false">(M226-$K226)^2</f>
        <v>0.008475595969</v>
      </c>
      <c r="AB226" s="8" t="n">
        <f aca="false">(N226-$K226)^2</f>
        <v>0.002241549025</v>
      </c>
      <c r="AC226" s="8" t="n">
        <f aca="false">(O226-$K226)^2</f>
        <v>0.011274829489</v>
      </c>
      <c r="AD226" s="8" t="n">
        <f aca="false">(P226-$K226)^2</f>
        <v>0.002356034521</v>
      </c>
      <c r="AE226" s="8" t="n">
        <f aca="false">MIN(INT(ROUND(N226*1000000,0)/100000),9)</f>
        <v>0</v>
      </c>
      <c r="AF226" s="8" t="n">
        <f aca="false">MIN(INT(ROUND(P226*1000000,0)/100000),9)</f>
        <v>0</v>
      </c>
    </row>
    <row r="227" customFormat="false" ht="15" hidden="false" customHeight="false" outlineLevel="0" collapsed="false">
      <c r="A227" s="4" t="n">
        <v>223</v>
      </c>
      <c r="B227" s="4" t="n">
        <v>1042</v>
      </c>
      <c r="C227" s="4" t="n">
        <v>0</v>
      </c>
      <c r="D227" s="11" t="n">
        <v>46054</v>
      </c>
      <c r="E227" s="4" t="s">
        <v>202</v>
      </c>
      <c r="F227" s="4" t="s">
        <v>206</v>
      </c>
      <c r="G227" s="4" t="n">
        <v>10</v>
      </c>
      <c r="H227" s="4" t="n">
        <v>0</v>
      </c>
      <c r="I227" s="4" t="n">
        <v>0</v>
      </c>
      <c r="J227" s="4"/>
      <c r="K227" s="4" t="n">
        <v>0</v>
      </c>
      <c r="L227" s="12" t="n">
        <v>0.121156</v>
      </c>
      <c r="M227" s="12" t="n">
        <v>0.092063</v>
      </c>
      <c r="N227" s="12" t="n">
        <v>0.035137</v>
      </c>
      <c r="O227" s="12" t="n">
        <v>0.106183</v>
      </c>
      <c r="P227" s="12" t="n">
        <v>0.035524</v>
      </c>
      <c r="Q227" s="0" t="str">
        <f aca="false">IF(L227&gt;=Models!$G$5,1+COUNTIF($L$5:$L$1517,"&gt;"&amp;L227)+COUNTIFS($L$5:$L$1517,L227,$B$5:$B$1517,"&lt;"&amp;B227)+COUNTIFS($L$5:$L$1517,L227,$B$5:$B$1517,B227,$C$5:$C$1517,"&lt;"&amp;C227),"")</f>
        <v/>
      </c>
      <c r="R227" s="0" t="str">
        <f aca="false">IF(M227&gt;=Models!$G$6,1+COUNTIF($M$5:$M$1517,"&gt;"&amp;M227)+COUNTIFS($M$5:$M$1517,M227,$B$5:$B$1517,"&lt;"&amp;B227)+COUNTIFS($M$5:$M$1517,M227,$B$5:$B$1517,B227,$C$5:$C$1517,"&lt;"&amp;C227),"")</f>
        <v/>
      </c>
      <c r="S227" s="0" t="str">
        <f aca="false">IF(N227&gt;=Models!$G$7,1+COUNTIF($N$5:$N$1517,"&gt;"&amp;N227)+COUNTIFS($N$5:$N$1517,N227,$B$5:$B$1517,"&lt;"&amp;B227)+COUNTIFS($N$5:$N$1517,N227,$B$5:$B$1517,B227,$C$5:$C$1517,"&lt;"&amp;C227),"")</f>
        <v/>
      </c>
      <c r="T227" s="8" t="n">
        <f aca="false">IF(O227&gt;=Models!$G$8,1+COUNTIF($O$5:$O$1517,"&gt;"&amp;O227)+COUNTIFS($O$5:$O$1517,O227,$B$5:$B$1517,"&lt;"&amp;B227)+COUNTIFS($O$5:$O$1517,O227,$B$5:$B$1517,B227,$C$5:$C$1517,"&lt;"&amp;C227),"")</f>
        <v>839</v>
      </c>
      <c r="U227" s="8" t="n">
        <f aca="false">IF($K227=1,COUNTIFS($L$5:$L$1517,"&gt;="&amp;L227,$K$5:$K$1517,1)/COUNTIF($L$5:$L$1517,"&gt;="&amp;L227),0)</f>
        <v>0</v>
      </c>
      <c r="V227" s="8" t="n">
        <f aca="false">IF($K227=1,COUNTIFS($M$5:$M$1517,"&gt;="&amp;M227,$K$5:$K$1517,1)/COUNTIF($M$5:$M$1517,"&gt;="&amp;M227),0)</f>
        <v>0</v>
      </c>
      <c r="W227" s="8" t="n">
        <f aca="false">IF($K227=1,COUNTIFS($N$5:$N$1517,"&gt;="&amp;N227,$K$5:$K$1517,1)/COUNTIF($N$5:$N$1517,"&gt;="&amp;N227),0)</f>
        <v>0</v>
      </c>
      <c r="X227" s="8" t="n">
        <f aca="false">IF($K227=1,COUNTIFS($O$5:$O$1517,"&gt;="&amp;O227,$K$5:$K$1517,1)/COUNTIF($O$5:$O$1517,"&gt;="&amp;O227),0)</f>
        <v>0</v>
      </c>
      <c r="Y227" s="8" t="n">
        <f aca="false">IF($K227=1,COUNTIFS($P$5:$P$1517,"&gt;="&amp;P227,$K$5:$K$1517,1)/COUNTIF($P$5:$P$1517,"&gt;="&amp;P227),0)</f>
        <v>0</v>
      </c>
      <c r="Z227" s="8" t="n">
        <f aca="false">(L227-$K227)^2</f>
        <v>0.014678776336</v>
      </c>
      <c r="AA227" s="8" t="n">
        <f aca="false">(M227-$K227)^2</f>
        <v>0.008475595969</v>
      </c>
      <c r="AB227" s="8" t="n">
        <f aca="false">(N227-$K227)^2</f>
        <v>0.001234608769</v>
      </c>
      <c r="AC227" s="8" t="n">
        <f aca="false">(O227-$K227)^2</f>
        <v>0.011274829489</v>
      </c>
      <c r="AD227" s="8" t="n">
        <f aca="false">(P227-$K227)^2</f>
        <v>0.001261954576</v>
      </c>
      <c r="AE227" s="8" t="n">
        <f aca="false">MIN(INT(ROUND(N227*1000000,0)/100000),9)</f>
        <v>0</v>
      </c>
      <c r="AF227" s="8" t="n">
        <f aca="false">MIN(INT(ROUND(P227*1000000,0)/100000),9)</f>
        <v>0</v>
      </c>
    </row>
    <row r="228" customFormat="false" ht="15" hidden="false" customHeight="false" outlineLevel="0" collapsed="false">
      <c r="A228" s="4" t="n">
        <v>224</v>
      </c>
      <c r="B228" s="4" t="n">
        <v>1044</v>
      </c>
      <c r="C228" s="4" t="n">
        <v>0</v>
      </c>
      <c r="D228" s="11" t="n">
        <v>46054</v>
      </c>
      <c r="E228" s="4" t="s">
        <v>204</v>
      </c>
      <c r="F228" s="4" t="s">
        <v>206</v>
      </c>
      <c r="G228" s="4" t="n">
        <v>5</v>
      </c>
      <c r="H228" s="4" t="n">
        <v>0</v>
      </c>
      <c r="I228" s="4" t="n">
        <v>0</v>
      </c>
      <c r="J228" s="4"/>
      <c r="K228" s="4" t="n">
        <v>0</v>
      </c>
      <c r="L228" s="12" t="n">
        <v>0.314364</v>
      </c>
      <c r="M228" s="12" t="n">
        <v>0.092063</v>
      </c>
      <c r="N228" s="12" t="n">
        <v>0.054025</v>
      </c>
      <c r="O228" s="12" t="n">
        <v>0.106183</v>
      </c>
      <c r="P228" s="12" t="n">
        <v>0.055724</v>
      </c>
      <c r="Q228" s="0" t="str">
        <f aca="false">IF(L228&gt;=Models!$G$5,1+COUNTIF($L$5:$L$1517,"&gt;"&amp;L228)+COUNTIFS($L$5:$L$1517,L228,$B$5:$B$1517,"&lt;"&amp;B228)+COUNTIFS($L$5:$L$1517,L228,$B$5:$B$1517,B228,$C$5:$C$1517,"&lt;"&amp;C228),"")</f>
        <v/>
      </c>
      <c r="R228" s="0" t="str">
        <f aca="false">IF(M228&gt;=Models!$G$6,1+COUNTIF($M$5:$M$1517,"&gt;"&amp;M228)+COUNTIFS($M$5:$M$1517,M228,$B$5:$B$1517,"&lt;"&amp;B228)+COUNTIFS($M$5:$M$1517,M228,$B$5:$B$1517,B228,$C$5:$C$1517,"&lt;"&amp;C228),"")</f>
        <v/>
      </c>
      <c r="S228" s="0" t="str">
        <f aca="false">IF(N228&gt;=Models!$G$7,1+COUNTIF($N$5:$N$1517,"&gt;"&amp;N228)+COUNTIFS($N$5:$N$1517,N228,$B$5:$B$1517,"&lt;"&amp;B228)+COUNTIFS($N$5:$N$1517,N228,$B$5:$B$1517,B228,$C$5:$C$1517,"&lt;"&amp;C228),"")</f>
        <v/>
      </c>
      <c r="T228" s="8" t="n">
        <f aca="false">IF(O228&gt;=Models!$G$8,1+COUNTIF($O$5:$O$1517,"&gt;"&amp;O228)+COUNTIFS($O$5:$O$1517,O228,$B$5:$B$1517,"&lt;"&amp;B228)+COUNTIFS($O$5:$O$1517,O228,$B$5:$B$1517,B228,$C$5:$C$1517,"&lt;"&amp;C228),"")</f>
        <v>843</v>
      </c>
      <c r="U228" s="8" t="n">
        <f aca="false">IF($K228=1,COUNTIFS($L$5:$L$1517,"&gt;="&amp;L228,$K$5:$K$1517,1)/COUNTIF($L$5:$L$1517,"&gt;="&amp;L228),0)</f>
        <v>0</v>
      </c>
      <c r="V228" s="8" t="n">
        <f aca="false">IF($K228=1,COUNTIFS($M$5:$M$1517,"&gt;="&amp;M228,$K$5:$K$1517,1)/COUNTIF($M$5:$M$1517,"&gt;="&amp;M228),0)</f>
        <v>0</v>
      </c>
      <c r="W228" s="8" t="n">
        <f aca="false">IF($K228=1,COUNTIFS($N$5:$N$1517,"&gt;="&amp;N228,$K$5:$K$1517,1)/COUNTIF($N$5:$N$1517,"&gt;="&amp;N228),0)</f>
        <v>0</v>
      </c>
      <c r="X228" s="8" t="n">
        <f aca="false">IF($K228=1,COUNTIFS($O$5:$O$1517,"&gt;="&amp;O228,$K$5:$K$1517,1)/COUNTIF($O$5:$O$1517,"&gt;="&amp;O228),0)</f>
        <v>0</v>
      </c>
      <c r="Y228" s="8" t="n">
        <f aca="false">IF($K228=1,COUNTIFS($P$5:$P$1517,"&gt;="&amp;P228,$K$5:$K$1517,1)/COUNTIF($P$5:$P$1517,"&gt;="&amp;P228),0)</f>
        <v>0</v>
      </c>
      <c r="Z228" s="8" t="n">
        <f aca="false">(L228-$K228)^2</f>
        <v>0.098824724496</v>
      </c>
      <c r="AA228" s="8" t="n">
        <f aca="false">(M228-$K228)^2</f>
        <v>0.008475595969</v>
      </c>
      <c r="AB228" s="8" t="n">
        <f aca="false">(N228-$K228)^2</f>
        <v>0.002918700625</v>
      </c>
      <c r="AC228" s="8" t="n">
        <f aca="false">(O228-$K228)^2</f>
        <v>0.011274829489</v>
      </c>
      <c r="AD228" s="8" t="n">
        <f aca="false">(P228-$K228)^2</f>
        <v>0.003105164176</v>
      </c>
      <c r="AE228" s="8" t="n">
        <f aca="false">MIN(INT(ROUND(N228*1000000,0)/100000),9)</f>
        <v>0</v>
      </c>
      <c r="AF228" s="8" t="n">
        <f aca="false">MIN(INT(ROUND(P228*1000000,0)/100000),9)</f>
        <v>0</v>
      </c>
    </row>
    <row r="229" customFormat="false" ht="15" hidden="false" customHeight="false" outlineLevel="0" collapsed="false">
      <c r="A229" s="4" t="n">
        <v>225</v>
      </c>
      <c r="B229" s="4" t="n">
        <v>1048</v>
      </c>
      <c r="C229" s="4" t="n">
        <v>0</v>
      </c>
      <c r="D229" s="11" t="n">
        <v>46054</v>
      </c>
      <c r="E229" s="4" t="s">
        <v>203</v>
      </c>
      <c r="F229" s="4" t="s">
        <v>207</v>
      </c>
      <c r="G229" s="4" t="n">
        <v>3</v>
      </c>
      <c r="H229" s="4" t="n">
        <v>3</v>
      </c>
      <c r="I229" s="4" t="n">
        <v>0</v>
      </c>
      <c r="J229" s="4" t="n">
        <v>414</v>
      </c>
      <c r="K229" s="4" t="n">
        <v>0</v>
      </c>
      <c r="L229" s="12" t="n">
        <v>0.039247</v>
      </c>
      <c r="M229" s="12" t="n">
        <v>0.092063</v>
      </c>
      <c r="N229" s="12" t="n">
        <v>0.12725</v>
      </c>
      <c r="O229" s="12" t="n">
        <v>0.106183</v>
      </c>
      <c r="P229" s="12" t="n">
        <v>0.136092</v>
      </c>
      <c r="Q229" s="0" t="str">
        <f aca="false">IF(L229&gt;=Models!$G$5,1+COUNTIF($L$5:$L$1517,"&gt;"&amp;L229)+COUNTIFS($L$5:$L$1517,L229,$B$5:$B$1517,"&lt;"&amp;B229)+COUNTIFS($L$5:$L$1517,L229,$B$5:$B$1517,B229,$C$5:$C$1517,"&lt;"&amp;C229),"")</f>
        <v/>
      </c>
      <c r="R229" s="0" t="str">
        <f aca="false">IF(M229&gt;=Models!$G$6,1+COUNTIF($M$5:$M$1517,"&gt;"&amp;M229)+COUNTIFS($M$5:$M$1517,M229,$B$5:$B$1517,"&lt;"&amp;B229)+COUNTIFS($M$5:$M$1517,M229,$B$5:$B$1517,B229,$C$5:$C$1517,"&lt;"&amp;C229),"")</f>
        <v/>
      </c>
      <c r="S229" s="0" t="str">
        <f aca="false">IF(N229&gt;=Models!$G$7,1+COUNTIF($N$5:$N$1517,"&gt;"&amp;N229)+COUNTIFS($N$5:$N$1517,N229,$B$5:$B$1517,"&lt;"&amp;B229)+COUNTIFS($N$5:$N$1517,N229,$B$5:$B$1517,B229,$C$5:$C$1517,"&lt;"&amp;C229),"")</f>
        <v/>
      </c>
      <c r="T229" s="8" t="n">
        <f aca="false">IF(O229&gt;=Models!$G$8,1+COUNTIF($O$5:$O$1517,"&gt;"&amp;O229)+COUNTIFS($O$5:$O$1517,O229,$B$5:$B$1517,"&lt;"&amp;B229)+COUNTIFS($O$5:$O$1517,O229,$B$5:$B$1517,B229,$C$5:$C$1517,"&lt;"&amp;C229),"")</f>
        <v>847</v>
      </c>
      <c r="U229" s="8" t="n">
        <f aca="false">IF($K229=1,COUNTIFS($L$5:$L$1517,"&gt;="&amp;L229,$K$5:$K$1517,1)/COUNTIF($L$5:$L$1517,"&gt;="&amp;L229),0)</f>
        <v>0</v>
      </c>
      <c r="V229" s="8" t="n">
        <f aca="false">IF($K229=1,COUNTIFS($M$5:$M$1517,"&gt;="&amp;M229,$K$5:$K$1517,1)/COUNTIF($M$5:$M$1517,"&gt;="&amp;M229),0)</f>
        <v>0</v>
      </c>
      <c r="W229" s="8" t="n">
        <f aca="false">IF($K229=1,COUNTIFS($N$5:$N$1517,"&gt;="&amp;N229,$K$5:$K$1517,1)/COUNTIF($N$5:$N$1517,"&gt;="&amp;N229),0)</f>
        <v>0</v>
      </c>
      <c r="X229" s="8" t="n">
        <f aca="false">IF($K229=1,COUNTIFS($O$5:$O$1517,"&gt;="&amp;O229,$K$5:$K$1517,1)/COUNTIF($O$5:$O$1517,"&gt;="&amp;O229),0)</f>
        <v>0</v>
      </c>
      <c r="Y229" s="8" t="n">
        <f aca="false">IF($K229=1,COUNTIFS($P$5:$P$1517,"&gt;="&amp;P229,$K$5:$K$1517,1)/COUNTIF($P$5:$P$1517,"&gt;="&amp;P229),0)</f>
        <v>0</v>
      </c>
      <c r="Z229" s="8" t="n">
        <f aca="false">(L229-$K229)^2</f>
        <v>0.001540327009</v>
      </c>
      <c r="AA229" s="8" t="n">
        <f aca="false">(M229-$K229)^2</f>
        <v>0.008475595969</v>
      </c>
      <c r="AB229" s="8" t="n">
        <f aca="false">(N229-$K229)^2</f>
        <v>0.0161925625</v>
      </c>
      <c r="AC229" s="8" t="n">
        <f aca="false">(O229-$K229)^2</f>
        <v>0.011274829489</v>
      </c>
      <c r="AD229" s="8" t="n">
        <f aca="false">(P229-$K229)^2</f>
        <v>0.018521032464</v>
      </c>
      <c r="AE229" s="8" t="n">
        <f aca="false">MIN(INT(ROUND(N229*1000000,0)/100000),9)</f>
        <v>1</v>
      </c>
      <c r="AF229" s="8" t="n">
        <f aca="false">MIN(INT(ROUND(P229*1000000,0)/100000),9)</f>
        <v>1</v>
      </c>
    </row>
    <row r="230" customFormat="false" ht="15" hidden="false" customHeight="false" outlineLevel="0" collapsed="false">
      <c r="A230" s="4" t="n">
        <v>226</v>
      </c>
      <c r="B230" s="4" t="n">
        <v>1066</v>
      </c>
      <c r="C230" s="4" t="n">
        <v>0</v>
      </c>
      <c r="D230" s="11" t="n">
        <v>46054</v>
      </c>
      <c r="E230" s="4" t="s">
        <v>203</v>
      </c>
      <c r="F230" s="4" t="s">
        <v>206</v>
      </c>
      <c r="G230" s="4" t="n">
        <v>5</v>
      </c>
      <c r="H230" s="4" t="n">
        <v>10</v>
      </c>
      <c r="I230" s="4" t="n">
        <v>0</v>
      </c>
      <c r="J230" s="4" t="n">
        <v>432</v>
      </c>
      <c r="K230" s="4" t="n">
        <v>0</v>
      </c>
      <c r="L230" s="12" t="n">
        <v>0.681117</v>
      </c>
      <c r="M230" s="12" t="n">
        <v>0.092063</v>
      </c>
      <c r="N230" s="12" t="n">
        <v>0.114137</v>
      </c>
      <c r="O230" s="12" t="n">
        <v>0.106183</v>
      </c>
      <c r="P230" s="12" t="n">
        <v>0.121566</v>
      </c>
      <c r="Q230" s="0" t="str">
        <f aca="false">IF(L230&gt;=Models!$G$5,1+COUNTIF($L$5:$L$1517,"&gt;"&amp;L230)+COUNTIFS($L$5:$L$1517,L230,$B$5:$B$1517,"&lt;"&amp;B230)+COUNTIFS($L$5:$L$1517,L230,$B$5:$B$1517,B230,$C$5:$C$1517,"&lt;"&amp;C230),"")</f>
        <v/>
      </c>
      <c r="R230" s="0" t="str">
        <f aca="false">IF(M230&gt;=Models!$G$6,1+COUNTIF($M$5:$M$1517,"&gt;"&amp;M230)+COUNTIFS($M$5:$M$1517,M230,$B$5:$B$1517,"&lt;"&amp;B230)+COUNTIFS($M$5:$M$1517,M230,$B$5:$B$1517,B230,$C$5:$C$1517,"&lt;"&amp;C230),"")</f>
        <v/>
      </c>
      <c r="S230" s="0" t="str">
        <f aca="false">IF(N230&gt;=Models!$G$7,1+COUNTIF($N$5:$N$1517,"&gt;"&amp;N230)+COUNTIFS($N$5:$N$1517,N230,$B$5:$B$1517,"&lt;"&amp;B230)+COUNTIFS($N$5:$N$1517,N230,$B$5:$B$1517,B230,$C$5:$C$1517,"&lt;"&amp;C230),"")</f>
        <v/>
      </c>
      <c r="T230" s="8" t="n">
        <f aca="false">IF(O230&gt;=Models!$G$8,1+COUNTIF($O$5:$O$1517,"&gt;"&amp;O230)+COUNTIFS($O$5:$O$1517,O230,$B$5:$B$1517,"&lt;"&amp;B230)+COUNTIFS($O$5:$O$1517,O230,$B$5:$B$1517,B230,$C$5:$C$1517,"&lt;"&amp;C230),"")</f>
        <v>851</v>
      </c>
      <c r="U230" s="8" t="n">
        <f aca="false">IF($K230=1,COUNTIFS($L$5:$L$1517,"&gt;="&amp;L230,$K$5:$K$1517,1)/COUNTIF($L$5:$L$1517,"&gt;="&amp;L230),0)</f>
        <v>0</v>
      </c>
      <c r="V230" s="8" t="n">
        <f aca="false">IF($K230=1,COUNTIFS($M$5:$M$1517,"&gt;="&amp;M230,$K$5:$K$1517,1)/COUNTIF($M$5:$M$1517,"&gt;="&amp;M230),0)</f>
        <v>0</v>
      </c>
      <c r="W230" s="8" t="n">
        <f aca="false">IF($K230=1,COUNTIFS($N$5:$N$1517,"&gt;="&amp;N230,$K$5:$K$1517,1)/COUNTIF($N$5:$N$1517,"&gt;="&amp;N230),0)</f>
        <v>0</v>
      </c>
      <c r="X230" s="8" t="n">
        <f aca="false">IF($K230=1,COUNTIFS($O$5:$O$1517,"&gt;="&amp;O230,$K$5:$K$1517,1)/COUNTIF($O$5:$O$1517,"&gt;="&amp;O230),0)</f>
        <v>0</v>
      </c>
      <c r="Y230" s="8" t="n">
        <f aca="false">IF($K230=1,COUNTIFS($P$5:$P$1517,"&gt;="&amp;P230,$K$5:$K$1517,1)/COUNTIF($P$5:$P$1517,"&gt;="&amp;P230),0)</f>
        <v>0</v>
      </c>
      <c r="Z230" s="8" t="n">
        <f aca="false">(L230-$K230)^2</f>
        <v>0.463920367689</v>
      </c>
      <c r="AA230" s="8" t="n">
        <f aca="false">(M230-$K230)^2</f>
        <v>0.008475595969</v>
      </c>
      <c r="AB230" s="8" t="n">
        <f aca="false">(N230-$K230)^2</f>
        <v>0.013027254769</v>
      </c>
      <c r="AC230" s="8" t="n">
        <f aca="false">(O230-$K230)^2</f>
        <v>0.011274829489</v>
      </c>
      <c r="AD230" s="8" t="n">
        <f aca="false">(P230-$K230)^2</f>
        <v>0.014778292356</v>
      </c>
      <c r="AE230" s="8" t="n">
        <f aca="false">MIN(INT(ROUND(N230*1000000,0)/100000),9)</f>
        <v>1</v>
      </c>
      <c r="AF230" s="8" t="n">
        <f aca="false">MIN(INT(ROUND(P230*1000000,0)/100000),9)</f>
        <v>1</v>
      </c>
    </row>
    <row r="231" customFormat="false" ht="15" hidden="false" customHeight="false" outlineLevel="0" collapsed="false">
      <c r="A231" s="4" t="n">
        <v>227</v>
      </c>
      <c r="B231" s="4" t="n">
        <v>1073</v>
      </c>
      <c r="C231" s="4" t="n">
        <v>0</v>
      </c>
      <c r="D231" s="11" t="n">
        <v>46054</v>
      </c>
      <c r="E231" s="4" t="s">
        <v>204</v>
      </c>
      <c r="F231" s="4" t="s">
        <v>209</v>
      </c>
      <c r="G231" s="4" t="n">
        <v>2</v>
      </c>
      <c r="H231" s="4" t="n">
        <v>15</v>
      </c>
      <c r="I231" s="4" t="n">
        <v>0</v>
      </c>
      <c r="J231" s="4" t="n">
        <v>60</v>
      </c>
      <c r="K231" s="4" t="n">
        <v>0</v>
      </c>
      <c r="L231" s="12" t="n">
        <v>0.508673</v>
      </c>
      <c r="M231" s="12" t="n">
        <v>0.092063</v>
      </c>
      <c r="N231" s="12" t="n">
        <v>0.152309</v>
      </c>
      <c r="O231" s="12" t="n">
        <v>0.106183</v>
      </c>
      <c r="P231" s="12" t="n">
        <v>0.163925</v>
      </c>
      <c r="Q231" s="0" t="str">
        <f aca="false">IF(L231&gt;=Models!$G$5,1+COUNTIF($L$5:$L$1517,"&gt;"&amp;L231)+COUNTIFS($L$5:$L$1517,L231,$B$5:$B$1517,"&lt;"&amp;B231)+COUNTIFS($L$5:$L$1517,L231,$B$5:$B$1517,B231,$C$5:$C$1517,"&lt;"&amp;C231),"")</f>
        <v/>
      </c>
      <c r="R231" s="0" t="str">
        <f aca="false">IF(M231&gt;=Models!$G$6,1+COUNTIF($M$5:$M$1517,"&gt;"&amp;M231)+COUNTIFS($M$5:$M$1517,M231,$B$5:$B$1517,"&lt;"&amp;B231)+COUNTIFS($M$5:$M$1517,M231,$B$5:$B$1517,B231,$C$5:$C$1517,"&lt;"&amp;C231),"")</f>
        <v/>
      </c>
      <c r="S231" s="0" t="str">
        <f aca="false">IF(N231&gt;=Models!$G$7,1+COUNTIF($N$5:$N$1517,"&gt;"&amp;N231)+COUNTIFS($N$5:$N$1517,N231,$B$5:$B$1517,"&lt;"&amp;B231)+COUNTIFS($N$5:$N$1517,N231,$B$5:$B$1517,B231,$C$5:$C$1517,"&lt;"&amp;C231),"")</f>
        <v/>
      </c>
      <c r="T231" s="8" t="n">
        <f aca="false">IF(O231&gt;=Models!$G$8,1+COUNTIF($O$5:$O$1517,"&gt;"&amp;O231)+COUNTIFS($O$5:$O$1517,O231,$B$5:$B$1517,"&lt;"&amp;B231)+COUNTIFS($O$5:$O$1517,O231,$B$5:$B$1517,B231,$C$5:$C$1517,"&lt;"&amp;C231),"")</f>
        <v>855</v>
      </c>
      <c r="U231" s="8" t="n">
        <f aca="false">IF($K231=1,COUNTIFS($L$5:$L$1517,"&gt;="&amp;L231,$K$5:$K$1517,1)/COUNTIF($L$5:$L$1517,"&gt;="&amp;L231),0)</f>
        <v>0</v>
      </c>
      <c r="V231" s="8" t="n">
        <f aca="false">IF($K231=1,COUNTIFS($M$5:$M$1517,"&gt;="&amp;M231,$K$5:$K$1517,1)/COUNTIF($M$5:$M$1517,"&gt;="&amp;M231),0)</f>
        <v>0</v>
      </c>
      <c r="W231" s="8" t="n">
        <f aca="false">IF($K231=1,COUNTIFS($N$5:$N$1517,"&gt;="&amp;N231,$K$5:$K$1517,1)/COUNTIF($N$5:$N$1517,"&gt;="&amp;N231),0)</f>
        <v>0</v>
      </c>
      <c r="X231" s="8" t="n">
        <f aca="false">IF($K231=1,COUNTIFS($O$5:$O$1517,"&gt;="&amp;O231,$K$5:$K$1517,1)/COUNTIF($O$5:$O$1517,"&gt;="&amp;O231),0)</f>
        <v>0</v>
      </c>
      <c r="Y231" s="8" t="n">
        <f aca="false">IF($K231=1,COUNTIFS($P$5:$P$1517,"&gt;="&amp;P231,$K$5:$K$1517,1)/COUNTIF($P$5:$P$1517,"&gt;="&amp;P231),0)</f>
        <v>0</v>
      </c>
      <c r="Z231" s="8" t="n">
        <f aca="false">(L231-$K231)^2</f>
        <v>0.258748220929</v>
      </c>
      <c r="AA231" s="8" t="n">
        <f aca="false">(M231-$K231)^2</f>
        <v>0.008475595969</v>
      </c>
      <c r="AB231" s="8" t="n">
        <f aca="false">(N231-$K231)^2</f>
        <v>0.023198031481</v>
      </c>
      <c r="AC231" s="8" t="n">
        <f aca="false">(O231-$K231)^2</f>
        <v>0.011274829489</v>
      </c>
      <c r="AD231" s="8" t="n">
        <f aca="false">(P231-$K231)^2</f>
        <v>0.026871405625</v>
      </c>
      <c r="AE231" s="8" t="n">
        <f aca="false">MIN(INT(ROUND(N231*1000000,0)/100000),9)</f>
        <v>1</v>
      </c>
      <c r="AF231" s="8" t="n">
        <f aca="false">MIN(INT(ROUND(P231*1000000,0)/100000),9)</f>
        <v>1</v>
      </c>
    </row>
    <row r="232" customFormat="false" ht="15" hidden="false" customHeight="false" outlineLevel="0" collapsed="false">
      <c r="A232" s="4" t="n">
        <v>228</v>
      </c>
      <c r="B232" s="4" t="n">
        <v>1076</v>
      </c>
      <c r="C232" s="4" t="n">
        <v>0</v>
      </c>
      <c r="D232" s="11" t="n">
        <v>46054</v>
      </c>
      <c r="E232" s="4" t="s">
        <v>204</v>
      </c>
      <c r="F232" s="4" t="s">
        <v>209</v>
      </c>
      <c r="G232" s="4" t="n">
        <v>5</v>
      </c>
      <c r="H232" s="4" t="n">
        <v>5</v>
      </c>
      <c r="I232" s="4" t="n">
        <v>0</v>
      </c>
      <c r="J232" s="4" t="n">
        <v>117</v>
      </c>
      <c r="K232" s="4" t="n">
        <v>0</v>
      </c>
      <c r="L232" s="12" t="n">
        <v>0.821342</v>
      </c>
      <c r="M232" s="12" t="n">
        <v>0.092063</v>
      </c>
      <c r="N232" s="12" t="n">
        <v>0.111864</v>
      </c>
      <c r="O232" s="12" t="n">
        <v>0.106183</v>
      </c>
      <c r="P232" s="12" t="n">
        <v>0.119051</v>
      </c>
      <c r="Q232" s="0" t="str">
        <f aca="false">IF(L232&gt;=Models!$G$5,1+COUNTIF($L$5:$L$1517,"&gt;"&amp;L232)+COUNTIFS($L$5:$L$1517,L232,$B$5:$B$1517,"&lt;"&amp;B232)+COUNTIFS($L$5:$L$1517,L232,$B$5:$B$1517,B232,$C$5:$C$1517,"&lt;"&amp;C232),"")</f>
        <v/>
      </c>
      <c r="R232" s="0" t="str">
        <f aca="false">IF(M232&gt;=Models!$G$6,1+COUNTIF($M$5:$M$1517,"&gt;"&amp;M232)+COUNTIFS($M$5:$M$1517,M232,$B$5:$B$1517,"&lt;"&amp;B232)+COUNTIFS($M$5:$M$1517,M232,$B$5:$B$1517,B232,$C$5:$C$1517,"&lt;"&amp;C232),"")</f>
        <v/>
      </c>
      <c r="S232" s="0" t="str">
        <f aca="false">IF(N232&gt;=Models!$G$7,1+COUNTIF($N$5:$N$1517,"&gt;"&amp;N232)+COUNTIFS($N$5:$N$1517,N232,$B$5:$B$1517,"&lt;"&amp;B232)+COUNTIFS($N$5:$N$1517,N232,$B$5:$B$1517,B232,$C$5:$C$1517,"&lt;"&amp;C232),"")</f>
        <v/>
      </c>
      <c r="T232" s="8" t="n">
        <f aca="false">IF(O232&gt;=Models!$G$8,1+COUNTIF($O$5:$O$1517,"&gt;"&amp;O232)+COUNTIFS($O$5:$O$1517,O232,$B$5:$B$1517,"&lt;"&amp;B232)+COUNTIFS($O$5:$O$1517,O232,$B$5:$B$1517,B232,$C$5:$C$1517,"&lt;"&amp;C232),"")</f>
        <v>859</v>
      </c>
      <c r="U232" s="8" t="n">
        <f aca="false">IF($K232=1,COUNTIFS($L$5:$L$1517,"&gt;="&amp;L232,$K$5:$K$1517,1)/COUNTIF($L$5:$L$1517,"&gt;="&amp;L232),0)</f>
        <v>0</v>
      </c>
      <c r="V232" s="8" t="n">
        <f aca="false">IF($K232=1,COUNTIFS($M$5:$M$1517,"&gt;="&amp;M232,$K$5:$K$1517,1)/COUNTIF($M$5:$M$1517,"&gt;="&amp;M232),0)</f>
        <v>0</v>
      </c>
      <c r="W232" s="8" t="n">
        <f aca="false">IF($K232=1,COUNTIFS($N$5:$N$1517,"&gt;="&amp;N232,$K$5:$K$1517,1)/COUNTIF($N$5:$N$1517,"&gt;="&amp;N232),0)</f>
        <v>0</v>
      </c>
      <c r="X232" s="8" t="n">
        <f aca="false">IF($K232=1,COUNTIFS($O$5:$O$1517,"&gt;="&amp;O232,$K$5:$K$1517,1)/COUNTIF($O$5:$O$1517,"&gt;="&amp;O232),0)</f>
        <v>0</v>
      </c>
      <c r="Y232" s="8" t="n">
        <f aca="false">IF($K232=1,COUNTIFS($P$5:$P$1517,"&gt;="&amp;P232,$K$5:$K$1517,1)/COUNTIF($P$5:$P$1517,"&gt;="&amp;P232),0)</f>
        <v>0</v>
      </c>
      <c r="Z232" s="8" t="n">
        <f aca="false">(L232-$K232)^2</f>
        <v>0.674602680964</v>
      </c>
      <c r="AA232" s="8" t="n">
        <f aca="false">(M232-$K232)^2</f>
        <v>0.008475595969</v>
      </c>
      <c r="AB232" s="8" t="n">
        <f aca="false">(N232-$K232)^2</f>
        <v>0.012513554496</v>
      </c>
      <c r="AC232" s="8" t="n">
        <f aca="false">(O232-$K232)^2</f>
        <v>0.011274829489</v>
      </c>
      <c r="AD232" s="8" t="n">
        <f aca="false">(P232-$K232)^2</f>
        <v>0.014173140601</v>
      </c>
      <c r="AE232" s="8" t="n">
        <f aca="false">MIN(INT(ROUND(N232*1000000,0)/100000),9)</f>
        <v>1</v>
      </c>
      <c r="AF232" s="8" t="n">
        <f aca="false">MIN(INT(ROUND(P232*1000000,0)/100000),9)</f>
        <v>1</v>
      </c>
    </row>
    <row r="233" customFormat="false" ht="15" hidden="false" customHeight="false" outlineLevel="0" collapsed="false">
      <c r="A233" s="4" t="n">
        <v>229</v>
      </c>
      <c r="B233" s="4" t="n">
        <v>1080</v>
      </c>
      <c r="C233" s="4" t="n">
        <v>0</v>
      </c>
      <c r="D233" s="11" t="n">
        <v>46054</v>
      </c>
      <c r="E233" s="4" t="s">
        <v>202</v>
      </c>
      <c r="F233" s="4" t="s">
        <v>209</v>
      </c>
      <c r="G233" s="4" t="n">
        <v>7</v>
      </c>
      <c r="H233" s="4" t="n">
        <v>2</v>
      </c>
      <c r="I233" s="4" t="n">
        <v>0</v>
      </c>
      <c r="J233" s="4"/>
      <c r="K233" s="4" t="n">
        <v>0</v>
      </c>
      <c r="L233" s="12" t="n">
        <v>0.486592</v>
      </c>
      <c r="M233" s="12" t="n">
        <v>0.092063</v>
      </c>
      <c r="N233" s="12" t="n">
        <v>0.046248</v>
      </c>
      <c r="O233" s="12" t="n">
        <v>0.106183</v>
      </c>
      <c r="P233" s="12" t="n">
        <v>0.047363</v>
      </c>
      <c r="Q233" s="0" t="str">
        <f aca="false">IF(L233&gt;=Models!$G$5,1+COUNTIF($L$5:$L$1517,"&gt;"&amp;L233)+COUNTIFS($L$5:$L$1517,L233,$B$5:$B$1517,"&lt;"&amp;B233)+COUNTIFS($L$5:$L$1517,L233,$B$5:$B$1517,B233,$C$5:$C$1517,"&lt;"&amp;C233),"")</f>
        <v/>
      </c>
      <c r="R233" s="0" t="str">
        <f aca="false">IF(M233&gt;=Models!$G$6,1+COUNTIF($M$5:$M$1517,"&gt;"&amp;M233)+COUNTIFS($M$5:$M$1517,M233,$B$5:$B$1517,"&lt;"&amp;B233)+COUNTIFS($M$5:$M$1517,M233,$B$5:$B$1517,B233,$C$5:$C$1517,"&lt;"&amp;C233),"")</f>
        <v/>
      </c>
      <c r="S233" s="0" t="str">
        <f aca="false">IF(N233&gt;=Models!$G$7,1+COUNTIF($N$5:$N$1517,"&gt;"&amp;N233)+COUNTIFS($N$5:$N$1517,N233,$B$5:$B$1517,"&lt;"&amp;B233)+COUNTIFS($N$5:$N$1517,N233,$B$5:$B$1517,B233,$C$5:$C$1517,"&lt;"&amp;C233),"")</f>
        <v/>
      </c>
      <c r="T233" s="8" t="n">
        <f aca="false">IF(O233&gt;=Models!$G$8,1+COUNTIF($O$5:$O$1517,"&gt;"&amp;O233)+COUNTIFS($O$5:$O$1517,O233,$B$5:$B$1517,"&lt;"&amp;B233)+COUNTIFS($O$5:$O$1517,O233,$B$5:$B$1517,B233,$C$5:$C$1517,"&lt;"&amp;C233),"")</f>
        <v>863</v>
      </c>
      <c r="U233" s="8" t="n">
        <f aca="false">IF($K233=1,COUNTIFS($L$5:$L$1517,"&gt;="&amp;L233,$K$5:$K$1517,1)/COUNTIF($L$5:$L$1517,"&gt;="&amp;L233),0)</f>
        <v>0</v>
      </c>
      <c r="V233" s="8" t="n">
        <f aca="false">IF($K233=1,COUNTIFS($M$5:$M$1517,"&gt;="&amp;M233,$K$5:$K$1517,1)/COUNTIF($M$5:$M$1517,"&gt;="&amp;M233),0)</f>
        <v>0</v>
      </c>
      <c r="W233" s="8" t="n">
        <f aca="false">IF($K233=1,COUNTIFS($N$5:$N$1517,"&gt;="&amp;N233,$K$5:$K$1517,1)/COUNTIF($N$5:$N$1517,"&gt;="&amp;N233),0)</f>
        <v>0</v>
      </c>
      <c r="X233" s="8" t="n">
        <f aca="false">IF($K233=1,COUNTIFS($O$5:$O$1517,"&gt;="&amp;O233,$K$5:$K$1517,1)/COUNTIF($O$5:$O$1517,"&gt;="&amp;O233),0)</f>
        <v>0</v>
      </c>
      <c r="Y233" s="8" t="n">
        <f aca="false">IF($K233=1,COUNTIFS($P$5:$P$1517,"&gt;="&amp;P233,$K$5:$K$1517,1)/COUNTIF($P$5:$P$1517,"&gt;="&amp;P233),0)</f>
        <v>0</v>
      </c>
      <c r="Z233" s="8" t="n">
        <f aca="false">(L233-$K233)^2</f>
        <v>0.236771774464</v>
      </c>
      <c r="AA233" s="8" t="n">
        <f aca="false">(M233-$K233)^2</f>
        <v>0.008475595969</v>
      </c>
      <c r="AB233" s="8" t="n">
        <f aca="false">(N233-$K233)^2</f>
        <v>0.002138877504</v>
      </c>
      <c r="AC233" s="8" t="n">
        <f aca="false">(O233-$K233)^2</f>
        <v>0.011274829489</v>
      </c>
      <c r="AD233" s="8" t="n">
        <f aca="false">(P233-$K233)^2</f>
        <v>0.002243253769</v>
      </c>
      <c r="AE233" s="8" t="n">
        <f aca="false">MIN(INT(ROUND(N233*1000000,0)/100000),9)</f>
        <v>0</v>
      </c>
      <c r="AF233" s="8" t="n">
        <f aca="false">MIN(INT(ROUND(P233*1000000,0)/100000),9)</f>
        <v>0</v>
      </c>
    </row>
    <row r="234" customFormat="false" ht="15" hidden="false" customHeight="false" outlineLevel="0" collapsed="false">
      <c r="A234" s="4" t="n">
        <v>230</v>
      </c>
      <c r="B234" s="4" t="n">
        <v>1091</v>
      </c>
      <c r="C234" s="4" t="n">
        <v>0</v>
      </c>
      <c r="D234" s="11" t="n">
        <v>46054</v>
      </c>
      <c r="E234" s="4" t="s">
        <v>204</v>
      </c>
      <c r="F234" s="4" t="s">
        <v>208</v>
      </c>
      <c r="G234" s="4" t="n">
        <v>2</v>
      </c>
      <c r="H234" s="4" t="n">
        <v>0</v>
      </c>
      <c r="I234" s="4" t="n">
        <v>0</v>
      </c>
      <c r="J234" s="4" t="n">
        <v>69</v>
      </c>
      <c r="K234" s="4" t="n">
        <v>0</v>
      </c>
      <c r="L234" s="12" t="n">
        <v>0.117255</v>
      </c>
      <c r="M234" s="12" t="n">
        <v>0.092063</v>
      </c>
      <c r="N234" s="12" t="n">
        <v>0.137045</v>
      </c>
      <c r="O234" s="12" t="n">
        <v>0.106183</v>
      </c>
      <c r="P234" s="12" t="n">
        <v>0.146962</v>
      </c>
      <c r="Q234" s="0" t="str">
        <f aca="false">IF(L234&gt;=Models!$G$5,1+COUNTIF($L$5:$L$1517,"&gt;"&amp;L234)+COUNTIFS($L$5:$L$1517,L234,$B$5:$B$1517,"&lt;"&amp;B234)+COUNTIFS($L$5:$L$1517,L234,$B$5:$B$1517,B234,$C$5:$C$1517,"&lt;"&amp;C234),"")</f>
        <v/>
      </c>
      <c r="R234" s="0" t="str">
        <f aca="false">IF(M234&gt;=Models!$G$6,1+COUNTIF($M$5:$M$1517,"&gt;"&amp;M234)+COUNTIFS($M$5:$M$1517,M234,$B$5:$B$1517,"&lt;"&amp;B234)+COUNTIFS($M$5:$M$1517,M234,$B$5:$B$1517,B234,$C$5:$C$1517,"&lt;"&amp;C234),"")</f>
        <v/>
      </c>
      <c r="S234" s="0" t="str">
        <f aca="false">IF(N234&gt;=Models!$G$7,1+COUNTIF($N$5:$N$1517,"&gt;"&amp;N234)+COUNTIFS($N$5:$N$1517,N234,$B$5:$B$1517,"&lt;"&amp;B234)+COUNTIFS($N$5:$N$1517,N234,$B$5:$B$1517,B234,$C$5:$C$1517,"&lt;"&amp;C234),"")</f>
        <v/>
      </c>
      <c r="T234" s="8" t="n">
        <f aca="false">IF(O234&gt;=Models!$G$8,1+COUNTIF($O$5:$O$1517,"&gt;"&amp;O234)+COUNTIFS($O$5:$O$1517,O234,$B$5:$B$1517,"&lt;"&amp;B234)+COUNTIFS($O$5:$O$1517,O234,$B$5:$B$1517,B234,$C$5:$C$1517,"&lt;"&amp;C234),"")</f>
        <v>867</v>
      </c>
      <c r="U234" s="8" t="n">
        <f aca="false">IF($K234=1,COUNTIFS($L$5:$L$1517,"&gt;="&amp;L234,$K$5:$K$1517,1)/COUNTIF($L$5:$L$1517,"&gt;="&amp;L234),0)</f>
        <v>0</v>
      </c>
      <c r="V234" s="8" t="n">
        <f aca="false">IF($K234=1,COUNTIFS($M$5:$M$1517,"&gt;="&amp;M234,$K$5:$K$1517,1)/COUNTIF($M$5:$M$1517,"&gt;="&amp;M234),0)</f>
        <v>0</v>
      </c>
      <c r="W234" s="8" t="n">
        <f aca="false">IF($K234=1,COUNTIFS($N$5:$N$1517,"&gt;="&amp;N234,$K$5:$K$1517,1)/COUNTIF($N$5:$N$1517,"&gt;="&amp;N234),0)</f>
        <v>0</v>
      </c>
      <c r="X234" s="8" t="n">
        <f aca="false">IF($K234=1,COUNTIFS($O$5:$O$1517,"&gt;="&amp;O234,$K$5:$K$1517,1)/COUNTIF($O$5:$O$1517,"&gt;="&amp;O234),0)</f>
        <v>0</v>
      </c>
      <c r="Y234" s="8" t="n">
        <f aca="false">IF($K234=1,COUNTIFS($P$5:$P$1517,"&gt;="&amp;P234,$K$5:$K$1517,1)/COUNTIF($P$5:$P$1517,"&gt;="&amp;P234),0)</f>
        <v>0</v>
      </c>
      <c r="Z234" s="8" t="n">
        <f aca="false">(L234-$K234)^2</f>
        <v>0.013748735025</v>
      </c>
      <c r="AA234" s="8" t="n">
        <f aca="false">(M234-$K234)^2</f>
        <v>0.008475595969</v>
      </c>
      <c r="AB234" s="8" t="n">
        <f aca="false">(N234-$K234)^2</f>
        <v>0.018781332025</v>
      </c>
      <c r="AC234" s="8" t="n">
        <f aca="false">(O234-$K234)^2</f>
        <v>0.011274829489</v>
      </c>
      <c r="AD234" s="8" t="n">
        <f aca="false">(P234-$K234)^2</f>
        <v>0.021597829444</v>
      </c>
      <c r="AE234" s="8" t="n">
        <f aca="false">MIN(INT(ROUND(N234*1000000,0)/100000),9)</f>
        <v>1</v>
      </c>
      <c r="AF234" s="8" t="n">
        <f aca="false">MIN(INT(ROUND(P234*1000000,0)/100000),9)</f>
        <v>1</v>
      </c>
    </row>
    <row r="235" customFormat="false" ht="15" hidden="false" customHeight="false" outlineLevel="0" collapsed="false">
      <c r="A235" s="4" t="n">
        <v>231</v>
      </c>
      <c r="B235" s="4" t="n">
        <v>1092</v>
      </c>
      <c r="C235" s="4" t="n">
        <v>0</v>
      </c>
      <c r="D235" s="11" t="n">
        <v>46054</v>
      </c>
      <c r="E235" s="4" t="s">
        <v>204</v>
      </c>
      <c r="F235" s="4" t="s">
        <v>208</v>
      </c>
      <c r="G235" s="4" t="n">
        <v>0</v>
      </c>
      <c r="H235" s="4" t="n">
        <v>35</v>
      </c>
      <c r="I235" s="4" t="n">
        <v>1</v>
      </c>
      <c r="J235" s="4" t="n">
        <v>87</v>
      </c>
      <c r="K235" s="4" t="n">
        <v>1</v>
      </c>
      <c r="L235" s="12" t="n">
        <v>0.947229</v>
      </c>
      <c r="M235" s="12" t="n">
        <v>0.184211</v>
      </c>
      <c r="N235" s="12" t="n">
        <v>0.314695</v>
      </c>
      <c r="O235" s="12" t="n">
        <v>0.106183</v>
      </c>
      <c r="P235" s="12" t="n">
        <v>0.343818</v>
      </c>
      <c r="Q235" s="0" t="str">
        <f aca="false">IF(L235&gt;=Models!$G$5,1+COUNTIF($L$5:$L$1517,"&gt;"&amp;L235)+COUNTIFS($L$5:$L$1517,L235,$B$5:$B$1517,"&lt;"&amp;B235)+COUNTIFS($L$5:$L$1517,L235,$B$5:$B$1517,B235,$C$5:$C$1517,"&lt;"&amp;C235),"")</f>
        <v/>
      </c>
      <c r="R235" s="8" t="n">
        <f aca="false">IF(M235&gt;=Models!$G$6,1+COUNTIF($M$5:$M$1517,"&gt;"&amp;M235)+COUNTIFS($M$5:$M$1517,M235,$B$5:$B$1517,"&lt;"&amp;B235)+COUNTIFS($M$5:$M$1517,M235,$B$5:$B$1517,B235,$C$5:$C$1517,"&lt;"&amp;C235),"")</f>
        <v>100</v>
      </c>
      <c r="S235" s="8" t="n">
        <f aca="false">IF(N235&gt;=Models!$G$7,1+COUNTIF($N$5:$N$1517,"&gt;"&amp;N235)+COUNTIFS($N$5:$N$1517,N235,$B$5:$B$1517,"&lt;"&amp;B235)+COUNTIFS($N$5:$N$1517,N235,$B$5:$B$1517,B235,$C$5:$C$1517,"&lt;"&amp;C235),"")</f>
        <v>6</v>
      </c>
      <c r="T235" s="8" t="n">
        <f aca="false">IF(O235&gt;=Models!$G$8,1+COUNTIF($O$5:$O$1517,"&gt;"&amp;O235)+COUNTIFS($O$5:$O$1517,O235,$B$5:$B$1517,"&lt;"&amp;B235)+COUNTIFS($O$5:$O$1517,O235,$B$5:$B$1517,B235,$C$5:$C$1517,"&lt;"&amp;C235),"")</f>
        <v>871</v>
      </c>
      <c r="U235" s="8" t="n">
        <f aca="false">IF($K235=1,COUNTIFS($L$5:$L$1517,"&gt;="&amp;L235,$K$5:$K$1517,1)/COUNTIF($L$5:$L$1517,"&gt;="&amp;L235),0)</f>
        <v>0.0843373493975904</v>
      </c>
      <c r="V235" s="8" t="n">
        <f aca="false">IF($K235=1,COUNTIFS($M$5:$M$1517,"&gt;="&amp;M235,$K$5:$K$1517,1)/COUNTIF($M$5:$M$1517,"&gt;="&amp;M235),0)</f>
        <v>0.186528497409326</v>
      </c>
      <c r="W235" s="8" t="n">
        <f aca="false">IF($K235=1,COUNTIFS($N$5:$N$1517,"&gt;="&amp;N235,$K$5:$K$1517,1)/COUNTIF($N$5:$N$1517,"&gt;="&amp;N235),0)</f>
        <v>0.166666666666667</v>
      </c>
      <c r="X235" s="8" t="n">
        <f aca="false">IF($K235=1,COUNTIFS($O$5:$O$1517,"&gt;="&amp;O235,$K$5:$K$1517,1)/COUNTIF($O$5:$O$1517,"&gt;="&amp;O235),0)</f>
        <v>0.12491738268341</v>
      </c>
      <c r="Y235" s="8" t="n">
        <f aca="false">IF($K235=1,COUNTIFS($P$5:$P$1517,"&gt;="&amp;P235,$K$5:$K$1517,1)/COUNTIF($P$5:$P$1517,"&gt;="&amp;P235),0)</f>
        <v>0.166666666666667</v>
      </c>
      <c r="Z235" s="8" t="n">
        <f aca="false">(L235-$K235)^2</f>
        <v>0.002784778441</v>
      </c>
      <c r="AA235" s="8" t="n">
        <f aca="false">(M235-$K235)^2</f>
        <v>0.665511692521</v>
      </c>
      <c r="AB235" s="8" t="n">
        <f aca="false">(N235-$K235)^2</f>
        <v>0.469642943025</v>
      </c>
      <c r="AC235" s="8" t="n">
        <f aca="false">(O235-$K235)^2</f>
        <v>0.798908829489</v>
      </c>
      <c r="AD235" s="8" t="n">
        <f aca="false">(P235-$K235)^2</f>
        <v>0.430574817124</v>
      </c>
      <c r="AE235" s="8" t="n">
        <f aca="false">MIN(INT(ROUND(N235*1000000,0)/100000),9)</f>
        <v>3</v>
      </c>
      <c r="AF235" s="8" t="n">
        <f aca="false">MIN(INT(ROUND(P235*1000000,0)/100000),9)</f>
        <v>3</v>
      </c>
    </row>
    <row r="236" customFormat="false" ht="15" hidden="false" customHeight="false" outlineLevel="0" collapsed="false">
      <c r="A236" s="4" t="n">
        <v>232</v>
      </c>
      <c r="B236" s="4" t="n">
        <v>1094</v>
      </c>
      <c r="C236" s="4" t="n">
        <v>0</v>
      </c>
      <c r="D236" s="11" t="n">
        <v>46054</v>
      </c>
      <c r="E236" s="4" t="s">
        <v>202</v>
      </c>
      <c r="F236" s="4" t="s">
        <v>210</v>
      </c>
      <c r="G236" s="4" t="n">
        <v>13</v>
      </c>
      <c r="H236" s="4" t="n">
        <v>0</v>
      </c>
      <c r="I236" s="4" t="n">
        <v>0</v>
      </c>
      <c r="J236" s="4" t="n">
        <v>1746</v>
      </c>
      <c r="K236" s="4" t="n">
        <v>0</v>
      </c>
      <c r="L236" s="12" t="n">
        <v>0.868935</v>
      </c>
      <c r="M236" s="12" t="n">
        <v>0.092063</v>
      </c>
      <c r="N236" s="12" t="n">
        <v>0.050818</v>
      </c>
      <c r="O236" s="12" t="n">
        <v>0.106183</v>
      </c>
      <c r="P236" s="12" t="n">
        <v>0.05227</v>
      </c>
      <c r="Q236" s="0" t="str">
        <f aca="false">IF(L236&gt;=Models!$G$5,1+COUNTIF($L$5:$L$1517,"&gt;"&amp;L236)+COUNTIFS($L$5:$L$1517,L236,$B$5:$B$1517,"&lt;"&amp;B236)+COUNTIFS($L$5:$L$1517,L236,$B$5:$B$1517,B236,$C$5:$C$1517,"&lt;"&amp;C236),"")</f>
        <v/>
      </c>
      <c r="R236" s="0" t="str">
        <f aca="false">IF(M236&gt;=Models!$G$6,1+COUNTIF($M$5:$M$1517,"&gt;"&amp;M236)+COUNTIFS($M$5:$M$1517,M236,$B$5:$B$1517,"&lt;"&amp;B236)+COUNTIFS($M$5:$M$1517,M236,$B$5:$B$1517,B236,$C$5:$C$1517,"&lt;"&amp;C236),"")</f>
        <v/>
      </c>
      <c r="S236" s="0" t="str">
        <f aca="false">IF(N236&gt;=Models!$G$7,1+COUNTIF($N$5:$N$1517,"&gt;"&amp;N236)+COUNTIFS($N$5:$N$1517,N236,$B$5:$B$1517,"&lt;"&amp;B236)+COUNTIFS($N$5:$N$1517,N236,$B$5:$B$1517,B236,$C$5:$C$1517,"&lt;"&amp;C236),"")</f>
        <v/>
      </c>
      <c r="T236" s="8" t="n">
        <f aca="false">IF(O236&gt;=Models!$G$8,1+COUNTIF($O$5:$O$1517,"&gt;"&amp;O236)+COUNTIFS($O$5:$O$1517,O236,$B$5:$B$1517,"&lt;"&amp;B236)+COUNTIFS($O$5:$O$1517,O236,$B$5:$B$1517,B236,$C$5:$C$1517,"&lt;"&amp;C236),"")</f>
        <v>874</v>
      </c>
      <c r="U236" s="8" t="n">
        <f aca="false">IF($K236=1,COUNTIFS($L$5:$L$1517,"&gt;="&amp;L236,$K$5:$K$1517,1)/COUNTIF($L$5:$L$1517,"&gt;="&amp;L236),0)</f>
        <v>0</v>
      </c>
      <c r="V236" s="8" t="n">
        <f aca="false">IF($K236=1,COUNTIFS($M$5:$M$1517,"&gt;="&amp;M236,$K$5:$K$1517,1)/COUNTIF($M$5:$M$1517,"&gt;="&amp;M236),0)</f>
        <v>0</v>
      </c>
      <c r="W236" s="8" t="n">
        <f aca="false">IF($K236=1,COUNTIFS($N$5:$N$1517,"&gt;="&amp;N236,$K$5:$K$1517,1)/COUNTIF($N$5:$N$1517,"&gt;="&amp;N236),0)</f>
        <v>0</v>
      </c>
      <c r="X236" s="8" t="n">
        <f aca="false">IF($K236=1,COUNTIFS($O$5:$O$1517,"&gt;="&amp;O236,$K$5:$K$1517,1)/COUNTIF($O$5:$O$1517,"&gt;="&amp;O236),0)</f>
        <v>0</v>
      </c>
      <c r="Y236" s="8" t="n">
        <f aca="false">IF($K236=1,COUNTIFS($P$5:$P$1517,"&gt;="&amp;P236,$K$5:$K$1517,1)/COUNTIF($P$5:$P$1517,"&gt;="&amp;P236),0)</f>
        <v>0</v>
      </c>
      <c r="Z236" s="8" t="n">
        <f aca="false">(L236-$K236)^2</f>
        <v>0.755048034225</v>
      </c>
      <c r="AA236" s="8" t="n">
        <f aca="false">(M236-$K236)^2</f>
        <v>0.008475595969</v>
      </c>
      <c r="AB236" s="8" t="n">
        <f aca="false">(N236-$K236)^2</f>
        <v>0.002582469124</v>
      </c>
      <c r="AC236" s="8" t="n">
        <f aca="false">(O236-$K236)^2</f>
        <v>0.011274829489</v>
      </c>
      <c r="AD236" s="8" t="n">
        <f aca="false">(P236-$K236)^2</f>
        <v>0.0027321529</v>
      </c>
      <c r="AE236" s="8" t="n">
        <f aca="false">MIN(INT(ROUND(N236*1000000,0)/100000),9)</f>
        <v>0</v>
      </c>
      <c r="AF236" s="8" t="n">
        <f aca="false">MIN(INT(ROUND(P236*1000000,0)/100000),9)</f>
        <v>0</v>
      </c>
    </row>
    <row r="237" customFormat="false" ht="15" hidden="false" customHeight="false" outlineLevel="0" collapsed="false">
      <c r="A237" s="4" t="n">
        <v>233</v>
      </c>
      <c r="B237" s="4" t="n">
        <v>1096</v>
      </c>
      <c r="C237" s="4" t="n">
        <v>0</v>
      </c>
      <c r="D237" s="11" t="n">
        <v>46054</v>
      </c>
      <c r="E237" s="4" t="s">
        <v>203</v>
      </c>
      <c r="F237" s="4" t="s">
        <v>206</v>
      </c>
      <c r="G237" s="4" t="n">
        <v>4</v>
      </c>
      <c r="H237" s="4" t="n">
        <v>3</v>
      </c>
      <c r="I237" s="4" t="n">
        <v>0</v>
      </c>
      <c r="J237" s="4" t="n">
        <v>333</v>
      </c>
      <c r="K237" s="4" t="n">
        <v>0</v>
      </c>
      <c r="L237" s="12" t="n">
        <v>0.74478</v>
      </c>
      <c r="M237" s="12" t="n">
        <v>0.092063</v>
      </c>
      <c r="N237" s="12" t="n">
        <v>0.118076</v>
      </c>
      <c r="O237" s="12" t="n">
        <v>0.106183</v>
      </c>
      <c r="P237" s="12" t="n">
        <v>0.125925</v>
      </c>
      <c r="Q237" s="0" t="str">
        <f aca="false">IF(L237&gt;=Models!$G$5,1+COUNTIF($L$5:$L$1517,"&gt;"&amp;L237)+COUNTIFS($L$5:$L$1517,L237,$B$5:$B$1517,"&lt;"&amp;B237)+COUNTIFS($L$5:$L$1517,L237,$B$5:$B$1517,B237,$C$5:$C$1517,"&lt;"&amp;C237),"")</f>
        <v/>
      </c>
      <c r="R237" s="0" t="str">
        <f aca="false">IF(M237&gt;=Models!$G$6,1+COUNTIF($M$5:$M$1517,"&gt;"&amp;M237)+COUNTIFS($M$5:$M$1517,M237,$B$5:$B$1517,"&lt;"&amp;B237)+COUNTIFS($M$5:$M$1517,M237,$B$5:$B$1517,B237,$C$5:$C$1517,"&lt;"&amp;C237),"")</f>
        <v/>
      </c>
      <c r="S237" s="0" t="str">
        <f aca="false">IF(N237&gt;=Models!$G$7,1+COUNTIF($N$5:$N$1517,"&gt;"&amp;N237)+COUNTIFS($N$5:$N$1517,N237,$B$5:$B$1517,"&lt;"&amp;B237)+COUNTIFS($N$5:$N$1517,N237,$B$5:$B$1517,B237,$C$5:$C$1517,"&lt;"&amp;C237),"")</f>
        <v/>
      </c>
      <c r="T237" s="8" t="n">
        <f aca="false">IF(O237&gt;=Models!$G$8,1+COUNTIF($O$5:$O$1517,"&gt;"&amp;O237)+COUNTIFS($O$5:$O$1517,O237,$B$5:$B$1517,"&lt;"&amp;B237)+COUNTIFS($O$5:$O$1517,O237,$B$5:$B$1517,B237,$C$5:$C$1517,"&lt;"&amp;C237),"")</f>
        <v>878</v>
      </c>
      <c r="U237" s="8" t="n">
        <f aca="false">IF($K237=1,COUNTIFS($L$5:$L$1517,"&gt;="&amp;L237,$K$5:$K$1517,1)/COUNTIF($L$5:$L$1517,"&gt;="&amp;L237),0)</f>
        <v>0</v>
      </c>
      <c r="V237" s="8" t="n">
        <f aca="false">IF($K237=1,COUNTIFS($M$5:$M$1517,"&gt;="&amp;M237,$K$5:$K$1517,1)/COUNTIF($M$5:$M$1517,"&gt;="&amp;M237),0)</f>
        <v>0</v>
      </c>
      <c r="W237" s="8" t="n">
        <f aca="false">IF($K237=1,COUNTIFS($N$5:$N$1517,"&gt;="&amp;N237,$K$5:$K$1517,1)/COUNTIF($N$5:$N$1517,"&gt;="&amp;N237),0)</f>
        <v>0</v>
      </c>
      <c r="X237" s="8" t="n">
        <f aca="false">IF($K237=1,COUNTIFS($O$5:$O$1517,"&gt;="&amp;O237,$K$5:$K$1517,1)/COUNTIF($O$5:$O$1517,"&gt;="&amp;O237),0)</f>
        <v>0</v>
      </c>
      <c r="Y237" s="8" t="n">
        <f aca="false">IF($K237=1,COUNTIFS($P$5:$P$1517,"&gt;="&amp;P237,$K$5:$K$1517,1)/COUNTIF($P$5:$P$1517,"&gt;="&amp;P237),0)</f>
        <v>0</v>
      </c>
      <c r="Z237" s="8" t="n">
        <f aca="false">(L237-$K237)^2</f>
        <v>0.5546972484</v>
      </c>
      <c r="AA237" s="8" t="n">
        <f aca="false">(M237-$K237)^2</f>
        <v>0.008475595969</v>
      </c>
      <c r="AB237" s="8" t="n">
        <f aca="false">(N237-$K237)^2</f>
        <v>0.013941941776</v>
      </c>
      <c r="AC237" s="8" t="n">
        <f aca="false">(O237-$K237)^2</f>
        <v>0.011274829489</v>
      </c>
      <c r="AD237" s="8" t="n">
        <f aca="false">(P237-$K237)^2</f>
        <v>0.015857105625</v>
      </c>
      <c r="AE237" s="8" t="n">
        <f aca="false">MIN(INT(ROUND(N237*1000000,0)/100000),9)</f>
        <v>1</v>
      </c>
      <c r="AF237" s="8" t="n">
        <f aca="false">MIN(INT(ROUND(P237*1000000,0)/100000),9)</f>
        <v>1</v>
      </c>
    </row>
    <row r="238" customFormat="false" ht="15" hidden="false" customHeight="false" outlineLevel="0" collapsed="false">
      <c r="A238" s="4" t="n">
        <v>234</v>
      </c>
      <c r="B238" s="4" t="n">
        <v>1101</v>
      </c>
      <c r="C238" s="4" t="n">
        <v>0</v>
      </c>
      <c r="D238" s="11" t="n">
        <v>46054</v>
      </c>
      <c r="E238" s="4" t="s">
        <v>203</v>
      </c>
      <c r="F238" s="4" t="s">
        <v>209</v>
      </c>
      <c r="G238" s="4" t="n">
        <v>4</v>
      </c>
      <c r="H238" s="4" t="n">
        <v>5</v>
      </c>
      <c r="I238" s="4" t="n">
        <v>0</v>
      </c>
      <c r="J238" s="4" t="n">
        <v>402</v>
      </c>
      <c r="K238" s="4" t="n">
        <v>0</v>
      </c>
      <c r="L238" s="12" t="n">
        <v>0.59578</v>
      </c>
      <c r="M238" s="12" t="n">
        <v>0.092063</v>
      </c>
      <c r="N238" s="12" t="n">
        <v>0.119371</v>
      </c>
      <c r="O238" s="12" t="n">
        <v>0.106183</v>
      </c>
      <c r="P238" s="12" t="n">
        <v>0.12736</v>
      </c>
      <c r="Q238" s="0" t="str">
        <f aca="false">IF(L238&gt;=Models!$G$5,1+COUNTIF($L$5:$L$1517,"&gt;"&amp;L238)+COUNTIFS($L$5:$L$1517,L238,$B$5:$B$1517,"&lt;"&amp;B238)+COUNTIFS($L$5:$L$1517,L238,$B$5:$B$1517,B238,$C$5:$C$1517,"&lt;"&amp;C238),"")</f>
        <v/>
      </c>
      <c r="R238" s="0" t="str">
        <f aca="false">IF(M238&gt;=Models!$G$6,1+COUNTIF($M$5:$M$1517,"&gt;"&amp;M238)+COUNTIFS($M$5:$M$1517,M238,$B$5:$B$1517,"&lt;"&amp;B238)+COUNTIFS($M$5:$M$1517,M238,$B$5:$B$1517,B238,$C$5:$C$1517,"&lt;"&amp;C238),"")</f>
        <v/>
      </c>
      <c r="S238" s="0" t="str">
        <f aca="false">IF(N238&gt;=Models!$G$7,1+COUNTIF($N$5:$N$1517,"&gt;"&amp;N238)+COUNTIFS($N$5:$N$1517,N238,$B$5:$B$1517,"&lt;"&amp;B238)+COUNTIFS($N$5:$N$1517,N238,$B$5:$B$1517,B238,$C$5:$C$1517,"&lt;"&amp;C238),"")</f>
        <v/>
      </c>
      <c r="T238" s="8" t="n">
        <f aca="false">IF(O238&gt;=Models!$G$8,1+COUNTIF($O$5:$O$1517,"&gt;"&amp;O238)+COUNTIFS($O$5:$O$1517,O238,$B$5:$B$1517,"&lt;"&amp;B238)+COUNTIFS($O$5:$O$1517,O238,$B$5:$B$1517,B238,$C$5:$C$1517,"&lt;"&amp;C238),"")</f>
        <v>882</v>
      </c>
      <c r="U238" s="8" t="n">
        <f aca="false">IF($K238=1,COUNTIFS($L$5:$L$1517,"&gt;="&amp;L238,$K$5:$K$1517,1)/COUNTIF($L$5:$L$1517,"&gt;="&amp;L238),0)</f>
        <v>0</v>
      </c>
      <c r="V238" s="8" t="n">
        <f aca="false">IF($K238=1,COUNTIFS($M$5:$M$1517,"&gt;="&amp;M238,$K$5:$K$1517,1)/COUNTIF($M$5:$M$1517,"&gt;="&amp;M238),0)</f>
        <v>0</v>
      </c>
      <c r="W238" s="8" t="n">
        <f aca="false">IF($K238=1,COUNTIFS($N$5:$N$1517,"&gt;="&amp;N238,$K$5:$K$1517,1)/COUNTIF($N$5:$N$1517,"&gt;="&amp;N238),0)</f>
        <v>0</v>
      </c>
      <c r="X238" s="8" t="n">
        <f aca="false">IF($K238=1,COUNTIFS($O$5:$O$1517,"&gt;="&amp;O238,$K$5:$K$1517,1)/COUNTIF($O$5:$O$1517,"&gt;="&amp;O238),0)</f>
        <v>0</v>
      </c>
      <c r="Y238" s="8" t="n">
        <f aca="false">IF($K238=1,COUNTIFS($P$5:$P$1517,"&gt;="&amp;P238,$K$5:$K$1517,1)/COUNTIF($P$5:$P$1517,"&gt;="&amp;P238),0)</f>
        <v>0</v>
      </c>
      <c r="Z238" s="8" t="n">
        <f aca="false">(L238-$K238)^2</f>
        <v>0.3549538084</v>
      </c>
      <c r="AA238" s="8" t="n">
        <f aca="false">(M238-$K238)^2</f>
        <v>0.008475595969</v>
      </c>
      <c r="AB238" s="8" t="n">
        <f aca="false">(N238-$K238)^2</f>
        <v>0.014249435641</v>
      </c>
      <c r="AC238" s="8" t="n">
        <f aca="false">(O238-$K238)^2</f>
        <v>0.011274829489</v>
      </c>
      <c r="AD238" s="8" t="n">
        <f aca="false">(P238-$K238)^2</f>
        <v>0.0162205696</v>
      </c>
      <c r="AE238" s="8" t="n">
        <f aca="false">MIN(INT(ROUND(N238*1000000,0)/100000),9)</f>
        <v>1</v>
      </c>
      <c r="AF238" s="8" t="n">
        <f aca="false">MIN(INT(ROUND(P238*1000000,0)/100000),9)</f>
        <v>1</v>
      </c>
    </row>
    <row r="239" customFormat="false" ht="15" hidden="false" customHeight="false" outlineLevel="0" collapsed="false">
      <c r="A239" s="4" t="n">
        <v>235</v>
      </c>
      <c r="B239" s="4" t="n">
        <v>1102</v>
      </c>
      <c r="C239" s="4" t="n">
        <v>0</v>
      </c>
      <c r="D239" s="11" t="n">
        <v>46054</v>
      </c>
      <c r="E239" s="4" t="s">
        <v>203</v>
      </c>
      <c r="F239" s="4" t="s">
        <v>209</v>
      </c>
      <c r="G239" s="4" t="n">
        <v>10</v>
      </c>
      <c r="H239" s="4" t="n">
        <v>1</v>
      </c>
      <c r="I239" s="4" t="n">
        <v>0</v>
      </c>
      <c r="J239" s="4" t="n">
        <v>255</v>
      </c>
      <c r="K239" s="4" t="n">
        <v>0</v>
      </c>
      <c r="L239" s="12" t="n">
        <v>0.298295</v>
      </c>
      <c r="M239" s="12" t="n">
        <v>0.092063</v>
      </c>
      <c r="N239" s="12" t="n">
        <v>0.071585</v>
      </c>
      <c r="O239" s="12" t="n">
        <v>0.106183</v>
      </c>
      <c r="P239" s="12" t="n">
        <v>0.074776</v>
      </c>
      <c r="Q239" s="0" t="str">
        <f aca="false">IF(L239&gt;=Models!$G$5,1+COUNTIF($L$5:$L$1517,"&gt;"&amp;L239)+COUNTIFS($L$5:$L$1517,L239,$B$5:$B$1517,"&lt;"&amp;B239)+COUNTIFS($L$5:$L$1517,L239,$B$5:$B$1517,B239,$C$5:$C$1517,"&lt;"&amp;C239),"")</f>
        <v/>
      </c>
      <c r="R239" s="0" t="str">
        <f aca="false">IF(M239&gt;=Models!$G$6,1+COUNTIF($M$5:$M$1517,"&gt;"&amp;M239)+COUNTIFS($M$5:$M$1517,M239,$B$5:$B$1517,"&lt;"&amp;B239)+COUNTIFS($M$5:$M$1517,M239,$B$5:$B$1517,B239,$C$5:$C$1517,"&lt;"&amp;C239),"")</f>
        <v/>
      </c>
      <c r="S239" s="0" t="str">
        <f aca="false">IF(N239&gt;=Models!$G$7,1+COUNTIF($N$5:$N$1517,"&gt;"&amp;N239)+COUNTIFS($N$5:$N$1517,N239,$B$5:$B$1517,"&lt;"&amp;B239)+COUNTIFS($N$5:$N$1517,N239,$B$5:$B$1517,B239,$C$5:$C$1517,"&lt;"&amp;C239),"")</f>
        <v/>
      </c>
      <c r="T239" s="8" t="n">
        <f aca="false">IF(O239&gt;=Models!$G$8,1+COUNTIF($O$5:$O$1517,"&gt;"&amp;O239)+COUNTIFS($O$5:$O$1517,O239,$B$5:$B$1517,"&lt;"&amp;B239)+COUNTIFS($O$5:$O$1517,O239,$B$5:$B$1517,B239,$C$5:$C$1517,"&lt;"&amp;C239),"")</f>
        <v>886</v>
      </c>
      <c r="U239" s="8" t="n">
        <f aca="false">IF($K239=1,COUNTIFS($L$5:$L$1517,"&gt;="&amp;L239,$K$5:$K$1517,1)/COUNTIF($L$5:$L$1517,"&gt;="&amp;L239),0)</f>
        <v>0</v>
      </c>
      <c r="V239" s="8" t="n">
        <f aca="false">IF($K239=1,COUNTIFS($M$5:$M$1517,"&gt;="&amp;M239,$K$5:$K$1517,1)/COUNTIF($M$5:$M$1517,"&gt;="&amp;M239),0)</f>
        <v>0</v>
      </c>
      <c r="W239" s="8" t="n">
        <f aca="false">IF($K239=1,COUNTIFS($N$5:$N$1517,"&gt;="&amp;N239,$K$5:$K$1517,1)/COUNTIF($N$5:$N$1517,"&gt;="&amp;N239),0)</f>
        <v>0</v>
      </c>
      <c r="X239" s="8" t="n">
        <f aca="false">IF($K239=1,COUNTIFS($O$5:$O$1517,"&gt;="&amp;O239,$K$5:$K$1517,1)/COUNTIF($O$5:$O$1517,"&gt;="&amp;O239),0)</f>
        <v>0</v>
      </c>
      <c r="Y239" s="8" t="n">
        <f aca="false">IF($K239=1,COUNTIFS($P$5:$P$1517,"&gt;="&amp;P239,$K$5:$K$1517,1)/COUNTIF($P$5:$P$1517,"&gt;="&amp;P239),0)</f>
        <v>0</v>
      </c>
      <c r="Z239" s="8" t="n">
        <f aca="false">(L239-$K239)^2</f>
        <v>0.088979907025</v>
      </c>
      <c r="AA239" s="8" t="n">
        <f aca="false">(M239-$K239)^2</f>
        <v>0.008475595969</v>
      </c>
      <c r="AB239" s="8" t="n">
        <f aca="false">(N239-$K239)^2</f>
        <v>0.005124412225</v>
      </c>
      <c r="AC239" s="8" t="n">
        <f aca="false">(O239-$K239)^2</f>
        <v>0.011274829489</v>
      </c>
      <c r="AD239" s="8" t="n">
        <f aca="false">(P239-$K239)^2</f>
        <v>0.005591450176</v>
      </c>
      <c r="AE239" s="8" t="n">
        <f aca="false">MIN(INT(ROUND(N239*1000000,0)/100000),9)</f>
        <v>0</v>
      </c>
      <c r="AF239" s="8" t="n">
        <f aca="false">MIN(INT(ROUND(P239*1000000,0)/100000),9)</f>
        <v>0</v>
      </c>
    </row>
    <row r="240" customFormat="false" ht="15" hidden="false" customHeight="false" outlineLevel="0" collapsed="false">
      <c r="A240" s="4" t="n">
        <v>236</v>
      </c>
      <c r="B240" s="4" t="n">
        <v>1112</v>
      </c>
      <c r="C240" s="4" t="n">
        <v>0</v>
      </c>
      <c r="D240" s="11" t="n">
        <v>46054</v>
      </c>
      <c r="E240" s="4" t="s">
        <v>202</v>
      </c>
      <c r="F240" s="4" t="s">
        <v>209</v>
      </c>
      <c r="G240" s="4" t="n">
        <v>6</v>
      </c>
      <c r="H240" s="4" t="n">
        <v>6</v>
      </c>
      <c r="I240" s="4" t="n">
        <v>0</v>
      </c>
      <c r="J240" s="4"/>
      <c r="K240" s="4" t="n">
        <v>0</v>
      </c>
      <c r="L240" s="12" t="n">
        <v>0.186804</v>
      </c>
      <c r="M240" s="12" t="n">
        <v>0.092063</v>
      </c>
      <c r="N240" s="12" t="n">
        <v>0.051976</v>
      </c>
      <c r="O240" s="12" t="n">
        <v>0.106183</v>
      </c>
      <c r="P240" s="12" t="n">
        <v>0.053516</v>
      </c>
      <c r="Q240" s="0" t="str">
        <f aca="false">IF(L240&gt;=Models!$G$5,1+COUNTIF($L$5:$L$1517,"&gt;"&amp;L240)+COUNTIFS($L$5:$L$1517,L240,$B$5:$B$1517,"&lt;"&amp;B240)+COUNTIFS($L$5:$L$1517,L240,$B$5:$B$1517,B240,$C$5:$C$1517,"&lt;"&amp;C240),"")</f>
        <v/>
      </c>
      <c r="R240" s="0" t="str">
        <f aca="false">IF(M240&gt;=Models!$G$6,1+COUNTIF($M$5:$M$1517,"&gt;"&amp;M240)+COUNTIFS($M$5:$M$1517,M240,$B$5:$B$1517,"&lt;"&amp;B240)+COUNTIFS($M$5:$M$1517,M240,$B$5:$B$1517,B240,$C$5:$C$1517,"&lt;"&amp;C240),"")</f>
        <v/>
      </c>
      <c r="S240" s="0" t="str">
        <f aca="false">IF(N240&gt;=Models!$G$7,1+COUNTIF($N$5:$N$1517,"&gt;"&amp;N240)+COUNTIFS($N$5:$N$1517,N240,$B$5:$B$1517,"&lt;"&amp;B240)+COUNTIFS($N$5:$N$1517,N240,$B$5:$B$1517,B240,$C$5:$C$1517,"&lt;"&amp;C240),"")</f>
        <v/>
      </c>
      <c r="T240" s="8" t="n">
        <f aca="false">IF(O240&gt;=Models!$G$8,1+COUNTIF($O$5:$O$1517,"&gt;"&amp;O240)+COUNTIFS($O$5:$O$1517,O240,$B$5:$B$1517,"&lt;"&amp;B240)+COUNTIFS($O$5:$O$1517,O240,$B$5:$B$1517,B240,$C$5:$C$1517,"&lt;"&amp;C240),"")</f>
        <v>890</v>
      </c>
      <c r="U240" s="8" t="n">
        <f aca="false">IF($K240=1,COUNTIFS($L$5:$L$1517,"&gt;="&amp;L240,$K$5:$K$1517,1)/COUNTIF($L$5:$L$1517,"&gt;="&amp;L240),0)</f>
        <v>0</v>
      </c>
      <c r="V240" s="8" t="n">
        <f aca="false">IF($K240=1,COUNTIFS($M$5:$M$1517,"&gt;="&amp;M240,$K$5:$K$1517,1)/COUNTIF($M$5:$M$1517,"&gt;="&amp;M240),0)</f>
        <v>0</v>
      </c>
      <c r="W240" s="8" t="n">
        <f aca="false">IF($K240=1,COUNTIFS($N$5:$N$1517,"&gt;="&amp;N240,$K$5:$K$1517,1)/COUNTIF($N$5:$N$1517,"&gt;="&amp;N240),0)</f>
        <v>0</v>
      </c>
      <c r="X240" s="8" t="n">
        <f aca="false">IF($K240=1,COUNTIFS($O$5:$O$1517,"&gt;="&amp;O240,$K$5:$K$1517,1)/COUNTIF($O$5:$O$1517,"&gt;="&amp;O240),0)</f>
        <v>0</v>
      </c>
      <c r="Y240" s="8" t="n">
        <f aca="false">IF($K240=1,COUNTIFS($P$5:$P$1517,"&gt;="&amp;P240,$K$5:$K$1517,1)/COUNTIF($P$5:$P$1517,"&gt;="&amp;P240),0)</f>
        <v>0</v>
      </c>
      <c r="Z240" s="8" t="n">
        <f aca="false">(L240-$K240)^2</f>
        <v>0.034895734416</v>
      </c>
      <c r="AA240" s="8" t="n">
        <f aca="false">(M240-$K240)^2</f>
        <v>0.008475595969</v>
      </c>
      <c r="AB240" s="8" t="n">
        <f aca="false">(N240-$K240)^2</f>
        <v>0.002701504576</v>
      </c>
      <c r="AC240" s="8" t="n">
        <f aca="false">(O240-$K240)^2</f>
        <v>0.011274829489</v>
      </c>
      <c r="AD240" s="8" t="n">
        <f aca="false">(P240-$K240)^2</f>
        <v>0.002863962256</v>
      </c>
      <c r="AE240" s="8" t="n">
        <f aca="false">MIN(INT(ROUND(N240*1000000,0)/100000),9)</f>
        <v>0</v>
      </c>
      <c r="AF240" s="8" t="n">
        <f aca="false">MIN(INT(ROUND(P240*1000000,0)/100000),9)</f>
        <v>0</v>
      </c>
    </row>
    <row r="241" customFormat="false" ht="15" hidden="false" customHeight="false" outlineLevel="0" collapsed="false">
      <c r="A241" s="4" t="n">
        <v>237</v>
      </c>
      <c r="B241" s="4" t="n">
        <v>1119</v>
      </c>
      <c r="C241" s="4" t="n">
        <v>0</v>
      </c>
      <c r="D241" s="11" t="n">
        <v>46054</v>
      </c>
      <c r="E241" s="4" t="s">
        <v>204</v>
      </c>
      <c r="F241" s="4" t="s">
        <v>210</v>
      </c>
      <c r="G241" s="4" t="n">
        <v>2</v>
      </c>
      <c r="H241" s="4" t="n">
        <v>2</v>
      </c>
      <c r="I241" s="4" t="n">
        <v>0</v>
      </c>
      <c r="J241" s="4" t="n">
        <v>99</v>
      </c>
      <c r="K241" s="4" t="n">
        <v>0</v>
      </c>
      <c r="L241" s="12" t="n">
        <v>0.573976</v>
      </c>
      <c r="M241" s="12" t="n">
        <v>0.092063</v>
      </c>
      <c r="N241" s="12" t="n">
        <v>0.138786</v>
      </c>
      <c r="O241" s="12" t="n">
        <v>0.106183</v>
      </c>
      <c r="P241" s="12" t="n">
        <v>0.148896</v>
      </c>
      <c r="Q241" s="0" t="str">
        <f aca="false">IF(L241&gt;=Models!$G$5,1+COUNTIF($L$5:$L$1517,"&gt;"&amp;L241)+COUNTIFS($L$5:$L$1517,L241,$B$5:$B$1517,"&lt;"&amp;B241)+COUNTIFS($L$5:$L$1517,L241,$B$5:$B$1517,B241,$C$5:$C$1517,"&lt;"&amp;C241),"")</f>
        <v/>
      </c>
      <c r="R241" s="0" t="str">
        <f aca="false">IF(M241&gt;=Models!$G$6,1+COUNTIF($M$5:$M$1517,"&gt;"&amp;M241)+COUNTIFS($M$5:$M$1517,M241,$B$5:$B$1517,"&lt;"&amp;B241)+COUNTIFS($M$5:$M$1517,M241,$B$5:$B$1517,B241,$C$5:$C$1517,"&lt;"&amp;C241),"")</f>
        <v/>
      </c>
      <c r="S241" s="0" t="str">
        <f aca="false">IF(N241&gt;=Models!$G$7,1+COUNTIF($N$5:$N$1517,"&gt;"&amp;N241)+COUNTIFS($N$5:$N$1517,N241,$B$5:$B$1517,"&lt;"&amp;B241)+COUNTIFS($N$5:$N$1517,N241,$B$5:$B$1517,B241,$C$5:$C$1517,"&lt;"&amp;C241),"")</f>
        <v/>
      </c>
      <c r="T241" s="8" t="n">
        <f aca="false">IF(O241&gt;=Models!$G$8,1+COUNTIF($O$5:$O$1517,"&gt;"&amp;O241)+COUNTIFS($O$5:$O$1517,O241,$B$5:$B$1517,"&lt;"&amp;B241)+COUNTIFS($O$5:$O$1517,O241,$B$5:$B$1517,B241,$C$5:$C$1517,"&lt;"&amp;C241),"")</f>
        <v>894</v>
      </c>
      <c r="U241" s="8" t="n">
        <f aca="false">IF($K241=1,COUNTIFS($L$5:$L$1517,"&gt;="&amp;L241,$K$5:$K$1517,1)/COUNTIF($L$5:$L$1517,"&gt;="&amp;L241),0)</f>
        <v>0</v>
      </c>
      <c r="V241" s="8" t="n">
        <f aca="false">IF($K241=1,COUNTIFS($M$5:$M$1517,"&gt;="&amp;M241,$K$5:$K$1517,1)/COUNTIF($M$5:$M$1517,"&gt;="&amp;M241),0)</f>
        <v>0</v>
      </c>
      <c r="W241" s="8" t="n">
        <f aca="false">IF($K241=1,COUNTIFS($N$5:$N$1517,"&gt;="&amp;N241,$K$5:$K$1517,1)/COUNTIF($N$5:$N$1517,"&gt;="&amp;N241),0)</f>
        <v>0</v>
      </c>
      <c r="X241" s="8" t="n">
        <f aca="false">IF($K241=1,COUNTIFS($O$5:$O$1517,"&gt;="&amp;O241,$K$5:$K$1517,1)/COUNTIF($O$5:$O$1517,"&gt;="&amp;O241),0)</f>
        <v>0</v>
      </c>
      <c r="Y241" s="8" t="n">
        <f aca="false">IF($K241=1,COUNTIFS($P$5:$P$1517,"&gt;="&amp;P241,$K$5:$K$1517,1)/COUNTIF($P$5:$P$1517,"&gt;="&amp;P241),0)</f>
        <v>0</v>
      </c>
      <c r="Z241" s="8" t="n">
        <f aca="false">(L241-$K241)^2</f>
        <v>0.329448448576</v>
      </c>
      <c r="AA241" s="8" t="n">
        <f aca="false">(M241-$K241)^2</f>
        <v>0.008475595969</v>
      </c>
      <c r="AB241" s="8" t="n">
        <f aca="false">(N241-$K241)^2</f>
        <v>0.019261553796</v>
      </c>
      <c r="AC241" s="8" t="n">
        <f aca="false">(O241-$K241)^2</f>
        <v>0.011274829489</v>
      </c>
      <c r="AD241" s="8" t="n">
        <f aca="false">(P241-$K241)^2</f>
        <v>0.022170018816</v>
      </c>
      <c r="AE241" s="8" t="n">
        <f aca="false">MIN(INT(ROUND(N241*1000000,0)/100000),9)</f>
        <v>1</v>
      </c>
      <c r="AF241" s="8" t="n">
        <f aca="false">MIN(INT(ROUND(P241*1000000,0)/100000),9)</f>
        <v>1</v>
      </c>
    </row>
    <row r="242" customFormat="false" ht="15" hidden="false" customHeight="false" outlineLevel="0" collapsed="false">
      <c r="A242" s="4" t="n">
        <v>238</v>
      </c>
      <c r="B242" s="4" t="n">
        <v>1123</v>
      </c>
      <c r="C242" s="4" t="n">
        <v>0</v>
      </c>
      <c r="D242" s="11" t="n">
        <v>46054</v>
      </c>
      <c r="E242" s="4" t="s">
        <v>201</v>
      </c>
      <c r="F242" s="4" t="s">
        <v>206</v>
      </c>
      <c r="G242" s="4" t="n">
        <v>10</v>
      </c>
      <c r="H242" s="4" t="n">
        <v>10</v>
      </c>
      <c r="I242" s="4" t="n">
        <v>0</v>
      </c>
      <c r="J242" s="4"/>
      <c r="K242" s="4" t="n">
        <v>0</v>
      </c>
      <c r="L242" s="12" t="n">
        <v>0.45036</v>
      </c>
      <c r="M242" s="12" t="n">
        <v>0.092063</v>
      </c>
      <c r="N242" s="12" t="n">
        <v>0.038024</v>
      </c>
      <c r="O242" s="12" t="n">
        <v>0.106183</v>
      </c>
      <c r="P242" s="12" t="n">
        <v>0.038586</v>
      </c>
      <c r="Q242" s="0" t="str">
        <f aca="false">IF(L242&gt;=Models!$G$5,1+COUNTIF($L$5:$L$1517,"&gt;"&amp;L242)+COUNTIFS($L$5:$L$1517,L242,$B$5:$B$1517,"&lt;"&amp;B242)+COUNTIFS($L$5:$L$1517,L242,$B$5:$B$1517,B242,$C$5:$C$1517,"&lt;"&amp;C242),"")</f>
        <v/>
      </c>
      <c r="R242" s="0" t="str">
        <f aca="false">IF(M242&gt;=Models!$G$6,1+COUNTIF($M$5:$M$1517,"&gt;"&amp;M242)+COUNTIFS($M$5:$M$1517,M242,$B$5:$B$1517,"&lt;"&amp;B242)+COUNTIFS($M$5:$M$1517,M242,$B$5:$B$1517,B242,$C$5:$C$1517,"&lt;"&amp;C242),"")</f>
        <v/>
      </c>
      <c r="S242" s="0" t="str">
        <f aca="false">IF(N242&gt;=Models!$G$7,1+COUNTIF($N$5:$N$1517,"&gt;"&amp;N242)+COUNTIFS($N$5:$N$1517,N242,$B$5:$B$1517,"&lt;"&amp;B242)+COUNTIFS($N$5:$N$1517,N242,$B$5:$B$1517,B242,$C$5:$C$1517,"&lt;"&amp;C242),"")</f>
        <v/>
      </c>
      <c r="T242" s="8" t="n">
        <f aca="false">IF(O242&gt;=Models!$G$8,1+COUNTIF($O$5:$O$1517,"&gt;"&amp;O242)+COUNTIFS($O$5:$O$1517,O242,$B$5:$B$1517,"&lt;"&amp;B242)+COUNTIFS($O$5:$O$1517,O242,$B$5:$B$1517,B242,$C$5:$C$1517,"&lt;"&amp;C242),"")</f>
        <v>898</v>
      </c>
      <c r="U242" s="8" t="n">
        <f aca="false">IF($K242=1,COUNTIFS($L$5:$L$1517,"&gt;="&amp;L242,$K$5:$K$1517,1)/COUNTIF($L$5:$L$1517,"&gt;="&amp;L242),0)</f>
        <v>0</v>
      </c>
      <c r="V242" s="8" t="n">
        <f aca="false">IF($K242=1,COUNTIFS($M$5:$M$1517,"&gt;="&amp;M242,$K$5:$K$1517,1)/COUNTIF($M$5:$M$1517,"&gt;="&amp;M242),0)</f>
        <v>0</v>
      </c>
      <c r="W242" s="8" t="n">
        <f aca="false">IF($K242=1,COUNTIFS($N$5:$N$1517,"&gt;="&amp;N242,$K$5:$K$1517,1)/COUNTIF($N$5:$N$1517,"&gt;="&amp;N242),0)</f>
        <v>0</v>
      </c>
      <c r="X242" s="8" t="n">
        <f aca="false">IF($K242=1,COUNTIFS($O$5:$O$1517,"&gt;="&amp;O242,$K$5:$K$1517,1)/COUNTIF($O$5:$O$1517,"&gt;="&amp;O242),0)</f>
        <v>0</v>
      </c>
      <c r="Y242" s="8" t="n">
        <f aca="false">IF($K242=1,COUNTIFS($P$5:$P$1517,"&gt;="&amp;P242,$K$5:$K$1517,1)/COUNTIF($P$5:$P$1517,"&gt;="&amp;P242),0)</f>
        <v>0</v>
      </c>
      <c r="Z242" s="8" t="n">
        <f aca="false">(L242-$K242)^2</f>
        <v>0.2028241296</v>
      </c>
      <c r="AA242" s="8" t="n">
        <f aca="false">(M242-$K242)^2</f>
        <v>0.008475595969</v>
      </c>
      <c r="AB242" s="8" t="n">
        <f aca="false">(N242-$K242)^2</f>
        <v>0.001445824576</v>
      </c>
      <c r="AC242" s="8" t="n">
        <f aca="false">(O242-$K242)^2</f>
        <v>0.011274829489</v>
      </c>
      <c r="AD242" s="8" t="n">
        <f aca="false">(P242-$K242)^2</f>
        <v>0.001488879396</v>
      </c>
      <c r="AE242" s="8" t="n">
        <f aca="false">MIN(INT(ROUND(N242*1000000,0)/100000),9)</f>
        <v>0</v>
      </c>
      <c r="AF242" s="8" t="n">
        <f aca="false">MIN(INT(ROUND(P242*1000000,0)/100000),9)</f>
        <v>0</v>
      </c>
    </row>
    <row r="243" customFormat="false" ht="15" hidden="false" customHeight="false" outlineLevel="0" collapsed="false">
      <c r="A243" s="4" t="n">
        <v>239</v>
      </c>
      <c r="B243" s="4" t="n">
        <v>1132</v>
      </c>
      <c r="C243" s="4" t="n">
        <v>0</v>
      </c>
      <c r="D243" s="11" t="n">
        <v>46054</v>
      </c>
      <c r="E243" s="4" t="s">
        <v>204</v>
      </c>
      <c r="F243" s="4" t="s">
        <v>210</v>
      </c>
      <c r="G243" s="4" t="n">
        <v>0</v>
      </c>
      <c r="H243" s="4" t="n">
        <v>45</v>
      </c>
      <c r="I243" s="4" t="n">
        <v>0</v>
      </c>
      <c r="J243" s="4" t="n">
        <v>108</v>
      </c>
      <c r="K243" s="4" t="n">
        <v>1</v>
      </c>
      <c r="L243" s="12" t="n">
        <v>0.333476</v>
      </c>
      <c r="M243" s="12" t="n">
        <v>0.184211</v>
      </c>
      <c r="N243" s="12" t="n">
        <v>0.215249</v>
      </c>
      <c r="O243" s="12" t="n">
        <v>0.106183</v>
      </c>
      <c r="P243" s="12" t="n">
        <v>0.233948</v>
      </c>
      <c r="Q243" s="0" t="str">
        <f aca="false">IF(L243&gt;=Models!$G$5,1+COUNTIF($L$5:$L$1517,"&gt;"&amp;L243)+COUNTIFS($L$5:$L$1517,L243,$B$5:$B$1517,"&lt;"&amp;B243)+COUNTIFS($L$5:$L$1517,L243,$B$5:$B$1517,B243,$C$5:$C$1517,"&lt;"&amp;C243),"")</f>
        <v/>
      </c>
      <c r="R243" s="8" t="n">
        <f aca="false">IF(M243&gt;=Models!$G$6,1+COUNTIF($M$5:$M$1517,"&gt;"&amp;M243)+COUNTIFS($M$5:$M$1517,M243,$B$5:$B$1517,"&lt;"&amp;B243)+COUNTIFS($M$5:$M$1517,M243,$B$5:$B$1517,B243,$C$5:$C$1517,"&lt;"&amp;C243),"")</f>
        <v>106</v>
      </c>
      <c r="S243" s="0" t="str">
        <f aca="false">IF(N243&gt;=Models!$G$7,1+COUNTIF($N$5:$N$1517,"&gt;"&amp;N243)+COUNTIFS($N$5:$N$1517,N243,$B$5:$B$1517,"&lt;"&amp;B243)+COUNTIFS($N$5:$N$1517,N243,$B$5:$B$1517,B243,$C$5:$C$1517,"&lt;"&amp;C243),"")</f>
        <v/>
      </c>
      <c r="T243" s="8" t="n">
        <f aca="false">IF(O243&gt;=Models!$G$8,1+COUNTIF($O$5:$O$1517,"&gt;"&amp;O243)+COUNTIFS($O$5:$O$1517,O243,$B$5:$B$1517,"&lt;"&amp;B243)+COUNTIFS($O$5:$O$1517,O243,$B$5:$B$1517,B243,$C$5:$C$1517,"&lt;"&amp;C243),"")</f>
        <v>902</v>
      </c>
      <c r="U243" s="8" t="n">
        <f aca="false">IF($K243=1,COUNTIFS($L$5:$L$1517,"&gt;="&amp;L243,$K$5:$K$1517,1)/COUNTIF($L$5:$L$1517,"&gt;="&amp;L243),0)</f>
        <v>0.128934010152284</v>
      </c>
      <c r="V243" s="8" t="n">
        <f aca="false">IF($K243=1,COUNTIFS($M$5:$M$1517,"&gt;="&amp;M243,$K$5:$K$1517,1)/COUNTIF($M$5:$M$1517,"&gt;="&amp;M243),0)</f>
        <v>0.186528497409326</v>
      </c>
      <c r="W243" s="8" t="n">
        <f aca="false">IF($K243=1,COUNTIFS($N$5:$N$1517,"&gt;="&amp;N243,$K$5:$K$1517,1)/COUNTIF($N$5:$N$1517,"&gt;="&amp;N243),0)</f>
        <v>0.333333333333333</v>
      </c>
      <c r="X243" s="8" t="n">
        <f aca="false">IF($K243=1,COUNTIFS($O$5:$O$1517,"&gt;="&amp;O243,$K$5:$K$1517,1)/COUNTIF($O$5:$O$1517,"&gt;="&amp;O243),0)</f>
        <v>0.12491738268341</v>
      </c>
      <c r="Y243" s="8" t="n">
        <f aca="false">IF($K243=1,COUNTIFS($P$5:$P$1517,"&gt;="&amp;P243,$K$5:$K$1517,1)/COUNTIF($P$5:$P$1517,"&gt;="&amp;P243),0)</f>
        <v>0.333333333333333</v>
      </c>
      <c r="Z243" s="8" t="n">
        <f aca="false">(L243-$K243)^2</f>
        <v>0.444254242576</v>
      </c>
      <c r="AA243" s="8" t="n">
        <f aca="false">(M243-$K243)^2</f>
        <v>0.665511692521</v>
      </c>
      <c r="AB243" s="8" t="n">
        <f aca="false">(N243-$K243)^2</f>
        <v>0.615834132001</v>
      </c>
      <c r="AC243" s="8" t="n">
        <f aca="false">(O243-$K243)^2</f>
        <v>0.798908829489</v>
      </c>
      <c r="AD243" s="8" t="n">
        <f aca="false">(P243-$K243)^2</f>
        <v>0.586835666704</v>
      </c>
      <c r="AE243" s="8" t="n">
        <f aca="false">MIN(INT(ROUND(N243*1000000,0)/100000),9)</f>
        <v>2</v>
      </c>
      <c r="AF243" s="8" t="n">
        <f aca="false">MIN(INT(ROUND(P243*1000000,0)/100000),9)</f>
        <v>2</v>
      </c>
    </row>
    <row r="244" customFormat="false" ht="15" hidden="false" customHeight="false" outlineLevel="0" collapsed="false">
      <c r="A244" s="4" t="n">
        <v>240</v>
      </c>
      <c r="B244" s="4" t="n">
        <v>1133</v>
      </c>
      <c r="C244" s="4" t="n">
        <v>0</v>
      </c>
      <c r="D244" s="11" t="n">
        <v>46054</v>
      </c>
      <c r="E244" s="4" t="s">
        <v>201</v>
      </c>
      <c r="F244" s="4" t="s">
        <v>210</v>
      </c>
      <c r="G244" s="4" t="n">
        <v>2</v>
      </c>
      <c r="H244" s="4" t="n">
        <v>1</v>
      </c>
      <c r="I244" s="4" t="n">
        <v>0</v>
      </c>
      <c r="J244" s="4"/>
      <c r="K244" s="4" t="n">
        <v>0</v>
      </c>
      <c r="L244" s="12" t="n">
        <v>0.196386</v>
      </c>
      <c r="M244" s="12" t="n">
        <v>0.092063</v>
      </c>
      <c r="N244" s="12" t="n">
        <v>0.070136</v>
      </c>
      <c r="O244" s="12" t="n">
        <v>0.106183</v>
      </c>
      <c r="P244" s="12" t="n">
        <v>0.073196</v>
      </c>
      <c r="Q244" s="0" t="str">
        <f aca="false">IF(L244&gt;=Models!$G$5,1+COUNTIF($L$5:$L$1517,"&gt;"&amp;L244)+COUNTIFS($L$5:$L$1517,L244,$B$5:$B$1517,"&lt;"&amp;B244)+COUNTIFS($L$5:$L$1517,L244,$B$5:$B$1517,B244,$C$5:$C$1517,"&lt;"&amp;C244),"")</f>
        <v/>
      </c>
      <c r="R244" s="0" t="str">
        <f aca="false">IF(M244&gt;=Models!$G$6,1+COUNTIF($M$5:$M$1517,"&gt;"&amp;M244)+COUNTIFS($M$5:$M$1517,M244,$B$5:$B$1517,"&lt;"&amp;B244)+COUNTIFS($M$5:$M$1517,M244,$B$5:$B$1517,B244,$C$5:$C$1517,"&lt;"&amp;C244),"")</f>
        <v/>
      </c>
      <c r="S244" s="0" t="str">
        <f aca="false">IF(N244&gt;=Models!$G$7,1+COUNTIF($N$5:$N$1517,"&gt;"&amp;N244)+COUNTIFS($N$5:$N$1517,N244,$B$5:$B$1517,"&lt;"&amp;B244)+COUNTIFS($N$5:$N$1517,N244,$B$5:$B$1517,B244,$C$5:$C$1517,"&lt;"&amp;C244),"")</f>
        <v/>
      </c>
      <c r="T244" s="8" t="n">
        <f aca="false">IF(O244&gt;=Models!$G$8,1+COUNTIF($O$5:$O$1517,"&gt;"&amp;O244)+COUNTIFS($O$5:$O$1517,O244,$B$5:$B$1517,"&lt;"&amp;B244)+COUNTIFS($O$5:$O$1517,O244,$B$5:$B$1517,B244,$C$5:$C$1517,"&lt;"&amp;C244),"")</f>
        <v>903</v>
      </c>
      <c r="U244" s="8" t="n">
        <f aca="false">IF($K244=1,COUNTIFS($L$5:$L$1517,"&gt;="&amp;L244,$K$5:$K$1517,1)/COUNTIF($L$5:$L$1517,"&gt;="&amp;L244),0)</f>
        <v>0</v>
      </c>
      <c r="V244" s="8" t="n">
        <f aca="false">IF($K244=1,COUNTIFS($M$5:$M$1517,"&gt;="&amp;M244,$K$5:$K$1517,1)/COUNTIF($M$5:$M$1517,"&gt;="&amp;M244),0)</f>
        <v>0</v>
      </c>
      <c r="W244" s="8" t="n">
        <f aca="false">IF($K244=1,COUNTIFS($N$5:$N$1517,"&gt;="&amp;N244,$K$5:$K$1517,1)/COUNTIF($N$5:$N$1517,"&gt;="&amp;N244),0)</f>
        <v>0</v>
      </c>
      <c r="X244" s="8" t="n">
        <f aca="false">IF($K244=1,COUNTIFS($O$5:$O$1517,"&gt;="&amp;O244,$K$5:$K$1517,1)/COUNTIF($O$5:$O$1517,"&gt;="&amp;O244),0)</f>
        <v>0</v>
      </c>
      <c r="Y244" s="8" t="n">
        <f aca="false">IF($K244=1,COUNTIFS($P$5:$P$1517,"&gt;="&amp;P244,$K$5:$K$1517,1)/COUNTIF($P$5:$P$1517,"&gt;="&amp;P244),0)</f>
        <v>0</v>
      </c>
      <c r="Z244" s="8" t="n">
        <f aca="false">(L244-$K244)^2</f>
        <v>0.038567460996</v>
      </c>
      <c r="AA244" s="8" t="n">
        <f aca="false">(M244-$K244)^2</f>
        <v>0.008475595969</v>
      </c>
      <c r="AB244" s="8" t="n">
        <f aca="false">(N244-$K244)^2</f>
        <v>0.004919058496</v>
      </c>
      <c r="AC244" s="8" t="n">
        <f aca="false">(O244-$K244)^2</f>
        <v>0.011274829489</v>
      </c>
      <c r="AD244" s="8" t="n">
        <f aca="false">(P244-$K244)^2</f>
        <v>0.005357654416</v>
      </c>
      <c r="AE244" s="8" t="n">
        <f aca="false">MIN(INT(ROUND(N244*1000000,0)/100000),9)</f>
        <v>0</v>
      </c>
      <c r="AF244" s="8" t="n">
        <f aca="false">MIN(INT(ROUND(P244*1000000,0)/100000),9)</f>
        <v>0</v>
      </c>
    </row>
    <row r="245" customFormat="false" ht="15" hidden="false" customHeight="false" outlineLevel="0" collapsed="false">
      <c r="A245" s="4" t="n">
        <v>241</v>
      </c>
      <c r="B245" s="4" t="n">
        <v>1137</v>
      </c>
      <c r="C245" s="4" t="n">
        <v>0</v>
      </c>
      <c r="D245" s="11" t="n">
        <v>46054</v>
      </c>
      <c r="E245" s="4" t="s">
        <v>203</v>
      </c>
      <c r="F245" s="4" t="s">
        <v>210</v>
      </c>
      <c r="G245" s="4" t="n">
        <v>2</v>
      </c>
      <c r="H245" s="4" t="n">
        <v>16</v>
      </c>
      <c r="I245" s="4" t="n">
        <v>1</v>
      </c>
      <c r="J245" s="4" t="n">
        <v>255</v>
      </c>
      <c r="K245" s="4" t="n">
        <v>1</v>
      </c>
      <c r="L245" s="12" t="n">
        <v>0.426141</v>
      </c>
      <c r="M245" s="12" t="n">
        <v>0.184211</v>
      </c>
      <c r="N245" s="12" t="n">
        <v>0.245326</v>
      </c>
      <c r="O245" s="12" t="n">
        <v>0.106183</v>
      </c>
      <c r="P245" s="12" t="n">
        <v>0.267333</v>
      </c>
      <c r="Q245" s="0" t="str">
        <f aca="false">IF(L245&gt;=Models!$G$5,1+COUNTIF($L$5:$L$1517,"&gt;"&amp;L245)+COUNTIFS($L$5:$L$1517,L245,$B$5:$B$1517,"&lt;"&amp;B245)+COUNTIFS($L$5:$L$1517,L245,$B$5:$B$1517,B245,$C$5:$C$1517,"&lt;"&amp;C245),"")</f>
        <v/>
      </c>
      <c r="R245" s="8" t="n">
        <f aca="false">IF(M245&gt;=Models!$G$6,1+COUNTIF($M$5:$M$1517,"&gt;"&amp;M245)+COUNTIFS($M$5:$M$1517,M245,$B$5:$B$1517,"&lt;"&amp;B245)+COUNTIFS($M$5:$M$1517,M245,$B$5:$B$1517,B245,$C$5:$C$1517,"&lt;"&amp;C245),"")</f>
        <v>107</v>
      </c>
      <c r="S245" s="8" t="n">
        <f aca="false">IF(N245&gt;=Models!$G$7,1+COUNTIF($N$5:$N$1517,"&gt;"&amp;N245)+COUNTIFS($N$5:$N$1517,N245,$B$5:$B$1517,"&lt;"&amp;B245)+COUNTIFS($N$5:$N$1517,N245,$B$5:$B$1517,B245,$C$5:$C$1517,"&lt;"&amp;C245),"")</f>
        <v>22</v>
      </c>
      <c r="T245" s="8" t="n">
        <f aca="false">IF(O245&gt;=Models!$G$8,1+COUNTIF($O$5:$O$1517,"&gt;"&amp;O245)+COUNTIFS($O$5:$O$1517,O245,$B$5:$B$1517,"&lt;"&amp;B245)+COUNTIFS($O$5:$O$1517,O245,$B$5:$B$1517,B245,$C$5:$C$1517,"&lt;"&amp;C245),"")</f>
        <v>907</v>
      </c>
      <c r="U245" s="8" t="n">
        <f aca="false">IF($K245=1,COUNTIFS($L$5:$L$1517,"&gt;="&amp;L245,$K$5:$K$1517,1)/COUNTIF($L$5:$L$1517,"&gt;="&amp;L245),0)</f>
        <v>0.126168224299065</v>
      </c>
      <c r="V245" s="8" t="n">
        <f aca="false">IF($K245=1,COUNTIFS($M$5:$M$1517,"&gt;="&amp;M245,$K$5:$K$1517,1)/COUNTIF($M$5:$M$1517,"&gt;="&amp;M245),0)</f>
        <v>0.186528497409326</v>
      </c>
      <c r="W245" s="8" t="n">
        <f aca="false">IF($K245=1,COUNTIFS($N$5:$N$1517,"&gt;="&amp;N245,$K$5:$K$1517,1)/COUNTIF($N$5:$N$1517,"&gt;="&amp;N245),0)</f>
        <v>0.318181818181818</v>
      </c>
      <c r="X245" s="8" t="n">
        <f aca="false">IF($K245=1,COUNTIFS($O$5:$O$1517,"&gt;="&amp;O245,$K$5:$K$1517,1)/COUNTIF($O$5:$O$1517,"&gt;="&amp;O245),0)</f>
        <v>0.12491738268341</v>
      </c>
      <c r="Y245" s="8" t="n">
        <f aca="false">IF($K245=1,COUNTIFS($P$5:$P$1517,"&gt;="&amp;P245,$K$5:$K$1517,1)/COUNTIF($P$5:$P$1517,"&gt;="&amp;P245),0)</f>
        <v>0.318181818181818</v>
      </c>
      <c r="Z245" s="8" t="n">
        <f aca="false">(L245-$K245)^2</f>
        <v>0.329314151881</v>
      </c>
      <c r="AA245" s="8" t="n">
        <f aca="false">(M245-$K245)^2</f>
        <v>0.665511692521</v>
      </c>
      <c r="AB245" s="8" t="n">
        <f aca="false">(N245-$K245)^2</f>
        <v>0.569532846276</v>
      </c>
      <c r="AC245" s="8" t="n">
        <f aca="false">(O245-$K245)^2</f>
        <v>0.798908829489</v>
      </c>
      <c r="AD245" s="8" t="n">
        <f aca="false">(P245-$K245)^2</f>
        <v>0.536800932889</v>
      </c>
      <c r="AE245" s="8" t="n">
        <f aca="false">MIN(INT(ROUND(N245*1000000,0)/100000),9)</f>
        <v>2</v>
      </c>
      <c r="AF245" s="8" t="n">
        <f aca="false">MIN(INT(ROUND(P245*1000000,0)/100000),9)</f>
        <v>2</v>
      </c>
    </row>
    <row r="246" customFormat="false" ht="15" hidden="false" customHeight="false" outlineLevel="0" collapsed="false">
      <c r="A246" s="4" t="n">
        <v>242</v>
      </c>
      <c r="B246" s="4" t="n">
        <v>1141</v>
      </c>
      <c r="C246" s="4" t="n">
        <v>0</v>
      </c>
      <c r="D246" s="11" t="n">
        <v>46054</v>
      </c>
      <c r="E246" s="4" t="s">
        <v>204</v>
      </c>
      <c r="F246" s="4" t="s">
        <v>210</v>
      </c>
      <c r="G246" s="4" t="n">
        <v>5</v>
      </c>
      <c r="H246" s="4" t="n">
        <v>11</v>
      </c>
      <c r="I246" s="4" t="n">
        <v>0</v>
      </c>
      <c r="J246" s="4" t="n">
        <v>90</v>
      </c>
      <c r="K246" s="4" t="n">
        <v>0</v>
      </c>
      <c r="L246" s="12" t="n">
        <v>0.944603</v>
      </c>
      <c r="M246" s="12" t="n">
        <v>0.092063</v>
      </c>
      <c r="N246" s="12" t="n">
        <v>0.117004</v>
      </c>
      <c r="O246" s="12" t="n">
        <v>0.106183</v>
      </c>
      <c r="P246" s="12" t="n">
        <v>0.124739</v>
      </c>
      <c r="Q246" s="0" t="str">
        <f aca="false">IF(L246&gt;=Models!$G$5,1+COUNTIF($L$5:$L$1517,"&gt;"&amp;L246)+COUNTIFS($L$5:$L$1517,L246,$B$5:$B$1517,"&lt;"&amp;B246)+COUNTIFS($L$5:$L$1517,L246,$B$5:$B$1517,B246,$C$5:$C$1517,"&lt;"&amp;C246),"")</f>
        <v/>
      </c>
      <c r="R246" s="0" t="str">
        <f aca="false">IF(M246&gt;=Models!$G$6,1+COUNTIF($M$5:$M$1517,"&gt;"&amp;M246)+COUNTIFS($M$5:$M$1517,M246,$B$5:$B$1517,"&lt;"&amp;B246)+COUNTIFS($M$5:$M$1517,M246,$B$5:$B$1517,B246,$C$5:$C$1517,"&lt;"&amp;C246),"")</f>
        <v/>
      </c>
      <c r="S246" s="0" t="str">
        <f aca="false">IF(N246&gt;=Models!$G$7,1+COUNTIF($N$5:$N$1517,"&gt;"&amp;N246)+COUNTIFS($N$5:$N$1517,N246,$B$5:$B$1517,"&lt;"&amp;B246)+COUNTIFS($N$5:$N$1517,N246,$B$5:$B$1517,B246,$C$5:$C$1517,"&lt;"&amp;C246),"")</f>
        <v/>
      </c>
      <c r="T246" s="8" t="n">
        <f aca="false">IF(O246&gt;=Models!$G$8,1+COUNTIF($O$5:$O$1517,"&gt;"&amp;O246)+COUNTIFS($O$5:$O$1517,O246,$B$5:$B$1517,"&lt;"&amp;B246)+COUNTIFS($O$5:$O$1517,O246,$B$5:$B$1517,B246,$C$5:$C$1517,"&lt;"&amp;C246),"")</f>
        <v>908</v>
      </c>
      <c r="U246" s="8" t="n">
        <f aca="false">IF($K246=1,COUNTIFS($L$5:$L$1517,"&gt;="&amp;L246,$K$5:$K$1517,1)/COUNTIF($L$5:$L$1517,"&gt;="&amp;L246),0)</f>
        <v>0</v>
      </c>
      <c r="V246" s="8" t="n">
        <f aca="false">IF($K246=1,COUNTIFS($M$5:$M$1517,"&gt;="&amp;M246,$K$5:$K$1517,1)/COUNTIF($M$5:$M$1517,"&gt;="&amp;M246),0)</f>
        <v>0</v>
      </c>
      <c r="W246" s="8" t="n">
        <f aca="false">IF($K246=1,COUNTIFS($N$5:$N$1517,"&gt;="&amp;N246,$K$5:$K$1517,1)/COUNTIF($N$5:$N$1517,"&gt;="&amp;N246),0)</f>
        <v>0</v>
      </c>
      <c r="X246" s="8" t="n">
        <f aca="false">IF($K246=1,COUNTIFS($O$5:$O$1517,"&gt;="&amp;O246,$K$5:$K$1517,1)/COUNTIF($O$5:$O$1517,"&gt;="&amp;O246),0)</f>
        <v>0</v>
      </c>
      <c r="Y246" s="8" t="n">
        <f aca="false">IF($K246=1,COUNTIFS($P$5:$P$1517,"&gt;="&amp;P246,$K$5:$K$1517,1)/COUNTIF($P$5:$P$1517,"&gt;="&amp;P246),0)</f>
        <v>0</v>
      </c>
      <c r="Z246" s="8" t="n">
        <f aca="false">(L246-$K246)^2</f>
        <v>0.892274827609</v>
      </c>
      <c r="AA246" s="8" t="n">
        <f aca="false">(M246-$K246)^2</f>
        <v>0.008475595969</v>
      </c>
      <c r="AB246" s="8" t="n">
        <f aca="false">(N246-$K246)^2</f>
        <v>0.013689936016</v>
      </c>
      <c r="AC246" s="8" t="n">
        <f aca="false">(O246-$K246)^2</f>
        <v>0.011274829489</v>
      </c>
      <c r="AD246" s="8" t="n">
        <f aca="false">(P246-$K246)^2</f>
        <v>0.015559818121</v>
      </c>
      <c r="AE246" s="8" t="n">
        <f aca="false">MIN(INT(ROUND(N246*1000000,0)/100000),9)</f>
        <v>1</v>
      </c>
      <c r="AF246" s="8" t="n">
        <f aca="false">MIN(INT(ROUND(P246*1000000,0)/100000),9)</f>
        <v>1</v>
      </c>
    </row>
    <row r="247" customFormat="false" ht="15" hidden="false" customHeight="false" outlineLevel="0" collapsed="false">
      <c r="A247" s="4" t="n">
        <v>243</v>
      </c>
      <c r="B247" s="4" t="n">
        <v>1143</v>
      </c>
      <c r="C247" s="4" t="n">
        <v>0</v>
      </c>
      <c r="D247" s="11" t="n">
        <v>46054</v>
      </c>
      <c r="E247" s="4" t="s">
        <v>201</v>
      </c>
      <c r="F247" s="4" t="s">
        <v>206</v>
      </c>
      <c r="G247" s="4" t="n">
        <v>19</v>
      </c>
      <c r="H247" s="4" t="n">
        <v>0</v>
      </c>
      <c r="I247" s="4" t="n">
        <v>0</v>
      </c>
      <c r="J247" s="4"/>
      <c r="K247" s="4" t="n">
        <v>0</v>
      </c>
      <c r="L247" s="12" t="n">
        <v>0.355621</v>
      </c>
      <c r="M247" s="12" t="n">
        <v>0.092063</v>
      </c>
      <c r="N247" s="12" t="n">
        <v>0.015943</v>
      </c>
      <c r="O247" s="12" t="n">
        <v>0.106183</v>
      </c>
      <c r="P247" s="12" t="n">
        <v>0.015522</v>
      </c>
      <c r="Q247" s="0" t="str">
        <f aca="false">IF(L247&gt;=Models!$G$5,1+COUNTIF($L$5:$L$1517,"&gt;"&amp;L247)+COUNTIFS($L$5:$L$1517,L247,$B$5:$B$1517,"&lt;"&amp;B247)+COUNTIFS($L$5:$L$1517,L247,$B$5:$B$1517,B247,$C$5:$C$1517,"&lt;"&amp;C247),"")</f>
        <v/>
      </c>
      <c r="R247" s="0" t="str">
        <f aca="false">IF(M247&gt;=Models!$G$6,1+COUNTIF($M$5:$M$1517,"&gt;"&amp;M247)+COUNTIFS($M$5:$M$1517,M247,$B$5:$B$1517,"&lt;"&amp;B247)+COUNTIFS($M$5:$M$1517,M247,$B$5:$B$1517,B247,$C$5:$C$1517,"&lt;"&amp;C247),"")</f>
        <v/>
      </c>
      <c r="S247" s="0" t="str">
        <f aca="false">IF(N247&gt;=Models!$G$7,1+COUNTIF($N$5:$N$1517,"&gt;"&amp;N247)+COUNTIFS($N$5:$N$1517,N247,$B$5:$B$1517,"&lt;"&amp;B247)+COUNTIFS($N$5:$N$1517,N247,$B$5:$B$1517,B247,$C$5:$C$1517,"&lt;"&amp;C247),"")</f>
        <v/>
      </c>
      <c r="T247" s="8" t="n">
        <f aca="false">IF(O247&gt;=Models!$G$8,1+COUNTIF($O$5:$O$1517,"&gt;"&amp;O247)+COUNTIFS($O$5:$O$1517,O247,$B$5:$B$1517,"&lt;"&amp;B247)+COUNTIFS($O$5:$O$1517,O247,$B$5:$B$1517,B247,$C$5:$C$1517,"&lt;"&amp;C247),"")</f>
        <v>912</v>
      </c>
      <c r="U247" s="8" t="n">
        <f aca="false">IF($K247=1,COUNTIFS($L$5:$L$1517,"&gt;="&amp;L247,$K$5:$K$1517,1)/COUNTIF($L$5:$L$1517,"&gt;="&amp;L247),0)</f>
        <v>0</v>
      </c>
      <c r="V247" s="8" t="n">
        <f aca="false">IF($K247=1,COUNTIFS($M$5:$M$1517,"&gt;="&amp;M247,$K$5:$K$1517,1)/COUNTIF($M$5:$M$1517,"&gt;="&amp;M247),0)</f>
        <v>0</v>
      </c>
      <c r="W247" s="8" t="n">
        <f aca="false">IF($K247=1,COUNTIFS($N$5:$N$1517,"&gt;="&amp;N247,$K$5:$K$1517,1)/COUNTIF($N$5:$N$1517,"&gt;="&amp;N247),0)</f>
        <v>0</v>
      </c>
      <c r="X247" s="8" t="n">
        <f aca="false">IF($K247=1,COUNTIFS($O$5:$O$1517,"&gt;="&amp;O247,$K$5:$K$1517,1)/COUNTIF($O$5:$O$1517,"&gt;="&amp;O247),0)</f>
        <v>0</v>
      </c>
      <c r="Y247" s="8" t="n">
        <f aca="false">IF($K247=1,COUNTIFS($P$5:$P$1517,"&gt;="&amp;P247,$K$5:$K$1517,1)/COUNTIF($P$5:$P$1517,"&gt;="&amp;P247),0)</f>
        <v>0</v>
      </c>
      <c r="Z247" s="8" t="n">
        <f aca="false">(L247-$K247)^2</f>
        <v>0.126466295641</v>
      </c>
      <c r="AA247" s="8" t="n">
        <f aca="false">(M247-$K247)^2</f>
        <v>0.008475595969</v>
      </c>
      <c r="AB247" s="8" t="n">
        <f aca="false">(N247-$K247)^2</f>
        <v>0.000254179249</v>
      </c>
      <c r="AC247" s="8" t="n">
        <f aca="false">(O247-$K247)^2</f>
        <v>0.011274829489</v>
      </c>
      <c r="AD247" s="8" t="n">
        <f aca="false">(P247-$K247)^2</f>
        <v>0.000240932484</v>
      </c>
      <c r="AE247" s="8" t="n">
        <f aca="false">MIN(INT(ROUND(N247*1000000,0)/100000),9)</f>
        <v>0</v>
      </c>
      <c r="AF247" s="8" t="n">
        <f aca="false">MIN(INT(ROUND(P247*1000000,0)/100000),9)</f>
        <v>0</v>
      </c>
    </row>
    <row r="248" customFormat="false" ht="15" hidden="false" customHeight="false" outlineLevel="0" collapsed="false">
      <c r="A248" s="4" t="n">
        <v>244</v>
      </c>
      <c r="B248" s="4" t="n">
        <v>1146</v>
      </c>
      <c r="C248" s="4" t="n">
        <v>0</v>
      </c>
      <c r="D248" s="11" t="n">
        <v>46054</v>
      </c>
      <c r="E248" s="4" t="s">
        <v>204</v>
      </c>
      <c r="F248" s="4" t="s">
        <v>206</v>
      </c>
      <c r="G248" s="4" t="n">
        <v>2</v>
      </c>
      <c r="H248" s="4" t="n">
        <v>2</v>
      </c>
      <c r="I248" s="4" t="n">
        <v>0</v>
      </c>
      <c r="J248" s="4"/>
      <c r="K248" s="4" t="n">
        <v>0</v>
      </c>
      <c r="L248" s="12" t="n">
        <v>0.661814</v>
      </c>
      <c r="M248" s="12" t="n">
        <v>0.092063</v>
      </c>
      <c r="N248" s="12" t="n">
        <v>0.070672</v>
      </c>
      <c r="O248" s="12" t="n">
        <v>0.106183</v>
      </c>
      <c r="P248" s="12" t="n">
        <v>0.07378</v>
      </c>
      <c r="Q248" s="0" t="str">
        <f aca="false">IF(L248&gt;=Models!$G$5,1+COUNTIF($L$5:$L$1517,"&gt;"&amp;L248)+COUNTIFS($L$5:$L$1517,L248,$B$5:$B$1517,"&lt;"&amp;B248)+COUNTIFS($L$5:$L$1517,L248,$B$5:$B$1517,B248,$C$5:$C$1517,"&lt;"&amp;C248),"")</f>
        <v/>
      </c>
      <c r="R248" s="0" t="str">
        <f aca="false">IF(M248&gt;=Models!$G$6,1+COUNTIF($M$5:$M$1517,"&gt;"&amp;M248)+COUNTIFS($M$5:$M$1517,M248,$B$5:$B$1517,"&lt;"&amp;B248)+COUNTIFS($M$5:$M$1517,M248,$B$5:$B$1517,B248,$C$5:$C$1517,"&lt;"&amp;C248),"")</f>
        <v/>
      </c>
      <c r="S248" s="0" t="str">
        <f aca="false">IF(N248&gt;=Models!$G$7,1+COUNTIF($N$5:$N$1517,"&gt;"&amp;N248)+COUNTIFS($N$5:$N$1517,N248,$B$5:$B$1517,"&lt;"&amp;B248)+COUNTIFS($N$5:$N$1517,N248,$B$5:$B$1517,B248,$C$5:$C$1517,"&lt;"&amp;C248),"")</f>
        <v/>
      </c>
      <c r="T248" s="8" t="n">
        <f aca="false">IF(O248&gt;=Models!$G$8,1+COUNTIF($O$5:$O$1517,"&gt;"&amp;O248)+COUNTIFS($O$5:$O$1517,O248,$B$5:$B$1517,"&lt;"&amp;B248)+COUNTIFS($O$5:$O$1517,O248,$B$5:$B$1517,B248,$C$5:$C$1517,"&lt;"&amp;C248),"")</f>
        <v>916</v>
      </c>
      <c r="U248" s="8" t="n">
        <f aca="false">IF($K248=1,COUNTIFS($L$5:$L$1517,"&gt;="&amp;L248,$K$5:$K$1517,1)/COUNTIF($L$5:$L$1517,"&gt;="&amp;L248),0)</f>
        <v>0</v>
      </c>
      <c r="V248" s="8" t="n">
        <f aca="false">IF($K248=1,COUNTIFS($M$5:$M$1517,"&gt;="&amp;M248,$K$5:$K$1517,1)/COUNTIF($M$5:$M$1517,"&gt;="&amp;M248),0)</f>
        <v>0</v>
      </c>
      <c r="W248" s="8" t="n">
        <f aca="false">IF($K248=1,COUNTIFS($N$5:$N$1517,"&gt;="&amp;N248,$K$5:$K$1517,1)/COUNTIF($N$5:$N$1517,"&gt;="&amp;N248),0)</f>
        <v>0</v>
      </c>
      <c r="X248" s="8" t="n">
        <f aca="false">IF($K248=1,COUNTIFS($O$5:$O$1517,"&gt;="&amp;O248,$K$5:$K$1517,1)/COUNTIF($O$5:$O$1517,"&gt;="&amp;O248),0)</f>
        <v>0</v>
      </c>
      <c r="Y248" s="8" t="n">
        <f aca="false">IF($K248=1,COUNTIFS($P$5:$P$1517,"&gt;="&amp;P248,$K$5:$K$1517,1)/COUNTIF($P$5:$P$1517,"&gt;="&amp;P248),0)</f>
        <v>0</v>
      </c>
      <c r="Z248" s="8" t="n">
        <f aca="false">(L248-$K248)^2</f>
        <v>0.437997770596</v>
      </c>
      <c r="AA248" s="8" t="n">
        <f aca="false">(M248-$K248)^2</f>
        <v>0.008475595969</v>
      </c>
      <c r="AB248" s="8" t="n">
        <f aca="false">(N248-$K248)^2</f>
        <v>0.004994531584</v>
      </c>
      <c r="AC248" s="8" t="n">
        <f aca="false">(O248-$K248)^2</f>
        <v>0.011274829489</v>
      </c>
      <c r="AD248" s="8" t="n">
        <f aca="false">(P248-$K248)^2</f>
        <v>0.0054434884</v>
      </c>
      <c r="AE248" s="8" t="n">
        <f aca="false">MIN(INT(ROUND(N248*1000000,0)/100000),9)</f>
        <v>0</v>
      </c>
      <c r="AF248" s="8" t="n">
        <f aca="false">MIN(INT(ROUND(P248*1000000,0)/100000),9)</f>
        <v>0</v>
      </c>
    </row>
    <row r="249" customFormat="false" ht="15" hidden="false" customHeight="false" outlineLevel="0" collapsed="false">
      <c r="A249" s="4" t="n">
        <v>245</v>
      </c>
      <c r="B249" s="4" t="n">
        <v>1150</v>
      </c>
      <c r="C249" s="4" t="n">
        <v>0</v>
      </c>
      <c r="D249" s="11" t="n">
        <v>46054</v>
      </c>
      <c r="E249" s="4" t="s">
        <v>204</v>
      </c>
      <c r="F249" s="4" t="s">
        <v>209</v>
      </c>
      <c r="G249" s="4" t="n">
        <v>2</v>
      </c>
      <c r="H249" s="4" t="n">
        <v>1</v>
      </c>
      <c r="I249" s="4" t="n">
        <v>0</v>
      </c>
      <c r="J249" s="4" t="n">
        <v>69</v>
      </c>
      <c r="K249" s="4" t="n">
        <v>0</v>
      </c>
      <c r="L249" s="12" t="n">
        <v>0.31578</v>
      </c>
      <c r="M249" s="12" t="n">
        <v>0.092063</v>
      </c>
      <c r="N249" s="12" t="n">
        <v>0.138018</v>
      </c>
      <c r="O249" s="12" t="n">
        <v>0.106183</v>
      </c>
      <c r="P249" s="12" t="n">
        <v>0.148042</v>
      </c>
      <c r="Q249" s="0" t="str">
        <f aca="false">IF(L249&gt;=Models!$G$5,1+COUNTIF($L$5:$L$1517,"&gt;"&amp;L249)+COUNTIFS($L$5:$L$1517,L249,$B$5:$B$1517,"&lt;"&amp;B249)+COUNTIFS($L$5:$L$1517,L249,$B$5:$B$1517,B249,$C$5:$C$1517,"&lt;"&amp;C249),"")</f>
        <v/>
      </c>
      <c r="R249" s="0" t="str">
        <f aca="false">IF(M249&gt;=Models!$G$6,1+COUNTIF($M$5:$M$1517,"&gt;"&amp;M249)+COUNTIFS($M$5:$M$1517,M249,$B$5:$B$1517,"&lt;"&amp;B249)+COUNTIFS($M$5:$M$1517,M249,$B$5:$B$1517,B249,$C$5:$C$1517,"&lt;"&amp;C249),"")</f>
        <v/>
      </c>
      <c r="S249" s="0" t="str">
        <f aca="false">IF(N249&gt;=Models!$G$7,1+COUNTIF($N$5:$N$1517,"&gt;"&amp;N249)+COUNTIFS($N$5:$N$1517,N249,$B$5:$B$1517,"&lt;"&amp;B249)+COUNTIFS($N$5:$N$1517,N249,$B$5:$B$1517,B249,$C$5:$C$1517,"&lt;"&amp;C249),"")</f>
        <v/>
      </c>
      <c r="T249" s="8" t="n">
        <f aca="false">IF(O249&gt;=Models!$G$8,1+COUNTIF($O$5:$O$1517,"&gt;"&amp;O249)+COUNTIFS($O$5:$O$1517,O249,$B$5:$B$1517,"&lt;"&amp;B249)+COUNTIFS($O$5:$O$1517,O249,$B$5:$B$1517,B249,$C$5:$C$1517,"&lt;"&amp;C249),"")</f>
        <v>920</v>
      </c>
      <c r="U249" s="8" t="n">
        <f aca="false">IF($K249=1,COUNTIFS($L$5:$L$1517,"&gt;="&amp;L249,$K$5:$K$1517,1)/COUNTIF($L$5:$L$1517,"&gt;="&amp;L249),0)</f>
        <v>0</v>
      </c>
      <c r="V249" s="8" t="n">
        <f aca="false">IF($K249=1,COUNTIFS($M$5:$M$1517,"&gt;="&amp;M249,$K$5:$K$1517,1)/COUNTIF($M$5:$M$1517,"&gt;="&amp;M249),0)</f>
        <v>0</v>
      </c>
      <c r="W249" s="8" t="n">
        <f aca="false">IF($K249=1,COUNTIFS($N$5:$N$1517,"&gt;="&amp;N249,$K$5:$K$1517,1)/COUNTIF($N$5:$N$1517,"&gt;="&amp;N249),0)</f>
        <v>0</v>
      </c>
      <c r="X249" s="8" t="n">
        <f aca="false">IF($K249=1,COUNTIFS($O$5:$O$1517,"&gt;="&amp;O249,$K$5:$K$1517,1)/COUNTIF($O$5:$O$1517,"&gt;="&amp;O249),0)</f>
        <v>0</v>
      </c>
      <c r="Y249" s="8" t="n">
        <f aca="false">IF($K249=1,COUNTIFS($P$5:$P$1517,"&gt;="&amp;P249,$K$5:$K$1517,1)/COUNTIF($P$5:$P$1517,"&gt;="&amp;P249),0)</f>
        <v>0</v>
      </c>
      <c r="Z249" s="8" t="n">
        <f aca="false">(L249-$K249)^2</f>
        <v>0.0997170084</v>
      </c>
      <c r="AA249" s="8" t="n">
        <f aca="false">(M249-$K249)^2</f>
        <v>0.008475595969</v>
      </c>
      <c r="AB249" s="8" t="n">
        <f aca="false">(N249-$K249)^2</f>
        <v>0.019048968324</v>
      </c>
      <c r="AC249" s="8" t="n">
        <f aca="false">(O249-$K249)^2</f>
        <v>0.011274829489</v>
      </c>
      <c r="AD249" s="8" t="n">
        <f aca="false">(P249-$K249)^2</f>
        <v>0.021916433764</v>
      </c>
      <c r="AE249" s="8" t="n">
        <f aca="false">MIN(INT(ROUND(N249*1000000,0)/100000),9)</f>
        <v>1</v>
      </c>
      <c r="AF249" s="8" t="n">
        <f aca="false">MIN(INT(ROUND(P249*1000000,0)/100000),9)</f>
        <v>1</v>
      </c>
    </row>
    <row r="250" customFormat="false" ht="15" hidden="false" customHeight="false" outlineLevel="0" collapsed="false">
      <c r="A250" s="4" t="n">
        <v>246</v>
      </c>
      <c r="B250" s="4" t="n">
        <v>1153</v>
      </c>
      <c r="C250" s="4" t="n">
        <v>0</v>
      </c>
      <c r="D250" s="11" t="n">
        <v>46054</v>
      </c>
      <c r="E250" s="4" t="s">
        <v>203</v>
      </c>
      <c r="F250" s="4" t="s">
        <v>206</v>
      </c>
      <c r="G250" s="4" t="n">
        <v>6</v>
      </c>
      <c r="H250" s="4" t="n">
        <v>2</v>
      </c>
      <c r="I250" s="4" t="n">
        <v>0</v>
      </c>
      <c r="J250" s="4"/>
      <c r="K250" s="4" t="n">
        <v>0</v>
      </c>
      <c r="L250" s="12" t="n">
        <v>0.771355</v>
      </c>
      <c r="M250" s="12" t="n">
        <v>0.092063</v>
      </c>
      <c r="N250" s="12" t="n">
        <v>0.050384</v>
      </c>
      <c r="O250" s="12" t="n">
        <v>0.106183</v>
      </c>
      <c r="P250" s="12" t="n">
        <v>0.051803</v>
      </c>
      <c r="Q250" s="0" t="str">
        <f aca="false">IF(L250&gt;=Models!$G$5,1+COUNTIF($L$5:$L$1517,"&gt;"&amp;L250)+COUNTIFS($L$5:$L$1517,L250,$B$5:$B$1517,"&lt;"&amp;B250)+COUNTIFS($L$5:$L$1517,L250,$B$5:$B$1517,B250,$C$5:$C$1517,"&lt;"&amp;C250),"")</f>
        <v/>
      </c>
      <c r="R250" s="0" t="str">
        <f aca="false">IF(M250&gt;=Models!$G$6,1+COUNTIF($M$5:$M$1517,"&gt;"&amp;M250)+COUNTIFS($M$5:$M$1517,M250,$B$5:$B$1517,"&lt;"&amp;B250)+COUNTIFS($M$5:$M$1517,M250,$B$5:$B$1517,B250,$C$5:$C$1517,"&lt;"&amp;C250),"")</f>
        <v/>
      </c>
      <c r="S250" s="0" t="str">
        <f aca="false">IF(N250&gt;=Models!$G$7,1+COUNTIF($N$5:$N$1517,"&gt;"&amp;N250)+COUNTIFS($N$5:$N$1517,N250,$B$5:$B$1517,"&lt;"&amp;B250)+COUNTIFS($N$5:$N$1517,N250,$B$5:$B$1517,B250,$C$5:$C$1517,"&lt;"&amp;C250),"")</f>
        <v/>
      </c>
      <c r="T250" s="8" t="n">
        <f aca="false">IF(O250&gt;=Models!$G$8,1+COUNTIF($O$5:$O$1517,"&gt;"&amp;O250)+COUNTIFS($O$5:$O$1517,O250,$B$5:$B$1517,"&lt;"&amp;B250)+COUNTIFS($O$5:$O$1517,O250,$B$5:$B$1517,B250,$C$5:$C$1517,"&lt;"&amp;C250),"")</f>
        <v>924</v>
      </c>
      <c r="U250" s="8" t="n">
        <f aca="false">IF($K250=1,COUNTIFS($L$5:$L$1517,"&gt;="&amp;L250,$K$5:$K$1517,1)/COUNTIF($L$5:$L$1517,"&gt;="&amp;L250),0)</f>
        <v>0</v>
      </c>
      <c r="V250" s="8" t="n">
        <f aca="false">IF($K250=1,COUNTIFS($M$5:$M$1517,"&gt;="&amp;M250,$K$5:$K$1517,1)/COUNTIF($M$5:$M$1517,"&gt;="&amp;M250),0)</f>
        <v>0</v>
      </c>
      <c r="W250" s="8" t="n">
        <f aca="false">IF($K250=1,COUNTIFS($N$5:$N$1517,"&gt;="&amp;N250,$K$5:$K$1517,1)/COUNTIF($N$5:$N$1517,"&gt;="&amp;N250),0)</f>
        <v>0</v>
      </c>
      <c r="X250" s="8" t="n">
        <f aca="false">IF($K250=1,COUNTIFS($O$5:$O$1517,"&gt;="&amp;O250,$K$5:$K$1517,1)/COUNTIF($O$5:$O$1517,"&gt;="&amp;O250),0)</f>
        <v>0</v>
      </c>
      <c r="Y250" s="8" t="n">
        <f aca="false">IF($K250=1,COUNTIFS($P$5:$P$1517,"&gt;="&amp;P250,$K$5:$K$1517,1)/COUNTIF($P$5:$P$1517,"&gt;="&amp;P250),0)</f>
        <v>0</v>
      </c>
      <c r="Z250" s="8" t="n">
        <f aca="false">(L250-$K250)^2</f>
        <v>0.594988536025</v>
      </c>
      <c r="AA250" s="8" t="n">
        <f aca="false">(M250-$K250)^2</f>
        <v>0.008475595969</v>
      </c>
      <c r="AB250" s="8" t="n">
        <f aca="false">(N250-$K250)^2</f>
        <v>0.002538547456</v>
      </c>
      <c r="AC250" s="8" t="n">
        <f aca="false">(O250-$K250)^2</f>
        <v>0.011274829489</v>
      </c>
      <c r="AD250" s="8" t="n">
        <f aca="false">(P250-$K250)^2</f>
        <v>0.002683550809</v>
      </c>
      <c r="AE250" s="8" t="n">
        <f aca="false">MIN(INT(ROUND(N250*1000000,0)/100000),9)</f>
        <v>0</v>
      </c>
      <c r="AF250" s="8" t="n">
        <f aca="false">MIN(INT(ROUND(P250*1000000,0)/100000),9)</f>
        <v>0</v>
      </c>
    </row>
    <row r="251" customFormat="false" ht="15" hidden="false" customHeight="false" outlineLevel="0" collapsed="false">
      <c r="A251" s="4" t="n">
        <v>247</v>
      </c>
      <c r="B251" s="4" t="n">
        <v>1156</v>
      </c>
      <c r="C251" s="4" t="n">
        <v>0</v>
      </c>
      <c r="D251" s="11" t="n">
        <v>46054</v>
      </c>
      <c r="E251" s="4" t="s">
        <v>203</v>
      </c>
      <c r="F251" s="4" t="s">
        <v>206</v>
      </c>
      <c r="G251" s="4" t="n">
        <v>0</v>
      </c>
      <c r="H251" s="4" t="n">
        <v>37</v>
      </c>
      <c r="I251" s="4" t="n">
        <v>0</v>
      </c>
      <c r="J251" s="4" t="n">
        <v>342</v>
      </c>
      <c r="K251" s="4" t="n">
        <v>0</v>
      </c>
      <c r="L251" s="12" t="n">
        <v>0.126873</v>
      </c>
      <c r="M251" s="12" t="n">
        <v>0.184211</v>
      </c>
      <c r="N251" s="12" t="n">
        <v>0.202181</v>
      </c>
      <c r="O251" s="12" t="n">
        <v>0.106183</v>
      </c>
      <c r="P251" s="12" t="n">
        <v>0.219418</v>
      </c>
      <c r="Q251" s="0" t="str">
        <f aca="false">IF(L251&gt;=Models!$G$5,1+COUNTIF($L$5:$L$1517,"&gt;"&amp;L251)+COUNTIFS($L$5:$L$1517,L251,$B$5:$B$1517,"&lt;"&amp;B251)+COUNTIFS($L$5:$L$1517,L251,$B$5:$B$1517,B251,$C$5:$C$1517,"&lt;"&amp;C251),"")</f>
        <v/>
      </c>
      <c r="R251" s="8" t="n">
        <f aca="false">IF(M251&gt;=Models!$G$6,1+COUNTIF($M$5:$M$1517,"&gt;"&amp;M251)+COUNTIFS($M$5:$M$1517,M251,$B$5:$B$1517,"&lt;"&amp;B251)+COUNTIFS($M$5:$M$1517,M251,$B$5:$B$1517,B251,$C$5:$C$1517,"&lt;"&amp;C251),"")</f>
        <v>108</v>
      </c>
      <c r="S251" s="0" t="str">
        <f aca="false">IF(N251&gt;=Models!$G$7,1+COUNTIF($N$5:$N$1517,"&gt;"&amp;N251)+COUNTIFS($N$5:$N$1517,N251,$B$5:$B$1517,"&lt;"&amp;B251)+COUNTIFS($N$5:$N$1517,N251,$B$5:$B$1517,B251,$C$5:$C$1517,"&lt;"&amp;C251),"")</f>
        <v/>
      </c>
      <c r="T251" s="8" t="n">
        <f aca="false">IF(O251&gt;=Models!$G$8,1+COUNTIF($O$5:$O$1517,"&gt;"&amp;O251)+COUNTIFS($O$5:$O$1517,O251,$B$5:$B$1517,"&lt;"&amp;B251)+COUNTIFS($O$5:$O$1517,O251,$B$5:$B$1517,B251,$C$5:$C$1517,"&lt;"&amp;C251),"")</f>
        <v>928</v>
      </c>
      <c r="U251" s="8" t="n">
        <f aca="false">IF($K251=1,COUNTIFS($L$5:$L$1517,"&gt;="&amp;L251,$K$5:$K$1517,1)/COUNTIF($L$5:$L$1517,"&gt;="&amp;L251),0)</f>
        <v>0</v>
      </c>
      <c r="V251" s="8" t="n">
        <f aca="false">IF($K251=1,COUNTIFS($M$5:$M$1517,"&gt;="&amp;M251,$K$5:$K$1517,1)/COUNTIF($M$5:$M$1517,"&gt;="&amp;M251),0)</f>
        <v>0</v>
      </c>
      <c r="W251" s="8" t="n">
        <f aca="false">IF($K251=1,COUNTIFS($N$5:$N$1517,"&gt;="&amp;N251,$K$5:$K$1517,1)/COUNTIF($N$5:$N$1517,"&gt;="&amp;N251),0)</f>
        <v>0</v>
      </c>
      <c r="X251" s="8" t="n">
        <f aca="false">IF($K251=1,COUNTIFS($O$5:$O$1517,"&gt;="&amp;O251,$K$5:$K$1517,1)/COUNTIF($O$5:$O$1517,"&gt;="&amp;O251),0)</f>
        <v>0</v>
      </c>
      <c r="Y251" s="8" t="n">
        <f aca="false">IF($K251=1,COUNTIFS($P$5:$P$1517,"&gt;="&amp;P251,$K$5:$K$1517,1)/COUNTIF($P$5:$P$1517,"&gt;="&amp;P251),0)</f>
        <v>0</v>
      </c>
      <c r="Z251" s="8" t="n">
        <f aca="false">(L251-$K251)^2</f>
        <v>0.016096758129</v>
      </c>
      <c r="AA251" s="8" t="n">
        <f aca="false">(M251-$K251)^2</f>
        <v>0.033933692521</v>
      </c>
      <c r="AB251" s="8" t="n">
        <f aca="false">(N251-$K251)^2</f>
        <v>0.040877156761</v>
      </c>
      <c r="AC251" s="8" t="n">
        <f aca="false">(O251-$K251)^2</f>
        <v>0.011274829489</v>
      </c>
      <c r="AD251" s="8" t="n">
        <f aca="false">(P251-$K251)^2</f>
        <v>0.048144258724</v>
      </c>
      <c r="AE251" s="8" t="n">
        <f aca="false">MIN(INT(ROUND(N251*1000000,0)/100000),9)</f>
        <v>2</v>
      </c>
      <c r="AF251" s="8" t="n">
        <f aca="false">MIN(INT(ROUND(P251*1000000,0)/100000),9)</f>
        <v>2</v>
      </c>
    </row>
    <row r="252" customFormat="false" ht="15" hidden="false" customHeight="false" outlineLevel="0" collapsed="false">
      <c r="A252" s="4" t="n">
        <v>248</v>
      </c>
      <c r="B252" s="4" t="n">
        <v>1166</v>
      </c>
      <c r="C252" s="4" t="n">
        <v>0</v>
      </c>
      <c r="D252" s="11" t="n">
        <v>46054</v>
      </c>
      <c r="E252" s="4" t="s">
        <v>204</v>
      </c>
      <c r="F252" s="4" t="s">
        <v>206</v>
      </c>
      <c r="G252" s="4" t="n">
        <v>2</v>
      </c>
      <c r="H252" s="4" t="n">
        <v>3</v>
      </c>
      <c r="I252" s="4" t="n">
        <v>0</v>
      </c>
      <c r="J252" s="4" t="n">
        <v>105</v>
      </c>
      <c r="K252" s="4" t="n">
        <v>0</v>
      </c>
      <c r="L252" s="12" t="n">
        <v>0.76885</v>
      </c>
      <c r="M252" s="12" t="n">
        <v>0.092063</v>
      </c>
      <c r="N252" s="12" t="n">
        <v>0.139727</v>
      </c>
      <c r="O252" s="12" t="n">
        <v>0.106183</v>
      </c>
      <c r="P252" s="12" t="n">
        <v>0.149941</v>
      </c>
      <c r="Q252" s="0" t="str">
        <f aca="false">IF(L252&gt;=Models!$G$5,1+COUNTIF($L$5:$L$1517,"&gt;"&amp;L252)+COUNTIFS($L$5:$L$1517,L252,$B$5:$B$1517,"&lt;"&amp;B252)+COUNTIFS($L$5:$L$1517,L252,$B$5:$B$1517,B252,$C$5:$C$1517,"&lt;"&amp;C252),"")</f>
        <v/>
      </c>
      <c r="R252" s="0" t="str">
        <f aca="false">IF(M252&gt;=Models!$G$6,1+COUNTIF($M$5:$M$1517,"&gt;"&amp;M252)+COUNTIFS($M$5:$M$1517,M252,$B$5:$B$1517,"&lt;"&amp;B252)+COUNTIFS($M$5:$M$1517,M252,$B$5:$B$1517,B252,$C$5:$C$1517,"&lt;"&amp;C252),"")</f>
        <v/>
      </c>
      <c r="S252" s="0" t="str">
        <f aca="false">IF(N252&gt;=Models!$G$7,1+COUNTIF($N$5:$N$1517,"&gt;"&amp;N252)+COUNTIFS($N$5:$N$1517,N252,$B$5:$B$1517,"&lt;"&amp;B252)+COUNTIFS($N$5:$N$1517,N252,$B$5:$B$1517,B252,$C$5:$C$1517,"&lt;"&amp;C252),"")</f>
        <v/>
      </c>
      <c r="T252" s="8" t="n">
        <f aca="false">IF(O252&gt;=Models!$G$8,1+COUNTIF($O$5:$O$1517,"&gt;"&amp;O252)+COUNTIFS($O$5:$O$1517,O252,$B$5:$B$1517,"&lt;"&amp;B252)+COUNTIFS($O$5:$O$1517,O252,$B$5:$B$1517,B252,$C$5:$C$1517,"&lt;"&amp;C252),"")</f>
        <v>932</v>
      </c>
      <c r="U252" s="8" t="n">
        <f aca="false">IF($K252=1,COUNTIFS($L$5:$L$1517,"&gt;="&amp;L252,$K$5:$K$1517,1)/COUNTIF($L$5:$L$1517,"&gt;="&amp;L252),0)</f>
        <v>0</v>
      </c>
      <c r="V252" s="8" t="n">
        <f aca="false">IF($K252=1,COUNTIFS($M$5:$M$1517,"&gt;="&amp;M252,$K$5:$K$1517,1)/COUNTIF($M$5:$M$1517,"&gt;="&amp;M252),0)</f>
        <v>0</v>
      </c>
      <c r="W252" s="8" t="n">
        <f aca="false">IF($K252=1,COUNTIFS($N$5:$N$1517,"&gt;="&amp;N252,$K$5:$K$1517,1)/COUNTIF($N$5:$N$1517,"&gt;="&amp;N252),0)</f>
        <v>0</v>
      </c>
      <c r="X252" s="8" t="n">
        <f aca="false">IF($K252=1,COUNTIFS($O$5:$O$1517,"&gt;="&amp;O252,$K$5:$K$1517,1)/COUNTIF($O$5:$O$1517,"&gt;="&amp;O252),0)</f>
        <v>0</v>
      </c>
      <c r="Y252" s="8" t="n">
        <f aca="false">IF($K252=1,COUNTIFS($P$5:$P$1517,"&gt;="&amp;P252,$K$5:$K$1517,1)/COUNTIF($P$5:$P$1517,"&gt;="&amp;P252),0)</f>
        <v>0</v>
      </c>
      <c r="Z252" s="8" t="n">
        <f aca="false">(L252-$K252)^2</f>
        <v>0.5911303225</v>
      </c>
      <c r="AA252" s="8" t="n">
        <f aca="false">(M252-$K252)^2</f>
        <v>0.008475595969</v>
      </c>
      <c r="AB252" s="8" t="n">
        <f aca="false">(N252-$K252)^2</f>
        <v>0.019523634529</v>
      </c>
      <c r="AC252" s="8" t="n">
        <f aca="false">(O252-$K252)^2</f>
        <v>0.011274829489</v>
      </c>
      <c r="AD252" s="8" t="n">
        <f aca="false">(P252-$K252)^2</f>
        <v>0.022482303481</v>
      </c>
      <c r="AE252" s="8" t="n">
        <f aca="false">MIN(INT(ROUND(N252*1000000,0)/100000),9)</f>
        <v>1</v>
      </c>
      <c r="AF252" s="8" t="n">
        <f aca="false">MIN(INT(ROUND(P252*1000000,0)/100000),9)</f>
        <v>1</v>
      </c>
    </row>
    <row r="253" customFormat="false" ht="15" hidden="false" customHeight="false" outlineLevel="0" collapsed="false">
      <c r="A253" s="4" t="n">
        <v>249</v>
      </c>
      <c r="B253" s="4" t="n">
        <v>1168</v>
      </c>
      <c r="C253" s="4" t="n">
        <v>0</v>
      </c>
      <c r="D253" s="11" t="n">
        <v>46054</v>
      </c>
      <c r="E253" s="4" t="s">
        <v>202</v>
      </c>
      <c r="F253" s="4" t="s">
        <v>206</v>
      </c>
      <c r="G253" s="4" t="n">
        <v>6</v>
      </c>
      <c r="H253" s="4" t="n">
        <v>1</v>
      </c>
      <c r="I253" s="4" t="n">
        <v>0</v>
      </c>
      <c r="J253" s="4"/>
      <c r="K253" s="4" t="n">
        <v>0</v>
      </c>
      <c r="L253" s="12" t="n">
        <v>0.69921</v>
      </c>
      <c r="M253" s="12" t="n">
        <v>0.092063</v>
      </c>
      <c r="N253" s="12" t="n">
        <v>0.049993</v>
      </c>
      <c r="O253" s="12" t="n">
        <v>0.106183</v>
      </c>
      <c r="P253" s="12" t="n">
        <v>0.051383</v>
      </c>
      <c r="Q253" s="0" t="str">
        <f aca="false">IF(L253&gt;=Models!$G$5,1+COUNTIF($L$5:$L$1517,"&gt;"&amp;L253)+COUNTIFS($L$5:$L$1517,L253,$B$5:$B$1517,"&lt;"&amp;B253)+COUNTIFS($L$5:$L$1517,L253,$B$5:$B$1517,B253,$C$5:$C$1517,"&lt;"&amp;C253),"")</f>
        <v/>
      </c>
      <c r="R253" s="0" t="str">
        <f aca="false">IF(M253&gt;=Models!$G$6,1+COUNTIF($M$5:$M$1517,"&gt;"&amp;M253)+COUNTIFS($M$5:$M$1517,M253,$B$5:$B$1517,"&lt;"&amp;B253)+COUNTIFS($M$5:$M$1517,M253,$B$5:$B$1517,B253,$C$5:$C$1517,"&lt;"&amp;C253),"")</f>
        <v/>
      </c>
      <c r="S253" s="0" t="str">
        <f aca="false">IF(N253&gt;=Models!$G$7,1+COUNTIF($N$5:$N$1517,"&gt;"&amp;N253)+COUNTIFS($N$5:$N$1517,N253,$B$5:$B$1517,"&lt;"&amp;B253)+COUNTIFS($N$5:$N$1517,N253,$B$5:$B$1517,B253,$C$5:$C$1517,"&lt;"&amp;C253),"")</f>
        <v/>
      </c>
      <c r="T253" s="8" t="n">
        <f aca="false">IF(O253&gt;=Models!$G$8,1+COUNTIF($O$5:$O$1517,"&gt;"&amp;O253)+COUNTIFS($O$5:$O$1517,O253,$B$5:$B$1517,"&lt;"&amp;B253)+COUNTIFS($O$5:$O$1517,O253,$B$5:$B$1517,B253,$C$5:$C$1517,"&lt;"&amp;C253),"")</f>
        <v>936</v>
      </c>
      <c r="U253" s="8" t="n">
        <f aca="false">IF($K253=1,COUNTIFS($L$5:$L$1517,"&gt;="&amp;L253,$K$5:$K$1517,1)/COUNTIF($L$5:$L$1517,"&gt;="&amp;L253),0)</f>
        <v>0</v>
      </c>
      <c r="V253" s="8" t="n">
        <f aca="false">IF($K253=1,COUNTIFS($M$5:$M$1517,"&gt;="&amp;M253,$K$5:$K$1517,1)/COUNTIF($M$5:$M$1517,"&gt;="&amp;M253),0)</f>
        <v>0</v>
      </c>
      <c r="W253" s="8" t="n">
        <f aca="false">IF($K253=1,COUNTIFS($N$5:$N$1517,"&gt;="&amp;N253,$K$5:$K$1517,1)/COUNTIF($N$5:$N$1517,"&gt;="&amp;N253),0)</f>
        <v>0</v>
      </c>
      <c r="X253" s="8" t="n">
        <f aca="false">IF($K253=1,COUNTIFS($O$5:$O$1517,"&gt;="&amp;O253,$K$5:$K$1517,1)/COUNTIF($O$5:$O$1517,"&gt;="&amp;O253),0)</f>
        <v>0</v>
      </c>
      <c r="Y253" s="8" t="n">
        <f aca="false">IF($K253=1,COUNTIFS($P$5:$P$1517,"&gt;="&amp;P253,$K$5:$K$1517,1)/COUNTIF($P$5:$P$1517,"&gt;="&amp;P253),0)</f>
        <v>0</v>
      </c>
      <c r="Z253" s="8" t="n">
        <f aca="false">(L253-$K253)^2</f>
        <v>0.4888946241</v>
      </c>
      <c r="AA253" s="8" t="n">
        <f aca="false">(M253-$K253)^2</f>
        <v>0.008475595969</v>
      </c>
      <c r="AB253" s="8" t="n">
        <f aca="false">(N253-$K253)^2</f>
        <v>0.002499300049</v>
      </c>
      <c r="AC253" s="8" t="n">
        <f aca="false">(O253-$K253)^2</f>
        <v>0.011274829489</v>
      </c>
      <c r="AD253" s="8" t="n">
        <f aca="false">(P253-$K253)^2</f>
        <v>0.002640212689</v>
      </c>
      <c r="AE253" s="8" t="n">
        <f aca="false">MIN(INT(ROUND(N253*1000000,0)/100000),9)</f>
        <v>0</v>
      </c>
      <c r="AF253" s="8" t="n">
        <f aca="false">MIN(INT(ROUND(P253*1000000,0)/100000),9)</f>
        <v>0</v>
      </c>
    </row>
    <row r="254" customFormat="false" ht="15" hidden="false" customHeight="false" outlineLevel="0" collapsed="false">
      <c r="A254" s="4" t="n">
        <v>250</v>
      </c>
      <c r="B254" s="4" t="n">
        <v>1169</v>
      </c>
      <c r="C254" s="4" t="n">
        <v>0</v>
      </c>
      <c r="D254" s="11" t="n">
        <v>46054</v>
      </c>
      <c r="E254" s="4" t="s">
        <v>203</v>
      </c>
      <c r="F254" s="4" t="s">
        <v>208</v>
      </c>
      <c r="G254" s="4" t="n">
        <v>5</v>
      </c>
      <c r="H254" s="4" t="n">
        <v>0</v>
      </c>
      <c r="I254" s="4" t="n">
        <v>0</v>
      </c>
      <c r="J254" s="4" t="n">
        <v>357</v>
      </c>
      <c r="K254" s="4" t="n">
        <v>0</v>
      </c>
      <c r="L254" s="12" t="n">
        <v>0.128987</v>
      </c>
      <c r="M254" s="12" t="n">
        <v>0.092063</v>
      </c>
      <c r="N254" s="12" t="n">
        <v>0.106523</v>
      </c>
      <c r="O254" s="12" t="n">
        <v>0.106183</v>
      </c>
      <c r="P254" s="12" t="n">
        <v>0.113149</v>
      </c>
      <c r="Q254" s="0" t="str">
        <f aca="false">IF(L254&gt;=Models!$G$5,1+COUNTIF($L$5:$L$1517,"&gt;"&amp;L254)+COUNTIFS($L$5:$L$1517,L254,$B$5:$B$1517,"&lt;"&amp;B254)+COUNTIFS($L$5:$L$1517,L254,$B$5:$B$1517,B254,$C$5:$C$1517,"&lt;"&amp;C254),"")</f>
        <v/>
      </c>
      <c r="R254" s="0" t="str">
        <f aca="false">IF(M254&gt;=Models!$G$6,1+COUNTIF($M$5:$M$1517,"&gt;"&amp;M254)+COUNTIFS($M$5:$M$1517,M254,$B$5:$B$1517,"&lt;"&amp;B254)+COUNTIFS($M$5:$M$1517,M254,$B$5:$B$1517,B254,$C$5:$C$1517,"&lt;"&amp;C254),"")</f>
        <v/>
      </c>
      <c r="S254" s="0" t="str">
        <f aca="false">IF(N254&gt;=Models!$G$7,1+COUNTIF($N$5:$N$1517,"&gt;"&amp;N254)+COUNTIFS($N$5:$N$1517,N254,$B$5:$B$1517,"&lt;"&amp;B254)+COUNTIFS($N$5:$N$1517,N254,$B$5:$B$1517,B254,$C$5:$C$1517,"&lt;"&amp;C254),"")</f>
        <v/>
      </c>
      <c r="T254" s="8" t="n">
        <f aca="false">IF(O254&gt;=Models!$G$8,1+COUNTIF($O$5:$O$1517,"&gt;"&amp;O254)+COUNTIFS($O$5:$O$1517,O254,$B$5:$B$1517,"&lt;"&amp;B254)+COUNTIFS($O$5:$O$1517,O254,$B$5:$B$1517,B254,$C$5:$C$1517,"&lt;"&amp;C254),"")</f>
        <v>940</v>
      </c>
      <c r="U254" s="8" t="n">
        <f aca="false">IF($K254=1,COUNTIFS($L$5:$L$1517,"&gt;="&amp;L254,$K$5:$K$1517,1)/COUNTIF($L$5:$L$1517,"&gt;="&amp;L254),0)</f>
        <v>0</v>
      </c>
      <c r="V254" s="8" t="n">
        <f aca="false">IF($K254=1,COUNTIFS($M$5:$M$1517,"&gt;="&amp;M254,$K$5:$K$1517,1)/COUNTIF($M$5:$M$1517,"&gt;="&amp;M254),0)</f>
        <v>0</v>
      </c>
      <c r="W254" s="8" t="n">
        <f aca="false">IF($K254=1,COUNTIFS($N$5:$N$1517,"&gt;="&amp;N254,$K$5:$K$1517,1)/COUNTIF($N$5:$N$1517,"&gt;="&amp;N254),0)</f>
        <v>0</v>
      </c>
      <c r="X254" s="8" t="n">
        <f aca="false">IF($K254=1,COUNTIFS($O$5:$O$1517,"&gt;="&amp;O254,$K$5:$K$1517,1)/COUNTIF($O$5:$O$1517,"&gt;="&amp;O254),0)</f>
        <v>0</v>
      </c>
      <c r="Y254" s="8" t="n">
        <f aca="false">IF($K254=1,COUNTIFS($P$5:$P$1517,"&gt;="&amp;P254,$K$5:$K$1517,1)/COUNTIF($P$5:$P$1517,"&gt;="&amp;P254),0)</f>
        <v>0</v>
      </c>
      <c r="Z254" s="8" t="n">
        <f aca="false">(L254-$K254)^2</f>
        <v>0.016637646169</v>
      </c>
      <c r="AA254" s="8" t="n">
        <f aca="false">(M254-$K254)^2</f>
        <v>0.008475595969</v>
      </c>
      <c r="AB254" s="8" t="n">
        <f aca="false">(N254-$K254)^2</f>
        <v>0.011347149529</v>
      </c>
      <c r="AC254" s="8" t="n">
        <f aca="false">(O254-$K254)^2</f>
        <v>0.011274829489</v>
      </c>
      <c r="AD254" s="8" t="n">
        <f aca="false">(P254-$K254)^2</f>
        <v>0.012802696201</v>
      </c>
      <c r="AE254" s="8" t="n">
        <f aca="false">MIN(INT(ROUND(N254*1000000,0)/100000),9)</f>
        <v>1</v>
      </c>
      <c r="AF254" s="8" t="n">
        <f aca="false">MIN(INT(ROUND(P254*1000000,0)/100000),9)</f>
        <v>1</v>
      </c>
    </row>
    <row r="255" customFormat="false" ht="15" hidden="false" customHeight="false" outlineLevel="0" collapsed="false">
      <c r="A255" s="4" t="n">
        <v>251</v>
      </c>
      <c r="B255" s="4" t="n">
        <v>1176</v>
      </c>
      <c r="C255" s="4" t="n">
        <v>0</v>
      </c>
      <c r="D255" s="11" t="n">
        <v>46054</v>
      </c>
      <c r="E255" s="4" t="s">
        <v>202</v>
      </c>
      <c r="F255" s="4" t="s">
        <v>209</v>
      </c>
      <c r="G255" s="4" t="n">
        <v>7</v>
      </c>
      <c r="H255" s="4" t="n">
        <v>7</v>
      </c>
      <c r="I255" s="4" t="n">
        <v>0</v>
      </c>
      <c r="J255" s="4" t="n">
        <v>1512</v>
      </c>
      <c r="K255" s="4" t="n">
        <v>0</v>
      </c>
      <c r="L255" s="12" t="n">
        <v>0.66102</v>
      </c>
      <c r="M255" s="12" t="n">
        <v>0.092063</v>
      </c>
      <c r="N255" s="12" t="n">
        <v>0.08977</v>
      </c>
      <c r="O255" s="12" t="n">
        <v>0.106183</v>
      </c>
      <c r="P255" s="12" t="n">
        <v>0.094689</v>
      </c>
      <c r="Q255" s="0" t="str">
        <f aca="false">IF(L255&gt;=Models!$G$5,1+COUNTIF($L$5:$L$1517,"&gt;"&amp;L255)+COUNTIFS($L$5:$L$1517,L255,$B$5:$B$1517,"&lt;"&amp;B255)+COUNTIFS($L$5:$L$1517,L255,$B$5:$B$1517,B255,$C$5:$C$1517,"&lt;"&amp;C255),"")</f>
        <v/>
      </c>
      <c r="R255" s="0" t="str">
        <f aca="false">IF(M255&gt;=Models!$G$6,1+COUNTIF($M$5:$M$1517,"&gt;"&amp;M255)+COUNTIFS($M$5:$M$1517,M255,$B$5:$B$1517,"&lt;"&amp;B255)+COUNTIFS($M$5:$M$1517,M255,$B$5:$B$1517,B255,$C$5:$C$1517,"&lt;"&amp;C255),"")</f>
        <v/>
      </c>
      <c r="S255" s="0" t="str">
        <f aca="false">IF(N255&gt;=Models!$G$7,1+COUNTIF($N$5:$N$1517,"&gt;"&amp;N255)+COUNTIFS($N$5:$N$1517,N255,$B$5:$B$1517,"&lt;"&amp;B255)+COUNTIFS($N$5:$N$1517,N255,$B$5:$B$1517,B255,$C$5:$C$1517,"&lt;"&amp;C255),"")</f>
        <v/>
      </c>
      <c r="T255" s="8" t="n">
        <f aca="false">IF(O255&gt;=Models!$G$8,1+COUNTIF($O$5:$O$1517,"&gt;"&amp;O255)+COUNTIFS($O$5:$O$1517,O255,$B$5:$B$1517,"&lt;"&amp;B255)+COUNTIFS($O$5:$O$1517,O255,$B$5:$B$1517,B255,$C$5:$C$1517,"&lt;"&amp;C255),"")</f>
        <v>944</v>
      </c>
      <c r="U255" s="8" t="n">
        <f aca="false">IF($K255=1,COUNTIFS($L$5:$L$1517,"&gt;="&amp;L255,$K$5:$K$1517,1)/COUNTIF($L$5:$L$1517,"&gt;="&amp;L255),0)</f>
        <v>0</v>
      </c>
      <c r="V255" s="8" t="n">
        <f aca="false">IF($K255=1,COUNTIFS($M$5:$M$1517,"&gt;="&amp;M255,$K$5:$K$1517,1)/COUNTIF($M$5:$M$1517,"&gt;="&amp;M255),0)</f>
        <v>0</v>
      </c>
      <c r="W255" s="8" t="n">
        <f aca="false">IF($K255=1,COUNTIFS($N$5:$N$1517,"&gt;="&amp;N255,$K$5:$K$1517,1)/COUNTIF($N$5:$N$1517,"&gt;="&amp;N255),0)</f>
        <v>0</v>
      </c>
      <c r="X255" s="8" t="n">
        <f aca="false">IF($K255=1,COUNTIFS($O$5:$O$1517,"&gt;="&amp;O255,$K$5:$K$1517,1)/COUNTIF($O$5:$O$1517,"&gt;="&amp;O255),0)</f>
        <v>0</v>
      </c>
      <c r="Y255" s="8" t="n">
        <f aca="false">IF($K255=1,COUNTIFS($P$5:$P$1517,"&gt;="&amp;P255,$K$5:$K$1517,1)/COUNTIF($P$5:$P$1517,"&gt;="&amp;P255),0)</f>
        <v>0</v>
      </c>
      <c r="Z255" s="8" t="n">
        <f aca="false">(L255-$K255)^2</f>
        <v>0.4369474404</v>
      </c>
      <c r="AA255" s="8" t="n">
        <f aca="false">(M255-$K255)^2</f>
        <v>0.008475595969</v>
      </c>
      <c r="AB255" s="8" t="n">
        <f aca="false">(N255-$K255)^2</f>
        <v>0.0080586529</v>
      </c>
      <c r="AC255" s="8" t="n">
        <f aca="false">(O255-$K255)^2</f>
        <v>0.011274829489</v>
      </c>
      <c r="AD255" s="8" t="n">
        <f aca="false">(P255-$K255)^2</f>
        <v>0.008966006721</v>
      </c>
      <c r="AE255" s="8" t="n">
        <f aca="false">MIN(INT(ROUND(N255*1000000,0)/100000),9)</f>
        <v>0</v>
      </c>
      <c r="AF255" s="8" t="n">
        <f aca="false">MIN(INT(ROUND(P255*1000000,0)/100000),9)</f>
        <v>0</v>
      </c>
    </row>
    <row r="256" customFormat="false" ht="15" hidden="false" customHeight="false" outlineLevel="0" collapsed="false">
      <c r="A256" s="4" t="n">
        <v>252</v>
      </c>
      <c r="B256" s="4" t="n">
        <v>1180</v>
      </c>
      <c r="C256" s="4" t="n">
        <v>0</v>
      </c>
      <c r="D256" s="11" t="n">
        <v>46054</v>
      </c>
      <c r="E256" s="4" t="s">
        <v>203</v>
      </c>
      <c r="F256" s="4" t="s">
        <v>206</v>
      </c>
      <c r="G256" s="4" t="n">
        <v>6</v>
      </c>
      <c r="H256" s="4" t="n">
        <v>5</v>
      </c>
      <c r="I256" s="4" t="n">
        <v>0</v>
      </c>
      <c r="J256" s="4"/>
      <c r="K256" s="4" t="n">
        <v>0</v>
      </c>
      <c r="L256" s="12" t="n">
        <v>0.703682</v>
      </c>
      <c r="M256" s="12" t="n">
        <v>0.092063</v>
      </c>
      <c r="N256" s="12" t="n">
        <v>0.051574</v>
      </c>
      <c r="O256" s="12" t="n">
        <v>0.106183</v>
      </c>
      <c r="P256" s="12" t="n">
        <v>0.053083</v>
      </c>
      <c r="Q256" s="0" t="str">
        <f aca="false">IF(L256&gt;=Models!$G$5,1+COUNTIF($L$5:$L$1517,"&gt;"&amp;L256)+COUNTIFS($L$5:$L$1517,L256,$B$5:$B$1517,"&lt;"&amp;B256)+COUNTIFS($L$5:$L$1517,L256,$B$5:$B$1517,B256,$C$5:$C$1517,"&lt;"&amp;C256),"")</f>
        <v/>
      </c>
      <c r="R256" s="0" t="str">
        <f aca="false">IF(M256&gt;=Models!$G$6,1+COUNTIF($M$5:$M$1517,"&gt;"&amp;M256)+COUNTIFS($M$5:$M$1517,M256,$B$5:$B$1517,"&lt;"&amp;B256)+COUNTIFS($M$5:$M$1517,M256,$B$5:$B$1517,B256,$C$5:$C$1517,"&lt;"&amp;C256),"")</f>
        <v/>
      </c>
      <c r="S256" s="0" t="str">
        <f aca="false">IF(N256&gt;=Models!$G$7,1+COUNTIF($N$5:$N$1517,"&gt;"&amp;N256)+COUNTIFS($N$5:$N$1517,N256,$B$5:$B$1517,"&lt;"&amp;B256)+COUNTIFS($N$5:$N$1517,N256,$B$5:$B$1517,B256,$C$5:$C$1517,"&lt;"&amp;C256),"")</f>
        <v/>
      </c>
      <c r="T256" s="8" t="n">
        <f aca="false">IF(O256&gt;=Models!$G$8,1+COUNTIF($O$5:$O$1517,"&gt;"&amp;O256)+COUNTIFS($O$5:$O$1517,O256,$B$5:$B$1517,"&lt;"&amp;B256)+COUNTIFS($O$5:$O$1517,O256,$B$5:$B$1517,B256,$C$5:$C$1517,"&lt;"&amp;C256),"")</f>
        <v>948</v>
      </c>
      <c r="U256" s="8" t="n">
        <f aca="false">IF($K256=1,COUNTIFS($L$5:$L$1517,"&gt;="&amp;L256,$K$5:$K$1517,1)/COUNTIF($L$5:$L$1517,"&gt;="&amp;L256),0)</f>
        <v>0</v>
      </c>
      <c r="V256" s="8" t="n">
        <f aca="false">IF($K256=1,COUNTIFS($M$5:$M$1517,"&gt;="&amp;M256,$K$5:$K$1517,1)/COUNTIF($M$5:$M$1517,"&gt;="&amp;M256),0)</f>
        <v>0</v>
      </c>
      <c r="W256" s="8" t="n">
        <f aca="false">IF($K256=1,COUNTIFS($N$5:$N$1517,"&gt;="&amp;N256,$K$5:$K$1517,1)/COUNTIF($N$5:$N$1517,"&gt;="&amp;N256),0)</f>
        <v>0</v>
      </c>
      <c r="X256" s="8" t="n">
        <f aca="false">IF($K256=1,COUNTIFS($O$5:$O$1517,"&gt;="&amp;O256,$K$5:$K$1517,1)/COUNTIF($O$5:$O$1517,"&gt;="&amp;O256),0)</f>
        <v>0</v>
      </c>
      <c r="Y256" s="8" t="n">
        <f aca="false">IF($K256=1,COUNTIFS($P$5:$P$1517,"&gt;="&amp;P256,$K$5:$K$1517,1)/COUNTIF($P$5:$P$1517,"&gt;="&amp;P256),0)</f>
        <v>0</v>
      </c>
      <c r="Z256" s="8" t="n">
        <f aca="false">(L256-$K256)^2</f>
        <v>0.495168357124</v>
      </c>
      <c r="AA256" s="8" t="n">
        <f aca="false">(M256-$K256)^2</f>
        <v>0.008475595969</v>
      </c>
      <c r="AB256" s="8" t="n">
        <f aca="false">(N256-$K256)^2</f>
        <v>0.002659877476</v>
      </c>
      <c r="AC256" s="8" t="n">
        <f aca="false">(O256-$K256)^2</f>
        <v>0.011274829489</v>
      </c>
      <c r="AD256" s="8" t="n">
        <f aca="false">(P256-$K256)^2</f>
        <v>0.002817804889</v>
      </c>
      <c r="AE256" s="8" t="n">
        <f aca="false">MIN(INT(ROUND(N256*1000000,0)/100000),9)</f>
        <v>0</v>
      </c>
      <c r="AF256" s="8" t="n">
        <f aca="false">MIN(INT(ROUND(P256*1000000,0)/100000),9)</f>
        <v>0</v>
      </c>
    </row>
    <row r="257" customFormat="false" ht="15" hidden="false" customHeight="false" outlineLevel="0" collapsed="false">
      <c r="A257" s="4" t="n">
        <v>253</v>
      </c>
      <c r="B257" s="4" t="n">
        <v>1190</v>
      </c>
      <c r="C257" s="4" t="n">
        <v>0</v>
      </c>
      <c r="D257" s="11" t="n">
        <v>46054</v>
      </c>
      <c r="E257" s="4" t="s">
        <v>202</v>
      </c>
      <c r="F257" s="4" t="s">
        <v>209</v>
      </c>
      <c r="G257" s="4" t="n">
        <v>7</v>
      </c>
      <c r="H257" s="4" t="n">
        <v>4</v>
      </c>
      <c r="I257" s="4" t="n">
        <v>0</v>
      </c>
      <c r="J257" s="4" t="n">
        <v>1506</v>
      </c>
      <c r="K257" s="4" t="n">
        <v>0</v>
      </c>
      <c r="L257" s="12" t="n">
        <v>0.046174</v>
      </c>
      <c r="M257" s="12" t="n">
        <v>0.092063</v>
      </c>
      <c r="N257" s="12" t="n">
        <v>0.08781</v>
      </c>
      <c r="O257" s="12" t="n">
        <v>0.106183</v>
      </c>
      <c r="P257" s="12" t="n">
        <v>0.092535</v>
      </c>
      <c r="Q257" s="0" t="str">
        <f aca="false">IF(L257&gt;=Models!$G$5,1+COUNTIF($L$5:$L$1517,"&gt;"&amp;L257)+COUNTIFS($L$5:$L$1517,L257,$B$5:$B$1517,"&lt;"&amp;B257)+COUNTIFS($L$5:$L$1517,L257,$B$5:$B$1517,B257,$C$5:$C$1517,"&lt;"&amp;C257),"")</f>
        <v/>
      </c>
      <c r="R257" s="0" t="str">
        <f aca="false">IF(M257&gt;=Models!$G$6,1+COUNTIF($M$5:$M$1517,"&gt;"&amp;M257)+COUNTIFS($M$5:$M$1517,M257,$B$5:$B$1517,"&lt;"&amp;B257)+COUNTIFS($M$5:$M$1517,M257,$B$5:$B$1517,B257,$C$5:$C$1517,"&lt;"&amp;C257),"")</f>
        <v/>
      </c>
      <c r="S257" s="0" t="str">
        <f aca="false">IF(N257&gt;=Models!$G$7,1+COUNTIF($N$5:$N$1517,"&gt;"&amp;N257)+COUNTIFS($N$5:$N$1517,N257,$B$5:$B$1517,"&lt;"&amp;B257)+COUNTIFS($N$5:$N$1517,N257,$B$5:$B$1517,B257,$C$5:$C$1517,"&lt;"&amp;C257),"")</f>
        <v/>
      </c>
      <c r="T257" s="8" t="n">
        <f aca="false">IF(O257&gt;=Models!$G$8,1+COUNTIF($O$5:$O$1517,"&gt;"&amp;O257)+COUNTIFS($O$5:$O$1517,O257,$B$5:$B$1517,"&lt;"&amp;B257)+COUNTIFS($O$5:$O$1517,O257,$B$5:$B$1517,B257,$C$5:$C$1517,"&lt;"&amp;C257),"")</f>
        <v>952</v>
      </c>
      <c r="U257" s="8" t="n">
        <f aca="false">IF($K257=1,COUNTIFS($L$5:$L$1517,"&gt;="&amp;L257,$K$5:$K$1517,1)/COUNTIF($L$5:$L$1517,"&gt;="&amp;L257),0)</f>
        <v>0</v>
      </c>
      <c r="V257" s="8" t="n">
        <f aca="false">IF($K257=1,COUNTIFS($M$5:$M$1517,"&gt;="&amp;M257,$K$5:$K$1517,1)/COUNTIF($M$5:$M$1517,"&gt;="&amp;M257),0)</f>
        <v>0</v>
      </c>
      <c r="W257" s="8" t="n">
        <f aca="false">IF($K257=1,COUNTIFS($N$5:$N$1517,"&gt;="&amp;N257,$K$5:$K$1517,1)/COUNTIF($N$5:$N$1517,"&gt;="&amp;N257),0)</f>
        <v>0</v>
      </c>
      <c r="X257" s="8" t="n">
        <f aca="false">IF($K257=1,COUNTIFS($O$5:$O$1517,"&gt;="&amp;O257,$K$5:$K$1517,1)/COUNTIF($O$5:$O$1517,"&gt;="&amp;O257),0)</f>
        <v>0</v>
      </c>
      <c r="Y257" s="8" t="n">
        <f aca="false">IF($K257=1,COUNTIFS($P$5:$P$1517,"&gt;="&amp;P257,$K$5:$K$1517,1)/COUNTIF($P$5:$P$1517,"&gt;="&amp;P257),0)</f>
        <v>0</v>
      </c>
      <c r="Z257" s="8" t="n">
        <f aca="false">(L257-$K257)^2</f>
        <v>0.002132038276</v>
      </c>
      <c r="AA257" s="8" t="n">
        <f aca="false">(M257-$K257)^2</f>
        <v>0.008475595969</v>
      </c>
      <c r="AB257" s="8" t="n">
        <f aca="false">(N257-$K257)^2</f>
        <v>0.0077105961</v>
      </c>
      <c r="AC257" s="8" t="n">
        <f aca="false">(O257-$K257)^2</f>
        <v>0.011274829489</v>
      </c>
      <c r="AD257" s="8" t="n">
        <f aca="false">(P257-$K257)^2</f>
        <v>0.008562726225</v>
      </c>
      <c r="AE257" s="8" t="n">
        <f aca="false">MIN(INT(ROUND(N257*1000000,0)/100000),9)</f>
        <v>0</v>
      </c>
      <c r="AF257" s="8" t="n">
        <f aca="false">MIN(INT(ROUND(P257*1000000,0)/100000),9)</f>
        <v>0</v>
      </c>
    </row>
    <row r="258" customFormat="false" ht="15" hidden="false" customHeight="false" outlineLevel="0" collapsed="false">
      <c r="A258" s="4" t="n">
        <v>254</v>
      </c>
      <c r="B258" s="4" t="n">
        <v>1191</v>
      </c>
      <c r="C258" s="4" t="n">
        <v>0</v>
      </c>
      <c r="D258" s="11" t="n">
        <v>46054</v>
      </c>
      <c r="E258" s="4" t="s">
        <v>202</v>
      </c>
      <c r="F258" s="4" t="s">
        <v>208</v>
      </c>
      <c r="G258" s="4" t="n">
        <v>21</v>
      </c>
      <c r="H258" s="4" t="n">
        <v>0</v>
      </c>
      <c r="I258" s="4" t="n">
        <v>0</v>
      </c>
      <c r="J258" s="4"/>
      <c r="K258" s="4" t="n">
        <v>0</v>
      </c>
      <c r="L258" s="12" t="n">
        <v>0.613129</v>
      </c>
      <c r="M258" s="12" t="n">
        <v>0.092063</v>
      </c>
      <c r="N258" s="12" t="n">
        <v>0.013352</v>
      </c>
      <c r="O258" s="12" t="n">
        <v>0.106183</v>
      </c>
      <c r="P258" s="12" t="n">
        <v>0.012889</v>
      </c>
      <c r="Q258" s="0" t="str">
        <f aca="false">IF(L258&gt;=Models!$G$5,1+COUNTIF($L$5:$L$1517,"&gt;"&amp;L258)+COUNTIFS($L$5:$L$1517,L258,$B$5:$B$1517,"&lt;"&amp;B258)+COUNTIFS($L$5:$L$1517,L258,$B$5:$B$1517,B258,$C$5:$C$1517,"&lt;"&amp;C258),"")</f>
        <v/>
      </c>
      <c r="R258" s="0" t="str">
        <f aca="false">IF(M258&gt;=Models!$G$6,1+COUNTIF($M$5:$M$1517,"&gt;"&amp;M258)+COUNTIFS($M$5:$M$1517,M258,$B$5:$B$1517,"&lt;"&amp;B258)+COUNTIFS($M$5:$M$1517,M258,$B$5:$B$1517,B258,$C$5:$C$1517,"&lt;"&amp;C258),"")</f>
        <v/>
      </c>
      <c r="S258" s="0" t="str">
        <f aca="false">IF(N258&gt;=Models!$G$7,1+COUNTIF($N$5:$N$1517,"&gt;"&amp;N258)+COUNTIFS($N$5:$N$1517,N258,$B$5:$B$1517,"&lt;"&amp;B258)+COUNTIFS($N$5:$N$1517,N258,$B$5:$B$1517,B258,$C$5:$C$1517,"&lt;"&amp;C258),"")</f>
        <v/>
      </c>
      <c r="T258" s="8" t="n">
        <f aca="false">IF(O258&gt;=Models!$G$8,1+COUNTIF($O$5:$O$1517,"&gt;"&amp;O258)+COUNTIFS($O$5:$O$1517,O258,$B$5:$B$1517,"&lt;"&amp;B258)+COUNTIFS($O$5:$O$1517,O258,$B$5:$B$1517,B258,$C$5:$C$1517,"&lt;"&amp;C258),"")</f>
        <v>956</v>
      </c>
      <c r="U258" s="8" t="n">
        <f aca="false">IF($K258=1,COUNTIFS($L$5:$L$1517,"&gt;="&amp;L258,$K$5:$K$1517,1)/COUNTIF($L$5:$L$1517,"&gt;="&amp;L258),0)</f>
        <v>0</v>
      </c>
      <c r="V258" s="8" t="n">
        <f aca="false">IF($K258=1,COUNTIFS($M$5:$M$1517,"&gt;="&amp;M258,$K$5:$K$1517,1)/COUNTIF($M$5:$M$1517,"&gt;="&amp;M258),0)</f>
        <v>0</v>
      </c>
      <c r="W258" s="8" t="n">
        <f aca="false">IF($K258=1,COUNTIFS($N$5:$N$1517,"&gt;="&amp;N258,$K$5:$K$1517,1)/COUNTIF($N$5:$N$1517,"&gt;="&amp;N258),0)</f>
        <v>0</v>
      </c>
      <c r="X258" s="8" t="n">
        <f aca="false">IF($K258=1,COUNTIFS($O$5:$O$1517,"&gt;="&amp;O258,$K$5:$K$1517,1)/COUNTIF($O$5:$O$1517,"&gt;="&amp;O258),0)</f>
        <v>0</v>
      </c>
      <c r="Y258" s="8" t="n">
        <f aca="false">IF($K258=1,COUNTIFS($P$5:$P$1517,"&gt;="&amp;P258,$K$5:$K$1517,1)/COUNTIF($P$5:$P$1517,"&gt;="&amp;P258),0)</f>
        <v>0</v>
      </c>
      <c r="Z258" s="8" t="n">
        <f aca="false">(L258-$K258)^2</f>
        <v>0.375927170641</v>
      </c>
      <c r="AA258" s="8" t="n">
        <f aca="false">(M258-$K258)^2</f>
        <v>0.008475595969</v>
      </c>
      <c r="AB258" s="8" t="n">
        <f aca="false">(N258-$K258)^2</f>
        <v>0.000178275904</v>
      </c>
      <c r="AC258" s="8" t="n">
        <f aca="false">(O258-$K258)^2</f>
        <v>0.011274829489</v>
      </c>
      <c r="AD258" s="8" t="n">
        <f aca="false">(P258-$K258)^2</f>
        <v>0.000166126321</v>
      </c>
      <c r="AE258" s="8" t="n">
        <f aca="false">MIN(INT(ROUND(N258*1000000,0)/100000),9)</f>
        <v>0</v>
      </c>
      <c r="AF258" s="8" t="n">
        <f aca="false">MIN(INT(ROUND(P258*1000000,0)/100000),9)</f>
        <v>0</v>
      </c>
    </row>
    <row r="259" customFormat="false" ht="15" hidden="false" customHeight="false" outlineLevel="0" collapsed="false">
      <c r="A259" s="4" t="n">
        <v>255</v>
      </c>
      <c r="B259" s="4" t="n">
        <v>1193</v>
      </c>
      <c r="C259" s="4" t="n">
        <v>0</v>
      </c>
      <c r="D259" s="11" t="n">
        <v>46054</v>
      </c>
      <c r="E259" s="4" t="s">
        <v>203</v>
      </c>
      <c r="F259" s="4" t="s">
        <v>206</v>
      </c>
      <c r="G259" s="4" t="n">
        <v>11</v>
      </c>
      <c r="H259" s="4" t="n">
        <v>3</v>
      </c>
      <c r="I259" s="4" t="n">
        <v>0</v>
      </c>
      <c r="J259" s="4" t="n">
        <v>411</v>
      </c>
      <c r="K259" s="4" t="n">
        <v>0</v>
      </c>
      <c r="L259" s="12" t="n">
        <v>0.205966</v>
      </c>
      <c r="M259" s="12" t="n">
        <v>0.092063</v>
      </c>
      <c r="N259" s="12" t="n">
        <v>0.066282</v>
      </c>
      <c r="O259" s="12" t="n">
        <v>0.106183</v>
      </c>
      <c r="P259" s="12" t="n">
        <v>0.069001</v>
      </c>
      <c r="Q259" s="0" t="str">
        <f aca="false">IF(L259&gt;=Models!$G$5,1+COUNTIF($L$5:$L$1517,"&gt;"&amp;L259)+COUNTIFS($L$5:$L$1517,L259,$B$5:$B$1517,"&lt;"&amp;B259)+COUNTIFS($L$5:$L$1517,L259,$B$5:$B$1517,B259,$C$5:$C$1517,"&lt;"&amp;C259),"")</f>
        <v/>
      </c>
      <c r="R259" s="0" t="str">
        <f aca="false">IF(M259&gt;=Models!$G$6,1+COUNTIF($M$5:$M$1517,"&gt;"&amp;M259)+COUNTIFS($M$5:$M$1517,M259,$B$5:$B$1517,"&lt;"&amp;B259)+COUNTIFS($M$5:$M$1517,M259,$B$5:$B$1517,B259,$C$5:$C$1517,"&lt;"&amp;C259),"")</f>
        <v/>
      </c>
      <c r="S259" s="0" t="str">
        <f aca="false">IF(N259&gt;=Models!$G$7,1+COUNTIF($N$5:$N$1517,"&gt;"&amp;N259)+COUNTIFS($N$5:$N$1517,N259,$B$5:$B$1517,"&lt;"&amp;B259)+COUNTIFS($N$5:$N$1517,N259,$B$5:$B$1517,B259,$C$5:$C$1517,"&lt;"&amp;C259),"")</f>
        <v/>
      </c>
      <c r="T259" s="8" t="n">
        <f aca="false">IF(O259&gt;=Models!$G$8,1+COUNTIF($O$5:$O$1517,"&gt;"&amp;O259)+COUNTIFS($O$5:$O$1517,O259,$B$5:$B$1517,"&lt;"&amp;B259)+COUNTIFS($O$5:$O$1517,O259,$B$5:$B$1517,B259,$C$5:$C$1517,"&lt;"&amp;C259),"")</f>
        <v>960</v>
      </c>
      <c r="U259" s="8" t="n">
        <f aca="false">IF($K259=1,COUNTIFS($L$5:$L$1517,"&gt;="&amp;L259,$K$5:$K$1517,1)/COUNTIF($L$5:$L$1517,"&gt;="&amp;L259),0)</f>
        <v>0</v>
      </c>
      <c r="V259" s="8" t="n">
        <f aca="false">IF($K259=1,COUNTIFS($M$5:$M$1517,"&gt;="&amp;M259,$K$5:$K$1517,1)/COUNTIF($M$5:$M$1517,"&gt;="&amp;M259),0)</f>
        <v>0</v>
      </c>
      <c r="W259" s="8" t="n">
        <f aca="false">IF($K259=1,COUNTIFS($N$5:$N$1517,"&gt;="&amp;N259,$K$5:$K$1517,1)/COUNTIF($N$5:$N$1517,"&gt;="&amp;N259),0)</f>
        <v>0</v>
      </c>
      <c r="X259" s="8" t="n">
        <f aca="false">IF($K259=1,COUNTIFS($O$5:$O$1517,"&gt;="&amp;O259,$K$5:$K$1517,1)/COUNTIF($O$5:$O$1517,"&gt;="&amp;O259),0)</f>
        <v>0</v>
      </c>
      <c r="Y259" s="8" t="n">
        <f aca="false">IF($K259=1,COUNTIFS($P$5:$P$1517,"&gt;="&amp;P259,$K$5:$K$1517,1)/COUNTIF($P$5:$P$1517,"&gt;="&amp;P259),0)</f>
        <v>0</v>
      </c>
      <c r="Z259" s="8" t="n">
        <f aca="false">(L259-$K259)^2</f>
        <v>0.042421993156</v>
      </c>
      <c r="AA259" s="8" t="n">
        <f aca="false">(M259-$K259)^2</f>
        <v>0.008475595969</v>
      </c>
      <c r="AB259" s="8" t="n">
        <f aca="false">(N259-$K259)^2</f>
        <v>0.004393303524</v>
      </c>
      <c r="AC259" s="8" t="n">
        <f aca="false">(O259-$K259)^2</f>
        <v>0.011274829489</v>
      </c>
      <c r="AD259" s="8" t="n">
        <f aca="false">(P259-$K259)^2</f>
        <v>0.004761138001</v>
      </c>
      <c r="AE259" s="8" t="n">
        <f aca="false">MIN(INT(ROUND(N259*1000000,0)/100000),9)</f>
        <v>0</v>
      </c>
      <c r="AF259" s="8" t="n">
        <f aca="false">MIN(INT(ROUND(P259*1000000,0)/100000),9)</f>
        <v>0</v>
      </c>
    </row>
    <row r="260" customFormat="false" ht="15" hidden="false" customHeight="false" outlineLevel="0" collapsed="false">
      <c r="A260" s="4" t="n">
        <v>256</v>
      </c>
      <c r="B260" s="4" t="n">
        <v>1202</v>
      </c>
      <c r="C260" s="4" t="n">
        <v>0</v>
      </c>
      <c r="D260" s="11" t="n">
        <v>46054</v>
      </c>
      <c r="E260" s="4" t="s">
        <v>204</v>
      </c>
      <c r="F260" s="4" t="s">
        <v>208</v>
      </c>
      <c r="G260" s="4" t="n">
        <v>3</v>
      </c>
      <c r="H260" s="4" t="n">
        <v>13</v>
      </c>
      <c r="I260" s="4" t="n">
        <v>0</v>
      </c>
      <c r="J260" s="4" t="n">
        <v>117</v>
      </c>
      <c r="K260" s="4" t="n">
        <v>0</v>
      </c>
      <c r="L260" s="12" t="n">
        <v>0.115948</v>
      </c>
      <c r="M260" s="12" t="n">
        <v>0.092063</v>
      </c>
      <c r="N260" s="12" t="n">
        <v>0.13868</v>
      </c>
      <c r="O260" s="12" t="n">
        <v>0.106183</v>
      </c>
      <c r="P260" s="12" t="n">
        <v>0.148778</v>
      </c>
      <c r="Q260" s="0" t="str">
        <f aca="false">IF(L260&gt;=Models!$G$5,1+COUNTIF($L$5:$L$1517,"&gt;"&amp;L260)+COUNTIFS($L$5:$L$1517,L260,$B$5:$B$1517,"&lt;"&amp;B260)+COUNTIFS($L$5:$L$1517,L260,$B$5:$B$1517,B260,$C$5:$C$1517,"&lt;"&amp;C260),"")</f>
        <v/>
      </c>
      <c r="R260" s="0" t="str">
        <f aca="false">IF(M260&gt;=Models!$G$6,1+COUNTIF($M$5:$M$1517,"&gt;"&amp;M260)+COUNTIFS($M$5:$M$1517,M260,$B$5:$B$1517,"&lt;"&amp;B260)+COUNTIFS($M$5:$M$1517,M260,$B$5:$B$1517,B260,$C$5:$C$1517,"&lt;"&amp;C260),"")</f>
        <v/>
      </c>
      <c r="S260" s="0" t="str">
        <f aca="false">IF(N260&gt;=Models!$G$7,1+COUNTIF($N$5:$N$1517,"&gt;"&amp;N260)+COUNTIFS($N$5:$N$1517,N260,$B$5:$B$1517,"&lt;"&amp;B260)+COUNTIFS($N$5:$N$1517,N260,$B$5:$B$1517,B260,$C$5:$C$1517,"&lt;"&amp;C260),"")</f>
        <v/>
      </c>
      <c r="T260" s="8" t="n">
        <f aca="false">IF(O260&gt;=Models!$G$8,1+COUNTIF($O$5:$O$1517,"&gt;"&amp;O260)+COUNTIFS($O$5:$O$1517,O260,$B$5:$B$1517,"&lt;"&amp;B260)+COUNTIFS($O$5:$O$1517,O260,$B$5:$B$1517,B260,$C$5:$C$1517,"&lt;"&amp;C260),"")</f>
        <v>964</v>
      </c>
      <c r="U260" s="8" t="n">
        <f aca="false">IF($K260=1,COUNTIFS($L$5:$L$1517,"&gt;="&amp;L260,$K$5:$K$1517,1)/COUNTIF($L$5:$L$1517,"&gt;="&amp;L260),0)</f>
        <v>0</v>
      </c>
      <c r="V260" s="8" t="n">
        <f aca="false">IF($K260=1,COUNTIFS($M$5:$M$1517,"&gt;="&amp;M260,$K$5:$K$1517,1)/COUNTIF($M$5:$M$1517,"&gt;="&amp;M260),0)</f>
        <v>0</v>
      </c>
      <c r="W260" s="8" t="n">
        <f aca="false">IF($K260=1,COUNTIFS($N$5:$N$1517,"&gt;="&amp;N260,$K$5:$K$1517,1)/COUNTIF($N$5:$N$1517,"&gt;="&amp;N260),0)</f>
        <v>0</v>
      </c>
      <c r="X260" s="8" t="n">
        <f aca="false">IF($K260=1,COUNTIFS($O$5:$O$1517,"&gt;="&amp;O260,$K$5:$K$1517,1)/COUNTIF($O$5:$O$1517,"&gt;="&amp;O260),0)</f>
        <v>0</v>
      </c>
      <c r="Y260" s="8" t="n">
        <f aca="false">IF($K260=1,COUNTIFS($P$5:$P$1517,"&gt;="&amp;P260,$K$5:$K$1517,1)/COUNTIF($P$5:$P$1517,"&gt;="&amp;P260),0)</f>
        <v>0</v>
      </c>
      <c r="Z260" s="8" t="n">
        <f aca="false">(L260-$K260)^2</f>
        <v>0.013443938704</v>
      </c>
      <c r="AA260" s="8" t="n">
        <f aca="false">(M260-$K260)^2</f>
        <v>0.008475595969</v>
      </c>
      <c r="AB260" s="8" t="n">
        <f aca="false">(N260-$K260)^2</f>
        <v>0.0192321424</v>
      </c>
      <c r="AC260" s="8" t="n">
        <f aca="false">(O260-$K260)^2</f>
        <v>0.011274829489</v>
      </c>
      <c r="AD260" s="8" t="n">
        <f aca="false">(P260-$K260)^2</f>
        <v>0.022134893284</v>
      </c>
      <c r="AE260" s="8" t="n">
        <f aca="false">MIN(INT(ROUND(N260*1000000,0)/100000),9)</f>
        <v>1</v>
      </c>
      <c r="AF260" s="8" t="n">
        <f aca="false">MIN(INT(ROUND(P260*1000000,0)/100000),9)</f>
        <v>1</v>
      </c>
    </row>
    <row r="261" customFormat="false" ht="15" hidden="false" customHeight="false" outlineLevel="0" collapsed="false">
      <c r="A261" s="4" t="n">
        <v>257</v>
      </c>
      <c r="B261" s="4" t="n">
        <v>1208</v>
      </c>
      <c r="C261" s="4" t="n">
        <v>0</v>
      </c>
      <c r="D261" s="11" t="n">
        <v>46054</v>
      </c>
      <c r="E261" s="4" t="s">
        <v>204</v>
      </c>
      <c r="F261" s="4" t="s">
        <v>208</v>
      </c>
      <c r="G261" s="4" t="n">
        <v>0</v>
      </c>
      <c r="H261" s="4" t="n">
        <v>47</v>
      </c>
      <c r="I261" s="4" t="n">
        <v>0</v>
      </c>
      <c r="J261" s="4"/>
      <c r="K261" s="4" t="n">
        <v>0</v>
      </c>
      <c r="L261" s="12" t="n">
        <v>0.35561</v>
      </c>
      <c r="M261" s="12" t="n">
        <v>0.184211</v>
      </c>
      <c r="N261" s="12" t="n">
        <v>0.116329</v>
      </c>
      <c r="O261" s="12" t="n">
        <v>0.106183</v>
      </c>
      <c r="P261" s="12" t="n">
        <v>0.123991</v>
      </c>
      <c r="Q261" s="0" t="str">
        <f aca="false">IF(L261&gt;=Models!$G$5,1+COUNTIF($L$5:$L$1517,"&gt;"&amp;L261)+COUNTIFS($L$5:$L$1517,L261,$B$5:$B$1517,"&lt;"&amp;B261)+COUNTIFS($L$5:$L$1517,L261,$B$5:$B$1517,B261,$C$5:$C$1517,"&lt;"&amp;C261),"")</f>
        <v/>
      </c>
      <c r="R261" s="8" t="n">
        <f aca="false">IF(M261&gt;=Models!$G$6,1+COUNTIF($M$5:$M$1517,"&gt;"&amp;M261)+COUNTIFS($M$5:$M$1517,M261,$B$5:$B$1517,"&lt;"&amp;B261)+COUNTIFS($M$5:$M$1517,M261,$B$5:$B$1517,B261,$C$5:$C$1517,"&lt;"&amp;C261),"")</f>
        <v>110</v>
      </c>
      <c r="S261" s="0" t="str">
        <f aca="false">IF(N261&gt;=Models!$G$7,1+COUNTIF($N$5:$N$1517,"&gt;"&amp;N261)+COUNTIFS($N$5:$N$1517,N261,$B$5:$B$1517,"&lt;"&amp;B261)+COUNTIFS($N$5:$N$1517,N261,$B$5:$B$1517,B261,$C$5:$C$1517,"&lt;"&amp;C261),"")</f>
        <v/>
      </c>
      <c r="T261" s="8" t="n">
        <f aca="false">IF(O261&gt;=Models!$G$8,1+COUNTIF($O$5:$O$1517,"&gt;"&amp;O261)+COUNTIFS($O$5:$O$1517,O261,$B$5:$B$1517,"&lt;"&amp;B261)+COUNTIFS($O$5:$O$1517,O261,$B$5:$B$1517,B261,$C$5:$C$1517,"&lt;"&amp;C261),"")</f>
        <v>968</v>
      </c>
      <c r="U261" s="8" t="n">
        <f aca="false">IF($K261=1,COUNTIFS($L$5:$L$1517,"&gt;="&amp;L261,$K$5:$K$1517,1)/COUNTIF($L$5:$L$1517,"&gt;="&amp;L261),0)</f>
        <v>0</v>
      </c>
      <c r="V261" s="8" t="n">
        <f aca="false">IF($K261=1,COUNTIFS($M$5:$M$1517,"&gt;="&amp;M261,$K$5:$K$1517,1)/COUNTIF($M$5:$M$1517,"&gt;="&amp;M261),0)</f>
        <v>0</v>
      </c>
      <c r="W261" s="8" t="n">
        <f aca="false">IF($K261=1,COUNTIFS($N$5:$N$1517,"&gt;="&amp;N261,$K$5:$K$1517,1)/COUNTIF($N$5:$N$1517,"&gt;="&amp;N261),0)</f>
        <v>0</v>
      </c>
      <c r="X261" s="8" t="n">
        <f aca="false">IF($K261=1,COUNTIFS($O$5:$O$1517,"&gt;="&amp;O261,$K$5:$K$1517,1)/COUNTIF($O$5:$O$1517,"&gt;="&amp;O261),0)</f>
        <v>0</v>
      </c>
      <c r="Y261" s="8" t="n">
        <f aca="false">IF($K261=1,COUNTIFS($P$5:$P$1517,"&gt;="&amp;P261,$K$5:$K$1517,1)/COUNTIF($P$5:$P$1517,"&gt;="&amp;P261),0)</f>
        <v>0</v>
      </c>
      <c r="Z261" s="8" t="n">
        <f aca="false">(L261-$K261)^2</f>
        <v>0.1264584721</v>
      </c>
      <c r="AA261" s="8" t="n">
        <f aca="false">(M261-$K261)^2</f>
        <v>0.033933692521</v>
      </c>
      <c r="AB261" s="8" t="n">
        <f aca="false">(N261-$K261)^2</f>
        <v>0.013532436241</v>
      </c>
      <c r="AC261" s="8" t="n">
        <f aca="false">(O261-$K261)^2</f>
        <v>0.011274829489</v>
      </c>
      <c r="AD261" s="8" t="n">
        <f aca="false">(P261-$K261)^2</f>
        <v>0.015373768081</v>
      </c>
      <c r="AE261" s="8" t="n">
        <f aca="false">MIN(INT(ROUND(N261*1000000,0)/100000),9)</f>
        <v>1</v>
      </c>
      <c r="AF261" s="8" t="n">
        <f aca="false">MIN(INT(ROUND(P261*1000000,0)/100000),9)</f>
        <v>1</v>
      </c>
    </row>
    <row r="262" customFormat="false" ht="15" hidden="false" customHeight="false" outlineLevel="0" collapsed="false">
      <c r="A262" s="4" t="n">
        <v>258</v>
      </c>
      <c r="B262" s="4" t="n">
        <v>1217</v>
      </c>
      <c r="C262" s="4" t="n">
        <v>0</v>
      </c>
      <c r="D262" s="11" t="n">
        <v>46054</v>
      </c>
      <c r="E262" s="4" t="s">
        <v>203</v>
      </c>
      <c r="F262" s="4" t="s">
        <v>209</v>
      </c>
      <c r="G262" s="4" t="n">
        <v>6</v>
      </c>
      <c r="H262" s="4" t="n">
        <v>5</v>
      </c>
      <c r="I262" s="4" t="n">
        <v>0</v>
      </c>
      <c r="J262" s="4" t="n">
        <v>294</v>
      </c>
      <c r="K262" s="4" t="n">
        <v>0</v>
      </c>
      <c r="L262" s="12" t="n">
        <v>0.851816</v>
      </c>
      <c r="M262" s="12" t="n">
        <v>0.092063</v>
      </c>
      <c r="N262" s="12" t="n">
        <v>0.102283</v>
      </c>
      <c r="O262" s="12" t="n">
        <v>0.106183</v>
      </c>
      <c r="P262" s="12" t="n">
        <v>0.108468</v>
      </c>
      <c r="Q262" s="0" t="str">
        <f aca="false">IF(L262&gt;=Models!$G$5,1+COUNTIF($L$5:$L$1517,"&gt;"&amp;L262)+COUNTIFS($L$5:$L$1517,L262,$B$5:$B$1517,"&lt;"&amp;B262)+COUNTIFS($L$5:$L$1517,L262,$B$5:$B$1517,B262,$C$5:$C$1517,"&lt;"&amp;C262),"")</f>
        <v/>
      </c>
      <c r="R262" s="0" t="str">
        <f aca="false">IF(M262&gt;=Models!$G$6,1+COUNTIF($M$5:$M$1517,"&gt;"&amp;M262)+COUNTIFS($M$5:$M$1517,M262,$B$5:$B$1517,"&lt;"&amp;B262)+COUNTIFS($M$5:$M$1517,M262,$B$5:$B$1517,B262,$C$5:$C$1517,"&lt;"&amp;C262),"")</f>
        <v/>
      </c>
      <c r="S262" s="0" t="str">
        <f aca="false">IF(N262&gt;=Models!$G$7,1+COUNTIF($N$5:$N$1517,"&gt;"&amp;N262)+COUNTIFS($N$5:$N$1517,N262,$B$5:$B$1517,"&lt;"&amp;B262)+COUNTIFS($N$5:$N$1517,N262,$B$5:$B$1517,B262,$C$5:$C$1517,"&lt;"&amp;C262),"")</f>
        <v/>
      </c>
      <c r="T262" s="8" t="n">
        <f aca="false">IF(O262&gt;=Models!$G$8,1+COUNTIF($O$5:$O$1517,"&gt;"&amp;O262)+COUNTIFS($O$5:$O$1517,O262,$B$5:$B$1517,"&lt;"&amp;B262)+COUNTIFS($O$5:$O$1517,O262,$B$5:$B$1517,B262,$C$5:$C$1517,"&lt;"&amp;C262),"")</f>
        <v>972</v>
      </c>
      <c r="U262" s="8" t="n">
        <f aca="false">IF($K262=1,COUNTIFS($L$5:$L$1517,"&gt;="&amp;L262,$K$5:$K$1517,1)/COUNTIF($L$5:$L$1517,"&gt;="&amp;L262),0)</f>
        <v>0</v>
      </c>
      <c r="V262" s="8" t="n">
        <f aca="false">IF($K262=1,COUNTIFS($M$5:$M$1517,"&gt;="&amp;M262,$K$5:$K$1517,1)/COUNTIF($M$5:$M$1517,"&gt;="&amp;M262),0)</f>
        <v>0</v>
      </c>
      <c r="W262" s="8" t="n">
        <f aca="false">IF($K262=1,COUNTIFS($N$5:$N$1517,"&gt;="&amp;N262,$K$5:$K$1517,1)/COUNTIF($N$5:$N$1517,"&gt;="&amp;N262),0)</f>
        <v>0</v>
      </c>
      <c r="X262" s="8" t="n">
        <f aca="false">IF($K262=1,COUNTIFS($O$5:$O$1517,"&gt;="&amp;O262,$K$5:$K$1517,1)/COUNTIF($O$5:$O$1517,"&gt;="&amp;O262),0)</f>
        <v>0</v>
      </c>
      <c r="Y262" s="8" t="n">
        <f aca="false">IF($K262=1,COUNTIFS($P$5:$P$1517,"&gt;="&amp;P262,$K$5:$K$1517,1)/COUNTIF($P$5:$P$1517,"&gt;="&amp;P262),0)</f>
        <v>0</v>
      </c>
      <c r="Z262" s="8" t="n">
        <f aca="false">(L262-$K262)^2</f>
        <v>0.725590497856</v>
      </c>
      <c r="AA262" s="8" t="n">
        <f aca="false">(M262-$K262)^2</f>
        <v>0.008475595969</v>
      </c>
      <c r="AB262" s="8" t="n">
        <f aca="false">(N262-$K262)^2</f>
        <v>0.010461812089</v>
      </c>
      <c r="AC262" s="8" t="n">
        <f aca="false">(O262-$K262)^2</f>
        <v>0.011274829489</v>
      </c>
      <c r="AD262" s="8" t="n">
        <f aca="false">(P262-$K262)^2</f>
        <v>0.011765307024</v>
      </c>
      <c r="AE262" s="8" t="n">
        <f aca="false">MIN(INT(ROUND(N262*1000000,0)/100000),9)</f>
        <v>1</v>
      </c>
      <c r="AF262" s="8" t="n">
        <f aca="false">MIN(INT(ROUND(P262*1000000,0)/100000),9)</f>
        <v>1</v>
      </c>
    </row>
    <row r="263" customFormat="false" ht="15" hidden="false" customHeight="false" outlineLevel="0" collapsed="false">
      <c r="A263" s="4" t="n">
        <v>259</v>
      </c>
      <c r="B263" s="4" t="n">
        <v>1221</v>
      </c>
      <c r="C263" s="4" t="n">
        <v>0</v>
      </c>
      <c r="D263" s="11" t="n">
        <v>46054</v>
      </c>
      <c r="E263" s="4" t="s">
        <v>202</v>
      </c>
      <c r="F263" s="4" t="s">
        <v>206</v>
      </c>
      <c r="G263" s="4" t="n">
        <v>7</v>
      </c>
      <c r="H263" s="4" t="n">
        <v>5</v>
      </c>
      <c r="I263" s="4" t="n">
        <v>0</v>
      </c>
      <c r="J263" s="4" t="n">
        <v>915</v>
      </c>
      <c r="K263" s="4" t="n">
        <v>0</v>
      </c>
      <c r="L263" s="12" t="n">
        <v>0.929285</v>
      </c>
      <c r="M263" s="12" t="n">
        <v>0.092063</v>
      </c>
      <c r="N263" s="12" t="n">
        <v>0.091275</v>
      </c>
      <c r="O263" s="12" t="n">
        <v>0.106183</v>
      </c>
      <c r="P263" s="12" t="n">
        <v>0.096343</v>
      </c>
      <c r="Q263" s="0" t="str">
        <f aca="false">IF(L263&gt;=Models!$G$5,1+COUNTIF($L$5:$L$1517,"&gt;"&amp;L263)+COUNTIFS($L$5:$L$1517,L263,$B$5:$B$1517,"&lt;"&amp;B263)+COUNTIFS($L$5:$L$1517,L263,$B$5:$B$1517,B263,$C$5:$C$1517,"&lt;"&amp;C263),"")</f>
        <v/>
      </c>
      <c r="R263" s="0" t="str">
        <f aca="false">IF(M263&gt;=Models!$G$6,1+COUNTIF($M$5:$M$1517,"&gt;"&amp;M263)+COUNTIFS($M$5:$M$1517,M263,$B$5:$B$1517,"&lt;"&amp;B263)+COUNTIFS($M$5:$M$1517,M263,$B$5:$B$1517,B263,$C$5:$C$1517,"&lt;"&amp;C263),"")</f>
        <v/>
      </c>
      <c r="S263" s="0" t="str">
        <f aca="false">IF(N263&gt;=Models!$G$7,1+COUNTIF($N$5:$N$1517,"&gt;"&amp;N263)+COUNTIFS($N$5:$N$1517,N263,$B$5:$B$1517,"&lt;"&amp;B263)+COUNTIFS($N$5:$N$1517,N263,$B$5:$B$1517,B263,$C$5:$C$1517,"&lt;"&amp;C263),"")</f>
        <v/>
      </c>
      <c r="T263" s="8" t="n">
        <f aca="false">IF(O263&gt;=Models!$G$8,1+COUNTIF($O$5:$O$1517,"&gt;"&amp;O263)+COUNTIFS($O$5:$O$1517,O263,$B$5:$B$1517,"&lt;"&amp;B263)+COUNTIFS($O$5:$O$1517,O263,$B$5:$B$1517,B263,$C$5:$C$1517,"&lt;"&amp;C263),"")</f>
        <v>976</v>
      </c>
      <c r="U263" s="8" t="n">
        <f aca="false">IF($K263=1,COUNTIFS($L$5:$L$1517,"&gt;="&amp;L263,$K$5:$K$1517,1)/COUNTIF($L$5:$L$1517,"&gt;="&amp;L263),0)</f>
        <v>0</v>
      </c>
      <c r="V263" s="8" t="n">
        <f aca="false">IF($K263=1,COUNTIFS($M$5:$M$1517,"&gt;="&amp;M263,$K$5:$K$1517,1)/COUNTIF($M$5:$M$1517,"&gt;="&amp;M263),0)</f>
        <v>0</v>
      </c>
      <c r="W263" s="8" t="n">
        <f aca="false">IF($K263=1,COUNTIFS($N$5:$N$1517,"&gt;="&amp;N263,$K$5:$K$1517,1)/COUNTIF($N$5:$N$1517,"&gt;="&amp;N263),0)</f>
        <v>0</v>
      </c>
      <c r="X263" s="8" t="n">
        <f aca="false">IF($K263=1,COUNTIFS($O$5:$O$1517,"&gt;="&amp;O263,$K$5:$K$1517,1)/COUNTIF($O$5:$O$1517,"&gt;="&amp;O263),0)</f>
        <v>0</v>
      </c>
      <c r="Y263" s="8" t="n">
        <f aca="false">IF($K263=1,COUNTIFS($P$5:$P$1517,"&gt;="&amp;P263,$K$5:$K$1517,1)/COUNTIF($P$5:$P$1517,"&gt;="&amp;P263),0)</f>
        <v>0</v>
      </c>
      <c r="Z263" s="8" t="n">
        <f aca="false">(L263-$K263)^2</f>
        <v>0.863570611225</v>
      </c>
      <c r="AA263" s="8" t="n">
        <f aca="false">(M263-$K263)^2</f>
        <v>0.008475595969</v>
      </c>
      <c r="AB263" s="8" t="n">
        <f aca="false">(N263-$K263)^2</f>
        <v>0.008331125625</v>
      </c>
      <c r="AC263" s="8" t="n">
        <f aca="false">(O263-$K263)^2</f>
        <v>0.011274829489</v>
      </c>
      <c r="AD263" s="8" t="n">
        <f aca="false">(P263-$K263)^2</f>
        <v>0.009281973649</v>
      </c>
      <c r="AE263" s="8" t="n">
        <f aca="false">MIN(INT(ROUND(N263*1000000,0)/100000),9)</f>
        <v>0</v>
      </c>
      <c r="AF263" s="8" t="n">
        <f aca="false">MIN(INT(ROUND(P263*1000000,0)/100000),9)</f>
        <v>0</v>
      </c>
    </row>
    <row r="264" customFormat="false" ht="15" hidden="false" customHeight="false" outlineLevel="0" collapsed="false">
      <c r="A264" s="4" t="n">
        <v>260</v>
      </c>
      <c r="B264" s="4" t="n">
        <v>1222</v>
      </c>
      <c r="C264" s="4" t="n">
        <v>0</v>
      </c>
      <c r="D264" s="11" t="n">
        <v>46054</v>
      </c>
      <c r="E264" s="4" t="s">
        <v>202</v>
      </c>
      <c r="F264" s="4" t="s">
        <v>208</v>
      </c>
      <c r="G264" s="4" t="n">
        <v>19</v>
      </c>
      <c r="H264" s="4" t="n">
        <v>1</v>
      </c>
      <c r="I264" s="4" t="n">
        <v>0</v>
      </c>
      <c r="J264" s="4"/>
      <c r="K264" s="4" t="n">
        <v>0</v>
      </c>
      <c r="L264" s="12" t="n">
        <v>0.31984</v>
      </c>
      <c r="M264" s="12" t="n">
        <v>0.092063</v>
      </c>
      <c r="N264" s="12" t="n">
        <v>0.016072</v>
      </c>
      <c r="O264" s="12" t="n">
        <v>0.106183</v>
      </c>
      <c r="P264" s="12" t="n">
        <v>0.015654</v>
      </c>
      <c r="Q264" s="0" t="str">
        <f aca="false">IF(L264&gt;=Models!$G$5,1+COUNTIF($L$5:$L$1517,"&gt;"&amp;L264)+COUNTIFS($L$5:$L$1517,L264,$B$5:$B$1517,"&lt;"&amp;B264)+COUNTIFS($L$5:$L$1517,L264,$B$5:$B$1517,B264,$C$5:$C$1517,"&lt;"&amp;C264),"")</f>
        <v/>
      </c>
      <c r="R264" s="0" t="str">
        <f aca="false">IF(M264&gt;=Models!$G$6,1+COUNTIF($M$5:$M$1517,"&gt;"&amp;M264)+COUNTIFS($M$5:$M$1517,M264,$B$5:$B$1517,"&lt;"&amp;B264)+COUNTIFS($M$5:$M$1517,M264,$B$5:$B$1517,B264,$C$5:$C$1517,"&lt;"&amp;C264),"")</f>
        <v/>
      </c>
      <c r="S264" s="0" t="str">
        <f aca="false">IF(N264&gt;=Models!$G$7,1+COUNTIF($N$5:$N$1517,"&gt;"&amp;N264)+COUNTIFS($N$5:$N$1517,N264,$B$5:$B$1517,"&lt;"&amp;B264)+COUNTIFS($N$5:$N$1517,N264,$B$5:$B$1517,B264,$C$5:$C$1517,"&lt;"&amp;C264),"")</f>
        <v/>
      </c>
      <c r="T264" s="8" t="n">
        <f aca="false">IF(O264&gt;=Models!$G$8,1+COUNTIF($O$5:$O$1517,"&gt;"&amp;O264)+COUNTIFS($O$5:$O$1517,O264,$B$5:$B$1517,"&lt;"&amp;B264)+COUNTIFS($O$5:$O$1517,O264,$B$5:$B$1517,B264,$C$5:$C$1517,"&lt;"&amp;C264),"")</f>
        <v>980</v>
      </c>
      <c r="U264" s="8" t="n">
        <f aca="false">IF($K264=1,COUNTIFS($L$5:$L$1517,"&gt;="&amp;L264,$K$5:$K$1517,1)/COUNTIF($L$5:$L$1517,"&gt;="&amp;L264),0)</f>
        <v>0</v>
      </c>
      <c r="V264" s="8" t="n">
        <f aca="false">IF($K264=1,COUNTIFS($M$5:$M$1517,"&gt;="&amp;M264,$K$5:$K$1517,1)/COUNTIF($M$5:$M$1517,"&gt;="&amp;M264),0)</f>
        <v>0</v>
      </c>
      <c r="W264" s="8" t="n">
        <f aca="false">IF($K264=1,COUNTIFS($N$5:$N$1517,"&gt;="&amp;N264,$K$5:$K$1517,1)/COUNTIF($N$5:$N$1517,"&gt;="&amp;N264),0)</f>
        <v>0</v>
      </c>
      <c r="X264" s="8" t="n">
        <f aca="false">IF($K264=1,COUNTIFS($O$5:$O$1517,"&gt;="&amp;O264,$K$5:$K$1517,1)/COUNTIF($O$5:$O$1517,"&gt;="&amp;O264),0)</f>
        <v>0</v>
      </c>
      <c r="Y264" s="8" t="n">
        <f aca="false">IF($K264=1,COUNTIFS($P$5:$P$1517,"&gt;="&amp;P264,$K$5:$K$1517,1)/COUNTIF($P$5:$P$1517,"&gt;="&amp;P264),0)</f>
        <v>0</v>
      </c>
      <c r="Z264" s="8" t="n">
        <f aca="false">(L264-$K264)^2</f>
        <v>0.1022976256</v>
      </c>
      <c r="AA264" s="8" t="n">
        <f aca="false">(M264-$K264)^2</f>
        <v>0.008475595969</v>
      </c>
      <c r="AB264" s="8" t="n">
        <f aca="false">(N264-$K264)^2</f>
        <v>0.000258309184</v>
      </c>
      <c r="AC264" s="8" t="n">
        <f aca="false">(O264-$K264)^2</f>
        <v>0.011274829489</v>
      </c>
      <c r="AD264" s="8" t="n">
        <f aca="false">(P264-$K264)^2</f>
        <v>0.000245047716</v>
      </c>
      <c r="AE264" s="8" t="n">
        <f aca="false">MIN(INT(ROUND(N264*1000000,0)/100000),9)</f>
        <v>0</v>
      </c>
      <c r="AF264" s="8" t="n">
        <f aca="false">MIN(INT(ROUND(P264*1000000,0)/100000),9)</f>
        <v>0</v>
      </c>
    </row>
    <row r="265" customFormat="false" ht="15" hidden="false" customHeight="false" outlineLevel="0" collapsed="false">
      <c r="A265" s="4" t="n">
        <v>261</v>
      </c>
      <c r="B265" s="4" t="n">
        <v>1224</v>
      </c>
      <c r="C265" s="4" t="n">
        <v>0</v>
      </c>
      <c r="D265" s="11" t="n">
        <v>46054</v>
      </c>
      <c r="E265" s="4" t="s">
        <v>203</v>
      </c>
      <c r="F265" s="4" t="s">
        <v>208</v>
      </c>
      <c r="G265" s="4" t="n">
        <v>10</v>
      </c>
      <c r="H265" s="4" t="n">
        <v>2</v>
      </c>
      <c r="I265" s="4" t="n">
        <v>1</v>
      </c>
      <c r="J265" s="4" t="n">
        <v>282</v>
      </c>
      <c r="K265" s="4" t="n">
        <v>0</v>
      </c>
      <c r="L265" s="12" t="n">
        <v>0.547117</v>
      </c>
      <c r="M265" s="12" t="n">
        <v>0.184211</v>
      </c>
      <c r="N265" s="12" t="n">
        <v>0.123475</v>
      </c>
      <c r="O265" s="12" t="n">
        <v>0.106183</v>
      </c>
      <c r="P265" s="12" t="n">
        <v>0.131906</v>
      </c>
      <c r="Q265" s="0" t="str">
        <f aca="false">IF(L265&gt;=Models!$G$5,1+COUNTIF($L$5:$L$1517,"&gt;"&amp;L265)+COUNTIFS($L$5:$L$1517,L265,$B$5:$B$1517,"&lt;"&amp;B265)+COUNTIFS($L$5:$L$1517,L265,$B$5:$B$1517,B265,$C$5:$C$1517,"&lt;"&amp;C265),"")</f>
        <v/>
      </c>
      <c r="R265" s="8" t="n">
        <f aca="false">IF(M265&gt;=Models!$G$6,1+COUNTIF($M$5:$M$1517,"&gt;"&amp;M265)+COUNTIFS($M$5:$M$1517,M265,$B$5:$B$1517,"&lt;"&amp;B265)+COUNTIFS($M$5:$M$1517,M265,$B$5:$B$1517,B265,$C$5:$C$1517,"&lt;"&amp;C265),"")</f>
        <v>112</v>
      </c>
      <c r="S265" s="0" t="str">
        <f aca="false">IF(N265&gt;=Models!$G$7,1+COUNTIF($N$5:$N$1517,"&gt;"&amp;N265)+COUNTIFS($N$5:$N$1517,N265,$B$5:$B$1517,"&lt;"&amp;B265)+COUNTIFS($N$5:$N$1517,N265,$B$5:$B$1517,B265,$C$5:$C$1517,"&lt;"&amp;C265),"")</f>
        <v/>
      </c>
      <c r="T265" s="8" t="n">
        <f aca="false">IF(O265&gt;=Models!$G$8,1+COUNTIF($O$5:$O$1517,"&gt;"&amp;O265)+COUNTIFS($O$5:$O$1517,O265,$B$5:$B$1517,"&lt;"&amp;B265)+COUNTIFS($O$5:$O$1517,O265,$B$5:$B$1517,B265,$C$5:$C$1517,"&lt;"&amp;C265),"")</f>
        <v>984</v>
      </c>
      <c r="U265" s="8" t="n">
        <f aca="false">IF($K265=1,COUNTIFS($L$5:$L$1517,"&gt;="&amp;L265,$K$5:$K$1517,1)/COUNTIF($L$5:$L$1517,"&gt;="&amp;L265),0)</f>
        <v>0</v>
      </c>
      <c r="V265" s="8" t="n">
        <f aca="false">IF($K265=1,COUNTIFS($M$5:$M$1517,"&gt;="&amp;M265,$K$5:$K$1517,1)/COUNTIF($M$5:$M$1517,"&gt;="&amp;M265),0)</f>
        <v>0</v>
      </c>
      <c r="W265" s="8" t="n">
        <f aca="false">IF($K265=1,COUNTIFS($N$5:$N$1517,"&gt;="&amp;N265,$K$5:$K$1517,1)/COUNTIF($N$5:$N$1517,"&gt;="&amp;N265),0)</f>
        <v>0</v>
      </c>
      <c r="X265" s="8" t="n">
        <f aca="false">IF($K265=1,COUNTIFS($O$5:$O$1517,"&gt;="&amp;O265,$K$5:$K$1517,1)/COUNTIF($O$5:$O$1517,"&gt;="&amp;O265),0)</f>
        <v>0</v>
      </c>
      <c r="Y265" s="8" t="n">
        <f aca="false">IF($K265=1,COUNTIFS($P$5:$P$1517,"&gt;="&amp;P265,$K$5:$K$1517,1)/COUNTIF($P$5:$P$1517,"&gt;="&amp;P265),0)</f>
        <v>0</v>
      </c>
      <c r="Z265" s="8" t="n">
        <f aca="false">(L265-$K265)^2</f>
        <v>0.299337011689</v>
      </c>
      <c r="AA265" s="8" t="n">
        <f aca="false">(M265-$K265)^2</f>
        <v>0.033933692521</v>
      </c>
      <c r="AB265" s="8" t="n">
        <f aca="false">(N265-$K265)^2</f>
        <v>0.015246075625</v>
      </c>
      <c r="AC265" s="8" t="n">
        <f aca="false">(O265-$K265)^2</f>
        <v>0.011274829489</v>
      </c>
      <c r="AD265" s="8" t="n">
        <f aca="false">(P265-$K265)^2</f>
        <v>0.017399192836</v>
      </c>
      <c r="AE265" s="8" t="n">
        <f aca="false">MIN(INT(ROUND(N265*1000000,0)/100000),9)</f>
        <v>1</v>
      </c>
      <c r="AF265" s="8" t="n">
        <f aca="false">MIN(INT(ROUND(P265*1000000,0)/100000),9)</f>
        <v>1</v>
      </c>
    </row>
    <row r="266" customFormat="false" ht="15" hidden="false" customHeight="false" outlineLevel="0" collapsed="false">
      <c r="A266" s="4" t="n">
        <v>262</v>
      </c>
      <c r="B266" s="4" t="n">
        <v>1226</v>
      </c>
      <c r="C266" s="4" t="n">
        <v>0</v>
      </c>
      <c r="D266" s="11" t="n">
        <v>46054</v>
      </c>
      <c r="E266" s="4" t="s">
        <v>203</v>
      </c>
      <c r="F266" s="4" t="s">
        <v>206</v>
      </c>
      <c r="G266" s="4" t="n">
        <v>9</v>
      </c>
      <c r="H266" s="4" t="n">
        <v>6</v>
      </c>
      <c r="I266" s="4" t="n">
        <v>1</v>
      </c>
      <c r="J266" s="4" t="n">
        <v>288</v>
      </c>
      <c r="K266" s="4" t="n">
        <v>0</v>
      </c>
      <c r="L266" s="12" t="n">
        <v>0.665826</v>
      </c>
      <c r="M266" s="12" t="n">
        <v>0.184211</v>
      </c>
      <c r="N266" s="12" t="n">
        <v>0.137347</v>
      </c>
      <c r="O266" s="12" t="n">
        <v>0.106183</v>
      </c>
      <c r="P266" s="12" t="n">
        <v>0.147297</v>
      </c>
      <c r="Q266" s="0" t="str">
        <f aca="false">IF(L266&gt;=Models!$G$5,1+COUNTIF($L$5:$L$1517,"&gt;"&amp;L266)+COUNTIFS($L$5:$L$1517,L266,$B$5:$B$1517,"&lt;"&amp;B266)+COUNTIFS($L$5:$L$1517,L266,$B$5:$B$1517,B266,$C$5:$C$1517,"&lt;"&amp;C266),"")</f>
        <v/>
      </c>
      <c r="R266" s="8" t="n">
        <f aca="false">IF(M266&gt;=Models!$G$6,1+COUNTIF($M$5:$M$1517,"&gt;"&amp;M266)+COUNTIFS($M$5:$M$1517,M266,$B$5:$B$1517,"&lt;"&amp;B266)+COUNTIFS($M$5:$M$1517,M266,$B$5:$B$1517,B266,$C$5:$C$1517,"&lt;"&amp;C266),"")</f>
        <v>115</v>
      </c>
      <c r="S266" s="0" t="str">
        <f aca="false">IF(N266&gt;=Models!$G$7,1+COUNTIF($N$5:$N$1517,"&gt;"&amp;N266)+COUNTIFS($N$5:$N$1517,N266,$B$5:$B$1517,"&lt;"&amp;B266)+COUNTIFS($N$5:$N$1517,N266,$B$5:$B$1517,B266,$C$5:$C$1517,"&lt;"&amp;C266),"")</f>
        <v/>
      </c>
      <c r="T266" s="8" t="n">
        <f aca="false">IF(O266&gt;=Models!$G$8,1+COUNTIF($O$5:$O$1517,"&gt;"&amp;O266)+COUNTIFS($O$5:$O$1517,O266,$B$5:$B$1517,"&lt;"&amp;B266)+COUNTIFS($O$5:$O$1517,O266,$B$5:$B$1517,B266,$C$5:$C$1517,"&lt;"&amp;C266),"")</f>
        <v>988</v>
      </c>
      <c r="U266" s="8" t="n">
        <f aca="false">IF($K266=1,COUNTIFS($L$5:$L$1517,"&gt;="&amp;L266,$K$5:$K$1517,1)/COUNTIF($L$5:$L$1517,"&gt;="&amp;L266),0)</f>
        <v>0</v>
      </c>
      <c r="V266" s="8" t="n">
        <f aca="false">IF($K266=1,COUNTIFS($M$5:$M$1517,"&gt;="&amp;M266,$K$5:$K$1517,1)/COUNTIF($M$5:$M$1517,"&gt;="&amp;M266),0)</f>
        <v>0</v>
      </c>
      <c r="W266" s="8" t="n">
        <f aca="false">IF($K266=1,COUNTIFS($N$5:$N$1517,"&gt;="&amp;N266,$K$5:$K$1517,1)/COUNTIF($N$5:$N$1517,"&gt;="&amp;N266),0)</f>
        <v>0</v>
      </c>
      <c r="X266" s="8" t="n">
        <f aca="false">IF($K266=1,COUNTIFS($O$5:$O$1517,"&gt;="&amp;O266,$K$5:$K$1517,1)/COUNTIF($O$5:$O$1517,"&gt;="&amp;O266),0)</f>
        <v>0</v>
      </c>
      <c r="Y266" s="8" t="n">
        <f aca="false">IF($K266=1,COUNTIFS($P$5:$P$1517,"&gt;="&amp;P266,$K$5:$K$1517,1)/COUNTIF($P$5:$P$1517,"&gt;="&amp;P266),0)</f>
        <v>0</v>
      </c>
      <c r="Z266" s="8" t="n">
        <f aca="false">(L266-$K266)^2</f>
        <v>0.443324262276</v>
      </c>
      <c r="AA266" s="8" t="n">
        <f aca="false">(M266-$K266)^2</f>
        <v>0.033933692521</v>
      </c>
      <c r="AB266" s="8" t="n">
        <f aca="false">(N266-$K266)^2</f>
        <v>0.018864198409</v>
      </c>
      <c r="AC266" s="8" t="n">
        <f aca="false">(O266-$K266)^2</f>
        <v>0.011274829489</v>
      </c>
      <c r="AD266" s="8" t="n">
        <f aca="false">(P266-$K266)^2</f>
        <v>0.021696406209</v>
      </c>
      <c r="AE266" s="8" t="n">
        <f aca="false">MIN(INT(ROUND(N266*1000000,0)/100000),9)</f>
        <v>1</v>
      </c>
      <c r="AF266" s="8" t="n">
        <f aca="false">MIN(INT(ROUND(P266*1000000,0)/100000),9)</f>
        <v>1</v>
      </c>
    </row>
    <row r="267" customFormat="false" ht="15" hidden="false" customHeight="false" outlineLevel="0" collapsed="false">
      <c r="A267" s="4" t="n">
        <v>263</v>
      </c>
      <c r="B267" s="4" t="n">
        <v>1228</v>
      </c>
      <c r="C267" s="4" t="n">
        <v>0</v>
      </c>
      <c r="D267" s="11" t="n">
        <v>46054</v>
      </c>
      <c r="E267" s="4" t="s">
        <v>202</v>
      </c>
      <c r="F267" s="4" t="s">
        <v>209</v>
      </c>
      <c r="G267" s="4" t="n">
        <v>10</v>
      </c>
      <c r="H267" s="4" t="n">
        <v>1</v>
      </c>
      <c r="I267" s="4" t="n">
        <v>0</v>
      </c>
      <c r="J267" s="4" t="n">
        <v>1155</v>
      </c>
      <c r="K267" s="4" t="n">
        <v>0</v>
      </c>
      <c r="L267" s="12" t="n">
        <v>0.837796</v>
      </c>
      <c r="M267" s="12" t="n">
        <v>0.092063</v>
      </c>
      <c r="N267" s="12" t="n">
        <v>0.068188</v>
      </c>
      <c r="O267" s="12" t="n">
        <v>0.106183</v>
      </c>
      <c r="P267" s="12" t="n">
        <v>0.071075</v>
      </c>
      <c r="Q267" s="0" t="str">
        <f aca="false">IF(L267&gt;=Models!$G$5,1+COUNTIF($L$5:$L$1517,"&gt;"&amp;L267)+COUNTIFS($L$5:$L$1517,L267,$B$5:$B$1517,"&lt;"&amp;B267)+COUNTIFS($L$5:$L$1517,L267,$B$5:$B$1517,B267,$C$5:$C$1517,"&lt;"&amp;C267),"")</f>
        <v/>
      </c>
      <c r="R267" s="0" t="str">
        <f aca="false">IF(M267&gt;=Models!$G$6,1+COUNTIF($M$5:$M$1517,"&gt;"&amp;M267)+COUNTIFS($M$5:$M$1517,M267,$B$5:$B$1517,"&lt;"&amp;B267)+COUNTIFS($M$5:$M$1517,M267,$B$5:$B$1517,B267,$C$5:$C$1517,"&lt;"&amp;C267),"")</f>
        <v/>
      </c>
      <c r="S267" s="0" t="str">
        <f aca="false">IF(N267&gt;=Models!$G$7,1+COUNTIF($N$5:$N$1517,"&gt;"&amp;N267)+COUNTIFS($N$5:$N$1517,N267,$B$5:$B$1517,"&lt;"&amp;B267)+COUNTIFS($N$5:$N$1517,N267,$B$5:$B$1517,B267,$C$5:$C$1517,"&lt;"&amp;C267),"")</f>
        <v/>
      </c>
      <c r="T267" s="8" t="n">
        <f aca="false">IF(O267&gt;=Models!$G$8,1+COUNTIF($O$5:$O$1517,"&gt;"&amp;O267)+COUNTIFS($O$5:$O$1517,O267,$B$5:$B$1517,"&lt;"&amp;B267)+COUNTIFS($O$5:$O$1517,O267,$B$5:$B$1517,B267,$C$5:$C$1517,"&lt;"&amp;C267),"")</f>
        <v>992</v>
      </c>
      <c r="U267" s="8" t="n">
        <f aca="false">IF($K267=1,COUNTIFS($L$5:$L$1517,"&gt;="&amp;L267,$K$5:$K$1517,1)/COUNTIF($L$5:$L$1517,"&gt;="&amp;L267),0)</f>
        <v>0</v>
      </c>
      <c r="V267" s="8" t="n">
        <f aca="false">IF($K267=1,COUNTIFS($M$5:$M$1517,"&gt;="&amp;M267,$K$5:$K$1517,1)/COUNTIF($M$5:$M$1517,"&gt;="&amp;M267),0)</f>
        <v>0</v>
      </c>
      <c r="W267" s="8" t="n">
        <f aca="false">IF($K267=1,COUNTIFS($N$5:$N$1517,"&gt;="&amp;N267,$K$5:$K$1517,1)/COUNTIF($N$5:$N$1517,"&gt;="&amp;N267),0)</f>
        <v>0</v>
      </c>
      <c r="X267" s="8" t="n">
        <f aca="false">IF($K267=1,COUNTIFS($O$5:$O$1517,"&gt;="&amp;O267,$K$5:$K$1517,1)/COUNTIF($O$5:$O$1517,"&gt;="&amp;O267),0)</f>
        <v>0</v>
      </c>
      <c r="Y267" s="8" t="n">
        <f aca="false">IF($K267=1,COUNTIFS($P$5:$P$1517,"&gt;="&amp;P267,$K$5:$K$1517,1)/COUNTIF($P$5:$P$1517,"&gt;="&amp;P267),0)</f>
        <v>0</v>
      </c>
      <c r="Z267" s="8" t="n">
        <f aca="false">(L267-$K267)^2</f>
        <v>0.701902137616</v>
      </c>
      <c r="AA267" s="8" t="n">
        <f aca="false">(M267-$K267)^2</f>
        <v>0.008475595969</v>
      </c>
      <c r="AB267" s="8" t="n">
        <f aca="false">(N267-$K267)^2</f>
        <v>0.004649603344</v>
      </c>
      <c r="AC267" s="8" t="n">
        <f aca="false">(O267-$K267)^2</f>
        <v>0.011274829489</v>
      </c>
      <c r="AD267" s="8" t="n">
        <f aca="false">(P267-$K267)^2</f>
        <v>0.005051655625</v>
      </c>
      <c r="AE267" s="8" t="n">
        <f aca="false">MIN(INT(ROUND(N267*1000000,0)/100000),9)</f>
        <v>0</v>
      </c>
      <c r="AF267" s="8" t="n">
        <f aca="false">MIN(INT(ROUND(P267*1000000,0)/100000),9)</f>
        <v>0</v>
      </c>
    </row>
    <row r="268" customFormat="false" ht="15" hidden="false" customHeight="false" outlineLevel="0" collapsed="false">
      <c r="A268" s="4" t="n">
        <v>264</v>
      </c>
      <c r="B268" s="4" t="n">
        <v>1230</v>
      </c>
      <c r="C268" s="4" t="n">
        <v>0</v>
      </c>
      <c r="D268" s="11" t="n">
        <v>46054</v>
      </c>
      <c r="E268" s="4" t="s">
        <v>202</v>
      </c>
      <c r="F268" s="4" t="s">
        <v>206</v>
      </c>
      <c r="G268" s="4" t="n">
        <v>1</v>
      </c>
      <c r="H268" s="4" t="n">
        <v>17</v>
      </c>
      <c r="I268" s="4" t="n">
        <v>0</v>
      </c>
      <c r="J268" s="4" t="n">
        <v>942</v>
      </c>
      <c r="K268" s="4" t="n">
        <v>0</v>
      </c>
      <c r="L268" s="12" t="n">
        <v>0.722381</v>
      </c>
      <c r="M268" s="12" t="n">
        <v>0.092063</v>
      </c>
      <c r="N268" s="12" t="n">
        <v>0.159568</v>
      </c>
      <c r="O268" s="12" t="n">
        <v>0.106183</v>
      </c>
      <c r="P268" s="12" t="n">
        <v>0.171999</v>
      </c>
      <c r="Q268" s="0" t="str">
        <f aca="false">IF(L268&gt;=Models!$G$5,1+COUNTIF($L$5:$L$1517,"&gt;"&amp;L268)+COUNTIFS($L$5:$L$1517,L268,$B$5:$B$1517,"&lt;"&amp;B268)+COUNTIFS($L$5:$L$1517,L268,$B$5:$B$1517,B268,$C$5:$C$1517,"&lt;"&amp;C268),"")</f>
        <v/>
      </c>
      <c r="R268" s="0" t="str">
        <f aca="false">IF(M268&gt;=Models!$G$6,1+COUNTIF($M$5:$M$1517,"&gt;"&amp;M268)+COUNTIFS($M$5:$M$1517,M268,$B$5:$B$1517,"&lt;"&amp;B268)+COUNTIFS($M$5:$M$1517,M268,$B$5:$B$1517,B268,$C$5:$C$1517,"&lt;"&amp;C268),"")</f>
        <v/>
      </c>
      <c r="S268" s="0" t="str">
        <f aca="false">IF(N268&gt;=Models!$G$7,1+COUNTIF($N$5:$N$1517,"&gt;"&amp;N268)+COUNTIFS($N$5:$N$1517,N268,$B$5:$B$1517,"&lt;"&amp;B268)+COUNTIFS($N$5:$N$1517,N268,$B$5:$B$1517,B268,$C$5:$C$1517,"&lt;"&amp;C268),"")</f>
        <v/>
      </c>
      <c r="T268" s="8" t="n">
        <f aca="false">IF(O268&gt;=Models!$G$8,1+COUNTIF($O$5:$O$1517,"&gt;"&amp;O268)+COUNTIFS($O$5:$O$1517,O268,$B$5:$B$1517,"&lt;"&amp;B268)+COUNTIFS($O$5:$O$1517,O268,$B$5:$B$1517,B268,$C$5:$C$1517,"&lt;"&amp;C268),"")</f>
        <v>996</v>
      </c>
      <c r="U268" s="8" t="n">
        <f aca="false">IF($K268=1,COUNTIFS($L$5:$L$1517,"&gt;="&amp;L268,$K$5:$K$1517,1)/COUNTIF($L$5:$L$1517,"&gt;="&amp;L268),0)</f>
        <v>0</v>
      </c>
      <c r="V268" s="8" t="n">
        <f aca="false">IF($K268=1,COUNTIFS($M$5:$M$1517,"&gt;="&amp;M268,$K$5:$K$1517,1)/COUNTIF($M$5:$M$1517,"&gt;="&amp;M268),0)</f>
        <v>0</v>
      </c>
      <c r="W268" s="8" t="n">
        <f aca="false">IF($K268=1,COUNTIFS($N$5:$N$1517,"&gt;="&amp;N268,$K$5:$K$1517,1)/COUNTIF($N$5:$N$1517,"&gt;="&amp;N268),0)</f>
        <v>0</v>
      </c>
      <c r="X268" s="8" t="n">
        <f aca="false">IF($K268=1,COUNTIFS($O$5:$O$1517,"&gt;="&amp;O268,$K$5:$K$1517,1)/COUNTIF($O$5:$O$1517,"&gt;="&amp;O268),0)</f>
        <v>0</v>
      </c>
      <c r="Y268" s="8" t="n">
        <f aca="false">IF($K268=1,COUNTIFS($P$5:$P$1517,"&gt;="&amp;P268,$K$5:$K$1517,1)/COUNTIF($P$5:$P$1517,"&gt;="&amp;P268),0)</f>
        <v>0</v>
      </c>
      <c r="Z268" s="8" t="n">
        <f aca="false">(L268-$K268)^2</f>
        <v>0.521834309161</v>
      </c>
      <c r="AA268" s="8" t="n">
        <f aca="false">(M268-$K268)^2</f>
        <v>0.008475595969</v>
      </c>
      <c r="AB268" s="8" t="n">
        <f aca="false">(N268-$K268)^2</f>
        <v>0.025461946624</v>
      </c>
      <c r="AC268" s="8" t="n">
        <f aca="false">(O268-$K268)^2</f>
        <v>0.011274829489</v>
      </c>
      <c r="AD268" s="8" t="n">
        <f aca="false">(P268-$K268)^2</f>
        <v>0.029583656001</v>
      </c>
      <c r="AE268" s="8" t="n">
        <f aca="false">MIN(INT(ROUND(N268*1000000,0)/100000),9)</f>
        <v>1</v>
      </c>
      <c r="AF268" s="8" t="n">
        <f aca="false">MIN(INT(ROUND(P268*1000000,0)/100000),9)</f>
        <v>1</v>
      </c>
    </row>
    <row r="269" customFormat="false" ht="15" hidden="false" customHeight="false" outlineLevel="0" collapsed="false">
      <c r="A269" s="4" t="n">
        <v>265</v>
      </c>
      <c r="B269" s="4" t="n">
        <v>1232</v>
      </c>
      <c r="C269" s="4" t="n">
        <v>0</v>
      </c>
      <c r="D269" s="11" t="n">
        <v>46054</v>
      </c>
      <c r="E269" s="4" t="s">
        <v>202</v>
      </c>
      <c r="F269" s="4" t="s">
        <v>206</v>
      </c>
      <c r="G269" s="4" t="n">
        <v>13</v>
      </c>
      <c r="H269" s="4" t="n">
        <v>1</v>
      </c>
      <c r="I269" s="4" t="n">
        <v>1</v>
      </c>
      <c r="J269" s="4" t="n">
        <v>1152</v>
      </c>
      <c r="K269" s="4" t="n">
        <v>0</v>
      </c>
      <c r="L269" s="12" t="n">
        <v>0.868166</v>
      </c>
      <c r="M269" s="12" t="n">
        <v>0.184211</v>
      </c>
      <c r="N269" s="12" t="n">
        <v>0.09207</v>
      </c>
      <c r="O269" s="12" t="n">
        <v>0.106183</v>
      </c>
      <c r="P269" s="12" t="n">
        <v>0.097217</v>
      </c>
      <c r="Q269" s="0" t="str">
        <f aca="false">IF(L269&gt;=Models!$G$5,1+COUNTIF($L$5:$L$1517,"&gt;"&amp;L269)+COUNTIFS($L$5:$L$1517,L269,$B$5:$B$1517,"&lt;"&amp;B269)+COUNTIFS($L$5:$L$1517,L269,$B$5:$B$1517,B269,$C$5:$C$1517,"&lt;"&amp;C269),"")</f>
        <v/>
      </c>
      <c r="R269" s="8" t="n">
        <f aca="false">IF(M269&gt;=Models!$G$6,1+COUNTIF($M$5:$M$1517,"&gt;"&amp;M269)+COUNTIFS($M$5:$M$1517,M269,$B$5:$B$1517,"&lt;"&amp;B269)+COUNTIFS($M$5:$M$1517,M269,$B$5:$B$1517,B269,$C$5:$C$1517,"&lt;"&amp;C269),"")</f>
        <v>116</v>
      </c>
      <c r="S269" s="0" t="str">
        <f aca="false">IF(N269&gt;=Models!$G$7,1+COUNTIF($N$5:$N$1517,"&gt;"&amp;N269)+COUNTIFS($N$5:$N$1517,N269,$B$5:$B$1517,"&lt;"&amp;B269)+COUNTIFS($N$5:$N$1517,N269,$B$5:$B$1517,B269,$C$5:$C$1517,"&lt;"&amp;C269),"")</f>
        <v/>
      </c>
      <c r="T269" s="8" t="n">
        <f aca="false">IF(O269&gt;=Models!$G$8,1+COUNTIF($O$5:$O$1517,"&gt;"&amp;O269)+COUNTIFS($O$5:$O$1517,O269,$B$5:$B$1517,"&lt;"&amp;B269)+COUNTIFS($O$5:$O$1517,O269,$B$5:$B$1517,B269,$C$5:$C$1517,"&lt;"&amp;C269),"")</f>
        <v>1000</v>
      </c>
      <c r="U269" s="8" t="n">
        <f aca="false">IF($K269=1,COUNTIFS($L$5:$L$1517,"&gt;="&amp;L269,$K$5:$K$1517,1)/COUNTIF($L$5:$L$1517,"&gt;="&amp;L269),0)</f>
        <v>0</v>
      </c>
      <c r="V269" s="8" t="n">
        <f aca="false">IF($K269=1,COUNTIFS($M$5:$M$1517,"&gt;="&amp;M269,$K$5:$K$1517,1)/COUNTIF($M$5:$M$1517,"&gt;="&amp;M269),0)</f>
        <v>0</v>
      </c>
      <c r="W269" s="8" t="n">
        <f aca="false">IF($K269=1,COUNTIFS($N$5:$N$1517,"&gt;="&amp;N269,$K$5:$K$1517,1)/COUNTIF($N$5:$N$1517,"&gt;="&amp;N269),0)</f>
        <v>0</v>
      </c>
      <c r="X269" s="8" t="n">
        <f aca="false">IF($K269=1,COUNTIFS($O$5:$O$1517,"&gt;="&amp;O269,$K$5:$K$1517,1)/COUNTIF($O$5:$O$1517,"&gt;="&amp;O269),0)</f>
        <v>0</v>
      </c>
      <c r="Y269" s="8" t="n">
        <f aca="false">IF($K269=1,COUNTIFS($P$5:$P$1517,"&gt;="&amp;P269,$K$5:$K$1517,1)/COUNTIF($P$5:$P$1517,"&gt;="&amp;P269),0)</f>
        <v>0</v>
      </c>
      <c r="Z269" s="8" t="n">
        <f aca="false">(L269-$K269)^2</f>
        <v>0.753712203556</v>
      </c>
      <c r="AA269" s="8" t="n">
        <f aca="false">(M269-$K269)^2</f>
        <v>0.033933692521</v>
      </c>
      <c r="AB269" s="8" t="n">
        <f aca="false">(N269-$K269)^2</f>
        <v>0.0084768849</v>
      </c>
      <c r="AC269" s="8" t="n">
        <f aca="false">(O269-$K269)^2</f>
        <v>0.011274829489</v>
      </c>
      <c r="AD269" s="8" t="n">
        <f aca="false">(P269-$K269)^2</f>
        <v>0.009451145089</v>
      </c>
      <c r="AE269" s="8" t="n">
        <f aca="false">MIN(INT(ROUND(N269*1000000,0)/100000),9)</f>
        <v>0</v>
      </c>
      <c r="AF269" s="8" t="n">
        <f aca="false">MIN(INT(ROUND(P269*1000000,0)/100000),9)</f>
        <v>0</v>
      </c>
    </row>
    <row r="270" customFormat="false" ht="15" hidden="false" customHeight="false" outlineLevel="0" collapsed="false">
      <c r="A270" s="4" t="n">
        <v>266</v>
      </c>
      <c r="B270" s="4" t="n">
        <v>1243</v>
      </c>
      <c r="C270" s="4" t="n">
        <v>0</v>
      </c>
      <c r="D270" s="11" t="n">
        <v>46054</v>
      </c>
      <c r="E270" s="4" t="s">
        <v>202</v>
      </c>
      <c r="F270" s="4" t="s">
        <v>209</v>
      </c>
      <c r="G270" s="4" t="n">
        <v>7</v>
      </c>
      <c r="H270" s="4" t="n">
        <v>6</v>
      </c>
      <c r="I270" s="4" t="n">
        <v>0</v>
      </c>
      <c r="J270" s="4" t="n">
        <v>1344</v>
      </c>
      <c r="K270" s="4" t="n">
        <v>1</v>
      </c>
      <c r="L270" s="12" t="n">
        <v>0.247999</v>
      </c>
      <c r="M270" s="12" t="n">
        <v>0.092063</v>
      </c>
      <c r="N270" s="12" t="n">
        <v>0.089898</v>
      </c>
      <c r="O270" s="12" t="n">
        <v>0.106183</v>
      </c>
      <c r="P270" s="12" t="n">
        <v>0.094829</v>
      </c>
      <c r="Q270" s="0" t="str">
        <f aca="false">IF(L270&gt;=Models!$G$5,1+COUNTIF($L$5:$L$1517,"&gt;"&amp;L270)+COUNTIFS($L$5:$L$1517,L270,$B$5:$B$1517,"&lt;"&amp;B270)+COUNTIFS($L$5:$L$1517,L270,$B$5:$B$1517,B270,$C$5:$C$1517,"&lt;"&amp;C270),"")</f>
        <v/>
      </c>
      <c r="R270" s="0" t="str">
        <f aca="false">IF(M270&gt;=Models!$G$6,1+COUNTIF($M$5:$M$1517,"&gt;"&amp;M270)+COUNTIFS($M$5:$M$1517,M270,$B$5:$B$1517,"&lt;"&amp;B270)+COUNTIFS($M$5:$M$1517,M270,$B$5:$B$1517,B270,$C$5:$C$1517,"&lt;"&amp;C270),"")</f>
        <v/>
      </c>
      <c r="S270" s="0" t="str">
        <f aca="false">IF(N270&gt;=Models!$G$7,1+COUNTIF($N$5:$N$1517,"&gt;"&amp;N270)+COUNTIFS($N$5:$N$1517,N270,$B$5:$B$1517,"&lt;"&amp;B270)+COUNTIFS($N$5:$N$1517,N270,$B$5:$B$1517,B270,$C$5:$C$1517,"&lt;"&amp;C270),"")</f>
        <v/>
      </c>
      <c r="T270" s="8" t="n">
        <f aca="false">IF(O270&gt;=Models!$G$8,1+COUNTIF($O$5:$O$1517,"&gt;"&amp;O270)+COUNTIFS($O$5:$O$1517,O270,$B$5:$B$1517,"&lt;"&amp;B270)+COUNTIFS($O$5:$O$1517,O270,$B$5:$B$1517,B270,$C$5:$C$1517,"&lt;"&amp;C270),"")</f>
        <v>1004</v>
      </c>
      <c r="U270" s="8" t="n">
        <f aca="false">IF($K270=1,COUNTIFS($L$5:$L$1517,"&gt;="&amp;L270,$K$5:$K$1517,1)/COUNTIF($L$5:$L$1517,"&gt;="&amp;L270),0)</f>
        <v>0.128571428571429</v>
      </c>
      <c r="V270" s="8" t="n">
        <f aca="false">IF($K270=1,COUNTIFS($M$5:$M$1517,"&gt;="&amp;M270,$K$5:$K$1517,1)/COUNTIF($M$5:$M$1517,"&gt;="&amp;M270),0)</f>
        <v>0.12491738268341</v>
      </c>
      <c r="W270" s="8" t="n">
        <f aca="false">IF($K270=1,COUNTIFS($N$5:$N$1517,"&gt;="&amp;N270,$K$5:$K$1517,1)/COUNTIF($N$5:$N$1517,"&gt;="&amp;N270),0)</f>
        <v>0.178481012658228</v>
      </c>
      <c r="X270" s="8" t="n">
        <f aca="false">IF($K270=1,COUNTIFS($O$5:$O$1517,"&gt;="&amp;O270,$K$5:$K$1517,1)/COUNTIF($O$5:$O$1517,"&gt;="&amp;O270),0)</f>
        <v>0.12491738268341</v>
      </c>
      <c r="Y270" s="8" t="n">
        <f aca="false">IF($K270=1,COUNTIFS($P$5:$P$1517,"&gt;="&amp;P270,$K$5:$K$1517,1)/COUNTIF($P$5:$P$1517,"&gt;="&amp;P270),0)</f>
        <v>0.178481012658228</v>
      </c>
      <c r="Z270" s="8" t="n">
        <f aca="false">(L270-$K270)^2</f>
        <v>0.565505504001</v>
      </c>
      <c r="AA270" s="8" t="n">
        <f aca="false">(M270-$K270)^2</f>
        <v>0.824349595969</v>
      </c>
      <c r="AB270" s="8" t="n">
        <f aca="false">(N270-$K270)^2</f>
        <v>0.828285650404</v>
      </c>
      <c r="AC270" s="8" t="n">
        <f aca="false">(O270-$K270)^2</f>
        <v>0.798908829489</v>
      </c>
      <c r="AD270" s="8" t="n">
        <f aca="false">(P270-$K270)^2</f>
        <v>0.819334539241</v>
      </c>
      <c r="AE270" s="8" t="n">
        <f aca="false">MIN(INT(ROUND(N270*1000000,0)/100000),9)</f>
        <v>0</v>
      </c>
      <c r="AF270" s="8" t="n">
        <f aca="false">MIN(INT(ROUND(P270*1000000,0)/100000),9)</f>
        <v>0</v>
      </c>
    </row>
    <row r="271" customFormat="false" ht="15" hidden="false" customHeight="false" outlineLevel="0" collapsed="false">
      <c r="A271" s="4" t="n">
        <v>267</v>
      </c>
      <c r="B271" s="4" t="n">
        <v>1244</v>
      </c>
      <c r="C271" s="4" t="n">
        <v>0</v>
      </c>
      <c r="D271" s="11" t="n">
        <v>46054</v>
      </c>
      <c r="E271" s="4" t="s">
        <v>204</v>
      </c>
      <c r="F271" s="4" t="s">
        <v>209</v>
      </c>
      <c r="G271" s="4" t="n">
        <v>1</v>
      </c>
      <c r="H271" s="4" t="n">
        <v>27</v>
      </c>
      <c r="I271" s="4" t="n">
        <v>0</v>
      </c>
      <c r="J271" s="4" t="n">
        <v>111</v>
      </c>
      <c r="K271" s="4" t="n">
        <v>1</v>
      </c>
      <c r="L271" s="12" t="n">
        <v>0.169244</v>
      </c>
      <c r="M271" s="12" t="n">
        <v>0.092063</v>
      </c>
      <c r="N271" s="12" t="n">
        <v>0.177812</v>
      </c>
      <c r="O271" s="12" t="n">
        <v>0.106183</v>
      </c>
      <c r="P271" s="12" t="n">
        <v>0.192301</v>
      </c>
      <c r="Q271" s="0" t="str">
        <f aca="false">IF(L271&gt;=Models!$G$5,1+COUNTIF($L$5:$L$1517,"&gt;"&amp;L271)+COUNTIFS($L$5:$L$1517,L271,$B$5:$B$1517,"&lt;"&amp;B271)+COUNTIFS($L$5:$L$1517,L271,$B$5:$B$1517,B271,$C$5:$C$1517,"&lt;"&amp;C271),"")</f>
        <v/>
      </c>
      <c r="R271" s="0" t="str">
        <f aca="false">IF(M271&gt;=Models!$G$6,1+COUNTIF($M$5:$M$1517,"&gt;"&amp;M271)+COUNTIFS($M$5:$M$1517,M271,$B$5:$B$1517,"&lt;"&amp;B271)+COUNTIFS($M$5:$M$1517,M271,$B$5:$B$1517,B271,$C$5:$C$1517,"&lt;"&amp;C271),"")</f>
        <v/>
      </c>
      <c r="S271" s="0" t="str">
        <f aca="false">IF(N271&gt;=Models!$G$7,1+COUNTIF($N$5:$N$1517,"&gt;"&amp;N271)+COUNTIFS($N$5:$N$1517,N271,$B$5:$B$1517,"&lt;"&amp;B271)+COUNTIFS($N$5:$N$1517,N271,$B$5:$B$1517,B271,$C$5:$C$1517,"&lt;"&amp;C271),"")</f>
        <v/>
      </c>
      <c r="T271" s="8" t="n">
        <f aca="false">IF(O271&gt;=Models!$G$8,1+COUNTIF($O$5:$O$1517,"&gt;"&amp;O271)+COUNTIFS($O$5:$O$1517,O271,$B$5:$B$1517,"&lt;"&amp;B271)+COUNTIFS($O$5:$O$1517,O271,$B$5:$B$1517,B271,$C$5:$C$1517,"&lt;"&amp;C271),"")</f>
        <v>1006</v>
      </c>
      <c r="U271" s="8" t="n">
        <f aca="false">IF($K271=1,COUNTIFS($L$5:$L$1517,"&gt;="&amp;L271,$K$5:$K$1517,1)/COUNTIF($L$5:$L$1517,"&gt;="&amp;L271),0)</f>
        <v>0.125705076551168</v>
      </c>
      <c r="V271" s="8" t="n">
        <f aca="false">IF($K271=1,COUNTIFS($M$5:$M$1517,"&gt;="&amp;M271,$K$5:$K$1517,1)/COUNTIF($M$5:$M$1517,"&gt;="&amp;M271),0)</f>
        <v>0.12491738268341</v>
      </c>
      <c r="W271" s="8" t="n">
        <f aca="false">IF($K271=1,COUNTIFS($N$5:$N$1517,"&gt;="&amp;N271,$K$5:$K$1517,1)/COUNTIF($N$5:$N$1517,"&gt;="&amp;N271),0)</f>
        <v>0.32</v>
      </c>
      <c r="X271" s="8" t="n">
        <f aca="false">IF($K271=1,COUNTIFS($O$5:$O$1517,"&gt;="&amp;O271,$K$5:$K$1517,1)/COUNTIF($O$5:$O$1517,"&gt;="&amp;O271),0)</f>
        <v>0.12491738268341</v>
      </c>
      <c r="Y271" s="8" t="n">
        <f aca="false">IF($K271=1,COUNTIFS($P$5:$P$1517,"&gt;="&amp;P271,$K$5:$K$1517,1)/COUNTIF($P$5:$P$1517,"&gt;="&amp;P271),0)</f>
        <v>0.32</v>
      </c>
      <c r="Z271" s="8" t="n">
        <f aca="false">(L271-$K271)^2</f>
        <v>0.690155531536</v>
      </c>
      <c r="AA271" s="8" t="n">
        <f aca="false">(M271-$K271)^2</f>
        <v>0.824349595969</v>
      </c>
      <c r="AB271" s="8" t="n">
        <f aca="false">(N271-$K271)^2</f>
        <v>0.675993107344</v>
      </c>
      <c r="AC271" s="8" t="n">
        <f aca="false">(O271-$K271)^2</f>
        <v>0.798908829489</v>
      </c>
      <c r="AD271" s="8" t="n">
        <f aca="false">(P271-$K271)^2</f>
        <v>0.652377674601</v>
      </c>
      <c r="AE271" s="8" t="n">
        <f aca="false">MIN(INT(ROUND(N271*1000000,0)/100000),9)</f>
        <v>1</v>
      </c>
      <c r="AF271" s="8" t="n">
        <f aca="false">MIN(INT(ROUND(P271*1000000,0)/100000),9)</f>
        <v>1</v>
      </c>
    </row>
    <row r="272" customFormat="false" ht="15" hidden="false" customHeight="false" outlineLevel="0" collapsed="false">
      <c r="A272" s="4" t="n">
        <v>268</v>
      </c>
      <c r="B272" s="4" t="n">
        <v>1246</v>
      </c>
      <c r="C272" s="4" t="n">
        <v>0</v>
      </c>
      <c r="D272" s="11" t="n">
        <v>46054</v>
      </c>
      <c r="E272" s="4" t="s">
        <v>203</v>
      </c>
      <c r="F272" s="4" t="s">
        <v>207</v>
      </c>
      <c r="G272" s="4" t="n">
        <v>7</v>
      </c>
      <c r="H272" s="4" t="n">
        <v>3</v>
      </c>
      <c r="I272" s="4" t="n">
        <v>0</v>
      </c>
      <c r="J272" s="4"/>
      <c r="K272" s="4" t="n">
        <v>0</v>
      </c>
      <c r="L272" s="12" t="n">
        <v>0.895248</v>
      </c>
      <c r="M272" s="12" t="n">
        <v>0.092063</v>
      </c>
      <c r="N272" s="12" t="n">
        <v>0.046611</v>
      </c>
      <c r="O272" s="12" t="n">
        <v>0.106183</v>
      </c>
      <c r="P272" s="12" t="n">
        <v>0.047752</v>
      </c>
      <c r="Q272" s="0" t="str">
        <f aca="false">IF(L272&gt;=Models!$G$5,1+COUNTIF($L$5:$L$1517,"&gt;"&amp;L272)+COUNTIFS($L$5:$L$1517,L272,$B$5:$B$1517,"&lt;"&amp;B272)+COUNTIFS($L$5:$L$1517,L272,$B$5:$B$1517,B272,$C$5:$C$1517,"&lt;"&amp;C272),"")</f>
        <v/>
      </c>
      <c r="R272" s="0" t="str">
        <f aca="false">IF(M272&gt;=Models!$G$6,1+COUNTIF($M$5:$M$1517,"&gt;"&amp;M272)+COUNTIFS($M$5:$M$1517,M272,$B$5:$B$1517,"&lt;"&amp;B272)+COUNTIFS($M$5:$M$1517,M272,$B$5:$B$1517,B272,$C$5:$C$1517,"&lt;"&amp;C272),"")</f>
        <v/>
      </c>
      <c r="S272" s="0" t="str">
        <f aca="false">IF(N272&gt;=Models!$G$7,1+COUNTIF($N$5:$N$1517,"&gt;"&amp;N272)+COUNTIFS($N$5:$N$1517,N272,$B$5:$B$1517,"&lt;"&amp;B272)+COUNTIFS($N$5:$N$1517,N272,$B$5:$B$1517,B272,$C$5:$C$1517,"&lt;"&amp;C272),"")</f>
        <v/>
      </c>
      <c r="T272" s="8" t="n">
        <f aca="false">IF(O272&gt;=Models!$G$8,1+COUNTIF($O$5:$O$1517,"&gt;"&amp;O272)+COUNTIFS($O$5:$O$1517,O272,$B$5:$B$1517,"&lt;"&amp;B272)+COUNTIFS($O$5:$O$1517,O272,$B$5:$B$1517,B272,$C$5:$C$1517,"&lt;"&amp;C272),"")</f>
        <v>1007</v>
      </c>
      <c r="U272" s="8" t="n">
        <f aca="false">IF($K272=1,COUNTIFS($L$5:$L$1517,"&gt;="&amp;L272,$K$5:$K$1517,1)/COUNTIF($L$5:$L$1517,"&gt;="&amp;L272),0)</f>
        <v>0</v>
      </c>
      <c r="V272" s="8" t="n">
        <f aca="false">IF($K272=1,COUNTIFS($M$5:$M$1517,"&gt;="&amp;M272,$K$5:$K$1517,1)/COUNTIF($M$5:$M$1517,"&gt;="&amp;M272),0)</f>
        <v>0</v>
      </c>
      <c r="W272" s="8" t="n">
        <f aca="false">IF($K272=1,COUNTIFS($N$5:$N$1517,"&gt;="&amp;N272,$K$5:$K$1517,1)/COUNTIF($N$5:$N$1517,"&gt;="&amp;N272),0)</f>
        <v>0</v>
      </c>
      <c r="X272" s="8" t="n">
        <f aca="false">IF($K272=1,COUNTIFS($O$5:$O$1517,"&gt;="&amp;O272,$K$5:$K$1517,1)/COUNTIF($O$5:$O$1517,"&gt;="&amp;O272),0)</f>
        <v>0</v>
      </c>
      <c r="Y272" s="8" t="n">
        <f aca="false">IF($K272=1,COUNTIFS($P$5:$P$1517,"&gt;="&amp;P272,$K$5:$K$1517,1)/COUNTIF($P$5:$P$1517,"&gt;="&amp;P272),0)</f>
        <v>0</v>
      </c>
      <c r="Z272" s="8" t="n">
        <f aca="false">(L272-$K272)^2</f>
        <v>0.801468981504</v>
      </c>
      <c r="AA272" s="8" t="n">
        <f aca="false">(M272-$K272)^2</f>
        <v>0.008475595969</v>
      </c>
      <c r="AB272" s="8" t="n">
        <f aca="false">(N272-$K272)^2</f>
        <v>0.002172585321</v>
      </c>
      <c r="AC272" s="8" t="n">
        <f aca="false">(O272-$K272)^2</f>
        <v>0.011274829489</v>
      </c>
      <c r="AD272" s="8" t="n">
        <f aca="false">(P272-$K272)^2</f>
        <v>0.002280253504</v>
      </c>
      <c r="AE272" s="8" t="n">
        <f aca="false">MIN(INT(ROUND(N272*1000000,0)/100000),9)</f>
        <v>0</v>
      </c>
      <c r="AF272" s="8" t="n">
        <f aca="false">MIN(INT(ROUND(P272*1000000,0)/100000),9)</f>
        <v>0</v>
      </c>
    </row>
    <row r="273" customFormat="false" ht="15" hidden="false" customHeight="false" outlineLevel="0" collapsed="false">
      <c r="A273" s="4" t="n">
        <v>269</v>
      </c>
      <c r="B273" s="4" t="n">
        <v>1247</v>
      </c>
      <c r="C273" s="4" t="n">
        <v>0</v>
      </c>
      <c r="D273" s="11" t="n">
        <v>46054</v>
      </c>
      <c r="E273" s="4" t="s">
        <v>203</v>
      </c>
      <c r="F273" s="4" t="s">
        <v>207</v>
      </c>
      <c r="G273" s="4" t="n">
        <v>4</v>
      </c>
      <c r="H273" s="4" t="n">
        <v>17</v>
      </c>
      <c r="I273" s="4" t="n">
        <v>0</v>
      </c>
      <c r="J273" s="4"/>
      <c r="K273" s="4" t="n">
        <v>0</v>
      </c>
      <c r="L273" s="12" t="n">
        <v>0.48876</v>
      </c>
      <c r="M273" s="12" t="n">
        <v>0.092063</v>
      </c>
      <c r="N273" s="12" t="n">
        <v>0.067015</v>
      </c>
      <c r="O273" s="12" t="n">
        <v>0.106183</v>
      </c>
      <c r="P273" s="12" t="n">
        <v>0.069798</v>
      </c>
      <c r="Q273" s="0" t="str">
        <f aca="false">IF(L273&gt;=Models!$G$5,1+COUNTIF($L$5:$L$1517,"&gt;"&amp;L273)+COUNTIFS($L$5:$L$1517,L273,$B$5:$B$1517,"&lt;"&amp;B273)+COUNTIFS($L$5:$L$1517,L273,$B$5:$B$1517,B273,$C$5:$C$1517,"&lt;"&amp;C273),"")</f>
        <v/>
      </c>
      <c r="R273" s="0" t="str">
        <f aca="false">IF(M273&gt;=Models!$G$6,1+COUNTIF($M$5:$M$1517,"&gt;"&amp;M273)+COUNTIFS($M$5:$M$1517,M273,$B$5:$B$1517,"&lt;"&amp;B273)+COUNTIFS($M$5:$M$1517,M273,$B$5:$B$1517,B273,$C$5:$C$1517,"&lt;"&amp;C273),"")</f>
        <v/>
      </c>
      <c r="S273" s="0" t="str">
        <f aca="false">IF(N273&gt;=Models!$G$7,1+COUNTIF($N$5:$N$1517,"&gt;"&amp;N273)+COUNTIFS($N$5:$N$1517,N273,$B$5:$B$1517,"&lt;"&amp;B273)+COUNTIFS($N$5:$N$1517,N273,$B$5:$B$1517,B273,$C$5:$C$1517,"&lt;"&amp;C273),"")</f>
        <v/>
      </c>
      <c r="T273" s="8" t="n">
        <f aca="false">IF(O273&gt;=Models!$G$8,1+COUNTIF($O$5:$O$1517,"&gt;"&amp;O273)+COUNTIFS($O$5:$O$1517,O273,$B$5:$B$1517,"&lt;"&amp;B273)+COUNTIFS($O$5:$O$1517,O273,$B$5:$B$1517,B273,$C$5:$C$1517,"&lt;"&amp;C273),"")</f>
        <v>1011</v>
      </c>
      <c r="U273" s="8" t="n">
        <f aca="false">IF($K273=1,COUNTIFS($L$5:$L$1517,"&gt;="&amp;L273,$K$5:$K$1517,1)/COUNTIF($L$5:$L$1517,"&gt;="&amp;L273),0)</f>
        <v>0</v>
      </c>
      <c r="V273" s="8" t="n">
        <f aca="false">IF($K273=1,COUNTIFS($M$5:$M$1517,"&gt;="&amp;M273,$K$5:$K$1517,1)/COUNTIF($M$5:$M$1517,"&gt;="&amp;M273),0)</f>
        <v>0</v>
      </c>
      <c r="W273" s="8" t="n">
        <f aca="false">IF($K273=1,COUNTIFS($N$5:$N$1517,"&gt;="&amp;N273,$K$5:$K$1517,1)/COUNTIF($N$5:$N$1517,"&gt;="&amp;N273),0)</f>
        <v>0</v>
      </c>
      <c r="X273" s="8" t="n">
        <f aca="false">IF($K273=1,COUNTIFS($O$5:$O$1517,"&gt;="&amp;O273,$K$5:$K$1517,1)/COUNTIF($O$5:$O$1517,"&gt;="&amp;O273),0)</f>
        <v>0</v>
      </c>
      <c r="Y273" s="8" t="n">
        <f aca="false">IF($K273=1,COUNTIFS($P$5:$P$1517,"&gt;="&amp;P273,$K$5:$K$1517,1)/COUNTIF($P$5:$P$1517,"&gt;="&amp;P273),0)</f>
        <v>0</v>
      </c>
      <c r="Z273" s="8" t="n">
        <f aca="false">(L273-$K273)^2</f>
        <v>0.2388863376</v>
      </c>
      <c r="AA273" s="8" t="n">
        <f aca="false">(M273-$K273)^2</f>
        <v>0.008475595969</v>
      </c>
      <c r="AB273" s="8" t="n">
        <f aca="false">(N273-$K273)^2</f>
        <v>0.004491010225</v>
      </c>
      <c r="AC273" s="8" t="n">
        <f aca="false">(O273-$K273)^2</f>
        <v>0.011274829489</v>
      </c>
      <c r="AD273" s="8" t="n">
        <f aca="false">(P273-$K273)^2</f>
        <v>0.004871760804</v>
      </c>
      <c r="AE273" s="8" t="n">
        <f aca="false">MIN(INT(ROUND(N273*1000000,0)/100000),9)</f>
        <v>0</v>
      </c>
      <c r="AF273" s="8" t="n">
        <f aca="false">MIN(INT(ROUND(P273*1000000,0)/100000),9)</f>
        <v>0</v>
      </c>
    </row>
    <row r="274" customFormat="false" ht="15" hidden="false" customHeight="false" outlineLevel="0" collapsed="false">
      <c r="A274" s="4" t="n">
        <v>270</v>
      </c>
      <c r="B274" s="4" t="n">
        <v>1249</v>
      </c>
      <c r="C274" s="4" t="n">
        <v>0</v>
      </c>
      <c r="D274" s="11" t="n">
        <v>46054</v>
      </c>
      <c r="E274" s="4" t="s">
        <v>201</v>
      </c>
      <c r="F274" s="4" t="s">
        <v>209</v>
      </c>
      <c r="G274" s="4" t="n">
        <v>4</v>
      </c>
      <c r="H274" s="4" t="n">
        <v>7</v>
      </c>
      <c r="I274" s="4" t="n">
        <v>0</v>
      </c>
      <c r="J274" s="4"/>
      <c r="K274" s="4" t="n">
        <v>0</v>
      </c>
      <c r="L274" s="12" t="n">
        <v>0.735475</v>
      </c>
      <c r="M274" s="12" t="n">
        <v>0.092063</v>
      </c>
      <c r="N274" s="12" t="n">
        <v>0.062069</v>
      </c>
      <c r="O274" s="12" t="n">
        <v>0.106183</v>
      </c>
      <c r="P274" s="12" t="n">
        <v>0.064426</v>
      </c>
      <c r="Q274" s="0" t="str">
        <f aca="false">IF(L274&gt;=Models!$G$5,1+COUNTIF($L$5:$L$1517,"&gt;"&amp;L274)+COUNTIFS($L$5:$L$1517,L274,$B$5:$B$1517,"&lt;"&amp;B274)+COUNTIFS($L$5:$L$1517,L274,$B$5:$B$1517,B274,$C$5:$C$1517,"&lt;"&amp;C274),"")</f>
        <v/>
      </c>
      <c r="R274" s="0" t="str">
        <f aca="false">IF(M274&gt;=Models!$G$6,1+COUNTIF($M$5:$M$1517,"&gt;"&amp;M274)+COUNTIFS($M$5:$M$1517,M274,$B$5:$B$1517,"&lt;"&amp;B274)+COUNTIFS($M$5:$M$1517,M274,$B$5:$B$1517,B274,$C$5:$C$1517,"&lt;"&amp;C274),"")</f>
        <v/>
      </c>
      <c r="S274" s="0" t="str">
        <f aca="false">IF(N274&gt;=Models!$G$7,1+COUNTIF($N$5:$N$1517,"&gt;"&amp;N274)+COUNTIFS($N$5:$N$1517,N274,$B$5:$B$1517,"&lt;"&amp;B274)+COUNTIFS($N$5:$N$1517,N274,$B$5:$B$1517,B274,$C$5:$C$1517,"&lt;"&amp;C274),"")</f>
        <v/>
      </c>
      <c r="T274" s="8" t="n">
        <f aca="false">IF(O274&gt;=Models!$G$8,1+COUNTIF($O$5:$O$1517,"&gt;"&amp;O274)+COUNTIFS($O$5:$O$1517,O274,$B$5:$B$1517,"&lt;"&amp;B274)+COUNTIFS($O$5:$O$1517,O274,$B$5:$B$1517,B274,$C$5:$C$1517,"&lt;"&amp;C274),"")</f>
        <v>1015</v>
      </c>
      <c r="U274" s="8" t="n">
        <f aca="false">IF($K274=1,COUNTIFS($L$5:$L$1517,"&gt;="&amp;L274,$K$5:$K$1517,1)/COUNTIF($L$5:$L$1517,"&gt;="&amp;L274),0)</f>
        <v>0</v>
      </c>
      <c r="V274" s="8" t="n">
        <f aca="false">IF($K274=1,COUNTIFS($M$5:$M$1517,"&gt;="&amp;M274,$K$5:$K$1517,1)/COUNTIF($M$5:$M$1517,"&gt;="&amp;M274),0)</f>
        <v>0</v>
      </c>
      <c r="W274" s="8" t="n">
        <f aca="false">IF($K274=1,COUNTIFS($N$5:$N$1517,"&gt;="&amp;N274,$K$5:$K$1517,1)/COUNTIF($N$5:$N$1517,"&gt;="&amp;N274),0)</f>
        <v>0</v>
      </c>
      <c r="X274" s="8" t="n">
        <f aca="false">IF($K274=1,COUNTIFS($O$5:$O$1517,"&gt;="&amp;O274,$K$5:$K$1517,1)/COUNTIF($O$5:$O$1517,"&gt;="&amp;O274),0)</f>
        <v>0</v>
      </c>
      <c r="Y274" s="8" t="n">
        <f aca="false">IF($K274=1,COUNTIFS($P$5:$P$1517,"&gt;="&amp;P274,$K$5:$K$1517,1)/COUNTIF($P$5:$P$1517,"&gt;="&amp;P274),0)</f>
        <v>0</v>
      </c>
      <c r="Z274" s="8" t="n">
        <f aca="false">(L274-$K274)^2</f>
        <v>0.540923475625</v>
      </c>
      <c r="AA274" s="8" t="n">
        <f aca="false">(M274-$K274)^2</f>
        <v>0.008475595969</v>
      </c>
      <c r="AB274" s="8" t="n">
        <f aca="false">(N274-$K274)^2</f>
        <v>0.003852560761</v>
      </c>
      <c r="AC274" s="8" t="n">
        <f aca="false">(O274-$K274)^2</f>
        <v>0.011274829489</v>
      </c>
      <c r="AD274" s="8" t="n">
        <f aca="false">(P274-$K274)^2</f>
        <v>0.004150709476</v>
      </c>
      <c r="AE274" s="8" t="n">
        <f aca="false">MIN(INT(ROUND(N274*1000000,0)/100000),9)</f>
        <v>0</v>
      </c>
      <c r="AF274" s="8" t="n">
        <f aca="false">MIN(INT(ROUND(P274*1000000,0)/100000),9)</f>
        <v>0</v>
      </c>
    </row>
    <row r="275" customFormat="false" ht="15" hidden="false" customHeight="false" outlineLevel="0" collapsed="false">
      <c r="A275" s="4" t="n">
        <v>271</v>
      </c>
      <c r="B275" s="4" t="n">
        <v>1256</v>
      </c>
      <c r="C275" s="4" t="n">
        <v>0</v>
      </c>
      <c r="D275" s="11" t="n">
        <v>46054</v>
      </c>
      <c r="E275" s="4" t="s">
        <v>201</v>
      </c>
      <c r="F275" s="4" t="s">
        <v>206</v>
      </c>
      <c r="G275" s="4" t="n">
        <v>3</v>
      </c>
      <c r="H275" s="4" t="n">
        <v>1</v>
      </c>
      <c r="I275" s="4" t="n">
        <v>1</v>
      </c>
      <c r="J275" s="4"/>
      <c r="K275" s="4" t="n">
        <v>0</v>
      </c>
      <c r="L275" s="12" t="n">
        <v>0.553154</v>
      </c>
      <c r="M275" s="12" t="n">
        <v>0.184211</v>
      </c>
      <c r="N275" s="12" t="n">
        <v>0.111198</v>
      </c>
      <c r="O275" s="12" t="n">
        <v>0.106183</v>
      </c>
      <c r="P275" s="12" t="n">
        <v>0.118315</v>
      </c>
      <c r="Q275" s="0" t="str">
        <f aca="false">IF(L275&gt;=Models!$G$5,1+COUNTIF($L$5:$L$1517,"&gt;"&amp;L275)+COUNTIFS($L$5:$L$1517,L275,$B$5:$B$1517,"&lt;"&amp;B275)+COUNTIFS($L$5:$L$1517,L275,$B$5:$B$1517,B275,$C$5:$C$1517,"&lt;"&amp;C275),"")</f>
        <v/>
      </c>
      <c r="R275" s="8" t="n">
        <f aca="false">IF(M275&gt;=Models!$G$6,1+COUNTIF($M$5:$M$1517,"&gt;"&amp;M275)+COUNTIFS($M$5:$M$1517,M275,$B$5:$B$1517,"&lt;"&amp;B275)+COUNTIFS($M$5:$M$1517,M275,$B$5:$B$1517,B275,$C$5:$C$1517,"&lt;"&amp;C275),"")</f>
        <v>122</v>
      </c>
      <c r="S275" s="0" t="str">
        <f aca="false">IF(N275&gt;=Models!$G$7,1+COUNTIF($N$5:$N$1517,"&gt;"&amp;N275)+COUNTIFS($N$5:$N$1517,N275,$B$5:$B$1517,"&lt;"&amp;B275)+COUNTIFS($N$5:$N$1517,N275,$B$5:$B$1517,B275,$C$5:$C$1517,"&lt;"&amp;C275),"")</f>
        <v/>
      </c>
      <c r="T275" s="8" t="n">
        <f aca="false">IF(O275&gt;=Models!$G$8,1+COUNTIF($O$5:$O$1517,"&gt;"&amp;O275)+COUNTIFS($O$5:$O$1517,O275,$B$5:$B$1517,"&lt;"&amp;B275)+COUNTIFS($O$5:$O$1517,O275,$B$5:$B$1517,B275,$C$5:$C$1517,"&lt;"&amp;C275),"")</f>
        <v>1019</v>
      </c>
      <c r="U275" s="8" t="n">
        <f aca="false">IF($K275=1,COUNTIFS($L$5:$L$1517,"&gt;="&amp;L275,$K$5:$K$1517,1)/COUNTIF($L$5:$L$1517,"&gt;="&amp;L275),0)</f>
        <v>0</v>
      </c>
      <c r="V275" s="8" t="n">
        <f aca="false">IF($K275=1,COUNTIFS($M$5:$M$1517,"&gt;="&amp;M275,$K$5:$K$1517,1)/COUNTIF($M$5:$M$1517,"&gt;="&amp;M275),0)</f>
        <v>0</v>
      </c>
      <c r="W275" s="8" t="n">
        <f aca="false">IF($K275=1,COUNTIFS($N$5:$N$1517,"&gt;="&amp;N275,$K$5:$K$1517,1)/COUNTIF($N$5:$N$1517,"&gt;="&amp;N275),0)</f>
        <v>0</v>
      </c>
      <c r="X275" s="8" t="n">
        <f aca="false">IF($K275=1,COUNTIFS($O$5:$O$1517,"&gt;="&amp;O275,$K$5:$K$1517,1)/COUNTIF($O$5:$O$1517,"&gt;="&amp;O275),0)</f>
        <v>0</v>
      </c>
      <c r="Y275" s="8" t="n">
        <f aca="false">IF($K275=1,COUNTIFS($P$5:$P$1517,"&gt;="&amp;P275,$K$5:$K$1517,1)/COUNTIF($P$5:$P$1517,"&gt;="&amp;P275),0)</f>
        <v>0</v>
      </c>
      <c r="Z275" s="8" t="n">
        <f aca="false">(L275-$K275)^2</f>
        <v>0.305979347716</v>
      </c>
      <c r="AA275" s="8" t="n">
        <f aca="false">(M275-$K275)^2</f>
        <v>0.033933692521</v>
      </c>
      <c r="AB275" s="8" t="n">
        <f aca="false">(N275-$K275)^2</f>
        <v>0.012364995204</v>
      </c>
      <c r="AC275" s="8" t="n">
        <f aca="false">(O275-$K275)^2</f>
        <v>0.011274829489</v>
      </c>
      <c r="AD275" s="8" t="n">
        <f aca="false">(P275-$K275)^2</f>
        <v>0.013998439225</v>
      </c>
      <c r="AE275" s="8" t="n">
        <f aca="false">MIN(INT(ROUND(N275*1000000,0)/100000),9)</f>
        <v>1</v>
      </c>
      <c r="AF275" s="8" t="n">
        <f aca="false">MIN(INT(ROUND(P275*1000000,0)/100000),9)</f>
        <v>1</v>
      </c>
    </row>
    <row r="276" customFormat="false" ht="15" hidden="false" customHeight="false" outlineLevel="0" collapsed="false">
      <c r="A276" s="4" t="n">
        <v>272</v>
      </c>
      <c r="B276" s="4" t="n">
        <v>1262</v>
      </c>
      <c r="C276" s="4" t="n">
        <v>0</v>
      </c>
      <c r="D276" s="11" t="n">
        <v>46054</v>
      </c>
      <c r="E276" s="4" t="s">
        <v>201</v>
      </c>
      <c r="F276" s="4" t="s">
        <v>207</v>
      </c>
      <c r="G276" s="4" t="n">
        <v>17</v>
      </c>
      <c r="H276" s="4" t="n">
        <v>1</v>
      </c>
      <c r="I276" s="4" t="n">
        <v>0</v>
      </c>
      <c r="J276" s="4" t="n">
        <v>6618</v>
      </c>
      <c r="K276" s="4" t="n">
        <v>0</v>
      </c>
      <c r="L276" s="12" t="n">
        <v>0.867327</v>
      </c>
      <c r="M276" s="12" t="n">
        <v>0.092063</v>
      </c>
      <c r="N276" s="12" t="n">
        <v>0.027598</v>
      </c>
      <c r="O276" s="12" t="n">
        <v>0.106183</v>
      </c>
      <c r="P276" s="12" t="n">
        <v>0.027585</v>
      </c>
      <c r="Q276" s="0" t="str">
        <f aca="false">IF(L276&gt;=Models!$G$5,1+COUNTIF($L$5:$L$1517,"&gt;"&amp;L276)+COUNTIFS($L$5:$L$1517,L276,$B$5:$B$1517,"&lt;"&amp;B276)+COUNTIFS($L$5:$L$1517,L276,$B$5:$B$1517,B276,$C$5:$C$1517,"&lt;"&amp;C276),"")</f>
        <v/>
      </c>
      <c r="R276" s="0" t="str">
        <f aca="false">IF(M276&gt;=Models!$G$6,1+COUNTIF($M$5:$M$1517,"&gt;"&amp;M276)+COUNTIFS($M$5:$M$1517,M276,$B$5:$B$1517,"&lt;"&amp;B276)+COUNTIFS($M$5:$M$1517,M276,$B$5:$B$1517,B276,$C$5:$C$1517,"&lt;"&amp;C276),"")</f>
        <v/>
      </c>
      <c r="S276" s="0" t="str">
        <f aca="false">IF(N276&gt;=Models!$G$7,1+COUNTIF($N$5:$N$1517,"&gt;"&amp;N276)+COUNTIFS($N$5:$N$1517,N276,$B$5:$B$1517,"&lt;"&amp;B276)+COUNTIFS($N$5:$N$1517,N276,$B$5:$B$1517,B276,$C$5:$C$1517,"&lt;"&amp;C276),"")</f>
        <v/>
      </c>
      <c r="T276" s="8" t="n">
        <f aca="false">IF(O276&gt;=Models!$G$8,1+COUNTIF($O$5:$O$1517,"&gt;"&amp;O276)+COUNTIFS($O$5:$O$1517,O276,$B$5:$B$1517,"&lt;"&amp;B276)+COUNTIFS($O$5:$O$1517,O276,$B$5:$B$1517,B276,$C$5:$C$1517,"&lt;"&amp;C276),"")</f>
        <v>1023</v>
      </c>
      <c r="U276" s="8" t="n">
        <f aca="false">IF($K276=1,COUNTIFS($L$5:$L$1517,"&gt;="&amp;L276,$K$5:$K$1517,1)/COUNTIF($L$5:$L$1517,"&gt;="&amp;L276),0)</f>
        <v>0</v>
      </c>
      <c r="V276" s="8" t="n">
        <f aca="false">IF($K276=1,COUNTIFS($M$5:$M$1517,"&gt;="&amp;M276,$K$5:$K$1517,1)/COUNTIF($M$5:$M$1517,"&gt;="&amp;M276),0)</f>
        <v>0</v>
      </c>
      <c r="W276" s="8" t="n">
        <f aca="false">IF($K276=1,COUNTIFS($N$5:$N$1517,"&gt;="&amp;N276,$K$5:$K$1517,1)/COUNTIF($N$5:$N$1517,"&gt;="&amp;N276),0)</f>
        <v>0</v>
      </c>
      <c r="X276" s="8" t="n">
        <f aca="false">IF($K276=1,COUNTIFS($O$5:$O$1517,"&gt;="&amp;O276,$K$5:$K$1517,1)/COUNTIF($O$5:$O$1517,"&gt;="&amp;O276),0)</f>
        <v>0</v>
      </c>
      <c r="Y276" s="8" t="n">
        <f aca="false">IF($K276=1,COUNTIFS($P$5:$P$1517,"&gt;="&amp;P276,$K$5:$K$1517,1)/COUNTIF($P$5:$P$1517,"&gt;="&amp;P276),0)</f>
        <v>0</v>
      </c>
      <c r="Z276" s="8" t="n">
        <f aca="false">(L276-$K276)^2</f>
        <v>0.752256124929</v>
      </c>
      <c r="AA276" s="8" t="n">
        <f aca="false">(M276-$K276)^2</f>
        <v>0.008475595969</v>
      </c>
      <c r="AB276" s="8" t="n">
        <f aca="false">(N276-$K276)^2</f>
        <v>0.000761649604</v>
      </c>
      <c r="AC276" s="8" t="n">
        <f aca="false">(O276-$K276)^2</f>
        <v>0.011274829489</v>
      </c>
      <c r="AD276" s="8" t="n">
        <f aca="false">(P276-$K276)^2</f>
        <v>0.000760932225</v>
      </c>
      <c r="AE276" s="8" t="n">
        <f aca="false">MIN(INT(ROUND(N276*1000000,0)/100000),9)</f>
        <v>0</v>
      </c>
      <c r="AF276" s="8" t="n">
        <f aca="false">MIN(INT(ROUND(P276*1000000,0)/100000),9)</f>
        <v>0</v>
      </c>
    </row>
    <row r="277" customFormat="false" ht="15" hidden="false" customHeight="false" outlineLevel="0" collapsed="false">
      <c r="A277" s="4" t="n">
        <v>273</v>
      </c>
      <c r="B277" s="4" t="n">
        <v>1266</v>
      </c>
      <c r="C277" s="4" t="n">
        <v>0</v>
      </c>
      <c r="D277" s="11" t="n">
        <v>46054</v>
      </c>
      <c r="E277" s="4" t="s">
        <v>202</v>
      </c>
      <c r="F277" s="4" t="s">
        <v>207</v>
      </c>
      <c r="G277" s="4" t="n">
        <v>4</v>
      </c>
      <c r="H277" s="4" t="n">
        <v>0</v>
      </c>
      <c r="I277" s="4" t="n">
        <v>0</v>
      </c>
      <c r="J277" s="4"/>
      <c r="K277" s="4" t="n">
        <v>1</v>
      </c>
      <c r="L277" s="12" t="n">
        <v>0.409672</v>
      </c>
      <c r="M277" s="12" t="n">
        <v>0.092063</v>
      </c>
      <c r="N277" s="12" t="n">
        <v>0.058812</v>
      </c>
      <c r="O277" s="12" t="n">
        <v>0.106183</v>
      </c>
      <c r="P277" s="12" t="n">
        <v>0.060897</v>
      </c>
      <c r="Q277" s="0" t="str">
        <f aca="false">IF(L277&gt;=Models!$G$5,1+COUNTIF($L$5:$L$1517,"&gt;"&amp;L277)+COUNTIFS($L$5:$L$1517,L277,$B$5:$B$1517,"&lt;"&amp;B277)+COUNTIFS($L$5:$L$1517,L277,$B$5:$B$1517,B277,$C$5:$C$1517,"&lt;"&amp;C277),"")</f>
        <v/>
      </c>
      <c r="R277" s="0" t="str">
        <f aca="false">IF(M277&gt;=Models!$G$6,1+COUNTIF($M$5:$M$1517,"&gt;"&amp;M277)+COUNTIFS($M$5:$M$1517,M277,$B$5:$B$1517,"&lt;"&amp;B277)+COUNTIFS($M$5:$M$1517,M277,$B$5:$B$1517,B277,$C$5:$C$1517,"&lt;"&amp;C277),"")</f>
        <v/>
      </c>
      <c r="S277" s="0" t="str">
        <f aca="false">IF(N277&gt;=Models!$G$7,1+COUNTIF($N$5:$N$1517,"&gt;"&amp;N277)+COUNTIFS($N$5:$N$1517,N277,$B$5:$B$1517,"&lt;"&amp;B277)+COUNTIFS($N$5:$N$1517,N277,$B$5:$B$1517,B277,$C$5:$C$1517,"&lt;"&amp;C277),"")</f>
        <v/>
      </c>
      <c r="T277" s="8" t="n">
        <f aca="false">IF(O277&gt;=Models!$G$8,1+COUNTIF($O$5:$O$1517,"&gt;"&amp;O277)+COUNTIFS($O$5:$O$1517,O277,$B$5:$B$1517,"&lt;"&amp;B277)+COUNTIFS($O$5:$O$1517,O277,$B$5:$B$1517,B277,$C$5:$C$1517,"&lt;"&amp;C277),"")</f>
        <v>1027</v>
      </c>
      <c r="U277" s="8" t="n">
        <f aca="false">IF($K277=1,COUNTIFS($L$5:$L$1517,"&gt;="&amp;L277,$K$5:$K$1517,1)/COUNTIF($L$5:$L$1517,"&gt;="&amp;L277),0)</f>
        <v>0.130090497737557</v>
      </c>
      <c r="V277" s="8" t="n">
        <f aca="false">IF($K277=1,COUNTIFS($M$5:$M$1517,"&gt;="&amp;M277,$K$5:$K$1517,1)/COUNTIF($M$5:$M$1517,"&gt;="&amp;M277),0)</f>
        <v>0.12491738268341</v>
      </c>
      <c r="W277" s="8" t="n">
        <f aca="false">IF($K277=1,COUNTIFS($N$5:$N$1517,"&gt;="&amp;N277,$K$5:$K$1517,1)/COUNTIF($N$5:$N$1517,"&gt;="&amp;N277),0)</f>
        <v>0.157458563535912</v>
      </c>
      <c r="X277" s="8" t="n">
        <f aca="false">IF($K277=1,COUNTIFS($O$5:$O$1517,"&gt;="&amp;O277,$K$5:$K$1517,1)/COUNTIF($O$5:$O$1517,"&gt;="&amp;O277),0)</f>
        <v>0.12491738268341</v>
      </c>
      <c r="Y277" s="8" t="n">
        <f aca="false">IF($K277=1,COUNTIFS($P$5:$P$1517,"&gt;="&amp;P277,$K$5:$K$1517,1)/COUNTIF($P$5:$P$1517,"&gt;="&amp;P277),0)</f>
        <v>0.157458563535912</v>
      </c>
      <c r="Z277" s="8" t="n">
        <f aca="false">(L277-$K277)^2</f>
        <v>0.348487147584</v>
      </c>
      <c r="AA277" s="8" t="n">
        <f aca="false">(M277-$K277)^2</f>
        <v>0.824349595969</v>
      </c>
      <c r="AB277" s="8" t="n">
        <f aca="false">(N277-$K277)^2</f>
        <v>0.885834851344</v>
      </c>
      <c r="AC277" s="8" t="n">
        <f aca="false">(O277-$K277)^2</f>
        <v>0.798908829489</v>
      </c>
      <c r="AD277" s="8" t="n">
        <f aca="false">(P277-$K277)^2</f>
        <v>0.881914444609</v>
      </c>
      <c r="AE277" s="8" t="n">
        <f aca="false">MIN(INT(ROUND(N277*1000000,0)/100000),9)</f>
        <v>0</v>
      </c>
      <c r="AF277" s="8" t="n">
        <f aca="false">MIN(INT(ROUND(P277*1000000,0)/100000),9)</f>
        <v>0</v>
      </c>
    </row>
    <row r="278" customFormat="false" ht="15" hidden="false" customHeight="false" outlineLevel="0" collapsed="false">
      <c r="A278" s="4" t="n">
        <v>274</v>
      </c>
      <c r="B278" s="4" t="n">
        <v>1268</v>
      </c>
      <c r="C278" s="4" t="n">
        <v>0</v>
      </c>
      <c r="D278" s="11" t="n">
        <v>46054</v>
      </c>
      <c r="E278" s="4" t="s">
        <v>203</v>
      </c>
      <c r="F278" s="4" t="s">
        <v>206</v>
      </c>
      <c r="G278" s="4" t="n">
        <v>3</v>
      </c>
      <c r="H278" s="4" t="n">
        <v>8</v>
      </c>
      <c r="I278" s="4" t="n">
        <v>1</v>
      </c>
      <c r="J278" s="4"/>
      <c r="K278" s="4" t="n">
        <v>1</v>
      </c>
      <c r="L278" s="12" t="n">
        <v>0.789463</v>
      </c>
      <c r="M278" s="12" t="n">
        <v>0.184211</v>
      </c>
      <c r="N278" s="12" t="n">
        <v>0.116995</v>
      </c>
      <c r="O278" s="12" t="n">
        <v>0.106183</v>
      </c>
      <c r="P278" s="12" t="n">
        <v>0.124729</v>
      </c>
      <c r="Q278" s="0" t="str">
        <f aca="false">IF(L278&gt;=Models!$G$5,1+COUNTIF($L$5:$L$1517,"&gt;"&amp;L278)+COUNTIFS($L$5:$L$1517,L278,$B$5:$B$1517,"&lt;"&amp;B278)+COUNTIFS($L$5:$L$1517,L278,$B$5:$B$1517,B278,$C$5:$C$1517,"&lt;"&amp;C278),"")</f>
        <v/>
      </c>
      <c r="R278" s="8" t="n">
        <f aca="false">IF(M278&gt;=Models!$G$6,1+COUNTIF($M$5:$M$1517,"&gt;"&amp;M278)+COUNTIFS($M$5:$M$1517,M278,$B$5:$B$1517,"&lt;"&amp;B278)+COUNTIFS($M$5:$M$1517,M278,$B$5:$B$1517,B278,$C$5:$C$1517,"&lt;"&amp;C278),"")</f>
        <v>126</v>
      </c>
      <c r="S278" s="0" t="str">
        <f aca="false">IF(N278&gt;=Models!$G$7,1+COUNTIF($N$5:$N$1517,"&gt;"&amp;N278)+COUNTIFS($N$5:$N$1517,N278,$B$5:$B$1517,"&lt;"&amp;B278)+COUNTIFS($N$5:$N$1517,N278,$B$5:$B$1517,B278,$C$5:$C$1517,"&lt;"&amp;C278),"")</f>
        <v/>
      </c>
      <c r="T278" s="8" t="n">
        <f aca="false">IF(O278&gt;=Models!$G$8,1+COUNTIF($O$5:$O$1517,"&gt;"&amp;O278)+COUNTIFS($O$5:$O$1517,O278,$B$5:$B$1517,"&lt;"&amp;B278)+COUNTIFS($O$5:$O$1517,O278,$B$5:$B$1517,B278,$C$5:$C$1517,"&lt;"&amp;C278),"")</f>
        <v>1029</v>
      </c>
      <c r="U278" s="8" t="n">
        <f aca="false">IF($K278=1,COUNTIFS($L$5:$L$1517,"&gt;="&amp;L278,$K$5:$K$1517,1)/COUNTIF($L$5:$L$1517,"&gt;="&amp;L278),0)</f>
        <v>0.134426229508197</v>
      </c>
      <c r="V278" s="8" t="n">
        <f aca="false">IF($K278=1,COUNTIFS($M$5:$M$1517,"&gt;="&amp;M278,$K$5:$K$1517,1)/COUNTIF($M$5:$M$1517,"&gt;="&amp;M278),0)</f>
        <v>0.186528497409326</v>
      </c>
      <c r="W278" s="8" t="n">
        <f aca="false">IF($K278=1,COUNTIFS($N$5:$N$1517,"&gt;="&amp;N278,$K$5:$K$1517,1)/COUNTIF($N$5:$N$1517,"&gt;="&amp;N278),0)</f>
        <v>0.214990138067061</v>
      </c>
      <c r="X278" s="8" t="n">
        <f aca="false">IF($K278=1,COUNTIFS($O$5:$O$1517,"&gt;="&amp;O278,$K$5:$K$1517,1)/COUNTIF($O$5:$O$1517,"&gt;="&amp;O278),0)</f>
        <v>0.12491738268341</v>
      </c>
      <c r="Y278" s="8" t="n">
        <f aca="false">IF($K278=1,COUNTIFS($P$5:$P$1517,"&gt;="&amp;P278,$K$5:$K$1517,1)/COUNTIF($P$5:$P$1517,"&gt;="&amp;P278),0)</f>
        <v>0.214990138067061</v>
      </c>
      <c r="Z278" s="8" t="n">
        <f aca="false">(L278-$K278)^2</f>
        <v>0.044325828369</v>
      </c>
      <c r="AA278" s="8" t="n">
        <f aca="false">(M278-$K278)^2</f>
        <v>0.665511692521</v>
      </c>
      <c r="AB278" s="8" t="n">
        <f aca="false">(N278-$K278)^2</f>
        <v>0.779697830025</v>
      </c>
      <c r="AC278" s="8" t="n">
        <f aca="false">(O278-$K278)^2</f>
        <v>0.798908829489</v>
      </c>
      <c r="AD278" s="8" t="n">
        <f aca="false">(P278-$K278)^2</f>
        <v>0.766099323441</v>
      </c>
      <c r="AE278" s="8" t="n">
        <f aca="false">MIN(INT(ROUND(N278*1000000,0)/100000),9)</f>
        <v>1</v>
      </c>
      <c r="AF278" s="8" t="n">
        <f aca="false">MIN(INT(ROUND(P278*1000000,0)/100000),9)</f>
        <v>1</v>
      </c>
    </row>
    <row r="279" customFormat="false" ht="15" hidden="false" customHeight="false" outlineLevel="0" collapsed="false">
      <c r="A279" s="4" t="n">
        <v>275</v>
      </c>
      <c r="B279" s="4" t="n">
        <v>1270</v>
      </c>
      <c r="C279" s="4" t="n">
        <v>0</v>
      </c>
      <c r="D279" s="11" t="n">
        <v>46054</v>
      </c>
      <c r="E279" s="4" t="s">
        <v>204</v>
      </c>
      <c r="F279" s="4" t="s">
        <v>208</v>
      </c>
      <c r="G279" s="4" t="n">
        <v>0</v>
      </c>
      <c r="H279" s="4" t="n">
        <v>34</v>
      </c>
      <c r="I279" s="4" t="n">
        <v>0</v>
      </c>
      <c r="J279" s="4"/>
      <c r="K279" s="4" t="n">
        <v>1</v>
      </c>
      <c r="L279" s="12" t="n">
        <v>0.473726</v>
      </c>
      <c r="M279" s="12" t="n">
        <v>0.184211</v>
      </c>
      <c r="N279" s="12" t="n">
        <v>0.105817</v>
      </c>
      <c r="O279" s="12" t="n">
        <v>0.106183</v>
      </c>
      <c r="P279" s="12" t="n">
        <v>0.112369</v>
      </c>
      <c r="Q279" s="0" t="str">
        <f aca="false">IF(L279&gt;=Models!$G$5,1+COUNTIF($L$5:$L$1517,"&gt;"&amp;L279)+COUNTIFS($L$5:$L$1517,L279,$B$5:$B$1517,"&lt;"&amp;B279)+COUNTIFS($L$5:$L$1517,L279,$B$5:$B$1517,B279,$C$5:$C$1517,"&lt;"&amp;C279),"")</f>
        <v/>
      </c>
      <c r="R279" s="8" t="n">
        <f aca="false">IF(M279&gt;=Models!$G$6,1+COUNTIF($M$5:$M$1517,"&gt;"&amp;M279)+COUNTIFS($M$5:$M$1517,M279,$B$5:$B$1517,"&lt;"&amp;B279)+COUNTIFS($M$5:$M$1517,M279,$B$5:$B$1517,B279,$C$5:$C$1517,"&lt;"&amp;C279),"")</f>
        <v>127</v>
      </c>
      <c r="S279" s="0" t="str">
        <f aca="false">IF(N279&gt;=Models!$G$7,1+COUNTIF($N$5:$N$1517,"&gt;"&amp;N279)+COUNTIFS($N$5:$N$1517,N279,$B$5:$B$1517,"&lt;"&amp;B279)+COUNTIFS($N$5:$N$1517,N279,$B$5:$B$1517,B279,$C$5:$C$1517,"&lt;"&amp;C279),"")</f>
        <v/>
      </c>
      <c r="T279" s="8" t="n">
        <f aca="false">IF(O279&gt;=Models!$G$8,1+COUNTIF($O$5:$O$1517,"&gt;"&amp;O279)+COUNTIFS($O$5:$O$1517,O279,$B$5:$B$1517,"&lt;"&amp;B279)+COUNTIFS($O$5:$O$1517,O279,$B$5:$B$1517,B279,$C$5:$C$1517,"&lt;"&amp;C279),"")</f>
        <v>1030</v>
      </c>
      <c r="U279" s="8" t="n">
        <f aca="false">IF($K279=1,COUNTIFS($L$5:$L$1517,"&gt;="&amp;L279,$K$5:$K$1517,1)/COUNTIF($L$5:$L$1517,"&gt;="&amp;L279),0)</f>
        <v>0.121173469387755</v>
      </c>
      <c r="V279" s="8" t="n">
        <f aca="false">IF($K279=1,COUNTIFS($M$5:$M$1517,"&gt;="&amp;M279,$K$5:$K$1517,1)/COUNTIF($M$5:$M$1517,"&gt;="&amp;M279),0)</f>
        <v>0.186528497409326</v>
      </c>
      <c r="W279" s="8" t="n">
        <f aca="false">IF($K279=1,COUNTIFS($N$5:$N$1517,"&gt;="&amp;N279,$K$5:$K$1517,1)/COUNTIF($N$5:$N$1517,"&gt;="&amp;N279),0)</f>
        <v>0.193146417445483</v>
      </c>
      <c r="X279" s="8" t="n">
        <f aca="false">IF($K279=1,COUNTIFS($O$5:$O$1517,"&gt;="&amp;O279,$K$5:$K$1517,1)/COUNTIF($O$5:$O$1517,"&gt;="&amp;O279),0)</f>
        <v>0.12491738268341</v>
      </c>
      <c r="Y279" s="8" t="n">
        <f aca="false">IF($K279=1,COUNTIFS($P$5:$P$1517,"&gt;="&amp;P279,$K$5:$K$1517,1)/COUNTIF($P$5:$P$1517,"&gt;="&amp;P279),0)</f>
        <v>0.193146417445483</v>
      </c>
      <c r="Z279" s="8" t="n">
        <f aca="false">(L279-$K279)^2</f>
        <v>0.276964323076</v>
      </c>
      <c r="AA279" s="8" t="n">
        <f aca="false">(M279-$K279)^2</f>
        <v>0.665511692521</v>
      </c>
      <c r="AB279" s="8" t="n">
        <f aca="false">(N279-$K279)^2</f>
        <v>0.799563237489</v>
      </c>
      <c r="AC279" s="8" t="n">
        <f aca="false">(O279-$K279)^2</f>
        <v>0.798908829489</v>
      </c>
      <c r="AD279" s="8" t="n">
        <f aca="false">(P279-$K279)^2</f>
        <v>0.787888792161</v>
      </c>
      <c r="AE279" s="8" t="n">
        <f aca="false">MIN(INT(ROUND(N279*1000000,0)/100000),9)</f>
        <v>1</v>
      </c>
      <c r="AF279" s="8" t="n">
        <f aca="false">MIN(INT(ROUND(P279*1000000,0)/100000),9)</f>
        <v>1</v>
      </c>
    </row>
    <row r="280" customFormat="false" ht="15" hidden="false" customHeight="false" outlineLevel="0" collapsed="false">
      <c r="A280" s="4" t="n">
        <v>276</v>
      </c>
      <c r="B280" s="4" t="n">
        <v>1274</v>
      </c>
      <c r="C280" s="4" t="n">
        <v>0</v>
      </c>
      <c r="D280" s="11" t="n">
        <v>46054</v>
      </c>
      <c r="E280" s="4" t="s">
        <v>202</v>
      </c>
      <c r="F280" s="4" t="s">
        <v>210</v>
      </c>
      <c r="G280" s="4" t="n">
        <v>6</v>
      </c>
      <c r="H280" s="4" t="n">
        <v>0</v>
      </c>
      <c r="I280" s="4" t="n">
        <v>0</v>
      </c>
      <c r="J280" s="4"/>
      <c r="K280" s="4" t="n">
        <v>0</v>
      </c>
      <c r="L280" s="12" t="n">
        <v>0.641198</v>
      </c>
      <c r="M280" s="12" t="n">
        <v>0.092063</v>
      </c>
      <c r="N280" s="12" t="n">
        <v>0.049606</v>
      </c>
      <c r="O280" s="12" t="n">
        <v>0.106183</v>
      </c>
      <c r="P280" s="12" t="n">
        <v>0.050966</v>
      </c>
      <c r="Q280" s="0" t="str">
        <f aca="false">IF(L280&gt;=Models!$G$5,1+COUNTIF($L$5:$L$1517,"&gt;"&amp;L280)+COUNTIFS($L$5:$L$1517,L280,$B$5:$B$1517,"&lt;"&amp;B280)+COUNTIFS($L$5:$L$1517,L280,$B$5:$B$1517,B280,$C$5:$C$1517,"&lt;"&amp;C280),"")</f>
        <v/>
      </c>
      <c r="R280" s="0" t="str">
        <f aca="false">IF(M280&gt;=Models!$G$6,1+COUNTIF($M$5:$M$1517,"&gt;"&amp;M280)+COUNTIFS($M$5:$M$1517,M280,$B$5:$B$1517,"&lt;"&amp;B280)+COUNTIFS($M$5:$M$1517,M280,$B$5:$B$1517,B280,$C$5:$C$1517,"&lt;"&amp;C280),"")</f>
        <v/>
      </c>
      <c r="S280" s="0" t="str">
        <f aca="false">IF(N280&gt;=Models!$G$7,1+COUNTIF($N$5:$N$1517,"&gt;"&amp;N280)+COUNTIFS($N$5:$N$1517,N280,$B$5:$B$1517,"&lt;"&amp;B280)+COUNTIFS($N$5:$N$1517,N280,$B$5:$B$1517,B280,$C$5:$C$1517,"&lt;"&amp;C280),"")</f>
        <v/>
      </c>
      <c r="T280" s="8" t="n">
        <f aca="false">IF(O280&gt;=Models!$G$8,1+COUNTIF($O$5:$O$1517,"&gt;"&amp;O280)+COUNTIFS($O$5:$O$1517,O280,$B$5:$B$1517,"&lt;"&amp;B280)+COUNTIFS($O$5:$O$1517,O280,$B$5:$B$1517,B280,$C$5:$C$1517,"&lt;"&amp;C280),"")</f>
        <v>1033</v>
      </c>
      <c r="U280" s="8" t="n">
        <f aca="false">IF($K280=1,COUNTIFS($L$5:$L$1517,"&gt;="&amp;L280,$K$5:$K$1517,1)/COUNTIF($L$5:$L$1517,"&gt;="&amp;L280),0)</f>
        <v>0</v>
      </c>
      <c r="V280" s="8" t="n">
        <f aca="false">IF($K280=1,COUNTIFS($M$5:$M$1517,"&gt;="&amp;M280,$K$5:$K$1517,1)/COUNTIF($M$5:$M$1517,"&gt;="&amp;M280),0)</f>
        <v>0</v>
      </c>
      <c r="W280" s="8" t="n">
        <f aca="false">IF($K280=1,COUNTIFS($N$5:$N$1517,"&gt;="&amp;N280,$K$5:$K$1517,1)/COUNTIF($N$5:$N$1517,"&gt;="&amp;N280),0)</f>
        <v>0</v>
      </c>
      <c r="X280" s="8" t="n">
        <f aca="false">IF($K280=1,COUNTIFS($O$5:$O$1517,"&gt;="&amp;O280,$K$5:$K$1517,1)/COUNTIF($O$5:$O$1517,"&gt;="&amp;O280),0)</f>
        <v>0</v>
      </c>
      <c r="Y280" s="8" t="n">
        <f aca="false">IF($K280=1,COUNTIFS($P$5:$P$1517,"&gt;="&amp;P280,$K$5:$K$1517,1)/COUNTIF($P$5:$P$1517,"&gt;="&amp;P280),0)</f>
        <v>0</v>
      </c>
      <c r="Z280" s="8" t="n">
        <f aca="false">(L280-$K280)^2</f>
        <v>0.411134875204</v>
      </c>
      <c r="AA280" s="8" t="n">
        <f aca="false">(M280-$K280)^2</f>
        <v>0.008475595969</v>
      </c>
      <c r="AB280" s="8" t="n">
        <f aca="false">(N280-$K280)^2</f>
        <v>0.002460755236</v>
      </c>
      <c r="AC280" s="8" t="n">
        <f aca="false">(O280-$K280)^2</f>
        <v>0.011274829489</v>
      </c>
      <c r="AD280" s="8" t="n">
        <f aca="false">(P280-$K280)^2</f>
        <v>0.002597533156</v>
      </c>
      <c r="AE280" s="8" t="n">
        <f aca="false">MIN(INT(ROUND(N280*1000000,0)/100000),9)</f>
        <v>0</v>
      </c>
      <c r="AF280" s="8" t="n">
        <f aca="false">MIN(INT(ROUND(P280*1000000,0)/100000),9)</f>
        <v>0</v>
      </c>
    </row>
    <row r="281" customFormat="false" ht="15" hidden="false" customHeight="false" outlineLevel="0" collapsed="false">
      <c r="A281" s="4" t="n">
        <v>277</v>
      </c>
      <c r="B281" s="4" t="n">
        <v>1278</v>
      </c>
      <c r="C281" s="4" t="n">
        <v>0</v>
      </c>
      <c r="D281" s="11" t="n">
        <v>46054</v>
      </c>
      <c r="E281" s="4" t="s">
        <v>203</v>
      </c>
      <c r="F281" s="4" t="s">
        <v>209</v>
      </c>
      <c r="G281" s="4" t="n">
        <v>8</v>
      </c>
      <c r="H281" s="4" t="n">
        <v>4</v>
      </c>
      <c r="I281" s="4" t="n">
        <v>0</v>
      </c>
      <c r="J281" s="4" t="n">
        <v>345</v>
      </c>
      <c r="K281" s="4" t="n">
        <v>0</v>
      </c>
      <c r="L281" s="12" t="n">
        <v>0.131874</v>
      </c>
      <c r="M281" s="12" t="n">
        <v>0.092063</v>
      </c>
      <c r="N281" s="12" t="n">
        <v>0.086018</v>
      </c>
      <c r="O281" s="12" t="n">
        <v>0.106183</v>
      </c>
      <c r="P281" s="12" t="n">
        <v>0.090568</v>
      </c>
      <c r="Q281" s="0" t="str">
        <f aca="false">IF(L281&gt;=Models!$G$5,1+COUNTIF($L$5:$L$1517,"&gt;"&amp;L281)+COUNTIFS($L$5:$L$1517,L281,$B$5:$B$1517,"&lt;"&amp;B281)+COUNTIFS($L$5:$L$1517,L281,$B$5:$B$1517,B281,$C$5:$C$1517,"&lt;"&amp;C281),"")</f>
        <v/>
      </c>
      <c r="R281" s="0" t="str">
        <f aca="false">IF(M281&gt;=Models!$G$6,1+COUNTIF($M$5:$M$1517,"&gt;"&amp;M281)+COUNTIFS($M$5:$M$1517,M281,$B$5:$B$1517,"&lt;"&amp;B281)+COUNTIFS($M$5:$M$1517,M281,$B$5:$B$1517,B281,$C$5:$C$1517,"&lt;"&amp;C281),"")</f>
        <v/>
      </c>
      <c r="S281" s="0" t="str">
        <f aca="false">IF(N281&gt;=Models!$G$7,1+COUNTIF($N$5:$N$1517,"&gt;"&amp;N281)+COUNTIFS($N$5:$N$1517,N281,$B$5:$B$1517,"&lt;"&amp;B281)+COUNTIFS($N$5:$N$1517,N281,$B$5:$B$1517,B281,$C$5:$C$1517,"&lt;"&amp;C281),"")</f>
        <v/>
      </c>
      <c r="T281" s="8" t="n">
        <f aca="false">IF(O281&gt;=Models!$G$8,1+COUNTIF($O$5:$O$1517,"&gt;"&amp;O281)+COUNTIFS($O$5:$O$1517,O281,$B$5:$B$1517,"&lt;"&amp;B281)+COUNTIFS($O$5:$O$1517,O281,$B$5:$B$1517,B281,$C$5:$C$1517,"&lt;"&amp;C281),"")</f>
        <v>1037</v>
      </c>
      <c r="U281" s="8" t="n">
        <f aca="false">IF($K281=1,COUNTIFS($L$5:$L$1517,"&gt;="&amp;L281,$K$5:$K$1517,1)/COUNTIF($L$5:$L$1517,"&gt;="&amp;L281),0)</f>
        <v>0</v>
      </c>
      <c r="V281" s="8" t="n">
        <f aca="false">IF($K281=1,COUNTIFS($M$5:$M$1517,"&gt;="&amp;M281,$K$5:$K$1517,1)/COUNTIF($M$5:$M$1517,"&gt;="&amp;M281),0)</f>
        <v>0</v>
      </c>
      <c r="W281" s="8" t="n">
        <f aca="false">IF($K281=1,COUNTIFS($N$5:$N$1517,"&gt;="&amp;N281,$K$5:$K$1517,1)/COUNTIF($N$5:$N$1517,"&gt;="&amp;N281),0)</f>
        <v>0</v>
      </c>
      <c r="X281" s="8" t="n">
        <f aca="false">IF($K281=1,COUNTIFS($O$5:$O$1517,"&gt;="&amp;O281,$K$5:$K$1517,1)/COUNTIF($O$5:$O$1517,"&gt;="&amp;O281),0)</f>
        <v>0</v>
      </c>
      <c r="Y281" s="8" t="n">
        <f aca="false">IF($K281=1,COUNTIFS($P$5:$P$1517,"&gt;="&amp;P281,$K$5:$K$1517,1)/COUNTIF($P$5:$P$1517,"&gt;="&amp;P281),0)</f>
        <v>0</v>
      </c>
      <c r="Z281" s="8" t="n">
        <f aca="false">(L281-$K281)^2</f>
        <v>0.017390751876</v>
      </c>
      <c r="AA281" s="8" t="n">
        <f aca="false">(M281-$K281)^2</f>
        <v>0.008475595969</v>
      </c>
      <c r="AB281" s="8" t="n">
        <f aca="false">(N281-$K281)^2</f>
        <v>0.007399096324</v>
      </c>
      <c r="AC281" s="8" t="n">
        <f aca="false">(O281-$K281)^2</f>
        <v>0.011274829489</v>
      </c>
      <c r="AD281" s="8" t="n">
        <f aca="false">(P281-$K281)^2</f>
        <v>0.008202562624</v>
      </c>
      <c r="AE281" s="8" t="n">
        <f aca="false">MIN(INT(ROUND(N281*1000000,0)/100000),9)</f>
        <v>0</v>
      </c>
      <c r="AF281" s="8" t="n">
        <f aca="false">MIN(INT(ROUND(P281*1000000,0)/100000),9)</f>
        <v>0</v>
      </c>
    </row>
    <row r="282" customFormat="false" ht="15" hidden="false" customHeight="false" outlineLevel="0" collapsed="false">
      <c r="A282" s="4" t="n">
        <v>278</v>
      </c>
      <c r="B282" s="4" t="n">
        <v>1284</v>
      </c>
      <c r="C282" s="4" t="n">
        <v>0</v>
      </c>
      <c r="D282" s="11" t="n">
        <v>46054</v>
      </c>
      <c r="E282" s="4" t="s">
        <v>202</v>
      </c>
      <c r="F282" s="4" t="s">
        <v>208</v>
      </c>
      <c r="G282" s="4" t="n">
        <v>9</v>
      </c>
      <c r="H282" s="4" t="n">
        <v>2</v>
      </c>
      <c r="I282" s="4" t="n">
        <v>0</v>
      </c>
      <c r="J282" s="4" t="n">
        <v>1773</v>
      </c>
      <c r="K282" s="4" t="n">
        <v>0</v>
      </c>
      <c r="L282" s="12" t="n">
        <v>0.559374</v>
      </c>
      <c r="M282" s="12" t="n">
        <v>0.092063</v>
      </c>
      <c r="N282" s="12" t="n">
        <v>0.072255</v>
      </c>
      <c r="O282" s="12" t="n">
        <v>0.106183</v>
      </c>
      <c r="P282" s="12" t="n">
        <v>0.075506</v>
      </c>
      <c r="Q282" s="0" t="str">
        <f aca="false">IF(L282&gt;=Models!$G$5,1+COUNTIF($L$5:$L$1517,"&gt;"&amp;L282)+COUNTIFS($L$5:$L$1517,L282,$B$5:$B$1517,"&lt;"&amp;B282)+COUNTIFS($L$5:$L$1517,L282,$B$5:$B$1517,B282,$C$5:$C$1517,"&lt;"&amp;C282),"")</f>
        <v/>
      </c>
      <c r="R282" s="0" t="str">
        <f aca="false">IF(M282&gt;=Models!$G$6,1+COUNTIF($M$5:$M$1517,"&gt;"&amp;M282)+COUNTIFS($M$5:$M$1517,M282,$B$5:$B$1517,"&lt;"&amp;B282)+COUNTIFS($M$5:$M$1517,M282,$B$5:$B$1517,B282,$C$5:$C$1517,"&lt;"&amp;C282),"")</f>
        <v/>
      </c>
      <c r="S282" s="0" t="str">
        <f aca="false">IF(N282&gt;=Models!$G$7,1+COUNTIF($N$5:$N$1517,"&gt;"&amp;N282)+COUNTIFS($N$5:$N$1517,N282,$B$5:$B$1517,"&lt;"&amp;B282)+COUNTIFS($N$5:$N$1517,N282,$B$5:$B$1517,B282,$C$5:$C$1517,"&lt;"&amp;C282),"")</f>
        <v/>
      </c>
      <c r="T282" s="8" t="n">
        <f aca="false">IF(O282&gt;=Models!$G$8,1+COUNTIF($O$5:$O$1517,"&gt;"&amp;O282)+COUNTIFS($O$5:$O$1517,O282,$B$5:$B$1517,"&lt;"&amp;B282)+COUNTIFS($O$5:$O$1517,O282,$B$5:$B$1517,B282,$C$5:$C$1517,"&lt;"&amp;C282),"")</f>
        <v>1041</v>
      </c>
      <c r="U282" s="8" t="n">
        <f aca="false">IF($K282=1,COUNTIFS($L$5:$L$1517,"&gt;="&amp;L282,$K$5:$K$1517,1)/COUNTIF($L$5:$L$1517,"&gt;="&amp;L282),0)</f>
        <v>0</v>
      </c>
      <c r="V282" s="8" t="n">
        <f aca="false">IF($K282=1,COUNTIFS($M$5:$M$1517,"&gt;="&amp;M282,$K$5:$K$1517,1)/COUNTIF($M$5:$M$1517,"&gt;="&amp;M282),0)</f>
        <v>0</v>
      </c>
      <c r="W282" s="8" t="n">
        <f aca="false">IF($K282=1,COUNTIFS($N$5:$N$1517,"&gt;="&amp;N282,$K$5:$K$1517,1)/COUNTIF($N$5:$N$1517,"&gt;="&amp;N282),0)</f>
        <v>0</v>
      </c>
      <c r="X282" s="8" t="n">
        <f aca="false">IF($K282=1,COUNTIFS($O$5:$O$1517,"&gt;="&amp;O282,$K$5:$K$1517,1)/COUNTIF($O$5:$O$1517,"&gt;="&amp;O282),0)</f>
        <v>0</v>
      </c>
      <c r="Y282" s="8" t="n">
        <f aca="false">IF($K282=1,COUNTIFS($P$5:$P$1517,"&gt;="&amp;P282,$K$5:$K$1517,1)/COUNTIF($P$5:$P$1517,"&gt;="&amp;P282),0)</f>
        <v>0</v>
      </c>
      <c r="Z282" s="8" t="n">
        <f aca="false">(L282-$K282)^2</f>
        <v>0.312899271876</v>
      </c>
      <c r="AA282" s="8" t="n">
        <f aca="false">(M282-$K282)^2</f>
        <v>0.008475595969</v>
      </c>
      <c r="AB282" s="8" t="n">
        <f aca="false">(N282-$K282)^2</f>
        <v>0.005220785025</v>
      </c>
      <c r="AC282" s="8" t="n">
        <f aca="false">(O282-$K282)^2</f>
        <v>0.011274829489</v>
      </c>
      <c r="AD282" s="8" t="n">
        <f aca="false">(P282-$K282)^2</f>
        <v>0.005701156036</v>
      </c>
      <c r="AE282" s="8" t="n">
        <f aca="false">MIN(INT(ROUND(N282*1000000,0)/100000),9)</f>
        <v>0</v>
      </c>
      <c r="AF282" s="8" t="n">
        <f aca="false">MIN(INT(ROUND(P282*1000000,0)/100000),9)</f>
        <v>0</v>
      </c>
    </row>
    <row r="283" customFormat="false" ht="15" hidden="false" customHeight="false" outlineLevel="0" collapsed="false">
      <c r="A283" s="4" t="n">
        <v>279</v>
      </c>
      <c r="B283" s="4" t="n">
        <v>1289</v>
      </c>
      <c r="C283" s="4" t="n">
        <v>0</v>
      </c>
      <c r="D283" s="11" t="n">
        <v>46054</v>
      </c>
      <c r="E283" s="4" t="s">
        <v>203</v>
      </c>
      <c r="F283" s="4" t="s">
        <v>208</v>
      </c>
      <c r="G283" s="4" t="n">
        <v>3</v>
      </c>
      <c r="H283" s="4" t="n">
        <v>10</v>
      </c>
      <c r="I283" s="4" t="n">
        <v>0</v>
      </c>
      <c r="J283" s="4" t="n">
        <v>363</v>
      </c>
      <c r="K283" s="4" t="n">
        <v>0</v>
      </c>
      <c r="L283" s="12" t="n">
        <v>0.953909</v>
      </c>
      <c r="M283" s="12" t="n">
        <v>0.092063</v>
      </c>
      <c r="N283" s="12" t="n">
        <v>0.134102</v>
      </c>
      <c r="O283" s="12" t="n">
        <v>0.106183</v>
      </c>
      <c r="P283" s="12" t="n">
        <v>0.143694</v>
      </c>
      <c r="Q283" s="0" t="str">
        <f aca="false">IF(L283&gt;=Models!$G$5,1+COUNTIF($L$5:$L$1517,"&gt;"&amp;L283)+COUNTIFS($L$5:$L$1517,L283,$B$5:$B$1517,"&lt;"&amp;B283)+COUNTIFS($L$5:$L$1517,L283,$B$5:$B$1517,B283,$C$5:$C$1517,"&lt;"&amp;C283),"")</f>
        <v/>
      </c>
      <c r="R283" s="0" t="str">
        <f aca="false">IF(M283&gt;=Models!$G$6,1+COUNTIF($M$5:$M$1517,"&gt;"&amp;M283)+COUNTIFS($M$5:$M$1517,M283,$B$5:$B$1517,"&lt;"&amp;B283)+COUNTIFS($M$5:$M$1517,M283,$B$5:$B$1517,B283,$C$5:$C$1517,"&lt;"&amp;C283),"")</f>
        <v/>
      </c>
      <c r="S283" s="0" t="str">
        <f aca="false">IF(N283&gt;=Models!$G$7,1+COUNTIF($N$5:$N$1517,"&gt;"&amp;N283)+COUNTIFS($N$5:$N$1517,N283,$B$5:$B$1517,"&lt;"&amp;B283)+COUNTIFS($N$5:$N$1517,N283,$B$5:$B$1517,B283,$C$5:$C$1517,"&lt;"&amp;C283),"")</f>
        <v/>
      </c>
      <c r="T283" s="8" t="n">
        <f aca="false">IF(O283&gt;=Models!$G$8,1+COUNTIF($O$5:$O$1517,"&gt;"&amp;O283)+COUNTIFS($O$5:$O$1517,O283,$B$5:$B$1517,"&lt;"&amp;B283)+COUNTIFS($O$5:$O$1517,O283,$B$5:$B$1517,B283,$C$5:$C$1517,"&lt;"&amp;C283),"")</f>
        <v>1045</v>
      </c>
      <c r="U283" s="8" t="n">
        <f aca="false">IF($K283=1,COUNTIFS($L$5:$L$1517,"&gt;="&amp;L283,$K$5:$K$1517,1)/COUNTIF($L$5:$L$1517,"&gt;="&amp;L283),0)</f>
        <v>0</v>
      </c>
      <c r="V283" s="8" t="n">
        <f aca="false">IF($K283=1,COUNTIFS($M$5:$M$1517,"&gt;="&amp;M283,$K$5:$K$1517,1)/COUNTIF($M$5:$M$1517,"&gt;="&amp;M283),0)</f>
        <v>0</v>
      </c>
      <c r="W283" s="8" t="n">
        <f aca="false">IF($K283=1,COUNTIFS($N$5:$N$1517,"&gt;="&amp;N283,$K$5:$K$1517,1)/COUNTIF($N$5:$N$1517,"&gt;="&amp;N283),0)</f>
        <v>0</v>
      </c>
      <c r="X283" s="8" t="n">
        <f aca="false">IF($K283=1,COUNTIFS($O$5:$O$1517,"&gt;="&amp;O283,$K$5:$K$1517,1)/COUNTIF($O$5:$O$1517,"&gt;="&amp;O283),0)</f>
        <v>0</v>
      </c>
      <c r="Y283" s="8" t="n">
        <f aca="false">IF($K283=1,COUNTIFS($P$5:$P$1517,"&gt;="&amp;P283,$K$5:$K$1517,1)/COUNTIF($P$5:$P$1517,"&gt;="&amp;P283),0)</f>
        <v>0</v>
      </c>
      <c r="Z283" s="8" t="n">
        <f aca="false">(L283-$K283)^2</f>
        <v>0.909942380281</v>
      </c>
      <c r="AA283" s="8" t="n">
        <f aca="false">(M283-$K283)^2</f>
        <v>0.008475595969</v>
      </c>
      <c r="AB283" s="8" t="n">
        <f aca="false">(N283-$K283)^2</f>
        <v>0.017983346404</v>
      </c>
      <c r="AC283" s="8" t="n">
        <f aca="false">(O283-$K283)^2</f>
        <v>0.011274829489</v>
      </c>
      <c r="AD283" s="8" t="n">
        <f aca="false">(P283-$K283)^2</f>
        <v>0.020647965636</v>
      </c>
      <c r="AE283" s="8" t="n">
        <f aca="false">MIN(INT(ROUND(N283*1000000,0)/100000),9)</f>
        <v>1</v>
      </c>
      <c r="AF283" s="8" t="n">
        <f aca="false">MIN(INT(ROUND(P283*1000000,0)/100000),9)</f>
        <v>1</v>
      </c>
    </row>
    <row r="284" customFormat="false" ht="15" hidden="false" customHeight="false" outlineLevel="0" collapsed="false">
      <c r="A284" s="4" t="n">
        <v>280</v>
      </c>
      <c r="B284" s="4" t="n">
        <v>1299</v>
      </c>
      <c r="C284" s="4" t="n">
        <v>0</v>
      </c>
      <c r="D284" s="11" t="n">
        <v>46054</v>
      </c>
      <c r="E284" s="4" t="s">
        <v>202</v>
      </c>
      <c r="F284" s="4" t="s">
        <v>206</v>
      </c>
      <c r="G284" s="4" t="n">
        <v>10</v>
      </c>
      <c r="H284" s="4" t="n">
        <v>10</v>
      </c>
      <c r="I284" s="4" t="n">
        <v>0</v>
      </c>
      <c r="J284" s="4" t="n">
        <v>1644</v>
      </c>
      <c r="K284" s="4" t="n">
        <v>0</v>
      </c>
      <c r="L284" s="12" t="n">
        <v>0.863</v>
      </c>
      <c r="M284" s="12" t="n">
        <v>0.092063</v>
      </c>
      <c r="N284" s="12" t="n">
        <v>0.071128</v>
      </c>
      <c r="O284" s="12" t="n">
        <v>0.106183</v>
      </c>
      <c r="P284" s="12" t="n">
        <v>0.074277</v>
      </c>
      <c r="Q284" s="0" t="str">
        <f aca="false">IF(L284&gt;=Models!$G$5,1+COUNTIF($L$5:$L$1517,"&gt;"&amp;L284)+COUNTIFS($L$5:$L$1517,L284,$B$5:$B$1517,"&lt;"&amp;B284)+COUNTIFS($L$5:$L$1517,L284,$B$5:$B$1517,B284,$C$5:$C$1517,"&lt;"&amp;C284),"")</f>
        <v/>
      </c>
      <c r="R284" s="0" t="str">
        <f aca="false">IF(M284&gt;=Models!$G$6,1+COUNTIF($M$5:$M$1517,"&gt;"&amp;M284)+COUNTIFS($M$5:$M$1517,M284,$B$5:$B$1517,"&lt;"&amp;B284)+COUNTIFS($M$5:$M$1517,M284,$B$5:$B$1517,B284,$C$5:$C$1517,"&lt;"&amp;C284),"")</f>
        <v/>
      </c>
      <c r="S284" s="0" t="str">
        <f aca="false">IF(N284&gt;=Models!$G$7,1+COUNTIF($N$5:$N$1517,"&gt;"&amp;N284)+COUNTIFS($N$5:$N$1517,N284,$B$5:$B$1517,"&lt;"&amp;B284)+COUNTIFS($N$5:$N$1517,N284,$B$5:$B$1517,B284,$C$5:$C$1517,"&lt;"&amp;C284),"")</f>
        <v/>
      </c>
      <c r="T284" s="8" t="n">
        <f aca="false">IF(O284&gt;=Models!$G$8,1+COUNTIF($O$5:$O$1517,"&gt;"&amp;O284)+COUNTIFS($O$5:$O$1517,O284,$B$5:$B$1517,"&lt;"&amp;B284)+COUNTIFS($O$5:$O$1517,O284,$B$5:$B$1517,B284,$C$5:$C$1517,"&lt;"&amp;C284),"")</f>
        <v>1049</v>
      </c>
      <c r="U284" s="8" t="n">
        <f aca="false">IF($K284=1,COUNTIFS($L$5:$L$1517,"&gt;="&amp;L284,$K$5:$K$1517,1)/COUNTIF($L$5:$L$1517,"&gt;="&amp;L284),0)</f>
        <v>0</v>
      </c>
      <c r="V284" s="8" t="n">
        <f aca="false">IF($K284=1,COUNTIFS($M$5:$M$1517,"&gt;="&amp;M284,$K$5:$K$1517,1)/COUNTIF($M$5:$M$1517,"&gt;="&amp;M284),0)</f>
        <v>0</v>
      </c>
      <c r="W284" s="8" t="n">
        <f aca="false">IF($K284=1,COUNTIFS($N$5:$N$1517,"&gt;="&amp;N284,$K$5:$K$1517,1)/COUNTIF($N$5:$N$1517,"&gt;="&amp;N284),0)</f>
        <v>0</v>
      </c>
      <c r="X284" s="8" t="n">
        <f aca="false">IF($K284=1,COUNTIFS($O$5:$O$1517,"&gt;="&amp;O284,$K$5:$K$1517,1)/COUNTIF($O$5:$O$1517,"&gt;="&amp;O284),0)</f>
        <v>0</v>
      </c>
      <c r="Y284" s="8" t="n">
        <f aca="false">IF($K284=1,COUNTIFS($P$5:$P$1517,"&gt;="&amp;P284,$K$5:$K$1517,1)/COUNTIF($P$5:$P$1517,"&gt;="&amp;P284),0)</f>
        <v>0</v>
      </c>
      <c r="Z284" s="8" t="n">
        <f aca="false">(L284-$K284)^2</f>
        <v>0.744769</v>
      </c>
      <c r="AA284" s="8" t="n">
        <f aca="false">(M284-$K284)^2</f>
        <v>0.008475595969</v>
      </c>
      <c r="AB284" s="8" t="n">
        <f aca="false">(N284-$K284)^2</f>
        <v>0.005059192384</v>
      </c>
      <c r="AC284" s="8" t="n">
        <f aca="false">(O284-$K284)^2</f>
        <v>0.011274829489</v>
      </c>
      <c r="AD284" s="8" t="n">
        <f aca="false">(P284-$K284)^2</f>
        <v>0.005517072729</v>
      </c>
      <c r="AE284" s="8" t="n">
        <f aca="false">MIN(INT(ROUND(N284*1000000,0)/100000),9)</f>
        <v>0</v>
      </c>
      <c r="AF284" s="8" t="n">
        <f aca="false">MIN(INT(ROUND(P284*1000000,0)/100000),9)</f>
        <v>0</v>
      </c>
    </row>
    <row r="285" customFormat="false" ht="15" hidden="false" customHeight="false" outlineLevel="0" collapsed="false">
      <c r="A285" s="4" t="n">
        <v>281</v>
      </c>
      <c r="B285" s="4" t="n">
        <v>1301</v>
      </c>
      <c r="C285" s="4" t="n">
        <v>0</v>
      </c>
      <c r="D285" s="11" t="n">
        <v>46054</v>
      </c>
      <c r="E285" s="4" t="s">
        <v>203</v>
      </c>
      <c r="F285" s="4" t="s">
        <v>206</v>
      </c>
      <c r="G285" s="4" t="n">
        <v>7</v>
      </c>
      <c r="H285" s="4" t="n">
        <v>1</v>
      </c>
      <c r="I285" s="4" t="n">
        <v>0</v>
      </c>
      <c r="J285" s="4"/>
      <c r="K285" s="4" t="n">
        <v>0</v>
      </c>
      <c r="L285" s="12" t="n">
        <v>0.038803</v>
      </c>
      <c r="M285" s="12" t="n">
        <v>0.092063</v>
      </c>
      <c r="N285" s="12" t="n">
        <v>0.045889</v>
      </c>
      <c r="O285" s="12" t="n">
        <v>0.106183</v>
      </c>
      <c r="P285" s="12" t="n">
        <v>0.046978</v>
      </c>
      <c r="Q285" s="0" t="str">
        <f aca="false">IF(L285&gt;=Models!$G$5,1+COUNTIF($L$5:$L$1517,"&gt;"&amp;L285)+COUNTIFS($L$5:$L$1517,L285,$B$5:$B$1517,"&lt;"&amp;B285)+COUNTIFS($L$5:$L$1517,L285,$B$5:$B$1517,B285,$C$5:$C$1517,"&lt;"&amp;C285),"")</f>
        <v/>
      </c>
      <c r="R285" s="0" t="str">
        <f aca="false">IF(M285&gt;=Models!$G$6,1+COUNTIF($M$5:$M$1517,"&gt;"&amp;M285)+COUNTIFS($M$5:$M$1517,M285,$B$5:$B$1517,"&lt;"&amp;B285)+COUNTIFS($M$5:$M$1517,M285,$B$5:$B$1517,B285,$C$5:$C$1517,"&lt;"&amp;C285),"")</f>
        <v/>
      </c>
      <c r="S285" s="0" t="str">
        <f aca="false">IF(N285&gt;=Models!$G$7,1+COUNTIF($N$5:$N$1517,"&gt;"&amp;N285)+COUNTIFS($N$5:$N$1517,N285,$B$5:$B$1517,"&lt;"&amp;B285)+COUNTIFS($N$5:$N$1517,N285,$B$5:$B$1517,B285,$C$5:$C$1517,"&lt;"&amp;C285),"")</f>
        <v/>
      </c>
      <c r="T285" s="8" t="n">
        <f aca="false">IF(O285&gt;=Models!$G$8,1+COUNTIF($O$5:$O$1517,"&gt;"&amp;O285)+COUNTIFS($O$5:$O$1517,O285,$B$5:$B$1517,"&lt;"&amp;B285)+COUNTIFS($O$5:$O$1517,O285,$B$5:$B$1517,B285,$C$5:$C$1517,"&lt;"&amp;C285),"")</f>
        <v>1053</v>
      </c>
      <c r="U285" s="8" t="n">
        <f aca="false">IF($K285=1,COUNTIFS($L$5:$L$1517,"&gt;="&amp;L285,$K$5:$K$1517,1)/COUNTIF($L$5:$L$1517,"&gt;="&amp;L285),0)</f>
        <v>0</v>
      </c>
      <c r="V285" s="8" t="n">
        <f aca="false">IF($K285=1,COUNTIFS($M$5:$M$1517,"&gt;="&amp;M285,$K$5:$K$1517,1)/COUNTIF($M$5:$M$1517,"&gt;="&amp;M285),0)</f>
        <v>0</v>
      </c>
      <c r="W285" s="8" t="n">
        <f aca="false">IF($K285=1,COUNTIFS($N$5:$N$1517,"&gt;="&amp;N285,$K$5:$K$1517,1)/COUNTIF($N$5:$N$1517,"&gt;="&amp;N285),0)</f>
        <v>0</v>
      </c>
      <c r="X285" s="8" t="n">
        <f aca="false">IF($K285=1,COUNTIFS($O$5:$O$1517,"&gt;="&amp;O285,$K$5:$K$1517,1)/COUNTIF($O$5:$O$1517,"&gt;="&amp;O285),0)</f>
        <v>0</v>
      </c>
      <c r="Y285" s="8" t="n">
        <f aca="false">IF($K285=1,COUNTIFS($P$5:$P$1517,"&gt;="&amp;P285,$K$5:$K$1517,1)/COUNTIF($P$5:$P$1517,"&gt;="&amp;P285),0)</f>
        <v>0</v>
      </c>
      <c r="Z285" s="8" t="n">
        <f aca="false">(L285-$K285)^2</f>
        <v>0.001505672809</v>
      </c>
      <c r="AA285" s="8" t="n">
        <f aca="false">(M285-$K285)^2</f>
        <v>0.008475595969</v>
      </c>
      <c r="AB285" s="8" t="n">
        <f aca="false">(N285-$K285)^2</f>
        <v>0.002105800321</v>
      </c>
      <c r="AC285" s="8" t="n">
        <f aca="false">(O285-$K285)^2</f>
        <v>0.011274829489</v>
      </c>
      <c r="AD285" s="8" t="n">
        <f aca="false">(P285-$K285)^2</f>
        <v>0.002206932484</v>
      </c>
      <c r="AE285" s="8" t="n">
        <f aca="false">MIN(INT(ROUND(N285*1000000,0)/100000),9)</f>
        <v>0</v>
      </c>
      <c r="AF285" s="8" t="n">
        <f aca="false">MIN(INT(ROUND(P285*1000000,0)/100000),9)</f>
        <v>0</v>
      </c>
    </row>
    <row r="286" customFormat="false" ht="15" hidden="false" customHeight="false" outlineLevel="0" collapsed="false">
      <c r="A286" s="4" t="n">
        <v>282</v>
      </c>
      <c r="B286" s="4" t="n">
        <v>1311</v>
      </c>
      <c r="C286" s="4" t="n">
        <v>0</v>
      </c>
      <c r="D286" s="11" t="n">
        <v>46054</v>
      </c>
      <c r="E286" s="4" t="s">
        <v>204</v>
      </c>
      <c r="F286" s="4" t="s">
        <v>206</v>
      </c>
      <c r="G286" s="4" t="n">
        <v>3</v>
      </c>
      <c r="H286" s="4" t="n">
        <v>1</v>
      </c>
      <c r="I286" s="4" t="n">
        <v>0</v>
      </c>
      <c r="J286" s="4" t="n">
        <v>52</v>
      </c>
      <c r="K286" s="4" t="n">
        <v>0</v>
      </c>
      <c r="L286" s="12" t="n">
        <v>0.565776</v>
      </c>
      <c r="M286" s="12" t="n">
        <v>0.092063</v>
      </c>
      <c r="N286" s="12" t="n">
        <v>0.127766</v>
      </c>
      <c r="O286" s="12" t="n">
        <v>0.106183</v>
      </c>
      <c r="P286" s="12" t="n">
        <v>0.136664</v>
      </c>
      <c r="Q286" s="0" t="str">
        <f aca="false">IF(L286&gt;=Models!$G$5,1+COUNTIF($L$5:$L$1517,"&gt;"&amp;L286)+COUNTIFS($L$5:$L$1517,L286,$B$5:$B$1517,"&lt;"&amp;B286)+COUNTIFS($L$5:$L$1517,L286,$B$5:$B$1517,B286,$C$5:$C$1517,"&lt;"&amp;C286),"")</f>
        <v/>
      </c>
      <c r="R286" s="0" t="str">
        <f aca="false">IF(M286&gt;=Models!$G$6,1+COUNTIF($M$5:$M$1517,"&gt;"&amp;M286)+COUNTIFS($M$5:$M$1517,M286,$B$5:$B$1517,"&lt;"&amp;B286)+COUNTIFS($M$5:$M$1517,M286,$B$5:$B$1517,B286,$C$5:$C$1517,"&lt;"&amp;C286),"")</f>
        <v/>
      </c>
      <c r="S286" s="0" t="str">
        <f aca="false">IF(N286&gt;=Models!$G$7,1+COUNTIF($N$5:$N$1517,"&gt;"&amp;N286)+COUNTIFS($N$5:$N$1517,N286,$B$5:$B$1517,"&lt;"&amp;B286)+COUNTIFS($N$5:$N$1517,N286,$B$5:$B$1517,B286,$C$5:$C$1517,"&lt;"&amp;C286),"")</f>
        <v/>
      </c>
      <c r="T286" s="8" t="n">
        <f aca="false">IF(O286&gt;=Models!$G$8,1+COUNTIF($O$5:$O$1517,"&gt;"&amp;O286)+COUNTIFS($O$5:$O$1517,O286,$B$5:$B$1517,"&lt;"&amp;B286)+COUNTIFS($O$5:$O$1517,O286,$B$5:$B$1517,B286,$C$5:$C$1517,"&lt;"&amp;C286),"")</f>
        <v>1057</v>
      </c>
      <c r="U286" s="8" t="n">
        <f aca="false">IF($K286=1,COUNTIFS($L$5:$L$1517,"&gt;="&amp;L286,$K$5:$K$1517,1)/COUNTIF($L$5:$L$1517,"&gt;="&amp;L286),0)</f>
        <v>0</v>
      </c>
      <c r="V286" s="8" t="n">
        <f aca="false">IF($K286=1,COUNTIFS($M$5:$M$1517,"&gt;="&amp;M286,$K$5:$K$1517,1)/COUNTIF($M$5:$M$1517,"&gt;="&amp;M286),0)</f>
        <v>0</v>
      </c>
      <c r="W286" s="8" t="n">
        <f aca="false">IF($K286=1,COUNTIFS($N$5:$N$1517,"&gt;="&amp;N286,$K$5:$K$1517,1)/COUNTIF($N$5:$N$1517,"&gt;="&amp;N286),0)</f>
        <v>0</v>
      </c>
      <c r="X286" s="8" t="n">
        <f aca="false">IF($K286=1,COUNTIFS($O$5:$O$1517,"&gt;="&amp;O286,$K$5:$K$1517,1)/COUNTIF($O$5:$O$1517,"&gt;="&amp;O286),0)</f>
        <v>0</v>
      </c>
      <c r="Y286" s="8" t="n">
        <f aca="false">IF($K286=1,COUNTIFS($P$5:$P$1517,"&gt;="&amp;P286,$K$5:$K$1517,1)/COUNTIF($P$5:$P$1517,"&gt;="&amp;P286),0)</f>
        <v>0</v>
      </c>
      <c r="Z286" s="8" t="n">
        <f aca="false">(L286-$K286)^2</f>
        <v>0.320102482176</v>
      </c>
      <c r="AA286" s="8" t="n">
        <f aca="false">(M286-$K286)^2</f>
        <v>0.008475595969</v>
      </c>
      <c r="AB286" s="8" t="n">
        <f aca="false">(N286-$K286)^2</f>
        <v>0.016324150756</v>
      </c>
      <c r="AC286" s="8" t="n">
        <f aca="false">(O286-$K286)^2</f>
        <v>0.011274829489</v>
      </c>
      <c r="AD286" s="8" t="n">
        <f aca="false">(P286-$K286)^2</f>
        <v>0.018677048896</v>
      </c>
      <c r="AE286" s="8" t="n">
        <f aca="false">MIN(INT(ROUND(N286*1000000,0)/100000),9)</f>
        <v>1</v>
      </c>
      <c r="AF286" s="8" t="n">
        <f aca="false">MIN(INT(ROUND(P286*1000000,0)/100000),9)</f>
        <v>1</v>
      </c>
    </row>
    <row r="287" customFormat="false" ht="15" hidden="false" customHeight="false" outlineLevel="0" collapsed="false">
      <c r="A287" s="4" t="n">
        <v>283</v>
      </c>
      <c r="B287" s="4" t="n">
        <v>1316</v>
      </c>
      <c r="C287" s="4" t="n">
        <v>0</v>
      </c>
      <c r="D287" s="11" t="n">
        <v>46054</v>
      </c>
      <c r="E287" s="4" t="s">
        <v>202</v>
      </c>
      <c r="F287" s="4" t="s">
        <v>206</v>
      </c>
      <c r="G287" s="4" t="n">
        <v>6</v>
      </c>
      <c r="H287" s="4" t="n">
        <v>0</v>
      </c>
      <c r="I287" s="4" t="n">
        <v>0</v>
      </c>
      <c r="J287" s="4"/>
      <c r="K287" s="4" t="n">
        <v>0</v>
      </c>
      <c r="L287" s="12" t="n">
        <v>0.276378</v>
      </c>
      <c r="M287" s="12" t="n">
        <v>0.092063</v>
      </c>
      <c r="N287" s="12" t="n">
        <v>0.049606</v>
      </c>
      <c r="O287" s="12" t="n">
        <v>0.106183</v>
      </c>
      <c r="P287" s="12" t="n">
        <v>0.050966</v>
      </c>
      <c r="Q287" s="0" t="str">
        <f aca="false">IF(L287&gt;=Models!$G$5,1+COUNTIF($L$5:$L$1517,"&gt;"&amp;L287)+COUNTIFS($L$5:$L$1517,L287,$B$5:$B$1517,"&lt;"&amp;B287)+COUNTIFS($L$5:$L$1517,L287,$B$5:$B$1517,B287,$C$5:$C$1517,"&lt;"&amp;C287),"")</f>
        <v/>
      </c>
      <c r="R287" s="0" t="str">
        <f aca="false">IF(M287&gt;=Models!$G$6,1+COUNTIF($M$5:$M$1517,"&gt;"&amp;M287)+COUNTIFS($M$5:$M$1517,M287,$B$5:$B$1517,"&lt;"&amp;B287)+COUNTIFS($M$5:$M$1517,M287,$B$5:$B$1517,B287,$C$5:$C$1517,"&lt;"&amp;C287),"")</f>
        <v/>
      </c>
      <c r="S287" s="0" t="str">
        <f aca="false">IF(N287&gt;=Models!$G$7,1+COUNTIF($N$5:$N$1517,"&gt;"&amp;N287)+COUNTIFS($N$5:$N$1517,N287,$B$5:$B$1517,"&lt;"&amp;B287)+COUNTIFS($N$5:$N$1517,N287,$B$5:$B$1517,B287,$C$5:$C$1517,"&lt;"&amp;C287),"")</f>
        <v/>
      </c>
      <c r="T287" s="8" t="n">
        <f aca="false">IF(O287&gt;=Models!$G$8,1+COUNTIF($O$5:$O$1517,"&gt;"&amp;O287)+COUNTIFS($O$5:$O$1517,O287,$B$5:$B$1517,"&lt;"&amp;B287)+COUNTIFS($O$5:$O$1517,O287,$B$5:$B$1517,B287,$C$5:$C$1517,"&lt;"&amp;C287),"")</f>
        <v>1061</v>
      </c>
      <c r="U287" s="8" t="n">
        <f aca="false">IF($K287=1,COUNTIFS($L$5:$L$1517,"&gt;="&amp;L287,$K$5:$K$1517,1)/COUNTIF($L$5:$L$1517,"&gt;="&amp;L287),0)</f>
        <v>0</v>
      </c>
      <c r="V287" s="8" t="n">
        <f aca="false">IF($K287=1,COUNTIFS($M$5:$M$1517,"&gt;="&amp;M287,$K$5:$K$1517,1)/COUNTIF($M$5:$M$1517,"&gt;="&amp;M287),0)</f>
        <v>0</v>
      </c>
      <c r="W287" s="8" t="n">
        <f aca="false">IF($K287=1,COUNTIFS($N$5:$N$1517,"&gt;="&amp;N287,$K$5:$K$1517,1)/COUNTIF($N$5:$N$1517,"&gt;="&amp;N287),0)</f>
        <v>0</v>
      </c>
      <c r="X287" s="8" t="n">
        <f aca="false">IF($K287=1,COUNTIFS($O$5:$O$1517,"&gt;="&amp;O287,$K$5:$K$1517,1)/COUNTIF($O$5:$O$1517,"&gt;="&amp;O287),0)</f>
        <v>0</v>
      </c>
      <c r="Y287" s="8" t="n">
        <f aca="false">IF($K287=1,COUNTIFS($P$5:$P$1517,"&gt;="&amp;P287,$K$5:$K$1517,1)/COUNTIF($P$5:$P$1517,"&gt;="&amp;P287),0)</f>
        <v>0</v>
      </c>
      <c r="Z287" s="8" t="n">
        <f aca="false">(L287-$K287)^2</f>
        <v>0.076384798884</v>
      </c>
      <c r="AA287" s="8" t="n">
        <f aca="false">(M287-$K287)^2</f>
        <v>0.008475595969</v>
      </c>
      <c r="AB287" s="8" t="n">
        <f aca="false">(N287-$K287)^2</f>
        <v>0.002460755236</v>
      </c>
      <c r="AC287" s="8" t="n">
        <f aca="false">(O287-$K287)^2</f>
        <v>0.011274829489</v>
      </c>
      <c r="AD287" s="8" t="n">
        <f aca="false">(P287-$K287)^2</f>
        <v>0.002597533156</v>
      </c>
      <c r="AE287" s="8" t="n">
        <f aca="false">MIN(INT(ROUND(N287*1000000,0)/100000),9)</f>
        <v>0</v>
      </c>
      <c r="AF287" s="8" t="n">
        <f aca="false">MIN(INT(ROUND(P287*1000000,0)/100000),9)</f>
        <v>0</v>
      </c>
    </row>
    <row r="288" customFormat="false" ht="15" hidden="false" customHeight="false" outlineLevel="0" collapsed="false">
      <c r="A288" s="4" t="n">
        <v>284</v>
      </c>
      <c r="B288" s="4" t="n">
        <v>1317</v>
      </c>
      <c r="C288" s="4" t="n">
        <v>0</v>
      </c>
      <c r="D288" s="11" t="n">
        <v>46054</v>
      </c>
      <c r="E288" s="4" t="s">
        <v>202</v>
      </c>
      <c r="F288" s="4" t="s">
        <v>206</v>
      </c>
      <c r="G288" s="4" t="n">
        <v>23</v>
      </c>
      <c r="H288" s="4" t="n">
        <v>0</v>
      </c>
      <c r="I288" s="4" t="n">
        <v>0</v>
      </c>
      <c r="J288" s="4"/>
      <c r="K288" s="4" t="n">
        <v>0</v>
      </c>
      <c r="L288" s="12" t="n">
        <v>0.965219</v>
      </c>
      <c r="M288" s="12" t="n">
        <v>0.092063</v>
      </c>
      <c r="N288" s="12" t="n">
        <v>0.011177</v>
      </c>
      <c r="O288" s="12" t="n">
        <v>0.106183</v>
      </c>
      <c r="P288" s="12" t="n">
        <v>0.010698</v>
      </c>
      <c r="Q288" s="0" t="str">
        <f aca="false">IF(L288&gt;=Models!$G$5,1+COUNTIF($L$5:$L$1517,"&gt;"&amp;L288)+COUNTIFS($L$5:$L$1517,L288,$B$5:$B$1517,"&lt;"&amp;B288)+COUNTIFS($L$5:$L$1517,L288,$B$5:$B$1517,B288,$C$5:$C$1517,"&lt;"&amp;C288),"")</f>
        <v/>
      </c>
      <c r="R288" s="0" t="str">
        <f aca="false">IF(M288&gt;=Models!$G$6,1+COUNTIF($M$5:$M$1517,"&gt;"&amp;M288)+COUNTIFS($M$5:$M$1517,M288,$B$5:$B$1517,"&lt;"&amp;B288)+COUNTIFS($M$5:$M$1517,M288,$B$5:$B$1517,B288,$C$5:$C$1517,"&lt;"&amp;C288),"")</f>
        <v/>
      </c>
      <c r="S288" s="0" t="str">
        <f aca="false">IF(N288&gt;=Models!$G$7,1+COUNTIF($N$5:$N$1517,"&gt;"&amp;N288)+COUNTIFS($N$5:$N$1517,N288,$B$5:$B$1517,"&lt;"&amp;B288)+COUNTIFS($N$5:$N$1517,N288,$B$5:$B$1517,B288,$C$5:$C$1517,"&lt;"&amp;C288),"")</f>
        <v/>
      </c>
      <c r="T288" s="8" t="n">
        <f aca="false">IF(O288&gt;=Models!$G$8,1+COUNTIF($O$5:$O$1517,"&gt;"&amp;O288)+COUNTIFS($O$5:$O$1517,O288,$B$5:$B$1517,"&lt;"&amp;B288)+COUNTIFS($O$5:$O$1517,O288,$B$5:$B$1517,B288,$C$5:$C$1517,"&lt;"&amp;C288),"")</f>
        <v>1065</v>
      </c>
      <c r="U288" s="8" t="n">
        <f aca="false">IF($K288=1,COUNTIFS($L$5:$L$1517,"&gt;="&amp;L288,$K$5:$K$1517,1)/COUNTIF($L$5:$L$1517,"&gt;="&amp;L288),0)</f>
        <v>0</v>
      </c>
      <c r="V288" s="8" t="n">
        <f aca="false">IF($K288=1,COUNTIFS($M$5:$M$1517,"&gt;="&amp;M288,$K$5:$K$1517,1)/COUNTIF($M$5:$M$1517,"&gt;="&amp;M288),0)</f>
        <v>0</v>
      </c>
      <c r="W288" s="8" t="n">
        <f aca="false">IF($K288=1,COUNTIFS($N$5:$N$1517,"&gt;="&amp;N288,$K$5:$K$1517,1)/COUNTIF($N$5:$N$1517,"&gt;="&amp;N288),0)</f>
        <v>0</v>
      </c>
      <c r="X288" s="8" t="n">
        <f aca="false">IF($K288=1,COUNTIFS($O$5:$O$1517,"&gt;="&amp;O288,$K$5:$K$1517,1)/COUNTIF($O$5:$O$1517,"&gt;="&amp;O288),0)</f>
        <v>0</v>
      </c>
      <c r="Y288" s="8" t="n">
        <f aca="false">IF($K288=1,COUNTIFS($P$5:$P$1517,"&gt;="&amp;P288,$K$5:$K$1517,1)/COUNTIF($P$5:$P$1517,"&gt;="&amp;P288),0)</f>
        <v>0</v>
      </c>
      <c r="Z288" s="8" t="n">
        <f aca="false">(L288-$K288)^2</f>
        <v>0.931647717961</v>
      </c>
      <c r="AA288" s="8" t="n">
        <f aca="false">(M288-$K288)^2</f>
        <v>0.008475595969</v>
      </c>
      <c r="AB288" s="8" t="n">
        <f aca="false">(N288-$K288)^2</f>
        <v>0.000124925329</v>
      </c>
      <c r="AC288" s="8" t="n">
        <f aca="false">(O288-$K288)^2</f>
        <v>0.011274829489</v>
      </c>
      <c r="AD288" s="8" t="n">
        <f aca="false">(P288-$K288)^2</f>
        <v>0.000114447204</v>
      </c>
      <c r="AE288" s="8" t="n">
        <f aca="false">MIN(INT(ROUND(N288*1000000,0)/100000),9)</f>
        <v>0</v>
      </c>
      <c r="AF288" s="8" t="n">
        <f aca="false">MIN(INT(ROUND(P288*1000000,0)/100000),9)</f>
        <v>0</v>
      </c>
    </row>
    <row r="289" customFormat="false" ht="15" hidden="false" customHeight="false" outlineLevel="0" collapsed="false">
      <c r="A289" s="4" t="n">
        <v>285</v>
      </c>
      <c r="B289" s="4" t="n">
        <v>1319</v>
      </c>
      <c r="C289" s="4" t="n">
        <v>0</v>
      </c>
      <c r="D289" s="11" t="n">
        <v>46054</v>
      </c>
      <c r="E289" s="4" t="s">
        <v>202</v>
      </c>
      <c r="F289" s="4" t="s">
        <v>206</v>
      </c>
      <c r="G289" s="4" t="n">
        <v>13</v>
      </c>
      <c r="H289" s="4" t="n">
        <v>5</v>
      </c>
      <c r="I289" s="4" t="n">
        <v>1</v>
      </c>
      <c r="J289" s="4" t="n">
        <v>1167</v>
      </c>
      <c r="K289" s="4" t="n">
        <v>0</v>
      </c>
      <c r="L289" s="12" t="n">
        <v>0.862302</v>
      </c>
      <c r="M289" s="12" t="n">
        <v>0.184211</v>
      </c>
      <c r="N289" s="12" t="n">
        <v>0.094772</v>
      </c>
      <c r="O289" s="12" t="n">
        <v>0.106183</v>
      </c>
      <c r="P289" s="12" t="n">
        <v>0.10019</v>
      </c>
      <c r="Q289" s="0" t="str">
        <f aca="false">IF(L289&gt;=Models!$G$5,1+COUNTIF($L$5:$L$1517,"&gt;"&amp;L289)+COUNTIFS($L$5:$L$1517,L289,$B$5:$B$1517,"&lt;"&amp;B289)+COUNTIFS($L$5:$L$1517,L289,$B$5:$B$1517,B289,$C$5:$C$1517,"&lt;"&amp;C289),"")</f>
        <v/>
      </c>
      <c r="R289" s="8" t="n">
        <f aca="false">IF(M289&gt;=Models!$G$6,1+COUNTIF($M$5:$M$1517,"&gt;"&amp;M289)+COUNTIFS($M$5:$M$1517,M289,$B$5:$B$1517,"&lt;"&amp;B289)+COUNTIFS($M$5:$M$1517,M289,$B$5:$B$1517,B289,$C$5:$C$1517,"&lt;"&amp;C289),"")</f>
        <v>129</v>
      </c>
      <c r="S289" s="0" t="str">
        <f aca="false">IF(N289&gt;=Models!$G$7,1+COUNTIF($N$5:$N$1517,"&gt;"&amp;N289)+COUNTIFS($N$5:$N$1517,N289,$B$5:$B$1517,"&lt;"&amp;B289)+COUNTIFS($N$5:$N$1517,N289,$B$5:$B$1517,B289,$C$5:$C$1517,"&lt;"&amp;C289),"")</f>
        <v/>
      </c>
      <c r="T289" s="8" t="n">
        <f aca="false">IF(O289&gt;=Models!$G$8,1+COUNTIF($O$5:$O$1517,"&gt;"&amp;O289)+COUNTIFS($O$5:$O$1517,O289,$B$5:$B$1517,"&lt;"&amp;B289)+COUNTIFS($O$5:$O$1517,O289,$B$5:$B$1517,B289,$C$5:$C$1517,"&lt;"&amp;C289),"")</f>
        <v>1069</v>
      </c>
      <c r="U289" s="8" t="n">
        <f aca="false">IF($K289=1,COUNTIFS($L$5:$L$1517,"&gt;="&amp;L289,$K$5:$K$1517,1)/COUNTIF($L$5:$L$1517,"&gt;="&amp;L289),0)</f>
        <v>0</v>
      </c>
      <c r="V289" s="8" t="n">
        <f aca="false">IF($K289=1,COUNTIFS($M$5:$M$1517,"&gt;="&amp;M289,$K$5:$K$1517,1)/COUNTIF($M$5:$M$1517,"&gt;="&amp;M289),0)</f>
        <v>0</v>
      </c>
      <c r="W289" s="8" t="n">
        <f aca="false">IF($K289=1,COUNTIFS($N$5:$N$1517,"&gt;="&amp;N289,$K$5:$K$1517,1)/COUNTIF($N$5:$N$1517,"&gt;="&amp;N289),0)</f>
        <v>0</v>
      </c>
      <c r="X289" s="8" t="n">
        <f aca="false">IF($K289=1,COUNTIFS($O$5:$O$1517,"&gt;="&amp;O289,$K$5:$K$1517,1)/COUNTIF($O$5:$O$1517,"&gt;="&amp;O289),0)</f>
        <v>0</v>
      </c>
      <c r="Y289" s="8" t="n">
        <f aca="false">IF($K289=1,COUNTIFS($P$5:$P$1517,"&gt;="&amp;P289,$K$5:$K$1517,1)/COUNTIF($P$5:$P$1517,"&gt;="&amp;P289),0)</f>
        <v>0</v>
      </c>
      <c r="Z289" s="8" t="n">
        <f aca="false">(L289-$K289)^2</f>
        <v>0.743564739204</v>
      </c>
      <c r="AA289" s="8" t="n">
        <f aca="false">(M289-$K289)^2</f>
        <v>0.033933692521</v>
      </c>
      <c r="AB289" s="8" t="n">
        <f aca="false">(N289-$K289)^2</f>
        <v>0.008981731984</v>
      </c>
      <c r="AC289" s="8" t="n">
        <f aca="false">(O289-$K289)^2</f>
        <v>0.011274829489</v>
      </c>
      <c r="AD289" s="8" t="n">
        <f aca="false">(P289-$K289)^2</f>
        <v>0.0100380361</v>
      </c>
      <c r="AE289" s="8" t="n">
        <f aca="false">MIN(INT(ROUND(N289*1000000,0)/100000),9)</f>
        <v>0</v>
      </c>
      <c r="AF289" s="8" t="n">
        <f aca="false">MIN(INT(ROUND(P289*1000000,0)/100000),9)</f>
        <v>1</v>
      </c>
    </row>
    <row r="290" customFormat="false" ht="15" hidden="false" customHeight="false" outlineLevel="0" collapsed="false">
      <c r="A290" s="4" t="n">
        <v>286</v>
      </c>
      <c r="B290" s="4" t="n">
        <v>1321</v>
      </c>
      <c r="C290" s="4" t="n">
        <v>0</v>
      </c>
      <c r="D290" s="11" t="n">
        <v>46054</v>
      </c>
      <c r="E290" s="4" t="s">
        <v>202</v>
      </c>
      <c r="F290" s="4" t="s">
        <v>210</v>
      </c>
      <c r="G290" s="4" t="n">
        <v>7</v>
      </c>
      <c r="H290" s="4" t="n">
        <v>5</v>
      </c>
      <c r="I290" s="4" t="n">
        <v>0</v>
      </c>
      <c r="J290" s="4"/>
      <c r="K290" s="4" t="n">
        <v>0</v>
      </c>
      <c r="L290" s="12" t="n">
        <v>0.90704</v>
      </c>
      <c r="M290" s="12" t="n">
        <v>0.092063</v>
      </c>
      <c r="N290" s="12" t="n">
        <v>0.047345</v>
      </c>
      <c r="O290" s="12" t="n">
        <v>0.106183</v>
      </c>
      <c r="P290" s="12" t="n">
        <v>0.048539</v>
      </c>
      <c r="Q290" s="0" t="str">
        <f aca="false">IF(L290&gt;=Models!$G$5,1+COUNTIF($L$5:$L$1517,"&gt;"&amp;L290)+COUNTIFS($L$5:$L$1517,L290,$B$5:$B$1517,"&lt;"&amp;B290)+COUNTIFS($L$5:$L$1517,L290,$B$5:$B$1517,B290,$C$5:$C$1517,"&lt;"&amp;C290),"")</f>
        <v/>
      </c>
      <c r="R290" s="0" t="str">
        <f aca="false">IF(M290&gt;=Models!$G$6,1+COUNTIF($M$5:$M$1517,"&gt;"&amp;M290)+COUNTIFS($M$5:$M$1517,M290,$B$5:$B$1517,"&lt;"&amp;B290)+COUNTIFS($M$5:$M$1517,M290,$B$5:$B$1517,B290,$C$5:$C$1517,"&lt;"&amp;C290),"")</f>
        <v/>
      </c>
      <c r="S290" s="0" t="str">
        <f aca="false">IF(N290&gt;=Models!$G$7,1+COUNTIF($N$5:$N$1517,"&gt;"&amp;N290)+COUNTIFS($N$5:$N$1517,N290,$B$5:$B$1517,"&lt;"&amp;B290)+COUNTIFS($N$5:$N$1517,N290,$B$5:$B$1517,B290,$C$5:$C$1517,"&lt;"&amp;C290),"")</f>
        <v/>
      </c>
      <c r="T290" s="8" t="n">
        <f aca="false">IF(O290&gt;=Models!$G$8,1+COUNTIF($O$5:$O$1517,"&gt;"&amp;O290)+COUNTIFS($O$5:$O$1517,O290,$B$5:$B$1517,"&lt;"&amp;B290)+COUNTIFS($O$5:$O$1517,O290,$B$5:$B$1517,B290,$C$5:$C$1517,"&lt;"&amp;C290),"")</f>
        <v>1073</v>
      </c>
      <c r="U290" s="8" t="n">
        <f aca="false">IF($K290=1,COUNTIFS($L$5:$L$1517,"&gt;="&amp;L290,$K$5:$K$1517,1)/COUNTIF($L$5:$L$1517,"&gt;="&amp;L290),0)</f>
        <v>0</v>
      </c>
      <c r="V290" s="8" t="n">
        <f aca="false">IF($K290=1,COUNTIFS($M$5:$M$1517,"&gt;="&amp;M290,$K$5:$K$1517,1)/COUNTIF($M$5:$M$1517,"&gt;="&amp;M290),0)</f>
        <v>0</v>
      </c>
      <c r="W290" s="8" t="n">
        <f aca="false">IF($K290=1,COUNTIFS($N$5:$N$1517,"&gt;="&amp;N290,$K$5:$K$1517,1)/COUNTIF($N$5:$N$1517,"&gt;="&amp;N290),0)</f>
        <v>0</v>
      </c>
      <c r="X290" s="8" t="n">
        <f aca="false">IF($K290=1,COUNTIFS($O$5:$O$1517,"&gt;="&amp;O290,$K$5:$K$1517,1)/COUNTIF($O$5:$O$1517,"&gt;="&amp;O290),0)</f>
        <v>0</v>
      </c>
      <c r="Y290" s="8" t="n">
        <f aca="false">IF($K290=1,COUNTIFS($P$5:$P$1517,"&gt;="&amp;P290,$K$5:$K$1517,1)/COUNTIF($P$5:$P$1517,"&gt;="&amp;P290),0)</f>
        <v>0</v>
      </c>
      <c r="Z290" s="8" t="n">
        <f aca="false">(L290-$K290)^2</f>
        <v>0.8227215616</v>
      </c>
      <c r="AA290" s="8" t="n">
        <f aca="false">(M290-$K290)^2</f>
        <v>0.008475595969</v>
      </c>
      <c r="AB290" s="8" t="n">
        <f aca="false">(N290-$K290)^2</f>
        <v>0.002241549025</v>
      </c>
      <c r="AC290" s="8" t="n">
        <f aca="false">(O290-$K290)^2</f>
        <v>0.011274829489</v>
      </c>
      <c r="AD290" s="8" t="n">
        <f aca="false">(P290-$K290)^2</f>
        <v>0.002356034521</v>
      </c>
      <c r="AE290" s="8" t="n">
        <f aca="false">MIN(INT(ROUND(N290*1000000,0)/100000),9)</f>
        <v>0</v>
      </c>
      <c r="AF290" s="8" t="n">
        <f aca="false">MIN(INT(ROUND(P290*1000000,0)/100000),9)</f>
        <v>0</v>
      </c>
    </row>
    <row r="291" customFormat="false" ht="15" hidden="false" customHeight="false" outlineLevel="0" collapsed="false">
      <c r="A291" s="4" t="n">
        <v>287</v>
      </c>
      <c r="B291" s="4" t="n">
        <v>1323</v>
      </c>
      <c r="C291" s="4" t="n">
        <v>0</v>
      </c>
      <c r="D291" s="11" t="n">
        <v>46054</v>
      </c>
      <c r="E291" s="4" t="s">
        <v>203</v>
      </c>
      <c r="F291" s="4" t="s">
        <v>209</v>
      </c>
      <c r="G291" s="4" t="n">
        <v>2</v>
      </c>
      <c r="H291" s="4" t="n">
        <v>12</v>
      </c>
      <c r="I291" s="4" t="n">
        <v>0</v>
      </c>
      <c r="J291" s="4" t="n">
        <v>447</v>
      </c>
      <c r="K291" s="4" t="n">
        <v>0</v>
      </c>
      <c r="L291" s="12" t="n">
        <v>0.50906</v>
      </c>
      <c r="M291" s="12" t="n">
        <v>0.092063</v>
      </c>
      <c r="N291" s="12" t="n">
        <v>0.146332</v>
      </c>
      <c r="O291" s="12" t="n">
        <v>0.106183</v>
      </c>
      <c r="P291" s="12" t="n">
        <v>0.15728</v>
      </c>
      <c r="Q291" s="0" t="str">
        <f aca="false">IF(L291&gt;=Models!$G$5,1+COUNTIF($L$5:$L$1517,"&gt;"&amp;L291)+COUNTIFS($L$5:$L$1517,L291,$B$5:$B$1517,"&lt;"&amp;B291)+COUNTIFS($L$5:$L$1517,L291,$B$5:$B$1517,B291,$C$5:$C$1517,"&lt;"&amp;C291),"")</f>
        <v/>
      </c>
      <c r="R291" s="0" t="str">
        <f aca="false">IF(M291&gt;=Models!$G$6,1+COUNTIF($M$5:$M$1517,"&gt;"&amp;M291)+COUNTIFS($M$5:$M$1517,M291,$B$5:$B$1517,"&lt;"&amp;B291)+COUNTIFS($M$5:$M$1517,M291,$B$5:$B$1517,B291,$C$5:$C$1517,"&lt;"&amp;C291),"")</f>
        <v/>
      </c>
      <c r="S291" s="0" t="str">
        <f aca="false">IF(N291&gt;=Models!$G$7,1+COUNTIF($N$5:$N$1517,"&gt;"&amp;N291)+COUNTIFS($N$5:$N$1517,N291,$B$5:$B$1517,"&lt;"&amp;B291)+COUNTIFS($N$5:$N$1517,N291,$B$5:$B$1517,B291,$C$5:$C$1517,"&lt;"&amp;C291),"")</f>
        <v/>
      </c>
      <c r="T291" s="8" t="n">
        <f aca="false">IF(O291&gt;=Models!$G$8,1+COUNTIF($O$5:$O$1517,"&gt;"&amp;O291)+COUNTIFS($O$5:$O$1517,O291,$B$5:$B$1517,"&lt;"&amp;B291)+COUNTIFS($O$5:$O$1517,O291,$B$5:$B$1517,B291,$C$5:$C$1517,"&lt;"&amp;C291),"")</f>
        <v>1077</v>
      </c>
      <c r="U291" s="8" t="n">
        <f aca="false">IF($K291=1,COUNTIFS($L$5:$L$1517,"&gt;="&amp;L291,$K$5:$K$1517,1)/COUNTIF($L$5:$L$1517,"&gt;="&amp;L291),0)</f>
        <v>0</v>
      </c>
      <c r="V291" s="8" t="n">
        <f aca="false">IF($K291=1,COUNTIFS($M$5:$M$1517,"&gt;="&amp;M291,$K$5:$K$1517,1)/COUNTIF($M$5:$M$1517,"&gt;="&amp;M291),0)</f>
        <v>0</v>
      </c>
      <c r="W291" s="8" t="n">
        <f aca="false">IF($K291=1,COUNTIFS($N$5:$N$1517,"&gt;="&amp;N291,$K$5:$K$1517,1)/COUNTIF($N$5:$N$1517,"&gt;="&amp;N291),0)</f>
        <v>0</v>
      </c>
      <c r="X291" s="8" t="n">
        <f aca="false">IF($K291=1,COUNTIFS($O$5:$O$1517,"&gt;="&amp;O291,$K$5:$K$1517,1)/COUNTIF($O$5:$O$1517,"&gt;="&amp;O291),0)</f>
        <v>0</v>
      </c>
      <c r="Y291" s="8" t="n">
        <f aca="false">IF($K291=1,COUNTIFS($P$5:$P$1517,"&gt;="&amp;P291,$K$5:$K$1517,1)/COUNTIF($P$5:$P$1517,"&gt;="&amp;P291),0)</f>
        <v>0</v>
      </c>
      <c r="Z291" s="8" t="n">
        <f aca="false">(L291-$K291)^2</f>
        <v>0.2591420836</v>
      </c>
      <c r="AA291" s="8" t="n">
        <f aca="false">(M291-$K291)^2</f>
        <v>0.008475595969</v>
      </c>
      <c r="AB291" s="8" t="n">
        <f aca="false">(N291-$K291)^2</f>
        <v>0.021413054224</v>
      </c>
      <c r="AC291" s="8" t="n">
        <f aca="false">(O291-$K291)^2</f>
        <v>0.011274829489</v>
      </c>
      <c r="AD291" s="8" t="n">
        <f aca="false">(P291-$K291)^2</f>
        <v>0.0247369984</v>
      </c>
      <c r="AE291" s="8" t="n">
        <f aca="false">MIN(INT(ROUND(N291*1000000,0)/100000),9)</f>
        <v>1</v>
      </c>
      <c r="AF291" s="8" t="n">
        <f aca="false">MIN(INT(ROUND(P291*1000000,0)/100000),9)</f>
        <v>1</v>
      </c>
    </row>
    <row r="292" customFormat="false" ht="15" hidden="false" customHeight="false" outlineLevel="0" collapsed="false">
      <c r="A292" s="4" t="n">
        <v>288</v>
      </c>
      <c r="B292" s="4" t="n">
        <v>1324</v>
      </c>
      <c r="C292" s="4" t="n">
        <v>0</v>
      </c>
      <c r="D292" s="11" t="n">
        <v>46054</v>
      </c>
      <c r="E292" s="4" t="s">
        <v>204</v>
      </c>
      <c r="F292" s="4" t="s">
        <v>207</v>
      </c>
      <c r="G292" s="4" t="n">
        <v>0</v>
      </c>
      <c r="H292" s="4" t="n">
        <v>30</v>
      </c>
      <c r="I292" s="4" t="n">
        <v>1</v>
      </c>
      <c r="J292" s="4" t="n">
        <v>81</v>
      </c>
      <c r="K292" s="4" t="n">
        <v>0</v>
      </c>
      <c r="L292" s="12" t="n">
        <v>0.757542</v>
      </c>
      <c r="M292" s="12" t="n">
        <v>0.184211</v>
      </c>
      <c r="N292" s="12" t="n">
        <v>0.306001</v>
      </c>
      <c r="O292" s="12" t="n">
        <v>0.106183</v>
      </c>
      <c r="P292" s="12" t="n">
        <v>0.334282</v>
      </c>
      <c r="Q292" s="0" t="str">
        <f aca="false">IF(L292&gt;=Models!$G$5,1+COUNTIF($L$5:$L$1517,"&gt;"&amp;L292)+COUNTIFS($L$5:$L$1517,L292,$B$5:$B$1517,"&lt;"&amp;B292)+COUNTIFS($L$5:$L$1517,L292,$B$5:$B$1517,B292,$C$5:$C$1517,"&lt;"&amp;C292),"")</f>
        <v/>
      </c>
      <c r="R292" s="8" t="n">
        <f aca="false">IF(M292&gt;=Models!$G$6,1+COUNTIF($M$5:$M$1517,"&gt;"&amp;M292)+COUNTIFS($M$5:$M$1517,M292,$B$5:$B$1517,"&lt;"&amp;B292)+COUNTIFS($M$5:$M$1517,M292,$B$5:$B$1517,B292,$C$5:$C$1517,"&lt;"&amp;C292),"")</f>
        <v>130</v>
      </c>
      <c r="S292" s="8" t="n">
        <f aca="false">IF(N292&gt;=Models!$G$7,1+COUNTIF($N$5:$N$1517,"&gt;"&amp;N292)+COUNTIFS($N$5:$N$1517,N292,$B$5:$B$1517,"&lt;"&amp;B292)+COUNTIFS($N$5:$N$1517,N292,$B$5:$B$1517,B292,$C$5:$C$1517,"&lt;"&amp;C292),"")</f>
        <v>8</v>
      </c>
      <c r="T292" s="8" t="n">
        <f aca="false">IF(O292&gt;=Models!$G$8,1+COUNTIF($O$5:$O$1517,"&gt;"&amp;O292)+COUNTIFS($O$5:$O$1517,O292,$B$5:$B$1517,"&lt;"&amp;B292)+COUNTIFS($O$5:$O$1517,O292,$B$5:$B$1517,B292,$C$5:$C$1517,"&lt;"&amp;C292),"")</f>
        <v>1081</v>
      </c>
      <c r="U292" s="8" t="n">
        <f aca="false">IF($K292=1,COUNTIFS($L$5:$L$1517,"&gt;="&amp;L292,$K$5:$K$1517,1)/COUNTIF($L$5:$L$1517,"&gt;="&amp;L292),0)</f>
        <v>0</v>
      </c>
      <c r="V292" s="8" t="n">
        <f aca="false">IF($K292=1,COUNTIFS($M$5:$M$1517,"&gt;="&amp;M292,$K$5:$K$1517,1)/COUNTIF($M$5:$M$1517,"&gt;="&amp;M292),0)</f>
        <v>0</v>
      </c>
      <c r="W292" s="8" t="n">
        <f aca="false">IF($K292=1,COUNTIFS($N$5:$N$1517,"&gt;="&amp;N292,$K$5:$K$1517,1)/COUNTIF($N$5:$N$1517,"&gt;="&amp;N292),0)</f>
        <v>0</v>
      </c>
      <c r="X292" s="8" t="n">
        <f aca="false">IF($K292=1,COUNTIFS($O$5:$O$1517,"&gt;="&amp;O292,$K$5:$K$1517,1)/COUNTIF($O$5:$O$1517,"&gt;="&amp;O292),0)</f>
        <v>0</v>
      </c>
      <c r="Y292" s="8" t="n">
        <f aca="false">IF($K292=1,COUNTIFS($P$5:$P$1517,"&gt;="&amp;P292,$K$5:$K$1517,1)/COUNTIF($P$5:$P$1517,"&gt;="&amp;P292),0)</f>
        <v>0</v>
      </c>
      <c r="Z292" s="8" t="n">
        <f aca="false">(L292-$K292)^2</f>
        <v>0.573869881764</v>
      </c>
      <c r="AA292" s="8" t="n">
        <f aca="false">(M292-$K292)^2</f>
        <v>0.033933692521</v>
      </c>
      <c r="AB292" s="8" t="n">
        <f aca="false">(N292-$K292)^2</f>
        <v>0.093636612001</v>
      </c>
      <c r="AC292" s="8" t="n">
        <f aca="false">(O292-$K292)^2</f>
        <v>0.011274829489</v>
      </c>
      <c r="AD292" s="8" t="n">
        <f aca="false">(P292-$K292)^2</f>
        <v>0.111744455524</v>
      </c>
      <c r="AE292" s="8" t="n">
        <f aca="false">MIN(INT(ROUND(N292*1000000,0)/100000),9)</f>
        <v>3</v>
      </c>
      <c r="AF292" s="8" t="n">
        <f aca="false">MIN(INT(ROUND(P292*1000000,0)/100000),9)</f>
        <v>3</v>
      </c>
    </row>
    <row r="293" customFormat="false" ht="15" hidden="false" customHeight="false" outlineLevel="0" collapsed="false">
      <c r="A293" s="4" t="n">
        <v>289</v>
      </c>
      <c r="B293" s="4" t="n">
        <v>1327</v>
      </c>
      <c r="C293" s="4" t="n">
        <v>0</v>
      </c>
      <c r="D293" s="11" t="n">
        <v>46054</v>
      </c>
      <c r="E293" s="4" t="s">
        <v>202</v>
      </c>
      <c r="F293" s="4" t="s">
        <v>207</v>
      </c>
      <c r="G293" s="4" t="n">
        <v>2</v>
      </c>
      <c r="H293" s="4" t="n">
        <v>7</v>
      </c>
      <c r="I293" s="4" t="n">
        <v>1</v>
      </c>
      <c r="J293" s="4" t="n">
        <v>765</v>
      </c>
      <c r="K293" s="4" t="n">
        <v>0</v>
      </c>
      <c r="L293" s="12" t="n">
        <v>0.044285</v>
      </c>
      <c r="M293" s="12" t="n">
        <v>0.184211</v>
      </c>
      <c r="N293" s="12" t="n">
        <v>0.226696</v>
      </c>
      <c r="O293" s="12" t="n">
        <v>0.106183</v>
      </c>
      <c r="P293" s="12" t="n">
        <v>0.246665</v>
      </c>
      <c r="Q293" s="0" t="str">
        <f aca="false">IF(L293&gt;=Models!$G$5,1+COUNTIF($L$5:$L$1517,"&gt;"&amp;L293)+COUNTIFS($L$5:$L$1517,L293,$B$5:$B$1517,"&lt;"&amp;B293)+COUNTIFS($L$5:$L$1517,L293,$B$5:$B$1517,B293,$C$5:$C$1517,"&lt;"&amp;C293),"")</f>
        <v/>
      </c>
      <c r="R293" s="8" t="n">
        <f aca="false">IF(M293&gt;=Models!$G$6,1+COUNTIF($M$5:$M$1517,"&gt;"&amp;M293)+COUNTIFS($M$5:$M$1517,M293,$B$5:$B$1517,"&lt;"&amp;B293)+COUNTIFS($M$5:$M$1517,M293,$B$5:$B$1517,B293,$C$5:$C$1517,"&lt;"&amp;C293),"")</f>
        <v>132</v>
      </c>
      <c r="S293" s="0" t="str">
        <f aca="false">IF(N293&gt;=Models!$G$7,1+COUNTIF($N$5:$N$1517,"&gt;"&amp;N293)+COUNTIFS($N$5:$N$1517,N293,$B$5:$B$1517,"&lt;"&amp;B293)+COUNTIFS($N$5:$N$1517,N293,$B$5:$B$1517,B293,$C$5:$C$1517,"&lt;"&amp;C293),"")</f>
        <v/>
      </c>
      <c r="T293" s="8" t="n">
        <f aca="false">IF(O293&gt;=Models!$G$8,1+COUNTIF($O$5:$O$1517,"&gt;"&amp;O293)+COUNTIFS($O$5:$O$1517,O293,$B$5:$B$1517,"&lt;"&amp;B293)+COUNTIFS($O$5:$O$1517,O293,$B$5:$B$1517,B293,$C$5:$C$1517,"&lt;"&amp;C293),"")</f>
        <v>1085</v>
      </c>
      <c r="U293" s="8" t="n">
        <f aca="false">IF($K293=1,COUNTIFS($L$5:$L$1517,"&gt;="&amp;L293,$K$5:$K$1517,1)/COUNTIF($L$5:$L$1517,"&gt;="&amp;L293),0)</f>
        <v>0</v>
      </c>
      <c r="V293" s="8" t="n">
        <f aca="false">IF($K293=1,COUNTIFS($M$5:$M$1517,"&gt;="&amp;M293,$K$5:$K$1517,1)/COUNTIF($M$5:$M$1517,"&gt;="&amp;M293),0)</f>
        <v>0</v>
      </c>
      <c r="W293" s="8" t="n">
        <f aca="false">IF($K293=1,COUNTIFS($N$5:$N$1517,"&gt;="&amp;N293,$K$5:$K$1517,1)/COUNTIF($N$5:$N$1517,"&gt;="&amp;N293),0)</f>
        <v>0</v>
      </c>
      <c r="X293" s="8" t="n">
        <f aca="false">IF($K293=1,COUNTIFS($O$5:$O$1517,"&gt;="&amp;O293,$K$5:$K$1517,1)/COUNTIF($O$5:$O$1517,"&gt;="&amp;O293),0)</f>
        <v>0</v>
      </c>
      <c r="Y293" s="8" t="n">
        <f aca="false">IF($K293=1,COUNTIFS($P$5:$P$1517,"&gt;="&amp;P293,$K$5:$K$1517,1)/COUNTIF($P$5:$P$1517,"&gt;="&amp;P293),0)</f>
        <v>0</v>
      </c>
      <c r="Z293" s="8" t="n">
        <f aca="false">(L293-$K293)^2</f>
        <v>0.001961161225</v>
      </c>
      <c r="AA293" s="8" t="n">
        <f aca="false">(M293-$K293)^2</f>
        <v>0.033933692521</v>
      </c>
      <c r="AB293" s="8" t="n">
        <f aca="false">(N293-$K293)^2</f>
        <v>0.051391076416</v>
      </c>
      <c r="AC293" s="8" t="n">
        <f aca="false">(O293-$K293)^2</f>
        <v>0.011274829489</v>
      </c>
      <c r="AD293" s="8" t="n">
        <f aca="false">(P293-$K293)^2</f>
        <v>0.060843622225</v>
      </c>
      <c r="AE293" s="8" t="n">
        <f aca="false">MIN(INT(ROUND(N293*1000000,0)/100000),9)</f>
        <v>2</v>
      </c>
      <c r="AF293" s="8" t="n">
        <f aca="false">MIN(INT(ROUND(P293*1000000,0)/100000),9)</f>
        <v>2</v>
      </c>
    </row>
    <row r="294" customFormat="false" ht="15" hidden="false" customHeight="false" outlineLevel="0" collapsed="false">
      <c r="A294" s="4" t="n">
        <v>290</v>
      </c>
      <c r="B294" s="4" t="n">
        <v>1328</v>
      </c>
      <c r="C294" s="4" t="n">
        <v>0</v>
      </c>
      <c r="D294" s="11" t="n">
        <v>46054</v>
      </c>
      <c r="E294" s="4" t="s">
        <v>202</v>
      </c>
      <c r="F294" s="4" t="s">
        <v>206</v>
      </c>
      <c r="G294" s="4" t="n">
        <v>10</v>
      </c>
      <c r="H294" s="4" t="n">
        <v>3</v>
      </c>
      <c r="I294" s="4" t="n">
        <v>0</v>
      </c>
      <c r="J294" s="4"/>
      <c r="K294" s="4" t="n">
        <v>0</v>
      </c>
      <c r="L294" s="12" t="n">
        <v>0.294879</v>
      </c>
      <c r="M294" s="12" t="n">
        <v>0.092063</v>
      </c>
      <c r="N294" s="12" t="n">
        <v>0.03598</v>
      </c>
      <c r="O294" s="12" t="n">
        <v>0.106183</v>
      </c>
      <c r="P294" s="12" t="n">
        <v>0.036417</v>
      </c>
      <c r="Q294" s="0" t="str">
        <f aca="false">IF(L294&gt;=Models!$G$5,1+COUNTIF($L$5:$L$1517,"&gt;"&amp;L294)+COUNTIFS($L$5:$L$1517,L294,$B$5:$B$1517,"&lt;"&amp;B294)+COUNTIFS($L$5:$L$1517,L294,$B$5:$B$1517,B294,$C$5:$C$1517,"&lt;"&amp;C294),"")</f>
        <v/>
      </c>
      <c r="R294" s="0" t="str">
        <f aca="false">IF(M294&gt;=Models!$G$6,1+COUNTIF($M$5:$M$1517,"&gt;"&amp;M294)+COUNTIFS($M$5:$M$1517,M294,$B$5:$B$1517,"&lt;"&amp;B294)+COUNTIFS($M$5:$M$1517,M294,$B$5:$B$1517,B294,$C$5:$C$1517,"&lt;"&amp;C294),"")</f>
        <v/>
      </c>
      <c r="S294" s="0" t="str">
        <f aca="false">IF(N294&gt;=Models!$G$7,1+COUNTIF($N$5:$N$1517,"&gt;"&amp;N294)+COUNTIFS($N$5:$N$1517,N294,$B$5:$B$1517,"&lt;"&amp;B294)+COUNTIFS($N$5:$N$1517,N294,$B$5:$B$1517,B294,$C$5:$C$1517,"&lt;"&amp;C294),"")</f>
        <v/>
      </c>
      <c r="T294" s="8" t="n">
        <f aca="false">IF(O294&gt;=Models!$G$8,1+COUNTIF($O$5:$O$1517,"&gt;"&amp;O294)+COUNTIFS($O$5:$O$1517,O294,$B$5:$B$1517,"&lt;"&amp;B294)+COUNTIFS($O$5:$O$1517,O294,$B$5:$B$1517,B294,$C$5:$C$1517,"&lt;"&amp;C294),"")</f>
        <v>1089</v>
      </c>
      <c r="U294" s="8" t="n">
        <f aca="false">IF($K294=1,COUNTIFS($L$5:$L$1517,"&gt;="&amp;L294,$K$5:$K$1517,1)/COUNTIF($L$5:$L$1517,"&gt;="&amp;L294),0)</f>
        <v>0</v>
      </c>
      <c r="V294" s="8" t="n">
        <f aca="false">IF($K294=1,COUNTIFS($M$5:$M$1517,"&gt;="&amp;M294,$K$5:$K$1517,1)/COUNTIF($M$5:$M$1517,"&gt;="&amp;M294),0)</f>
        <v>0</v>
      </c>
      <c r="W294" s="8" t="n">
        <f aca="false">IF($K294=1,COUNTIFS($N$5:$N$1517,"&gt;="&amp;N294,$K$5:$K$1517,1)/COUNTIF($N$5:$N$1517,"&gt;="&amp;N294),0)</f>
        <v>0</v>
      </c>
      <c r="X294" s="8" t="n">
        <f aca="false">IF($K294=1,COUNTIFS($O$5:$O$1517,"&gt;="&amp;O294,$K$5:$K$1517,1)/COUNTIF($O$5:$O$1517,"&gt;="&amp;O294),0)</f>
        <v>0</v>
      </c>
      <c r="Y294" s="8" t="n">
        <f aca="false">IF($K294=1,COUNTIFS($P$5:$P$1517,"&gt;="&amp;P294,$K$5:$K$1517,1)/COUNTIF($P$5:$P$1517,"&gt;="&amp;P294),0)</f>
        <v>0</v>
      </c>
      <c r="Z294" s="8" t="n">
        <f aca="false">(L294-$K294)^2</f>
        <v>0.086953624641</v>
      </c>
      <c r="AA294" s="8" t="n">
        <f aca="false">(M294-$K294)^2</f>
        <v>0.008475595969</v>
      </c>
      <c r="AB294" s="8" t="n">
        <f aca="false">(N294-$K294)^2</f>
        <v>0.0012945604</v>
      </c>
      <c r="AC294" s="8" t="n">
        <f aca="false">(O294-$K294)^2</f>
        <v>0.011274829489</v>
      </c>
      <c r="AD294" s="8" t="n">
        <f aca="false">(P294-$K294)^2</f>
        <v>0.001326197889</v>
      </c>
      <c r="AE294" s="8" t="n">
        <f aca="false">MIN(INT(ROUND(N294*1000000,0)/100000),9)</f>
        <v>0</v>
      </c>
      <c r="AF294" s="8" t="n">
        <f aca="false">MIN(INT(ROUND(P294*1000000,0)/100000),9)</f>
        <v>0</v>
      </c>
    </row>
    <row r="295" customFormat="false" ht="15" hidden="false" customHeight="false" outlineLevel="0" collapsed="false">
      <c r="A295" s="4" t="n">
        <v>291</v>
      </c>
      <c r="B295" s="4" t="n">
        <v>1329</v>
      </c>
      <c r="C295" s="4" t="n">
        <v>0</v>
      </c>
      <c r="D295" s="11" t="n">
        <v>46054</v>
      </c>
      <c r="E295" s="4" t="s">
        <v>203</v>
      </c>
      <c r="F295" s="4" t="s">
        <v>207</v>
      </c>
      <c r="G295" s="4" t="n">
        <v>8</v>
      </c>
      <c r="H295" s="4" t="n">
        <v>0</v>
      </c>
      <c r="I295" s="4" t="n">
        <v>0</v>
      </c>
      <c r="J295" s="4"/>
      <c r="K295" s="4" t="n">
        <v>0</v>
      </c>
      <c r="L295" s="12" t="n">
        <v>0.672974</v>
      </c>
      <c r="M295" s="12" t="n">
        <v>0.092063</v>
      </c>
      <c r="N295" s="12" t="n">
        <v>0.041776</v>
      </c>
      <c r="O295" s="12" t="n">
        <v>0.106183</v>
      </c>
      <c r="P295" s="12" t="n">
        <v>0.042581</v>
      </c>
      <c r="Q295" s="0" t="str">
        <f aca="false">IF(L295&gt;=Models!$G$5,1+COUNTIF($L$5:$L$1517,"&gt;"&amp;L295)+COUNTIFS($L$5:$L$1517,L295,$B$5:$B$1517,"&lt;"&amp;B295)+COUNTIFS($L$5:$L$1517,L295,$B$5:$B$1517,B295,$C$5:$C$1517,"&lt;"&amp;C295),"")</f>
        <v/>
      </c>
      <c r="R295" s="0" t="str">
        <f aca="false">IF(M295&gt;=Models!$G$6,1+COUNTIF($M$5:$M$1517,"&gt;"&amp;M295)+COUNTIFS($M$5:$M$1517,M295,$B$5:$B$1517,"&lt;"&amp;B295)+COUNTIFS($M$5:$M$1517,M295,$B$5:$B$1517,B295,$C$5:$C$1517,"&lt;"&amp;C295),"")</f>
        <v/>
      </c>
      <c r="S295" s="0" t="str">
        <f aca="false">IF(N295&gt;=Models!$G$7,1+COUNTIF($N$5:$N$1517,"&gt;"&amp;N295)+COUNTIFS($N$5:$N$1517,N295,$B$5:$B$1517,"&lt;"&amp;B295)+COUNTIFS($N$5:$N$1517,N295,$B$5:$B$1517,B295,$C$5:$C$1517,"&lt;"&amp;C295),"")</f>
        <v/>
      </c>
      <c r="T295" s="8" t="n">
        <f aca="false">IF(O295&gt;=Models!$G$8,1+COUNTIF($O$5:$O$1517,"&gt;"&amp;O295)+COUNTIFS($O$5:$O$1517,O295,$B$5:$B$1517,"&lt;"&amp;B295)+COUNTIFS($O$5:$O$1517,O295,$B$5:$B$1517,B295,$C$5:$C$1517,"&lt;"&amp;C295),"")</f>
        <v>1093</v>
      </c>
      <c r="U295" s="8" t="n">
        <f aca="false">IF($K295=1,COUNTIFS($L$5:$L$1517,"&gt;="&amp;L295,$K$5:$K$1517,1)/COUNTIF($L$5:$L$1517,"&gt;="&amp;L295),0)</f>
        <v>0</v>
      </c>
      <c r="V295" s="8" t="n">
        <f aca="false">IF($K295=1,COUNTIFS($M$5:$M$1517,"&gt;="&amp;M295,$K$5:$K$1517,1)/COUNTIF($M$5:$M$1517,"&gt;="&amp;M295),0)</f>
        <v>0</v>
      </c>
      <c r="W295" s="8" t="n">
        <f aca="false">IF($K295=1,COUNTIFS($N$5:$N$1517,"&gt;="&amp;N295,$K$5:$K$1517,1)/COUNTIF($N$5:$N$1517,"&gt;="&amp;N295),0)</f>
        <v>0</v>
      </c>
      <c r="X295" s="8" t="n">
        <f aca="false">IF($K295=1,COUNTIFS($O$5:$O$1517,"&gt;="&amp;O295,$K$5:$K$1517,1)/COUNTIF($O$5:$O$1517,"&gt;="&amp;O295),0)</f>
        <v>0</v>
      </c>
      <c r="Y295" s="8" t="n">
        <f aca="false">IF($K295=1,COUNTIFS($P$5:$P$1517,"&gt;="&amp;P295,$K$5:$K$1517,1)/COUNTIF($P$5:$P$1517,"&gt;="&amp;P295),0)</f>
        <v>0</v>
      </c>
      <c r="Z295" s="8" t="n">
        <f aca="false">(L295-$K295)^2</f>
        <v>0.452894004676</v>
      </c>
      <c r="AA295" s="8" t="n">
        <f aca="false">(M295-$K295)^2</f>
        <v>0.008475595969</v>
      </c>
      <c r="AB295" s="8" t="n">
        <f aca="false">(N295-$K295)^2</f>
        <v>0.001745234176</v>
      </c>
      <c r="AC295" s="8" t="n">
        <f aca="false">(O295-$K295)^2</f>
        <v>0.011274829489</v>
      </c>
      <c r="AD295" s="8" t="n">
        <f aca="false">(P295-$K295)^2</f>
        <v>0.001813141561</v>
      </c>
      <c r="AE295" s="8" t="n">
        <f aca="false">MIN(INT(ROUND(N295*1000000,0)/100000),9)</f>
        <v>0</v>
      </c>
      <c r="AF295" s="8" t="n">
        <f aca="false">MIN(INT(ROUND(P295*1000000,0)/100000),9)</f>
        <v>0</v>
      </c>
    </row>
    <row r="296" customFormat="false" ht="15" hidden="false" customHeight="false" outlineLevel="0" collapsed="false">
      <c r="A296" s="4" t="n">
        <v>292</v>
      </c>
      <c r="B296" s="4" t="n">
        <v>1337</v>
      </c>
      <c r="C296" s="4" t="n">
        <v>0</v>
      </c>
      <c r="D296" s="11" t="n">
        <v>46054</v>
      </c>
      <c r="E296" s="4" t="s">
        <v>202</v>
      </c>
      <c r="F296" s="4" t="s">
        <v>206</v>
      </c>
      <c r="G296" s="4" t="n">
        <v>3</v>
      </c>
      <c r="H296" s="4" t="n">
        <v>6</v>
      </c>
      <c r="I296" s="4" t="n">
        <v>0</v>
      </c>
      <c r="J296" s="4" t="n">
        <v>1311</v>
      </c>
      <c r="K296" s="4" t="n">
        <v>0</v>
      </c>
      <c r="L296" s="12" t="n">
        <v>0.138105</v>
      </c>
      <c r="M296" s="12" t="n">
        <v>0.092063</v>
      </c>
      <c r="N296" s="12" t="n">
        <v>0.124227</v>
      </c>
      <c r="O296" s="12" t="n">
        <v>0.106183</v>
      </c>
      <c r="P296" s="12" t="n">
        <v>0.13274</v>
      </c>
      <c r="Q296" s="0" t="str">
        <f aca="false">IF(L296&gt;=Models!$G$5,1+COUNTIF($L$5:$L$1517,"&gt;"&amp;L296)+COUNTIFS($L$5:$L$1517,L296,$B$5:$B$1517,"&lt;"&amp;B296)+COUNTIFS($L$5:$L$1517,L296,$B$5:$B$1517,B296,$C$5:$C$1517,"&lt;"&amp;C296),"")</f>
        <v/>
      </c>
      <c r="R296" s="0" t="str">
        <f aca="false">IF(M296&gt;=Models!$G$6,1+COUNTIF($M$5:$M$1517,"&gt;"&amp;M296)+COUNTIFS($M$5:$M$1517,M296,$B$5:$B$1517,"&lt;"&amp;B296)+COUNTIFS($M$5:$M$1517,M296,$B$5:$B$1517,B296,$C$5:$C$1517,"&lt;"&amp;C296),"")</f>
        <v/>
      </c>
      <c r="S296" s="0" t="str">
        <f aca="false">IF(N296&gt;=Models!$G$7,1+COUNTIF($N$5:$N$1517,"&gt;"&amp;N296)+COUNTIFS($N$5:$N$1517,N296,$B$5:$B$1517,"&lt;"&amp;B296)+COUNTIFS($N$5:$N$1517,N296,$B$5:$B$1517,B296,$C$5:$C$1517,"&lt;"&amp;C296),"")</f>
        <v/>
      </c>
      <c r="T296" s="8" t="n">
        <f aca="false">IF(O296&gt;=Models!$G$8,1+COUNTIF($O$5:$O$1517,"&gt;"&amp;O296)+COUNTIFS($O$5:$O$1517,O296,$B$5:$B$1517,"&lt;"&amp;B296)+COUNTIFS($O$5:$O$1517,O296,$B$5:$B$1517,B296,$C$5:$C$1517,"&lt;"&amp;C296),"")</f>
        <v>1097</v>
      </c>
      <c r="U296" s="8" t="n">
        <f aca="false">IF($K296=1,COUNTIFS($L$5:$L$1517,"&gt;="&amp;L296,$K$5:$K$1517,1)/COUNTIF($L$5:$L$1517,"&gt;="&amp;L296),0)</f>
        <v>0</v>
      </c>
      <c r="V296" s="8" t="n">
        <f aca="false">IF($K296=1,COUNTIFS($M$5:$M$1517,"&gt;="&amp;M296,$K$5:$K$1517,1)/COUNTIF($M$5:$M$1517,"&gt;="&amp;M296),0)</f>
        <v>0</v>
      </c>
      <c r="W296" s="8" t="n">
        <f aca="false">IF($K296=1,COUNTIFS($N$5:$N$1517,"&gt;="&amp;N296,$K$5:$K$1517,1)/COUNTIF($N$5:$N$1517,"&gt;="&amp;N296),0)</f>
        <v>0</v>
      </c>
      <c r="X296" s="8" t="n">
        <f aca="false">IF($K296=1,COUNTIFS($O$5:$O$1517,"&gt;="&amp;O296,$K$5:$K$1517,1)/COUNTIF($O$5:$O$1517,"&gt;="&amp;O296),0)</f>
        <v>0</v>
      </c>
      <c r="Y296" s="8" t="n">
        <f aca="false">IF($K296=1,COUNTIFS($P$5:$P$1517,"&gt;="&amp;P296,$K$5:$K$1517,1)/COUNTIF($P$5:$P$1517,"&gt;="&amp;P296),0)</f>
        <v>0</v>
      </c>
      <c r="Z296" s="8" t="n">
        <f aca="false">(L296-$K296)^2</f>
        <v>0.019072991025</v>
      </c>
      <c r="AA296" s="8" t="n">
        <f aca="false">(M296-$K296)^2</f>
        <v>0.008475595969</v>
      </c>
      <c r="AB296" s="8" t="n">
        <f aca="false">(N296-$K296)^2</f>
        <v>0.015432347529</v>
      </c>
      <c r="AC296" s="8" t="n">
        <f aca="false">(O296-$K296)^2</f>
        <v>0.011274829489</v>
      </c>
      <c r="AD296" s="8" t="n">
        <f aca="false">(P296-$K296)^2</f>
        <v>0.0176199076</v>
      </c>
      <c r="AE296" s="8" t="n">
        <f aca="false">MIN(INT(ROUND(N296*1000000,0)/100000),9)</f>
        <v>1</v>
      </c>
      <c r="AF296" s="8" t="n">
        <f aca="false">MIN(INT(ROUND(P296*1000000,0)/100000),9)</f>
        <v>1</v>
      </c>
    </row>
    <row r="297" customFormat="false" ht="15" hidden="false" customHeight="false" outlineLevel="0" collapsed="false">
      <c r="A297" s="4" t="n">
        <v>293</v>
      </c>
      <c r="B297" s="4" t="n">
        <v>1338</v>
      </c>
      <c r="C297" s="4" t="n">
        <v>0</v>
      </c>
      <c r="D297" s="11" t="n">
        <v>46054</v>
      </c>
      <c r="E297" s="4" t="s">
        <v>203</v>
      </c>
      <c r="F297" s="4" t="s">
        <v>208</v>
      </c>
      <c r="G297" s="4" t="n">
        <v>4</v>
      </c>
      <c r="H297" s="4" t="n">
        <v>2</v>
      </c>
      <c r="I297" s="4" t="n">
        <v>0</v>
      </c>
      <c r="J297" s="4"/>
      <c r="K297" s="4" t="n">
        <v>0</v>
      </c>
      <c r="L297" s="12" t="n">
        <v>0.535374</v>
      </c>
      <c r="M297" s="12" t="n">
        <v>0.092063</v>
      </c>
      <c r="N297" s="12" t="n">
        <v>0.059727</v>
      </c>
      <c r="O297" s="12" t="n">
        <v>0.106183</v>
      </c>
      <c r="P297" s="12" t="n">
        <v>0.061887</v>
      </c>
      <c r="Q297" s="0" t="str">
        <f aca="false">IF(L297&gt;=Models!$G$5,1+COUNTIF($L$5:$L$1517,"&gt;"&amp;L297)+COUNTIFS($L$5:$L$1517,L297,$B$5:$B$1517,"&lt;"&amp;B297)+COUNTIFS($L$5:$L$1517,L297,$B$5:$B$1517,B297,$C$5:$C$1517,"&lt;"&amp;C297),"")</f>
        <v/>
      </c>
      <c r="R297" s="0" t="str">
        <f aca="false">IF(M297&gt;=Models!$G$6,1+COUNTIF($M$5:$M$1517,"&gt;"&amp;M297)+COUNTIFS($M$5:$M$1517,M297,$B$5:$B$1517,"&lt;"&amp;B297)+COUNTIFS($M$5:$M$1517,M297,$B$5:$B$1517,B297,$C$5:$C$1517,"&lt;"&amp;C297),"")</f>
        <v/>
      </c>
      <c r="S297" s="0" t="str">
        <f aca="false">IF(N297&gt;=Models!$G$7,1+COUNTIF($N$5:$N$1517,"&gt;"&amp;N297)+COUNTIFS($N$5:$N$1517,N297,$B$5:$B$1517,"&lt;"&amp;B297)+COUNTIFS($N$5:$N$1517,N297,$B$5:$B$1517,B297,$C$5:$C$1517,"&lt;"&amp;C297),"")</f>
        <v/>
      </c>
      <c r="T297" s="8" t="n">
        <f aca="false">IF(O297&gt;=Models!$G$8,1+COUNTIF($O$5:$O$1517,"&gt;"&amp;O297)+COUNTIFS($O$5:$O$1517,O297,$B$5:$B$1517,"&lt;"&amp;B297)+COUNTIFS($O$5:$O$1517,O297,$B$5:$B$1517,B297,$C$5:$C$1517,"&lt;"&amp;C297),"")</f>
        <v>1101</v>
      </c>
      <c r="U297" s="8" t="n">
        <f aca="false">IF($K297=1,COUNTIFS($L$5:$L$1517,"&gt;="&amp;L297,$K$5:$K$1517,1)/COUNTIF($L$5:$L$1517,"&gt;="&amp;L297),0)</f>
        <v>0</v>
      </c>
      <c r="V297" s="8" t="n">
        <f aca="false">IF($K297=1,COUNTIFS($M$5:$M$1517,"&gt;="&amp;M297,$K$5:$K$1517,1)/COUNTIF($M$5:$M$1517,"&gt;="&amp;M297),0)</f>
        <v>0</v>
      </c>
      <c r="W297" s="8" t="n">
        <f aca="false">IF($K297=1,COUNTIFS($N$5:$N$1517,"&gt;="&amp;N297,$K$5:$K$1517,1)/COUNTIF($N$5:$N$1517,"&gt;="&amp;N297),0)</f>
        <v>0</v>
      </c>
      <c r="X297" s="8" t="n">
        <f aca="false">IF($K297=1,COUNTIFS($O$5:$O$1517,"&gt;="&amp;O297,$K$5:$K$1517,1)/COUNTIF($O$5:$O$1517,"&gt;="&amp;O297),0)</f>
        <v>0</v>
      </c>
      <c r="Y297" s="8" t="n">
        <f aca="false">IF($K297=1,COUNTIFS($P$5:$P$1517,"&gt;="&amp;P297,$K$5:$K$1517,1)/COUNTIF($P$5:$P$1517,"&gt;="&amp;P297),0)</f>
        <v>0</v>
      </c>
      <c r="Z297" s="8" t="n">
        <f aca="false">(L297-$K297)^2</f>
        <v>0.286625319876</v>
      </c>
      <c r="AA297" s="8" t="n">
        <f aca="false">(M297-$K297)^2</f>
        <v>0.008475595969</v>
      </c>
      <c r="AB297" s="8" t="n">
        <f aca="false">(N297-$K297)^2</f>
        <v>0.003567314529</v>
      </c>
      <c r="AC297" s="8" t="n">
        <f aca="false">(O297-$K297)^2</f>
        <v>0.011274829489</v>
      </c>
      <c r="AD297" s="8" t="n">
        <f aca="false">(P297-$K297)^2</f>
        <v>0.003830000769</v>
      </c>
      <c r="AE297" s="8" t="n">
        <f aca="false">MIN(INT(ROUND(N297*1000000,0)/100000),9)</f>
        <v>0</v>
      </c>
      <c r="AF297" s="8" t="n">
        <f aca="false">MIN(INT(ROUND(P297*1000000,0)/100000),9)</f>
        <v>0</v>
      </c>
    </row>
    <row r="298" customFormat="false" ht="15" hidden="false" customHeight="false" outlineLevel="0" collapsed="false">
      <c r="A298" s="4" t="n">
        <v>294</v>
      </c>
      <c r="B298" s="4" t="n">
        <v>1342</v>
      </c>
      <c r="C298" s="4" t="n">
        <v>0</v>
      </c>
      <c r="D298" s="11" t="n">
        <v>46054</v>
      </c>
      <c r="E298" s="4" t="s">
        <v>204</v>
      </c>
      <c r="F298" s="4" t="s">
        <v>206</v>
      </c>
      <c r="G298" s="4" t="n">
        <v>2</v>
      </c>
      <c r="H298" s="4" t="n">
        <v>3</v>
      </c>
      <c r="I298" s="4" t="n">
        <v>0</v>
      </c>
      <c r="J298" s="4" t="n">
        <v>93</v>
      </c>
      <c r="K298" s="4" t="n">
        <v>0</v>
      </c>
      <c r="L298" s="12" t="n">
        <v>0.105468</v>
      </c>
      <c r="M298" s="12" t="n">
        <v>0.092063</v>
      </c>
      <c r="N298" s="12" t="n">
        <v>0.139811</v>
      </c>
      <c r="O298" s="12" t="n">
        <v>0.106183</v>
      </c>
      <c r="P298" s="12" t="n">
        <v>0.150034</v>
      </c>
      <c r="Q298" s="0" t="str">
        <f aca="false">IF(L298&gt;=Models!$G$5,1+COUNTIF($L$5:$L$1517,"&gt;"&amp;L298)+COUNTIFS($L$5:$L$1517,L298,$B$5:$B$1517,"&lt;"&amp;B298)+COUNTIFS($L$5:$L$1517,L298,$B$5:$B$1517,B298,$C$5:$C$1517,"&lt;"&amp;C298),"")</f>
        <v/>
      </c>
      <c r="R298" s="0" t="str">
        <f aca="false">IF(M298&gt;=Models!$G$6,1+COUNTIF($M$5:$M$1517,"&gt;"&amp;M298)+COUNTIFS($M$5:$M$1517,M298,$B$5:$B$1517,"&lt;"&amp;B298)+COUNTIFS($M$5:$M$1517,M298,$B$5:$B$1517,B298,$C$5:$C$1517,"&lt;"&amp;C298),"")</f>
        <v/>
      </c>
      <c r="S298" s="0" t="str">
        <f aca="false">IF(N298&gt;=Models!$G$7,1+COUNTIF($N$5:$N$1517,"&gt;"&amp;N298)+COUNTIFS($N$5:$N$1517,N298,$B$5:$B$1517,"&lt;"&amp;B298)+COUNTIFS($N$5:$N$1517,N298,$B$5:$B$1517,B298,$C$5:$C$1517,"&lt;"&amp;C298),"")</f>
        <v/>
      </c>
      <c r="T298" s="8" t="n">
        <f aca="false">IF(O298&gt;=Models!$G$8,1+COUNTIF($O$5:$O$1517,"&gt;"&amp;O298)+COUNTIFS($O$5:$O$1517,O298,$B$5:$B$1517,"&lt;"&amp;B298)+COUNTIFS($O$5:$O$1517,O298,$B$5:$B$1517,B298,$C$5:$C$1517,"&lt;"&amp;C298),"")</f>
        <v>1105</v>
      </c>
      <c r="U298" s="8" t="n">
        <f aca="false">IF($K298=1,COUNTIFS($L$5:$L$1517,"&gt;="&amp;L298,$K$5:$K$1517,1)/COUNTIF($L$5:$L$1517,"&gt;="&amp;L298),0)</f>
        <v>0</v>
      </c>
      <c r="V298" s="8" t="n">
        <f aca="false">IF($K298=1,COUNTIFS($M$5:$M$1517,"&gt;="&amp;M298,$K$5:$K$1517,1)/COUNTIF($M$5:$M$1517,"&gt;="&amp;M298),0)</f>
        <v>0</v>
      </c>
      <c r="W298" s="8" t="n">
        <f aca="false">IF($K298=1,COUNTIFS($N$5:$N$1517,"&gt;="&amp;N298,$K$5:$K$1517,1)/COUNTIF($N$5:$N$1517,"&gt;="&amp;N298),0)</f>
        <v>0</v>
      </c>
      <c r="X298" s="8" t="n">
        <f aca="false">IF($K298=1,COUNTIFS($O$5:$O$1517,"&gt;="&amp;O298,$K$5:$K$1517,1)/COUNTIF($O$5:$O$1517,"&gt;="&amp;O298),0)</f>
        <v>0</v>
      </c>
      <c r="Y298" s="8" t="n">
        <f aca="false">IF($K298=1,COUNTIFS($P$5:$P$1517,"&gt;="&amp;P298,$K$5:$K$1517,1)/COUNTIF($P$5:$P$1517,"&gt;="&amp;P298),0)</f>
        <v>0</v>
      </c>
      <c r="Z298" s="8" t="n">
        <f aca="false">(L298-$K298)^2</f>
        <v>0.011123499024</v>
      </c>
      <c r="AA298" s="8" t="n">
        <f aca="false">(M298-$K298)^2</f>
        <v>0.008475595969</v>
      </c>
      <c r="AB298" s="8" t="n">
        <f aca="false">(N298-$K298)^2</f>
        <v>0.019547115721</v>
      </c>
      <c r="AC298" s="8" t="n">
        <f aca="false">(O298-$K298)^2</f>
        <v>0.011274829489</v>
      </c>
      <c r="AD298" s="8" t="n">
        <f aca="false">(P298-$K298)^2</f>
        <v>0.022510201156</v>
      </c>
      <c r="AE298" s="8" t="n">
        <f aca="false">MIN(INT(ROUND(N298*1000000,0)/100000),9)</f>
        <v>1</v>
      </c>
      <c r="AF298" s="8" t="n">
        <f aca="false">MIN(INT(ROUND(P298*1000000,0)/100000),9)</f>
        <v>1</v>
      </c>
    </row>
    <row r="299" customFormat="false" ht="15" hidden="false" customHeight="false" outlineLevel="0" collapsed="false">
      <c r="A299" s="4" t="n">
        <v>295</v>
      </c>
      <c r="B299" s="4" t="n">
        <v>1351</v>
      </c>
      <c r="C299" s="4" t="n">
        <v>0</v>
      </c>
      <c r="D299" s="11" t="n">
        <v>46054</v>
      </c>
      <c r="E299" s="4" t="s">
        <v>204</v>
      </c>
      <c r="F299" s="4" t="s">
        <v>210</v>
      </c>
      <c r="G299" s="4" t="n">
        <v>4</v>
      </c>
      <c r="H299" s="4" t="n">
        <v>0</v>
      </c>
      <c r="I299" s="4" t="n">
        <v>0</v>
      </c>
      <c r="J299" s="4" t="n">
        <v>81</v>
      </c>
      <c r="K299" s="4" t="n">
        <v>0</v>
      </c>
      <c r="L299" s="12" t="n">
        <v>0.552076</v>
      </c>
      <c r="M299" s="12" t="n">
        <v>0.092063</v>
      </c>
      <c r="N299" s="12" t="n">
        <v>0.117043</v>
      </c>
      <c r="O299" s="12" t="n">
        <v>0.106183</v>
      </c>
      <c r="P299" s="12" t="n">
        <v>0.124782</v>
      </c>
      <c r="Q299" s="0" t="str">
        <f aca="false">IF(L299&gt;=Models!$G$5,1+COUNTIF($L$5:$L$1517,"&gt;"&amp;L299)+COUNTIFS($L$5:$L$1517,L299,$B$5:$B$1517,"&lt;"&amp;B299)+COUNTIFS($L$5:$L$1517,L299,$B$5:$B$1517,B299,$C$5:$C$1517,"&lt;"&amp;C299),"")</f>
        <v/>
      </c>
      <c r="R299" s="0" t="str">
        <f aca="false">IF(M299&gt;=Models!$G$6,1+COUNTIF($M$5:$M$1517,"&gt;"&amp;M299)+COUNTIFS($M$5:$M$1517,M299,$B$5:$B$1517,"&lt;"&amp;B299)+COUNTIFS($M$5:$M$1517,M299,$B$5:$B$1517,B299,$C$5:$C$1517,"&lt;"&amp;C299),"")</f>
        <v/>
      </c>
      <c r="S299" s="0" t="str">
        <f aca="false">IF(N299&gt;=Models!$G$7,1+COUNTIF($N$5:$N$1517,"&gt;"&amp;N299)+COUNTIFS($N$5:$N$1517,N299,$B$5:$B$1517,"&lt;"&amp;B299)+COUNTIFS($N$5:$N$1517,N299,$B$5:$B$1517,B299,$C$5:$C$1517,"&lt;"&amp;C299),"")</f>
        <v/>
      </c>
      <c r="T299" s="8" t="n">
        <f aca="false">IF(O299&gt;=Models!$G$8,1+COUNTIF($O$5:$O$1517,"&gt;"&amp;O299)+COUNTIFS($O$5:$O$1517,O299,$B$5:$B$1517,"&lt;"&amp;B299)+COUNTIFS($O$5:$O$1517,O299,$B$5:$B$1517,B299,$C$5:$C$1517,"&lt;"&amp;C299),"")</f>
        <v>1109</v>
      </c>
      <c r="U299" s="8" t="n">
        <f aca="false">IF($K299=1,COUNTIFS($L$5:$L$1517,"&gt;="&amp;L299,$K$5:$K$1517,1)/COUNTIF($L$5:$L$1517,"&gt;="&amp;L299),0)</f>
        <v>0</v>
      </c>
      <c r="V299" s="8" t="n">
        <f aca="false">IF($K299=1,COUNTIFS($M$5:$M$1517,"&gt;="&amp;M299,$K$5:$K$1517,1)/COUNTIF($M$5:$M$1517,"&gt;="&amp;M299),0)</f>
        <v>0</v>
      </c>
      <c r="W299" s="8" t="n">
        <f aca="false">IF($K299=1,COUNTIFS($N$5:$N$1517,"&gt;="&amp;N299,$K$5:$K$1517,1)/COUNTIF($N$5:$N$1517,"&gt;="&amp;N299),0)</f>
        <v>0</v>
      </c>
      <c r="X299" s="8" t="n">
        <f aca="false">IF($K299=1,COUNTIFS($O$5:$O$1517,"&gt;="&amp;O299,$K$5:$K$1517,1)/COUNTIF($O$5:$O$1517,"&gt;="&amp;O299),0)</f>
        <v>0</v>
      </c>
      <c r="Y299" s="8" t="n">
        <f aca="false">IF($K299=1,COUNTIFS($P$5:$P$1517,"&gt;="&amp;P299,$K$5:$K$1517,1)/COUNTIF($P$5:$P$1517,"&gt;="&amp;P299),0)</f>
        <v>0</v>
      </c>
      <c r="Z299" s="8" t="n">
        <f aca="false">(L299-$K299)^2</f>
        <v>0.304787909776</v>
      </c>
      <c r="AA299" s="8" t="n">
        <f aca="false">(M299-$K299)^2</f>
        <v>0.008475595969</v>
      </c>
      <c r="AB299" s="8" t="n">
        <f aca="false">(N299-$K299)^2</f>
        <v>0.013699063849</v>
      </c>
      <c r="AC299" s="8" t="n">
        <f aca="false">(O299-$K299)^2</f>
        <v>0.011274829489</v>
      </c>
      <c r="AD299" s="8" t="n">
        <f aca="false">(P299-$K299)^2</f>
        <v>0.015570547524</v>
      </c>
      <c r="AE299" s="8" t="n">
        <f aca="false">MIN(INT(ROUND(N299*1000000,0)/100000),9)</f>
        <v>1</v>
      </c>
      <c r="AF299" s="8" t="n">
        <f aca="false">MIN(INT(ROUND(P299*1000000,0)/100000),9)</f>
        <v>1</v>
      </c>
    </row>
    <row r="300" customFormat="false" ht="15" hidden="false" customHeight="false" outlineLevel="0" collapsed="false">
      <c r="A300" s="4" t="n">
        <v>296</v>
      </c>
      <c r="B300" s="4" t="n">
        <v>1353</v>
      </c>
      <c r="C300" s="4" t="n">
        <v>0</v>
      </c>
      <c r="D300" s="11" t="n">
        <v>46054</v>
      </c>
      <c r="E300" s="4" t="s">
        <v>204</v>
      </c>
      <c r="F300" s="4" t="s">
        <v>209</v>
      </c>
      <c r="G300" s="4" t="n">
        <v>4</v>
      </c>
      <c r="H300" s="4" t="n">
        <v>5</v>
      </c>
      <c r="I300" s="4" t="n">
        <v>0</v>
      </c>
      <c r="J300" s="4" t="n">
        <v>111</v>
      </c>
      <c r="K300" s="4" t="n">
        <v>0</v>
      </c>
      <c r="L300" s="12" t="n">
        <v>0.953996</v>
      </c>
      <c r="M300" s="12" t="n">
        <v>0.092063</v>
      </c>
      <c r="N300" s="12" t="n">
        <v>0.121159</v>
      </c>
      <c r="O300" s="12" t="n">
        <v>0.106183</v>
      </c>
      <c r="P300" s="12" t="n">
        <v>0.12934</v>
      </c>
      <c r="Q300" s="0" t="str">
        <f aca="false">IF(L300&gt;=Models!$G$5,1+COUNTIF($L$5:$L$1517,"&gt;"&amp;L300)+COUNTIFS($L$5:$L$1517,L300,$B$5:$B$1517,"&lt;"&amp;B300)+COUNTIFS($L$5:$L$1517,L300,$B$5:$B$1517,B300,$C$5:$C$1517,"&lt;"&amp;C300),"")</f>
        <v/>
      </c>
      <c r="R300" s="0" t="str">
        <f aca="false">IF(M300&gt;=Models!$G$6,1+COUNTIF($M$5:$M$1517,"&gt;"&amp;M300)+COUNTIFS($M$5:$M$1517,M300,$B$5:$B$1517,"&lt;"&amp;B300)+COUNTIFS($M$5:$M$1517,M300,$B$5:$B$1517,B300,$C$5:$C$1517,"&lt;"&amp;C300),"")</f>
        <v/>
      </c>
      <c r="S300" s="0" t="str">
        <f aca="false">IF(N300&gt;=Models!$G$7,1+COUNTIF($N$5:$N$1517,"&gt;"&amp;N300)+COUNTIFS($N$5:$N$1517,N300,$B$5:$B$1517,"&lt;"&amp;B300)+COUNTIFS($N$5:$N$1517,N300,$B$5:$B$1517,B300,$C$5:$C$1517,"&lt;"&amp;C300),"")</f>
        <v/>
      </c>
      <c r="T300" s="8" t="n">
        <f aca="false">IF(O300&gt;=Models!$G$8,1+COUNTIF($O$5:$O$1517,"&gt;"&amp;O300)+COUNTIFS($O$5:$O$1517,O300,$B$5:$B$1517,"&lt;"&amp;B300)+COUNTIFS($O$5:$O$1517,O300,$B$5:$B$1517,B300,$C$5:$C$1517,"&lt;"&amp;C300),"")</f>
        <v>1113</v>
      </c>
      <c r="U300" s="8" t="n">
        <f aca="false">IF($K300=1,COUNTIFS($L$5:$L$1517,"&gt;="&amp;L300,$K$5:$K$1517,1)/COUNTIF($L$5:$L$1517,"&gt;="&amp;L300),0)</f>
        <v>0</v>
      </c>
      <c r="V300" s="8" t="n">
        <f aca="false">IF($K300=1,COUNTIFS($M$5:$M$1517,"&gt;="&amp;M300,$K$5:$K$1517,1)/COUNTIF($M$5:$M$1517,"&gt;="&amp;M300),0)</f>
        <v>0</v>
      </c>
      <c r="W300" s="8" t="n">
        <f aca="false">IF($K300=1,COUNTIFS($N$5:$N$1517,"&gt;="&amp;N300,$K$5:$K$1517,1)/COUNTIF($N$5:$N$1517,"&gt;="&amp;N300),0)</f>
        <v>0</v>
      </c>
      <c r="X300" s="8" t="n">
        <f aca="false">IF($K300=1,COUNTIFS($O$5:$O$1517,"&gt;="&amp;O300,$K$5:$K$1517,1)/COUNTIF($O$5:$O$1517,"&gt;="&amp;O300),0)</f>
        <v>0</v>
      </c>
      <c r="Y300" s="8" t="n">
        <f aca="false">IF($K300=1,COUNTIFS($P$5:$P$1517,"&gt;="&amp;P300,$K$5:$K$1517,1)/COUNTIF($P$5:$P$1517,"&gt;="&amp;P300),0)</f>
        <v>0</v>
      </c>
      <c r="Z300" s="8" t="n">
        <f aca="false">(L300-$K300)^2</f>
        <v>0.910108368016</v>
      </c>
      <c r="AA300" s="8" t="n">
        <f aca="false">(M300-$K300)^2</f>
        <v>0.008475595969</v>
      </c>
      <c r="AB300" s="8" t="n">
        <f aca="false">(N300-$K300)^2</f>
        <v>0.014679503281</v>
      </c>
      <c r="AC300" s="8" t="n">
        <f aca="false">(O300-$K300)^2</f>
        <v>0.011274829489</v>
      </c>
      <c r="AD300" s="8" t="n">
        <f aca="false">(P300-$K300)^2</f>
        <v>0.0167288356</v>
      </c>
      <c r="AE300" s="8" t="n">
        <f aca="false">MIN(INT(ROUND(N300*1000000,0)/100000),9)</f>
        <v>1</v>
      </c>
      <c r="AF300" s="8" t="n">
        <f aca="false">MIN(INT(ROUND(P300*1000000,0)/100000),9)</f>
        <v>1</v>
      </c>
    </row>
    <row r="301" customFormat="false" ht="15" hidden="false" customHeight="false" outlineLevel="0" collapsed="false">
      <c r="A301" s="4" t="n">
        <v>297</v>
      </c>
      <c r="B301" s="4" t="n">
        <v>1357</v>
      </c>
      <c r="C301" s="4" t="n">
        <v>0</v>
      </c>
      <c r="D301" s="11" t="n">
        <v>46054</v>
      </c>
      <c r="E301" s="4" t="s">
        <v>203</v>
      </c>
      <c r="F301" s="4" t="s">
        <v>206</v>
      </c>
      <c r="G301" s="4" t="n">
        <v>0</v>
      </c>
      <c r="H301" s="4" t="n">
        <v>32</v>
      </c>
      <c r="I301" s="4" t="n">
        <v>0</v>
      </c>
      <c r="J301" s="4" t="n">
        <v>357</v>
      </c>
      <c r="K301" s="4" t="n">
        <v>0</v>
      </c>
      <c r="L301" s="12" t="n">
        <v>0.398321</v>
      </c>
      <c r="M301" s="12" t="n">
        <v>0.184211</v>
      </c>
      <c r="N301" s="12" t="n">
        <v>0.195516</v>
      </c>
      <c r="O301" s="12" t="n">
        <v>0.106183</v>
      </c>
      <c r="P301" s="12" t="n">
        <v>0.212003</v>
      </c>
      <c r="Q301" s="0" t="str">
        <f aca="false">IF(L301&gt;=Models!$G$5,1+COUNTIF($L$5:$L$1517,"&gt;"&amp;L301)+COUNTIFS($L$5:$L$1517,L301,$B$5:$B$1517,"&lt;"&amp;B301)+COUNTIFS($L$5:$L$1517,L301,$B$5:$B$1517,B301,$C$5:$C$1517,"&lt;"&amp;C301),"")</f>
        <v/>
      </c>
      <c r="R301" s="8" t="n">
        <f aca="false">IF(M301&gt;=Models!$G$6,1+COUNTIF($M$5:$M$1517,"&gt;"&amp;M301)+COUNTIFS($M$5:$M$1517,M301,$B$5:$B$1517,"&lt;"&amp;B301)+COUNTIFS($M$5:$M$1517,M301,$B$5:$B$1517,B301,$C$5:$C$1517,"&lt;"&amp;C301),"")</f>
        <v>135</v>
      </c>
      <c r="S301" s="0" t="str">
        <f aca="false">IF(N301&gt;=Models!$G$7,1+COUNTIF($N$5:$N$1517,"&gt;"&amp;N301)+COUNTIFS($N$5:$N$1517,N301,$B$5:$B$1517,"&lt;"&amp;B301)+COUNTIFS($N$5:$N$1517,N301,$B$5:$B$1517,B301,$C$5:$C$1517,"&lt;"&amp;C301),"")</f>
        <v/>
      </c>
      <c r="T301" s="8" t="n">
        <f aca="false">IF(O301&gt;=Models!$G$8,1+COUNTIF($O$5:$O$1517,"&gt;"&amp;O301)+COUNTIFS($O$5:$O$1517,O301,$B$5:$B$1517,"&lt;"&amp;B301)+COUNTIFS($O$5:$O$1517,O301,$B$5:$B$1517,B301,$C$5:$C$1517,"&lt;"&amp;C301),"")</f>
        <v>1117</v>
      </c>
      <c r="U301" s="8" t="n">
        <f aca="false">IF($K301=1,COUNTIFS($L$5:$L$1517,"&gt;="&amp;L301,$K$5:$K$1517,1)/COUNTIF($L$5:$L$1517,"&gt;="&amp;L301),0)</f>
        <v>0</v>
      </c>
      <c r="V301" s="8" t="n">
        <f aca="false">IF($K301=1,COUNTIFS($M$5:$M$1517,"&gt;="&amp;M301,$K$5:$K$1517,1)/COUNTIF($M$5:$M$1517,"&gt;="&amp;M301),0)</f>
        <v>0</v>
      </c>
      <c r="W301" s="8" t="n">
        <f aca="false">IF($K301=1,COUNTIFS($N$5:$N$1517,"&gt;="&amp;N301,$K$5:$K$1517,1)/COUNTIF($N$5:$N$1517,"&gt;="&amp;N301),0)</f>
        <v>0</v>
      </c>
      <c r="X301" s="8" t="n">
        <f aca="false">IF($K301=1,COUNTIFS($O$5:$O$1517,"&gt;="&amp;O301,$K$5:$K$1517,1)/COUNTIF($O$5:$O$1517,"&gt;="&amp;O301),0)</f>
        <v>0</v>
      </c>
      <c r="Y301" s="8" t="n">
        <f aca="false">IF($K301=1,COUNTIFS($P$5:$P$1517,"&gt;="&amp;P301,$K$5:$K$1517,1)/COUNTIF($P$5:$P$1517,"&gt;="&amp;P301),0)</f>
        <v>0</v>
      </c>
      <c r="Z301" s="8" t="n">
        <f aca="false">(L301-$K301)^2</f>
        <v>0.158659619041</v>
      </c>
      <c r="AA301" s="8" t="n">
        <f aca="false">(M301-$K301)^2</f>
        <v>0.033933692521</v>
      </c>
      <c r="AB301" s="8" t="n">
        <f aca="false">(N301-$K301)^2</f>
        <v>0.038226506256</v>
      </c>
      <c r="AC301" s="8" t="n">
        <f aca="false">(O301-$K301)^2</f>
        <v>0.011274829489</v>
      </c>
      <c r="AD301" s="8" t="n">
        <f aca="false">(P301-$K301)^2</f>
        <v>0.044945272009</v>
      </c>
      <c r="AE301" s="8" t="n">
        <f aca="false">MIN(INT(ROUND(N301*1000000,0)/100000),9)</f>
        <v>1</v>
      </c>
      <c r="AF301" s="8" t="n">
        <f aca="false">MIN(INT(ROUND(P301*1000000,0)/100000),9)</f>
        <v>2</v>
      </c>
    </row>
    <row r="302" customFormat="false" ht="15" hidden="false" customHeight="false" outlineLevel="0" collapsed="false">
      <c r="A302" s="4" t="n">
        <v>298</v>
      </c>
      <c r="B302" s="4" t="n">
        <v>1358</v>
      </c>
      <c r="C302" s="4" t="n">
        <v>0</v>
      </c>
      <c r="D302" s="11" t="n">
        <v>46054</v>
      </c>
      <c r="E302" s="4" t="s">
        <v>204</v>
      </c>
      <c r="F302" s="4" t="s">
        <v>206</v>
      </c>
      <c r="G302" s="4" t="n">
        <v>2</v>
      </c>
      <c r="H302" s="4" t="n">
        <v>0</v>
      </c>
      <c r="I302" s="4" t="n">
        <v>0</v>
      </c>
      <c r="J302" s="4" t="n">
        <v>102</v>
      </c>
      <c r="K302" s="4" t="n">
        <v>1</v>
      </c>
      <c r="L302" s="12" t="n">
        <v>0.372872</v>
      </c>
      <c r="M302" s="12" t="n">
        <v>0.092063</v>
      </c>
      <c r="N302" s="12" t="n">
        <v>0.136819</v>
      </c>
      <c r="O302" s="12" t="n">
        <v>0.106183</v>
      </c>
      <c r="P302" s="12" t="n">
        <v>0.146711</v>
      </c>
      <c r="Q302" s="0" t="str">
        <f aca="false">IF(L302&gt;=Models!$G$5,1+COUNTIF($L$5:$L$1517,"&gt;"&amp;L302)+COUNTIFS($L$5:$L$1517,L302,$B$5:$B$1517,"&lt;"&amp;B302)+COUNTIFS($L$5:$L$1517,L302,$B$5:$B$1517,B302,$C$5:$C$1517,"&lt;"&amp;C302),"")</f>
        <v/>
      </c>
      <c r="R302" s="0" t="str">
        <f aca="false">IF(M302&gt;=Models!$G$6,1+COUNTIF($M$5:$M$1517,"&gt;"&amp;M302)+COUNTIFS($M$5:$M$1517,M302,$B$5:$B$1517,"&lt;"&amp;B302)+COUNTIFS($M$5:$M$1517,M302,$B$5:$B$1517,B302,$C$5:$C$1517,"&lt;"&amp;C302),"")</f>
        <v/>
      </c>
      <c r="S302" s="0" t="str">
        <f aca="false">IF(N302&gt;=Models!$G$7,1+COUNTIF($N$5:$N$1517,"&gt;"&amp;N302)+COUNTIFS($N$5:$N$1517,N302,$B$5:$B$1517,"&lt;"&amp;B302)+COUNTIFS($N$5:$N$1517,N302,$B$5:$B$1517,B302,$C$5:$C$1517,"&lt;"&amp;C302),"")</f>
        <v/>
      </c>
      <c r="T302" s="8" t="n">
        <f aca="false">IF(O302&gt;=Models!$G$8,1+COUNTIF($O$5:$O$1517,"&gt;"&amp;O302)+COUNTIFS($O$5:$O$1517,O302,$B$5:$B$1517,"&lt;"&amp;B302)+COUNTIFS($O$5:$O$1517,O302,$B$5:$B$1517,B302,$C$5:$C$1517,"&lt;"&amp;C302),"")</f>
        <v>1121</v>
      </c>
      <c r="U302" s="8" t="n">
        <f aca="false">IF($K302=1,COUNTIFS($L$5:$L$1517,"&gt;="&amp;L302,$K$5:$K$1517,1)/COUNTIF($L$5:$L$1517,"&gt;="&amp;L302),0)</f>
        <v>0.13010752688172</v>
      </c>
      <c r="V302" s="8" t="n">
        <f aca="false">IF($K302=1,COUNTIFS($M$5:$M$1517,"&gt;="&amp;M302,$K$5:$K$1517,1)/COUNTIF($M$5:$M$1517,"&gt;="&amp;M302),0)</f>
        <v>0.12491738268341</v>
      </c>
      <c r="W302" s="8" t="n">
        <f aca="false">IF($K302=1,COUNTIFS($N$5:$N$1517,"&gt;="&amp;N302,$K$5:$K$1517,1)/COUNTIF($N$5:$N$1517,"&gt;="&amp;N302),0)</f>
        <v>0.26031746031746</v>
      </c>
      <c r="X302" s="8" t="n">
        <f aca="false">IF($K302=1,COUNTIFS($O$5:$O$1517,"&gt;="&amp;O302,$K$5:$K$1517,1)/COUNTIF($O$5:$O$1517,"&gt;="&amp;O302),0)</f>
        <v>0.12491738268341</v>
      </c>
      <c r="Y302" s="8" t="n">
        <f aca="false">IF($K302=1,COUNTIFS($P$5:$P$1517,"&gt;="&amp;P302,$K$5:$K$1517,1)/COUNTIF($P$5:$P$1517,"&gt;="&amp;P302),0)</f>
        <v>0.26031746031746</v>
      </c>
      <c r="Z302" s="8" t="n">
        <f aca="false">(L302-$K302)^2</f>
        <v>0.393289528384</v>
      </c>
      <c r="AA302" s="8" t="n">
        <f aca="false">(M302-$K302)^2</f>
        <v>0.824349595969</v>
      </c>
      <c r="AB302" s="8" t="n">
        <f aca="false">(N302-$K302)^2</f>
        <v>0.745081438761</v>
      </c>
      <c r="AC302" s="8" t="n">
        <f aca="false">(O302-$K302)^2</f>
        <v>0.798908829489</v>
      </c>
      <c r="AD302" s="8" t="n">
        <f aca="false">(P302-$K302)^2</f>
        <v>0.728102117521</v>
      </c>
      <c r="AE302" s="8" t="n">
        <f aca="false">MIN(INT(ROUND(N302*1000000,0)/100000),9)</f>
        <v>1</v>
      </c>
      <c r="AF302" s="8" t="n">
        <f aca="false">MIN(INT(ROUND(P302*1000000,0)/100000),9)</f>
        <v>1</v>
      </c>
    </row>
    <row r="303" customFormat="false" ht="15" hidden="false" customHeight="false" outlineLevel="0" collapsed="false">
      <c r="A303" s="4" t="n">
        <v>299</v>
      </c>
      <c r="B303" s="4" t="n">
        <v>1359</v>
      </c>
      <c r="C303" s="4" t="n">
        <v>0</v>
      </c>
      <c r="D303" s="11" t="n">
        <v>46054</v>
      </c>
      <c r="E303" s="4" t="s">
        <v>203</v>
      </c>
      <c r="F303" s="4" t="s">
        <v>208</v>
      </c>
      <c r="G303" s="4" t="n">
        <v>4</v>
      </c>
      <c r="H303" s="4" t="n">
        <v>2</v>
      </c>
      <c r="I303" s="4" t="n">
        <v>0</v>
      </c>
      <c r="J303" s="4" t="n">
        <v>312</v>
      </c>
      <c r="K303" s="4" t="n">
        <v>0</v>
      </c>
      <c r="L303" s="12" t="n">
        <v>0.672042</v>
      </c>
      <c r="M303" s="12" t="n">
        <v>0.092063</v>
      </c>
      <c r="N303" s="12" t="n">
        <v>0.117351</v>
      </c>
      <c r="O303" s="12" t="n">
        <v>0.106183</v>
      </c>
      <c r="P303" s="12" t="n">
        <v>0.125123</v>
      </c>
      <c r="Q303" s="0" t="str">
        <f aca="false">IF(L303&gt;=Models!$G$5,1+COUNTIF($L$5:$L$1517,"&gt;"&amp;L303)+COUNTIFS($L$5:$L$1517,L303,$B$5:$B$1517,"&lt;"&amp;B303)+COUNTIFS($L$5:$L$1517,L303,$B$5:$B$1517,B303,$C$5:$C$1517,"&lt;"&amp;C303),"")</f>
        <v/>
      </c>
      <c r="R303" s="0" t="str">
        <f aca="false">IF(M303&gt;=Models!$G$6,1+COUNTIF($M$5:$M$1517,"&gt;"&amp;M303)+COUNTIFS($M$5:$M$1517,M303,$B$5:$B$1517,"&lt;"&amp;B303)+COUNTIFS($M$5:$M$1517,M303,$B$5:$B$1517,B303,$C$5:$C$1517,"&lt;"&amp;C303),"")</f>
        <v/>
      </c>
      <c r="S303" s="0" t="str">
        <f aca="false">IF(N303&gt;=Models!$G$7,1+COUNTIF($N$5:$N$1517,"&gt;"&amp;N303)+COUNTIFS($N$5:$N$1517,N303,$B$5:$B$1517,"&lt;"&amp;B303)+COUNTIFS($N$5:$N$1517,N303,$B$5:$B$1517,B303,$C$5:$C$1517,"&lt;"&amp;C303),"")</f>
        <v/>
      </c>
      <c r="T303" s="8" t="n">
        <f aca="false">IF(O303&gt;=Models!$G$8,1+COUNTIF($O$5:$O$1517,"&gt;"&amp;O303)+COUNTIFS($O$5:$O$1517,O303,$B$5:$B$1517,"&lt;"&amp;B303)+COUNTIFS($O$5:$O$1517,O303,$B$5:$B$1517,B303,$C$5:$C$1517,"&lt;"&amp;C303),"")</f>
        <v>1122</v>
      </c>
      <c r="U303" s="8" t="n">
        <f aca="false">IF($K303=1,COUNTIFS($L$5:$L$1517,"&gt;="&amp;L303,$K$5:$K$1517,1)/COUNTIF($L$5:$L$1517,"&gt;="&amp;L303),0)</f>
        <v>0</v>
      </c>
      <c r="V303" s="8" t="n">
        <f aca="false">IF($K303=1,COUNTIFS($M$5:$M$1517,"&gt;="&amp;M303,$K$5:$K$1517,1)/COUNTIF($M$5:$M$1517,"&gt;="&amp;M303),0)</f>
        <v>0</v>
      </c>
      <c r="W303" s="8" t="n">
        <f aca="false">IF($K303=1,COUNTIFS($N$5:$N$1517,"&gt;="&amp;N303,$K$5:$K$1517,1)/COUNTIF($N$5:$N$1517,"&gt;="&amp;N303),0)</f>
        <v>0</v>
      </c>
      <c r="X303" s="8" t="n">
        <f aca="false">IF($K303=1,COUNTIFS($O$5:$O$1517,"&gt;="&amp;O303,$K$5:$K$1517,1)/COUNTIF($O$5:$O$1517,"&gt;="&amp;O303),0)</f>
        <v>0</v>
      </c>
      <c r="Y303" s="8" t="n">
        <f aca="false">IF($K303=1,COUNTIFS($P$5:$P$1517,"&gt;="&amp;P303,$K$5:$K$1517,1)/COUNTIF($P$5:$P$1517,"&gt;="&amp;P303),0)</f>
        <v>0</v>
      </c>
      <c r="Z303" s="8" t="n">
        <f aca="false">(L303-$K303)^2</f>
        <v>0.451640449764</v>
      </c>
      <c r="AA303" s="8" t="n">
        <f aca="false">(M303-$K303)^2</f>
        <v>0.008475595969</v>
      </c>
      <c r="AB303" s="8" t="n">
        <f aca="false">(N303-$K303)^2</f>
        <v>0.013771257201</v>
      </c>
      <c r="AC303" s="8" t="n">
        <f aca="false">(O303-$K303)^2</f>
        <v>0.011274829489</v>
      </c>
      <c r="AD303" s="8" t="n">
        <f aca="false">(P303-$K303)^2</f>
        <v>0.015655765129</v>
      </c>
      <c r="AE303" s="8" t="n">
        <f aca="false">MIN(INT(ROUND(N303*1000000,0)/100000),9)</f>
        <v>1</v>
      </c>
      <c r="AF303" s="8" t="n">
        <f aca="false">MIN(INT(ROUND(P303*1000000,0)/100000),9)</f>
        <v>1</v>
      </c>
    </row>
    <row r="304" customFormat="false" ht="15" hidden="false" customHeight="false" outlineLevel="0" collapsed="false">
      <c r="A304" s="4" t="n">
        <v>300</v>
      </c>
      <c r="B304" s="4" t="n">
        <v>1361</v>
      </c>
      <c r="C304" s="4" t="n">
        <v>0</v>
      </c>
      <c r="D304" s="11" t="n">
        <v>46054</v>
      </c>
      <c r="E304" s="4" t="s">
        <v>203</v>
      </c>
      <c r="F304" s="4" t="s">
        <v>210</v>
      </c>
      <c r="G304" s="4" t="n">
        <v>8</v>
      </c>
      <c r="H304" s="4" t="n">
        <v>7</v>
      </c>
      <c r="I304" s="4" t="n">
        <v>0</v>
      </c>
      <c r="J304" s="4" t="n">
        <v>306</v>
      </c>
      <c r="K304" s="4" t="n">
        <v>0</v>
      </c>
      <c r="L304" s="12" t="n">
        <v>0.278215</v>
      </c>
      <c r="M304" s="12" t="n">
        <v>0.092063</v>
      </c>
      <c r="N304" s="12" t="n">
        <v>0.088153</v>
      </c>
      <c r="O304" s="12" t="n">
        <v>0.106183</v>
      </c>
      <c r="P304" s="12" t="n">
        <v>0.092912</v>
      </c>
      <c r="Q304" s="0" t="str">
        <f aca="false">IF(L304&gt;=Models!$G$5,1+COUNTIF($L$5:$L$1517,"&gt;"&amp;L304)+COUNTIFS($L$5:$L$1517,L304,$B$5:$B$1517,"&lt;"&amp;B304)+COUNTIFS($L$5:$L$1517,L304,$B$5:$B$1517,B304,$C$5:$C$1517,"&lt;"&amp;C304),"")</f>
        <v/>
      </c>
      <c r="R304" s="0" t="str">
        <f aca="false">IF(M304&gt;=Models!$G$6,1+COUNTIF($M$5:$M$1517,"&gt;"&amp;M304)+COUNTIFS($M$5:$M$1517,M304,$B$5:$B$1517,"&lt;"&amp;B304)+COUNTIFS($M$5:$M$1517,M304,$B$5:$B$1517,B304,$C$5:$C$1517,"&lt;"&amp;C304),"")</f>
        <v/>
      </c>
      <c r="S304" s="0" t="str">
        <f aca="false">IF(N304&gt;=Models!$G$7,1+COUNTIF($N$5:$N$1517,"&gt;"&amp;N304)+COUNTIFS($N$5:$N$1517,N304,$B$5:$B$1517,"&lt;"&amp;B304)+COUNTIFS($N$5:$N$1517,N304,$B$5:$B$1517,B304,$C$5:$C$1517,"&lt;"&amp;C304),"")</f>
        <v/>
      </c>
      <c r="T304" s="8" t="n">
        <f aca="false">IF(O304&gt;=Models!$G$8,1+COUNTIF($O$5:$O$1517,"&gt;"&amp;O304)+COUNTIFS($O$5:$O$1517,O304,$B$5:$B$1517,"&lt;"&amp;B304)+COUNTIFS($O$5:$O$1517,O304,$B$5:$B$1517,B304,$C$5:$C$1517,"&lt;"&amp;C304),"")</f>
        <v>1126</v>
      </c>
      <c r="U304" s="8" t="n">
        <f aca="false">IF($K304=1,COUNTIFS($L$5:$L$1517,"&gt;="&amp;L304,$K$5:$K$1517,1)/COUNTIF($L$5:$L$1517,"&gt;="&amp;L304),0)</f>
        <v>0</v>
      </c>
      <c r="V304" s="8" t="n">
        <f aca="false">IF($K304=1,COUNTIFS($M$5:$M$1517,"&gt;="&amp;M304,$K$5:$K$1517,1)/COUNTIF($M$5:$M$1517,"&gt;="&amp;M304),0)</f>
        <v>0</v>
      </c>
      <c r="W304" s="8" t="n">
        <f aca="false">IF($K304=1,COUNTIFS($N$5:$N$1517,"&gt;="&amp;N304,$K$5:$K$1517,1)/COUNTIF($N$5:$N$1517,"&gt;="&amp;N304),0)</f>
        <v>0</v>
      </c>
      <c r="X304" s="8" t="n">
        <f aca="false">IF($K304=1,COUNTIFS($O$5:$O$1517,"&gt;="&amp;O304,$K$5:$K$1517,1)/COUNTIF($O$5:$O$1517,"&gt;="&amp;O304),0)</f>
        <v>0</v>
      </c>
      <c r="Y304" s="8" t="n">
        <f aca="false">IF($K304=1,COUNTIFS($P$5:$P$1517,"&gt;="&amp;P304,$K$5:$K$1517,1)/COUNTIF($P$5:$P$1517,"&gt;="&amp;P304),0)</f>
        <v>0</v>
      </c>
      <c r="Z304" s="8" t="n">
        <f aca="false">(L304-$K304)^2</f>
        <v>0.077403586225</v>
      </c>
      <c r="AA304" s="8" t="n">
        <f aca="false">(M304-$K304)^2</f>
        <v>0.008475595969</v>
      </c>
      <c r="AB304" s="8" t="n">
        <f aca="false">(N304-$K304)^2</f>
        <v>0.007770951409</v>
      </c>
      <c r="AC304" s="8" t="n">
        <f aca="false">(O304-$K304)^2</f>
        <v>0.011274829489</v>
      </c>
      <c r="AD304" s="8" t="n">
        <f aca="false">(P304-$K304)^2</f>
        <v>0.008632639744</v>
      </c>
      <c r="AE304" s="8" t="n">
        <f aca="false">MIN(INT(ROUND(N304*1000000,0)/100000),9)</f>
        <v>0</v>
      </c>
      <c r="AF304" s="8" t="n">
        <f aca="false">MIN(INT(ROUND(P304*1000000,0)/100000),9)</f>
        <v>0</v>
      </c>
    </row>
    <row r="305" customFormat="false" ht="15" hidden="false" customHeight="false" outlineLevel="0" collapsed="false">
      <c r="A305" s="4" t="n">
        <v>301</v>
      </c>
      <c r="B305" s="4" t="n">
        <v>1366</v>
      </c>
      <c r="C305" s="4" t="n">
        <v>0</v>
      </c>
      <c r="D305" s="11" t="n">
        <v>46054</v>
      </c>
      <c r="E305" s="4" t="s">
        <v>204</v>
      </c>
      <c r="F305" s="4" t="s">
        <v>209</v>
      </c>
      <c r="G305" s="4" t="n">
        <v>2</v>
      </c>
      <c r="H305" s="4" t="n">
        <v>4</v>
      </c>
      <c r="I305" s="4" t="n">
        <v>0</v>
      </c>
      <c r="J305" s="4" t="n">
        <v>69</v>
      </c>
      <c r="K305" s="4" t="n">
        <v>0</v>
      </c>
      <c r="L305" s="12" t="n">
        <v>0.420127</v>
      </c>
      <c r="M305" s="12" t="n">
        <v>0.092063</v>
      </c>
      <c r="N305" s="12" t="n">
        <v>0.140969</v>
      </c>
      <c r="O305" s="12" t="n">
        <v>0.106183</v>
      </c>
      <c r="P305" s="12" t="n">
        <v>0.15132</v>
      </c>
      <c r="Q305" s="0" t="str">
        <f aca="false">IF(L305&gt;=Models!$G$5,1+COUNTIF($L$5:$L$1517,"&gt;"&amp;L305)+COUNTIFS($L$5:$L$1517,L305,$B$5:$B$1517,"&lt;"&amp;B305)+COUNTIFS($L$5:$L$1517,L305,$B$5:$B$1517,B305,$C$5:$C$1517,"&lt;"&amp;C305),"")</f>
        <v/>
      </c>
      <c r="R305" s="0" t="str">
        <f aca="false">IF(M305&gt;=Models!$G$6,1+COUNTIF($M$5:$M$1517,"&gt;"&amp;M305)+COUNTIFS($M$5:$M$1517,M305,$B$5:$B$1517,"&lt;"&amp;B305)+COUNTIFS($M$5:$M$1517,M305,$B$5:$B$1517,B305,$C$5:$C$1517,"&lt;"&amp;C305),"")</f>
        <v/>
      </c>
      <c r="S305" s="0" t="str">
        <f aca="false">IF(N305&gt;=Models!$G$7,1+COUNTIF($N$5:$N$1517,"&gt;"&amp;N305)+COUNTIFS($N$5:$N$1517,N305,$B$5:$B$1517,"&lt;"&amp;B305)+COUNTIFS($N$5:$N$1517,N305,$B$5:$B$1517,B305,$C$5:$C$1517,"&lt;"&amp;C305),"")</f>
        <v/>
      </c>
      <c r="T305" s="8" t="n">
        <f aca="false">IF(O305&gt;=Models!$G$8,1+COUNTIF($O$5:$O$1517,"&gt;"&amp;O305)+COUNTIFS($O$5:$O$1517,O305,$B$5:$B$1517,"&lt;"&amp;B305)+COUNTIFS($O$5:$O$1517,O305,$B$5:$B$1517,B305,$C$5:$C$1517,"&lt;"&amp;C305),"")</f>
        <v>1130</v>
      </c>
      <c r="U305" s="8" t="n">
        <f aca="false">IF($K305=1,COUNTIFS($L$5:$L$1517,"&gt;="&amp;L305,$K$5:$K$1517,1)/COUNTIF($L$5:$L$1517,"&gt;="&amp;L305),0)</f>
        <v>0</v>
      </c>
      <c r="V305" s="8" t="n">
        <f aca="false">IF($K305=1,COUNTIFS($M$5:$M$1517,"&gt;="&amp;M305,$K$5:$K$1517,1)/COUNTIF($M$5:$M$1517,"&gt;="&amp;M305),0)</f>
        <v>0</v>
      </c>
      <c r="W305" s="8" t="n">
        <f aca="false">IF($K305=1,COUNTIFS($N$5:$N$1517,"&gt;="&amp;N305,$K$5:$K$1517,1)/COUNTIF($N$5:$N$1517,"&gt;="&amp;N305),0)</f>
        <v>0</v>
      </c>
      <c r="X305" s="8" t="n">
        <f aca="false">IF($K305=1,COUNTIFS($O$5:$O$1517,"&gt;="&amp;O305,$K$5:$K$1517,1)/COUNTIF($O$5:$O$1517,"&gt;="&amp;O305),0)</f>
        <v>0</v>
      </c>
      <c r="Y305" s="8" t="n">
        <f aca="false">IF($K305=1,COUNTIFS($P$5:$P$1517,"&gt;="&amp;P305,$K$5:$K$1517,1)/COUNTIF($P$5:$P$1517,"&gt;="&amp;P305),0)</f>
        <v>0</v>
      </c>
      <c r="Z305" s="8" t="n">
        <f aca="false">(L305-$K305)^2</f>
        <v>0.176506696129</v>
      </c>
      <c r="AA305" s="8" t="n">
        <f aca="false">(M305-$K305)^2</f>
        <v>0.008475595969</v>
      </c>
      <c r="AB305" s="8" t="n">
        <f aca="false">(N305-$K305)^2</f>
        <v>0.019872258961</v>
      </c>
      <c r="AC305" s="8" t="n">
        <f aca="false">(O305-$K305)^2</f>
        <v>0.011274829489</v>
      </c>
      <c r="AD305" s="8" t="n">
        <f aca="false">(P305-$K305)^2</f>
        <v>0.0228977424</v>
      </c>
      <c r="AE305" s="8" t="n">
        <f aca="false">MIN(INT(ROUND(N305*1000000,0)/100000),9)</f>
        <v>1</v>
      </c>
      <c r="AF305" s="8" t="n">
        <f aca="false">MIN(INT(ROUND(P305*1000000,0)/100000),9)</f>
        <v>1</v>
      </c>
    </row>
    <row r="306" customFormat="false" ht="15" hidden="false" customHeight="false" outlineLevel="0" collapsed="false">
      <c r="A306" s="4" t="n">
        <v>302</v>
      </c>
      <c r="B306" s="4" t="n">
        <v>1372</v>
      </c>
      <c r="C306" s="4" t="n">
        <v>0</v>
      </c>
      <c r="D306" s="11" t="n">
        <v>46054</v>
      </c>
      <c r="E306" s="4" t="s">
        <v>204</v>
      </c>
      <c r="F306" s="4" t="s">
        <v>206</v>
      </c>
      <c r="G306" s="4" t="n">
        <v>5</v>
      </c>
      <c r="H306" s="4" t="n">
        <v>13</v>
      </c>
      <c r="I306" s="4" t="n">
        <v>0</v>
      </c>
      <c r="J306" s="4" t="n">
        <v>102</v>
      </c>
      <c r="K306" s="4" t="n">
        <v>0</v>
      </c>
      <c r="L306" s="12" t="n">
        <v>0.402467</v>
      </c>
      <c r="M306" s="12" t="n">
        <v>0.092063</v>
      </c>
      <c r="N306" s="12" t="n">
        <v>0.118636</v>
      </c>
      <c r="O306" s="12" t="n">
        <v>0.106183</v>
      </c>
      <c r="P306" s="12" t="n">
        <v>0.126545</v>
      </c>
      <c r="Q306" s="0" t="str">
        <f aca="false">IF(L306&gt;=Models!$G$5,1+COUNTIF($L$5:$L$1517,"&gt;"&amp;L306)+COUNTIFS($L$5:$L$1517,L306,$B$5:$B$1517,"&lt;"&amp;B306)+COUNTIFS($L$5:$L$1517,L306,$B$5:$B$1517,B306,$C$5:$C$1517,"&lt;"&amp;C306),"")</f>
        <v/>
      </c>
      <c r="R306" s="0" t="str">
        <f aca="false">IF(M306&gt;=Models!$G$6,1+COUNTIF($M$5:$M$1517,"&gt;"&amp;M306)+COUNTIFS($M$5:$M$1517,M306,$B$5:$B$1517,"&lt;"&amp;B306)+COUNTIFS($M$5:$M$1517,M306,$B$5:$B$1517,B306,$C$5:$C$1517,"&lt;"&amp;C306),"")</f>
        <v/>
      </c>
      <c r="S306" s="0" t="str">
        <f aca="false">IF(N306&gt;=Models!$G$7,1+COUNTIF($N$5:$N$1517,"&gt;"&amp;N306)+COUNTIFS($N$5:$N$1517,N306,$B$5:$B$1517,"&lt;"&amp;B306)+COUNTIFS($N$5:$N$1517,N306,$B$5:$B$1517,B306,$C$5:$C$1517,"&lt;"&amp;C306),"")</f>
        <v/>
      </c>
      <c r="T306" s="8" t="n">
        <f aca="false">IF(O306&gt;=Models!$G$8,1+COUNTIF($O$5:$O$1517,"&gt;"&amp;O306)+COUNTIFS($O$5:$O$1517,O306,$B$5:$B$1517,"&lt;"&amp;B306)+COUNTIFS($O$5:$O$1517,O306,$B$5:$B$1517,B306,$C$5:$C$1517,"&lt;"&amp;C306),"")</f>
        <v>1134</v>
      </c>
      <c r="U306" s="8" t="n">
        <f aca="false">IF($K306=1,COUNTIFS($L$5:$L$1517,"&gt;="&amp;L306,$K$5:$K$1517,1)/COUNTIF($L$5:$L$1517,"&gt;="&amp;L306),0)</f>
        <v>0</v>
      </c>
      <c r="V306" s="8" t="n">
        <f aca="false">IF($K306=1,COUNTIFS($M$5:$M$1517,"&gt;="&amp;M306,$K$5:$K$1517,1)/COUNTIF($M$5:$M$1517,"&gt;="&amp;M306),0)</f>
        <v>0</v>
      </c>
      <c r="W306" s="8" t="n">
        <f aca="false">IF($K306=1,COUNTIFS($N$5:$N$1517,"&gt;="&amp;N306,$K$5:$K$1517,1)/COUNTIF($N$5:$N$1517,"&gt;="&amp;N306),0)</f>
        <v>0</v>
      </c>
      <c r="X306" s="8" t="n">
        <f aca="false">IF($K306=1,COUNTIFS($O$5:$O$1517,"&gt;="&amp;O306,$K$5:$K$1517,1)/COUNTIF($O$5:$O$1517,"&gt;="&amp;O306),0)</f>
        <v>0</v>
      </c>
      <c r="Y306" s="8" t="n">
        <f aca="false">IF($K306=1,COUNTIFS($P$5:$P$1517,"&gt;="&amp;P306,$K$5:$K$1517,1)/COUNTIF($P$5:$P$1517,"&gt;="&amp;P306),0)</f>
        <v>0</v>
      </c>
      <c r="Z306" s="8" t="n">
        <f aca="false">(L306-$K306)^2</f>
        <v>0.161979686089</v>
      </c>
      <c r="AA306" s="8" t="n">
        <f aca="false">(M306-$K306)^2</f>
        <v>0.008475595969</v>
      </c>
      <c r="AB306" s="8" t="n">
        <f aca="false">(N306-$K306)^2</f>
        <v>0.014074500496</v>
      </c>
      <c r="AC306" s="8" t="n">
        <f aca="false">(O306-$K306)^2</f>
        <v>0.011274829489</v>
      </c>
      <c r="AD306" s="8" t="n">
        <f aca="false">(P306-$K306)^2</f>
        <v>0.016013637025</v>
      </c>
      <c r="AE306" s="8" t="n">
        <f aca="false">MIN(INT(ROUND(N306*1000000,0)/100000),9)</f>
        <v>1</v>
      </c>
      <c r="AF306" s="8" t="n">
        <f aca="false">MIN(INT(ROUND(P306*1000000,0)/100000),9)</f>
        <v>1</v>
      </c>
    </row>
    <row r="307" customFormat="false" ht="15" hidden="false" customHeight="false" outlineLevel="0" collapsed="false">
      <c r="A307" s="4" t="n">
        <v>303</v>
      </c>
      <c r="B307" s="4" t="n">
        <v>1373</v>
      </c>
      <c r="C307" s="4" t="n">
        <v>0</v>
      </c>
      <c r="D307" s="11" t="n">
        <v>46054</v>
      </c>
      <c r="E307" s="4" t="s">
        <v>203</v>
      </c>
      <c r="F307" s="4" t="s">
        <v>209</v>
      </c>
      <c r="G307" s="4" t="n">
        <v>7</v>
      </c>
      <c r="H307" s="4" t="n">
        <v>6</v>
      </c>
      <c r="I307" s="4" t="n">
        <v>0</v>
      </c>
      <c r="J307" s="4"/>
      <c r="K307" s="4" t="n">
        <v>0</v>
      </c>
      <c r="L307" s="12" t="n">
        <v>0.364708</v>
      </c>
      <c r="M307" s="12" t="n">
        <v>0.092063</v>
      </c>
      <c r="N307" s="12" t="n">
        <v>0.047716</v>
      </c>
      <c r="O307" s="12" t="n">
        <v>0.106183</v>
      </c>
      <c r="P307" s="12" t="n">
        <v>0.048937</v>
      </c>
      <c r="Q307" s="0" t="str">
        <f aca="false">IF(L307&gt;=Models!$G$5,1+COUNTIF($L$5:$L$1517,"&gt;"&amp;L307)+COUNTIFS($L$5:$L$1517,L307,$B$5:$B$1517,"&lt;"&amp;B307)+COUNTIFS($L$5:$L$1517,L307,$B$5:$B$1517,B307,$C$5:$C$1517,"&lt;"&amp;C307),"")</f>
        <v/>
      </c>
      <c r="R307" s="0" t="str">
        <f aca="false">IF(M307&gt;=Models!$G$6,1+COUNTIF($M$5:$M$1517,"&gt;"&amp;M307)+COUNTIFS($M$5:$M$1517,M307,$B$5:$B$1517,"&lt;"&amp;B307)+COUNTIFS($M$5:$M$1517,M307,$B$5:$B$1517,B307,$C$5:$C$1517,"&lt;"&amp;C307),"")</f>
        <v/>
      </c>
      <c r="S307" s="0" t="str">
        <f aca="false">IF(N307&gt;=Models!$G$7,1+COUNTIF($N$5:$N$1517,"&gt;"&amp;N307)+COUNTIFS($N$5:$N$1517,N307,$B$5:$B$1517,"&lt;"&amp;B307)+COUNTIFS($N$5:$N$1517,N307,$B$5:$B$1517,B307,$C$5:$C$1517,"&lt;"&amp;C307),"")</f>
        <v/>
      </c>
      <c r="T307" s="8" t="n">
        <f aca="false">IF(O307&gt;=Models!$G$8,1+COUNTIF($O$5:$O$1517,"&gt;"&amp;O307)+COUNTIFS($O$5:$O$1517,O307,$B$5:$B$1517,"&lt;"&amp;B307)+COUNTIFS($O$5:$O$1517,O307,$B$5:$B$1517,B307,$C$5:$C$1517,"&lt;"&amp;C307),"")</f>
        <v>1138</v>
      </c>
      <c r="U307" s="8" t="n">
        <f aca="false">IF($K307=1,COUNTIFS($L$5:$L$1517,"&gt;="&amp;L307,$K$5:$K$1517,1)/COUNTIF($L$5:$L$1517,"&gt;="&amp;L307),0)</f>
        <v>0</v>
      </c>
      <c r="V307" s="8" t="n">
        <f aca="false">IF($K307=1,COUNTIFS($M$5:$M$1517,"&gt;="&amp;M307,$K$5:$K$1517,1)/COUNTIF($M$5:$M$1517,"&gt;="&amp;M307),0)</f>
        <v>0</v>
      </c>
      <c r="W307" s="8" t="n">
        <f aca="false">IF($K307=1,COUNTIFS($N$5:$N$1517,"&gt;="&amp;N307,$K$5:$K$1517,1)/COUNTIF($N$5:$N$1517,"&gt;="&amp;N307),0)</f>
        <v>0</v>
      </c>
      <c r="X307" s="8" t="n">
        <f aca="false">IF($K307=1,COUNTIFS($O$5:$O$1517,"&gt;="&amp;O307,$K$5:$K$1517,1)/COUNTIF($O$5:$O$1517,"&gt;="&amp;O307),0)</f>
        <v>0</v>
      </c>
      <c r="Y307" s="8" t="n">
        <f aca="false">IF($K307=1,COUNTIFS($P$5:$P$1517,"&gt;="&amp;P307,$K$5:$K$1517,1)/COUNTIF($P$5:$P$1517,"&gt;="&amp;P307),0)</f>
        <v>0</v>
      </c>
      <c r="Z307" s="8" t="n">
        <f aca="false">(L307-$K307)^2</f>
        <v>0.133011925264</v>
      </c>
      <c r="AA307" s="8" t="n">
        <f aca="false">(M307-$K307)^2</f>
        <v>0.008475595969</v>
      </c>
      <c r="AB307" s="8" t="n">
        <f aca="false">(N307-$K307)^2</f>
        <v>0.002276816656</v>
      </c>
      <c r="AC307" s="8" t="n">
        <f aca="false">(O307-$K307)^2</f>
        <v>0.011274829489</v>
      </c>
      <c r="AD307" s="8" t="n">
        <f aca="false">(P307-$K307)^2</f>
        <v>0.002394829969</v>
      </c>
      <c r="AE307" s="8" t="n">
        <f aca="false">MIN(INT(ROUND(N307*1000000,0)/100000),9)</f>
        <v>0</v>
      </c>
      <c r="AF307" s="8" t="n">
        <f aca="false">MIN(INT(ROUND(P307*1000000,0)/100000),9)</f>
        <v>0</v>
      </c>
    </row>
    <row r="308" customFormat="false" ht="15" hidden="false" customHeight="false" outlineLevel="0" collapsed="false">
      <c r="A308" s="4" t="n">
        <v>304</v>
      </c>
      <c r="B308" s="4" t="n">
        <v>1374</v>
      </c>
      <c r="C308" s="4" t="n">
        <v>0</v>
      </c>
      <c r="D308" s="11" t="n">
        <v>46054</v>
      </c>
      <c r="E308" s="4" t="s">
        <v>203</v>
      </c>
      <c r="F308" s="4" t="s">
        <v>208</v>
      </c>
      <c r="G308" s="4" t="n">
        <v>11</v>
      </c>
      <c r="H308" s="4" t="n">
        <v>1</v>
      </c>
      <c r="I308" s="4" t="n">
        <v>0</v>
      </c>
      <c r="J308" s="4" t="n">
        <v>417</v>
      </c>
      <c r="K308" s="4" t="n">
        <v>0</v>
      </c>
      <c r="L308" s="12" t="n">
        <v>0.427382</v>
      </c>
      <c r="M308" s="12" t="n">
        <v>0.092063</v>
      </c>
      <c r="N308" s="12" t="n">
        <v>0.065254</v>
      </c>
      <c r="O308" s="12" t="n">
        <v>0.106183</v>
      </c>
      <c r="P308" s="12" t="n">
        <v>0.067883</v>
      </c>
      <c r="Q308" s="0" t="str">
        <f aca="false">IF(L308&gt;=Models!$G$5,1+COUNTIF($L$5:$L$1517,"&gt;"&amp;L308)+COUNTIFS($L$5:$L$1517,L308,$B$5:$B$1517,"&lt;"&amp;B308)+COUNTIFS($L$5:$L$1517,L308,$B$5:$B$1517,B308,$C$5:$C$1517,"&lt;"&amp;C308),"")</f>
        <v/>
      </c>
      <c r="R308" s="0" t="str">
        <f aca="false">IF(M308&gt;=Models!$G$6,1+COUNTIF($M$5:$M$1517,"&gt;"&amp;M308)+COUNTIFS($M$5:$M$1517,M308,$B$5:$B$1517,"&lt;"&amp;B308)+COUNTIFS($M$5:$M$1517,M308,$B$5:$B$1517,B308,$C$5:$C$1517,"&lt;"&amp;C308),"")</f>
        <v/>
      </c>
      <c r="S308" s="0" t="str">
        <f aca="false">IF(N308&gt;=Models!$G$7,1+COUNTIF($N$5:$N$1517,"&gt;"&amp;N308)+COUNTIFS($N$5:$N$1517,N308,$B$5:$B$1517,"&lt;"&amp;B308)+COUNTIFS($N$5:$N$1517,N308,$B$5:$B$1517,B308,$C$5:$C$1517,"&lt;"&amp;C308),"")</f>
        <v/>
      </c>
      <c r="T308" s="8" t="n">
        <f aca="false">IF(O308&gt;=Models!$G$8,1+COUNTIF($O$5:$O$1517,"&gt;"&amp;O308)+COUNTIFS($O$5:$O$1517,O308,$B$5:$B$1517,"&lt;"&amp;B308)+COUNTIFS($O$5:$O$1517,O308,$B$5:$B$1517,B308,$C$5:$C$1517,"&lt;"&amp;C308),"")</f>
        <v>1142</v>
      </c>
      <c r="U308" s="8" t="n">
        <f aca="false">IF($K308=1,COUNTIFS($L$5:$L$1517,"&gt;="&amp;L308,$K$5:$K$1517,1)/COUNTIF($L$5:$L$1517,"&gt;="&amp;L308),0)</f>
        <v>0</v>
      </c>
      <c r="V308" s="8" t="n">
        <f aca="false">IF($K308=1,COUNTIFS($M$5:$M$1517,"&gt;="&amp;M308,$K$5:$K$1517,1)/COUNTIF($M$5:$M$1517,"&gt;="&amp;M308),0)</f>
        <v>0</v>
      </c>
      <c r="W308" s="8" t="n">
        <f aca="false">IF($K308=1,COUNTIFS($N$5:$N$1517,"&gt;="&amp;N308,$K$5:$K$1517,1)/COUNTIF($N$5:$N$1517,"&gt;="&amp;N308),0)</f>
        <v>0</v>
      </c>
      <c r="X308" s="8" t="n">
        <f aca="false">IF($K308=1,COUNTIFS($O$5:$O$1517,"&gt;="&amp;O308,$K$5:$K$1517,1)/COUNTIF($O$5:$O$1517,"&gt;="&amp;O308),0)</f>
        <v>0</v>
      </c>
      <c r="Y308" s="8" t="n">
        <f aca="false">IF($K308=1,COUNTIFS($P$5:$P$1517,"&gt;="&amp;P308,$K$5:$K$1517,1)/COUNTIF($P$5:$P$1517,"&gt;="&amp;P308),0)</f>
        <v>0</v>
      </c>
      <c r="Z308" s="8" t="n">
        <f aca="false">(L308-$K308)^2</f>
        <v>0.182655373924</v>
      </c>
      <c r="AA308" s="8" t="n">
        <f aca="false">(M308-$K308)^2</f>
        <v>0.008475595969</v>
      </c>
      <c r="AB308" s="8" t="n">
        <f aca="false">(N308-$K308)^2</f>
        <v>0.004258084516</v>
      </c>
      <c r="AC308" s="8" t="n">
        <f aca="false">(O308-$K308)^2</f>
        <v>0.011274829489</v>
      </c>
      <c r="AD308" s="8" t="n">
        <f aca="false">(P308-$K308)^2</f>
        <v>0.004608101689</v>
      </c>
      <c r="AE308" s="8" t="n">
        <f aca="false">MIN(INT(ROUND(N308*1000000,0)/100000),9)</f>
        <v>0</v>
      </c>
      <c r="AF308" s="8" t="n">
        <f aca="false">MIN(INT(ROUND(P308*1000000,0)/100000),9)</f>
        <v>0</v>
      </c>
    </row>
    <row r="309" customFormat="false" ht="15" hidden="false" customHeight="false" outlineLevel="0" collapsed="false">
      <c r="A309" s="4" t="n">
        <v>305</v>
      </c>
      <c r="B309" s="4" t="n">
        <v>1380</v>
      </c>
      <c r="C309" s="4" t="n">
        <v>0</v>
      </c>
      <c r="D309" s="11" t="n">
        <v>46054</v>
      </c>
      <c r="E309" s="4" t="s">
        <v>203</v>
      </c>
      <c r="F309" s="4" t="s">
        <v>206</v>
      </c>
      <c r="G309" s="4" t="n">
        <v>5</v>
      </c>
      <c r="H309" s="4" t="n">
        <v>8</v>
      </c>
      <c r="I309" s="4" t="n">
        <v>0</v>
      </c>
      <c r="J309" s="4"/>
      <c r="K309" s="4" t="n">
        <v>0</v>
      </c>
      <c r="L309" s="12" t="n">
        <v>0.545141</v>
      </c>
      <c r="M309" s="12" t="n">
        <v>0.092063</v>
      </c>
      <c r="N309" s="12" t="n">
        <v>0.057475</v>
      </c>
      <c r="O309" s="12" t="n">
        <v>0.106183</v>
      </c>
      <c r="P309" s="12" t="n">
        <v>0.05945</v>
      </c>
      <c r="Q309" s="0" t="str">
        <f aca="false">IF(L309&gt;=Models!$G$5,1+COUNTIF($L$5:$L$1517,"&gt;"&amp;L309)+COUNTIFS($L$5:$L$1517,L309,$B$5:$B$1517,"&lt;"&amp;B309)+COUNTIFS($L$5:$L$1517,L309,$B$5:$B$1517,B309,$C$5:$C$1517,"&lt;"&amp;C309),"")</f>
        <v/>
      </c>
      <c r="R309" s="0" t="str">
        <f aca="false">IF(M309&gt;=Models!$G$6,1+COUNTIF($M$5:$M$1517,"&gt;"&amp;M309)+COUNTIFS($M$5:$M$1517,M309,$B$5:$B$1517,"&lt;"&amp;B309)+COUNTIFS($M$5:$M$1517,M309,$B$5:$B$1517,B309,$C$5:$C$1517,"&lt;"&amp;C309),"")</f>
        <v/>
      </c>
      <c r="S309" s="0" t="str">
        <f aca="false">IF(N309&gt;=Models!$G$7,1+COUNTIF($N$5:$N$1517,"&gt;"&amp;N309)+COUNTIFS($N$5:$N$1517,N309,$B$5:$B$1517,"&lt;"&amp;B309)+COUNTIFS($N$5:$N$1517,N309,$B$5:$B$1517,B309,$C$5:$C$1517,"&lt;"&amp;C309),"")</f>
        <v/>
      </c>
      <c r="T309" s="8" t="n">
        <f aca="false">IF(O309&gt;=Models!$G$8,1+COUNTIF($O$5:$O$1517,"&gt;"&amp;O309)+COUNTIFS($O$5:$O$1517,O309,$B$5:$B$1517,"&lt;"&amp;B309)+COUNTIFS($O$5:$O$1517,O309,$B$5:$B$1517,B309,$C$5:$C$1517,"&lt;"&amp;C309),"")</f>
        <v>1146</v>
      </c>
      <c r="U309" s="8" t="n">
        <f aca="false">IF($K309=1,COUNTIFS($L$5:$L$1517,"&gt;="&amp;L309,$K$5:$K$1517,1)/COUNTIF($L$5:$L$1517,"&gt;="&amp;L309),0)</f>
        <v>0</v>
      </c>
      <c r="V309" s="8" t="n">
        <f aca="false">IF($K309=1,COUNTIFS($M$5:$M$1517,"&gt;="&amp;M309,$K$5:$K$1517,1)/COUNTIF($M$5:$M$1517,"&gt;="&amp;M309),0)</f>
        <v>0</v>
      </c>
      <c r="W309" s="8" t="n">
        <f aca="false">IF($K309=1,COUNTIFS($N$5:$N$1517,"&gt;="&amp;N309,$K$5:$K$1517,1)/COUNTIF($N$5:$N$1517,"&gt;="&amp;N309),0)</f>
        <v>0</v>
      </c>
      <c r="X309" s="8" t="n">
        <f aca="false">IF($K309=1,COUNTIFS($O$5:$O$1517,"&gt;="&amp;O309,$K$5:$K$1517,1)/COUNTIF($O$5:$O$1517,"&gt;="&amp;O309),0)</f>
        <v>0</v>
      </c>
      <c r="Y309" s="8" t="n">
        <f aca="false">IF($K309=1,COUNTIFS($P$5:$P$1517,"&gt;="&amp;P309,$K$5:$K$1517,1)/COUNTIF($P$5:$P$1517,"&gt;="&amp;P309),0)</f>
        <v>0</v>
      </c>
      <c r="Z309" s="8" t="n">
        <f aca="false">(L309-$K309)^2</f>
        <v>0.297178709881</v>
      </c>
      <c r="AA309" s="8" t="n">
        <f aca="false">(M309-$K309)^2</f>
        <v>0.008475595969</v>
      </c>
      <c r="AB309" s="8" t="n">
        <f aca="false">(N309-$K309)^2</f>
        <v>0.003303375625</v>
      </c>
      <c r="AC309" s="8" t="n">
        <f aca="false">(O309-$K309)^2</f>
        <v>0.011274829489</v>
      </c>
      <c r="AD309" s="8" t="n">
        <f aca="false">(P309-$K309)^2</f>
        <v>0.0035343025</v>
      </c>
      <c r="AE309" s="8" t="n">
        <f aca="false">MIN(INT(ROUND(N309*1000000,0)/100000),9)</f>
        <v>0</v>
      </c>
      <c r="AF309" s="8" t="n">
        <f aca="false">MIN(INT(ROUND(P309*1000000,0)/100000),9)</f>
        <v>0</v>
      </c>
    </row>
    <row r="310" customFormat="false" ht="15" hidden="false" customHeight="false" outlineLevel="0" collapsed="false">
      <c r="A310" s="4" t="n">
        <v>306</v>
      </c>
      <c r="B310" s="4" t="n">
        <v>1383</v>
      </c>
      <c r="C310" s="4" t="n">
        <v>0</v>
      </c>
      <c r="D310" s="11" t="n">
        <v>46054</v>
      </c>
      <c r="E310" s="4" t="s">
        <v>204</v>
      </c>
      <c r="F310" s="4" t="s">
        <v>208</v>
      </c>
      <c r="G310" s="4" t="n">
        <v>6</v>
      </c>
      <c r="H310" s="4" t="n">
        <v>1</v>
      </c>
      <c r="I310" s="4" t="n">
        <v>0</v>
      </c>
      <c r="J310" s="4" t="n">
        <v>117</v>
      </c>
      <c r="K310" s="4" t="n">
        <v>1</v>
      </c>
      <c r="L310" s="12" t="n">
        <v>0.811655</v>
      </c>
      <c r="M310" s="12" t="n">
        <v>0.092063</v>
      </c>
      <c r="N310" s="12" t="n">
        <v>0.100236</v>
      </c>
      <c r="O310" s="12" t="n">
        <v>0.106183</v>
      </c>
      <c r="P310" s="12" t="n">
        <v>0.10621</v>
      </c>
      <c r="Q310" s="0" t="str">
        <f aca="false">IF(L310&gt;=Models!$G$5,1+COUNTIF($L$5:$L$1517,"&gt;"&amp;L310)+COUNTIFS($L$5:$L$1517,L310,$B$5:$B$1517,"&lt;"&amp;B310)+COUNTIFS($L$5:$L$1517,L310,$B$5:$B$1517,B310,$C$5:$C$1517,"&lt;"&amp;C310),"")</f>
        <v/>
      </c>
      <c r="R310" s="0" t="str">
        <f aca="false">IF(M310&gt;=Models!$G$6,1+COUNTIF($M$5:$M$1517,"&gt;"&amp;M310)+COUNTIFS($M$5:$M$1517,M310,$B$5:$B$1517,"&lt;"&amp;B310)+COUNTIFS($M$5:$M$1517,M310,$B$5:$B$1517,B310,$C$5:$C$1517,"&lt;"&amp;C310),"")</f>
        <v/>
      </c>
      <c r="S310" s="0" t="str">
        <f aca="false">IF(N310&gt;=Models!$G$7,1+COUNTIF($N$5:$N$1517,"&gt;"&amp;N310)+COUNTIFS($N$5:$N$1517,N310,$B$5:$B$1517,"&lt;"&amp;B310)+COUNTIFS($N$5:$N$1517,N310,$B$5:$B$1517,B310,$C$5:$C$1517,"&lt;"&amp;C310),"")</f>
        <v/>
      </c>
      <c r="T310" s="8" t="n">
        <f aca="false">IF(O310&gt;=Models!$G$8,1+COUNTIF($O$5:$O$1517,"&gt;"&amp;O310)+COUNTIFS($O$5:$O$1517,O310,$B$5:$B$1517,"&lt;"&amp;B310)+COUNTIFS($O$5:$O$1517,O310,$B$5:$B$1517,B310,$C$5:$C$1517,"&lt;"&amp;C310),"")</f>
        <v>1150</v>
      </c>
      <c r="U310" s="8" t="n">
        <f aca="false">IF($K310=1,COUNTIFS($L$5:$L$1517,"&gt;="&amp;L310,$K$5:$K$1517,1)/COUNTIF($L$5:$L$1517,"&gt;="&amp;L310),0)</f>
        <v>0.136029411764706</v>
      </c>
      <c r="V310" s="8" t="n">
        <f aca="false">IF($K310=1,COUNTIFS($M$5:$M$1517,"&gt;="&amp;M310,$K$5:$K$1517,1)/COUNTIF($M$5:$M$1517,"&gt;="&amp;M310),0)</f>
        <v>0.12491738268341</v>
      </c>
      <c r="W310" s="8" t="n">
        <f aca="false">IF($K310=1,COUNTIFS($N$5:$N$1517,"&gt;="&amp;N310,$K$5:$K$1517,1)/COUNTIF($N$5:$N$1517,"&gt;="&amp;N310),0)</f>
        <v>0.19164265129683</v>
      </c>
      <c r="X310" s="8" t="n">
        <f aca="false">IF($K310=1,COUNTIFS($O$5:$O$1517,"&gt;="&amp;O310,$K$5:$K$1517,1)/COUNTIF($O$5:$O$1517,"&gt;="&amp;O310),0)</f>
        <v>0.12491738268341</v>
      </c>
      <c r="Y310" s="8" t="n">
        <f aca="false">IF($K310=1,COUNTIFS($P$5:$P$1517,"&gt;="&amp;P310,$K$5:$K$1517,1)/COUNTIF($P$5:$P$1517,"&gt;="&amp;P310),0)</f>
        <v>0.19164265129683</v>
      </c>
      <c r="Z310" s="8" t="n">
        <f aca="false">(L310-$K310)^2</f>
        <v>0.035473839025</v>
      </c>
      <c r="AA310" s="8" t="n">
        <f aca="false">(M310-$K310)^2</f>
        <v>0.824349595969</v>
      </c>
      <c r="AB310" s="8" t="n">
        <f aca="false">(N310-$K310)^2</f>
        <v>0.809575255696</v>
      </c>
      <c r="AC310" s="8" t="n">
        <f aca="false">(O310-$K310)^2</f>
        <v>0.798908829489</v>
      </c>
      <c r="AD310" s="8" t="n">
        <f aca="false">(P310-$K310)^2</f>
        <v>0.7988605641</v>
      </c>
      <c r="AE310" s="8" t="n">
        <f aca="false">MIN(INT(ROUND(N310*1000000,0)/100000),9)</f>
        <v>1</v>
      </c>
      <c r="AF310" s="8" t="n">
        <f aca="false">MIN(INT(ROUND(P310*1000000,0)/100000),9)</f>
        <v>1</v>
      </c>
    </row>
    <row r="311" customFormat="false" ht="15" hidden="false" customHeight="false" outlineLevel="0" collapsed="false">
      <c r="A311" s="4" t="n">
        <v>307</v>
      </c>
      <c r="B311" s="4" t="n">
        <v>1384</v>
      </c>
      <c r="C311" s="4" t="n">
        <v>0</v>
      </c>
      <c r="D311" s="11" t="n">
        <v>46054</v>
      </c>
      <c r="E311" s="4" t="s">
        <v>203</v>
      </c>
      <c r="F311" s="4" t="s">
        <v>209</v>
      </c>
      <c r="G311" s="4" t="n">
        <v>6</v>
      </c>
      <c r="H311" s="4" t="n">
        <v>0</v>
      </c>
      <c r="I311" s="4" t="n">
        <v>0</v>
      </c>
      <c r="J311" s="4" t="n">
        <v>246</v>
      </c>
      <c r="K311" s="4" t="n">
        <v>0</v>
      </c>
      <c r="L311" s="12" t="n">
        <v>0.340279</v>
      </c>
      <c r="M311" s="12" t="n">
        <v>0.092063</v>
      </c>
      <c r="N311" s="12" t="n">
        <v>0.09883</v>
      </c>
      <c r="O311" s="12" t="n">
        <v>0.106183</v>
      </c>
      <c r="P311" s="12" t="n">
        <v>0.10466</v>
      </c>
      <c r="Q311" s="0" t="str">
        <f aca="false">IF(L311&gt;=Models!$G$5,1+COUNTIF($L$5:$L$1517,"&gt;"&amp;L311)+COUNTIFS($L$5:$L$1517,L311,$B$5:$B$1517,"&lt;"&amp;B311)+COUNTIFS($L$5:$L$1517,L311,$B$5:$B$1517,B311,$C$5:$C$1517,"&lt;"&amp;C311),"")</f>
        <v/>
      </c>
      <c r="R311" s="0" t="str">
        <f aca="false">IF(M311&gt;=Models!$G$6,1+COUNTIF($M$5:$M$1517,"&gt;"&amp;M311)+COUNTIFS($M$5:$M$1517,M311,$B$5:$B$1517,"&lt;"&amp;B311)+COUNTIFS($M$5:$M$1517,M311,$B$5:$B$1517,B311,$C$5:$C$1517,"&lt;"&amp;C311),"")</f>
        <v/>
      </c>
      <c r="S311" s="0" t="str">
        <f aca="false">IF(N311&gt;=Models!$G$7,1+COUNTIF($N$5:$N$1517,"&gt;"&amp;N311)+COUNTIFS($N$5:$N$1517,N311,$B$5:$B$1517,"&lt;"&amp;B311)+COUNTIFS($N$5:$N$1517,N311,$B$5:$B$1517,B311,$C$5:$C$1517,"&lt;"&amp;C311),"")</f>
        <v/>
      </c>
      <c r="T311" s="8" t="n">
        <f aca="false">IF(O311&gt;=Models!$G$8,1+COUNTIF($O$5:$O$1517,"&gt;"&amp;O311)+COUNTIFS($O$5:$O$1517,O311,$B$5:$B$1517,"&lt;"&amp;B311)+COUNTIFS($O$5:$O$1517,O311,$B$5:$B$1517,B311,$C$5:$C$1517,"&lt;"&amp;C311),"")</f>
        <v>1151</v>
      </c>
      <c r="U311" s="8" t="n">
        <f aca="false">IF($K311=1,COUNTIFS($L$5:$L$1517,"&gt;="&amp;L311,$K$5:$K$1517,1)/COUNTIF($L$5:$L$1517,"&gt;="&amp;L311),0)</f>
        <v>0</v>
      </c>
      <c r="V311" s="8" t="n">
        <f aca="false">IF($K311=1,COUNTIFS($M$5:$M$1517,"&gt;="&amp;M311,$K$5:$K$1517,1)/COUNTIF($M$5:$M$1517,"&gt;="&amp;M311),0)</f>
        <v>0</v>
      </c>
      <c r="W311" s="8" t="n">
        <f aca="false">IF($K311=1,COUNTIFS($N$5:$N$1517,"&gt;="&amp;N311,$K$5:$K$1517,1)/COUNTIF($N$5:$N$1517,"&gt;="&amp;N311),0)</f>
        <v>0</v>
      </c>
      <c r="X311" s="8" t="n">
        <f aca="false">IF($K311=1,COUNTIFS($O$5:$O$1517,"&gt;="&amp;O311,$K$5:$K$1517,1)/COUNTIF($O$5:$O$1517,"&gt;="&amp;O311),0)</f>
        <v>0</v>
      </c>
      <c r="Y311" s="8" t="n">
        <f aca="false">IF($K311=1,COUNTIFS($P$5:$P$1517,"&gt;="&amp;P311,$K$5:$K$1517,1)/COUNTIF($P$5:$P$1517,"&gt;="&amp;P311),0)</f>
        <v>0</v>
      </c>
      <c r="Z311" s="8" t="n">
        <f aca="false">(L311-$K311)^2</f>
        <v>0.115789797841</v>
      </c>
      <c r="AA311" s="8" t="n">
        <f aca="false">(M311-$K311)^2</f>
        <v>0.008475595969</v>
      </c>
      <c r="AB311" s="8" t="n">
        <f aca="false">(N311-$K311)^2</f>
        <v>0.0097673689</v>
      </c>
      <c r="AC311" s="8" t="n">
        <f aca="false">(O311-$K311)^2</f>
        <v>0.011274829489</v>
      </c>
      <c r="AD311" s="8" t="n">
        <f aca="false">(P311-$K311)^2</f>
        <v>0.0109537156</v>
      </c>
      <c r="AE311" s="8" t="n">
        <f aca="false">MIN(INT(ROUND(N311*1000000,0)/100000),9)</f>
        <v>0</v>
      </c>
      <c r="AF311" s="8" t="n">
        <f aca="false">MIN(INT(ROUND(P311*1000000,0)/100000),9)</f>
        <v>1</v>
      </c>
    </row>
    <row r="312" customFormat="false" ht="15" hidden="false" customHeight="false" outlineLevel="0" collapsed="false">
      <c r="A312" s="4" t="n">
        <v>308</v>
      </c>
      <c r="B312" s="4" t="n">
        <v>1385</v>
      </c>
      <c r="C312" s="4" t="n">
        <v>0</v>
      </c>
      <c r="D312" s="11" t="n">
        <v>46054</v>
      </c>
      <c r="E312" s="4" t="s">
        <v>202</v>
      </c>
      <c r="F312" s="4" t="s">
        <v>206</v>
      </c>
      <c r="G312" s="4" t="n">
        <v>7</v>
      </c>
      <c r="H312" s="4" t="n">
        <v>1</v>
      </c>
      <c r="I312" s="4" t="n">
        <v>1</v>
      </c>
      <c r="J312" s="4"/>
      <c r="K312" s="4" t="n">
        <v>0</v>
      </c>
      <c r="L312" s="12" t="n">
        <v>0.254718</v>
      </c>
      <c r="M312" s="12" t="n">
        <v>0.184211</v>
      </c>
      <c r="N312" s="12" t="n">
        <v>0.080281</v>
      </c>
      <c r="O312" s="12" t="n">
        <v>0.106183</v>
      </c>
      <c r="P312" s="12" t="n">
        <v>0.084279</v>
      </c>
      <c r="Q312" s="0" t="str">
        <f aca="false">IF(L312&gt;=Models!$G$5,1+COUNTIF($L$5:$L$1517,"&gt;"&amp;L312)+COUNTIFS($L$5:$L$1517,L312,$B$5:$B$1517,"&lt;"&amp;B312)+COUNTIFS($L$5:$L$1517,L312,$B$5:$B$1517,B312,$C$5:$C$1517,"&lt;"&amp;C312),"")</f>
        <v/>
      </c>
      <c r="R312" s="8" t="n">
        <f aca="false">IF(M312&gt;=Models!$G$6,1+COUNTIF($M$5:$M$1517,"&gt;"&amp;M312)+COUNTIFS($M$5:$M$1517,M312,$B$5:$B$1517,"&lt;"&amp;B312)+COUNTIFS($M$5:$M$1517,M312,$B$5:$B$1517,B312,$C$5:$C$1517,"&lt;"&amp;C312),"")</f>
        <v>141</v>
      </c>
      <c r="S312" s="0" t="str">
        <f aca="false">IF(N312&gt;=Models!$G$7,1+COUNTIF($N$5:$N$1517,"&gt;"&amp;N312)+COUNTIFS($N$5:$N$1517,N312,$B$5:$B$1517,"&lt;"&amp;B312)+COUNTIFS($N$5:$N$1517,N312,$B$5:$B$1517,B312,$C$5:$C$1517,"&lt;"&amp;C312),"")</f>
        <v/>
      </c>
      <c r="T312" s="8" t="n">
        <f aca="false">IF(O312&gt;=Models!$G$8,1+COUNTIF($O$5:$O$1517,"&gt;"&amp;O312)+COUNTIFS($O$5:$O$1517,O312,$B$5:$B$1517,"&lt;"&amp;B312)+COUNTIFS($O$5:$O$1517,O312,$B$5:$B$1517,B312,$C$5:$C$1517,"&lt;"&amp;C312),"")</f>
        <v>1155</v>
      </c>
      <c r="U312" s="8" t="n">
        <f aca="false">IF($K312=1,COUNTIFS($L$5:$L$1517,"&gt;="&amp;L312,$K$5:$K$1517,1)/COUNTIF($L$5:$L$1517,"&gt;="&amp;L312),0)</f>
        <v>0</v>
      </c>
      <c r="V312" s="8" t="n">
        <f aca="false">IF($K312=1,COUNTIFS($M$5:$M$1517,"&gt;="&amp;M312,$K$5:$K$1517,1)/COUNTIF($M$5:$M$1517,"&gt;="&amp;M312),0)</f>
        <v>0</v>
      </c>
      <c r="W312" s="8" t="n">
        <f aca="false">IF($K312=1,COUNTIFS($N$5:$N$1517,"&gt;="&amp;N312,$K$5:$K$1517,1)/COUNTIF($N$5:$N$1517,"&gt;="&amp;N312),0)</f>
        <v>0</v>
      </c>
      <c r="X312" s="8" t="n">
        <f aca="false">IF($K312=1,COUNTIFS($O$5:$O$1517,"&gt;="&amp;O312,$K$5:$K$1517,1)/COUNTIF($O$5:$O$1517,"&gt;="&amp;O312),0)</f>
        <v>0</v>
      </c>
      <c r="Y312" s="8" t="n">
        <f aca="false">IF($K312=1,COUNTIFS($P$5:$P$1517,"&gt;="&amp;P312,$K$5:$K$1517,1)/COUNTIF($P$5:$P$1517,"&gt;="&amp;P312),0)</f>
        <v>0</v>
      </c>
      <c r="Z312" s="8" t="n">
        <f aca="false">(L312-$K312)^2</f>
        <v>0.064881259524</v>
      </c>
      <c r="AA312" s="8" t="n">
        <f aca="false">(M312-$K312)^2</f>
        <v>0.033933692521</v>
      </c>
      <c r="AB312" s="8" t="n">
        <f aca="false">(N312-$K312)^2</f>
        <v>0.006445038961</v>
      </c>
      <c r="AC312" s="8" t="n">
        <f aca="false">(O312-$K312)^2</f>
        <v>0.011274829489</v>
      </c>
      <c r="AD312" s="8" t="n">
        <f aca="false">(P312-$K312)^2</f>
        <v>0.007102949841</v>
      </c>
      <c r="AE312" s="8" t="n">
        <f aca="false">MIN(INT(ROUND(N312*1000000,0)/100000),9)</f>
        <v>0</v>
      </c>
      <c r="AF312" s="8" t="n">
        <f aca="false">MIN(INT(ROUND(P312*1000000,0)/100000),9)</f>
        <v>0</v>
      </c>
    </row>
    <row r="313" customFormat="false" ht="15" hidden="false" customHeight="false" outlineLevel="0" collapsed="false">
      <c r="A313" s="4" t="n">
        <v>309</v>
      </c>
      <c r="B313" s="4" t="n">
        <v>1389</v>
      </c>
      <c r="C313" s="4" t="n">
        <v>0</v>
      </c>
      <c r="D313" s="11" t="n">
        <v>46054</v>
      </c>
      <c r="E313" s="4" t="s">
        <v>203</v>
      </c>
      <c r="F313" s="4" t="s">
        <v>209</v>
      </c>
      <c r="G313" s="4" t="n">
        <v>3</v>
      </c>
      <c r="H313" s="4" t="n">
        <v>13</v>
      </c>
      <c r="I313" s="4" t="n">
        <v>2</v>
      </c>
      <c r="J313" s="4"/>
      <c r="K313" s="4" t="n">
        <v>0</v>
      </c>
      <c r="L313" s="12" t="n">
        <v>0.705401</v>
      </c>
      <c r="M313" s="12" t="n">
        <v>0.184211</v>
      </c>
      <c r="N313" s="12" t="n">
        <v>0.200337</v>
      </c>
      <c r="O313" s="12" t="n">
        <v>0.106183</v>
      </c>
      <c r="P313" s="12" t="n">
        <v>0.217367</v>
      </c>
      <c r="Q313" s="0" t="str">
        <f aca="false">IF(L313&gt;=Models!$G$5,1+COUNTIF($L$5:$L$1517,"&gt;"&amp;L313)+COUNTIFS($L$5:$L$1517,L313,$B$5:$B$1517,"&lt;"&amp;B313)+COUNTIFS($L$5:$L$1517,L313,$B$5:$B$1517,B313,$C$5:$C$1517,"&lt;"&amp;C313),"")</f>
        <v/>
      </c>
      <c r="R313" s="8" t="n">
        <f aca="false">IF(M313&gt;=Models!$G$6,1+COUNTIF($M$5:$M$1517,"&gt;"&amp;M313)+COUNTIFS($M$5:$M$1517,M313,$B$5:$B$1517,"&lt;"&amp;B313)+COUNTIFS($M$5:$M$1517,M313,$B$5:$B$1517,B313,$C$5:$C$1517,"&lt;"&amp;C313),"")</f>
        <v>144</v>
      </c>
      <c r="S313" s="0" t="str">
        <f aca="false">IF(N313&gt;=Models!$G$7,1+COUNTIF($N$5:$N$1517,"&gt;"&amp;N313)+COUNTIFS($N$5:$N$1517,N313,$B$5:$B$1517,"&lt;"&amp;B313)+COUNTIFS($N$5:$N$1517,N313,$B$5:$B$1517,B313,$C$5:$C$1517,"&lt;"&amp;C313),"")</f>
        <v/>
      </c>
      <c r="T313" s="8" t="n">
        <f aca="false">IF(O313&gt;=Models!$G$8,1+COUNTIF($O$5:$O$1517,"&gt;"&amp;O313)+COUNTIFS($O$5:$O$1517,O313,$B$5:$B$1517,"&lt;"&amp;B313)+COUNTIFS($O$5:$O$1517,O313,$B$5:$B$1517,B313,$C$5:$C$1517,"&lt;"&amp;C313),"")</f>
        <v>1159</v>
      </c>
      <c r="U313" s="8" t="n">
        <f aca="false">IF($K313=1,COUNTIFS($L$5:$L$1517,"&gt;="&amp;L313,$K$5:$K$1517,1)/COUNTIF($L$5:$L$1517,"&gt;="&amp;L313),0)</f>
        <v>0</v>
      </c>
      <c r="V313" s="8" t="n">
        <f aca="false">IF($K313=1,COUNTIFS($M$5:$M$1517,"&gt;="&amp;M313,$K$5:$K$1517,1)/COUNTIF($M$5:$M$1517,"&gt;="&amp;M313),0)</f>
        <v>0</v>
      </c>
      <c r="W313" s="8" t="n">
        <f aca="false">IF($K313=1,COUNTIFS($N$5:$N$1517,"&gt;="&amp;N313,$K$5:$K$1517,1)/COUNTIF($N$5:$N$1517,"&gt;="&amp;N313),0)</f>
        <v>0</v>
      </c>
      <c r="X313" s="8" t="n">
        <f aca="false">IF($K313=1,COUNTIFS($O$5:$O$1517,"&gt;="&amp;O313,$K$5:$K$1517,1)/COUNTIF($O$5:$O$1517,"&gt;="&amp;O313),0)</f>
        <v>0</v>
      </c>
      <c r="Y313" s="8" t="n">
        <f aca="false">IF($K313=1,COUNTIFS($P$5:$P$1517,"&gt;="&amp;P313,$K$5:$K$1517,1)/COUNTIF($P$5:$P$1517,"&gt;="&amp;P313),0)</f>
        <v>0</v>
      </c>
      <c r="Z313" s="8" t="n">
        <f aca="false">(L313-$K313)^2</f>
        <v>0.497590570801</v>
      </c>
      <c r="AA313" s="8" t="n">
        <f aca="false">(M313-$K313)^2</f>
        <v>0.033933692521</v>
      </c>
      <c r="AB313" s="8" t="n">
        <f aca="false">(N313-$K313)^2</f>
        <v>0.040134913569</v>
      </c>
      <c r="AC313" s="8" t="n">
        <f aca="false">(O313-$K313)^2</f>
        <v>0.011274829489</v>
      </c>
      <c r="AD313" s="8" t="n">
        <f aca="false">(P313-$K313)^2</f>
        <v>0.047248412689</v>
      </c>
      <c r="AE313" s="8" t="n">
        <f aca="false">MIN(INT(ROUND(N313*1000000,0)/100000),9)</f>
        <v>2</v>
      </c>
      <c r="AF313" s="8" t="n">
        <f aca="false">MIN(INT(ROUND(P313*1000000,0)/100000),9)</f>
        <v>2</v>
      </c>
    </row>
    <row r="314" customFormat="false" ht="15" hidden="false" customHeight="false" outlineLevel="0" collapsed="false">
      <c r="A314" s="4" t="n">
        <v>310</v>
      </c>
      <c r="B314" s="4" t="n">
        <v>1400</v>
      </c>
      <c r="C314" s="4" t="n">
        <v>0</v>
      </c>
      <c r="D314" s="11" t="n">
        <v>46054</v>
      </c>
      <c r="E314" s="4" t="s">
        <v>204</v>
      </c>
      <c r="F314" s="4" t="s">
        <v>206</v>
      </c>
      <c r="G314" s="4" t="n">
        <v>5</v>
      </c>
      <c r="H314" s="4" t="n">
        <v>1</v>
      </c>
      <c r="I314" s="4" t="n">
        <v>0</v>
      </c>
      <c r="J314" s="4" t="n">
        <v>105</v>
      </c>
      <c r="K314" s="4" t="n">
        <v>0</v>
      </c>
      <c r="L314" s="12" t="n">
        <v>0.358374</v>
      </c>
      <c r="M314" s="12" t="n">
        <v>0.092063</v>
      </c>
      <c r="N314" s="12" t="n">
        <v>0.108716</v>
      </c>
      <c r="O314" s="12" t="n">
        <v>0.106183</v>
      </c>
      <c r="P314" s="12" t="n">
        <v>0.115571</v>
      </c>
      <c r="Q314" s="0" t="str">
        <f aca="false">IF(L314&gt;=Models!$G$5,1+COUNTIF($L$5:$L$1517,"&gt;"&amp;L314)+COUNTIFS($L$5:$L$1517,L314,$B$5:$B$1517,"&lt;"&amp;B314)+COUNTIFS($L$5:$L$1517,L314,$B$5:$B$1517,B314,$C$5:$C$1517,"&lt;"&amp;C314),"")</f>
        <v/>
      </c>
      <c r="R314" s="0" t="str">
        <f aca="false">IF(M314&gt;=Models!$G$6,1+COUNTIF($M$5:$M$1517,"&gt;"&amp;M314)+COUNTIFS($M$5:$M$1517,M314,$B$5:$B$1517,"&lt;"&amp;B314)+COUNTIFS($M$5:$M$1517,M314,$B$5:$B$1517,B314,$C$5:$C$1517,"&lt;"&amp;C314),"")</f>
        <v/>
      </c>
      <c r="S314" s="0" t="str">
        <f aca="false">IF(N314&gt;=Models!$G$7,1+COUNTIF($N$5:$N$1517,"&gt;"&amp;N314)+COUNTIFS($N$5:$N$1517,N314,$B$5:$B$1517,"&lt;"&amp;B314)+COUNTIFS($N$5:$N$1517,N314,$B$5:$B$1517,B314,$C$5:$C$1517,"&lt;"&amp;C314),"")</f>
        <v/>
      </c>
      <c r="T314" s="8" t="n">
        <f aca="false">IF(O314&gt;=Models!$G$8,1+COUNTIF($O$5:$O$1517,"&gt;"&amp;O314)+COUNTIFS($O$5:$O$1517,O314,$B$5:$B$1517,"&lt;"&amp;B314)+COUNTIFS($O$5:$O$1517,O314,$B$5:$B$1517,B314,$C$5:$C$1517,"&lt;"&amp;C314),"")</f>
        <v>1163</v>
      </c>
      <c r="U314" s="8" t="n">
        <f aca="false">IF($K314=1,COUNTIFS($L$5:$L$1517,"&gt;="&amp;L314,$K$5:$K$1517,1)/COUNTIF($L$5:$L$1517,"&gt;="&amp;L314),0)</f>
        <v>0</v>
      </c>
      <c r="V314" s="8" t="n">
        <f aca="false">IF($K314=1,COUNTIFS($M$5:$M$1517,"&gt;="&amp;M314,$K$5:$K$1517,1)/COUNTIF($M$5:$M$1517,"&gt;="&amp;M314),0)</f>
        <v>0</v>
      </c>
      <c r="W314" s="8" t="n">
        <f aca="false">IF($K314=1,COUNTIFS($N$5:$N$1517,"&gt;="&amp;N314,$K$5:$K$1517,1)/COUNTIF($N$5:$N$1517,"&gt;="&amp;N314),0)</f>
        <v>0</v>
      </c>
      <c r="X314" s="8" t="n">
        <f aca="false">IF($K314=1,COUNTIFS($O$5:$O$1517,"&gt;="&amp;O314,$K$5:$K$1517,1)/COUNTIF($O$5:$O$1517,"&gt;="&amp;O314),0)</f>
        <v>0</v>
      </c>
      <c r="Y314" s="8" t="n">
        <f aca="false">IF($K314=1,COUNTIFS($P$5:$P$1517,"&gt;="&amp;P314,$K$5:$K$1517,1)/COUNTIF($P$5:$P$1517,"&gt;="&amp;P314),0)</f>
        <v>0</v>
      </c>
      <c r="Z314" s="8" t="n">
        <f aca="false">(L314-$K314)^2</f>
        <v>0.128431923876</v>
      </c>
      <c r="AA314" s="8" t="n">
        <f aca="false">(M314-$K314)^2</f>
        <v>0.008475595969</v>
      </c>
      <c r="AB314" s="8" t="n">
        <f aca="false">(N314-$K314)^2</f>
        <v>0.011819168656</v>
      </c>
      <c r="AC314" s="8" t="n">
        <f aca="false">(O314-$K314)^2</f>
        <v>0.011274829489</v>
      </c>
      <c r="AD314" s="8" t="n">
        <f aca="false">(P314-$K314)^2</f>
        <v>0.013356656041</v>
      </c>
      <c r="AE314" s="8" t="n">
        <f aca="false">MIN(INT(ROUND(N314*1000000,0)/100000),9)</f>
        <v>1</v>
      </c>
      <c r="AF314" s="8" t="n">
        <f aca="false">MIN(INT(ROUND(P314*1000000,0)/100000),9)</f>
        <v>1</v>
      </c>
    </row>
    <row r="315" customFormat="false" ht="15" hidden="false" customHeight="false" outlineLevel="0" collapsed="false">
      <c r="A315" s="4" t="n">
        <v>311</v>
      </c>
      <c r="B315" s="4" t="n">
        <v>1405</v>
      </c>
      <c r="C315" s="4" t="n">
        <v>0</v>
      </c>
      <c r="D315" s="11" t="n">
        <v>46054</v>
      </c>
      <c r="E315" s="4" t="s">
        <v>202</v>
      </c>
      <c r="F315" s="4" t="s">
        <v>209</v>
      </c>
      <c r="G315" s="4" t="n">
        <v>7</v>
      </c>
      <c r="H315" s="4" t="n">
        <v>2</v>
      </c>
      <c r="I315" s="4" t="n">
        <v>0</v>
      </c>
      <c r="J315" s="4"/>
      <c r="K315" s="4" t="n">
        <v>0</v>
      </c>
      <c r="L315" s="12" t="n">
        <v>0.4233</v>
      </c>
      <c r="M315" s="12" t="n">
        <v>0.092063</v>
      </c>
      <c r="N315" s="12" t="n">
        <v>0.046248</v>
      </c>
      <c r="O315" s="12" t="n">
        <v>0.106183</v>
      </c>
      <c r="P315" s="12" t="n">
        <v>0.047363</v>
      </c>
      <c r="Q315" s="0" t="str">
        <f aca="false">IF(L315&gt;=Models!$G$5,1+COUNTIF($L$5:$L$1517,"&gt;"&amp;L315)+COUNTIFS($L$5:$L$1517,L315,$B$5:$B$1517,"&lt;"&amp;B315)+COUNTIFS($L$5:$L$1517,L315,$B$5:$B$1517,B315,$C$5:$C$1517,"&lt;"&amp;C315),"")</f>
        <v/>
      </c>
      <c r="R315" s="0" t="str">
        <f aca="false">IF(M315&gt;=Models!$G$6,1+COUNTIF($M$5:$M$1517,"&gt;"&amp;M315)+COUNTIFS($M$5:$M$1517,M315,$B$5:$B$1517,"&lt;"&amp;B315)+COUNTIFS($M$5:$M$1517,M315,$B$5:$B$1517,B315,$C$5:$C$1517,"&lt;"&amp;C315),"")</f>
        <v/>
      </c>
      <c r="S315" s="0" t="str">
        <f aca="false">IF(N315&gt;=Models!$G$7,1+COUNTIF($N$5:$N$1517,"&gt;"&amp;N315)+COUNTIFS($N$5:$N$1517,N315,$B$5:$B$1517,"&lt;"&amp;B315)+COUNTIFS($N$5:$N$1517,N315,$B$5:$B$1517,B315,$C$5:$C$1517,"&lt;"&amp;C315),"")</f>
        <v/>
      </c>
      <c r="T315" s="8" t="n">
        <f aca="false">IF(O315&gt;=Models!$G$8,1+COUNTIF($O$5:$O$1517,"&gt;"&amp;O315)+COUNTIFS($O$5:$O$1517,O315,$B$5:$B$1517,"&lt;"&amp;B315)+COUNTIFS($O$5:$O$1517,O315,$B$5:$B$1517,B315,$C$5:$C$1517,"&lt;"&amp;C315),"")</f>
        <v>1167</v>
      </c>
      <c r="U315" s="8" t="n">
        <f aca="false">IF($K315=1,COUNTIFS($L$5:$L$1517,"&gt;="&amp;L315,$K$5:$K$1517,1)/COUNTIF($L$5:$L$1517,"&gt;="&amp;L315),0)</f>
        <v>0</v>
      </c>
      <c r="V315" s="8" t="n">
        <f aca="false">IF($K315=1,COUNTIFS($M$5:$M$1517,"&gt;="&amp;M315,$K$5:$K$1517,1)/COUNTIF($M$5:$M$1517,"&gt;="&amp;M315),0)</f>
        <v>0</v>
      </c>
      <c r="W315" s="8" t="n">
        <f aca="false">IF($K315=1,COUNTIFS($N$5:$N$1517,"&gt;="&amp;N315,$K$5:$K$1517,1)/COUNTIF($N$5:$N$1517,"&gt;="&amp;N315),0)</f>
        <v>0</v>
      </c>
      <c r="X315" s="8" t="n">
        <f aca="false">IF($K315=1,COUNTIFS($O$5:$O$1517,"&gt;="&amp;O315,$K$5:$K$1517,1)/COUNTIF($O$5:$O$1517,"&gt;="&amp;O315),0)</f>
        <v>0</v>
      </c>
      <c r="Y315" s="8" t="n">
        <f aca="false">IF($K315=1,COUNTIFS($P$5:$P$1517,"&gt;="&amp;P315,$K$5:$K$1517,1)/COUNTIF($P$5:$P$1517,"&gt;="&amp;P315),0)</f>
        <v>0</v>
      </c>
      <c r="Z315" s="8" t="n">
        <f aca="false">(L315-$K315)^2</f>
        <v>0.17918289</v>
      </c>
      <c r="AA315" s="8" t="n">
        <f aca="false">(M315-$K315)^2</f>
        <v>0.008475595969</v>
      </c>
      <c r="AB315" s="8" t="n">
        <f aca="false">(N315-$K315)^2</f>
        <v>0.002138877504</v>
      </c>
      <c r="AC315" s="8" t="n">
        <f aca="false">(O315-$K315)^2</f>
        <v>0.011274829489</v>
      </c>
      <c r="AD315" s="8" t="n">
        <f aca="false">(P315-$K315)^2</f>
        <v>0.002243253769</v>
      </c>
      <c r="AE315" s="8" t="n">
        <f aca="false">MIN(INT(ROUND(N315*1000000,0)/100000),9)</f>
        <v>0</v>
      </c>
      <c r="AF315" s="8" t="n">
        <f aca="false">MIN(INT(ROUND(P315*1000000,0)/100000),9)</f>
        <v>0</v>
      </c>
    </row>
    <row r="316" customFormat="false" ht="15" hidden="false" customHeight="false" outlineLevel="0" collapsed="false">
      <c r="A316" s="4" t="n">
        <v>312</v>
      </c>
      <c r="B316" s="4" t="n">
        <v>1411</v>
      </c>
      <c r="C316" s="4" t="n">
        <v>0</v>
      </c>
      <c r="D316" s="11" t="n">
        <v>46054</v>
      </c>
      <c r="E316" s="4" t="s">
        <v>202</v>
      </c>
      <c r="F316" s="4" t="s">
        <v>206</v>
      </c>
      <c r="G316" s="4" t="n">
        <v>15</v>
      </c>
      <c r="H316" s="4" t="n">
        <v>1</v>
      </c>
      <c r="I316" s="4" t="n">
        <v>0</v>
      </c>
      <c r="J316" s="4" t="n">
        <v>1560</v>
      </c>
      <c r="K316" s="4" t="n">
        <v>0</v>
      </c>
      <c r="L316" s="12" t="n">
        <v>0.673567</v>
      </c>
      <c r="M316" s="12" t="n">
        <v>0.092063</v>
      </c>
      <c r="N316" s="12" t="n">
        <v>0.043591</v>
      </c>
      <c r="O316" s="12" t="n">
        <v>0.106183</v>
      </c>
      <c r="P316" s="12" t="n">
        <v>0.044519</v>
      </c>
      <c r="Q316" s="0" t="str">
        <f aca="false">IF(L316&gt;=Models!$G$5,1+COUNTIF($L$5:$L$1517,"&gt;"&amp;L316)+COUNTIFS($L$5:$L$1517,L316,$B$5:$B$1517,"&lt;"&amp;B316)+COUNTIFS($L$5:$L$1517,L316,$B$5:$B$1517,B316,$C$5:$C$1517,"&lt;"&amp;C316),"")</f>
        <v/>
      </c>
      <c r="R316" s="0" t="str">
        <f aca="false">IF(M316&gt;=Models!$G$6,1+COUNTIF($M$5:$M$1517,"&gt;"&amp;M316)+COUNTIFS($M$5:$M$1517,M316,$B$5:$B$1517,"&lt;"&amp;B316)+COUNTIFS($M$5:$M$1517,M316,$B$5:$B$1517,B316,$C$5:$C$1517,"&lt;"&amp;C316),"")</f>
        <v/>
      </c>
      <c r="S316" s="0" t="str">
        <f aca="false">IF(N316&gt;=Models!$G$7,1+COUNTIF($N$5:$N$1517,"&gt;"&amp;N316)+COUNTIFS($N$5:$N$1517,N316,$B$5:$B$1517,"&lt;"&amp;B316)+COUNTIFS($N$5:$N$1517,N316,$B$5:$B$1517,B316,$C$5:$C$1517,"&lt;"&amp;C316),"")</f>
        <v/>
      </c>
      <c r="T316" s="8" t="n">
        <f aca="false">IF(O316&gt;=Models!$G$8,1+COUNTIF($O$5:$O$1517,"&gt;"&amp;O316)+COUNTIFS($O$5:$O$1517,O316,$B$5:$B$1517,"&lt;"&amp;B316)+COUNTIFS($O$5:$O$1517,O316,$B$5:$B$1517,B316,$C$5:$C$1517,"&lt;"&amp;C316),"")</f>
        <v>1171</v>
      </c>
      <c r="U316" s="8" t="n">
        <f aca="false">IF($K316=1,COUNTIFS($L$5:$L$1517,"&gt;="&amp;L316,$K$5:$K$1517,1)/COUNTIF($L$5:$L$1517,"&gt;="&amp;L316),0)</f>
        <v>0</v>
      </c>
      <c r="V316" s="8" t="n">
        <f aca="false">IF($K316=1,COUNTIFS($M$5:$M$1517,"&gt;="&amp;M316,$K$5:$K$1517,1)/COUNTIF($M$5:$M$1517,"&gt;="&amp;M316),0)</f>
        <v>0</v>
      </c>
      <c r="W316" s="8" t="n">
        <f aca="false">IF($K316=1,COUNTIFS($N$5:$N$1517,"&gt;="&amp;N316,$K$5:$K$1517,1)/COUNTIF($N$5:$N$1517,"&gt;="&amp;N316),0)</f>
        <v>0</v>
      </c>
      <c r="X316" s="8" t="n">
        <f aca="false">IF($K316=1,COUNTIFS($O$5:$O$1517,"&gt;="&amp;O316,$K$5:$K$1517,1)/COUNTIF($O$5:$O$1517,"&gt;="&amp;O316),0)</f>
        <v>0</v>
      </c>
      <c r="Y316" s="8" t="n">
        <f aca="false">IF($K316=1,COUNTIFS($P$5:$P$1517,"&gt;="&amp;P316,$K$5:$K$1517,1)/COUNTIF($P$5:$P$1517,"&gt;="&amp;P316),0)</f>
        <v>0</v>
      </c>
      <c r="Z316" s="8" t="n">
        <f aca="false">(L316-$K316)^2</f>
        <v>0.453692503489</v>
      </c>
      <c r="AA316" s="8" t="n">
        <f aca="false">(M316-$K316)^2</f>
        <v>0.008475595969</v>
      </c>
      <c r="AB316" s="8" t="n">
        <f aca="false">(N316-$K316)^2</f>
        <v>0.001900175281</v>
      </c>
      <c r="AC316" s="8" t="n">
        <f aca="false">(O316-$K316)^2</f>
        <v>0.011274829489</v>
      </c>
      <c r="AD316" s="8" t="n">
        <f aca="false">(P316-$K316)^2</f>
        <v>0.001981941361</v>
      </c>
      <c r="AE316" s="8" t="n">
        <f aca="false">MIN(INT(ROUND(N316*1000000,0)/100000),9)</f>
        <v>0</v>
      </c>
      <c r="AF316" s="8" t="n">
        <f aca="false">MIN(INT(ROUND(P316*1000000,0)/100000),9)</f>
        <v>0</v>
      </c>
    </row>
    <row r="317" customFormat="false" ht="15" hidden="false" customHeight="false" outlineLevel="0" collapsed="false">
      <c r="A317" s="4" t="n">
        <v>313</v>
      </c>
      <c r="B317" s="4" t="n">
        <v>1418</v>
      </c>
      <c r="C317" s="4" t="n">
        <v>0</v>
      </c>
      <c r="D317" s="11" t="n">
        <v>46054</v>
      </c>
      <c r="E317" s="4" t="s">
        <v>202</v>
      </c>
      <c r="F317" s="4" t="s">
        <v>207</v>
      </c>
      <c r="G317" s="4" t="n">
        <v>10</v>
      </c>
      <c r="H317" s="4" t="n">
        <v>3</v>
      </c>
      <c r="I317" s="4" t="n">
        <v>0</v>
      </c>
      <c r="J317" s="4"/>
      <c r="K317" s="4" t="n">
        <v>0</v>
      </c>
      <c r="L317" s="12" t="n">
        <v>0.809038</v>
      </c>
      <c r="M317" s="12" t="n">
        <v>0.092063</v>
      </c>
      <c r="N317" s="12" t="n">
        <v>0.03598</v>
      </c>
      <c r="O317" s="12" t="n">
        <v>0.106183</v>
      </c>
      <c r="P317" s="12" t="n">
        <v>0.036417</v>
      </c>
      <c r="Q317" s="0" t="str">
        <f aca="false">IF(L317&gt;=Models!$G$5,1+COUNTIF($L$5:$L$1517,"&gt;"&amp;L317)+COUNTIFS($L$5:$L$1517,L317,$B$5:$B$1517,"&lt;"&amp;B317)+COUNTIFS($L$5:$L$1517,L317,$B$5:$B$1517,B317,$C$5:$C$1517,"&lt;"&amp;C317),"")</f>
        <v/>
      </c>
      <c r="R317" s="0" t="str">
        <f aca="false">IF(M317&gt;=Models!$G$6,1+COUNTIF($M$5:$M$1517,"&gt;"&amp;M317)+COUNTIFS($M$5:$M$1517,M317,$B$5:$B$1517,"&lt;"&amp;B317)+COUNTIFS($M$5:$M$1517,M317,$B$5:$B$1517,B317,$C$5:$C$1517,"&lt;"&amp;C317),"")</f>
        <v/>
      </c>
      <c r="S317" s="0" t="str">
        <f aca="false">IF(N317&gt;=Models!$G$7,1+COUNTIF($N$5:$N$1517,"&gt;"&amp;N317)+COUNTIFS($N$5:$N$1517,N317,$B$5:$B$1517,"&lt;"&amp;B317)+COUNTIFS($N$5:$N$1517,N317,$B$5:$B$1517,B317,$C$5:$C$1517,"&lt;"&amp;C317),"")</f>
        <v/>
      </c>
      <c r="T317" s="8" t="n">
        <f aca="false">IF(O317&gt;=Models!$G$8,1+COUNTIF($O$5:$O$1517,"&gt;"&amp;O317)+COUNTIFS($O$5:$O$1517,O317,$B$5:$B$1517,"&lt;"&amp;B317)+COUNTIFS($O$5:$O$1517,O317,$B$5:$B$1517,B317,$C$5:$C$1517,"&lt;"&amp;C317),"")</f>
        <v>1175</v>
      </c>
      <c r="U317" s="8" t="n">
        <f aca="false">IF($K317=1,COUNTIFS($L$5:$L$1517,"&gt;="&amp;L317,$K$5:$K$1517,1)/COUNTIF($L$5:$L$1517,"&gt;="&amp;L317),0)</f>
        <v>0</v>
      </c>
      <c r="V317" s="8" t="n">
        <f aca="false">IF($K317=1,COUNTIFS($M$5:$M$1517,"&gt;="&amp;M317,$K$5:$K$1517,1)/COUNTIF($M$5:$M$1517,"&gt;="&amp;M317),0)</f>
        <v>0</v>
      </c>
      <c r="W317" s="8" t="n">
        <f aca="false">IF($K317=1,COUNTIFS($N$5:$N$1517,"&gt;="&amp;N317,$K$5:$K$1517,1)/COUNTIF($N$5:$N$1517,"&gt;="&amp;N317),0)</f>
        <v>0</v>
      </c>
      <c r="X317" s="8" t="n">
        <f aca="false">IF($K317=1,COUNTIFS($O$5:$O$1517,"&gt;="&amp;O317,$K$5:$K$1517,1)/COUNTIF($O$5:$O$1517,"&gt;="&amp;O317),0)</f>
        <v>0</v>
      </c>
      <c r="Y317" s="8" t="n">
        <f aca="false">IF($K317=1,COUNTIFS($P$5:$P$1517,"&gt;="&amp;P317,$K$5:$K$1517,1)/COUNTIF($P$5:$P$1517,"&gt;="&amp;P317),0)</f>
        <v>0</v>
      </c>
      <c r="Z317" s="8" t="n">
        <f aca="false">(L317-$K317)^2</f>
        <v>0.654542485444</v>
      </c>
      <c r="AA317" s="8" t="n">
        <f aca="false">(M317-$K317)^2</f>
        <v>0.008475595969</v>
      </c>
      <c r="AB317" s="8" t="n">
        <f aca="false">(N317-$K317)^2</f>
        <v>0.0012945604</v>
      </c>
      <c r="AC317" s="8" t="n">
        <f aca="false">(O317-$K317)^2</f>
        <v>0.011274829489</v>
      </c>
      <c r="AD317" s="8" t="n">
        <f aca="false">(P317-$K317)^2</f>
        <v>0.001326197889</v>
      </c>
      <c r="AE317" s="8" t="n">
        <f aca="false">MIN(INT(ROUND(N317*1000000,0)/100000),9)</f>
        <v>0</v>
      </c>
      <c r="AF317" s="8" t="n">
        <f aca="false">MIN(INT(ROUND(P317*1000000,0)/100000),9)</f>
        <v>0</v>
      </c>
    </row>
    <row r="318" customFormat="false" ht="15" hidden="false" customHeight="false" outlineLevel="0" collapsed="false">
      <c r="A318" s="4" t="n">
        <v>314</v>
      </c>
      <c r="B318" s="4" t="n">
        <v>1423</v>
      </c>
      <c r="C318" s="4" t="n">
        <v>0</v>
      </c>
      <c r="D318" s="11" t="n">
        <v>46054</v>
      </c>
      <c r="E318" s="4" t="s">
        <v>204</v>
      </c>
      <c r="F318" s="4" t="s">
        <v>208</v>
      </c>
      <c r="G318" s="4" t="n">
        <v>4</v>
      </c>
      <c r="H318" s="4" t="n">
        <v>15</v>
      </c>
      <c r="I318" s="4" t="n">
        <v>0</v>
      </c>
      <c r="J318" s="4" t="n">
        <v>66</v>
      </c>
      <c r="K318" s="4" t="n">
        <v>0</v>
      </c>
      <c r="L318" s="12" t="n">
        <v>0.995827</v>
      </c>
      <c r="M318" s="12" t="n">
        <v>0.092063</v>
      </c>
      <c r="N318" s="12" t="n">
        <v>0.130455</v>
      </c>
      <c r="O318" s="12" t="n">
        <v>0.106183</v>
      </c>
      <c r="P318" s="12" t="n">
        <v>0.139647</v>
      </c>
      <c r="Q318" s="8" t="n">
        <f aca="false">IF(L318&gt;=Models!$G$5,1+COUNTIF($L$5:$L$1517,"&gt;"&amp;L318)+COUNTIFS($L$5:$L$1517,L318,$B$5:$B$1517,"&lt;"&amp;B318)+COUNTIFS($L$5:$L$1517,L318,$B$5:$B$1517,B318,$C$5:$C$1517,"&lt;"&amp;C318),"")</f>
        <v>6</v>
      </c>
      <c r="R318" s="0" t="str">
        <f aca="false">IF(M318&gt;=Models!$G$6,1+COUNTIF($M$5:$M$1517,"&gt;"&amp;M318)+COUNTIFS($M$5:$M$1517,M318,$B$5:$B$1517,"&lt;"&amp;B318)+COUNTIFS($M$5:$M$1517,M318,$B$5:$B$1517,B318,$C$5:$C$1517,"&lt;"&amp;C318),"")</f>
        <v/>
      </c>
      <c r="S318" s="0" t="str">
        <f aca="false">IF(N318&gt;=Models!$G$7,1+COUNTIF($N$5:$N$1517,"&gt;"&amp;N318)+COUNTIFS($N$5:$N$1517,N318,$B$5:$B$1517,"&lt;"&amp;B318)+COUNTIFS($N$5:$N$1517,N318,$B$5:$B$1517,B318,$C$5:$C$1517,"&lt;"&amp;C318),"")</f>
        <v/>
      </c>
      <c r="T318" s="8" t="n">
        <f aca="false">IF(O318&gt;=Models!$G$8,1+COUNTIF($O$5:$O$1517,"&gt;"&amp;O318)+COUNTIFS($O$5:$O$1517,O318,$B$5:$B$1517,"&lt;"&amp;B318)+COUNTIFS($O$5:$O$1517,O318,$B$5:$B$1517,B318,$C$5:$C$1517,"&lt;"&amp;C318),"")</f>
        <v>1179</v>
      </c>
      <c r="U318" s="8" t="n">
        <f aca="false">IF($K318=1,COUNTIFS($L$5:$L$1517,"&gt;="&amp;L318,$K$5:$K$1517,1)/COUNTIF($L$5:$L$1517,"&gt;="&amp;L318),0)</f>
        <v>0</v>
      </c>
      <c r="V318" s="8" t="n">
        <f aca="false">IF($K318=1,COUNTIFS($M$5:$M$1517,"&gt;="&amp;M318,$K$5:$K$1517,1)/COUNTIF($M$5:$M$1517,"&gt;="&amp;M318),0)</f>
        <v>0</v>
      </c>
      <c r="W318" s="8" t="n">
        <f aca="false">IF($K318=1,COUNTIFS($N$5:$N$1517,"&gt;="&amp;N318,$K$5:$K$1517,1)/COUNTIF($N$5:$N$1517,"&gt;="&amp;N318),0)</f>
        <v>0</v>
      </c>
      <c r="X318" s="8" t="n">
        <f aca="false">IF($K318=1,COUNTIFS($O$5:$O$1517,"&gt;="&amp;O318,$K$5:$K$1517,1)/COUNTIF($O$5:$O$1517,"&gt;="&amp;O318),0)</f>
        <v>0</v>
      </c>
      <c r="Y318" s="8" t="n">
        <f aca="false">IF($K318=1,COUNTIFS($P$5:$P$1517,"&gt;="&amp;P318,$K$5:$K$1517,1)/COUNTIF($P$5:$P$1517,"&gt;="&amp;P318),0)</f>
        <v>0</v>
      </c>
      <c r="Z318" s="8" t="n">
        <f aca="false">(L318-$K318)^2</f>
        <v>0.991671413929</v>
      </c>
      <c r="AA318" s="8" t="n">
        <f aca="false">(M318-$K318)^2</f>
        <v>0.008475595969</v>
      </c>
      <c r="AB318" s="8" t="n">
        <f aca="false">(N318-$K318)^2</f>
        <v>0.017018507025</v>
      </c>
      <c r="AC318" s="8" t="n">
        <f aca="false">(O318-$K318)^2</f>
        <v>0.011274829489</v>
      </c>
      <c r="AD318" s="8" t="n">
        <f aca="false">(P318-$K318)^2</f>
        <v>0.019501284609</v>
      </c>
      <c r="AE318" s="8" t="n">
        <f aca="false">MIN(INT(ROUND(N318*1000000,0)/100000),9)</f>
        <v>1</v>
      </c>
      <c r="AF318" s="8" t="n">
        <f aca="false">MIN(INT(ROUND(P318*1000000,0)/100000),9)</f>
        <v>1</v>
      </c>
    </row>
    <row r="319" customFormat="false" ht="15" hidden="false" customHeight="false" outlineLevel="0" collapsed="false">
      <c r="A319" s="4" t="n">
        <v>315</v>
      </c>
      <c r="B319" s="4" t="n">
        <v>1432</v>
      </c>
      <c r="C319" s="4" t="n">
        <v>0</v>
      </c>
      <c r="D319" s="11" t="n">
        <v>46054</v>
      </c>
      <c r="E319" s="4" t="s">
        <v>203</v>
      </c>
      <c r="F319" s="4" t="s">
        <v>209</v>
      </c>
      <c r="G319" s="4" t="n">
        <v>6</v>
      </c>
      <c r="H319" s="4" t="n">
        <v>0</v>
      </c>
      <c r="I319" s="4" t="n">
        <v>0</v>
      </c>
      <c r="J319" s="4" t="n">
        <v>408</v>
      </c>
      <c r="K319" s="4" t="n">
        <v>0</v>
      </c>
      <c r="L319" s="12" t="n">
        <v>0.118103</v>
      </c>
      <c r="M319" s="12" t="n">
        <v>0.092063</v>
      </c>
      <c r="N319" s="12" t="n">
        <v>0.097995</v>
      </c>
      <c r="O319" s="12" t="n">
        <v>0.106183</v>
      </c>
      <c r="P319" s="12" t="n">
        <v>0.10374</v>
      </c>
      <c r="Q319" s="0" t="str">
        <f aca="false">IF(L319&gt;=Models!$G$5,1+COUNTIF($L$5:$L$1517,"&gt;"&amp;L319)+COUNTIFS($L$5:$L$1517,L319,$B$5:$B$1517,"&lt;"&amp;B319)+COUNTIFS($L$5:$L$1517,L319,$B$5:$B$1517,B319,$C$5:$C$1517,"&lt;"&amp;C319),"")</f>
        <v/>
      </c>
      <c r="R319" s="0" t="str">
        <f aca="false">IF(M319&gt;=Models!$G$6,1+COUNTIF($M$5:$M$1517,"&gt;"&amp;M319)+COUNTIFS($M$5:$M$1517,M319,$B$5:$B$1517,"&lt;"&amp;B319)+COUNTIFS($M$5:$M$1517,M319,$B$5:$B$1517,B319,$C$5:$C$1517,"&lt;"&amp;C319),"")</f>
        <v/>
      </c>
      <c r="S319" s="0" t="str">
        <f aca="false">IF(N319&gt;=Models!$G$7,1+COUNTIF($N$5:$N$1517,"&gt;"&amp;N319)+COUNTIFS($N$5:$N$1517,N319,$B$5:$B$1517,"&lt;"&amp;B319)+COUNTIFS($N$5:$N$1517,N319,$B$5:$B$1517,B319,$C$5:$C$1517,"&lt;"&amp;C319),"")</f>
        <v/>
      </c>
      <c r="T319" s="8" t="n">
        <f aca="false">IF(O319&gt;=Models!$G$8,1+COUNTIF($O$5:$O$1517,"&gt;"&amp;O319)+COUNTIFS($O$5:$O$1517,O319,$B$5:$B$1517,"&lt;"&amp;B319)+COUNTIFS($O$5:$O$1517,O319,$B$5:$B$1517,B319,$C$5:$C$1517,"&lt;"&amp;C319),"")</f>
        <v>1183</v>
      </c>
      <c r="U319" s="8" t="n">
        <f aca="false">IF($K319=1,COUNTIFS($L$5:$L$1517,"&gt;="&amp;L319,$K$5:$K$1517,1)/COUNTIF($L$5:$L$1517,"&gt;="&amp;L319),0)</f>
        <v>0</v>
      </c>
      <c r="V319" s="8" t="n">
        <f aca="false">IF($K319=1,COUNTIFS($M$5:$M$1517,"&gt;="&amp;M319,$K$5:$K$1517,1)/COUNTIF($M$5:$M$1517,"&gt;="&amp;M319),0)</f>
        <v>0</v>
      </c>
      <c r="W319" s="8" t="n">
        <f aca="false">IF($K319=1,COUNTIFS($N$5:$N$1517,"&gt;="&amp;N319,$K$5:$K$1517,1)/COUNTIF($N$5:$N$1517,"&gt;="&amp;N319),0)</f>
        <v>0</v>
      </c>
      <c r="X319" s="8" t="n">
        <f aca="false">IF($K319=1,COUNTIFS($O$5:$O$1517,"&gt;="&amp;O319,$K$5:$K$1517,1)/COUNTIF($O$5:$O$1517,"&gt;="&amp;O319),0)</f>
        <v>0</v>
      </c>
      <c r="Y319" s="8" t="n">
        <f aca="false">IF($K319=1,COUNTIFS($P$5:$P$1517,"&gt;="&amp;P319,$K$5:$K$1517,1)/COUNTIF($P$5:$P$1517,"&gt;="&amp;P319),0)</f>
        <v>0</v>
      </c>
      <c r="Z319" s="8" t="n">
        <f aca="false">(L319-$K319)^2</f>
        <v>0.013948318609</v>
      </c>
      <c r="AA319" s="8" t="n">
        <f aca="false">(M319-$K319)^2</f>
        <v>0.008475595969</v>
      </c>
      <c r="AB319" s="8" t="n">
        <f aca="false">(N319-$K319)^2</f>
        <v>0.009603020025</v>
      </c>
      <c r="AC319" s="8" t="n">
        <f aca="false">(O319-$K319)^2</f>
        <v>0.011274829489</v>
      </c>
      <c r="AD319" s="8" t="n">
        <f aca="false">(P319-$K319)^2</f>
        <v>0.0107619876</v>
      </c>
      <c r="AE319" s="8" t="n">
        <f aca="false">MIN(INT(ROUND(N319*1000000,0)/100000),9)</f>
        <v>0</v>
      </c>
      <c r="AF319" s="8" t="n">
        <f aca="false">MIN(INT(ROUND(P319*1000000,0)/100000),9)</f>
        <v>1</v>
      </c>
    </row>
    <row r="320" customFormat="false" ht="15" hidden="false" customHeight="false" outlineLevel="0" collapsed="false">
      <c r="A320" s="4" t="n">
        <v>316</v>
      </c>
      <c r="B320" s="4" t="n">
        <v>1434</v>
      </c>
      <c r="C320" s="4" t="n">
        <v>0</v>
      </c>
      <c r="D320" s="11" t="n">
        <v>46054</v>
      </c>
      <c r="E320" s="4" t="s">
        <v>203</v>
      </c>
      <c r="F320" s="4" t="s">
        <v>206</v>
      </c>
      <c r="G320" s="4" t="n">
        <v>7</v>
      </c>
      <c r="H320" s="4" t="n">
        <v>2</v>
      </c>
      <c r="I320" s="4" t="n">
        <v>0</v>
      </c>
      <c r="J320" s="4" t="n">
        <v>258</v>
      </c>
      <c r="K320" s="4" t="n">
        <v>0</v>
      </c>
      <c r="L320" s="12" t="n">
        <v>0.531547</v>
      </c>
      <c r="M320" s="12" t="n">
        <v>0.092063</v>
      </c>
      <c r="N320" s="12" t="n">
        <v>0.092407</v>
      </c>
      <c r="O320" s="12" t="n">
        <v>0.106183</v>
      </c>
      <c r="P320" s="12" t="n">
        <v>0.097588</v>
      </c>
      <c r="Q320" s="0" t="str">
        <f aca="false">IF(L320&gt;=Models!$G$5,1+COUNTIF($L$5:$L$1517,"&gt;"&amp;L320)+COUNTIFS($L$5:$L$1517,L320,$B$5:$B$1517,"&lt;"&amp;B320)+COUNTIFS($L$5:$L$1517,L320,$B$5:$B$1517,B320,$C$5:$C$1517,"&lt;"&amp;C320),"")</f>
        <v/>
      </c>
      <c r="R320" s="0" t="str">
        <f aca="false">IF(M320&gt;=Models!$G$6,1+COUNTIF($M$5:$M$1517,"&gt;"&amp;M320)+COUNTIFS($M$5:$M$1517,M320,$B$5:$B$1517,"&lt;"&amp;B320)+COUNTIFS($M$5:$M$1517,M320,$B$5:$B$1517,B320,$C$5:$C$1517,"&lt;"&amp;C320),"")</f>
        <v/>
      </c>
      <c r="S320" s="0" t="str">
        <f aca="false">IF(N320&gt;=Models!$G$7,1+COUNTIF($N$5:$N$1517,"&gt;"&amp;N320)+COUNTIFS($N$5:$N$1517,N320,$B$5:$B$1517,"&lt;"&amp;B320)+COUNTIFS($N$5:$N$1517,N320,$B$5:$B$1517,B320,$C$5:$C$1517,"&lt;"&amp;C320),"")</f>
        <v/>
      </c>
      <c r="T320" s="8" t="n">
        <f aca="false">IF(O320&gt;=Models!$G$8,1+COUNTIF($O$5:$O$1517,"&gt;"&amp;O320)+COUNTIFS($O$5:$O$1517,O320,$B$5:$B$1517,"&lt;"&amp;B320)+COUNTIFS($O$5:$O$1517,O320,$B$5:$B$1517,B320,$C$5:$C$1517,"&lt;"&amp;C320),"")</f>
        <v>1187</v>
      </c>
      <c r="U320" s="8" t="n">
        <f aca="false">IF($K320=1,COUNTIFS($L$5:$L$1517,"&gt;="&amp;L320,$K$5:$K$1517,1)/COUNTIF($L$5:$L$1517,"&gt;="&amp;L320),0)</f>
        <v>0</v>
      </c>
      <c r="V320" s="8" t="n">
        <f aca="false">IF($K320=1,COUNTIFS($M$5:$M$1517,"&gt;="&amp;M320,$K$5:$K$1517,1)/COUNTIF($M$5:$M$1517,"&gt;="&amp;M320),0)</f>
        <v>0</v>
      </c>
      <c r="W320" s="8" t="n">
        <f aca="false">IF($K320=1,COUNTIFS($N$5:$N$1517,"&gt;="&amp;N320,$K$5:$K$1517,1)/COUNTIF($N$5:$N$1517,"&gt;="&amp;N320),0)</f>
        <v>0</v>
      </c>
      <c r="X320" s="8" t="n">
        <f aca="false">IF($K320=1,COUNTIFS($O$5:$O$1517,"&gt;="&amp;O320,$K$5:$K$1517,1)/COUNTIF($O$5:$O$1517,"&gt;="&amp;O320),0)</f>
        <v>0</v>
      </c>
      <c r="Y320" s="8" t="n">
        <f aca="false">IF($K320=1,COUNTIFS($P$5:$P$1517,"&gt;="&amp;P320,$K$5:$K$1517,1)/COUNTIF($P$5:$P$1517,"&gt;="&amp;P320),0)</f>
        <v>0</v>
      </c>
      <c r="Z320" s="8" t="n">
        <f aca="false">(L320-$K320)^2</f>
        <v>0.282542213209</v>
      </c>
      <c r="AA320" s="8" t="n">
        <f aca="false">(M320-$K320)^2</f>
        <v>0.008475595969</v>
      </c>
      <c r="AB320" s="8" t="n">
        <f aca="false">(N320-$K320)^2</f>
        <v>0.008539053649</v>
      </c>
      <c r="AC320" s="8" t="n">
        <f aca="false">(O320-$K320)^2</f>
        <v>0.011274829489</v>
      </c>
      <c r="AD320" s="8" t="n">
        <f aca="false">(P320-$K320)^2</f>
        <v>0.009523417744</v>
      </c>
      <c r="AE320" s="8" t="n">
        <f aca="false">MIN(INT(ROUND(N320*1000000,0)/100000),9)</f>
        <v>0</v>
      </c>
      <c r="AF320" s="8" t="n">
        <f aca="false">MIN(INT(ROUND(P320*1000000,0)/100000),9)</f>
        <v>0</v>
      </c>
    </row>
    <row r="321" customFormat="false" ht="15" hidden="false" customHeight="false" outlineLevel="0" collapsed="false">
      <c r="A321" s="4" t="n">
        <v>317</v>
      </c>
      <c r="B321" s="4" t="n">
        <v>1437</v>
      </c>
      <c r="C321" s="4" t="n">
        <v>0</v>
      </c>
      <c r="D321" s="11" t="n">
        <v>46054</v>
      </c>
      <c r="E321" s="4" t="s">
        <v>204</v>
      </c>
      <c r="F321" s="4" t="s">
        <v>207</v>
      </c>
      <c r="G321" s="4" t="n">
        <v>3</v>
      </c>
      <c r="H321" s="4" t="n">
        <v>4</v>
      </c>
      <c r="I321" s="4" t="n">
        <v>0</v>
      </c>
      <c r="J321" s="4" t="n">
        <v>87</v>
      </c>
      <c r="K321" s="4" t="n">
        <v>0</v>
      </c>
      <c r="L321" s="12" t="n">
        <v>0.284266</v>
      </c>
      <c r="M321" s="12" t="n">
        <v>0.092063</v>
      </c>
      <c r="N321" s="12" t="n">
        <v>0.1303</v>
      </c>
      <c r="O321" s="12" t="n">
        <v>0.106183</v>
      </c>
      <c r="P321" s="12" t="n">
        <v>0.139475</v>
      </c>
      <c r="Q321" s="0" t="str">
        <f aca="false">IF(L321&gt;=Models!$G$5,1+COUNTIF($L$5:$L$1517,"&gt;"&amp;L321)+COUNTIFS($L$5:$L$1517,L321,$B$5:$B$1517,"&lt;"&amp;B321)+COUNTIFS($L$5:$L$1517,L321,$B$5:$B$1517,B321,$C$5:$C$1517,"&lt;"&amp;C321),"")</f>
        <v/>
      </c>
      <c r="R321" s="0" t="str">
        <f aca="false">IF(M321&gt;=Models!$G$6,1+COUNTIF($M$5:$M$1517,"&gt;"&amp;M321)+COUNTIFS($M$5:$M$1517,M321,$B$5:$B$1517,"&lt;"&amp;B321)+COUNTIFS($M$5:$M$1517,M321,$B$5:$B$1517,B321,$C$5:$C$1517,"&lt;"&amp;C321),"")</f>
        <v/>
      </c>
      <c r="S321" s="0" t="str">
        <f aca="false">IF(N321&gt;=Models!$G$7,1+COUNTIF($N$5:$N$1517,"&gt;"&amp;N321)+COUNTIFS($N$5:$N$1517,N321,$B$5:$B$1517,"&lt;"&amp;B321)+COUNTIFS($N$5:$N$1517,N321,$B$5:$B$1517,B321,$C$5:$C$1517,"&lt;"&amp;C321),"")</f>
        <v/>
      </c>
      <c r="T321" s="8" t="n">
        <f aca="false">IF(O321&gt;=Models!$G$8,1+COUNTIF($O$5:$O$1517,"&gt;"&amp;O321)+COUNTIFS($O$5:$O$1517,O321,$B$5:$B$1517,"&lt;"&amp;B321)+COUNTIFS($O$5:$O$1517,O321,$B$5:$B$1517,B321,$C$5:$C$1517,"&lt;"&amp;C321),"")</f>
        <v>1191</v>
      </c>
      <c r="U321" s="8" t="n">
        <f aca="false">IF($K321=1,COUNTIFS($L$5:$L$1517,"&gt;="&amp;L321,$K$5:$K$1517,1)/COUNTIF($L$5:$L$1517,"&gt;="&amp;L321),0)</f>
        <v>0</v>
      </c>
      <c r="V321" s="8" t="n">
        <f aca="false">IF($K321=1,COUNTIFS($M$5:$M$1517,"&gt;="&amp;M321,$K$5:$K$1517,1)/COUNTIF($M$5:$M$1517,"&gt;="&amp;M321),0)</f>
        <v>0</v>
      </c>
      <c r="W321" s="8" t="n">
        <f aca="false">IF($K321=1,COUNTIFS($N$5:$N$1517,"&gt;="&amp;N321,$K$5:$K$1517,1)/COUNTIF($N$5:$N$1517,"&gt;="&amp;N321),0)</f>
        <v>0</v>
      </c>
      <c r="X321" s="8" t="n">
        <f aca="false">IF($K321=1,COUNTIFS($O$5:$O$1517,"&gt;="&amp;O321,$K$5:$K$1517,1)/COUNTIF($O$5:$O$1517,"&gt;="&amp;O321),0)</f>
        <v>0</v>
      </c>
      <c r="Y321" s="8" t="n">
        <f aca="false">IF($K321=1,COUNTIFS($P$5:$P$1517,"&gt;="&amp;P321,$K$5:$K$1517,1)/COUNTIF($P$5:$P$1517,"&gt;="&amp;P321),0)</f>
        <v>0</v>
      </c>
      <c r="Z321" s="8" t="n">
        <f aca="false">(L321-$K321)^2</f>
        <v>0.080807158756</v>
      </c>
      <c r="AA321" s="8" t="n">
        <f aca="false">(M321-$K321)^2</f>
        <v>0.008475595969</v>
      </c>
      <c r="AB321" s="8" t="n">
        <f aca="false">(N321-$K321)^2</f>
        <v>0.01697809</v>
      </c>
      <c r="AC321" s="8" t="n">
        <f aca="false">(O321-$K321)^2</f>
        <v>0.011274829489</v>
      </c>
      <c r="AD321" s="8" t="n">
        <f aca="false">(P321-$K321)^2</f>
        <v>0.019453275625</v>
      </c>
      <c r="AE321" s="8" t="n">
        <f aca="false">MIN(INT(ROUND(N321*1000000,0)/100000),9)</f>
        <v>1</v>
      </c>
      <c r="AF321" s="8" t="n">
        <f aca="false">MIN(INT(ROUND(P321*1000000,0)/100000),9)</f>
        <v>1</v>
      </c>
    </row>
    <row r="322" customFormat="false" ht="15" hidden="false" customHeight="false" outlineLevel="0" collapsed="false">
      <c r="A322" s="4" t="n">
        <v>318</v>
      </c>
      <c r="B322" s="4" t="n">
        <v>1444</v>
      </c>
      <c r="C322" s="4" t="n">
        <v>0</v>
      </c>
      <c r="D322" s="11" t="n">
        <v>46054</v>
      </c>
      <c r="E322" s="4" t="s">
        <v>204</v>
      </c>
      <c r="F322" s="4" t="s">
        <v>209</v>
      </c>
      <c r="G322" s="4" t="n">
        <v>2</v>
      </c>
      <c r="H322" s="4" t="n">
        <v>5</v>
      </c>
      <c r="I322" s="4" t="n">
        <v>0</v>
      </c>
      <c r="J322" s="4" t="n">
        <v>93</v>
      </c>
      <c r="K322" s="4" t="n">
        <v>0</v>
      </c>
      <c r="L322" s="12" t="n">
        <v>0.759317</v>
      </c>
      <c r="M322" s="12" t="n">
        <v>0.092063</v>
      </c>
      <c r="N322" s="12" t="n">
        <v>0.141794</v>
      </c>
      <c r="O322" s="12" t="n">
        <v>0.106183</v>
      </c>
      <c r="P322" s="12" t="n">
        <v>0.152237</v>
      </c>
      <c r="Q322" s="0" t="str">
        <f aca="false">IF(L322&gt;=Models!$G$5,1+COUNTIF($L$5:$L$1517,"&gt;"&amp;L322)+COUNTIFS($L$5:$L$1517,L322,$B$5:$B$1517,"&lt;"&amp;B322)+COUNTIFS($L$5:$L$1517,L322,$B$5:$B$1517,B322,$C$5:$C$1517,"&lt;"&amp;C322),"")</f>
        <v/>
      </c>
      <c r="R322" s="0" t="str">
        <f aca="false">IF(M322&gt;=Models!$G$6,1+COUNTIF($M$5:$M$1517,"&gt;"&amp;M322)+COUNTIFS($M$5:$M$1517,M322,$B$5:$B$1517,"&lt;"&amp;B322)+COUNTIFS($M$5:$M$1517,M322,$B$5:$B$1517,B322,$C$5:$C$1517,"&lt;"&amp;C322),"")</f>
        <v/>
      </c>
      <c r="S322" s="0" t="str">
        <f aca="false">IF(N322&gt;=Models!$G$7,1+COUNTIF($N$5:$N$1517,"&gt;"&amp;N322)+COUNTIFS($N$5:$N$1517,N322,$B$5:$B$1517,"&lt;"&amp;B322)+COUNTIFS($N$5:$N$1517,N322,$B$5:$B$1517,B322,$C$5:$C$1517,"&lt;"&amp;C322),"")</f>
        <v/>
      </c>
      <c r="T322" s="8" t="n">
        <f aca="false">IF(O322&gt;=Models!$G$8,1+COUNTIF($O$5:$O$1517,"&gt;"&amp;O322)+COUNTIFS($O$5:$O$1517,O322,$B$5:$B$1517,"&lt;"&amp;B322)+COUNTIFS($O$5:$O$1517,O322,$B$5:$B$1517,B322,$C$5:$C$1517,"&lt;"&amp;C322),"")</f>
        <v>1195</v>
      </c>
      <c r="U322" s="8" t="n">
        <f aca="false">IF($K322=1,COUNTIFS($L$5:$L$1517,"&gt;="&amp;L322,$K$5:$K$1517,1)/COUNTIF($L$5:$L$1517,"&gt;="&amp;L322),0)</f>
        <v>0</v>
      </c>
      <c r="V322" s="8" t="n">
        <f aca="false">IF($K322=1,COUNTIFS($M$5:$M$1517,"&gt;="&amp;M322,$K$5:$K$1517,1)/COUNTIF($M$5:$M$1517,"&gt;="&amp;M322),0)</f>
        <v>0</v>
      </c>
      <c r="W322" s="8" t="n">
        <f aca="false">IF($K322=1,COUNTIFS($N$5:$N$1517,"&gt;="&amp;N322,$K$5:$K$1517,1)/COUNTIF($N$5:$N$1517,"&gt;="&amp;N322),0)</f>
        <v>0</v>
      </c>
      <c r="X322" s="8" t="n">
        <f aca="false">IF($K322=1,COUNTIFS($O$5:$O$1517,"&gt;="&amp;O322,$K$5:$K$1517,1)/COUNTIF($O$5:$O$1517,"&gt;="&amp;O322),0)</f>
        <v>0</v>
      </c>
      <c r="Y322" s="8" t="n">
        <f aca="false">IF($K322=1,COUNTIFS($P$5:$P$1517,"&gt;="&amp;P322,$K$5:$K$1517,1)/COUNTIF($P$5:$P$1517,"&gt;="&amp;P322),0)</f>
        <v>0</v>
      </c>
      <c r="Z322" s="8" t="n">
        <f aca="false">(L322-$K322)^2</f>
        <v>0.576562306489</v>
      </c>
      <c r="AA322" s="8" t="n">
        <f aca="false">(M322-$K322)^2</f>
        <v>0.008475595969</v>
      </c>
      <c r="AB322" s="8" t="n">
        <f aca="false">(N322-$K322)^2</f>
        <v>0.020105538436</v>
      </c>
      <c r="AC322" s="8" t="n">
        <f aca="false">(O322-$K322)^2</f>
        <v>0.011274829489</v>
      </c>
      <c r="AD322" s="8" t="n">
        <f aca="false">(P322-$K322)^2</f>
        <v>0.023176104169</v>
      </c>
      <c r="AE322" s="8" t="n">
        <f aca="false">MIN(INT(ROUND(N322*1000000,0)/100000),9)</f>
        <v>1</v>
      </c>
      <c r="AF322" s="8" t="n">
        <f aca="false">MIN(INT(ROUND(P322*1000000,0)/100000),9)</f>
        <v>1</v>
      </c>
    </row>
    <row r="323" customFormat="false" ht="15" hidden="false" customHeight="false" outlineLevel="0" collapsed="false">
      <c r="A323" s="4" t="n">
        <v>319</v>
      </c>
      <c r="B323" s="4" t="n">
        <v>1448</v>
      </c>
      <c r="C323" s="4" t="n">
        <v>0</v>
      </c>
      <c r="D323" s="11" t="n">
        <v>46054</v>
      </c>
      <c r="E323" s="4" t="s">
        <v>203</v>
      </c>
      <c r="F323" s="4" t="s">
        <v>208</v>
      </c>
      <c r="G323" s="4" t="n">
        <v>6</v>
      </c>
      <c r="H323" s="4" t="n">
        <v>2</v>
      </c>
      <c r="I323" s="4" t="n">
        <v>0</v>
      </c>
      <c r="J323" s="4" t="n">
        <v>315</v>
      </c>
      <c r="K323" s="4" t="n">
        <v>0</v>
      </c>
      <c r="L323" s="12" t="n">
        <v>0.235538</v>
      </c>
      <c r="M323" s="12" t="n">
        <v>0.092063</v>
      </c>
      <c r="N323" s="12" t="n">
        <v>0.099938</v>
      </c>
      <c r="O323" s="12" t="n">
        <v>0.106183</v>
      </c>
      <c r="P323" s="12" t="n">
        <v>0.105882</v>
      </c>
      <c r="Q323" s="0" t="str">
        <f aca="false">IF(L323&gt;=Models!$G$5,1+COUNTIF($L$5:$L$1517,"&gt;"&amp;L323)+COUNTIFS($L$5:$L$1517,L323,$B$5:$B$1517,"&lt;"&amp;B323)+COUNTIFS($L$5:$L$1517,L323,$B$5:$B$1517,B323,$C$5:$C$1517,"&lt;"&amp;C323),"")</f>
        <v/>
      </c>
      <c r="R323" s="0" t="str">
        <f aca="false">IF(M323&gt;=Models!$G$6,1+COUNTIF($M$5:$M$1517,"&gt;"&amp;M323)+COUNTIFS($M$5:$M$1517,M323,$B$5:$B$1517,"&lt;"&amp;B323)+COUNTIFS($M$5:$M$1517,M323,$B$5:$B$1517,B323,$C$5:$C$1517,"&lt;"&amp;C323),"")</f>
        <v/>
      </c>
      <c r="S323" s="0" t="str">
        <f aca="false">IF(N323&gt;=Models!$G$7,1+COUNTIF($N$5:$N$1517,"&gt;"&amp;N323)+COUNTIFS($N$5:$N$1517,N323,$B$5:$B$1517,"&lt;"&amp;B323)+COUNTIFS($N$5:$N$1517,N323,$B$5:$B$1517,B323,$C$5:$C$1517,"&lt;"&amp;C323),"")</f>
        <v/>
      </c>
      <c r="T323" s="8" t="n">
        <f aca="false">IF(O323&gt;=Models!$G$8,1+COUNTIF($O$5:$O$1517,"&gt;"&amp;O323)+COUNTIFS($O$5:$O$1517,O323,$B$5:$B$1517,"&lt;"&amp;B323)+COUNTIFS($O$5:$O$1517,O323,$B$5:$B$1517,B323,$C$5:$C$1517,"&lt;"&amp;C323),"")</f>
        <v>1199</v>
      </c>
      <c r="U323" s="8" t="n">
        <f aca="false">IF($K323=1,COUNTIFS($L$5:$L$1517,"&gt;="&amp;L323,$K$5:$K$1517,1)/COUNTIF($L$5:$L$1517,"&gt;="&amp;L323),0)</f>
        <v>0</v>
      </c>
      <c r="V323" s="8" t="n">
        <f aca="false">IF($K323=1,COUNTIFS($M$5:$M$1517,"&gt;="&amp;M323,$K$5:$K$1517,1)/COUNTIF($M$5:$M$1517,"&gt;="&amp;M323),0)</f>
        <v>0</v>
      </c>
      <c r="W323" s="8" t="n">
        <f aca="false">IF($K323=1,COUNTIFS($N$5:$N$1517,"&gt;="&amp;N323,$K$5:$K$1517,1)/COUNTIF($N$5:$N$1517,"&gt;="&amp;N323),0)</f>
        <v>0</v>
      </c>
      <c r="X323" s="8" t="n">
        <f aca="false">IF($K323=1,COUNTIFS($O$5:$O$1517,"&gt;="&amp;O323,$K$5:$K$1517,1)/COUNTIF($O$5:$O$1517,"&gt;="&amp;O323),0)</f>
        <v>0</v>
      </c>
      <c r="Y323" s="8" t="n">
        <f aca="false">IF($K323=1,COUNTIFS($P$5:$P$1517,"&gt;="&amp;P323,$K$5:$K$1517,1)/COUNTIF($P$5:$P$1517,"&gt;="&amp;P323),0)</f>
        <v>0</v>
      </c>
      <c r="Z323" s="8" t="n">
        <f aca="false">(L323-$K323)^2</f>
        <v>0.055478149444</v>
      </c>
      <c r="AA323" s="8" t="n">
        <f aca="false">(M323-$K323)^2</f>
        <v>0.008475595969</v>
      </c>
      <c r="AB323" s="8" t="n">
        <f aca="false">(N323-$K323)^2</f>
        <v>0.009987603844</v>
      </c>
      <c r="AC323" s="8" t="n">
        <f aca="false">(O323-$K323)^2</f>
        <v>0.011274829489</v>
      </c>
      <c r="AD323" s="8" t="n">
        <f aca="false">(P323-$K323)^2</f>
        <v>0.011210997924</v>
      </c>
      <c r="AE323" s="8" t="n">
        <f aca="false">MIN(INT(ROUND(N323*1000000,0)/100000),9)</f>
        <v>0</v>
      </c>
      <c r="AF323" s="8" t="n">
        <f aca="false">MIN(INT(ROUND(P323*1000000,0)/100000),9)</f>
        <v>1</v>
      </c>
    </row>
    <row r="324" customFormat="false" ht="15" hidden="false" customHeight="false" outlineLevel="0" collapsed="false">
      <c r="A324" s="4" t="n">
        <v>320</v>
      </c>
      <c r="B324" s="4" t="n">
        <v>1453</v>
      </c>
      <c r="C324" s="4" t="n">
        <v>0</v>
      </c>
      <c r="D324" s="11" t="n">
        <v>46054</v>
      </c>
      <c r="E324" s="4" t="s">
        <v>203</v>
      </c>
      <c r="F324" s="4" t="s">
        <v>210</v>
      </c>
      <c r="G324" s="4" t="n">
        <v>3</v>
      </c>
      <c r="H324" s="4" t="n">
        <v>4</v>
      </c>
      <c r="I324" s="4" t="n">
        <v>1</v>
      </c>
      <c r="J324" s="4"/>
      <c r="K324" s="4" t="n">
        <v>0</v>
      </c>
      <c r="L324" s="12" t="n">
        <v>0.70493</v>
      </c>
      <c r="M324" s="12" t="n">
        <v>0.184211</v>
      </c>
      <c r="N324" s="12" t="n">
        <v>0.113651</v>
      </c>
      <c r="O324" s="12" t="n">
        <v>0.106183</v>
      </c>
      <c r="P324" s="12" t="n">
        <v>0.121028</v>
      </c>
      <c r="Q324" s="0" t="str">
        <f aca="false">IF(L324&gt;=Models!$G$5,1+COUNTIF($L$5:$L$1517,"&gt;"&amp;L324)+COUNTIFS($L$5:$L$1517,L324,$B$5:$B$1517,"&lt;"&amp;B324)+COUNTIFS($L$5:$L$1517,L324,$B$5:$B$1517,B324,$C$5:$C$1517,"&lt;"&amp;C324),"")</f>
        <v/>
      </c>
      <c r="R324" s="8" t="n">
        <f aca="false">IF(M324&gt;=Models!$G$6,1+COUNTIF($M$5:$M$1517,"&gt;"&amp;M324)+COUNTIFS($M$5:$M$1517,M324,$B$5:$B$1517,"&lt;"&amp;B324)+COUNTIFS($M$5:$M$1517,M324,$B$5:$B$1517,B324,$C$5:$C$1517,"&lt;"&amp;C324),"")</f>
        <v>149</v>
      </c>
      <c r="S324" s="0" t="str">
        <f aca="false">IF(N324&gt;=Models!$G$7,1+COUNTIF($N$5:$N$1517,"&gt;"&amp;N324)+COUNTIFS($N$5:$N$1517,N324,$B$5:$B$1517,"&lt;"&amp;B324)+COUNTIFS($N$5:$N$1517,N324,$B$5:$B$1517,B324,$C$5:$C$1517,"&lt;"&amp;C324),"")</f>
        <v/>
      </c>
      <c r="T324" s="8" t="n">
        <f aca="false">IF(O324&gt;=Models!$G$8,1+COUNTIF($O$5:$O$1517,"&gt;"&amp;O324)+COUNTIFS($O$5:$O$1517,O324,$B$5:$B$1517,"&lt;"&amp;B324)+COUNTIFS($O$5:$O$1517,O324,$B$5:$B$1517,B324,$C$5:$C$1517,"&lt;"&amp;C324),"")</f>
        <v>1203</v>
      </c>
      <c r="U324" s="8" t="n">
        <f aca="false">IF($K324=1,COUNTIFS($L$5:$L$1517,"&gt;="&amp;L324,$K$5:$K$1517,1)/COUNTIF($L$5:$L$1517,"&gt;="&amp;L324),0)</f>
        <v>0</v>
      </c>
      <c r="V324" s="8" t="n">
        <f aca="false">IF($K324=1,COUNTIFS($M$5:$M$1517,"&gt;="&amp;M324,$K$5:$K$1517,1)/COUNTIF($M$5:$M$1517,"&gt;="&amp;M324),0)</f>
        <v>0</v>
      </c>
      <c r="W324" s="8" t="n">
        <f aca="false">IF($K324=1,COUNTIFS($N$5:$N$1517,"&gt;="&amp;N324,$K$5:$K$1517,1)/COUNTIF($N$5:$N$1517,"&gt;="&amp;N324),0)</f>
        <v>0</v>
      </c>
      <c r="X324" s="8" t="n">
        <f aca="false">IF($K324=1,COUNTIFS($O$5:$O$1517,"&gt;="&amp;O324,$K$5:$K$1517,1)/COUNTIF($O$5:$O$1517,"&gt;="&amp;O324),0)</f>
        <v>0</v>
      </c>
      <c r="Y324" s="8" t="n">
        <f aca="false">IF($K324=1,COUNTIFS($P$5:$P$1517,"&gt;="&amp;P324,$K$5:$K$1517,1)/COUNTIF($P$5:$P$1517,"&gt;="&amp;P324),0)</f>
        <v>0</v>
      </c>
      <c r="Z324" s="8" t="n">
        <f aca="false">(L324-$K324)^2</f>
        <v>0.4969263049</v>
      </c>
      <c r="AA324" s="8" t="n">
        <f aca="false">(M324-$K324)^2</f>
        <v>0.033933692521</v>
      </c>
      <c r="AB324" s="8" t="n">
        <f aca="false">(N324-$K324)^2</f>
        <v>0.012916549801</v>
      </c>
      <c r="AC324" s="8" t="n">
        <f aca="false">(O324-$K324)^2</f>
        <v>0.011274829489</v>
      </c>
      <c r="AD324" s="8" t="n">
        <f aca="false">(P324-$K324)^2</f>
        <v>0.014647776784</v>
      </c>
      <c r="AE324" s="8" t="n">
        <f aca="false">MIN(INT(ROUND(N324*1000000,0)/100000),9)</f>
        <v>1</v>
      </c>
      <c r="AF324" s="8" t="n">
        <f aca="false">MIN(INT(ROUND(P324*1000000,0)/100000),9)</f>
        <v>1</v>
      </c>
    </row>
    <row r="325" customFormat="false" ht="15" hidden="false" customHeight="false" outlineLevel="0" collapsed="false">
      <c r="A325" s="4" t="n">
        <v>321</v>
      </c>
      <c r="B325" s="4" t="n">
        <v>1456</v>
      </c>
      <c r="C325" s="4" t="n">
        <v>0</v>
      </c>
      <c r="D325" s="11" t="n">
        <v>46054</v>
      </c>
      <c r="E325" s="4" t="s">
        <v>202</v>
      </c>
      <c r="F325" s="4" t="s">
        <v>210</v>
      </c>
      <c r="G325" s="4" t="n">
        <v>5</v>
      </c>
      <c r="H325" s="4" t="n">
        <v>3</v>
      </c>
      <c r="I325" s="4" t="n">
        <v>0</v>
      </c>
      <c r="J325" s="4" t="n">
        <v>1026</v>
      </c>
      <c r="K325" s="4" t="n">
        <v>0</v>
      </c>
      <c r="L325" s="12" t="n">
        <v>0.91713</v>
      </c>
      <c r="M325" s="12" t="n">
        <v>0.092063</v>
      </c>
      <c r="N325" s="12" t="n">
        <v>0.105174</v>
      </c>
      <c r="O325" s="12" t="n">
        <v>0.106183</v>
      </c>
      <c r="P325" s="12" t="n">
        <v>0.111659</v>
      </c>
      <c r="Q325" s="0" t="str">
        <f aca="false">IF(L325&gt;=Models!$G$5,1+COUNTIF($L$5:$L$1517,"&gt;"&amp;L325)+COUNTIFS($L$5:$L$1517,L325,$B$5:$B$1517,"&lt;"&amp;B325)+COUNTIFS($L$5:$L$1517,L325,$B$5:$B$1517,B325,$C$5:$C$1517,"&lt;"&amp;C325),"")</f>
        <v/>
      </c>
      <c r="R325" s="0" t="str">
        <f aca="false">IF(M325&gt;=Models!$G$6,1+COUNTIF($M$5:$M$1517,"&gt;"&amp;M325)+COUNTIFS($M$5:$M$1517,M325,$B$5:$B$1517,"&lt;"&amp;B325)+COUNTIFS($M$5:$M$1517,M325,$B$5:$B$1517,B325,$C$5:$C$1517,"&lt;"&amp;C325),"")</f>
        <v/>
      </c>
      <c r="S325" s="0" t="str">
        <f aca="false">IF(N325&gt;=Models!$G$7,1+COUNTIF($N$5:$N$1517,"&gt;"&amp;N325)+COUNTIFS($N$5:$N$1517,N325,$B$5:$B$1517,"&lt;"&amp;B325)+COUNTIFS($N$5:$N$1517,N325,$B$5:$B$1517,B325,$C$5:$C$1517,"&lt;"&amp;C325),"")</f>
        <v/>
      </c>
      <c r="T325" s="8" t="n">
        <f aca="false">IF(O325&gt;=Models!$G$8,1+COUNTIF($O$5:$O$1517,"&gt;"&amp;O325)+COUNTIFS($O$5:$O$1517,O325,$B$5:$B$1517,"&lt;"&amp;B325)+COUNTIFS($O$5:$O$1517,O325,$B$5:$B$1517,B325,$C$5:$C$1517,"&lt;"&amp;C325),"")</f>
        <v>1207</v>
      </c>
      <c r="U325" s="8" t="n">
        <f aca="false">IF($K325=1,COUNTIFS($L$5:$L$1517,"&gt;="&amp;L325,$K$5:$K$1517,1)/COUNTIF($L$5:$L$1517,"&gt;="&amp;L325),0)</f>
        <v>0</v>
      </c>
      <c r="V325" s="8" t="n">
        <f aca="false">IF($K325=1,COUNTIFS($M$5:$M$1517,"&gt;="&amp;M325,$K$5:$K$1517,1)/COUNTIF($M$5:$M$1517,"&gt;="&amp;M325),0)</f>
        <v>0</v>
      </c>
      <c r="W325" s="8" t="n">
        <f aca="false">IF($K325=1,COUNTIFS($N$5:$N$1517,"&gt;="&amp;N325,$K$5:$K$1517,1)/COUNTIF($N$5:$N$1517,"&gt;="&amp;N325),0)</f>
        <v>0</v>
      </c>
      <c r="X325" s="8" t="n">
        <f aca="false">IF($K325=1,COUNTIFS($O$5:$O$1517,"&gt;="&amp;O325,$K$5:$K$1517,1)/COUNTIF($O$5:$O$1517,"&gt;="&amp;O325),0)</f>
        <v>0</v>
      </c>
      <c r="Y325" s="8" t="n">
        <f aca="false">IF($K325=1,COUNTIFS($P$5:$P$1517,"&gt;="&amp;P325,$K$5:$K$1517,1)/COUNTIF($P$5:$P$1517,"&gt;="&amp;P325),0)</f>
        <v>0</v>
      </c>
      <c r="Z325" s="8" t="n">
        <f aca="false">(L325-$K325)^2</f>
        <v>0.8411274369</v>
      </c>
      <c r="AA325" s="8" t="n">
        <f aca="false">(M325-$K325)^2</f>
        <v>0.008475595969</v>
      </c>
      <c r="AB325" s="8" t="n">
        <f aca="false">(N325-$K325)^2</f>
        <v>0.011061570276</v>
      </c>
      <c r="AC325" s="8" t="n">
        <f aca="false">(O325-$K325)^2</f>
        <v>0.011274829489</v>
      </c>
      <c r="AD325" s="8" t="n">
        <f aca="false">(P325-$K325)^2</f>
        <v>0.012467732281</v>
      </c>
      <c r="AE325" s="8" t="n">
        <f aca="false">MIN(INT(ROUND(N325*1000000,0)/100000),9)</f>
        <v>1</v>
      </c>
      <c r="AF325" s="8" t="n">
        <f aca="false">MIN(INT(ROUND(P325*1000000,0)/100000),9)</f>
        <v>1</v>
      </c>
    </row>
    <row r="326" customFormat="false" ht="15" hidden="false" customHeight="false" outlineLevel="0" collapsed="false">
      <c r="A326" s="4" t="n">
        <v>322</v>
      </c>
      <c r="B326" s="4" t="n">
        <v>1460</v>
      </c>
      <c r="C326" s="4" t="n">
        <v>0</v>
      </c>
      <c r="D326" s="11" t="n">
        <v>46054</v>
      </c>
      <c r="E326" s="4" t="s">
        <v>203</v>
      </c>
      <c r="F326" s="4" t="s">
        <v>210</v>
      </c>
      <c r="G326" s="4" t="n">
        <v>9</v>
      </c>
      <c r="H326" s="4" t="n">
        <v>0</v>
      </c>
      <c r="I326" s="4" t="n">
        <v>0</v>
      </c>
      <c r="J326" s="4" t="n">
        <v>270</v>
      </c>
      <c r="K326" s="4" t="n">
        <v>0</v>
      </c>
      <c r="L326" s="12" t="n">
        <v>0.615439</v>
      </c>
      <c r="M326" s="12" t="n">
        <v>0.092063</v>
      </c>
      <c r="N326" s="12" t="n">
        <v>0.077153</v>
      </c>
      <c r="O326" s="12" t="n">
        <v>0.106183</v>
      </c>
      <c r="P326" s="12" t="n">
        <v>0.080856</v>
      </c>
      <c r="Q326" s="0" t="str">
        <f aca="false">IF(L326&gt;=Models!$G$5,1+COUNTIF($L$5:$L$1517,"&gt;"&amp;L326)+COUNTIFS($L$5:$L$1517,L326,$B$5:$B$1517,"&lt;"&amp;B326)+COUNTIFS($L$5:$L$1517,L326,$B$5:$B$1517,B326,$C$5:$C$1517,"&lt;"&amp;C326),"")</f>
        <v/>
      </c>
      <c r="R326" s="0" t="str">
        <f aca="false">IF(M326&gt;=Models!$G$6,1+COUNTIF($M$5:$M$1517,"&gt;"&amp;M326)+COUNTIFS($M$5:$M$1517,M326,$B$5:$B$1517,"&lt;"&amp;B326)+COUNTIFS($M$5:$M$1517,M326,$B$5:$B$1517,B326,$C$5:$C$1517,"&lt;"&amp;C326),"")</f>
        <v/>
      </c>
      <c r="S326" s="0" t="str">
        <f aca="false">IF(N326&gt;=Models!$G$7,1+COUNTIF($N$5:$N$1517,"&gt;"&amp;N326)+COUNTIFS($N$5:$N$1517,N326,$B$5:$B$1517,"&lt;"&amp;B326)+COUNTIFS($N$5:$N$1517,N326,$B$5:$B$1517,B326,$C$5:$C$1517,"&lt;"&amp;C326),"")</f>
        <v/>
      </c>
      <c r="T326" s="8" t="n">
        <f aca="false">IF(O326&gt;=Models!$G$8,1+COUNTIF($O$5:$O$1517,"&gt;"&amp;O326)+COUNTIFS($O$5:$O$1517,O326,$B$5:$B$1517,"&lt;"&amp;B326)+COUNTIFS($O$5:$O$1517,O326,$B$5:$B$1517,B326,$C$5:$C$1517,"&lt;"&amp;C326),"")</f>
        <v>1211</v>
      </c>
      <c r="U326" s="8" t="n">
        <f aca="false">IF($K326=1,COUNTIFS($L$5:$L$1517,"&gt;="&amp;L326,$K$5:$K$1517,1)/COUNTIF($L$5:$L$1517,"&gt;="&amp;L326),0)</f>
        <v>0</v>
      </c>
      <c r="V326" s="8" t="n">
        <f aca="false">IF($K326=1,COUNTIFS($M$5:$M$1517,"&gt;="&amp;M326,$K$5:$K$1517,1)/COUNTIF($M$5:$M$1517,"&gt;="&amp;M326),0)</f>
        <v>0</v>
      </c>
      <c r="W326" s="8" t="n">
        <f aca="false">IF($K326=1,COUNTIFS($N$5:$N$1517,"&gt;="&amp;N326,$K$5:$K$1517,1)/COUNTIF($N$5:$N$1517,"&gt;="&amp;N326),0)</f>
        <v>0</v>
      </c>
      <c r="X326" s="8" t="n">
        <f aca="false">IF($K326=1,COUNTIFS($O$5:$O$1517,"&gt;="&amp;O326,$K$5:$K$1517,1)/COUNTIF($O$5:$O$1517,"&gt;="&amp;O326),0)</f>
        <v>0</v>
      </c>
      <c r="Y326" s="8" t="n">
        <f aca="false">IF($K326=1,COUNTIFS($P$5:$P$1517,"&gt;="&amp;P326,$K$5:$K$1517,1)/COUNTIF($P$5:$P$1517,"&gt;="&amp;P326),0)</f>
        <v>0</v>
      </c>
      <c r="Z326" s="8" t="n">
        <f aca="false">(L326-$K326)^2</f>
        <v>0.378765162721</v>
      </c>
      <c r="AA326" s="8" t="n">
        <f aca="false">(M326-$K326)^2</f>
        <v>0.008475595969</v>
      </c>
      <c r="AB326" s="8" t="n">
        <f aca="false">(N326-$K326)^2</f>
        <v>0.005952585409</v>
      </c>
      <c r="AC326" s="8" t="n">
        <f aca="false">(O326-$K326)^2</f>
        <v>0.011274829489</v>
      </c>
      <c r="AD326" s="8" t="n">
        <f aca="false">(P326-$K326)^2</f>
        <v>0.006537692736</v>
      </c>
      <c r="AE326" s="8" t="n">
        <f aca="false">MIN(INT(ROUND(N326*1000000,0)/100000),9)</f>
        <v>0</v>
      </c>
      <c r="AF326" s="8" t="n">
        <f aca="false">MIN(INT(ROUND(P326*1000000,0)/100000),9)</f>
        <v>0</v>
      </c>
    </row>
    <row r="327" customFormat="false" ht="15" hidden="false" customHeight="false" outlineLevel="0" collapsed="false">
      <c r="A327" s="4" t="n">
        <v>323</v>
      </c>
      <c r="B327" s="4" t="n">
        <v>1462</v>
      </c>
      <c r="C327" s="4" t="n">
        <v>0</v>
      </c>
      <c r="D327" s="11" t="n">
        <v>46054</v>
      </c>
      <c r="E327" s="4" t="s">
        <v>204</v>
      </c>
      <c r="F327" s="4" t="s">
        <v>207</v>
      </c>
      <c r="G327" s="4" t="n">
        <v>4</v>
      </c>
      <c r="H327" s="4" t="n">
        <v>6</v>
      </c>
      <c r="I327" s="4" t="n">
        <v>0</v>
      </c>
      <c r="J327" s="4" t="n">
        <v>57</v>
      </c>
      <c r="K327" s="4" t="n">
        <v>0</v>
      </c>
      <c r="L327" s="12" t="n">
        <v>0.631464</v>
      </c>
      <c r="M327" s="12" t="n">
        <v>0.092063</v>
      </c>
      <c r="N327" s="12" t="n">
        <v>0.122371</v>
      </c>
      <c r="O327" s="12" t="n">
        <v>0.106183</v>
      </c>
      <c r="P327" s="12" t="n">
        <v>0.130683</v>
      </c>
      <c r="Q327" s="0" t="str">
        <f aca="false">IF(L327&gt;=Models!$G$5,1+COUNTIF($L$5:$L$1517,"&gt;"&amp;L327)+COUNTIFS($L$5:$L$1517,L327,$B$5:$B$1517,"&lt;"&amp;B327)+COUNTIFS($L$5:$L$1517,L327,$B$5:$B$1517,B327,$C$5:$C$1517,"&lt;"&amp;C327),"")</f>
        <v/>
      </c>
      <c r="R327" s="0" t="str">
        <f aca="false">IF(M327&gt;=Models!$G$6,1+COUNTIF($M$5:$M$1517,"&gt;"&amp;M327)+COUNTIFS($M$5:$M$1517,M327,$B$5:$B$1517,"&lt;"&amp;B327)+COUNTIFS($M$5:$M$1517,M327,$B$5:$B$1517,B327,$C$5:$C$1517,"&lt;"&amp;C327),"")</f>
        <v/>
      </c>
      <c r="S327" s="0" t="str">
        <f aca="false">IF(N327&gt;=Models!$G$7,1+COUNTIF($N$5:$N$1517,"&gt;"&amp;N327)+COUNTIFS($N$5:$N$1517,N327,$B$5:$B$1517,"&lt;"&amp;B327)+COUNTIFS($N$5:$N$1517,N327,$B$5:$B$1517,B327,$C$5:$C$1517,"&lt;"&amp;C327),"")</f>
        <v/>
      </c>
      <c r="T327" s="8" t="n">
        <f aca="false">IF(O327&gt;=Models!$G$8,1+COUNTIF($O$5:$O$1517,"&gt;"&amp;O327)+COUNTIFS($O$5:$O$1517,O327,$B$5:$B$1517,"&lt;"&amp;B327)+COUNTIFS($O$5:$O$1517,O327,$B$5:$B$1517,B327,$C$5:$C$1517,"&lt;"&amp;C327),"")</f>
        <v>1215</v>
      </c>
      <c r="U327" s="8" t="n">
        <f aca="false">IF($K327=1,COUNTIFS($L$5:$L$1517,"&gt;="&amp;L327,$K$5:$K$1517,1)/COUNTIF($L$5:$L$1517,"&gt;="&amp;L327),0)</f>
        <v>0</v>
      </c>
      <c r="V327" s="8" t="n">
        <f aca="false">IF($K327=1,COUNTIFS($M$5:$M$1517,"&gt;="&amp;M327,$K$5:$K$1517,1)/COUNTIF($M$5:$M$1517,"&gt;="&amp;M327),0)</f>
        <v>0</v>
      </c>
      <c r="W327" s="8" t="n">
        <f aca="false">IF($K327=1,COUNTIFS($N$5:$N$1517,"&gt;="&amp;N327,$K$5:$K$1517,1)/COUNTIF($N$5:$N$1517,"&gt;="&amp;N327),0)</f>
        <v>0</v>
      </c>
      <c r="X327" s="8" t="n">
        <f aca="false">IF($K327=1,COUNTIFS($O$5:$O$1517,"&gt;="&amp;O327,$K$5:$K$1517,1)/COUNTIF($O$5:$O$1517,"&gt;="&amp;O327),0)</f>
        <v>0</v>
      </c>
      <c r="Y327" s="8" t="n">
        <f aca="false">IF($K327=1,COUNTIFS($P$5:$P$1517,"&gt;="&amp;P327,$K$5:$K$1517,1)/COUNTIF($P$5:$P$1517,"&gt;="&amp;P327),0)</f>
        <v>0</v>
      </c>
      <c r="Z327" s="8" t="n">
        <f aca="false">(L327-$K327)^2</f>
        <v>0.398746783296</v>
      </c>
      <c r="AA327" s="8" t="n">
        <f aca="false">(M327-$K327)^2</f>
        <v>0.008475595969</v>
      </c>
      <c r="AB327" s="8" t="n">
        <f aca="false">(N327-$K327)^2</f>
        <v>0.014974661641</v>
      </c>
      <c r="AC327" s="8" t="n">
        <f aca="false">(O327-$K327)^2</f>
        <v>0.011274829489</v>
      </c>
      <c r="AD327" s="8" t="n">
        <f aca="false">(P327-$K327)^2</f>
        <v>0.017078046489</v>
      </c>
      <c r="AE327" s="8" t="n">
        <f aca="false">MIN(INT(ROUND(N327*1000000,0)/100000),9)</f>
        <v>1</v>
      </c>
      <c r="AF327" s="8" t="n">
        <f aca="false">MIN(INT(ROUND(P327*1000000,0)/100000),9)</f>
        <v>1</v>
      </c>
    </row>
    <row r="328" customFormat="false" ht="15" hidden="false" customHeight="false" outlineLevel="0" collapsed="false">
      <c r="A328" s="4" t="n">
        <v>324</v>
      </c>
      <c r="B328" s="4" t="n">
        <v>1463</v>
      </c>
      <c r="C328" s="4" t="n">
        <v>0</v>
      </c>
      <c r="D328" s="11" t="n">
        <v>46054</v>
      </c>
      <c r="E328" s="4" t="s">
        <v>201</v>
      </c>
      <c r="F328" s="4" t="s">
        <v>206</v>
      </c>
      <c r="G328" s="4" t="n">
        <v>28</v>
      </c>
      <c r="H328" s="4" t="n">
        <v>1</v>
      </c>
      <c r="I328" s="4" t="n">
        <v>0</v>
      </c>
      <c r="J328" s="4"/>
      <c r="K328" s="4" t="n">
        <v>0</v>
      </c>
      <c r="L328" s="12" t="n">
        <v>0.62028</v>
      </c>
      <c r="M328" s="12" t="n">
        <v>0.092063</v>
      </c>
      <c r="N328" s="12" t="n">
        <v>0.007215</v>
      </c>
      <c r="O328" s="12" t="n">
        <v>0.106183</v>
      </c>
      <c r="P328" s="12" t="n">
        <v>0.006762</v>
      </c>
      <c r="Q328" s="0" t="str">
        <f aca="false">IF(L328&gt;=Models!$G$5,1+COUNTIF($L$5:$L$1517,"&gt;"&amp;L328)+COUNTIFS($L$5:$L$1517,L328,$B$5:$B$1517,"&lt;"&amp;B328)+COUNTIFS($L$5:$L$1517,L328,$B$5:$B$1517,B328,$C$5:$C$1517,"&lt;"&amp;C328),"")</f>
        <v/>
      </c>
      <c r="R328" s="0" t="str">
        <f aca="false">IF(M328&gt;=Models!$G$6,1+COUNTIF($M$5:$M$1517,"&gt;"&amp;M328)+COUNTIFS($M$5:$M$1517,M328,$B$5:$B$1517,"&lt;"&amp;B328)+COUNTIFS($M$5:$M$1517,M328,$B$5:$B$1517,B328,$C$5:$C$1517,"&lt;"&amp;C328),"")</f>
        <v/>
      </c>
      <c r="S328" s="0" t="str">
        <f aca="false">IF(N328&gt;=Models!$G$7,1+COUNTIF($N$5:$N$1517,"&gt;"&amp;N328)+COUNTIFS($N$5:$N$1517,N328,$B$5:$B$1517,"&lt;"&amp;B328)+COUNTIFS($N$5:$N$1517,N328,$B$5:$B$1517,B328,$C$5:$C$1517,"&lt;"&amp;C328),"")</f>
        <v/>
      </c>
      <c r="T328" s="8" t="n">
        <f aca="false">IF(O328&gt;=Models!$G$8,1+COUNTIF($O$5:$O$1517,"&gt;"&amp;O328)+COUNTIFS($O$5:$O$1517,O328,$B$5:$B$1517,"&lt;"&amp;B328)+COUNTIFS($O$5:$O$1517,O328,$B$5:$B$1517,B328,$C$5:$C$1517,"&lt;"&amp;C328),"")</f>
        <v>1219</v>
      </c>
      <c r="U328" s="8" t="n">
        <f aca="false">IF($K328=1,COUNTIFS($L$5:$L$1517,"&gt;="&amp;L328,$K$5:$K$1517,1)/COUNTIF($L$5:$L$1517,"&gt;="&amp;L328),0)</f>
        <v>0</v>
      </c>
      <c r="V328" s="8" t="n">
        <f aca="false">IF($K328=1,COUNTIFS($M$5:$M$1517,"&gt;="&amp;M328,$K$5:$K$1517,1)/COUNTIF($M$5:$M$1517,"&gt;="&amp;M328),0)</f>
        <v>0</v>
      </c>
      <c r="W328" s="8" t="n">
        <f aca="false">IF($K328=1,COUNTIFS($N$5:$N$1517,"&gt;="&amp;N328,$K$5:$K$1517,1)/COUNTIF($N$5:$N$1517,"&gt;="&amp;N328),0)</f>
        <v>0</v>
      </c>
      <c r="X328" s="8" t="n">
        <f aca="false">IF($K328=1,COUNTIFS($O$5:$O$1517,"&gt;="&amp;O328,$K$5:$K$1517,1)/COUNTIF($O$5:$O$1517,"&gt;="&amp;O328),0)</f>
        <v>0</v>
      </c>
      <c r="Y328" s="8" t="n">
        <f aca="false">IF($K328=1,COUNTIFS($P$5:$P$1517,"&gt;="&amp;P328,$K$5:$K$1517,1)/COUNTIF($P$5:$P$1517,"&gt;="&amp;P328),0)</f>
        <v>0</v>
      </c>
      <c r="Z328" s="8" t="n">
        <f aca="false">(L328-$K328)^2</f>
        <v>0.3847472784</v>
      </c>
      <c r="AA328" s="8" t="n">
        <f aca="false">(M328-$K328)^2</f>
        <v>0.008475595969</v>
      </c>
      <c r="AB328" s="8" t="n">
        <f aca="false">(N328-$K328)^2</f>
        <v>5.2056225E-005</v>
      </c>
      <c r="AC328" s="8" t="n">
        <f aca="false">(O328-$K328)^2</f>
        <v>0.011274829489</v>
      </c>
      <c r="AD328" s="8" t="n">
        <f aca="false">(P328-$K328)^2</f>
        <v>4.5724644E-005</v>
      </c>
      <c r="AE328" s="8" t="n">
        <f aca="false">MIN(INT(ROUND(N328*1000000,0)/100000),9)</f>
        <v>0</v>
      </c>
      <c r="AF328" s="8" t="n">
        <f aca="false">MIN(INT(ROUND(P328*1000000,0)/100000),9)</f>
        <v>0</v>
      </c>
    </row>
    <row r="329" customFormat="false" ht="15" hidden="false" customHeight="false" outlineLevel="0" collapsed="false">
      <c r="A329" s="4" t="n">
        <v>325</v>
      </c>
      <c r="B329" s="4" t="n">
        <v>1472</v>
      </c>
      <c r="C329" s="4" t="n">
        <v>0</v>
      </c>
      <c r="D329" s="11" t="n">
        <v>46054</v>
      </c>
      <c r="E329" s="4" t="s">
        <v>201</v>
      </c>
      <c r="F329" s="4" t="s">
        <v>206</v>
      </c>
      <c r="G329" s="4" t="n">
        <v>17</v>
      </c>
      <c r="H329" s="4" t="n">
        <v>0</v>
      </c>
      <c r="I329" s="4" t="n">
        <v>0</v>
      </c>
      <c r="J329" s="4"/>
      <c r="K329" s="4" t="n">
        <v>0</v>
      </c>
      <c r="L329" s="12" t="n">
        <v>0.558788</v>
      </c>
      <c r="M329" s="12" t="n">
        <v>0.092063</v>
      </c>
      <c r="N329" s="12" t="n">
        <v>0.019027</v>
      </c>
      <c r="O329" s="12" t="n">
        <v>0.106183</v>
      </c>
      <c r="P329" s="12" t="n">
        <v>0.018683</v>
      </c>
      <c r="Q329" s="0" t="str">
        <f aca="false">IF(L329&gt;=Models!$G$5,1+COUNTIF($L$5:$L$1517,"&gt;"&amp;L329)+COUNTIFS($L$5:$L$1517,L329,$B$5:$B$1517,"&lt;"&amp;B329)+COUNTIFS($L$5:$L$1517,L329,$B$5:$B$1517,B329,$C$5:$C$1517,"&lt;"&amp;C329),"")</f>
        <v/>
      </c>
      <c r="R329" s="0" t="str">
        <f aca="false">IF(M329&gt;=Models!$G$6,1+COUNTIF($M$5:$M$1517,"&gt;"&amp;M329)+COUNTIFS($M$5:$M$1517,M329,$B$5:$B$1517,"&lt;"&amp;B329)+COUNTIFS($M$5:$M$1517,M329,$B$5:$B$1517,B329,$C$5:$C$1517,"&lt;"&amp;C329),"")</f>
        <v/>
      </c>
      <c r="S329" s="0" t="str">
        <f aca="false">IF(N329&gt;=Models!$G$7,1+COUNTIF($N$5:$N$1517,"&gt;"&amp;N329)+COUNTIFS($N$5:$N$1517,N329,$B$5:$B$1517,"&lt;"&amp;B329)+COUNTIFS($N$5:$N$1517,N329,$B$5:$B$1517,B329,$C$5:$C$1517,"&lt;"&amp;C329),"")</f>
        <v/>
      </c>
      <c r="T329" s="8" t="n">
        <f aca="false">IF(O329&gt;=Models!$G$8,1+COUNTIF($O$5:$O$1517,"&gt;"&amp;O329)+COUNTIFS($O$5:$O$1517,O329,$B$5:$B$1517,"&lt;"&amp;B329)+COUNTIFS($O$5:$O$1517,O329,$B$5:$B$1517,B329,$C$5:$C$1517,"&lt;"&amp;C329),"")</f>
        <v>1223</v>
      </c>
      <c r="U329" s="8" t="n">
        <f aca="false">IF($K329=1,COUNTIFS($L$5:$L$1517,"&gt;="&amp;L329,$K$5:$K$1517,1)/COUNTIF($L$5:$L$1517,"&gt;="&amp;L329),0)</f>
        <v>0</v>
      </c>
      <c r="V329" s="8" t="n">
        <f aca="false">IF($K329=1,COUNTIFS($M$5:$M$1517,"&gt;="&amp;M329,$K$5:$K$1517,1)/COUNTIF($M$5:$M$1517,"&gt;="&amp;M329),0)</f>
        <v>0</v>
      </c>
      <c r="W329" s="8" t="n">
        <f aca="false">IF($K329=1,COUNTIFS($N$5:$N$1517,"&gt;="&amp;N329,$K$5:$K$1517,1)/COUNTIF($N$5:$N$1517,"&gt;="&amp;N329),0)</f>
        <v>0</v>
      </c>
      <c r="X329" s="8" t="n">
        <f aca="false">IF($K329=1,COUNTIFS($O$5:$O$1517,"&gt;="&amp;O329,$K$5:$K$1517,1)/COUNTIF($O$5:$O$1517,"&gt;="&amp;O329),0)</f>
        <v>0</v>
      </c>
      <c r="Y329" s="8" t="n">
        <f aca="false">IF($K329=1,COUNTIFS($P$5:$P$1517,"&gt;="&amp;P329,$K$5:$K$1517,1)/COUNTIF($P$5:$P$1517,"&gt;="&amp;P329),0)</f>
        <v>0</v>
      </c>
      <c r="Z329" s="8" t="n">
        <f aca="false">(L329-$K329)^2</f>
        <v>0.312244028944</v>
      </c>
      <c r="AA329" s="8" t="n">
        <f aca="false">(M329-$K329)^2</f>
        <v>0.008475595969</v>
      </c>
      <c r="AB329" s="8" t="n">
        <f aca="false">(N329-$K329)^2</f>
        <v>0.000362026729</v>
      </c>
      <c r="AC329" s="8" t="n">
        <f aca="false">(O329-$K329)^2</f>
        <v>0.011274829489</v>
      </c>
      <c r="AD329" s="8" t="n">
        <f aca="false">(P329-$K329)^2</f>
        <v>0.000349054489</v>
      </c>
      <c r="AE329" s="8" t="n">
        <f aca="false">MIN(INT(ROUND(N329*1000000,0)/100000),9)</f>
        <v>0</v>
      </c>
      <c r="AF329" s="8" t="n">
        <f aca="false">MIN(INT(ROUND(P329*1000000,0)/100000),9)</f>
        <v>0</v>
      </c>
    </row>
    <row r="330" customFormat="false" ht="15" hidden="false" customHeight="false" outlineLevel="0" collapsed="false">
      <c r="A330" s="4" t="n">
        <v>326</v>
      </c>
      <c r="B330" s="4" t="n">
        <v>1475</v>
      </c>
      <c r="C330" s="4" t="n">
        <v>0</v>
      </c>
      <c r="D330" s="11" t="n">
        <v>46054</v>
      </c>
      <c r="E330" s="4" t="s">
        <v>203</v>
      </c>
      <c r="F330" s="4" t="s">
        <v>206</v>
      </c>
      <c r="G330" s="4" t="n">
        <v>1</v>
      </c>
      <c r="H330" s="4" t="n">
        <v>23</v>
      </c>
      <c r="I330" s="4" t="n">
        <v>0</v>
      </c>
      <c r="J330" s="4" t="n">
        <v>282</v>
      </c>
      <c r="K330" s="4" t="n">
        <v>0</v>
      </c>
      <c r="L330" s="12" t="n">
        <v>0.87214</v>
      </c>
      <c r="M330" s="12" t="n">
        <v>0.092063</v>
      </c>
      <c r="N330" s="12" t="n">
        <v>0.171655</v>
      </c>
      <c r="O330" s="12" t="n">
        <v>0.106183</v>
      </c>
      <c r="P330" s="12" t="n">
        <v>0.185448</v>
      </c>
      <c r="Q330" s="0" t="str">
        <f aca="false">IF(L330&gt;=Models!$G$5,1+COUNTIF($L$5:$L$1517,"&gt;"&amp;L330)+COUNTIFS($L$5:$L$1517,L330,$B$5:$B$1517,"&lt;"&amp;B330)+COUNTIFS($L$5:$L$1517,L330,$B$5:$B$1517,B330,$C$5:$C$1517,"&lt;"&amp;C330),"")</f>
        <v/>
      </c>
      <c r="R330" s="0" t="str">
        <f aca="false">IF(M330&gt;=Models!$G$6,1+COUNTIF($M$5:$M$1517,"&gt;"&amp;M330)+COUNTIFS($M$5:$M$1517,M330,$B$5:$B$1517,"&lt;"&amp;B330)+COUNTIFS($M$5:$M$1517,M330,$B$5:$B$1517,B330,$C$5:$C$1517,"&lt;"&amp;C330),"")</f>
        <v/>
      </c>
      <c r="S330" s="0" t="str">
        <f aca="false">IF(N330&gt;=Models!$G$7,1+COUNTIF($N$5:$N$1517,"&gt;"&amp;N330)+COUNTIFS($N$5:$N$1517,N330,$B$5:$B$1517,"&lt;"&amp;B330)+COUNTIFS($N$5:$N$1517,N330,$B$5:$B$1517,B330,$C$5:$C$1517,"&lt;"&amp;C330),"")</f>
        <v/>
      </c>
      <c r="T330" s="8" t="n">
        <f aca="false">IF(O330&gt;=Models!$G$8,1+COUNTIF($O$5:$O$1517,"&gt;"&amp;O330)+COUNTIFS($O$5:$O$1517,O330,$B$5:$B$1517,"&lt;"&amp;B330)+COUNTIFS($O$5:$O$1517,O330,$B$5:$B$1517,B330,$C$5:$C$1517,"&lt;"&amp;C330),"")</f>
        <v>1227</v>
      </c>
      <c r="U330" s="8" t="n">
        <f aca="false">IF($K330=1,COUNTIFS($L$5:$L$1517,"&gt;="&amp;L330,$K$5:$K$1517,1)/COUNTIF($L$5:$L$1517,"&gt;="&amp;L330),0)</f>
        <v>0</v>
      </c>
      <c r="V330" s="8" t="n">
        <f aca="false">IF($K330=1,COUNTIFS($M$5:$M$1517,"&gt;="&amp;M330,$K$5:$K$1517,1)/COUNTIF($M$5:$M$1517,"&gt;="&amp;M330),0)</f>
        <v>0</v>
      </c>
      <c r="W330" s="8" t="n">
        <f aca="false">IF($K330=1,COUNTIFS($N$5:$N$1517,"&gt;="&amp;N330,$K$5:$K$1517,1)/COUNTIF($N$5:$N$1517,"&gt;="&amp;N330),0)</f>
        <v>0</v>
      </c>
      <c r="X330" s="8" t="n">
        <f aca="false">IF($K330=1,COUNTIFS($O$5:$O$1517,"&gt;="&amp;O330,$K$5:$K$1517,1)/COUNTIF($O$5:$O$1517,"&gt;="&amp;O330),0)</f>
        <v>0</v>
      </c>
      <c r="Y330" s="8" t="n">
        <f aca="false">IF($K330=1,COUNTIFS($P$5:$P$1517,"&gt;="&amp;P330,$K$5:$K$1517,1)/COUNTIF($P$5:$P$1517,"&gt;="&amp;P330),0)</f>
        <v>0</v>
      </c>
      <c r="Z330" s="8" t="n">
        <f aca="false">(L330-$K330)^2</f>
        <v>0.7606281796</v>
      </c>
      <c r="AA330" s="8" t="n">
        <f aca="false">(M330-$K330)^2</f>
        <v>0.008475595969</v>
      </c>
      <c r="AB330" s="8" t="n">
        <f aca="false">(N330-$K330)^2</f>
        <v>0.029465439025</v>
      </c>
      <c r="AC330" s="8" t="n">
        <f aca="false">(O330-$K330)^2</f>
        <v>0.011274829489</v>
      </c>
      <c r="AD330" s="8" t="n">
        <f aca="false">(P330-$K330)^2</f>
        <v>0.034390960704</v>
      </c>
      <c r="AE330" s="8" t="n">
        <f aca="false">MIN(INT(ROUND(N330*1000000,0)/100000),9)</f>
        <v>1</v>
      </c>
      <c r="AF330" s="8" t="n">
        <f aca="false">MIN(INT(ROUND(P330*1000000,0)/100000),9)</f>
        <v>1</v>
      </c>
    </row>
    <row r="331" customFormat="false" ht="15" hidden="false" customHeight="false" outlineLevel="0" collapsed="false">
      <c r="A331" s="4" t="n">
        <v>327</v>
      </c>
      <c r="B331" s="4" t="n">
        <v>1485</v>
      </c>
      <c r="C331" s="4" t="n">
        <v>0</v>
      </c>
      <c r="D331" s="11" t="n">
        <v>46054</v>
      </c>
      <c r="E331" s="4" t="s">
        <v>204</v>
      </c>
      <c r="F331" s="4" t="s">
        <v>208</v>
      </c>
      <c r="G331" s="4" t="n">
        <v>1</v>
      </c>
      <c r="H331" s="4" t="n">
        <v>26</v>
      </c>
      <c r="I331" s="4" t="n">
        <v>0</v>
      </c>
      <c r="J331" s="4" t="n">
        <v>99</v>
      </c>
      <c r="K331" s="4" t="n">
        <v>1</v>
      </c>
      <c r="L331" s="12" t="n">
        <v>0.185057</v>
      </c>
      <c r="M331" s="12" t="n">
        <v>0.092063</v>
      </c>
      <c r="N331" s="12" t="n">
        <v>0.176719</v>
      </c>
      <c r="O331" s="12" t="n">
        <v>0.106183</v>
      </c>
      <c r="P331" s="12" t="n">
        <v>0.191084</v>
      </c>
      <c r="Q331" s="0" t="str">
        <f aca="false">IF(L331&gt;=Models!$G$5,1+COUNTIF($L$5:$L$1517,"&gt;"&amp;L331)+COUNTIFS($L$5:$L$1517,L331,$B$5:$B$1517,"&lt;"&amp;B331)+COUNTIFS($L$5:$L$1517,L331,$B$5:$B$1517,B331,$C$5:$C$1517,"&lt;"&amp;C331),"")</f>
        <v/>
      </c>
      <c r="R331" s="0" t="str">
        <f aca="false">IF(M331&gt;=Models!$G$6,1+COUNTIF($M$5:$M$1517,"&gt;"&amp;M331)+COUNTIFS($M$5:$M$1517,M331,$B$5:$B$1517,"&lt;"&amp;B331)+COUNTIFS($M$5:$M$1517,M331,$B$5:$B$1517,B331,$C$5:$C$1517,"&lt;"&amp;C331),"")</f>
        <v/>
      </c>
      <c r="S331" s="0" t="str">
        <f aca="false">IF(N331&gt;=Models!$G$7,1+COUNTIF($N$5:$N$1517,"&gt;"&amp;N331)+COUNTIFS($N$5:$N$1517,N331,$B$5:$B$1517,"&lt;"&amp;B331)+COUNTIFS($N$5:$N$1517,N331,$B$5:$B$1517,B331,$C$5:$C$1517,"&lt;"&amp;C331),"")</f>
        <v/>
      </c>
      <c r="T331" s="8" t="n">
        <f aca="false">IF(O331&gt;=Models!$G$8,1+COUNTIF($O$5:$O$1517,"&gt;"&amp;O331)+COUNTIFS($O$5:$O$1517,O331,$B$5:$B$1517,"&lt;"&amp;B331)+COUNTIFS($O$5:$O$1517,O331,$B$5:$B$1517,B331,$C$5:$C$1517,"&lt;"&amp;C331),"")</f>
        <v>1231</v>
      </c>
      <c r="U331" s="8" t="n">
        <f aca="false">IF($K331=1,COUNTIFS($L$5:$L$1517,"&gt;="&amp;L331,$K$5:$K$1517,1)/COUNTIF($L$5:$L$1517,"&gt;="&amp;L331),0)</f>
        <v>0.126229508196721</v>
      </c>
      <c r="V331" s="8" t="n">
        <f aca="false">IF($K331=1,COUNTIFS($M$5:$M$1517,"&gt;="&amp;M331,$K$5:$K$1517,1)/COUNTIF($M$5:$M$1517,"&gt;="&amp;M331),0)</f>
        <v>0.12491738268341</v>
      </c>
      <c r="W331" s="8" t="n">
        <f aca="false">IF($K331=1,COUNTIFS($N$5:$N$1517,"&gt;="&amp;N331,$K$5:$K$1517,1)/COUNTIF($N$5:$N$1517,"&gt;="&amp;N331),0)</f>
        <v>0.333333333333333</v>
      </c>
      <c r="X331" s="8" t="n">
        <f aca="false">IF($K331=1,COUNTIFS($O$5:$O$1517,"&gt;="&amp;O331,$K$5:$K$1517,1)/COUNTIF($O$5:$O$1517,"&gt;="&amp;O331),0)</f>
        <v>0.12491738268341</v>
      </c>
      <c r="Y331" s="8" t="n">
        <f aca="false">IF($K331=1,COUNTIFS($P$5:$P$1517,"&gt;="&amp;P331,$K$5:$K$1517,1)/COUNTIF($P$5:$P$1517,"&gt;="&amp;P331),0)</f>
        <v>0.333333333333333</v>
      </c>
      <c r="Z331" s="8" t="n">
        <f aca="false">(L331-$K331)^2</f>
        <v>0.664132093249</v>
      </c>
      <c r="AA331" s="8" t="n">
        <f aca="false">(M331-$K331)^2</f>
        <v>0.824349595969</v>
      </c>
      <c r="AB331" s="8" t="n">
        <f aca="false">(N331-$K331)^2</f>
        <v>0.677791604961</v>
      </c>
      <c r="AC331" s="8" t="n">
        <f aca="false">(O331-$K331)^2</f>
        <v>0.798908829489</v>
      </c>
      <c r="AD331" s="8" t="n">
        <f aca="false">(P331-$K331)^2</f>
        <v>0.654345095056</v>
      </c>
      <c r="AE331" s="8" t="n">
        <f aca="false">MIN(INT(ROUND(N331*1000000,0)/100000),9)</f>
        <v>1</v>
      </c>
      <c r="AF331" s="8" t="n">
        <f aca="false">MIN(INT(ROUND(P331*1000000,0)/100000),9)</f>
        <v>1</v>
      </c>
    </row>
    <row r="332" customFormat="false" ht="15" hidden="false" customHeight="false" outlineLevel="0" collapsed="false">
      <c r="A332" s="4" t="n">
        <v>328</v>
      </c>
      <c r="B332" s="4" t="n">
        <v>1489</v>
      </c>
      <c r="C332" s="4" t="n">
        <v>0</v>
      </c>
      <c r="D332" s="11" t="n">
        <v>46054</v>
      </c>
      <c r="E332" s="4" t="s">
        <v>203</v>
      </c>
      <c r="F332" s="4" t="s">
        <v>206</v>
      </c>
      <c r="G332" s="4" t="n">
        <v>2</v>
      </c>
      <c r="H332" s="4" t="n">
        <v>12</v>
      </c>
      <c r="I332" s="4" t="n">
        <v>0</v>
      </c>
      <c r="J332" s="4" t="n">
        <v>345</v>
      </c>
      <c r="K332" s="4" t="n">
        <v>0</v>
      </c>
      <c r="L332" s="12" t="n">
        <v>0.552519</v>
      </c>
      <c r="M332" s="12" t="n">
        <v>0.092063</v>
      </c>
      <c r="N332" s="12" t="n">
        <v>0.147073</v>
      </c>
      <c r="O332" s="12" t="n">
        <v>0.106183</v>
      </c>
      <c r="P332" s="12" t="n">
        <v>0.158104</v>
      </c>
      <c r="Q332" s="0" t="str">
        <f aca="false">IF(L332&gt;=Models!$G$5,1+COUNTIF($L$5:$L$1517,"&gt;"&amp;L332)+COUNTIFS($L$5:$L$1517,L332,$B$5:$B$1517,"&lt;"&amp;B332)+COUNTIFS($L$5:$L$1517,L332,$B$5:$B$1517,B332,$C$5:$C$1517,"&lt;"&amp;C332),"")</f>
        <v/>
      </c>
      <c r="R332" s="0" t="str">
        <f aca="false">IF(M332&gt;=Models!$G$6,1+COUNTIF($M$5:$M$1517,"&gt;"&amp;M332)+COUNTIFS($M$5:$M$1517,M332,$B$5:$B$1517,"&lt;"&amp;B332)+COUNTIFS($M$5:$M$1517,M332,$B$5:$B$1517,B332,$C$5:$C$1517,"&lt;"&amp;C332),"")</f>
        <v/>
      </c>
      <c r="S332" s="0" t="str">
        <f aca="false">IF(N332&gt;=Models!$G$7,1+COUNTIF($N$5:$N$1517,"&gt;"&amp;N332)+COUNTIFS($N$5:$N$1517,N332,$B$5:$B$1517,"&lt;"&amp;B332)+COUNTIFS($N$5:$N$1517,N332,$B$5:$B$1517,B332,$C$5:$C$1517,"&lt;"&amp;C332),"")</f>
        <v/>
      </c>
      <c r="T332" s="8" t="n">
        <f aca="false">IF(O332&gt;=Models!$G$8,1+COUNTIF($O$5:$O$1517,"&gt;"&amp;O332)+COUNTIFS($O$5:$O$1517,O332,$B$5:$B$1517,"&lt;"&amp;B332)+COUNTIFS($O$5:$O$1517,O332,$B$5:$B$1517,B332,$C$5:$C$1517,"&lt;"&amp;C332),"")</f>
        <v>1234</v>
      </c>
      <c r="U332" s="8" t="n">
        <f aca="false">IF($K332=1,COUNTIFS($L$5:$L$1517,"&gt;="&amp;L332,$K$5:$K$1517,1)/COUNTIF($L$5:$L$1517,"&gt;="&amp;L332),0)</f>
        <v>0</v>
      </c>
      <c r="V332" s="8" t="n">
        <f aca="false">IF($K332=1,COUNTIFS($M$5:$M$1517,"&gt;="&amp;M332,$K$5:$K$1517,1)/COUNTIF($M$5:$M$1517,"&gt;="&amp;M332),0)</f>
        <v>0</v>
      </c>
      <c r="W332" s="8" t="n">
        <f aca="false">IF($K332=1,COUNTIFS($N$5:$N$1517,"&gt;="&amp;N332,$K$5:$K$1517,1)/COUNTIF($N$5:$N$1517,"&gt;="&amp;N332),0)</f>
        <v>0</v>
      </c>
      <c r="X332" s="8" t="n">
        <f aca="false">IF($K332=1,COUNTIFS($O$5:$O$1517,"&gt;="&amp;O332,$K$5:$K$1517,1)/COUNTIF($O$5:$O$1517,"&gt;="&amp;O332),0)</f>
        <v>0</v>
      </c>
      <c r="Y332" s="8" t="n">
        <f aca="false">IF($K332=1,COUNTIFS($P$5:$P$1517,"&gt;="&amp;P332,$K$5:$K$1517,1)/COUNTIF($P$5:$P$1517,"&gt;="&amp;P332),0)</f>
        <v>0</v>
      </c>
      <c r="Z332" s="8" t="n">
        <f aca="false">(L332-$K332)^2</f>
        <v>0.305277245361</v>
      </c>
      <c r="AA332" s="8" t="n">
        <f aca="false">(M332-$K332)^2</f>
        <v>0.008475595969</v>
      </c>
      <c r="AB332" s="8" t="n">
        <f aca="false">(N332-$K332)^2</f>
        <v>0.021630467329</v>
      </c>
      <c r="AC332" s="8" t="n">
        <f aca="false">(O332-$K332)^2</f>
        <v>0.011274829489</v>
      </c>
      <c r="AD332" s="8" t="n">
        <f aca="false">(P332-$K332)^2</f>
        <v>0.024996874816</v>
      </c>
      <c r="AE332" s="8" t="n">
        <f aca="false">MIN(INT(ROUND(N332*1000000,0)/100000),9)</f>
        <v>1</v>
      </c>
      <c r="AF332" s="8" t="n">
        <f aca="false">MIN(INT(ROUND(P332*1000000,0)/100000),9)</f>
        <v>1</v>
      </c>
    </row>
    <row r="333" customFormat="false" ht="15" hidden="false" customHeight="false" outlineLevel="0" collapsed="false">
      <c r="A333" s="4" t="n">
        <v>329</v>
      </c>
      <c r="B333" s="4" t="n">
        <v>1491</v>
      </c>
      <c r="C333" s="4" t="n">
        <v>0</v>
      </c>
      <c r="D333" s="11" t="n">
        <v>46054</v>
      </c>
      <c r="E333" s="4" t="s">
        <v>204</v>
      </c>
      <c r="F333" s="4" t="s">
        <v>210</v>
      </c>
      <c r="G333" s="4" t="n">
        <v>3</v>
      </c>
      <c r="H333" s="4" t="n">
        <v>9</v>
      </c>
      <c r="I333" s="4" t="n">
        <v>0</v>
      </c>
      <c r="J333" s="4" t="n">
        <v>108</v>
      </c>
      <c r="K333" s="4" t="n">
        <v>0</v>
      </c>
      <c r="L333" s="12" t="n">
        <v>0.452992</v>
      </c>
      <c r="M333" s="12" t="n">
        <v>0.092063</v>
      </c>
      <c r="N333" s="12" t="n">
        <v>0.134872</v>
      </c>
      <c r="O333" s="12" t="n">
        <v>0.106183</v>
      </c>
      <c r="P333" s="12" t="n">
        <v>0.144549</v>
      </c>
      <c r="Q333" s="0" t="str">
        <f aca="false">IF(L333&gt;=Models!$G$5,1+COUNTIF($L$5:$L$1517,"&gt;"&amp;L333)+COUNTIFS($L$5:$L$1517,L333,$B$5:$B$1517,"&lt;"&amp;B333)+COUNTIFS($L$5:$L$1517,L333,$B$5:$B$1517,B333,$C$5:$C$1517,"&lt;"&amp;C333),"")</f>
        <v/>
      </c>
      <c r="R333" s="0" t="str">
        <f aca="false">IF(M333&gt;=Models!$G$6,1+COUNTIF($M$5:$M$1517,"&gt;"&amp;M333)+COUNTIFS($M$5:$M$1517,M333,$B$5:$B$1517,"&lt;"&amp;B333)+COUNTIFS($M$5:$M$1517,M333,$B$5:$B$1517,B333,$C$5:$C$1517,"&lt;"&amp;C333),"")</f>
        <v/>
      </c>
      <c r="S333" s="0" t="str">
        <f aca="false">IF(N333&gt;=Models!$G$7,1+COUNTIF($N$5:$N$1517,"&gt;"&amp;N333)+COUNTIFS($N$5:$N$1517,N333,$B$5:$B$1517,"&lt;"&amp;B333)+COUNTIFS($N$5:$N$1517,N333,$B$5:$B$1517,B333,$C$5:$C$1517,"&lt;"&amp;C333),"")</f>
        <v/>
      </c>
      <c r="T333" s="8" t="n">
        <f aca="false">IF(O333&gt;=Models!$G$8,1+COUNTIF($O$5:$O$1517,"&gt;"&amp;O333)+COUNTIFS($O$5:$O$1517,O333,$B$5:$B$1517,"&lt;"&amp;B333)+COUNTIFS($O$5:$O$1517,O333,$B$5:$B$1517,B333,$C$5:$C$1517,"&lt;"&amp;C333),"")</f>
        <v>1238</v>
      </c>
      <c r="U333" s="8" t="n">
        <f aca="false">IF($K333=1,COUNTIFS($L$5:$L$1517,"&gt;="&amp;L333,$K$5:$K$1517,1)/COUNTIF($L$5:$L$1517,"&gt;="&amp;L333),0)</f>
        <v>0</v>
      </c>
      <c r="V333" s="8" t="n">
        <f aca="false">IF($K333=1,COUNTIFS($M$5:$M$1517,"&gt;="&amp;M333,$K$5:$K$1517,1)/COUNTIF($M$5:$M$1517,"&gt;="&amp;M333),0)</f>
        <v>0</v>
      </c>
      <c r="W333" s="8" t="n">
        <f aca="false">IF($K333=1,COUNTIFS($N$5:$N$1517,"&gt;="&amp;N333,$K$5:$K$1517,1)/COUNTIF($N$5:$N$1517,"&gt;="&amp;N333),0)</f>
        <v>0</v>
      </c>
      <c r="X333" s="8" t="n">
        <f aca="false">IF($K333=1,COUNTIFS($O$5:$O$1517,"&gt;="&amp;O333,$K$5:$K$1517,1)/COUNTIF($O$5:$O$1517,"&gt;="&amp;O333),0)</f>
        <v>0</v>
      </c>
      <c r="Y333" s="8" t="n">
        <f aca="false">IF($K333=1,COUNTIFS($P$5:$P$1517,"&gt;="&amp;P333,$K$5:$K$1517,1)/COUNTIF($P$5:$P$1517,"&gt;="&amp;P333),0)</f>
        <v>0</v>
      </c>
      <c r="Z333" s="8" t="n">
        <f aca="false">(L333-$K333)^2</f>
        <v>0.205201752064</v>
      </c>
      <c r="AA333" s="8" t="n">
        <f aca="false">(M333-$K333)^2</f>
        <v>0.008475595969</v>
      </c>
      <c r="AB333" s="8" t="n">
        <f aca="false">(N333-$K333)^2</f>
        <v>0.018190456384</v>
      </c>
      <c r="AC333" s="8" t="n">
        <f aca="false">(O333-$K333)^2</f>
        <v>0.011274829489</v>
      </c>
      <c r="AD333" s="8" t="n">
        <f aca="false">(P333-$K333)^2</f>
        <v>0.020894413401</v>
      </c>
      <c r="AE333" s="8" t="n">
        <f aca="false">MIN(INT(ROUND(N333*1000000,0)/100000),9)</f>
        <v>1</v>
      </c>
      <c r="AF333" s="8" t="n">
        <f aca="false">MIN(INT(ROUND(P333*1000000,0)/100000),9)</f>
        <v>1</v>
      </c>
    </row>
    <row r="334" customFormat="false" ht="15" hidden="false" customHeight="false" outlineLevel="0" collapsed="false">
      <c r="A334" s="4" t="n">
        <v>330</v>
      </c>
      <c r="B334" s="4" t="n">
        <v>1499</v>
      </c>
      <c r="C334" s="4" t="n">
        <v>0</v>
      </c>
      <c r="D334" s="11" t="n">
        <v>46054</v>
      </c>
      <c r="E334" s="4" t="s">
        <v>204</v>
      </c>
      <c r="F334" s="4" t="s">
        <v>210</v>
      </c>
      <c r="G334" s="4" t="n">
        <v>1</v>
      </c>
      <c r="H334" s="4" t="n">
        <v>18</v>
      </c>
      <c r="I334" s="4" t="n">
        <v>0</v>
      </c>
      <c r="J334" s="4" t="n">
        <v>54</v>
      </c>
      <c r="K334" s="4" t="n">
        <v>1</v>
      </c>
      <c r="L334" s="12" t="n">
        <v>0.494519</v>
      </c>
      <c r="M334" s="12" t="n">
        <v>0.092063</v>
      </c>
      <c r="N334" s="12" t="n">
        <v>0.167747</v>
      </c>
      <c r="O334" s="12" t="n">
        <v>0.106183</v>
      </c>
      <c r="P334" s="12" t="n">
        <v>0.181099</v>
      </c>
      <c r="Q334" s="0" t="str">
        <f aca="false">IF(L334&gt;=Models!$G$5,1+COUNTIF($L$5:$L$1517,"&gt;"&amp;L334)+COUNTIFS($L$5:$L$1517,L334,$B$5:$B$1517,"&lt;"&amp;B334)+COUNTIFS($L$5:$L$1517,L334,$B$5:$B$1517,B334,$C$5:$C$1517,"&lt;"&amp;C334),"")</f>
        <v/>
      </c>
      <c r="R334" s="0" t="str">
        <f aca="false">IF(M334&gt;=Models!$G$6,1+COUNTIF($M$5:$M$1517,"&gt;"&amp;M334)+COUNTIFS($M$5:$M$1517,M334,$B$5:$B$1517,"&lt;"&amp;B334)+COUNTIFS($M$5:$M$1517,M334,$B$5:$B$1517,B334,$C$5:$C$1517,"&lt;"&amp;C334),"")</f>
        <v/>
      </c>
      <c r="S334" s="0" t="str">
        <f aca="false">IF(N334&gt;=Models!$G$7,1+COUNTIF($N$5:$N$1517,"&gt;"&amp;N334)+COUNTIFS($N$5:$N$1517,N334,$B$5:$B$1517,"&lt;"&amp;B334)+COUNTIFS($N$5:$N$1517,N334,$B$5:$B$1517,B334,$C$5:$C$1517,"&lt;"&amp;C334),"")</f>
        <v/>
      </c>
      <c r="T334" s="8" t="n">
        <f aca="false">IF(O334&gt;=Models!$G$8,1+COUNTIF($O$5:$O$1517,"&gt;"&amp;O334)+COUNTIFS($O$5:$O$1517,O334,$B$5:$B$1517,"&lt;"&amp;B334)+COUNTIFS($O$5:$O$1517,O334,$B$5:$B$1517,B334,$C$5:$C$1517,"&lt;"&amp;C334),"")</f>
        <v>1242</v>
      </c>
      <c r="U334" s="8" t="n">
        <f aca="false">IF($K334=1,COUNTIFS($L$5:$L$1517,"&gt;="&amp;L334,$K$5:$K$1517,1)/COUNTIF($L$5:$L$1517,"&gt;="&amp;L334),0)</f>
        <v>0.119894598155468</v>
      </c>
      <c r="V334" s="8" t="n">
        <f aca="false">IF($K334=1,COUNTIFS($M$5:$M$1517,"&gt;="&amp;M334,$K$5:$K$1517,1)/COUNTIF($M$5:$M$1517,"&gt;="&amp;M334),0)</f>
        <v>0.12491738268341</v>
      </c>
      <c r="W334" s="8" t="n">
        <f aca="false">IF($K334=1,COUNTIFS($N$5:$N$1517,"&gt;="&amp;N334,$K$5:$K$1517,1)/COUNTIF($N$5:$N$1517,"&gt;="&amp;N334),0)</f>
        <v>0.3046875</v>
      </c>
      <c r="X334" s="8" t="n">
        <f aca="false">IF($K334=1,COUNTIFS($O$5:$O$1517,"&gt;="&amp;O334,$K$5:$K$1517,1)/COUNTIF($O$5:$O$1517,"&gt;="&amp;O334),0)</f>
        <v>0.12491738268341</v>
      </c>
      <c r="Y334" s="8" t="n">
        <f aca="false">IF($K334=1,COUNTIFS($P$5:$P$1517,"&gt;="&amp;P334,$K$5:$K$1517,1)/COUNTIF($P$5:$P$1517,"&gt;="&amp;P334),0)</f>
        <v>0.3046875</v>
      </c>
      <c r="Z334" s="8" t="n">
        <f aca="false">(L334-$K334)^2</f>
        <v>0.255511041361</v>
      </c>
      <c r="AA334" s="8" t="n">
        <f aca="false">(M334-$K334)^2</f>
        <v>0.824349595969</v>
      </c>
      <c r="AB334" s="8" t="n">
        <f aca="false">(N334-$K334)^2</f>
        <v>0.692645056009</v>
      </c>
      <c r="AC334" s="8" t="n">
        <f aca="false">(O334-$K334)^2</f>
        <v>0.798908829489</v>
      </c>
      <c r="AD334" s="8" t="n">
        <f aca="false">(P334-$K334)^2</f>
        <v>0.670598847801</v>
      </c>
      <c r="AE334" s="8" t="n">
        <f aca="false">MIN(INT(ROUND(N334*1000000,0)/100000),9)</f>
        <v>1</v>
      </c>
      <c r="AF334" s="8" t="n">
        <f aca="false">MIN(INT(ROUND(P334*1000000,0)/100000),9)</f>
        <v>1</v>
      </c>
    </row>
    <row r="335" customFormat="false" ht="15" hidden="false" customHeight="false" outlineLevel="0" collapsed="false">
      <c r="A335" s="4" t="n">
        <v>331</v>
      </c>
      <c r="B335" s="4" t="n">
        <v>1504</v>
      </c>
      <c r="C335" s="4" t="n">
        <v>0</v>
      </c>
      <c r="D335" s="11" t="n">
        <v>46054</v>
      </c>
      <c r="E335" s="4" t="s">
        <v>203</v>
      </c>
      <c r="F335" s="4" t="s">
        <v>206</v>
      </c>
      <c r="G335" s="4" t="n">
        <v>8</v>
      </c>
      <c r="H335" s="4" t="n">
        <v>4</v>
      </c>
      <c r="I335" s="4" t="n">
        <v>2</v>
      </c>
      <c r="J335" s="4" t="n">
        <v>258</v>
      </c>
      <c r="K335" s="4" t="n">
        <v>0</v>
      </c>
      <c r="L335" s="12" t="n">
        <v>0.165538</v>
      </c>
      <c r="M335" s="12" t="n">
        <v>0.184211</v>
      </c>
      <c r="N335" s="12" t="n">
        <v>0.237557</v>
      </c>
      <c r="O335" s="12" t="n">
        <v>0.106183</v>
      </c>
      <c r="P335" s="12" t="n">
        <v>0.258719</v>
      </c>
      <c r="Q335" s="0" t="str">
        <f aca="false">IF(L335&gt;=Models!$G$5,1+COUNTIF($L$5:$L$1517,"&gt;"&amp;L335)+COUNTIFS($L$5:$L$1517,L335,$B$5:$B$1517,"&lt;"&amp;B335)+COUNTIFS($L$5:$L$1517,L335,$B$5:$B$1517,B335,$C$5:$C$1517,"&lt;"&amp;C335),"")</f>
        <v/>
      </c>
      <c r="R335" s="8" t="n">
        <f aca="false">IF(M335&gt;=Models!$G$6,1+COUNTIF($M$5:$M$1517,"&gt;"&amp;M335)+COUNTIFS($M$5:$M$1517,M335,$B$5:$B$1517,"&lt;"&amp;B335)+COUNTIFS($M$5:$M$1517,M335,$B$5:$B$1517,B335,$C$5:$C$1517,"&lt;"&amp;C335),"")</f>
        <v>155</v>
      </c>
      <c r="S335" s="0" t="str">
        <f aca="false">IF(N335&gt;=Models!$G$7,1+COUNTIF($N$5:$N$1517,"&gt;"&amp;N335)+COUNTIFS($N$5:$N$1517,N335,$B$5:$B$1517,"&lt;"&amp;B335)+COUNTIFS($N$5:$N$1517,N335,$B$5:$B$1517,B335,$C$5:$C$1517,"&lt;"&amp;C335),"")</f>
        <v/>
      </c>
      <c r="T335" s="8" t="n">
        <f aca="false">IF(O335&gt;=Models!$G$8,1+COUNTIF($O$5:$O$1517,"&gt;"&amp;O335)+COUNTIFS($O$5:$O$1517,O335,$B$5:$B$1517,"&lt;"&amp;B335)+COUNTIFS($O$5:$O$1517,O335,$B$5:$B$1517,B335,$C$5:$C$1517,"&lt;"&amp;C335),"")</f>
        <v>1243</v>
      </c>
      <c r="U335" s="8" t="n">
        <f aca="false">IF($K335=1,COUNTIFS($L$5:$L$1517,"&gt;="&amp;L335,$K$5:$K$1517,1)/COUNTIF($L$5:$L$1517,"&gt;="&amp;L335),0)</f>
        <v>0</v>
      </c>
      <c r="V335" s="8" t="n">
        <f aca="false">IF($K335=1,COUNTIFS($M$5:$M$1517,"&gt;="&amp;M335,$K$5:$K$1517,1)/COUNTIF($M$5:$M$1517,"&gt;="&amp;M335),0)</f>
        <v>0</v>
      </c>
      <c r="W335" s="8" t="n">
        <f aca="false">IF($K335=1,COUNTIFS($N$5:$N$1517,"&gt;="&amp;N335,$K$5:$K$1517,1)/COUNTIF($N$5:$N$1517,"&gt;="&amp;N335),0)</f>
        <v>0</v>
      </c>
      <c r="X335" s="8" t="n">
        <f aca="false">IF($K335=1,COUNTIFS($O$5:$O$1517,"&gt;="&amp;O335,$K$5:$K$1517,1)/COUNTIF($O$5:$O$1517,"&gt;="&amp;O335),0)</f>
        <v>0</v>
      </c>
      <c r="Y335" s="8" t="n">
        <f aca="false">IF($K335=1,COUNTIFS($P$5:$P$1517,"&gt;="&amp;P335,$K$5:$K$1517,1)/COUNTIF($P$5:$P$1517,"&gt;="&amp;P335),0)</f>
        <v>0</v>
      </c>
      <c r="Z335" s="8" t="n">
        <f aca="false">(L335-$K335)^2</f>
        <v>0.027402829444</v>
      </c>
      <c r="AA335" s="8" t="n">
        <f aca="false">(M335-$K335)^2</f>
        <v>0.033933692521</v>
      </c>
      <c r="AB335" s="8" t="n">
        <f aca="false">(N335-$K335)^2</f>
        <v>0.056433328249</v>
      </c>
      <c r="AC335" s="8" t="n">
        <f aca="false">(O335-$K335)^2</f>
        <v>0.011274829489</v>
      </c>
      <c r="AD335" s="8" t="n">
        <f aca="false">(P335-$K335)^2</f>
        <v>0.066935520961</v>
      </c>
      <c r="AE335" s="8" t="n">
        <f aca="false">MIN(INT(ROUND(N335*1000000,0)/100000),9)</f>
        <v>2</v>
      </c>
      <c r="AF335" s="8" t="n">
        <f aca="false">MIN(INT(ROUND(P335*1000000,0)/100000),9)</f>
        <v>2</v>
      </c>
    </row>
    <row r="336" customFormat="false" ht="15" hidden="false" customHeight="false" outlineLevel="0" collapsed="false">
      <c r="A336" s="4" t="n">
        <v>332</v>
      </c>
      <c r="B336" s="4" t="n">
        <v>1508</v>
      </c>
      <c r="C336" s="4" t="n">
        <v>0</v>
      </c>
      <c r="D336" s="11" t="n">
        <v>46054</v>
      </c>
      <c r="E336" s="4" t="s">
        <v>202</v>
      </c>
      <c r="F336" s="4" t="s">
        <v>206</v>
      </c>
      <c r="G336" s="4" t="n">
        <v>10</v>
      </c>
      <c r="H336" s="4" t="n">
        <v>1</v>
      </c>
      <c r="I336" s="4" t="n">
        <v>1</v>
      </c>
      <c r="J336" s="4"/>
      <c r="K336" s="4" t="n">
        <v>0</v>
      </c>
      <c r="L336" s="12" t="n">
        <v>0.44594</v>
      </c>
      <c r="M336" s="12" t="n">
        <v>0.184211</v>
      </c>
      <c r="N336" s="12" t="n">
        <v>0.062473</v>
      </c>
      <c r="O336" s="12" t="n">
        <v>0.106183</v>
      </c>
      <c r="P336" s="12" t="n">
        <v>0.064864</v>
      </c>
      <c r="Q336" s="0" t="str">
        <f aca="false">IF(L336&gt;=Models!$G$5,1+COUNTIF($L$5:$L$1517,"&gt;"&amp;L336)+COUNTIFS($L$5:$L$1517,L336,$B$5:$B$1517,"&lt;"&amp;B336)+COUNTIFS($L$5:$L$1517,L336,$B$5:$B$1517,B336,$C$5:$C$1517,"&lt;"&amp;C336),"")</f>
        <v/>
      </c>
      <c r="R336" s="8" t="n">
        <f aca="false">IF(M336&gt;=Models!$G$6,1+COUNTIF($M$5:$M$1517,"&gt;"&amp;M336)+COUNTIFS($M$5:$M$1517,M336,$B$5:$B$1517,"&lt;"&amp;B336)+COUNTIFS($M$5:$M$1517,M336,$B$5:$B$1517,B336,$C$5:$C$1517,"&lt;"&amp;C336),"")</f>
        <v>157</v>
      </c>
      <c r="S336" s="0" t="str">
        <f aca="false">IF(N336&gt;=Models!$G$7,1+COUNTIF($N$5:$N$1517,"&gt;"&amp;N336)+COUNTIFS($N$5:$N$1517,N336,$B$5:$B$1517,"&lt;"&amp;B336)+COUNTIFS($N$5:$N$1517,N336,$B$5:$B$1517,B336,$C$5:$C$1517,"&lt;"&amp;C336),"")</f>
        <v/>
      </c>
      <c r="T336" s="8" t="n">
        <f aca="false">IF(O336&gt;=Models!$G$8,1+COUNTIF($O$5:$O$1517,"&gt;"&amp;O336)+COUNTIFS($O$5:$O$1517,O336,$B$5:$B$1517,"&lt;"&amp;B336)+COUNTIFS($O$5:$O$1517,O336,$B$5:$B$1517,B336,$C$5:$C$1517,"&lt;"&amp;C336),"")</f>
        <v>1247</v>
      </c>
      <c r="U336" s="8" t="n">
        <f aca="false">IF($K336=1,COUNTIFS($L$5:$L$1517,"&gt;="&amp;L336,$K$5:$K$1517,1)/COUNTIF($L$5:$L$1517,"&gt;="&amp;L336),0)</f>
        <v>0</v>
      </c>
      <c r="V336" s="8" t="n">
        <f aca="false">IF($K336=1,COUNTIFS($M$5:$M$1517,"&gt;="&amp;M336,$K$5:$K$1517,1)/COUNTIF($M$5:$M$1517,"&gt;="&amp;M336),0)</f>
        <v>0</v>
      </c>
      <c r="W336" s="8" t="n">
        <f aca="false">IF($K336=1,COUNTIFS($N$5:$N$1517,"&gt;="&amp;N336,$K$5:$K$1517,1)/COUNTIF($N$5:$N$1517,"&gt;="&amp;N336),0)</f>
        <v>0</v>
      </c>
      <c r="X336" s="8" t="n">
        <f aca="false">IF($K336=1,COUNTIFS($O$5:$O$1517,"&gt;="&amp;O336,$K$5:$K$1517,1)/COUNTIF($O$5:$O$1517,"&gt;="&amp;O336),0)</f>
        <v>0</v>
      </c>
      <c r="Y336" s="8" t="n">
        <f aca="false">IF($K336=1,COUNTIFS($P$5:$P$1517,"&gt;="&amp;P336,$K$5:$K$1517,1)/COUNTIF($P$5:$P$1517,"&gt;="&amp;P336),0)</f>
        <v>0</v>
      </c>
      <c r="Z336" s="8" t="n">
        <f aca="false">(L336-$K336)^2</f>
        <v>0.1988624836</v>
      </c>
      <c r="AA336" s="8" t="n">
        <f aca="false">(M336-$K336)^2</f>
        <v>0.033933692521</v>
      </c>
      <c r="AB336" s="8" t="n">
        <f aca="false">(N336-$K336)^2</f>
        <v>0.003902875729</v>
      </c>
      <c r="AC336" s="8" t="n">
        <f aca="false">(O336-$K336)^2</f>
        <v>0.011274829489</v>
      </c>
      <c r="AD336" s="8" t="n">
        <f aca="false">(P336-$K336)^2</f>
        <v>0.004207338496</v>
      </c>
      <c r="AE336" s="8" t="n">
        <f aca="false">MIN(INT(ROUND(N336*1000000,0)/100000),9)</f>
        <v>0</v>
      </c>
      <c r="AF336" s="8" t="n">
        <f aca="false">MIN(INT(ROUND(P336*1000000,0)/100000),9)</f>
        <v>0</v>
      </c>
    </row>
    <row r="337" customFormat="false" ht="15" hidden="false" customHeight="false" outlineLevel="0" collapsed="false">
      <c r="A337" s="4" t="n">
        <v>333</v>
      </c>
      <c r="B337" s="4" t="n">
        <v>1509</v>
      </c>
      <c r="C337" s="4" t="n">
        <v>0</v>
      </c>
      <c r="D337" s="11" t="n">
        <v>46054</v>
      </c>
      <c r="E337" s="4" t="s">
        <v>202</v>
      </c>
      <c r="F337" s="4" t="s">
        <v>208</v>
      </c>
      <c r="G337" s="4" t="n">
        <v>11</v>
      </c>
      <c r="H337" s="4" t="n">
        <v>3</v>
      </c>
      <c r="I337" s="4" t="n">
        <v>0</v>
      </c>
      <c r="J337" s="4" t="n">
        <v>1491</v>
      </c>
      <c r="K337" s="4" t="n">
        <v>0</v>
      </c>
      <c r="L337" s="12" t="n">
        <v>0.98828</v>
      </c>
      <c r="M337" s="12" t="n">
        <v>0.092063</v>
      </c>
      <c r="N337" s="12" t="n">
        <v>0.062505</v>
      </c>
      <c r="O337" s="12" t="n">
        <v>0.106183</v>
      </c>
      <c r="P337" s="12" t="n">
        <v>0.064898</v>
      </c>
      <c r="Q337" s="8" t="n">
        <f aca="false">IF(L337&gt;=Models!$G$5,1+COUNTIF($L$5:$L$1517,"&gt;"&amp;L337)+COUNTIFS($L$5:$L$1517,L337,$B$5:$B$1517,"&lt;"&amp;B337)+COUNTIFS($L$5:$L$1517,L337,$B$5:$B$1517,B337,$C$5:$C$1517,"&lt;"&amp;C337),"")</f>
        <v>17</v>
      </c>
      <c r="R337" s="0" t="str">
        <f aca="false">IF(M337&gt;=Models!$G$6,1+COUNTIF($M$5:$M$1517,"&gt;"&amp;M337)+COUNTIFS($M$5:$M$1517,M337,$B$5:$B$1517,"&lt;"&amp;B337)+COUNTIFS($M$5:$M$1517,M337,$B$5:$B$1517,B337,$C$5:$C$1517,"&lt;"&amp;C337),"")</f>
        <v/>
      </c>
      <c r="S337" s="0" t="str">
        <f aca="false">IF(N337&gt;=Models!$G$7,1+COUNTIF($N$5:$N$1517,"&gt;"&amp;N337)+COUNTIFS($N$5:$N$1517,N337,$B$5:$B$1517,"&lt;"&amp;B337)+COUNTIFS($N$5:$N$1517,N337,$B$5:$B$1517,B337,$C$5:$C$1517,"&lt;"&amp;C337),"")</f>
        <v/>
      </c>
      <c r="T337" s="8" t="n">
        <f aca="false">IF(O337&gt;=Models!$G$8,1+COUNTIF($O$5:$O$1517,"&gt;"&amp;O337)+COUNTIFS($O$5:$O$1517,O337,$B$5:$B$1517,"&lt;"&amp;B337)+COUNTIFS($O$5:$O$1517,O337,$B$5:$B$1517,B337,$C$5:$C$1517,"&lt;"&amp;C337),"")</f>
        <v>1251</v>
      </c>
      <c r="U337" s="8" t="n">
        <f aca="false">IF($K337=1,COUNTIFS($L$5:$L$1517,"&gt;="&amp;L337,$K$5:$K$1517,1)/COUNTIF($L$5:$L$1517,"&gt;="&amp;L337),0)</f>
        <v>0</v>
      </c>
      <c r="V337" s="8" t="n">
        <f aca="false">IF($K337=1,COUNTIFS($M$5:$M$1517,"&gt;="&amp;M337,$K$5:$K$1517,1)/COUNTIF($M$5:$M$1517,"&gt;="&amp;M337),0)</f>
        <v>0</v>
      </c>
      <c r="W337" s="8" t="n">
        <f aca="false">IF($K337=1,COUNTIFS($N$5:$N$1517,"&gt;="&amp;N337,$K$5:$K$1517,1)/COUNTIF($N$5:$N$1517,"&gt;="&amp;N337),0)</f>
        <v>0</v>
      </c>
      <c r="X337" s="8" t="n">
        <f aca="false">IF($K337=1,COUNTIFS($O$5:$O$1517,"&gt;="&amp;O337,$K$5:$K$1517,1)/COUNTIF($O$5:$O$1517,"&gt;="&amp;O337),0)</f>
        <v>0</v>
      </c>
      <c r="Y337" s="8" t="n">
        <f aca="false">IF($K337=1,COUNTIFS($P$5:$P$1517,"&gt;="&amp;P337,$K$5:$K$1517,1)/COUNTIF($P$5:$P$1517,"&gt;="&amp;P337),0)</f>
        <v>0</v>
      </c>
      <c r="Z337" s="8" t="n">
        <f aca="false">(L337-$K337)^2</f>
        <v>0.9766973584</v>
      </c>
      <c r="AA337" s="8" t="n">
        <f aca="false">(M337-$K337)^2</f>
        <v>0.008475595969</v>
      </c>
      <c r="AB337" s="8" t="n">
        <f aca="false">(N337-$K337)^2</f>
        <v>0.003906875025</v>
      </c>
      <c r="AC337" s="8" t="n">
        <f aca="false">(O337-$K337)^2</f>
        <v>0.011274829489</v>
      </c>
      <c r="AD337" s="8" t="n">
        <f aca="false">(P337-$K337)^2</f>
        <v>0.004211750404</v>
      </c>
      <c r="AE337" s="8" t="n">
        <f aca="false">MIN(INT(ROUND(N337*1000000,0)/100000),9)</f>
        <v>0</v>
      </c>
      <c r="AF337" s="8" t="n">
        <f aca="false">MIN(INT(ROUND(P337*1000000,0)/100000),9)</f>
        <v>0</v>
      </c>
    </row>
    <row r="338" customFormat="false" ht="15" hidden="false" customHeight="false" outlineLevel="0" collapsed="false">
      <c r="A338" s="4" t="n">
        <v>334</v>
      </c>
      <c r="B338" s="4" t="n">
        <v>1511</v>
      </c>
      <c r="C338" s="4" t="n">
        <v>0</v>
      </c>
      <c r="D338" s="11" t="n">
        <v>46054</v>
      </c>
      <c r="E338" s="4" t="s">
        <v>203</v>
      </c>
      <c r="F338" s="4" t="s">
        <v>210</v>
      </c>
      <c r="G338" s="4" t="n">
        <v>6</v>
      </c>
      <c r="H338" s="4" t="n">
        <v>3</v>
      </c>
      <c r="I338" s="4" t="n">
        <v>0</v>
      </c>
      <c r="J338" s="4"/>
      <c r="K338" s="4" t="n">
        <v>0</v>
      </c>
      <c r="L338" s="12" t="n">
        <v>0.777634</v>
      </c>
      <c r="M338" s="12" t="n">
        <v>0.092063</v>
      </c>
      <c r="N338" s="12" t="n">
        <v>0.050778</v>
      </c>
      <c r="O338" s="12" t="n">
        <v>0.106183</v>
      </c>
      <c r="P338" s="12" t="n">
        <v>0.052227</v>
      </c>
      <c r="Q338" s="0" t="str">
        <f aca="false">IF(L338&gt;=Models!$G$5,1+COUNTIF($L$5:$L$1517,"&gt;"&amp;L338)+COUNTIFS($L$5:$L$1517,L338,$B$5:$B$1517,"&lt;"&amp;B338)+COUNTIFS($L$5:$L$1517,L338,$B$5:$B$1517,B338,$C$5:$C$1517,"&lt;"&amp;C338),"")</f>
        <v/>
      </c>
      <c r="R338" s="0" t="str">
        <f aca="false">IF(M338&gt;=Models!$G$6,1+COUNTIF($M$5:$M$1517,"&gt;"&amp;M338)+COUNTIFS($M$5:$M$1517,M338,$B$5:$B$1517,"&lt;"&amp;B338)+COUNTIFS($M$5:$M$1517,M338,$B$5:$B$1517,B338,$C$5:$C$1517,"&lt;"&amp;C338),"")</f>
        <v/>
      </c>
      <c r="S338" s="0" t="str">
        <f aca="false">IF(N338&gt;=Models!$G$7,1+COUNTIF($N$5:$N$1517,"&gt;"&amp;N338)+COUNTIFS($N$5:$N$1517,N338,$B$5:$B$1517,"&lt;"&amp;B338)+COUNTIFS($N$5:$N$1517,N338,$B$5:$B$1517,B338,$C$5:$C$1517,"&lt;"&amp;C338),"")</f>
        <v/>
      </c>
      <c r="T338" s="8" t="n">
        <f aca="false">IF(O338&gt;=Models!$G$8,1+COUNTIF($O$5:$O$1517,"&gt;"&amp;O338)+COUNTIFS($O$5:$O$1517,O338,$B$5:$B$1517,"&lt;"&amp;B338)+COUNTIFS($O$5:$O$1517,O338,$B$5:$B$1517,B338,$C$5:$C$1517,"&lt;"&amp;C338),"")</f>
        <v>1255</v>
      </c>
      <c r="U338" s="8" t="n">
        <f aca="false">IF($K338=1,COUNTIFS($L$5:$L$1517,"&gt;="&amp;L338,$K$5:$K$1517,1)/COUNTIF($L$5:$L$1517,"&gt;="&amp;L338),0)</f>
        <v>0</v>
      </c>
      <c r="V338" s="8" t="n">
        <f aca="false">IF($K338=1,COUNTIFS($M$5:$M$1517,"&gt;="&amp;M338,$K$5:$K$1517,1)/COUNTIF($M$5:$M$1517,"&gt;="&amp;M338),0)</f>
        <v>0</v>
      </c>
      <c r="W338" s="8" t="n">
        <f aca="false">IF($K338=1,COUNTIFS($N$5:$N$1517,"&gt;="&amp;N338,$K$5:$K$1517,1)/COUNTIF($N$5:$N$1517,"&gt;="&amp;N338),0)</f>
        <v>0</v>
      </c>
      <c r="X338" s="8" t="n">
        <f aca="false">IF($K338=1,COUNTIFS($O$5:$O$1517,"&gt;="&amp;O338,$K$5:$K$1517,1)/COUNTIF($O$5:$O$1517,"&gt;="&amp;O338),0)</f>
        <v>0</v>
      </c>
      <c r="Y338" s="8" t="n">
        <f aca="false">IF($K338=1,COUNTIFS($P$5:$P$1517,"&gt;="&amp;P338,$K$5:$K$1517,1)/COUNTIF($P$5:$P$1517,"&gt;="&amp;P338),0)</f>
        <v>0</v>
      </c>
      <c r="Z338" s="8" t="n">
        <f aca="false">(L338-$K338)^2</f>
        <v>0.604714637956</v>
      </c>
      <c r="AA338" s="8" t="n">
        <f aca="false">(M338-$K338)^2</f>
        <v>0.008475595969</v>
      </c>
      <c r="AB338" s="8" t="n">
        <f aca="false">(N338-$K338)^2</f>
        <v>0.002578405284</v>
      </c>
      <c r="AC338" s="8" t="n">
        <f aca="false">(O338-$K338)^2</f>
        <v>0.011274829489</v>
      </c>
      <c r="AD338" s="8" t="n">
        <f aca="false">(P338-$K338)^2</f>
        <v>0.002727659529</v>
      </c>
      <c r="AE338" s="8" t="n">
        <f aca="false">MIN(INT(ROUND(N338*1000000,0)/100000),9)</f>
        <v>0</v>
      </c>
      <c r="AF338" s="8" t="n">
        <f aca="false">MIN(INT(ROUND(P338*1000000,0)/100000),9)</f>
        <v>0</v>
      </c>
    </row>
    <row r="339" customFormat="false" ht="15" hidden="false" customHeight="false" outlineLevel="0" collapsed="false">
      <c r="A339" s="4" t="n">
        <v>335</v>
      </c>
      <c r="B339" s="4" t="n">
        <v>1518</v>
      </c>
      <c r="C339" s="4" t="n">
        <v>0</v>
      </c>
      <c r="D339" s="11" t="n">
        <v>46054</v>
      </c>
      <c r="E339" s="4" t="s">
        <v>204</v>
      </c>
      <c r="F339" s="4" t="s">
        <v>206</v>
      </c>
      <c r="G339" s="4" t="n">
        <v>3</v>
      </c>
      <c r="H339" s="4" t="n">
        <v>0</v>
      </c>
      <c r="I339" s="4" t="n">
        <v>0</v>
      </c>
      <c r="J339" s="4" t="n">
        <v>84</v>
      </c>
      <c r="K339" s="4" t="n">
        <v>0</v>
      </c>
      <c r="L339" s="12" t="n">
        <v>0.722994</v>
      </c>
      <c r="M339" s="12" t="n">
        <v>0.092063</v>
      </c>
      <c r="N339" s="12" t="n">
        <v>0.12665</v>
      </c>
      <c r="O339" s="12" t="n">
        <v>0.106183</v>
      </c>
      <c r="P339" s="12" t="n">
        <v>0.135426</v>
      </c>
      <c r="Q339" s="0" t="str">
        <f aca="false">IF(L339&gt;=Models!$G$5,1+COUNTIF($L$5:$L$1517,"&gt;"&amp;L339)+COUNTIFS($L$5:$L$1517,L339,$B$5:$B$1517,"&lt;"&amp;B339)+COUNTIFS($L$5:$L$1517,L339,$B$5:$B$1517,B339,$C$5:$C$1517,"&lt;"&amp;C339),"")</f>
        <v/>
      </c>
      <c r="R339" s="0" t="str">
        <f aca="false">IF(M339&gt;=Models!$G$6,1+COUNTIF($M$5:$M$1517,"&gt;"&amp;M339)+COUNTIFS($M$5:$M$1517,M339,$B$5:$B$1517,"&lt;"&amp;B339)+COUNTIFS($M$5:$M$1517,M339,$B$5:$B$1517,B339,$C$5:$C$1517,"&lt;"&amp;C339),"")</f>
        <v/>
      </c>
      <c r="S339" s="0" t="str">
        <f aca="false">IF(N339&gt;=Models!$G$7,1+COUNTIF($N$5:$N$1517,"&gt;"&amp;N339)+COUNTIFS($N$5:$N$1517,N339,$B$5:$B$1517,"&lt;"&amp;B339)+COUNTIFS($N$5:$N$1517,N339,$B$5:$B$1517,B339,$C$5:$C$1517,"&lt;"&amp;C339),"")</f>
        <v/>
      </c>
      <c r="T339" s="8" t="n">
        <f aca="false">IF(O339&gt;=Models!$G$8,1+COUNTIF($O$5:$O$1517,"&gt;"&amp;O339)+COUNTIFS($O$5:$O$1517,O339,$B$5:$B$1517,"&lt;"&amp;B339)+COUNTIFS($O$5:$O$1517,O339,$B$5:$B$1517,B339,$C$5:$C$1517,"&lt;"&amp;C339),"")</f>
        <v>1259</v>
      </c>
      <c r="U339" s="8" t="n">
        <f aca="false">IF($K339=1,COUNTIFS($L$5:$L$1517,"&gt;="&amp;L339,$K$5:$K$1517,1)/COUNTIF($L$5:$L$1517,"&gt;="&amp;L339),0)</f>
        <v>0</v>
      </c>
      <c r="V339" s="8" t="n">
        <f aca="false">IF($K339=1,COUNTIFS($M$5:$M$1517,"&gt;="&amp;M339,$K$5:$K$1517,1)/COUNTIF($M$5:$M$1517,"&gt;="&amp;M339),0)</f>
        <v>0</v>
      </c>
      <c r="W339" s="8" t="n">
        <f aca="false">IF($K339=1,COUNTIFS($N$5:$N$1517,"&gt;="&amp;N339,$K$5:$K$1517,1)/COUNTIF($N$5:$N$1517,"&gt;="&amp;N339),0)</f>
        <v>0</v>
      </c>
      <c r="X339" s="8" t="n">
        <f aca="false">IF($K339=1,COUNTIFS($O$5:$O$1517,"&gt;="&amp;O339,$K$5:$K$1517,1)/COUNTIF($O$5:$O$1517,"&gt;="&amp;O339),0)</f>
        <v>0</v>
      </c>
      <c r="Y339" s="8" t="n">
        <f aca="false">IF($K339=1,COUNTIFS($P$5:$P$1517,"&gt;="&amp;P339,$K$5:$K$1517,1)/COUNTIF($P$5:$P$1517,"&gt;="&amp;P339),0)</f>
        <v>0</v>
      </c>
      <c r="Z339" s="8" t="n">
        <f aca="false">(L339-$K339)^2</f>
        <v>0.522720324036</v>
      </c>
      <c r="AA339" s="8" t="n">
        <f aca="false">(M339-$K339)^2</f>
        <v>0.008475595969</v>
      </c>
      <c r="AB339" s="8" t="n">
        <f aca="false">(N339-$K339)^2</f>
        <v>0.0160402225</v>
      </c>
      <c r="AC339" s="8" t="n">
        <f aca="false">(O339-$K339)^2</f>
        <v>0.011274829489</v>
      </c>
      <c r="AD339" s="8" t="n">
        <f aca="false">(P339-$K339)^2</f>
        <v>0.018340201476</v>
      </c>
      <c r="AE339" s="8" t="n">
        <f aca="false">MIN(INT(ROUND(N339*1000000,0)/100000),9)</f>
        <v>1</v>
      </c>
      <c r="AF339" s="8" t="n">
        <f aca="false">MIN(INT(ROUND(P339*1000000,0)/100000),9)</f>
        <v>1</v>
      </c>
    </row>
    <row r="340" customFormat="false" ht="15" hidden="false" customHeight="false" outlineLevel="0" collapsed="false">
      <c r="A340" s="4" t="n">
        <v>336</v>
      </c>
      <c r="B340" s="4" t="n">
        <v>1519</v>
      </c>
      <c r="C340" s="4" t="n">
        <v>0</v>
      </c>
      <c r="D340" s="11" t="n">
        <v>46054</v>
      </c>
      <c r="E340" s="4" t="s">
        <v>204</v>
      </c>
      <c r="F340" s="4" t="s">
        <v>209</v>
      </c>
      <c r="G340" s="4" t="n">
        <v>7</v>
      </c>
      <c r="H340" s="4" t="n">
        <v>0</v>
      </c>
      <c r="I340" s="4" t="n">
        <v>0</v>
      </c>
      <c r="J340" s="4" t="n">
        <v>102</v>
      </c>
      <c r="K340" s="4" t="n">
        <v>0</v>
      </c>
      <c r="L340" s="12" t="n">
        <v>0.578447</v>
      </c>
      <c r="M340" s="12" t="n">
        <v>0.092063</v>
      </c>
      <c r="N340" s="12" t="n">
        <v>0.091793</v>
      </c>
      <c r="O340" s="12" t="n">
        <v>0.106183</v>
      </c>
      <c r="P340" s="12" t="n">
        <v>0.096913</v>
      </c>
      <c r="Q340" s="0" t="str">
        <f aca="false">IF(L340&gt;=Models!$G$5,1+COUNTIF($L$5:$L$1517,"&gt;"&amp;L340)+COUNTIFS($L$5:$L$1517,L340,$B$5:$B$1517,"&lt;"&amp;B340)+COUNTIFS($L$5:$L$1517,L340,$B$5:$B$1517,B340,$C$5:$C$1517,"&lt;"&amp;C340),"")</f>
        <v/>
      </c>
      <c r="R340" s="0" t="str">
        <f aca="false">IF(M340&gt;=Models!$G$6,1+COUNTIF($M$5:$M$1517,"&gt;"&amp;M340)+COUNTIFS($M$5:$M$1517,M340,$B$5:$B$1517,"&lt;"&amp;B340)+COUNTIFS($M$5:$M$1517,M340,$B$5:$B$1517,B340,$C$5:$C$1517,"&lt;"&amp;C340),"")</f>
        <v/>
      </c>
      <c r="S340" s="0" t="str">
        <f aca="false">IF(N340&gt;=Models!$G$7,1+COUNTIF($N$5:$N$1517,"&gt;"&amp;N340)+COUNTIFS($N$5:$N$1517,N340,$B$5:$B$1517,"&lt;"&amp;B340)+COUNTIFS($N$5:$N$1517,N340,$B$5:$B$1517,B340,$C$5:$C$1517,"&lt;"&amp;C340),"")</f>
        <v/>
      </c>
      <c r="T340" s="8" t="n">
        <f aca="false">IF(O340&gt;=Models!$G$8,1+COUNTIF($O$5:$O$1517,"&gt;"&amp;O340)+COUNTIFS($O$5:$O$1517,O340,$B$5:$B$1517,"&lt;"&amp;B340)+COUNTIFS($O$5:$O$1517,O340,$B$5:$B$1517,B340,$C$5:$C$1517,"&lt;"&amp;C340),"")</f>
        <v>1263</v>
      </c>
      <c r="U340" s="8" t="n">
        <f aca="false">IF($K340=1,COUNTIFS($L$5:$L$1517,"&gt;="&amp;L340,$K$5:$K$1517,1)/COUNTIF($L$5:$L$1517,"&gt;="&amp;L340),0)</f>
        <v>0</v>
      </c>
      <c r="V340" s="8" t="n">
        <f aca="false">IF($K340=1,COUNTIFS($M$5:$M$1517,"&gt;="&amp;M340,$K$5:$K$1517,1)/COUNTIF($M$5:$M$1517,"&gt;="&amp;M340),0)</f>
        <v>0</v>
      </c>
      <c r="W340" s="8" t="n">
        <f aca="false">IF($K340=1,COUNTIFS($N$5:$N$1517,"&gt;="&amp;N340,$K$5:$K$1517,1)/COUNTIF($N$5:$N$1517,"&gt;="&amp;N340),0)</f>
        <v>0</v>
      </c>
      <c r="X340" s="8" t="n">
        <f aca="false">IF($K340=1,COUNTIFS($O$5:$O$1517,"&gt;="&amp;O340,$K$5:$K$1517,1)/COUNTIF($O$5:$O$1517,"&gt;="&amp;O340),0)</f>
        <v>0</v>
      </c>
      <c r="Y340" s="8" t="n">
        <f aca="false">IF($K340=1,COUNTIFS($P$5:$P$1517,"&gt;="&amp;P340,$K$5:$K$1517,1)/COUNTIF($P$5:$P$1517,"&gt;="&amp;P340),0)</f>
        <v>0</v>
      </c>
      <c r="Z340" s="8" t="n">
        <f aca="false">(L340-$K340)^2</f>
        <v>0.334600931809</v>
      </c>
      <c r="AA340" s="8" t="n">
        <f aca="false">(M340-$K340)^2</f>
        <v>0.008475595969</v>
      </c>
      <c r="AB340" s="8" t="n">
        <f aca="false">(N340-$K340)^2</f>
        <v>0.008425954849</v>
      </c>
      <c r="AC340" s="8" t="n">
        <f aca="false">(O340-$K340)^2</f>
        <v>0.011274829489</v>
      </c>
      <c r="AD340" s="8" t="n">
        <f aca="false">(P340-$K340)^2</f>
        <v>0.009392129569</v>
      </c>
      <c r="AE340" s="8" t="n">
        <f aca="false">MIN(INT(ROUND(N340*1000000,0)/100000),9)</f>
        <v>0</v>
      </c>
      <c r="AF340" s="8" t="n">
        <f aca="false">MIN(INT(ROUND(P340*1000000,0)/100000),9)</f>
        <v>0</v>
      </c>
    </row>
    <row r="341" customFormat="false" ht="15" hidden="false" customHeight="false" outlineLevel="0" collapsed="false">
      <c r="A341" s="4" t="n">
        <v>337</v>
      </c>
      <c r="B341" s="4" t="n">
        <v>1520</v>
      </c>
      <c r="C341" s="4" t="n">
        <v>0</v>
      </c>
      <c r="D341" s="11" t="n">
        <v>46054</v>
      </c>
      <c r="E341" s="4" t="s">
        <v>204</v>
      </c>
      <c r="F341" s="4" t="s">
        <v>210</v>
      </c>
      <c r="G341" s="4" t="n">
        <v>3</v>
      </c>
      <c r="H341" s="4" t="n">
        <v>8</v>
      </c>
      <c r="I341" s="4" t="n">
        <v>0</v>
      </c>
      <c r="J341" s="4" t="n">
        <v>117</v>
      </c>
      <c r="K341" s="4" t="n">
        <v>1</v>
      </c>
      <c r="L341" s="12" t="n">
        <v>0.909293</v>
      </c>
      <c r="M341" s="12" t="n">
        <v>0.092063</v>
      </c>
      <c r="N341" s="12" t="n">
        <v>0.133857</v>
      </c>
      <c r="O341" s="12" t="n">
        <v>0.106183</v>
      </c>
      <c r="P341" s="12" t="n">
        <v>0.143423</v>
      </c>
      <c r="Q341" s="0" t="str">
        <f aca="false">IF(L341&gt;=Models!$G$5,1+COUNTIF($L$5:$L$1517,"&gt;"&amp;L341)+COUNTIFS($L$5:$L$1517,L341,$B$5:$B$1517,"&lt;"&amp;B341)+COUNTIFS($L$5:$L$1517,L341,$B$5:$B$1517,B341,$C$5:$C$1517,"&lt;"&amp;C341),"")</f>
        <v/>
      </c>
      <c r="R341" s="0" t="str">
        <f aca="false">IF(M341&gt;=Models!$G$6,1+COUNTIF($M$5:$M$1517,"&gt;"&amp;M341)+COUNTIFS($M$5:$M$1517,M341,$B$5:$B$1517,"&lt;"&amp;B341)+COUNTIFS($M$5:$M$1517,M341,$B$5:$B$1517,B341,$C$5:$C$1517,"&lt;"&amp;C341),"")</f>
        <v/>
      </c>
      <c r="S341" s="0" t="str">
        <f aca="false">IF(N341&gt;=Models!$G$7,1+COUNTIF($N$5:$N$1517,"&gt;"&amp;N341)+COUNTIFS($N$5:$N$1517,N341,$B$5:$B$1517,"&lt;"&amp;B341)+COUNTIFS($N$5:$N$1517,N341,$B$5:$B$1517,B341,$C$5:$C$1517,"&lt;"&amp;C341),"")</f>
        <v/>
      </c>
      <c r="T341" s="8" t="n">
        <f aca="false">IF(O341&gt;=Models!$G$8,1+COUNTIF($O$5:$O$1517,"&gt;"&amp;O341)+COUNTIFS($O$5:$O$1517,O341,$B$5:$B$1517,"&lt;"&amp;B341)+COUNTIFS($O$5:$O$1517,O341,$B$5:$B$1517,B341,$C$5:$C$1517,"&lt;"&amp;C341),"")</f>
        <v>1267</v>
      </c>
      <c r="U341" s="8" t="n">
        <f aca="false">IF($K341=1,COUNTIFS($L$5:$L$1517,"&gt;="&amp;L341,$K$5:$K$1517,1)/COUNTIF($L$5:$L$1517,"&gt;="&amp;L341),0)</f>
        <v>0.150375939849624</v>
      </c>
      <c r="V341" s="8" t="n">
        <f aca="false">IF($K341=1,COUNTIFS($M$5:$M$1517,"&gt;="&amp;M341,$K$5:$K$1517,1)/COUNTIF($M$5:$M$1517,"&gt;="&amp;M341),0)</f>
        <v>0.12491738268341</v>
      </c>
      <c r="W341" s="8" t="n">
        <f aca="false">IF($K341=1,COUNTIFS($N$5:$N$1517,"&gt;="&amp;N341,$K$5:$K$1517,1)/COUNTIF($N$5:$N$1517,"&gt;="&amp;N341),0)</f>
        <v>0.250746268656716</v>
      </c>
      <c r="X341" s="8" t="n">
        <f aca="false">IF($K341=1,COUNTIFS($O$5:$O$1517,"&gt;="&amp;O341,$K$5:$K$1517,1)/COUNTIF($O$5:$O$1517,"&gt;="&amp;O341),0)</f>
        <v>0.12491738268341</v>
      </c>
      <c r="Y341" s="8" t="n">
        <f aca="false">IF($K341=1,COUNTIFS($P$5:$P$1517,"&gt;="&amp;P341,$K$5:$K$1517,1)/COUNTIF($P$5:$P$1517,"&gt;="&amp;P341),0)</f>
        <v>0.250746268656716</v>
      </c>
      <c r="Z341" s="8" t="n">
        <f aca="false">(L341-$K341)^2</f>
        <v>0.008227759849</v>
      </c>
      <c r="AA341" s="8" t="n">
        <f aca="false">(M341-$K341)^2</f>
        <v>0.824349595969</v>
      </c>
      <c r="AB341" s="8" t="n">
        <f aca="false">(N341-$K341)^2</f>
        <v>0.750203696449</v>
      </c>
      <c r="AC341" s="8" t="n">
        <f aca="false">(O341-$K341)^2</f>
        <v>0.798908829489</v>
      </c>
      <c r="AD341" s="8" t="n">
        <f aca="false">(P341-$K341)^2</f>
        <v>0.733724156929</v>
      </c>
      <c r="AE341" s="8" t="n">
        <f aca="false">MIN(INT(ROUND(N341*1000000,0)/100000),9)</f>
        <v>1</v>
      </c>
      <c r="AF341" s="8" t="n">
        <f aca="false">MIN(INT(ROUND(P341*1000000,0)/100000),9)</f>
        <v>1</v>
      </c>
    </row>
    <row r="342" customFormat="false" ht="15" hidden="false" customHeight="false" outlineLevel="0" collapsed="false">
      <c r="A342" s="4" t="n">
        <v>338</v>
      </c>
      <c r="B342" s="4" t="n">
        <v>1526</v>
      </c>
      <c r="C342" s="4" t="n">
        <v>0</v>
      </c>
      <c r="D342" s="11" t="n">
        <v>46054</v>
      </c>
      <c r="E342" s="4" t="s">
        <v>202</v>
      </c>
      <c r="F342" s="4" t="s">
        <v>208</v>
      </c>
      <c r="G342" s="4" t="n">
        <v>4</v>
      </c>
      <c r="H342" s="4" t="n">
        <v>1</v>
      </c>
      <c r="I342" s="4" t="n">
        <v>0</v>
      </c>
      <c r="J342" s="4"/>
      <c r="K342" s="4" t="n">
        <v>0</v>
      </c>
      <c r="L342" s="12" t="n">
        <v>0.681871</v>
      </c>
      <c r="M342" s="12" t="n">
        <v>0.092063</v>
      </c>
      <c r="N342" s="12" t="n">
        <v>0.059268</v>
      </c>
      <c r="O342" s="12" t="n">
        <v>0.106183</v>
      </c>
      <c r="P342" s="12" t="n">
        <v>0.06139</v>
      </c>
      <c r="Q342" s="0" t="str">
        <f aca="false">IF(L342&gt;=Models!$G$5,1+COUNTIF($L$5:$L$1517,"&gt;"&amp;L342)+COUNTIFS($L$5:$L$1517,L342,$B$5:$B$1517,"&lt;"&amp;B342)+COUNTIFS($L$5:$L$1517,L342,$B$5:$B$1517,B342,$C$5:$C$1517,"&lt;"&amp;C342),"")</f>
        <v/>
      </c>
      <c r="R342" s="0" t="str">
        <f aca="false">IF(M342&gt;=Models!$G$6,1+COUNTIF($M$5:$M$1517,"&gt;"&amp;M342)+COUNTIFS($M$5:$M$1517,M342,$B$5:$B$1517,"&lt;"&amp;B342)+COUNTIFS($M$5:$M$1517,M342,$B$5:$B$1517,B342,$C$5:$C$1517,"&lt;"&amp;C342),"")</f>
        <v/>
      </c>
      <c r="S342" s="0" t="str">
        <f aca="false">IF(N342&gt;=Models!$G$7,1+COUNTIF($N$5:$N$1517,"&gt;"&amp;N342)+COUNTIFS($N$5:$N$1517,N342,$B$5:$B$1517,"&lt;"&amp;B342)+COUNTIFS($N$5:$N$1517,N342,$B$5:$B$1517,B342,$C$5:$C$1517,"&lt;"&amp;C342),"")</f>
        <v/>
      </c>
      <c r="T342" s="8" t="n">
        <f aca="false">IF(O342&gt;=Models!$G$8,1+COUNTIF($O$5:$O$1517,"&gt;"&amp;O342)+COUNTIFS($O$5:$O$1517,O342,$B$5:$B$1517,"&lt;"&amp;B342)+COUNTIFS($O$5:$O$1517,O342,$B$5:$B$1517,B342,$C$5:$C$1517,"&lt;"&amp;C342),"")</f>
        <v>1269</v>
      </c>
      <c r="U342" s="8" t="n">
        <f aca="false">IF($K342=1,COUNTIFS($L$5:$L$1517,"&gt;="&amp;L342,$K$5:$K$1517,1)/COUNTIF($L$5:$L$1517,"&gt;="&amp;L342),0)</f>
        <v>0</v>
      </c>
      <c r="V342" s="8" t="n">
        <f aca="false">IF($K342=1,COUNTIFS($M$5:$M$1517,"&gt;="&amp;M342,$K$5:$K$1517,1)/COUNTIF($M$5:$M$1517,"&gt;="&amp;M342),0)</f>
        <v>0</v>
      </c>
      <c r="W342" s="8" t="n">
        <f aca="false">IF($K342=1,COUNTIFS($N$5:$N$1517,"&gt;="&amp;N342,$K$5:$K$1517,1)/COUNTIF($N$5:$N$1517,"&gt;="&amp;N342),0)</f>
        <v>0</v>
      </c>
      <c r="X342" s="8" t="n">
        <f aca="false">IF($K342=1,COUNTIFS($O$5:$O$1517,"&gt;="&amp;O342,$K$5:$K$1517,1)/COUNTIF($O$5:$O$1517,"&gt;="&amp;O342),0)</f>
        <v>0</v>
      </c>
      <c r="Y342" s="8" t="n">
        <f aca="false">IF($K342=1,COUNTIFS($P$5:$P$1517,"&gt;="&amp;P342,$K$5:$K$1517,1)/COUNTIF($P$5:$P$1517,"&gt;="&amp;P342),0)</f>
        <v>0</v>
      </c>
      <c r="Z342" s="8" t="n">
        <f aca="false">(L342-$K342)^2</f>
        <v>0.464948060641</v>
      </c>
      <c r="AA342" s="8" t="n">
        <f aca="false">(M342-$K342)^2</f>
        <v>0.008475595969</v>
      </c>
      <c r="AB342" s="8" t="n">
        <f aca="false">(N342-$K342)^2</f>
        <v>0.003512695824</v>
      </c>
      <c r="AC342" s="8" t="n">
        <f aca="false">(O342-$K342)^2</f>
        <v>0.011274829489</v>
      </c>
      <c r="AD342" s="8" t="n">
        <f aca="false">(P342-$K342)^2</f>
        <v>0.0037687321</v>
      </c>
      <c r="AE342" s="8" t="n">
        <f aca="false">MIN(INT(ROUND(N342*1000000,0)/100000),9)</f>
        <v>0</v>
      </c>
      <c r="AF342" s="8" t="n">
        <f aca="false">MIN(INT(ROUND(P342*1000000,0)/100000),9)</f>
        <v>0</v>
      </c>
    </row>
    <row r="343" customFormat="false" ht="15" hidden="false" customHeight="false" outlineLevel="0" collapsed="false">
      <c r="A343" s="4" t="n">
        <v>339</v>
      </c>
      <c r="B343" s="4" t="n">
        <v>1527</v>
      </c>
      <c r="C343" s="4" t="n">
        <v>0</v>
      </c>
      <c r="D343" s="11" t="n">
        <v>46054</v>
      </c>
      <c r="E343" s="4" t="s">
        <v>202</v>
      </c>
      <c r="F343" s="4" t="s">
        <v>209</v>
      </c>
      <c r="G343" s="4" t="n">
        <v>7</v>
      </c>
      <c r="H343" s="4" t="n">
        <v>8</v>
      </c>
      <c r="I343" s="4" t="n">
        <v>0</v>
      </c>
      <c r="J343" s="4"/>
      <c r="K343" s="4" t="n">
        <v>0</v>
      </c>
      <c r="L343" s="12" t="n">
        <v>0.569941</v>
      </c>
      <c r="M343" s="12" t="n">
        <v>0.092063</v>
      </c>
      <c r="N343" s="12" t="n">
        <v>0.048466</v>
      </c>
      <c r="O343" s="12" t="n">
        <v>0.106183</v>
      </c>
      <c r="P343" s="12" t="n">
        <v>0.049742</v>
      </c>
      <c r="Q343" s="0" t="str">
        <f aca="false">IF(L343&gt;=Models!$G$5,1+COUNTIF($L$5:$L$1517,"&gt;"&amp;L343)+COUNTIFS($L$5:$L$1517,L343,$B$5:$B$1517,"&lt;"&amp;B343)+COUNTIFS($L$5:$L$1517,L343,$B$5:$B$1517,B343,$C$5:$C$1517,"&lt;"&amp;C343),"")</f>
        <v/>
      </c>
      <c r="R343" s="0" t="str">
        <f aca="false">IF(M343&gt;=Models!$G$6,1+COUNTIF($M$5:$M$1517,"&gt;"&amp;M343)+COUNTIFS($M$5:$M$1517,M343,$B$5:$B$1517,"&lt;"&amp;B343)+COUNTIFS($M$5:$M$1517,M343,$B$5:$B$1517,B343,$C$5:$C$1517,"&lt;"&amp;C343),"")</f>
        <v/>
      </c>
      <c r="S343" s="0" t="str">
        <f aca="false">IF(N343&gt;=Models!$G$7,1+COUNTIF($N$5:$N$1517,"&gt;"&amp;N343)+COUNTIFS($N$5:$N$1517,N343,$B$5:$B$1517,"&lt;"&amp;B343)+COUNTIFS($N$5:$N$1517,N343,$B$5:$B$1517,B343,$C$5:$C$1517,"&lt;"&amp;C343),"")</f>
        <v/>
      </c>
      <c r="T343" s="8" t="n">
        <f aca="false">IF(O343&gt;=Models!$G$8,1+COUNTIF($O$5:$O$1517,"&gt;"&amp;O343)+COUNTIFS($O$5:$O$1517,O343,$B$5:$B$1517,"&lt;"&amp;B343)+COUNTIFS($O$5:$O$1517,O343,$B$5:$B$1517,B343,$C$5:$C$1517,"&lt;"&amp;C343),"")</f>
        <v>1273</v>
      </c>
      <c r="U343" s="8" t="n">
        <f aca="false">IF($K343=1,COUNTIFS($L$5:$L$1517,"&gt;="&amp;L343,$K$5:$K$1517,1)/COUNTIF($L$5:$L$1517,"&gt;="&amp;L343),0)</f>
        <v>0</v>
      </c>
      <c r="V343" s="8" t="n">
        <f aca="false">IF($K343=1,COUNTIFS($M$5:$M$1517,"&gt;="&amp;M343,$K$5:$K$1517,1)/COUNTIF($M$5:$M$1517,"&gt;="&amp;M343),0)</f>
        <v>0</v>
      </c>
      <c r="W343" s="8" t="n">
        <f aca="false">IF($K343=1,COUNTIFS($N$5:$N$1517,"&gt;="&amp;N343,$K$5:$K$1517,1)/COUNTIF($N$5:$N$1517,"&gt;="&amp;N343),0)</f>
        <v>0</v>
      </c>
      <c r="X343" s="8" t="n">
        <f aca="false">IF($K343=1,COUNTIFS($O$5:$O$1517,"&gt;="&amp;O343,$K$5:$K$1517,1)/COUNTIF($O$5:$O$1517,"&gt;="&amp;O343),0)</f>
        <v>0</v>
      </c>
      <c r="Y343" s="8" t="n">
        <f aca="false">IF($K343=1,COUNTIFS($P$5:$P$1517,"&gt;="&amp;P343,$K$5:$K$1517,1)/COUNTIF($P$5:$P$1517,"&gt;="&amp;P343),0)</f>
        <v>0</v>
      </c>
      <c r="Z343" s="8" t="n">
        <f aca="false">(L343-$K343)^2</f>
        <v>0.324832743481</v>
      </c>
      <c r="AA343" s="8" t="n">
        <f aca="false">(M343-$K343)^2</f>
        <v>0.008475595969</v>
      </c>
      <c r="AB343" s="8" t="n">
        <f aca="false">(N343-$K343)^2</f>
        <v>0.002348953156</v>
      </c>
      <c r="AC343" s="8" t="n">
        <f aca="false">(O343-$K343)^2</f>
        <v>0.011274829489</v>
      </c>
      <c r="AD343" s="8" t="n">
        <f aca="false">(P343-$K343)^2</f>
        <v>0.002474266564</v>
      </c>
      <c r="AE343" s="8" t="n">
        <f aca="false">MIN(INT(ROUND(N343*1000000,0)/100000),9)</f>
        <v>0</v>
      </c>
      <c r="AF343" s="8" t="n">
        <f aca="false">MIN(INT(ROUND(P343*1000000,0)/100000),9)</f>
        <v>0</v>
      </c>
    </row>
    <row r="344" customFormat="false" ht="15" hidden="false" customHeight="false" outlineLevel="0" collapsed="false">
      <c r="A344" s="4" t="n">
        <v>340</v>
      </c>
      <c r="B344" s="4" t="n">
        <v>1529</v>
      </c>
      <c r="C344" s="4" t="n">
        <v>0</v>
      </c>
      <c r="D344" s="11" t="n">
        <v>46054</v>
      </c>
      <c r="E344" s="4" t="s">
        <v>202</v>
      </c>
      <c r="F344" s="4" t="s">
        <v>206</v>
      </c>
      <c r="G344" s="4" t="n">
        <v>12</v>
      </c>
      <c r="H344" s="4" t="n">
        <v>5</v>
      </c>
      <c r="I344" s="4" t="n">
        <v>0</v>
      </c>
      <c r="J344" s="4" t="n">
        <v>1419</v>
      </c>
      <c r="K344" s="4" t="n">
        <v>0</v>
      </c>
      <c r="L344" s="12" t="n">
        <v>0.36314</v>
      </c>
      <c r="M344" s="12" t="n">
        <v>0.092063</v>
      </c>
      <c r="N344" s="12" t="n">
        <v>0.058558</v>
      </c>
      <c r="O344" s="12" t="n">
        <v>0.106183</v>
      </c>
      <c r="P344" s="12" t="n">
        <v>0.060622</v>
      </c>
      <c r="Q344" s="0" t="str">
        <f aca="false">IF(L344&gt;=Models!$G$5,1+COUNTIF($L$5:$L$1517,"&gt;"&amp;L344)+COUNTIFS($L$5:$L$1517,L344,$B$5:$B$1517,"&lt;"&amp;B344)+COUNTIFS($L$5:$L$1517,L344,$B$5:$B$1517,B344,$C$5:$C$1517,"&lt;"&amp;C344),"")</f>
        <v/>
      </c>
      <c r="R344" s="0" t="str">
        <f aca="false">IF(M344&gt;=Models!$G$6,1+COUNTIF($M$5:$M$1517,"&gt;"&amp;M344)+COUNTIFS($M$5:$M$1517,M344,$B$5:$B$1517,"&lt;"&amp;B344)+COUNTIFS($M$5:$M$1517,M344,$B$5:$B$1517,B344,$C$5:$C$1517,"&lt;"&amp;C344),"")</f>
        <v/>
      </c>
      <c r="S344" s="0" t="str">
        <f aca="false">IF(N344&gt;=Models!$G$7,1+COUNTIF($N$5:$N$1517,"&gt;"&amp;N344)+COUNTIFS($N$5:$N$1517,N344,$B$5:$B$1517,"&lt;"&amp;B344)+COUNTIFS($N$5:$N$1517,N344,$B$5:$B$1517,B344,$C$5:$C$1517,"&lt;"&amp;C344),"")</f>
        <v/>
      </c>
      <c r="T344" s="8" t="n">
        <f aca="false">IF(O344&gt;=Models!$G$8,1+COUNTIF($O$5:$O$1517,"&gt;"&amp;O344)+COUNTIFS($O$5:$O$1517,O344,$B$5:$B$1517,"&lt;"&amp;B344)+COUNTIFS($O$5:$O$1517,O344,$B$5:$B$1517,B344,$C$5:$C$1517,"&lt;"&amp;C344),"")</f>
        <v>1277</v>
      </c>
      <c r="U344" s="8" t="n">
        <f aca="false">IF($K344=1,COUNTIFS($L$5:$L$1517,"&gt;="&amp;L344,$K$5:$K$1517,1)/COUNTIF($L$5:$L$1517,"&gt;="&amp;L344),0)</f>
        <v>0</v>
      </c>
      <c r="V344" s="8" t="n">
        <f aca="false">IF($K344=1,COUNTIFS($M$5:$M$1517,"&gt;="&amp;M344,$K$5:$K$1517,1)/COUNTIF($M$5:$M$1517,"&gt;="&amp;M344),0)</f>
        <v>0</v>
      </c>
      <c r="W344" s="8" t="n">
        <f aca="false">IF($K344=1,COUNTIFS($N$5:$N$1517,"&gt;="&amp;N344,$K$5:$K$1517,1)/COUNTIF($N$5:$N$1517,"&gt;="&amp;N344),0)</f>
        <v>0</v>
      </c>
      <c r="X344" s="8" t="n">
        <f aca="false">IF($K344=1,COUNTIFS($O$5:$O$1517,"&gt;="&amp;O344,$K$5:$K$1517,1)/COUNTIF($O$5:$O$1517,"&gt;="&amp;O344),0)</f>
        <v>0</v>
      </c>
      <c r="Y344" s="8" t="n">
        <f aca="false">IF($K344=1,COUNTIFS($P$5:$P$1517,"&gt;="&amp;P344,$K$5:$K$1517,1)/COUNTIF($P$5:$P$1517,"&gt;="&amp;P344),0)</f>
        <v>0</v>
      </c>
      <c r="Z344" s="8" t="n">
        <f aca="false">(L344-$K344)^2</f>
        <v>0.1318706596</v>
      </c>
      <c r="AA344" s="8" t="n">
        <f aca="false">(M344-$K344)^2</f>
        <v>0.008475595969</v>
      </c>
      <c r="AB344" s="8" t="n">
        <f aca="false">(N344-$K344)^2</f>
        <v>0.003429039364</v>
      </c>
      <c r="AC344" s="8" t="n">
        <f aca="false">(O344-$K344)^2</f>
        <v>0.011274829489</v>
      </c>
      <c r="AD344" s="8" t="n">
        <f aca="false">(P344-$K344)^2</f>
        <v>0.003675026884</v>
      </c>
      <c r="AE344" s="8" t="n">
        <f aca="false">MIN(INT(ROUND(N344*1000000,0)/100000),9)</f>
        <v>0</v>
      </c>
      <c r="AF344" s="8" t="n">
        <f aca="false">MIN(INT(ROUND(P344*1000000,0)/100000),9)</f>
        <v>0</v>
      </c>
    </row>
    <row r="345" customFormat="false" ht="15" hidden="false" customHeight="false" outlineLevel="0" collapsed="false">
      <c r="A345" s="4" t="n">
        <v>341</v>
      </c>
      <c r="B345" s="4" t="n">
        <v>1531</v>
      </c>
      <c r="C345" s="4" t="n">
        <v>0</v>
      </c>
      <c r="D345" s="11" t="n">
        <v>46054</v>
      </c>
      <c r="E345" s="4" t="s">
        <v>202</v>
      </c>
      <c r="F345" s="4" t="s">
        <v>206</v>
      </c>
      <c r="G345" s="4" t="n">
        <v>4</v>
      </c>
      <c r="H345" s="4" t="n">
        <v>3</v>
      </c>
      <c r="I345" s="4" t="n">
        <v>0</v>
      </c>
      <c r="J345" s="4"/>
      <c r="K345" s="4" t="n">
        <v>1</v>
      </c>
      <c r="L345" s="12" t="n">
        <v>0.412348</v>
      </c>
      <c r="M345" s="12" t="n">
        <v>0.092063</v>
      </c>
      <c r="N345" s="12" t="n">
        <v>0.060188</v>
      </c>
      <c r="O345" s="12" t="n">
        <v>0.106183</v>
      </c>
      <c r="P345" s="12" t="n">
        <v>0.062387</v>
      </c>
      <c r="Q345" s="0" t="str">
        <f aca="false">IF(L345&gt;=Models!$G$5,1+COUNTIF($L$5:$L$1517,"&gt;"&amp;L345)+COUNTIFS($L$5:$L$1517,L345,$B$5:$B$1517,"&lt;"&amp;B345)+COUNTIFS($L$5:$L$1517,L345,$B$5:$B$1517,B345,$C$5:$C$1517,"&lt;"&amp;C345),"")</f>
        <v/>
      </c>
      <c r="R345" s="0" t="str">
        <f aca="false">IF(M345&gt;=Models!$G$6,1+COUNTIF($M$5:$M$1517,"&gt;"&amp;M345)+COUNTIFS($M$5:$M$1517,M345,$B$5:$B$1517,"&lt;"&amp;B345)+COUNTIFS($M$5:$M$1517,M345,$B$5:$B$1517,B345,$C$5:$C$1517,"&lt;"&amp;C345),"")</f>
        <v/>
      </c>
      <c r="S345" s="0" t="str">
        <f aca="false">IF(N345&gt;=Models!$G$7,1+COUNTIF($N$5:$N$1517,"&gt;"&amp;N345)+COUNTIFS($N$5:$N$1517,N345,$B$5:$B$1517,"&lt;"&amp;B345)+COUNTIFS($N$5:$N$1517,N345,$B$5:$B$1517,B345,$C$5:$C$1517,"&lt;"&amp;C345),"")</f>
        <v/>
      </c>
      <c r="T345" s="8" t="n">
        <f aca="false">IF(O345&gt;=Models!$G$8,1+COUNTIF($O$5:$O$1517,"&gt;"&amp;O345)+COUNTIFS($O$5:$O$1517,O345,$B$5:$B$1517,"&lt;"&amp;B345)+COUNTIFS($O$5:$O$1517,O345,$B$5:$B$1517,B345,$C$5:$C$1517,"&lt;"&amp;C345),"")</f>
        <v>1281</v>
      </c>
      <c r="U345" s="8" t="n">
        <f aca="false">IF($K345=1,COUNTIFS($L$5:$L$1517,"&gt;="&amp;L345,$K$5:$K$1517,1)/COUNTIF($L$5:$L$1517,"&gt;="&amp;L345),0)</f>
        <v>0.128409090909091</v>
      </c>
      <c r="V345" s="8" t="n">
        <f aca="false">IF($K345=1,COUNTIFS($M$5:$M$1517,"&gt;="&amp;M345,$K$5:$K$1517,1)/COUNTIF($M$5:$M$1517,"&gt;="&amp;M345),0)</f>
        <v>0.12491738268341</v>
      </c>
      <c r="W345" s="8" t="n">
        <f aca="false">IF($K345=1,COUNTIFS($N$5:$N$1517,"&gt;="&amp;N345,$K$5:$K$1517,1)/COUNTIF($N$5:$N$1517,"&gt;="&amp;N345),0)</f>
        <v>0.159176029962547</v>
      </c>
      <c r="X345" s="8" t="n">
        <f aca="false">IF($K345=1,COUNTIFS($O$5:$O$1517,"&gt;="&amp;O345,$K$5:$K$1517,1)/COUNTIF($O$5:$O$1517,"&gt;="&amp;O345),0)</f>
        <v>0.12491738268341</v>
      </c>
      <c r="Y345" s="8" t="n">
        <f aca="false">IF($K345=1,COUNTIFS($P$5:$P$1517,"&gt;="&amp;P345,$K$5:$K$1517,1)/COUNTIF($P$5:$P$1517,"&gt;="&amp;P345),0)</f>
        <v>0.159176029962547</v>
      </c>
      <c r="Z345" s="8" t="n">
        <f aca="false">(L345-$K345)^2</f>
        <v>0.345334873104</v>
      </c>
      <c r="AA345" s="8" t="n">
        <f aca="false">(M345-$K345)^2</f>
        <v>0.824349595969</v>
      </c>
      <c r="AB345" s="8" t="n">
        <f aca="false">(N345-$K345)^2</f>
        <v>0.883246595344</v>
      </c>
      <c r="AC345" s="8" t="n">
        <f aca="false">(O345-$K345)^2</f>
        <v>0.798908829489</v>
      </c>
      <c r="AD345" s="8" t="n">
        <f aca="false">(P345-$K345)^2</f>
        <v>0.879118137769</v>
      </c>
      <c r="AE345" s="8" t="n">
        <f aca="false">MIN(INT(ROUND(N345*1000000,0)/100000),9)</f>
        <v>0</v>
      </c>
      <c r="AF345" s="8" t="n">
        <f aca="false">MIN(INT(ROUND(P345*1000000,0)/100000),9)</f>
        <v>0</v>
      </c>
    </row>
    <row r="346" customFormat="false" ht="15" hidden="false" customHeight="false" outlineLevel="0" collapsed="false">
      <c r="A346" s="4" t="n">
        <v>342</v>
      </c>
      <c r="B346" s="4" t="n">
        <v>1532</v>
      </c>
      <c r="C346" s="4" t="n">
        <v>0</v>
      </c>
      <c r="D346" s="11" t="n">
        <v>46054</v>
      </c>
      <c r="E346" s="4" t="s">
        <v>203</v>
      </c>
      <c r="F346" s="4" t="s">
        <v>206</v>
      </c>
      <c r="G346" s="4" t="n">
        <v>3</v>
      </c>
      <c r="H346" s="4" t="n">
        <v>9</v>
      </c>
      <c r="I346" s="4" t="n">
        <v>0</v>
      </c>
      <c r="J346" s="4" t="n">
        <v>291</v>
      </c>
      <c r="K346" s="4" t="n">
        <v>0</v>
      </c>
      <c r="L346" s="12" t="n">
        <v>0.016305</v>
      </c>
      <c r="M346" s="12" t="n">
        <v>0.092063</v>
      </c>
      <c r="N346" s="12" t="n">
        <v>0.133637</v>
      </c>
      <c r="O346" s="12" t="n">
        <v>0.106183</v>
      </c>
      <c r="P346" s="12" t="n">
        <v>0.143178</v>
      </c>
      <c r="Q346" s="0" t="str">
        <f aca="false">IF(L346&gt;=Models!$G$5,1+COUNTIF($L$5:$L$1517,"&gt;"&amp;L346)+COUNTIFS($L$5:$L$1517,L346,$B$5:$B$1517,"&lt;"&amp;B346)+COUNTIFS($L$5:$L$1517,L346,$B$5:$B$1517,B346,$C$5:$C$1517,"&lt;"&amp;C346),"")</f>
        <v/>
      </c>
      <c r="R346" s="0" t="str">
        <f aca="false">IF(M346&gt;=Models!$G$6,1+COUNTIF($M$5:$M$1517,"&gt;"&amp;M346)+COUNTIFS($M$5:$M$1517,M346,$B$5:$B$1517,"&lt;"&amp;B346)+COUNTIFS($M$5:$M$1517,M346,$B$5:$B$1517,B346,$C$5:$C$1517,"&lt;"&amp;C346),"")</f>
        <v/>
      </c>
      <c r="S346" s="0" t="str">
        <f aca="false">IF(N346&gt;=Models!$G$7,1+COUNTIF($N$5:$N$1517,"&gt;"&amp;N346)+COUNTIFS($N$5:$N$1517,N346,$B$5:$B$1517,"&lt;"&amp;B346)+COUNTIFS($N$5:$N$1517,N346,$B$5:$B$1517,B346,$C$5:$C$1517,"&lt;"&amp;C346),"")</f>
        <v/>
      </c>
      <c r="T346" s="8" t="n">
        <f aca="false">IF(O346&gt;=Models!$G$8,1+COUNTIF($O$5:$O$1517,"&gt;"&amp;O346)+COUNTIFS($O$5:$O$1517,O346,$B$5:$B$1517,"&lt;"&amp;B346)+COUNTIFS($O$5:$O$1517,O346,$B$5:$B$1517,B346,$C$5:$C$1517,"&lt;"&amp;C346),"")</f>
        <v>1282</v>
      </c>
      <c r="U346" s="8" t="n">
        <f aca="false">IF($K346=1,COUNTIFS($L$5:$L$1517,"&gt;="&amp;L346,$K$5:$K$1517,1)/COUNTIF($L$5:$L$1517,"&gt;="&amp;L346),0)</f>
        <v>0</v>
      </c>
      <c r="V346" s="8" t="n">
        <f aca="false">IF($K346=1,COUNTIFS($M$5:$M$1517,"&gt;="&amp;M346,$K$5:$K$1517,1)/COUNTIF($M$5:$M$1517,"&gt;="&amp;M346),0)</f>
        <v>0</v>
      </c>
      <c r="W346" s="8" t="n">
        <f aca="false">IF($K346=1,COUNTIFS($N$5:$N$1517,"&gt;="&amp;N346,$K$5:$K$1517,1)/COUNTIF($N$5:$N$1517,"&gt;="&amp;N346),0)</f>
        <v>0</v>
      </c>
      <c r="X346" s="8" t="n">
        <f aca="false">IF($K346=1,COUNTIFS($O$5:$O$1517,"&gt;="&amp;O346,$K$5:$K$1517,1)/COUNTIF($O$5:$O$1517,"&gt;="&amp;O346),0)</f>
        <v>0</v>
      </c>
      <c r="Y346" s="8" t="n">
        <f aca="false">IF($K346=1,COUNTIFS($P$5:$P$1517,"&gt;="&amp;P346,$K$5:$K$1517,1)/COUNTIF($P$5:$P$1517,"&gt;="&amp;P346),0)</f>
        <v>0</v>
      </c>
      <c r="Z346" s="8" t="n">
        <f aca="false">(L346-$K346)^2</f>
        <v>0.000265853025</v>
      </c>
      <c r="AA346" s="8" t="n">
        <f aca="false">(M346-$K346)^2</f>
        <v>0.008475595969</v>
      </c>
      <c r="AB346" s="8" t="n">
        <f aca="false">(N346-$K346)^2</f>
        <v>0.017858847769</v>
      </c>
      <c r="AC346" s="8" t="n">
        <f aca="false">(O346-$K346)^2</f>
        <v>0.011274829489</v>
      </c>
      <c r="AD346" s="8" t="n">
        <f aca="false">(P346-$K346)^2</f>
        <v>0.020499939684</v>
      </c>
      <c r="AE346" s="8" t="n">
        <f aca="false">MIN(INT(ROUND(N346*1000000,0)/100000),9)</f>
        <v>1</v>
      </c>
      <c r="AF346" s="8" t="n">
        <f aca="false">MIN(INT(ROUND(P346*1000000,0)/100000),9)</f>
        <v>1</v>
      </c>
    </row>
    <row r="347" customFormat="false" ht="15" hidden="false" customHeight="false" outlineLevel="0" collapsed="false">
      <c r="A347" s="4" t="n">
        <v>343</v>
      </c>
      <c r="B347" s="4" t="n">
        <v>1534</v>
      </c>
      <c r="C347" s="4" t="n">
        <v>0</v>
      </c>
      <c r="D347" s="11" t="n">
        <v>46054</v>
      </c>
      <c r="E347" s="4" t="s">
        <v>204</v>
      </c>
      <c r="F347" s="4" t="s">
        <v>206</v>
      </c>
      <c r="G347" s="4" t="n">
        <v>4</v>
      </c>
      <c r="H347" s="4" t="n">
        <v>1</v>
      </c>
      <c r="I347" s="4" t="n">
        <v>0</v>
      </c>
      <c r="J347" s="4" t="n">
        <v>75</v>
      </c>
      <c r="K347" s="4" t="n">
        <v>0</v>
      </c>
      <c r="L347" s="12" t="n">
        <v>0.047331</v>
      </c>
      <c r="M347" s="12" t="n">
        <v>0.092063</v>
      </c>
      <c r="N347" s="12" t="n">
        <v>0.117929</v>
      </c>
      <c r="O347" s="12" t="n">
        <v>0.106183</v>
      </c>
      <c r="P347" s="12" t="n">
        <v>0.125763</v>
      </c>
      <c r="Q347" s="0" t="str">
        <f aca="false">IF(L347&gt;=Models!$G$5,1+COUNTIF($L$5:$L$1517,"&gt;"&amp;L347)+COUNTIFS($L$5:$L$1517,L347,$B$5:$B$1517,"&lt;"&amp;B347)+COUNTIFS($L$5:$L$1517,L347,$B$5:$B$1517,B347,$C$5:$C$1517,"&lt;"&amp;C347),"")</f>
        <v/>
      </c>
      <c r="R347" s="0" t="str">
        <f aca="false">IF(M347&gt;=Models!$G$6,1+COUNTIF($M$5:$M$1517,"&gt;"&amp;M347)+COUNTIFS($M$5:$M$1517,M347,$B$5:$B$1517,"&lt;"&amp;B347)+COUNTIFS($M$5:$M$1517,M347,$B$5:$B$1517,B347,$C$5:$C$1517,"&lt;"&amp;C347),"")</f>
        <v/>
      </c>
      <c r="S347" s="0" t="str">
        <f aca="false">IF(N347&gt;=Models!$G$7,1+COUNTIF($N$5:$N$1517,"&gt;"&amp;N347)+COUNTIFS($N$5:$N$1517,N347,$B$5:$B$1517,"&lt;"&amp;B347)+COUNTIFS($N$5:$N$1517,N347,$B$5:$B$1517,B347,$C$5:$C$1517,"&lt;"&amp;C347),"")</f>
        <v/>
      </c>
      <c r="T347" s="8" t="n">
        <f aca="false">IF(O347&gt;=Models!$G$8,1+COUNTIF($O$5:$O$1517,"&gt;"&amp;O347)+COUNTIFS($O$5:$O$1517,O347,$B$5:$B$1517,"&lt;"&amp;B347)+COUNTIFS($O$5:$O$1517,O347,$B$5:$B$1517,B347,$C$5:$C$1517,"&lt;"&amp;C347),"")</f>
        <v>1286</v>
      </c>
      <c r="U347" s="8" t="n">
        <f aca="false">IF($K347=1,COUNTIFS($L$5:$L$1517,"&gt;="&amp;L347,$K$5:$K$1517,1)/COUNTIF($L$5:$L$1517,"&gt;="&amp;L347),0)</f>
        <v>0</v>
      </c>
      <c r="V347" s="8" t="n">
        <f aca="false">IF($K347=1,COUNTIFS($M$5:$M$1517,"&gt;="&amp;M347,$K$5:$K$1517,1)/COUNTIF($M$5:$M$1517,"&gt;="&amp;M347),0)</f>
        <v>0</v>
      </c>
      <c r="W347" s="8" t="n">
        <f aca="false">IF($K347=1,COUNTIFS($N$5:$N$1517,"&gt;="&amp;N347,$K$5:$K$1517,1)/COUNTIF($N$5:$N$1517,"&gt;="&amp;N347),0)</f>
        <v>0</v>
      </c>
      <c r="X347" s="8" t="n">
        <f aca="false">IF($K347=1,COUNTIFS($O$5:$O$1517,"&gt;="&amp;O347,$K$5:$K$1517,1)/COUNTIF($O$5:$O$1517,"&gt;="&amp;O347),0)</f>
        <v>0</v>
      </c>
      <c r="Y347" s="8" t="n">
        <f aca="false">IF($K347=1,COUNTIFS($P$5:$P$1517,"&gt;="&amp;P347,$K$5:$K$1517,1)/COUNTIF($P$5:$P$1517,"&gt;="&amp;P347),0)</f>
        <v>0</v>
      </c>
      <c r="Z347" s="8" t="n">
        <f aca="false">(L347-$K347)^2</f>
        <v>0.002240223561</v>
      </c>
      <c r="AA347" s="8" t="n">
        <f aca="false">(M347-$K347)^2</f>
        <v>0.008475595969</v>
      </c>
      <c r="AB347" s="8" t="n">
        <f aca="false">(N347-$K347)^2</f>
        <v>0.013907249041</v>
      </c>
      <c r="AC347" s="8" t="n">
        <f aca="false">(O347-$K347)^2</f>
        <v>0.011274829489</v>
      </c>
      <c r="AD347" s="8" t="n">
        <f aca="false">(P347-$K347)^2</f>
        <v>0.015816332169</v>
      </c>
      <c r="AE347" s="8" t="n">
        <f aca="false">MIN(INT(ROUND(N347*1000000,0)/100000),9)</f>
        <v>1</v>
      </c>
      <c r="AF347" s="8" t="n">
        <f aca="false">MIN(INT(ROUND(P347*1000000,0)/100000),9)</f>
        <v>1</v>
      </c>
    </row>
    <row r="348" customFormat="false" ht="15" hidden="false" customHeight="false" outlineLevel="0" collapsed="false">
      <c r="A348" s="4" t="n">
        <v>344</v>
      </c>
      <c r="B348" s="4" t="n">
        <v>1538</v>
      </c>
      <c r="C348" s="4" t="n">
        <v>0</v>
      </c>
      <c r="D348" s="11" t="n">
        <v>46054</v>
      </c>
      <c r="E348" s="4" t="s">
        <v>201</v>
      </c>
      <c r="F348" s="4" t="s">
        <v>208</v>
      </c>
      <c r="G348" s="4" t="n">
        <v>22</v>
      </c>
      <c r="H348" s="4" t="n">
        <v>0</v>
      </c>
      <c r="I348" s="4" t="n">
        <v>0</v>
      </c>
      <c r="J348" s="4"/>
      <c r="K348" s="4" t="n">
        <v>0</v>
      </c>
      <c r="L348" s="12" t="n">
        <v>0.249671</v>
      </c>
      <c r="M348" s="12" t="n">
        <v>0.092063</v>
      </c>
      <c r="N348" s="12" t="n">
        <v>0.012217</v>
      </c>
      <c r="O348" s="12" t="n">
        <v>0.106183</v>
      </c>
      <c r="P348" s="12" t="n">
        <v>0.011743</v>
      </c>
      <c r="Q348" s="0" t="str">
        <f aca="false">IF(L348&gt;=Models!$G$5,1+COUNTIF($L$5:$L$1517,"&gt;"&amp;L348)+COUNTIFS($L$5:$L$1517,L348,$B$5:$B$1517,"&lt;"&amp;B348)+COUNTIFS($L$5:$L$1517,L348,$B$5:$B$1517,B348,$C$5:$C$1517,"&lt;"&amp;C348),"")</f>
        <v/>
      </c>
      <c r="R348" s="0" t="str">
        <f aca="false">IF(M348&gt;=Models!$G$6,1+COUNTIF($M$5:$M$1517,"&gt;"&amp;M348)+COUNTIFS($M$5:$M$1517,M348,$B$5:$B$1517,"&lt;"&amp;B348)+COUNTIFS($M$5:$M$1517,M348,$B$5:$B$1517,B348,$C$5:$C$1517,"&lt;"&amp;C348),"")</f>
        <v/>
      </c>
      <c r="S348" s="0" t="str">
        <f aca="false">IF(N348&gt;=Models!$G$7,1+COUNTIF($N$5:$N$1517,"&gt;"&amp;N348)+COUNTIFS($N$5:$N$1517,N348,$B$5:$B$1517,"&lt;"&amp;B348)+COUNTIFS($N$5:$N$1517,N348,$B$5:$B$1517,B348,$C$5:$C$1517,"&lt;"&amp;C348),"")</f>
        <v/>
      </c>
      <c r="T348" s="8" t="n">
        <f aca="false">IF(O348&gt;=Models!$G$8,1+COUNTIF($O$5:$O$1517,"&gt;"&amp;O348)+COUNTIFS($O$5:$O$1517,O348,$B$5:$B$1517,"&lt;"&amp;B348)+COUNTIFS($O$5:$O$1517,O348,$B$5:$B$1517,B348,$C$5:$C$1517,"&lt;"&amp;C348),"")</f>
        <v>1290</v>
      </c>
      <c r="U348" s="8" t="n">
        <f aca="false">IF($K348=1,COUNTIFS($L$5:$L$1517,"&gt;="&amp;L348,$K$5:$K$1517,1)/COUNTIF($L$5:$L$1517,"&gt;="&amp;L348),0)</f>
        <v>0</v>
      </c>
      <c r="V348" s="8" t="n">
        <f aca="false">IF($K348=1,COUNTIFS($M$5:$M$1517,"&gt;="&amp;M348,$K$5:$K$1517,1)/COUNTIF($M$5:$M$1517,"&gt;="&amp;M348),0)</f>
        <v>0</v>
      </c>
      <c r="W348" s="8" t="n">
        <f aca="false">IF($K348=1,COUNTIFS($N$5:$N$1517,"&gt;="&amp;N348,$K$5:$K$1517,1)/COUNTIF($N$5:$N$1517,"&gt;="&amp;N348),0)</f>
        <v>0</v>
      </c>
      <c r="X348" s="8" t="n">
        <f aca="false">IF($K348=1,COUNTIFS($O$5:$O$1517,"&gt;="&amp;O348,$K$5:$K$1517,1)/COUNTIF($O$5:$O$1517,"&gt;="&amp;O348),0)</f>
        <v>0</v>
      </c>
      <c r="Y348" s="8" t="n">
        <f aca="false">IF($K348=1,COUNTIFS($P$5:$P$1517,"&gt;="&amp;P348,$K$5:$K$1517,1)/COUNTIF($P$5:$P$1517,"&gt;="&amp;P348),0)</f>
        <v>0</v>
      </c>
      <c r="Z348" s="8" t="n">
        <f aca="false">(L348-$K348)^2</f>
        <v>0.062335608241</v>
      </c>
      <c r="AA348" s="8" t="n">
        <f aca="false">(M348-$K348)^2</f>
        <v>0.008475595969</v>
      </c>
      <c r="AB348" s="8" t="n">
        <f aca="false">(N348-$K348)^2</f>
        <v>0.000149255089</v>
      </c>
      <c r="AC348" s="8" t="n">
        <f aca="false">(O348-$K348)^2</f>
        <v>0.011274829489</v>
      </c>
      <c r="AD348" s="8" t="n">
        <f aca="false">(P348-$K348)^2</f>
        <v>0.000137898049</v>
      </c>
      <c r="AE348" s="8" t="n">
        <f aca="false">MIN(INT(ROUND(N348*1000000,0)/100000),9)</f>
        <v>0</v>
      </c>
      <c r="AF348" s="8" t="n">
        <f aca="false">MIN(INT(ROUND(P348*1000000,0)/100000),9)</f>
        <v>0</v>
      </c>
    </row>
    <row r="349" customFormat="false" ht="15" hidden="false" customHeight="false" outlineLevel="0" collapsed="false">
      <c r="A349" s="4" t="n">
        <v>345</v>
      </c>
      <c r="B349" s="4" t="n">
        <v>1539</v>
      </c>
      <c r="C349" s="4" t="n">
        <v>0</v>
      </c>
      <c r="D349" s="11" t="n">
        <v>46054</v>
      </c>
      <c r="E349" s="4" t="s">
        <v>204</v>
      </c>
      <c r="F349" s="4" t="s">
        <v>209</v>
      </c>
      <c r="G349" s="4" t="n">
        <v>2</v>
      </c>
      <c r="H349" s="4" t="n">
        <v>1</v>
      </c>
      <c r="I349" s="4" t="n">
        <v>0</v>
      </c>
      <c r="J349" s="4" t="n">
        <v>93</v>
      </c>
      <c r="K349" s="4" t="n">
        <v>0</v>
      </c>
      <c r="L349" s="12" t="n">
        <v>0.415676</v>
      </c>
      <c r="M349" s="12" t="n">
        <v>0.092063</v>
      </c>
      <c r="N349" s="12" t="n">
        <v>0.137852</v>
      </c>
      <c r="O349" s="12" t="n">
        <v>0.106183</v>
      </c>
      <c r="P349" s="12" t="n">
        <v>0.147858</v>
      </c>
      <c r="Q349" s="0" t="str">
        <f aca="false">IF(L349&gt;=Models!$G$5,1+COUNTIF($L$5:$L$1517,"&gt;"&amp;L349)+COUNTIFS($L$5:$L$1517,L349,$B$5:$B$1517,"&lt;"&amp;B349)+COUNTIFS($L$5:$L$1517,L349,$B$5:$B$1517,B349,$C$5:$C$1517,"&lt;"&amp;C349),"")</f>
        <v/>
      </c>
      <c r="R349" s="0" t="str">
        <f aca="false">IF(M349&gt;=Models!$G$6,1+COUNTIF($M$5:$M$1517,"&gt;"&amp;M349)+COUNTIFS($M$5:$M$1517,M349,$B$5:$B$1517,"&lt;"&amp;B349)+COUNTIFS($M$5:$M$1517,M349,$B$5:$B$1517,B349,$C$5:$C$1517,"&lt;"&amp;C349),"")</f>
        <v/>
      </c>
      <c r="S349" s="0" t="str">
        <f aca="false">IF(N349&gt;=Models!$G$7,1+COUNTIF($N$5:$N$1517,"&gt;"&amp;N349)+COUNTIFS($N$5:$N$1517,N349,$B$5:$B$1517,"&lt;"&amp;B349)+COUNTIFS($N$5:$N$1517,N349,$B$5:$B$1517,B349,$C$5:$C$1517,"&lt;"&amp;C349),"")</f>
        <v/>
      </c>
      <c r="T349" s="8" t="n">
        <f aca="false">IF(O349&gt;=Models!$G$8,1+COUNTIF($O$5:$O$1517,"&gt;"&amp;O349)+COUNTIFS($O$5:$O$1517,O349,$B$5:$B$1517,"&lt;"&amp;B349)+COUNTIFS($O$5:$O$1517,O349,$B$5:$B$1517,B349,$C$5:$C$1517,"&lt;"&amp;C349),"")</f>
        <v>1294</v>
      </c>
      <c r="U349" s="8" t="n">
        <f aca="false">IF($K349=1,COUNTIFS($L$5:$L$1517,"&gt;="&amp;L349,$K$5:$K$1517,1)/COUNTIF($L$5:$L$1517,"&gt;="&amp;L349),0)</f>
        <v>0</v>
      </c>
      <c r="V349" s="8" t="n">
        <f aca="false">IF($K349=1,COUNTIFS($M$5:$M$1517,"&gt;="&amp;M349,$K$5:$K$1517,1)/COUNTIF($M$5:$M$1517,"&gt;="&amp;M349),0)</f>
        <v>0</v>
      </c>
      <c r="W349" s="8" t="n">
        <f aca="false">IF($K349=1,COUNTIFS($N$5:$N$1517,"&gt;="&amp;N349,$K$5:$K$1517,1)/COUNTIF($N$5:$N$1517,"&gt;="&amp;N349),0)</f>
        <v>0</v>
      </c>
      <c r="X349" s="8" t="n">
        <f aca="false">IF($K349=1,COUNTIFS($O$5:$O$1517,"&gt;="&amp;O349,$K$5:$K$1517,1)/COUNTIF($O$5:$O$1517,"&gt;="&amp;O349),0)</f>
        <v>0</v>
      </c>
      <c r="Y349" s="8" t="n">
        <f aca="false">IF($K349=1,COUNTIFS($P$5:$P$1517,"&gt;="&amp;P349,$K$5:$K$1517,1)/COUNTIF($P$5:$P$1517,"&gt;="&amp;P349),0)</f>
        <v>0</v>
      </c>
      <c r="Z349" s="8" t="n">
        <f aca="false">(L349-$K349)^2</f>
        <v>0.172786536976</v>
      </c>
      <c r="AA349" s="8" t="n">
        <f aca="false">(M349-$K349)^2</f>
        <v>0.008475595969</v>
      </c>
      <c r="AB349" s="8" t="n">
        <f aca="false">(N349-$K349)^2</f>
        <v>0.019003173904</v>
      </c>
      <c r="AC349" s="8" t="n">
        <f aca="false">(O349-$K349)^2</f>
        <v>0.011274829489</v>
      </c>
      <c r="AD349" s="8" t="n">
        <f aca="false">(P349-$K349)^2</f>
        <v>0.021861988164</v>
      </c>
      <c r="AE349" s="8" t="n">
        <f aca="false">MIN(INT(ROUND(N349*1000000,0)/100000),9)</f>
        <v>1</v>
      </c>
      <c r="AF349" s="8" t="n">
        <f aca="false">MIN(INT(ROUND(P349*1000000,0)/100000),9)</f>
        <v>1</v>
      </c>
    </row>
    <row r="350" customFormat="false" ht="15" hidden="false" customHeight="false" outlineLevel="0" collapsed="false">
      <c r="A350" s="4" t="n">
        <v>346</v>
      </c>
      <c r="B350" s="4" t="n">
        <v>1540</v>
      </c>
      <c r="C350" s="4" t="n">
        <v>0</v>
      </c>
      <c r="D350" s="11" t="n">
        <v>46054</v>
      </c>
      <c r="E350" s="4" t="s">
        <v>203</v>
      </c>
      <c r="F350" s="4" t="s">
        <v>206</v>
      </c>
      <c r="G350" s="4" t="n">
        <v>0</v>
      </c>
      <c r="H350" s="4" t="n">
        <v>37</v>
      </c>
      <c r="I350" s="4" t="n">
        <v>0</v>
      </c>
      <c r="J350" s="4"/>
      <c r="K350" s="4" t="n">
        <v>0</v>
      </c>
      <c r="L350" s="12" t="n">
        <v>0.969397</v>
      </c>
      <c r="M350" s="12" t="n">
        <v>0.184211</v>
      </c>
      <c r="N350" s="12" t="n">
        <v>0.108166</v>
      </c>
      <c r="O350" s="12" t="n">
        <v>0.106183</v>
      </c>
      <c r="P350" s="12" t="n">
        <v>0.114964</v>
      </c>
      <c r="Q350" s="0" t="str">
        <f aca="false">IF(L350&gt;=Models!$G$5,1+COUNTIF($L$5:$L$1517,"&gt;"&amp;L350)+COUNTIFS($L$5:$L$1517,L350,$B$5:$B$1517,"&lt;"&amp;B350)+COUNTIFS($L$5:$L$1517,L350,$B$5:$B$1517,B350,$C$5:$C$1517,"&lt;"&amp;C350),"")</f>
        <v/>
      </c>
      <c r="R350" s="8" t="n">
        <f aca="false">IF(M350&gt;=Models!$G$6,1+COUNTIF($M$5:$M$1517,"&gt;"&amp;M350)+COUNTIFS($M$5:$M$1517,M350,$B$5:$B$1517,"&lt;"&amp;B350)+COUNTIFS($M$5:$M$1517,M350,$B$5:$B$1517,B350,$C$5:$C$1517,"&lt;"&amp;C350),"")</f>
        <v>161</v>
      </c>
      <c r="S350" s="0" t="str">
        <f aca="false">IF(N350&gt;=Models!$G$7,1+COUNTIF($N$5:$N$1517,"&gt;"&amp;N350)+COUNTIFS($N$5:$N$1517,N350,$B$5:$B$1517,"&lt;"&amp;B350)+COUNTIFS($N$5:$N$1517,N350,$B$5:$B$1517,B350,$C$5:$C$1517,"&lt;"&amp;C350),"")</f>
        <v/>
      </c>
      <c r="T350" s="8" t="n">
        <f aca="false">IF(O350&gt;=Models!$G$8,1+COUNTIF($O$5:$O$1517,"&gt;"&amp;O350)+COUNTIFS($O$5:$O$1517,O350,$B$5:$B$1517,"&lt;"&amp;B350)+COUNTIFS($O$5:$O$1517,O350,$B$5:$B$1517,B350,$C$5:$C$1517,"&lt;"&amp;C350),"")</f>
        <v>1298</v>
      </c>
      <c r="U350" s="8" t="n">
        <f aca="false">IF($K350=1,COUNTIFS($L$5:$L$1517,"&gt;="&amp;L350,$K$5:$K$1517,1)/COUNTIF($L$5:$L$1517,"&gt;="&amp;L350),0)</f>
        <v>0</v>
      </c>
      <c r="V350" s="8" t="n">
        <f aca="false">IF($K350=1,COUNTIFS($M$5:$M$1517,"&gt;="&amp;M350,$K$5:$K$1517,1)/COUNTIF($M$5:$M$1517,"&gt;="&amp;M350),0)</f>
        <v>0</v>
      </c>
      <c r="W350" s="8" t="n">
        <f aca="false">IF($K350=1,COUNTIFS($N$5:$N$1517,"&gt;="&amp;N350,$K$5:$K$1517,1)/COUNTIF($N$5:$N$1517,"&gt;="&amp;N350),0)</f>
        <v>0</v>
      </c>
      <c r="X350" s="8" t="n">
        <f aca="false">IF($K350=1,COUNTIFS($O$5:$O$1517,"&gt;="&amp;O350,$K$5:$K$1517,1)/COUNTIF($O$5:$O$1517,"&gt;="&amp;O350),0)</f>
        <v>0</v>
      </c>
      <c r="Y350" s="8" t="n">
        <f aca="false">IF($K350=1,COUNTIFS($P$5:$P$1517,"&gt;="&amp;P350,$K$5:$K$1517,1)/COUNTIF($P$5:$P$1517,"&gt;="&amp;P350),0)</f>
        <v>0</v>
      </c>
      <c r="Z350" s="8" t="n">
        <f aca="false">(L350-$K350)^2</f>
        <v>0.939730543609</v>
      </c>
      <c r="AA350" s="8" t="n">
        <f aca="false">(M350-$K350)^2</f>
        <v>0.033933692521</v>
      </c>
      <c r="AB350" s="8" t="n">
        <f aca="false">(N350-$K350)^2</f>
        <v>0.011699883556</v>
      </c>
      <c r="AC350" s="8" t="n">
        <f aca="false">(O350-$K350)^2</f>
        <v>0.011274829489</v>
      </c>
      <c r="AD350" s="8" t="n">
        <f aca="false">(P350-$K350)^2</f>
        <v>0.013216721296</v>
      </c>
      <c r="AE350" s="8" t="n">
        <f aca="false">MIN(INT(ROUND(N350*1000000,0)/100000),9)</f>
        <v>1</v>
      </c>
      <c r="AF350" s="8" t="n">
        <f aca="false">MIN(INT(ROUND(P350*1000000,0)/100000),9)</f>
        <v>1</v>
      </c>
    </row>
    <row r="351" customFormat="false" ht="15" hidden="false" customHeight="false" outlineLevel="0" collapsed="false">
      <c r="A351" s="4" t="n">
        <v>347</v>
      </c>
      <c r="B351" s="4" t="n">
        <v>1544</v>
      </c>
      <c r="C351" s="4" t="n">
        <v>0</v>
      </c>
      <c r="D351" s="11" t="n">
        <v>46054</v>
      </c>
      <c r="E351" s="4" t="s">
        <v>203</v>
      </c>
      <c r="F351" s="4" t="s">
        <v>206</v>
      </c>
      <c r="G351" s="4" t="n">
        <v>4</v>
      </c>
      <c r="H351" s="4" t="n">
        <v>3</v>
      </c>
      <c r="I351" s="4" t="n">
        <v>0</v>
      </c>
      <c r="J351" s="4" t="n">
        <v>402</v>
      </c>
      <c r="K351" s="4" t="n">
        <v>0</v>
      </c>
      <c r="L351" s="12" t="n">
        <v>0.513407</v>
      </c>
      <c r="M351" s="12" t="n">
        <v>0.092063</v>
      </c>
      <c r="N351" s="12" t="n">
        <v>0.117659</v>
      </c>
      <c r="O351" s="12" t="n">
        <v>0.106183</v>
      </c>
      <c r="P351" s="12" t="n">
        <v>0.125464</v>
      </c>
      <c r="Q351" s="0" t="str">
        <f aca="false">IF(L351&gt;=Models!$G$5,1+COUNTIF($L$5:$L$1517,"&gt;"&amp;L351)+COUNTIFS($L$5:$L$1517,L351,$B$5:$B$1517,"&lt;"&amp;B351)+COUNTIFS($L$5:$L$1517,L351,$B$5:$B$1517,B351,$C$5:$C$1517,"&lt;"&amp;C351),"")</f>
        <v/>
      </c>
      <c r="R351" s="0" t="str">
        <f aca="false">IF(M351&gt;=Models!$G$6,1+COUNTIF($M$5:$M$1517,"&gt;"&amp;M351)+COUNTIFS($M$5:$M$1517,M351,$B$5:$B$1517,"&lt;"&amp;B351)+COUNTIFS($M$5:$M$1517,M351,$B$5:$B$1517,B351,$C$5:$C$1517,"&lt;"&amp;C351),"")</f>
        <v/>
      </c>
      <c r="S351" s="0" t="str">
        <f aca="false">IF(N351&gt;=Models!$G$7,1+COUNTIF($N$5:$N$1517,"&gt;"&amp;N351)+COUNTIFS($N$5:$N$1517,N351,$B$5:$B$1517,"&lt;"&amp;B351)+COUNTIFS($N$5:$N$1517,N351,$B$5:$B$1517,B351,$C$5:$C$1517,"&lt;"&amp;C351),"")</f>
        <v/>
      </c>
      <c r="T351" s="8" t="n">
        <f aca="false">IF(O351&gt;=Models!$G$8,1+COUNTIF($O$5:$O$1517,"&gt;"&amp;O351)+COUNTIFS($O$5:$O$1517,O351,$B$5:$B$1517,"&lt;"&amp;B351)+COUNTIFS($O$5:$O$1517,O351,$B$5:$B$1517,B351,$C$5:$C$1517,"&lt;"&amp;C351),"")</f>
        <v>1302</v>
      </c>
      <c r="U351" s="8" t="n">
        <f aca="false">IF($K351=1,COUNTIFS($L$5:$L$1517,"&gt;="&amp;L351,$K$5:$K$1517,1)/COUNTIF($L$5:$L$1517,"&gt;="&amp;L351),0)</f>
        <v>0</v>
      </c>
      <c r="V351" s="8" t="n">
        <f aca="false">IF($K351=1,COUNTIFS($M$5:$M$1517,"&gt;="&amp;M351,$K$5:$K$1517,1)/COUNTIF($M$5:$M$1517,"&gt;="&amp;M351),0)</f>
        <v>0</v>
      </c>
      <c r="W351" s="8" t="n">
        <f aca="false">IF($K351=1,COUNTIFS($N$5:$N$1517,"&gt;="&amp;N351,$K$5:$K$1517,1)/COUNTIF($N$5:$N$1517,"&gt;="&amp;N351),0)</f>
        <v>0</v>
      </c>
      <c r="X351" s="8" t="n">
        <f aca="false">IF($K351=1,COUNTIFS($O$5:$O$1517,"&gt;="&amp;O351,$K$5:$K$1517,1)/COUNTIF($O$5:$O$1517,"&gt;="&amp;O351),0)</f>
        <v>0</v>
      </c>
      <c r="Y351" s="8" t="n">
        <f aca="false">IF($K351=1,COUNTIFS($P$5:$P$1517,"&gt;="&amp;P351,$K$5:$K$1517,1)/COUNTIF($P$5:$P$1517,"&gt;="&amp;P351),0)</f>
        <v>0</v>
      </c>
      <c r="Z351" s="8" t="n">
        <f aca="false">(L351-$K351)^2</f>
        <v>0.263586747649</v>
      </c>
      <c r="AA351" s="8" t="n">
        <f aca="false">(M351-$K351)^2</f>
        <v>0.008475595969</v>
      </c>
      <c r="AB351" s="8" t="n">
        <f aca="false">(N351-$K351)^2</f>
        <v>0.013843640281</v>
      </c>
      <c r="AC351" s="8" t="n">
        <f aca="false">(O351-$K351)^2</f>
        <v>0.011274829489</v>
      </c>
      <c r="AD351" s="8" t="n">
        <f aca="false">(P351-$K351)^2</f>
        <v>0.015741215296</v>
      </c>
      <c r="AE351" s="8" t="n">
        <f aca="false">MIN(INT(ROUND(N351*1000000,0)/100000),9)</f>
        <v>1</v>
      </c>
      <c r="AF351" s="8" t="n">
        <f aca="false">MIN(INT(ROUND(P351*1000000,0)/100000),9)</f>
        <v>1</v>
      </c>
    </row>
    <row r="352" customFormat="false" ht="15" hidden="false" customHeight="false" outlineLevel="0" collapsed="false">
      <c r="A352" s="4" t="n">
        <v>348</v>
      </c>
      <c r="B352" s="4" t="n">
        <v>1545</v>
      </c>
      <c r="C352" s="4" t="n">
        <v>0</v>
      </c>
      <c r="D352" s="11" t="n">
        <v>46054</v>
      </c>
      <c r="E352" s="4" t="s">
        <v>202</v>
      </c>
      <c r="F352" s="4" t="s">
        <v>206</v>
      </c>
      <c r="G352" s="4" t="n">
        <v>11</v>
      </c>
      <c r="H352" s="4" t="n">
        <v>0</v>
      </c>
      <c r="I352" s="4" t="n">
        <v>1</v>
      </c>
      <c r="J352" s="4" t="n">
        <v>1443</v>
      </c>
      <c r="K352" s="4" t="n">
        <v>0</v>
      </c>
      <c r="L352" s="12" t="n">
        <v>0.440833</v>
      </c>
      <c r="M352" s="12" t="n">
        <v>0.184211</v>
      </c>
      <c r="N352" s="12" t="n">
        <v>0.105861</v>
      </c>
      <c r="O352" s="12" t="n">
        <v>0.106183</v>
      </c>
      <c r="P352" s="12" t="n">
        <v>0.112418</v>
      </c>
      <c r="Q352" s="0" t="str">
        <f aca="false">IF(L352&gt;=Models!$G$5,1+COUNTIF($L$5:$L$1517,"&gt;"&amp;L352)+COUNTIFS($L$5:$L$1517,L352,$B$5:$B$1517,"&lt;"&amp;B352)+COUNTIFS($L$5:$L$1517,L352,$B$5:$B$1517,B352,$C$5:$C$1517,"&lt;"&amp;C352),"")</f>
        <v/>
      </c>
      <c r="R352" s="8" t="n">
        <f aca="false">IF(M352&gt;=Models!$G$6,1+COUNTIF($M$5:$M$1517,"&gt;"&amp;M352)+COUNTIFS($M$5:$M$1517,M352,$B$5:$B$1517,"&lt;"&amp;B352)+COUNTIFS($M$5:$M$1517,M352,$B$5:$B$1517,B352,$C$5:$C$1517,"&lt;"&amp;C352),"")</f>
        <v>162</v>
      </c>
      <c r="S352" s="0" t="str">
        <f aca="false">IF(N352&gt;=Models!$G$7,1+COUNTIF($N$5:$N$1517,"&gt;"&amp;N352)+COUNTIFS($N$5:$N$1517,N352,$B$5:$B$1517,"&lt;"&amp;B352)+COUNTIFS($N$5:$N$1517,N352,$B$5:$B$1517,B352,$C$5:$C$1517,"&lt;"&amp;C352),"")</f>
        <v/>
      </c>
      <c r="T352" s="8" t="n">
        <f aca="false">IF(O352&gt;=Models!$G$8,1+COUNTIF($O$5:$O$1517,"&gt;"&amp;O352)+COUNTIFS($O$5:$O$1517,O352,$B$5:$B$1517,"&lt;"&amp;B352)+COUNTIFS($O$5:$O$1517,O352,$B$5:$B$1517,B352,$C$5:$C$1517,"&lt;"&amp;C352),"")</f>
        <v>1306</v>
      </c>
      <c r="U352" s="8" t="n">
        <f aca="false">IF($K352=1,COUNTIFS($L$5:$L$1517,"&gt;="&amp;L352,$K$5:$K$1517,1)/COUNTIF($L$5:$L$1517,"&gt;="&amp;L352),0)</f>
        <v>0</v>
      </c>
      <c r="V352" s="8" t="n">
        <f aca="false">IF($K352=1,COUNTIFS($M$5:$M$1517,"&gt;="&amp;M352,$K$5:$K$1517,1)/COUNTIF($M$5:$M$1517,"&gt;="&amp;M352),0)</f>
        <v>0</v>
      </c>
      <c r="W352" s="8" t="n">
        <f aca="false">IF($K352=1,COUNTIFS($N$5:$N$1517,"&gt;="&amp;N352,$K$5:$K$1517,1)/COUNTIF($N$5:$N$1517,"&gt;="&amp;N352),0)</f>
        <v>0</v>
      </c>
      <c r="X352" s="8" t="n">
        <f aca="false">IF($K352=1,COUNTIFS($O$5:$O$1517,"&gt;="&amp;O352,$K$5:$K$1517,1)/COUNTIF($O$5:$O$1517,"&gt;="&amp;O352),0)</f>
        <v>0</v>
      </c>
      <c r="Y352" s="8" t="n">
        <f aca="false">IF($K352=1,COUNTIFS($P$5:$P$1517,"&gt;="&amp;P352,$K$5:$K$1517,1)/COUNTIF($P$5:$P$1517,"&gt;="&amp;P352),0)</f>
        <v>0</v>
      </c>
      <c r="Z352" s="8" t="n">
        <f aca="false">(L352-$K352)^2</f>
        <v>0.194333733889</v>
      </c>
      <c r="AA352" s="8" t="n">
        <f aca="false">(M352-$K352)^2</f>
        <v>0.033933692521</v>
      </c>
      <c r="AB352" s="8" t="n">
        <f aca="false">(N352-$K352)^2</f>
        <v>0.011206551321</v>
      </c>
      <c r="AC352" s="8" t="n">
        <f aca="false">(O352-$K352)^2</f>
        <v>0.011274829489</v>
      </c>
      <c r="AD352" s="8" t="n">
        <f aca="false">(P352-$K352)^2</f>
        <v>0.012637806724</v>
      </c>
      <c r="AE352" s="8" t="n">
        <f aca="false">MIN(INT(ROUND(N352*1000000,0)/100000),9)</f>
        <v>1</v>
      </c>
      <c r="AF352" s="8" t="n">
        <f aca="false">MIN(INT(ROUND(P352*1000000,0)/100000),9)</f>
        <v>1</v>
      </c>
    </row>
    <row r="353" customFormat="false" ht="15" hidden="false" customHeight="false" outlineLevel="0" collapsed="false">
      <c r="A353" s="4" t="n">
        <v>349</v>
      </c>
      <c r="B353" s="4" t="n">
        <v>1548</v>
      </c>
      <c r="C353" s="4" t="n">
        <v>0</v>
      </c>
      <c r="D353" s="11" t="n">
        <v>46054</v>
      </c>
      <c r="E353" s="4" t="s">
        <v>202</v>
      </c>
      <c r="F353" s="4" t="s">
        <v>208</v>
      </c>
      <c r="G353" s="4" t="n">
        <v>4</v>
      </c>
      <c r="H353" s="4" t="n">
        <v>4</v>
      </c>
      <c r="I353" s="4" t="n">
        <v>0</v>
      </c>
      <c r="J353" s="4" t="n">
        <v>1614</v>
      </c>
      <c r="K353" s="4" t="n">
        <v>0</v>
      </c>
      <c r="L353" s="12" t="n">
        <v>0.221462</v>
      </c>
      <c r="M353" s="12" t="n">
        <v>0.092063</v>
      </c>
      <c r="N353" s="12" t="n">
        <v>0.111355</v>
      </c>
      <c r="O353" s="12" t="n">
        <v>0.106183</v>
      </c>
      <c r="P353" s="12" t="n">
        <v>0.118489</v>
      </c>
      <c r="Q353" s="0" t="str">
        <f aca="false">IF(L353&gt;=Models!$G$5,1+COUNTIF($L$5:$L$1517,"&gt;"&amp;L353)+COUNTIFS($L$5:$L$1517,L353,$B$5:$B$1517,"&lt;"&amp;B353)+COUNTIFS($L$5:$L$1517,L353,$B$5:$B$1517,B353,$C$5:$C$1517,"&lt;"&amp;C353),"")</f>
        <v/>
      </c>
      <c r="R353" s="0" t="str">
        <f aca="false">IF(M353&gt;=Models!$G$6,1+COUNTIF($M$5:$M$1517,"&gt;"&amp;M353)+COUNTIFS($M$5:$M$1517,M353,$B$5:$B$1517,"&lt;"&amp;B353)+COUNTIFS($M$5:$M$1517,M353,$B$5:$B$1517,B353,$C$5:$C$1517,"&lt;"&amp;C353),"")</f>
        <v/>
      </c>
      <c r="S353" s="0" t="str">
        <f aca="false">IF(N353&gt;=Models!$G$7,1+COUNTIF($N$5:$N$1517,"&gt;"&amp;N353)+COUNTIFS($N$5:$N$1517,N353,$B$5:$B$1517,"&lt;"&amp;B353)+COUNTIFS($N$5:$N$1517,N353,$B$5:$B$1517,B353,$C$5:$C$1517,"&lt;"&amp;C353),"")</f>
        <v/>
      </c>
      <c r="T353" s="8" t="n">
        <f aca="false">IF(O353&gt;=Models!$G$8,1+COUNTIF($O$5:$O$1517,"&gt;"&amp;O353)+COUNTIFS($O$5:$O$1517,O353,$B$5:$B$1517,"&lt;"&amp;B353)+COUNTIFS($O$5:$O$1517,O353,$B$5:$B$1517,B353,$C$5:$C$1517,"&lt;"&amp;C353),"")</f>
        <v>1310</v>
      </c>
      <c r="U353" s="8" t="n">
        <f aca="false">IF($K353=1,COUNTIFS($L$5:$L$1517,"&gt;="&amp;L353,$K$5:$K$1517,1)/COUNTIF($L$5:$L$1517,"&gt;="&amp;L353),0)</f>
        <v>0</v>
      </c>
      <c r="V353" s="8" t="n">
        <f aca="false">IF($K353=1,COUNTIFS($M$5:$M$1517,"&gt;="&amp;M353,$K$5:$K$1517,1)/COUNTIF($M$5:$M$1517,"&gt;="&amp;M353),0)</f>
        <v>0</v>
      </c>
      <c r="W353" s="8" t="n">
        <f aca="false">IF($K353=1,COUNTIFS($N$5:$N$1517,"&gt;="&amp;N353,$K$5:$K$1517,1)/COUNTIF($N$5:$N$1517,"&gt;="&amp;N353),0)</f>
        <v>0</v>
      </c>
      <c r="X353" s="8" t="n">
        <f aca="false">IF($K353=1,COUNTIFS($O$5:$O$1517,"&gt;="&amp;O353,$K$5:$K$1517,1)/COUNTIF($O$5:$O$1517,"&gt;="&amp;O353),0)</f>
        <v>0</v>
      </c>
      <c r="Y353" s="8" t="n">
        <f aca="false">IF($K353=1,COUNTIFS($P$5:$P$1517,"&gt;="&amp;P353,$K$5:$K$1517,1)/COUNTIF($P$5:$P$1517,"&gt;="&amp;P353),0)</f>
        <v>0</v>
      </c>
      <c r="Z353" s="8" t="n">
        <f aca="false">(L353-$K353)^2</f>
        <v>0.049045417444</v>
      </c>
      <c r="AA353" s="8" t="n">
        <f aca="false">(M353-$K353)^2</f>
        <v>0.008475595969</v>
      </c>
      <c r="AB353" s="8" t="n">
        <f aca="false">(N353-$K353)^2</f>
        <v>0.012399936025</v>
      </c>
      <c r="AC353" s="8" t="n">
        <f aca="false">(O353-$K353)^2</f>
        <v>0.011274829489</v>
      </c>
      <c r="AD353" s="8" t="n">
        <f aca="false">(P353-$K353)^2</f>
        <v>0.014039643121</v>
      </c>
      <c r="AE353" s="8" t="n">
        <f aca="false">MIN(INT(ROUND(N353*1000000,0)/100000),9)</f>
        <v>1</v>
      </c>
      <c r="AF353" s="8" t="n">
        <f aca="false">MIN(INT(ROUND(P353*1000000,0)/100000),9)</f>
        <v>1</v>
      </c>
    </row>
    <row r="354" customFormat="false" ht="15" hidden="false" customHeight="false" outlineLevel="0" collapsed="false">
      <c r="A354" s="4" t="n">
        <v>350</v>
      </c>
      <c r="B354" s="4" t="n">
        <v>1552</v>
      </c>
      <c r="C354" s="4" t="n">
        <v>0</v>
      </c>
      <c r="D354" s="11" t="n">
        <v>46054</v>
      </c>
      <c r="E354" s="4" t="s">
        <v>202</v>
      </c>
      <c r="F354" s="4" t="s">
        <v>206</v>
      </c>
      <c r="G354" s="4" t="n">
        <v>9</v>
      </c>
      <c r="H354" s="4" t="n">
        <v>0</v>
      </c>
      <c r="I354" s="4" t="n">
        <v>0</v>
      </c>
      <c r="J354" s="4" t="n">
        <v>1197</v>
      </c>
      <c r="K354" s="4" t="n">
        <v>0</v>
      </c>
      <c r="L354" s="12" t="n">
        <v>0.618434</v>
      </c>
      <c r="M354" s="12" t="n">
        <v>0.092063</v>
      </c>
      <c r="N354" s="12" t="n">
        <v>0.073407</v>
      </c>
      <c r="O354" s="12" t="n">
        <v>0.106183</v>
      </c>
      <c r="P354" s="12" t="n">
        <v>0.076763</v>
      </c>
      <c r="Q354" s="0" t="str">
        <f aca="false">IF(L354&gt;=Models!$G$5,1+COUNTIF($L$5:$L$1517,"&gt;"&amp;L354)+COUNTIFS($L$5:$L$1517,L354,$B$5:$B$1517,"&lt;"&amp;B354)+COUNTIFS($L$5:$L$1517,L354,$B$5:$B$1517,B354,$C$5:$C$1517,"&lt;"&amp;C354),"")</f>
        <v/>
      </c>
      <c r="R354" s="0" t="str">
        <f aca="false">IF(M354&gt;=Models!$G$6,1+COUNTIF($M$5:$M$1517,"&gt;"&amp;M354)+COUNTIFS($M$5:$M$1517,M354,$B$5:$B$1517,"&lt;"&amp;B354)+COUNTIFS($M$5:$M$1517,M354,$B$5:$B$1517,B354,$C$5:$C$1517,"&lt;"&amp;C354),"")</f>
        <v/>
      </c>
      <c r="S354" s="0" t="str">
        <f aca="false">IF(N354&gt;=Models!$G$7,1+COUNTIF($N$5:$N$1517,"&gt;"&amp;N354)+COUNTIFS($N$5:$N$1517,N354,$B$5:$B$1517,"&lt;"&amp;B354)+COUNTIFS($N$5:$N$1517,N354,$B$5:$B$1517,B354,$C$5:$C$1517,"&lt;"&amp;C354),"")</f>
        <v/>
      </c>
      <c r="T354" s="8" t="n">
        <f aca="false">IF(O354&gt;=Models!$G$8,1+COUNTIF($O$5:$O$1517,"&gt;"&amp;O354)+COUNTIFS($O$5:$O$1517,O354,$B$5:$B$1517,"&lt;"&amp;B354)+COUNTIFS($O$5:$O$1517,O354,$B$5:$B$1517,B354,$C$5:$C$1517,"&lt;"&amp;C354),"")</f>
        <v>1314</v>
      </c>
      <c r="U354" s="8" t="n">
        <f aca="false">IF($K354=1,COUNTIFS($L$5:$L$1517,"&gt;="&amp;L354,$K$5:$K$1517,1)/COUNTIF($L$5:$L$1517,"&gt;="&amp;L354),0)</f>
        <v>0</v>
      </c>
      <c r="V354" s="8" t="n">
        <f aca="false">IF($K354=1,COUNTIFS($M$5:$M$1517,"&gt;="&amp;M354,$K$5:$K$1517,1)/COUNTIF($M$5:$M$1517,"&gt;="&amp;M354),0)</f>
        <v>0</v>
      </c>
      <c r="W354" s="8" t="n">
        <f aca="false">IF($K354=1,COUNTIFS($N$5:$N$1517,"&gt;="&amp;N354,$K$5:$K$1517,1)/COUNTIF($N$5:$N$1517,"&gt;="&amp;N354),0)</f>
        <v>0</v>
      </c>
      <c r="X354" s="8" t="n">
        <f aca="false">IF($K354=1,COUNTIFS($O$5:$O$1517,"&gt;="&amp;O354,$K$5:$K$1517,1)/COUNTIF($O$5:$O$1517,"&gt;="&amp;O354),0)</f>
        <v>0</v>
      </c>
      <c r="Y354" s="8" t="n">
        <f aca="false">IF($K354=1,COUNTIFS($P$5:$P$1517,"&gt;="&amp;P354,$K$5:$K$1517,1)/COUNTIF($P$5:$P$1517,"&gt;="&amp;P354),0)</f>
        <v>0</v>
      </c>
      <c r="Z354" s="8" t="n">
        <f aca="false">(L354-$K354)^2</f>
        <v>0.382460612356</v>
      </c>
      <c r="AA354" s="8" t="n">
        <f aca="false">(M354-$K354)^2</f>
        <v>0.008475595969</v>
      </c>
      <c r="AB354" s="8" t="n">
        <f aca="false">(N354-$K354)^2</f>
        <v>0.005388587649</v>
      </c>
      <c r="AC354" s="8" t="n">
        <f aca="false">(O354-$K354)^2</f>
        <v>0.011274829489</v>
      </c>
      <c r="AD354" s="8" t="n">
        <f aca="false">(P354-$K354)^2</f>
        <v>0.005892558169</v>
      </c>
      <c r="AE354" s="8" t="n">
        <f aca="false">MIN(INT(ROUND(N354*1000000,0)/100000),9)</f>
        <v>0</v>
      </c>
      <c r="AF354" s="8" t="n">
        <f aca="false">MIN(INT(ROUND(P354*1000000,0)/100000),9)</f>
        <v>0</v>
      </c>
    </row>
    <row r="355" customFormat="false" ht="15" hidden="false" customHeight="false" outlineLevel="0" collapsed="false">
      <c r="A355" s="4" t="n">
        <v>351</v>
      </c>
      <c r="B355" s="4" t="n">
        <v>1553</v>
      </c>
      <c r="C355" s="4" t="n">
        <v>0</v>
      </c>
      <c r="D355" s="11" t="n">
        <v>46054</v>
      </c>
      <c r="E355" s="4" t="s">
        <v>202</v>
      </c>
      <c r="F355" s="4" t="s">
        <v>206</v>
      </c>
      <c r="G355" s="4" t="n">
        <v>10</v>
      </c>
      <c r="H355" s="4" t="n">
        <v>3</v>
      </c>
      <c r="I355" s="4" t="n">
        <v>0</v>
      </c>
      <c r="J355" s="4"/>
      <c r="K355" s="4" t="n">
        <v>0</v>
      </c>
      <c r="L355" s="12" t="n">
        <v>0.253447</v>
      </c>
      <c r="M355" s="12" t="n">
        <v>0.092063</v>
      </c>
      <c r="N355" s="12" t="n">
        <v>0.03598</v>
      </c>
      <c r="O355" s="12" t="n">
        <v>0.106183</v>
      </c>
      <c r="P355" s="12" t="n">
        <v>0.036417</v>
      </c>
      <c r="Q355" s="0" t="str">
        <f aca="false">IF(L355&gt;=Models!$G$5,1+COUNTIF($L$5:$L$1517,"&gt;"&amp;L355)+COUNTIFS($L$5:$L$1517,L355,$B$5:$B$1517,"&lt;"&amp;B355)+COUNTIFS($L$5:$L$1517,L355,$B$5:$B$1517,B355,$C$5:$C$1517,"&lt;"&amp;C355),"")</f>
        <v/>
      </c>
      <c r="R355" s="0" t="str">
        <f aca="false">IF(M355&gt;=Models!$G$6,1+COUNTIF($M$5:$M$1517,"&gt;"&amp;M355)+COUNTIFS($M$5:$M$1517,M355,$B$5:$B$1517,"&lt;"&amp;B355)+COUNTIFS($M$5:$M$1517,M355,$B$5:$B$1517,B355,$C$5:$C$1517,"&lt;"&amp;C355),"")</f>
        <v/>
      </c>
      <c r="S355" s="0" t="str">
        <f aca="false">IF(N355&gt;=Models!$G$7,1+COUNTIF($N$5:$N$1517,"&gt;"&amp;N355)+COUNTIFS($N$5:$N$1517,N355,$B$5:$B$1517,"&lt;"&amp;B355)+COUNTIFS($N$5:$N$1517,N355,$B$5:$B$1517,B355,$C$5:$C$1517,"&lt;"&amp;C355),"")</f>
        <v/>
      </c>
      <c r="T355" s="8" t="n">
        <f aca="false">IF(O355&gt;=Models!$G$8,1+COUNTIF($O$5:$O$1517,"&gt;"&amp;O355)+COUNTIFS($O$5:$O$1517,O355,$B$5:$B$1517,"&lt;"&amp;B355)+COUNTIFS($O$5:$O$1517,O355,$B$5:$B$1517,B355,$C$5:$C$1517,"&lt;"&amp;C355),"")</f>
        <v>1318</v>
      </c>
      <c r="U355" s="8" t="n">
        <f aca="false">IF($K355=1,COUNTIFS($L$5:$L$1517,"&gt;="&amp;L355,$K$5:$K$1517,1)/COUNTIF($L$5:$L$1517,"&gt;="&amp;L355),0)</f>
        <v>0</v>
      </c>
      <c r="V355" s="8" t="n">
        <f aca="false">IF($K355=1,COUNTIFS($M$5:$M$1517,"&gt;="&amp;M355,$K$5:$K$1517,1)/COUNTIF($M$5:$M$1517,"&gt;="&amp;M355),0)</f>
        <v>0</v>
      </c>
      <c r="W355" s="8" t="n">
        <f aca="false">IF($K355=1,COUNTIFS($N$5:$N$1517,"&gt;="&amp;N355,$K$5:$K$1517,1)/COUNTIF($N$5:$N$1517,"&gt;="&amp;N355),0)</f>
        <v>0</v>
      </c>
      <c r="X355" s="8" t="n">
        <f aca="false">IF($K355=1,COUNTIFS($O$5:$O$1517,"&gt;="&amp;O355,$K$5:$K$1517,1)/COUNTIF($O$5:$O$1517,"&gt;="&amp;O355),0)</f>
        <v>0</v>
      </c>
      <c r="Y355" s="8" t="n">
        <f aca="false">IF($K355=1,COUNTIFS($P$5:$P$1517,"&gt;="&amp;P355,$K$5:$K$1517,1)/COUNTIF($P$5:$P$1517,"&gt;="&amp;P355),0)</f>
        <v>0</v>
      </c>
      <c r="Z355" s="8" t="n">
        <f aca="false">(L355-$K355)^2</f>
        <v>0.064235381809</v>
      </c>
      <c r="AA355" s="8" t="n">
        <f aca="false">(M355-$K355)^2</f>
        <v>0.008475595969</v>
      </c>
      <c r="AB355" s="8" t="n">
        <f aca="false">(N355-$K355)^2</f>
        <v>0.0012945604</v>
      </c>
      <c r="AC355" s="8" t="n">
        <f aca="false">(O355-$K355)^2</f>
        <v>0.011274829489</v>
      </c>
      <c r="AD355" s="8" t="n">
        <f aca="false">(P355-$K355)^2</f>
        <v>0.001326197889</v>
      </c>
      <c r="AE355" s="8" t="n">
        <f aca="false">MIN(INT(ROUND(N355*1000000,0)/100000),9)</f>
        <v>0</v>
      </c>
      <c r="AF355" s="8" t="n">
        <f aca="false">MIN(INT(ROUND(P355*1000000,0)/100000),9)</f>
        <v>0</v>
      </c>
    </row>
    <row r="356" customFormat="false" ht="15" hidden="false" customHeight="false" outlineLevel="0" collapsed="false">
      <c r="A356" s="4" t="n">
        <v>352</v>
      </c>
      <c r="B356" s="4" t="n">
        <v>1556</v>
      </c>
      <c r="C356" s="4" t="n">
        <v>0</v>
      </c>
      <c r="D356" s="11" t="n">
        <v>46054</v>
      </c>
      <c r="E356" s="4" t="s">
        <v>202</v>
      </c>
      <c r="F356" s="4" t="s">
        <v>209</v>
      </c>
      <c r="G356" s="4" t="n">
        <v>1</v>
      </c>
      <c r="H356" s="4" t="n">
        <v>16</v>
      </c>
      <c r="I356" s="4" t="n">
        <v>2</v>
      </c>
      <c r="J356" s="4" t="n">
        <v>1455</v>
      </c>
      <c r="K356" s="4" t="n">
        <v>0</v>
      </c>
      <c r="L356" s="12" t="n">
        <v>0.215217</v>
      </c>
      <c r="M356" s="12" t="n">
        <v>0.184211</v>
      </c>
      <c r="N356" s="12" t="n">
        <v>0.375815</v>
      </c>
      <c r="O356" s="12" t="n">
        <v>0.106183</v>
      </c>
      <c r="P356" s="12" t="n">
        <v>0.410348</v>
      </c>
      <c r="Q356" s="0" t="str">
        <f aca="false">IF(L356&gt;=Models!$G$5,1+COUNTIF($L$5:$L$1517,"&gt;"&amp;L356)+COUNTIFS($L$5:$L$1517,L356,$B$5:$B$1517,"&lt;"&amp;B356)+COUNTIFS($L$5:$L$1517,L356,$B$5:$B$1517,B356,$C$5:$C$1517,"&lt;"&amp;C356),"")</f>
        <v/>
      </c>
      <c r="R356" s="8" t="n">
        <f aca="false">IF(M356&gt;=Models!$G$6,1+COUNTIF($M$5:$M$1517,"&gt;"&amp;M356)+COUNTIFS($M$5:$M$1517,M356,$B$5:$B$1517,"&lt;"&amp;B356)+COUNTIFS($M$5:$M$1517,M356,$B$5:$B$1517,B356,$C$5:$C$1517,"&lt;"&amp;C356),"")</f>
        <v>163</v>
      </c>
      <c r="S356" s="8" t="n">
        <f aca="false">IF(N356&gt;=Models!$G$7,1+COUNTIF($N$5:$N$1517,"&gt;"&amp;N356)+COUNTIFS($N$5:$N$1517,N356,$B$5:$B$1517,"&lt;"&amp;B356)+COUNTIFS($N$5:$N$1517,N356,$B$5:$B$1517,B356,$C$5:$C$1517,"&lt;"&amp;C356),"")</f>
        <v>2</v>
      </c>
      <c r="T356" s="8" t="n">
        <f aca="false">IF(O356&gt;=Models!$G$8,1+COUNTIF($O$5:$O$1517,"&gt;"&amp;O356)+COUNTIFS($O$5:$O$1517,O356,$B$5:$B$1517,"&lt;"&amp;B356)+COUNTIFS($O$5:$O$1517,O356,$B$5:$B$1517,B356,$C$5:$C$1517,"&lt;"&amp;C356),"")</f>
        <v>1322</v>
      </c>
      <c r="U356" s="8" t="n">
        <f aca="false">IF($K356=1,COUNTIFS($L$5:$L$1517,"&gt;="&amp;L356,$K$5:$K$1517,1)/COUNTIF($L$5:$L$1517,"&gt;="&amp;L356),0)</f>
        <v>0</v>
      </c>
      <c r="V356" s="8" t="n">
        <f aca="false">IF($K356=1,COUNTIFS($M$5:$M$1517,"&gt;="&amp;M356,$K$5:$K$1517,1)/COUNTIF($M$5:$M$1517,"&gt;="&amp;M356),0)</f>
        <v>0</v>
      </c>
      <c r="W356" s="8" t="n">
        <f aca="false">IF($K356=1,COUNTIFS($N$5:$N$1517,"&gt;="&amp;N356,$K$5:$K$1517,1)/COUNTIF($N$5:$N$1517,"&gt;="&amp;N356),0)</f>
        <v>0</v>
      </c>
      <c r="X356" s="8" t="n">
        <f aca="false">IF($K356=1,COUNTIFS($O$5:$O$1517,"&gt;="&amp;O356,$K$5:$K$1517,1)/COUNTIF($O$5:$O$1517,"&gt;="&amp;O356),0)</f>
        <v>0</v>
      </c>
      <c r="Y356" s="8" t="n">
        <f aca="false">IF($K356=1,COUNTIFS($P$5:$P$1517,"&gt;="&amp;P356,$K$5:$K$1517,1)/COUNTIF($P$5:$P$1517,"&gt;="&amp;P356),0)</f>
        <v>0</v>
      </c>
      <c r="Z356" s="8" t="n">
        <f aca="false">(L356-$K356)^2</f>
        <v>0.046318357089</v>
      </c>
      <c r="AA356" s="8" t="n">
        <f aca="false">(M356-$K356)^2</f>
        <v>0.033933692521</v>
      </c>
      <c r="AB356" s="8" t="n">
        <f aca="false">(N356-$K356)^2</f>
        <v>0.141236914225</v>
      </c>
      <c r="AC356" s="8" t="n">
        <f aca="false">(O356-$K356)^2</f>
        <v>0.011274829489</v>
      </c>
      <c r="AD356" s="8" t="n">
        <f aca="false">(P356-$K356)^2</f>
        <v>0.168385481104</v>
      </c>
      <c r="AE356" s="8" t="n">
        <f aca="false">MIN(INT(ROUND(N356*1000000,0)/100000),9)</f>
        <v>3</v>
      </c>
      <c r="AF356" s="8" t="n">
        <f aca="false">MIN(INT(ROUND(P356*1000000,0)/100000),9)</f>
        <v>4</v>
      </c>
    </row>
    <row r="357" customFormat="false" ht="15" hidden="false" customHeight="false" outlineLevel="0" collapsed="false">
      <c r="A357" s="4" t="n">
        <v>353</v>
      </c>
      <c r="B357" s="4" t="n">
        <v>1558</v>
      </c>
      <c r="C357" s="4" t="n">
        <v>0</v>
      </c>
      <c r="D357" s="11" t="n">
        <v>46054</v>
      </c>
      <c r="E357" s="4" t="s">
        <v>203</v>
      </c>
      <c r="F357" s="4" t="s">
        <v>208</v>
      </c>
      <c r="G357" s="4" t="n">
        <v>0</v>
      </c>
      <c r="H357" s="4" t="n">
        <v>34</v>
      </c>
      <c r="I357" s="4" t="n">
        <v>0</v>
      </c>
      <c r="J357" s="4"/>
      <c r="K357" s="4" t="n">
        <v>0</v>
      </c>
      <c r="L357" s="12" t="n">
        <v>0.159651</v>
      </c>
      <c r="M357" s="12" t="n">
        <v>0.184211</v>
      </c>
      <c r="N357" s="12" t="n">
        <v>0.105817</v>
      </c>
      <c r="O357" s="12" t="n">
        <v>0.106183</v>
      </c>
      <c r="P357" s="12" t="n">
        <v>0.112369</v>
      </c>
      <c r="Q357" s="0" t="str">
        <f aca="false">IF(L357&gt;=Models!$G$5,1+COUNTIF($L$5:$L$1517,"&gt;"&amp;L357)+COUNTIFS($L$5:$L$1517,L357,$B$5:$B$1517,"&lt;"&amp;B357)+COUNTIFS($L$5:$L$1517,L357,$B$5:$B$1517,B357,$C$5:$C$1517,"&lt;"&amp;C357),"")</f>
        <v/>
      </c>
      <c r="R357" s="8" t="n">
        <f aca="false">IF(M357&gt;=Models!$G$6,1+COUNTIF($M$5:$M$1517,"&gt;"&amp;M357)+COUNTIFS($M$5:$M$1517,M357,$B$5:$B$1517,"&lt;"&amp;B357)+COUNTIFS($M$5:$M$1517,M357,$B$5:$B$1517,B357,$C$5:$C$1517,"&lt;"&amp;C357),"")</f>
        <v>165</v>
      </c>
      <c r="S357" s="0" t="str">
        <f aca="false">IF(N357&gt;=Models!$G$7,1+COUNTIF($N$5:$N$1517,"&gt;"&amp;N357)+COUNTIFS($N$5:$N$1517,N357,$B$5:$B$1517,"&lt;"&amp;B357)+COUNTIFS($N$5:$N$1517,N357,$B$5:$B$1517,B357,$C$5:$C$1517,"&lt;"&amp;C357),"")</f>
        <v/>
      </c>
      <c r="T357" s="8" t="n">
        <f aca="false">IF(O357&gt;=Models!$G$8,1+COUNTIF($O$5:$O$1517,"&gt;"&amp;O357)+COUNTIFS($O$5:$O$1517,O357,$B$5:$B$1517,"&lt;"&amp;B357)+COUNTIFS($O$5:$O$1517,O357,$B$5:$B$1517,B357,$C$5:$C$1517,"&lt;"&amp;C357),"")</f>
        <v>1326</v>
      </c>
      <c r="U357" s="8" t="n">
        <f aca="false">IF($K357=1,COUNTIFS($L$5:$L$1517,"&gt;="&amp;L357,$K$5:$K$1517,1)/COUNTIF($L$5:$L$1517,"&gt;="&amp;L357),0)</f>
        <v>0</v>
      </c>
      <c r="V357" s="8" t="n">
        <f aca="false">IF($K357=1,COUNTIFS($M$5:$M$1517,"&gt;="&amp;M357,$K$5:$K$1517,1)/COUNTIF($M$5:$M$1517,"&gt;="&amp;M357),0)</f>
        <v>0</v>
      </c>
      <c r="W357" s="8" t="n">
        <f aca="false">IF($K357=1,COUNTIFS($N$5:$N$1517,"&gt;="&amp;N357,$K$5:$K$1517,1)/COUNTIF($N$5:$N$1517,"&gt;="&amp;N357),0)</f>
        <v>0</v>
      </c>
      <c r="X357" s="8" t="n">
        <f aca="false">IF($K357=1,COUNTIFS($O$5:$O$1517,"&gt;="&amp;O357,$K$5:$K$1517,1)/COUNTIF($O$5:$O$1517,"&gt;="&amp;O357),0)</f>
        <v>0</v>
      </c>
      <c r="Y357" s="8" t="n">
        <f aca="false">IF($K357=1,COUNTIFS($P$5:$P$1517,"&gt;="&amp;P357,$K$5:$K$1517,1)/COUNTIF($P$5:$P$1517,"&gt;="&amp;P357),0)</f>
        <v>0</v>
      </c>
      <c r="Z357" s="8" t="n">
        <f aca="false">(L357-$K357)^2</f>
        <v>0.025488441801</v>
      </c>
      <c r="AA357" s="8" t="n">
        <f aca="false">(M357-$K357)^2</f>
        <v>0.033933692521</v>
      </c>
      <c r="AB357" s="8" t="n">
        <f aca="false">(N357-$K357)^2</f>
        <v>0.011197237489</v>
      </c>
      <c r="AC357" s="8" t="n">
        <f aca="false">(O357-$K357)^2</f>
        <v>0.011274829489</v>
      </c>
      <c r="AD357" s="8" t="n">
        <f aca="false">(P357-$K357)^2</f>
        <v>0.012626792161</v>
      </c>
      <c r="AE357" s="8" t="n">
        <f aca="false">MIN(INT(ROUND(N357*1000000,0)/100000),9)</f>
        <v>1</v>
      </c>
      <c r="AF357" s="8" t="n">
        <f aca="false">MIN(INT(ROUND(P357*1000000,0)/100000),9)</f>
        <v>1</v>
      </c>
    </row>
    <row r="358" customFormat="false" ht="15" hidden="false" customHeight="false" outlineLevel="0" collapsed="false">
      <c r="A358" s="4" t="n">
        <v>354</v>
      </c>
      <c r="B358" s="4" t="n">
        <v>1563</v>
      </c>
      <c r="C358" s="4" t="n">
        <v>0</v>
      </c>
      <c r="D358" s="11" t="n">
        <v>46054</v>
      </c>
      <c r="E358" s="4" t="s">
        <v>204</v>
      </c>
      <c r="F358" s="4" t="s">
        <v>206</v>
      </c>
      <c r="G358" s="4" t="n">
        <v>2</v>
      </c>
      <c r="H358" s="4" t="n">
        <v>6</v>
      </c>
      <c r="I358" s="4" t="n">
        <v>0</v>
      </c>
      <c r="J358" s="4" t="n">
        <v>108</v>
      </c>
      <c r="K358" s="4" t="n">
        <v>0</v>
      </c>
      <c r="L358" s="12" t="n">
        <v>0.009117</v>
      </c>
      <c r="M358" s="12" t="n">
        <v>0.092063</v>
      </c>
      <c r="N358" s="12" t="n">
        <v>0.142688</v>
      </c>
      <c r="O358" s="12" t="n">
        <v>0.106183</v>
      </c>
      <c r="P358" s="12" t="n">
        <v>0.15323</v>
      </c>
      <c r="Q358" s="0" t="str">
        <f aca="false">IF(L358&gt;=Models!$G$5,1+COUNTIF($L$5:$L$1517,"&gt;"&amp;L358)+COUNTIFS($L$5:$L$1517,L358,$B$5:$B$1517,"&lt;"&amp;B358)+COUNTIFS($L$5:$L$1517,L358,$B$5:$B$1517,B358,$C$5:$C$1517,"&lt;"&amp;C358),"")</f>
        <v/>
      </c>
      <c r="R358" s="0" t="str">
        <f aca="false">IF(M358&gt;=Models!$G$6,1+COUNTIF($M$5:$M$1517,"&gt;"&amp;M358)+COUNTIFS($M$5:$M$1517,M358,$B$5:$B$1517,"&lt;"&amp;B358)+COUNTIFS($M$5:$M$1517,M358,$B$5:$B$1517,B358,$C$5:$C$1517,"&lt;"&amp;C358),"")</f>
        <v/>
      </c>
      <c r="S358" s="0" t="str">
        <f aca="false">IF(N358&gt;=Models!$G$7,1+COUNTIF($N$5:$N$1517,"&gt;"&amp;N358)+COUNTIFS($N$5:$N$1517,N358,$B$5:$B$1517,"&lt;"&amp;B358)+COUNTIFS($N$5:$N$1517,N358,$B$5:$B$1517,B358,$C$5:$C$1517,"&lt;"&amp;C358),"")</f>
        <v/>
      </c>
      <c r="T358" s="8" t="n">
        <f aca="false">IF(O358&gt;=Models!$G$8,1+COUNTIF($O$5:$O$1517,"&gt;"&amp;O358)+COUNTIFS($O$5:$O$1517,O358,$B$5:$B$1517,"&lt;"&amp;B358)+COUNTIFS($O$5:$O$1517,O358,$B$5:$B$1517,B358,$C$5:$C$1517,"&lt;"&amp;C358),"")</f>
        <v>1330</v>
      </c>
      <c r="U358" s="8" t="n">
        <f aca="false">IF($K358=1,COUNTIFS($L$5:$L$1517,"&gt;="&amp;L358,$K$5:$K$1517,1)/COUNTIF($L$5:$L$1517,"&gt;="&amp;L358),0)</f>
        <v>0</v>
      </c>
      <c r="V358" s="8" t="n">
        <f aca="false">IF($K358=1,COUNTIFS($M$5:$M$1517,"&gt;="&amp;M358,$K$5:$K$1517,1)/COUNTIF($M$5:$M$1517,"&gt;="&amp;M358),0)</f>
        <v>0</v>
      </c>
      <c r="W358" s="8" t="n">
        <f aca="false">IF($K358=1,COUNTIFS($N$5:$N$1517,"&gt;="&amp;N358,$K$5:$K$1517,1)/COUNTIF($N$5:$N$1517,"&gt;="&amp;N358),0)</f>
        <v>0</v>
      </c>
      <c r="X358" s="8" t="n">
        <f aca="false">IF($K358=1,COUNTIFS($O$5:$O$1517,"&gt;="&amp;O358,$K$5:$K$1517,1)/COUNTIF($O$5:$O$1517,"&gt;="&amp;O358),0)</f>
        <v>0</v>
      </c>
      <c r="Y358" s="8" t="n">
        <f aca="false">IF($K358=1,COUNTIFS($P$5:$P$1517,"&gt;="&amp;P358,$K$5:$K$1517,1)/COUNTIF($P$5:$P$1517,"&gt;="&amp;P358),0)</f>
        <v>0</v>
      </c>
      <c r="Z358" s="8" t="n">
        <f aca="false">(L358-$K358)^2</f>
        <v>8.3119689E-005</v>
      </c>
      <c r="AA358" s="8" t="n">
        <f aca="false">(M358-$K358)^2</f>
        <v>0.008475595969</v>
      </c>
      <c r="AB358" s="8" t="n">
        <f aca="false">(N358-$K358)^2</f>
        <v>0.020359865344</v>
      </c>
      <c r="AC358" s="8" t="n">
        <f aca="false">(O358-$K358)^2</f>
        <v>0.011274829489</v>
      </c>
      <c r="AD358" s="8" t="n">
        <f aca="false">(P358-$K358)^2</f>
        <v>0.0234794329</v>
      </c>
      <c r="AE358" s="8" t="n">
        <f aca="false">MIN(INT(ROUND(N358*1000000,0)/100000),9)</f>
        <v>1</v>
      </c>
      <c r="AF358" s="8" t="n">
        <f aca="false">MIN(INT(ROUND(P358*1000000,0)/100000),9)</f>
        <v>1</v>
      </c>
    </row>
    <row r="359" customFormat="false" ht="15" hidden="false" customHeight="false" outlineLevel="0" collapsed="false">
      <c r="A359" s="4" t="n">
        <v>355</v>
      </c>
      <c r="B359" s="4" t="n">
        <v>1564</v>
      </c>
      <c r="C359" s="4" t="n">
        <v>0</v>
      </c>
      <c r="D359" s="11" t="n">
        <v>46054</v>
      </c>
      <c r="E359" s="4" t="s">
        <v>203</v>
      </c>
      <c r="F359" s="4" t="s">
        <v>206</v>
      </c>
      <c r="G359" s="4" t="n">
        <v>1</v>
      </c>
      <c r="H359" s="4" t="n">
        <v>11</v>
      </c>
      <c r="I359" s="4" t="n">
        <v>1</v>
      </c>
      <c r="J359" s="4"/>
      <c r="K359" s="4" t="n">
        <v>0</v>
      </c>
      <c r="L359" s="12" t="n">
        <v>0.755029</v>
      </c>
      <c r="M359" s="12" t="n">
        <v>0.184211</v>
      </c>
      <c r="N359" s="12" t="n">
        <v>0.139839</v>
      </c>
      <c r="O359" s="12" t="n">
        <v>0.106183</v>
      </c>
      <c r="P359" s="12" t="n">
        <v>0.150065</v>
      </c>
      <c r="Q359" s="0" t="str">
        <f aca="false">IF(L359&gt;=Models!$G$5,1+COUNTIF($L$5:$L$1517,"&gt;"&amp;L359)+COUNTIFS($L$5:$L$1517,L359,$B$5:$B$1517,"&lt;"&amp;B359)+COUNTIFS($L$5:$L$1517,L359,$B$5:$B$1517,B359,$C$5:$C$1517,"&lt;"&amp;C359),"")</f>
        <v/>
      </c>
      <c r="R359" s="8" t="n">
        <f aca="false">IF(M359&gt;=Models!$G$6,1+COUNTIF($M$5:$M$1517,"&gt;"&amp;M359)+COUNTIFS($M$5:$M$1517,M359,$B$5:$B$1517,"&lt;"&amp;B359)+COUNTIFS($M$5:$M$1517,M359,$B$5:$B$1517,B359,$C$5:$C$1517,"&lt;"&amp;C359),"")</f>
        <v>168</v>
      </c>
      <c r="S359" s="0" t="str">
        <f aca="false">IF(N359&gt;=Models!$G$7,1+COUNTIF($N$5:$N$1517,"&gt;"&amp;N359)+COUNTIFS($N$5:$N$1517,N359,$B$5:$B$1517,"&lt;"&amp;B359)+COUNTIFS($N$5:$N$1517,N359,$B$5:$B$1517,B359,$C$5:$C$1517,"&lt;"&amp;C359),"")</f>
        <v/>
      </c>
      <c r="T359" s="8" t="n">
        <f aca="false">IF(O359&gt;=Models!$G$8,1+COUNTIF($O$5:$O$1517,"&gt;"&amp;O359)+COUNTIFS($O$5:$O$1517,O359,$B$5:$B$1517,"&lt;"&amp;B359)+COUNTIFS($O$5:$O$1517,O359,$B$5:$B$1517,B359,$C$5:$C$1517,"&lt;"&amp;C359),"")</f>
        <v>1334</v>
      </c>
      <c r="U359" s="8" t="n">
        <f aca="false">IF($K359=1,COUNTIFS($L$5:$L$1517,"&gt;="&amp;L359,$K$5:$K$1517,1)/COUNTIF($L$5:$L$1517,"&gt;="&amp;L359),0)</f>
        <v>0</v>
      </c>
      <c r="V359" s="8" t="n">
        <f aca="false">IF($K359=1,COUNTIFS($M$5:$M$1517,"&gt;="&amp;M359,$K$5:$K$1517,1)/COUNTIF($M$5:$M$1517,"&gt;="&amp;M359),0)</f>
        <v>0</v>
      </c>
      <c r="W359" s="8" t="n">
        <f aca="false">IF($K359=1,COUNTIFS($N$5:$N$1517,"&gt;="&amp;N359,$K$5:$K$1517,1)/COUNTIF($N$5:$N$1517,"&gt;="&amp;N359),0)</f>
        <v>0</v>
      </c>
      <c r="X359" s="8" t="n">
        <f aca="false">IF($K359=1,COUNTIFS($O$5:$O$1517,"&gt;="&amp;O359,$K$5:$K$1517,1)/COUNTIF($O$5:$O$1517,"&gt;="&amp;O359),0)</f>
        <v>0</v>
      </c>
      <c r="Y359" s="8" t="n">
        <f aca="false">IF($K359=1,COUNTIFS($P$5:$P$1517,"&gt;="&amp;P359,$K$5:$K$1517,1)/COUNTIF($P$5:$P$1517,"&gt;="&amp;P359),0)</f>
        <v>0</v>
      </c>
      <c r="Z359" s="8" t="n">
        <f aca="false">(L359-$K359)^2</f>
        <v>0.570068790841</v>
      </c>
      <c r="AA359" s="8" t="n">
        <f aca="false">(M359-$K359)^2</f>
        <v>0.033933692521</v>
      </c>
      <c r="AB359" s="8" t="n">
        <f aca="false">(N359-$K359)^2</f>
        <v>0.019554945921</v>
      </c>
      <c r="AC359" s="8" t="n">
        <f aca="false">(O359-$K359)^2</f>
        <v>0.011274829489</v>
      </c>
      <c r="AD359" s="8" t="n">
        <f aca="false">(P359-$K359)^2</f>
        <v>0.022519504225</v>
      </c>
      <c r="AE359" s="8" t="n">
        <f aca="false">MIN(INT(ROUND(N359*1000000,0)/100000),9)</f>
        <v>1</v>
      </c>
      <c r="AF359" s="8" t="n">
        <f aca="false">MIN(INT(ROUND(P359*1000000,0)/100000),9)</f>
        <v>1</v>
      </c>
    </row>
    <row r="360" customFormat="false" ht="15" hidden="false" customHeight="false" outlineLevel="0" collapsed="false">
      <c r="A360" s="4" t="n">
        <v>356</v>
      </c>
      <c r="B360" s="4" t="n">
        <v>1567</v>
      </c>
      <c r="C360" s="4" t="n">
        <v>0</v>
      </c>
      <c r="D360" s="11" t="n">
        <v>46054</v>
      </c>
      <c r="E360" s="4" t="s">
        <v>202</v>
      </c>
      <c r="F360" s="4" t="s">
        <v>210</v>
      </c>
      <c r="G360" s="4" t="n">
        <v>10</v>
      </c>
      <c r="H360" s="4" t="n">
        <v>4</v>
      </c>
      <c r="I360" s="4" t="n">
        <v>0</v>
      </c>
      <c r="J360" s="4"/>
      <c r="K360" s="4" t="n">
        <v>0</v>
      </c>
      <c r="L360" s="12" t="n">
        <v>0.557299</v>
      </c>
      <c r="M360" s="12" t="n">
        <v>0.092063</v>
      </c>
      <c r="N360" s="12" t="n">
        <v>0.036266</v>
      </c>
      <c r="O360" s="12" t="n">
        <v>0.106183</v>
      </c>
      <c r="P360" s="12" t="n">
        <v>0.03672</v>
      </c>
      <c r="Q360" s="0" t="str">
        <f aca="false">IF(L360&gt;=Models!$G$5,1+COUNTIF($L$5:$L$1517,"&gt;"&amp;L360)+COUNTIFS($L$5:$L$1517,L360,$B$5:$B$1517,"&lt;"&amp;B360)+COUNTIFS($L$5:$L$1517,L360,$B$5:$B$1517,B360,$C$5:$C$1517,"&lt;"&amp;C360),"")</f>
        <v/>
      </c>
      <c r="R360" s="0" t="str">
        <f aca="false">IF(M360&gt;=Models!$G$6,1+COUNTIF($M$5:$M$1517,"&gt;"&amp;M360)+COUNTIFS($M$5:$M$1517,M360,$B$5:$B$1517,"&lt;"&amp;B360)+COUNTIFS($M$5:$M$1517,M360,$B$5:$B$1517,B360,$C$5:$C$1517,"&lt;"&amp;C360),"")</f>
        <v/>
      </c>
      <c r="S360" s="0" t="str">
        <f aca="false">IF(N360&gt;=Models!$G$7,1+COUNTIF($N$5:$N$1517,"&gt;"&amp;N360)+COUNTIFS($N$5:$N$1517,N360,$B$5:$B$1517,"&lt;"&amp;B360)+COUNTIFS($N$5:$N$1517,N360,$B$5:$B$1517,B360,$C$5:$C$1517,"&lt;"&amp;C360),"")</f>
        <v/>
      </c>
      <c r="T360" s="8" t="n">
        <f aca="false">IF(O360&gt;=Models!$G$8,1+COUNTIF($O$5:$O$1517,"&gt;"&amp;O360)+COUNTIFS($O$5:$O$1517,O360,$B$5:$B$1517,"&lt;"&amp;B360)+COUNTIFS($O$5:$O$1517,O360,$B$5:$B$1517,B360,$C$5:$C$1517,"&lt;"&amp;C360),"")</f>
        <v>1338</v>
      </c>
      <c r="U360" s="8" t="n">
        <f aca="false">IF($K360=1,COUNTIFS($L$5:$L$1517,"&gt;="&amp;L360,$K$5:$K$1517,1)/COUNTIF($L$5:$L$1517,"&gt;="&amp;L360),0)</f>
        <v>0</v>
      </c>
      <c r="V360" s="8" t="n">
        <f aca="false">IF($K360=1,COUNTIFS($M$5:$M$1517,"&gt;="&amp;M360,$K$5:$K$1517,1)/COUNTIF($M$5:$M$1517,"&gt;="&amp;M360),0)</f>
        <v>0</v>
      </c>
      <c r="W360" s="8" t="n">
        <f aca="false">IF($K360=1,COUNTIFS($N$5:$N$1517,"&gt;="&amp;N360,$K$5:$K$1517,1)/COUNTIF($N$5:$N$1517,"&gt;="&amp;N360),0)</f>
        <v>0</v>
      </c>
      <c r="X360" s="8" t="n">
        <f aca="false">IF($K360=1,COUNTIFS($O$5:$O$1517,"&gt;="&amp;O360,$K$5:$K$1517,1)/COUNTIF($O$5:$O$1517,"&gt;="&amp;O360),0)</f>
        <v>0</v>
      </c>
      <c r="Y360" s="8" t="n">
        <f aca="false">IF($K360=1,COUNTIFS($P$5:$P$1517,"&gt;="&amp;P360,$K$5:$K$1517,1)/COUNTIF($P$5:$P$1517,"&gt;="&amp;P360),0)</f>
        <v>0</v>
      </c>
      <c r="Z360" s="8" t="n">
        <f aca="false">(L360-$K360)^2</f>
        <v>0.310582175401</v>
      </c>
      <c r="AA360" s="8" t="n">
        <f aca="false">(M360-$K360)^2</f>
        <v>0.008475595969</v>
      </c>
      <c r="AB360" s="8" t="n">
        <f aca="false">(N360-$K360)^2</f>
        <v>0.001315222756</v>
      </c>
      <c r="AC360" s="8" t="n">
        <f aca="false">(O360-$K360)^2</f>
        <v>0.011274829489</v>
      </c>
      <c r="AD360" s="8" t="n">
        <f aca="false">(P360-$K360)^2</f>
        <v>0.0013483584</v>
      </c>
      <c r="AE360" s="8" t="n">
        <f aca="false">MIN(INT(ROUND(N360*1000000,0)/100000),9)</f>
        <v>0</v>
      </c>
      <c r="AF360" s="8" t="n">
        <f aca="false">MIN(INT(ROUND(P360*1000000,0)/100000),9)</f>
        <v>0</v>
      </c>
    </row>
    <row r="361" customFormat="false" ht="15" hidden="false" customHeight="false" outlineLevel="0" collapsed="false">
      <c r="A361" s="4" t="n">
        <v>357</v>
      </c>
      <c r="B361" s="4" t="n">
        <v>1568</v>
      </c>
      <c r="C361" s="4" t="n">
        <v>0</v>
      </c>
      <c r="D361" s="11" t="n">
        <v>46054</v>
      </c>
      <c r="E361" s="4" t="s">
        <v>204</v>
      </c>
      <c r="F361" s="4" t="s">
        <v>209</v>
      </c>
      <c r="G361" s="4" t="n">
        <v>2</v>
      </c>
      <c r="H361" s="4" t="n">
        <v>4</v>
      </c>
      <c r="I361" s="4" t="n">
        <v>0</v>
      </c>
      <c r="J361" s="4" t="n">
        <v>63</v>
      </c>
      <c r="K361" s="4" t="n">
        <v>0</v>
      </c>
      <c r="L361" s="12" t="n">
        <v>0.710412</v>
      </c>
      <c r="M361" s="12" t="n">
        <v>0.092063</v>
      </c>
      <c r="N361" s="12" t="n">
        <v>0.14101</v>
      </c>
      <c r="O361" s="12" t="n">
        <v>0.106183</v>
      </c>
      <c r="P361" s="12" t="n">
        <v>0.151366</v>
      </c>
      <c r="Q361" s="0" t="str">
        <f aca="false">IF(L361&gt;=Models!$G$5,1+COUNTIF($L$5:$L$1517,"&gt;"&amp;L361)+COUNTIFS($L$5:$L$1517,L361,$B$5:$B$1517,"&lt;"&amp;B361)+COUNTIFS($L$5:$L$1517,L361,$B$5:$B$1517,B361,$C$5:$C$1517,"&lt;"&amp;C361),"")</f>
        <v/>
      </c>
      <c r="R361" s="0" t="str">
        <f aca="false">IF(M361&gt;=Models!$G$6,1+COUNTIF($M$5:$M$1517,"&gt;"&amp;M361)+COUNTIFS($M$5:$M$1517,M361,$B$5:$B$1517,"&lt;"&amp;B361)+COUNTIFS($M$5:$M$1517,M361,$B$5:$B$1517,B361,$C$5:$C$1517,"&lt;"&amp;C361),"")</f>
        <v/>
      </c>
      <c r="S361" s="0" t="str">
        <f aca="false">IF(N361&gt;=Models!$G$7,1+COUNTIF($N$5:$N$1517,"&gt;"&amp;N361)+COUNTIFS($N$5:$N$1517,N361,$B$5:$B$1517,"&lt;"&amp;B361)+COUNTIFS($N$5:$N$1517,N361,$B$5:$B$1517,B361,$C$5:$C$1517,"&lt;"&amp;C361),"")</f>
        <v/>
      </c>
      <c r="T361" s="8" t="n">
        <f aca="false">IF(O361&gt;=Models!$G$8,1+COUNTIF($O$5:$O$1517,"&gt;"&amp;O361)+COUNTIFS($O$5:$O$1517,O361,$B$5:$B$1517,"&lt;"&amp;B361)+COUNTIFS($O$5:$O$1517,O361,$B$5:$B$1517,B361,$C$5:$C$1517,"&lt;"&amp;C361),"")</f>
        <v>1342</v>
      </c>
      <c r="U361" s="8" t="n">
        <f aca="false">IF($K361=1,COUNTIFS($L$5:$L$1517,"&gt;="&amp;L361,$K$5:$K$1517,1)/COUNTIF($L$5:$L$1517,"&gt;="&amp;L361),0)</f>
        <v>0</v>
      </c>
      <c r="V361" s="8" t="n">
        <f aca="false">IF($K361=1,COUNTIFS($M$5:$M$1517,"&gt;="&amp;M361,$K$5:$K$1517,1)/COUNTIF($M$5:$M$1517,"&gt;="&amp;M361),0)</f>
        <v>0</v>
      </c>
      <c r="W361" s="8" t="n">
        <f aca="false">IF($K361=1,COUNTIFS($N$5:$N$1517,"&gt;="&amp;N361,$K$5:$K$1517,1)/COUNTIF($N$5:$N$1517,"&gt;="&amp;N361),0)</f>
        <v>0</v>
      </c>
      <c r="X361" s="8" t="n">
        <f aca="false">IF($K361=1,COUNTIFS($O$5:$O$1517,"&gt;="&amp;O361,$K$5:$K$1517,1)/COUNTIF($O$5:$O$1517,"&gt;="&amp;O361),0)</f>
        <v>0</v>
      </c>
      <c r="Y361" s="8" t="n">
        <f aca="false">IF($K361=1,COUNTIFS($P$5:$P$1517,"&gt;="&amp;P361,$K$5:$K$1517,1)/COUNTIF($P$5:$P$1517,"&gt;="&amp;P361),0)</f>
        <v>0</v>
      </c>
      <c r="Z361" s="8" t="n">
        <f aca="false">(L361-$K361)^2</f>
        <v>0.504685209744</v>
      </c>
      <c r="AA361" s="8" t="n">
        <f aca="false">(M361-$K361)^2</f>
        <v>0.008475595969</v>
      </c>
      <c r="AB361" s="8" t="n">
        <f aca="false">(N361-$K361)^2</f>
        <v>0.0198838201</v>
      </c>
      <c r="AC361" s="8" t="n">
        <f aca="false">(O361-$K361)^2</f>
        <v>0.011274829489</v>
      </c>
      <c r="AD361" s="8" t="n">
        <f aca="false">(P361-$K361)^2</f>
        <v>0.022911665956</v>
      </c>
      <c r="AE361" s="8" t="n">
        <f aca="false">MIN(INT(ROUND(N361*1000000,0)/100000),9)</f>
        <v>1</v>
      </c>
      <c r="AF361" s="8" t="n">
        <f aca="false">MIN(INT(ROUND(P361*1000000,0)/100000),9)</f>
        <v>1</v>
      </c>
    </row>
    <row r="362" customFormat="false" ht="15" hidden="false" customHeight="false" outlineLevel="0" collapsed="false">
      <c r="A362" s="4" t="n">
        <v>358</v>
      </c>
      <c r="B362" s="4" t="n">
        <v>1570</v>
      </c>
      <c r="C362" s="4" t="n">
        <v>0</v>
      </c>
      <c r="D362" s="11" t="n">
        <v>46054</v>
      </c>
      <c r="E362" s="4" t="s">
        <v>204</v>
      </c>
      <c r="F362" s="4" t="s">
        <v>210</v>
      </c>
      <c r="G362" s="4" t="n">
        <v>2</v>
      </c>
      <c r="H362" s="4" t="n">
        <v>14</v>
      </c>
      <c r="I362" s="4" t="n">
        <v>0</v>
      </c>
      <c r="J362" s="4" t="n">
        <v>99</v>
      </c>
      <c r="K362" s="4" t="n">
        <v>1</v>
      </c>
      <c r="L362" s="12" t="n">
        <v>0.926854</v>
      </c>
      <c r="M362" s="12" t="n">
        <v>0.092063</v>
      </c>
      <c r="N362" s="12" t="n">
        <v>0.150964</v>
      </c>
      <c r="O362" s="12" t="n">
        <v>0.106183</v>
      </c>
      <c r="P362" s="12" t="n">
        <v>0.162429</v>
      </c>
      <c r="Q362" s="0" t="str">
        <f aca="false">IF(L362&gt;=Models!$G$5,1+COUNTIF($L$5:$L$1517,"&gt;"&amp;L362)+COUNTIFS($L$5:$L$1517,L362,$B$5:$B$1517,"&lt;"&amp;B362)+COUNTIFS($L$5:$L$1517,L362,$B$5:$B$1517,B362,$C$5:$C$1517,"&lt;"&amp;C362),"")</f>
        <v/>
      </c>
      <c r="R362" s="0" t="str">
        <f aca="false">IF(M362&gt;=Models!$G$6,1+COUNTIF($M$5:$M$1517,"&gt;"&amp;M362)+COUNTIFS($M$5:$M$1517,M362,$B$5:$B$1517,"&lt;"&amp;B362)+COUNTIFS($M$5:$M$1517,M362,$B$5:$B$1517,B362,$C$5:$C$1517,"&lt;"&amp;C362),"")</f>
        <v/>
      </c>
      <c r="S362" s="0" t="str">
        <f aca="false">IF(N362&gt;=Models!$G$7,1+COUNTIF($N$5:$N$1517,"&gt;"&amp;N362)+COUNTIFS($N$5:$N$1517,N362,$B$5:$B$1517,"&lt;"&amp;B362)+COUNTIFS($N$5:$N$1517,N362,$B$5:$B$1517,B362,$C$5:$C$1517,"&lt;"&amp;C362),"")</f>
        <v/>
      </c>
      <c r="T362" s="8" t="n">
        <f aca="false">IF(O362&gt;=Models!$G$8,1+COUNTIF($O$5:$O$1517,"&gt;"&amp;O362)+COUNTIFS($O$5:$O$1517,O362,$B$5:$B$1517,"&lt;"&amp;B362)+COUNTIFS($O$5:$O$1517,O362,$B$5:$B$1517,B362,$C$5:$C$1517,"&lt;"&amp;C362),"")</f>
        <v>1346</v>
      </c>
      <c r="U362" s="8" t="n">
        <f aca="false">IF($K362=1,COUNTIFS($L$5:$L$1517,"&gt;="&amp;L362,$K$5:$K$1517,1)/COUNTIF($L$5:$L$1517,"&gt;="&amp;L362),0)</f>
        <v>0.146551724137931</v>
      </c>
      <c r="V362" s="8" t="n">
        <f aca="false">IF($K362=1,COUNTIFS($M$5:$M$1517,"&gt;="&amp;M362,$K$5:$K$1517,1)/COUNTIF($M$5:$M$1517,"&gt;="&amp;M362),0)</f>
        <v>0.12491738268341</v>
      </c>
      <c r="W362" s="8" t="n">
        <f aca="false">IF($K362=1,COUNTIFS($N$5:$N$1517,"&gt;="&amp;N362,$K$5:$K$1517,1)/COUNTIF($N$5:$N$1517,"&gt;="&amp;N362),0)</f>
        <v>0.29126213592233</v>
      </c>
      <c r="X362" s="8" t="n">
        <f aca="false">IF($K362=1,COUNTIFS($O$5:$O$1517,"&gt;="&amp;O362,$K$5:$K$1517,1)/COUNTIF($O$5:$O$1517,"&gt;="&amp;O362),0)</f>
        <v>0.12491738268341</v>
      </c>
      <c r="Y362" s="8" t="n">
        <f aca="false">IF($K362=1,COUNTIFS($P$5:$P$1517,"&gt;="&amp;P362,$K$5:$K$1517,1)/COUNTIF($P$5:$P$1517,"&gt;="&amp;P362),0)</f>
        <v>0.29126213592233</v>
      </c>
      <c r="Z362" s="8" t="n">
        <f aca="false">(L362-$K362)^2</f>
        <v>0.00535033731600001</v>
      </c>
      <c r="AA362" s="8" t="n">
        <f aca="false">(M362-$K362)^2</f>
        <v>0.824349595969</v>
      </c>
      <c r="AB362" s="8" t="n">
        <f aca="false">(N362-$K362)^2</f>
        <v>0.720862129296</v>
      </c>
      <c r="AC362" s="8" t="n">
        <f aca="false">(O362-$K362)^2</f>
        <v>0.798908829489</v>
      </c>
      <c r="AD362" s="8" t="n">
        <f aca="false">(P362-$K362)^2</f>
        <v>0.701525180041</v>
      </c>
      <c r="AE362" s="8" t="n">
        <f aca="false">MIN(INT(ROUND(N362*1000000,0)/100000),9)</f>
        <v>1</v>
      </c>
      <c r="AF362" s="8" t="n">
        <f aca="false">MIN(INT(ROUND(P362*1000000,0)/100000),9)</f>
        <v>1</v>
      </c>
    </row>
    <row r="363" customFormat="false" ht="15" hidden="false" customHeight="false" outlineLevel="0" collapsed="false">
      <c r="A363" s="4" t="n">
        <v>359</v>
      </c>
      <c r="B363" s="4" t="n">
        <v>1572</v>
      </c>
      <c r="C363" s="4" t="n">
        <v>0</v>
      </c>
      <c r="D363" s="11" t="n">
        <v>46054</v>
      </c>
      <c r="E363" s="4" t="s">
        <v>203</v>
      </c>
      <c r="F363" s="4" t="s">
        <v>209</v>
      </c>
      <c r="G363" s="4" t="n">
        <v>5</v>
      </c>
      <c r="H363" s="4" t="n">
        <v>2</v>
      </c>
      <c r="I363" s="4" t="n">
        <v>0</v>
      </c>
      <c r="J363" s="4"/>
      <c r="K363" s="4" t="n">
        <v>1</v>
      </c>
      <c r="L363" s="12" t="n">
        <v>0.943528</v>
      </c>
      <c r="M363" s="12" t="n">
        <v>0.092063</v>
      </c>
      <c r="N363" s="12" t="n">
        <v>0.054868</v>
      </c>
      <c r="O363" s="12" t="n">
        <v>0.106183</v>
      </c>
      <c r="P363" s="12" t="n">
        <v>0.056634</v>
      </c>
      <c r="Q363" s="0" t="str">
        <f aca="false">IF(L363&gt;=Models!$G$5,1+COUNTIF($L$5:$L$1517,"&gt;"&amp;L363)+COUNTIFS($L$5:$L$1517,L363,$B$5:$B$1517,"&lt;"&amp;B363)+COUNTIFS($L$5:$L$1517,L363,$B$5:$B$1517,B363,$C$5:$C$1517,"&lt;"&amp;C363),"")</f>
        <v/>
      </c>
      <c r="R363" s="0" t="str">
        <f aca="false">IF(M363&gt;=Models!$G$6,1+COUNTIF($M$5:$M$1517,"&gt;"&amp;M363)+COUNTIFS($M$5:$M$1517,M363,$B$5:$B$1517,"&lt;"&amp;B363)+COUNTIFS($M$5:$M$1517,M363,$B$5:$B$1517,B363,$C$5:$C$1517,"&lt;"&amp;C363),"")</f>
        <v/>
      </c>
      <c r="S363" s="0" t="str">
        <f aca="false">IF(N363&gt;=Models!$G$7,1+COUNTIF($N$5:$N$1517,"&gt;"&amp;N363)+COUNTIFS($N$5:$N$1517,N363,$B$5:$B$1517,"&lt;"&amp;B363)+COUNTIFS($N$5:$N$1517,N363,$B$5:$B$1517,B363,$C$5:$C$1517,"&lt;"&amp;C363),"")</f>
        <v/>
      </c>
      <c r="T363" s="8" t="n">
        <f aca="false">IF(O363&gt;=Models!$G$8,1+COUNTIF($O$5:$O$1517,"&gt;"&amp;O363)+COUNTIFS($O$5:$O$1517,O363,$B$5:$B$1517,"&lt;"&amp;B363)+COUNTIFS($O$5:$O$1517,O363,$B$5:$B$1517,B363,$C$5:$C$1517,"&lt;"&amp;C363),"")</f>
        <v>1349</v>
      </c>
      <c r="U363" s="8" t="n">
        <f aca="false">IF($K363=1,COUNTIFS($L$5:$L$1517,"&gt;="&amp;L363,$K$5:$K$1517,1)/COUNTIF($L$5:$L$1517,"&gt;="&amp;L363),0)</f>
        <v>0.0909090909090909</v>
      </c>
      <c r="V363" s="8" t="n">
        <f aca="false">IF($K363=1,COUNTIFS($M$5:$M$1517,"&gt;="&amp;M363,$K$5:$K$1517,1)/COUNTIF($M$5:$M$1517,"&gt;="&amp;M363),0)</f>
        <v>0.12491738268341</v>
      </c>
      <c r="W363" s="8" t="n">
        <f aca="false">IF($K363=1,COUNTIFS($N$5:$N$1517,"&gt;="&amp;N363,$K$5:$K$1517,1)/COUNTIF($N$5:$N$1517,"&gt;="&amp;N363),0)</f>
        <v>0.153368794326241</v>
      </c>
      <c r="X363" s="8" t="n">
        <f aca="false">IF($K363=1,COUNTIFS($O$5:$O$1517,"&gt;="&amp;O363,$K$5:$K$1517,1)/COUNTIF($O$5:$O$1517,"&gt;="&amp;O363),0)</f>
        <v>0.12491738268341</v>
      </c>
      <c r="Y363" s="8" t="n">
        <f aca="false">IF($K363=1,COUNTIFS($P$5:$P$1517,"&gt;="&amp;P363,$K$5:$K$1517,1)/COUNTIF($P$5:$P$1517,"&gt;="&amp;P363),0)</f>
        <v>0.153368794326241</v>
      </c>
      <c r="Z363" s="8" t="n">
        <f aca="false">(L363-$K363)^2</f>
        <v>0.003189086784</v>
      </c>
      <c r="AA363" s="8" t="n">
        <f aca="false">(M363-$K363)^2</f>
        <v>0.824349595969</v>
      </c>
      <c r="AB363" s="8" t="n">
        <f aca="false">(N363-$K363)^2</f>
        <v>0.893274497424</v>
      </c>
      <c r="AC363" s="8" t="n">
        <f aca="false">(O363-$K363)^2</f>
        <v>0.798908829489</v>
      </c>
      <c r="AD363" s="8" t="n">
        <f aca="false">(P363-$K363)^2</f>
        <v>0.889939409956</v>
      </c>
      <c r="AE363" s="8" t="n">
        <f aca="false">MIN(INT(ROUND(N363*1000000,0)/100000),9)</f>
        <v>0</v>
      </c>
      <c r="AF363" s="8" t="n">
        <f aca="false">MIN(INT(ROUND(P363*1000000,0)/100000),9)</f>
        <v>0</v>
      </c>
    </row>
    <row r="364" customFormat="false" ht="15" hidden="false" customHeight="false" outlineLevel="0" collapsed="false">
      <c r="A364" s="4" t="n">
        <v>360</v>
      </c>
      <c r="B364" s="4" t="n">
        <v>1575</v>
      </c>
      <c r="C364" s="4" t="n">
        <v>0</v>
      </c>
      <c r="D364" s="11" t="n">
        <v>46054</v>
      </c>
      <c r="E364" s="4" t="s">
        <v>203</v>
      </c>
      <c r="F364" s="4" t="s">
        <v>208</v>
      </c>
      <c r="G364" s="4" t="n">
        <v>8</v>
      </c>
      <c r="H364" s="4" t="n">
        <v>2</v>
      </c>
      <c r="I364" s="4" t="n">
        <v>0</v>
      </c>
      <c r="J364" s="4" t="n">
        <v>267</v>
      </c>
      <c r="K364" s="4" t="n">
        <v>1</v>
      </c>
      <c r="L364" s="12" t="n">
        <v>0.285248</v>
      </c>
      <c r="M364" s="12" t="n">
        <v>0.092063</v>
      </c>
      <c r="N364" s="12" t="n">
        <v>0.08509</v>
      </c>
      <c r="O364" s="12" t="n">
        <v>0.106183</v>
      </c>
      <c r="P364" s="12" t="n">
        <v>0.08955</v>
      </c>
      <c r="Q364" s="0" t="str">
        <f aca="false">IF(L364&gt;=Models!$G$5,1+COUNTIF($L$5:$L$1517,"&gt;"&amp;L364)+COUNTIFS($L$5:$L$1517,L364,$B$5:$B$1517,"&lt;"&amp;B364)+COUNTIFS($L$5:$L$1517,L364,$B$5:$B$1517,B364,$C$5:$C$1517,"&lt;"&amp;C364),"")</f>
        <v/>
      </c>
      <c r="R364" s="0" t="str">
        <f aca="false">IF(M364&gt;=Models!$G$6,1+COUNTIF($M$5:$M$1517,"&gt;"&amp;M364)+COUNTIFS($M$5:$M$1517,M364,$B$5:$B$1517,"&lt;"&amp;B364)+COUNTIFS($M$5:$M$1517,M364,$B$5:$B$1517,B364,$C$5:$C$1517,"&lt;"&amp;C364),"")</f>
        <v/>
      </c>
      <c r="S364" s="0" t="str">
        <f aca="false">IF(N364&gt;=Models!$G$7,1+COUNTIF($N$5:$N$1517,"&gt;"&amp;N364)+COUNTIFS($N$5:$N$1517,N364,$B$5:$B$1517,"&lt;"&amp;B364)+COUNTIFS($N$5:$N$1517,N364,$B$5:$B$1517,B364,$C$5:$C$1517,"&lt;"&amp;C364),"")</f>
        <v/>
      </c>
      <c r="T364" s="8" t="n">
        <f aca="false">IF(O364&gt;=Models!$G$8,1+COUNTIF($O$5:$O$1517,"&gt;"&amp;O364)+COUNTIFS($O$5:$O$1517,O364,$B$5:$B$1517,"&lt;"&amp;B364)+COUNTIFS($O$5:$O$1517,O364,$B$5:$B$1517,B364,$C$5:$C$1517,"&lt;"&amp;C364),"")</f>
        <v>1351</v>
      </c>
      <c r="U364" s="8" t="n">
        <f aca="false">IF($K364=1,COUNTIFS($L$5:$L$1517,"&gt;="&amp;L364,$K$5:$K$1517,1)/COUNTIF($L$5:$L$1517,"&gt;="&amp;L364),0)</f>
        <v>0.12933458294283</v>
      </c>
      <c r="V364" s="8" t="n">
        <f aca="false">IF($K364=1,COUNTIFS($M$5:$M$1517,"&gt;="&amp;M364,$K$5:$K$1517,1)/COUNTIF($M$5:$M$1517,"&gt;="&amp;M364),0)</f>
        <v>0.12491738268341</v>
      </c>
      <c r="W364" s="8" t="n">
        <f aca="false">IF($K364=1,COUNTIFS($N$5:$N$1517,"&gt;="&amp;N364,$K$5:$K$1517,1)/COUNTIF($N$5:$N$1517,"&gt;="&amp;N364),0)</f>
        <v>0.175903614457831</v>
      </c>
      <c r="X364" s="8" t="n">
        <f aca="false">IF($K364=1,COUNTIFS($O$5:$O$1517,"&gt;="&amp;O364,$K$5:$K$1517,1)/COUNTIF($O$5:$O$1517,"&gt;="&amp;O364),0)</f>
        <v>0.12491738268341</v>
      </c>
      <c r="Y364" s="8" t="n">
        <f aca="false">IF($K364=1,COUNTIFS($P$5:$P$1517,"&gt;="&amp;P364,$K$5:$K$1517,1)/COUNTIF($P$5:$P$1517,"&gt;="&amp;P364),0)</f>
        <v>0.175903614457831</v>
      </c>
      <c r="Z364" s="8" t="n">
        <f aca="false">(L364-$K364)^2</f>
        <v>0.510870421504</v>
      </c>
      <c r="AA364" s="8" t="n">
        <f aca="false">(M364-$K364)^2</f>
        <v>0.824349595969</v>
      </c>
      <c r="AB364" s="8" t="n">
        <f aca="false">(N364-$K364)^2</f>
        <v>0.8370603081</v>
      </c>
      <c r="AC364" s="8" t="n">
        <f aca="false">(O364-$K364)^2</f>
        <v>0.798908829489</v>
      </c>
      <c r="AD364" s="8" t="n">
        <f aca="false">(P364-$K364)^2</f>
        <v>0.8289192025</v>
      </c>
      <c r="AE364" s="8" t="n">
        <f aca="false">MIN(INT(ROUND(N364*1000000,0)/100000),9)</f>
        <v>0</v>
      </c>
      <c r="AF364" s="8" t="n">
        <f aca="false">MIN(INT(ROUND(P364*1000000,0)/100000),9)</f>
        <v>0</v>
      </c>
    </row>
    <row r="365" customFormat="false" ht="15" hidden="false" customHeight="false" outlineLevel="0" collapsed="false">
      <c r="A365" s="4" t="n">
        <v>361</v>
      </c>
      <c r="B365" s="4" t="n">
        <v>1576</v>
      </c>
      <c r="C365" s="4" t="n">
        <v>0</v>
      </c>
      <c r="D365" s="11" t="n">
        <v>46054</v>
      </c>
      <c r="E365" s="4" t="s">
        <v>203</v>
      </c>
      <c r="F365" s="4" t="s">
        <v>206</v>
      </c>
      <c r="G365" s="4" t="n">
        <v>4</v>
      </c>
      <c r="H365" s="4" t="n">
        <v>4</v>
      </c>
      <c r="I365" s="4" t="n">
        <v>0</v>
      </c>
      <c r="J365" s="4" t="n">
        <v>237</v>
      </c>
      <c r="K365" s="4" t="n">
        <v>0</v>
      </c>
      <c r="L365" s="12" t="n">
        <v>0.82689</v>
      </c>
      <c r="M365" s="12" t="n">
        <v>0.092063</v>
      </c>
      <c r="N365" s="12" t="n">
        <v>0.119517</v>
      </c>
      <c r="O365" s="12" t="n">
        <v>0.106183</v>
      </c>
      <c r="P365" s="12" t="n">
        <v>0.127521</v>
      </c>
      <c r="Q365" s="0" t="str">
        <f aca="false">IF(L365&gt;=Models!$G$5,1+COUNTIF($L$5:$L$1517,"&gt;"&amp;L365)+COUNTIFS($L$5:$L$1517,L365,$B$5:$B$1517,"&lt;"&amp;B365)+COUNTIFS($L$5:$L$1517,L365,$B$5:$B$1517,B365,$C$5:$C$1517,"&lt;"&amp;C365),"")</f>
        <v/>
      </c>
      <c r="R365" s="0" t="str">
        <f aca="false">IF(M365&gt;=Models!$G$6,1+COUNTIF($M$5:$M$1517,"&gt;"&amp;M365)+COUNTIFS($M$5:$M$1517,M365,$B$5:$B$1517,"&lt;"&amp;B365)+COUNTIFS($M$5:$M$1517,M365,$B$5:$B$1517,B365,$C$5:$C$1517,"&lt;"&amp;C365),"")</f>
        <v/>
      </c>
      <c r="S365" s="0" t="str">
        <f aca="false">IF(N365&gt;=Models!$G$7,1+COUNTIF($N$5:$N$1517,"&gt;"&amp;N365)+COUNTIFS($N$5:$N$1517,N365,$B$5:$B$1517,"&lt;"&amp;B365)+COUNTIFS($N$5:$N$1517,N365,$B$5:$B$1517,B365,$C$5:$C$1517,"&lt;"&amp;C365),"")</f>
        <v/>
      </c>
      <c r="T365" s="8" t="n">
        <f aca="false">IF(O365&gt;=Models!$G$8,1+COUNTIF($O$5:$O$1517,"&gt;"&amp;O365)+COUNTIFS($O$5:$O$1517,O365,$B$5:$B$1517,"&lt;"&amp;B365)+COUNTIFS($O$5:$O$1517,O365,$B$5:$B$1517,B365,$C$5:$C$1517,"&lt;"&amp;C365),"")</f>
        <v>1354</v>
      </c>
      <c r="U365" s="8" t="n">
        <f aca="false">IF($K365=1,COUNTIFS($L$5:$L$1517,"&gt;="&amp;L365,$K$5:$K$1517,1)/COUNTIF($L$5:$L$1517,"&gt;="&amp;L365),0)</f>
        <v>0</v>
      </c>
      <c r="V365" s="8" t="n">
        <f aca="false">IF($K365=1,COUNTIFS($M$5:$M$1517,"&gt;="&amp;M365,$K$5:$K$1517,1)/COUNTIF($M$5:$M$1517,"&gt;="&amp;M365),0)</f>
        <v>0</v>
      </c>
      <c r="W365" s="8" t="n">
        <f aca="false">IF($K365=1,COUNTIFS($N$5:$N$1517,"&gt;="&amp;N365,$K$5:$K$1517,1)/COUNTIF($N$5:$N$1517,"&gt;="&amp;N365),0)</f>
        <v>0</v>
      </c>
      <c r="X365" s="8" t="n">
        <f aca="false">IF($K365=1,COUNTIFS($O$5:$O$1517,"&gt;="&amp;O365,$K$5:$K$1517,1)/COUNTIF($O$5:$O$1517,"&gt;="&amp;O365),0)</f>
        <v>0</v>
      </c>
      <c r="Y365" s="8" t="n">
        <f aca="false">IF($K365=1,COUNTIFS($P$5:$P$1517,"&gt;="&amp;P365,$K$5:$K$1517,1)/COUNTIF($P$5:$P$1517,"&gt;="&amp;P365),0)</f>
        <v>0</v>
      </c>
      <c r="Z365" s="8" t="n">
        <f aca="false">(L365-$K365)^2</f>
        <v>0.6837470721</v>
      </c>
      <c r="AA365" s="8" t="n">
        <f aca="false">(M365-$K365)^2</f>
        <v>0.008475595969</v>
      </c>
      <c r="AB365" s="8" t="n">
        <f aca="false">(N365-$K365)^2</f>
        <v>0.014284313289</v>
      </c>
      <c r="AC365" s="8" t="n">
        <f aca="false">(O365-$K365)^2</f>
        <v>0.011274829489</v>
      </c>
      <c r="AD365" s="8" t="n">
        <f aca="false">(P365-$K365)^2</f>
        <v>0.016261605441</v>
      </c>
      <c r="AE365" s="8" t="n">
        <f aca="false">MIN(INT(ROUND(N365*1000000,0)/100000),9)</f>
        <v>1</v>
      </c>
      <c r="AF365" s="8" t="n">
        <f aca="false">MIN(INT(ROUND(P365*1000000,0)/100000),9)</f>
        <v>1</v>
      </c>
    </row>
    <row r="366" customFormat="false" ht="15" hidden="false" customHeight="false" outlineLevel="0" collapsed="false">
      <c r="A366" s="4" t="n">
        <v>362</v>
      </c>
      <c r="B366" s="4" t="n">
        <v>1577</v>
      </c>
      <c r="C366" s="4" t="n">
        <v>0</v>
      </c>
      <c r="D366" s="11" t="n">
        <v>46054</v>
      </c>
      <c r="E366" s="4" t="s">
        <v>203</v>
      </c>
      <c r="F366" s="4" t="s">
        <v>208</v>
      </c>
      <c r="G366" s="4" t="n">
        <v>1</v>
      </c>
      <c r="H366" s="4" t="n">
        <v>20</v>
      </c>
      <c r="I366" s="4" t="n">
        <v>0</v>
      </c>
      <c r="J366" s="4" t="n">
        <v>447</v>
      </c>
      <c r="K366" s="4" t="n">
        <v>1</v>
      </c>
      <c r="L366" s="12" t="n">
        <v>0.03238</v>
      </c>
      <c r="M366" s="12" t="n">
        <v>0.092063</v>
      </c>
      <c r="N366" s="12" t="n">
        <v>0.166851</v>
      </c>
      <c r="O366" s="12" t="n">
        <v>0.106183</v>
      </c>
      <c r="P366" s="12" t="n">
        <v>0.180102</v>
      </c>
      <c r="Q366" s="0" t="str">
        <f aca="false">IF(L366&gt;=Models!$G$5,1+COUNTIF($L$5:$L$1517,"&gt;"&amp;L366)+COUNTIFS($L$5:$L$1517,L366,$B$5:$B$1517,"&lt;"&amp;B366)+COUNTIFS($L$5:$L$1517,L366,$B$5:$B$1517,B366,$C$5:$C$1517,"&lt;"&amp;C366),"")</f>
        <v/>
      </c>
      <c r="R366" s="0" t="str">
        <f aca="false">IF(M366&gt;=Models!$G$6,1+COUNTIF($M$5:$M$1517,"&gt;"&amp;M366)+COUNTIFS($M$5:$M$1517,M366,$B$5:$B$1517,"&lt;"&amp;B366)+COUNTIFS($M$5:$M$1517,M366,$B$5:$B$1517,B366,$C$5:$C$1517,"&lt;"&amp;C366),"")</f>
        <v/>
      </c>
      <c r="S366" s="0" t="str">
        <f aca="false">IF(N366&gt;=Models!$G$7,1+COUNTIF($N$5:$N$1517,"&gt;"&amp;N366)+COUNTIFS($N$5:$N$1517,N366,$B$5:$B$1517,"&lt;"&amp;B366)+COUNTIFS($N$5:$N$1517,N366,$B$5:$B$1517,B366,$C$5:$C$1517,"&lt;"&amp;C366),"")</f>
        <v/>
      </c>
      <c r="T366" s="8" t="n">
        <f aca="false">IF(O366&gt;=Models!$G$8,1+COUNTIF($O$5:$O$1517,"&gt;"&amp;O366)+COUNTIFS($O$5:$O$1517,O366,$B$5:$B$1517,"&lt;"&amp;B366)+COUNTIFS($O$5:$O$1517,O366,$B$5:$B$1517,B366,$C$5:$C$1517,"&lt;"&amp;C366),"")</f>
        <v>1358</v>
      </c>
      <c r="U366" s="8" t="n">
        <f aca="false">IF($K366=1,COUNTIFS($L$5:$L$1517,"&gt;="&amp;L366,$K$5:$K$1517,1)/COUNTIF($L$5:$L$1517,"&gt;="&amp;L366),0)</f>
        <v>0.125171939477304</v>
      </c>
      <c r="V366" s="8" t="n">
        <f aca="false">IF($K366=1,COUNTIFS($M$5:$M$1517,"&gt;="&amp;M366,$K$5:$K$1517,1)/COUNTIF($M$5:$M$1517,"&gt;="&amp;M366),0)</f>
        <v>0.12491738268341</v>
      </c>
      <c r="W366" s="8" t="n">
        <f aca="false">IF($K366=1,COUNTIFS($N$5:$N$1517,"&gt;="&amp;N366,$K$5:$K$1517,1)/COUNTIF($N$5:$N$1517,"&gt;="&amp;N366),0)</f>
        <v>0.308270676691729</v>
      </c>
      <c r="X366" s="8" t="n">
        <f aca="false">IF($K366=1,COUNTIFS($O$5:$O$1517,"&gt;="&amp;O366,$K$5:$K$1517,1)/COUNTIF($O$5:$O$1517,"&gt;="&amp;O366),0)</f>
        <v>0.12491738268341</v>
      </c>
      <c r="Y366" s="8" t="n">
        <f aca="false">IF($K366=1,COUNTIFS($P$5:$P$1517,"&gt;="&amp;P366,$K$5:$K$1517,1)/COUNTIF($P$5:$P$1517,"&gt;="&amp;P366),0)</f>
        <v>0.308270676691729</v>
      </c>
      <c r="Z366" s="8" t="n">
        <f aca="false">(L366-$K366)^2</f>
        <v>0.9362884644</v>
      </c>
      <c r="AA366" s="8" t="n">
        <f aca="false">(M366-$K366)^2</f>
        <v>0.824349595969</v>
      </c>
      <c r="AB366" s="8" t="n">
        <f aca="false">(N366-$K366)^2</f>
        <v>0.694137256201</v>
      </c>
      <c r="AC366" s="8" t="n">
        <f aca="false">(O366-$K366)^2</f>
        <v>0.798908829489</v>
      </c>
      <c r="AD366" s="8" t="n">
        <f aca="false">(P366-$K366)^2</f>
        <v>0.672232730404</v>
      </c>
      <c r="AE366" s="8" t="n">
        <f aca="false">MIN(INT(ROUND(N366*1000000,0)/100000),9)</f>
        <v>1</v>
      </c>
      <c r="AF366" s="8" t="n">
        <f aca="false">MIN(INT(ROUND(P366*1000000,0)/100000),9)</f>
        <v>1</v>
      </c>
    </row>
    <row r="367" customFormat="false" ht="15" hidden="false" customHeight="false" outlineLevel="0" collapsed="false">
      <c r="A367" s="4" t="n">
        <v>363</v>
      </c>
      <c r="B367" s="4" t="n">
        <v>1582</v>
      </c>
      <c r="C367" s="4" t="n">
        <v>0</v>
      </c>
      <c r="D367" s="11" t="n">
        <v>46054</v>
      </c>
      <c r="E367" s="4" t="s">
        <v>204</v>
      </c>
      <c r="F367" s="4" t="s">
        <v>209</v>
      </c>
      <c r="G367" s="4" t="n">
        <v>1</v>
      </c>
      <c r="H367" s="4" t="n">
        <v>14</v>
      </c>
      <c r="I367" s="4" t="n">
        <v>0</v>
      </c>
      <c r="J367" s="4" t="n">
        <v>57</v>
      </c>
      <c r="K367" s="4" t="n">
        <v>0</v>
      </c>
      <c r="L367" s="12" t="n">
        <v>0.966586</v>
      </c>
      <c r="M367" s="12" t="n">
        <v>0.092063</v>
      </c>
      <c r="N367" s="12" t="n">
        <v>0.163197</v>
      </c>
      <c r="O367" s="12" t="n">
        <v>0.106183</v>
      </c>
      <c r="P367" s="12" t="n">
        <v>0.176036</v>
      </c>
      <c r="Q367" s="0" t="str">
        <f aca="false">IF(L367&gt;=Models!$G$5,1+COUNTIF($L$5:$L$1517,"&gt;"&amp;L367)+COUNTIFS($L$5:$L$1517,L367,$B$5:$B$1517,"&lt;"&amp;B367)+COUNTIFS($L$5:$L$1517,L367,$B$5:$B$1517,B367,$C$5:$C$1517,"&lt;"&amp;C367),"")</f>
        <v/>
      </c>
      <c r="R367" s="0" t="str">
        <f aca="false">IF(M367&gt;=Models!$G$6,1+COUNTIF($M$5:$M$1517,"&gt;"&amp;M367)+COUNTIFS($M$5:$M$1517,M367,$B$5:$B$1517,"&lt;"&amp;B367)+COUNTIFS($M$5:$M$1517,M367,$B$5:$B$1517,B367,$C$5:$C$1517,"&lt;"&amp;C367),"")</f>
        <v/>
      </c>
      <c r="S367" s="0" t="str">
        <f aca="false">IF(N367&gt;=Models!$G$7,1+COUNTIF($N$5:$N$1517,"&gt;"&amp;N367)+COUNTIFS($N$5:$N$1517,N367,$B$5:$B$1517,"&lt;"&amp;B367)+COUNTIFS($N$5:$N$1517,N367,$B$5:$B$1517,B367,$C$5:$C$1517,"&lt;"&amp;C367),"")</f>
        <v/>
      </c>
      <c r="T367" s="8" t="n">
        <f aca="false">IF(O367&gt;=Models!$G$8,1+COUNTIF($O$5:$O$1517,"&gt;"&amp;O367)+COUNTIFS($O$5:$O$1517,O367,$B$5:$B$1517,"&lt;"&amp;B367)+COUNTIFS($O$5:$O$1517,O367,$B$5:$B$1517,B367,$C$5:$C$1517,"&lt;"&amp;C367),"")</f>
        <v>1361</v>
      </c>
      <c r="U367" s="8" t="n">
        <f aca="false">IF($K367=1,COUNTIFS($L$5:$L$1517,"&gt;="&amp;L367,$K$5:$K$1517,1)/COUNTIF($L$5:$L$1517,"&gt;="&amp;L367),0)</f>
        <v>0</v>
      </c>
      <c r="V367" s="8" t="n">
        <f aca="false">IF($K367=1,COUNTIFS($M$5:$M$1517,"&gt;="&amp;M367,$K$5:$K$1517,1)/COUNTIF($M$5:$M$1517,"&gt;="&amp;M367),0)</f>
        <v>0</v>
      </c>
      <c r="W367" s="8" t="n">
        <f aca="false">IF($K367=1,COUNTIFS($N$5:$N$1517,"&gt;="&amp;N367,$K$5:$K$1517,1)/COUNTIF($N$5:$N$1517,"&gt;="&amp;N367),0)</f>
        <v>0</v>
      </c>
      <c r="X367" s="8" t="n">
        <f aca="false">IF($K367=1,COUNTIFS($O$5:$O$1517,"&gt;="&amp;O367,$K$5:$K$1517,1)/COUNTIF($O$5:$O$1517,"&gt;="&amp;O367),0)</f>
        <v>0</v>
      </c>
      <c r="Y367" s="8" t="n">
        <f aca="false">IF($K367=1,COUNTIFS($P$5:$P$1517,"&gt;="&amp;P367,$K$5:$K$1517,1)/COUNTIF($P$5:$P$1517,"&gt;="&amp;P367),0)</f>
        <v>0</v>
      </c>
      <c r="Z367" s="8" t="n">
        <f aca="false">(L367-$K367)^2</f>
        <v>0.934288495396</v>
      </c>
      <c r="AA367" s="8" t="n">
        <f aca="false">(M367-$K367)^2</f>
        <v>0.008475595969</v>
      </c>
      <c r="AB367" s="8" t="n">
        <f aca="false">(N367-$K367)^2</f>
        <v>0.026633260809</v>
      </c>
      <c r="AC367" s="8" t="n">
        <f aca="false">(O367-$K367)^2</f>
        <v>0.011274829489</v>
      </c>
      <c r="AD367" s="8" t="n">
        <f aca="false">(P367-$K367)^2</f>
        <v>0.030988673296</v>
      </c>
      <c r="AE367" s="8" t="n">
        <f aca="false">MIN(INT(ROUND(N367*1000000,0)/100000),9)</f>
        <v>1</v>
      </c>
      <c r="AF367" s="8" t="n">
        <f aca="false">MIN(INT(ROUND(P367*1000000,0)/100000),9)</f>
        <v>1</v>
      </c>
    </row>
    <row r="368" customFormat="false" ht="15" hidden="false" customHeight="false" outlineLevel="0" collapsed="false">
      <c r="A368" s="4" t="n">
        <v>364</v>
      </c>
      <c r="B368" s="4" t="n">
        <v>1583</v>
      </c>
      <c r="C368" s="4" t="n">
        <v>0</v>
      </c>
      <c r="D368" s="11" t="n">
        <v>46054</v>
      </c>
      <c r="E368" s="4" t="s">
        <v>202</v>
      </c>
      <c r="F368" s="4" t="s">
        <v>206</v>
      </c>
      <c r="G368" s="4" t="n">
        <v>11</v>
      </c>
      <c r="H368" s="4" t="n">
        <v>0</v>
      </c>
      <c r="I368" s="4" t="n">
        <v>0</v>
      </c>
      <c r="J368" s="4" t="n">
        <v>794</v>
      </c>
      <c r="K368" s="4" t="n">
        <v>0</v>
      </c>
      <c r="L368" s="12" t="n">
        <v>0.016918</v>
      </c>
      <c r="M368" s="12" t="n">
        <v>0.092063</v>
      </c>
      <c r="N368" s="12" t="n">
        <v>0.063443</v>
      </c>
      <c r="O368" s="12" t="n">
        <v>0.106183</v>
      </c>
      <c r="P368" s="12" t="n">
        <v>0.065916</v>
      </c>
      <c r="Q368" s="0" t="str">
        <f aca="false">IF(L368&gt;=Models!$G$5,1+COUNTIF($L$5:$L$1517,"&gt;"&amp;L368)+COUNTIFS($L$5:$L$1517,L368,$B$5:$B$1517,"&lt;"&amp;B368)+COUNTIFS($L$5:$L$1517,L368,$B$5:$B$1517,B368,$C$5:$C$1517,"&lt;"&amp;C368),"")</f>
        <v/>
      </c>
      <c r="R368" s="0" t="str">
        <f aca="false">IF(M368&gt;=Models!$G$6,1+COUNTIF($M$5:$M$1517,"&gt;"&amp;M368)+COUNTIFS($M$5:$M$1517,M368,$B$5:$B$1517,"&lt;"&amp;B368)+COUNTIFS($M$5:$M$1517,M368,$B$5:$B$1517,B368,$C$5:$C$1517,"&lt;"&amp;C368),"")</f>
        <v/>
      </c>
      <c r="S368" s="0" t="str">
        <f aca="false">IF(N368&gt;=Models!$G$7,1+COUNTIF($N$5:$N$1517,"&gt;"&amp;N368)+COUNTIFS($N$5:$N$1517,N368,$B$5:$B$1517,"&lt;"&amp;B368)+COUNTIFS($N$5:$N$1517,N368,$B$5:$B$1517,B368,$C$5:$C$1517,"&lt;"&amp;C368),"")</f>
        <v/>
      </c>
      <c r="T368" s="8" t="n">
        <f aca="false">IF(O368&gt;=Models!$G$8,1+COUNTIF($O$5:$O$1517,"&gt;"&amp;O368)+COUNTIFS($O$5:$O$1517,O368,$B$5:$B$1517,"&lt;"&amp;B368)+COUNTIFS($O$5:$O$1517,O368,$B$5:$B$1517,B368,$C$5:$C$1517,"&lt;"&amp;C368),"")</f>
        <v>1365</v>
      </c>
      <c r="U368" s="8" t="n">
        <f aca="false">IF($K368=1,COUNTIFS($L$5:$L$1517,"&gt;="&amp;L368,$K$5:$K$1517,1)/COUNTIF($L$5:$L$1517,"&gt;="&amp;L368),0)</f>
        <v>0</v>
      </c>
      <c r="V368" s="8" t="n">
        <f aca="false">IF($K368=1,COUNTIFS($M$5:$M$1517,"&gt;="&amp;M368,$K$5:$K$1517,1)/COUNTIF($M$5:$M$1517,"&gt;="&amp;M368),0)</f>
        <v>0</v>
      </c>
      <c r="W368" s="8" t="n">
        <f aca="false">IF($K368=1,COUNTIFS($N$5:$N$1517,"&gt;="&amp;N368,$K$5:$K$1517,1)/COUNTIF($N$5:$N$1517,"&gt;="&amp;N368),0)</f>
        <v>0</v>
      </c>
      <c r="X368" s="8" t="n">
        <f aca="false">IF($K368=1,COUNTIFS($O$5:$O$1517,"&gt;="&amp;O368,$K$5:$K$1517,1)/COUNTIF($O$5:$O$1517,"&gt;="&amp;O368),0)</f>
        <v>0</v>
      </c>
      <c r="Y368" s="8" t="n">
        <f aca="false">IF($K368=1,COUNTIFS($P$5:$P$1517,"&gt;="&amp;P368,$K$5:$K$1517,1)/COUNTIF($P$5:$P$1517,"&gt;="&amp;P368),0)</f>
        <v>0</v>
      </c>
      <c r="Z368" s="8" t="n">
        <f aca="false">(L368-$K368)^2</f>
        <v>0.000286218724</v>
      </c>
      <c r="AA368" s="8" t="n">
        <f aca="false">(M368-$K368)^2</f>
        <v>0.008475595969</v>
      </c>
      <c r="AB368" s="8" t="n">
        <f aca="false">(N368-$K368)^2</f>
        <v>0.004025014249</v>
      </c>
      <c r="AC368" s="8" t="n">
        <f aca="false">(O368-$K368)^2</f>
        <v>0.011274829489</v>
      </c>
      <c r="AD368" s="8" t="n">
        <f aca="false">(P368-$K368)^2</f>
        <v>0.004344919056</v>
      </c>
      <c r="AE368" s="8" t="n">
        <f aca="false">MIN(INT(ROUND(N368*1000000,0)/100000),9)</f>
        <v>0</v>
      </c>
      <c r="AF368" s="8" t="n">
        <f aca="false">MIN(INT(ROUND(P368*1000000,0)/100000),9)</f>
        <v>0</v>
      </c>
    </row>
    <row r="369" customFormat="false" ht="15" hidden="false" customHeight="false" outlineLevel="0" collapsed="false">
      <c r="A369" s="4" t="n">
        <v>365</v>
      </c>
      <c r="B369" s="4" t="n">
        <v>10</v>
      </c>
      <c r="C369" s="4" t="n">
        <v>1</v>
      </c>
      <c r="D369" s="11" t="n">
        <v>46082</v>
      </c>
      <c r="E369" s="4" t="s">
        <v>204</v>
      </c>
      <c r="F369" s="4" t="s">
        <v>208</v>
      </c>
      <c r="G369" s="4" t="n">
        <v>6</v>
      </c>
      <c r="H369" s="4" t="n">
        <v>4</v>
      </c>
      <c r="I369" s="4" t="n">
        <v>0</v>
      </c>
      <c r="J369" s="4" t="n">
        <v>112</v>
      </c>
      <c r="K369" s="4" t="n">
        <v>0</v>
      </c>
      <c r="L369" s="12" t="n">
        <v>0.928107</v>
      </c>
      <c r="M369" s="12" t="n">
        <v>0.092063</v>
      </c>
      <c r="N369" s="12" t="n">
        <v>0.102501</v>
      </c>
      <c r="O369" s="12" t="n">
        <v>0.106183</v>
      </c>
      <c r="P369" s="12" t="n">
        <v>0.108709</v>
      </c>
      <c r="Q369" s="0" t="str">
        <f aca="false">IF(L369&gt;=Models!$G$5,1+COUNTIF($L$5:$L$1517,"&gt;"&amp;L369)+COUNTIFS($L$5:$L$1517,L369,$B$5:$B$1517,"&lt;"&amp;B369)+COUNTIFS($L$5:$L$1517,L369,$B$5:$B$1517,B369,$C$5:$C$1517,"&lt;"&amp;C369),"")</f>
        <v/>
      </c>
      <c r="R369" s="0" t="str">
        <f aca="false">IF(M369&gt;=Models!$G$6,1+COUNTIF($M$5:$M$1517,"&gt;"&amp;M369)+COUNTIFS($M$5:$M$1517,M369,$B$5:$B$1517,"&lt;"&amp;B369)+COUNTIFS($M$5:$M$1517,M369,$B$5:$B$1517,B369,$C$5:$C$1517,"&lt;"&amp;C369),"")</f>
        <v/>
      </c>
      <c r="S369" s="0" t="str">
        <f aca="false">IF(N369&gt;=Models!$G$7,1+COUNTIF($N$5:$N$1517,"&gt;"&amp;N369)+COUNTIFS($N$5:$N$1517,N369,$B$5:$B$1517,"&lt;"&amp;B369)+COUNTIFS($N$5:$N$1517,N369,$B$5:$B$1517,B369,$C$5:$C$1517,"&lt;"&amp;C369),"")</f>
        <v/>
      </c>
      <c r="T369" s="8" t="n">
        <f aca="false">IF(O369&gt;=Models!$G$8,1+COUNTIF($O$5:$O$1517,"&gt;"&amp;O369)+COUNTIFS($O$5:$O$1517,O369,$B$5:$B$1517,"&lt;"&amp;B369)+COUNTIFS($O$5:$O$1517,O369,$B$5:$B$1517,B369,$C$5:$C$1517,"&lt;"&amp;C369),"")</f>
        <v>2</v>
      </c>
      <c r="U369" s="8" t="n">
        <f aca="false">IF($K369=1,COUNTIFS($L$5:$L$1517,"&gt;="&amp;L369,$K$5:$K$1517,1)/COUNTIF($L$5:$L$1517,"&gt;="&amp;L369),0)</f>
        <v>0</v>
      </c>
      <c r="V369" s="8" t="n">
        <f aca="false">IF($K369=1,COUNTIFS($M$5:$M$1517,"&gt;="&amp;M369,$K$5:$K$1517,1)/COUNTIF($M$5:$M$1517,"&gt;="&amp;M369),0)</f>
        <v>0</v>
      </c>
      <c r="W369" s="8" t="n">
        <f aca="false">IF($K369=1,COUNTIFS($N$5:$N$1517,"&gt;="&amp;N369,$K$5:$K$1517,1)/COUNTIF($N$5:$N$1517,"&gt;="&amp;N369),0)</f>
        <v>0</v>
      </c>
      <c r="X369" s="8" t="n">
        <f aca="false">IF($K369=1,COUNTIFS($O$5:$O$1517,"&gt;="&amp;O369,$K$5:$K$1517,1)/COUNTIF($O$5:$O$1517,"&gt;="&amp;O369),0)</f>
        <v>0</v>
      </c>
      <c r="Y369" s="8" t="n">
        <f aca="false">IF($K369=1,COUNTIFS($P$5:$P$1517,"&gt;="&amp;P369,$K$5:$K$1517,1)/COUNTIF($P$5:$P$1517,"&gt;="&amp;P369),0)</f>
        <v>0</v>
      </c>
      <c r="Z369" s="8" t="n">
        <f aca="false">(L369-$K369)^2</f>
        <v>0.861382603449</v>
      </c>
      <c r="AA369" s="8" t="n">
        <f aca="false">(M369-$K369)^2</f>
        <v>0.008475595969</v>
      </c>
      <c r="AB369" s="8" t="n">
        <f aca="false">(N369-$K369)^2</f>
        <v>0.010506455001</v>
      </c>
      <c r="AC369" s="8" t="n">
        <f aca="false">(O369-$K369)^2</f>
        <v>0.011274829489</v>
      </c>
      <c r="AD369" s="8" t="n">
        <f aca="false">(P369-$K369)^2</f>
        <v>0.011817646681</v>
      </c>
      <c r="AE369" s="8" t="n">
        <f aca="false">MIN(INT(ROUND(N369*1000000,0)/100000),9)</f>
        <v>1</v>
      </c>
      <c r="AF369" s="8" t="n">
        <f aca="false">MIN(INT(ROUND(P369*1000000,0)/100000),9)</f>
        <v>1</v>
      </c>
    </row>
    <row r="370" customFormat="false" ht="15" hidden="false" customHeight="false" outlineLevel="0" collapsed="false">
      <c r="A370" s="4" t="n">
        <v>366</v>
      </c>
      <c r="B370" s="4" t="n">
        <v>11</v>
      </c>
      <c r="C370" s="4" t="n">
        <v>1</v>
      </c>
      <c r="D370" s="11" t="n">
        <v>46082</v>
      </c>
      <c r="E370" s="4" t="s">
        <v>204</v>
      </c>
      <c r="F370" s="4" t="s">
        <v>206</v>
      </c>
      <c r="G370" s="4" t="n">
        <v>3</v>
      </c>
      <c r="H370" s="4" t="n">
        <v>1</v>
      </c>
      <c r="I370" s="4" t="n">
        <v>0</v>
      </c>
      <c r="J370" s="4" t="n">
        <v>42</v>
      </c>
      <c r="K370" s="4" t="n">
        <v>0</v>
      </c>
      <c r="L370" s="12" t="n">
        <v>0.44422</v>
      </c>
      <c r="M370" s="12" t="n">
        <v>0.092063</v>
      </c>
      <c r="N370" s="12" t="n">
        <v>0.12783</v>
      </c>
      <c r="O370" s="12" t="n">
        <v>0.106183</v>
      </c>
      <c r="P370" s="12" t="n">
        <v>0.136735</v>
      </c>
      <c r="Q370" s="0" t="str">
        <f aca="false">IF(L370&gt;=Models!$G$5,1+COUNTIF($L$5:$L$1517,"&gt;"&amp;L370)+COUNTIFS($L$5:$L$1517,L370,$B$5:$B$1517,"&lt;"&amp;B370)+COUNTIFS($L$5:$L$1517,L370,$B$5:$B$1517,B370,$C$5:$C$1517,"&lt;"&amp;C370),"")</f>
        <v/>
      </c>
      <c r="R370" s="0" t="str">
        <f aca="false">IF(M370&gt;=Models!$G$6,1+COUNTIF($M$5:$M$1517,"&gt;"&amp;M370)+COUNTIFS($M$5:$M$1517,M370,$B$5:$B$1517,"&lt;"&amp;B370)+COUNTIFS($M$5:$M$1517,M370,$B$5:$B$1517,B370,$C$5:$C$1517,"&lt;"&amp;C370),"")</f>
        <v/>
      </c>
      <c r="S370" s="0" t="str">
        <f aca="false">IF(N370&gt;=Models!$G$7,1+COUNTIF($N$5:$N$1517,"&gt;"&amp;N370)+COUNTIFS($N$5:$N$1517,N370,$B$5:$B$1517,"&lt;"&amp;B370)+COUNTIFS($N$5:$N$1517,N370,$B$5:$B$1517,B370,$C$5:$C$1517,"&lt;"&amp;C370),"")</f>
        <v/>
      </c>
      <c r="T370" s="8" t="n">
        <f aca="false">IF(O370&gt;=Models!$G$8,1+COUNTIF($O$5:$O$1517,"&gt;"&amp;O370)+COUNTIFS($O$5:$O$1517,O370,$B$5:$B$1517,"&lt;"&amp;B370)+COUNTIFS($O$5:$O$1517,O370,$B$5:$B$1517,B370,$C$5:$C$1517,"&lt;"&amp;C370),"")</f>
        <v>6</v>
      </c>
      <c r="U370" s="8" t="n">
        <f aca="false">IF($K370=1,COUNTIFS($L$5:$L$1517,"&gt;="&amp;L370,$K$5:$K$1517,1)/COUNTIF($L$5:$L$1517,"&gt;="&amp;L370),0)</f>
        <v>0</v>
      </c>
      <c r="V370" s="8" t="n">
        <f aca="false">IF($K370=1,COUNTIFS($M$5:$M$1517,"&gt;="&amp;M370,$K$5:$K$1517,1)/COUNTIF($M$5:$M$1517,"&gt;="&amp;M370),0)</f>
        <v>0</v>
      </c>
      <c r="W370" s="8" t="n">
        <f aca="false">IF($K370=1,COUNTIFS($N$5:$N$1517,"&gt;="&amp;N370,$K$5:$K$1517,1)/COUNTIF($N$5:$N$1517,"&gt;="&amp;N370),0)</f>
        <v>0</v>
      </c>
      <c r="X370" s="8" t="n">
        <f aca="false">IF($K370=1,COUNTIFS($O$5:$O$1517,"&gt;="&amp;O370,$K$5:$K$1517,1)/COUNTIF($O$5:$O$1517,"&gt;="&amp;O370),0)</f>
        <v>0</v>
      </c>
      <c r="Y370" s="8" t="n">
        <f aca="false">IF($K370=1,COUNTIFS($P$5:$P$1517,"&gt;="&amp;P370,$K$5:$K$1517,1)/COUNTIF($P$5:$P$1517,"&gt;="&amp;P370),0)</f>
        <v>0</v>
      </c>
      <c r="Z370" s="8" t="n">
        <f aca="false">(L370-$K370)^2</f>
        <v>0.1973314084</v>
      </c>
      <c r="AA370" s="8" t="n">
        <f aca="false">(M370-$K370)^2</f>
        <v>0.008475595969</v>
      </c>
      <c r="AB370" s="8" t="n">
        <f aca="false">(N370-$K370)^2</f>
        <v>0.0163405089</v>
      </c>
      <c r="AC370" s="8" t="n">
        <f aca="false">(O370-$K370)^2</f>
        <v>0.011274829489</v>
      </c>
      <c r="AD370" s="8" t="n">
        <f aca="false">(P370-$K370)^2</f>
        <v>0.018696460225</v>
      </c>
      <c r="AE370" s="8" t="n">
        <f aca="false">MIN(INT(ROUND(N370*1000000,0)/100000),9)</f>
        <v>1</v>
      </c>
      <c r="AF370" s="8" t="n">
        <f aca="false">MIN(INT(ROUND(P370*1000000,0)/100000),9)</f>
        <v>1</v>
      </c>
    </row>
    <row r="371" customFormat="false" ht="15" hidden="false" customHeight="false" outlineLevel="0" collapsed="false">
      <c r="A371" s="4" t="n">
        <v>367</v>
      </c>
      <c r="B371" s="4" t="n">
        <v>20</v>
      </c>
      <c r="C371" s="4" t="n">
        <v>1</v>
      </c>
      <c r="D371" s="11" t="n">
        <v>46082</v>
      </c>
      <c r="E371" s="4" t="s">
        <v>204</v>
      </c>
      <c r="F371" s="4" t="s">
        <v>210</v>
      </c>
      <c r="G371" s="4" t="n">
        <v>3</v>
      </c>
      <c r="H371" s="4" t="n">
        <v>12</v>
      </c>
      <c r="I371" s="4" t="n">
        <v>0</v>
      </c>
      <c r="J371" s="4" t="n">
        <v>105</v>
      </c>
      <c r="K371" s="4" t="n">
        <v>0</v>
      </c>
      <c r="L371" s="12" t="n">
        <v>0.516575</v>
      </c>
      <c r="M371" s="12" t="n">
        <v>0.092063</v>
      </c>
      <c r="N371" s="12" t="n">
        <v>0.137787</v>
      </c>
      <c r="O371" s="12" t="n">
        <v>0.106183</v>
      </c>
      <c r="P371" s="12" t="n">
        <v>0.147786</v>
      </c>
      <c r="Q371" s="0" t="str">
        <f aca="false">IF(L371&gt;=Models!$G$5,1+COUNTIF($L$5:$L$1517,"&gt;"&amp;L371)+COUNTIFS($L$5:$L$1517,L371,$B$5:$B$1517,"&lt;"&amp;B371)+COUNTIFS($L$5:$L$1517,L371,$B$5:$B$1517,B371,$C$5:$C$1517,"&lt;"&amp;C371),"")</f>
        <v/>
      </c>
      <c r="R371" s="0" t="str">
        <f aca="false">IF(M371&gt;=Models!$G$6,1+COUNTIF($M$5:$M$1517,"&gt;"&amp;M371)+COUNTIFS($M$5:$M$1517,M371,$B$5:$B$1517,"&lt;"&amp;B371)+COUNTIFS($M$5:$M$1517,M371,$B$5:$B$1517,B371,$C$5:$C$1517,"&lt;"&amp;C371),"")</f>
        <v/>
      </c>
      <c r="S371" s="0" t="str">
        <f aca="false">IF(N371&gt;=Models!$G$7,1+COUNTIF($N$5:$N$1517,"&gt;"&amp;N371)+COUNTIFS($N$5:$N$1517,N371,$B$5:$B$1517,"&lt;"&amp;B371)+COUNTIFS($N$5:$N$1517,N371,$B$5:$B$1517,B371,$C$5:$C$1517,"&lt;"&amp;C371),"")</f>
        <v/>
      </c>
      <c r="T371" s="8" t="n">
        <f aca="false">IF(O371&gt;=Models!$G$8,1+COUNTIF($O$5:$O$1517,"&gt;"&amp;O371)+COUNTIFS($O$5:$O$1517,O371,$B$5:$B$1517,"&lt;"&amp;B371)+COUNTIFS($O$5:$O$1517,O371,$B$5:$B$1517,B371,$C$5:$C$1517,"&lt;"&amp;C371),"")</f>
        <v>10</v>
      </c>
      <c r="U371" s="8" t="n">
        <f aca="false">IF($K371=1,COUNTIFS($L$5:$L$1517,"&gt;="&amp;L371,$K$5:$K$1517,1)/COUNTIF($L$5:$L$1517,"&gt;="&amp;L371),0)</f>
        <v>0</v>
      </c>
      <c r="V371" s="8" t="n">
        <f aca="false">IF($K371=1,COUNTIFS($M$5:$M$1517,"&gt;="&amp;M371,$K$5:$K$1517,1)/COUNTIF($M$5:$M$1517,"&gt;="&amp;M371),0)</f>
        <v>0</v>
      </c>
      <c r="W371" s="8" t="n">
        <f aca="false">IF($K371=1,COUNTIFS($N$5:$N$1517,"&gt;="&amp;N371,$K$5:$K$1517,1)/COUNTIF($N$5:$N$1517,"&gt;="&amp;N371),0)</f>
        <v>0</v>
      </c>
      <c r="X371" s="8" t="n">
        <f aca="false">IF($K371=1,COUNTIFS($O$5:$O$1517,"&gt;="&amp;O371,$K$5:$K$1517,1)/COUNTIF($O$5:$O$1517,"&gt;="&amp;O371),0)</f>
        <v>0</v>
      </c>
      <c r="Y371" s="8" t="n">
        <f aca="false">IF($K371=1,COUNTIFS($P$5:$P$1517,"&gt;="&amp;P371,$K$5:$K$1517,1)/COUNTIF($P$5:$P$1517,"&gt;="&amp;P371),0)</f>
        <v>0</v>
      </c>
      <c r="Z371" s="8" t="n">
        <f aca="false">(L371-$K371)^2</f>
        <v>0.266849730625</v>
      </c>
      <c r="AA371" s="8" t="n">
        <f aca="false">(M371-$K371)^2</f>
        <v>0.008475595969</v>
      </c>
      <c r="AB371" s="8" t="n">
        <f aca="false">(N371-$K371)^2</f>
        <v>0.018985257369</v>
      </c>
      <c r="AC371" s="8" t="n">
        <f aca="false">(O371-$K371)^2</f>
        <v>0.011274829489</v>
      </c>
      <c r="AD371" s="8" t="n">
        <f aca="false">(P371-$K371)^2</f>
        <v>0.021840701796</v>
      </c>
      <c r="AE371" s="8" t="n">
        <f aca="false">MIN(INT(ROUND(N371*1000000,0)/100000),9)</f>
        <v>1</v>
      </c>
      <c r="AF371" s="8" t="n">
        <f aca="false">MIN(INT(ROUND(P371*1000000,0)/100000),9)</f>
        <v>1</v>
      </c>
    </row>
    <row r="372" customFormat="false" ht="15" hidden="false" customHeight="false" outlineLevel="0" collapsed="false">
      <c r="A372" s="4" t="n">
        <v>368</v>
      </c>
      <c r="B372" s="4" t="n">
        <v>26</v>
      </c>
      <c r="C372" s="4" t="n">
        <v>1</v>
      </c>
      <c r="D372" s="11" t="n">
        <v>46082</v>
      </c>
      <c r="E372" s="4" t="s">
        <v>204</v>
      </c>
      <c r="F372" s="4" t="s">
        <v>206</v>
      </c>
      <c r="G372" s="4" t="n">
        <v>4</v>
      </c>
      <c r="H372" s="4" t="n">
        <v>3</v>
      </c>
      <c r="I372" s="4" t="n">
        <v>0</v>
      </c>
      <c r="J372" s="4" t="n">
        <v>73.5</v>
      </c>
      <c r="K372" s="4" t="n">
        <v>0</v>
      </c>
      <c r="L372" s="12" t="n">
        <v>0.895277</v>
      </c>
      <c r="M372" s="12" t="n">
        <v>0.092063</v>
      </c>
      <c r="N372" s="12" t="n">
        <v>0.119654</v>
      </c>
      <c r="O372" s="12" t="n">
        <v>0.106183</v>
      </c>
      <c r="P372" s="12" t="n">
        <v>0.127673</v>
      </c>
      <c r="Q372" s="0" t="str">
        <f aca="false">IF(L372&gt;=Models!$G$5,1+COUNTIF($L$5:$L$1517,"&gt;"&amp;L372)+COUNTIFS($L$5:$L$1517,L372,$B$5:$B$1517,"&lt;"&amp;B372)+COUNTIFS($L$5:$L$1517,L372,$B$5:$B$1517,B372,$C$5:$C$1517,"&lt;"&amp;C372),"")</f>
        <v/>
      </c>
      <c r="R372" s="0" t="str">
        <f aca="false">IF(M372&gt;=Models!$G$6,1+COUNTIF($M$5:$M$1517,"&gt;"&amp;M372)+COUNTIFS($M$5:$M$1517,M372,$B$5:$B$1517,"&lt;"&amp;B372)+COUNTIFS($M$5:$M$1517,M372,$B$5:$B$1517,B372,$C$5:$C$1517,"&lt;"&amp;C372),"")</f>
        <v/>
      </c>
      <c r="S372" s="0" t="str">
        <f aca="false">IF(N372&gt;=Models!$G$7,1+COUNTIF($N$5:$N$1517,"&gt;"&amp;N372)+COUNTIFS($N$5:$N$1517,N372,$B$5:$B$1517,"&lt;"&amp;B372)+COUNTIFS($N$5:$N$1517,N372,$B$5:$B$1517,B372,$C$5:$C$1517,"&lt;"&amp;C372),"")</f>
        <v/>
      </c>
      <c r="T372" s="8" t="n">
        <f aca="false">IF(O372&gt;=Models!$G$8,1+COUNTIF($O$5:$O$1517,"&gt;"&amp;O372)+COUNTIFS($O$5:$O$1517,O372,$B$5:$B$1517,"&lt;"&amp;B372)+COUNTIFS($O$5:$O$1517,O372,$B$5:$B$1517,B372,$C$5:$C$1517,"&lt;"&amp;C372),"")</f>
        <v>14</v>
      </c>
      <c r="U372" s="8" t="n">
        <f aca="false">IF($K372=1,COUNTIFS($L$5:$L$1517,"&gt;="&amp;L372,$K$5:$K$1517,1)/COUNTIF($L$5:$L$1517,"&gt;="&amp;L372),0)</f>
        <v>0</v>
      </c>
      <c r="V372" s="8" t="n">
        <f aca="false">IF($K372=1,COUNTIFS($M$5:$M$1517,"&gt;="&amp;M372,$K$5:$K$1517,1)/COUNTIF($M$5:$M$1517,"&gt;="&amp;M372),0)</f>
        <v>0</v>
      </c>
      <c r="W372" s="8" t="n">
        <f aca="false">IF($K372=1,COUNTIFS($N$5:$N$1517,"&gt;="&amp;N372,$K$5:$K$1517,1)/COUNTIF($N$5:$N$1517,"&gt;="&amp;N372),0)</f>
        <v>0</v>
      </c>
      <c r="X372" s="8" t="n">
        <f aca="false">IF($K372=1,COUNTIFS($O$5:$O$1517,"&gt;="&amp;O372,$K$5:$K$1517,1)/COUNTIF($O$5:$O$1517,"&gt;="&amp;O372),0)</f>
        <v>0</v>
      </c>
      <c r="Y372" s="8" t="n">
        <f aca="false">IF($K372=1,COUNTIFS($P$5:$P$1517,"&gt;="&amp;P372,$K$5:$K$1517,1)/COUNTIF($P$5:$P$1517,"&gt;="&amp;P372),0)</f>
        <v>0</v>
      </c>
      <c r="Z372" s="8" t="n">
        <f aca="false">(L372-$K372)^2</f>
        <v>0.801520906729</v>
      </c>
      <c r="AA372" s="8" t="n">
        <f aca="false">(M372-$K372)^2</f>
        <v>0.008475595969</v>
      </c>
      <c r="AB372" s="8" t="n">
        <f aca="false">(N372-$K372)^2</f>
        <v>0.014317079716</v>
      </c>
      <c r="AC372" s="8" t="n">
        <f aca="false">(O372-$K372)^2</f>
        <v>0.011274829489</v>
      </c>
      <c r="AD372" s="8" t="n">
        <f aca="false">(P372-$K372)^2</f>
        <v>0.016300394929</v>
      </c>
      <c r="AE372" s="8" t="n">
        <f aca="false">MIN(INT(ROUND(N372*1000000,0)/100000),9)</f>
        <v>1</v>
      </c>
      <c r="AF372" s="8" t="n">
        <f aca="false">MIN(INT(ROUND(P372*1000000,0)/100000),9)</f>
        <v>1</v>
      </c>
    </row>
    <row r="373" customFormat="false" ht="15" hidden="false" customHeight="false" outlineLevel="0" collapsed="false">
      <c r="A373" s="4" t="n">
        <v>369</v>
      </c>
      <c r="B373" s="4" t="n">
        <v>30</v>
      </c>
      <c r="C373" s="4" t="n">
        <v>1</v>
      </c>
      <c r="D373" s="11" t="n">
        <v>46082</v>
      </c>
      <c r="E373" s="4" t="s">
        <v>203</v>
      </c>
      <c r="F373" s="4" t="s">
        <v>209</v>
      </c>
      <c r="G373" s="4" t="n">
        <v>7</v>
      </c>
      <c r="H373" s="4" t="n">
        <v>1</v>
      </c>
      <c r="I373" s="4" t="n">
        <v>0</v>
      </c>
      <c r="J373" s="4" t="n">
        <v>1438.2</v>
      </c>
      <c r="K373" s="4" t="n">
        <v>0</v>
      </c>
      <c r="L373" s="12" t="n">
        <v>0.005445</v>
      </c>
      <c r="M373" s="12" t="n">
        <v>0.092063</v>
      </c>
      <c r="N373" s="12" t="n">
        <v>0.086169</v>
      </c>
      <c r="O373" s="12" t="n">
        <v>0.106183</v>
      </c>
      <c r="P373" s="12" t="n">
        <v>0.090734</v>
      </c>
      <c r="Q373" s="0" t="str">
        <f aca="false">IF(L373&gt;=Models!$G$5,1+COUNTIF($L$5:$L$1517,"&gt;"&amp;L373)+COUNTIFS($L$5:$L$1517,L373,$B$5:$B$1517,"&lt;"&amp;B373)+COUNTIFS($L$5:$L$1517,L373,$B$5:$B$1517,B373,$C$5:$C$1517,"&lt;"&amp;C373),"")</f>
        <v/>
      </c>
      <c r="R373" s="0" t="str">
        <f aca="false">IF(M373&gt;=Models!$G$6,1+COUNTIF($M$5:$M$1517,"&gt;"&amp;M373)+COUNTIFS($M$5:$M$1517,M373,$B$5:$B$1517,"&lt;"&amp;B373)+COUNTIFS($M$5:$M$1517,M373,$B$5:$B$1517,B373,$C$5:$C$1517,"&lt;"&amp;C373),"")</f>
        <v/>
      </c>
      <c r="S373" s="0" t="str">
        <f aca="false">IF(N373&gt;=Models!$G$7,1+COUNTIF($N$5:$N$1517,"&gt;"&amp;N373)+COUNTIFS($N$5:$N$1517,N373,$B$5:$B$1517,"&lt;"&amp;B373)+COUNTIFS($N$5:$N$1517,N373,$B$5:$B$1517,B373,$C$5:$C$1517,"&lt;"&amp;C373),"")</f>
        <v/>
      </c>
      <c r="T373" s="8" t="n">
        <f aca="false">IF(O373&gt;=Models!$G$8,1+COUNTIF($O$5:$O$1517,"&gt;"&amp;O373)+COUNTIFS($O$5:$O$1517,O373,$B$5:$B$1517,"&lt;"&amp;B373)+COUNTIFS($O$5:$O$1517,O373,$B$5:$B$1517,B373,$C$5:$C$1517,"&lt;"&amp;C373),"")</f>
        <v>18</v>
      </c>
      <c r="U373" s="8" t="n">
        <f aca="false">IF($K373=1,COUNTIFS($L$5:$L$1517,"&gt;="&amp;L373,$K$5:$K$1517,1)/COUNTIF($L$5:$L$1517,"&gt;="&amp;L373),0)</f>
        <v>0</v>
      </c>
      <c r="V373" s="8" t="n">
        <f aca="false">IF($K373=1,COUNTIFS($M$5:$M$1517,"&gt;="&amp;M373,$K$5:$K$1517,1)/COUNTIF($M$5:$M$1517,"&gt;="&amp;M373),0)</f>
        <v>0</v>
      </c>
      <c r="W373" s="8" t="n">
        <f aca="false">IF($K373=1,COUNTIFS($N$5:$N$1517,"&gt;="&amp;N373,$K$5:$K$1517,1)/COUNTIF($N$5:$N$1517,"&gt;="&amp;N373),0)</f>
        <v>0</v>
      </c>
      <c r="X373" s="8" t="n">
        <f aca="false">IF($K373=1,COUNTIFS($O$5:$O$1517,"&gt;="&amp;O373,$K$5:$K$1517,1)/COUNTIF($O$5:$O$1517,"&gt;="&amp;O373),0)</f>
        <v>0</v>
      </c>
      <c r="Y373" s="8" t="n">
        <f aca="false">IF($K373=1,COUNTIFS($P$5:$P$1517,"&gt;="&amp;P373,$K$5:$K$1517,1)/COUNTIF($P$5:$P$1517,"&gt;="&amp;P373),0)</f>
        <v>0</v>
      </c>
      <c r="Z373" s="8" t="n">
        <f aca="false">(L373-$K373)^2</f>
        <v>2.9648025E-005</v>
      </c>
      <c r="AA373" s="8" t="n">
        <f aca="false">(M373-$K373)^2</f>
        <v>0.008475595969</v>
      </c>
      <c r="AB373" s="8" t="n">
        <f aca="false">(N373-$K373)^2</f>
        <v>0.007425096561</v>
      </c>
      <c r="AC373" s="8" t="n">
        <f aca="false">(O373-$K373)^2</f>
        <v>0.011274829489</v>
      </c>
      <c r="AD373" s="8" t="n">
        <f aca="false">(P373-$K373)^2</f>
        <v>0.008232658756</v>
      </c>
      <c r="AE373" s="8" t="n">
        <f aca="false">MIN(INT(ROUND(N373*1000000,0)/100000),9)</f>
        <v>0</v>
      </c>
      <c r="AF373" s="8" t="n">
        <f aca="false">MIN(INT(ROUND(P373*1000000,0)/100000),9)</f>
        <v>0</v>
      </c>
    </row>
    <row r="374" customFormat="false" ht="15" hidden="false" customHeight="false" outlineLevel="0" collapsed="false">
      <c r="A374" s="4" t="n">
        <v>370</v>
      </c>
      <c r="B374" s="4" t="n">
        <v>31</v>
      </c>
      <c r="C374" s="4" t="n">
        <v>1</v>
      </c>
      <c r="D374" s="11" t="n">
        <v>46082</v>
      </c>
      <c r="E374" s="4" t="s">
        <v>202</v>
      </c>
      <c r="F374" s="4" t="s">
        <v>206</v>
      </c>
      <c r="G374" s="4" t="n">
        <v>13</v>
      </c>
      <c r="H374" s="4" t="n">
        <v>4</v>
      </c>
      <c r="I374" s="4" t="n">
        <v>0</v>
      </c>
      <c r="J374" s="4" t="n">
        <v>730.8</v>
      </c>
      <c r="K374" s="4" t="n">
        <v>0</v>
      </c>
      <c r="L374" s="12" t="n">
        <v>0.42449</v>
      </c>
      <c r="M374" s="12" t="n">
        <v>0.092063</v>
      </c>
      <c r="N374" s="12" t="n">
        <v>0.055429</v>
      </c>
      <c r="O374" s="12" t="n">
        <v>0.106183</v>
      </c>
      <c r="P374" s="12" t="n">
        <v>0.05724</v>
      </c>
      <c r="Q374" s="0" t="str">
        <f aca="false">IF(L374&gt;=Models!$G$5,1+COUNTIF($L$5:$L$1517,"&gt;"&amp;L374)+COUNTIFS($L$5:$L$1517,L374,$B$5:$B$1517,"&lt;"&amp;B374)+COUNTIFS($L$5:$L$1517,L374,$B$5:$B$1517,B374,$C$5:$C$1517,"&lt;"&amp;C374),"")</f>
        <v/>
      </c>
      <c r="R374" s="0" t="str">
        <f aca="false">IF(M374&gt;=Models!$G$6,1+COUNTIF($M$5:$M$1517,"&gt;"&amp;M374)+COUNTIFS($M$5:$M$1517,M374,$B$5:$B$1517,"&lt;"&amp;B374)+COUNTIFS($M$5:$M$1517,M374,$B$5:$B$1517,B374,$C$5:$C$1517,"&lt;"&amp;C374),"")</f>
        <v/>
      </c>
      <c r="S374" s="0" t="str">
        <f aca="false">IF(N374&gt;=Models!$G$7,1+COUNTIF($N$5:$N$1517,"&gt;"&amp;N374)+COUNTIFS($N$5:$N$1517,N374,$B$5:$B$1517,"&lt;"&amp;B374)+COUNTIFS($N$5:$N$1517,N374,$B$5:$B$1517,B374,$C$5:$C$1517,"&lt;"&amp;C374),"")</f>
        <v/>
      </c>
      <c r="T374" s="8" t="n">
        <f aca="false">IF(O374&gt;=Models!$G$8,1+COUNTIF($O$5:$O$1517,"&gt;"&amp;O374)+COUNTIFS($O$5:$O$1517,O374,$B$5:$B$1517,"&lt;"&amp;B374)+COUNTIFS($O$5:$O$1517,O374,$B$5:$B$1517,B374,$C$5:$C$1517,"&lt;"&amp;C374),"")</f>
        <v>22</v>
      </c>
      <c r="U374" s="8" t="n">
        <f aca="false">IF($K374=1,COUNTIFS($L$5:$L$1517,"&gt;="&amp;L374,$K$5:$K$1517,1)/COUNTIF($L$5:$L$1517,"&gt;="&amp;L374),0)</f>
        <v>0</v>
      </c>
      <c r="V374" s="8" t="n">
        <f aca="false">IF($K374=1,COUNTIFS($M$5:$M$1517,"&gt;="&amp;M374,$K$5:$K$1517,1)/COUNTIF($M$5:$M$1517,"&gt;="&amp;M374),0)</f>
        <v>0</v>
      </c>
      <c r="W374" s="8" t="n">
        <f aca="false">IF($K374=1,COUNTIFS($N$5:$N$1517,"&gt;="&amp;N374,$K$5:$K$1517,1)/COUNTIF($N$5:$N$1517,"&gt;="&amp;N374),0)</f>
        <v>0</v>
      </c>
      <c r="X374" s="8" t="n">
        <f aca="false">IF($K374=1,COUNTIFS($O$5:$O$1517,"&gt;="&amp;O374,$K$5:$K$1517,1)/COUNTIF($O$5:$O$1517,"&gt;="&amp;O374),0)</f>
        <v>0</v>
      </c>
      <c r="Y374" s="8" t="n">
        <f aca="false">IF($K374=1,COUNTIFS($P$5:$P$1517,"&gt;="&amp;P374,$K$5:$K$1517,1)/COUNTIF($P$5:$P$1517,"&gt;="&amp;P374),0)</f>
        <v>0</v>
      </c>
      <c r="Z374" s="8" t="n">
        <f aca="false">(L374-$K374)^2</f>
        <v>0.1801917601</v>
      </c>
      <c r="AA374" s="8" t="n">
        <f aca="false">(M374-$K374)^2</f>
        <v>0.008475595969</v>
      </c>
      <c r="AB374" s="8" t="n">
        <f aca="false">(N374-$K374)^2</f>
        <v>0.003072374041</v>
      </c>
      <c r="AC374" s="8" t="n">
        <f aca="false">(O374-$K374)^2</f>
        <v>0.011274829489</v>
      </c>
      <c r="AD374" s="8" t="n">
        <f aca="false">(P374-$K374)^2</f>
        <v>0.0032764176</v>
      </c>
      <c r="AE374" s="8" t="n">
        <f aca="false">MIN(INT(ROUND(N374*1000000,0)/100000),9)</f>
        <v>0</v>
      </c>
      <c r="AF374" s="8" t="n">
        <f aca="false">MIN(INT(ROUND(P374*1000000,0)/100000),9)</f>
        <v>0</v>
      </c>
    </row>
    <row r="375" customFormat="false" ht="15" hidden="false" customHeight="false" outlineLevel="0" collapsed="false">
      <c r="A375" s="4" t="n">
        <v>371</v>
      </c>
      <c r="B375" s="4" t="n">
        <v>33</v>
      </c>
      <c r="C375" s="4" t="n">
        <v>1</v>
      </c>
      <c r="D375" s="11" t="n">
        <v>46082</v>
      </c>
      <c r="E375" s="4" t="s">
        <v>202</v>
      </c>
      <c r="F375" s="4" t="s">
        <v>208</v>
      </c>
      <c r="G375" s="4" t="n">
        <v>20</v>
      </c>
      <c r="H375" s="4" t="n">
        <v>0</v>
      </c>
      <c r="I375" s="4" t="n">
        <v>0</v>
      </c>
      <c r="J375" s="4" t="n">
        <v>1023</v>
      </c>
      <c r="K375" s="4" t="n">
        <v>0</v>
      </c>
      <c r="L375" s="12" t="n">
        <v>0.587587</v>
      </c>
      <c r="M375" s="12" t="n">
        <v>0.092063</v>
      </c>
      <c r="N375" s="12" t="n">
        <v>0.02888</v>
      </c>
      <c r="O375" s="12" t="n">
        <v>0.106183</v>
      </c>
      <c r="P375" s="12" t="n">
        <v>0.028928</v>
      </c>
      <c r="Q375" s="0" t="str">
        <f aca="false">IF(L375&gt;=Models!$G$5,1+COUNTIF($L$5:$L$1517,"&gt;"&amp;L375)+COUNTIFS($L$5:$L$1517,L375,$B$5:$B$1517,"&lt;"&amp;B375)+COUNTIFS($L$5:$L$1517,L375,$B$5:$B$1517,B375,$C$5:$C$1517,"&lt;"&amp;C375),"")</f>
        <v/>
      </c>
      <c r="R375" s="0" t="str">
        <f aca="false">IF(M375&gt;=Models!$G$6,1+COUNTIF($M$5:$M$1517,"&gt;"&amp;M375)+COUNTIFS($M$5:$M$1517,M375,$B$5:$B$1517,"&lt;"&amp;B375)+COUNTIFS($M$5:$M$1517,M375,$B$5:$B$1517,B375,$C$5:$C$1517,"&lt;"&amp;C375),"")</f>
        <v/>
      </c>
      <c r="S375" s="0" t="str">
        <f aca="false">IF(N375&gt;=Models!$G$7,1+COUNTIF($N$5:$N$1517,"&gt;"&amp;N375)+COUNTIFS($N$5:$N$1517,N375,$B$5:$B$1517,"&lt;"&amp;B375)+COUNTIFS($N$5:$N$1517,N375,$B$5:$B$1517,B375,$C$5:$C$1517,"&lt;"&amp;C375),"")</f>
        <v/>
      </c>
      <c r="T375" s="8" t="n">
        <f aca="false">IF(O375&gt;=Models!$G$8,1+COUNTIF($O$5:$O$1517,"&gt;"&amp;O375)+COUNTIFS($O$5:$O$1517,O375,$B$5:$B$1517,"&lt;"&amp;B375)+COUNTIFS($O$5:$O$1517,O375,$B$5:$B$1517,B375,$C$5:$C$1517,"&lt;"&amp;C375),"")</f>
        <v>26</v>
      </c>
      <c r="U375" s="8" t="n">
        <f aca="false">IF($K375=1,COUNTIFS($L$5:$L$1517,"&gt;="&amp;L375,$K$5:$K$1517,1)/COUNTIF($L$5:$L$1517,"&gt;="&amp;L375),0)</f>
        <v>0</v>
      </c>
      <c r="V375" s="8" t="n">
        <f aca="false">IF($K375=1,COUNTIFS($M$5:$M$1517,"&gt;="&amp;M375,$K$5:$K$1517,1)/COUNTIF($M$5:$M$1517,"&gt;="&amp;M375),0)</f>
        <v>0</v>
      </c>
      <c r="W375" s="8" t="n">
        <f aca="false">IF($K375=1,COUNTIFS($N$5:$N$1517,"&gt;="&amp;N375,$K$5:$K$1517,1)/COUNTIF($N$5:$N$1517,"&gt;="&amp;N375),0)</f>
        <v>0</v>
      </c>
      <c r="X375" s="8" t="n">
        <f aca="false">IF($K375=1,COUNTIFS($O$5:$O$1517,"&gt;="&amp;O375,$K$5:$K$1517,1)/COUNTIF($O$5:$O$1517,"&gt;="&amp;O375),0)</f>
        <v>0</v>
      </c>
      <c r="Y375" s="8" t="n">
        <f aca="false">IF($K375=1,COUNTIFS($P$5:$P$1517,"&gt;="&amp;P375,$K$5:$K$1517,1)/COUNTIF($P$5:$P$1517,"&gt;="&amp;P375),0)</f>
        <v>0</v>
      </c>
      <c r="Z375" s="8" t="n">
        <f aca="false">(L375-$K375)^2</f>
        <v>0.345258482569</v>
      </c>
      <c r="AA375" s="8" t="n">
        <f aca="false">(M375-$K375)^2</f>
        <v>0.008475595969</v>
      </c>
      <c r="AB375" s="8" t="n">
        <f aca="false">(N375-$K375)^2</f>
        <v>0.0008340544</v>
      </c>
      <c r="AC375" s="8" t="n">
        <f aca="false">(O375-$K375)^2</f>
        <v>0.011274829489</v>
      </c>
      <c r="AD375" s="8" t="n">
        <f aca="false">(P375-$K375)^2</f>
        <v>0.000836829184</v>
      </c>
      <c r="AE375" s="8" t="n">
        <f aca="false">MIN(INT(ROUND(N375*1000000,0)/100000),9)</f>
        <v>0</v>
      </c>
      <c r="AF375" s="8" t="n">
        <f aca="false">MIN(INT(ROUND(P375*1000000,0)/100000),9)</f>
        <v>0</v>
      </c>
    </row>
    <row r="376" customFormat="false" ht="15" hidden="false" customHeight="false" outlineLevel="0" collapsed="false">
      <c r="A376" s="4" t="n">
        <v>372</v>
      </c>
      <c r="B376" s="4" t="n">
        <v>37</v>
      </c>
      <c r="C376" s="4" t="n">
        <v>1</v>
      </c>
      <c r="D376" s="11" t="n">
        <v>46082</v>
      </c>
      <c r="E376" s="4" t="s">
        <v>202</v>
      </c>
      <c r="F376" s="4" t="s">
        <v>209</v>
      </c>
      <c r="G376" s="4" t="n">
        <v>5</v>
      </c>
      <c r="H376" s="4" t="n">
        <v>4</v>
      </c>
      <c r="I376" s="4" t="n">
        <v>0</v>
      </c>
      <c r="J376" s="4" t="n">
        <v>2723.4</v>
      </c>
      <c r="K376" s="4" t="n">
        <v>0</v>
      </c>
      <c r="L376" s="12" t="n">
        <v>0.12642</v>
      </c>
      <c r="M376" s="12" t="n">
        <v>0.092063</v>
      </c>
      <c r="N376" s="12" t="n">
        <v>0.096967</v>
      </c>
      <c r="O376" s="12" t="n">
        <v>0.106183</v>
      </c>
      <c r="P376" s="12" t="n">
        <v>0.102608</v>
      </c>
      <c r="Q376" s="0" t="str">
        <f aca="false">IF(L376&gt;=Models!$G$5,1+COUNTIF($L$5:$L$1517,"&gt;"&amp;L376)+COUNTIFS($L$5:$L$1517,L376,$B$5:$B$1517,"&lt;"&amp;B376)+COUNTIFS($L$5:$L$1517,L376,$B$5:$B$1517,B376,$C$5:$C$1517,"&lt;"&amp;C376),"")</f>
        <v/>
      </c>
      <c r="R376" s="0" t="str">
        <f aca="false">IF(M376&gt;=Models!$G$6,1+COUNTIF($M$5:$M$1517,"&gt;"&amp;M376)+COUNTIFS($M$5:$M$1517,M376,$B$5:$B$1517,"&lt;"&amp;B376)+COUNTIFS($M$5:$M$1517,M376,$B$5:$B$1517,B376,$C$5:$C$1517,"&lt;"&amp;C376),"")</f>
        <v/>
      </c>
      <c r="S376" s="0" t="str">
        <f aca="false">IF(N376&gt;=Models!$G$7,1+COUNTIF($N$5:$N$1517,"&gt;"&amp;N376)+COUNTIFS($N$5:$N$1517,N376,$B$5:$B$1517,"&lt;"&amp;B376)+COUNTIFS($N$5:$N$1517,N376,$B$5:$B$1517,B376,$C$5:$C$1517,"&lt;"&amp;C376),"")</f>
        <v/>
      </c>
      <c r="T376" s="8" t="n">
        <f aca="false">IF(O376&gt;=Models!$G$8,1+COUNTIF($O$5:$O$1517,"&gt;"&amp;O376)+COUNTIFS($O$5:$O$1517,O376,$B$5:$B$1517,"&lt;"&amp;B376)+COUNTIFS($O$5:$O$1517,O376,$B$5:$B$1517,B376,$C$5:$C$1517,"&lt;"&amp;C376),"")</f>
        <v>30</v>
      </c>
      <c r="U376" s="8" t="n">
        <f aca="false">IF($K376=1,COUNTIFS($L$5:$L$1517,"&gt;="&amp;L376,$K$5:$K$1517,1)/COUNTIF($L$5:$L$1517,"&gt;="&amp;L376),0)</f>
        <v>0</v>
      </c>
      <c r="V376" s="8" t="n">
        <f aca="false">IF($K376=1,COUNTIFS($M$5:$M$1517,"&gt;="&amp;M376,$K$5:$K$1517,1)/COUNTIF($M$5:$M$1517,"&gt;="&amp;M376),0)</f>
        <v>0</v>
      </c>
      <c r="W376" s="8" t="n">
        <f aca="false">IF($K376=1,COUNTIFS($N$5:$N$1517,"&gt;="&amp;N376,$K$5:$K$1517,1)/COUNTIF($N$5:$N$1517,"&gt;="&amp;N376),0)</f>
        <v>0</v>
      </c>
      <c r="X376" s="8" t="n">
        <f aca="false">IF($K376=1,COUNTIFS($O$5:$O$1517,"&gt;="&amp;O376,$K$5:$K$1517,1)/COUNTIF($O$5:$O$1517,"&gt;="&amp;O376),0)</f>
        <v>0</v>
      </c>
      <c r="Y376" s="8" t="n">
        <f aca="false">IF($K376=1,COUNTIFS($P$5:$P$1517,"&gt;="&amp;P376,$K$5:$K$1517,1)/COUNTIF($P$5:$P$1517,"&gt;="&amp;P376),0)</f>
        <v>0</v>
      </c>
      <c r="Z376" s="8" t="n">
        <f aca="false">(L376-$K376)^2</f>
        <v>0.0159820164</v>
      </c>
      <c r="AA376" s="8" t="n">
        <f aca="false">(M376-$K376)^2</f>
        <v>0.008475595969</v>
      </c>
      <c r="AB376" s="8" t="n">
        <f aca="false">(N376-$K376)^2</f>
        <v>0.009402599089</v>
      </c>
      <c r="AC376" s="8" t="n">
        <f aca="false">(O376-$K376)^2</f>
        <v>0.011274829489</v>
      </c>
      <c r="AD376" s="8" t="n">
        <f aca="false">(P376-$K376)^2</f>
        <v>0.010528401664</v>
      </c>
      <c r="AE376" s="8" t="n">
        <f aca="false">MIN(INT(ROUND(N376*1000000,0)/100000),9)</f>
        <v>0</v>
      </c>
      <c r="AF376" s="8" t="n">
        <f aca="false">MIN(INT(ROUND(P376*1000000,0)/100000),9)</f>
        <v>1</v>
      </c>
    </row>
    <row r="377" customFormat="false" ht="15" hidden="false" customHeight="false" outlineLevel="0" collapsed="false">
      <c r="A377" s="4" t="n">
        <v>373</v>
      </c>
      <c r="B377" s="4" t="n">
        <v>44</v>
      </c>
      <c r="C377" s="4" t="n">
        <v>1</v>
      </c>
      <c r="D377" s="11" t="n">
        <v>46082</v>
      </c>
      <c r="E377" s="4" t="s">
        <v>202</v>
      </c>
      <c r="F377" s="4" t="s">
        <v>206</v>
      </c>
      <c r="G377" s="4" t="n">
        <v>5</v>
      </c>
      <c r="H377" s="4" t="n">
        <v>1</v>
      </c>
      <c r="I377" s="4" t="n">
        <v>0</v>
      </c>
      <c r="J377" s="4" t="n">
        <v>1016.4</v>
      </c>
      <c r="K377" s="4" t="n">
        <v>0</v>
      </c>
      <c r="L377" s="12" t="n">
        <v>0.87868</v>
      </c>
      <c r="M377" s="12" t="n">
        <v>0.092063</v>
      </c>
      <c r="N377" s="12" t="n">
        <v>0.103693</v>
      </c>
      <c r="O377" s="12" t="n">
        <v>0.106183</v>
      </c>
      <c r="P377" s="12" t="n">
        <v>0.110024</v>
      </c>
      <c r="Q377" s="0" t="str">
        <f aca="false">IF(L377&gt;=Models!$G$5,1+COUNTIF($L$5:$L$1517,"&gt;"&amp;L377)+COUNTIFS($L$5:$L$1517,L377,$B$5:$B$1517,"&lt;"&amp;B377)+COUNTIFS($L$5:$L$1517,L377,$B$5:$B$1517,B377,$C$5:$C$1517,"&lt;"&amp;C377),"")</f>
        <v/>
      </c>
      <c r="R377" s="0" t="str">
        <f aca="false">IF(M377&gt;=Models!$G$6,1+COUNTIF($M$5:$M$1517,"&gt;"&amp;M377)+COUNTIFS($M$5:$M$1517,M377,$B$5:$B$1517,"&lt;"&amp;B377)+COUNTIFS($M$5:$M$1517,M377,$B$5:$B$1517,B377,$C$5:$C$1517,"&lt;"&amp;C377),"")</f>
        <v/>
      </c>
      <c r="S377" s="0" t="str">
        <f aca="false">IF(N377&gt;=Models!$G$7,1+COUNTIF($N$5:$N$1517,"&gt;"&amp;N377)+COUNTIFS($N$5:$N$1517,N377,$B$5:$B$1517,"&lt;"&amp;B377)+COUNTIFS($N$5:$N$1517,N377,$B$5:$B$1517,B377,$C$5:$C$1517,"&lt;"&amp;C377),"")</f>
        <v/>
      </c>
      <c r="T377" s="8" t="n">
        <f aca="false">IF(O377&gt;=Models!$G$8,1+COUNTIF($O$5:$O$1517,"&gt;"&amp;O377)+COUNTIFS($O$5:$O$1517,O377,$B$5:$B$1517,"&lt;"&amp;B377)+COUNTIFS($O$5:$O$1517,O377,$B$5:$B$1517,B377,$C$5:$C$1517,"&lt;"&amp;C377),"")</f>
        <v>34</v>
      </c>
      <c r="U377" s="8" t="n">
        <f aca="false">IF($K377=1,COUNTIFS($L$5:$L$1517,"&gt;="&amp;L377,$K$5:$K$1517,1)/COUNTIF($L$5:$L$1517,"&gt;="&amp;L377),0)</f>
        <v>0</v>
      </c>
      <c r="V377" s="8" t="n">
        <f aca="false">IF($K377=1,COUNTIFS($M$5:$M$1517,"&gt;="&amp;M377,$K$5:$K$1517,1)/COUNTIF($M$5:$M$1517,"&gt;="&amp;M377),0)</f>
        <v>0</v>
      </c>
      <c r="W377" s="8" t="n">
        <f aca="false">IF($K377=1,COUNTIFS($N$5:$N$1517,"&gt;="&amp;N377,$K$5:$K$1517,1)/COUNTIF($N$5:$N$1517,"&gt;="&amp;N377),0)</f>
        <v>0</v>
      </c>
      <c r="X377" s="8" t="n">
        <f aca="false">IF($K377=1,COUNTIFS($O$5:$O$1517,"&gt;="&amp;O377,$K$5:$K$1517,1)/COUNTIF($O$5:$O$1517,"&gt;="&amp;O377),0)</f>
        <v>0</v>
      </c>
      <c r="Y377" s="8" t="n">
        <f aca="false">IF($K377=1,COUNTIFS($P$5:$P$1517,"&gt;="&amp;P377,$K$5:$K$1517,1)/COUNTIF($P$5:$P$1517,"&gt;="&amp;P377),0)</f>
        <v>0</v>
      </c>
      <c r="Z377" s="8" t="n">
        <f aca="false">(L377-$K377)^2</f>
        <v>0.7720785424</v>
      </c>
      <c r="AA377" s="8" t="n">
        <f aca="false">(M377-$K377)^2</f>
        <v>0.008475595969</v>
      </c>
      <c r="AB377" s="8" t="n">
        <f aca="false">(N377-$K377)^2</f>
        <v>0.010752238249</v>
      </c>
      <c r="AC377" s="8" t="n">
        <f aca="false">(O377-$K377)^2</f>
        <v>0.011274829489</v>
      </c>
      <c r="AD377" s="8" t="n">
        <f aca="false">(P377-$K377)^2</f>
        <v>0.012105280576</v>
      </c>
      <c r="AE377" s="8" t="n">
        <f aca="false">MIN(INT(ROUND(N377*1000000,0)/100000),9)</f>
        <v>1</v>
      </c>
      <c r="AF377" s="8" t="n">
        <f aca="false">MIN(INT(ROUND(P377*1000000,0)/100000),9)</f>
        <v>1</v>
      </c>
    </row>
    <row r="378" customFormat="false" ht="15" hidden="false" customHeight="false" outlineLevel="0" collapsed="false">
      <c r="A378" s="4" t="n">
        <v>374</v>
      </c>
      <c r="B378" s="4" t="n">
        <v>50</v>
      </c>
      <c r="C378" s="4" t="n">
        <v>1</v>
      </c>
      <c r="D378" s="11" t="n">
        <v>46082</v>
      </c>
      <c r="E378" s="4" t="s">
        <v>203</v>
      </c>
      <c r="F378" s="4" t="s">
        <v>208</v>
      </c>
      <c r="G378" s="4" t="n">
        <v>9</v>
      </c>
      <c r="H378" s="4" t="n">
        <v>1</v>
      </c>
      <c r="I378" s="4" t="n">
        <v>0</v>
      </c>
      <c r="J378" s="4" t="n">
        <v>318</v>
      </c>
      <c r="K378" s="4" t="n">
        <v>0</v>
      </c>
      <c r="L378" s="12" t="n">
        <v>0.247936</v>
      </c>
      <c r="M378" s="12" t="n">
        <v>0.092063</v>
      </c>
      <c r="N378" s="12" t="n">
        <v>0.077539</v>
      </c>
      <c r="O378" s="12" t="n">
        <v>0.106183</v>
      </c>
      <c r="P378" s="12" t="n">
        <v>0.081278</v>
      </c>
      <c r="Q378" s="0" t="str">
        <f aca="false">IF(L378&gt;=Models!$G$5,1+COUNTIF($L$5:$L$1517,"&gt;"&amp;L378)+COUNTIFS($L$5:$L$1517,L378,$B$5:$B$1517,"&lt;"&amp;B378)+COUNTIFS($L$5:$L$1517,L378,$B$5:$B$1517,B378,$C$5:$C$1517,"&lt;"&amp;C378),"")</f>
        <v/>
      </c>
      <c r="R378" s="0" t="str">
        <f aca="false">IF(M378&gt;=Models!$G$6,1+COUNTIF($M$5:$M$1517,"&gt;"&amp;M378)+COUNTIFS($M$5:$M$1517,M378,$B$5:$B$1517,"&lt;"&amp;B378)+COUNTIFS($M$5:$M$1517,M378,$B$5:$B$1517,B378,$C$5:$C$1517,"&lt;"&amp;C378),"")</f>
        <v/>
      </c>
      <c r="S378" s="0" t="str">
        <f aca="false">IF(N378&gt;=Models!$G$7,1+COUNTIF($N$5:$N$1517,"&gt;"&amp;N378)+COUNTIFS($N$5:$N$1517,N378,$B$5:$B$1517,"&lt;"&amp;B378)+COUNTIFS($N$5:$N$1517,N378,$B$5:$B$1517,B378,$C$5:$C$1517,"&lt;"&amp;C378),"")</f>
        <v/>
      </c>
      <c r="T378" s="8" t="n">
        <f aca="false">IF(O378&gt;=Models!$G$8,1+COUNTIF($O$5:$O$1517,"&gt;"&amp;O378)+COUNTIFS($O$5:$O$1517,O378,$B$5:$B$1517,"&lt;"&amp;B378)+COUNTIFS($O$5:$O$1517,O378,$B$5:$B$1517,B378,$C$5:$C$1517,"&lt;"&amp;C378),"")</f>
        <v>38</v>
      </c>
      <c r="U378" s="8" t="n">
        <f aca="false">IF($K378=1,COUNTIFS($L$5:$L$1517,"&gt;="&amp;L378,$K$5:$K$1517,1)/COUNTIF($L$5:$L$1517,"&gt;="&amp;L378),0)</f>
        <v>0</v>
      </c>
      <c r="V378" s="8" t="n">
        <f aca="false">IF($K378=1,COUNTIFS($M$5:$M$1517,"&gt;="&amp;M378,$K$5:$K$1517,1)/COUNTIF($M$5:$M$1517,"&gt;="&amp;M378),0)</f>
        <v>0</v>
      </c>
      <c r="W378" s="8" t="n">
        <f aca="false">IF($K378=1,COUNTIFS($N$5:$N$1517,"&gt;="&amp;N378,$K$5:$K$1517,1)/COUNTIF($N$5:$N$1517,"&gt;="&amp;N378),0)</f>
        <v>0</v>
      </c>
      <c r="X378" s="8" t="n">
        <f aca="false">IF($K378=1,COUNTIFS($O$5:$O$1517,"&gt;="&amp;O378,$K$5:$K$1517,1)/COUNTIF($O$5:$O$1517,"&gt;="&amp;O378),0)</f>
        <v>0</v>
      </c>
      <c r="Y378" s="8" t="n">
        <f aca="false">IF($K378=1,COUNTIFS($P$5:$P$1517,"&gt;="&amp;P378,$K$5:$K$1517,1)/COUNTIF($P$5:$P$1517,"&gt;="&amp;P378),0)</f>
        <v>0</v>
      </c>
      <c r="Z378" s="8" t="n">
        <f aca="false">(L378-$K378)^2</f>
        <v>0.061472260096</v>
      </c>
      <c r="AA378" s="8" t="n">
        <f aca="false">(M378-$K378)^2</f>
        <v>0.008475595969</v>
      </c>
      <c r="AB378" s="8" t="n">
        <f aca="false">(N378-$K378)^2</f>
        <v>0.006012296521</v>
      </c>
      <c r="AC378" s="8" t="n">
        <f aca="false">(O378-$K378)^2</f>
        <v>0.011274829489</v>
      </c>
      <c r="AD378" s="8" t="n">
        <f aca="false">(P378-$K378)^2</f>
        <v>0.006606113284</v>
      </c>
      <c r="AE378" s="8" t="n">
        <f aca="false">MIN(INT(ROUND(N378*1000000,0)/100000),9)</f>
        <v>0</v>
      </c>
      <c r="AF378" s="8" t="n">
        <f aca="false">MIN(INT(ROUND(P378*1000000,0)/100000),9)</f>
        <v>0</v>
      </c>
    </row>
    <row r="379" customFormat="false" ht="15" hidden="false" customHeight="false" outlineLevel="0" collapsed="false">
      <c r="A379" s="4" t="n">
        <v>375</v>
      </c>
      <c r="B379" s="4" t="n">
        <v>56</v>
      </c>
      <c r="C379" s="4" t="n">
        <v>1</v>
      </c>
      <c r="D379" s="11" t="n">
        <v>46082</v>
      </c>
      <c r="E379" s="4" t="s">
        <v>203</v>
      </c>
      <c r="F379" s="4" t="s">
        <v>208</v>
      </c>
      <c r="G379" s="4" t="n">
        <v>7</v>
      </c>
      <c r="H379" s="4" t="n">
        <v>0</v>
      </c>
      <c r="I379" s="4" t="n">
        <v>0</v>
      </c>
      <c r="J379" s="4" t="n">
        <v>291.9</v>
      </c>
      <c r="K379" s="4" t="n">
        <v>0</v>
      </c>
      <c r="L379" s="12" t="n">
        <v>0.813916</v>
      </c>
      <c r="M379" s="12" t="n">
        <v>0.092063</v>
      </c>
      <c r="N379" s="12" t="n">
        <v>0.090879</v>
      </c>
      <c r="O379" s="12" t="n">
        <v>0.106183</v>
      </c>
      <c r="P379" s="12" t="n">
        <v>0.095907</v>
      </c>
      <c r="Q379" s="0" t="str">
        <f aca="false">IF(L379&gt;=Models!$G$5,1+COUNTIF($L$5:$L$1517,"&gt;"&amp;L379)+COUNTIFS($L$5:$L$1517,L379,$B$5:$B$1517,"&lt;"&amp;B379)+COUNTIFS($L$5:$L$1517,L379,$B$5:$B$1517,B379,$C$5:$C$1517,"&lt;"&amp;C379),"")</f>
        <v/>
      </c>
      <c r="R379" s="0" t="str">
        <f aca="false">IF(M379&gt;=Models!$G$6,1+COUNTIF($M$5:$M$1517,"&gt;"&amp;M379)+COUNTIFS($M$5:$M$1517,M379,$B$5:$B$1517,"&lt;"&amp;B379)+COUNTIFS($M$5:$M$1517,M379,$B$5:$B$1517,B379,$C$5:$C$1517,"&lt;"&amp;C379),"")</f>
        <v/>
      </c>
      <c r="S379" s="0" t="str">
        <f aca="false">IF(N379&gt;=Models!$G$7,1+COUNTIF($N$5:$N$1517,"&gt;"&amp;N379)+COUNTIFS($N$5:$N$1517,N379,$B$5:$B$1517,"&lt;"&amp;B379)+COUNTIFS($N$5:$N$1517,N379,$B$5:$B$1517,B379,$C$5:$C$1517,"&lt;"&amp;C379),"")</f>
        <v/>
      </c>
      <c r="T379" s="8" t="n">
        <f aca="false">IF(O379&gt;=Models!$G$8,1+COUNTIF($O$5:$O$1517,"&gt;"&amp;O379)+COUNTIFS($O$5:$O$1517,O379,$B$5:$B$1517,"&lt;"&amp;B379)+COUNTIFS($O$5:$O$1517,O379,$B$5:$B$1517,B379,$C$5:$C$1517,"&lt;"&amp;C379),"")</f>
        <v>42</v>
      </c>
      <c r="U379" s="8" t="n">
        <f aca="false">IF($K379=1,COUNTIFS($L$5:$L$1517,"&gt;="&amp;L379,$K$5:$K$1517,1)/COUNTIF($L$5:$L$1517,"&gt;="&amp;L379),0)</f>
        <v>0</v>
      </c>
      <c r="V379" s="8" t="n">
        <f aca="false">IF($K379=1,COUNTIFS($M$5:$M$1517,"&gt;="&amp;M379,$K$5:$K$1517,1)/COUNTIF($M$5:$M$1517,"&gt;="&amp;M379),0)</f>
        <v>0</v>
      </c>
      <c r="W379" s="8" t="n">
        <f aca="false">IF($K379=1,COUNTIFS($N$5:$N$1517,"&gt;="&amp;N379,$K$5:$K$1517,1)/COUNTIF($N$5:$N$1517,"&gt;="&amp;N379),0)</f>
        <v>0</v>
      </c>
      <c r="X379" s="8" t="n">
        <f aca="false">IF($K379=1,COUNTIFS($O$5:$O$1517,"&gt;="&amp;O379,$K$5:$K$1517,1)/COUNTIF($O$5:$O$1517,"&gt;="&amp;O379),0)</f>
        <v>0</v>
      </c>
      <c r="Y379" s="8" t="n">
        <f aca="false">IF($K379=1,COUNTIFS($P$5:$P$1517,"&gt;="&amp;P379,$K$5:$K$1517,1)/COUNTIF($P$5:$P$1517,"&gt;="&amp;P379),0)</f>
        <v>0</v>
      </c>
      <c r="Z379" s="8" t="n">
        <f aca="false">(L379-$K379)^2</f>
        <v>0.662459255056</v>
      </c>
      <c r="AA379" s="8" t="n">
        <f aca="false">(M379-$K379)^2</f>
        <v>0.008475595969</v>
      </c>
      <c r="AB379" s="8" t="n">
        <f aca="false">(N379-$K379)^2</f>
        <v>0.008258992641</v>
      </c>
      <c r="AC379" s="8" t="n">
        <f aca="false">(O379-$K379)^2</f>
        <v>0.011274829489</v>
      </c>
      <c r="AD379" s="8" t="n">
        <f aca="false">(P379-$K379)^2</f>
        <v>0.009198152649</v>
      </c>
      <c r="AE379" s="8" t="n">
        <f aca="false">MIN(INT(ROUND(N379*1000000,0)/100000),9)</f>
        <v>0</v>
      </c>
      <c r="AF379" s="8" t="n">
        <f aca="false">MIN(INT(ROUND(P379*1000000,0)/100000),9)</f>
        <v>0</v>
      </c>
    </row>
    <row r="380" customFormat="false" ht="15" hidden="false" customHeight="false" outlineLevel="0" collapsed="false">
      <c r="A380" s="4" t="n">
        <v>376</v>
      </c>
      <c r="B380" s="4" t="n">
        <v>60</v>
      </c>
      <c r="C380" s="4" t="n">
        <v>1</v>
      </c>
      <c r="D380" s="11" t="n">
        <v>46082</v>
      </c>
      <c r="E380" s="4" t="s">
        <v>203</v>
      </c>
      <c r="F380" s="4" t="s">
        <v>209</v>
      </c>
      <c r="G380" s="4" t="n">
        <v>5</v>
      </c>
      <c r="H380" s="4" t="n">
        <v>8</v>
      </c>
      <c r="I380" s="4" t="n">
        <v>1</v>
      </c>
      <c r="J380" s="4" t="n">
        <v>411</v>
      </c>
      <c r="K380" s="4" t="n">
        <v>1</v>
      </c>
      <c r="L380" s="12" t="n">
        <v>0.082858</v>
      </c>
      <c r="M380" s="12" t="n">
        <v>0.184211</v>
      </c>
      <c r="N380" s="12" t="n">
        <v>0.187203</v>
      </c>
      <c r="O380" s="12" t="n">
        <v>0.106183</v>
      </c>
      <c r="P380" s="12" t="n">
        <v>0.202752</v>
      </c>
      <c r="Q380" s="0" t="str">
        <f aca="false">IF(L380&gt;=Models!$G$5,1+COUNTIF($L$5:$L$1517,"&gt;"&amp;L380)+COUNTIFS($L$5:$L$1517,L380,$B$5:$B$1517,"&lt;"&amp;B380)+COUNTIFS($L$5:$L$1517,L380,$B$5:$B$1517,B380,$C$5:$C$1517,"&lt;"&amp;C380),"")</f>
        <v/>
      </c>
      <c r="R380" s="8" t="n">
        <f aca="false">IF(M380&gt;=Models!$G$6,1+COUNTIF($M$5:$M$1517,"&gt;"&amp;M380)+COUNTIFS($M$5:$M$1517,M380,$B$5:$B$1517,"&lt;"&amp;B380)+COUNTIFS($M$5:$M$1517,M380,$B$5:$B$1517,B380,$C$5:$C$1517,"&lt;"&amp;C380),"")</f>
        <v>3</v>
      </c>
      <c r="S380" s="0" t="str">
        <f aca="false">IF(N380&gt;=Models!$G$7,1+COUNTIF($N$5:$N$1517,"&gt;"&amp;N380)+COUNTIFS($N$5:$N$1517,N380,$B$5:$B$1517,"&lt;"&amp;B380)+COUNTIFS($N$5:$N$1517,N380,$B$5:$B$1517,B380,$C$5:$C$1517,"&lt;"&amp;C380),"")</f>
        <v/>
      </c>
      <c r="T380" s="8" t="n">
        <f aca="false">IF(O380&gt;=Models!$G$8,1+COUNTIF($O$5:$O$1517,"&gt;"&amp;O380)+COUNTIFS($O$5:$O$1517,O380,$B$5:$B$1517,"&lt;"&amp;B380)+COUNTIFS($O$5:$O$1517,O380,$B$5:$B$1517,B380,$C$5:$C$1517,"&lt;"&amp;C380),"")</f>
        <v>46</v>
      </c>
      <c r="U380" s="8" t="n">
        <f aca="false">IF($K380=1,COUNTIFS($L$5:$L$1517,"&gt;="&amp;L380,$K$5:$K$1517,1)/COUNTIF($L$5:$L$1517,"&gt;="&amp;L380),0)</f>
        <v>0.125541125541126</v>
      </c>
      <c r="V380" s="8" t="n">
        <f aca="false">IF($K380=1,COUNTIFS($M$5:$M$1517,"&gt;="&amp;M380,$K$5:$K$1517,1)/COUNTIF($M$5:$M$1517,"&gt;="&amp;M380),0)</f>
        <v>0.186528497409326</v>
      </c>
      <c r="W380" s="8" t="n">
        <f aca="false">IF($K380=1,COUNTIFS($N$5:$N$1517,"&gt;="&amp;N380,$K$5:$K$1517,1)/COUNTIF($N$5:$N$1517,"&gt;="&amp;N380),0)</f>
        <v>0.308641975308642</v>
      </c>
      <c r="X380" s="8" t="n">
        <f aca="false">IF($K380=1,COUNTIFS($O$5:$O$1517,"&gt;="&amp;O380,$K$5:$K$1517,1)/COUNTIF($O$5:$O$1517,"&gt;="&amp;O380),0)</f>
        <v>0.12491738268341</v>
      </c>
      <c r="Y380" s="8" t="n">
        <f aca="false">IF($K380=1,COUNTIFS($P$5:$P$1517,"&gt;="&amp;P380,$K$5:$K$1517,1)/COUNTIF($P$5:$P$1517,"&gt;="&amp;P380),0)</f>
        <v>0.308641975308642</v>
      </c>
      <c r="Z380" s="8" t="n">
        <f aca="false">(L380-$K380)^2</f>
        <v>0.841149448164</v>
      </c>
      <c r="AA380" s="8" t="n">
        <f aca="false">(M380-$K380)^2</f>
        <v>0.665511692521</v>
      </c>
      <c r="AB380" s="8" t="n">
        <f aca="false">(N380-$K380)^2</f>
        <v>0.660638963209</v>
      </c>
      <c r="AC380" s="8" t="n">
        <f aca="false">(O380-$K380)^2</f>
        <v>0.798908829489</v>
      </c>
      <c r="AD380" s="8" t="n">
        <f aca="false">(P380-$K380)^2</f>
        <v>0.635604373504</v>
      </c>
      <c r="AE380" s="8" t="n">
        <f aca="false">MIN(INT(ROUND(N380*1000000,0)/100000),9)</f>
        <v>1</v>
      </c>
      <c r="AF380" s="8" t="n">
        <f aca="false">MIN(INT(ROUND(P380*1000000,0)/100000),9)</f>
        <v>2</v>
      </c>
    </row>
    <row r="381" customFormat="false" ht="15" hidden="false" customHeight="false" outlineLevel="0" collapsed="false">
      <c r="A381" s="4" t="n">
        <v>377</v>
      </c>
      <c r="B381" s="4" t="n">
        <v>61</v>
      </c>
      <c r="C381" s="4" t="n">
        <v>1</v>
      </c>
      <c r="D381" s="11" t="n">
        <v>46082</v>
      </c>
      <c r="E381" s="4" t="s">
        <v>203</v>
      </c>
      <c r="F381" s="4" t="s">
        <v>207</v>
      </c>
      <c r="G381" s="4" t="n">
        <v>4</v>
      </c>
      <c r="H381" s="4" t="n">
        <v>2</v>
      </c>
      <c r="I381" s="4" t="n">
        <v>0</v>
      </c>
      <c r="J381" s="4" t="n">
        <v>354</v>
      </c>
      <c r="K381" s="4" t="n">
        <v>0</v>
      </c>
      <c r="L381" s="12" t="n">
        <v>0.610979</v>
      </c>
      <c r="M381" s="12" t="n">
        <v>0.092063</v>
      </c>
      <c r="N381" s="12" t="n">
        <v>0.117099</v>
      </c>
      <c r="O381" s="12" t="n">
        <v>0.106183</v>
      </c>
      <c r="P381" s="12" t="n">
        <v>0.124844</v>
      </c>
      <c r="Q381" s="0" t="str">
        <f aca="false">IF(L381&gt;=Models!$G$5,1+COUNTIF($L$5:$L$1517,"&gt;"&amp;L381)+COUNTIFS($L$5:$L$1517,L381,$B$5:$B$1517,"&lt;"&amp;B381)+COUNTIFS($L$5:$L$1517,L381,$B$5:$B$1517,B381,$C$5:$C$1517,"&lt;"&amp;C381),"")</f>
        <v/>
      </c>
      <c r="R381" s="0" t="str">
        <f aca="false">IF(M381&gt;=Models!$G$6,1+COUNTIF($M$5:$M$1517,"&gt;"&amp;M381)+COUNTIFS($M$5:$M$1517,M381,$B$5:$B$1517,"&lt;"&amp;B381)+COUNTIFS($M$5:$M$1517,M381,$B$5:$B$1517,B381,$C$5:$C$1517,"&lt;"&amp;C381),"")</f>
        <v/>
      </c>
      <c r="S381" s="0" t="str">
        <f aca="false">IF(N381&gt;=Models!$G$7,1+COUNTIF($N$5:$N$1517,"&gt;"&amp;N381)+COUNTIFS($N$5:$N$1517,N381,$B$5:$B$1517,"&lt;"&amp;B381)+COUNTIFS($N$5:$N$1517,N381,$B$5:$B$1517,B381,$C$5:$C$1517,"&lt;"&amp;C381),"")</f>
        <v/>
      </c>
      <c r="T381" s="8" t="n">
        <f aca="false">IF(O381&gt;=Models!$G$8,1+COUNTIF($O$5:$O$1517,"&gt;"&amp;O381)+COUNTIFS($O$5:$O$1517,O381,$B$5:$B$1517,"&lt;"&amp;B381)+COUNTIFS($O$5:$O$1517,O381,$B$5:$B$1517,B381,$C$5:$C$1517,"&lt;"&amp;C381),"")</f>
        <v>49</v>
      </c>
      <c r="U381" s="8" t="n">
        <f aca="false">IF($K381=1,COUNTIFS($L$5:$L$1517,"&gt;="&amp;L381,$K$5:$K$1517,1)/COUNTIF($L$5:$L$1517,"&gt;="&amp;L381),0)</f>
        <v>0</v>
      </c>
      <c r="V381" s="8" t="n">
        <f aca="false">IF($K381=1,COUNTIFS($M$5:$M$1517,"&gt;="&amp;M381,$K$5:$K$1517,1)/COUNTIF($M$5:$M$1517,"&gt;="&amp;M381),0)</f>
        <v>0</v>
      </c>
      <c r="W381" s="8" t="n">
        <f aca="false">IF($K381=1,COUNTIFS($N$5:$N$1517,"&gt;="&amp;N381,$K$5:$K$1517,1)/COUNTIF($N$5:$N$1517,"&gt;="&amp;N381),0)</f>
        <v>0</v>
      </c>
      <c r="X381" s="8" t="n">
        <f aca="false">IF($K381=1,COUNTIFS($O$5:$O$1517,"&gt;="&amp;O381,$K$5:$K$1517,1)/COUNTIF($O$5:$O$1517,"&gt;="&amp;O381),0)</f>
        <v>0</v>
      </c>
      <c r="Y381" s="8" t="n">
        <f aca="false">IF($K381=1,COUNTIFS($P$5:$P$1517,"&gt;="&amp;P381,$K$5:$K$1517,1)/COUNTIF($P$5:$P$1517,"&gt;="&amp;P381),0)</f>
        <v>0</v>
      </c>
      <c r="Z381" s="8" t="n">
        <f aca="false">(L381-$K381)^2</f>
        <v>0.373295338441</v>
      </c>
      <c r="AA381" s="8" t="n">
        <f aca="false">(M381-$K381)^2</f>
        <v>0.008475595969</v>
      </c>
      <c r="AB381" s="8" t="n">
        <f aca="false">(N381-$K381)^2</f>
        <v>0.013712175801</v>
      </c>
      <c r="AC381" s="8" t="n">
        <f aca="false">(O381-$K381)^2</f>
        <v>0.011274829489</v>
      </c>
      <c r="AD381" s="8" t="n">
        <f aca="false">(P381-$K381)^2</f>
        <v>0.015586024336</v>
      </c>
      <c r="AE381" s="8" t="n">
        <f aca="false">MIN(INT(ROUND(N381*1000000,0)/100000),9)</f>
        <v>1</v>
      </c>
      <c r="AF381" s="8" t="n">
        <f aca="false">MIN(INT(ROUND(P381*1000000,0)/100000),9)</f>
        <v>1</v>
      </c>
    </row>
    <row r="382" customFormat="false" ht="15" hidden="false" customHeight="false" outlineLevel="0" collapsed="false">
      <c r="A382" s="4" t="n">
        <v>378</v>
      </c>
      <c r="B382" s="4" t="n">
        <v>62</v>
      </c>
      <c r="C382" s="4" t="n">
        <v>1</v>
      </c>
      <c r="D382" s="11" t="n">
        <v>46082</v>
      </c>
      <c r="E382" s="4" t="s">
        <v>204</v>
      </c>
      <c r="F382" s="4" t="s">
        <v>209</v>
      </c>
      <c r="G382" s="4" t="n">
        <v>5</v>
      </c>
      <c r="H382" s="4" t="n">
        <v>1</v>
      </c>
      <c r="I382" s="4" t="n">
        <v>0</v>
      </c>
      <c r="J382" s="4" t="n">
        <v>46</v>
      </c>
      <c r="K382" s="4" t="n">
        <v>0</v>
      </c>
      <c r="L382" s="12" t="n">
        <v>0.210077</v>
      </c>
      <c r="M382" s="12" t="n">
        <v>0.092063</v>
      </c>
      <c r="N382" s="12" t="n">
        <v>0.109049</v>
      </c>
      <c r="O382" s="12" t="n">
        <v>0.106183</v>
      </c>
      <c r="P382" s="12" t="n">
        <v>0.115939</v>
      </c>
      <c r="Q382" s="0" t="str">
        <f aca="false">IF(L382&gt;=Models!$G$5,1+COUNTIF($L$5:$L$1517,"&gt;"&amp;L382)+COUNTIFS($L$5:$L$1517,L382,$B$5:$B$1517,"&lt;"&amp;B382)+COUNTIFS($L$5:$L$1517,L382,$B$5:$B$1517,B382,$C$5:$C$1517,"&lt;"&amp;C382),"")</f>
        <v/>
      </c>
      <c r="R382" s="0" t="str">
        <f aca="false">IF(M382&gt;=Models!$G$6,1+COUNTIF($M$5:$M$1517,"&gt;"&amp;M382)+COUNTIFS($M$5:$M$1517,M382,$B$5:$B$1517,"&lt;"&amp;B382)+COUNTIFS($M$5:$M$1517,M382,$B$5:$B$1517,B382,$C$5:$C$1517,"&lt;"&amp;C382),"")</f>
        <v/>
      </c>
      <c r="S382" s="0" t="str">
        <f aca="false">IF(N382&gt;=Models!$G$7,1+COUNTIF($N$5:$N$1517,"&gt;"&amp;N382)+COUNTIFS($N$5:$N$1517,N382,$B$5:$B$1517,"&lt;"&amp;B382)+COUNTIFS($N$5:$N$1517,N382,$B$5:$B$1517,B382,$C$5:$C$1517,"&lt;"&amp;C382),"")</f>
        <v/>
      </c>
      <c r="T382" s="8" t="n">
        <f aca="false">IF(O382&gt;=Models!$G$8,1+COUNTIF($O$5:$O$1517,"&gt;"&amp;O382)+COUNTIFS($O$5:$O$1517,O382,$B$5:$B$1517,"&lt;"&amp;B382)+COUNTIFS($O$5:$O$1517,O382,$B$5:$B$1517,B382,$C$5:$C$1517,"&lt;"&amp;C382),"")</f>
        <v>53</v>
      </c>
      <c r="U382" s="8" t="n">
        <f aca="false">IF($K382=1,COUNTIFS($L$5:$L$1517,"&gt;="&amp;L382,$K$5:$K$1517,1)/COUNTIF($L$5:$L$1517,"&gt;="&amp;L382),0)</f>
        <v>0</v>
      </c>
      <c r="V382" s="8" t="n">
        <f aca="false">IF($K382=1,COUNTIFS($M$5:$M$1517,"&gt;="&amp;M382,$K$5:$K$1517,1)/COUNTIF($M$5:$M$1517,"&gt;="&amp;M382),0)</f>
        <v>0</v>
      </c>
      <c r="W382" s="8" t="n">
        <f aca="false">IF($K382=1,COUNTIFS($N$5:$N$1517,"&gt;="&amp;N382,$K$5:$K$1517,1)/COUNTIF($N$5:$N$1517,"&gt;="&amp;N382),0)</f>
        <v>0</v>
      </c>
      <c r="X382" s="8" t="n">
        <f aca="false">IF($K382=1,COUNTIFS($O$5:$O$1517,"&gt;="&amp;O382,$K$5:$K$1517,1)/COUNTIF($O$5:$O$1517,"&gt;="&amp;O382),0)</f>
        <v>0</v>
      </c>
      <c r="Y382" s="8" t="n">
        <f aca="false">IF($K382=1,COUNTIFS($P$5:$P$1517,"&gt;="&amp;P382,$K$5:$K$1517,1)/COUNTIF($P$5:$P$1517,"&gt;="&amp;P382),0)</f>
        <v>0</v>
      </c>
      <c r="Z382" s="8" t="n">
        <f aca="false">(L382-$K382)^2</f>
        <v>0.044132345929</v>
      </c>
      <c r="AA382" s="8" t="n">
        <f aca="false">(M382-$K382)^2</f>
        <v>0.008475595969</v>
      </c>
      <c r="AB382" s="8" t="n">
        <f aca="false">(N382-$K382)^2</f>
        <v>0.011891684401</v>
      </c>
      <c r="AC382" s="8" t="n">
        <f aca="false">(O382-$K382)^2</f>
        <v>0.011274829489</v>
      </c>
      <c r="AD382" s="8" t="n">
        <f aca="false">(P382-$K382)^2</f>
        <v>0.013441851721</v>
      </c>
      <c r="AE382" s="8" t="n">
        <f aca="false">MIN(INT(ROUND(N382*1000000,0)/100000),9)</f>
        <v>1</v>
      </c>
      <c r="AF382" s="8" t="n">
        <f aca="false">MIN(INT(ROUND(P382*1000000,0)/100000),9)</f>
        <v>1</v>
      </c>
    </row>
    <row r="383" customFormat="false" ht="15" hidden="false" customHeight="false" outlineLevel="0" collapsed="false">
      <c r="A383" s="4" t="n">
        <v>379</v>
      </c>
      <c r="B383" s="4" t="n">
        <v>70</v>
      </c>
      <c r="C383" s="4" t="n">
        <v>1</v>
      </c>
      <c r="D383" s="11" t="n">
        <v>46082</v>
      </c>
      <c r="E383" s="4" t="s">
        <v>203</v>
      </c>
      <c r="F383" s="4" t="s">
        <v>207</v>
      </c>
      <c r="G383" s="4" t="n">
        <v>9</v>
      </c>
      <c r="H383" s="4" t="n">
        <v>0</v>
      </c>
      <c r="I383" s="4" t="n">
        <v>0</v>
      </c>
      <c r="J383" s="4" t="n">
        <v>390</v>
      </c>
      <c r="K383" s="4" t="n">
        <v>0</v>
      </c>
      <c r="L383" s="12" t="n">
        <v>0.219096</v>
      </c>
      <c r="M383" s="12" t="n">
        <v>0.092063</v>
      </c>
      <c r="N383" s="12" t="n">
        <v>0.076659</v>
      </c>
      <c r="O383" s="12" t="n">
        <v>0.106183</v>
      </c>
      <c r="P383" s="12" t="n">
        <v>0.080316</v>
      </c>
      <c r="Q383" s="0" t="str">
        <f aca="false">IF(L383&gt;=Models!$G$5,1+COUNTIF($L$5:$L$1517,"&gt;"&amp;L383)+COUNTIFS($L$5:$L$1517,L383,$B$5:$B$1517,"&lt;"&amp;B383)+COUNTIFS($L$5:$L$1517,L383,$B$5:$B$1517,B383,$C$5:$C$1517,"&lt;"&amp;C383),"")</f>
        <v/>
      </c>
      <c r="R383" s="0" t="str">
        <f aca="false">IF(M383&gt;=Models!$G$6,1+COUNTIF($M$5:$M$1517,"&gt;"&amp;M383)+COUNTIFS($M$5:$M$1517,M383,$B$5:$B$1517,"&lt;"&amp;B383)+COUNTIFS($M$5:$M$1517,M383,$B$5:$B$1517,B383,$C$5:$C$1517,"&lt;"&amp;C383),"")</f>
        <v/>
      </c>
      <c r="S383" s="0" t="str">
        <f aca="false">IF(N383&gt;=Models!$G$7,1+COUNTIF($N$5:$N$1517,"&gt;"&amp;N383)+COUNTIFS($N$5:$N$1517,N383,$B$5:$B$1517,"&lt;"&amp;B383)+COUNTIFS($N$5:$N$1517,N383,$B$5:$B$1517,B383,$C$5:$C$1517,"&lt;"&amp;C383),"")</f>
        <v/>
      </c>
      <c r="T383" s="8" t="n">
        <f aca="false">IF(O383&gt;=Models!$G$8,1+COUNTIF($O$5:$O$1517,"&gt;"&amp;O383)+COUNTIFS($O$5:$O$1517,O383,$B$5:$B$1517,"&lt;"&amp;B383)+COUNTIFS($O$5:$O$1517,O383,$B$5:$B$1517,B383,$C$5:$C$1517,"&lt;"&amp;C383),"")</f>
        <v>57</v>
      </c>
      <c r="U383" s="8" t="n">
        <f aca="false">IF($K383=1,COUNTIFS($L$5:$L$1517,"&gt;="&amp;L383,$K$5:$K$1517,1)/COUNTIF($L$5:$L$1517,"&gt;="&amp;L383),0)</f>
        <v>0</v>
      </c>
      <c r="V383" s="8" t="n">
        <f aca="false">IF($K383=1,COUNTIFS($M$5:$M$1517,"&gt;="&amp;M383,$K$5:$K$1517,1)/COUNTIF($M$5:$M$1517,"&gt;="&amp;M383),0)</f>
        <v>0</v>
      </c>
      <c r="W383" s="8" t="n">
        <f aca="false">IF($K383=1,COUNTIFS($N$5:$N$1517,"&gt;="&amp;N383,$K$5:$K$1517,1)/COUNTIF($N$5:$N$1517,"&gt;="&amp;N383),0)</f>
        <v>0</v>
      </c>
      <c r="X383" s="8" t="n">
        <f aca="false">IF($K383=1,COUNTIFS($O$5:$O$1517,"&gt;="&amp;O383,$K$5:$K$1517,1)/COUNTIF($O$5:$O$1517,"&gt;="&amp;O383),0)</f>
        <v>0</v>
      </c>
      <c r="Y383" s="8" t="n">
        <f aca="false">IF($K383=1,COUNTIFS($P$5:$P$1517,"&gt;="&amp;P383,$K$5:$K$1517,1)/COUNTIF($P$5:$P$1517,"&gt;="&amp;P383),0)</f>
        <v>0</v>
      </c>
      <c r="Z383" s="8" t="n">
        <f aca="false">(L383-$K383)^2</f>
        <v>0.048003057216</v>
      </c>
      <c r="AA383" s="8" t="n">
        <f aca="false">(M383-$K383)^2</f>
        <v>0.008475595969</v>
      </c>
      <c r="AB383" s="8" t="n">
        <f aca="false">(N383-$K383)^2</f>
        <v>0.005876602281</v>
      </c>
      <c r="AC383" s="8" t="n">
        <f aca="false">(O383-$K383)^2</f>
        <v>0.011274829489</v>
      </c>
      <c r="AD383" s="8" t="n">
        <f aca="false">(P383-$K383)^2</f>
        <v>0.006450659856</v>
      </c>
      <c r="AE383" s="8" t="n">
        <f aca="false">MIN(INT(ROUND(N383*1000000,0)/100000),9)</f>
        <v>0</v>
      </c>
      <c r="AF383" s="8" t="n">
        <f aca="false">MIN(INT(ROUND(P383*1000000,0)/100000),9)</f>
        <v>0</v>
      </c>
    </row>
    <row r="384" customFormat="false" ht="15" hidden="false" customHeight="false" outlineLevel="0" collapsed="false">
      <c r="A384" s="4" t="n">
        <v>380</v>
      </c>
      <c r="B384" s="4" t="n">
        <v>80</v>
      </c>
      <c r="C384" s="4" t="n">
        <v>1</v>
      </c>
      <c r="D384" s="11" t="n">
        <v>46082</v>
      </c>
      <c r="E384" s="4" t="s">
        <v>203</v>
      </c>
      <c r="F384" s="4" t="s">
        <v>208</v>
      </c>
      <c r="G384" s="4" t="n">
        <v>1</v>
      </c>
      <c r="H384" s="4" t="n">
        <v>12</v>
      </c>
      <c r="I384" s="4" t="n">
        <v>0</v>
      </c>
      <c r="J384" s="4" t="n">
        <v>277.2</v>
      </c>
      <c r="K384" s="4" t="n">
        <v>0</v>
      </c>
      <c r="L384" s="12" t="n">
        <v>0.11188</v>
      </c>
      <c r="M384" s="12" t="n">
        <v>0.092063</v>
      </c>
      <c r="N384" s="12" t="n">
        <v>0.159251</v>
      </c>
      <c r="O384" s="12" t="n">
        <v>0.106183</v>
      </c>
      <c r="P384" s="12" t="n">
        <v>0.171646</v>
      </c>
      <c r="Q384" s="0" t="str">
        <f aca="false">IF(L384&gt;=Models!$G$5,1+COUNTIF($L$5:$L$1517,"&gt;"&amp;L384)+COUNTIFS($L$5:$L$1517,L384,$B$5:$B$1517,"&lt;"&amp;B384)+COUNTIFS($L$5:$L$1517,L384,$B$5:$B$1517,B384,$C$5:$C$1517,"&lt;"&amp;C384),"")</f>
        <v/>
      </c>
      <c r="R384" s="0" t="str">
        <f aca="false">IF(M384&gt;=Models!$G$6,1+COUNTIF($M$5:$M$1517,"&gt;"&amp;M384)+COUNTIFS($M$5:$M$1517,M384,$B$5:$B$1517,"&lt;"&amp;B384)+COUNTIFS($M$5:$M$1517,M384,$B$5:$B$1517,B384,$C$5:$C$1517,"&lt;"&amp;C384),"")</f>
        <v/>
      </c>
      <c r="S384" s="0" t="str">
        <f aca="false">IF(N384&gt;=Models!$G$7,1+COUNTIF($N$5:$N$1517,"&gt;"&amp;N384)+COUNTIFS($N$5:$N$1517,N384,$B$5:$B$1517,"&lt;"&amp;B384)+COUNTIFS($N$5:$N$1517,N384,$B$5:$B$1517,B384,$C$5:$C$1517,"&lt;"&amp;C384),"")</f>
        <v/>
      </c>
      <c r="T384" s="8" t="n">
        <f aca="false">IF(O384&gt;=Models!$G$8,1+COUNTIF($O$5:$O$1517,"&gt;"&amp;O384)+COUNTIFS($O$5:$O$1517,O384,$B$5:$B$1517,"&lt;"&amp;B384)+COUNTIFS($O$5:$O$1517,O384,$B$5:$B$1517,B384,$C$5:$C$1517,"&lt;"&amp;C384),"")</f>
        <v>61</v>
      </c>
      <c r="U384" s="8" t="n">
        <f aca="false">IF($K384=1,COUNTIFS($L$5:$L$1517,"&gt;="&amp;L384,$K$5:$K$1517,1)/COUNTIF($L$5:$L$1517,"&gt;="&amp;L384),0)</f>
        <v>0</v>
      </c>
      <c r="V384" s="8" t="n">
        <f aca="false">IF($K384=1,COUNTIFS($M$5:$M$1517,"&gt;="&amp;M384,$K$5:$K$1517,1)/COUNTIF($M$5:$M$1517,"&gt;="&amp;M384),0)</f>
        <v>0</v>
      </c>
      <c r="W384" s="8" t="n">
        <f aca="false">IF($K384=1,COUNTIFS($N$5:$N$1517,"&gt;="&amp;N384,$K$5:$K$1517,1)/COUNTIF($N$5:$N$1517,"&gt;="&amp;N384),0)</f>
        <v>0</v>
      </c>
      <c r="X384" s="8" t="n">
        <f aca="false">IF($K384=1,COUNTIFS($O$5:$O$1517,"&gt;="&amp;O384,$K$5:$K$1517,1)/COUNTIF($O$5:$O$1517,"&gt;="&amp;O384),0)</f>
        <v>0</v>
      </c>
      <c r="Y384" s="8" t="n">
        <f aca="false">IF($K384=1,COUNTIFS($P$5:$P$1517,"&gt;="&amp;P384,$K$5:$K$1517,1)/COUNTIF($P$5:$P$1517,"&gt;="&amp;P384),0)</f>
        <v>0</v>
      </c>
      <c r="Z384" s="8" t="n">
        <f aca="false">(L384-$K384)^2</f>
        <v>0.0125171344</v>
      </c>
      <c r="AA384" s="8" t="n">
        <f aca="false">(M384-$K384)^2</f>
        <v>0.008475595969</v>
      </c>
      <c r="AB384" s="8" t="n">
        <f aca="false">(N384-$K384)^2</f>
        <v>0.025360881001</v>
      </c>
      <c r="AC384" s="8" t="n">
        <f aca="false">(O384-$K384)^2</f>
        <v>0.011274829489</v>
      </c>
      <c r="AD384" s="8" t="n">
        <f aca="false">(P384-$K384)^2</f>
        <v>0.029462349316</v>
      </c>
      <c r="AE384" s="8" t="n">
        <f aca="false">MIN(INT(ROUND(N384*1000000,0)/100000),9)</f>
        <v>1</v>
      </c>
      <c r="AF384" s="8" t="n">
        <f aca="false">MIN(INT(ROUND(P384*1000000,0)/100000),9)</f>
        <v>1</v>
      </c>
    </row>
    <row r="385" customFormat="false" ht="15" hidden="false" customHeight="false" outlineLevel="0" collapsed="false">
      <c r="A385" s="4" t="n">
        <v>381</v>
      </c>
      <c r="B385" s="4" t="n">
        <v>86</v>
      </c>
      <c r="C385" s="4" t="n">
        <v>1</v>
      </c>
      <c r="D385" s="11" t="n">
        <v>46082</v>
      </c>
      <c r="E385" s="4" t="s">
        <v>201</v>
      </c>
      <c r="F385" s="4" t="s">
        <v>206</v>
      </c>
      <c r="G385" s="4" t="n">
        <v>18</v>
      </c>
      <c r="H385" s="4" t="n">
        <v>0</v>
      </c>
      <c r="I385" s="4" t="n">
        <v>0</v>
      </c>
      <c r="J385" s="4" t="n">
        <v>21440.4</v>
      </c>
      <c r="K385" s="4" t="n">
        <v>0</v>
      </c>
      <c r="L385" s="12" t="n">
        <v>0.002953</v>
      </c>
      <c r="M385" s="12" t="n">
        <v>0.092063</v>
      </c>
      <c r="N385" s="12" t="n">
        <v>0.010762</v>
      </c>
      <c r="O385" s="12" t="n">
        <v>0.106183</v>
      </c>
      <c r="P385" s="12" t="n">
        <v>0.010282</v>
      </c>
      <c r="Q385" s="0" t="str">
        <f aca="false">IF(L385&gt;=Models!$G$5,1+COUNTIF($L$5:$L$1517,"&gt;"&amp;L385)+COUNTIFS($L$5:$L$1517,L385,$B$5:$B$1517,"&lt;"&amp;B385)+COUNTIFS($L$5:$L$1517,L385,$B$5:$B$1517,B385,$C$5:$C$1517,"&lt;"&amp;C385),"")</f>
        <v/>
      </c>
      <c r="R385" s="0" t="str">
        <f aca="false">IF(M385&gt;=Models!$G$6,1+COUNTIF($M$5:$M$1517,"&gt;"&amp;M385)+COUNTIFS($M$5:$M$1517,M385,$B$5:$B$1517,"&lt;"&amp;B385)+COUNTIFS($M$5:$M$1517,M385,$B$5:$B$1517,B385,$C$5:$C$1517,"&lt;"&amp;C385),"")</f>
        <v/>
      </c>
      <c r="S385" s="0" t="str">
        <f aca="false">IF(N385&gt;=Models!$G$7,1+COUNTIF($N$5:$N$1517,"&gt;"&amp;N385)+COUNTIFS($N$5:$N$1517,N385,$B$5:$B$1517,"&lt;"&amp;B385)+COUNTIFS($N$5:$N$1517,N385,$B$5:$B$1517,B385,$C$5:$C$1517,"&lt;"&amp;C385),"")</f>
        <v/>
      </c>
      <c r="T385" s="8" t="n">
        <f aca="false">IF(O385&gt;=Models!$G$8,1+COUNTIF($O$5:$O$1517,"&gt;"&amp;O385)+COUNTIFS($O$5:$O$1517,O385,$B$5:$B$1517,"&lt;"&amp;B385)+COUNTIFS($O$5:$O$1517,O385,$B$5:$B$1517,B385,$C$5:$C$1517,"&lt;"&amp;C385),"")</f>
        <v>65</v>
      </c>
      <c r="U385" s="8" t="n">
        <f aca="false">IF($K385=1,COUNTIFS($L$5:$L$1517,"&gt;="&amp;L385,$K$5:$K$1517,1)/COUNTIF($L$5:$L$1517,"&gt;="&amp;L385),0)</f>
        <v>0</v>
      </c>
      <c r="V385" s="8" t="n">
        <f aca="false">IF($K385=1,COUNTIFS($M$5:$M$1517,"&gt;="&amp;M385,$K$5:$K$1517,1)/COUNTIF($M$5:$M$1517,"&gt;="&amp;M385),0)</f>
        <v>0</v>
      </c>
      <c r="W385" s="8" t="n">
        <f aca="false">IF($K385=1,COUNTIFS($N$5:$N$1517,"&gt;="&amp;N385,$K$5:$K$1517,1)/COUNTIF($N$5:$N$1517,"&gt;="&amp;N385),0)</f>
        <v>0</v>
      </c>
      <c r="X385" s="8" t="n">
        <f aca="false">IF($K385=1,COUNTIFS($O$5:$O$1517,"&gt;="&amp;O385,$K$5:$K$1517,1)/COUNTIF($O$5:$O$1517,"&gt;="&amp;O385),0)</f>
        <v>0</v>
      </c>
      <c r="Y385" s="8" t="n">
        <f aca="false">IF($K385=1,COUNTIFS($P$5:$P$1517,"&gt;="&amp;P385,$K$5:$K$1517,1)/COUNTIF($P$5:$P$1517,"&gt;="&amp;P385),0)</f>
        <v>0</v>
      </c>
      <c r="Z385" s="8" t="n">
        <f aca="false">(L385-$K385)^2</f>
        <v>8.720209E-006</v>
      </c>
      <c r="AA385" s="8" t="n">
        <f aca="false">(M385-$K385)^2</f>
        <v>0.008475595969</v>
      </c>
      <c r="AB385" s="8" t="n">
        <f aca="false">(N385-$K385)^2</f>
        <v>0.000115820644</v>
      </c>
      <c r="AC385" s="8" t="n">
        <f aca="false">(O385-$K385)^2</f>
        <v>0.011274829489</v>
      </c>
      <c r="AD385" s="8" t="n">
        <f aca="false">(P385-$K385)^2</f>
        <v>0.000105719524</v>
      </c>
      <c r="AE385" s="8" t="n">
        <f aca="false">MIN(INT(ROUND(N385*1000000,0)/100000),9)</f>
        <v>0</v>
      </c>
      <c r="AF385" s="8" t="n">
        <f aca="false">MIN(INT(ROUND(P385*1000000,0)/100000),9)</f>
        <v>0</v>
      </c>
    </row>
    <row r="386" customFormat="false" ht="15" hidden="false" customHeight="false" outlineLevel="0" collapsed="false">
      <c r="A386" s="4" t="n">
        <v>382</v>
      </c>
      <c r="B386" s="4" t="n">
        <v>87</v>
      </c>
      <c r="C386" s="4" t="n">
        <v>1</v>
      </c>
      <c r="D386" s="11" t="n">
        <v>46082</v>
      </c>
      <c r="E386" s="4" t="s">
        <v>202</v>
      </c>
      <c r="F386" s="4" t="s">
        <v>206</v>
      </c>
      <c r="G386" s="4" t="n">
        <v>7</v>
      </c>
      <c r="H386" s="4" t="n">
        <v>3</v>
      </c>
      <c r="I386" s="4" t="n">
        <v>0</v>
      </c>
      <c r="J386" s="4"/>
      <c r="K386" s="4" t="n">
        <v>0</v>
      </c>
      <c r="L386" s="12" t="n">
        <v>0.157702</v>
      </c>
      <c r="M386" s="12" t="n">
        <v>0.092063</v>
      </c>
      <c r="N386" s="12" t="n">
        <v>0.046611</v>
      </c>
      <c r="O386" s="12" t="n">
        <v>0.106183</v>
      </c>
      <c r="P386" s="12" t="n">
        <v>0.047752</v>
      </c>
      <c r="Q386" s="0" t="str">
        <f aca="false">IF(L386&gt;=Models!$G$5,1+COUNTIF($L$5:$L$1517,"&gt;"&amp;L386)+COUNTIFS($L$5:$L$1517,L386,$B$5:$B$1517,"&lt;"&amp;B386)+COUNTIFS($L$5:$L$1517,L386,$B$5:$B$1517,B386,$C$5:$C$1517,"&lt;"&amp;C386),"")</f>
        <v/>
      </c>
      <c r="R386" s="0" t="str">
        <f aca="false">IF(M386&gt;=Models!$G$6,1+COUNTIF($M$5:$M$1517,"&gt;"&amp;M386)+COUNTIFS($M$5:$M$1517,M386,$B$5:$B$1517,"&lt;"&amp;B386)+COUNTIFS($M$5:$M$1517,M386,$B$5:$B$1517,B386,$C$5:$C$1517,"&lt;"&amp;C386),"")</f>
        <v/>
      </c>
      <c r="S386" s="0" t="str">
        <f aca="false">IF(N386&gt;=Models!$G$7,1+COUNTIF($N$5:$N$1517,"&gt;"&amp;N386)+COUNTIFS($N$5:$N$1517,N386,$B$5:$B$1517,"&lt;"&amp;B386)+COUNTIFS($N$5:$N$1517,N386,$B$5:$B$1517,B386,$C$5:$C$1517,"&lt;"&amp;C386),"")</f>
        <v/>
      </c>
      <c r="T386" s="8" t="n">
        <f aca="false">IF(O386&gt;=Models!$G$8,1+COUNTIF($O$5:$O$1517,"&gt;"&amp;O386)+COUNTIFS($O$5:$O$1517,O386,$B$5:$B$1517,"&lt;"&amp;B386)+COUNTIFS($O$5:$O$1517,O386,$B$5:$B$1517,B386,$C$5:$C$1517,"&lt;"&amp;C386),"")</f>
        <v>69</v>
      </c>
      <c r="U386" s="8" t="n">
        <f aca="false">IF($K386=1,COUNTIFS($L$5:$L$1517,"&gt;="&amp;L386,$K$5:$K$1517,1)/COUNTIF($L$5:$L$1517,"&gt;="&amp;L386),0)</f>
        <v>0</v>
      </c>
      <c r="V386" s="8" t="n">
        <f aca="false">IF($K386=1,COUNTIFS($M$5:$M$1517,"&gt;="&amp;M386,$K$5:$K$1517,1)/COUNTIF($M$5:$M$1517,"&gt;="&amp;M386),0)</f>
        <v>0</v>
      </c>
      <c r="W386" s="8" t="n">
        <f aca="false">IF($K386=1,COUNTIFS($N$5:$N$1517,"&gt;="&amp;N386,$K$5:$K$1517,1)/COUNTIF($N$5:$N$1517,"&gt;="&amp;N386),0)</f>
        <v>0</v>
      </c>
      <c r="X386" s="8" t="n">
        <f aca="false">IF($K386=1,COUNTIFS($O$5:$O$1517,"&gt;="&amp;O386,$K$5:$K$1517,1)/COUNTIF($O$5:$O$1517,"&gt;="&amp;O386),0)</f>
        <v>0</v>
      </c>
      <c r="Y386" s="8" t="n">
        <f aca="false">IF($K386=1,COUNTIFS($P$5:$P$1517,"&gt;="&amp;P386,$K$5:$K$1517,1)/COUNTIF($P$5:$P$1517,"&gt;="&amp;P386),0)</f>
        <v>0</v>
      </c>
      <c r="Z386" s="8" t="n">
        <f aca="false">(L386-$K386)^2</f>
        <v>0.024869920804</v>
      </c>
      <c r="AA386" s="8" t="n">
        <f aca="false">(M386-$K386)^2</f>
        <v>0.008475595969</v>
      </c>
      <c r="AB386" s="8" t="n">
        <f aca="false">(N386-$K386)^2</f>
        <v>0.002172585321</v>
      </c>
      <c r="AC386" s="8" t="n">
        <f aca="false">(O386-$K386)^2</f>
        <v>0.011274829489</v>
      </c>
      <c r="AD386" s="8" t="n">
        <f aca="false">(P386-$K386)^2</f>
        <v>0.002280253504</v>
      </c>
      <c r="AE386" s="8" t="n">
        <f aca="false">MIN(INT(ROUND(N386*1000000,0)/100000),9)</f>
        <v>0</v>
      </c>
      <c r="AF386" s="8" t="n">
        <f aca="false">MIN(INT(ROUND(P386*1000000,0)/100000),9)</f>
        <v>0</v>
      </c>
    </row>
    <row r="387" customFormat="false" ht="15" hidden="false" customHeight="false" outlineLevel="0" collapsed="false">
      <c r="A387" s="4" t="n">
        <v>383</v>
      </c>
      <c r="B387" s="4" t="n">
        <v>90</v>
      </c>
      <c r="C387" s="4" t="n">
        <v>1</v>
      </c>
      <c r="D387" s="11" t="n">
        <v>46082</v>
      </c>
      <c r="E387" s="4" t="s">
        <v>204</v>
      </c>
      <c r="F387" s="4" t="s">
        <v>206</v>
      </c>
      <c r="G387" s="4" t="n">
        <v>4</v>
      </c>
      <c r="H387" s="4" t="n">
        <v>7</v>
      </c>
      <c r="I387" s="4" t="n">
        <v>0</v>
      </c>
      <c r="J387" s="4" t="n">
        <v>69</v>
      </c>
      <c r="K387" s="4" t="n">
        <v>1</v>
      </c>
      <c r="L387" s="12" t="n">
        <v>0.462497</v>
      </c>
      <c r="M387" s="12" t="n">
        <v>0.092063</v>
      </c>
      <c r="N387" s="12" t="n">
        <v>0.123179</v>
      </c>
      <c r="O387" s="12" t="n">
        <v>0.106183</v>
      </c>
      <c r="P387" s="12" t="n">
        <v>0.131578</v>
      </c>
      <c r="Q387" s="0" t="str">
        <f aca="false">IF(L387&gt;=Models!$G$5,1+COUNTIF($L$5:$L$1517,"&gt;"&amp;L387)+COUNTIFS($L$5:$L$1517,L387,$B$5:$B$1517,"&lt;"&amp;B387)+COUNTIFS($L$5:$L$1517,L387,$B$5:$B$1517,B387,$C$5:$C$1517,"&lt;"&amp;C387),"")</f>
        <v/>
      </c>
      <c r="R387" s="0" t="str">
        <f aca="false">IF(M387&gt;=Models!$G$6,1+COUNTIF($M$5:$M$1517,"&gt;"&amp;M387)+COUNTIFS($M$5:$M$1517,M387,$B$5:$B$1517,"&lt;"&amp;B387)+COUNTIFS($M$5:$M$1517,M387,$B$5:$B$1517,B387,$C$5:$C$1517,"&lt;"&amp;C387),"")</f>
        <v/>
      </c>
      <c r="S387" s="0" t="str">
        <f aca="false">IF(N387&gt;=Models!$G$7,1+COUNTIF($N$5:$N$1517,"&gt;"&amp;N387)+COUNTIFS($N$5:$N$1517,N387,$B$5:$B$1517,"&lt;"&amp;B387)+COUNTIFS($N$5:$N$1517,N387,$B$5:$B$1517,B387,$C$5:$C$1517,"&lt;"&amp;C387),"")</f>
        <v/>
      </c>
      <c r="T387" s="8" t="n">
        <f aca="false">IF(O387&gt;=Models!$G$8,1+COUNTIF($O$5:$O$1517,"&gt;"&amp;O387)+COUNTIFS($O$5:$O$1517,O387,$B$5:$B$1517,"&lt;"&amp;B387)+COUNTIFS($O$5:$O$1517,O387,$B$5:$B$1517,B387,$C$5:$C$1517,"&lt;"&amp;C387),"")</f>
        <v>73</v>
      </c>
      <c r="U387" s="8" t="n">
        <f aca="false">IF($K387=1,COUNTIFS($L$5:$L$1517,"&gt;="&amp;L387,$K$5:$K$1517,1)/COUNTIF($L$5:$L$1517,"&gt;="&amp;L387),0)</f>
        <v>0.122981366459627</v>
      </c>
      <c r="V387" s="8" t="n">
        <f aca="false">IF($K387=1,COUNTIFS($M$5:$M$1517,"&gt;="&amp;M387,$K$5:$K$1517,1)/COUNTIF($M$5:$M$1517,"&gt;="&amp;M387),0)</f>
        <v>0.12491738268341</v>
      </c>
      <c r="W387" s="8" t="n">
        <f aca="false">IF($K387=1,COUNTIFS($N$5:$N$1517,"&gt;="&amp;N387,$K$5:$K$1517,1)/COUNTIF($N$5:$N$1517,"&gt;="&amp;N387),0)</f>
        <v>0.233644859813084</v>
      </c>
      <c r="X387" s="8" t="n">
        <f aca="false">IF($K387=1,COUNTIFS($O$5:$O$1517,"&gt;="&amp;O387,$K$5:$K$1517,1)/COUNTIF($O$5:$O$1517,"&gt;="&amp;O387),0)</f>
        <v>0.12491738268341</v>
      </c>
      <c r="Y387" s="8" t="n">
        <f aca="false">IF($K387=1,COUNTIFS($P$5:$P$1517,"&gt;="&amp;P387,$K$5:$K$1517,1)/COUNTIF($P$5:$P$1517,"&gt;="&amp;P387),0)</f>
        <v>0.233644859813084</v>
      </c>
      <c r="Z387" s="8" t="n">
        <f aca="false">(L387-$K387)^2</f>
        <v>0.288909475009</v>
      </c>
      <c r="AA387" s="8" t="n">
        <f aca="false">(M387-$K387)^2</f>
        <v>0.824349595969</v>
      </c>
      <c r="AB387" s="8" t="n">
        <f aca="false">(N387-$K387)^2</f>
        <v>0.768815066041</v>
      </c>
      <c r="AC387" s="8" t="n">
        <f aca="false">(O387-$K387)^2</f>
        <v>0.798908829489</v>
      </c>
      <c r="AD387" s="8" t="n">
        <f aca="false">(P387-$K387)^2</f>
        <v>0.754156770084</v>
      </c>
      <c r="AE387" s="8" t="n">
        <f aca="false">MIN(INT(ROUND(N387*1000000,0)/100000),9)</f>
        <v>1</v>
      </c>
      <c r="AF387" s="8" t="n">
        <f aca="false">MIN(INT(ROUND(P387*1000000,0)/100000),9)</f>
        <v>1</v>
      </c>
    </row>
    <row r="388" customFormat="false" ht="15" hidden="false" customHeight="false" outlineLevel="0" collapsed="false">
      <c r="A388" s="4" t="n">
        <v>384</v>
      </c>
      <c r="B388" s="4" t="n">
        <v>95</v>
      </c>
      <c r="C388" s="4" t="n">
        <v>1</v>
      </c>
      <c r="D388" s="11" t="n">
        <v>46082</v>
      </c>
      <c r="E388" s="4" t="s">
        <v>203</v>
      </c>
      <c r="F388" s="4" t="s">
        <v>209</v>
      </c>
      <c r="G388" s="4" t="n">
        <v>12</v>
      </c>
      <c r="H388" s="4" t="n">
        <v>1</v>
      </c>
      <c r="I388" s="4" t="n">
        <v>1</v>
      </c>
      <c r="J388" s="4" t="n">
        <v>1356.6</v>
      </c>
      <c r="K388" s="4" t="n">
        <v>0</v>
      </c>
      <c r="L388" s="12" t="n">
        <v>0.026468</v>
      </c>
      <c r="M388" s="12" t="n">
        <v>0.184211</v>
      </c>
      <c r="N388" s="12" t="n">
        <v>0.098811</v>
      </c>
      <c r="O388" s="12" t="n">
        <v>0.106183</v>
      </c>
      <c r="P388" s="12" t="n">
        <v>0.104639</v>
      </c>
      <c r="Q388" s="0" t="str">
        <f aca="false">IF(L388&gt;=Models!$G$5,1+COUNTIF($L$5:$L$1517,"&gt;"&amp;L388)+COUNTIFS($L$5:$L$1517,L388,$B$5:$B$1517,"&lt;"&amp;B388)+COUNTIFS($L$5:$L$1517,L388,$B$5:$B$1517,B388,$C$5:$C$1517,"&lt;"&amp;C388),"")</f>
        <v/>
      </c>
      <c r="R388" s="8" t="n">
        <f aca="false">IF(M388&gt;=Models!$G$6,1+COUNTIF($M$5:$M$1517,"&gt;"&amp;M388)+COUNTIFS($M$5:$M$1517,M388,$B$5:$B$1517,"&lt;"&amp;B388)+COUNTIFS($M$5:$M$1517,M388,$B$5:$B$1517,B388,$C$5:$C$1517,"&lt;"&amp;C388),"")</f>
        <v>7</v>
      </c>
      <c r="S388" s="0" t="str">
        <f aca="false">IF(N388&gt;=Models!$G$7,1+COUNTIF($N$5:$N$1517,"&gt;"&amp;N388)+COUNTIFS($N$5:$N$1517,N388,$B$5:$B$1517,"&lt;"&amp;B388)+COUNTIFS($N$5:$N$1517,N388,$B$5:$B$1517,B388,$C$5:$C$1517,"&lt;"&amp;C388),"")</f>
        <v/>
      </c>
      <c r="T388" s="8" t="n">
        <f aca="false">IF(O388&gt;=Models!$G$8,1+COUNTIF($O$5:$O$1517,"&gt;"&amp;O388)+COUNTIFS($O$5:$O$1517,O388,$B$5:$B$1517,"&lt;"&amp;B388)+COUNTIFS($O$5:$O$1517,O388,$B$5:$B$1517,B388,$C$5:$C$1517,"&lt;"&amp;C388),"")</f>
        <v>76</v>
      </c>
      <c r="U388" s="8" t="n">
        <f aca="false">IF($K388=1,COUNTIFS($L$5:$L$1517,"&gt;="&amp;L388,$K$5:$K$1517,1)/COUNTIF($L$5:$L$1517,"&gt;="&amp;L388),0)</f>
        <v>0</v>
      </c>
      <c r="V388" s="8" t="n">
        <f aca="false">IF($K388=1,COUNTIFS($M$5:$M$1517,"&gt;="&amp;M388,$K$5:$K$1517,1)/COUNTIF($M$5:$M$1517,"&gt;="&amp;M388),0)</f>
        <v>0</v>
      </c>
      <c r="W388" s="8" t="n">
        <f aca="false">IF($K388=1,COUNTIFS($N$5:$N$1517,"&gt;="&amp;N388,$K$5:$K$1517,1)/COUNTIF($N$5:$N$1517,"&gt;="&amp;N388),0)</f>
        <v>0</v>
      </c>
      <c r="X388" s="8" t="n">
        <f aca="false">IF($K388=1,COUNTIFS($O$5:$O$1517,"&gt;="&amp;O388,$K$5:$K$1517,1)/COUNTIF($O$5:$O$1517,"&gt;="&amp;O388),0)</f>
        <v>0</v>
      </c>
      <c r="Y388" s="8" t="n">
        <f aca="false">IF($K388=1,COUNTIFS($P$5:$P$1517,"&gt;="&amp;P388,$K$5:$K$1517,1)/COUNTIF($P$5:$P$1517,"&gt;="&amp;P388),0)</f>
        <v>0</v>
      </c>
      <c r="Z388" s="8" t="n">
        <f aca="false">(L388-$K388)^2</f>
        <v>0.000700555024</v>
      </c>
      <c r="AA388" s="8" t="n">
        <f aca="false">(M388-$K388)^2</f>
        <v>0.033933692521</v>
      </c>
      <c r="AB388" s="8" t="n">
        <f aca="false">(N388-$K388)^2</f>
        <v>0.009763613721</v>
      </c>
      <c r="AC388" s="8" t="n">
        <f aca="false">(O388-$K388)^2</f>
        <v>0.011274829489</v>
      </c>
      <c r="AD388" s="8" t="n">
        <f aca="false">(P388-$K388)^2</f>
        <v>0.010949320321</v>
      </c>
      <c r="AE388" s="8" t="n">
        <f aca="false">MIN(INT(ROUND(N388*1000000,0)/100000),9)</f>
        <v>0</v>
      </c>
      <c r="AF388" s="8" t="n">
        <f aca="false">MIN(INT(ROUND(P388*1000000,0)/100000),9)</f>
        <v>1</v>
      </c>
    </row>
    <row r="389" customFormat="false" ht="15" hidden="false" customHeight="false" outlineLevel="0" collapsed="false">
      <c r="A389" s="4" t="n">
        <v>385</v>
      </c>
      <c r="B389" s="4" t="n">
        <v>98</v>
      </c>
      <c r="C389" s="4" t="n">
        <v>1</v>
      </c>
      <c r="D389" s="11" t="n">
        <v>46082</v>
      </c>
      <c r="E389" s="4" t="s">
        <v>202</v>
      </c>
      <c r="F389" s="4" t="s">
        <v>206</v>
      </c>
      <c r="G389" s="4" t="n">
        <v>15</v>
      </c>
      <c r="H389" s="4" t="n">
        <v>0</v>
      </c>
      <c r="I389" s="4" t="n">
        <v>0</v>
      </c>
      <c r="J389" s="4" t="n">
        <v>1479</v>
      </c>
      <c r="K389" s="4" t="n">
        <v>0</v>
      </c>
      <c r="L389" s="12" t="n">
        <v>0.840485</v>
      </c>
      <c r="M389" s="12" t="n">
        <v>0.092063</v>
      </c>
      <c r="N389" s="12" t="n">
        <v>0.043446</v>
      </c>
      <c r="O389" s="12" t="n">
        <v>0.106183</v>
      </c>
      <c r="P389" s="12" t="n">
        <v>0.044364</v>
      </c>
      <c r="Q389" s="0" t="str">
        <f aca="false">IF(L389&gt;=Models!$G$5,1+COUNTIF($L$5:$L$1517,"&gt;"&amp;L389)+COUNTIFS($L$5:$L$1517,L389,$B$5:$B$1517,"&lt;"&amp;B389)+COUNTIFS($L$5:$L$1517,L389,$B$5:$B$1517,B389,$C$5:$C$1517,"&lt;"&amp;C389),"")</f>
        <v/>
      </c>
      <c r="R389" s="0" t="str">
        <f aca="false">IF(M389&gt;=Models!$G$6,1+COUNTIF($M$5:$M$1517,"&gt;"&amp;M389)+COUNTIFS($M$5:$M$1517,M389,$B$5:$B$1517,"&lt;"&amp;B389)+COUNTIFS($M$5:$M$1517,M389,$B$5:$B$1517,B389,$C$5:$C$1517,"&lt;"&amp;C389),"")</f>
        <v/>
      </c>
      <c r="S389" s="0" t="str">
        <f aca="false">IF(N389&gt;=Models!$G$7,1+COUNTIF($N$5:$N$1517,"&gt;"&amp;N389)+COUNTIFS($N$5:$N$1517,N389,$B$5:$B$1517,"&lt;"&amp;B389)+COUNTIFS($N$5:$N$1517,N389,$B$5:$B$1517,B389,$C$5:$C$1517,"&lt;"&amp;C389),"")</f>
        <v/>
      </c>
      <c r="T389" s="8" t="n">
        <f aca="false">IF(O389&gt;=Models!$G$8,1+COUNTIF($O$5:$O$1517,"&gt;"&amp;O389)+COUNTIFS($O$5:$O$1517,O389,$B$5:$B$1517,"&lt;"&amp;B389)+COUNTIFS($O$5:$O$1517,O389,$B$5:$B$1517,B389,$C$5:$C$1517,"&lt;"&amp;C389),"")</f>
        <v>80</v>
      </c>
      <c r="U389" s="8" t="n">
        <f aca="false">IF($K389=1,COUNTIFS($L$5:$L$1517,"&gt;="&amp;L389,$K$5:$K$1517,1)/COUNTIF($L$5:$L$1517,"&gt;="&amp;L389),0)</f>
        <v>0</v>
      </c>
      <c r="V389" s="8" t="n">
        <f aca="false">IF($K389=1,COUNTIFS($M$5:$M$1517,"&gt;="&amp;M389,$K$5:$K$1517,1)/COUNTIF($M$5:$M$1517,"&gt;="&amp;M389),0)</f>
        <v>0</v>
      </c>
      <c r="W389" s="8" t="n">
        <f aca="false">IF($K389=1,COUNTIFS($N$5:$N$1517,"&gt;="&amp;N389,$K$5:$K$1517,1)/COUNTIF($N$5:$N$1517,"&gt;="&amp;N389),0)</f>
        <v>0</v>
      </c>
      <c r="X389" s="8" t="n">
        <f aca="false">IF($K389=1,COUNTIFS($O$5:$O$1517,"&gt;="&amp;O389,$K$5:$K$1517,1)/COUNTIF($O$5:$O$1517,"&gt;="&amp;O389),0)</f>
        <v>0</v>
      </c>
      <c r="Y389" s="8" t="n">
        <f aca="false">IF($K389=1,COUNTIFS($P$5:$P$1517,"&gt;="&amp;P389,$K$5:$K$1517,1)/COUNTIF($P$5:$P$1517,"&gt;="&amp;P389),0)</f>
        <v>0</v>
      </c>
      <c r="Z389" s="8" t="n">
        <f aca="false">(L389-$K389)^2</f>
        <v>0.706415035225</v>
      </c>
      <c r="AA389" s="8" t="n">
        <f aca="false">(M389-$K389)^2</f>
        <v>0.008475595969</v>
      </c>
      <c r="AB389" s="8" t="n">
        <f aca="false">(N389-$K389)^2</f>
        <v>0.001887554916</v>
      </c>
      <c r="AC389" s="8" t="n">
        <f aca="false">(O389-$K389)^2</f>
        <v>0.011274829489</v>
      </c>
      <c r="AD389" s="8" t="n">
        <f aca="false">(P389-$K389)^2</f>
        <v>0.001968164496</v>
      </c>
      <c r="AE389" s="8" t="n">
        <f aca="false">MIN(INT(ROUND(N389*1000000,0)/100000),9)</f>
        <v>0</v>
      </c>
      <c r="AF389" s="8" t="n">
        <f aca="false">MIN(INT(ROUND(P389*1000000,0)/100000),9)</f>
        <v>0</v>
      </c>
    </row>
    <row r="390" customFormat="false" ht="15" hidden="false" customHeight="false" outlineLevel="0" collapsed="false">
      <c r="A390" s="4" t="n">
        <v>386</v>
      </c>
      <c r="B390" s="4" t="n">
        <v>99</v>
      </c>
      <c r="C390" s="4" t="n">
        <v>1</v>
      </c>
      <c r="D390" s="11" t="n">
        <v>46082</v>
      </c>
      <c r="E390" s="4" t="s">
        <v>203</v>
      </c>
      <c r="F390" s="4" t="s">
        <v>208</v>
      </c>
      <c r="G390" s="4" t="n">
        <v>4</v>
      </c>
      <c r="H390" s="4" t="n">
        <v>0</v>
      </c>
      <c r="I390" s="4" t="n">
        <v>0</v>
      </c>
      <c r="J390" s="4" t="n">
        <v>1438.2</v>
      </c>
      <c r="K390" s="4" t="n">
        <v>0</v>
      </c>
      <c r="L390" s="12" t="n">
        <v>0.163543</v>
      </c>
      <c r="M390" s="12" t="n">
        <v>0.092063</v>
      </c>
      <c r="N390" s="12" t="n">
        <v>0.109141</v>
      </c>
      <c r="O390" s="12" t="n">
        <v>0.106183</v>
      </c>
      <c r="P390" s="12" t="n">
        <v>0.116041</v>
      </c>
      <c r="Q390" s="0" t="str">
        <f aca="false">IF(L390&gt;=Models!$G$5,1+COUNTIF($L$5:$L$1517,"&gt;"&amp;L390)+COUNTIFS($L$5:$L$1517,L390,$B$5:$B$1517,"&lt;"&amp;B390)+COUNTIFS($L$5:$L$1517,L390,$B$5:$B$1517,B390,$C$5:$C$1517,"&lt;"&amp;C390),"")</f>
        <v/>
      </c>
      <c r="R390" s="0" t="str">
        <f aca="false">IF(M390&gt;=Models!$G$6,1+COUNTIF($M$5:$M$1517,"&gt;"&amp;M390)+COUNTIFS($M$5:$M$1517,M390,$B$5:$B$1517,"&lt;"&amp;B390)+COUNTIFS($M$5:$M$1517,M390,$B$5:$B$1517,B390,$C$5:$C$1517,"&lt;"&amp;C390),"")</f>
        <v/>
      </c>
      <c r="S390" s="0" t="str">
        <f aca="false">IF(N390&gt;=Models!$G$7,1+COUNTIF($N$5:$N$1517,"&gt;"&amp;N390)+COUNTIFS($N$5:$N$1517,N390,$B$5:$B$1517,"&lt;"&amp;B390)+COUNTIFS($N$5:$N$1517,N390,$B$5:$B$1517,B390,$C$5:$C$1517,"&lt;"&amp;C390),"")</f>
        <v/>
      </c>
      <c r="T390" s="8" t="n">
        <f aca="false">IF(O390&gt;=Models!$G$8,1+COUNTIF($O$5:$O$1517,"&gt;"&amp;O390)+COUNTIFS($O$5:$O$1517,O390,$B$5:$B$1517,"&lt;"&amp;B390)+COUNTIFS($O$5:$O$1517,O390,$B$5:$B$1517,B390,$C$5:$C$1517,"&lt;"&amp;C390),"")</f>
        <v>84</v>
      </c>
      <c r="U390" s="8" t="n">
        <f aca="false">IF($K390=1,COUNTIFS($L$5:$L$1517,"&gt;="&amp;L390,$K$5:$K$1517,1)/COUNTIF($L$5:$L$1517,"&gt;="&amp;L390),0)</f>
        <v>0</v>
      </c>
      <c r="V390" s="8" t="n">
        <f aca="false">IF($K390=1,COUNTIFS($M$5:$M$1517,"&gt;="&amp;M390,$K$5:$K$1517,1)/COUNTIF($M$5:$M$1517,"&gt;="&amp;M390),0)</f>
        <v>0</v>
      </c>
      <c r="W390" s="8" t="n">
        <f aca="false">IF($K390=1,COUNTIFS($N$5:$N$1517,"&gt;="&amp;N390,$K$5:$K$1517,1)/COUNTIF($N$5:$N$1517,"&gt;="&amp;N390),0)</f>
        <v>0</v>
      </c>
      <c r="X390" s="8" t="n">
        <f aca="false">IF($K390=1,COUNTIFS($O$5:$O$1517,"&gt;="&amp;O390,$K$5:$K$1517,1)/COUNTIF($O$5:$O$1517,"&gt;="&amp;O390),0)</f>
        <v>0</v>
      </c>
      <c r="Y390" s="8" t="n">
        <f aca="false">IF($K390=1,COUNTIFS($P$5:$P$1517,"&gt;="&amp;P390,$K$5:$K$1517,1)/COUNTIF($P$5:$P$1517,"&gt;="&amp;P390),0)</f>
        <v>0</v>
      </c>
      <c r="Z390" s="8" t="n">
        <f aca="false">(L390-$K390)^2</f>
        <v>0.026746312849</v>
      </c>
      <c r="AA390" s="8" t="n">
        <f aca="false">(M390-$K390)^2</f>
        <v>0.008475595969</v>
      </c>
      <c r="AB390" s="8" t="n">
        <f aca="false">(N390-$K390)^2</f>
        <v>0.011911757881</v>
      </c>
      <c r="AC390" s="8" t="n">
        <f aca="false">(O390-$K390)^2</f>
        <v>0.011274829489</v>
      </c>
      <c r="AD390" s="8" t="n">
        <f aca="false">(P390-$K390)^2</f>
        <v>0.013465513681</v>
      </c>
      <c r="AE390" s="8" t="n">
        <f aca="false">MIN(INT(ROUND(N390*1000000,0)/100000),9)</f>
        <v>1</v>
      </c>
      <c r="AF390" s="8" t="n">
        <f aca="false">MIN(INT(ROUND(P390*1000000,0)/100000),9)</f>
        <v>1</v>
      </c>
    </row>
    <row r="391" customFormat="false" ht="15" hidden="false" customHeight="false" outlineLevel="0" collapsed="false">
      <c r="A391" s="4" t="n">
        <v>387</v>
      </c>
      <c r="B391" s="4" t="n">
        <v>113</v>
      </c>
      <c r="C391" s="4" t="n">
        <v>1</v>
      </c>
      <c r="D391" s="11" t="n">
        <v>46082</v>
      </c>
      <c r="E391" s="4" t="s">
        <v>202</v>
      </c>
      <c r="F391" s="4" t="s">
        <v>210</v>
      </c>
      <c r="G391" s="4" t="n">
        <v>11</v>
      </c>
      <c r="H391" s="4" t="n">
        <v>3</v>
      </c>
      <c r="I391" s="4" t="n">
        <v>0</v>
      </c>
      <c r="J391" s="4" t="n">
        <v>1371</v>
      </c>
      <c r="K391" s="4" t="n">
        <v>0</v>
      </c>
      <c r="L391" s="12" t="n">
        <v>0.147253</v>
      </c>
      <c r="M391" s="12" t="n">
        <v>0.092063</v>
      </c>
      <c r="N391" s="12" t="n">
        <v>0.062915</v>
      </c>
      <c r="O391" s="12" t="n">
        <v>0.106183</v>
      </c>
      <c r="P391" s="12" t="n">
        <v>0.065343</v>
      </c>
      <c r="Q391" s="0" t="str">
        <f aca="false">IF(L391&gt;=Models!$G$5,1+COUNTIF($L$5:$L$1517,"&gt;"&amp;L391)+COUNTIFS($L$5:$L$1517,L391,$B$5:$B$1517,"&lt;"&amp;B391)+COUNTIFS($L$5:$L$1517,L391,$B$5:$B$1517,B391,$C$5:$C$1517,"&lt;"&amp;C391),"")</f>
        <v/>
      </c>
      <c r="R391" s="0" t="str">
        <f aca="false">IF(M391&gt;=Models!$G$6,1+COUNTIF($M$5:$M$1517,"&gt;"&amp;M391)+COUNTIFS($M$5:$M$1517,M391,$B$5:$B$1517,"&lt;"&amp;B391)+COUNTIFS($M$5:$M$1517,M391,$B$5:$B$1517,B391,$C$5:$C$1517,"&lt;"&amp;C391),"")</f>
        <v/>
      </c>
      <c r="S391" s="0" t="str">
        <f aca="false">IF(N391&gt;=Models!$G$7,1+COUNTIF($N$5:$N$1517,"&gt;"&amp;N391)+COUNTIFS($N$5:$N$1517,N391,$B$5:$B$1517,"&lt;"&amp;B391)+COUNTIFS($N$5:$N$1517,N391,$B$5:$B$1517,B391,$C$5:$C$1517,"&lt;"&amp;C391),"")</f>
        <v/>
      </c>
      <c r="T391" s="8" t="n">
        <f aca="false">IF(O391&gt;=Models!$G$8,1+COUNTIF($O$5:$O$1517,"&gt;"&amp;O391)+COUNTIFS($O$5:$O$1517,O391,$B$5:$B$1517,"&lt;"&amp;B391)+COUNTIFS($O$5:$O$1517,O391,$B$5:$B$1517,B391,$C$5:$C$1517,"&lt;"&amp;C391),"")</f>
        <v>88</v>
      </c>
      <c r="U391" s="8" t="n">
        <f aca="false">IF($K391=1,COUNTIFS($L$5:$L$1517,"&gt;="&amp;L391,$K$5:$K$1517,1)/COUNTIF($L$5:$L$1517,"&gt;="&amp;L391),0)</f>
        <v>0</v>
      </c>
      <c r="V391" s="8" t="n">
        <f aca="false">IF($K391=1,COUNTIFS($M$5:$M$1517,"&gt;="&amp;M391,$K$5:$K$1517,1)/COUNTIF($M$5:$M$1517,"&gt;="&amp;M391),0)</f>
        <v>0</v>
      </c>
      <c r="W391" s="8" t="n">
        <f aca="false">IF($K391=1,COUNTIFS($N$5:$N$1517,"&gt;="&amp;N391,$K$5:$K$1517,1)/COUNTIF($N$5:$N$1517,"&gt;="&amp;N391),0)</f>
        <v>0</v>
      </c>
      <c r="X391" s="8" t="n">
        <f aca="false">IF($K391=1,COUNTIFS($O$5:$O$1517,"&gt;="&amp;O391,$K$5:$K$1517,1)/COUNTIF($O$5:$O$1517,"&gt;="&amp;O391),0)</f>
        <v>0</v>
      </c>
      <c r="Y391" s="8" t="n">
        <f aca="false">IF($K391=1,COUNTIFS($P$5:$P$1517,"&gt;="&amp;P391,$K$5:$K$1517,1)/COUNTIF($P$5:$P$1517,"&gt;="&amp;P391),0)</f>
        <v>0</v>
      </c>
      <c r="Z391" s="8" t="n">
        <f aca="false">(L391-$K391)^2</f>
        <v>0.021683446009</v>
      </c>
      <c r="AA391" s="8" t="n">
        <f aca="false">(M391-$K391)^2</f>
        <v>0.008475595969</v>
      </c>
      <c r="AB391" s="8" t="n">
        <f aca="false">(N391-$K391)^2</f>
        <v>0.003958297225</v>
      </c>
      <c r="AC391" s="8" t="n">
        <f aca="false">(O391-$K391)^2</f>
        <v>0.011274829489</v>
      </c>
      <c r="AD391" s="8" t="n">
        <f aca="false">(P391-$K391)^2</f>
        <v>0.004269707649</v>
      </c>
      <c r="AE391" s="8" t="n">
        <f aca="false">MIN(INT(ROUND(N391*1000000,0)/100000),9)</f>
        <v>0</v>
      </c>
      <c r="AF391" s="8" t="n">
        <f aca="false">MIN(INT(ROUND(P391*1000000,0)/100000),9)</f>
        <v>0</v>
      </c>
    </row>
    <row r="392" customFormat="false" ht="15" hidden="false" customHeight="false" outlineLevel="0" collapsed="false">
      <c r="A392" s="4" t="n">
        <v>388</v>
      </c>
      <c r="B392" s="4" t="n">
        <v>114</v>
      </c>
      <c r="C392" s="4" t="n">
        <v>1</v>
      </c>
      <c r="D392" s="11" t="n">
        <v>46082</v>
      </c>
      <c r="E392" s="4" t="s">
        <v>202</v>
      </c>
      <c r="F392" s="4" t="s">
        <v>206</v>
      </c>
      <c r="G392" s="4" t="n">
        <v>9</v>
      </c>
      <c r="H392" s="4" t="n">
        <v>5</v>
      </c>
      <c r="I392" s="4" t="n">
        <v>0</v>
      </c>
      <c r="J392" s="4"/>
      <c r="K392" s="4" t="n">
        <v>0</v>
      </c>
      <c r="L392" s="12" t="n">
        <v>0.774458</v>
      </c>
      <c r="M392" s="12" t="n">
        <v>0.092063</v>
      </c>
      <c r="N392" s="12" t="n">
        <v>0.039857</v>
      </c>
      <c r="O392" s="12" t="n">
        <v>0.106183</v>
      </c>
      <c r="P392" s="12" t="n">
        <v>0.040536</v>
      </c>
      <c r="Q392" s="0" t="str">
        <f aca="false">IF(L392&gt;=Models!$G$5,1+COUNTIF($L$5:$L$1517,"&gt;"&amp;L392)+COUNTIFS($L$5:$L$1517,L392,$B$5:$B$1517,"&lt;"&amp;B392)+COUNTIFS($L$5:$L$1517,L392,$B$5:$B$1517,B392,$C$5:$C$1517,"&lt;"&amp;C392),"")</f>
        <v/>
      </c>
      <c r="R392" s="0" t="str">
        <f aca="false">IF(M392&gt;=Models!$G$6,1+COUNTIF($M$5:$M$1517,"&gt;"&amp;M392)+COUNTIFS($M$5:$M$1517,M392,$B$5:$B$1517,"&lt;"&amp;B392)+COUNTIFS($M$5:$M$1517,M392,$B$5:$B$1517,B392,$C$5:$C$1517,"&lt;"&amp;C392),"")</f>
        <v/>
      </c>
      <c r="S392" s="0" t="str">
        <f aca="false">IF(N392&gt;=Models!$G$7,1+COUNTIF($N$5:$N$1517,"&gt;"&amp;N392)+COUNTIFS($N$5:$N$1517,N392,$B$5:$B$1517,"&lt;"&amp;B392)+COUNTIFS($N$5:$N$1517,N392,$B$5:$B$1517,B392,$C$5:$C$1517,"&lt;"&amp;C392),"")</f>
        <v/>
      </c>
      <c r="T392" s="8" t="n">
        <f aca="false">IF(O392&gt;=Models!$G$8,1+COUNTIF($O$5:$O$1517,"&gt;"&amp;O392)+COUNTIFS($O$5:$O$1517,O392,$B$5:$B$1517,"&lt;"&amp;B392)+COUNTIFS($O$5:$O$1517,O392,$B$5:$B$1517,B392,$C$5:$C$1517,"&lt;"&amp;C392),"")</f>
        <v>92</v>
      </c>
      <c r="U392" s="8" t="n">
        <f aca="false">IF($K392=1,COUNTIFS($L$5:$L$1517,"&gt;="&amp;L392,$K$5:$K$1517,1)/COUNTIF($L$5:$L$1517,"&gt;="&amp;L392),0)</f>
        <v>0</v>
      </c>
      <c r="V392" s="8" t="n">
        <f aca="false">IF($K392=1,COUNTIFS($M$5:$M$1517,"&gt;="&amp;M392,$K$5:$K$1517,1)/COUNTIF($M$5:$M$1517,"&gt;="&amp;M392),0)</f>
        <v>0</v>
      </c>
      <c r="W392" s="8" t="n">
        <f aca="false">IF($K392=1,COUNTIFS($N$5:$N$1517,"&gt;="&amp;N392,$K$5:$K$1517,1)/COUNTIF($N$5:$N$1517,"&gt;="&amp;N392),0)</f>
        <v>0</v>
      </c>
      <c r="X392" s="8" t="n">
        <f aca="false">IF($K392=1,COUNTIFS($O$5:$O$1517,"&gt;="&amp;O392,$K$5:$K$1517,1)/COUNTIF($O$5:$O$1517,"&gt;="&amp;O392),0)</f>
        <v>0</v>
      </c>
      <c r="Y392" s="8" t="n">
        <f aca="false">IF($K392=1,COUNTIFS($P$5:$P$1517,"&gt;="&amp;P392,$K$5:$K$1517,1)/COUNTIF($P$5:$P$1517,"&gt;="&amp;P392),0)</f>
        <v>0</v>
      </c>
      <c r="Z392" s="8" t="n">
        <f aca="false">(L392-$K392)^2</f>
        <v>0.599785193764</v>
      </c>
      <c r="AA392" s="8" t="n">
        <f aca="false">(M392-$K392)^2</f>
        <v>0.008475595969</v>
      </c>
      <c r="AB392" s="8" t="n">
        <f aca="false">(N392-$K392)^2</f>
        <v>0.001588580449</v>
      </c>
      <c r="AC392" s="8" t="n">
        <f aca="false">(O392-$K392)^2</f>
        <v>0.011274829489</v>
      </c>
      <c r="AD392" s="8" t="n">
        <f aca="false">(P392-$K392)^2</f>
        <v>0.001643167296</v>
      </c>
      <c r="AE392" s="8" t="n">
        <f aca="false">MIN(INT(ROUND(N392*1000000,0)/100000),9)</f>
        <v>0</v>
      </c>
      <c r="AF392" s="8" t="n">
        <f aca="false">MIN(INT(ROUND(P392*1000000,0)/100000),9)</f>
        <v>0</v>
      </c>
    </row>
    <row r="393" customFormat="false" ht="15" hidden="false" customHeight="false" outlineLevel="0" collapsed="false">
      <c r="A393" s="4" t="n">
        <v>389</v>
      </c>
      <c r="B393" s="4" t="n">
        <v>146</v>
      </c>
      <c r="C393" s="4" t="n">
        <v>1</v>
      </c>
      <c r="D393" s="11" t="n">
        <v>46082</v>
      </c>
      <c r="E393" s="4" t="s">
        <v>202</v>
      </c>
      <c r="F393" s="4" t="s">
        <v>206</v>
      </c>
      <c r="G393" s="4" t="n">
        <v>8</v>
      </c>
      <c r="H393" s="4" t="n">
        <v>6</v>
      </c>
      <c r="I393" s="4" t="n">
        <v>0</v>
      </c>
      <c r="J393" s="4"/>
      <c r="K393" s="4" t="n">
        <v>0</v>
      </c>
      <c r="L393" s="12" t="n">
        <v>0.326501</v>
      </c>
      <c r="M393" s="12" t="n">
        <v>0.092063</v>
      </c>
      <c r="N393" s="12" t="n">
        <v>0.043789</v>
      </c>
      <c r="O393" s="12" t="n">
        <v>0.106183</v>
      </c>
      <c r="P393" s="12" t="n">
        <v>0.044731</v>
      </c>
      <c r="Q393" s="0" t="str">
        <f aca="false">IF(L393&gt;=Models!$G$5,1+COUNTIF($L$5:$L$1517,"&gt;"&amp;L393)+COUNTIFS($L$5:$L$1517,L393,$B$5:$B$1517,"&lt;"&amp;B393)+COUNTIFS($L$5:$L$1517,L393,$B$5:$B$1517,B393,$C$5:$C$1517,"&lt;"&amp;C393),"")</f>
        <v/>
      </c>
      <c r="R393" s="0" t="str">
        <f aca="false">IF(M393&gt;=Models!$G$6,1+COUNTIF($M$5:$M$1517,"&gt;"&amp;M393)+COUNTIFS($M$5:$M$1517,M393,$B$5:$B$1517,"&lt;"&amp;B393)+COUNTIFS($M$5:$M$1517,M393,$B$5:$B$1517,B393,$C$5:$C$1517,"&lt;"&amp;C393),"")</f>
        <v/>
      </c>
      <c r="S393" s="0" t="str">
        <f aca="false">IF(N393&gt;=Models!$G$7,1+COUNTIF($N$5:$N$1517,"&gt;"&amp;N393)+COUNTIFS($N$5:$N$1517,N393,$B$5:$B$1517,"&lt;"&amp;B393)+COUNTIFS($N$5:$N$1517,N393,$B$5:$B$1517,B393,$C$5:$C$1517,"&lt;"&amp;C393),"")</f>
        <v/>
      </c>
      <c r="T393" s="8" t="n">
        <f aca="false">IF(O393&gt;=Models!$G$8,1+COUNTIF($O$5:$O$1517,"&gt;"&amp;O393)+COUNTIFS($O$5:$O$1517,O393,$B$5:$B$1517,"&lt;"&amp;B393)+COUNTIFS($O$5:$O$1517,O393,$B$5:$B$1517,B393,$C$5:$C$1517,"&lt;"&amp;C393),"")</f>
        <v>96</v>
      </c>
      <c r="U393" s="8" t="n">
        <f aca="false">IF($K393=1,COUNTIFS($L$5:$L$1517,"&gt;="&amp;L393,$K$5:$K$1517,1)/COUNTIF($L$5:$L$1517,"&gt;="&amp;L393),0)</f>
        <v>0</v>
      </c>
      <c r="V393" s="8" t="n">
        <f aca="false">IF($K393=1,COUNTIFS($M$5:$M$1517,"&gt;="&amp;M393,$K$5:$K$1517,1)/COUNTIF($M$5:$M$1517,"&gt;="&amp;M393),0)</f>
        <v>0</v>
      </c>
      <c r="W393" s="8" t="n">
        <f aca="false">IF($K393=1,COUNTIFS($N$5:$N$1517,"&gt;="&amp;N393,$K$5:$K$1517,1)/COUNTIF($N$5:$N$1517,"&gt;="&amp;N393),0)</f>
        <v>0</v>
      </c>
      <c r="X393" s="8" t="n">
        <f aca="false">IF($K393=1,COUNTIFS($O$5:$O$1517,"&gt;="&amp;O393,$K$5:$K$1517,1)/COUNTIF($O$5:$O$1517,"&gt;="&amp;O393),0)</f>
        <v>0</v>
      </c>
      <c r="Y393" s="8" t="n">
        <f aca="false">IF($K393=1,COUNTIFS($P$5:$P$1517,"&gt;="&amp;P393,$K$5:$K$1517,1)/COUNTIF($P$5:$P$1517,"&gt;="&amp;P393),0)</f>
        <v>0</v>
      </c>
      <c r="Z393" s="8" t="n">
        <f aca="false">(L393-$K393)^2</f>
        <v>0.106602903001</v>
      </c>
      <c r="AA393" s="8" t="n">
        <f aca="false">(M393-$K393)^2</f>
        <v>0.008475595969</v>
      </c>
      <c r="AB393" s="8" t="n">
        <f aca="false">(N393-$K393)^2</f>
        <v>0.001917476521</v>
      </c>
      <c r="AC393" s="8" t="n">
        <f aca="false">(O393-$K393)^2</f>
        <v>0.011274829489</v>
      </c>
      <c r="AD393" s="8" t="n">
        <f aca="false">(P393-$K393)^2</f>
        <v>0.002000862361</v>
      </c>
      <c r="AE393" s="8" t="n">
        <f aca="false">MIN(INT(ROUND(N393*1000000,0)/100000),9)</f>
        <v>0</v>
      </c>
      <c r="AF393" s="8" t="n">
        <f aca="false">MIN(INT(ROUND(P393*1000000,0)/100000),9)</f>
        <v>0</v>
      </c>
    </row>
    <row r="394" customFormat="false" ht="15" hidden="false" customHeight="false" outlineLevel="0" collapsed="false">
      <c r="A394" s="4" t="n">
        <v>390</v>
      </c>
      <c r="B394" s="4" t="n">
        <v>147</v>
      </c>
      <c r="C394" s="4" t="n">
        <v>1</v>
      </c>
      <c r="D394" s="11" t="n">
        <v>46082</v>
      </c>
      <c r="E394" s="4" t="s">
        <v>202</v>
      </c>
      <c r="F394" s="4" t="s">
        <v>206</v>
      </c>
      <c r="G394" s="4" t="n">
        <v>4</v>
      </c>
      <c r="H394" s="4" t="n">
        <v>8</v>
      </c>
      <c r="I394" s="4" t="n">
        <v>0</v>
      </c>
      <c r="J394" s="4"/>
      <c r="K394" s="4" t="n">
        <v>0</v>
      </c>
      <c r="L394" s="12" t="n">
        <v>0.268527</v>
      </c>
      <c r="M394" s="12" t="n">
        <v>0.092063</v>
      </c>
      <c r="N394" s="12" t="n">
        <v>0.062549</v>
      </c>
      <c r="O394" s="12" t="n">
        <v>0.106183</v>
      </c>
      <c r="P394" s="12" t="n">
        <v>0.064946</v>
      </c>
      <c r="Q394" s="0" t="str">
        <f aca="false">IF(L394&gt;=Models!$G$5,1+COUNTIF($L$5:$L$1517,"&gt;"&amp;L394)+COUNTIFS($L$5:$L$1517,L394,$B$5:$B$1517,"&lt;"&amp;B394)+COUNTIFS($L$5:$L$1517,L394,$B$5:$B$1517,B394,$C$5:$C$1517,"&lt;"&amp;C394),"")</f>
        <v/>
      </c>
      <c r="R394" s="0" t="str">
        <f aca="false">IF(M394&gt;=Models!$G$6,1+COUNTIF($M$5:$M$1517,"&gt;"&amp;M394)+COUNTIFS($M$5:$M$1517,M394,$B$5:$B$1517,"&lt;"&amp;B394)+COUNTIFS($M$5:$M$1517,M394,$B$5:$B$1517,B394,$C$5:$C$1517,"&lt;"&amp;C394),"")</f>
        <v/>
      </c>
      <c r="S394" s="0" t="str">
        <f aca="false">IF(N394&gt;=Models!$G$7,1+COUNTIF($N$5:$N$1517,"&gt;"&amp;N394)+COUNTIFS($N$5:$N$1517,N394,$B$5:$B$1517,"&lt;"&amp;B394)+COUNTIFS($N$5:$N$1517,N394,$B$5:$B$1517,B394,$C$5:$C$1517,"&lt;"&amp;C394),"")</f>
        <v/>
      </c>
      <c r="T394" s="8" t="n">
        <f aca="false">IF(O394&gt;=Models!$G$8,1+COUNTIF($O$5:$O$1517,"&gt;"&amp;O394)+COUNTIFS($O$5:$O$1517,O394,$B$5:$B$1517,"&lt;"&amp;B394)+COUNTIFS($O$5:$O$1517,O394,$B$5:$B$1517,B394,$C$5:$C$1517,"&lt;"&amp;C394),"")</f>
        <v>100</v>
      </c>
      <c r="U394" s="8" t="n">
        <f aca="false">IF($K394=1,COUNTIFS($L$5:$L$1517,"&gt;="&amp;L394,$K$5:$K$1517,1)/COUNTIF($L$5:$L$1517,"&gt;="&amp;L394),0)</f>
        <v>0</v>
      </c>
      <c r="V394" s="8" t="n">
        <f aca="false">IF($K394=1,COUNTIFS($M$5:$M$1517,"&gt;="&amp;M394,$K$5:$K$1517,1)/COUNTIF($M$5:$M$1517,"&gt;="&amp;M394),0)</f>
        <v>0</v>
      </c>
      <c r="W394" s="8" t="n">
        <f aca="false">IF($K394=1,COUNTIFS($N$5:$N$1517,"&gt;="&amp;N394,$K$5:$K$1517,1)/COUNTIF($N$5:$N$1517,"&gt;="&amp;N394),0)</f>
        <v>0</v>
      </c>
      <c r="X394" s="8" t="n">
        <f aca="false">IF($K394=1,COUNTIFS($O$5:$O$1517,"&gt;="&amp;O394,$K$5:$K$1517,1)/COUNTIF($O$5:$O$1517,"&gt;="&amp;O394),0)</f>
        <v>0</v>
      </c>
      <c r="Y394" s="8" t="n">
        <f aca="false">IF($K394=1,COUNTIFS($P$5:$P$1517,"&gt;="&amp;P394,$K$5:$K$1517,1)/COUNTIF($P$5:$P$1517,"&gt;="&amp;P394),0)</f>
        <v>0</v>
      </c>
      <c r="Z394" s="8" t="n">
        <f aca="false">(L394-$K394)^2</f>
        <v>0.072106749729</v>
      </c>
      <c r="AA394" s="8" t="n">
        <f aca="false">(M394-$K394)^2</f>
        <v>0.008475595969</v>
      </c>
      <c r="AB394" s="8" t="n">
        <f aca="false">(N394-$K394)^2</f>
        <v>0.003912377401</v>
      </c>
      <c r="AC394" s="8" t="n">
        <f aca="false">(O394-$K394)^2</f>
        <v>0.011274829489</v>
      </c>
      <c r="AD394" s="8" t="n">
        <f aca="false">(P394-$K394)^2</f>
        <v>0.004217982916</v>
      </c>
      <c r="AE394" s="8" t="n">
        <f aca="false">MIN(INT(ROUND(N394*1000000,0)/100000),9)</f>
        <v>0</v>
      </c>
      <c r="AF394" s="8" t="n">
        <f aca="false">MIN(INT(ROUND(P394*1000000,0)/100000),9)</f>
        <v>0</v>
      </c>
    </row>
    <row r="395" customFormat="false" ht="15" hidden="false" customHeight="false" outlineLevel="0" collapsed="false">
      <c r="A395" s="4" t="n">
        <v>391</v>
      </c>
      <c r="B395" s="4" t="n">
        <v>148</v>
      </c>
      <c r="C395" s="4" t="n">
        <v>1</v>
      </c>
      <c r="D395" s="11" t="n">
        <v>46082</v>
      </c>
      <c r="E395" s="4" t="s">
        <v>204</v>
      </c>
      <c r="F395" s="4" t="s">
        <v>206</v>
      </c>
      <c r="G395" s="4" t="n">
        <v>0</v>
      </c>
      <c r="H395" s="4" t="n">
        <v>35</v>
      </c>
      <c r="I395" s="4" t="n">
        <v>0</v>
      </c>
      <c r="J395" s="4" t="n">
        <v>117</v>
      </c>
      <c r="K395" s="4" t="n">
        <v>0</v>
      </c>
      <c r="L395" s="12" t="n">
        <v>0.468468</v>
      </c>
      <c r="M395" s="12" t="n">
        <v>0.184211</v>
      </c>
      <c r="N395" s="12" t="n">
        <v>0.201646</v>
      </c>
      <c r="O395" s="12" t="n">
        <v>0.106183</v>
      </c>
      <c r="P395" s="12" t="n">
        <v>0.218823</v>
      </c>
      <c r="Q395" s="0" t="str">
        <f aca="false">IF(L395&gt;=Models!$G$5,1+COUNTIF($L$5:$L$1517,"&gt;"&amp;L395)+COUNTIFS($L$5:$L$1517,L395,$B$5:$B$1517,"&lt;"&amp;B395)+COUNTIFS($L$5:$L$1517,L395,$B$5:$B$1517,B395,$C$5:$C$1517,"&lt;"&amp;C395),"")</f>
        <v/>
      </c>
      <c r="R395" s="8" t="n">
        <f aca="false">IF(M395&gt;=Models!$G$6,1+COUNTIF($M$5:$M$1517,"&gt;"&amp;M395)+COUNTIFS($M$5:$M$1517,M395,$B$5:$B$1517,"&lt;"&amp;B395)+COUNTIFS($M$5:$M$1517,M395,$B$5:$B$1517,B395,$C$5:$C$1517,"&lt;"&amp;C395),"")</f>
        <v>10</v>
      </c>
      <c r="S395" s="0" t="str">
        <f aca="false">IF(N395&gt;=Models!$G$7,1+COUNTIF($N$5:$N$1517,"&gt;"&amp;N395)+COUNTIFS($N$5:$N$1517,N395,$B$5:$B$1517,"&lt;"&amp;B395)+COUNTIFS($N$5:$N$1517,N395,$B$5:$B$1517,B395,$C$5:$C$1517,"&lt;"&amp;C395),"")</f>
        <v/>
      </c>
      <c r="T395" s="8" t="n">
        <f aca="false">IF(O395&gt;=Models!$G$8,1+COUNTIF($O$5:$O$1517,"&gt;"&amp;O395)+COUNTIFS($O$5:$O$1517,O395,$B$5:$B$1517,"&lt;"&amp;B395)+COUNTIFS($O$5:$O$1517,O395,$B$5:$B$1517,B395,$C$5:$C$1517,"&lt;"&amp;C395),"")</f>
        <v>104</v>
      </c>
      <c r="U395" s="8" t="n">
        <f aca="false">IF($K395=1,COUNTIFS($L$5:$L$1517,"&gt;="&amp;L395,$K$5:$K$1517,1)/COUNTIF($L$5:$L$1517,"&gt;="&amp;L395),0)</f>
        <v>0</v>
      </c>
      <c r="V395" s="8" t="n">
        <f aca="false">IF($K395=1,COUNTIFS($M$5:$M$1517,"&gt;="&amp;M395,$K$5:$K$1517,1)/COUNTIF($M$5:$M$1517,"&gt;="&amp;M395),0)</f>
        <v>0</v>
      </c>
      <c r="W395" s="8" t="n">
        <f aca="false">IF($K395=1,COUNTIFS($N$5:$N$1517,"&gt;="&amp;N395,$K$5:$K$1517,1)/COUNTIF($N$5:$N$1517,"&gt;="&amp;N395),0)</f>
        <v>0</v>
      </c>
      <c r="X395" s="8" t="n">
        <f aca="false">IF($K395=1,COUNTIFS($O$5:$O$1517,"&gt;="&amp;O395,$K$5:$K$1517,1)/COUNTIF($O$5:$O$1517,"&gt;="&amp;O395),0)</f>
        <v>0</v>
      </c>
      <c r="Y395" s="8" t="n">
        <f aca="false">IF($K395=1,COUNTIFS($P$5:$P$1517,"&gt;="&amp;P395,$K$5:$K$1517,1)/COUNTIF($P$5:$P$1517,"&gt;="&amp;P395),0)</f>
        <v>0</v>
      </c>
      <c r="Z395" s="8" t="n">
        <f aca="false">(L395-$K395)^2</f>
        <v>0.219462267024</v>
      </c>
      <c r="AA395" s="8" t="n">
        <f aca="false">(M395-$K395)^2</f>
        <v>0.033933692521</v>
      </c>
      <c r="AB395" s="8" t="n">
        <f aca="false">(N395-$K395)^2</f>
        <v>0.040661109316</v>
      </c>
      <c r="AC395" s="8" t="n">
        <f aca="false">(O395-$K395)^2</f>
        <v>0.011274829489</v>
      </c>
      <c r="AD395" s="8" t="n">
        <f aca="false">(P395-$K395)^2</f>
        <v>0.047883505329</v>
      </c>
      <c r="AE395" s="8" t="n">
        <f aca="false">MIN(INT(ROUND(N395*1000000,0)/100000),9)</f>
        <v>2</v>
      </c>
      <c r="AF395" s="8" t="n">
        <f aca="false">MIN(INT(ROUND(P395*1000000,0)/100000),9)</f>
        <v>2</v>
      </c>
    </row>
    <row r="396" customFormat="false" ht="15" hidden="false" customHeight="false" outlineLevel="0" collapsed="false">
      <c r="A396" s="4" t="n">
        <v>392</v>
      </c>
      <c r="B396" s="4" t="n">
        <v>159</v>
      </c>
      <c r="C396" s="4" t="n">
        <v>1</v>
      </c>
      <c r="D396" s="11" t="n">
        <v>46082</v>
      </c>
      <c r="E396" s="4" t="s">
        <v>203</v>
      </c>
      <c r="F396" s="4" t="s">
        <v>210</v>
      </c>
      <c r="G396" s="4" t="n">
        <v>9</v>
      </c>
      <c r="H396" s="4" t="n">
        <v>1</v>
      </c>
      <c r="I396" s="4" t="n">
        <v>0</v>
      </c>
      <c r="J396" s="4"/>
      <c r="K396" s="4" t="n">
        <v>0</v>
      </c>
      <c r="L396" s="12" t="n">
        <v>0.803413</v>
      </c>
      <c r="M396" s="12" t="n">
        <v>0.092063</v>
      </c>
      <c r="N396" s="12" t="n">
        <v>0.038622</v>
      </c>
      <c r="O396" s="12" t="n">
        <v>0.106183</v>
      </c>
      <c r="P396" s="12" t="n">
        <v>0.039222</v>
      </c>
      <c r="Q396" s="0" t="str">
        <f aca="false">IF(L396&gt;=Models!$G$5,1+COUNTIF($L$5:$L$1517,"&gt;"&amp;L396)+COUNTIFS($L$5:$L$1517,L396,$B$5:$B$1517,"&lt;"&amp;B396)+COUNTIFS($L$5:$L$1517,L396,$B$5:$B$1517,B396,$C$5:$C$1517,"&lt;"&amp;C396),"")</f>
        <v/>
      </c>
      <c r="R396" s="0" t="str">
        <f aca="false">IF(M396&gt;=Models!$G$6,1+COUNTIF($M$5:$M$1517,"&gt;"&amp;M396)+COUNTIFS($M$5:$M$1517,M396,$B$5:$B$1517,"&lt;"&amp;B396)+COUNTIFS($M$5:$M$1517,M396,$B$5:$B$1517,B396,$C$5:$C$1517,"&lt;"&amp;C396),"")</f>
        <v/>
      </c>
      <c r="S396" s="0" t="str">
        <f aca="false">IF(N396&gt;=Models!$G$7,1+COUNTIF($N$5:$N$1517,"&gt;"&amp;N396)+COUNTIFS($N$5:$N$1517,N396,$B$5:$B$1517,"&lt;"&amp;B396)+COUNTIFS($N$5:$N$1517,N396,$B$5:$B$1517,B396,$C$5:$C$1517,"&lt;"&amp;C396),"")</f>
        <v/>
      </c>
      <c r="T396" s="8" t="n">
        <f aca="false">IF(O396&gt;=Models!$G$8,1+COUNTIF($O$5:$O$1517,"&gt;"&amp;O396)+COUNTIFS($O$5:$O$1517,O396,$B$5:$B$1517,"&lt;"&amp;B396)+COUNTIFS($O$5:$O$1517,O396,$B$5:$B$1517,B396,$C$5:$C$1517,"&lt;"&amp;C396),"")</f>
        <v>108</v>
      </c>
      <c r="U396" s="8" t="n">
        <f aca="false">IF($K396=1,COUNTIFS($L$5:$L$1517,"&gt;="&amp;L396,$K$5:$K$1517,1)/COUNTIF($L$5:$L$1517,"&gt;="&amp;L396),0)</f>
        <v>0</v>
      </c>
      <c r="V396" s="8" t="n">
        <f aca="false">IF($K396=1,COUNTIFS($M$5:$M$1517,"&gt;="&amp;M396,$K$5:$K$1517,1)/COUNTIF($M$5:$M$1517,"&gt;="&amp;M396),0)</f>
        <v>0</v>
      </c>
      <c r="W396" s="8" t="n">
        <f aca="false">IF($K396=1,COUNTIFS($N$5:$N$1517,"&gt;="&amp;N396,$K$5:$K$1517,1)/COUNTIF($N$5:$N$1517,"&gt;="&amp;N396),0)</f>
        <v>0</v>
      </c>
      <c r="X396" s="8" t="n">
        <f aca="false">IF($K396=1,COUNTIFS($O$5:$O$1517,"&gt;="&amp;O396,$K$5:$K$1517,1)/COUNTIF($O$5:$O$1517,"&gt;="&amp;O396),0)</f>
        <v>0</v>
      </c>
      <c r="Y396" s="8" t="n">
        <f aca="false">IF($K396=1,COUNTIFS($P$5:$P$1517,"&gt;="&amp;P396,$K$5:$K$1517,1)/COUNTIF($P$5:$P$1517,"&gt;="&amp;P396),0)</f>
        <v>0</v>
      </c>
      <c r="Z396" s="8" t="n">
        <f aca="false">(L396-$K396)^2</f>
        <v>0.645472448569</v>
      </c>
      <c r="AA396" s="8" t="n">
        <f aca="false">(M396-$K396)^2</f>
        <v>0.008475595969</v>
      </c>
      <c r="AB396" s="8" t="n">
        <f aca="false">(N396-$K396)^2</f>
        <v>0.001491658884</v>
      </c>
      <c r="AC396" s="8" t="n">
        <f aca="false">(O396-$K396)^2</f>
        <v>0.011274829489</v>
      </c>
      <c r="AD396" s="8" t="n">
        <f aca="false">(P396-$K396)^2</f>
        <v>0.001538365284</v>
      </c>
      <c r="AE396" s="8" t="n">
        <f aca="false">MIN(INT(ROUND(N396*1000000,0)/100000),9)</f>
        <v>0</v>
      </c>
      <c r="AF396" s="8" t="n">
        <f aca="false">MIN(INT(ROUND(P396*1000000,0)/100000),9)</f>
        <v>0</v>
      </c>
    </row>
    <row r="397" customFormat="false" ht="15" hidden="false" customHeight="false" outlineLevel="0" collapsed="false">
      <c r="A397" s="4" t="n">
        <v>393</v>
      </c>
      <c r="B397" s="4" t="n">
        <v>160</v>
      </c>
      <c r="C397" s="4" t="n">
        <v>1</v>
      </c>
      <c r="D397" s="11" t="n">
        <v>46082</v>
      </c>
      <c r="E397" s="4" t="s">
        <v>203</v>
      </c>
      <c r="F397" s="4" t="s">
        <v>206</v>
      </c>
      <c r="G397" s="4" t="n">
        <v>5</v>
      </c>
      <c r="H397" s="4" t="n">
        <v>1</v>
      </c>
      <c r="I397" s="4" t="n">
        <v>0</v>
      </c>
      <c r="J397" s="4"/>
      <c r="K397" s="4" t="n">
        <v>0</v>
      </c>
      <c r="L397" s="12" t="n">
        <v>0.713862</v>
      </c>
      <c r="M397" s="12" t="n">
        <v>0.092063</v>
      </c>
      <c r="N397" s="12" t="n">
        <v>0.054445</v>
      </c>
      <c r="O397" s="12" t="n">
        <v>0.106183</v>
      </c>
      <c r="P397" s="12" t="n">
        <v>0.056178</v>
      </c>
      <c r="Q397" s="0" t="str">
        <f aca="false">IF(L397&gt;=Models!$G$5,1+COUNTIF($L$5:$L$1517,"&gt;"&amp;L397)+COUNTIFS($L$5:$L$1517,L397,$B$5:$B$1517,"&lt;"&amp;B397)+COUNTIFS($L$5:$L$1517,L397,$B$5:$B$1517,B397,$C$5:$C$1517,"&lt;"&amp;C397),"")</f>
        <v/>
      </c>
      <c r="R397" s="0" t="str">
        <f aca="false">IF(M397&gt;=Models!$G$6,1+COUNTIF($M$5:$M$1517,"&gt;"&amp;M397)+COUNTIFS($M$5:$M$1517,M397,$B$5:$B$1517,"&lt;"&amp;B397)+COUNTIFS($M$5:$M$1517,M397,$B$5:$B$1517,B397,$C$5:$C$1517,"&lt;"&amp;C397),"")</f>
        <v/>
      </c>
      <c r="S397" s="0" t="str">
        <f aca="false">IF(N397&gt;=Models!$G$7,1+COUNTIF($N$5:$N$1517,"&gt;"&amp;N397)+COUNTIFS($N$5:$N$1517,N397,$B$5:$B$1517,"&lt;"&amp;B397)+COUNTIFS($N$5:$N$1517,N397,$B$5:$B$1517,B397,$C$5:$C$1517,"&lt;"&amp;C397),"")</f>
        <v/>
      </c>
      <c r="T397" s="8" t="n">
        <f aca="false">IF(O397&gt;=Models!$G$8,1+COUNTIF($O$5:$O$1517,"&gt;"&amp;O397)+COUNTIFS($O$5:$O$1517,O397,$B$5:$B$1517,"&lt;"&amp;B397)+COUNTIFS($O$5:$O$1517,O397,$B$5:$B$1517,B397,$C$5:$C$1517,"&lt;"&amp;C397),"")</f>
        <v>112</v>
      </c>
      <c r="U397" s="8" t="n">
        <f aca="false">IF($K397=1,COUNTIFS($L$5:$L$1517,"&gt;="&amp;L397,$K$5:$K$1517,1)/COUNTIF($L$5:$L$1517,"&gt;="&amp;L397),0)</f>
        <v>0</v>
      </c>
      <c r="V397" s="8" t="n">
        <f aca="false">IF($K397=1,COUNTIFS($M$5:$M$1517,"&gt;="&amp;M397,$K$5:$K$1517,1)/COUNTIF($M$5:$M$1517,"&gt;="&amp;M397),0)</f>
        <v>0</v>
      </c>
      <c r="W397" s="8" t="n">
        <f aca="false">IF($K397=1,COUNTIFS($N$5:$N$1517,"&gt;="&amp;N397,$K$5:$K$1517,1)/COUNTIF($N$5:$N$1517,"&gt;="&amp;N397),0)</f>
        <v>0</v>
      </c>
      <c r="X397" s="8" t="n">
        <f aca="false">IF($K397=1,COUNTIFS($O$5:$O$1517,"&gt;="&amp;O397,$K$5:$K$1517,1)/COUNTIF($O$5:$O$1517,"&gt;="&amp;O397),0)</f>
        <v>0</v>
      </c>
      <c r="Y397" s="8" t="n">
        <f aca="false">IF($K397=1,COUNTIFS($P$5:$P$1517,"&gt;="&amp;P397,$K$5:$K$1517,1)/COUNTIF($P$5:$P$1517,"&gt;="&amp;P397),0)</f>
        <v>0</v>
      </c>
      <c r="Z397" s="8" t="n">
        <f aca="false">(L397-$K397)^2</f>
        <v>0.509598955044</v>
      </c>
      <c r="AA397" s="8" t="n">
        <f aca="false">(M397-$K397)^2</f>
        <v>0.008475595969</v>
      </c>
      <c r="AB397" s="8" t="n">
        <f aca="false">(N397-$K397)^2</f>
        <v>0.002964258025</v>
      </c>
      <c r="AC397" s="8" t="n">
        <f aca="false">(O397-$K397)^2</f>
        <v>0.011274829489</v>
      </c>
      <c r="AD397" s="8" t="n">
        <f aca="false">(P397-$K397)^2</f>
        <v>0.003155967684</v>
      </c>
      <c r="AE397" s="8" t="n">
        <f aca="false">MIN(INT(ROUND(N397*1000000,0)/100000),9)</f>
        <v>0</v>
      </c>
      <c r="AF397" s="8" t="n">
        <f aca="false">MIN(INT(ROUND(P397*1000000,0)/100000),9)</f>
        <v>0</v>
      </c>
    </row>
    <row r="398" customFormat="false" ht="15" hidden="false" customHeight="false" outlineLevel="0" collapsed="false">
      <c r="A398" s="4" t="n">
        <v>394</v>
      </c>
      <c r="B398" s="4" t="n">
        <v>167</v>
      </c>
      <c r="C398" s="4" t="n">
        <v>1</v>
      </c>
      <c r="D398" s="11" t="n">
        <v>46082</v>
      </c>
      <c r="E398" s="4" t="s">
        <v>204</v>
      </c>
      <c r="F398" s="4" t="s">
        <v>209</v>
      </c>
      <c r="G398" s="4" t="n">
        <v>1</v>
      </c>
      <c r="H398" s="4" t="n">
        <v>5</v>
      </c>
      <c r="I398" s="4" t="n">
        <v>0</v>
      </c>
      <c r="J398" s="4"/>
      <c r="K398" s="4" t="n">
        <v>0</v>
      </c>
      <c r="L398" s="12" t="n">
        <v>0.547147</v>
      </c>
      <c r="M398" s="12" t="n">
        <v>0.092063</v>
      </c>
      <c r="N398" s="12" t="n">
        <v>0.078577</v>
      </c>
      <c r="O398" s="12" t="n">
        <v>0.106183</v>
      </c>
      <c r="P398" s="12" t="n">
        <v>0.082414</v>
      </c>
      <c r="Q398" s="0" t="str">
        <f aca="false">IF(L398&gt;=Models!$G$5,1+COUNTIF($L$5:$L$1517,"&gt;"&amp;L398)+COUNTIFS($L$5:$L$1517,L398,$B$5:$B$1517,"&lt;"&amp;B398)+COUNTIFS($L$5:$L$1517,L398,$B$5:$B$1517,B398,$C$5:$C$1517,"&lt;"&amp;C398),"")</f>
        <v/>
      </c>
      <c r="R398" s="0" t="str">
        <f aca="false">IF(M398&gt;=Models!$G$6,1+COUNTIF($M$5:$M$1517,"&gt;"&amp;M398)+COUNTIFS($M$5:$M$1517,M398,$B$5:$B$1517,"&lt;"&amp;B398)+COUNTIFS($M$5:$M$1517,M398,$B$5:$B$1517,B398,$C$5:$C$1517,"&lt;"&amp;C398),"")</f>
        <v/>
      </c>
      <c r="S398" s="0" t="str">
        <f aca="false">IF(N398&gt;=Models!$G$7,1+COUNTIF($N$5:$N$1517,"&gt;"&amp;N398)+COUNTIFS($N$5:$N$1517,N398,$B$5:$B$1517,"&lt;"&amp;B398)+COUNTIFS($N$5:$N$1517,N398,$B$5:$B$1517,B398,$C$5:$C$1517,"&lt;"&amp;C398),"")</f>
        <v/>
      </c>
      <c r="T398" s="8" t="n">
        <f aca="false">IF(O398&gt;=Models!$G$8,1+COUNTIF($O$5:$O$1517,"&gt;"&amp;O398)+COUNTIFS($O$5:$O$1517,O398,$B$5:$B$1517,"&lt;"&amp;B398)+COUNTIFS($O$5:$O$1517,O398,$B$5:$B$1517,B398,$C$5:$C$1517,"&lt;"&amp;C398),"")</f>
        <v>116</v>
      </c>
      <c r="U398" s="8" t="n">
        <f aca="false">IF($K398=1,COUNTIFS($L$5:$L$1517,"&gt;="&amp;L398,$K$5:$K$1517,1)/COUNTIF($L$5:$L$1517,"&gt;="&amp;L398),0)</f>
        <v>0</v>
      </c>
      <c r="V398" s="8" t="n">
        <f aca="false">IF($K398=1,COUNTIFS($M$5:$M$1517,"&gt;="&amp;M398,$K$5:$K$1517,1)/COUNTIF($M$5:$M$1517,"&gt;="&amp;M398),0)</f>
        <v>0</v>
      </c>
      <c r="W398" s="8" t="n">
        <f aca="false">IF($K398=1,COUNTIFS($N$5:$N$1517,"&gt;="&amp;N398,$K$5:$K$1517,1)/COUNTIF($N$5:$N$1517,"&gt;="&amp;N398),0)</f>
        <v>0</v>
      </c>
      <c r="X398" s="8" t="n">
        <f aca="false">IF($K398=1,COUNTIFS($O$5:$O$1517,"&gt;="&amp;O398,$K$5:$K$1517,1)/COUNTIF($O$5:$O$1517,"&gt;="&amp;O398),0)</f>
        <v>0</v>
      </c>
      <c r="Y398" s="8" t="n">
        <f aca="false">IF($K398=1,COUNTIFS($P$5:$P$1517,"&gt;="&amp;P398,$K$5:$K$1517,1)/COUNTIF($P$5:$P$1517,"&gt;="&amp;P398),0)</f>
        <v>0</v>
      </c>
      <c r="Z398" s="8" t="n">
        <f aca="false">(L398-$K398)^2</f>
        <v>0.299369839609</v>
      </c>
      <c r="AA398" s="8" t="n">
        <f aca="false">(M398-$K398)^2</f>
        <v>0.008475595969</v>
      </c>
      <c r="AB398" s="8" t="n">
        <f aca="false">(N398-$K398)^2</f>
        <v>0.006174344929</v>
      </c>
      <c r="AC398" s="8" t="n">
        <f aca="false">(O398-$K398)^2</f>
        <v>0.011274829489</v>
      </c>
      <c r="AD398" s="8" t="n">
        <f aca="false">(P398-$K398)^2</f>
        <v>0.006792067396</v>
      </c>
      <c r="AE398" s="8" t="n">
        <f aca="false">MIN(INT(ROUND(N398*1000000,0)/100000),9)</f>
        <v>0</v>
      </c>
      <c r="AF398" s="8" t="n">
        <f aca="false">MIN(INT(ROUND(P398*1000000,0)/100000),9)</f>
        <v>0</v>
      </c>
    </row>
    <row r="399" customFormat="false" ht="15" hidden="false" customHeight="false" outlineLevel="0" collapsed="false">
      <c r="A399" s="4" t="n">
        <v>395</v>
      </c>
      <c r="B399" s="4" t="n">
        <v>171</v>
      </c>
      <c r="C399" s="4" t="n">
        <v>1</v>
      </c>
      <c r="D399" s="11" t="n">
        <v>46082</v>
      </c>
      <c r="E399" s="4" t="s">
        <v>204</v>
      </c>
      <c r="F399" s="4" t="s">
        <v>209</v>
      </c>
      <c r="G399" s="4" t="n">
        <v>7</v>
      </c>
      <c r="H399" s="4" t="n">
        <v>1</v>
      </c>
      <c r="I399" s="4" t="n">
        <v>0</v>
      </c>
      <c r="J399" s="4" t="n">
        <v>114</v>
      </c>
      <c r="K399" s="4" t="n">
        <v>0</v>
      </c>
      <c r="L399" s="12" t="n">
        <v>0.298261</v>
      </c>
      <c r="M399" s="12" t="n">
        <v>0.092063</v>
      </c>
      <c r="N399" s="12" t="n">
        <v>0.092421</v>
      </c>
      <c r="O399" s="12" t="n">
        <v>0.106183</v>
      </c>
      <c r="P399" s="12" t="n">
        <v>0.097603</v>
      </c>
      <c r="Q399" s="0" t="str">
        <f aca="false">IF(L399&gt;=Models!$G$5,1+COUNTIF($L$5:$L$1517,"&gt;"&amp;L399)+COUNTIFS($L$5:$L$1517,L399,$B$5:$B$1517,"&lt;"&amp;B399)+COUNTIFS($L$5:$L$1517,L399,$B$5:$B$1517,B399,$C$5:$C$1517,"&lt;"&amp;C399),"")</f>
        <v/>
      </c>
      <c r="R399" s="0" t="str">
        <f aca="false">IF(M399&gt;=Models!$G$6,1+COUNTIF($M$5:$M$1517,"&gt;"&amp;M399)+COUNTIFS($M$5:$M$1517,M399,$B$5:$B$1517,"&lt;"&amp;B399)+COUNTIFS($M$5:$M$1517,M399,$B$5:$B$1517,B399,$C$5:$C$1517,"&lt;"&amp;C399),"")</f>
        <v/>
      </c>
      <c r="S399" s="0" t="str">
        <f aca="false">IF(N399&gt;=Models!$G$7,1+COUNTIF($N$5:$N$1517,"&gt;"&amp;N399)+COUNTIFS($N$5:$N$1517,N399,$B$5:$B$1517,"&lt;"&amp;B399)+COUNTIFS($N$5:$N$1517,N399,$B$5:$B$1517,B399,$C$5:$C$1517,"&lt;"&amp;C399),"")</f>
        <v/>
      </c>
      <c r="T399" s="8" t="n">
        <f aca="false">IF(O399&gt;=Models!$G$8,1+COUNTIF($O$5:$O$1517,"&gt;"&amp;O399)+COUNTIFS($O$5:$O$1517,O399,$B$5:$B$1517,"&lt;"&amp;B399)+COUNTIFS($O$5:$O$1517,O399,$B$5:$B$1517,B399,$C$5:$C$1517,"&lt;"&amp;C399),"")</f>
        <v>120</v>
      </c>
      <c r="U399" s="8" t="n">
        <f aca="false">IF($K399=1,COUNTIFS($L$5:$L$1517,"&gt;="&amp;L399,$K$5:$K$1517,1)/COUNTIF($L$5:$L$1517,"&gt;="&amp;L399),0)</f>
        <v>0</v>
      </c>
      <c r="V399" s="8" t="n">
        <f aca="false">IF($K399=1,COUNTIFS($M$5:$M$1517,"&gt;="&amp;M399,$K$5:$K$1517,1)/COUNTIF($M$5:$M$1517,"&gt;="&amp;M399),0)</f>
        <v>0</v>
      </c>
      <c r="W399" s="8" t="n">
        <f aca="false">IF($K399=1,COUNTIFS($N$5:$N$1517,"&gt;="&amp;N399,$K$5:$K$1517,1)/COUNTIF($N$5:$N$1517,"&gt;="&amp;N399),0)</f>
        <v>0</v>
      </c>
      <c r="X399" s="8" t="n">
        <f aca="false">IF($K399=1,COUNTIFS($O$5:$O$1517,"&gt;="&amp;O399,$K$5:$K$1517,1)/COUNTIF($O$5:$O$1517,"&gt;="&amp;O399),0)</f>
        <v>0</v>
      </c>
      <c r="Y399" s="8" t="n">
        <f aca="false">IF($K399=1,COUNTIFS($P$5:$P$1517,"&gt;="&amp;P399,$K$5:$K$1517,1)/COUNTIF($P$5:$P$1517,"&gt;="&amp;P399),0)</f>
        <v>0</v>
      </c>
      <c r="Z399" s="8" t="n">
        <f aca="false">(L399-$K399)^2</f>
        <v>0.088959624121</v>
      </c>
      <c r="AA399" s="8" t="n">
        <f aca="false">(M399-$K399)^2</f>
        <v>0.008475595969</v>
      </c>
      <c r="AB399" s="8" t="n">
        <f aca="false">(N399-$K399)^2</f>
        <v>0.008541641241</v>
      </c>
      <c r="AC399" s="8" t="n">
        <f aca="false">(O399-$K399)^2</f>
        <v>0.011274829489</v>
      </c>
      <c r="AD399" s="8" t="n">
        <f aca="false">(P399-$K399)^2</f>
        <v>0.009526345609</v>
      </c>
      <c r="AE399" s="8" t="n">
        <f aca="false">MIN(INT(ROUND(N399*1000000,0)/100000),9)</f>
        <v>0</v>
      </c>
      <c r="AF399" s="8" t="n">
        <f aca="false">MIN(INT(ROUND(P399*1000000,0)/100000),9)</f>
        <v>0</v>
      </c>
    </row>
    <row r="400" customFormat="false" ht="15" hidden="false" customHeight="false" outlineLevel="0" collapsed="false">
      <c r="A400" s="4" t="n">
        <v>396</v>
      </c>
      <c r="B400" s="4" t="n">
        <v>176</v>
      </c>
      <c r="C400" s="4" t="n">
        <v>1</v>
      </c>
      <c r="D400" s="11" t="n">
        <v>46082</v>
      </c>
      <c r="E400" s="4" t="s">
        <v>201</v>
      </c>
      <c r="F400" s="4" t="s">
        <v>206</v>
      </c>
      <c r="G400" s="4" t="n">
        <v>14</v>
      </c>
      <c r="H400" s="4" t="n">
        <v>1</v>
      </c>
      <c r="I400" s="4" t="n">
        <v>1</v>
      </c>
      <c r="J400" s="4"/>
      <c r="K400" s="4" t="n">
        <v>0</v>
      </c>
      <c r="L400" s="12" t="n">
        <v>0.131701</v>
      </c>
      <c r="M400" s="12" t="n">
        <v>0.184211</v>
      </c>
      <c r="N400" s="12" t="n">
        <v>0.044427</v>
      </c>
      <c r="O400" s="12" t="n">
        <v>0.106183</v>
      </c>
      <c r="P400" s="12" t="n">
        <v>0.045413</v>
      </c>
      <c r="Q400" s="0" t="str">
        <f aca="false">IF(L400&gt;=Models!$G$5,1+COUNTIF($L$5:$L$1517,"&gt;"&amp;L400)+COUNTIFS($L$5:$L$1517,L400,$B$5:$B$1517,"&lt;"&amp;B400)+COUNTIFS($L$5:$L$1517,L400,$B$5:$B$1517,B400,$C$5:$C$1517,"&lt;"&amp;C400),"")</f>
        <v/>
      </c>
      <c r="R400" s="8" t="n">
        <f aca="false">IF(M400&gt;=Models!$G$6,1+COUNTIF($M$5:$M$1517,"&gt;"&amp;M400)+COUNTIFS($M$5:$M$1517,M400,$B$5:$B$1517,"&lt;"&amp;B400)+COUNTIFS($M$5:$M$1517,M400,$B$5:$B$1517,B400,$C$5:$C$1517,"&lt;"&amp;C400),"")</f>
        <v>15</v>
      </c>
      <c r="S400" s="0" t="str">
        <f aca="false">IF(N400&gt;=Models!$G$7,1+COUNTIF($N$5:$N$1517,"&gt;"&amp;N400)+COUNTIFS($N$5:$N$1517,N400,$B$5:$B$1517,"&lt;"&amp;B400)+COUNTIFS($N$5:$N$1517,N400,$B$5:$B$1517,B400,$C$5:$C$1517,"&lt;"&amp;C400),"")</f>
        <v/>
      </c>
      <c r="T400" s="8" t="n">
        <f aca="false">IF(O400&gt;=Models!$G$8,1+COUNTIF($O$5:$O$1517,"&gt;"&amp;O400)+COUNTIFS($O$5:$O$1517,O400,$B$5:$B$1517,"&lt;"&amp;B400)+COUNTIFS($O$5:$O$1517,O400,$B$5:$B$1517,B400,$C$5:$C$1517,"&lt;"&amp;C400),"")</f>
        <v>124</v>
      </c>
      <c r="U400" s="8" t="n">
        <f aca="false">IF($K400=1,COUNTIFS($L$5:$L$1517,"&gt;="&amp;L400,$K$5:$K$1517,1)/COUNTIF($L$5:$L$1517,"&gt;="&amp;L400),0)</f>
        <v>0</v>
      </c>
      <c r="V400" s="8" t="n">
        <f aca="false">IF($K400=1,COUNTIFS($M$5:$M$1517,"&gt;="&amp;M400,$K$5:$K$1517,1)/COUNTIF($M$5:$M$1517,"&gt;="&amp;M400),0)</f>
        <v>0</v>
      </c>
      <c r="W400" s="8" t="n">
        <f aca="false">IF($K400=1,COUNTIFS($N$5:$N$1517,"&gt;="&amp;N400,$K$5:$K$1517,1)/COUNTIF($N$5:$N$1517,"&gt;="&amp;N400),0)</f>
        <v>0</v>
      </c>
      <c r="X400" s="8" t="n">
        <f aca="false">IF($K400=1,COUNTIFS($O$5:$O$1517,"&gt;="&amp;O400,$K$5:$K$1517,1)/COUNTIF($O$5:$O$1517,"&gt;="&amp;O400),0)</f>
        <v>0</v>
      </c>
      <c r="Y400" s="8" t="n">
        <f aca="false">IF($K400=1,COUNTIFS($P$5:$P$1517,"&gt;="&amp;P400,$K$5:$K$1517,1)/COUNTIF($P$5:$P$1517,"&gt;="&amp;P400),0)</f>
        <v>0</v>
      </c>
      <c r="Z400" s="8" t="n">
        <f aca="false">(L400-$K400)^2</f>
        <v>0.017345153401</v>
      </c>
      <c r="AA400" s="8" t="n">
        <f aca="false">(M400-$K400)^2</f>
        <v>0.033933692521</v>
      </c>
      <c r="AB400" s="8" t="n">
        <f aca="false">(N400-$K400)^2</f>
        <v>0.001973758329</v>
      </c>
      <c r="AC400" s="8" t="n">
        <f aca="false">(O400-$K400)^2</f>
        <v>0.011274829489</v>
      </c>
      <c r="AD400" s="8" t="n">
        <f aca="false">(P400-$K400)^2</f>
        <v>0.002062340569</v>
      </c>
      <c r="AE400" s="8" t="n">
        <f aca="false">MIN(INT(ROUND(N400*1000000,0)/100000),9)</f>
        <v>0</v>
      </c>
      <c r="AF400" s="8" t="n">
        <f aca="false">MIN(INT(ROUND(P400*1000000,0)/100000),9)</f>
        <v>0</v>
      </c>
    </row>
    <row r="401" customFormat="false" ht="15" hidden="false" customHeight="false" outlineLevel="0" collapsed="false">
      <c r="A401" s="4" t="n">
        <v>397</v>
      </c>
      <c r="B401" s="4" t="n">
        <v>177</v>
      </c>
      <c r="C401" s="4" t="n">
        <v>1</v>
      </c>
      <c r="D401" s="11" t="n">
        <v>46082</v>
      </c>
      <c r="E401" s="4" t="s">
        <v>203</v>
      </c>
      <c r="F401" s="4" t="s">
        <v>209</v>
      </c>
      <c r="G401" s="4" t="n">
        <v>4</v>
      </c>
      <c r="H401" s="4" t="n">
        <v>1</v>
      </c>
      <c r="I401" s="4" t="n">
        <v>0</v>
      </c>
      <c r="J401" s="4" t="n">
        <v>390</v>
      </c>
      <c r="K401" s="4" t="n">
        <v>0</v>
      </c>
      <c r="L401" s="12" t="n">
        <v>0.830427</v>
      </c>
      <c r="M401" s="12" t="n">
        <v>0.092063</v>
      </c>
      <c r="N401" s="12" t="n">
        <v>0.11604</v>
      </c>
      <c r="O401" s="12" t="n">
        <v>0.106183</v>
      </c>
      <c r="P401" s="12" t="n">
        <v>0.123671</v>
      </c>
      <c r="Q401" s="0" t="str">
        <f aca="false">IF(L401&gt;=Models!$G$5,1+COUNTIF($L$5:$L$1517,"&gt;"&amp;L401)+COUNTIFS($L$5:$L$1517,L401,$B$5:$B$1517,"&lt;"&amp;B401)+COUNTIFS($L$5:$L$1517,L401,$B$5:$B$1517,B401,$C$5:$C$1517,"&lt;"&amp;C401),"")</f>
        <v/>
      </c>
      <c r="R401" s="0" t="str">
        <f aca="false">IF(M401&gt;=Models!$G$6,1+COUNTIF($M$5:$M$1517,"&gt;"&amp;M401)+COUNTIFS($M$5:$M$1517,M401,$B$5:$B$1517,"&lt;"&amp;B401)+COUNTIFS($M$5:$M$1517,M401,$B$5:$B$1517,B401,$C$5:$C$1517,"&lt;"&amp;C401),"")</f>
        <v/>
      </c>
      <c r="S401" s="0" t="str">
        <f aca="false">IF(N401&gt;=Models!$G$7,1+COUNTIF($N$5:$N$1517,"&gt;"&amp;N401)+COUNTIFS($N$5:$N$1517,N401,$B$5:$B$1517,"&lt;"&amp;B401)+COUNTIFS($N$5:$N$1517,N401,$B$5:$B$1517,B401,$C$5:$C$1517,"&lt;"&amp;C401),"")</f>
        <v/>
      </c>
      <c r="T401" s="8" t="n">
        <f aca="false">IF(O401&gt;=Models!$G$8,1+COUNTIF($O$5:$O$1517,"&gt;"&amp;O401)+COUNTIFS($O$5:$O$1517,O401,$B$5:$B$1517,"&lt;"&amp;B401)+COUNTIFS($O$5:$O$1517,O401,$B$5:$B$1517,B401,$C$5:$C$1517,"&lt;"&amp;C401),"")</f>
        <v>128</v>
      </c>
      <c r="U401" s="8" t="n">
        <f aca="false">IF($K401=1,COUNTIFS($L$5:$L$1517,"&gt;="&amp;L401,$K$5:$K$1517,1)/COUNTIF($L$5:$L$1517,"&gt;="&amp;L401),0)</f>
        <v>0</v>
      </c>
      <c r="V401" s="8" t="n">
        <f aca="false">IF($K401=1,COUNTIFS($M$5:$M$1517,"&gt;="&amp;M401,$K$5:$K$1517,1)/COUNTIF($M$5:$M$1517,"&gt;="&amp;M401),0)</f>
        <v>0</v>
      </c>
      <c r="W401" s="8" t="n">
        <f aca="false">IF($K401=1,COUNTIFS($N$5:$N$1517,"&gt;="&amp;N401,$K$5:$K$1517,1)/COUNTIF($N$5:$N$1517,"&gt;="&amp;N401),0)</f>
        <v>0</v>
      </c>
      <c r="X401" s="8" t="n">
        <f aca="false">IF($K401=1,COUNTIFS($O$5:$O$1517,"&gt;="&amp;O401,$K$5:$K$1517,1)/COUNTIF($O$5:$O$1517,"&gt;="&amp;O401),0)</f>
        <v>0</v>
      </c>
      <c r="Y401" s="8" t="n">
        <f aca="false">IF($K401=1,COUNTIFS($P$5:$P$1517,"&gt;="&amp;P401,$K$5:$K$1517,1)/COUNTIF($P$5:$P$1517,"&gt;="&amp;P401),0)</f>
        <v>0</v>
      </c>
      <c r="Z401" s="8" t="n">
        <f aca="false">(L401-$K401)^2</f>
        <v>0.689609002329</v>
      </c>
      <c r="AA401" s="8" t="n">
        <f aca="false">(M401-$K401)^2</f>
        <v>0.008475595969</v>
      </c>
      <c r="AB401" s="8" t="n">
        <f aca="false">(N401-$K401)^2</f>
        <v>0.0134652816</v>
      </c>
      <c r="AC401" s="8" t="n">
        <f aca="false">(O401-$K401)^2</f>
        <v>0.011274829489</v>
      </c>
      <c r="AD401" s="8" t="n">
        <f aca="false">(P401-$K401)^2</f>
        <v>0.015294516241</v>
      </c>
      <c r="AE401" s="8" t="n">
        <f aca="false">MIN(INT(ROUND(N401*1000000,0)/100000),9)</f>
        <v>1</v>
      </c>
      <c r="AF401" s="8" t="n">
        <f aca="false">MIN(INT(ROUND(P401*1000000,0)/100000),9)</f>
        <v>1</v>
      </c>
    </row>
    <row r="402" customFormat="false" ht="15" hidden="false" customHeight="false" outlineLevel="0" collapsed="false">
      <c r="A402" s="4" t="n">
        <v>398</v>
      </c>
      <c r="B402" s="4" t="n">
        <v>183</v>
      </c>
      <c r="C402" s="4" t="n">
        <v>1</v>
      </c>
      <c r="D402" s="11" t="n">
        <v>46082</v>
      </c>
      <c r="E402" s="4" t="s">
        <v>203</v>
      </c>
      <c r="F402" s="4" t="s">
        <v>206</v>
      </c>
      <c r="G402" s="4" t="n">
        <v>6</v>
      </c>
      <c r="H402" s="4" t="n">
        <v>1</v>
      </c>
      <c r="I402" s="4" t="n">
        <v>0</v>
      </c>
      <c r="J402" s="4" t="n">
        <v>339</v>
      </c>
      <c r="K402" s="4" t="n">
        <v>0</v>
      </c>
      <c r="L402" s="12" t="n">
        <v>0.207368</v>
      </c>
      <c r="M402" s="12" t="n">
        <v>0.092063</v>
      </c>
      <c r="N402" s="12" t="n">
        <v>0.099079</v>
      </c>
      <c r="O402" s="12" t="n">
        <v>0.106183</v>
      </c>
      <c r="P402" s="12" t="n">
        <v>0.104935</v>
      </c>
      <c r="Q402" s="0" t="str">
        <f aca="false">IF(L402&gt;=Models!$G$5,1+COUNTIF($L$5:$L$1517,"&gt;"&amp;L402)+COUNTIFS($L$5:$L$1517,L402,$B$5:$B$1517,"&lt;"&amp;B402)+COUNTIFS($L$5:$L$1517,L402,$B$5:$B$1517,B402,$C$5:$C$1517,"&lt;"&amp;C402),"")</f>
        <v/>
      </c>
      <c r="R402" s="0" t="str">
        <f aca="false">IF(M402&gt;=Models!$G$6,1+COUNTIF($M$5:$M$1517,"&gt;"&amp;M402)+COUNTIFS($M$5:$M$1517,M402,$B$5:$B$1517,"&lt;"&amp;B402)+COUNTIFS($M$5:$M$1517,M402,$B$5:$B$1517,B402,$C$5:$C$1517,"&lt;"&amp;C402),"")</f>
        <v/>
      </c>
      <c r="S402" s="0" t="str">
        <f aca="false">IF(N402&gt;=Models!$G$7,1+COUNTIF($N$5:$N$1517,"&gt;"&amp;N402)+COUNTIFS($N$5:$N$1517,N402,$B$5:$B$1517,"&lt;"&amp;B402)+COUNTIFS($N$5:$N$1517,N402,$B$5:$B$1517,B402,$C$5:$C$1517,"&lt;"&amp;C402),"")</f>
        <v/>
      </c>
      <c r="T402" s="8" t="n">
        <f aca="false">IF(O402&gt;=Models!$G$8,1+COUNTIF($O$5:$O$1517,"&gt;"&amp;O402)+COUNTIFS($O$5:$O$1517,O402,$B$5:$B$1517,"&lt;"&amp;B402)+COUNTIFS($O$5:$O$1517,O402,$B$5:$B$1517,B402,$C$5:$C$1517,"&lt;"&amp;C402),"")</f>
        <v>132</v>
      </c>
      <c r="U402" s="8" t="n">
        <f aca="false">IF($K402=1,COUNTIFS($L$5:$L$1517,"&gt;="&amp;L402,$K$5:$K$1517,1)/COUNTIF($L$5:$L$1517,"&gt;="&amp;L402),0)</f>
        <v>0</v>
      </c>
      <c r="V402" s="8" t="n">
        <f aca="false">IF($K402=1,COUNTIFS($M$5:$M$1517,"&gt;="&amp;M402,$K$5:$K$1517,1)/COUNTIF($M$5:$M$1517,"&gt;="&amp;M402),0)</f>
        <v>0</v>
      </c>
      <c r="W402" s="8" t="n">
        <f aca="false">IF($K402=1,COUNTIFS($N$5:$N$1517,"&gt;="&amp;N402,$K$5:$K$1517,1)/COUNTIF($N$5:$N$1517,"&gt;="&amp;N402),0)</f>
        <v>0</v>
      </c>
      <c r="X402" s="8" t="n">
        <f aca="false">IF($K402=1,COUNTIFS($O$5:$O$1517,"&gt;="&amp;O402,$K$5:$K$1517,1)/COUNTIF($O$5:$O$1517,"&gt;="&amp;O402),0)</f>
        <v>0</v>
      </c>
      <c r="Y402" s="8" t="n">
        <f aca="false">IF($K402=1,COUNTIFS($P$5:$P$1517,"&gt;="&amp;P402,$K$5:$K$1517,1)/COUNTIF($P$5:$P$1517,"&gt;="&amp;P402),0)</f>
        <v>0</v>
      </c>
      <c r="Z402" s="8" t="n">
        <f aca="false">(L402-$K402)^2</f>
        <v>0.043001487424</v>
      </c>
      <c r="AA402" s="8" t="n">
        <f aca="false">(M402-$K402)^2</f>
        <v>0.008475595969</v>
      </c>
      <c r="AB402" s="8" t="n">
        <f aca="false">(N402-$K402)^2</f>
        <v>0.009816648241</v>
      </c>
      <c r="AC402" s="8" t="n">
        <f aca="false">(O402-$K402)^2</f>
        <v>0.011274829489</v>
      </c>
      <c r="AD402" s="8" t="n">
        <f aca="false">(P402-$K402)^2</f>
        <v>0.011011354225</v>
      </c>
      <c r="AE402" s="8" t="n">
        <f aca="false">MIN(INT(ROUND(N402*1000000,0)/100000),9)</f>
        <v>0</v>
      </c>
      <c r="AF402" s="8" t="n">
        <f aca="false">MIN(INT(ROUND(P402*1000000,0)/100000),9)</f>
        <v>1</v>
      </c>
    </row>
    <row r="403" customFormat="false" ht="15" hidden="false" customHeight="false" outlineLevel="0" collapsed="false">
      <c r="A403" s="4" t="n">
        <v>399</v>
      </c>
      <c r="B403" s="4" t="n">
        <v>184</v>
      </c>
      <c r="C403" s="4" t="n">
        <v>1</v>
      </c>
      <c r="D403" s="11" t="n">
        <v>46082</v>
      </c>
      <c r="E403" s="4" t="s">
        <v>204</v>
      </c>
      <c r="F403" s="4" t="s">
        <v>206</v>
      </c>
      <c r="G403" s="4" t="n">
        <v>1</v>
      </c>
      <c r="H403" s="4" t="n">
        <v>19</v>
      </c>
      <c r="I403" s="4" t="n">
        <v>0</v>
      </c>
      <c r="J403" s="4" t="n">
        <v>102</v>
      </c>
      <c r="K403" s="4" t="n">
        <v>0</v>
      </c>
      <c r="L403" s="12" t="n">
        <v>0.500831</v>
      </c>
      <c r="M403" s="12" t="n">
        <v>0.092063</v>
      </c>
      <c r="N403" s="12" t="n">
        <v>0.168503</v>
      </c>
      <c r="O403" s="12" t="n">
        <v>0.106183</v>
      </c>
      <c r="P403" s="12" t="n">
        <v>0.181941</v>
      </c>
      <c r="Q403" s="0" t="str">
        <f aca="false">IF(L403&gt;=Models!$G$5,1+COUNTIF($L$5:$L$1517,"&gt;"&amp;L403)+COUNTIFS($L$5:$L$1517,L403,$B$5:$B$1517,"&lt;"&amp;B403)+COUNTIFS($L$5:$L$1517,L403,$B$5:$B$1517,B403,$C$5:$C$1517,"&lt;"&amp;C403),"")</f>
        <v/>
      </c>
      <c r="R403" s="0" t="str">
        <f aca="false">IF(M403&gt;=Models!$G$6,1+COUNTIF($M$5:$M$1517,"&gt;"&amp;M403)+COUNTIFS($M$5:$M$1517,M403,$B$5:$B$1517,"&lt;"&amp;B403)+COUNTIFS($M$5:$M$1517,M403,$B$5:$B$1517,B403,$C$5:$C$1517,"&lt;"&amp;C403),"")</f>
        <v/>
      </c>
      <c r="S403" s="0" t="str">
        <f aca="false">IF(N403&gt;=Models!$G$7,1+COUNTIF($N$5:$N$1517,"&gt;"&amp;N403)+COUNTIFS($N$5:$N$1517,N403,$B$5:$B$1517,"&lt;"&amp;B403)+COUNTIFS($N$5:$N$1517,N403,$B$5:$B$1517,B403,$C$5:$C$1517,"&lt;"&amp;C403),"")</f>
        <v/>
      </c>
      <c r="T403" s="8" t="n">
        <f aca="false">IF(O403&gt;=Models!$G$8,1+COUNTIF($O$5:$O$1517,"&gt;"&amp;O403)+COUNTIFS($O$5:$O$1517,O403,$B$5:$B$1517,"&lt;"&amp;B403)+COUNTIFS($O$5:$O$1517,O403,$B$5:$B$1517,B403,$C$5:$C$1517,"&lt;"&amp;C403),"")</f>
        <v>136</v>
      </c>
      <c r="U403" s="8" t="n">
        <f aca="false">IF($K403=1,COUNTIFS($L$5:$L$1517,"&gt;="&amp;L403,$K$5:$K$1517,1)/COUNTIF($L$5:$L$1517,"&gt;="&amp;L403),0)</f>
        <v>0</v>
      </c>
      <c r="V403" s="8" t="n">
        <f aca="false">IF($K403=1,COUNTIFS($M$5:$M$1517,"&gt;="&amp;M403,$K$5:$K$1517,1)/COUNTIF($M$5:$M$1517,"&gt;="&amp;M403),0)</f>
        <v>0</v>
      </c>
      <c r="W403" s="8" t="n">
        <f aca="false">IF($K403=1,COUNTIFS($N$5:$N$1517,"&gt;="&amp;N403,$K$5:$K$1517,1)/COUNTIF($N$5:$N$1517,"&gt;="&amp;N403),0)</f>
        <v>0</v>
      </c>
      <c r="X403" s="8" t="n">
        <f aca="false">IF($K403=1,COUNTIFS($O$5:$O$1517,"&gt;="&amp;O403,$K$5:$K$1517,1)/COUNTIF($O$5:$O$1517,"&gt;="&amp;O403),0)</f>
        <v>0</v>
      </c>
      <c r="Y403" s="8" t="n">
        <f aca="false">IF($K403=1,COUNTIFS($P$5:$P$1517,"&gt;="&amp;P403,$K$5:$K$1517,1)/COUNTIF($P$5:$P$1517,"&gt;="&amp;P403),0)</f>
        <v>0</v>
      </c>
      <c r="Z403" s="8" t="n">
        <f aca="false">(L403-$K403)^2</f>
        <v>0.250831690561</v>
      </c>
      <c r="AA403" s="8" t="n">
        <f aca="false">(M403-$K403)^2</f>
        <v>0.008475595969</v>
      </c>
      <c r="AB403" s="8" t="n">
        <f aca="false">(N403-$K403)^2</f>
        <v>0.028393261009</v>
      </c>
      <c r="AC403" s="8" t="n">
        <f aca="false">(O403-$K403)^2</f>
        <v>0.011274829489</v>
      </c>
      <c r="AD403" s="8" t="n">
        <f aca="false">(P403-$K403)^2</f>
        <v>0.033102527481</v>
      </c>
      <c r="AE403" s="8" t="n">
        <f aca="false">MIN(INT(ROUND(N403*1000000,0)/100000),9)</f>
        <v>1</v>
      </c>
      <c r="AF403" s="8" t="n">
        <f aca="false">MIN(INT(ROUND(P403*1000000,0)/100000),9)</f>
        <v>1</v>
      </c>
    </row>
    <row r="404" customFormat="false" ht="15" hidden="false" customHeight="false" outlineLevel="0" collapsed="false">
      <c r="A404" s="4" t="n">
        <v>400</v>
      </c>
      <c r="B404" s="4" t="n">
        <v>204</v>
      </c>
      <c r="C404" s="4" t="n">
        <v>1</v>
      </c>
      <c r="D404" s="11" t="n">
        <v>46082</v>
      </c>
      <c r="E404" s="4" t="s">
        <v>203</v>
      </c>
      <c r="F404" s="4" t="s">
        <v>210</v>
      </c>
      <c r="G404" s="4" t="n">
        <v>5</v>
      </c>
      <c r="H404" s="4" t="n">
        <v>6</v>
      </c>
      <c r="I404" s="4" t="n">
        <v>0</v>
      </c>
      <c r="J404" s="4"/>
      <c r="K404" s="4" t="n">
        <v>0</v>
      </c>
      <c r="L404" s="12" t="n">
        <v>0.969961</v>
      </c>
      <c r="M404" s="12" t="n">
        <v>0.092063</v>
      </c>
      <c r="N404" s="12" t="n">
        <v>0.056593</v>
      </c>
      <c r="O404" s="12" t="n">
        <v>0.106183</v>
      </c>
      <c r="P404" s="12" t="n">
        <v>0.058497</v>
      </c>
      <c r="Q404" s="0" t="str">
        <f aca="false">IF(L404&gt;=Models!$G$5,1+COUNTIF($L$5:$L$1517,"&gt;"&amp;L404)+COUNTIFS($L$5:$L$1517,L404,$B$5:$B$1517,"&lt;"&amp;B404)+COUNTIFS($L$5:$L$1517,L404,$B$5:$B$1517,B404,$C$5:$C$1517,"&lt;"&amp;C404),"")</f>
        <v/>
      </c>
      <c r="R404" s="0" t="str">
        <f aca="false">IF(M404&gt;=Models!$G$6,1+COUNTIF($M$5:$M$1517,"&gt;"&amp;M404)+COUNTIFS($M$5:$M$1517,M404,$B$5:$B$1517,"&lt;"&amp;B404)+COUNTIFS($M$5:$M$1517,M404,$B$5:$B$1517,B404,$C$5:$C$1517,"&lt;"&amp;C404),"")</f>
        <v/>
      </c>
      <c r="S404" s="0" t="str">
        <f aca="false">IF(N404&gt;=Models!$G$7,1+COUNTIF($N$5:$N$1517,"&gt;"&amp;N404)+COUNTIFS($N$5:$N$1517,N404,$B$5:$B$1517,"&lt;"&amp;B404)+COUNTIFS($N$5:$N$1517,N404,$B$5:$B$1517,B404,$C$5:$C$1517,"&lt;"&amp;C404),"")</f>
        <v/>
      </c>
      <c r="T404" s="8" t="n">
        <f aca="false">IF(O404&gt;=Models!$G$8,1+COUNTIF($O$5:$O$1517,"&gt;"&amp;O404)+COUNTIFS($O$5:$O$1517,O404,$B$5:$B$1517,"&lt;"&amp;B404)+COUNTIFS($O$5:$O$1517,O404,$B$5:$B$1517,B404,$C$5:$C$1517,"&lt;"&amp;C404),"")</f>
        <v>140</v>
      </c>
      <c r="U404" s="8" t="n">
        <f aca="false">IF($K404=1,COUNTIFS($L$5:$L$1517,"&gt;="&amp;L404,$K$5:$K$1517,1)/COUNTIF($L$5:$L$1517,"&gt;="&amp;L404),0)</f>
        <v>0</v>
      </c>
      <c r="V404" s="8" t="n">
        <f aca="false">IF($K404=1,COUNTIFS($M$5:$M$1517,"&gt;="&amp;M404,$K$5:$K$1517,1)/COUNTIF($M$5:$M$1517,"&gt;="&amp;M404),0)</f>
        <v>0</v>
      </c>
      <c r="W404" s="8" t="n">
        <f aca="false">IF($K404=1,COUNTIFS($N$5:$N$1517,"&gt;="&amp;N404,$K$5:$K$1517,1)/COUNTIF($N$5:$N$1517,"&gt;="&amp;N404),0)</f>
        <v>0</v>
      </c>
      <c r="X404" s="8" t="n">
        <f aca="false">IF($K404=1,COUNTIFS($O$5:$O$1517,"&gt;="&amp;O404,$K$5:$K$1517,1)/COUNTIF($O$5:$O$1517,"&gt;="&amp;O404),0)</f>
        <v>0</v>
      </c>
      <c r="Y404" s="8" t="n">
        <f aca="false">IF($K404=1,COUNTIFS($P$5:$P$1517,"&gt;="&amp;P404,$K$5:$K$1517,1)/COUNTIF($P$5:$P$1517,"&gt;="&amp;P404),0)</f>
        <v>0</v>
      </c>
      <c r="Z404" s="8" t="n">
        <f aca="false">(L404-$K404)^2</f>
        <v>0.940824341521</v>
      </c>
      <c r="AA404" s="8" t="n">
        <f aca="false">(M404-$K404)^2</f>
        <v>0.008475595969</v>
      </c>
      <c r="AB404" s="8" t="n">
        <f aca="false">(N404-$K404)^2</f>
        <v>0.003202767649</v>
      </c>
      <c r="AC404" s="8" t="n">
        <f aca="false">(O404-$K404)^2</f>
        <v>0.011274829489</v>
      </c>
      <c r="AD404" s="8" t="n">
        <f aca="false">(P404-$K404)^2</f>
        <v>0.003421899009</v>
      </c>
      <c r="AE404" s="8" t="n">
        <f aca="false">MIN(INT(ROUND(N404*1000000,0)/100000),9)</f>
        <v>0</v>
      </c>
      <c r="AF404" s="8" t="n">
        <f aca="false">MIN(INT(ROUND(P404*1000000,0)/100000),9)</f>
        <v>0</v>
      </c>
    </row>
    <row r="405" customFormat="false" ht="15" hidden="false" customHeight="false" outlineLevel="0" collapsed="false">
      <c r="A405" s="4" t="n">
        <v>401</v>
      </c>
      <c r="B405" s="4" t="n">
        <v>220</v>
      </c>
      <c r="C405" s="4" t="n">
        <v>1</v>
      </c>
      <c r="D405" s="11" t="n">
        <v>46082</v>
      </c>
      <c r="E405" s="4" t="s">
        <v>203</v>
      </c>
      <c r="F405" s="4" t="s">
        <v>206</v>
      </c>
      <c r="G405" s="4" t="n">
        <v>8</v>
      </c>
      <c r="H405" s="4" t="n">
        <v>2</v>
      </c>
      <c r="I405" s="4" t="n">
        <v>0</v>
      </c>
      <c r="J405" s="4"/>
      <c r="K405" s="4" t="n">
        <v>0</v>
      </c>
      <c r="L405" s="12" t="n">
        <v>0.019599</v>
      </c>
      <c r="M405" s="12" t="n">
        <v>0.092063</v>
      </c>
      <c r="N405" s="12" t="n">
        <v>0.042438</v>
      </c>
      <c r="O405" s="12" t="n">
        <v>0.106183</v>
      </c>
      <c r="P405" s="12" t="n">
        <v>0.043287</v>
      </c>
      <c r="Q405" s="0" t="str">
        <f aca="false">IF(L405&gt;=Models!$G$5,1+COUNTIF($L$5:$L$1517,"&gt;"&amp;L405)+COUNTIFS($L$5:$L$1517,L405,$B$5:$B$1517,"&lt;"&amp;B405)+COUNTIFS($L$5:$L$1517,L405,$B$5:$B$1517,B405,$C$5:$C$1517,"&lt;"&amp;C405),"")</f>
        <v/>
      </c>
      <c r="R405" s="0" t="str">
        <f aca="false">IF(M405&gt;=Models!$G$6,1+COUNTIF($M$5:$M$1517,"&gt;"&amp;M405)+COUNTIFS($M$5:$M$1517,M405,$B$5:$B$1517,"&lt;"&amp;B405)+COUNTIFS($M$5:$M$1517,M405,$B$5:$B$1517,B405,$C$5:$C$1517,"&lt;"&amp;C405),"")</f>
        <v/>
      </c>
      <c r="S405" s="0" t="str">
        <f aca="false">IF(N405&gt;=Models!$G$7,1+COUNTIF($N$5:$N$1517,"&gt;"&amp;N405)+COUNTIFS($N$5:$N$1517,N405,$B$5:$B$1517,"&lt;"&amp;B405)+COUNTIFS($N$5:$N$1517,N405,$B$5:$B$1517,B405,$C$5:$C$1517,"&lt;"&amp;C405),"")</f>
        <v/>
      </c>
      <c r="T405" s="8" t="n">
        <f aca="false">IF(O405&gt;=Models!$G$8,1+COUNTIF($O$5:$O$1517,"&gt;"&amp;O405)+COUNTIFS($O$5:$O$1517,O405,$B$5:$B$1517,"&lt;"&amp;B405)+COUNTIFS($O$5:$O$1517,O405,$B$5:$B$1517,B405,$C$5:$C$1517,"&lt;"&amp;C405),"")</f>
        <v>144</v>
      </c>
      <c r="U405" s="8" t="n">
        <f aca="false">IF($K405=1,COUNTIFS($L$5:$L$1517,"&gt;="&amp;L405,$K$5:$K$1517,1)/COUNTIF($L$5:$L$1517,"&gt;="&amp;L405),0)</f>
        <v>0</v>
      </c>
      <c r="V405" s="8" t="n">
        <f aca="false">IF($K405=1,COUNTIFS($M$5:$M$1517,"&gt;="&amp;M405,$K$5:$K$1517,1)/COUNTIF($M$5:$M$1517,"&gt;="&amp;M405),0)</f>
        <v>0</v>
      </c>
      <c r="W405" s="8" t="n">
        <f aca="false">IF($K405=1,COUNTIFS($N$5:$N$1517,"&gt;="&amp;N405,$K$5:$K$1517,1)/COUNTIF($N$5:$N$1517,"&gt;="&amp;N405),0)</f>
        <v>0</v>
      </c>
      <c r="X405" s="8" t="n">
        <f aca="false">IF($K405=1,COUNTIFS($O$5:$O$1517,"&gt;="&amp;O405,$K$5:$K$1517,1)/COUNTIF($O$5:$O$1517,"&gt;="&amp;O405),0)</f>
        <v>0</v>
      </c>
      <c r="Y405" s="8" t="n">
        <f aca="false">IF($K405=1,COUNTIFS($P$5:$P$1517,"&gt;="&amp;P405,$K$5:$K$1517,1)/COUNTIF($P$5:$P$1517,"&gt;="&amp;P405),0)</f>
        <v>0</v>
      </c>
      <c r="Z405" s="8" t="n">
        <f aca="false">(L405-$K405)^2</f>
        <v>0.000384120801</v>
      </c>
      <c r="AA405" s="8" t="n">
        <f aca="false">(M405-$K405)^2</f>
        <v>0.008475595969</v>
      </c>
      <c r="AB405" s="8" t="n">
        <f aca="false">(N405-$K405)^2</f>
        <v>0.001800983844</v>
      </c>
      <c r="AC405" s="8" t="n">
        <f aca="false">(O405-$K405)^2</f>
        <v>0.011274829489</v>
      </c>
      <c r="AD405" s="8" t="n">
        <f aca="false">(P405-$K405)^2</f>
        <v>0.001873764369</v>
      </c>
      <c r="AE405" s="8" t="n">
        <f aca="false">MIN(INT(ROUND(N405*1000000,0)/100000),9)</f>
        <v>0</v>
      </c>
      <c r="AF405" s="8" t="n">
        <f aca="false">MIN(INT(ROUND(P405*1000000,0)/100000),9)</f>
        <v>0</v>
      </c>
    </row>
    <row r="406" customFormat="false" ht="15" hidden="false" customHeight="false" outlineLevel="0" collapsed="false">
      <c r="A406" s="4" t="n">
        <v>402</v>
      </c>
      <c r="B406" s="4" t="n">
        <v>228</v>
      </c>
      <c r="C406" s="4" t="n">
        <v>1</v>
      </c>
      <c r="D406" s="11" t="n">
        <v>46082</v>
      </c>
      <c r="E406" s="4" t="s">
        <v>204</v>
      </c>
      <c r="F406" s="4" t="s">
        <v>206</v>
      </c>
      <c r="G406" s="4" t="n">
        <v>5</v>
      </c>
      <c r="H406" s="4" t="n">
        <v>0</v>
      </c>
      <c r="I406" s="4" t="n">
        <v>0</v>
      </c>
      <c r="J406" s="4"/>
      <c r="K406" s="4" t="n">
        <v>0</v>
      </c>
      <c r="L406" s="12" t="n">
        <v>0.2228</v>
      </c>
      <c r="M406" s="12" t="n">
        <v>0.092063</v>
      </c>
      <c r="N406" s="12" t="n">
        <v>0.054025</v>
      </c>
      <c r="O406" s="12" t="n">
        <v>0.106183</v>
      </c>
      <c r="P406" s="12" t="n">
        <v>0.055724</v>
      </c>
      <c r="Q406" s="0" t="str">
        <f aca="false">IF(L406&gt;=Models!$G$5,1+COUNTIF($L$5:$L$1517,"&gt;"&amp;L406)+COUNTIFS($L$5:$L$1517,L406,$B$5:$B$1517,"&lt;"&amp;B406)+COUNTIFS($L$5:$L$1517,L406,$B$5:$B$1517,B406,$C$5:$C$1517,"&lt;"&amp;C406),"")</f>
        <v/>
      </c>
      <c r="R406" s="0" t="str">
        <f aca="false">IF(M406&gt;=Models!$G$6,1+COUNTIF($M$5:$M$1517,"&gt;"&amp;M406)+COUNTIFS($M$5:$M$1517,M406,$B$5:$B$1517,"&lt;"&amp;B406)+COUNTIFS($M$5:$M$1517,M406,$B$5:$B$1517,B406,$C$5:$C$1517,"&lt;"&amp;C406),"")</f>
        <v/>
      </c>
      <c r="S406" s="0" t="str">
        <f aca="false">IF(N406&gt;=Models!$G$7,1+COUNTIF($N$5:$N$1517,"&gt;"&amp;N406)+COUNTIFS($N$5:$N$1517,N406,$B$5:$B$1517,"&lt;"&amp;B406)+COUNTIFS($N$5:$N$1517,N406,$B$5:$B$1517,B406,$C$5:$C$1517,"&lt;"&amp;C406),"")</f>
        <v/>
      </c>
      <c r="T406" s="8" t="n">
        <f aca="false">IF(O406&gt;=Models!$G$8,1+COUNTIF($O$5:$O$1517,"&gt;"&amp;O406)+COUNTIFS($O$5:$O$1517,O406,$B$5:$B$1517,"&lt;"&amp;B406)+COUNTIFS($O$5:$O$1517,O406,$B$5:$B$1517,B406,$C$5:$C$1517,"&lt;"&amp;C406),"")</f>
        <v>148</v>
      </c>
      <c r="U406" s="8" t="n">
        <f aca="false">IF($K406=1,COUNTIFS($L$5:$L$1517,"&gt;="&amp;L406,$K$5:$K$1517,1)/COUNTIF($L$5:$L$1517,"&gt;="&amp;L406),0)</f>
        <v>0</v>
      </c>
      <c r="V406" s="8" t="n">
        <f aca="false">IF($K406=1,COUNTIFS($M$5:$M$1517,"&gt;="&amp;M406,$K$5:$K$1517,1)/COUNTIF($M$5:$M$1517,"&gt;="&amp;M406),0)</f>
        <v>0</v>
      </c>
      <c r="W406" s="8" t="n">
        <f aca="false">IF($K406=1,COUNTIFS($N$5:$N$1517,"&gt;="&amp;N406,$K$5:$K$1517,1)/COUNTIF($N$5:$N$1517,"&gt;="&amp;N406),0)</f>
        <v>0</v>
      </c>
      <c r="X406" s="8" t="n">
        <f aca="false">IF($K406=1,COUNTIFS($O$5:$O$1517,"&gt;="&amp;O406,$K$5:$K$1517,1)/COUNTIF($O$5:$O$1517,"&gt;="&amp;O406),0)</f>
        <v>0</v>
      </c>
      <c r="Y406" s="8" t="n">
        <f aca="false">IF($K406=1,COUNTIFS($P$5:$P$1517,"&gt;="&amp;P406,$K$5:$K$1517,1)/COUNTIF($P$5:$P$1517,"&gt;="&amp;P406),0)</f>
        <v>0</v>
      </c>
      <c r="Z406" s="8" t="n">
        <f aca="false">(L406-$K406)^2</f>
        <v>0.04963984</v>
      </c>
      <c r="AA406" s="8" t="n">
        <f aca="false">(M406-$K406)^2</f>
        <v>0.008475595969</v>
      </c>
      <c r="AB406" s="8" t="n">
        <f aca="false">(N406-$K406)^2</f>
        <v>0.002918700625</v>
      </c>
      <c r="AC406" s="8" t="n">
        <f aca="false">(O406-$K406)^2</f>
        <v>0.011274829489</v>
      </c>
      <c r="AD406" s="8" t="n">
        <f aca="false">(P406-$K406)^2</f>
        <v>0.003105164176</v>
      </c>
      <c r="AE406" s="8" t="n">
        <f aca="false">MIN(INT(ROUND(N406*1000000,0)/100000),9)</f>
        <v>0</v>
      </c>
      <c r="AF406" s="8" t="n">
        <f aca="false">MIN(INT(ROUND(P406*1000000,0)/100000),9)</f>
        <v>0</v>
      </c>
    </row>
    <row r="407" customFormat="false" ht="15" hidden="false" customHeight="false" outlineLevel="0" collapsed="false">
      <c r="A407" s="4" t="n">
        <v>403</v>
      </c>
      <c r="B407" s="4" t="n">
        <v>229</v>
      </c>
      <c r="C407" s="4" t="n">
        <v>1</v>
      </c>
      <c r="D407" s="11" t="n">
        <v>46082</v>
      </c>
      <c r="E407" s="4" t="s">
        <v>204</v>
      </c>
      <c r="F407" s="4" t="s">
        <v>206</v>
      </c>
      <c r="G407" s="4" t="n">
        <v>4</v>
      </c>
      <c r="H407" s="4" t="n">
        <v>16</v>
      </c>
      <c r="I407" s="4" t="n">
        <v>0</v>
      </c>
      <c r="J407" s="4"/>
      <c r="K407" s="4" t="n">
        <v>0</v>
      </c>
      <c r="L407" s="12" t="n">
        <v>0.172396</v>
      </c>
      <c r="M407" s="12" t="n">
        <v>0.092063</v>
      </c>
      <c r="N407" s="12" t="n">
        <v>0.066505</v>
      </c>
      <c r="O407" s="12" t="n">
        <v>0.106183</v>
      </c>
      <c r="P407" s="12" t="n">
        <v>0.069243</v>
      </c>
      <c r="Q407" s="0" t="str">
        <f aca="false">IF(L407&gt;=Models!$G$5,1+COUNTIF($L$5:$L$1517,"&gt;"&amp;L407)+COUNTIFS($L$5:$L$1517,L407,$B$5:$B$1517,"&lt;"&amp;B407)+COUNTIFS($L$5:$L$1517,L407,$B$5:$B$1517,B407,$C$5:$C$1517,"&lt;"&amp;C407),"")</f>
        <v/>
      </c>
      <c r="R407" s="0" t="str">
        <f aca="false">IF(M407&gt;=Models!$G$6,1+COUNTIF($M$5:$M$1517,"&gt;"&amp;M407)+COUNTIFS($M$5:$M$1517,M407,$B$5:$B$1517,"&lt;"&amp;B407)+COUNTIFS($M$5:$M$1517,M407,$B$5:$B$1517,B407,$C$5:$C$1517,"&lt;"&amp;C407),"")</f>
        <v/>
      </c>
      <c r="S407" s="0" t="str">
        <f aca="false">IF(N407&gt;=Models!$G$7,1+COUNTIF($N$5:$N$1517,"&gt;"&amp;N407)+COUNTIFS($N$5:$N$1517,N407,$B$5:$B$1517,"&lt;"&amp;B407)+COUNTIFS($N$5:$N$1517,N407,$B$5:$B$1517,B407,$C$5:$C$1517,"&lt;"&amp;C407),"")</f>
        <v/>
      </c>
      <c r="T407" s="8" t="n">
        <f aca="false">IF(O407&gt;=Models!$G$8,1+COUNTIF($O$5:$O$1517,"&gt;"&amp;O407)+COUNTIFS($O$5:$O$1517,O407,$B$5:$B$1517,"&lt;"&amp;B407)+COUNTIFS($O$5:$O$1517,O407,$B$5:$B$1517,B407,$C$5:$C$1517,"&lt;"&amp;C407),"")</f>
        <v>152</v>
      </c>
      <c r="U407" s="8" t="n">
        <f aca="false">IF($K407=1,COUNTIFS($L$5:$L$1517,"&gt;="&amp;L407,$K$5:$K$1517,1)/COUNTIF($L$5:$L$1517,"&gt;="&amp;L407),0)</f>
        <v>0</v>
      </c>
      <c r="V407" s="8" t="n">
        <f aca="false">IF($K407=1,COUNTIFS($M$5:$M$1517,"&gt;="&amp;M407,$K$5:$K$1517,1)/COUNTIF($M$5:$M$1517,"&gt;="&amp;M407),0)</f>
        <v>0</v>
      </c>
      <c r="W407" s="8" t="n">
        <f aca="false">IF($K407=1,COUNTIFS($N$5:$N$1517,"&gt;="&amp;N407,$K$5:$K$1517,1)/COUNTIF($N$5:$N$1517,"&gt;="&amp;N407),0)</f>
        <v>0</v>
      </c>
      <c r="X407" s="8" t="n">
        <f aca="false">IF($K407=1,COUNTIFS($O$5:$O$1517,"&gt;="&amp;O407,$K$5:$K$1517,1)/COUNTIF($O$5:$O$1517,"&gt;="&amp;O407),0)</f>
        <v>0</v>
      </c>
      <c r="Y407" s="8" t="n">
        <f aca="false">IF($K407=1,COUNTIFS($P$5:$P$1517,"&gt;="&amp;P407,$K$5:$K$1517,1)/COUNTIF($P$5:$P$1517,"&gt;="&amp;P407),0)</f>
        <v>0</v>
      </c>
      <c r="Z407" s="8" t="n">
        <f aca="false">(L407-$K407)^2</f>
        <v>0.029720380816</v>
      </c>
      <c r="AA407" s="8" t="n">
        <f aca="false">(M407-$K407)^2</f>
        <v>0.008475595969</v>
      </c>
      <c r="AB407" s="8" t="n">
        <f aca="false">(N407-$K407)^2</f>
        <v>0.004422915025</v>
      </c>
      <c r="AC407" s="8" t="n">
        <f aca="false">(O407-$K407)^2</f>
        <v>0.011274829489</v>
      </c>
      <c r="AD407" s="8" t="n">
        <f aca="false">(P407-$K407)^2</f>
        <v>0.004794593049</v>
      </c>
      <c r="AE407" s="8" t="n">
        <f aca="false">MIN(INT(ROUND(N407*1000000,0)/100000),9)</f>
        <v>0</v>
      </c>
      <c r="AF407" s="8" t="n">
        <f aca="false">MIN(INT(ROUND(P407*1000000,0)/100000),9)</f>
        <v>0</v>
      </c>
    </row>
    <row r="408" customFormat="false" ht="15" hidden="false" customHeight="false" outlineLevel="0" collapsed="false">
      <c r="A408" s="4" t="n">
        <v>404</v>
      </c>
      <c r="B408" s="4" t="n">
        <v>231</v>
      </c>
      <c r="C408" s="4" t="n">
        <v>1</v>
      </c>
      <c r="D408" s="11" t="n">
        <v>46082</v>
      </c>
      <c r="E408" s="4" t="s">
        <v>204</v>
      </c>
      <c r="F408" s="4" t="s">
        <v>209</v>
      </c>
      <c r="G408" s="4" t="n">
        <v>5</v>
      </c>
      <c r="H408" s="4" t="n">
        <v>7</v>
      </c>
      <c r="I408" s="4" t="n">
        <v>0</v>
      </c>
      <c r="J408" s="4" t="n">
        <v>102</v>
      </c>
      <c r="K408" s="4" t="n">
        <v>1</v>
      </c>
      <c r="L408" s="12" t="n">
        <v>0.616039</v>
      </c>
      <c r="M408" s="12" t="n">
        <v>0.092063</v>
      </c>
      <c r="N408" s="12" t="n">
        <v>0.113591</v>
      </c>
      <c r="O408" s="12" t="n">
        <v>0.106183</v>
      </c>
      <c r="P408" s="12" t="n">
        <v>0.120961</v>
      </c>
      <c r="Q408" s="0" t="str">
        <f aca="false">IF(L408&gt;=Models!$G$5,1+COUNTIF($L$5:$L$1517,"&gt;"&amp;L408)+COUNTIFS($L$5:$L$1517,L408,$B$5:$B$1517,"&lt;"&amp;B408)+COUNTIFS($L$5:$L$1517,L408,$B$5:$B$1517,B408,$C$5:$C$1517,"&lt;"&amp;C408),"")</f>
        <v/>
      </c>
      <c r="R408" s="0" t="str">
        <f aca="false">IF(M408&gt;=Models!$G$6,1+COUNTIF($M$5:$M$1517,"&gt;"&amp;M408)+COUNTIFS($M$5:$M$1517,M408,$B$5:$B$1517,"&lt;"&amp;B408)+COUNTIFS($M$5:$M$1517,M408,$B$5:$B$1517,B408,$C$5:$C$1517,"&lt;"&amp;C408),"")</f>
        <v/>
      </c>
      <c r="S408" s="0" t="str">
        <f aca="false">IF(N408&gt;=Models!$G$7,1+COUNTIF($N$5:$N$1517,"&gt;"&amp;N408)+COUNTIFS($N$5:$N$1517,N408,$B$5:$B$1517,"&lt;"&amp;B408)+COUNTIFS($N$5:$N$1517,N408,$B$5:$B$1517,B408,$C$5:$C$1517,"&lt;"&amp;C408),"")</f>
        <v/>
      </c>
      <c r="T408" s="8" t="n">
        <f aca="false">IF(O408&gt;=Models!$G$8,1+COUNTIF($O$5:$O$1517,"&gt;"&amp;O408)+COUNTIFS($O$5:$O$1517,O408,$B$5:$B$1517,"&lt;"&amp;B408)+COUNTIFS($O$5:$O$1517,O408,$B$5:$B$1517,B408,$C$5:$C$1517,"&lt;"&amp;C408),"")</f>
        <v>156</v>
      </c>
      <c r="U408" s="8" t="n">
        <f aca="false">IF($K408=1,COUNTIFS($L$5:$L$1517,"&gt;="&amp;L408,$K$5:$K$1517,1)/COUNTIF($L$5:$L$1517,"&gt;="&amp;L408),0)</f>
        <v>0.130124777183601</v>
      </c>
      <c r="V408" s="8" t="n">
        <f aca="false">IF($K408=1,COUNTIFS($M$5:$M$1517,"&gt;="&amp;M408,$K$5:$K$1517,1)/COUNTIF($M$5:$M$1517,"&gt;="&amp;M408),0)</f>
        <v>0.12491738268341</v>
      </c>
      <c r="W408" s="8" t="n">
        <f aca="false">IF($K408=1,COUNTIFS($N$5:$N$1517,"&gt;="&amp;N408,$K$5:$K$1517,1)/COUNTIF($N$5:$N$1517,"&gt;="&amp;N408),0)</f>
        <v>0.214814814814815</v>
      </c>
      <c r="X408" s="8" t="n">
        <f aca="false">IF($K408=1,COUNTIFS($O$5:$O$1517,"&gt;="&amp;O408,$K$5:$K$1517,1)/COUNTIF($O$5:$O$1517,"&gt;="&amp;O408),0)</f>
        <v>0.12491738268341</v>
      </c>
      <c r="Y408" s="8" t="n">
        <f aca="false">IF($K408=1,COUNTIFS($P$5:$P$1517,"&gt;="&amp;P408,$K$5:$K$1517,1)/COUNTIF($P$5:$P$1517,"&gt;="&amp;P408),0)</f>
        <v>0.214814814814815</v>
      </c>
      <c r="Z408" s="8" t="n">
        <f aca="false">(L408-$K408)^2</f>
        <v>0.147426049521</v>
      </c>
      <c r="AA408" s="8" t="n">
        <f aca="false">(M408-$K408)^2</f>
        <v>0.824349595969</v>
      </c>
      <c r="AB408" s="8" t="n">
        <f aca="false">(N408-$K408)^2</f>
        <v>0.785720915281</v>
      </c>
      <c r="AC408" s="8" t="n">
        <f aca="false">(O408-$K408)^2</f>
        <v>0.798908829489</v>
      </c>
      <c r="AD408" s="8" t="n">
        <f aca="false">(P408-$K408)^2</f>
        <v>0.772709563521</v>
      </c>
      <c r="AE408" s="8" t="n">
        <f aca="false">MIN(INT(ROUND(N408*1000000,0)/100000),9)</f>
        <v>1</v>
      </c>
      <c r="AF408" s="8" t="n">
        <f aca="false">MIN(INT(ROUND(P408*1000000,0)/100000),9)</f>
        <v>1</v>
      </c>
    </row>
    <row r="409" customFormat="false" ht="15" hidden="false" customHeight="false" outlineLevel="0" collapsed="false">
      <c r="A409" s="4" t="n">
        <v>405</v>
      </c>
      <c r="B409" s="4" t="n">
        <v>232</v>
      </c>
      <c r="C409" s="4" t="n">
        <v>1</v>
      </c>
      <c r="D409" s="11" t="n">
        <v>46082</v>
      </c>
      <c r="E409" s="4" t="s">
        <v>202</v>
      </c>
      <c r="F409" s="4" t="s">
        <v>206</v>
      </c>
      <c r="G409" s="4" t="n">
        <v>5</v>
      </c>
      <c r="H409" s="4" t="n">
        <v>0</v>
      </c>
      <c r="I409" s="4" t="n">
        <v>0</v>
      </c>
      <c r="J409" s="4"/>
      <c r="K409" s="4" t="n">
        <v>0</v>
      </c>
      <c r="L409" s="12" t="n">
        <v>0.017746</v>
      </c>
      <c r="M409" s="12" t="n">
        <v>0.092063</v>
      </c>
      <c r="N409" s="12" t="n">
        <v>0.054025</v>
      </c>
      <c r="O409" s="12" t="n">
        <v>0.106183</v>
      </c>
      <c r="P409" s="12" t="n">
        <v>0.055724</v>
      </c>
      <c r="Q409" s="0" t="str">
        <f aca="false">IF(L409&gt;=Models!$G$5,1+COUNTIF($L$5:$L$1517,"&gt;"&amp;L409)+COUNTIFS($L$5:$L$1517,L409,$B$5:$B$1517,"&lt;"&amp;B409)+COUNTIFS($L$5:$L$1517,L409,$B$5:$B$1517,B409,$C$5:$C$1517,"&lt;"&amp;C409),"")</f>
        <v/>
      </c>
      <c r="R409" s="0" t="str">
        <f aca="false">IF(M409&gt;=Models!$G$6,1+COUNTIF($M$5:$M$1517,"&gt;"&amp;M409)+COUNTIFS($M$5:$M$1517,M409,$B$5:$B$1517,"&lt;"&amp;B409)+COUNTIFS($M$5:$M$1517,M409,$B$5:$B$1517,B409,$C$5:$C$1517,"&lt;"&amp;C409),"")</f>
        <v/>
      </c>
      <c r="S409" s="0" t="str">
        <f aca="false">IF(N409&gt;=Models!$G$7,1+COUNTIF($N$5:$N$1517,"&gt;"&amp;N409)+COUNTIFS($N$5:$N$1517,N409,$B$5:$B$1517,"&lt;"&amp;B409)+COUNTIFS($N$5:$N$1517,N409,$B$5:$B$1517,B409,$C$5:$C$1517,"&lt;"&amp;C409),"")</f>
        <v/>
      </c>
      <c r="T409" s="8" t="n">
        <f aca="false">IF(O409&gt;=Models!$G$8,1+COUNTIF($O$5:$O$1517,"&gt;"&amp;O409)+COUNTIFS($O$5:$O$1517,O409,$B$5:$B$1517,"&lt;"&amp;B409)+COUNTIFS($O$5:$O$1517,O409,$B$5:$B$1517,B409,$C$5:$C$1517,"&lt;"&amp;C409),"")</f>
        <v>159</v>
      </c>
      <c r="U409" s="8" t="n">
        <f aca="false">IF($K409=1,COUNTIFS($L$5:$L$1517,"&gt;="&amp;L409,$K$5:$K$1517,1)/COUNTIF($L$5:$L$1517,"&gt;="&amp;L409),0)</f>
        <v>0</v>
      </c>
      <c r="V409" s="8" t="n">
        <f aca="false">IF($K409=1,COUNTIFS($M$5:$M$1517,"&gt;="&amp;M409,$K$5:$K$1517,1)/COUNTIF($M$5:$M$1517,"&gt;="&amp;M409),0)</f>
        <v>0</v>
      </c>
      <c r="W409" s="8" t="n">
        <f aca="false">IF($K409=1,COUNTIFS($N$5:$N$1517,"&gt;="&amp;N409,$K$5:$K$1517,1)/COUNTIF($N$5:$N$1517,"&gt;="&amp;N409),0)</f>
        <v>0</v>
      </c>
      <c r="X409" s="8" t="n">
        <f aca="false">IF($K409=1,COUNTIFS($O$5:$O$1517,"&gt;="&amp;O409,$K$5:$K$1517,1)/COUNTIF($O$5:$O$1517,"&gt;="&amp;O409),0)</f>
        <v>0</v>
      </c>
      <c r="Y409" s="8" t="n">
        <f aca="false">IF($K409=1,COUNTIFS($P$5:$P$1517,"&gt;="&amp;P409,$K$5:$K$1517,1)/COUNTIF($P$5:$P$1517,"&gt;="&amp;P409),0)</f>
        <v>0</v>
      </c>
      <c r="Z409" s="8" t="n">
        <f aca="false">(L409-$K409)^2</f>
        <v>0.000314920516</v>
      </c>
      <c r="AA409" s="8" t="n">
        <f aca="false">(M409-$K409)^2</f>
        <v>0.008475595969</v>
      </c>
      <c r="AB409" s="8" t="n">
        <f aca="false">(N409-$K409)^2</f>
        <v>0.002918700625</v>
      </c>
      <c r="AC409" s="8" t="n">
        <f aca="false">(O409-$K409)^2</f>
        <v>0.011274829489</v>
      </c>
      <c r="AD409" s="8" t="n">
        <f aca="false">(P409-$K409)^2</f>
        <v>0.003105164176</v>
      </c>
      <c r="AE409" s="8" t="n">
        <f aca="false">MIN(INT(ROUND(N409*1000000,0)/100000),9)</f>
        <v>0</v>
      </c>
      <c r="AF409" s="8" t="n">
        <f aca="false">MIN(INT(ROUND(P409*1000000,0)/100000),9)</f>
        <v>0</v>
      </c>
    </row>
    <row r="410" customFormat="false" ht="15" hidden="false" customHeight="false" outlineLevel="0" collapsed="false">
      <c r="A410" s="4" t="n">
        <v>406</v>
      </c>
      <c r="B410" s="4" t="n">
        <v>236</v>
      </c>
      <c r="C410" s="4" t="n">
        <v>1</v>
      </c>
      <c r="D410" s="11" t="n">
        <v>46082</v>
      </c>
      <c r="E410" s="4" t="s">
        <v>201</v>
      </c>
      <c r="F410" s="4" t="s">
        <v>210</v>
      </c>
      <c r="G410" s="4" t="n">
        <v>9</v>
      </c>
      <c r="H410" s="4" t="n">
        <v>1</v>
      </c>
      <c r="I410" s="4" t="n">
        <v>0</v>
      </c>
      <c r="J410" s="4" t="n">
        <v>8850</v>
      </c>
      <c r="K410" s="4" t="n">
        <v>0</v>
      </c>
      <c r="L410" s="12" t="n">
        <v>0.950562</v>
      </c>
      <c r="M410" s="12" t="n">
        <v>0.092063</v>
      </c>
      <c r="N410" s="12" t="n">
        <v>0.04872</v>
      </c>
      <c r="O410" s="12" t="n">
        <v>0.106183</v>
      </c>
      <c r="P410" s="12" t="n">
        <v>0.050015</v>
      </c>
      <c r="Q410" s="0" t="str">
        <f aca="false">IF(L410&gt;=Models!$G$5,1+COUNTIF($L$5:$L$1517,"&gt;"&amp;L410)+COUNTIFS($L$5:$L$1517,L410,$B$5:$B$1517,"&lt;"&amp;B410)+COUNTIFS($L$5:$L$1517,L410,$B$5:$B$1517,B410,$C$5:$C$1517,"&lt;"&amp;C410),"")</f>
        <v/>
      </c>
      <c r="R410" s="0" t="str">
        <f aca="false">IF(M410&gt;=Models!$G$6,1+COUNTIF($M$5:$M$1517,"&gt;"&amp;M410)+COUNTIFS($M$5:$M$1517,M410,$B$5:$B$1517,"&lt;"&amp;B410)+COUNTIFS($M$5:$M$1517,M410,$B$5:$B$1517,B410,$C$5:$C$1517,"&lt;"&amp;C410),"")</f>
        <v/>
      </c>
      <c r="S410" s="0" t="str">
        <f aca="false">IF(N410&gt;=Models!$G$7,1+COUNTIF($N$5:$N$1517,"&gt;"&amp;N410)+COUNTIFS($N$5:$N$1517,N410,$B$5:$B$1517,"&lt;"&amp;B410)+COUNTIFS($N$5:$N$1517,N410,$B$5:$B$1517,B410,$C$5:$C$1517,"&lt;"&amp;C410),"")</f>
        <v/>
      </c>
      <c r="T410" s="8" t="n">
        <f aca="false">IF(O410&gt;=Models!$G$8,1+COUNTIF($O$5:$O$1517,"&gt;"&amp;O410)+COUNTIFS($O$5:$O$1517,O410,$B$5:$B$1517,"&lt;"&amp;B410)+COUNTIFS($O$5:$O$1517,O410,$B$5:$B$1517,B410,$C$5:$C$1517,"&lt;"&amp;C410),"")</f>
        <v>163</v>
      </c>
      <c r="U410" s="8" t="n">
        <f aca="false">IF($K410=1,COUNTIFS($L$5:$L$1517,"&gt;="&amp;L410,$K$5:$K$1517,1)/COUNTIF($L$5:$L$1517,"&gt;="&amp;L410),0)</f>
        <v>0</v>
      </c>
      <c r="V410" s="8" t="n">
        <f aca="false">IF($K410=1,COUNTIFS($M$5:$M$1517,"&gt;="&amp;M410,$K$5:$K$1517,1)/COUNTIF($M$5:$M$1517,"&gt;="&amp;M410),0)</f>
        <v>0</v>
      </c>
      <c r="W410" s="8" t="n">
        <f aca="false">IF($K410=1,COUNTIFS($N$5:$N$1517,"&gt;="&amp;N410,$K$5:$K$1517,1)/COUNTIF($N$5:$N$1517,"&gt;="&amp;N410),0)</f>
        <v>0</v>
      </c>
      <c r="X410" s="8" t="n">
        <f aca="false">IF($K410=1,COUNTIFS($O$5:$O$1517,"&gt;="&amp;O410,$K$5:$K$1517,1)/COUNTIF($O$5:$O$1517,"&gt;="&amp;O410),0)</f>
        <v>0</v>
      </c>
      <c r="Y410" s="8" t="n">
        <f aca="false">IF($K410=1,COUNTIFS($P$5:$P$1517,"&gt;="&amp;P410,$K$5:$K$1517,1)/COUNTIF($P$5:$P$1517,"&gt;="&amp;P410),0)</f>
        <v>0</v>
      </c>
      <c r="Z410" s="8" t="n">
        <f aca="false">(L410-$K410)^2</f>
        <v>0.903568115844</v>
      </c>
      <c r="AA410" s="8" t="n">
        <f aca="false">(M410-$K410)^2</f>
        <v>0.008475595969</v>
      </c>
      <c r="AB410" s="8" t="n">
        <f aca="false">(N410-$K410)^2</f>
        <v>0.0023736384</v>
      </c>
      <c r="AC410" s="8" t="n">
        <f aca="false">(O410-$K410)^2</f>
        <v>0.011274829489</v>
      </c>
      <c r="AD410" s="8" t="n">
        <f aca="false">(P410-$K410)^2</f>
        <v>0.002501500225</v>
      </c>
      <c r="AE410" s="8" t="n">
        <f aca="false">MIN(INT(ROUND(N410*1000000,0)/100000),9)</f>
        <v>0</v>
      </c>
      <c r="AF410" s="8" t="n">
        <f aca="false">MIN(INT(ROUND(P410*1000000,0)/100000),9)</f>
        <v>0</v>
      </c>
    </row>
    <row r="411" customFormat="false" ht="15" hidden="false" customHeight="false" outlineLevel="0" collapsed="false">
      <c r="A411" s="4" t="n">
        <v>407</v>
      </c>
      <c r="B411" s="4" t="n">
        <v>237</v>
      </c>
      <c r="C411" s="4" t="n">
        <v>1</v>
      </c>
      <c r="D411" s="11" t="n">
        <v>46082</v>
      </c>
      <c r="E411" s="4" t="s">
        <v>202</v>
      </c>
      <c r="F411" s="4" t="s">
        <v>206</v>
      </c>
      <c r="G411" s="4" t="n">
        <v>10</v>
      </c>
      <c r="H411" s="4" t="n">
        <v>0</v>
      </c>
      <c r="I411" s="4" t="n">
        <v>0</v>
      </c>
      <c r="J411" s="4"/>
      <c r="K411" s="4" t="n">
        <v>0</v>
      </c>
      <c r="L411" s="12" t="n">
        <v>0.23979</v>
      </c>
      <c r="M411" s="12" t="n">
        <v>0.092063</v>
      </c>
      <c r="N411" s="12" t="n">
        <v>0.035137</v>
      </c>
      <c r="O411" s="12" t="n">
        <v>0.106183</v>
      </c>
      <c r="P411" s="12" t="n">
        <v>0.035524</v>
      </c>
      <c r="Q411" s="0" t="str">
        <f aca="false">IF(L411&gt;=Models!$G$5,1+COUNTIF($L$5:$L$1517,"&gt;"&amp;L411)+COUNTIFS($L$5:$L$1517,L411,$B$5:$B$1517,"&lt;"&amp;B411)+COUNTIFS($L$5:$L$1517,L411,$B$5:$B$1517,B411,$C$5:$C$1517,"&lt;"&amp;C411),"")</f>
        <v/>
      </c>
      <c r="R411" s="0" t="str">
        <f aca="false">IF(M411&gt;=Models!$G$6,1+COUNTIF($M$5:$M$1517,"&gt;"&amp;M411)+COUNTIFS($M$5:$M$1517,M411,$B$5:$B$1517,"&lt;"&amp;B411)+COUNTIFS($M$5:$M$1517,M411,$B$5:$B$1517,B411,$C$5:$C$1517,"&lt;"&amp;C411),"")</f>
        <v/>
      </c>
      <c r="S411" s="0" t="str">
        <f aca="false">IF(N411&gt;=Models!$G$7,1+COUNTIF($N$5:$N$1517,"&gt;"&amp;N411)+COUNTIFS($N$5:$N$1517,N411,$B$5:$B$1517,"&lt;"&amp;B411)+COUNTIFS($N$5:$N$1517,N411,$B$5:$B$1517,B411,$C$5:$C$1517,"&lt;"&amp;C411),"")</f>
        <v/>
      </c>
      <c r="T411" s="8" t="n">
        <f aca="false">IF(O411&gt;=Models!$G$8,1+COUNTIF($O$5:$O$1517,"&gt;"&amp;O411)+COUNTIFS($O$5:$O$1517,O411,$B$5:$B$1517,"&lt;"&amp;B411)+COUNTIFS($O$5:$O$1517,O411,$B$5:$B$1517,B411,$C$5:$C$1517,"&lt;"&amp;C411),"")</f>
        <v>167</v>
      </c>
      <c r="U411" s="8" t="n">
        <f aca="false">IF($K411=1,COUNTIFS($L$5:$L$1517,"&gt;="&amp;L411,$K$5:$K$1517,1)/COUNTIF($L$5:$L$1517,"&gt;="&amp;L411),0)</f>
        <v>0</v>
      </c>
      <c r="V411" s="8" t="n">
        <f aca="false">IF($K411=1,COUNTIFS($M$5:$M$1517,"&gt;="&amp;M411,$K$5:$K$1517,1)/COUNTIF($M$5:$M$1517,"&gt;="&amp;M411),0)</f>
        <v>0</v>
      </c>
      <c r="W411" s="8" t="n">
        <f aca="false">IF($K411=1,COUNTIFS($N$5:$N$1517,"&gt;="&amp;N411,$K$5:$K$1517,1)/COUNTIF($N$5:$N$1517,"&gt;="&amp;N411),0)</f>
        <v>0</v>
      </c>
      <c r="X411" s="8" t="n">
        <f aca="false">IF($K411=1,COUNTIFS($O$5:$O$1517,"&gt;="&amp;O411,$K$5:$K$1517,1)/COUNTIF($O$5:$O$1517,"&gt;="&amp;O411),0)</f>
        <v>0</v>
      </c>
      <c r="Y411" s="8" t="n">
        <f aca="false">IF($K411=1,COUNTIFS($P$5:$P$1517,"&gt;="&amp;P411,$K$5:$K$1517,1)/COUNTIF($P$5:$P$1517,"&gt;="&amp;P411),0)</f>
        <v>0</v>
      </c>
      <c r="Z411" s="8" t="n">
        <f aca="false">(L411-$K411)^2</f>
        <v>0.0574992441</v>
      </c>
      <c r="AA411" s="8" t="n">
        <f aca="false">(M411-$K411)^2</f>
        <v>0.008475595969</v>
      </c>
      <c r="AB411" s="8" t="n">
        <f aca="false">(N411-$K411)^2</f>
        <v>0.001234608769</v>
      </c>
      <c r="AC411" s="8" t="n">
        <f aca="false">(O411-$K411)^2</f>
        <v>0.011274829489</v>
      </c>
      <c r="AD411" s="8" t="n">
        <f aca="false">(P411-$K411)^2</f>
        <v>0.001261954576</v>
      </c>
      <c r="AE411" s="8" t="n">
        <f aca="false">MIN(INT(ROUND(N411*1000000,0)/100000),9)</f>
        <v>0</v>
      </c>
      <c r="AF411" s="8" t="n">
        <f aca="false">MIN(INT(ROUND(P411*1000000,0)/100000),9)</f>
        <v>0</v>
      </c>
    </row>
    <row r="412" customFormat="false" ht="15" hidden="false" customHeight="false" outlineLevel="0" collapsed="false">
      <c r="A412" s="4" t="n">
        <v>408</v>
      </c>
      <c r="B412" s="4" t="n">
        <v>249</v>
      </c>
      <c r="C412" s="4" t="n">
        <v>1</v>
      </c>
      <c r="D412" s="11" t="n">
        <v>46082</v>
      </c>
      <c r="E412" s="4" t="s">
        <v>203</v>
      </c>
      <c r="F412" s="4" t="s">
        <v>206</v>
      </c>
      <c r="G412" s="4" t="n">
        <v>4</v>
      </c>
      <c r="H412" s="4" t="n">
        <v>11</v>
      </c>
      <c r="I412" s="4" t="n">
        <v>0</v>
      </c>
      <c r="J412" s="4" t="n">
        <v>315</v>
      </c>
      <c r="K412" s="4" t="n">
        <v>0</v>
      </c>
      <c r="L412" s="12" t="n">
        <v>0.441818</v>
      </c>
      <c r="M412" s="12" t="n">
        <v>0.092063</v>
      </c>
      <c r="N412" s="12" t="n">
        <v>0.125189</v>
      </c>
      <c r="O412" s="12" t="n">
        <v>0.106183</v>
      </c>
      <c r="P412" s="12" t="n">
        <v>0.133807</v>
      </c>
      <c r="Q412" s="0" t="str">
        <f aca="false">IF(L412&gt;=Models!$G$5,1+COUNTIF($L$5:$L$1517,"&gt;"&amp;L412)+COUNTIFS($L$5:$L$1517,L412,$B$5:$B$1517,"&lt;"&amp;B412)+COUNTIFS($L$5:$L$1517,L412,$B$5:$B$1517,B412,$C$5:$C$1517,"&lt;"&amp;C412),"")</f>
        <v/>
      </c>
      <c r="R412" s="0" t="str">
        <f aca="false">IF(M412&gt;=Models!$G$6,1+COUNTIF($M$5:$M$1517,"&gt;"&amp;M412)+COUNTIFS($M$5:$M$1517,M412,$B$5:$B$1517,"&lt;"&amp;B412)+COUNTIFS($M$5:$M$1517,M412,$B$5:$B$1517,B412,$C$5:$C$1517,"&lt;"&amp;C412),"")</f>
        <v/>
      </c>
      <c r="S412" s="0" t="str">
        <f aca="false">IF(N412&gt;=Models!$G$7,1+COUNTIF($N$5:$N$1517,"&gt;"&amp;N412)+COUNTIFS($N$5:$N$1517,N412,$B$5:$B$1517,"&lt;"&amp;B412)+COUNTIFS($N$5:$N$1517,N412,$B$5:$B$1517,B412,$C$5:$C$1517,"&lt;"&amp;C412),"")</f>
        <v/>
      </c>
      <c r="T412" s="8" t="n">
        <f aca="false">IF(O412&gt;=Models!$G$8,1+COUNTIF($O$5:$O$1517,"&gt;"&amp;O412)+COUNTIFS($O$5:$O$1517,O412,$B$5:$B$1517,"&lt;"&amp;B412)+COUNTIFS($O$5:$O$1517,O412,$B$5:$B$1517,B412,$C$5:$C$1517,"&lt;"&amp;C412),"")</f>
        <v>171</v>
      </c>
      <c r="U412" s="8" t="n">
        <f aca="false">IF($K412=1,COUNTIFS($L$5:$L$1517,"&gt;="&amp;L412,$K$5:$K$1517,1)/COUNTIF($L$5:$L$1517,"&gt;="&amp;L412),0)</f>
        <v>0</v>
      </c>
      <c r="V412" s="8" t="n">
        <f aca="false">IF($K412=1,COUNTIFS($M$5:$M$1517,"&gt;="&amp;M412,$K$5:$K$1517,1)/COUNTIF($M$5:$M$1517,"&gt;="&amp;M412),0)</f>
        <v>0</v>
      </c>
      <c r="W412" s="8" t="n">
        <f aca="false">IF($K412=1,COUNTIFS($N$5:$N$1517,"&gt;="&amp;N412,$K$5:$K$1517,1)/COUNTIF($N$5:$N$1517,"&gt;="&amp;N412),0)</f>
        <v>0</v>
      </c>
      <c r="X412" s="8" t="n">
        <f aca="false">IF($K412=1,COUNTIFS($O$5:$O$1517,"&gt;="&amp;O412,$K$5:$K$1517,1)/COUNTIF($O$5:$O$1517,"&gt;="&amp;O412),0)</f>
        <v>0</v>
      </c>
      <c r="Y412" s="8" t="n">
        <f aca="false">IF($K412=1,COUNTIFS($P$5:$P$1517,"&gt;="&amp;P412,$K$5:$K$1517,1)/COUNTIF($P$5:$P$1517,"&gt;="&amp;P412),0)</f>
        <v>0</v>
      </c>
      <c r="Z412" s="8" t="n">
        <f aca="false">(L412-$K412)^2</f>
        <v>0.195203145124</v>
      </c>
      <c r="AA412" s="8" t="n">
        <f aca="false">(M412-$K412)^2</f>
        <v>0.008475595969</v>
      </c>
      <c r="AB412" s="8" t="n">
        <f aca="false">(N412-$K412)^2</f>
        <v>0.015672285721</v>
      </c>
      <c r="AC412" s="8" t="n">
        <f aca="false">(O412-$K412)^2</f>
        <v>0.011274829489</v>
      </c>
      <c r="AD412" s="8" t="n">
        <f aca="false">(P412-$K412)^2</f>
        <v>0.017904313249</v>
      </c>
      <c r="AE412" s="8" t="n">
        <f aca="false">MIN(INT(ROUND(N412*1000000,0)/100000),9)</f>
        <v>1</v>
      </c>
      <c r="AF412" s="8" t="n">
        <f aca="false">MIN(INT(ROUND(P412*1000000,0)/100000),9)</f>
        <v>1</v>
      </c>
    </row>
    <row r="413" customFormat="false" ht="15" hidden="false" customHeight="false" outlineLevel="0" collapsed="false">
      <c r="A413" s="4" t="n">
        <v>409</v>
      </c>
      <c r="B413" s="4" t="n">
        <v>253</v>
      </c>
      <c r="C413" s="4" t="n">
        <v>1</v>
      </c>
      <c r="D413" s="11" t="n">
        <v>46082</v>
      </c>
      <c r="E413" s="4" t="s">
        <v>201</v>
      </c>
      <c r="F413" s="4" t="s">
        <v>206</v>
      </c>
      <c r="G413" s="4" t="n">
        <v>10</v>
      </c>
      <c r="H413" s="4" t="n">
        <v>6</v>
      </c>
      <c r="I413" s="4" t="n">
        <v>1</v>
      </c>
      <c r="J413" s="4"/>
      <c r="K413" s="4" t="n">
        <v>0</v>
      </c>
      <c r="L413" s="12" t="n">
        <v>0.932707</v>
      </c>
      <c r="M413" s="12" t="n">
        <v>0.184211</v>
      </c>
      <c r="N413" s="12" t="n">
        <v>0.064917</v>
      </c>
      <c r="O413" s="12" t="n">
        <v>0.106183</v>
      </c>
      <c r="P413" s="12" t="n">
        <v>0.067517</v>
      </c>
      <c r="Q413" s="0" t="str">
        <f aca="false">IF(L413&gt;=Models!$G$5,1+COUNTIF($L$5:$L$1517,"&gt;"&amp;L413)+COUNTIFS($L$5:$L$1517,L413,$B$5:$B$1517,"&lt;"&amp;B413)+COUNTIFS($L$5:$L$1517,L413,$B$5:$B$1517,B413,$C$5:$C$1517,"&lt;"&amp;C413),"")</f>
        <v/>
      </c>
      <c r="R413" s="8" t="n">
        <f aca="false">IF(M413&gt;=Models!$G$6,1+COUNTIF($M$5:$M$1517,"&gt;"&amp;M413)+COUNTIFS($M$5:$M$1517,M413,$B$5:$B$1517,"&lt;"&amp;B413)+COUNTIFS($M$5:$M$1517,M413,$B$5:$B$1517,B413,$C$5:$C$1517,"&lt;"&amp;C413),"")</f>
        <v>20</v>
      </c>
      <c r="S413" s="0" t="str">
        <f aca="false">IF(N413&gt;=Models!$G$7,1+COUNTIF($N$5:$N$1517,"&gt;"&amp;N413)+COUNTIFS($N$5:$N$1517,N413,$B$5:$B$1517,"&lt;"&amp;B413)+COUNTIFS($N$5:$N$1517,N413,$B$5:$B$1517,B413,$C$5:$C$1517,"&lt;"&amp;C413),"")</f>
        <v/>
      </c>
      <c r="T413" s="8" t="n">
        <f aca="false">IF(O413&gt;=Models!$G$8,1+COUNTIF($O$5:$O$1517,"&gt;"&amp;O413)+COUNTIFS($O$5:$O$1517,O413,$B$5:$B$1517,"&lt;"&amp;B413)+COUNTIFS($O$5:$O$1517,O413,$B$5:$B$1517,B413,$C$5:$C$1517,"&lt;"&amp;C413),"")</f>
        <v>175</v>
      </c>
      <c r="U413" s="8" t="n">
        <f aca="false">IF($K413=1,COUNTIFS($L$5:$L$1517,"&gt;="&amp;L413,$K$5:$K$1517,1)/COUNTIF($L$5:$L$1517,"&gt;="&amp;L413),0)</f>
        <v>0</v>
      </c>
      <c r="V413" s="8" t="n">
        <f aca="false">IF($K413=1,COUNTIFS($M$5:$M$1517,"&gt;="&amp;M413,$K$5:$K$1517,1)/COUNTIF($M$5:$M$1517,"&gt;="&amp;M413),0)</f>
        <v>0</v>
      </c>
      <c r="W413" s="8" t="n">
        <f aca="false">IF($K413=1,COUNTIFS($N$5:$N$1517,"&gt;="&amp;N413,$K$5:$K$1517,1)/COUNTIF($N$5:$N$1517,"&gt;="&amp;N413),0)</f>
        <v>0</v>
      </c>
      <c r="X413" s="8" t="n">
        <f aca="false">IF($K413=1,COUNTIFS($O$5:$O$1517,"&gt;="&amp;O413,$K$5:$K$1517,1)/COUNTIF($O$5:$O$1517,"&gt;="&amp;O413),0)</f>
        <v>0</v>
      </c>
      <c r="Y413" s="8" t="n">
        <f aca="false">IF($K413=1,COUNTIFS($P$5:$P$1517,"&gt;="&amp;P413,$K$5:$K$1517,1)/COUNTIF($P$5:$P$1517,"&gt;="&amp;P413),0)</f>
        <v>0</v>
      </c>
      <c r="Z413" s="8" t="n">
        <f aca="false">(L413-$K413)^2</f>
        <v>0.869942347849</v>
      </c>
      <c r="AA413" s="8" t="n">
        <f aca="false">(M413-$K413)^2</f>
        <v>0.033933692521</v>
      </c>
      <c r="AB413" s="8" t="n">
        <f aca="false">(N413-$K413)^2</f>
        <v>0.004214216889</v>
      </c>
      <c r="AC413" s="8" t="n">
        <f aca="false">(O413-$K413)^2</f>
        <v>0.011274829489</v>
      </c>
      <c r="AD413" s="8" t="n">
        <f aca="false">(P413-$K413)^2</f>
        <v>0.004558545289</v>
      </c>
      <c r="AE413" s="8" t="n">
        <f aca="false">MIN(INT(ROUND(N413*1000000,0)/100000),9)</f>
        <v>0</v>
      </c>
      <c r="AF413" s="8" t="n">
        <f aca="false">MIN(INT(ROUND(P413*1000000,0)/100000),9)</f>
        <v>0</v>
      </c>
    </row>
    <row r="414" customFormat="false" ht="15" hidden="false" customHeight="false" outlineLevel="0" collapsed="false">
      <c r="A414" s="4" t="n">
        <v>410</v>
      </c>
      <c r="B414" s="4" t="n">
        <v>259</v>
      </c>
      <c r="C414" s="4" t="n">
        <v>1</v>
      </c>
      <c r="D414" s="11" t="n">
        <v>46082</v>
      </c>
      <c r="E414" s="4" t="s">
        <v>204</v>
      </c>
      <c r="F414" s="4" t="s">
        <v>209</v>
      </c>
      <c r="G414" s="4" t="n">
        <v>2</v>
      </c>
      <c r="H414" s="4" t="n">
        <v>13</v>
      </c>
      <c r="I414" s="4" t="n">
        <v>0</v>
      </c>
      <c r="J414" s="4" t="n">
        <v>69</v>
      </c>
      <c r="K414" s="4" t="n">
        <v>1</v>
      </c>
      <c r="L414" s="12" t="n">
        <v>0.281271</v>
      </c>
      <c r="M414" s="12" t="n">
        <v>0.092063</v>
      </c>
      <c r="N414" s="12" t="n">
        <v>0.150138</v>
      </c>
      <c r="O414" s="12" t="n">
        <v>0.106183</v>
      </c>
      <c r="P414" s="12" t="n">
        <v>0.161511</v>
      </c>
      <c r="Q414" s="0" t="str">
        <f aca="false">IF(L414&gt;=Models!$G$5,1+COUNTIF($L$5:$L$1517,"&gt;"&amp;L414)+COUNTIFS($L$5:$L$1517,L414,$B$5:$B$1517,"&lt;"&amp;B414)+COUNTIFS($L$5:$L$1517,L414,$B$5:$B$1517,B414,$C$5:$C$1517,"&lt;"&amp;C414),"")</f>
        <v/>
      </c>
      <c r="R414" s="0" t="str">
        <f aca="false">IF(M414&gt;=Models!$G$6,1+COUNTIF($M$5:$M$1517,"&gt;"&amp;M414)+COUNTIFS($M$5:$M$1517,M414,$B$5:$B$1517,"&lt;"&amp;B414)+COUNTIFS($M$5:$M$1517,M414,$B$5:$B$1517,B414,$C$5:$C$1517,"&lt;"&amp;C414),"")</f>
        <v/>
      </c>
      <c r="S414" s="0" t="str">
        <f aca="false">IF(N414&gt;=Models!$G$7,1+COUNTIF($N$5:$N$1517,"&gt;"&amp;N414)+COUNTIFS($N$5:$N$1517,N414,$B$5:$B$1517,"&lt;"&amp;B414)+COUNTIFS($N$5:$N$1517,N414,$B$5:$B$1517,B414,$C$5:$C$1517,"&lt;"&amp;C414),"")</f>
        <v/>
      </c>
      <c r="T414" s="8" t="n">
        <f aca="false">IF(O414&gt;=Models!$G$8,1+COUNTIF($O$5:$O$1517,"&gt;"&amp;O414)+COUNTIFS($O$5:$O$1517,O414,$B$5:$B$1517,"&lt;"&amp;B414)+COUNTIFS($O$5:$O$1517,O414,$B$5:$B$1517,B414,$C$5:$C$1517,"&lt;"&amp;C414),"")</f>
        <v>179</v>
      </c>
      <c r="U414" s="8" t="n">
        <f aca="false">IF($K414=1,COUNTIFS($L$5:$L$1517,"&gt;="&amp;L414,$K$5:$K$1517,1)/COUNTIF($L$5:$L$1517,"&gt;="&amp;L414),0)</f>
        <v>0.129664179104478</v>
      </c>
      <c r="V414" s="8" t="n">
        <f aca="false">IF($K414=1,COUNTIFS($M$5:$M$1517,"&gt;="&amp;M414,$K$5:$K$1517,1)/COUNTIF($M$5:$M$1517,"&gt;="&amp;M414),0)</f>
        <v>0.12491738268341</v>
      </c>
      <c r="W414" s="8" t="n">
        <f aca="false">IF($K414=1,COUNTIFS($N$5:$N$1517,"&gt;="&amp;N414,$K$5:$K$1517,1)/COUNTIF($N$5:$N$1517,"&gt;="&amp;N414),0)</f>
        <v>0.298076923076923</v>
      </c>
      <c r="X414" s="8" t="n">
        <f aca="false">IF($K414=1,COUNTIFS($O$5:$O$1517,"&gt;="&amp;O414,$K$5:$K$1517,1)/COUNTIF($O$5:$O$1517,"&gt;="&amp;O414),0)</f>
        <v>0.12491738268341</v>
      </c>
      <c r="Y414" s="8" t="n">
        <f aca="false">IF($K414=1,COUNTIFS($P$5:$P$1517,"&gt;="&amp;P414,$K$5:$K$1517,1)/COUNTIF($P$5:$P$1517,"&gt;="&amp;P414),0)</f>
        <v>0.298076923076923</v>
      </c>
      <c r="Z414" s="8" t="n">
        <f aca="false">(L414-$K414)^2</f>
        <v>0.516571375441</v>
      </c>
      <c r="AA414" s="8" t="n">
        <f aca="false">(M414-$K414)^2</f>
        <v>0.824349595969</v>
      </c>
      <c r="AB414" s="8" t="n">
        <f aca="false">(N414-$K414)^2</f>
        <v>0.722265419044</v>
      </c>
      <c r="AC414" s="8" t="n">
        <f aca="false">(O414-$K414)^2</f>
        <v>0.798908829489</v>
      </c>
      <c r="AD414" s="8" t="n">
        <f aca="false">(P414-$K414)^2</f>
        <v>0.703063803121</v>
      </c>
      <c r="AE414" s="8" t="n">
        <f aca="false">MIN(INT(ROUND(N414*1000000,0)/100000),9)</f>
        <v>1</v>
      </c>
      <c r="AF414" s="8" t="n">
        <f aca="false">MIN(INT(ROUND(P414*1000000,0)/100000),9)</f>
        <v>1</v>
      </c>
    </row>
    <row r="415" customFormat="false" ht="15" hidden="false" customHeight="false" outlineLevel="0" collapsed="false">
      <c r="A415" s="4" t="n">
        <v>411</v>
      </c>
      <c r="B415" s="4" t="n">
        <v>265</v>
      </c>
      <c r="C415" s="4" t="n">
        <v>1</v>
      </c>
      <c r="D415" s="11" t="n">
        <v>46082</v>
      </c>
      <c r="E415" s="4" t="s">
        <v>203</v>
      </c>
      <c r="F415" s="4" t="s">
        <v>206</v>
      </c>
      <c r="G415" s="4" t="n">
        <v>8</v>
      </c>
      <c r="H415" s="4" t="n">
        <v>3</v>
      </c>
      <c r="I415" s="4" t="n">
        <v>0</v>
      </c>
      <c r="J415" s="4" t="n">
        <v>321</v>
      </c>
      <c r="K415" s="4" t="n">
        <v>0</v>
      </c>
      <c r="L415" s="12" t="n">
        <v>0.761831</v>
      </c>
      <c r="M415" s="12" t="n">
        <v>0.092063</v>
      </c>
      <c r="N415" s="12" t="n">
        <v>0.085485</v>
      </c>
      <c r="O415" s="12" t="n">
        <v>0.106183</v>
      </c>
      <c r="P415" s="12" t="n">
        <v>0.089983</v>
      </c>
      <c r="Q415" s="0" t="str">
        <f aca="false">IF(L415&gt;=Models!$G$5,1+COUNTIF($L$5:$L$1517,"&gt;"&amp;L415)+COUNTIFS($L$5:$L$1517,L415,$B$5:$B$1517,"&lt;"&amp;B415)+COUNTIFS($L$5:$L$1517,L415,$B$5:$B$1517,B415,$C$5:$C$1517,"&lt;"&amp;C415),"")</f>
        <v/>
      </c>
      <c r="R415" s="0" t="str">
        <f aca="false">IF(M415&gt;=Models!$G$6,1+COUNTIF($M$5:$M$1517,"&gt;"&amp;M415)+COUNTIFS($M$5:$M$1517,M415,$B$5:$B$1517,"&lt;"&amp;B415)+COUNTIFS($M$5:$M$1517,M415,$B$5:$B$1517,B415,$C$5:$C$1517,"&lt;"&amp;C415),"")</f>
        <v/>
      </c>
      <c r="S415" s="0" t="str">
        <f aca="false">IF(N415&gt;=Models!$G$7,1+COUNTIF($N$5:$N$1517,"&gt;"&amp;N415)+COUNTIFS($N$5:$N$1517,N415,$B$5:$B$1517,"&lt;"&amp;B415)+COUNTIFS($N$5:$N$1517,N415,$B$5:$B$1517,B415,$C$5:$C$1517,"&lt;"&amp;C415),"")</f>
        <v/>
      </c>
      <c r="T415" s="8" t="n">
        <f aca="false">IF(O415&gt;=Models!$G$8,1+COUNTIF($O$5:$O$1517,"&gt;"&amp;O415)+COUNTIFS($O$5:$O$1517,O415,$B$5:$B$1517,"&lt;"&amp;B415)+COUNTIFS($O$5:$O$1517,O415,$B$5:$B$1517,B415,$C$5:$C$1517,"&lt;"&amp;C415),"")</f>
        <v>181</v>
      </c>
      <c r="U415" s="8" t="n">
        <f aca="false">IF($K415=1,COUNTIFS($L$5:$L$1517,"&gt;="&amp;L415,$K$5:$K$1517,1)/COUNTIF($L$5:$L$1517,"&gt;="&amp;L415),0)</f>
        <v>0</v>
      </c>
      <c r="V415" s="8" t="n">
        <f aca="false">IF($K415=1,COUNTIFS($M$5:$M$1517,"&gt;="&amp;M415,$K$5:$K$1517,1)/COUNTIF($M$5:$M$1517,"&gt;="&amp;M415),0)</f>
        <v>0</v>
      </c>
      <c r="W415" s="8" t="n">
        <f aca="false">IF($K415=1,COUNTIFS($N$5:$N$1517,"&gt;="&amp;N415,$K$5:$K$1517,1)/COUNTIF($N$5:$N$1517,"&gt;="&amp;N415),0)</f>
        <v>0</v>
      </c>
      <c r="X415" s="8" t="n">
        <f aca="false">IF($K415=1,COUNTIFS($O$5:$O$1517,"&gt;="&amp;O415,$K$5:$K$1517,1)/COUNTIF($O$5:$O$1517,"&gt;="&amp;O415),0)</f>
        <v>0</v>
      </c>
      <c r="Y415" s="8" t="n">
        <f aca="false">IF($K415=1,COUNTIFS($P$5:$P$1517,"&gt;="&amp;P415,$K$5:$K$1517,1)/COUNTIF($P$5:$P$1517,"&gt;="&amp;P415),0)</f>
        <v>0</v>
      </c>
      <c r="Z415" s="8" t="n">
        <f aca="false">(L415-$K415)^2</f>
        <v>0.580386472561</v>
      </c>
      <c r="AA415" s="8" t="n">
        <f aca="false">(M415-$K415)^2</f>
        <v>0.008475595969</v>
      </c>
      <c r="AB415" s="8" t="n">
        <f aca="false">(N415-$K415)^2</f>
        <v>0.007307685225</v>
      </c>
      <c r="AC415" s="8" t="n">
        <f aca="false">(O415-$K415)^2</f>
        <v>0.011274829489</v>
      </c>
      <c r="AD415" s="8" t="n">
        <f aca="false">(P415-$K415)^2</f>
        <v>0.008096940289</v>
      </c>
      <c r="AE415" s="8" t="n">
        <f aca="false">MIN(INT(ROUND(N415*1000000,0)/100000),9)</f>
        <v>0</v>
      </c>
      <c r="AF415" s="8" t="n">
        <f aca="false">MIN(INT(ROUND(P415*1000000,0)/100000),9)</f>
        <v>0</v>
      </c>
    </row>
    <row r="416" customFormat="false" ht="15" hidden="false" customHeight="false" outlineLevel="0" collapsed="false">
      <c r="A416" s="4" t="n">
        <v>412</v>
      </c>
      <c r="B416" s="4" t="n">
        <v>266</v>
      </c>
      <c r="C416" s="4" t="n">
        <v>1</v>
      </c>
      <c r="D416" s="11" t="n">
        <v>46082</v>
      </c>
      <c r="E416" s="4" t="s">
        <v>203</v>
      </c>
      <c r="F416" s="4" t="s">
        <v>209</v>
      </c>
      <c r="G416" s="4" t="n">
        <v>5</v>
      </c>
      <c r="H416" s="4" t="n">
        <v>2</v>
      </c>
      <c r="I416" s="4" t="n">
        <v>0</v>
      </c>
      <c r="J416" s="4" t="n">
        <v>303</v>
      </c>
      <c r="K416" s="4" t="n">
        <v>0</v>
      </c>
      <c r="L416" s="12" t="n">
        <v>0.294732</v>
      </c>
      <c r="M416" s="12" t="n">
        <v>0.092063</v>
      </c>
      <c r="N416" s="12" t="n">
        <v>0.108396</v>
      </c>
      <c r="O416" s="12" t="n">
        <v>0.106183</v>
      </c>
      <c r="P416" s="12" t="n">
        <v>0.115218</v>
      </c>
      <c r="Q416" s="0" t="str">
        <f aca="false">IF(L416&gt;=Models!$G$5,1+COUNTIF($L$5:$L$1517,"&gt;"&amp;L416)+COUNTIFS($L$5:$L$1517,L416,$B$5:$B$1517,"&lt;"&amp;B416)+COUNTIFS($L$5:$L$1517,L416,$B$5:$B$1517,B416,$C$5:$C$1517,"&lt;"&amp;C416),"")</f>
        <v/>
      </c>
      <c r="R416" s="0" t="str">
        <f aca="false">IF(M416&gt;=Models!$G$6,1+COUNTIF($M$5:$M$1517,"&gt;"&amp;M416)+COUNTIFS($M$5:$M$1517,M416,$B$5:$B$1517,"&lt;"&amp;B416)+COUNTIFS($M$5:$M$1517,M416,$B$5:$B$1517,B416,$C$5:$C$1517,"&lt;"&amp;C416),"")</f>
        <v/>
      </c>
      <c r="S416" s="0" t="str">
        <f aca="false">IF(N416&gt;=Models!$G$7,1+COUNTIF($N$5:$N$1517,"&gt;"&amp;N416)+COUNTIFS($N$5:$N$1517,N416,$B$5:$B$1517,"&lt;"&amp;B416)+COUNTIFS($N$5:$N$1517,N416,$B$5:$B$1517,B416,$C$5:$C$1517,"&lt;"&amp;C416),"")</f>
        <v/>
      </c>
      <c r="T416" s="8" t="n">
        <f aca="false">IF(O416&gt;=Models!$G$8,1+COUNTIF($O$5:$O$1517,"&gt;"&amp;O416)+COUNTIFS($O$5:$O$1517,O416,$B$5:$B$1517,"&lt;"&amp;B416)+COUNTIFS($O$5:$O$1517,O416,$B$5:$B$1517,B416,$C$5:$C$1517,"&lt;"&amp;C416),"")</f>
        <v>185</v>
      </c>
      <c r="U416" s="8" t="n">
        <f aca="false">IF($K416=1,COUNTIFS($L$5:$L$1517,"&gt;="&amp;L416,$K$5:$K$1517,1)/COUNTIF($L$5:$L$1517,"&gt;="&amp;L416),0)</f>
        <v>0</v>
      </c>
      <c r="V416" s="8" t="n">
        <f aca="false">IF($K416=1,COUNTIFS($M$5:$M$1517,"&gt;="&amp;M416,$K$5:$K$1517,1)/COUNTIF($M$5:$M$1517,"&gt;="&amp;M416),0)</f>
        <v>0</v>
      </c>
      <c r="W416" s="8" t="n">
        <f aca="false">IF($K416=1,COUNTIFS($N$5:$N$1517,"&gt;="&amp;N416,$K$5:$K$1517,1)/COUNTIF($N$5:$N$1517,"&gt;="&amp;N416),0)</f>
        <v>0</v>
      </c>
      <c r="X416" s="8" t="n">
        <f aca="false">IF($K416=1,COUNTIFS($O$5:$O$1517,"&gt;="&amp;O416,$K$5:$K$1517,1)/COUNTIF($O$5:$O$1517,"&gt;="&amp;O416),0)</f>
        <v>0</v>
      </c>
      <c r="Y416" s="8" t="n">
        <f aca="false">IF($K416=1,COUNTIFS($P$5:$P$1517,"&gt;="&amp;P416,$K$5:$K$1517,1)/COUNTIF($P$5:$P$1517,"&gt;="&amp;P416),0)</f>
        <v>0</v>
      </c>
      <c r="Z416" s="8" t="n">
        <f aca="false">(L416-$K416)^2</f>
        <v>0.086866951824</v>
      </c>
      <c r="AA416" s="8" t="n">
        <f aca="false">(M416-$K416)^2</f>
        <v>0.008475595969</v>
      </c>
      <c r="AB416" s="8" t="n">
        <f aca="false">(N416-$K416)^2</f>
        <v>0.011749692816</v>
      </c>
      <c r="AC416" s="8" t="n">
        <f aca="false">(O416-$K416)^2</f>
        <v>0.011274829489</v>
      </c>
      <c r="AD416" s="8" t="n">
        <f aca="false">(P416-$K416)^2</f>
        <v>0.013275187524</v>
      </c>
      <c r="AE416" s="8" t="n">
        <f aca="false">MIN(INT(ROUND(N416*1000000,0)/100000),9)</f>
        <v>1</v>
      </c>
      <c r="AF416" s="8" t="n">
        <f aca="false">MIN(INT(ROUND(P416*1000000,0)/100000),9)</f>
        <v>1</v>
      </c>
    </row>
    <row r="417" customFormat="false" ht="15" hidden="false" customHeight="false" outlineLevel="0" collapsed="false">
      <c r="A417" s="4" t="n">
        <v>413</v>
      </c>
      <c r="B417" s="4" t="n">
        <v>270</v>
      </c>
      <c r="C417" s="4" t="n">
        <v>1</v>
      </c>
      <c r="D417" s="11" t="n">
        <v>46082</v>
      </c>
      <c r="E417" s="4" t="s">
        <v>203</v>
      </c>
      <c r="F417" s="4" t="s">
        <v>207</v>
      </c>
      <c r="G417" s="4" t="n">
        <v>4</v>
      </c>
      <c r="H417" s="4" t="n">
        <v>4</v>
      </c>
      <c r="I417" s="4" t="n">
        <v>0</v>
      </c>
      <c r="J417" s="4"/>
      <c r="K417" s="4" t="n">
        <v>0</v>
      </c>
      <c r="L417" s="12" t="n">
        <v>0.728972</v>
      </c>
      <c r="M417" s="12" t="n">
        <v>0.092063</v>
      </c>
      <c r="N417" s="12" t="n">
        <v>0.060654</v>
      </c>
      <c r="O417" s="12" t="n">
        <v>0.106183</v>
      </c>
      <c r="P417" s="12" t="n">
        <v>0.062891</v>
      </c>
      <c r="Q417" s="0" t="str">
        <f aca="false">IF(L417&gt;=Models!$G$5,1+COUNTIF($L$5:$L$1517,"&gt;"&amp;L417)+COUNTIFS($L$5:$L$1517,L417,$B$5:$B$1517,"&lt;"&amp;B417)+COUNTIFS($L$5:$L$1517,L417,$B$5:$B$1517,B417,$C$5:$C$1517,"&lt;"&amp;C417),"")</f>
        <v/>
      </c>
      <c r="R417" s="0" t="str">
        <f aca="false">IF(M417&gt;=Models!$G$6,1+COUNTIF($M$5:$M$1517,"&gt;"&amp;M417)+COUNTIFS($M$5:$M$1517,M417,$B$5:$B$1517,"&lt;"&amp;B417)+COUNTIFS($M$5:$M$1517,M417,$B$5:$B$1517,B417,$C$5:$C$1517,"&lt;"&amp;C417),"")</f>
        <v/>
      </c>
      <c r="S417" s="0" t="str">
        <f aca="false">IF(N417&gt;=Models!$G$7,1+COUNTIF($N$5:$N$1517,"&gt;"&amp;N417)+COUNTIFS($N$5:$N$1517,N417,$B$5:$B$1517,"&lt;"&amp;B417)+COUNTIFS($N$5:$N$1517,N417,$B$5:$B$1517,B417,$C$5:$C$1517,"&lt;"&amp;C417),"")</f>
        <v/>
      </c>
      <c r="T417" s="8" t="n">
        <f aca="false">IF(O417&gt;=Models!$G$8,1+COUNTIF($O$5:$O$1517,"&gt;"&amp;O417)+COUNTIFS($O$5:$O$1517,O417,$B$5:$B$1517,"&lt;"&amp;B417)+COUNTIFS($O$5:$O$1517,O417,$B$5:$B$1517,B417,$C$5:$C$1517,"&lt;"&amp;C417),"")</f>
        <v>189</v>
      </c>
      <c r="U417" s="8" t="n">
        <f aca="false">IF($K417=1,COUNTIFS($L$5:$L$1517,"&gt;="&amp;L417,$K$5:$K$1517,1)/COUNTIF($L$5:$L$1517,"&gt;="&amp;L417),0)</f>
        <v>0</v>
      </c>
      <c r="V417" s="8" t="n">
        <f aca="false">IF($K417=1,COUNTIFS($M$5:$M$1517,"&gt;="&amp;M417,$K$5:$K$1517,1)/COUNTIF($M$5:$M$1517,"&gt;="&amp;M417),0)</f>
        <v>0</v>
      </c>
      <c r="W417" s="8" t="n">
        <f aca="false">IF($K417=1,COUNTIFS($N$5:$N$1517,"&gt;="&amp;N417,$K$5:$K$1517,1)/COUNTIF($N$5:$N$1517,"&gt;="&amp;N417),0)</f>
        <v>0</v>
      </c>
      <c r="X417" s="8" t="n">
        <f aca="false">IF($K417=1,COUNTIFS($O$5:$O$1517,"&gt;="&amp;O417,$K$5:$K$1517,1)/COUNTIF($O$5:$O$1517,"&gt;="&amp;O417),0)</f>
        <v>0</v>
      </c>
      <c r="Y417" s="8" t="n">
        <f aca="false">IF($K417=1,COUNTIFS($P$5:$P$1517,"&gt;="&amp;P417,$K$5:$K$1517,1)/COUNTIF($P$5:$P$1517,"&gt;="&amp;P417),0)</f>
        <v>0</v>
      </c>
      <c r="Z417" s="8" t="n">
        <f aca="false">(L417-$K417)^2</f>
        <v>0.531400176784</v>
      </c>
      <c r="AA417" s="8" t="n">
        <f aca="false">(M417-$K417)^2</f>
        <v>0.008475595969</v>
      </c>
      <c r="AB417" s="8" t="n">
        <f aca="false">(N417-$K417)^2</f>
        <v>0.003678907716</v>
      </c>
      <c r="AC417" s="8" t="n">
        <f aca="false">(O417-$K417)^2</f>
        <v>0.011274829489</v>
      </c>
      <c r="AD417" s="8" t="n">
        <f aca="false">(P417-$K417)^2</f>
        <v>0.003955277881</v>
      </c>
      <c r="AE417" s="8" t="n">
        <f aca="false">MIN(INT(ROUND(N417*1000000,0)/100000),9)</f>
        <v>0</v>
      </c>
      <c r="AF417" s="8" t="n">
        <f aca="false">MIN(INT(ROUND(P417*1000000,0)/100000),9)</f>
        <v>0</v>
      </c>
    </row>
    <row r="418" customFormat="false" ht="15" hidden="false" customHeight="false" outlineLevel="0" collapsed="false">
      <c r="A418" s="4" t="n">
        <v>414</v>
      </c>
      <c r="B418" s="4" t="n">
        <v>271</v>
      </c>
      <c r="C418" s="4" t="n">
        <v>1</v>
      </c>
      <c r="D418" s="11" t="n">
        <v>46082</v>
      </c>
      <c r="E418" s="4" t="s">
        <v>202</v>
      </c>
      <c r="F418" s="4" t="s">
        <v>206</v>
      </c>
      <c r="G418" s="4" t="n">
        <v>7</v>
      </c>
      <c r="H418" s="4" t="n">
        <v>3</v>
      </c>
      <c r="I418" s="4" t="n">
        <v>0</v>
      </c>
      <c r="J418" s="4"/>
      <c r="K418" s="4" t="n">
        <v>0</v>
      </c>
      <c r="L418" s="12" t="n">
        <v>0.473302</v>
      </c>
      <c r="M418" s="12" t="n">
        <v>0.092063</v>
      </c>
      <c r="N418" s="12" t="n">
        <v>0.046611</v>
      </c>
      <c r="O418" s="12" t="n">
        <v>0.106183</v>
      </c>
      <c r="P418" s="12" t="n">
        <v>0.047752</v>
      </c>
      <c r="Q418" s="0" t="str">
        <f aca="false">IF(L418&gt;=Models!$G$5,1+COUNTIF($L$5:$L$1517,"&gt;"&amp;L418)+COUNTIFS($L$5:$L$1517,L418,$B$5:$B$1517,"&lt;"&amp;B418)+COUNTIFS($L$5:$L$1517,L418,$B$5:$B$1517,B418,$C$5:$C$1517,"&lt;"&amp;C418),"")</f>
        <v/>
      </c>
      <c r="R418" s="0" t="str">
        <f aca="false">IF(M418&gt;=Models!$G$6,1+COUNTIF($M$5:$M$1517,"&gt;"&amp;M418)+COUNTIFS($M$5:$M$1517,M418,$B$5:$B$1517,"&lt;"&amp;B418)+COUNTIFS($M$5:$M$1517,M418,$B$5:$B$1517,B418,$C$5:$C$1517,"&lt;"&amp;C418),"")</f>
        <v/>
      </c>
      <c r="S418" s="0" t="str">
        <f aca="false">IF(N418&gt;=Models!$G$7,1+COUNTIF($N$5:$N$1517,"&gt;"&amp;N418)+COUNTIFS($N$5:$N$1517,N418,$B$5:$B$1517,"&lt;"&amp;B418)+COUNTIFS($N$5:$N$1517,N418,$B$5:$B$1517,B418,$C$5:$C$1517,"&lt;"&amp;C418),"")</f>
        <v/>
      </c>
      <c r="T418" s="8" t="n">
        <f aca="false">IF(O418&gt;=Models!$G$8,1+COUNTIF($O$5:$O$1517,"&gt;"&amp;O418)+COUNTIFS($O$5:$O$1517,O418,$B$5:$B$1517,"&lt;"&amp;B418)+COUNTIFS($O$5:$O$1517,O418,$B$5:$B$1517,B418,$C$5:$C$1517,"&lt;"&amp;C418),"")</f>
        <v>193</v>
      </c>
      <c r="U418" s="8" t="n">
        <f aca="false">IF($K418=1,COUNTIFS($L$5:$L$1517,"&gt;="&amp;L418,$K$5:$K$1517,1)/COUNTIF($L$5:$L$1517,"&gt;="&amp;L418),0)</f>
        <v>0</v>
      </c>
      <c r="V418" s="8" t="n">
        <f aca="false">IF($K418=1,COUNTIFS($M$5:$M$1517,"&gt;="&amp;M418,$K$5:$K$1517,1)/COUNTIF($M$5:$M$1517,"&gt;="&amp;M418),0)</f>
        <v>0</v>
      </c>
      <c r="W418" s="8" t="n">
        <f aca="false">IF($K418=1,COUNTIFS($N$5:$N$1517,"&gt;="&amp;N418,$K$5:$K$1517,1)/COUNTIF($N$5:$N$1517,"&gt;="&amp;N418),0)</f>
        <v>0</v>
      </c>
      <c r="X418" s="8" t="n">
        <f aca="false">IF($K418=1,COUNTIFS($O$5:$O$1517,"&gt;="&amp;O418,$K$5:$K$1517,1)/COUNTIF($O$5:$O$1517,"&gt;="&amp;O418),0)</f>
        <v>0</v>
      </c>
      <c r="Y418" s="8" t="n">
        <f aca="false">IF($K418=1,COUNTIFS($P$5:$P$1517,"&gt;="&amp;P418,$K$5:$K$1517,1)/COUNTIF($P$5:$P$1517,"&gt;="&amp;P418),0)</f>
        <v>0</v>
      </c>
      <c r="Z418" s="8" t="n">
        <f aca="false">(L418-$K418)^2</f>
        <v>0.224014783204</v>
      </c>
      <c r="AA418" s="8" t="n">
        <f aca="false">(M418-$K418)^2</f>
        <v>0.008475595969</v>
      </c>
      <c r="AB418" s="8" t="n">
        <f aca="false">(N418-$K418)^2</f>
        <v>0.002172585321</v>
      </c>
      <c r="AC418" s="8" t="n">
        <f aca="false">(O418-$K418)^2</f>
        <v>0.011274829489</v>
      </c>
      <c r="AD418" s="8" t="n">
        <f aca="false">(P418-$K418)^2</f>
        <v>0.002280253504</v>
      </c>
      <c r="AE418" s="8" t="n">
        <f aca="false">MIN(INT(ROUND(N418*1000000,0)/100000),9)</f>
        <v>0</v>
      </c>
      <c r="AF418" s="8" t="n">
        <f aca="false">MIN(INT(ROUND(P418*1000000,0)/100000),9)</f>
        <v>0</v>
      </c>
    </row>
    <row r="419" customFormat="false" ht="15" hidden="false" customHeight="false" outlineLevel="0" collapsed="false">
      <c r="A419" s="4" t="n">
        <v>415</v>
      </c>
      <c r="B419" s="4" t="n">
        <v>277</v>
      </c>
      <c r="C419" s="4" t="n">
        <v>1</v>
      </c>
      <c r="D419" s="11" t="n">
        <v>46082</v>
      </c>
      <c r="E419" s="4" t="s">
        <v>203</v>
      </c>
      <c r="F419" s="4" t="s">
        <v>210</v>
      </c>
      <c r="G419" s="4" t="n">
        <v>6</v>
      </c>
      <c r="H419" s="4" t="n">
        <v>2</v>
      </c>
      <c r="I419" s="4" t="n">
        <v>0</v>
      </c>
      <c r="J419" s="4" t="n">
        <v>378</v>
      </c>
      <c r="K419" s="4" t="n">
        <v>1</v>
      </c>
      <c r="L419" s="12" t="n">
        <v>0.46617</v>
      </c>
      <c r="M419" s="12" t="n">
        <v>0.092063</v>
      </c>
      <c r="N419" s="12" t="n">
        <v>0.099609</v>
      </c>
      <c r="O419" s="12" t="n">
        <v>0.106183</v>
      </c>
      <c r="P419" s="12" t="n">
        <v>0.105519</v>
      </c>
      <c r="Q419" s="0" t="str">
        <f aca="false">IF(L419&gt;=Models!$G$5,1+COUNTIF($L$5:$L$1517,"&gt;"&amp;L419)+COUNTIFS($L$5:$L$1517,L419,$B$5:$B$1517,"&lt;"&amp;B419)+COUNTIFS($L$5:$L$1517,L419,$B$5:$B$1517,B419,$C$5:$C$1517,"&lt;"&amp;C419),"")</f>
        <v/>
      </c>
      <c r="R419" s="0" t="str">
        <f aca="false">IF(M419&gt;=Models!$G$6,1+COUNTIF($M$5:$M$1517,"&gt;"&amp;M419)+COUNTIFS($M$5:$M$1517,M419,$B$5:$B$1517,"&lt;"&amp;B419)+COUNTIFS($M$5:$M$1517,M419,$B$5:$B$1517,B419,$C$5:$C$1517,"&lt;"&amp;C419),"")</f>
        <v/>
      </c>
      <c r="S419" s="0" t="str">
        <f aca="false">IF(N419&gt;=Models!$G$7,1+COUNTIF($N$5:$N$1517,"&gt;"&amp;N419)+COUNTIFS($N$5:$N$1517,N419,$B$5:$B$1517,"&lt;"&amp;B419)+COUNTIFS($N$5:$N$1517,N419,$B$5:$B$1517,B419,$C$5:$C$1517,"&lt;"&amp;C419),"")</f>
        <v/>
      </c>
      <c r="T419" s="8" t="n">
        <f aca="false">IF(O419&gt;=Models!$G$8,1+COUNTIF($O$5:$O$1517,"&gt;"&amp;O419)+COUNTIFS($O$5:$O$1517,O419,$B$5:$B$1517,"&lt;"&amp;B419)+COUNTIFS($O$5:$O$1517,O419,$B$5:$B$1517,B419,$C$5:$C$1517,"&lt;"&amp;C419),"")</f>
        <v>197</v>
      </c>
      <c r="U419" s="8" t="n">
        <f aca="false">IF($K419=1,COUNTIFS($L$5:$L$1517,"&gt;="&amp;L419,$K$5:$K$1517,1)/COUNTIF($L$5:$L$1517,"&gt;="&amp;L419),0)</f>
        <v>0.122653316645807</v>
      </c>
      <c r="V419" s="8" t="n">
        <f aca="false">IF($K419=1,COUNTIFS($M$5:$M$1517,"&gt;="&amp;M419,$K$5:$K$1517,1)/COUNTIF($M$5:$M$1517,"&gt;="&amp;M419),0)</f>
        <v>0.12491738268341</v>
      </c>
      <c r="W419" s="8" t="n">
        <f aca="false">IF($K419=1,COUNTIFS($N$5:$N$1517,"&gt;="&amp;N419,$K$5:$K$1517,1)/COUNTIF($N$5:$N$1517,"&gt;="&amp;N419),0)</f>
        <v>0.191489361702128</v>
      </c>
      <c r="X419" s="8" t="n">
        <f aca="false">IF($K419=1,COUNTIFS($O$5:$O$1517,"&gt;="&amp;O419,$K$5:$K$1517,1)/COUNTIF($O$5:$O$1517,"&gt;="&amp;O419),0)</f>
        <v>0.12491738268341</v>
      </c>
      <c r="Y419" s="8" t="n">
        <f aca="false">IF($K419=1,COUNTIFS($P$5:$P$1517,"&gt;="&amp;P419,$K$5:$K$1517,1)/COUNTIF($P$5:$P$1517,"&gt;="&amp;P419),0)</f>
        <v>0.191489361702128</v>
      </c>
      <c r="Z419" s="8" t="n">
        <f aca="false">(L419-$K419)^2</f>
        <v>0.2849744689</v>
      </c>
      <c r="AA419" s="8" t="n">
        <f aca="false">(M419-$K419)^2</f>
        <v>0.824349595969</v>
      </c>
      <c r="AB419" s="8" t="n">
        <f aca="false">(N419-$K419)^2</f>
        <v>0.810703952881</v>
      </c>
      <c r="AC419" s="8" t="n">
        <f aca="false">(O419-$K419)^2</f>
        <v>0.798908829489</v>
      </c>
      <c r="AD419" s="8" t="n">
        <f aca="false">(P419-$K419)^2</f>
        <v>0.800096259361</v>
      </c>
      <c r="AE419" s="8" t="n">
        <f aca="false">MIN(INT(ROUND(N419*1000000,0)/100000),9)</f>
        <v>0</v>
      </c>
      <c r="AF419" s="8" t="n">
        <f aca="false">MIN(INT(ROUND(P419*1000000,0)/100000),9)</f>
        <v>1</v>
      </c>
    </row>
    <row r="420" customFormat="false" ht="15" hidden="false" customHeight="false" outlineLevel="0" collapsed="false">
      <c r="A420" s="4" t="n">
        <v>416</v>
      </c>
      <c r="B420" s="4" t="n">
        <v>283</v>
      </c>
      <c r="C420" s="4" t="n">
        <v>1</v>
      </c>
      <c r="D420" s="11" t="n">
        <v>46082</v>
      </c>
      <c r="E420" s="4" t="s">
        <v>203</v>
      </c>
      <c r="F420" s="4" t="s">
        <v>208</v>
      </c>
      <c r="G420" s="4" t="n">
        <v>8</v>
      </c>
      <c r="H420" s="4" t="n">
        <v>10</v>
      </c>
      <c r="I420" s="4" t="n">
        <v>0</v>
      </c>
      <c r="J420" s="4" t="n">
        <v>384</v>
      </c>
      <c r="K420" s="4" t="n">
        <v>1</v>
      </c>
      <c r="L420" s="12" t="n">
        <v>0.854147</v>
      </c>
      <c r="M420" s="12" t="n">
        <v>0.092063</v>
      </c>
      <c r="N420" s="12" t="n">
        <v>0.089778</v>
      </c>
      <c r="O420" s="12" t="n">
        <v>0.106183</v>
      </c>
      <c r="P420" s="12" t="n">
        <v>0.094697</v>
      </c>
      <c r="Q420" s="0" t="str">
        <f aca="false">IF(L420&gt;=Models!$G$5,1+COUNTIF($L$5:$L$1517,"&gt;"&amp;L420)+COUNTIFS($L$5:$L$1517,L420,$B$5:$B$1517,"&lt;"&amp;B420)+COUNTIFS($L$5:$L$1517,L420,$B$5:$B$1517,B420,$C$5:$C$1517,"&lt;"&amp;C420),"")</f>
        <v/>
      </c>
      <c r="R420" s="0" t="str">
        <f aca="false">IF(M420&gt;=Models!$G$6,1+COUNTIF($M$5:$M$1517,"&gt;"&amp;M420)+COUNTIFS($M$5:$M$1517,M420,$B$5:$B$1517,"&lt;"&amp;B420)+COUNTIFS($M$5:$M$1517,M420,$B$5:$B$1517,B420,$C$5:$C$1517,"&lt;"&amp;C420),"")</f>
        <v/>
      </c>
      <c r="S420" s="0" t="str">
        <f aca="false">IF(N420&gt;=Models!$G$7,1+COUNTIF($N$5:$N$1517,"&gt;"&amp;N420)+COUNTIFS($N$5:$N$1517,N420,$B$5:$B$1517,"&lt;"&amp;B420)+COUNTIFS($N$5:$N$1517,N420,$B$5:$B$1517,B420,$C$5:$C$1517,"&lt;"&amp;C420),"")</f>
        <v/>
      </c>
      <c r="T420" s="8" t="n">
        <f aca="false">IF(O420&gt;=Models!$G$8,1+COUNTIF($O$5:$O$1517,"&gt;"&amp;O420)+COUNTIFS($O$5:$O$1517,O420,$B$5:$B$1517,"&lt;"&amp;B420)+COUNTIFS($O$5:$O$1517,O420,$B$5:$B$1517,B420,$C$5:$C$1517,"&lt;"&amp;C420),"")</f>
        <v>201</v>
      </c>
      <c r="U420" s="8" t="n">
        <f aca="false">IF($K420=1,COUNTIFS($L$5:$L$1517,"&gt;="&amp;L420,$K$5:$K$1517,1)/COUNTIF($L$5:$L$1517,"&gt;="&amp;L420),0)</f>
        <v>0.127358490566038</v>
      </c>
      <c r="V420" s="8" t="n">
        <f aca="false">IF($K420=1,COUNTIFS($M$5:$M$1517,"&gt;="&amp;M420,$K$5:$K$1517,1)/COUNTIF($M$5:$M$1517,"&gt;="&amp;M420),0)</f>
        <v>0.12491738268341</v>
      </c>
      <c r="W420" s="8" t="n">
        <f aca="false">IF($K420=1,COUNTIFS($N$5:$N$1517,"&gt;="&amp;N420,$K$5:$K$1517,1)/COUNTIF($N$5:$N$1517,"&gt;="&amp;N420),0)</f>
        <v>0.17906683480454</v>
      </c>
      <c r="X420" s="8" t="n">
        <f aca="false">IF($K420=1,COUNTIFS($O$5:$O$1517,"&gt;="&amp;O420,$K$5:$K$1517,1)/COUNTIF($O$5:$O$1517,"&gt;="&amp;O420),0)</f>
        <v>0.12491738268341</v>
      </c>
      <c r="Y420" s="8" t="n">
        <f aca="false">IF($K420=1,COUNTIFS($P$5:$P$1517,"&gt;="&amp;P420,$K$5:$K$1517,1)/COUNTIF($P$5:$P$1517,"&gt;="&amp;P420),0)</f>
        <v>0.17906683480454</v>
      </c>
      <c r="Z420" s="8" t="n">
        <f aca="false">(L420-$K420)^2</f>
        <v>0.021273097609</v>
      </c>
      <c r="AA420" s="8" t="n">
        <f aca="false">(M420-$K420)^2</f>
        <v>0.824349595969</v>
      </c>
      <c r="AB420" s="8" t="n">
        <f aca="false">(N420-$K420)^2</f>
        <v>0.828504089284</v>
      </c>
      <c r="AC420" s="8" t="n">
        <f aca="false">(O420-$K420)^2</f>
        <v>0.798908829489</v>
      </c>
      <c r="AD420" s="8" t="n">
        <f aca="false">(P420-$K420)^2</f>
        <v>0.819573521809</v>
      </c>
      <c r="AE420" s="8" t="n">
        <f aca="false">MIN(INT(ROUND(N420*1000000,0)/100000),9)</f>
        <v>0</v>
      </c>
      <c r="AF420" s="8" t="n">
        <f aca="false">MIN(INT(ROUND(P420*1000000,0)/100000),9)</f>
        <v>0</v>
      </c>
    </row>
    <row r="421" customFormat="false" ht="15" hidden="false" customHeight="false" outlineLevel="0" collapsed="false">
      <c r="A421" s="4" t="n">
        <v>417</v>
      </c>
      <c r="B421" s="4" t="n">
        <v>289</v>
      </c>
      <c r="C421" s="4" t="n">
        <v>1</v>
      </c>
      <c r="D421" s="11" t="n">
        <v>46082</v>
      </c>
      <c r="E421" s="4" t="s">
        <v>201</v>
      </c>
      <c r="F421" s="4" t="s">
        <v>208</v>
      </c>
      <c r="G421" s="4" t="n">
        <v>16</v>
      </c>
      <c r="H421" s="4" t="n">
        <v>2</v>
      </c>
      <c r="I421" s="4" t="n">
        <v>0</v>
      </c>
      <c r="J421" s="4"/>
      <c r="K421" s="4" t="n">
        <v>0</v>
      </c>
      <c r="L421" s="12" t="n">
        <v>0.124698</v>
      </c>
      <c r="M421" s="12" t="n">
        <v>0.092063</v>
      </c>
      <c r="N421" s="12" t="n">
        <v>0.021118</v>
      </c>
      <c r="O421" s="12" t="n">
        <v>0.106183</v>
      </c>
      <c r="P421" s="12" t="n">
        <v>0.02084</v>
      </c>
      <c r="Q421" s="0" t="str">
        <f aca="false">IF(L421&gt;=Models!$G$5,1+COUNTIF($L$5:$L$1517,"&gt;"&amp;L421)+COUNTIFS($L$5:$L$1517,L421,$B$5:$B$1517,"&lt;"&amp;B421)+COUNTIFS($L$5:$L$1517,L421,$B$5:$B$1517,B421,$C$5:$C$1517,"&lt;"&amp;C421),"")</f>
        <v/>
      </c>
      <c r="R421" s="0" t="str">
        <f aca="false">IF(M421&gt;=Models!$G$6,1+COUNTIF($M$5:$M$1517,"&gt;"&amp;M421)+COUNTIFS($M$5:$M$1517,M421,$B$5:$B$1517,"&lt;"&amp;B421)+COUNTIFS($M$5:$M$1517,M421,$B$5:$B$1517,B421,$C$5:$C$1517,"&lt;"&amp;C421),"")</f>
        <v/>
      </c>
      <c r="S421" s="0" t="str">
        <f aca="false">IF(N421&gt;=Models!$G$7,1+COUNTIF($N$5:$N$1517,"&gt;"&amp;N421)+COUNTIFS($N$5:$N$1517,N421,$B$5:$B$1517,"&lt;"&amp;B421)+COUNTIFS($N$5:$N$1517,N421,$B$5:$B$1517,B421,$C$5:$C$1517,"&lt;"&amp;C421),"")</f>
        <v/>
      </c>
      <c r="T421" s="8" t="n">
        <f aca="false">IF(O421&gt;=Models!$G$8,1+COUNTIF($O$5:$O$1517,"&gt;"&amp;O421)+COUNTIFS($O$5:$O$1517,O421,$B$5:$B$1517,"&lt;"&amp;B421)+COUNTIFS($O$5:$O$1517,O421,$B$5:$B$1517,B421,$C$5:$C$1517,"&lt;"&amp;C421),"")</f>
        <v>203</v>
      </c>
      <c r="U421" s="8" t="n">
        <f aca="false">IF($K421=1,COUNTIFS($L$5:$L$1517,"&gt;="&amp;L421,$K$5:$K$1517,1)/COUNTIF($L$5:$L$1517,"&gt;="&amp;L421),0)</f>
        <v>0</v>
      </c>
      <c r="V421" s="8" t="n">
        <f aca="false">IF($K421=1,COUNTIFS($M$5:$M$1517,"&gt;="&amp;M421,$K$5:$K$1517,1)/COUNTIF($M$5:$M$1517,"&gt;="&amp;M421),0)</f>
        <v>0</v>
      </c>
      <c r="W421" s="8" t="n">
        <f aca="false">IF($K421=1,COUNTIFS($N$5:$N$1517,"&gt;="&amp;N421,$K$5:$K$1517,1)/COUNTIF($N$5:$N$1517,"&gt;="&amp;N421),0)</f>
        <v>0</v>
      </c>
      <c r="X421" s="8" t="n">
        <f aca="false">IF($K421=1,COUNTIFS($O$5:$O$1517,"&gt;="&amp;O421,$K$5:$K$1517,1)/COUNTIF($O$5:$O$1517,"&gt;="&amp;O421),0)</f>
        <v>0</v>
      </c>
      <c r="Y421" s="8" t="n">
        <f aca="false">IF($K421=1,COUNTIFS($P$5:$P$1517,"&gt;="&amp;P421,$K$5:$K$1517,1)/COUNTIF($P$5:$P$1517,"&gt;="&amp;P421),0)</f>
        <v>0</v>
      </c>
      <c r="Z421" s="8" t="n">
        <f aca="false">(L421-$K421)^2</f>
        <v>0.015549591204</v>
      </c>
      <c r="AA421" s="8" t="n">
        <f aca="false">(M421-$K421)^2</f>
        <v>0.008475595969</v>
      </c>
      <c r="AB421" s="8" t="n">
        <f aca="false">(N421-$K421)^2</f>
        <v>0.000445969924</v>
      </c>
      <c r="AC421" s="8" t="n">
        <f aca="false">(O421-$K421)^2</f>
        <v>0.011274829489</v>
      </c>
      <c r="AD421" s="8" t="n">
        <f aca="false">(P421-$K421)^2</f>
        <v>0.0004343056</v>
      </c>
      <c r="AE421" s="8" t="n">
        <f aca="false">MIN(INT(ROUND(N421*1000000,0)/100000),9)</f>
        <v>0</v>
      </c>
      <c r="AF421" s="8" t="n">
        <f aca="false">MIN(INT(ROUND(P421*1000000,0)/100000),9)</f>
        <v>0</v>
      </c>
    </row>
    <row r="422" customFormat="false" ht="15" hidden="false" customHeight="false" outlineLevel="0" collapsed="false">
      <c r="A422" s="4" t="n">
        <v>418</v>
      </c>
      <c r="B422" s="4" t="n">
        <v>293</v>
      </c>
      <c r="C422" s="4" t="n">
        <v>1</v>
      </c>
      <c r="D422" s="11" t="n">
        <v>46082</v>
      </c>
      <c r="E422" s="4" t="s">
        <v>204</v>
      </c>
      <c r="F422" s="4" t="s">
        <v>208</v>
      </c>
      <c r="G422" s="4" t="n">
        <v>5</v>
      </c>
      <c r="H422" s="4" t="n">
        <v>3</v>
      </c>
      <c r="I422" s="4" t="n">
        <v>0</v>
      </c>
      <c r="J422" s="4" t="n">
        <v>99</v>
      </c>
      <c r="K422" s="4" t="n">
        <v>0</v>
      </c>
      <c r="L422" s="12" t="n">
        <v>0.367236</v>
      </c>
      <c r="M422" s="12" t="n">
        <v>0.092063</v>
      </c>
      <c r="N422" s="12" t="n">
        <v>0.110349</v>
      </c>
      <c r="O422" s="12" t="n">
        <v>0.106183</v>
      </c>
      <c r="P422" s="12" t="n">
        <v>0.117376</v>
      </c>
      <c r="Q422" s="0" t="str">
        <f aca="false">IF(L422&gt;=Models!$G$5,1+COUNTIF($L$5:$L$1517,"&gt;"&amp;L422)+COUNTIFS($L$5:$L$1517,L422,$B$5:$B$1517,"&lt;"&amp;B422)+COUNTIFS($L$5:$L$1517,L422,$B$5:$B$1517,B422,$C$5:$C$1517,"&lt;"&amp;C422),"")</f>
        <v/>
      </c>
      <c r="R422" s="0" t="str">
        <f aca="false">IF(M422&gt;=Models!$G$6,1+COUNTIF($M$5:$M$1517,"&gt;"&amp;M422)+COUNTIFS($M$5:$M$1517,M422,$B$5:$B$1517,"&lt;"&amp;B422)+COUNTIFS($M$5:$M$1517,M422,$B$5:$B$1517,B422,$C$5:$C$1517,"&lt;"&amp;C422),"")</f>
        <v/>
      </c>
      <c r="S422" s="0" t="str">
        <f aca="false">IF(N422&gt;=Models!$G$7,1+COUNTIF($N$5:$N$1517,"&gt;"&amp;N422)+COUNTIFS($N$5:$N$1517,N422,$B$5:$B$1517,"&lt;"&amp;B422)+COUNTIFS($N$5:$N$1517,N422,$B$5:$B$1517,B422,$C$5:$C$1517,"&lt;"&amp;C422),"")</f>
        <v/>
      </c>
      <c r="T422" s="8" t="n">
        <f aca="false">IF(O422&gt;=Models!$G$8,1+COUNTIF($O$5:$O$1517,"&gt;"&amp;O422)+COUNTIFS($O$5:$O$1517,O422,$B$5:$B$1517,"&lt;"&amp;B422)+COUNTIFS($O$5:$O$1517,O422,$B$5:$B$1517,B422,$C$5:$C$1517,"&lt;"&amp;C422),"")</f>
        <v>207</v>
      </c>
      <c r="U422" s="8" t="n">
        <f aca="false">IF($K422=1,COUNTIFS($L$5:$L$1517,"&gt;="&amp;L422,$K$5:$K$1517,1)/COUNTIF($L$5:$L$1517,"&gt;="&amp;L422),0)</f>
        <v>0</v>
      </c>
      <c r="V422" s="8" t="n">
        <f aca="false">IF($K422=1,COUNTIFS($M$5:$M$1517,"&gt;="&amp;M422,$K$5:$K$1517,1)/COUNTIF($M$5:$M$1517,"&gt;="&amp;M422),0)</f>
        <v>0</v>
      </c>
      <c r="W422" s="8" t="n">
        <f aca="false">IF($K422=1,COUNTIFS($N$5:$N$1517,"&gt;="&amp;N422,$K$5:$K$1517,1)/COUNTIF($N$5:$N$1517,"&gt;="&amp;N422),0)</f>
        <v>0</v>
      </c>
      <c r="X422" s="8" t="n">
        <f aca="false">IF($K422=1,COUNTIFS($O$5:$O$1517,"&gt;="&amp;O422,$K$5:$K$1517,1)/COUNTIF($O$5:$O$1517,"&gt;="&amp;O422),0)</f>
        <v>0</v>
      </c>
      <c r="Y422" s="8" t="n">
        <f aca="false">IF($K422=1,COUNTIFS($P$5:$P$1517,"&gt;="&amp;P422,$K$5:$K$1517,1)/COUNTIF($P$5:$P$1517,"&gt;="&amp;P422),0)</f>
        <v>0</v>
      </c>
      <c r="Z422" s="8" t="n">
        <f aca="false">(L422-$K422)^2</f>
        <v>0.134862279696</v>
      </c>
      <c r="AA422" s="8" t="n">
        <f aca="false">(M422-$K422)^2</f>
        <v>0.008475595969</v>
      </c>
      <c r="AB422" s="8" t="n">
        <f aca="false">(N422-$K422)^2</f>
        <v>0.012176901801</v>
      </c>
      <c r="AC422" s="8" t="n">
        <f aca="false">(O422-$K422)^2</f>
        <v>0.011274829489</v>
      </c>
      <c r="AD422" s="8" t="n">
        <f aca="false">(P422-$K422)^2</f>
        <v>0.013777125376</v>
      </c>
      <c r="AE422" s="8" t="n">
        <f aca="false">MIN(INT(ROUND(N422*1000000,0)/100000),9)</f>
        <v>1</v>
      </c>
      <c r="AF422" s="8" t="n">
        <f aca="false">MIN(INT(ROUND(P422*1000000,0)/100000),9)</f>
        <v>1</v>
      </c>
    </row>
    <row r="423" customFormat="false" ht="15" hidden="false" customHeight="false" outlineLevel="0" collapsed="false">
      <c r="A423" s="4" t="n">
        <v>419</v>
      </c>
      <c r="B423" s="4" t="n">
        <v>304</v>
      </c>
      <c r="C423" s="4" t="n">
        <v>1</v>
      </c>
      <c r="D423" s="11" t="n">
        <v>46082</v>
      </c>
      <c r="E423" s="4" t="s">
        <v>204</v>
      </c>
      <c r="F423" s="4" t="s">
        <v>206</v>
      </c>
      <c r="G423" s="4" t="n">
        <v>8</v>
      </c>
      <c r="H423" s="4" t="n">
        <v>2</v>
      </c>
      <c r="I423" s="4" t="n">
        <v>0</v>
      </c>
      <c r="J423" s="4" t="n">
        <v>69</v>
      </c>
      <c r="K423" s="4" t="n">
        <v>0</v>
      </c>
      <c r="L423" s="12" t="n">
        <v>0.980973</v>
      </c>
      <c r="M423" s="12" t="n">
        <v>0.092063</v>
      </c>
      <c r="N423" s="12" t="n">
        <v>0.08599</v>
      </c>
      <c r="O423" s="12" t="n">
        <v>0.106183</v>
      </c>
      <c r="P423" s="12" t="n">
        <v>0.090537</v>
      </c>
      <c r="Q423" s="0" t="str">
        <f aca="false">IF(L423&gt;=Models!$G$5,1+COUNTIF($L$5:$L$1517,"&gt;"&amp;L423)+COUNTIFS($L$5:$L$1517,L423,$B$5:$B$1517,"&lt;"&amp;B423)+COUNTIFS($L$5:$L$1517,L423,$B$5:$B$1517,B423,$C$5:$C$1517,"&lt;"&amp;C423),"")</f>
        <v/>
      </c>
      <c r="R423" s="0" t="str">
        <f aca="false">IF(M423&gt;=Models!$G$6,1+COUNTIF($M$5:$M$1517,"&gt;"&amp;M423)+COUNTIFS($M$5:$M$1517,M423,$B$5:$B$1517,"&lt;"&amp;B423)+COUNTIFS($M$5:$M$1517,M423,$B$5:$B$1517,B423,$C$5:$C$1517,"&lt;"&amp;C423),"")</f>
        <v/>
      </c>
      <c r="S423" s="0" t="str">
        <f aca="false">IF(N423&gt;=Models!$G$7,1+COUNTIF($N$5:$N$1517,"&gt;"&amp;N423)+COUNTIFS($N$5:$N$1517,N423,$B$5:$B$1517,"&lt;"&amp;B423)+COUNTIFS($N$5:$N$1517,N423,$B$5:$B$1517,B423,$C$5:$C$1517,"&lt;"&amp;C423),"")</f>
        <v/>
      </c>
      <c r="T423" s="8" t="n">
        <f aca="false">IF(O423&gt;=Models!$G$8,1+COUNTIF($O$5:$O$1517,"&gt;"&amp;O423)+COUNTIFS($O$5:$O$1517,O423,$B$5:$B$1517,"&lt;"&amp;B423)+COUNTIFS($O$5:$O$1517,O423,$B$5:$B$1517,B423,$C$5:$C$1517,"&lt;"&amp;C423),"")</f>
        <v>211</v>
      </c>
      <c r="U423" s="8" t="n">
        <f aca="false">IF($K423=1,COUNTIFS($L$5:$L$1517,"&gt;="&amp;L423,$K$5:$K$1517,1)/COUNTIF($L$5:$L$1517,"&gt;="&amp;L423),0)</f>
        <v>0</v>
      </c>
      <c r="V423" s="8" t="n">
        <f aca="false">IF($K423=1,COUNTIFS($M$5:$M$1517,"&gt;="&amp;M423,$K$5:$K$1517,1)/COUNTIF($M$5:$M$1517,"&gt;="&amp;M423),0)</f>
        <v>0</v>
      </c>
      <c r="W423" s="8" t="n">
        <f aca="false">IF($K423=1,COUNTIFS($N$5:$N$1517,"&gt;="&amp;N423,$K$5:$K$1517,1)/COUNTIF($N$5:$N$1517,"&gt;="&amp;N423),0)</f>
        <v>0</v>
      </c>
      <c r="X423" s="8" t="n">
        <f aca="false">IF($K423=1,COUNTIFS($O$5:$O$1517,"&gt;="&amp;O423,$K$5:$K$1517,1)/COUNTIF($O$5:$O$1517,"&gt;="&amp;O423),0)</f>
        <v>0</v>
      </c>
      <c r="Y423" s="8" t="n">
        <f aca="false">IF($K423=1,COUNTIFS($P$5:$P$1517,"&gt;="&amp;P423,$K$5:$K$1517,1)/COUNTIF($P$5:$P$1517,"&gt;="&amp;P423),0)</f>
        <v>0</v>
      </c>
      <c r="Z423" s="8" t="n">
        <f aca="false">(L423-$K423)^2</f>
        <v>0.962308026729</v>
      </c>
      <c r="AA423" s="8" t="n">
        <f aca="false">(M423-$K423)^2</f>
        <v>0.008475595969</v>
      </c>
      <c r="AB423" s="8" t="n">
        <f aca="false">(N423-$K423)^2</f>
        <v>0.0073942801</v>
      </c>
      <c r="AC423" s="8" t="n">
        <f aca="false">(O423-$K423)^2</f>
        <v>0.011274829489</v>
      </c>
      <c r="AD423" s="8" t="n">
        <f aca="false">(P423-$K423)^2</f>
        <v>0.008196948369</v>
      </c>
      <c r="AE423" s="8" t="n">
        <f aca="false">MIN(INT(ROUND(N423*1000000,0)/100000),9)</f>
        <v>0</v>
      </c>
      <c r="AF423" s="8" t="n">
        <f aca="false">MIN(INT(ROUND(P423*1000000,0)/100000),9)</f>
        <v>0</v>
      </c>
    </row>
    <row r="424" customFormat="false" ht="15" hidden="false" customHeight="false" outlineLevel="0" collapsed="false">
      <c r="A424" s="4" t="n">
        <v>420</v>
      </c>
      <c r="B424" s="4" t="n">
        <v>317</v>
      </c>
      <c r="C424" s="4" t="n">
        <v>1</v>
      </c>
      <c r="D424" s="11" t="n">
        <v>46082</v>
      </c>
      <c r="E424" s="4" t="s">
        <v>204</v>
      </c>
      <c r="F424" s="4" t="s">
        <v>206</v>
      </c>
      <c r="G424" s="4" t="n">
        <v>8</v>
      </c>
      <c r="H424" s="4" t="n">
        <v>1</v>
      </c>
      <c r="I424" s="4" t="n">
        <v>0</v>
      </c>
      <c r="J424" s="4" t="n">
        <v>78</v>
      </c>
      <c r="K424" s="4" t="n">
        <v>0</v>
      </c>
      <c r="L424" s="12" t="n">
        <v>0.652664</v>
      </c>
      <c r="M424" s="12" t="n">
        <v>0.092063</v>
      </c>
      <c r="N424" s="12" t="n">
        <v>0.085307</v>
      </c>
      <c r="O424" s="12" t="n">
        <v>0.106183</v>
      </c>
      <c r="P424" s="12" t="n">
        <v>0.089788</v>
      </c>
      <c r="Q424" s="0" t="str">
        <f aca="false">IF(L424&gt;=Models!$G$5,1+COUNTIF($L$5:$L$1517,"&gt;"&amp;L424)+COUNTIFS($L$5:$L$1517,L424,$B$5:$B$1517,"&lt;"&amp;B424)+COUNTIFS($L$5:$L$1517,L424,$B$5:$B$1517,B424,$C$5:$C$1517,"&lt;"&amp;C424),"")</f>
        <v/>
      </c>
      <c r="R424" s="0" t="str">
        <f aca="false">IF(M424&gt;=Models!$G$6,1+COUNTIF($M$5:$M$1517,"&gt;"&amp;M424)+COUNTIFS($M$5:$M$1517,M424,$B$5:$B$1517,"&lt;"&amp;B424)+COUNTIFS($M$5:$M$1517,M424,$B$5:$B$1517,B424,$C$5:$C$1517,"&lt;"&amp;C424),"")</f>
        <v/>
      </c>
      <c r="S424" s="0" t="str">
        <f aca="false">IF(N424&gt;=Models!$G$7,1+COUNTIF($N$5:$N$1517,"&gt;"&amp;N424)+COUNTIFS($N$5:$N$1517,N424,$B$5:$B$1517,"&lt;"&amp;B424)+COUNTIFS($N$5:$N$1517,N424,$B$5:$B$1517,B424,$C$5:$C$1517,"&lt;"&amp;C424),"")</f>
        <v/>
      </c>
      <c r="T424" s="8" t="n">
        <f aca="false">IF(O424&gt;=Models!$G$8,1+COUNTIF($O$5:$O$1517,"&gt;"&amp;O424)+COUNTIFS($O$5:$O$1517,O424,$B$5:$B$1517,"&lt;"&amp;B424)+COUNTIFS($O$5:$O$1517,O424,$B$5:$B$1517,B424,$C$5:$C$1517,"&lt;"&amp;C424),"")</f>
        <v>215</v>
      </c>
      <c r="U424" s="8" t="n">
        <f aca="false">IF($K424=1,COUNTIFS($L$5:$L$1517,"&gt;="&amp;L424,$K$5:$K$1517,1)/COUNTIF($L$5:$L$1517,"&gt;="&amp;L424),0)</f>
        <v>0</v>
      </c>
      <c r="V424" s="8" t="n">
        <f aca="false">IF($K424=1,COUNTIFS($M$5:$M$1517,"&gt;="&amp;M424,$K$5:$K$1517,1)/COUNTIF($M$5:$M$1517,"&gt;="&amp;M424),0)</f>
        <v>0</v>
      </c>
      <c r="W424" s="8" t="n">
        <f aca="false">IF($K424=1,COUNTIFS($N$5:$N$1517,"&gt;="&amp;N424,$K$5:$K$1517,1)/COUNTIF($N$5:$N$1517,"&gt;="&amp;N424),0)</f>
        <v>0</v>
      </c>
      <c r="X424" s="8" t="n">
        <f aca="false">IF($K424=1,COUNTIFS($O$5:$O$1517,"&gt;="&amp;O424,$K$5:$K$1517,1)/COUNTIF($O$5:$O$1517,"&gt;="&amp;O424),0)</f>
        <v>0</v>
      </c>
      <c r="Y424" s="8" t="n">
        <f aca="false">IF($K424=1,COUNTIFS($P$5:$P$1517,"&gt;="&amp;P424,$K$5:$K$1517,1)/COUNTIF($P$5:$P$1517,"&gt;="&amp;P424),0)</f>
        <v>0</v>
      </c>
      <c r="Z424" s="8" t="n">
        <f aca="false">(L424-$K424)^2</f>
        <v>0.425970296896</v>
      </c>
      <c r="AA424" s="8" t="n">
        <f aca="false">(M424-$K424)^2</f>
        <v>0.008475595969</v>
      </c>
      <c r="AB424" s="8" t="n">
        <f aca="false">(N424-$K424)^2</f>
        <v>0.007277284249</v>
      </c>
      <c r="AC424" s="8" t="n">
        <f aca="false">(O424-$K424)^2</f>
        <v>0.011274829489</v>
      </c>
      <c r="AD424" s="8" t="n">
        <f aca="false">(P424-$K424)^2</f>
        <v>0.008061884944</v>
      </c>
      <c r="AE424" s="8" t="n">
        <f aca="false">MIN(INT(ROUND(N424*1000000,0)/100000),9)</f>
        <v>0</v>
      </c>
      <c r="AF424" s="8" t="n">
        <f aca="false">MIN(INT(ROUND(P424*1000000,0)/100000),9)</f>
        <v>0</v>
      </c>
    </row>
    <row r="425" customFormat="false" ht="15" hidden="false" customHeight="false" outlineLevel="0" collapsed="false">
      <c r="A425" s="4" t="n">
        <v>421</v>
      </c>
      <c r="B425" s="4" t="n">
        <v>318</v>
      </c>
      <c r="C425" s="4" t="n">
        <v>1</v>
      </c>
      <c r="D425" s="11" t="n">
        <v>46082</v>
      </c>
      <c r="E425" s="4" t="s">
        <v>202</v>
      </c>
      <c r="F425" s="4" t="s">
        <v>206</v>
      </c>
      <c r="G425" s="4" t="n">
        <v>10</v>
      </c>
      <c r="H425" s="4" t="n">
        <v>0</v>
      </c>
      <c r="I425" s="4" t="n">
        <v>0</v>
      </c>
      <c r="J425" s="4" t="n">
        <v>1026</v>
      </c>
      <c r="K425" s="4" t="n">
        <v>1</v>
      </c>
      <c r="L425" s="12" t="n">
        <v>0.930321</v>
      </c>
      <c r="M425" s="12" t="n">
        <v>0.092063</v>
      </c>
      <c r="N425" s="12" t="n">
        <v>0.068143</v>
      </c>
      <c r="O425" s="12" t="n">
        <v>0.106183</v>
      </c>
      <c r="P425" s="12" t="n">
        <v>0.071026</v>
      </c>
      <c r="Q425" s="0" t="str">
        <f aca="false">IF(L425&gt;=Models!$G$5,1+COUNTIF($L$5:$L$1517,"&gt;"&amp;L425)+COUNTIFS($L$5:$L$1517,L425,$B$5:$B$1517,"&lt;"&amp;B425)+COUNTIFS($L$5:$L$1517,L425,$B$5:$B$1517,B425,$C$5:$C$1517,"&lt;"&amp;C425),"")</f>
        <v/>
      </c>
      <c r="R425" s="0" t="str">
        <f aca="false">IF(M425&gt;=Models!$G$6,1+COUNTIF($M$5:$M$1517,"&gt;"&amp;M425)+COUNTIFS($M$5:$M$1517,M425,$B$5:$B$1517,"&lt;"&amp;B425)+COUNTIFS($M$5:$M$1517,M425,$B$5:$B$1517,B425,$C$5:$C$1517,"&lt;"&amp;C425),"")</f>
        <v/>
      </c>
      <c r="S425" s="0" t="str">
        <f aca="false">IF(N425&gt;=Models!$G$7,1+COUNTIF($N$5:$N$1517,"&gt;"&amp;N425)+COUNTIFS($N$5:$N$1517,N425,$B$5:$B$1517,"&lt;"&amp;B425)+COUNTIFS($N$5:$N$1517,N425,$B$5:$B$1517,B425,$C$5:$C$1517,"&lt;"&amp;C425),"")</f>
        <v/>
      </c>
      <c r="T425" s="8" t="n">
        <f aca="false">IF(O425&gt;=Models!$G$8,1+COUNTIF($O$5:$O$1517,"&gt;"&amp;O425)+COUNTIFS($O$5:$O$1517,O425,$B$5:$B$1517,"&lt;"&amp;B425)+COUNTIFS($O$5:$O$1517,O425,$B$5:$B$1517,B425,$C$5:$C$1517,"&lt;"&amp;C425),"")</f>
        <v>219</v>
      </c>
      <c r="U425" s="8" t="n">
        <f aca="false">IF($K425=1,COUNTIFS($L$5:$L$1517,"&gt;="&amp;L425,$K$5:$K$1517,1)/COUNTIF($L$5:$L$1517,"&gt;="&amp;L425),0)</f>
        <v>0.14018691588785</v>
      </c>
      <c r="V425" s="8" t="n">
        <f aca="false">IF($K425=1,COUNTIFS($M$5:$M$1517,"&gt;="&amp;M425,$K$5:$K$1517,1)/COUNTIF($M$5:$M$1517,"&gt;="&amp;M425),0)</f>
        <v>0.12491738268341</v>
      </c>
      <c r="W425" s="8" t="n">
        <f aca="false">IF($K425=1,COUNTIFS($N$5:$N$1517,"&gt;="&amp;N425,$K$5:$K$1517,1)/COUNTIF($N$5:$N$1517,"&gt;="&amp;N425),0)</f>
        <v>0.163451776649746</v>
      </c>
      <c r="X425" s="8" t="n">
        <f aca="false">IF($K425=1,COUNTIFS($O$5:$O$1517,"&gt;="&amp;O425,$K$5:$K$1517,1)/COUNTIF($O$5:$O$1517,"&gt;="&amp;O425),0)</f>
        <v>0.12491738268341</v>
      </c>
      <c r="Y425" s="8" t="n">
        <f aca="false">IF($K425=1,COUNTIFS($P$5:$P$1517,"&gt;="&amp;P425,$K$5:$K$1517,1)/COUNTIF($P$5:$P$1517,"&gt;="&amp;P425),0)</f>
        <v>0.163451776649746</v>
      </c>
      <c r="Z425" s="8" t="n">
        <f aca="false">(L425-$K425)^2</f>
        <v>0.00485516304100001</v>
      </c>
      <c r="AA425" s="8" t="n">
        <f aca="false">(M425-$K425)^2</f>
        <v>0.824349595969</v>
      </c>
      <c r="AB425" s="8" t="n">
        <f aca="false">(N425-$K425)^2</f>
        <v>0.868357468449</v>
      </c>
      <c r="AC425" s="8" t="n">
        <f aca="false">(O425-$K425)^2</f>
        <v>0.798908829489</v>
      </c>
      <c r="AD425" s="8" t="n">
        <f aca="false">(P425-$K425)^2</f>
        <v>0.862992692676</v>
      </c>
      <c r="AE425" s="8" t="n">
        <f aca="false">MIN(INT(ROUND(N425*1000000,0)/100000),9)</f>
        <v>0</v>
      </c>
      <c r="AF425" s="8" t="n">
        <f aca="false">MIN(INT(ROUND(P425*1000000,0)/100000),9)</f>
        <v>0</v>
      </c>
    </row>
    <row r="426" customFormat="false" ht="15" hidden="false" customHeight="false" outlineLevel="0" collapsed="false">
      <c r="A426" s="4" t="n">
        <v>422</v>
      </c>
      <c r="B426" s="4" t="n">
        <v>319</v>
      </c>
      <c r="C426" s="4" t="n">
        <v>1</v>
      </c>
      <c r="D426" s="11" t="n">
        <v>46082</v>
      </c>
      <c r="E426" s="4" t="s">
        <v>203</v>
      </c>
      <c r="F426" s="4" t="s">
        <v>210</v>
      </c>
      <c r="G426" s="4" t="n">
        <v>2</v>
      </c>
      <c r="H426" s="4" t="n">
        <v>14</v>
      </c>
      <c r="I426" s="4" t="n">
        <v>0</v>
      </c>
      <c r="J426" s="4" t="n">
        <v>321</v>
      </c>
      <c r="K426" s="4" t="n">
        <v>0</v>
      </c>
      <c r="L426" s="12" t="n">
        <v>0.828366</v>
      </c>
      <c r="M426" s="12" t="n">
        <v>0.092063</v>
      </c>
      <c r="N426" s="12" t="n">
        <v>0.149319</v>
      </c>
      <c r="O426" s="12" t="n">
        <v>0.106183</v>
      </c>
      <c r="P426" s="12" t="n">
        <v>0.1606</v>
      </c>
      <c r="Q426" s="0" t="str">
        <f aca="false">IF(L426&gt;=Models!$G$5,1+COUNTIF($L$5:$L$1517,"&gt;"&amp;L426)+COUNTIFS($L$5:$L$1517,L426,$B$5:$B$1517,"&lt;"&amp;B426)+COUNTIFS($L$5:$L$1517,L426,$B$5:$B$1517,B426,$C$5:$C$1517,"&lt;"&amp;C426),"")</f>
        <v/>
      </c>
      <c r="R426" s="0" t="str">
        <f aca="false">IF(M426&gt;=Models!$G$6,1+COUNTIF($M$5:$M$1517,"&gt;"&amp;M426)+COUNTIFS($M$5:$M$1517,M426,$B$5:$B$1517,"&lt;"&amp;B426)+COUNTIFS($M$5:$M$1517,M426,$B$5:$B$1517,B426,$C$5:$C$1517,"&lt;"&amp;C426),"")</f>
        <v/>
      </c>
      <c r="S426" s="0" t="str">
        <f aca="false">IF(N426&gt;=Models!$G$7,1+COUNTIF($N$5:$N$1517,"&gt;"&amp;N426)+COUNTIFS($N$5:$N$1517,N426,$B$5:$B$1517,"&lt;"&amp;B426)+COUNTIFS($N$5:$N$1517,N426,$B$5:$B$1517,B426,$C$5:$C$1517,"&lt;"&amp;C426),"")</f>
        <v/>
      </c>
      <c r="T426" s="8" t="n">
        <f aca="false">IF(O426&gt;=Models!$G$8,1+COUNTIF($O$5:$O$1517,"&gt;"&amp;O426)+COUNTIFS($O$5:$O$1517,O426,$B$5:$B$1517,"&lt;"&amp;B426)+COUNTIFS($O$5:$O$1517,O426,$B$5:$B$1517,B426,$C$5:$C$1517,"&lt;"&amp;C426),"")</f>
        <v>221</v>
      </c>
      <c r="U426" s="8" t="n">
        <f aca="false">IF($K426=1,COUNTIFS($L$5:$L$1517,"&gt;="&amp;L426,$K$5:$K$1517,1)/COUNTIF($L$5:$L$1517,"&gt;="&amp;L426),0)</f>
        <v>0</v>
      </c>
      <c r="V426" s="8" t="n">
        <f aca="false">IF($K426=1,COUNTIFS($M$5:$M$1517,"&gt;="&amp;M426,$K$5:$K$1517,1)/COUNTIF($M$5:$M$1517,"&gt;="&amp;M426),0)</f>
        <v>0</v>
      </c>
      <c r="W426" s="8" t="n">
        <f aca="false">IF($K426=1,COUNTIFS($N$5:$N$1517,"&gt;="&amp;N426,$K$5:$K$1517,1)/COUNTIF($N$5:$N$1517,"&gt;="&amp;N426),0)</f>
        <v>0</v>
      </c>
      <c r="X426" s="8" t="n">
        <f aca="false">IF($K426=1,COUNTIFS($O$5:$O$1517,"&gt;="&amp;O426,$K$5:$K$1517,1)/COUNTIF($O$5:$O$1517,"&gt;="&amp;O426),0)</f>
        <v>0</v>
      </c>
      <c r="Y426" s="8" t="n">
        <f aca="false">IF($K426=1,COUNTIFS($P$5:$P$1517,"&gt;="&amp;P426,$K$5:$K$1517,1)/COUNTIF($P$5:$P$1517,"&gt;="&amp;P426),0)</f>
        <v>0</v>
      </c>
      <c r="Z426" s="8" t="n">
        <f aca="false">(L426-$K426)^2</f>
        <v>0.686190229956</v>
      </c>
      <c r="AA426" s="8" t="n">
        <f aca="false">(M426-$K426)^2</f>
        <v>0.008475595969</v>
      </c>
      <c r="AB426" s="8" t="n">
        <f aca="false">(N426-$K426)^2</f>
        <v>0.022296163761</v>
      </c>
      <c r="AC426" s="8" t="n">
        <f aca="false">(O426-$K426)^2</f>
        <v>0.011274829489</v>
      </c>
      <c r="AD426" s="8" t="n">
        <f aca="false">(P426-$K426)^2</f>
        <v>0.02579236</v>
      </c>
      <c r="AE426" s="8" t="n">
        <f aca="false">MIN(INT(ROUND(N426*1000000,0)/100000),9)</f>
        <v>1</v>
      </c>
      <c r="AF426" s="8" t="n">
        <f aca="false">MIN(INT(ROUND(P426*1000000,0)/100000),9)</f>
        <v>1</v>
      </c>
    </row>
    <row r="427" customFormat="false" ht="15" hidden="false" customHeight="false" outlineLevel="0" collapsed="false">
      <c r="A427" s="4" t="n">
        <v>423</v>
      </c>
      <c r="B427" s="4" t="n">
        <v>324</v>
      </c>
      <c r="C427" s="4" t="n">
        <v>1</v>
      </c>
      <c r="D427" s="11" t="n">
        <v>46082</v>
      </c>
      <c r="E427" s="4" t="s">
        <v>202</v>
      </c>
      <c r="F427" s="4" t="s">
        <v>207</v>
      </c>
      <c r="G427" s="4" t="n">
        <v>7</v>
      </c>
      <c r="H427" s="4" t="n">
        <v>9</v>
      </c>
      <c r="I427" s="4" t="n">
        <v>0</v>
      </c>
      <c r="J427" s="4"/>
      <c r="K427" s="4" t="n">
        <v>0</v>
      </c>
      <c r="L427" s="12" t="n">
        <v>0.556974</v>
      </c>
      <c r="M427" s="12" t="n">
        <v>0.092063</v>
      </c>
      <c r="N427" s="12" t="n">
        <v>0.048846</v>
      </c>
      <c r="O427" s="12" t="n">
        <v>0.106183</v>
      </c>
      <c r="P427" s="12" t="n">
        <v>0.05015</v>
      </c>
      <c r="Q427" s="0" t="str">
        <f aca="false">IF(L427&gt;=Models!$G$5,1+COUNTIF($L$5:$L$1517,"&gt;"&amp;L427)+COUNTIFS($L$5:$L$1517,L427,$B$5:$B$1517,"&lt;"&amp;B427)+COUNTIFS($L$5:$L$1517,L427,$B$5:$B$1517,B427,$C$5:$C$1517,"&lt;"&amp;C427),"")</f>
        <v/>
      </c>
      <c r="R427" s="0" t="str">
        <f aca="false">IF(M427&gt;=Models!$G$6,1+COUNTIF($M$5:$M$1517,"&gt;"&amp;M427)+COUNTIFS($M$5:$M$1517,M427,$B$5:$B$1517,"&lt;"&amp;B427)+COUNTIFS($M$5:$M$1517,M427,$B$5:$B$1517,B427,$C$5:$C$1517,"&lt;"&amp;C427),"")</f>
        <v/>
      </c>
      <c r="S427" s="0" t="str">
        <f aca="false">IF(N427&gt;=Models!$G$7,1+COUNTIF($N$5:$N$1517,"&gt;"&amp;N427)+COUNTIFS($N$5:$N$1517,N427,$B$5:$B$1517,"&lt;"&amp;B427)+COUNTIFS($N$5:$N$1517,N427,$B$5:$B$1517,B427,$C$5:$C$1517,"&lt;"&amp;C427),"")</f>
        <v/>
      </c>
      <c r="T427" s="8" t="n">
        <f aca="false">IF(O427&gt;=Models!$G$8,1+COUNTIF($O$5:$O$1517,"&gt;"&amp;O427)+COUNTIFS($O$5:$O$1517,O427,$B$5:$B$1517,"&lt;"&amp;B427)+COUNTIFS($O$5:$O$1517,O427,$B$5:$B$1517,B427,$C$5:$C$1517,"&lt;"&amp;C427),"")</f>
        <v>225</v>
      </c>
      <c r="U427" s="8" t="n">
        <f aca="false">IF($K427=1,COUNTIFS($L$5:$L$1517,"&gt;="&amp;L427,$K$5:$K$1517,1)/COUNTIF($L$5:$L$1517,"&gt;="&amp;L427),0)</f>
        <v>0</v>
      </c>
      <c r="V427" s="8" t="n">
        <f aca="false">IF($K427=1,COUNTIFS($M$5:$M$1517,"&gt;="&amp;M427,$K$5:$K$1517,1)/COUNTIF($M$5:$M$1517,"&gt;="&amp;M427),0)</f>
        <v>0</v>
      </c>
      <c r="W427" s="8" t="n">
        <f aca="false">IF($K427=1,COUNTIFS($N$5:$N$1517,"&gt;="&amp;N427,$K$5:$K$1517,1)/COUNTIF($N$5:$N$1517,"&gt;="&amp;N427),0)</f>
        <v>0</v>
      </c>
      <c r="X427" s="8" t="n">
        <f aca="false">IF($K427=1,COUNTIFS($O$5:$O$1517,"&gt;="&amp;O427,$K$5:$K$1517,1)/COUNTIF($O$5:$O$1517,"&gt;="&amp;O427),0)</f>
        <v>0</v>
      </c>
      <c r="Y427" s="8" t="n">
        <f aca="false">IF($K427=1,COUNTIFS($P$5:$P$1517,"&gt;="&amp;P427,$K$5:$K$1517,1)/COUNTIF($P$5:$P$1517,"&gt;="&amp;P427),0)</f>
        <v>0</v>
      </c>
      <c r="Z427" s="8" t="n">
        <f aca="false">(L427-$K427)^2</f>
        <v>0.310220036676</v>
      </c>
      <c r="AA427" s="8" t="n">
        <f aca="false">(M427-$K427)^2</f>
        <v>0.008475595969</v>
      </c>
      <c r="AB427" s="8" t="n">
        <f aca="false">(N427-$K427)^2</f>
        <v>0.002385931716</v>
      </c>
      <c r="AC427" s="8" t="n">
        <f aca="false">(O427-$K427)^2</f>
        <v>0.011274829489</v>
      </c>
      <c r="AD427" s="8" t="n">
        <f aca="false">(P427-$K427)^2</f>
        <v>0.0025150225</v>
      </c>
      <c r="AE427" s="8" t="n">
        <f aca="false">MIN(INT(ROUND(N427*1000000,0)/100000),9)</f>
        <v>0</v>
      </c>
      <c r="AF427" s="8" t="n">
        <f aca="false">MIN(INT(ROUND(P427*1000000,0)/100000),9)</f>
        <v>0</v>
      </c>
    </row>
    <row r="428" customFormat="false" ht="15" hidden="false" customHeight="false" outlineLevel="0" collapsed="false">
      <c r="A428" s="4" t="n">
        <v>424</v>
      </c>
      <c r="B428" s="4" t="n">
        <v>325</v>
      </c>
      <c r="C428" s="4" t="n">
        <v>1</v>
      </c>
      <c r="D428" s="11" t="n">
        <v>46082</v>
      </c>
      <c r="E428" s="4" t="s">
        <v>202</v>
      </c>
      <c r="F428" s="4" t="s">
        <v>210</v>
      </c>
      <c r="G428" s="4" t="n">
        <v>3</v>
      </c>
      <c r="H428" s="4" t="n">
        <v>15</v>
      </c>
      <c r="I428" s="4" t="n">
        <v>0</v>
      </c>
      <c r="J428" s="4"/>
      <c r="K428" s="4" t="n">
        <v>0</v>
      </c>
      <c r="L428" s="12" t="n">
        <v>0.023753</v>
      </c>
      <c r="M428" s="12" t="n">
        <v>0.092063</v>
      </c>
      <c r="N428" s="12" t="n">
        <v>0.071766</v>
      </c>
      <c r="O428" s="12" t="n">
        <v>0.106183</v>
      </c>
      <c r="P428" s="12" t="n">
        <v>0.074973</v>
      </c>
      <c r="Q428" s="0" t="str">
        <f aca="false">IF(L428&gt;=Models!$G$5,1+COUNTIF($L$5:$L$1517,"&gt;"&amp;L428)+COUNTIFS($L$5:$L$1517,L428,$B$5:$B$1517,"&lt;"&amp;B428)+COUNTIFS($L$5:$L$1517,L428,$B$5:$B$1517,B428,$C$5:$C$1517,"&lt;"&amp;C428),"")</f>
        <v/>
      </c>
      <c r="R428" s="0" t="str">
        <f aca="false">IF(M428&gt;=Models!$G$6,1+COUNTIF($M$5:$M$1517,"&gt;"&amp;M428)+COUNTIFS($M$5:$M$1517,M428,$B$5:$B$1517,"&lt;"&amp;B428)+COUNTIFS($M$5:$M$1517,M428,$B$5:$B$1517,B428,$C$5:$C$1517,"&lt;"&amp;C428),"")</f>
        <v/>
      </c>
      <c r="S428" s="0" t="str">
        <f aca="false">IF(N428&gt;=Models!$G$7,1+COUNTIF($N$5:$N$1517,"&gt;"&amp;N428)+COUNTIFS($N$5:$N$1517,N428,$B$5:$B$1517,"&lt;"&amp;B428)+COUNTIFS($N$5:$N$1517,N428,$B$5:$B$1517,B428,$C$5:$C$1517,"&lt;"&amp;C428),"")</f>
        <v/>
      </c>
      <c r="T428" s="8" t="n">
        <f aca="false">IF(O428&gt;=Models!$G$8,1+COUNTIF($O$5:$O$1517,"&gt;"&amp;O428)+COUNTIFS($O$5:$O$1517,O428,$B$5:$B$1517,"&lt;"&amp;B428)+COUNTIFS($O$5:$O$1517,O428,$B$5:$B$1517,B428,$C$5:$C$1517,"&lt;"&amp;C428),"")</f>
        <v>229</v>
      </c>
      <c r="U428" s="8" t="n">
        <f aca="false">IF($K428=1,COUNTIFS($L$5:$L$1517,"&gt;="&amp;L428,$K$5:$K$1517,1)/COUNTIF($L$5:$L$1517,"&gt;="&amp;L428),0)</f>
        <v>0</v>
      </c>
      <c r="V428" s="8" t="n">
        <f aca="false">IF($K428=1,COUNTIFS($M$5:$M$1517,"&gt;="&amp;M428,$K$5:$K$1517,1)/COUNTIF($M$5:$M$1517,"&gt;="&amp;M428),0)</f>
        <v>0</v>
      </c>
      <c r="W428" s="8" t="n">
        <f aca="false">IF($K428=1,COUNTIFS($N$5:$N$1517,"&gt;="&amp;N428,$K$5:$K$1517,1)/COUNTIF($N$5:$N$1517,"&gt;="&amp;N428),0)</f>
        <v>0</v>
      </c>
      <c r="X428" s="8" t="n">
        <f aca="false">IF($K428=1,COUNTIFS($O$5:$O$1517,"&gt;="&amp;O428,$K$5:$K$1517,1)/COUNTIF($O$5:$O$1517,"&gt;="&amp;O428),0)</f>
        <v>0</v>
      </c>
      <c r="Y428" s="8" t="n">
        <f aca="false">IF($K428=1,COUNTIFS($P$5:$P$1517,"&gt;="&amp;P428,$K$5:$K$1517,1)/COUNTIF($P$5:$P$1517,"&gt;="&amp;P428),0)</f>
        <v>0</v>
      </c>
      <c r="Z428" s="8" t="n">
        <f aca="false">(L428-$K428)^2</f>
        <v>0.000564205009</v>
      </c>
      <c r="AA428" s="8" t="n">
        <f aca="false">(M428-$K428)^2</f>
        <v>0.008475595969</v>
      </c>
      <c r="AB428" s="8" t="n">
        <f aca="false">(N428-$K428)^2</f>
        <v>0.005150358756</v>
      </c>
      <c r="AC428" s="8" t="n">
        <f aca="false">(O428-$K428)^2</f>
        <v>0.011274829489</v>
      </c>
      <c r="AD428" s="8" t="n">
        <f aca="false">(P428-$K428)^2</f>
        <v>0.005620950729</v>
      </c>
      <c r="AE428" s="8" t="n">
        <f aca="false">MIN(INT(ROUND(N428*1000000,0)/100000),9)</f>
        <v>0</v>
      </c>
      <c r="AF428" s="8" t="n">
        <f aca="false">MIN(INT(ROUND(P428*1000000,0)/100000),9)</f>
        <v>0</v>
      </c>
    </row>
    <row r="429" customFormat="false" ht="15" hidden="false" customHeight="false" outlineLevel="0" collapsed="false">
      <c r="A429" s="4" t="n">
        <v>425</v>
      </c>
      <c r="B429" s="4" t="n">
        <v>335</v>
      </c>
      <c r="C429" s="4" t="n">
        <v>1</v>
      </c>
      <c r="D429" s="11" t="n">
        <v>46082</v>
      </c>
      <c r="E429" s="4" t="s">
        <v>203</v>
      </c>
      <c r="F429" s="4" t="s">
        <v>206</v>
      </c>
      <c r="G429" s="4" t="n">
        <v>7</v>
      </c>
      <c r="H429" s="4" t="n">
        <v>0</v>
      </c>
      <c r="I429" s="4" t="n">
        <v>0</v>
      </c>
      <c r="J429" s="4" t="n">
        <v>423</v>
      </c>
      <c r="K429" s="4" t="n">
        <v>0</v>
      </c>
      <c r="L429" s="12" t="n">
        <v>0.431245</v>
      </c>
      <c r="M429" s="12" t="n">
        <v>0.092063</v>
      </c>
      <c r="N429" s="12" t="n">
        <v>0.090252</v>
      </c>
      <c r="O429" s="12" t="n">
        <v>0.106183</v>
      </c>
      <c r="P429" s="12" t="n">
        <v>0.095218</v>
      </c>
      <c r="Q429" s="0" t="str">
        <f aca="false">IF(L429&gt;=Models!$G$5,1+COUNTIF($L$5:$L$1517,"&gt;"&amp;L429)+COUNTIFS($L$5:$L$1517,L429,$B$5:$B$1517,"&lt;"&amp;B429)+COUNTIFS($L$5:$L$1517,L429,$B$5:$B$1517,B429,$C$5:$C$1517,"&lt;"&amp;C429),"")</f>
        <v/>
      </c>
      <c r="R429" s="0" t="str">
        <f aca="false">IF(M429&gt;=Models!$G$6,1+COUNTIF($M$5:$M$1517,"&gt;"&amp;M429)+COUNTIFS($M$5:$M$1517,M429,$B$5:$B$1517,"&lt;"&amp;B429)+COUNTIFS($M$5:$M$1517,M429,$B$5:$B$1517,B429,$C$5:$C$1517,"&lt;"&amp;C429),"")</f>
        <v/>
      </c>
      <c r="S429" s="0" t="str">
        <f aca="false">IF(N429&gt;=Models!$G$7,1+COUNTIF($N$5:$N$1517,"&gt;"&amp;N429)+COUNTIFS($N$5:$N$1517,N429,$B$5:$B$1517,"&lt;"&amp;B429)+COUNTIFS($N$5:$N$1517,N429,$B$5:$B$1517,B429,$C$5:$C$1517,"&lt;"&amp;C429),"")</f>
        <v/>
      </c>
      <c r="T429" s="8" t="n">
        <f aca="false">IF(O429&gt;=Models!$G$8,1+COUNTIF($O$5:$O$1517,"&gt;"&amp;O429)+COUNTIFS($O$5:$O$1517,O429,$B$5:$B$1517,"&lt;"&amp;B429)+COUNTIFS($O$5:$O$1517,O429,$B$5:$B$1517,B429,$C$5:$C$1517,"&lt;"&amp;C429),"")</f>
        <v>233</v>
      </c>
      <c r="U429" s="8" t="n">
        <f aca="false">IF($K429=1,COUNTIFS($L$5:$L$1517,"&gt;="&amp;L429,$K$5:$K$1517,1)/COUNTIF($L$5:$L$1517,"&gt;="&amp;L429),0)</f>
        <v>0</v>
      </c>
      <c r="V429" s="8" t="n">
        <f aca="false">IF($K429=1,COUNTIFS($M$5:$M$1517,"&gt;="&amp;M429,$K$5:$K$1517,1)/COUNTIF($M$5:$M$1517,"&gt;="&amp;M429),0)</f>
        <v>0</v>
      </c>
      <c r="W429" s="8" t="n">
        <f aca="false">IF($K429=1,COUNTIFS($N$5:$N$1517,"&gt;="&amp;N429,$K$5:$K$1517,1)/COUNTIF($N$5:$N$1517,"&gt;="&amp;N429),0)</f>
        <v>0</v>
      </c>
      <c r="X429" s="8" t="n">
        <f aca="false">IF($K429=1,COUNTIFS($O$5:$O$1517,"&gt;="&amp;O429,$K$5:$K$1517,1)/COUNTIF($O$5:$O$1517,"&gt;="&amp;O429),0)</f>
        <v>0</v>
      </c>
      <c r="Y429" s="8" t="n">
        <f aca="false">IF($K429=1,COUNTIFS($P$5:$P$1517,"&gt;="&amp;P429,$K$5:$K$1517,1)/COUNTIF($P$5:$P$1517,"&gt;="&amp;P429),0)</f>
        <v>0</v>
      </c>
      <c r="Z429" s="8" t="n">
        <f aca="false">(L429-$K429)^2</f>
        <v>0.185972250025</v>
      </c>
      <c r="AA429" s="8" t="n">
        <f aca="false">(M429-$K429)^2</f>
        <v>0.008475595969</v>
      </c>
      <c r="AB429" s="8" t="n">
        <f aca="false">(N429-$K429)^2</f>
        <v>0.008145423504</v>
      </c>
      <c r="AC429" s="8" t="n">
        <f aca="false">(O429-$K429)^2</f>
        <v>0.011274829489</v>
      </c>
      <c r="AD429" s="8" t="n">
        <f aca="false">(P429-$K429)^2</f>
        <v>0.009066467524</v>
      </c>
      <c r="AE429" s="8" t="n">
        <f aca="false">MIN(INT(ROUND(N429*1000000,0)/100000),9)</f>
        <v>0</v>
      </c>
      <c r="AF429" s="8" t="n">
        <f aca="false">MIN(INT(ROUND(P429*1000000,0)/100000),9)</f>
        <v>0</v>
      </c>
    </row>
    <row r="430" customFormat="false" ht="15" hidden="false" customHeight="false" outlineLevel="0" collapsed="false">
      <c r="A430" s="4" t="n">
        <v>426</v>
      </c>
      <c r="B430" s="4" t="n">
        <v>336</v>
      </c>
      <c r="C430" s="4" t="n">
        <v>1</v>
      </c>
      <c r="D430" s="11" t="n">
        <v>46082</v>
      </c>
      <c r="E430" s="4" t="s">
        <v>202</v>
      </c>
      <c r="F430" s="4" t="s">
        <v>206</v>
      </c>
      <c r="G430" s="4" t="n">
        <v>9</v>
      </c>
      <c r="H430" s="4" t="n">
        <v>3</v>
      </c>
      <c r="I430" s="4" t="n">
        <v>0</v>
      </c>
      <c r="J430" s="4" t="n">
        <v>1176</v>
      </c>
      <c r="K430" s="4" t="n">
        <v>0</v>
      </c>
      <c r="L430" s="12" t="n">
        <v>0.987645</v>
      </c>
      <c r="M430" s="12" t="n">
        <v>0.092063</v>
      </c>
      <c r="N430" s="12" t="n">
        <v>0.075181</v>
      </c>
      <c r="O430" s="12" t="n">
        <v>0.106183</v>
      </c>
      <c r="P430" s="12" t="n">
        <v>0.078701</v>
      </c>
      <c r="Q430" s="8" t="n">
        <f aca="false">IF(L430&gt;=Models!$G$5,1+COUNTIF($L$5:$L$1517,"&gt;"&amp;L430)+COUNTIFS($L$5:$L$1517,L430,$B$5:$B$1517,"&lt;"&amp;B430)+COUNTIFS($L$5:$L$1517,L430,$B$5:$B$1517,B430,$C$5:$C$1517,"&lt;"&amp;C430),"")</f>
        <v>18</v>
      </c>
      <c r="R430" s="0" t="str">
        <f aca="false">IF(M430&gt;=Models!$G$6,1+COUNTIF($M$5:$M$1517,"&gt;"&amp;M430)+COUNTIFS($M$5:$M$1517,M430,$B$5:$B$1517,"&lt;"&amp;B430)+COUNTIFS($M$5:$M$1517,M430,$B$5:$B$1517,B430,$C$5:$C$1517,"&lt;"&amp;C430),"")</f>
        <v/>
      </c>
      <c r="S430" s="0" t="str">
        <f aca="false">IF(N430&gt;=Models!$G$7,1+COUNTIF($N$5:$N$1517,"&gt;"&amp;N430)+COUNTIFS($N$5:$N$1517,N430,$B$5:$B$1517,"&lt;"&amp;B430)+COUNTIFS($N$5:$N$1517,N430,$B$5:$B$1517,B430,$C$5:$C$1517,"&lt;"&amp;C430),"")</f>
        <v/>
      </c>
      <c r="T430" s="8" t="n">
        <f aca="false">IF(O430&gt;=Models!$G$8,1+COUNTIF($O$5:$O$1517,"&gt;"&amp;O430)+COUNTIFS($O$5:$O$1517,O430,$B$5:$B$1517,"&lt;"&amp;B430)+COUNTIFS($O$5:$O$1517,O430,$B$5:$B$1517,B430,$C$5:$C$1517,"&lt;"&amp;C430),"")</f>
        <v>237</v>
      </c>
      <c r="U430" s="8" t="n">
        <f aca="false">IF($K430=1,COUNTIFS($L$5:$L$1517,"&gt;="&amp;L430,$K$5:$K$1517,1)/COUNTIF($L$5:$L$1517,"&gt;="&amp;L430),0)</f>
        <v>0</v>
      </c>
      <c r="V430" s="8" t="n">
        <f aca="false">IF($K430=1,COUNTIFS($M$5:$M$1517,"&gt;="&amp;M430,$K$5:$K$1517,1)/COUNTIF($M$5:$M$1517,"&gt;="&amp;M430),0)</f>
        <v>0</v>
      </c>
      <c r="W430" s="8" t="n">
        <f aca="false">IF($K430=1,COUNTIFS($N$5:$N$1517,"&gt;="&amp;N430,$K$5:$K$1517,1)/COUNTIF($N$5:$N$1517,"&gt;="&amp;N430),0)</f>
        <v>0</v>
      </c>
      <c r="X430" s="8" t="n">
        <f aca="false">IF($K430=1,COUNTIFS($O$5:$O$1517,"&gt;="&amp;O430,$K$5:$K$1517,1)/COUNTIF($O$5:$O$1517,"&gt;="&amp;O430),0)</f>
        <v>0</v>
      </c>
      <c r="Y430" s="8" t="n">
        <f aca="false">IF($K430=1,COUNTIFS($P$5:$P$1517,"&gt;="&amp;P430,$K$5:$K$1517,1)/COUNTIF($P$5:$P$1517,"&gt;="&amp;P430),0)</f>
        <v>0</v>
      </c>
      <c r="Z430" s="8" t="n">
        <f aca="false">(L430-$K430)^2</f>
        <v>0.975442646025</v>
      </c>
      <c r="AA430" s="8" t="n">
        <f aca="false">(M430-$K430)^2</f>
        <v>0.008475595969</v>
      </c>
      <c r="AB430" s="8" t="n">
        <f aca="false">(N430-$K430)^2</f>
        <v>0.005652182761</v>
      </c>
      <c r="AC430" s="8" t="n">
        <f aca="false">(O430-$K430)^2</f>
        <v>0.011274829489</v>
      </c>
      <c r="AD430" s="8" t="n">
        <f aca="false">(P430-$K430)^2</f>
        <v>0.006193847401</v>
      </c>
      <c r="AE430" s="8" t="n">
        <f aca="false">MIN(INT(ROUND(N430*1000000,0)/100000),9)</f>
        <v>0</v>
      </c>
      <c r="AF430" s="8" t="n">
        <f aca="false">MIN(INT(ROUND(P430*1000000,0)/100000),9)</f>
        <v>0</v>
      </c>
    </row>
    <row r="431" customFormat="false" ht="15" hidden="false" customHeight="false" outlineLevel="0" collapsed="false">
      <c r="A431" s="4" t="n">
        <v>427</v>
      </c>
      <c r="B431" s="4" t="n">
        <v>345</v>
      </c>
      <c r="C431" s="4" t="n">
        <v>1</v>
      </c>
      <c r="D431" s="11" t="n">
        <v>46082</v>
      </c>
      <c r="E431" s="4" t="s">
        <v>203</v>
      </c>
      <c r="F431" s="4" t="s">
        <v>207</v>
      </c>
      <c r="G431" s="4" t="n">
        <v>2</v>
      </c>
      <c r="H431" s="4" t="n">
        <v>10</v>
      </c>
      <c r="I431" s="4" t="n">
        <v>0</v>
      </c>
      <c r="J431" s="4" t="n">
        <v>264</v>
      </c>
      <c r="K431" s="4" t="n">
        <v>0</v>
      </c>
      <c r="L431" s="12" t="n">
        <v>0.131926</v>
      </c>
      <c r="M431" s="12" t="n">
        <v>0.092063</v>
      </c>
      <c r="N431" s="12" t="n">
        <v>0.145614</v>
      </c>
      <c r="O431" s="12" t="n">
        <v>0.106183</v>
      </c>
      <c r="P431" s="12" t="n">
        <v>0.156482</v>
      </c>
      <c r="Q431" s="0" t="str">
        <f aca="false">IF(L431&gt;=Models!$G$5,1+COUNTIF($L$5:$L$1517,"&gt;"&amp;L431)+COUNTIFS($L$5:$L$1517,L431,$B$5:$B$1517,"&lt;"&amp;B431)+COUNTIFS($L$5:$L$1517,L431,$B$5:$B$1517,B431,$C$5:$C$1517,"&lt;"&amp;C431),"")</f>
        <v/>
      </c>
      <c r="R431" s="0" t="str">
        <f aca="false">IF(M431&gt;=Models!$G$6,1+COUNTIF($M$5:$M$1517,"&gt;"&amp;M431)+COUNTIFS($M$5:$M$1517,M431,$B$5:$B$1517,"&lt;"&amp;B431)+COUNTIFS($M$5:$M$1517,M431,$B$5:$B$1517,B431,$C$5:$C$1517,"&lt;"&amp;C431),"")</f>
        <v/>
      </c>
      <c r="S431" s="0" t="str">
        <f aca="false">IF(N431&gt;=Models!$G$7,1+COUNTIF($N$5:$N$1517,"&gt;"&amp;N431)+COUNTIFS($N$5:$N$1517,N431,$B$5:$B$1517,"&lt;"&amp;B431)+COUNTIFS($N$5:$N$1517,N431,$B$5:$B$1517,B431,$C$5:$C$1517,"&lt;"&amp;C431),"")</f>
        <v/>
      </c>
      <c r="T431" s="8" t="n">
        <f aca="false">IF(O431&gt;=Models!$G$8,1+COUNTIF($O$5:$O$1517,"&gt;"&amp;O431)+COUNTIFS($O$5:$O$1517,O431,$B$5:$B$1517,"&lt;"&amp;B431)+COUNTIFS($O$5:$O$1517,O431,$B$5:$B$1517,B431,$C$5:$C$1517,"&lt;"&amp;C431),"")</f>
        <v>241</v>
      </c>
      <c r="U431" s="8" t="n">
        <f aca="false">IF($K431=1,COUNTIFS($L$5:$L$1517,"&gt;="&amp;L431,$K$5:$K$1517,1)/COUNTIF($L$5:$L$1517,"&gt;="&amp;L431),0)</f>
        <v>0</v>
      </c>
      <c r="V431" s="8" t="n">
        <f aca="false">IF($K431=1,COUNTIFS($M$5:$M$1517,"&gt;="&amp;M431,$K$5:$K$1517,1)/COUNTIF($M$5:$M$1517,"&gt;="&amp;M431),0)</f>
        <v>0</v>
      </c>
      <c r="W431" s="8" t="n">
        <f aca="false">IF($K431=1,COUNTIFS($N$5:$N$1517,"&gt;="&amp;N431,$K$5:$K$1517,1)/COUNTIF($N$5:$N$1517,"&gt;="&amp;N431),0)</f>
        <v>0</v>
      </c>
      <c r="X431" s="8" t="n">
        <f aca="false">IF($K431=1,COUNTIFS($O$5:$O$1517,"&gt;="&amp;O431,$K$5:$K$1517,1)/COUNTIF($O$5:$O$1517,"&gt;="&amp;O431),0)</f>
        <v>0</v>
      </c>
      <c r="Y431" s="8" t="n">
        <f aca="false">IF($K431=1,COUNTIFS($P$5:$P$1517,"&gt;="&amp;P431,$K$5:$K$1517,1)/COUNTIF($P$5:$P$1517,"&gt;="&amp;P431),0)</f>
        <v>0</v>
      </c>
      <c r="Z431" s="8" t="n">
        <f aca="false">(L431-$K431)^2</f>
        <v>0.017404469476</v>
      </c>
      <c r="AA431" s="8" t="n">
        <f aca="false">(M431-$K431)^2</f>
        <v>0.008475595969</v>
      </c>
      <c r="AB431" s="8" t="n">
        <f aca="false">(N431-$K431)^2</f>
        <v>0.021203436996</v>
      </c>
      <c r="AC431" s="8" t="n">
        <f aca="false">(O431-$K431)^2</f>
        <v>0.011274829489</v>
      </c>
      <c r="AD431" s="8" t="n">
        <f aca="false">(P431-$K431)^2</f>
        <v>0.024486616324</v>
      </c>
      <c r="AE431" s="8" t="n">
        <f aca="false">MIN(INT(ROUND(N431*1000000,0)/100000),9)</f>
        <v>1</v>
      </c>
      <c r="AF431" s="8" t="n">
        <f aca="false">MIN(INT(ROUND(P431*1000000,0)/100000),9)</f>
        <v>1</v>
      </c>
    </row>
    <row r="432" customFormat="false" ht="15" hidden="false" customHeight="false" outlineLevel="0" collapsed="false">
      <c r="A432" s="4" t="n">
        <v>428</v>
      </c>
      <c r="B432" s="4" t="n">
        <v>353</v>
      </c>
      <c r="C432" s="4" t="n">
        <v>1</v>
      </c>
      <c r="D432" s="11" t="n">
        <v>46082</v>
      </c>
      <c r="E432" s="4" t="s">
        <v>201</v>
      </c>
      <c r="F432" s="4" t="s">
        <v>210</v>
      </c>
      <c r="G432" s="4" t="n">
        <v>23</v>
      </c>
      <c r="H432" s="4" t="n">
        <v>1</v>
      </c>
      <c r="I432" s="4" t="n">
        <v>0</v>
      </c>
      <c r="J432" s="4"/>
      <c r="K432" s="4" t="n">
        <v>0</v>
      </c>
      <c r="L432" s="12" t="n">
        <v>0.761391</v>
      </c>
      <c r="M432" s="12" t="n">
        <v>0.092063</v>
      </c>
      <c r="N432" s="12" t="n">
        <v>0.011268</v>
      </c>
      <c r="O432" s="12" t="n">
        <v>0.106183</v>
      </c>
      <c r="P432" s="12" t="n">
        <v>0.010789</v>
      </c>
      <c r="Q432" s="0" t="str">
        <f aca="false">IF(L432&gt;=Models!$G$5,1+COUNTIF($L$5:$L$1517,"&gt;"&amp;L432)+COUNTIFS($L$5:$L$1517,L432,$B$5:$B$1517,"&lt;"&amp;B432)+COUNTIFS($L$5:$L$1517,L432,$B$5:$B$1517,B432,$C$5:$C$1517,"&lt;"&amp;C432),"")</f>
        <v/>
      </c>
      <c r="R432" s="0" t="str">
        <f aca="false">IF(M432&gt;=Models!$G$6,1+COUNTIF($M$5:$M$1517,"&gt;"&amp;M432)+COUNTIFS($M$5:$M$1517,M432,$B$5:$B$1517,"&lt;"&amp;B432)+COUNTIFS($M$5:$M$1517,M432,$B$5:$B$1517,B432,$C$5:$C$1517,"&lt;"&amp;C432),"")</f>
        <v/>
      </c>
      <c r="S432" s="0" t="str">
        <f aca="false">IF(N432&gt;=Models!$G$7,1+COUNTIF($N$5:$N$1517,"&gt;"&amp;N432)+COUNTIFS($N$5:$N$1517,N432,$B$5:$B$1517,"&lt;"&amp;B432)+COUNTIFS($N$5:$N$1517,N432,$B$5:$B$1517,B432,$C$5:$C$1517,"&lt;"&amp;C432),"")</f>
        <v/>
      </c>
      <c r="T432" s="8" t="n">
        <f aca="false">IF(O432&gt;=Models!$G$8,1+COUNTIF($O$5:$O$1517,"&gt;"&amp;O432)+COUNTIFS($O$5:$O$1517,O432,$B$5:$B$1517,"&lt;"&amp;B432)+COUNTIFS($O$5:$O$1517,O432,$B$5:$B$1517,B432,$C$5:$C$1517,"&lt;"&amp;C432),"")</f>
        <v>245</v>
      </c>
      <c r="U432" s="8" t="n">
        <f aca="false">IF($K432=1,COUNTIFS($L$5:$L$1517,"&gt;="&amp;L432,$K$5:$K$1517,1)/COUNTIF($L$5:$L$1517,"&gt;="&amp;L432),0)</f>
        <v>0</v>
      </c>
      <c r="V432" s="8" t="n">
        <f aca="false">IF($K432=1,COUNTIFS($M$5:$M$1517,"&gt;="&amp;M432,$K$5:$K$1517,1)/COUNTIF($M$5:$M$1517,"&gt;="&amp;M432),0)</f>
        <v>0</v>
      </c>
      <c r="W432" s="8" t="n">
        <f aca="false">IF($K432=1,COUNTIFS($N$5:$N$1517,"&gt;="&amp;N432,$K$5:$K$1517,1)/COUNTIF($N$5:$N$1517,"&gt;="&amp;N432),0)</f>
        <v>0</v>
      </c>
      <c r="X432" s="8" t="n">
        <f aca="false">IF($K432=1,COUNTIFS($O$5:$O$1517,"&gt;="&amp;O432,$K$5:$K$1517,1)/COUNTIF($O$5:$O$1517,"&gt;="&amp;O432),0)</f>
        <v>0</v>
      </c>
      <c r="Y432" s="8" t="n">
        <f aca="false">IF($K432=1,COUNTIFS($P$5:$P$1517,"&gt;="&amp;P432,$K$5:$K$1517,1)/COUNTIF($P$5:$P$1517,"&gt;="&amp;P432),0)</f>
        <v>0</v>
      </c>
      <c r="Z432" s="8" t="n">
        <f aca="false">(L432-$K432)^2</f>
        <v>0.579716254881</v>
      </c>
      <c r="AA432" s="8" t="n">
        <f aca="false">(M432-$K432)^2</f>
        <v>0.008475595969</v>
      </c>
      <c r="AB432" s="8" t="n">
        <f aca="false">(N432-$K432)^2</f>
        <v>0.000126967824</v>
      </c>
      <c r="AC432" s="8" t="n">
        <f aca="false">(O432-$K432)^2</f>
        <v>0.011274829489</v>
      </c>
      <c r="AD432" s="8" t="n">
        <f aca="false">(P432-$K432)^2</f>
        <v>0.000116402521</v>
      </c>
      <c r="AE432" s="8" t="n">
        <f aca="false">MIN(INT(ROUND(N432*1000000,0)/100000),9)</f>
        <v>0</v>
      </c>
      <c r="AF432" s="8" t="n">
        <f aca="false">MIN(INT(ROUND(P432*1000000,0)/100000),9)</f>
        <v>0</v>
      </c>
    </row>
    <row r="433" customFormat="false" ht="15" hidden="false" customHeight="false" outlineLevel="0" collapsed="false">
      <c r="A433" s="4" t="n">
        <v>429</v>
      </c>
      <c r="B433" s="4" t="n">
        <v>361</v>
      </c>
      <c r="C433" s="4" t="n">
        <v>1</v>
      </c>
      <c r="D433" s="11" t="n">
        <v>46082</v>
      </c>
      <c r="E433" s="4" t="s">
        <v>202</v>
      </c>
      <c r="F433" s="4" t="s">
        <v>209</v>
      </c>
      <c r="G433" s="4" t="n">
        <v>17</v>
      </c>
      <c r="H433" s="4" t="n">
        <v>1</v>
      </c>
      <c r="I433" s="4" t="n">
        <v>0</v>
      </c>
      <c r="J433" s="4" t="n">
        <v>1563</v>
      </c>
      <c r="K433" s="4" t="n">
        <v>0</v>
      </c>
      <c r="L433" s="12" t="n">
        <v>0.032277</v>
      </c>
      <c r="M433" s="12" t="n">
        <v>0.092063</v>
      </c>
      <c r="N433" s="12" t="n">
        <v>0.036668</v>
      </c>
      <c r="O433" s="12" t="n">
        <v>0.106183</v>
      </c>
      <c r="P433" s="12" t="n">
        <v>0.037147</v>
      </c>
      <c r="Q433" s="0" t="str">
        <f aca="false">IF(L433&gt;=Models!$G$5,1+COUNTIF($L$5:$L$1517,"&gt;"&amp;L433)+COUNTIFS($L$5:$L$1517,L433,$B$5:$B$1517,"&lt;"&amp;B433)+COUNTIFS($L$5:$L$1517,L433,$B$5:$B$1517,B433,$C$5:$C$1517,"&lt;"&amp;C433),"")</f>
        <v/>
      </c>
      <c r="R433" s="0" t="str">
        <f aca="false">IF(M433&gt;=Models!$G$6,1+COUNTIF($M$5:$M$1517,"&gt;"&amp;M433)+COUNTIFS($M$5:$M$1517,M433,$B$5:$B$1517,"&lt;"&amp;B433)+COUNTIFS($M$5:$M$1517,M433,$B$5:$B$1517,B433,$C$5:$C$1517,"&lt;"&amp;C433),"")</f>
        <v/>
      </c>
      <c r="S433" s="0" t="str">
        <f aca="false">IF(N433&gt;=Models!$G$7,1+COUNTIF($N$5:$N$1517,"&gt;"&amp;N433)+COUNTIFS($N$5:$N$1517,N433,$B$5:$B$1517,"&lt;"&amp;B433)+COUNTIFS($N$5:$N$1517,N433,$B$5:$B$1517,B433,$C$5:$C$1517,"&lt;"&amp;C433),"")</f>
        <v/>
      </c>
      <c r="T433" s="8" t="n">
        <f aca="false">IF(O433&gt;=Models!$G$8,1+COUNTIF($O$5:$O$1517,"&gt;"&amp;O433)+COUNTIFS($O$5:$O$1517,O433,$B$5:$B$1517,"&lt;"&amp;B433)+COUNTIFS($O$5:$O$1517,O433,$B$5:$B$1517,B433,$C$5:$C$1517,"&lt;"&amp;C433),"")</f>
        <v>249</v>
      </c>
      <c r="U433" s="8" t="n">
        <f aca="false">IF($K433=1,COUNTIFS($L$5:$L$1517,"&gt;="&amp;L433,$K$5:$K$1517,1)/COUNTIF($L$5:$L$1517,"&gt;="&amp;L433),0)</f>
        <v>0</v>
      </c>
      <c r="V433" s="8" t="n">
        <f aca="false">IF($K433=1,COUNTIFS($M$5:$M$1517,"&gt;="&amp;M433,$K$5:$K$1517,1)/COUNTIF($M$5:$M$1517,"&gt;="&amp;M433),0)</f>
        <v>0</v>
      </c>
      <c r="W433" s="8" t="n">
        <f aca="false">IF($K433=1,COUNTIFS($N$5:$N$1517,"&gt;="&amp;N433,$K$5:$K$1517,1)/COUNTIF($N$5:$N$1517,"&gt;="&amp;N433),0)</f>
        <v>0</v>
      </c>
      <c r="X433" s="8" t="n">
        <f aca="false">IF($K433=1,COUNTIFS($O$5:$O$1517,"&gt;="&amp;O433,$K$5:$K$1517,1)/COUNTIF($O$5:$O$1517,"&gt;="&amp;O433),0)</f>
        <v>0</v>
      </c>
      <c r="Y433" s="8" t="n">
        <f aca="false">IF($K433=1,COUNTIFS($P$5:$P$1517,"&gt;="&amp;P433,$K$5:$K$1517,1)/COUNTIF($P$5:$P$1517,"&gt;="&amp;P433),0)</f>
        <v>0</v>
      </c>
      <c r="Z433" s="8" t="n">
        <f aca="false">(L433-$K433)^2</f>
        <v>0.001041804729</v>
      </c>
      <c r="AA433" s="8" t="n">
        <f aca="false">(M433-$K433)^2</f>
        <v>0.008475595969</v>
      </c>
      <c r="AB433" s="8" t="n">
        <f aca="false">(N433-$K433)^2</f>
        <v>0.001344542224</v>
      </c>
      <c r="AC433" s="8" t="n">
        <f aca="false">(O433-$K433)^2</f>
        <v>0.011274829489</v>
      </c>
      <c r="AD433" s="8" t="n">
        <f aca="false">(P433-$K433)^2</f>
        <v>0.001379899609</v>
      </c>
      <c r="AE433" s="8" t="n">
        <f aca="false">MIN(INT(ROUND(N433*1000000,0)/100000),9)</f>
        <v>0</v>
      </c>
      <c r="AF433" s="8" t="n">
        <f aca="false">MIN(INT(ROUND(P433*1000000,0)/100000),9)</f>
        <v>0</v>
      </c>
    </row>
    <row r="434" customFormat="false" ht="15" hidden="false" customHeight="false" outlineLevel="0" collapsed="false">
      <c r="A434" s="4" t="n">
        <v>430</v>
      </c>
      <c r="B434" s="4" t="n">
        <v>364</v>
      </c>
      <c r="C434" s="4" t="n">
        <v>1</v>
      </c>
      <c r="D434" s="11" t="n">
        <v>46082</v>
      </c>
      <c r="E434" s="4" t="s">
        <v>203</v>
      </c>
      <c r="F434" s="4" t="s">
        <v>206</v>
      </c>
      <c r="G434" s="4" t="n">
        <v>1</v>
      </c>
      <c r="H434" s="4" t="n">
        <v>3</v>
      </c>
      <c r="I434" s="4" t="n">
        <v>0</v>
      </c>
      <c r="J434" s="4" t="n">
        <v>432</v>
      </c>
      <c r="K434" s="4" t="n">
        <v>1</v>
      </c>
      <c r="L434" s="12" t="n">
        <v>0.103684</v>
      </c>
      <c r="M434" s="12" t="n">
        <v>0.092063</v>
      </c>
      <c r="N434" s="12" t="n">
        <v>0.148482</v>
      </c>
      <c r="O434" s="12" t="n">
        <v>0.106183</v>
      </c>
      <c r="P434" s="12" t="n">
        <v>0.15967</v>
      </c>
      <c r="Q434" s="0" t="str">
        <f aca="false">IF(L434&gt;=Models!$G$5,1+COUNTIF($L$5:$L$1517,"&gt;"&amp;L434)+COUNTIFS($L$5:$L$1517,L434,$B$5:$B$1517,"&lt;"&amp;B434)+COUNTIFS($L$5:$L$1517,L434,$B$5:$B$1517,B434,$C$5:$C$1517,"&lt;"&amp;C434),"")</f>
        <v/>
      </c>
      <c r="R434" s="0" t="str">
        <f aca="false">IF(M434&gt;=Models!$G$6,1+COUNTIF($M$5:$M$1517,"&gt;"&amp;M434)+COUNTIFS($M$5:$M$1517,M434,$B$5:$B$1517,"&lt;"&amp;B434)+COUNTIFS($M$5:$M$1517,M434,$B$5:$B$1517,B434,$C$5:$C$1517,"&lt;"&amp;C434),"")</f>
        <v/>
      </c>
      <c r="S434" s="0" t="str">
        <f aca="false">IF(N434&gt;=Models!$G$7,1+COUNTIF($N$5:$N$1517,"&gt;"&amp;N434)+COUNTIFS($N$5:$N$1517,N434,$B$5:$B$1517,"&lt;"&amp;B434)+COUNTIFS($N$5:$N$1517,N434,$B$5:$B$1517,B434,$C$5:$C$1517,"&lt;"&amp;C434),"")</f>
        <v/>
      </c>
      <c r="T434" s="8" t="n">
        <f aca="false">IF(O434&gt;=Models!$G$8,1+COUNTIF($O$5:$O$1517,"&gt;"&amp;O434)+COUNTIFS($O$5:$O$1517,O434,$B$5:$B$1517,"&lt;"&amp;B434)+COUNTIFS($O$5:$O$1517,O434,$B$5:$B$1517,B434,$C$5:$C$1517,"&lt;"&amp;C434),"")</f>
        <v>253</v>
      </c>
      <c r="U434" s="8" t="n">
        <f aca="false">IF($K434=1,COUNTIFS($L$5:$L$1517,"&gt;="&amp;L434,$K$5:$K$1517,1)/COUNTIF($L$5:$L$1517,"&gt;="&amp;L434),0)</f>
        <v>0.123420074349442</v>
      </c>
      <c r="V434" s="8" t="n">
        <f aca="false">IF($K434=1,COUNTIFS($M$5:$M$1517,"&gt;="&amp;M434,$K$5:$K$1517,1)/COUNTIF($M$5:$M$1517,"&gt;="&amp;M434),0)</f>
        <v>0.12491738268341</v>
      </c>
      <c r="W434" s="8" t="n">
        <f aca="false">IF($K434=1,COUNTIFS($N$5:$N$1517,"&gt;="&amp;N434,$K$5:$K$1517,1)/COUNTIF($N$5:$N$1517,"&gt;="&amp;N434),0)</f>
        <v>0.297297297297297</v>
      </c>
      <c r="X434" s="8" t="n">
        <f aca="false">IF($K434=1,COUNTIFS($O$5:$O$1517,"&gt;="&amp;O434,$K$5:$K$1517,1)/COUNTIF($O$5:$O$1517,"&gt;="&amp;O434),0)</f>
        <v>0.12491738268341</v>
      </c>
      <c r="Y434" s="8" t="n">
        <f aca="false">IF($K434=1,COUNTIFS($P$5:$P$1517,"&gt;="&amp;P434,$K$5:$K$1517,1)/COUNTIF($P$5:$P$1517,"&gt;="&amp;P434),0)</f>
        <v>0.297297297297297</v>
      </c>
      <c r="Z434" s="8" t="n">
        <f aca="false">(L434-$K434)^2</f>
        <v>0.803382371856</v>
      </c>
      <c r="AA434" s="8" t="n">
        <f aca="false">(M434-$K434)^2</f>
        <v>0.824349595969</v>
      </c>
      <c r="AB434" s="8" t="n">
        <f aca="false">(N434-$K434)^2</f>
        <v>0.725082904324</v>
      </c>
      <c r="AC434" s="8" t="n">
        <f aca="false">(O434-$K434)^2</f>
        <v>0.798908829489</v>
      </c>
      <c r="AD434" s="8" t="n">
        <f aca="false">(P434-$K434)^2</f>
        <v>0.7061545089</v>
      </c>
      <c r="AE434" s="8" t="n">
        <f aca="false">MIN(INT(ROUND(N434*1000000,0)/100000),9)</f>
        <v>1</v>
      </c>
      <c r="AF434" s="8" t="n">
        <f aca="false">MIN(INT(ROUND(P434*1000000,0)/100000),9)</f>
        <v>1</v>
      </c>
    </row>
    <row r="435" customFormat="false" ht="15" hidden="false" customHeight="false" outlineLevel="0" collapsed="false">
      <c r="A435" s="4" t="n">
        <v>431</v>
      </c>
      <c r="B435" s="4" t="n">
        <v>381</v>
      </c>
      <c r="C435" s="4" t="n">
        <v>1</v>
      </c>
      <c r="D435" s="11" t="n">
        <v>46082</v>
      </c>
      <c r="E435" s="4" t="s">
        <v>202</v>
      </c>
      <c r="F435" s="4" t="s">
        <v>210</v>
      </c>
      <c r="G435" s="4" t="n">
        <v>5</v>
      </c>
      <c r="H435" s="4" t="n">
        <v>9</v>
      </c>
      <c r="I435" s="4" t="n">
        <v>0</v>
      </c>
      <c r="J435" s="4"/>
      <c r="K435" s="4" t="n">
        <v>0</v>
      </c>
      <c r="L435" s="12" t="n">
        <v>0.028847</v>
      </c>
      <c r="M435" s="12" t="n">
        <v>0.092063</v>
      </c>
      <c r="N435" s="12" t="n">
        <v>0.05792</v>
      </c>
      <c r="O435" s="12" t="n">
        <v>0.106183</v>
      </c>
      <c r="P435" s="12" t="n">
        <v>0.059932</v>
      </c>
      <c r="Q435" s="0" t="str">
        <f aca="false">IF(L435&gt;=Models!$G$5,1+COUNTIF($L$5:$L$1517,"&gt;"&amp;L435)+COUNTIFS($L$5:$L$1517,L435,$B$5:$B$1517,"&lt;"&amp;B435)+COUNTIFS($L$5:$L$1517,L435,$B$5:$B$1517,B435,$C$5:$C$1517,"&lt;"&amp;C435),"")</f>
        <v/>
      </c>
      <c r="R435" s="0" t="str">
        <f aca="false">IF(M435&gt;=Models!$G$6,1+COUNTIF($M$5:$M$1517,"&gt;"&amp;M435)+COUNTIFS($M$5:$M$1517,M435,$B$5:$B$1517,"&lt;"&amp;B435)+COUNTIFS($M$5:$M$1517,M435,$B$5:$B$1517,B435,$C$5:$C$1517,"&lt;"&amp;C435),"")</f>
        <v/>
      </c>
      <c r="S435" s="0" t="str">
        <f aca="false">IF(N435&gt;=Models!$G$7,1+COUNTIF($N$5:$N$1517,"&gt;"&amp;N435)+COUNTIFS($N$5:$N$1517,N435,$B$5:$B$1517,"&lt;"&amp;B435)+COUNTIFS($N$5:$N$1517,N435,$B$5:$B$1517,B435,$C$5:$C$1517,"&lt;"&amp;C435),"")</f>
        <v/>
      </c>
      <c r="T435" s="8" t="n">
        <f aca="false">IF(O435&gt;=Models!$G$8,1+COUNTIF($O$5:$O$1517,"&gt;"&amp;O435)+COUNTIFS($O$5:$O$1517,O435,$B$5:$B$1517,"&lt;"&amp;B435)+COUNTIFS($O$5:$O$1517,O435,$B$5:$B$1517,B435,$C$5:$C$1517,"&lt;"&amp;C435),"")</f>
        <v>255</v>
      </c>
      <c r="U435" s="8" t="n">
        <f aca="false">IF($K435=1,COUNTIFS($L$5:$L$1517,"&gt;="&amp;L435,$K$5:$K$1517,1)/COUNTIF($L$5:$L$1517,"&gt;="&amp;L435),0)</f>
        <v>0</v>
      </c>
      <c r="V435" s="8" t="n">
        <f aca="false">IF($K435=1,COUNTIFS($M$5:$M$1517,"&gt;="&amp;M435,$K$5:$K$1517,1)/COUNTIF($M$5:$M$1517,"&gt;="&amp;M435),0)</f>
        <v>0</v>
      </c>
      <c r="W435" s="8" t="n">
        <f aca="false">IF($K435=1,COUNTIFS($N$5:$N$1517,"&gt;="&amp;N435,$K$5:$K$1517,1)/COUNTIF($N$5:$N$1517,"&gt;="&amp;N435),0)</f>
        <v>0</v>
      </c>
      <c r="X435" s="8" t="n">
        <f aca="false">IF($K435=1,COUNTIFS($O$5:$O$1517,"&gt;="&amp;O435,$K$5:$K$1517,1)/COUNTIF($O$5:$O$1517,"&gt;="&amp;O435),0)</f>
        <v>0</v>
      </c>
      <c r="Y435" s="8" t="n">
        <f aca="false">IF($K435=1,COUNTIFS($P$5:$P$1517,"&gt;="&amp;P435,$K$5:$K$1517,1)/COUNTIF($P$5:$P$1517,"&gt;="&amp;P435),0)</f>
        <v>0</v>
      </c>
      <c r="Z435" s="8" t="n">
        <f aca="false">(L435-$K435)^2</f>
        <v>0.000832149409</v>
      </c>
      <c r="AA435" s="8" t="n">
        <f aca="false">(M435-$K435)^2</f>
        <v>0.008475595969</v>
      </c>
      <c r="AB435" s="8" t="n">
        <f aca="false">(N435-$K435)^2</f>
        <v>0.0033547264</v>
      </c>
      <c r="AC435" s="8" t="n">
        <f aca="false">(O435-$K435)^2</f>
        <v>0.011274829489</v>
      </c>
      <c r="AD435" s="8" t="n">
        <f aca="false">(P435-$K435)^2</f>
        <v>0.003591844624</v>
      </c>
      <c r="AE435" s="8" t="n">
        <f aca="false">MIN(INT(ROUND(N435*1000000,0)/100000),9)</f>
        <v>0</v>
      </c>
      <c r="AF435" s="8" t="n">
        <f aca="false">MIN(INT(ROUND(P435*1000000,0)/100000),9)</f>
        <v>0</v>
      </c>
    </row>
    <row r="436" customFormat="false" ht="15" hidden="false" customHeight="false" outlineLevel="0" collapsed="false">
      <c r="A436" s="4" t="n">
        <v>432</v>
      </c>
      <c r="B436" s="4" t="n">
        <v>383</v>
      </c>
      <c r="C436" s="4" t="n">
        <v>1</v>
      </c>
      <c r="D436" s="11" t="n">
        <v>46082</v>
      </c>
      <c r="E436" s="4" t="s">
        <v>203</v>
      </c>
      <c r="F436" s="4" t="s">
        <v>209</v>
      </c>
      <c r="G436" s="4" t="n">
        <v>5</v>
      </c>
      <c r="H436" s="4" t="n">
        <v>0</v>
      </c>
      <c r="I436" s="4" t="n">
        <v>0</v>
      </c>
      <c r="J436" s="4"/>
      <c r="K436" s="4" t="n">
        <v>0</v>
      </c>
      <c r="L436" s="12" t="n">
        <v>0.711605</v>
      </c>
      <c r="M436" s="12" t="n">
        <v>0.092063</v>
      </c>
      <c r="N436" s="12" t="n">
        <v>0.054025</v>
      </c>
      <c r="O436" s="12" t="n">
        <v>0.106183</v>
      </c>
      <c r="P436" s="12" t="n">
        <v>0.055724</v>
      </c>
      <c r="Q436" s="0" t="str">
        <f aca="false">IF(L436&gt;=Models!$G$5,1+COUNTIF($L$5:$L$1517,"&gt;"&amp;L436)+COUNTIFS($L$5:$L$1517,L436,$B$5:$B$1517,"&lt;"&amp;B436)+COUNTIFS($L$5:$L$1517,L436,$B$5:$B$1517,B436,$C$5:$C$1517,"&lt;"&amp;C436),"")</f>
        <v/>
      </c>
      <c r="R436" s="0" t="str">
        <f aca="false">IF(M436&gt;=Models!$G$6,1+COUNTIF($M$5:$M$1517,"&gt;"&amp;M436)+COUNTIFS($M$5:$M$1517,M436,$B$5:$B$1517,"&lt;"&amp;B436)+COUNTIFS($M$5:$M$1517,M436,$B$5:$B$1517,B436,$C$5:$C$1517,"&lt;"&amp;C436),"")</f>
        <v/>
      </c>
      <c r="S436" s="0" t="str">
        <f aca="false">IF(N436&gt;=Models!$G$7,1+COUNTIF($N$5:$N$1517,"&gt;"&amp;N436)+COUNTIFS($N$5:$N$1517,N436,$B$5:$B$1517,"&lt;"&amp;B436)+COUNTIFS($N$5:$N$1517,N436,$B$5:$B$1517,B436,$C$5:$C$1517,"&lt;"&amp;C436),"")</f>
        <v/>
      </c>
      <c r="T436" s="8" t="n">
        <f aca="false">IF(O436&gt;=Models!$G$8,1+COUNTIF($O$5:$O$1517,"&gt;"&amp;O436)+COUNTIFS($O$5:$O$1517,O436,$B$5:$B$1517,"&lt;"&amp;B436)+COUNTIFS($O$5:$O$1517,O436,$B$5:$B$1517,B436,$C$5:$C$1517,"&lt;"&amp;C436),"")</f>
        <v>259</v>
      </c>
      <c r="U436" s="8" t="n">
        <f aca="false">IF($K436=1,COUNTIFS($L$5:$L$1517,"&gt;="&amp;L436,$K$5:$K$1517,1)/COUNTIF($L$5:$L$1517,"&gt;="&amp;L436),0)</f>
        <v>0</v>
      </c>
      <c r="V436" s="8" t="n">
        <f aca="false">IF($K436=1,COUNTIFS($M$5:$M$1517,"&gt;="&amp;M436,$K$5:$K$1517,1)/COUNTIF($M$5:$M$1517,"&gt;="&amp;M436),0)</f>
        <v>0</v>
      </c>
      <c r="W436" s="8" t="n">
        <f aca="false">IF($K436=1,COUNTIFS($N$5:$N$1517,"&gt;="&amp;N436,$K$5:$K$1517,1)/COUNTIF($N$5:$N$1517,"&gt;="&amp;N436),0)</f>
        <v>0</v>
      </c>
      <c r="X436" s="8" t="n">
        <f aca="false">IF($K436=1,COUNTIFS($O$5:$O$1517,"&gt;="&amp;O436,$K$5:$K$1517,1)/COUNTIF($O$5:$O$1517,"&gt;="&amp;O436),0)</f>
        <v>0</v>
      </c>
      <c r="Y436" s="8" t="n">
        <f aca="false">IF($K436=1,COUNTIFS($P$5:$P$1517,"&gt;="&amp;P436,$K$5:$K$1517,1)/COUNTIF($P$5:$P$1517,"&gt;="&amp;P436),0)</f>
        <v>0</v>
      </c>
      <c r="Z436" s="8" t="n">
        <f aca="false">(L436-$K436)^2</f>
        <v>0.506381676025</v>
      </c>
      <c r="AA436" s="8" t="n">
        <f aca="false">(M436-$K436)^2</f>
        <v>0.008475595969</v>
      </c>
      <c r="AB436" s="8" t="n">
        <f aca="false">(N436-$K436)^2</f>
        <v>0.002918700625</v>
      </c>
      <c r="AC436" s="8" t="n">
        <f aca="false">(O436-$K436)^2</f>
        <v>0.011274829489</v>
      </c>
      <c r="AD436" s="8" t="n">
        <f aca="false">(P436-$K436)^2</f>
        <v>0.003105164176</v>
      </c>
      <c r="AE436" s="8" t="n">
        <f aca="false">MIN(INT(ROUND(N436*1000000,0)/100000),9)</f>
        <v>0</v>
      </c>
      <c r="AF436" s="8" t="n">
        <f aca="false">MIN(INT(ROUND(P436*1000000,0)/100000),9)</f>
        <v>0</v>
      </c>
    </row>
    <row r="437" customFormat="false" ht="15" hidden="false" customHeight="false" outlineLevel="0" collapsed="false">
      <c r="A437" s="4" t="n">
        <v>433</v>
      </c>
      <c r="B437" s="4" t="n">
        <v>385</v>
      </c>
      <c r="C437" s="4" t="n">
        <v>1</v>
      </c>
      <c r="D437" s="11" t="n">
        <v>46082</v>
      </c>
      <c r="E437" s="4" t="s">
        <v>203</v>
      </c>
      <c r="F437" s="4" t="s">
        <v>207</v>
      </c>
      <c r="G437" s="4" t="n">
        <v>2</v>
      </c>
      <c r="H437" s="4" t="n">
        <v>5</v>
      </c>
      <c r="I437" s="4" t="n">
        <v>0</v>
      </c>
      <c r="J437" s="4" t="n">
        <v>261</v>
      </c>
      <c r="K437" s="4" t="n">
        <v>0</v>
      </c>
      <c r="L437" s="12" t="n">
        <v>0.231749</v>
      </c>
      <c r="M437" s="12" t="n">
        <v>0.092063</v>
      </c>
      <c r="N437" s="12" t="n">
        <v>0.14061</v>
      </c>
      <c r="O437" s="12" t="n">
        <v>0.106183</v>
      </c>
      <c r="P437" s="12" t="n">
        <v>0.150922</v>
      </c>
      <c r="Q437" s="0" t="str">
        <f aca="false">IF(L437&gt;=Models!$G$5,1+COUNTIF($L$5:$L$1517,"&gt;"&amp;L437)+COUNTIFS($L$5:$L$1517,L437,$B$5:$B$1517,"&lt;"&amp;B437)+COUNTIFS($L$5:$L$1517,L437,$B$5:$B$1517,B437,$C$5:$C$1517,"&lt;"&amp;C437),"")</f>
        <v/>
      </c>
      <c r="R437" s="0" t="str">
        <f aca="false">IF(M437&gt;=Models!$G$6,1+COUNTIF($M$5:$M$1517,"&gt;"&amp;M437)+COUNTIFS($M$5:$M$1517,M437,$B$5:$B$1517,"&lt;"&amp;B437)+COUNTIFS($M$5:$M$1517,M437,$B$5:$B$1517,B437,$C$5:$C$1517,"&lt;"&amp;C437),"")</f>
        <v/>
      </c>
      <c r="S437" s="0" t="str">
        <f aca="false">IF(N437&gt;=Models!$G$7,1+COUNTIF($N$5:$N$1517,"&gt;"&amp;N437)+COUNTIFS($N$5:$N$1517,N437,$B$5:$B$1517,"&lt;"&amp;B437)+COUNTIFS($N$5:$N$1517,N437,$B$5:$B$1517,B437,$C$5:$C$1517,"&lt;"&amp;C437),"")</f>
        <v/>
      </c>
      <c r="T437" s="8" t="n">
        <f aca="false">IF(O437&gt;=Models!$G$8,1+COUNTIF($O$5:$O$1517,"&gt;"&amp;O437)+COUNTIFS($O$5:$O$1517,O437,$B$5:$B$1517,"&lt;"&amp;B437)+COUNTIFS($O$5:$O$1517,O437,$B$5:$B$1517,B437,$C$5:$C$1517,"&lt;"&amp;C437),"")</f>
        <v>263</v>
      </c>
      <c r="U437" s="8" t="n">
        <f aca="false">IF($K437=1,COUNTIFS($L$5:$L$1517,"&gt;="&amp;L437,$K$5:$K$1517,1)/COUNTIF($L$5:$L$1517,"&gt;="&amp;L437),0)</f>
        <v>0</v>
      </c>
      <c r="V437" s="8" t="n">
        <f aca="false">IF($K437=1,COUNTIFS($M$5:$M$1517,"&gt;="&amp;M437,$K$5:$K$1517,1)/COUNTIF($M$5:$M$1517,"&gt;="&amp;M437),0)</f>
        <v>0</v>
      </c>
      <c r="W437" s="8" t="n">
        <f aca="false">IF($K437=1,COUNTIFS($N$5:$N$1517,"&gt;="&amp;N437,$K$5:$K$1517,1)/COUNTIF($N$5:$N$1517,"&gt;="&amp;N437),0)</f>
        <v>0</v>
      </c>
      <c r="X437" s="8" t="n">
        <f aca="false">IF($K437=1,COUNTIFS($O$5:$O$1517,"&gt;="&amp;O437,$K$5:$K$1517,1)/COUNTIF($O$5:$O$1517,"&gt;="&amp;O437),0)</f>
        <v>0</v>
      </c>
      <c r="Y437" s="8" t="n">
        <f aca="false">IF($K437=1,COUNTIFS($P$5:$P$1517,"&gt;="&amp;P437,$K$5:$K$1517,1)/COUNTIF($P$5:$P$1517,"&gt;="&amp;P437),0)</f>
        <v>0</v>
      </c>
      <c r="Z437" s="8" t="n">
        <f aca="false">(L437-$K437)^2</f>
        <v>0.053707599001</v>
      </c>
      <c r="AA437" s="8" t="n">
        <f aca="false">(M437-$K437)^2</f>
        <v>0.008475595969</v>
      </c>
      <c r="AB437" s="8" t="n">
        <f aca="false">(N437-$K437)^2</f>
        <v>0.0197711721</v>
      </c>
      <c r="AC437" s="8" t="n">
        <f aca="false">(O437-$K437)^2</f>
        <v>0.011274829489</v>
      </c>
      <c r="AD437" s="8" t="n">
        <f aca="false">(P437-$K437)^2</f>
        <v>0.022777450084</v>
      </c>
      <c r="AE437" s="8" t="n">
        <f aca="false">MIN(INT(ROUND(N437*1000000,0)/100000),9)</f>
        <v>1</v>
      </c>
      <c r="AF437" s="8" t="n">
        <f aca="false">MIN(INT(ROUND(P437*1000000,0)/100000),9)</f>
        <v>1</v>
      </c>
    </row>
    <row r="438" customFormat="false" ht="15" hidden="false" customHeight="false" outlineLevel="0" collapsed="false">
      <c r="A438" s="4" t="n">
        <v>434</v>
      </c>
      <c r="B438" s="4" t="n">
        <v>401</v>
      </c>
      <c r="C438" s="4" t="n">
        <v>1</v>
      </c>
      <c r="D438" s="11" t="n">
        <v>46082</v>
      </c>
      <c r="E438" s="4" t="s">
        <v>202</v>
      </c>
      <c r="F438" s="4" t="s">
        <v>206</v>
      </c>
      <c r="G438" s="4" t="n">
        <v>18</v>
      </c>
      <c r="H438" s="4" t="n">
        <v>0</v>
      </c>
      <c r="I438" s="4" t="n">
        <v>0</v>
      </c>
      <c r="J438" s="4" t="n">
        <v>1500</v>
      </c>
      <c r="K438" s="4" t="n">
        <v>0</v>
      </c>
      <c r="L438" s="12" t="n">
        <v>0.943285</v>
      </c>
      <c r="M438" s="12" t="n">
        <v>0.092063</v>
      </c>
      <c r="N438" s="12" t="n">
        <v>0.033472</v>
      </c>
      <c r="O438" s="12" t="n">
        <v>0.106183</v>
      </c>
      <c r="P438" s="12" t="n">
        <v>0.033763</v>
      </c>
      <c r="Q438" s="0" t="str">
        <f aca="false">IF(L438&gt;=Models!$G$5,1+COUNTIF($L$5:$L$1517,"&gt;"&amp;L438)+COUNTIFS($L$5:$L$1517,L438,$B$5:$B$1517,"&lt;"&amp;B438)+COUNTIFS($L$5:$L$1517,L438,$B$5:$B$1517,B438,$C$5:$C$1517,"&lt;"&amp;C438),"")</f>
        <v/>
      </c>
      <c r="R438" s="0" t="str">
        <f aca="false">IF(M438&gt;=Models!$G$6,1+COUNTIF($M$5:$M$1517,"&gt;"&amp;M438)+COUNTIFS($M$5:$M$1517,M438,$B$5:$B$1517,"&lt;"&amp;B438)+COUNTIFS($M$5:$M$1517,M438,$B$5:$B$1517,B438,$C$5:$C$1517,"&lt;"&amp;C438),"")</f>
        <v/>
      </c>
      <c r="S438" s="0" t="str">
        <f aca="false">IF(N438&gt;=Models!$G$7,1+COUNTIF($N$5:$N$1517,"&gt;"&amp;N438)+COUNTIFS($N$5:$N$1517,N438,$B$5:$B$1517,"&lt;"&amp;B438)+COUNTIFS($N$5:$N$1517,N438,$B$5:$B$1517,B438,$C$5:$C$1517,"&lt;"&amp;C438),"")</f>
        <v/>
      </c>
      <c r="T438" s="8" t="n">
        <f aca="false">IF(O438&gt;=Models!$G$8,1+COUNTIF($O$5:$O$1517,"&gt;"&amp;O438)+COUNTIFS($O$5:$O$1517,O438,$B$5:$B$1517,"&lt;"&amp;B438)+COUNTIFS($O$5:$O$1517,O438,$B$5:$B$1517,B438,$C$5:$C$1517,"&lt;"&amp;C438),"")</f>
        <v>267</v>
      </c>
      <c r="U438" s="8" t="n">
        <f aca="false">IF($K438=1,COUNTIFS($L$5:$L$1517,"&gt;="&amp;L438,$K$5:$K$1517,1)/COUNTIF($L$5:$L$1517,"&gt;="&amp;L438),0)</f>
        <v>0</v>
      </c>
      <c r="V438" s="8" t="n">
        <f aca="false">IF($K438=1,COUNTIFS($M$5:$M$1517,"&gt;="&amp;M438,$K$5:$K$1517,1)/COUNTIF($M$5:$M$1517,"&gt;="&amp;M438),0)</f>
        <v>0</v>
      </c>
      <c r="W438" s="8" t="n">
        <f aca="false">IF($K438=1,COUNTIFS($N$5:$N$1517,"&gt;="&amp;N438,$K$5:$K$1517,1)/COUNTIF($N$5:$N$1517,"&gt;="&amp;N438),0)</f>
        <v>0</v>
      </c>
      <c r="X438" s="8" t="n">
        <f aca="false">IF($K438=1,COUNTIFS($O$5:$O$1517,"&gt;="&amp;O438,$K$5:$K$1517,1)/COUNTIF($O$5:$O$1517,"&gt;="&amp;O438),0)</f>
        <v>0</v>
      </c>
      <c r="Y438" s="8" t="n">
        <f aca="false">IF($K438=1,COUNTIFS($P$5:$P$1517,"&gt;="&amp;P438,$K$5:$K$1517,1)/COUNTIF($P$5:$P$1517,"&gt;="&amp;P438),0)</f>
        <v>0</v>
      </c>
      <c r="Z438" s="8" t="n">
        <f aca="false">(L438-$K438)^2</f>
        <v>0.889786591225</v>
      </c>
      <c r="AA438" s="8" t="n">
        <f aca="false">(M438-$K438)^2</f>
        <v>0.008475595969</v>
      </c>
      <c r="AB438" s="8" t="n">
        <f aca="false">(N438-$K438)^2</f>
        <v>0.001120374784</v>
      </c>
      <c r="AC438" s="8" t="n">
        <f aca="false">(O438-$K438)^2</f>
        <v>0.011274829489</v>
      </c>
      <c r="AD438" s="8" t="n">
        <f aca="false">(P438-$K438)^2</f>
        <v>0.001139940169</v>
      </c>
      <c r="AE438" s="8" t="n">
        <f aca="false">MIN(INT(ROUND(N438*1000000,0)/100000),9)</f>
        <v>0</v>
      </c>
      <c r="AF438" s="8" t="n">
        <f aca="false">MIN(INT(ROUND(P438*1000000,0)/100000),9)</f>
        <v>0</v>
      </c>
    </row>
    <row r="439" customFormat="false" ht="15" hidden="false" customHeight="false" outlineLevel="0" collapsed="false">
      <c r="A439" s="4" t="n">
        <v>435</v>
      </c>
      <c r="B439" s="4" t="n">
        <v>402</v>
      </c>
      <c r="C439" s="4" t="n">
        <v>1</v>
      </c>
      <c r="D439" s="11" t="n">
        <v>46082</v>
      </c>
      <c r="E439" s="4" t="s">
        <v>201</v>
      </c>
      <c r="F439" s="4" t="s">
        <v>206</v>
      </c>
      <c r="G439" s="4" t="n">
        <v>23</v>
      </c>
      <c r="H439" s="4" t="n">
        <v>1</v>
      </c>
      <c r="I439" s="4" t="n">
        <v>0</v>
      </c>
      <c r="J439" s="4"/>
      <c r="K439" s="4" t="n">
        <v>0</v>
      </c>
      <c r="L439" s="12" t="n">
        <v>0.86898</v>
      </c>
      <c r="M439" s="12" t="n">
        <v>0.092063</v>
      </c>
      <c r="N439" s="12" t="n">
        <v>0.011268</v>
      </c>
      <c r="O439" s="12" t="n">
        <v>0.106183</v>
      </c>
      <c r="P439" s="12" t="n">
        <v>0.010789</v>
      </c>
      <c r="Q439" s="0" t="str">
        <f aca="false">IF(L439&gt;=Models!$G$5,1+COUNTIF($L$5:$L$1517,"&gt;"&amp;L439)+COUNTIFS($L$5:$L$1517,L439,$B$5:$B$1517,"&lt;"&amp;B439)+COUNTIFS($L$5:$L$1517,L439,$B$5:$B$1517,B439,$C$5:$C$1517,"&lt;"&amp;C439),"")</f>
        <v/>
      </c>
      <c r="R439" s="0" t="str">
        <f aca="false">IF(M439&gt;=Models!$G$6,1+COUNTIF($M$5:$M$1517,"&gt;"&amp;M439)+COUNTIFS($M$5:$M$1517,M439,$B$5:$B$1517,"&lt;"&amp;B439)+COUNTIFS($M$5:$M$1517,M439,$B$5:$B$1517,B439,$C$5:$C$1517,"&lt;"&amp;C439),"")</f>
        <v/>
      </c>
      <c r="S439" s="0" t="str">
        <f aca="false">IF(N439&gt;=Models!$G$7,1+COUNTIF($N$5:$N$1517,"&gt;"&amp;N439)+COUNTIFS($N$5:$N$1517,N439,$B$5:$B$1517,"&lt;"&amp;B439)+COUNTIFS($N$5:$N$1517,N439,$B$5:$B$1517,B439,$C$5:$C$1517,"&lt;"&amp;C439),"")</f>
        <v/>
      </c>
      <c r="T439" s="8" t="n">
        <f aca="false">IF(O439&gt;=Models!$G$8,1+COUNTIF($O$5:$O$1517,"&gt;"&amp;O439)+COUNTIFS($O$5:$O$1517,O439,$B$5:$B$1517,"&lt;"&amp;B439)+COUNTIFS($O$5:$O$1517,O439,$B$5:$B$1517,B439,$C$5:$C$1517,"&lt;"&amp;C439),"")</f>
        <v>271</v>
      </c>
      <c r="U439" s="8" t="n">
        <f aca="false">IF($K439=1,COUNTIFS($L$5:$L$1517,"&gt;="&amp;L439,$K$5:$K$1517,1)/COUNTIF($L$5:$L$1517,"&gt;="&amp;L439),0)</f>
        <v>0</v>
      </c>
      <c r="V439" s="8" t="n">
        <f aca="false">IF($K439=1,COUNTIFS($M$5:$M$1517,"&gt;="&amp;M439,$K$5:$K$1517,1)/COUNTIF($M$5:$M$1517,"&gt;="&amp;M439),0)</f>
        <v>0</v>
      </c>
      <c r="W439" s="8" t="n">
        <f aca="false">IF($K439=1,COUNTIFS($N$5:$N$1517,"&gt;="&amp;N439,$K$5:$K$1517,1)/COUNTIF($N$5:$N$1517,"&gt;="&amp;N439),0)</f>
        <v>0</v>
      </c>
      <c r="X439" s="8" t="n">
        <f aca="false">IF($K439=1,COUNTIFS($O$5:$O$1517,"&gt;="&amp;O439,$K$5:$K$1517,1)/COUNTIF($O$5:$O$1517,"&gt;="&amp;O439),0)</f>
        <v>0</v>
      </c>
      <c r="Y439" s="8" t="n">
        <f aca="false">IF($K439=1,COUNTIFS($P$5:$P$1517,"&gt;="&amp;P439,$K$5:$K$1517,1)/COUNTIF($P$5:$P$1517,"&gt;="&amp;P439),0)</f>
        <v>0</v>
      </c>
      <c r="Z439" s="8" t="n">
        <f aca="false">(L439-$K439)^2</f>
        <v>0.7551262404</v>
      </c>
      <c r="AA439" s="8" t="n">
        <f aca="false">(M439-$K439)^2</f>
        <v>0.008475595969</v>
      </c>
      <c r="AB439" s="8" t="n">
        <f aca="false">(N439-$K439)^2</f>
        <v>0.000126967824</v>
      </c>
      <c r="AC439" s="8" t="n">
        <f aca="false">(O439-$K439)^2</f>
        <v>0.011274829489</v>
      </c>
      <c r="AD439" s="8" t="n">
        <f aca="false">(P439-$K439)^2</f>
        <v>0.000116402521</v>
      </c>
      <c r="AE439" s="8" t="n">
        <f aca="false">MIN(INT(ROUND(N439*1000000,0)/100000),9)</f>
        <v>0</v>
      </c>
      <c r="AF439" s="8" t="n">
        <f aca="false">MIN(INT(ROUND(P439*1000000,0)/100000),9)</f>
        <v>0</v>
      </c>
    </row>
    <row r="440" customFormat="false" ht="15" hidden="false" customHeight="false" outlineLevel="0" collapsed="false">
      <c r="A440" s="4" t="n">
        <v>436</v>
      </c>
      <c r="B440" s="4" t="n">
        <v>403</v>
      </c>
      <c r="C440" s="4" t="n">
        <v>1</v>
      </c>
      <c r="D440" s="11" t="n">
        <v>46082</v>
      </c>
      <c r="E440" s="4" t="s">
        <v>202</v>
      </c>
      <c r="F440" s="4" t="s">
        <v>208</v>
      </c>
      <c r="G440" s="4" t="n">
        <v>6</v>
      </c>
      <c r="H440" s="4" t="n">
        <v>0</v>
      </c>
      <c r="I440" s="4" t="n">
        <v>1</v>
      </c>
      <c r="J440" s="4"/>
      <c r="K440" s="4" t="n">
        <v>0</v>
      </c>
      <c r="L440" s="12" t="n">
        <v>0.711712</v>
      </c>
      <c r="M440" s="12" t="n">
        <v>0.184211</v>
      </c>
      <c r="N440" s="12" t="n">
        <v>0.086532</v>
      </c>
      <c r="O440" s="12" t="n">
        <v>0.106183</v>
      </c>
      <c r="P440" s="12" t="n">
        <v>0.091132</v>
      </c>
      <c r="Q440" s="0" t="str">
        <f aca="false">IF(L440&gt;=Models!$G$5,1+COUNTIF($L$5:$L$1517,"&gt;"&amp;L440)+COUNTIFS($L$5:$L$1517,L440,$B$5:$B$1517,"&lt;"&amp;B440)+COUNTIFS($L$5:$L$1517,L440,$B$5:$B$1517,B440,$C$5:$C$1517,"&lt;"&amp;C440),"")</f>
        <v/>
      </c>
      <c r="R440" s="8" t="n">
        <f aca="false">IF(M440&gt;=Models!$G$6,1+COUNTIF($M$5:$M$1517,"&gt;"&amp;M440)+COUNTIFS($M$5:$M$1517,M440,$B$5:$B$1517,"&lt;"&amp;B440)+COUNTIFS($M$5:$M$1517,M440,$B$5:$B$1517,B440,$C$5:$C$1517,"&lt;"&amp;C440),"")</f>
        <v>30</v>
      </c>
      <c r="S440" s="0" t="str">
        <f aca="false">IF(N440&gt;=Models!$G$7,1+COUNTIF($N$5:$N$1517,"&gt;"&amp;N440)+COUNTIFS($N$5:$N$1517,N440,$B$5:$B$1517,"&lt;"&amp;B440)+COUNTIFS($N$5:$N$1517,N440,$B$5:$B$1517,B440,$C$5:$C$1517,"&lt;"&amp;C440),"")</f>
        <v/>
      </c>
      <c r="T440" s="8" t="n">
        <f aca="false">IF(O440&gt;=Models!$G$8,1+COUNTIF($O$5:$O$1517,"&gt;"&amp;O440)+COUNTIFS($O$5:$O$1517,O440,$B$5:$B$1517,"&lt;"&amp;B440)+COUNTIFS($O$5:$O$1517,O440,$B$5:$B$1517,B440,$C$5:$C$1517,"&lt;"&amp;C440),"")</f>
        <v>275</v>
      </c>
      <c r="U440" s="8" t="n">
        <f aca="false">IF($K440=1,COUNTIFS($L$5:$L$1517,"&gt;="&amp;L440,$K$5:$K$1517,1)/COUNTIF($L$5:$L$1517,"&gt;="&amp;L440),0)</f>
        <v>0</v>
      </c>
      <c r="V440" s="8" t="n">
        <f aca="false">IF($K440=1,COUNTIFS($M$5:$M$1517,"&gt;="&amp;M440,$K$5:$K$1517,1)/COUNTIF($M$5:$M$1517,"&gt;="&amp;M440),0)</f>
        <v>0</v>
      </c>
      <c r="W440" s="8" t="n">
        <f aca="false">IF($K440=1,COUNTIFS($N$5:$N$1517,"&gt;="&amp;N440,$K$5:$K$1517,1)/COUNTIF($N$5:$N$1517,"&gt;="&amp;N440),0)</f>
        <v>0</v>
      </c>
      <c r="X440" s="8" t="n">
        <f aca="false">IF($K440=1,COUNTIFS($O$5:$O$1517,"&gt;="&amp;O440,$K$5:$K$1517,1)/COUNTIF($O$5:$O$1517,"&gt;="&amp;O440),0)</f>
        <v>0</v>
      </c>
      <c r="Y440" s="8" t="n">
        <f aca="false">IF($K440=1,COUNTIFS($P$5:$P$1517,"&gt;="&amp;P440,$K$5:$K$1517,1)/COUNTIF($P$5:$P$1517,"&gt;="&amp;P440),0)</f>
        <v>0</v>
      </c>
      <c r="Z440" s="8" t="n">
        <f aca="false">(L440-$K440)^2</f>
        <v>0.506533970944</v>
      </c>
      <c r="AA440" s="8" t="n">
        <f aca="false">(M440-$K440)^2</f>
        <v>0.033933692521</v>
      </c>
      <c r="AB440" s="8" t="n">
        <f aca="false">(N440-$K440)^2</f>
        <v>0.007487787024</v>
      </c>
      <c r="AC440" s="8" t="n">
        <f aca="false">(O440-$K440)^2</f>
        <v>0.011274829489</v>
      </c>
      <c r="AD440" s="8" t="n">
        <f aca="false">(P440-$K440)^2</f>
        <v>0.008305041424</v>
      </c>
      <c r="AE440" s="8" t="n">
        <f aca="false">MIN(INT(ROUND(N440*1000000,0)/100000),9)</f>
        <v>0</v>
      </c>
      <c r="AF440" s="8" t="n">
        <f aca="false">MIN(INT(ROUND(P440*1000000,0)/100000),9)</f>
        <v>0</v>
      </c>
    </row>
    <row r="441" customFormat="false" ht="15" hidden="false" customHeight="false" outlineLevel="0" collapsed="false">
      <c r="A441" s="4" t="n">
        <v>437</v>
      </c>
      <c r="B441" s="4" t="n">
        <v>406</v>
      </c>
      <c r="C441" s="4" t="n">
        <v>1</v>
      </c>
      <c r="D441" s="11" t="n">
        <v>46082</v>
      </c>
      <c r="E441" s="4" t="s">
        <v>204</v>
      </c>
      <c r="F441" s="4" t="s">
        <v>206</v>
      </c>
      <c r="G441" s="4" t="n">
        <v>5</v>
      </c>
      <c r="H441" s="4" t="n">
        <v>1</v>
      </c>
      <c r="I441" s="4" t="n">
        <v>0</v>
      </c>
      <c r="J441" s="4" t="n">
        <v>75</v>
      </c>
      <c r="K441" s="4" t="n">
        <v>0</v>
      </c>
      <c r="L441" s="12" t="n">
        <v>0.165444</v>
      </c>
      <c r="M441" s="12" t="n">
        <v>0.092063</v>
      </c>
      <c r="N441" s="12" t="n">
        <v>0.108885</v>
      </c>
      <c r="O441" s="12" t="n">
        <v>0.106183</v>
      </c>
      <c r="P441" s="12" t="n">
        <v>0.115758</v>
      </c>
      <c r="Q441" s="0" t="str">
        <f aca="false">IF(L441&gt;=Models!$G$5,1+COUNTIF($L$5:$L$1517,"&gt;"&amp;L441)+COUNTIFS($L$5:$L$1517,L441,$B$5:$B$1517,"&lt;"&amp;B441)+COUNTIFS($L$5:$L$1517,L441,$B$5:$B$1517,B441,$C$5:$C$1517,"&lt;"&amp;C441),"")</f>
        <v/>
      </c>
      <c r="R441" s="0" t="str">
        <f aca="false">IF(M441&gt;=Models!$G$6,1+COUNTIF($M$5:$M$1517,"&gt;"&amp;M441)+COUNTIFS($M$5:$M$1517,M441,$B$5:$B$1517,"&lt;"&amp;B441)+COUNTIFS($M$5:$M$1517,M441,$B$5:$B$1517,B441,$C$5:$C$1517,"&lt;"&amp;C441),"")</f>
        <v/>
      </c>
      <c r="S441" s="0" t="str">
        <f aca="false">IF(N441&gt;=Models!$G$7,1+COUNTIF($N$5:$N$1517,"&gt;"&amp;N441)+COUNTIFS($N$5:$N$1517,N441,$B$5:$B$1517,"&lt;"&amp;B441)+COUNTIFS($N$5:$N$1517,N441,$B$5:$B$1517,B441,$C$5:$C$1517,"&lt;"&amp;C441),"")</f>
        <v/>
      </c>
      <c r="T441" s="8" t="n">
        <f aca="false">IF(O441&gt;=Models!$G$8,1+COUNTIF($O$5:$O$1517,"&gt;"&amp;O441)+COUNTIFS($O$5:$O$1517,O441,$B$5:$B$1517,"&lt;"&amp;B441)+COUNTIFS($O$5:$O$1517,O441,$B$5:$B$1517,B441,$C$5:$C$1517,"&lt;"&amp;C441),"")</f>
        <v>279</v>
      </c>
      <c r="U441" s="8" t="n">
        <f aca="false">IF($K441=1,COUNTIFS($L$5:$L$1517,"&gt;="&amp;L441,$K$5:$K$1517,1)/COUNTIF($L$5:$L$1517,"&gt;="&amp;L441),0)</f>
        <v>0</v>
      </c>
      <c r="V441" s="8" t="n">
        <f aca="false">IF($K441=1,COUNTIFS($M$5:$M$1517,"&gt;="&amp;M441,$K$5:$K$1517,1)/COUNTIF($M$5:$M$1517,"&gt;="&amp;M441),0)</f>
        <v>0</v>
      </c>
      <c r="W441" s="8" t="n">
        <f aca="false">IF($K441=1,COUNTIFS($N$5:$N$1517,"&gt;="&amp;N441,$K$5:$K$1517,1)/COUNTIF($N$5:$N$1517,"&gt;="&amp;N441),0)</f>
        <v>0</v>
      </c>
      <c r="X441" s="8" t="n">
        <f aca="false">IF($K441=1,COUNTIFS($O$5:$O$1517,"&gt;="&amp;O441,$K$5:$K$1517,1)/COUNTIF($O$5:$O$1517,"&gt;="&amp;O441),0)</f>
        <v>0</v>
      </c>
      <c r="Y441" s="8" t="n">
        <f aca="false">IF($K441=1,COUNTIFS($P$5:$P$1517,"&gt;="&amp;P441,$K$5:$K$1517,1)/COUNTIF($P$5:$P$1517,"&gt;="&amp;P441),0)</f>
        <v>0</v>
      </c>
      <c r="Z441" s="8" t="n">
        <f aca="false">(L441-$K441)^2</f>
        <v>0.027371717136</v>
      </c>
      <c r="AA441" s="8" t="n">
        <f aca="false">(M441-$K441)^2</f>
        <v>0.008475595969</v>
      </c>
      <c r="AB441" s="8" t="n">
        <f aca="false">(N441-$K441)^2</f>
        <v>0.011855943225</v>
      </c>
      <c r="AC441" s="8" t="n">
        <f aca="false">(O441-$K441)^2</f>
        <v>0.011274829489</v>
      </c>
      <c r="AD441" s="8" t="n">
        <f aca="false">(P441-$K441)^2</f>
        <v>0.013399914564</v>
      </c>
      <c r="AE441" s="8" t="n">
        <f aca="false">MIN(INT(ROUND(N441*1000000,0)/100000),9)</f>
        <v>1</v>
      </c>
      <c r="AF441" s="8" t="n">
        <f aca="false">MIN(INT(ROUND(P441*1000000,0)/100000),9)</f>
        <v>1</v>
      </c>
    </row>
    <row r="442" customFormat="false" ht="15" hidden="false" customHeight="false" outlineLevel="0" collapsed="false">
      <c r="A442" s="4" t="n">
        <v>438</v>
      </c>
      <c r="B442" s="4" t="n">
        <v>415</v>
      </c>
      <c r="C442" s="4" t="n">
        <v>1</v>
      </c>
      <c r="D442" s="11" t="n">
        <v>46082</v>
      </c>
      <c r="E442" s="4" t="s">
        <v>204</v>
      </c>
      <c r="F442" s="4" t="s">
        <v>206</v>
      </c>
      <c r="G442" s="4" t="n">
        <v>2</v>
      </c>
      <c r="H442" s="4" t="n">
        <v>6</v>
      </c>
      <c r="I442" s="4" t="n">
        <v>0</v>
      </c>
      <c r="J442" s="4" t="n">
        <v>78</v>
      </c>
      <c r="K442" s="4" t="n">
        <v>0</v>
      </c>
      <c r="L442" s="12" t="n">
        <v>0.14293</v>
      </c>
      <c r="M442" s="12" t="n">
        <v>0.092063</v>
      </c>
      <c r="N442" s="12" t="n">
        <v>0.1429</v>
      </c>
      <c r="O442" s="12" t="n">
        <v>0.106183</v>
      </c>
      <c r="P442" s="12" t="n">
        <v>0.153466</v>
      </c>
      <c r="Q442" s="0" t="str">
        <f aca="false">IF(L442&gt;=Models!$G$5,1+COUNTIF($L$5:$L$1517,"&gt;"&amp;L442)+COUNTIFS($L$5:$L$1517,L442,$B$5:$B$1517,"&lt;"&amp;B442)+COUNTIFS($L$5:$L$1517,L442,$B$5:$B$1517,B442,$C$5:$C$1517,"&lt;"&amp;C442),"")</f>
        <v/>
      </c>
      <c r="R442" s="0" t="str">
        <f aca="false">IF(M442&gt;=Models!$G$6,1+COUNTIF($M$5:$M$1517,"&gt;"&amp;M442)+COUNTIFS($M$5:$M$1517,M442,$B$5:$B$1517,"&lt;"&amp;B442)+COUNTIFS($M$5:$M$1517,M442,$B$5:$B$1517,B442,$C$5:$C$1517,"&lt;"&amp;C442),"")</f>
        <v/>
      </c>
      <c r="S442" s="0" t="str">
        <f aca="false">IF(N442&gt;=Models!$G$7,1+COUNTIF($N$5:$N$1517,"&gt;"&amp;N442)+COUNTIFS($N$5:$N$1517,N442,$B$5:$B$1517,"&lt;"&amp;B442)+COUNTIFS($N$5:$N$1517,N442,$B$5:$B$1517,B442,$C$5:$C$1517,"&lt;"&amp;C442),"")</f>
        <v/>
      </c>
      <c r="T442" s="8" t="n">
        <f aca="false">IF(O442&gt;=Models!$G$8,1+COUNTIF($O$5:$O$1517,"&gt;"&amp;O442)+COUNTIFS($O$5:$O$1517,O442,$B$5:$B$1517,"&lt;"&amp;B442)+COUNTIFS($O$5:$O$1517,O442,$B$5:$B$1517,B442,$C$5:$C$1517,"&lt;"&amp;C442),"")</f>
        <v>284</v>
      </c>
      <c r="U442" s="8" t="n">
        <f aca="false">IF($K442=1,COUNTIFS($L$5:$L$1517,"&gt;="&amp;L442,$K$5:$K$1517,1)/COUNTIF($L$5:$L$1517,"&gt;="&amp;L442),0)</f>
        <v>0</v>
      </c>
      <c r="V442" s="8" t="n">
        <f aca="false">IF($K442=1,COUNTIFS($M$5:$M$1517,"&gt;="&amp;M442,$K$5:$K$1517,1)/COUNTIF($M$5:$M$1517,"&gt;="&amp;M442),0)</f>
        <v>0</v>
      </c>
      <c r="W442" s="8" t="n">
        <f aca="false">IF($K442=1,COUNTIFS($N$5:$N$1517,"&gt;="&amp;N442,$K$5:$K$1517,1)/COUNTIF($N$5:$N$1517,"&gt;="&amp;N442),0)</f>
        <v>0</v>
      </c>
      <c r="X442" s="8" t="n">
        <f aca="false">IF($K442=1,COUNTIFS($O$5:$O$1517,"&gt;="&amp;O442,$K$5:$K$1517,1)/COUNTIF($O$5:$O$1517,"&gt;="&amp;O442),0)</f>
        <v>0</v>
      </c>
      <c r="Y442" s="8" t="n">
        <f aca="false">IF($K442=1,COUNTIFS($P$5:$P$1517,"&gt;="&amp;P442,$K$5:$K$1517,1)/COUNTIF($P$5:$P$1517,"&gt;="&amp;P442),0)</f>
        <v>0</v>
      </c>
      <c r="Z442" s="8" t="n">
        <f aca="false">(L442-$K442)^2</f>
        <v>0.0204289849</v>
      </c>
      <c r="AA442" s="8" t="n">
        <f aca="false">(M442-$K442)^2</f>
        <v>0.008475595969</v>
      </c>
      <c r="AB442" s="8" t="n">
        <f aca="false">(N442-$K442)^2</f>
        <v>0.02042041</v>
      </c>
      <c r="AC442" s="8" t="n">
        <f aca="false">(O442-$K442)^2</f>
        <v>0.011274829489</v>
      </c>
      <c r="AD442" s="8" t="n">
        <f aca="false">(P442-$K442)^2</f>
        <v>0.023551813156</v>
      </c>
      <c r="AE442" s="8" t="n">
        <f aca="false">MIN(INT(ROUND(N442*1000000,0)/100000),9)</f>
        <v>1</v>
      </c>
      <c r="AF442" s="8" t="n">
        <f aca="false">MIN(INT(ROUND(P442*1000000,0)/100000),9)</f>
        <v>1</v>
      </c>
    </row>
    <row r="443" customFormat="false" ht="15" hidden="false" customHeight="false" outlineLevel="0" collapsed="false">
      <c r="A443" s="4" t="n">
        <v>439</v>
      </c>
      <c r="B443" s="4" t="n">
        <v>418</v>
      </c>
      <c r="C443" s="4" t="n">
        <v>1</v>
      </c>
      <c r="D443" s="11" t="n">
        <v>46082</v>
      </c>
      <c r="E443" s="4" t="s">
        <v>204</v>
      </c>
      <c r="F443" s="4" t="s">
        <v>208</v>
      </c>
      <c r="G443" s="4" t="n">
        <v>4</v>
      </c>
      <c r="H443" s="4" t="n">
        <v>6</v>
      </c>
      <c r="I443" s="4" t="n">
        <v>0</v>
      </c>
      <c r="J443" s="4" t="n">
        <v>87</v>
      </c>
      <c r="K443" s="4" t="n">
        <v>0</v>
      </c>
      <c r="L443" s="12" t="n">
        <v>0.465812</v>
      </c>
      <c r="M443" s="12" t="n">
        <v>0.092063</v>
      </c>
      <c r="N443" s="12" t="n">
        <v>0.122183</v>
      </c>
      <c r="O443" s="12" t="n">
        <v>0.106183</v>
      </c>
      <c r="P443" s="12" t="n">
        <v>0.130475</v>
      </c>
      <c r="Q443" s="0" t="str">
        <f aca="false">IF(L443&gt;=Models!$G$5,1+COUNTIF($L$5:$L$1517,"&gt;"&amp;L443)+COUNTIFS($L$5:$L$1517,L443,$B$5:$B$1517,"&lt;"&amp;B443)+COUNTIFS($L$5:$L$1517,L443,$B$5:$B$1517,B443,$C$5:$C$1517,"&lt;"&amp;C443),"")</f>
        <v/>
      </c>
      <c r="R443" s="0" t="str">
        <f aca="false">IF(M443&gt;=Models!$G$6,1+COUNTIF($M$5:$M$1517,"&gt;"&amp;M443)+COUNTIFS($M$5:$M$1517,M443,$B$5:$B$1517,"&lt;"&amp;B443)+COUNTIFS($M$5:$M$1517,M443,$B$5:$B$1517,B443,$C$5:$C$1517,"&lt;"&amp;C443),"")</f>
        <v/>
      </c>
      <c r="S443" s="0" t="str">
        <f aca="false">IF(N443&gt;=Models!$G$7,1+COUNTIF($N$5:$N$1517,"&gt;"&amp;N443)+COUNTIFS($N$5:$N$1517,N443,$B$5:$B$1517,"&lt;"&amp;B443)+COUNTIFS($N$5:$N$1517,N443,$B$5:$B$1517,B443,$C$5:$C$1517,"&lt;"&amp;C443),"")</f>
        <v/>
      </c>
      <c r="T443" s="8" t="n">
        <f aca="false">IF(O443&gt;=Models!$G$8,1+COUNTIF($O$5:$O$1517,"&gt;"&amp;O443)+COUNTIFS($O$5:$O$1517,O443,$B$5:$B$1517,"&lt;"&amp;B443)+COUNTIFS($O$5:$O$1517,O443,$B$5:$B$1517,B443,$C$5:$C$1517,"&lt;"&amp;C443),"")</f>
        <v>288</v>
      </c>
      <c r="U443" s="8" t="n">
        <f aca="false">IF($K443=1,COUNTIFS($L$5:$L$1517,"&gt;="&amp;L443,$K$5:$K$1517,1)/COUNTIF($L$5:$L$1517,"&gt;="&amp;L443),0)</f>
        <v>0</v>
      </c>
      <c r="V443" s="8" t="n">
        <f aca="false">IF($K443=1,COUNTIFS($M$5:$M$1517,"&gt;="&amp;M443,$K$5:$K$1517,1)/COUNTIF($M$5:$M$1517,"&gt;="&amp;M443),0)</f>
        <v>0</v>
      </c>
      <c r="W443" s="8" t="n">
        <f aca="false">IF($K443=1,COUNTIFS($N$5:$N$1517,"&gt;="&amp;N443,$K$5:$K$1517,1)/COUNTIF($N$5:$N$1517,"&gt;="&amp;N443),0)</f>
        <v>0</v>
      </c>
      <c r="X443" s="8" t="n">
        <f aca="false">IF($K443=1,COUNTIFS($O$5:$O$1517,"&gt;="&amp;O443,$K$5:$K$1517,1)/COUNTIF($O$5:$O$1517,"&gt;="&amp;O443),0)</f>
        <v>0</v>
      </c>
      <c r="Y443" s="8" t="n">
        <f aca="false">IF($K443=1,COUNTIFS($P$5:$P$1517,"&gt;="&amp;P443,$K$5:$K$1517,1)/COUNTIF($P$5:$P$1517,"&gt;="&amp;P443),0)</f>
        <v>0</v>
      </c>
      <c r="Z443" s="8" t="n">
        <f aca="false">(L443-$K443)^2</f>
        <v>0.216980819344</v>
      </c>
      <c r="AA443" s="8" t="n">
        <f aca="false">(M443-$K443)^2</f>
        <v>0.008475595969</v>
      </c>
      <c r="AB443" s="8" t="n">
        <f aca="false">(N443-$K443)^2</f>
        <v>0.014928685489</v>
      </c>
      <c r="AC443" s="8" t="n">
        <f aca="false">(O443-$K443)^2</f>
        <v>0.011274829489</v>
      </c>
      <c r="AD443" s="8" t="n">
        <f aca="false">(P443-$K443)^2</f>
        <v>0.017023725625</v>
      </c>
      <c r="AE443" s="8" t="n">
        <f aca="false">MIN(INT(ROUND(N443*1000000,0)/100000),9)</f>
        <v>1</v>
      </c>
      <c r="AF443" s="8" t="n">
        <f aca="false">MIN(INT(ROUND(P443*1000000,0)/100000),9)</f>
        <v>1</v>
      </c>
    </row>
    <row r="444" customFormat="false" ht="15" hidden="false" customHeight="false" outlineLevel="0" collapsed="false">
      <c r="A444" s="4" t="n">
        <v>440</v>
      </c>
      <c r="B444" s="4" t="n">
        <v>420</v>
      </c>
      <c r="C444" s="4" t="n">
        <v>1</v>
      </c>
      <c r="D444" s="11" t="n">
        <v>46082</v>
      </c>
      <c r="E444" s="4" t="s">
        <v>203</v>
      </c>
      <c r="F444" s="4" t="s">
        <v>206</v>
      </c>
      <c r="G444" s="4" t="n">
        <v>5</v>
      </c>
      <c r="H444" s="4" t="n">
        <v>2</v>
      </c>
      <c r="I444" s="4" t="n">
        <v>0</v>
      </c>
      <c r="J444" s="4" t="n">
        <v>297</v>
      </c>
      <c r="K444" s="4" t="n">
        <v>0</v>
      </c>
      <c r="L444" s="12" t="n">
        <v>0.861606</v>
      </c>
      <c r="M444" s="12" t="n">
        <v>0.092063</v>
      </c>
      <c r="N444" s="12" t="n">
        <v>0.10843</v>
      </c>
      <c r="O444" s="12" t="n">
        <v>0.106183</v>
      </c>
      <c r="P444" s="12" t="n">
        <v>0.115255</v>
      </c>
      <c r="Q444" s="0" t="str">
        <f aca="false">IF(L444&gt;=Models!$G$5,1+COUNTIF($L$5:$L$1517,"&gt;"&amp;L444)+COUNTIFS($L$5:$L$1517,L444,$B$5:$B$1517,"&lt;"&amp;B444)+COUNTIFS($L$5:$L$1517,L444,$B$5:$B$1517,B444,$C$5:$C$1517,"&lt;"&amp;C444),"")</f>
        <v/>
      </c>
      <c r="R444" s="0" t="str">
        <f aca="false">IF(M444&gt;=Models!$G$6,1+COUNTIF($M$5:$M$1517,"&gt;"&amp;M444)+COUNTIFS($M$5:$M$1517,M444,$B$5:$B$1517,"&lt;"&amp;B444)+COUNTIFS($M$5:$M$1517,M444,$B$5:$B$1517,B444,$C$5:$C$1517,"&lt;"&amp;C444),"")</f>
        <v/>
      </c>
      <c r="S444" s="0" t="str">
        <f aca="false">IF(N444&gt;=Models!$G$7,1+COUNTIF($N$5:$N$1517,"&gt;"&amp;N444)+COUNTIFS($N$5:$N$1517,N444,$B$5:$B$1517,"&lt;"&amp;B444)+COUNTIFS($N$5:$N$1517,N444,$B$5:$B$1517,B444,$C$5:$C$1517,"&lt;"&amp;C444),"")</f>
        <v/>
      </c>
      <c r="T444" s="8" t="n">
        <f aca="false">IF(O444&gt;=Models!$G$8,1+COUNTIF($O$5:$O$1517,"&gt;"&amp;O444)+COUNTIFS($O$5:$O$1517,O444,$B$5:$B$1517,"&lt;"&amp;B444)+COUNTIFS($O$5:$O$1517,O444,$B$5:$B$1517,B444,$C$5:$C$1517,"&lt;"&amp;C444),"")</f>
        <v>292</v>
      </c>
      <c r="U444" s="8" t="n">
        <f aca="false">IF($K444=1,COUNTIFS($L$5:$L$1517,"&gt;="&amp;L444,$K$5:$K$1517,1)/COUNTIF($L$5:$L$1517,"&gt;="&amp;L444),0)</f>
        <v>0</v>
      </c>
      <c r="V444" s="8" t="n">
        <f aca="false">IF($K444=1,COUNTIFS($M$5:$M$1517,"&gt;="&amp;M444,$K$5:$K$1517,1)/COUNTIF($M$5:$M$1517,"&gt;="&amp;M444),0)</f>
        <v>0</v>
      </c>
      <c r="W444" s="8" t="n">
        <f aca="false">IF($K444=1,COUNTIFS($N$5:$N$1517,"&gt;="&amp;N444,$K$5:$K$1517,1)/COUNTIF($N$5:$N$1517,"&gt;="&amp;N444),0)</f>
        <v>0</v>
      </c>
      <c r="X444" s="8" t="n">
        <f aca="false">IF($K444=1,COUNTIFS($O$5:$O$1517,"&gt;="&amp;O444,$K$5:$K$1517,1)/COUNTIF($O$5:$O$1517,"&gt;="&amp;O444),0)</f>
        <v>0</v>
      </c>
      <c r="Y444" s="8" t="n">
        <f aca="false">IF($K444=1,COUNTIFS($P$5:$P$1517,"&gt;="&amp;P444,$K$5:$K$1517,1)/COUNTIF($P$5:$P$1517,"&gt;="&amp;P444),0)</f>
        <v>0</v>
      </c>
      <c r="Z444" s="8" t="n">
        <f aca="false">(L444-$K444)^2</f>
        <v>0.742364899236</v>
      </c>
      <c r="AA444" s="8" t="n">
        <f aca="false">(M444-$K444)^2</f>
        <v>0.008475595969</v>
      </c>
      <c r="AB444" s="8" t="n">
        <f aca="false">(N444-$K444)^2</f>
        <v>0.0117570649</v>
      </c>
      <c r="AC444" s="8" t="n">
        <f aca="false">(O444-$K444)^2</f>
        <v>0.011274829489</v>
      </c>
      <c r="AD444" s="8" t="n">
        <f aca="false">(P444-$K444)^2</f>
        <v>0.013283715025</v>
      </c>
      <c r="AE444" s="8" t="n">
        <f aca="false">MIN(INT(ROUND(N444*1000000,0)/100000),9)</f>
        <v>1</v>
      </c>
      <c r="AF444" s="8" t="n">
        <f aca="false">MIN(INT(ROUND(P444*1000000,0)/100000),9)</f>
        <v>1</v>
      </c>
    </row>
    <row r="445" customFormat="false" ht="15" hidden="false" customHeight="false" outlineLevel="0" collapsed="false">
      <c r="A445" s="4" t="n">
        <v>441</v>
      </c>
      <c r="B445" s="4" t="n">
        <v>422</v>
      </c>
      <c r="C445" s="4" t="n">
        <v>1</v>
      </c>
      <c r="D445" s="11" t="n">
        <v>46082</v>
      </c>
      <c r="E445" s="4" t="s">
        <v>202</v>
      </c>
      <c r="F445" s="4" t="s">
        <v>206</v>
      </c>
      <c r="G445" s="4" t="n">
        <v>8</v>
      </c>
      <c r="H445" s="4" t="n">
        <v>2</v>
      </c>
      <c r="I445" s="4" t="n">
        <v>0</v>
      </c>
      <c r="J445" s="4" t="n">
        <v>861</v>
      </c>
      <c r="K445" s="4" t="n">
        <v>1</v>
      </c>
      <c r="L445" s="12" t="n">
        <v>0.891435</v>
      </c>
      <c r="M445" s="12" t="n">
        <v>0.092063</v>
      </c>
      <c r="N445" s="12" t="n">
        <v>0.082443</v>
      </c>
      <c r="O445" s="12" t="n">
        <v>0.106183</v>
      </c>
      <c r="P445" s="12" t="n">
        <v>0.086647</v>
      </c>
      <c r="Q445" s="0" t="str">
        <f aca="false">IF(L445&gt;=Models!$G$5,1+COUNTIF($L$5:$L$1517,"&gt;"&amp;L445)+COUNTIFS($L$5:$L$1517,L445,$B$5:$B$1517,"&lt;"&amp;B445)+COUNTIFS($L$5:$L$1517,L445,$B$5:$B$1517,B445,$C$5:$C$1517,"&lt;"&amp;C445),"")</f>
        <v/>
      </c>
      <c r="R445" s="0" t="str">
        <f aca="false">IF(M445&gt;=Models!$G$6,1+COUNTIF($M$5:$M$1517,"&gt;"&amp;M445)+COUNTIFS($M$5:$M$1517,M445,$B$5:$B$1517,"&lt;"&amp;B445)+COUNTIFS($M$5:$M$1517,M445,$B$5:$B$1517,B445,$C$5:$C$1517,"&lt;"&amp;C445),"")</f>
        <v/>
      </c>
      <c r="S445" s="0" t="str">
        <f aca="false">IF(N445&gt;=Models!$G$7,1+COUNTIF($N$5:$N$1517,"&gt;"&amp;N445)+COUNTIFS($N$5:$N$1517,N445,$B$5:$B$1517,"&lt;"&amp;B445)+COUNTIFS($N$5:$N$1517,N445,$B$5:$B$1517,B445,$C$5:$C$1517,"&lt;"&amp;C445),"")</f>
        <v/>
      </c>
      <c r="T445" s="8" t="n">
        <f aca="false">IF(O445&gt;=Models!$G$8,1+COUNTIF($O$5:$O$1517,"&gt;"&amp;O445)+COUNTIFS($O$5:$O$1517,O445,$B$5:$B$1517,"&lt;"&amp;B445)+COUNTIFS($O$5:$O$1517,O445,$B$5:$B$1517,B445,$C$5:$C$1517,"&lt;"&amp;C445),"")</f>
        <v>296</v>
      </c>
      <c r="U445" s="8" t="n">
        <f aca="false">IF($K445=1,COUNTIFS($L$5:$L$1517,"&gt;="&amp;L445,$K$5:$K$1517,1)/COUNTIF($L$5:$L$1517,"&gt;="&amp;L445),0)</f>
        <v>0.145569620253165</v>
      </c>
      <c r="V445" s="8" t="n">
        <f aca="false">IF($K445=1,COUNTIFS($M$5:$M$1517,"&gt;="&amp;M445,$K$5:$K$1517,1)/COUNTIF($M$5:$M$1517,"&gt;="&amp;M445),0)</f>
        <v>0.12491738268341</v>
      </c>
      <c r="W445" s="8" t="n">
        <f aca="false">IF($K445=1,COUNTIFS($N$5:$N$1517,"&gt;="&amp;N445,$K$5:$K$1517,1)/COUNTIF($N$5:$N$1517,"&gt;="&amp;N445),0)</f>
        <v>0.176678445229682</v>
      </c>
      <c r="X445" s="8" t="n">
        <f aca="false">IF($K445=1,COUNTIFS($O$5:$O$1517,"&gt;="&amp;O445,$K$5:$K$1517,1)/COUNTIF($O$5:$O$1517,"&gt;="&amp;O445),0)</f>
        <v>0.12491738268341</v>
      </c>
      <c r="Y445" s="8" t="n">
        <f aca="false">IF($K445=1,COUNTIFS($P$5:$P$1517,"&gt;="&amp;P445,$K$5:$K$1517,1)/COUNTIF($P$5:$P$1517,"&gt;="&amp;P445),0)</f>
        <v>0.176678445229682</v>
      </c>
      <c r="Z445" s="8" t="n">
        <f aca="false">(L445-$K445)^2</f>
        <v>0.011786359225</v>
      </c>
      <c r="AA445" s="8" t="n">
        <f aca="false">(M445-$K445)^2</f>
        <v>0.824349595969</v>
      </c>
      <c r="AB445" s="8" t="n">
        <f aca="false">(N445-$K445)^2</f>
        <v>0.841910848249</v>
      </c>
      <c r="AC445" s="8" t="n">
        <f aca="false">(O445-$K445)^2</f>
        <v>0.798908829489</v>
      </c>
      <c r="AD445" s="8" t="n">
        <f aca="false">(P445-$K445)^2</f>
        <v>0.834213702609</v>
      </c>
      <c r="AE445" s="8" t="n">
        <f aca="false">MIN(INT(ROUND(N445*1000000,0)/100000),9)</f>
        <v>0</v>
      </c>
      <c r="AF445" s="8" t="n">
        <f aca="false">MIN(INT(ROUND(P445*1000000,0)/100000),9)</f>
        <v>0</v>
      </c>
    </row>
    <row r="446" customFormat="false" ht="15" hidden="false" customHeight="false" outlineLevel="0" collapsed="false">
      <c r="A446" s="4" t="n">
        <v>442</v>
      </c>
      <c r="B446" s="4" t="n">
        <v>430</v>
      </c>
      <c r="C446" s="4" t="n">
        <v>1</v>
      </c>
      <c r="D446" s="11" t="n">
        <v>46082</v>
      </c>
      <c r="E446" s="4" t="s">
        <v>204</v>
      </c>
      <c r="F446" s="4" t="s">
        <v>210</v>
      </c>
      <c r="G446" s="4" t="n">
        <v>1</v>
      </c>
      <c r="H446" s="4" t="n">
        <v>2</v>
      </c>
      <c r="I446" s="4" t="n">
        <v>0</v>
      </c>
      <c r="J446" s="4" t="n">
        <v>93</v>
      </c>
      <c r="K446" s="4" t="n">
        <v>0</v>
      </c>
      <c r="L446" s="12" t="n">
        <v>0.578222</v>
      </c>
      <c r="M446" s="12" t="n">
        <v>0.092063</v>
      </c>
      <c r="N446" s="12" t="n">
        <v>0.149941</v>
      </c>
      <c r="O446" s="12" t="n">
        <v>0.106183</v>
      </c>
      <c r="P446" s="12" t="n">
        <v>0.161292</v>
      </c>
      <c r="Q446" s="0" t="str">
        <f aca="false">IF(L446&gt;=Models!$G$5,1+COUNTIF($L$5:$L$1517,"&gt;"&amp;L446)+COUNTIFS($L$5:$L$1517,L446,$B$5:$B$1517,"&lt;"&amp;B446)+COUNTIFS($L$5:$L$1517,L446,$B$5:$B$1517,B446,$C$5:$C$1517,"&lt;"&amp;C446),"")</f>
        <v/>
      </c>
      <c r="R446" s="0" t="str">
        <f aca="false">IF(M446&gt;=Models!$G$6,1+COUNTIF($M$5:$M$1517,"&gt;"&amp;M446)+COUNTIFS($M$5:$M$1517,M446,$B$5:$B$1517,"&lt;"&amp;B446)+COUNTIFS($M$5:$M$1517,M446,$B$5:$B$1517,B446,$C$5:$C$1517,"&lt;"&amp;C446),"")</f>
        <v/>
      </c>
      <c r="S446" s="0" t="str">
        <f aca="false">IF(N446&gt;=Models!$G$7,1+COUNTIF($N$5:$N$1517,"&gt;"&amp;N446)+COUNTIFS($N$5:$N$1517,N446,$B$5:$B$1517,"&lt;"&amp;B446)+COUNTIFS($N$5:$N$1517,N446,$B$5:$B$1517,B446,$C$5:$C$1517,"&lt;"&amp;C446),"")</f>
        <v/>
      </c>
      <c r="T446" s="8" t="n">
        <f aca="false">IF(O446&gt;=Models!$G$8,1+COUNTIF($O$5:$O$1517,"&gt;"&amp;O446)+COUNTIFS($O$5:$O$1517,O446,$B$5:$B$1517,"&lt;"&amp;B446)+COUNTIFS($O$5:$O$1517,O446,$B$5:$B$1517,B446,$C$5:$C$1517,"&lt;"&amp;C446),"")</f>
        <v>298</v>
      </c>
      <c r="U446" s="8" t="n">
        <f aca="false">IF($K446=1,COUNTIFS($L$5:$L$1517,"&gt;="&amp;L446,$K$5:$K$1517,1)/COUNTIF($L$5:$L$1517,"&gt;="&amp;L446),0)</f>
        <v>0</v>
      </c>
      <c r="V446" s="8" t="n">
        <f aca="false">IF($K446=1,COUNTIFS($M$5:$M$1517,"&gt;="&amp;M446,$K$5:$K$1517,1)/COUNTIF($M$5:$M$1517,"&gt;="&amp;M446),0)</f>
        <v>0</v>
      </c>
      <c r="W446" s="8" t="n">
        <f aca="false">IF($K446=1,COUNTIFS($N$5:$N$1517,"&gt;="&amp;N446,$K$5:$K$1517,1)/COUNTIF($N$5:$N$1517,"&gt;="&amp;N446),0)</f>
        <v>0</v>
      </c>
      <c r="X446" s="8" t="n">
        <f aca="false">IF($K446=1,COUNTIFS($O$5:$O$1517,"&gt;="&amp;O446,$K$5:$K$1517,1)/COUNTIF($O$5:$O$1517,"&gt;="&amp;O446),0)</f>
        <v>0</v>
      </c>
      <c r="Y446" s="8" t="n">
        <f aca="false">IF($K446=1,COUNTIFS($P$5:$P$1517,"&gt;="&amp;P446,$K$5:$K$1517,1)/COUNTIF($P$5:$P$1517,"&gt;="&amp;P446),0)</f>
        <v>0</v>
      </c>
      <c r="Z446" s="8" t="n">
        <f aca="false">(L446-$K446)^2</f>
        <v>0.334340681284</v>
      </c>
      <c r="AA446" s="8" t="n">
        <f aca="false">(M446-$K446)^2</f>
        <v>0.008475595969</v>
      </c>
      <c r="AB446" s="8" t="n">
        <f aca="false">(N446-$K446)^2</f>
        <v>0.022482303481</v>
      </c>
      <c r="AC446" s="8" t="n">
        <f aca="false">(O446-$K446)^2</f>
        <v>0.011274829489</v>
      </c>
      <c r="AD446" s="8" t="n">
        <f aca="false">(P446-$K446)^2</f>
        <v>0.026015109264</v>
      </c>
      <c r="AE446" s="8" t="n">
        <f aca="false">MIN(INT(ROUND(N446*1000000,0)/100000),9)</f>
        <v>1</v>
      </c>
      <c r="AF446" s="8" t="n">
        <f aca="false">MIN(INT(ROUND(P446*1000000,0)/100000),9)</f>
        <v>1</v>
      </c>
    </row>
    <row r="447" customFormat="false" ht="15" hidden="false" customHeight="false" outlineLevel="0" collapsed="false">
      <c r="A447" s="4" t="n">
        <v>443</v>
      </c>
      <c r="B447" s="4" t="n">
        <v>431</v>
      </c>
      <c r="C447" s="4" t="n">
        <v>1</v>
      </c>
      <c r="D447" s="11" t="n">
        <v>46082</v>
      </c>
      <c r="E447" s="4" t="s">
        <v>203</v>
      </c>
      <c r="F447" s="4" t="s">
        <v>206</v>
      </c>
      <c r="G447" s="4" t="n">
        <v>2</v>
      </c>
      <c r="H447" s="4" t="n">
        <v>6</v>
      </c>
      <c r="I447" s="4" t="n">
        <v>0</v>
      </c>
      <c r="J447" s="4"/>
      <c r="K447" s="4" t="n">
        <v>0</v>
      </c>
      <c r="L447" s="12" t="n">
        <v>0.706772</v>
      </c>
      <c r="M447" s="12" t="n">
        <v>0.092063</v>
      </c>
      <c r="N447" s="12" t="n">
        <v>0.072856</v>
      </c>
      <c r="O447" s="12" t="n">
        <v>0.106183</v>
      </c>
      <c r="P447" s="12" t="n">
        <v>0.076162</v>
      </c>
      <c r="Q447" s="0" t="str">
        <f aca="false">IF(L447&gt;=Models!$G$5,1+COUNTIF($L$5:$L$1517,"&gt;"&amp;L447)+COUNTIFS($L$5:$L$1517,L447,$B$5:$B$1517,"&lt;"&amp;B447)+COUNTIFS($L$5:$L$1517,L447,$B$5:$B$1517,B447,$C$5:$C$1517,"&lt;"&amp;C447),"")</f>
        <v/>
      </c>
      <c r="R447" s="0" t="str">
        <f aca="false">IF(M447&gt;=Models!$G$6,1+COUNTIF($M$5:$M$1517,"&gt;"&amp;M447)+COUNTIFS($M$5:$M$1517,M447,$B$5:$B$1517,"&lt;"&amp;B447)+COUNTIFS($M$5:$M$1517,M447,$B$5:$B$1517,B447,$C$5:$C$1517,"&lt;"&amp;C447),"")</f>
        <v/>
      </c>
      <c r="S447" s="0" t="str">
        <f aca="false">IF(N447&gt;=Models!$G$7,1+COUNTIF($N$5:$N$1517,"&gt;"&amp;N447)+COUNTIFS($N$5:$N$1517,N447,$B$5:$B$1517,"&lt;"&amp;B447)+COUNTIFS($N$5:$N$1517,N447,$B$5:$B$1517,B447,$C$5:$C$1517,"&lt;"&amp;C447),"")</f>
        <v/>
      </c>
      <c r="T447" s="8" t="n">
        <f aca="false">IF(O447&gt;=Models!$G$8,1+COUNTIF($O$5:$O$1517,"&gt;"&amp;O447)+COUNTIFS($O$5:$O$1517,O447,$B$5:$B$1517,"&lt;"&amp;B447)+COUNTIFS($O$5:$O$1517,O447,$B$5:$B$1517,B447,$C$5:$C$1517,"&lt;"&amp;C447),"")</f>
        <v>302</v>
      </c>
      <c r="U447" s="8" t="n">
        <f aca="false">IF($K447=1,COUNTIFS($L$5:$L$1517,"&gt;="&amp;L447,$K$5:$K$1517,1)/COUNTIF($L$5:$L$1517,"&gt;="&amp;L447),0)</f>
        <v>0</v>
      </c>
      <c r="V447" s="8" t="n">
        <f aca="false">IF($K447=1,COUNTIFS($M$5:$M$1517,"&gt;="&amp;M447,$K$5:$K$1517,1)/COUNTIF($M$5:$M$1517,"&gt;="&amp;M447),0)</f>
        <v>0</v>
      </c>
      <c r="W447" s="8" t="n">
        <f aca="false">IF($K447=1,COUNTIFS($N$5:$N$1517,"&gt;="&amp;N447,$K$5:$K$1517,1)/COUNTIF($N$5:$N$1517,"&gt;="&amp;N447),0)</f>
        <v>0</v>
      </c>
      <c r="X447" s="8" t="n">
        <f aca="false">IF($K447=1,COUNTIFS($O$5:$O$1517,"&gt;="&amp;O447,$K$5:$K$1517,1)/COUNTIF($O$5:$O$1517,"&gt;="&amp;O447),0)</f>
        <v>0</v>
      </c>
      <c r="Y447" s="8" t="n">
        <f aca="false">IF($K447=1,COUNTIFS($P$5:$P$1517,"&gt;="&amp;P447,$K$5:$K$1517,1)/COUNTIF($P$5:$P$1517,"&gt;="&amp;P447),0)</f>
        <v>0</v>
      </c>
      <c r="Z447" s="8" t="n">
        <f aca="false">(L447-$K447)^2</f>
        <v>0.499526659984</v>
      </c>
      <c r="AA447" s="8" t="n">
        <f aca="false">(M447-$K447)^2</f>
        <v>0.008475595969</v>
      </c>
      <c r="AB447" s="8" t="n">
        <f aca="false">(N447-$K447)^2</f>
        <v>0.005307996736</v>
      </c>
      <c r="AC447" s="8" t="n">
        <f aca="false">(O447-$K447)^2</f>
        <v>0.011274829489</v>
      </c>
      <c r="AD447" s="8" t="n">
        <f aca="false">(P447-$K447)^2</f>
        <v>0.005800650244</v>
      </c>
      <c r="AE447" s="8" t="n">
        <f aca="false">MIN(INT(ROUND(N447*1000000,0)/100000),9)</f>
        <v>0</v>
      </c>
      <c r="AF447" s="8" t="n">
        <f aca="false">MIN(INT(ROUND(P447*1000000,0)/100000),9)</f>
        <v>0</v>
      </c>
    </row>
    <row r="448" customFormat="false" ht="15" hidden="false" customHeight="false" outlineLevel="0" collapsed="false">
      <c r="A448" s="4" t="n">
        <v>444</v>
      </c>
      <c r="B448" s="4" t="n">
        <v>432</v>
      </c>
      <c r="C448" s="4" t="n">
        <v>1</v>
      </c>
      <c r="D448" s="11" t="n">
        <v>46082</v>
      </c>
      <c r="E448" s="4" t="s">
        <v>202</v>
      </c>
      <c r="F448" s="4" t="s">
        <v>208</v>
      </c>
      <c r="G448" s="4" t="n">
        <v>9</v>
      </c>
      <c r="H448" s="4" t="n">
        <v>2</v>
      </c>
      <c r="I448" s="4" t="n">
        <v>0</v>
      </c>
      <c r="J448" s="4"/>
      <c r="K448" s="4" t="n">
        <v>0</v>
      </c>
      <c r="L448" s="12" t="n">
        <v>0.225074</v>
      </c>
      <c r="M448" s="12" t="n">
        <v>0.092063</v>
      </c>
      <c r="N448" s="12" t="n">
        <v>0.038927</v>
      </c>
      <c r="O448" s="12" t="n">
        <v>0.106183</v>
      </c>
      <c r="P448" s="12" t="n">
        <v>0.039546</v>
      </c>
      <c r="Q448" s="0" t="str">
        <f aca="false">IF(L448&gt;=Models!$G$5,1+COUNTIF($L$5:$L$1517,"&gt;"&amp;L448)+COUNTIFS($L$5:$L$1517,L448,$B$5:$B$1517,"&lt;"&amp;B448)+COUNTIFS($L$5:$L$1517,L448,$B$5:$B$1517,B448,$C$5:$C$1517,"&lt;"&amp;C448),"")</f>
        <v/>
      </c>
      <c r="R448" s="0" t="str">
        <f aca="false">IF(M448&gt;=Models!$G$6,1+COUNTIF($M$5:$M$1517,"&gt;"&amp;M448)+COUNTIFS($M$5:$M$1517,M448,$B$5:$B$1517,"&lt;"&amp;B448)+COUNTIFS($M$5:$M$1517,M448,$B$5:$B$1517,B448,$C$5:$C$1517,"&lt;"&amp;C448),"")</f>
        <v/>
      </c>
      <c r="S448" s="0" t="str">
        <f aca="false">IF(N448&gt;=Models!$G$7,1+COUNTIF($N$5:$N$1517,"&gt;"&amp;N448)+COUNTIFS($N$5:$N$1517,N448,$B$5:$B$1517,"&lt;"&amp;B448)+COUNTIFS($N$5:$N$1517,N448,$B$5:$B$1517,B448,$C$5:$C$1517,"&lt;"&amp;C448),"")</f>
        <v/>
      </c>
      <c r="T448" s="8" t="n">
        <f aca="false">IF(O448&gt;=Models!$G$8,1+COUNTIF($O$5:$O$1517,"&gt;"&amp;O448)+COUNTIFS($O$5:$O$1517,O448,$B$5:$B$1517,"&lt;"&amp;B448)+COUNTIFS($O$5:$O$1517,O448,$B$5:$B$1517,B448,$C$5:$C$1517,"&lt;"&amp;C448),"")</f>
        <v>306</v>
      </c>
      <c r="U448" s="8" t="n">
        <f aca="false">IF($K448=1,COUNTIFS($L$5:$L$1517,"&gt;="&amp;L448,$K$5:$K$1517,1)/COUNTIF($L$5:$L$1517,"&gt;="&amp;L448),0)</f>
        <v>0</v>
      </c>
      <c r="V448" s="8" t="n">
        <f aca="false">IF($K448=1,COUNTIFS($M$5:$M$1517,"&gt;="&amp;M448,$K$5:$K$1517,1)/COUNTIF($M$5:$M$1517,"&gt;="&amp;M448),0)</f>
        <v>0</v>
      </c>
      <c r="W448" s="8" t="n">
        <f aca="false">IF($K448=1,COUNTIFS($N$5:$N$1517,"&gt;="&amp;N448,$K$5:$K$1517,1)/COUNTIF($N$5:$N$1517,"&gt;="&amp;N448),0)</f>
        <v>0</v>
      </c>
      <c r="X448" s="8" t="n">
        <f aca="false">IF($K448=1,COUNTIFS($O$5:$O$1517,"&gt;="&amp;O448,$K$5:$K$1517,1)/COUNTIF($O$5:$O$1517,"&gt;="&amp;O448),0)</f>
        <v>0</v>
      </c>
      <c r="Y448" s="8" t="n">
        <f aca="false">IF($K448=1,COUNTIFS($P$5:$P$1517,"&gt;="&amp;P448,$K$5:$K$1517,1)/COUNTIF($P$5:$P$1517,"&gt;="&amp;P448),0)</f>
        <v>0</v>
      </c>
      <c r="Z448" s="8" t="n">
        <f aca="false">(L448-$K448)^2</f>
        <v>0.050658305476</v>
      </c>
      <c r="AA448" s="8" t="n">
        <f aca="false">(M448-$K448)^2</f>
        <v>0.008475595969</v>
      </c>
      <c r="AB448" s="8" t="n">
        <f aca="false">(N448-$K448)^2</f>
        <v>0.001515311329</v>
      </c>
      <c r="AC448" s="8" t="n">
        <f aca="false">(O448-$K448)^2</f>
        <v>0.011274829489</v>
      </c>
      <c r="AD448" s="8" t="n">
        <f aca="false">(P448-$K448)^2</f>
        <v>0.001563886116</v>
      </c>
      <c r="AE448" s="8" t="n">
        <f aca="false">MIN(INT(ROUND(N448*1000000,0)/100000),9)</f>
        <v>0</v>
      </c>
      <c r="AF448" s="8" t="n">
        <f aca="false">MIN(INT(ROUND(P448*1000000,0)/100000),9)</f>
        <v>0</v>
      </c>
    </row>
    <row r="449" customFormat="false" ht="15" hidden="false" customHeight="false" outlineLevel="0" collapsed="false">
      <c r="A449" s="4" t="n">
        <v>445</v>
      </c>
      <c r="B449" s="4" t="n">
        <v>438</v>
      </c>
      <c r="C449" s="4" t="n">
        <v>1</v>
      </c>
      <c r="D449" s="11" t="n">
        <v>46082</v>
      </c>
      <c r="E449" s="4" t="s">
        <v>204</v>
      </c>
      <c r="F449" s="4" t="s">
        <v>208</v>
      </c>
      <c r="G449" s="4" t="n">
        <v>2</v>
      </c>
      <c r="H449" s="4" t="n">
        <v>24</v>
      </c>
      <c r="I449" s="4" t="n">
        <v>1</v>
      </c>
      <c r="J449" s="4" t="n">
        <v>64.8</v>
      </c>
      <c r="K449" s="4" t="n">
        <v>1</v>
      </c>
      <c r="L449" s="12" t="n">
        <v>0.009336</v>
      </c>
      <c r="M449" s="12" t="n">
        <v>0.184211</v>
      </c>
      <c r="N449" s="12" t="n">
        <v>0.259783</v>
      </c>
      <c r="O449" s="12" t="n">
        <v>0.106183</v>
      </c>
      <c r="P449" s="12" t="n">
        <v>0.283341</v>
      </c>
      <c r="Q449" s="0" t="str">
        <f aca="false">IF(L449&gt;=Models!$G$5,1+COUNTIF($L$5:$L$1517,"&gt;"&amp;L449)+COUNTIFS($L$5:$L$1517,L449,$B$5:$B$1517,"&lt;"&amp;B449)+COUNTIFS($L$5:$L$1517,L449,$B$5:$B$1517,B449,$C$5:$C$1517,"&lt;"&amp;C449),"")</f>
        <v/>
      </c>
      <c r="R449" s="8" t="n">
        <f aca="false">IF(M449&gt;=Models!$G$6,1+COUNTIF($M$5:$M$1517,"&gt;"&amp;M449)+COUNTIFS($M$5:$M$1517,M449,$B$5:$B$1517,"&lt;"&amp;B449)+COUNTIFS($M$5:$M$1517,M449,$B$5:$B$1517,B449,$C$5:$C$1517,"&lt;"&amp;C449),"")</f>
        <v>37</v>
      </c>
      <c r="S449" s="8" t="n">
        <f aca="false">IF(N449&gt;=Models!$G$7,1+COUNTIF($N$5:$N$1517,"&gt;"&amp;N449)+COUNTIFS($N$5:$N$1517,N449,$B$5:$B$1517,"&lt;"&amp;B449)+COUNTIFS($N$5:$N$1517,N449,$B$5:$B$1517,B449,$C$5:$C$1517,"&lt;"&amp;C449),"")</f>
        <v>12</v>
      </c>
      <c r="T449" s="8" t="n">
        <f aca="false">IF(O449&gt;=Models!$G$8,1+COUNTIF($O$5:$O$1517,"&gt;"&amp;O449)+COUNTIFS($O$5:$O$1517,O449,$B$5:$B$1517,"&lt;"&amp;B449)+COUNTIFS($O$5:$O$1517,O449,$B$5:$B$1517,B449,$C$5:$C$1517,"&lt;"&amp;C449),"")</f>
        <v>310</v>
      </c>
      <c r="U449" s="8" t="n">
        <f aca="false">IF($K449=1,COUNTIFS($L$5:$L$1517,"&gt;="&amp;L449,$K$5:$K$1517,1)/COUNTIF($L$5:$L$1517,"&gt;="&amp;L449),0)</f>
        <v>0.125668449197861</v>
      </c>
      <c r="V449" s="8" t="n">
        <f aca="false">IF($K449=1,COUNTIFS($M$5:$M$1517,"&gt;="&amp;M449,$K$5:$K$1517,1)/COUNTIF($M$5:$M$1517,"&gt;="&amp;M449),0)</f>
        <v>0.186528497409326</v>
      </c>
      <c r="W449" s="8" t="n">
        <f aca="false">IF($K449=1,COUNTIFS($N$5:$N$1517,"&gt;="&amp;N449,$K$5:$K$1517,1)/COUNTIF($N$5:$N$1517,"&gt;="&amp;N449),0)</f>
        <v>0.333333333333333</v>
      </c>
      <c r="X449" s="8" t="n">
        <f aca="false">IF($K449=1,COUNTIFS($O$5:$O$1517,"&gt;="&amp;O449,$K$5:$K$1517,1)/COUNTIF($O$5:$O$1517,"&gt;="&amp;O449),0)</f>
        <v>0.12491738268341</v>
      </c>
      <c r="Y449" s="8" t="n">
        <f aca="false">IF($K449=1,COUNTIFS($P$5:$P$1517,"&gt;="&amp;P449,$K$5:$K$1517,1)/COUNTIF($P$5:$P$1517,"&gt;="&amp;P449),0)</f>
        <v>0.333333333333333</v>
      </c>
      <c r="Z449" s="8" t="n">
        <f aca="false">(L449-$K449)^2</f>
        <v>0.981415160896</v>
      </c>
      <c r="AA449" s="8" t="n">
        <f aca="false">(M449-$K449)^2</f>
        <v>0.665511692521</v>
      </c>
      <c r="AB449" s="8" t="n">
        <f aca="false">(N449-$K449)^2</f>
        <v>0.547921207089</v>
      </c>
      <c r="AC449" s="8" t="n">
        <f aca="false">(O449-$K449)^2</f>
        <v>0.798908829489</v>
      </c>
      <c r="AD449" s="8" t="n">
        <f aca="false">(P449-$K449)^2</f>
        <v>0.513600122281</v>
      </c>
      <c r="AE449" s="8" t="n">
        <f aca="false">MIN(INT(ROUND(N449*1000000,0)/100000),9)</f>
        <v>2</v>
      </c>
      <c r="AF449" s="8" t="n">
        <f aca="false">MIN(INT(ROUND(P449*1000000,0)/100000),9)</f>
        <v>2</v>
      </c>
    </row>
    <row r="450" customFormat="false" ht="15" hidden="false" customHeight="false" outlineLevel="0" collapsed="false">
      <c r="A450" s="4" t="n">
        <v>446</v>
      </c>
      <c r="B450" s="4" t="n">
        <v>440</v>
      </c>
      <c r="C450" s="4" t="n">
        <v>1</v>
      </c>
      <c r="D450" s="11" t="n">
        <v>46082</v>
      </c>
      <c r="E450" s="4" t="s">
        <v>202</v>
      </c>
      <c r="F450" s="4" t="s">
        <v>207</v>
      </c>
      <c r="G450" s="4" t="n">
        <v>9</v>
      </c>
      <c r="H450" s="4" t="n">
        <v>3</v>
      </c>
      <c r="I450" s="4" t="n">
        <v>0</v>
      </c>
      <c r="J450" s="4"/>
      <c r="K450" s="4" t="n">
        <v>0</v>
      </c>
      <c r="L450" s="12" t="n">
        <v>0.861704</v>
      </c>
      <c r="M450" s="12" t="n">
        <v>0.092063</v>
      </c>
      <c r="N450" s="12" t="n">
        <v>0.039235</v>
      </c>
      <c r="O450" s="12" t="n">
        <v>0.106183</v>
      </c>
      <c r="P450" s="12" t="n">
        <v>0.039874</v>
      </c>
      <c r="Q450" s="0" t="str">
        <f aca="false">IF(L450&gt;=Models!$G$5,1+COUNTIF($L$5:$L$1517,"&gt;"&amp;L450)+COUNTIFS($L$5:$L$1517,L450,$B$5:$B$1517,"&lt;"&amp;B450)+COUNTIFS($L$5:$L$1517,L450,$B$5:$B$1517,B450,$C$5:$C$1517,"&lt;"&amp;C450),"")</f>
        <v/>
      </c>
      <c r="R450" s="0" t="str">
        <f aca="false">IF(M450&gt;=Models!$G$6,1+COUNTIF($M$5:$M$1517,"&gt;"&amp;M450)+COUNTIFS($M$5:$M$1517,M450,$B$5:$B$1517,"&lt;"&amp;B450)+COUNTIFS($M$5:$M$1517,M450,$B$5:$B$1517,B450,$C$5:$C$1517,"&lt;"&amp;C450),"")</f>
        <v/>
      </c>
      <c r="S450" s="0" t="str">
        <f aca="false">IF(N450&gt;=Models!$G$7,1+COUNTIF($N$5:$N$1517,"&gt;"&amp;N450)+COUNTIFS($N$5:$N$1517,N450,$B$5:$B$1517,"&lt;"&amp;B450)+COUNTIFS($N$5:$N$1517,N450,$B$5:$B$1517,B450,$C$5:$C$1517,"&lt;"&amp;C450),"")</f>
        <v/>
      </c>
      <c r="T450" s="8" t="n">
        <f aca="false">IF(O450&gt;=Models!$G$8,1+COUNTIF($O$5:$O$1517,"&gt;"&amp;O450)+COUNTIFS($O$5:$O$1517,O450,$B$5:$B$1517,"&lt;"&amp;B450)+COUNTIFS($O$5:$O$1517,O450,$B$5:$B$1517,B450,$C$5:$C$1517,"&lt;"&amp;C450),"")</f>
        <v>313</v>
      </c>
      <c r="U450" s="8" t="n">
        <f aca="false">IF($K450=1,COUNTIFS($L$5:$L$1517,"&gt;="&amp;L450,$K$5:$K$1517,1)/COUNTIF($L$5:$L$1517,"&gt;="&amp;L450),0)</f>
        <v>0</v>
      </c>
      <c r="V450" s="8" t="n">
        <f aca="false">IF($K450=1,COUNTIFS($M$5:$M$1517,"&gt;="&amp;M450,$K$5:$K$1517,1)/COUNTIF($M$5:$M$1517,"&gt;="&amp;M450),0)</f>
        <v>0</v>
      </c>
      <c r="W450" s="8" t="n">
        <f aca="false">IF($K450=1,COUNTIFS($N$5:$N$1517,"&gt;="&amp;N450,$K$5:$K$1517,1)/COUNTIF($N$5:$N$1517,"&gt;="&amp;N450),0)</f>
        <v>0</v>
      </c>
      <c r="X450" s="8" t="n">
        <f aca="false">IF($K450=1,COUNTIFS($O$5:$O$1517,"&gt;="&amp;O450,$K$5:$K$1517,1)/COUNTIF($O$5:$O$1517,"&gt;="&amp;O450),0)</f>
        <v>0</v>
      </c>
      <c r="Y450" s="8" t="n">
        <f aca="false">IF($K450=1,COUNTIFS($P$5:$P$1517,"&gt;="&amp;P450,$K$5:$K$1517,1)/COUNTIF($P$5:$P$1517,"&gt;="&amp;P450),0)</f>
        <v>0</v>
      </c>
      <c r="Z450" s="8" t="n">
        <f aca="false">(L450-$K450)^2</f>
        <v>0.742533783616</v>
      </c>
      <c r="AA450" s="8" t="n">
        <f aca="false">(M450-$K450)^2</f>
        <v>0.008475595969</v>
      </c>
      <c r="AB450" s="8" t="n">
        <f aca="false">(N450-$K450)^2</f>
        <v>0.001539385225</v>
      </c>
      <c r="AC450" s="8" t="n">
        <f aca="false">(O450-$K450)^2</f>
        <v>0.011274829489</v>
      </c>
      <c r="AD450" s="8" t="n">
        <f aca="false">(P450-$K450)^2</f>
        <v>0.001589935876</v>
      </c>
      <c r="AE450" s="8" t="n">
        <f aca="false">MIN(INT(ROUND(N450*1000000,0)/100000),9)</f>
        <v>0</v>
      </c>
      <c r="AF450" s="8" t="n">
        <f aca="false">MIN(INT(ROUND(P450*1000000,0)/100000),9)</f>
        <v>0</v>
      </c>
    </row>
    <row r="451" customFormat="false" ht="15" hidden="false" customHeight="false" outlineLevel="0" collapsed="false">
      <c r="A451" s="4" t="n">
        <v>447</v>
      </c>
      <c r="B451" s="4" t="n">
        <v>441</v>
      </c>
      <c r="C451" s="4" t="n">
        <v>1</v>
      </c>
      <c r="D451" s="11" t="n">
        <v>46082</v>
      </c>
      <c r="E451" s="4" t="s">
        <v>204</v>
      </c>
      <c r="F451" s="4" t="s">
        <v>206</v>
      </c>
      <c r="G451" s="4" t="n">
        <v>1</v>
      </c>
      <c r="H451" s="4" t="n">
        <v>16</v>
      </c>
      <c r="I451" s="4" t="n">
        <v>0</v>
      </c>
      <c r="J451" s="4" t="n">
        <v>90</v>
      </c>
      <c r="K451" s="4" t="n">
        <v>1</v>
      </c>
      <c r="L451" s="12" t="n">
        <v>0.003471</v>
      </c>
      <c r="M451" s="12" t="n">
        <v>0.092063</v>
      </c>
      <c r="N451" s="12" t="n">
        <v>0.165183</v>
      </c>
      <c r="O451" s="12" t="n">
        <v>0.106183</v>
      </c>
      <c r="P451" s="12" t="n">
        <v>0.178246</v>
      </c>
      <c r="Q451" s="0" t="str">
        <f aca="false">IF(L451&gt;=Models!$G$5,1+COUNTIF($L$5:$L$1517,"&gt;"&amp;L451)+COUNTIFS($L$5:$L$1517,L451,$B$5:$B$1517,"&lt;"&amp;B451)+COUNTIFS($L$5:$L$1517,L451,$B$5:$B$1517,B451,$C$5:$C$1517,"&lt;"&amp;C451),"")</f>
        <v/>
      </c>
      <c r="R451" s="0" t="str">
        <f aca="false">IF(M451&gt;=Models!$G$6,1+COUNTIF($M$5:$M$1517,"&gt;"&amp;M451)+COUNTIFS($M$5:$M$1517,M451,$B$5:$B$1517,"&lt;"&amp;B451)+COUNTIFS($M$5:$M$1517,M451,$B$5:$B$1517,B451,$C$5:$C$1517,"&lt;"&amp;C451),"")</f>
        <v/>
      </c>
      <c r="S451" s="0" t="str">
        <f aca="false">IF(N451&gt;=Models!$G$7,1+COUNTIF($N$5:$N$1517,"&gt;"&amp;N451)+COUNTIFS($N$5:$N$1517,N451,$B$5:$B$1517,"&lt;"&amp;B451)+COUNTIFS($N$5:$N$1517,N451,$B$5:$B$1517,B451,$C$5:$C$1517,"&lt;"&amp;C451),"")</f>
        <v/>
      </c>
      <c r="T451" s="8" t="n">
        <f aca="false">IF(O451&gt;=Models!$G$8,1+COUNTIF($O$5:$O$1517,"&gt;"&amp;O451)+COUNTIFS($O$5:$O$1517,O451,$B$5:$B$1517,"&lt;"&amp;B451)+COUNTIFS($O$5:$O$1517,O451,$B$5:$B$1517,B451,$C$5:$C$1517,"&lt;"&amp;C451),"")</f>
        <v>317</v>
      </c>
      <c r="U451" s="8" t="n">
        <f aca="false">IF($K451=1,COUNTIFS($L$5:$L$1517,"&gt;="&amp;L451,$K$5:$K$1517,1)/COUNTIF($L$5:$L$1517,"&gt;="&amp;L451),0)</f>
        <v>0.125414731254147</v>
      </c>
      <c r="V451" s="8" t="n">
        <f aca="false">IF($K451=1,COUNTIFS($M$5:$M$1517,"&gt;="&amp;M451,$K$5:$K$1517,1)/COUNTIF($M$5:$M$1517,"&gt;="&amp;M451),0)</f>
        <v>0.12491738268341</v>
      </c>
      <c r="W451" s="8" t="n">
        <f aca="false">IF($K451=1,COUNTIFS($N$5:$N$1517,"&gt;="&amp;N451,$K$5:$K$1517,1)/COUNTIF($N$5:$N$1517,"&gt;="&amp;N451),0)</f>
        <v>0.323529411764706</v>
      </c>
      <c r="X451" s="8" t="n">
        <f aca="false">IF($K451=1,COUNTIFS($O$5:$O$1517,"&gt;="&amp;O451,$K$5:$K$1517,1)/COUNTIF($O$5:$O$1517,"&gt;="&amp;O451),0)</f>
        <v>0.12491738268341</v>
      </c>
      <c r="Y451" s="8" t="n">
        <f aca="false">IF($K451=1,COUNTIFS($P$5:$P$1517,"&gt;="&amp;P451,$K$5:$K$1517,1)/COUNTIF($P$5:$P$1517,"&gt;="&amp;P451),0)</f>
        <v>0.323529411764706</v>
      </c>
      <c r="Z451" s="8" t="n">
        <f aca="false">(L451-$K451)^2</f>
        <v>0.993070047841</v>
      </c>
      <c r="AA451" s="8" t="n">
        <f aca="false">(M451-$K451)^2</f>
        <v>0.824349595969</v>
      </c>
      <c r="AB451" s="8" t="n">
        <f aca="false">(N451-$K451)^2</f>
        <v>0.696919423489</v>
      </c>
      <c r="AC451" s="8" t="n">
        <f aca="false">(O451-$K451)^2</f>
        <v>0.798908829489</v>
      </c>
      <c r="AD451" s="8" t="n">
        <f aca="false">(P451-$K451)^2</f>
        <v>0.675279636516</v>
      </c>
      <c r="AE451" s="8" t="n">
        <f aca="false">MIN(INT(ROUND(N451*1000000,0)/100000),9)</f>
        <v>1</v>
      </c>
      <c r="AF451" s="8" t="n">
        <f aca="false">MIN(INT(ROUND(P451*1000000,0)/100000),9)</f>
        <v>1</v>
      </c>
    </row>
    <row r="452" customFormat="false" ht="15" hidden="false" customHeight="false" outlineLevel="0" collapsed="false">
      <c r="A452" s="4" t="n">
        <v>448</v>
      </c>
      <c r="B452" s="4" t="n">
        <v>443</v>
      </c>
      <c r="C452" s="4" t="n">
        <v>1</v>
      </c>
      <c r="D452" s="11" t="n">
        <v>46082</v>
      </c>
      <c r="E452" s="4" t="s">
        <v>203</v>
      </c>
      <c r="F452" s="4" t="s">
        <v>209</v>
      </c>
      <c r="G452" s="4" t="n">
        <v>4</v>
      </c>
      <c r="H452" s="4" t="n">
        <v>15</v>
      </c>
      <c r="I452" s="4" t="n">
        <v>0</v>
      </c>
      <c r="J452" s="4" t="n">
        <v>224.7</v>
      </c>
      <c r="K452" s="4" t="n">
        <v>0</v>
      </c>
      <c r="L452" s="12" t="n">
        <v>0.431467</v>
      </c>
      <c r="M452" s="12" t="n">
        <v>0.092063</v>
      </c>
      <c r="N452" s="12" t="n">
        <v>0.129413</v>
      </c>
      <c r="O452" s="12" t="n">
        <v>0.106183</v>
      </c>
      <c r="P452" s="12" t="n">
        <v>0.138491</v>
      </c>
      <c r="Q452" s="0" t="str">
        <f aca="false">IF(L452&gt;=Models!$G$5,1+COUNTIF($L$5:$L$1517,"&gt;"&amp;L452)+COUNTIFS($L$5:$L$1517,L452,$B$5:$B$1517,"&lt;"&amp;B452)+COUNTIFS($L$5:$L$1517,L452,$B$5:$B$1517,B452,$C$5:$C$1517,"&lt;"&amp;C452),"")</f>
        <v/>
      </c>
      <c r="R452" s="0" t="str">
        <f aca="false">IF(M452&gt;=Models!$G$6,1+COUNTIF($M$5:$M$1517,"&gt;"&amp;M452)+COUNTIFS($M$5:$M$1517,M452,$B$5:$B$1517,"&lt;"&amp;B452)+COUNTIFS($M$5:$M$1517,M452,$B$5:$B$1517,B452,$C$5:$C$1517,"&lt;"&amp;C452),"")</f>
        <v/>
      </c>
      <c r="S452" s="0" t="str">
        <f aca="false">IF(N452&gt;=Models!$G$7,1+COUNTIF($N$5:$N$1517,"&gt;"&amp;N452)+COUNTIFS($N$5:$N$1517,N452,$B$5:$B$1517,"&lt;"&amp;B452)+COUNTIFS($N$5:$N$1517,N452,$B$5:$B$1517,B452,$C$5:$C$1517,"&lt;"&amp;C452),"")</f>
        <v/>
      </c>
      <c r="T452" s="8" t="n">
        <f aca="false">IF(O452&gt;=Models!$G$8,1+COUNTIF($O$5:$O$1517,"&gt;"&amp;O452)+COUNTIFS($O$5:$O$1517,O452,$B$5:$B$1517,"&lt;"&amp;B452)+COUNTIFS($O$5:$O$1517,O452,$B$5:$B$1517,B452,$C$5:$C$1517,"&lt;"&amp;C452),"")</f>
        <v>320</v>
      </c>
      <c r="U452" s="8" t="n">
        <f aca="false">IF($K452=1,COUNTIFS($L$5:$L$1517,"&gt;="&amp;L452,$K$5:$K$1517,1)/COUNTIF($L$5:$L$1517,"&gt;="&amp;L452),0)</f>
        <v>0</v>
      </c>
      <c r="V452" s="8" t="n">
        <f aca="false">IF($K452=1,COUNTIFS($M$5:$M$1517,"&gt;="&amp;M452,$K$5:$K$1517,1)/COUNTIF($M$5:$M$1517,"&gt;="&amp;M452),0)</f>
        <v>0</v>
      </c>
      <c r="W452" s="8" t="n">
        <f aca="false">IF($K452=1,COUNTIFS($N$5:$N$1517,"&gt;="&amp;N452,$K$5:$K$1517,1)/COUNTIF($N$5:$N$1517,"&gt;="&amp;N452),0)</f>
        <v>0</v>
      </c>
      <c r="X452" s="8" t="n">
        <f aca="false">IF($K452=1,COUNTIFS($O$5:$O$1517,"&gt;="&amp;O452,$K$5:$K$1517,1)/COUNTIF($O$5:$O$1517,"&gt;="&amp;O452),0)</f>
        <v>0</v>
      </c>
      <c r="Y452" s="8" t="n">
        <f aca="false">IF($K452=1,COUNTIFS($P$5:$P$1517,"&gt;="&amp;P452,$K$5:$K$1517,1)/COUNTIF($P$5:$P$1517,"&gt;="&amp;P452),0)</f>
        <v>0</v>
      </c>
      <c r="Z452" s="8" t="n">
        <f aca="false">(L452-$K452)^2</f>
        <v>0.186163772089</v>
      </c>
      <c r="AA452" s="8" t="n">
        <f aca="false">(M452-$K452)^2</f>
        <v>0.008475595969</v>
      </c>
      <c r="AB452" s="8" t="n">
        <f aca="false">(N452-$K452)^2</f>
        <v>0.016747724569</v>
      </c>
      <c r="AC452" s="8" t="n">
        <f aca="false">(O452-$K452)^2</f>
        <v>0.011274829489</v>
      </c>
      <c r="AD452" s="8" t="n">
        <f aca="false">(P452-$K452)^2</f>
        <v>0.019179757081</v>
      </c>
      <c r="AE452" s="8" t="n">
        <f aca="false">MIN(INT(ROUND(N452*1000000,0)/100000),9)</f>
        <v>1</v>
      </c>
      <c r="AF452" s="8" t="n">
        <f aca="false">MIN(INT(ROUND(P452*1000000,0)/100000),9)</f>
        <v>1</v>
      </c>
    </row>
    <row r="453" customFormat="false" ht="15" hidden="false" customHeight="false" outlineLevel="0" collapsed="false">
      <c r="A453" s="4" t="n">
        <v>449</v>
      </c>
      <c r="B453" s="4" t="n">
        <v>445</v>
      </c>
      <c r="C453" s="4" t="n">
        <v>1</v>
      </c>
      <c r="D453" s="11" t="n">
        <v>46082</v>
      </c>
      <c r="E453" s="4" t="s">
        <v>203</v>
      </c>
      <c r="F453" s="4" t="s">
        <v>207</v>
      </c>
      <c r="G453" s="4" t="n">
        <v>3</v>
      </c>
      <c r="H453" s="4" t="n">
        <v>7</v>
      </c>
      <c r="I453" s="4" t="n">
        <v>0</v>
      </c>
      <c r="J453" s="4"/>
      <c r="K453" s="4" t="n">
        <v>0</v>
      </c>
      <c r="L453" s="12" t="n">
        <v>0.525745</v>
      </c>
      <c r="M453" s="12" t="n">
        <v>0.092063</v>
      </c>
      <c r="N453" s="12" t="n">
        <v>0.067519</v>
      </c>
      <c r="O453" s="12" t="n">
        <v>0.106183</v>
      </c>
      <c r="P453" s="12" t="n">
        <v>0.070347</v>
      </c>
      <c r="Q453" s="0" t="str">
        <f aca="false">IF(L453&gt;=Models!$G$5,1+COUNTIF($L$5:$L$1517,"&gt;"&amp;L453)+COUNTIFS($L$5:$L$1517,L453,$B$5:$B$1517,"&lt;"&amp;B453)+COUNTIFS($L$5:$L$1517,L453,$B$5:$B$1517,B453,$C$5:$C$1517,"&lt;"&amp;C453),"")</f>
        <v/>
      </c>
      <c r="R453" s="0" t="str">
        <f aca="false">IF(M453&gt;=Models!$G$6,1+COUNTIF($M$5:$M$1517,"&gt;"&amp;M453)+COUNTIFS($M$5:$M$1517,M453,$B$5:$B$1517,"&lt;"&amp;B453)+COUNTIFS($M$5:$M$1517,M453,$B$5:$B$1517,B453,$C$5:$C$1517,"&lt;"&amp;C453),"")</f>
        <v/>
      </c>
      <c r="S453" s="0" t="str">
        <f aca="false">IF(N453&gt;=Models!$G$7,1+COUNTIF($N$5:$N$1517,"&gt;"&amp;N453)+COUNTIFS($N$5:$N$1517,N453,$B$5:$B$1517,"&lt;"&amp;B453)+COUNTIFS($N$5:$N$1517,N453,$B$5:$B$1517,B453,$C$5:$C$1517,"&lt;"&amp;C453),"")</f>
        <v/>
      </c>
      <c r="T453" s="8" t="n">
        <f aca="false">IF(O453&gt;=Models!$G$8,1+COUNTIF($O$5:$O$1517,"&gt;"&amp;O453)+COUNTIFS($O$5:$O$1517,O453,$B$5:$B$1517,"&lt;"&amp;B453)+COUNTIFS($O$5:$O$1517,O453,$B$5:$B$1517,B453,$C$5:$C$1517,"&lt;"&amp;C453),"")</f>
        <v>324</v>
      </c>
      <c r="U453" s="8" t="n">
        <f aca="false">IF($K453=1,COUNTIFS($L$5:$L$1517,"&gt;="&amp;L453,$K$5:$K$1517,1)/COUNTIF($L$5:$L$1517,"&gt;="&amp;L453),0)</f>
        <v>0</v>
      </c>
      <c r="V453" s="8" t="n">
        <f aca="false">IF($K453=1,COUNTIFS($M$5:$M$1517,"&gt;="&amp;M453,$K$5:$K$1517,1)/COUNTIF($M$5:$M$1517,"&gt;="&amp;M453),0)</f>
        <v>0</v>
      </c>
      <c r="W453" s="8" t="n">
        <f aca="false">IF($K453=1,COUNTIFS($N$5:$N$1517,"&gt;="&amp;N453,$K$5:$K$1517,1)/COUNTIF($N$5:$N$1517,"&gt;="&amp;N453),0)</f>
        <v>0</v>
      </c>
      <c r="X453" s="8" t="n">
        <f aca="false">IF($K453=1,COUNTIFS($O$5:$O$1517,"&gt;="&amp;O453,$K$5:$K$1517,1)/COUNTIF($O$5:$O$1517,"&gt;="&amp;O453),0)</f>
        <v>0</v>
      </c>
      <c r="Y453" s="8" t="n">
        <f aca="false">IF($K453=1,COUNTIFS($P$5:$P$1517,"&gt;="&amp;P453,$K$5:$K$1517,1)/COUNTIF($P$5:$P$1517,"&gt;="&amp;P453),0)</f>
        <v>0</v>
      </c>
      <c r="Z453" s="8" t="n">
        <f aca="false">(L453-$K453)^2</f>
        <v>0.276407805025</v>
      </c>
      <c r="AA453" s="8" t="n">
        <f aca="false">(M453-$K453)^2</f>
        <v>0.008475595969</v>
      </c>
      <c r="AB453" s="8" t="n">
        <f aca="false">(N453-$K453)^2</f>
        <v>0.004558815361</v>
      </c>
      <c r="AC453" s="8" t="n">
        <f aca="false">(O453-$K453)^2</f>
        <v>0.011274829489</v>
      </c>
      <c r="AD453" s="8" t="n">
        <f aca="false">(P453-$K453)^2</f>
        <v>0.004948700409</v>
      </c>
      <c r="AE453" s="8" t="n">
        <f aca="false">MIN(INT(ROUND(N453*1000000,0)/100000),9)</f>
        <v>0</v>
      </c>
      <c r="AF453" s="8" t="n">
        <f aca="false">MIN(INT(ROUND(P453*1000000,0)/100000),9)</f>
        <v>0</v>
      </c>
    </row>
    <row r="454" customFormat="false" ht="15" hidden="false" customHeight="false" outlineLevel="0" collapsed="false">
      <c r="A454" s="4" t="n">
        <v>450</v>
      </c>
      <c r="B454" s="4" t="n">
        <v>450</v>
      </c>
      <c r="C454" s="4" t="n">
        <v>1</v>
      </c>
      <c r="D454" s="11" t="n">
        <v>46082</v>
      </c>
      <c r="E454" s="4" t="s">
        <v>203</v>
      </c>
      <c r="F454" s="4" t="s">
        <v>206</v>
      </c>
      <c r="G454" s="4" t="n">
        <v>7</v>
      </c>
      <c r="H454" s="4" t="n">
        <v>4</v>
      </c>
      <c r="I454" s="4" t="n">
        <v>0</v>
      </c>
      <c r="J454" s="4" t="n">
        <v>375</v>
      </c>
      <c r="K454" s="4" t="n">
        <v>0</v>
      </c>
      <c r="L454" s="12" t="n">
        <v>0.511983</v>
      </c>
      <c r="M454" s="12" t="n">
        <v>0.092063</v>
      </c>
      <c r="N454" s="12" t="n">
        <v>0.093214</v>
      </c>
      <c r="O454" s="12" t="n">
        <v>0.106183</v>
      </c>
      <c r="P454" s="12" t="n">
        <v>0.098476</v>
      </c>
      <c r="Q454" s="0" t="str">
        <f aca="false">IF(L454&gt;=Models!$G$5,1+COUNTIF($L$5:$L$1517,"&gt;"&amp;L454)+COUNTIFS($L$5:$L$1517,L454,$B$5:$B$1517,"&lt;"&amp;B454)+COUNTIFS($L$5:$L$1517,L454,$B$5:$B$1517,B454,$C$5:$C$1517,"&lt;"&amp;C454),"")</f>
        <v/>
      </c>
      <c r="R454" s="0" t="str">
        <f aca="false">IF(M454&gt;=Models!$G$6,1+COUNTIF($M$5:$M$1517,"&gt;"&amp;M454)+COUNTIFS($M$5:$M$1517,M454,$B$5:$B$1517,"&lt;"&amp;B454)+COUNTIFS($M$5:$M$1517,M454,$B$5:$B$1517,B454,$C$5:$C$1517,"&lt;"&amp;C454),"")</f>
        <v/>
      </c>
      <c r="S454" s="0" t="str">
        <f aca="false">IF(N454&gt;=Models!$G$7,1+COUNTIF($N$5:$N$1517,"&gt;"&amp;N454)+COUNTIFS($N$5:$N$1517,N454,$B$5:$B$1517,"&lt;"&amp;B454)+COUNTIFS($N$5:$N$1517,N454,$B$5:$B$1517,B454,$C$5:$C$1517,"&lt;"&amp;C454),"")</f>
        <v/>
      </c>
      <c r="T454" s="8" t="n">
        <f aca="false">IF(O454&gt;=Models!$G$8,1+COUNTIF($O$5:$O$1517,"&gt;"&amp;O454)+COUNTIFS($O$5:$O$1517,O454,$B$5:$B$1517,"&lt;"&amp;B454)+COUNTIFS($O$5:$O$1517,O454,$B$5:$B$1517,B454,$C$5:$C$1517,"&lt;"&amp;C454),"")</f>
        <v>328</v>
      </c>
      <c r="U454" s="8" t="n">
        <f aca="false">IF($K454=1,COUNTIFS($L$5:$L$1517,"&gt;="&amp;L454,$K$5:$K$1517,1)/COUNTIF($L$5:$L$1517,"&gt;="&amp;L454),0)</f>
        <v>0</v>
      </c>
      <c r="V454" s="8" t="n">
        <f aca="false">IF($K454=1,COUNTIFS($M$5:$M$1517,"&gt;="&amp;M454,$K$5:$K$1517,1)/COUNTIF($M$5:$M$1517,"&gt;="&amp;M454),0)</f>
        <v>0</v>
      </c>
      <c r="W454" s="8" t="n">
        <f aca="false">IF($K454=1,COUNTIFS($N$5:$N$1517,"&gt;="&amp;N454,$K$5:$K$1517,1)/COUNTIF($N$5:$N$1517,"&gt;="&amp;N454),0)</f>
        <v>0</v>
      </c>
      <c r="X454" s="8" t="n">
        <f aca="false">IF($K454=1,COUNTIFS($O$5:$O$1517,"&gt;="&amp;O454,$K$5:$K$1517,1)/COUNTIF($O$5:$O$1517,"&gt;="&amp;O454),0)</f>
        <v>0</v>
      </c>
      <c r="Y454" s="8" t="n">
        <f aca="false">IF($K454=1,COUNTIFS($P$5:$P$1517,"&gt;="&amp;P454,$K$5:$K$1517,1)/COUNTIF($P$5:$P$1517,"&gt;="&amp;P454),0)</f>
        <v>0</v>
      </c>
      <c r="Z454" s="8" t="n">
        <f aca="false">(L454-$K454)^2</f>
        <v>0.262126592289</v>
      </c>
      <c r="AA454" s="8" t="n">
        <f aca="false">(M454-$K454)^2</f>
        <v>0.008475595969</v>
      </c>
      <c r="AB454" s="8" t="n">
        <f aca="false">(N454-$K454)^2</f>
        <v>0.008688849796</v>
      </c>
      <c r="AC454" s="8" t="n">
        <f aca="false">(O454-$K454)^2</f>
        <v>0.011274829489</v>
      </c>
      <c r="AD454" s="8" t="n">
        <f aca="false">(P454-$K454)^2</f>
        <v>0.009697522576</v>
      </c>
      <c r="AE454" s="8" t="n">
        <f aca="false">MIN(INT(ROUND(N454*1000000,0)/100000),9)</f>
        <v>0</v>
      </c>
      <c r="AF454" s="8" t="n">
        <f aca="false">MIN(INT(ROUND(P454*1000000,0)/100000),9)</f>
        <v>0</v>
      </c>
    </row>
    <row r="455" customFormat="false" ht="15" hidden="false" customHeight="false" outlineLevel="0" collapsed="false">
      <c r="A455" s="4" t="n">
        <v>451</v>
      </c>
      <c r="B455" s="4" t="n">
        <v>461</v>
      </c>
      <c r="C455" s="4" t="n">
        <v>1</v>
      </c>
      <c r="D455" s="11" t="n">
        <v>46082</v>
      </c>
      <c r="E455" s="4" t="s">
        <v>204</v>
      </c>
      <c r="F455" s="4" t="s">
        <v>206</v>
      </c>
      <c r="G455" s="4" t="n">
        <v>2</v>
      </c>
      <c r="H455" s="4" t="n">
        <v>15</v>
      </c>
      <c r="I455" s="4" t="n">
        <v>0</v>
      </c>
      <c r="J455" s="4" t="n">
        <v>90</v>
      </c>
      <c r="K455" s="4" t="n">
        <v>0</v>
      </c>
      <c r="L455" s="12" t="n">
        <v>0.527136</v>
      </c>
      <c r="M455" s="12" t="n">
        <v>0.092063</v>
      </c>
      <c r="N455" s="12" t="n">
        <v>0.152084</v>
      </c>
      <c r="O455" s="12" t="n">
        <v>0.106183</v>
      </c>
      <c r="P455" s="12" t="n">
        <v>0.163675</v>
      </c>
      <c r="Q455" s="0" t="str">
        <f aca="false">IF(L455&gt;=Models!$G$5,1+COUNTIF($L$5:$L$1517,"&gt;"&amp;L455)+COUNTIFS($L$5:$L$1517,L455,$B$5:$B$1517,"&lt;"&amp;B455)+COUNTIFS($L$5:$L$1517,L455,$B$5:$B$1517,B455,$C$5:$C$1517,"&lt;"&amp;C455),"")</f>
        <v/>
      </c>
      <c r="R455" s="0" t="str">
        <f aca="false">IF(M455&gt;=Models!$G$6,1+COUNTIF($M$5:$M$1517,"&gt;"&amp;M455)+COUNTIFS($M$5:$M$1517,M455,$B$5:$B$1517,"&lt;"&amp;B455)+COUNTIFS($M$5:$M$1517,M455,$B$5:$B$1517,B455,$C$5:$C$1517,"&lt;"&amp;C455),"")</f>
        <v/>
      </c>
      <c r="S455" s="0" t="str">
        <f aca="false">IF(N455&gt;=Models!$G$7,1+COUNTIF($N$5:$N$1517,"&gt;"&amp;N455)+COUNTIFS($N$5:$N$1517,N455,$B$5:$B$1517,"&lt;"&amp;B455)+COUNTIFS($N$5:$N$1517,N455,$B$5:$B$1517,B455,$C$5:$C$1517,"&lt;"&amp;C455),"")</f>
        <v/>
      </c>
      <c r="T455" s="8" t="n">
        <f aca="false">IF(O455&gt;=Models!$G$8,1+COUNTIF($O$5:$O$1517,"&gt;"&amp;O455)+COUNTIFS($O$5:$O$1517,O455,$B$5:$B$1517,"&lt;"&amp;B455)+COUNTIFS($O$5:$O$1517,O455,$B$5:$B$1517,B455,$C$5:$C$1517,"&lt;"&amp;C455),"")</f>
        <v>332</v>
      </c>
      <c r="U455" s="8" t="n">
        <f aca="false">IF($K455=1,COUNTIFS($L$5:$L$1517,"&gt;="&amp;L455,$K$5:$K$1517,1)/COUNTIF($L$5:$L$1517,"&gt;="&amp;L455),0)</f>
        <v>0</v>
      </c>
      <c r="V455" s="8" t="n">
        <f aca="false">IF($K455=1,COUNTIFS($M$5:$M$1517,"&gt;="&amp;M455,$K$5:$K$1517,1)/COUNTIF($M$5:$M$1517,"&gt;="&amp;M455),0)</f>
        <v>0</v>
      </c>
      <c r="W455" s="8" t="n">
        <f aca="false">IF($K455=1,COUNTIFS($N$5:$N$1517,"&gt;="&amp;N455,$K$5:$K$1517,1)/COUNTIF($N$5:$N$1517,"&gt;="&amp;N455),0)</f>
        <v>0</v>
      </c>
      <c r="X455" s="8" t="n">
        <f aca="false">IF($K455=1,COUNTIFS($O$5:$O$1517,"&gt;="&amp;O455,$K$5:$K$1517,1)/COUNTIF($O$5:$O$1517,"&gt;="&amp;O455),0)</f>
        <v>0</v>
      </c>
      <c r="Y455" s="8" t="n">
        <f aca="false">IF($K455=1,COUNTIFS($P$5:$P$1517,"&gt;="&amp;P455,$K$5:$K$1517,1)/COUNTIF($P$5:$P$1517,"&gt;="&amp;P455),0)</f>
        <v>0</v>
      </c>
      <c r="Z455" s="8" t="n">
        <f aca="false">(L455-$K455)^2</f>
        <v>0.277872362496</v>
      </c>
      <c r="AA455" s="8" t="n">
        <f aca="false">(M455-$K455)^2</f>
        <v>0.008475595969</v>
      </c>
      <c r="AB455" s="8" t="n">
        <f aca="false">(N455-$K455)^2</f>
        <v>0.023129543056</v>
      </c>
      <c r="AC455" s="8" t="n">
        <f aca="false">(O455-$K455)^2</f>
        <v>0.011274829489</v>
      </c>
      <c r="AD455" s="8" t="n">
        <f aca="false">(P455-$K455)^2</f>
        <v>0.026789505625</v>
      </c>
      <c r="AE455" s="8" t="n">
        <f aca="false">MIN(INT(ROUND(N455*1000000,0)/100000),9)</f>
        <v>1</v>
      </c>
      <c r="AF455" s="8" t="n">
        <f aca="false">MIN(INT(ROUND(P455*1000000,0)/100000),9)</f>
        <v>1</v>
      </c>
    </row>
    <row r="456" customFormat="false" ht="15" hidden="false" customHeight="false" outlineLevel="0" collapsed="false">
      <c r="A456" s="4" t="n">
        <v>452</v>
      </c>
      <c r="B456" s="4" t="n">
        <v>462</v>
      </c>
      <c r="C456" s="4" t="n">
        <v>1</v>
      </c>
      <c r="D456" s="11" t="n">
        <v>46082</v>
      </c>
      <c r="E456" s="4" t="s">
        <v>203</v>
      </c>
      <c r="F456" s="4" t="s">
        <v>210</v>
      </c>
      <c r="G456" s="4" t="n">
        <v>1</v>
      </c>
      <c r="H456" s="4" t="n">
        <v>6</v>
      </c>
      <c r="I456" s="4" t="n">
        <v>0</v>
      </c>
      <c r="J456" s="4" t="n">
        <v>408</v>
      </c>
      <c r="K456" s="4" t="n">
        <v>0</v>
      </c>
      <c r="L456" s="12" t="n">
        <v>0.676483</v>
      </c>
      <c r="M456" s="12" t="n">
        <v>0.092063</v>
      </c>
      <c r="N456" s="12" t="n">
        <v>0.151797</v>
      </c>
      <c r="O456" s="12" t="n">
        <v>0.106183</v>
      </c>
      <c r="P456" s="12" t="n">
        <v>0.163356</v>
      </c>
      <c r="Q456" s="0" t="str">
        <f aca="false">IF(L456&gt;=Models!$G$5,1+COUNTIF($L$5:$L$1517,"&gt;"&amp;L456)+COUNTIFS($L$5:$L$1517,L456,$B$5:$B$1517,"&lt;"&amp;B456)+COUNTIFS($L$5:$L$1517,L456,$B$5:$B$1517,B456,$C$5:$C$1517,"&lt;"&amp;C456),"")</f>
        <v/>
      </c>
      <c r="R456" s="0" t="str">
        <f aca="false">IF(M456&gt;=Models!$G$6,1+COUNTIF($M$5:$M$1517,"&gt;"&amp;M456)+COUNTIFS($M$5:$M$1517,M456,$B$5:$B$1517,"&lt;"&amp;B456)+COUNTIFS($M$5:$M$1517,M456,$B$5:$B$1517,B456,$C$5:$C$1517,"&lt;"&amp;C456),"")</f>
        <v/>
      </c>
      <c r="S456" s="0" t="str">
        <f aca="false">IF(N456&gt;=Models!$G$7,1+COUNTIF($N$5:$N$1517,"&gt;"&amp;N456)+COUNTIFS($N$5:$N$1517,N456,$B$5:$B$1517,"&lt;"&amp;B456)+COUNTIFS($N$5:$N$1517,N456,$B$5:$B$1517,B456,$C$5:$C$1517,"&lt;"&amp;C456),"")</f>
        <v/>
      </c>
      <c r="T456" s="8" t="n">
        <f aca="false">IF(O456&gt;=Models!$G$8,1+COUNTIF($O$5:$O$1517,"&gt;"&amp;O456)+COUNTIFS($O$5:$O$1517,O456,$B$5:$B$1517,"&lt;"&amp;B456)+COUNTIFS($O$5:$O$1517,O456,$B$5:$B$1517,B456,$C$5:$C$1517,"&lt;"&amp;C456),"")</f>
        <v>336</v>
      </c>
      <c r="U456" s="8" t="n">
        <f aca="false">IF($K456=1,COUNTIFS($L$5:$L$1517,"&gt;="&amp;L456,$K$5:$K$1517,1)/COUNTIF($L$5:$L$1517,"&gt;="&amp;L456),0)</f>
        <v>0</v>
      </c>
      <c r="V456" s="8" t="n">
        <f aca="false">IF($K456=1,COUNTIFS($M$5:$M$1517,"&gt;="&amp;M456,$K$5:$K$1517,1)/COUNTIF($M$5:$M$1517,"&gt;="&amp;M456),0)</f>
        <v>0</v>
      </c>
      <c r="W456" s="8" t="n">
        <f aca="false">IF($K456=1,COUNTIFS($N$5:$N$1517,"&gt;="&amp;N456,$K$5:$K$1517,1)/COUNTIF($N$5:$N$1517,"&gt;="&amp;N456),0)</f>
        <v>0</v>
      </c>
      <c r="X456" s="8" t="n">
        <f aca="false">IF($K456=1,COUNTIFS($O$5:$O$1517,"&gt;="&amp;O456,$K$5:$K$1517,1)/COUNTIF($O$5:$O$1517,"&gt;="&amp;O456),0)</f>
        <v>0</v>
      </c>
      <c r="Y456" s="8" t="n">
        <f aca="false">IF($K456=1,COUNTIFS($P$5:$P$1517,"&gt;="&amp;P456,$K$5:$K$1517,1)/COUNTIF($P$5:$P$1517,"&gt;="&amp;P456),0)</f>
        <v>0</v>
      </c>
      <c r="Z456" s="8" t="n">
        <f aca="false">(L456-$K456)^2</f>
        <v>0.457629249289</v>
      </c>
      <c r="AA456" s="8" t="n">
        <f aca="false">(M456-$K456)^2</f>
        <v>0.008475595969</v>
      </c>
      <c r="AB456" s="8" t="n">
        <f aca="false">(N456-$K456)^2</f>
        <v>0.023042329209</v>
      </c>
      <c r="AC456" s="8" t="n">
        <f aca="false">(O456-$K456)^2</f>
        <v>0.011274829489</v>
      </c>
      <c r="AD456" s="8" t="n">
        <f aca="false">(P456-$K456)^2</f>
        <v>0.026685182736</v>
      </c>
      <c r="AE456" s="8" t="n">
        <f aca="false">MIN(INT(ROUND(N456*1000000,0)/100000),9)</f>
        <v>1</v>
      </c>
      <c r="AF456" s="8" t="n">
        <f aca="false">MIN(INT(ROUND(P456*1000000,0)/100000),9)</f>
        <v>1</v>
      </c>
    </row>
    <row r="457" customFormat="false" ht="15" hidden="false" customHeight="false" outlineLevel="0" collapsed="false">
      <c r="A457" s="4" t="n">
        <v>453</v>
      </c>
      <c r="B457" s="4" t="n">
        <v>463</v>
      </c>
      <c r="C457" s="4" t="n">
        <v>1</v>
      </c>
      <c r="D457" s="11" t="n">
        <v>46082</v>
      </c>
      <c r="E457" s="4" t="s">
        <v>204</v>
      </c>
      <c r="F457" s="4" t="s">
        <v>206</v>
      </c>
      <c r="G457" s="4" t="n">
        <v>5</v>
      </c>
      <c r="H457" s="4" t="n">
        <v>4</v>
      </c>
      <c r="I457" s="4" t="n">
        <v>0</v>
      </c>
      <c r="J457" s="4"/>
      <c r="K457" s="4" t="n">
        <v>0</v>
      </c>
      <c r="L457" s="12" t="n">
        <v>0.204252</v>
      </c>
      <c r="M457" s="12" t="n">
        <v>0.092063</v>
      </c>
      <c r="N457" s="12" t="n">
        <v>0.055725</v>
      </c>
      <c r="O457" s="12" t="n">
        <v>0.106183</v>
      </c>
      <c r="P457" s="12" t="n">
        <v>0.057559</v>
      </c>
      <c r="Q457" s="0" t="str">
        <f aca="false">IF(L457&gt;=Models!$G$5,1+COUNTIF($L$5:$L$1517,"&gt;"&amp;L457)+COUNTIFS($L$5:$L$1517,L457,$B$5:$B$1517,"&lt;"&amp;B457)+COUNTIFS($L$5:$L$1517,L457,$B$5:$B$1517,B457,$C$5:$C$1517,"&lt;"&amp;C457),"")</f>
        <v/>
      </c>
      <c r="R457" s="0" t="str">
        <f aca="false">IF(M457&gt;=Models!$G$6,1+COUNTIF($M$5:$M$1517,"&gt;"&amp;M457)+COUNTIFS($M$5:$M$1517,M457,$B$5:$B$1517,"&lt;"&amp;B457)+COUNTIFS($M$5:$M$1517,M457,$B$5:$B$1517,B457,$C$5:$C$1517,"&lt;"&amp;C457),"")</f>
        <v/>
      </c>
      <c r="S457" s="0" t="str">
        <f aca="false">IF(N457&gt;=Models!$G$7,1+COUNTIF($N$5:$N$1517,"&gt;"&amp;N457)+COUNTIFS($N$5:$N$1517,N457,$B$5:$B$1517,"&lt;"&amp;B457)+COUNTIFS($N$5:$N$1517,N457,$B$5:$B$1517,B457,$C$5:$C$1517,"&lt;"&amp;C457),"")</f>
        <v/>
      </c>
      <c r="T457" s="8" t="n">
        <f aca="false">IF(O457&gt;=Models!$G$8,1+COUNTIF($O$5:$O$1517,"&gt;"&amp;O457)+COUNTIFS($O$5:$O$1517,O457,$B$5:$B$1517,"&lt;"&amp;B457)+COUNTIFS($O$5:$O$1517,O457,$B$5:$B$1517,B457,$C$5:$C$1517,"&lt;"&amp;C457),"")</f>
        <v>340</v>
      </c>
      <c r="U457" s="8" t="n">
        <f aca="false">IF($K457=1,COUNTIFS($L$5:$L$1517,"&gt;="&amp;L457,$K$5:$K$1517,1)/COUNTIF($L$5:$L$1517,"&gt;="&amp;L457),0)</f>
        <v>0</v>
      </c>
      <c r="V457" s="8" t="n">
        <f aca="false">IF($K457=1,COUNTIFS($M$5:$M$1517,"&gt;="&amp;M457,$K$5:$K$1517,1)/COUNTIF($M$5:$M$1517,"&gt;="&amp;M457),0)</f>
        <v>0</v>
      </c>
      <c r="W457" s="8" t="n">
        <f aca="false">IF($K457=1,COUNTIFS($N$5:$N$1517,"&gt;="&amp;N457,$K$5:$K$1517,1)/COUNTIF($N$5:$N$1517,"&gt;="&amp;N457),0)</f>
        <v>0</v>
      </c>
      <c r="X457" s="8" t="n">
        <f aca="false">IF($K457=1,COUNTIFS($O$5:$O$1517,"&gt;="&amp;O457,$K$5:$K$1517,1)/COUNTIF($O$5:$O$1517,"&gt;="&amp;O457),0)</f>
        <v>0</v>
      </c>
      <c r="Y457" s="8" t="n">
        <f aca="false">IF($K457=1,COUNTIFS($P$5:$P$1517,"&gt;="&amp;P457,$K$5:$K$1517,1)/COUNTIF($P$5:$P$1517,"&gt;="&amp;P457),0)</f>
        <v>0</v>
      </c>
      <c r="Z457" s="8" t="n">
        <f aca="false">(L457-$K457)^2</f>
        <v>0.041718879504</v>
      </c>
      <c r="AA457" s="8" t="n">
        <f aca="false">(M457-$K457)^2</f>
        <v>0.008475595969</v>
      </c>
      <c r="AB457" s="8" t="n">
        <f aca="false">(N457-$K457)^2</f>
        <v>0.003105275625</v>
      </c>
      <c r="AC457" s="8" t="n">
        <f aca="false">(O457-$K457)^2</f>
        <v>0.011274829489</v>
      </c>
      <c r="AD457" s="8" t="n">
        <f aca="false">(P457-$K457)^2</f>
        <v>0.003313038481</v>
      </c>
      <c r="AE457" s="8" t="n">
        <f aca="false">MIN(INT(ROUND(N457*1000000,0)/100000),9)</f>
        <v>0</v>
      </c>
      <c r="AF457" s="8" t="n">
        <f aca="false">MIN(INT(ROUND(P457*1000000,0)/100000),9)</f>
        <v>0</v>
      </c>
    </row>
    <row r="458" customFormat="false" ht="15" hidden="false" customHeight="false" outlineLevel="0" collapsed="false">
      <c r="A458" s="4" t="n">
        <v>454</v>
      </c>
      <c r="B458" s="4" t="n">
        <v>466</v>
      </c>
      <c r="C458" s="4" t="n">
        <v>1</v>
      </c>
      <c r="D458" s="11" t="n">
        <v>46082</v>
      </c>
      <c r="E458" s="4" t="s">
        <v>202</v>
      </c>
      <c r="F458" s="4" t="s">
        <v>207</v>
      </c>
      <c r="G458" s="4" t="n">
        <v>18</v>
      </c>
      <c r="H458" s="4" t="n">
        <v>2</v>
      </c>
      <c r="I458" s="4" t="n">
        <v>0</v>
      </c>
      <c r="J458" s="4"/>
      <c r="K458" s="4" t="n">
        <v>0</v>
      </c>
      <c r="L458" s="12" t="n">
        <v>0.325496</v>
      </c>
      <c r="M458" s="12" t="n">
        <v>0.092063</v>
      </c>
      <c r="N458" s="12" t="n">
        <v>0.017701</v>
      </c>
      <c r="O458" s="12" t="n">
        <v>0.106183</v>
      </c>
      <c r="P458" s="12" t="n">
        <v>0.017321</v>
      </c>
      <c r="Q458" s="0" t="str">
        <f aca="false">IF(L458&gt;=Models!$G$5,1+COUNTIF($L$5:$L$1517,"&gt;"&amp;L458)+COUNTIFS($L$5:$L$1517,L458,$B$5:$B$1517,"&lt;"&amp;B458)+COUNTIFS($L$5:$L$1517,L458,$B$5:$B$1517,B458,$C$5:$C$1517,"&lt;"&amp;C458),"")</f>
        <v/>
      </c>
      <c r="R458" s="0" t="str">
        <f aca="false">IF(M458&gt;=Models!$G$6,1+COUNTIF($M$5:$M$1517,"&gt;"&amp;M458)+COUNTIFS($M$5:$M$1517,M458,$B$5:$B$1517,"&lt;"&amp;B458)+COUNTIFS($M$5:$M$1517,M458,$B$5:$B$1517,B458,$C$5:$C$1517,"&lt;"&amp;C458),"")</f>
        <v/>
      </c>
      <c r="S458" s="0" t="str">
        <f aca="false">IF(N458&gt;=Models!$G$7,1+COUNTIF($N$5:$N$1517,"&gt;"&amp;N458)+COUNTIFS($N$5:$N$1517,N458,$B$5:$B$1517,"&lt;"&amp;B458)+COUNTIFS($N$5:$N$1517,N458,$B$5:$B$1517,B458,$C$5:$C$1517,"&lt;"&amp;C458),"")</f>
        <v/>
      </c>
      <c r="T458" s="8" t="n">
        <f aca="false">IF(O458&gt;=Models!$G$8,1+COUNTIF($O$5:$O$1517,"&gt;"&amp;O458)+COUNTIFS($O$5:$O$1517,O458,$B$5:$B$1517,"&lt;"&amp;B458)+COUNTIFS($O$5:$O$1517,O458,$B$5:$B$1517,B458,$C$5:$C$1517,"&lt;"&amp;C458),"")</f>
        <v>344</v>
      </c>
      <c r="U458" s="8" t="n">
        <f aca="false">IF($K458=1,COUNTIFS($L$5:$L$1517,"&gt;="&amp;L458,$K$5:$K$1517,1)/COUNTIF($L$5:$L$1517,"&gt;="&amp;L458),0)</f>
        <v>0</v>
      </c>
      <c r="V458" s="8" t="n">
        <f aca="false">IF($K458=1,COUNTIFS($M$5:$M$1517,"&gt;="&amp;M458,$K$5:$K$1517,1)/COUNTIF($M$5:$M$1517,"&gt;="&amp;M458),0)</f>
        <v>0</v>
      </c>
      <c r="W458" s="8" t="n">
        <f aca="false">IF($K458=1,COUNTIFS($N$5:$N$1517,"&gt;="&amp;N458,$K$5:$K$1517,1)/COUNTIF($N$5:$N$1517,"&gt;="&amp;N458),0)</f>
        <v>0</v>
      </c>
      <c r="X458" s="8" t="n">
        <f aca="false">IF($K458=1,COUNTIFS($O$5:$O$1517,"&gt;="&amp;O458,$K$5:$K$1517,1)/COUNTIF($O$5:$O$1517,"&gt;="&amp;O458),0)</f>
        <v>0</v>
      </c>
      <c r="Y458" s="8" t="n">
        <f aca="false">IF($K458=1,COUNTIFS($P$5:$P$1517,"&gt;="&amp;P458,$K$5:$K$1517,1)/COUNTIF($P$5:$P$1517,"&gt;="&amp;P458),0)</f>
        <v>0</v>
      </c>
      <c r="Z458" s="8" t="n">
        <f aca="false">(L458-$K458)^2</f>
        <v>0.105947646016</v>
      </c>
      <c r="AA458" s="8" t="n">
        <f aca="false">(M458-$K458)^2</f>
        <v>0.008475595969</v>
      </c>
      <c r="AB458" s="8" t="n">
        <f aca="false">(N458-$K458)^2</f>
        <v>0.000313325401</v>
      </c>
      <c r="AC458" s="8" t="n">
        <f aca="false">(O458-$K458)^2</f>
        <v>0.011274829489</v>
      </c>
      <c r="AD458" s="8" t="n">
        <f aca="false">(P458-$K458)^2</f>
        <v>0.000300017041</v>
      </c>
      <c r="AE458" s="8" t="n">
        <f aca="false">MIN(INT(ROUND(N458*1000000,0)/100000),9)</f>
        <v>0</v>
      </c>
      <c r="AF458" s="8" t="n">
        <f aca="false">MIN(INT(ROUND(P458*1000000,0)/100000),9)</f>
        <v>0</v>
      </c>
    </row>
    <row r="459" customFormat="false" ht="15" hidden="false" customHeight="false" outlineLevel="0" collapsed="false">
      <c r="A459" s="4" t="n">
        <v>455</v>
      </c>
      <c r="B459" s="4" t="n">
        <v>477</v>
      </c>
      <c r="C459" s="4" t="n">
        <v>1</v>
      </c>
      <c r="D459" s="11" t="n">
        <v>46082</v>
      </c>
      <c r="E459" s="4" t="s">
        <v>204</v>
      </c>
      <c r="F459" s="4" t="s">
        <v>206</v>
      </c>
      <c r="G459" s="4" t="n">
        <v>3</v>
      </c>
      <c r="H459" s="4" t="n">
        <v>9</v>
      </c>
      <c r="I459" s="4" t="n">
        <v>0</v>
      </c>
      <c r="J459" s="4"/>
      <c r="K459" s="4" t="n">
        <v>0</v>
      </c>
      <c r="L459" s="12" t="n">
        <v>0.907055</v>
      </c>
      <c r="M459" s="12" t="n">
        <v>0.092063</v>
      </c>
      <c r="N459" s="12" t="n">
        <v>0.068559</v>
      </c>
      <c r="O459" s="12" t="n">
        <v>0.106183</v>
      </c>
      <c r="P459" s="12" t="n">
        <v>0.071478</v>
      </c>
      <c r="Q459" s="0" t="str">
        <f aca="false">IF(L459&gt;=Models!$G$5,1+COUNTIF($L$5:$L$1517,"&gt;"&amp;L459)+COUNTIFS($L$5:$L$1517,L459,$B$5:$B$1517,"&lt;"&amp;B459)+COUNTIFS($L$5:$L$1517,L459,$B$5:$B$1517,B459,$C$5:$C$1517,"&lt;"&amp;C459),"")</f>
        <v/>
      </c>
      <c r="R459" s="0" t="str">
        <f aca="false">IF(M459&gt;=Models!$G$6,1+COUNTIF($M$5:$M$1517,"&gt;"&amp;M459)+COUNTIFS($M$5:$M$1517,M459,$B$5:$B$1517,"&lt;"&amp;B459)+COUNTIFS($M$5:$M$1517,M459,$B$5:$B$1517,B459,$C$5:$C$1517,"&lt;"&amp;C459),"")</f>
        <v/>
      </c>
      <c r="S459" s="0" t="str">
        <f aca="false">IF(N459&gt;=Models!$G$7,1+COUNTIF($N$5:$N$1517,"&gt;"&amp;N459)+COUNTIFS($N$5:$N$1517,N459,$B$5:$B$1517,"&lt;"&amp;B459)+COUNTIFS($N$5:$N$1517,N459,$B$5:$B$1517,B459,$C$5:$C$1517,"&lt;"&amp;C459),"")</f>
        <v/>
      </c>
      <c r="T459" s="8" t="n">
        <f aca="false">IF(O459&gt;=Models!$G$8,1+COUNTIF($O$5:$O$1517,"&gt;"&amp;O459)+COUNTIFS($O$5:$O$1517,O459,$B$5:$B$1517,"&lt;"&amp;B459)+COUNTIFS($O$5:$O$1517,O459,$B$5:$B$1517,B459,$C$5:$C$1517,"&lt;"&amp;C459),"")</f>
        <v>348</v>
      </c>
      <c r="U459" s="8" t="n">
        <f aca="false">IF($K459=1,COUNTIFS($L$5:$L$1517,"&gt;="&amp;L459,$K$5:$K$1517,1)/COUNTIF($L$5:$L$1517,"&gt;="&amp;L459),0)</f>
        <v>0</v>
      </c>
      <c r="V459" s="8" t="n">
        <f aca="false">IF($K459=1,COUNTIFS($M$5:$M$1517,"&gt;="&amp;M459,$K$5:$K$1517,1)/COUNTIF($M$5:$M$1517,"&gt;="&amp;M459),0)</f>
        <v>0</v>
      </c>
      <c r="W459" s="8" t="n">
        <f aca="false">IF($K459=1,COUNTIFS($N$5:$N$1517,"&gt;="&amp;N459,$K$5:$K$1517,1)/COUNTIF($N$5:$N$1517,"&gt;="&amp;N459),0)</f>
        <v>0</v>
      </c>
      <c r="X459" s="8" t="n">
        <f aca="false">IF($K459=1,COUNTIFS($O$5:$O$1517,"&gt;="&amp;O459,$K$5:$K$1517,1)/COUNTIF($O$5:$O$1517,"&gt;="&amp;O459),0)</f>
        <v>0</v>
      </c>
      <c r="Y459" s="8" t="n">
        <f aca="false">IF($K459=1,COUNTIFS($P$5:$P$1517,"&gt;="&amp;P459,$K$5:$K$1517,1)/COUNTIF($P$5:$P$1517,"&gt;="&amp;P459),0)</f>
        <v>0</v>
      </c>
      <c r="Z459" s="8" t="n">
        <f aca="false">(L459-$K459)^2</f>
        <v>0.822748773025</v>
      </c>
      <c r="AA459" s="8" t="n">
        <f aca="false">(M459-$K459)^2</f>
        <v>0.008475595969</v>
      </c>
      <c r="AB459" s="8" t="n">
        <f aca="false">(N459-$K459)^2</f>
        <v>0.004700336481</v>
      </c>
      <c r="AC459" s="8" t="n">
        <f aca="false">(O459-$K459)^2</f>
        <v>0.011274829489</v>
      </c>
      <c r="AD459" s="8" t="n">
        <f aca="false">(P459-$K459)^2</f>
        <v>0.005109104484</v>
      </c>
      <c r="AE459" s="8" t="n">
        <f aca="false">MIN(INT(ROUND(N459*1000000,0)/100000),9)</f>
        <v>0</v>
      </c>
      <c r="AF459" s="8" t="n">
        <f aca="false">MIN(INT(ROUND(P459*1000000,0)/100000),9)</f>
        <v>0</v>
      </c>
    </row>
    <row r="460" customFormat="false" ht="15" hidden="false" customHeight="false" outlineLevel="0" collapsed="false">
      <c r="A460" s="4" t="n">
        <v>456</v>
      </c>
      <c r="B460" s="4" t="n">
        <v>493</v>
      </c>
      <c r="C460" s="4" t="n">
        <v>1</v>
      </c>
      <c r="D460" s="11" t="n">
        <v>46082</v>
      </c>
      <c r="E460" s="4" t="s">
        <v>204</v>
      </c>
      <c r="F460" s="4" t="s">
        <v>208</v>
      </c>
      <c r="G460" s="4" t="n">
        <v>4</v>
      </c>
      <c r="H460" s="4" t="n">
        <v>4</v>
      </c>
      <c r="I460" s="4" t="n">
        <v>0</v>
      </c>
      <c r="J460" s="4" t="n">
        <v>81</v>
      </c>
      <c r="K460" s="4" t="n">
        <v>0</v>
      </c>
      <c r="L460" s="12" t="n">
        <v>0.289969</v>
      </c>
      <c r="M460" s="12" t="n">
        <v>0.092063</v>
      </c>
      <c r="N460" s="12" t="n">
        <v>0.120474</v>
      </c>
      <c r="O460" s="12" t="n">
        <v>0.106183</v>
      </c>
      <c r="P460" s="12" t="n">
        <v>0.128581</v>
      </c>
      <c r="Q460" s="0" t="str">
        <f aca="false">IF(L460&gt;=Models!$G$5,1+COUNTIF($L$5:$L$1517,"&gt;"&amp;L460)+COUNTIFS($L$5:$L$1517,L460,$B$5:$B$1517,"&lt;"&amp;B460)+COUNTIFS($L$5:$L$1517,L460,$B$5:$B$1517,B460,$C$5:$C$1517,"&lt;"&amp;C460),"")</f>
        <v/>
      </c>
      <c r="R460" s="0" t="str">
        <f aca="false">IF(M460&gt;=Models!$G$6,1+COUNTIF($M$5:$M$1517,"&gt;"&amp;M460)+COUNTIFS($M$5:$M$1517,M460,$B$5:$B$1517,"&lt;"&amp;B460)+COUNTIFS($M$5:$M$1517,M460,$B$5:$B$1517,B460,$C$5:$C$1517,"&lt;"&amp;C460),"")</f>
        <v/>
      </c>
      <c r="S460" s="0" t="str">
        <f aca="false">IF(N460&gt;=Models!$G$7,1+COUNTIF($N$5:$N$1517,"&gt;"&amp;N460)+COUNTIFS($N$5:$N$1517,N460,$B$5:$B$1517,"&lt;"&amp;B460)+COUNTIFS($N$5:$N$1517,N460,$B$5:$B$1517,B460,$C$5:$C$1517,"&lt;"&amp;C460),"")</f>
        <v/>
      </c>
      <c r="T460" s="8" t="n">
        <f aca="false">IF(O460&gt;=Models!$G$8,1+COUNTIF($O$5:$O$1517,"&gt;"&amp;O460)+COUNTIFS($O$5:$O$1517,O460,$B$5:$B$1517,"&lt;"&amp;B460)+COUNTIFS($O$5:$O$1517,O460,$B$5:$B$1517,B460,$C$5:$C$1517,"&lt;"&amp;C460),"")</f>
        <v>352</v>
      </c>
      <c r="U460" s="8" t="n">
        <f aca="false">IF($K460=1,COUNTIFS($L$5:$L$1517,"&gt;="&amp;L460,$K$5:$K$1517,1)/COUNTIF($L$5:$L$1517,"&gt;="&amp;L460),0)</f>
        <v>0</v>
      </c>
      <c r="V460" s="8" t="n">
        <f aca="false">IF($K460=1,COUNTIFS($M$5:$M$1517,"&gt;="&amp;M460,$K$5:$K$1517,1)/COUNTIF($M$5:$M$1517,"&gt;="&amp;M460),0)</f>
        <v>0</v>
      </c>
      <c r="W460" s="8" t="n">
        <f aca="false">IF($K460=1,COUNTIFS($N$5:$N$1517,"&gt;="&amp;N460,$K$5:$K$1517,1)/COUNTIF($N$5:$N$1517,"&gt;="&amp;N460),0)</f>
        <v>0</v>
      </c>
      <c r="X460" s="8" t="n">
        <f aca="false">IF($K460=1,COUNTIFS($O$5:$O$1517,"&gt;="&amp;O460,$K$5:$K$1517,1)/COUNTIF($O$5:$O$1517,"&gt;="&amp;O460),0)</f>
        <v>0</v>
      </c>
      <c r="Y460" s="8" t="n">
        <f aca="false">IF($K460=1,COUNTIFS($P$5:$P$1517,"&gt;="&amp;P460,$K$5:$K$1517,1)/COUNTIF($P$5:$P$1517,"&gt;="&amp;P460),0)</f>
        <v>0</v>
      </c>
      <c r="Z460" s="8" t="n">
        <f aca="false">(L460-$K460)^2</f>
        <v>0.084082020961</v>
      </c>
      <c r="AA460" s="8" t="n">
        <f aca="false">(M460-$K460)^2</f>
        <v>0.008475595969</v>
      </c>
      <c r="AB460" s="8" t="n">
        <f aca="false">(N460-$K460)^2</f>
        <v>0.014513984676</v>
      </c>
      <c r="AC460" s="8" t="n">
        <f aca="false">(O460-$K460)^2</f>
        <v>0.011274829489</v>
      </c>
      <c r="AD460" s="8" t="n">
        <f aca="false">(P460-$K460)^2</f>
        <v>0.016533073561</v>
      </c>
      <c r="AE460" s="8" t="n">
        <f aca="false">MIN(INT(ROUND(N460*1000000,0)/100000),9)</f>
        <v>1</v>
      </c>
      <c r="AF460" s="8" t="n">
        <f aca="false">MIN(INT(ROUND(P460*1000000,0)/100000),9)</f>
        <v>1</v>
      </c>
    </row>
    <row r="461" customFormat="false" ht="15" hidden="false" customHeight="false" outlineLevel="0" collapsed="false">
      <c r="A461" s="4" t="n">
        <v>457</v>
      </c>
      <c r="B461" s="4" t="n">
        <v>494</v>
      </c>
      <c r="C461" s="4" t="n">
        <v>1</v>
      </c>
      <c r="D461" s="11" t="n">
        <v>46082</v>
      </c>
      <c r="E461" s="4" t="s">
        <v>204</v>
      </c>
      <c r="F461" s="4" t="s">
        <v>206</v>
      </c>
      <c r="G461" s="4" t="n">
        <v>7</v>
      </c>
      <c r="H461" s="4" t="n">
        <v>4</v>
      </c>
      <c r="I461" s="4" t="n">
        <v>0</v>
      </c>
      <c r="J461" s="4" t="n">
        <v>90</v>
      </c>
      <c r="K461" s="4" t="n">
        <v>1</v>
      </c>
      <c r="L461" s="12" t="n">
        <v>0.93116</v>
      </c>
      <c r="M461" s="12" t="n">
        <v>0.092063</v>
      </c>
      <c r="N461" s="12" t="n">
        <v>0.094623</v>
      </c>
      <c r="O461" s="12" t="n">
        <v>0.106183</v>
      </c>
      <c r="P461" s="12" t="n">
        <v>0.100026</v>
      </c>
      <c r="Q461" s="0" t="str">
        <f aca="false">IF(L461&gt;=Models!$G$5,1+COUNTIF($L$5:$L$1517,"&gt;"&amp;L461)+COUNTIFS($L$5:$L$1517,L461,$B$5:$B$1517,"&lt;"&amp;B461)+COUNTIFS($L$5:$L$1517,L461,$B$5:$B$1517,B461,$C$5:$C$1517,"&lt;"&amp;C461),"")</f>
        <v/>
      </c>
      <c r="R461" s="0" t="str">
        <f aca="false">IF(M461&gt;=Models!$G$6,1+COUNTIF($M$5:$M$1517,"&gt;"&amp;M461)+COUNTIFS($M$5:$M$1517,M461,$B$5:$B$1517,"&lt;"&amp;B461)+COUNTIFS($M$5:$M$1517,M461,$B$5:$B$1517,B461,$C$5:$C$1517,"&lt;"&amp;C461),"")</f>
        <v/>
      </c>
      <c r="S461" s="0" t="str">
        <f aca="false">IF(N461&gt;=Models!$G$7,1+COUNTIF($N$5:$N$1517,"&gt;"&amp;N461)+COUNTIFS($N$5:$N$1517,N461,$B$5:$B$1517,"&lt;"&amp;B461)+COUNTIFS($N$5:$N$1517,N461,$B$5:$B$1517,B461,$C$5:$C$1517,"&lt;"&amp;C461),"")</f>
        <v/>
      </c>
      <c r="T461" s="8" t="n">
        <f aca="false">IF(O461&gt;=Models!$G$8,1+COUNTIF($O$5:$O$1517,"&gt;"&amp;O461)+COUNTIFS($O$5:$O$1517,O461,$B$5:$B$1517,"&lt;"&amp;B461)+COUNTIFS($O$5:$O$1517,O461,$B$5:$B$1517,B461,$C$5:$C$1517,"&lt;"&amp;C461),"")</f>
        <v>356</v>
      </c>
      <c r="U461" s="8" t="n">
        <f aca="false">IF($K461=1,COUNTIFS($L$5:$L$1517,"&gt;="&amp;L461,$K$5:$K$1517,1)/COUNTIF($L$5:$L$1517,"&gt;="&amp;L461),0)</f>
        <v>0.123809523809524</v>
      </c>
      <c r="V461" s="8" t="n">
        <f aca="false">IF($K461=1,COUNTIFS($M$5:$M$1517,"&gt;="&amp;M461,$K$5:$K$1517,1)/COUNTIF($M$5:$M$1517,"&gt;="&amp;M461),0)</f>
        <v>0.12491738268341</v>
      </c>
      <c r="W461" s="8" t="n">
        <f aca="false">IF($K461=1,COUNTIFS($N$5:$N$1517,"&gt;="&amp;N461,$K$5:$K$1517,1)/COUNTIF($N$5:$N$1517,"&gt;="&amp;N461),0)</f>
        <v>0.188010899182561</v>
      </c>
      <c r="X461" s="8" t="n">
        <f aca="false">IF($K461=1,COUNTIFS($O$5:$O$1517,"&gt;="&amp;O461,$K$5:$K$1517,1)/COUNTIF($O$5:$O$1517,"&gt;="&amp;O461),0)</f>
        <v>0.12491738268341</v>
      </c>
      <c r="Y461" s="8" t="n">
        <f aca="false">IF($K461=1,COUNTIFS($P$5:$P$1517,"&gt;="&amp;P461,$K$5:$K$1517,1)/COUNTIF($P$5:$P$1517,"&gt;="&amp;P461),0)</f>
        <v>0.188010899182561</v>
      </c>
      <c r="Z461" s="8" t="n">
        <f aca="false">(L461-$K461)^2</f>
        <v>0.0047389456</v>
      </c>
      <c r="AA461" s="8" t="n">
        <f aca="false">(M461-$K461)^2</f>
        <v>0.824349595969</v>
      </c>
      <c r="AB461" s="8" t="n">
        <f aca="false">(N461-$K461)^2</f>
        <v>0.819707512129</v>
      </c>
      <c r="AC461" s="8" t="n">
        <f aca="false">(O461-$K461)^2</f>
        <v>0.798908829489</v>
      </c>
      <c r="AD461" s="8" t="n">
        <f aca="false">(P461-$K461)^2</f>
        <v>0.809953200676</v>
      </c>
      <c r="AE461" s="8" t="n">
        <f aca="false">MIN(INT(ROUND(N461*1000000,0)/100000),9)</f>
        <v>0</v>
      </c>
      <c r="AF461" s="8" t="n">
        <f aca="false">MIN(INT(ROUND(P461*1000000,0)/100000),9)</f>
        <v>1</v>
      </c>
    </row>
    <row r="462" customFormat="false" ht="15" hidden="false" customHeight="false" outlineLevel="0" collapsed="false">
      <c r="A462" s="4" t="n">
        <v>458</v>
      </c>
      <c r="B462" s="4" t="n">
        <v>496</v>
      </c>
      <c r="C462" s="4" t="n">
        <v>1</v>
      </c>
      <c r="D462" s="11" t="n">
        <v>46082</v>
      </c>
      <c r="E462" s="4" t="s">
        <v>204</v>
      </c>
      <c r="F462" s="4" t="s">
        <v>206</v>
      </c>
      <c r="G462" s="4" t="n">
        <v>2</v>
      </c>
      <c r="H462" s="4" t="n">
        <v>6</v>
      </c>
      <c r="I462" s="4" t="n">
        <v>0</v>
      </c>
      <c r="J462" s="4" t="n">
        <v>63</v>
      </c>
      <c r="K462" s="4" t="n">
        <v>0</v>
      </c>
      <c r="L462" s="12" t="n">
        <v>0.346607</v>
      </c>
      <c r="M462" s="12" t="n">
        <v>0.092063</v>
      </c>
      <c r="N462" s="12" t="n">
        <v>0.143007</v>
      </c>
      <c r="O462" s="12" t="n">
        <v>0.106183</v>
      </c>
      <c r="P462" s="12" t="n">
        <v>0.153585</v>
      </c>
      <c r="Q462" s="0" t="str">
        <f aca="false">IF(L462&gt;=Models!$G$5,1+COUNTIF($L$5:$L$1517,"&gt;"&amp;L462)+COUNTIFS($L$5:$L$1517,L462,$B$5:$B$1517,"&lt;"&amp;B462)+COUNTIFS($L$5:$L$1517,L462,$B$5:$B$1517,B462,$C$5:$C$1517,"&lt;"&amp;C462),"")</f>
        <v/>
      </c>
      <c r="R462" s="0" t="str">
        <f aca="false">IF(M462&gt;=Models!$G$6,1+COUNTIF($M$5:$M$1517,"&gt;"&amp;M462)+COUNTIFS($M$5:$M$1517,M462,$B$5:$B$1517,"&lt;"&amp;B462)+COUNTIFS($M$5:$M$1517,M462,$B$5:$B$1517,B462,$C$5:$C$1517,"&lt;"&amp;C462),"")</f>
        <v/>
      </c>
      <c r="S462" s="0" t="str">
        <f aca="false">IF(N462&gt;=Models!$G$7,1+COUNTIF($N$5:$N$1517,"&gt;"&amp;N462)+COUNTIFS($N$5:$N$1517,N462,$B$5:$B$1517,"&lt;"&amp;B462)+COUNTIFS($N$5:$N$1517,N462,$B$5:$B$1517,B462,$C$5:$C$1517,"&lt;"&amp;C462),"")</f>
        <v/>
      </c>
      <c r="T462" s="8" t="n">
        <f aca="false">IF(O462&gt;=Models!$G$8,1+COUNTIF($O$5:$O$1517,"&gt;"&amp;O462)+COUNTIFS($O$5:$O$1517,O462,$B$5:$B$1517,"&lt;"&amp;B462)+COUNTIFS($O$5:$O$1517,O462,$B$5:$B$1517,B462,$C$5:$C$1517,"&lt;"&amp;C462),"")</f>
        <v>359</v>
      </c>
      <c r="U462" s="8" t="n">
        <f aca="false">IF($K462=1,COUNTIFS($L$5:$L$1517,"&gt;="&amp;L462,$K$5:$K$1517,1)/COUNTIF($L$5:$L$1517,"&gt;="&amp;L462),0)</f>
        <v>0</v>
      </c>
      <c r="V462" s="8" t="n">
        <f aca="false">IF($K462=1,COUNTIFS($M$5:$M$1517,"&gt;="&amp;M462,$K$5:$K$1517,1)/COUNTIF($M$5:$M$1517,"&gt;="&amp;M462),0)</f>
        <v>0</v>
      </c>
      <c r="W462" s="8" t="n">
        <f aca="false">IF($K462=1,COUNTIFS($N$5:$N$1517,"&gt;="&amp;N462,$K$5:$K$1517,1)/COUNTIF($N$5:$N$1517,"&gt;="&amp;N462),0)</f>
        <v>0</v>
      </c>
      <c r="X462" s="8" t="n">
        <f aca="false">IF($K462=1,COUNTIFS($O$5:$O$1517,"&gt;="&amp;O462,$K$5:$K$1517,1)/COUNTIF($O$5:$O$1517,"&gt;="&amp;O462),0)</f>
        <v>0</v>
      </c>
      <c r="Y462" s="8" t="n">
        <f aca="false">IF($K462=1,COUNTIFS($P$5:$P$1517,"&gt;="&amp;P462,$K$5:$K$1517,1)/COUNTIF($P$5:$P$1517,"&gt;="&amp;P462),0)</f>
        <v>0</v>
      </c>
      <c r="Z462" s="8" t="n">
        <f aca="false">(L462-$K462)^2</f>
        <v>0.120136412449</v>
      </c>
      <c r="AA462" s="8" t="n">
        <f aca="false">(M462-$K462)^2</f>
        <v>0.008475595969</v>
      </c>
      <c r="AB462" s="8" t="n">
        <f aca="false">(N462-$K462)^2</f>
        <v>0.020451002049</v>
      </c>
      <c r="AC462" s="8" t="n">
        <f aca="false">(O462-$K462)^2</f>
        <v>0.011274829489</v>
      </c>
      <c r="AD462" s="8" t="n">
        <f aca="false">(P462-$K462)^2</f>
        <v>0.023588352225</v>
      </c>
      <c r="AE462" s="8" t="n">
        <f aca="false">MIN(INT(ROUND(N462*1000000,0)/100000),9)</f>
        <v>1</v>
      </c>
      <c r="AF462" s="8" t="n">
        <f aca="false">MIN(INT(ROUND(P462*1000000,0)/100000),9)</f>
        <v>1</v>
      </c>
    </row>
    <row r="463" customFormat="false" ht="15" hidden="false" customHeight="false" outlineLevel="0" collapsed="false">
      <c r="A463" s="4" t="n">
        <v>459</v>
      </c>
      <c r="B463" s="4" t="n">
        <v>497</v>
      </c>
      <c r="C463" s="4" t="n">
        <v>1</v>
      </c>
      <c r="D463" s="11" t="n">
        <v>46082</v>
      </c>
      <c r="E463" s="4" t="s">
        <v>203</v>
      </c>
      <c r="F463" s="4" t="s">
        <v>206</v>
      </c>
      <c r="G463" s="4" t="n">
        <v>4</v>
      </c>
      <c r="H463" s="4" t="n">
        <v>6</v>
      </c>
      <c r="I463" s="4" t="n">
        <v>0</v>
      </c>
      <c r="J463" s="4" t="n">
        <v>369</v>
      </c>
      <c r="K463" s="4" t="n">
        <v>0</v>
      </c>
      <c r="L463" s="12" t="n">
        <v>0.351051</v>
      </c>
      <c r="M463" s="12" t="n">
        <v>0.092063</v>
      </c>
      <c r="N463" s="12" t="n">
        <v>0.120439</v>
      </c>
      <c r="O463" s="12" t="n">
        <v>0.106183</v>
      </c>
      <c r="P463" s="12" t="n">
        <v>0.128542</v>
      </c>
      <c r="Q463" s="0" t="str">
        <f aca="false">IF(L463&gt;=Models!$G$5,1+COUNTIF($L$5:$L$1517,"&gt;"&amp;L463)+COUNTIFS($L$5:$L$1517,L463,$B$5:$B$1517,"&lt;"&amp;B463)+COUNTIFS($L$5:$L$1517,L463,$B$5:$B$1517,B463,$C$5:$C$1517,"&lt;"&amp;C463),"")</f>
        <v/>
      </c>
      <c r="R463" s="0" t="str">
        <f aca="false">IF(M463&gt;=Models!$G$6,1+COUNTIF($M$5:$M$1517,"&gt;"&amp;M463)+COUNTIFS($M$5:$M$1517,M463,$B$5:$B$1517,"&lt;"&amp;B463)+COUNTIFS($M$5:$M$1517,M463,$B$5:$B$1517,B463,$C$5:$C$1517,"&lt;"&amp;C463),"")</f>
        <v/>
      </c>
      <c r="S463" s="0" t="str">
        <f aca="false">IF(N463&gt;=Models!$G$7,1+COUNTIF($N$5:$N$1517,"&gt;"&amp;N463)+COUNTIFS($N$5:$N$1517,N463,$B$5:$B$1517,"&lt;"&amp;B463)+COUNTIFS($N$5:$N$1517,N463,$B$5:$B$1517,B463,$C$5:$C$1517,"&lt;"&amp;C463),"")</f>
        <v/>
      </c>
      <c r="T463" s="8" t="n">
        <f aca="false">IF(O463&gt;=Models!$G$8,1+COUNTIF($O$5:$O$1517,"&gt;"&amp;O463)+COUNTIFS($O$5:$O$1517,O463,$B$5:$B$1517,"&lt;"&amp;B463)+COUNTIFS($O$5:$O$1517,O463,$B$5:$B$1517,B463,$C$5:$C$1517,"&lt;"&amp;C463),"")</f>
        <v>363</v>
      </c>
      <c r="U463" s="8" t="n">
        <f aca="false">IF($K463=1,COUNTIFS($L$5:$L$1517,"&gt;="&amp;L463,$K$5:$K$1517,1)/COUNTIF($L$5:$L$1517,"&gt;="&amp;L463),0)</f>
        <v>0</v>
      </c>
      <c r="V463" s="8" t="n">
        <f aca="false">IF($K463=1,COUNTIFS($M$5:$M$1517,"&gt;="&amp;M463,$K$5:$K$1517,1)/COUNTIF($M$5:$M$1517,"&gt;="&amp;M463),0)</f>
        <v>0</v>
      </c>
      <c r="W463" s="8" t="n">
        <f aca="false">IF($K463=1,COUNTIFS($N$5:$N$1517,"&gt;="&amp;N463,$K$5:$K$1517,1)/COUNTIF($N$5:$N$1517,"&gt;="&amp;N463),0)</f>
        <v>0</v>
      </c>
      <c r="X463" s="8" t="n">
        <f aca="false">IF($K463=1,COUNTIFS($O$5:$O$1517,"&gt;="&amp;O463,$K$5:$K$1517,1)/COUNTIF($O$5:$O$1517,"&gt;="&amp;O463),0)</f>
        <v>0</v>
      </c>
      <c r="Y463" s="8" t="n">
        <f aca="false">IF($K463=1,COUNTIFS($P$5:$P$1517,"&gt;="&amp;P463,$K$5:$K$1517,1)/COUNTIF($P$5:$P$1517,"&gt;="&amp;P463),0)</f>
        <v>0</v>
      </c>
      <c r="Z463" s="8" t="n">
        <f aca="false">(L463-$K463)^2</f>
        <v>0.123236804601</v>
      </c>
      <c r="AA463" s="8" t="n">
        <f aca="false">(M463-$K463)^2</f>
        <v>0.008475595969</v>
      </c>
      <c r="AB463" s="8" t="n">
        <f aca="false">(N463-$K463)^2</f>
        <v>0.014505552721</v>
      </c>
      <c r="AC463" s="8" t="n">
        <f aca="false">(O463-$K463)^2</f>
        <v>0.011274829489</v>
      </c>
      <c r="AD463" s="8" t="n">
        <f aca="false">(P463-$K463)^2</f>
        <v>0.016523045764</v>
      </c>
      <c r="AE463" s="8" t="n">
        <f aca="false">MIN(INT(ROUND(N463*1000000,0)/100000),9)</f>
        <v>1</v>
      </c>
      <c r="AF463" s="8" t="n">
        <f aca="false">MIN(INT(ROUND(P463*1000000,0)/100000),9)</f>
        <v>1</v>
      </c>
    </row>
    <row r="464" customFormat="false" ht="15" hidden="false" customHeight="false" outlineLevel="0" collapsed="false">
      <c r="A464" s="4" t="n">
        <v>460</v>
      </c>
      <c r="B464" s="4" t="n">
        <v>499</v>
      </c>
      <c r="C464" s="4" t="n">
        <v>1</v>
      </c>
      <c r="D464" s="11" t="n">
        <v>46082</v>
      </c>
      <c r="E464" s="4" t="s">
        <v>201</v>
      </c>
      <c r="F464" s="4" t="s">
        <v>208</v>
      </c>
      <c r="G464" s="4" t="n">
        <v>15</v>
      </c>
      <c r="H464" s="4" t="n">
        <v>2</v>
      </c>
      <c r="I464" s="4" t="n">
        <v>0</v>
      </c>
      <c r="J464" s="4"/>
      <c r="K464" s="4" t="n">
        <v>0</v>
      </c>
      <c r="L464" s="12" t="n">
        <v>0.102255</v>
      </c>
      <c r="M464" s="12" t="n">
        <v>0.092063</v>
      </c>
      <c r="N464" s="12" t="n">
        <v>0.023061</v>
      </c>
      <c r="O464" s="12" t="n">
        <v>0.106183</v>
      </c>
      <c r="P464" s="12" t="n">
        <v>0.022853</v>
      </c>
      <c r="Q464" s="0" t="str">
        <f aca="false">IF(L464&gt;=Models!$G$5,1+COUNTIF($L$5:$L$1517,"&gt;"&amp;L464)+COUNTIFS($L$5:$L$1517,L464,$B$5:$B$1517,"&lt;"&amp;B464)+COUNTIFS($L$5:$L$1517,L464,$B$5:$B$1517,B464,$C$5:$C$1517,"&lt;"&amp;C464),"")</f>
        <v/>
      </c>
      <c r="R464" s="0" t="str">
        <f aca="false">IF(M464&gt;=Models!$G$6,1+COUNTIF($M$5:$M$1517,"&gt;"&amp;M464)+COUNTIFS($M$5:$M$1517,M464,$B$5:$B$1517,"&lt;"&amp;B464)+COUNTIFS($M$5:$M$1517,M464,$B$5:$B$1517,B464,$C$5:$C$1517,"&lt;"&amp;C464),"")</f>
        <v/>
      </c>
      <c r="S464" s="0" t="str">
        <f aca="false">IF(N464&gt;=Models!$G$7,1+COUNTIF($N$5:$N$1517,"&gt;"&amp;N464)+COUNTIFS($N$5:$N$1517,N464,$B$5:$B$1517,"&lt;"&amp;B464)+COUNTIFS($N$5:$N$1517,N464,$B$5:$B$1517,B464,$C$5:$C$1517,"&lt;"&amp;C464),"")</f>
        <v/>
      </c>
      <c r="T464" s="8" t="n">
        <f aca="false">IF(O464&gt;=Models!$G$8,1+COUNTIF($O$5:$O$1517,"&gt;"&amp;O464)+COUNTIFS($O$5:$O$1517,O464,$B$5:$B$1517,"&lt;"&amp;B464)+COUNTIFS($O$5:$O$1517,O464,$B$5:$B$1517,B464,$C$5:$C$1517,"&lt;"&amp;C464),"")</f>
        <v>367</v>
      </c>
      <c r="U464" s="8" t="n">
        <f aca="false">IF($K464=1,COUNTIFS($L$5:$L$1517,"&gt;="&amp;L464,$K$5:$K$1517,1)/COUNTIF($L$5:$L$1517,"&gt;="&amp;L464),0)</f>
        <v>0</v>
      </c>
      <c r="V464" s="8" t="n">
        <f aca="false">IF($K464=1,COUNTIFS($M$5:$M$1517,"&gt;="&amp;M464,$K$5:$K$1517,1)/COUNTIF($M$5:$M$1517,"&gt;="&amp;M464),0)</f>
        <v>0</v>
      </c>
      <c r="W464" s="8" t="n">
        <f aca="false">IF($K464=1,COUNTIFS($N$5:$N$1517,"&gt;="&amp;N464,$K$5:$K$1517,1)/COUNTIF($N$5:$N$1517,"&gt;="&amp;N464),0)</f>
        <v>0</v>
      </c>
      <c r="X464" s="8" t="n">
        <f aca="false">IF($K464=1,COUNTIFS($O$5:$O$1517,"&gt;="&amp;O464,$K$5:$K$1517,1)/COUNTIF($O$5:$O$1517,"&gt;="&amp;O464),0)</f>
        <v>0</v>
      </c>
      <c r="Y464" s="8" t="n">
        <f aca="false">IF($K464=1,COUNTIFS($P$5:$P$1517,"&gt;="&amp;P464,$K$5:$K$1517,1)/COUNTIF($P$5:$P$1517,"&gt;="&amp;P464),0)</f>
        <v>0</v>
      </c>
      <c r="Z464" s="8" t="n">
        <f aca="false">(L464-$K464)^2</f>
        <v>0.010456085025</v>
      </c>
      <c r="AA464" s="8" t="n">
        <f aca="false">(M464-$K464)^2</f>
        <v>0.008475595969</v>
      </c>
      <c r="AB464" s="8" t="n">
        <f aca="false">(N464-$K464)^2</f>
        <v>0.000531809721</v>
      </c>
      <c r="AC464" s="8" t="n">
        <f aca="false">(O464-$K464)^2</f>
        <v>0.011274829489</v>
      </c>
      <c r="AD464" s="8" t="n">
        <f aca="false">(P464-$K464)^2</f>
        <v>0.000522259609</v>
      </c>
      <c r="AE464" s="8" t="n">
        <f aca="false">MIN(INT(ROUND(N464*1000000,0)/100000),9)</f>
        <v>0</v>
      </c>
      <c r="AF464" s="8" t="n">
        <f aca="false">MIN(INT(ROUND(P464*1000000,0)/100000),9)</f>
        <v>0</v>
      </c>
    </row>
    <row r="465" customFormat="false" ht="15" hidden="false" customHeight="false" outlineLevel="0" collapsed="false">
      <c r="A465" s="4" t="n">
        <v>461</v>
      </c>
      <c r="B465" s="4" t="n">
        <v>500</v>
      </c>
      <c r="C465" s="4" t="n">
        <v>1</v>
      </c>
      <c r="D465" s="11" t="n">
        <v>46082</v>
      </c>
      <c r="E465" s="4" t="s">
        <v>204</v>
      </c>
      <c r="F465" s="4" t="s">
        <v>206</v>
      </c>
      <c r="G465" s="4" t="n">
        <v>1</v>
      </c>
      <c r="H465" s="4" t="n">
        <v>18</v>
      </c>
      <c r="I465" s="4" t="n">
        <v>0</v>
      </c>
      <c r="J465" s="4" t="n">
        <v>78</v>
      </c>
      <c r="K465" s="4" t="n">
        <v>0</v>
      </c>
      <c r="L465" s="12" t="n">
        <v>0.592988</v>
      </c>
      <c r="M465" s="12" t="n">
        <v>0.092063</v>
      </c>
      <c r="N465" s="12" t="n">
        <v>0.167553</v>
      </c>
      <c r="O465" s="12" t="n">
        <v>0.106183</v>
      </c>
      <c r="P465" s="12" t="n">
        <v>0.180883</v>
      </c>
      <c r="Q465" s="0" t="str">
        <f aca="false">IF(L465&gt;=Models!$G$5,1+COUNTIF($L$5:$L$1517,"&gt;"&amp;L465)+COUNTIFS($L$5:$L$1517,L465,$B$5:$B$1517,"&lt;"&amp;B465)+COUNTIFS($L$5:$L$1517,L465,$B$5:$B$1517,B465,$C$5:$C$1517,"&lt;"&amp;C465),"")</f>
        <v/>
      </c>
      <c r="R465" s="0" t="str">
        <f aca="false">IF(M465&gt;=Models!$G$6,1+COUNTIF($M$5:$M$1517,"&gt;"&amp;M465)+COUNTIFS($M$5:$M$1517,M465,$B$5:$B$1517,"&lt;"&amp;B465)+COUNTIFS($M$5:$M$1517,M465,$B$5:$B$1517,B465,$C$5:$C$1517,"&lt;"&amp;C465),"")</f>
        <v/>
      </c>
      <c r="S465" s="0" t="str">
        <f aca="false">IF(N465&gt;=Models!$G$7,1+COUNTIF($N$5:$N$1517,"&gt;"&amp;N465)+COUNTIFS($N$5:$N$1517,N465,$B$5:$B$1517,"&lt;"&amp;B465)+COUNTIFS($N$5:$N$1517,N465,$B$5:$B$1517,B465,$C$5:$C$1517,"&lt;"&amp;C465),"")</f>
        <v/>
      </c>
      <c r="T465" s="8" t="n">
        <f aca="false">IF(O465&gt;=Models!$G$8,1+COUNTIF($O$5:$O$1517,"&gt;"&amp;O465)+COUNTIFS($O$5:$O$1517,O465,$B$5:$B$1517,"&lt;"&amp;B465)+COUNTIFS($O$5:$O$1517,O465,$B$5:$B$1517,B465,$C$5:$C$1517,"&lt;"&amp;C465),"")</f>
        <v>371</v>
      </c>
      <c r="U465" s="8" t="n">
        <f aca="false">IF($K465=1,COUNTIFS($L$5:$L$1517,"&gt;="&amp;L465,$K$5:$K$1517,1)/COUNTIF($L$5:$L$1517,"&gt;="&amp;L465),0)</f>
        <v>0</v>
      </c>
      <c r="V465" s="8" t="n">
        <f aca="false">IF($K465=1,COUNTIFS($M$5:$M$1517,"&gt;="&amp;M465,$K$5:$K$1517,1)/COUNTIF($M$5:$M$1517,"&gt;="&amp;M465),0)</f>
        <v>0</v>
      </c>
      <c r="W465" s="8" t="n">
        <f aca="false">IF($K465=1,COUNTIFS($N$5:$N$1517,"&gt;="&amp;N465,$K$5:$K$1517,1)/COUNTIF($N$5:$N$1517,"&gt;="&amp;N465),0)</f>
        <v>0</v>
      </c>
      <c r="X465" s="8" t="n">
        <f aca="false">IF($K465=1,COUNTIFS($O$5:$O$1517,"&gt;="&amp;O465,$K$5:$K$1517,1)/COUNTIF($O$5:$O$1517,"&gt;="&amp;O465),0)</f>
        <v>0</v>
      </c>
      <c r="Y465" s="8" t="n">
        <f aca="false">IF($K465=1,COUNTIFS($P$5:$P$1517,"&gt;="&amp;P465,$K$5:$K$1517,1)/COUNTIF($P$5:$P$1517,"&gt;="&amp;P465),0)</f>
        <v>0</v>
      </c>
      <c r="Z465" s="8" t="n">
        <f aca="false">(L465-$K465)^2</f>
        <v>0.351634768144</v>
      </c>
      <c r="AA465" s="8" t="n">
        <f aca="false">(M465-$K465)^2</f>
        <v>0.008475595969</v>
      </c>
      <c r="AB465" s="8" t="n">
        <f aca="false">(N465-$K465)^2</f>
        <v>0.028074007809</v>
      </c>
      <c r="AC465" s="8" t="n">
        <f aca="false">(O465-$K465)^2</f>
        <v>0.011274829489</v>
      </c>
      <c r="AD465" s="8" t="n">
        <f aca="false">(P465-$K465)^2</f>
        <v>0.032718659689</v>
      </c>
      <c r="AE465" s="8" t="n">
        <f aca="false">MIN(INT(ROUND(N465*1000000,0)/100000),9)</f>
        <v>1</v>
      </c>
      <c r="AF465" s="8" t="n">
        <f aca="false">MIN(INT(ROUND(P465*1000000,0)/100000),9)</f>
        <v>1</v>
      </c>
    </row>
    <row r="466" customFormat="false" ht="15" hidden="false" customHeight="false" outlineLevel="0" collapsed="false">
      <c r="A466" s="4" t="n">
        <v>462</v>
      </c>
      <c r="B466" s="4" t="n">
        <v>508</v>
      </c>
      <c r="C466" s="4" t="n">
        <v>1</v>
      </c>
      <c r="D466" s="11" t="n">
        <v>46082</v>
      </c>
      <c r="E466" s="4" t="s">
        <v>204</v>
      </c>
      <c r="F466" s="4" t="s">
        <v>209</v>
      </c>
      <c r="G466" s="4" t="n">
        <v>2</v>
      </c>
      <c r="H466" s="4" t="n">
        <v>16</v>
      </c>
      <c r="I466" s="4" t="n">
        <v>0</v>
      </c>
      <c r="J466" s="4" t="n">
        <v>75</v>
      </c>
      <c r="K466" s="4" t="n">
        <v>0</v>
      </c>
      <c r="L466" s="12" t="n">
        <v>0.545875</v>
      </c>
      <c r="M466" s="12" t="n">
        <v>0.092063</v>
      </c>
      <c r="N466" s="12" t="n">
        <v>0.153257</v>
      </c>
      <c r="O466" s="12" t="n">
        <v>0.106183</v>
      </c>
      <c r="P466" s="12" t="n">
        <v>0.164979</v>
      </c>
      <c r="Q466" s="0" t="str">
        <f aca="false">IF(L466&gt;=Models!$G$5,1+COUNTIF($L$5:$L$1517,"&gt;"&amp;L466)+COUNTIFS($L$5:$L$1517,L466,$B$5:$B$1517,"&lt;"&amp;B466)+COUNTIFS($L$5:$L$1517,L466,$B$5:$B$1517,B466,$C$5:$C$1517,"&lt;"&amp;C466),"")</f>
        <v/>
      </c>
      <c r="R466" s="0" t="str">
        <f aca="false">IF(M466&gt;=Models!$G$6,1+COUNTIF($M$5:$M$1517,"&gt;"&amp;M466)+COUNTIFS($M$5:$M$1517,M466,$B$5:$B$1517,"&lt;"&amp;B466)+COUNTIFS($M$5:$M$1517,M466,$B$5:$B$1517,B466,$C$5:$C$1517,"&lt;"&amp;C466),"")</f>
        <v/>
      </c>
      <c r="S466" s="0" t="str">
        <f aca="false">IF(N466&gt;=Models!$G$7,1+COUNTIF($N$5:$N$1517,"&gt;"&amp;N466)+COUNTIFS($N$5:$N$1517,N466,$B$5:$B$1517,"&lt;"&amp;B466)+COUNTIFS($N$5:$N$1517,N466,$B$5:$B$1517,B466,$C$5:$C$1517,"&lt;"&amp;C466),"")</f>
        <v/>
      </c>
      <c r="T466" s="8" t="n">
        <f aca="false">IF(O466&gt;=Models!$G$8,1+COUNTIF($O$5:$O$1517,"&gt;"&amp;O466)+COUNTIFS($O$5:$O$1517,O466,$B$5:$B$1517,"&lt;"&amp;B466)+COUNTIFS($O$5:$O$1517,O466,$B$5:$B$1517,B466,$C$5:$C$1517,"&lt;"&amp;C466),"")</f>
        <v>375</v>
      </c>
      <c r="U466" s="8" t="n">
        <f aca="false">IF($K466=1,COUNTIFS($L$5:$L$1517,"&gt;="&amp;L466,$K$5:$K$1517,1)/COUNTIF($L$5:$L$1517,"&gt;="&amp;L466),0)</f>
        <v>0</v>
      </c>
      <c r="V466" s="8" t="n">
        <f aca="false">IF($K466=1,COUNTIFS($M$5:$M$1517,"&gt;="&amp;M466,$K$5:$K$1517,1)/COUNTIF($M$5:$M$1517,"&gt;="&amp;M466),0)</f>
        <v>0</v>
      </c>
      <c r="W466" s="8" t="n">
        <f aca="false">IF($K466=1,COUNTIFS($N$5:$N$1517,"&gt;="&amp;N466,$K$5:$K$1517,1)/COUNTIF($N$5:$N$1517,"&gt;="&amp;N466),0)</f>
        <v>0</v>
      </c>
      <c r="X466" s="8" t="n">
        <f aca="false">IF($K466=1,COUNTIFS($O$5:$O$1517,"&gt;="&amp;O466,$K$5:$K$1517,1)/COUNTIF($O$5:$O$1517,"&gt;="&amp;O466),0)</f>
        <v>0</v>
      </c>
      <c r="Y466" s="8" t="n">
        <f aca="false">IF($K466=1,COUNTIFS($P$5:$P$1517,"&gt;="&amp;P466,$K$5:$K$1517,1)/COUNTIF($P$5:$P$1517,"&gt;="&amp;P466),0)</f>
        <v>0</v>
      </c>
      <c r="Z466" s="8" t="n">
        <f aca="false">(L466-$K466)^2</f>
        <v>0.297979515625</v>
      </c>
      <c r="AA466" s="8" t="n">
        <f aca="false">(M466-$K466)^2</f>
        <v>0.008475595969</v>
      </c>
      <c r="AB466" s="8" t="n">
        <f aca="false">(N466-$K466)^2</f>
        <v>0.023487708049</v>
      </c>
      <c r="AC466" s="8" t="n">
        <f aca="false">(O466-$K466)^2</f>
        <v>0.011274829489</v>
      </c>
      <c r="AD466" s="8" t="n">
        <f aca="false">(P466-$K466)^2</f>
        <v>0.027218070441</v>
      </c>
      <c r="AE466" s="8" t="n">
        <f aca="false">MIN(INT(ROUND(N466*1000000,0)/100000),9)</f>
        <v>1</v>
      </c>
      <c r="AF466" s="8" t="n">
        <f aca="false">MIN(INT(ROUND(P466*1000000,0)/100000),9)</f>
        <v>1</v>
      </c>
    </row>
    <row r="467" customFormat="false" ht="15" hidden="false" customHeight="false" outlineLevel="0" collapsed="false">
      <c r="A467" s="4" t="n">
        <v>463</v>
      </c>
      <c r="B467" s="4" t="n">
        <v>510</v>
      </c>
      <c r="C467" s="4" t="n">
        <v>1</v>
      </c>
      <c r="D467" s="11" t="n">
        <v>46082</v>
      </c>
      <c r="E467" s="4" t="s">
        <v>204</v>
      </c>
      <c r="F467" s="4" t="s">
        <v>210</v>
      </c>
      <c r="G467" s="4" t="n">
        <v>3</v>
      </c>
      <c r="H467" s="4" t="n">
        <v>14</v>
      </c>
      <c r="I467" s="4" t="n">
        <v>0</v>
      </c>
      <c r="J467" s="4" t="n">
        <v>71.4</v>
      </c>
      <c r="K467" s="4" t="n">
        <v>1</v>
      </c>
      <c r="L467" s="12" t="n">
        <v>0.451635</v>
      </c>
      <c r="M467" s="12" t="n">
        <v>0.092063</v>
      </c>
      <c r="N467" s="12" t="n">
        <v>0.13998</v>
      </c>
      <c r="O467" s="12" t="n">
        <v>0.106183</v>
      </c>
      <c r="P467" s="12" t="n">
        <v>0.150222</v>
      </c>
      <c r="Q467" s="0" t="str">
        <f aca="false">IF(L467&gt;=Models!$G$5,1+COUNTIF($L$5:$L$1517,"&gt;"&amp;L467)+COUNTIFS($L$5:$L$1517,L467,$B$5:$B$1517,"&lt;"&amp;B467)+COUNTIFS($L$5:$L$1517,L467,$B$5:$B$1517,B467,$C$5:$C$1517,"&lt;"&amp;C467),"")</f>
        <v/>
      </c>
      <c r="R467" s="0" t="str">
        <f aca="false">IF(M467&gt;=Models!$G$6,1+COUNTIF($M$5:$M$1517,"&gt;"&amp;M467)+COUNTIFS($M$5:$M$1517,M467,$B$5:$B$1517,"&lt;"&amp;B467)+COUNTIFS($M$5:$M$1517,M467,$B$5:$B$1517,B467,$C$5:$C$1517,"&lt;"&amp;C467),"")</f>
        <v/>
      </c>
      <c r="S467" s="0" t="str">
        <f aca="false">IF(N467&gt;=Models!$G$7,1+COUNTIF($N$5:$N$1517,"&gt;"&amp;N467)+COUNTIFS($N$5:$N$1517,N467,$B$5:$B$1517,"&lt;"&amp;B467)+COUNTIFS($N$5:$N$1517,N467,$B$5:$B$1517,B467,$C$5:$C$1517,"&lt;"&amp;C467),"")</f>
        <v/>
      </c>
      <c r="T467" s="8" t="n">
        <f aca="false">IF(O467&gt;=Models!$G$8,1+COUNTIF($O$5:$O$1517,"&gt;"&amp;O467)+COUNTIFS($O$5:$O$1517,O467,$B$5:$B$1517,"&lt;"&amp;B467)+COUNTIFS($O$5:$O$1517,O467,$B$5:$B$1517,B467,$C$5:$C$1517,"&lt;"&amp;C467),"")</f>
        <v>379</v>
      </c>
      <c r="U467" s="8" t="n">
        <f aca="false">IF($K467=1,COUNTIFS($L$5:$L$1517,"&gt;="&amp;L467,$K$5:$K$1517,1)/COUNTIF($L$5:$L$1517,"&gt;="&amp;L467),0)</f>
        <v>0.125916870415648</v>
      </c>
      <c r="V467" s="8" t="n">
        <f aca="false">IF($K467=1,COUNTIFS($M$5:$M$1517,"&gt;="&amp;M467,$K$5:$K$1517,1)/COUNTIF($M$5:$M$1517,"&gt;="&amp;M467),0)</f>
        <v>0.12491738268341</v>
      </c>
      <c r="W467" s="8" t="n">
        <f aca="false">IF($K467=1,COUNTIFS($N$5:$N$1517,"&gt;="&amp;N467,$K$5:$K$1517,1)/COUNTIF($N$5:$N$1517,"&gt;="&amp;N467),0)</f>
        <v>0.287272727272727</v>
      </c>
      <c r="X467" s="8" t="n">
        <f aca="false">IF($K467=1,COUNTIFS($O$5:$O$1517,"&gt;="&amp;O467,$K$5:$K$1517,1)/COUNTIF($O$5:$O$1517,"&gt;="&amp;O467),0)</f>
        <v>0.12491738268341</v>
      </c>
      <c r="Y467" s="8" t="n">
        <f aca="false">IF($K467=1,COUNTIFS($P$5:$P$1517,"&gt;="&amp;P467,$K$5:$K$1517,1)/COUNTIF($P$5:$P$1517,"&gt;="&amp;P467),0)</f>
        <v>0.287272727272727</v>
      </c>
      <c r="Z467" s="8" t="n">
        <f aca="false">(L467-$K467)^2</f>
        <v>0.300704173225</v>
      </c>
      <c r="AA467" s="8" t="n">
        <f aca="false">(M467-$K467)^2</f>
        <v>0.824349595969</v>
      </c>
      <c r="AB467" s="8" t="n">
        <f aca="false">(N467-$K467)^2</f>
        <v>0.7396344004</v>
      </c>
      <c r="AC467" s="8" t="n">
        <f aca="false">(O467-$K467)^2</f>
        <v>0.798908829489</v>
      </c>
      <c r="AD467" s="8" t="n">
        <f aca="false">(P467-$K467)^2</f>
        <v>0.722122649284</v>
      </c>
      <c r="AE467" s="8" t="n">
        <f aca="false">MIN(INT(ROUND(N467*1000000,0)/100000),9)</f>
        <v>1</v>
      </c>
      <c r="AF467" s="8" t="n">
        <f aca="false">MIN(INT(ROUND(P467*1000000,0)/100000),9)</f>
        <v>1</v>
      </c>
    </row>
    <row r="468" customFormat="false" ht="15" hidden="false" customHeight="false" outlineLevel="0" collapsed="false">
      <c r="A468" s="4" t="n">
        <v>464</v>
      </c>
      <c r="B468" s="4" t="n">
        <v>512</v>
      </c>
      <c r="C468" s="4" t="n">
        <v>1</v>
      </c>
      <c r="D468" s="11" t="n">
        <v>46082</v>
      </c>
      <c r="E468" s="4" t="s">
        <v>201</v>
      </c>
      <c r="F468" s="4" t="s">
        <v>208</v>
      </c>
      <c r="G468" s="4" t="n">
        <v>6</v>
      </c>
      <c r="H468" s="4" t="n">
        <v>11</v>
      </c>
      <c r="I468" s="4" t="n">
        <v>0</v>
      </c>
      <c r="J468" s="4" t="n">
        <v>4344</v>
      </c>
      <c r="K468" s="4" t="n">
        <v>1</v>
      </c>
      <c r="L468" s="12" t="n">
        <v>0.433866</v>
      </c>
      <c r="M468" s="12" t="n">
        <v>0.092063</v>
      </c>
      <c r="N468" s="12" t="n">
        <v>0.086423</v>
      </c>
      <c r="O468" s="12" t="n">
        <v>0.106183</v>
      </c>
      <c r="P468" s="12" t="n">
        <v>0.091012</v>
      </c>
      <c r="Q468" s="0" t="str">
        <f aca="false">IF(L468&gt;=Models!$G$5,1+COUNTIF($L$5:$L$1517,"&gt;"&amp;L468)+COUNTIFS($L$5:$L$1517,L468,$B$5:$B$1517,"&lt;"&amp;B468)+COUNTIFS($L$5:$L$1517,L468,$B$5:$B$1517,B468,$C$5:$C$1517,"&lt;"&amp;C468),"")</f>
        <v/>
      </c>
      <c r="R468" s="0" t="str">
        <f aca="false">IF(M468&gt;=Models!$G$6,1+COUNTIF($M$5:$M$1517,"&gt;"&amp;M468)+COUNTIFS($M$5:$M$1517,M468,$B$5:$B$1517,"&lt;"&amp;B468)+COUNTIFS($M$5:$M$1517,M468,$B$5:$B$1517,B468,$C$5:$C$1517,"&lt;"&amp;C468),"")</f>
        <v/>
      </c>
      <c r="S468" s="0" t="str">
        <f aca="false">IF(N468&gt;=Models!$G$7,1+COUNTIF($N$5:$N$1517,"&gt;"&amp;N468)+COUNTIFS($N$5:$N$1517,N468,$B$5:$B$1517,"&lt;"&amp;B468)+COUNTIFS($N$5:$N$1517,N468,$B$5:$B$1517,B468,$C$5:$C$1517,"&lt;"&amp;C468),"")</f>
        <v/>
      </c>
      <c r="T468" s="8" t="n">
        <f aca="false">IF(O468&gt;=Models!$G$8,1+COUNTIF($O$5:$O$1517,"&gt;"&amp;O468)+COUNTIFS($O$5:$O$1517,O468,$B$5:$B$1517,"&lt;"&amp;B468)+COUNTIFS($O$5:$O$1517,O468,$B$5:$B$1517,B468,$C$5:$C$1517,"&lt;"&amp;C468),"")</f>
        <v>383</v>
      </c>
      <c r="U468" s="8" t="n">
        <f aca="false">IF($K468=1,COUNTIFS($L$5:$L$1517,"&gt;="&amp;L468,$K$5:$K$1517,1)/COUNTIF($L$5:$L$1517,"&gt;="&amp;L468),0)</f>
        <v>0.125741399762752</v>
      </c>
      <c r="V468" s="8" t="n">
        <f aca="false">IF($K468=1,COUNTIFS($M$5:$M$1517,"&gt;="&amp;M468,$K$5:$K$1517,1)/COUNTIF($M$5:$M$1517,"&gt;="&amp;M468),0)</f>
        <v>0.12491738268341</v>
      </c>
      <c r="W468" s="8" t="n">
        <f aca="false">IF($K468=1,COUNTIFS($N$5:$N$1517,"&gt;="&amp;N468,$K$5:$K$1517,1)/COUNTIF($N$5:$N$1517,"&gt;="&amp;N468),0)</f>
        <v>0.177997527812114</v>
      </c>
      <c r="X468" s="8" t="n">
        <f aca="false">IF($K468=1,COUNTIFS($O$5:$O$1517,"&gt;="&amp;O468,$K$5:$K$1517,1)/COUNTIF($O$5:$O$1517,"&gt;="&amp;O468),0)</f>
        <v>0.12491738268341</v>
      </c>
      <c r="Y468" s="8" t="n">
        <f aca="false">IF($K468=1,COUNTIFS($P$5:$P$1517,"&gt;="&amp;P468,$K$5:$K$1517,1)/COUNTIF($P$5:$P$1517,"&gt;="&amp;P468),0)</f>
        <v>0.177997527812114</v>
      </c>
      <c r="Z468" s="8" t="n">
        <f aca="false">(L468-$K468)^2</f>
        <v>0.320507705956</v>
      </c>
      <c r="AA468" s="8" t="n">
        <f aca="false">(M468-$K468)^2</f>
        <v>0.824349595969</v>
      </c>
      <c r="AB468" s="8" t="n">
        <f aca="false">(N468-$K468)^2</f>
        <v>0.834622934929</v>
      </c>
      <c r="AC468" s="8" t="n">
        <f aca="false">(O468-$K468)^2</f>
        <v>0.798908829489</v>
      </c>
      <c r="AD468" s="8" t="n">
        <f aca="false">(P468-$K468)^2</f>
        <v>0.826259184144</v>
      </c>
      <c r="AE468" s="8" t="n">
        <f aca="false">MIN(INT(ROUND(N468*1000000,0)/100000),9)</f>
        <v>0</v>
      </c>
      <c r="AF468" s="8" t="n">
        <f aca="false">MIN(INT(ROUND(P468*1000000,0)/100000),9)</f>
        <v>0</v>
      </c>
    </row>
    <row r="469" customFormat="false" ht="15" hidden="false" customHeight="false" outlineLevel="0" collapsed="false">
      <c r="A469" s="4" t="n">
        <v>465</v>
      </c>
      <c r="B469" s="4" t="n">
        <v>513</v>
      </c>
      <c r="C469" s="4" t="n">
        <v>1</v>
      </c>
      <c r="D469" s="11" t="n">
        <v>46082</v>
      </c>
      <c r="E469" s="4" t="s">
        <v>204</v>
      </c>
      <c r="F469" s="4" t="s">
        <v>206</v>
      </c>
      <c r="G469" s="4" t="n">
        <v>4</v>
      </c>
      <c r="H469" s="4" t="n">
        <v>14</v>
      </c>
      <c r="I469" s="4" t="n">
        <v>0</v>
      </c>
      <c r="J469" s="4" t="n">
        <v>117</v>
      </c>
      <c r="K469" s="4" t="n">
        <v>0</v>
      </c>
      <c r="L469" s="12" t="n">
        <v>0.524052</v>
      </c>
      <c r="M469" s="12" t="n">
        <v>0.092063</v>
      </c>
      <c r="N469" s="12" t="n">
        <v>0.129195</v>
      </c>
      <c r="O469" s="12" t="n">
        <v>0.106183</v>
      </c>
      <c r="P469" s="12" t="n">
        <v>0.138249</v>
      </c>
      <c r="Q469" s="0" t="str">
        <f aca="false">IF(L469&gt;=Models!$G$5,1+COUNTIF($L$5:$L$1517,"&gt;"&amp;L469)+COUNTIFS($L$5:$L$1517,L469,$B$5:$B$1517,"&lt;"&amp;B469)+COUNTIFS($L$5:$L$1517,L469,$B$5:$B$1517,B469,$C$5:$C$1517,"&lt;"&amp;C469),"")</f>
        <v/>
      </c>
      <c r="R469" s="0" t="str">
        <f aca="false">IF(M469&gt;=Models!$G$6,1+COUNTIF($M$5:$M$1517,"&gt;"&amp;M469)+COUNTIFS($M$5:$M$1517,M469,$B$5:$B$1517,"&lt;"&amp;B469)+COUNTIFS($M$5:$M$1517,M469,$B$5:$B$1517,B469,$C$5:$C$1517,"&lt;"&amp;C469),"")</f>
        <v/>
      </c>
      <c r="S469" s="0" t="str">
        <f aca="false">IF(N469&gt;=Models!$G$7,1+COUNTIF($N$5:$N$1517,"&gt;"&amp;N469)+COUNTIFS($N$5:$N$1517,N469,$B$5:$B$1517,"&lt;"&amp;B469)+COUNTIFS($N$5:$N$1517,N469,$B$5:$B$1517,B469,$C$5:$C$1517,"&lt;"&amp;C469),"")</f>
        <v/>
      </c>
      <c r="T469" s="8" t="n">
        <f aca="false">IF(O469&gt;=Models!$G$8,1+COUNTIF($O$5:$O$1517,"&gt;"&amp;O469)+COUNTIFS($O$5:$O$1517,O469,$B$5:$B$1517,"&lt;"&amp;B469)+COUNTIFS($O$5:$O$1517,O469,$B$5:$B$1517,B469,$C$5:$C$1517,"&lt;"&amp;C469),"")</f>
        <v>386</v>
      </c>
      <c r="U469" s="8" t="n">
        <f aca="false">IF($K469=1,COUNTIFS($L$5:$L$1517,"&gt;="&amp;L469,$K$5:$K$1517,1)/COUNTIF($L$5:$L$1517,"&gt;="&amp;L469),0)</f>
        <v>0</v>
      </c>
      <c r="V469" s="8" t="n">
        <f aca="false">IF($K469=1,COUNTIFS($M$5:$M$1517,"&gt;="&amp;M469,$K$5:$K$1517,1)/COUNTIF($M$5:$M$1517,"&gt;="&amp;M469),0)</f>
        <v>0</v>
      </c>
      <c r="W469" s="8" t="n">
        <f aca="false">IF($K469=1,COUNTIFS($N$5:$N$1517,"&gt;="&amp;N469,$K$5:$K$1517,1)/COUNTIF($N$5:$N$1517,"&gt;="&amp;N469),0)</f>
        <v>0</v>
      </c>
      <c r="X469" s="8" t="n">
        <f aca="false">IF($K469=1,COUNTIFS($O$5:$O$1517,"&gt;="&amp;O469,$K$5:$K$1517,1)/COUNTIF($O$5:$O$1517,"&gt;="&amp;O469),0)</f>
        <v>0</v>
      </c>
      <c r="Y469" s="8" t="n">
        <f aca="false">IF($K469=1,COUNTIFS($P$5:$P$1517,"&gt;="&amp;P469,$K$5:$K$1517,1)/COUNTIF($P$5:$P$1517,"&gt;="&amp;P469),0)</f>
        <v>0</v>
      </c>
      <c r="Z469" s="8" t="n">
        <f aca="false">(L469-$K469)^2</f>
        <v>0.274630498704</v>
      </c>
      <c r="AA469" s="8" t="n">
        <f aca="false">(M469-$K469)^2</f>
        <v>0.008475595969</v>
      </c>
      <c r="AB469" s="8" t="n">
        <f aca="false">(N469-$K469)^2</f>
        <v>0.016691348025</v>
      </c>
      <c r="AC469" s="8" t="n">
        <f aca="false">(O469-$K469)^2</f>
        <v>0.011274829489</v>
      </c>
      <c r="AD469" s="8" t="n">
        <f aca="false">(P469-$K469)^2</f>
        <v>0.019112786001</v>
      </c>
      <c r="AE469" s="8" t="n">
        <f aca="false">MIN(INT(ROUND(N469*1000000,0)/100000),9)</f>
        <v>1</v>
      </c>
      <c r="AF469" s="8" t="n">
        <f aca="false">MIN(INT(ROUND(P469*1000000,0)/100000),9)</f>
        <v>1</v>
      </c>
    </row>
    <row r="470" customFormat="false" ht="15" hidden="false" customHeight="false" outlineLevel="0" collapsed="false">
      <c r="A470" s="4" t="n">
        <v>466</v>
      </c>
      <c r="B470" s="4" t="n">
        <v>514</v>
      </c>
      <c r="C470" s="4" t="n">
        <v>1</v>
      </c>
      <c r="D470" s="11" t="n">
        <v>46082</v>
      </c>
      <c r="E470" s="4" t="s">
        <v>203</v>
      </c>
      <c r="F470" s="4" t="s">
        <v>208</v>
      </c>
      <c r="G470" s="4" t="n">
        <v>9</v>
      </c>
      <c r="H470" s="4" t="n">
        <v>1</v>
      </c>
      <c r="I470" s="4" t="n">
        <v>0</v>
      </c>
      <c r="J470" s="4"/>
      <c r="K470" s="4" t="n">
        <v>0</v>
      </c>
      <c r="L470" s="12" t="n">
        <v>0.767361</v>
      </c>
      <c r="M470" s="12" t="n">
        <v>0.092063</v>
      </c>
      <c r="N470" s="12" t="n">
        <v>0.038622</v>
      </c>
      <c r="O470" s="12" t="n">
        <v>0.106183</v>
      </c>
      <c r="P470" s="12" t="n">
        <v>0.039222</v>
      </c>
      <c r="Q470" s="0" t="str">
        <f aca="false">IF(L470&gt;=Models!$G$5,1+COUNTIF($L$5:$L$1517,"&gt;"&amp;L470)+COUNTIFS($L$5:$L$1517,L470,$B$5:$B$1517,"&lt;"&amp;B470)+COUNTIFS($L$5:$L$1517,L470,$B$5:$B$1517,B470,$C$5:$C$1517,"&lt;"&amp;C470),"")</f>
        <v/>
      </c>
      <c r="R470" s="0" t="str">
        <f aca="false">IF(M470&gt;=Models!$G$6,1+COUNTIF($M$5:$M$1517,"&gt;"&amp;M470)+COUNTIFS($M$5:$M$1517,M470,$B$5:$B$1517,"&lt;"&amp;B470)+COUNTIFS($M$5:$M$1517,M470,$B$5:$B$1517,B470,$C$5:$C$1517,"&lt;"&amp;C470),"")</f>
        <v/>
      </c>
      <c r="S470" s="0" t="str">
        <f aca="false">IF(N470&gt;=Models!$G$7,1+COUNTIF($N$5:$N$1517,"&gt;"&amp;N470)+COUNTIFS($N$5:$N$1517,N470,$B$5:$B$1517,"&lt;"&amp;B470)+COUNTIFS($N$5:$N$1517,N470,$B$5:$B$1517,B470,$C$5:$C$1517,"&lt;"&amp;C470),"")</f>
        <v/>
      </c>
      <c r="T470" s="8" t="n">
        <f aca="false">IF(O470&gt;=Models!$G$8,1+COUNTIF($O$5:$O$1517,"&gt;"&amp;O470)+COUNTIFS($O$5:$O$1517,O470,$B$5:$B$1517,"&lt;"&amp;B470)+COUNTIFS($O$5:$O$1517,O470,$B$5:$B$1517,B470,$C$5:$C$1517,"&lt;"&amp;C470),"")</f>
        <v>390</v>
      </c>
      <c r="U470" s="8" t="n">
        <f aca="false">IF($K470=1,COUNTIFS($L$5:$L$1517,"&gt;="&amp;L470,$K$5:$K$1517,1)/COUNTIF($L$5:$L$1517,"&gt;="&amp;L470),0)</f>
        <v>0</v>
      </c>
      <c r="V470" s="8" t="n">
        <f aca="false">IF($K470=1,COUNTIFS($M$5:$M$1517,"&gt;="&amp;M470,$K$5:$K$1517,1)/COUNTIF($M$5:$M$1517,"&gt;="&amp;M470),0)</f>
        <v>0</v>
      </c>
      <c r="W470" s="8" t="n">
        <f aca="false">IF($K470=1,COUNTIFS($N$5:$N$1517,"&gt;="&amp;N470,$K$5:$K$1517,1)/COUNTIF($N$5:$N$1517,"&gt;="&amp;N470),0)</f>
        <v>0</v>
      </c>
      <c r="X470" s="8" t="n">
        <f aca="false">IF($K470=1,COUNTIFS($O$5:$O$1517,"&gt;="&amp;O470,$K$5:$K$1517,1)/COUNTIF($O$5:$O$1517,"&gt;="&amp;O470),0)</f>
        <v>0</v>
      </c>
      <c r="Y470" s="8" t="n">
        <f aca="false">IF($K470=1,COUNTIFS($P$5:$P$1517,"&gt;="&amp;P470,$K$5:$K$1517,1)/COUNTIF($P$5:$P$1517,"&gt;="&amp;P470),0)</f>
        <v>0</v>
      </c>
      <c r="Z470" s="8" t="n">
        <f aca="false">(L470-$K470)^2</f>
        <v>0.588842904321</v>
      </c>
      <c r="AA470" s="8" t="n">
        <f aca="false">(M470-$K470)^2</f>
        <v>0.008475595969</v>
      </c>
      <c r="AB470" s="8" t="n">
        <f aca="false">(N470-$K470)^2</f>
        <v>0.001491658884</v>
      </c>
      <c r="AC470" s="8" t="n">
        <f aca="false">(O470-$K470)^2</f>
        <v>0.011274829489</v>
      </c>
      <c r="AD470" s="8" t="n">
        <f aca="false">(P470-$K470)^2</f>
        <v>0.001538365284</v>
      </c>
      <c r="AE470" s="8" t="n">
        <f aca="false">MIN(INT(ROUND(N470*1000000,0)/100000),9)</f>
        <v>0</v>
      </c>
      <c r="AF470" s="8" t="n">
        <f aca="false">MIN(INT(ROUND(P470*1000000,0)/100000),9)</f>
        <v>0</v>
      </c>
    </row>
    <row r="471" customFormat="false" ht="15" hidden="false" customHeight="false" outlineLevel="0" collapsed="false">
      <c r="A471" s="4" t="n">
        <v>467</v>
      </c>
      <c r="B471" s="4" t="n">
        <v>515</v>
      </c>
      <c r="C471" s="4" t="n">
        <v>1</v>
      </c>
      <c r="D471" s="11" t="n">
        <v>46082</v>
      </c>
      <c r="E471" s="4" t="s">
        <v>201</v>
      </c>
      <c r="F471" s="4" t="s">
        <v>209</v>
      </c>
      <c r="G471" s="4" t="n">
        <v>8</v>
      </c>
      <c r="H471" s="4" t="n">
        <v>0</v>
      </c>
      <c r="I471" s="4" t="n">
        <v>0</v>
      </c>
      <c r="J471" s="4"/>
      <c r="K471" s="4" t="n">
        <v>0</v>
      </c>
      <c r="L471" s="12" t="n">
        <v>0.165171</v>
      </c>
      <c r="M471" s="12" t="n">
        <v>0.092063</v>
      </c>
      <c r="N471" s="12" t="n">
        <v>0.041776</v>
      </c>
      <c r="O471" s="12" t="n">
        <v>0.106183</v>
      </c>
      <c r="P471" s="12" t="n">
        <v>0.042581</v>
      </c>
      <c r="Q471" s="0" t="str">
        <f aca="false">IF(L471&gt;=Models!$G$5,1+COUNTIF($L$5:$L$1517,"&gt;"&amp;L471)+COUNTIFS($L$5:$L$1517,L471,$B$5:$B$1517,"&lt;"&amp;B471)+COUNTIFS($L$5:$L$1517,L471,$B$5:$B$1517,B471,$C$5:$C$1517,"&lt;"&amp;C471),"")</f>
        <v/>
      </c>
      <c r="R471" s="0" t="str">
        <f aca="false">IF(M471&gt;=Models!$G$6,1+COUNTIF($M$5:$M$1517,"&gt;"&amp;M471)+COUNTIFS($M$5:$M$1517,M471,$B$5:$B$1517,"&lt;"&amp;B471)+COUNTIFS($M$5:$M$1517,M471,$B$5:$B$1517,B471,$C$5:$C$1517,"&lt;"&amp;C471),"")</f>
        <v/>
      </c>
      <c r="S471" s="0" t="str">
        <f aca="false">IF(N471&gt;=Models!$G$7,1+COUNTIF($N$5:$N$1517,"&gt;"&amp;N471)+COUNTIFS($N$5:$N$1517,N471,$B$5:$B$1517,"&lt;"&amp;B471)+COUNTIFS($N$5:$N$1517,N471,$B$5:$B$1517,B471,$C$5:$C$1517,"&lt;"&amp;C471),"")</f>
        <v/>
      </c>
      <c r="T471" s="8" t="n">
        <f aca="false">IF(O471&gt;=Models!$G$8,1+COUNTIF($O$5:$O$1517,"&gt;"&amp;O471)+COUNTIFS($O$5:$O$1517,O471,$B$5:$B$1517,"&lt;"&amp;B471)+COUNTIFS($O$5:$O$1517,O471,$B$5:$B$1517,B471,$C$5:$C$1517,"&lt;"&amp;C471),"")</f>
        <v>394</v>
      </c>
      <c r="U471" s="8" t="n">
        <f aca="false">IF($K471=1,COUNTIFS($L$5:$L$1517,"&gt;="&amp;L471,$K$5:$K$1517,1)/COUNTIF($L$5:$L$1517,"&gt;="&amp;L471),0)</f>
        <v>0</v>
      </c>
      <c r="V471" s="8" t="n">
        <f aca="false">IF($K471=1,COUNTIFS($M$5:$M$1517,"&gt;="&amp;M471,$K$5:$K$1517,1)/COUNTIF($M$5:$M$1517,"&gt;="&amp;M471),0)</f>
        <v>0</v>
      </c>
      <c r="W471" s="8" t="n">
        <f aca="false">IF($K471=1,COUNTIFS($N$5:$N$1517,"&gt;="&amp;N471,$K$5:$K$1517,1)/COUNTIF($N$5:$N$1517,"&gt;="&amp;N471),0)</f>
        <v>0</v>
      </c>
      <c r="X471" s="8" t="n">
        <f aca="false">IF($K471=1,COUNTIFS($O$5:$O$1517,"&gt;="&amp;O471,$K$5:$K$1517,1)/COUNTIF($O$5:$O$1517,"&gt;="&amp;O471),0)</f>
        <v>0</v>
      </c>
      <c r="Y471" s="8" t="n">
        <f aca="false">IF($K471=1,COUNTIFS($P$5:$P$1517,"&gt;="&amp;P471,$K$5:$K$1517,1)/COUNTIF($P$5:$P$1517,"&gt;="&amp;P471),0)</f>
        <v>0</v>
      </c>
      <c r="Z471" s="8" t="n">
        <f aca="false">(L471-$K471)^2</f>
        <v>0.027281459241</v>
      </c>
      <c r="AA471" s="8" t="n">
        <f aca="false">(M471-$K471)^2</f>
        <v>0.008475595969</v>
      </c>
      <c r="AB471" s="8" t="n">
        <f aca="false">(N471-$K471)^2</f>
        <v>0.001745234176</v>
      </c>
      <c r="AC471" s="8" t="n">
        <f aca="false">(O471-$K471)^2</f>
        <v>0.011274829489</v>
      </c>
      <c r="AD471" s="8" t="n">
        <f aca="false">(P471-$K471)^2</f>
        <v>0.001813141561</v>
      </c>
      <c r="AE471" s="8" t="n">
        <f aca="false">MIN(INT(ROUND(N471*1000000,0)/100000),9)</f>
        <v>0</v>
      </c>
      <c r="AF471" s="8" t="n">
        <f aca="false">MIN(INT(ROUND(P471*1000000,0)/100000),9)</f>
        <v>0</v>
      </c>
    </row>
    <row r="472" customFormat="false" ht="15" hidden="false" customHeight="false" outlineLevel="0" collapsed="false">
      <c r="A472" s="4" t="n">
        <v>468</v>
      </c>
      <c r="B472" s="4" t="n">
        <v>528</v>
      </c>
      <c r="C472" s="4" t="n">
        <v>1</v>
      </c>
      <c r="D472" s="11" t="n">
        <v>46082</v>
      </c>
      <c r="E472" s="4" t="s">
        <v>201</v>
      </c>
      <c r="F472" s="4" t="s">
        <v>206</v>
      </c>
      <c r="G472" s="4" t="n">
        <v>10</v>
      </c>
      <c r="H472" s="4" t="n">
        <v>5</v>
      </c>
      <c r="I472" s="4" t="n">
        <v>0</v>
      </c>
      <c r="J472" s="4" t="n">
        <v>5820</v>
      </c>
      <c r="K472" s="4" t="n">
        <v>0</v>
      </c>
      <c r="L472" s="12" t="n">
        <v>0.617511</v>
      </c>
      <c r="M472" s="12" t="n">
        <v>0.092063</v>
      </c>
      <c r="N472" s="12" t="n">
        <v>0.054528</v>
      </c>
      <c r="O472" s="12" t="n">
        <v>0.106183</v>
      </c>
      <c r="P472" s="12" t="n">
        <v>0.056267</v>
      </c>
      <c r="Q472" s="0" t="str">
        <f aca="false">IF(L472&gt;=Models!$G$5,1+COUNTIF($L$5:$L$1517,"&gt;"&amp;L472)+COUNTIFS($L$5:$L$1517,L472,$B$5:$B$1517,"&lt;"&amp;B472)+COUNTIFS($L$5:$L$1517,L472,$B$5:$B$1517,B472,$C$5:$C$1517,"&lt;"&amp;C472),"")</f>
        <v/>
      </c>
      <c r="R472" s="0" t="str">
        <f aca="false">IF(M472&gt;=Models!$G$6,1+COUNTIF($M$5:$M$1517,"&gt;"&amp;M472)+COUNTIFS($M$5:$M$1517,M472,$B$5:$B$1517,"&lt;"&amp;B472)+COUNTIFS($M$5:$M$1517,M472,$B$5:$B$1517,B472,$C$5:$C$1517,"&lt;"&amp;C472),"")</f>
        <v/>
      </c>
      <c r="S472" s="0" t="str">
        <f aca="false">IF(N472&gt;=Models!$G$7,1+COUNTIF($N$5:$N$1517,"&gt;"&amp;N472)+COUNTIFS($N$5:$N$1517,N472,$B$5:$B$1517,"&lt;"&amp;B472)+COUNTIFS($N$5:$N$1517,N472,$B$5:$B$1517,B472,$C$5:$C$1517,"&lt;"&amp;C472),"")</f>
        <v/>
      </c>
      <c r="T472" s="8" t="n">
        <f aca="false">IF(O472&gt;=Models!$G$8,1+COUNTIF($O$5:$O$1517,"&gt;"&amp;O472)+COUNTIFS($O$5:$O$1517,O472,$B$5:$B$1517,"&lt;"&amp;B472)+COUNTIFS($O$5:$O$1517,O472,$B$5:$B$1517,B472,$C$5:$C$1517,"&lt;"&amp;C472),"")</f>
        <v>398</v>
      </c>
      <c r="U472" s="8" t="n">
        <f aca="false">IF($K472=1,COUNTIFS($L$5:$L$1517,"&gt;="&amp;L472,$K$5:$K$1517,1)/COUNTIF($L$5:$L$1517,"&gt;="&amp;L472),0)</f>
        <v>0</v>
      </c>
      <c r="V472" s="8" t="n">
        <f aca="false">IF($K472=1,COUNTIFS($M$5:$M$1517,"&gt;="&amp;M472,$K$5:$K$1517,1)/COUNTIF($M$5:$M$1517,"&gt;="&amp;M472),0)</f>
        <v>0</v>
      </c>
      <c r="W472" s="8" t="n">
        <f aca="false">IF($K472=1,COUNTIFS($N$5:$N$1517,"&gt;="&amp;N472,$K$5:$K$1517,1)/COUNTIF($N$5:$N$1517,"&gt;="&amp;N472),0)</f>
        <v>0</v>
      </c>
      <c r="X472" s="8" t="n">
        <f aca="false">IF($K472=1,COUNTIFS($O$5:$O$1517,"&gt;="&amp;O472,$K$5:$K$1517,1)/COUNTIF($O$5:$O$1517,"&gt;="&amp;O472),0)</f>
        <v>0</v>
      </c>
      <c r="Y472" s="8" t="n">
        <f aca="false">IF($K472=1,COUNTIFS($P$5:$P$1517,"&gt;="&amp;P472,$K$5:$K$1517,1)/COUNTIF($P$5:$P$1517,"&gt;="&amp;P472),0)</f>
        <v>0</v>
      </c>
      <c r="Z472" s="8" t="n">
        <f aca="false">(L472-$K472)^2</f>
        <v>0.381319835121</v>
      </c>
      <c r="AA472" s="8" t="n">
        <f aca="false">(M472-$K472)^2</f>
        <v>0.008475595969</v>
      </c>
      <c r="AB472" s="8" t="n">
        <f aca="false">(N472-$K472)^2</f>
        <v>0.002973302784</v>
      </c>
      <c r="AC472" s="8" t="n">
        <f aca="false">(O472-$K472)^2</f>
        <v>0.011274829489</v>
      </c>
      <c r="AD472" s="8" t="n">
        <f aca="false">(P472-$K472)^2</f>
        <v>0.003165975289</v>
      </c>
      <c r="AE472" s="8" t="n">
        <f aca="false">MIN(INT(ROUND(N472*1000000,0)/100000),9)</f>
        <v>0</v>
      </c>
      <c r="AF472" s="8" t="n">
        <f aca="false">MIN(INT(ROUND(P472*1000000,0)/100000),9)</f>
        <v>0</v>
      </c>
    </row>
    <row r="473" customFormat="false" ht="15" hidden="false" customHeight="false" outlineLevel="0" collapsed="false">
      <c r="A473" s="4" t="n">
        <v>469</v>
      </c>
      <c r="B473" s="4" t="n">
        <v>536</v>
      </c>
      <c r="C473" s="4" t="n">
        <v>1</v>
      </c>
      <c r="D473" s="11" t="n">
        <v>46082</v>
      </c>
      <c r="E473" s="4" t="s">
        <v>204</v>
      </c>
      <c r="F473" s="4" t="s">
        <v>206</v>
      </c>
      <c r="G473" s="4" t="n">
        <v>1</v>
      </c>
      <c r="H473" s="4" t="n">
        <v>10</v>
      </c>
      <c r="I473" s="4" t="n">
        <v>0</v>
      </c>
      <c r="J473" s="4"/>
      <c r="K473" s="4" t="n">
        <v>0</v>
      </c>
      <c r="L473" s="12" t="n">
        <v>0.123984</v>
      </c>
      <c r="M473" s="12" t="n">
        <v>0.092063</v>
      </c>
      <c r="N473" s="12" t="n">
        <v>0.081596</v>
      </c>
      <c r="O473" s="12" t="n">
        <v>0.106183</v>
      </c>
      <c r="P473" s="12" t="n">
        <v>0.085719</v>
      </c>
      <c r="Q473" s="0" t="str">
        <f aca="false">IF(L473&gt;=Models!$G$5,1+COUNTIF($L$5:$L$1517,"&gt;"&amp;L473)+COUNTIFS($L$5:$L$1517,L473,$B$5:$B$1517,"&lt;"&amp;B473)+COUNTIFS($L$5:$L$1517,L473,$B$5:$B$1517,B473,$C$5:$C$1517,"&lt;"&amp;C473),"")</f>
        <v/>
      </c>
      <c r="R473" s="0" t="str">
        <f aca="false">IF(M473&gt;=Models!$G$6,1+COUNTIF($M$5:$M$1517,"&gt;"&amp;M473)+COUNTIFS($M$5:$M$1517,M473,$B$5:$B$1517,"&lt;"&amp;B473)+COUNTIFS($M$5:$M$1517,M473,$B$5:$B$1517,B473,$C$5:$C$1517,"&lt;"&amp;C473),"")</f>
        <v/>
      </c>
      <c r="S473" s="0" t="str">
        <f aca="false">IF(N473&gt;=Models!$G$7,1+COUNTIF($N$5:$N$1517,"&gt;"&amp;N473)+COUNTIFS($N$5:$N$1517,N473,$B$5:$B$1517,"&lt;"&amp;B473)+COUNTIFS($N$5:$N$1517,N473,$B$5:$B$1517,B473,$C$5:$C$1517,"&lt;"&amp;C473),"")</f>
        <v/>
      </c>
      <c r="T473" s="8" t="n">
        <f aca="false">IF(O473&gt;=Models!$G$8,1+COUNTIF($O$5:$O$1517,"&gt;"&amp;O473)+COUNTIFS($O$5:$O$1517,O473,$B$5:$B$1517,"&lt;"&amp;B473)+COUNTIFS($O$5:$O$1517,O473,$B$5:$B$1517,B473,$C$5:$C$1517,"&lt;"&amp;C473),"")</f>
        <v>402</v>
      </c>
      <c r="U473" s="8" t="n">
        <f aca="false">IF($K473=1,COUNTIFS($L$5:$L$1517,"&gt;="&amp;L473,$K$5:$K$1517,1)/COUNTIF($L$5:$L$1517,"&gt;="&amp;L473),0)</f>
        <v>0</v>
      </c>
      <c r="V473" s="8" t="n">
        <f aca="false">IF($K473=1,COUNTIFS($M$5:$M$1517,"&gt;="&amp;M473,$K$5:$K$1517,1)/COUNTIF($M$5:$M$1517,"&gt;="&amp;M473),0)</f>
        <v>0</v>
      </c>
      <c r="W473" s="8" t="n">
        <f aca="false">IF($K473=1,COUNTIFS($N$5:$N$1517,"&gt;="&amp;N473,$K$5:$K$1517,1)/COUNTIF($N$5:$N$1517,"&gt;="&amp;N473),0)</f>
        <v>0</v>
      </c>
      <c r="X473" s="8" t="n">
        <f aca="false">IF($K473=1,COUNTIFS($O$5:$O$1517,"&gt;="&amp;O473,$K$5:$K$1517,1)/COUNTIF($O$5:$O$1517,"&gt;="&amp;O473),0)</f>
        <v>0</v>
      </c>
      <c r="Y473" s="8" t="n">
        <f aca="false">IF($K473=1,COUNTIFS($P$5:$P$1517,"&gt;="&amp;P473,$K$5:$K$1517,1)/COUNTIF($P$5:$P$1517,"&gt;="&amp;P473),0)</f>
        <v>0</v>
      </c>
      <c r="Z473" s="8" t="n">
        <f aca="false">(L473-$K473)^2</f>
        <v>0.015372032256</v>
      </c>
      <c r="AA473" s="8" t="n">
        <f aca="false">(M473-$K473)^2</f>
        <v>0.008475595969</v>
      </c>
      <c r="AB473" s="8" t="n">
        <f aca="false">(N473-$K473)^2</f>
        <v>0.006657907216</v>
      </c>
      <c r="AC473" s="8" t="n">
        <f aca="false">(O473-$K473)^2</f>
        <v>0.011274829489</v>
      </c>
      <c r="AD473" s="8" t="n">
        <f aca="false">(P473-$K473)^2</f>
        <v>0.007347746961</v>
      </c>
      <c r="AE473" s="8" t="n">
        <f aca="false">MIN(INT(ROUND(N473*1000000,0)/100000),9)</f>
        <v>0</v>
      </c>
      <c r="AF473" s="8" t="n">
        <f aca="false">MIN(INT(ROUND(P473*1000000,0)/100000),9)</f>
        <v>0</v>
      </c>
    </row>
    <row r="474" customFormat="false" ht="15" hidden="false" customHeight="false" outlineLevel="0" collapsed="false">
      <c r="A474" s="4" t="n">
        <v>470</v>
      </c>
      <c r="B474" s="4" t="n">
        <v>537</v>
      </c>
      <c r="C474" s="4" t="n">
        <v>1</v>
      </c>
      <c r="D474" s="11" t="n">
        <v>46082</v>
      </c>
      <c r="E474" s="4" t="s">
        <v>202</v>
      </c>
      <c r="F474" s="4" t="s">
        <v>208</v>
      </c>
      <c r="G474" s="4" t="n">
        <v>9</v>
      </c>
      <c r="H474" s="4" t="n">
        <v>1</v>
      </c>
      <c r="I474" s="4" t="n">
        <v>0</v>
      </c>
      <c r="J474" s="4"/>
      <c r="K474" s="4" t="n">
        <v>0</v>
      </c>
      <c r="L474" s="12" t="n">
        <v>0.247491</v>
      </c>
      <c r="M474" s="12" t="n">
        <v>0.092063</v>
      </c>
      <c r="N474" s="12" t="n">
        <v>0.038622</v>
      </c>
      <c r="O474" s="12" t="n">
        <v>0.106183</v>
      </c>
      <c r="P474" s="12" t="n">
        <v>0.039222</v>
      </c>
      <c r="Q474" s="0" t="str">
        <f aca="false">IF(L474&gt;=Models!$G$5,1+COUNTIF($L$5:$L$1517,"&gt;"&amp;L474)+COUNTIFS($L$5:$L$1517,L474,$B$5:$B$1517,"&lt;"&amp;B474)+COUNTIFS($L$5:$L$1517,L474,$B$5:$B$1517,B474,$C$5:$C$1517,"&lt;"&amp;C474),"")</f>
        <v/>
      </c>
      <c r="R474" s="0" t="str">
        <f aca="false">IF(M474&gt;=Models!$G$6,1+COUNTIF($M$5:$M$1517,"&gt;"&amp;M474)+COUNTIFS($M$5:$M$1517,M474,$B$5:$B$1517,"&lt;"&amp;B474)+COUNTIFS($M$5:$M$1517,M474,$B$5:$B$1517,B474,$C$5:$C$1517,"&lt;"&amp;C474),"")</f>
        <v/>
      </c>
      <c r="S474" s="0" t="str">
        <f aca="false">IF(N474&gt;=Models!$G$7,1+COUNTIF($N$5:$N$1517,"&gt;"&amp;N474)+COUNTIFS($N$5:$N$1517,N474,$B$5:$B$1517,"&lt;"&amp;B474)+COUNTIFS($N$5:$N$1517,N474,$B$5:$B$1517,B474,$C$5:$C$1517,"&lt;"&amp;C474),"")</f>
        <v/>
      </c>
      <c r="T474" s="8" t="n">
        <f aca="false">IF(O474&gt;=Models!$G$8,1+COUNTIF($O$5:$O$1517,"&gt;"&amp;O474)+COUNTIFS($O$5:$O$1517,O474,$B$5:$B$1517,"&lt;"&amp;B474)+COUNTIFS($O$5:$O$1517,O474,$B$5:$B$1517,B474,$C$5:$C$1517,"&lt;"&amp;C474),"")</f>
        <v>406</v>
      </c>
      <c r="U474" s="8" t="n">
        <f aca="false">IF($K474=1,COUNTIFS($L$5:$L$1517,"&gt;="&amp;L474,$K$5:$K$1517,1)/COUNTIF($L$5:$L$1517,"&gt;="&amp;L474),0)</f>
        <v>0</v>
      </c>
      <c r="V474" s="8" t="n">
        <f aca="false">IF($K474=1,COUNTIFS($M$5:$M$1517,"&gt;="&amp;M474,$K$5:$K$1517,1)/COUNTIF($M$5:$M$1517,"&gt;="&amp;M474),0)</f>
        <v>0</v>
      </c>
      <c r="W474" s="8" t="n">
        <f aca="false">IF($K474=1,COUNTIFS($N$5:$N$1517,"&gt;="&amp;N474,$K$5:$K$1517,1)/COUNTIF($N$5:$N$1517,"&gt;="&amp;N474),0)</f>
        <v>0</v>
      </c>
      <c r="X474" s="8" t="n">
        <f aca="false">IF($K474=1,COUNTIFS($O$5:$O$1517,"&gt;="&amp;O474,$K$5:$K$1517,1)/COUNTIF($O$5:$O$1517,"&gt;="&amp;O474),0)</f>
        <v>0</v>
      </c>
      <c r="Y474" s="8" t="n">
        <f aca="false">IF($K474=1,COUNTIFS($P$5:$P$1517,"&gt;="&amp;P474,$K$5:$K$1517,1)/COUNTIF($P$5:$P$1517,"&gt;="&amp;P474),0)</f>
        <v>0</v>
      </c>
      <c r="Z474" s="8" t="n">
        <f aca="false">(L474-$K474)^2</f>
        <v>0.061251795081</v>
      </c>
      <c r="AA474" s="8" t="n">
        <f aca="false">(M474-$K474)^2</f>
        <v>0.008475595969</v>
      </c>
      <c r="AB474" s="8" t="n">
        <f aca="false">(N474-$K474)^2</f>
        <v>0.001491658884</v>
      </c>
      <c r="AC474" s="8" t="n">
        <f aca="false">(O474-$K474)^2</f>
        <v>0.011274829489</v>
      </c>
      <c r="AD474" s="8" t="n">
        <f aca="false">(P474-$K474)^2</f>
        <v>0.001538365284</v>
      </c>
      <c r="AE474" s="8" t="n">
        <f aca="false">MIN(INT(ROUND(N474*1000000,0)/100000),9)</f>
        <v>0</v>
      </c>
      <c r="AF474" s="8" t="n">
        <f aca="false">MIN(INT(ROUND(P474*1000000,0)/100000),9)</f>
        <v>0</v>
      </c>
    </row>
    <row r="475" customFormat="false" ht="15" hidden="false" customHeight="false" outlineLevel="0" collapsed="false">
      <c r="A475" s="4" t="n">
        <v>471</v>
      </c>
      <c r="B475" s="4" t="n">
        <v>540</v>
      </c>
      <c r="C475" s="4" t="n">
        <v>1</v>
      </c>
      <c r="D475" s="11" t="n">
        <v>46082</v>
      </c>
      <c r="E475" s="4" t="s">
        <v>204</v>
      </c>
      <c r="F475" s="4" t="s">
        <v>210</v>
      </c>
      <c r="G475" s="4" t="n">
        <v>6</v>
      </c>
      <c r="H475" s="4" t="n">
        <v>1</v>
      </c>
      <c r="I475" s="4" t="n">
        <v>1</v>
      </c>
      <c r="J475" s="4" t="n">
        <v>108</v>
      </c>
      <c r="K475" s="4" t="n">
        <v>0</v>
      </c>
      <c r="L475" s="12" t="n">
        <v>0.668756</v>
      </c>
      <c r="M475" s="12" t="n">
        <v>0.184211</v>
      </c>
      <c r="N475" s="12" t="n">
        <v>0.168254</v>
      </c>
      <c r="O475" s="12" t="n">
        <v>0.106183</v>
      </c>
      <c r="P475" s="12" t="n">
        <v>0.181664</v>
      </c>
      <c r="Q475" s="0" t="str">
        <f aca="false">IF(L475&gt;=Models!$G$5,1+COUNTIF($L$5:$L$1517,"&gt;"&amp;L475)+COUNTIFS($L$5:$L$1517,L475,$B$5:$B$1517,"&lt;"&amp;B475)+COUNTIFS($L$5:$L$1517,L475,$B$5:$B$1517,B475,$C$5:$C$1517,"&lt;"&amp;C475),"")</f>
        <v/>
      </c>
      <c r="R475" s="8" t="n">
        <f aca="false">IF(M475&gt;=Models!$G$6,1+COUNTIF($M$5:$M$1517,"&gt;"&amp;M475)+COUNTIFS($M$5:$M$1517,M475,$B$5:$B$1517,"&lt;"&amp;B475)+COUNTIFS($M$5:$M$1517,M475,$B$5:$B$1517,B475,$C$5:$C$1517,"&lt;"&amp;C475),"")</f>
        <v>47</v>
      </c>
      <c r="S475" s="0" t="str">
        <f aca="false">IF(N475&gt;=Models!$G$7,1+COUNTIF($N$5:$N$1517,"&gt;"&amp;N475)+COUNTIFS($N$5:$N$1517,N475,$B$5:$B$1517,"&lt;"&amp;B475)+COUNTIFS($N$5:$N$1517,N475,$B$5:$B$1517,B475,$C$5:$C$1517,"&lt;"&amp;C475),"")</f>
        <v/>
      </c>
      <c r="T475" s="8" t="n">
        <f aca="false">IF(O475&gt;=Models!$G$8,1+COUNTIF($O$5:$O$1517,"&gt;"&amp;O475)+COUNTIFS($O$5:$O$1517,O475,$B$5:$B$1517,"&lt;"&amp;B475)+COUNTIFS($O$5:$O$1517,O475,$B$5:$B$1517,B475,$C$5:$C$1517,"&lt;"&amp;C475),"")</f>
        <v>410</v>
      </c>
      <c r="U475" s="8" t="n">
        <f aca="false">IF($K475=1,COUNTIFS($L$5:$L$1517,"&gt;="&amp;L475,$K$5:$K$1517,1)/COUNTIF($L$5:$L$1517,"&gt;="&amp;L475),0)</f>
        <v>0</v>
      </c>
      <c r="V475" s="8" t="n">
        <f aca="false">IF($K475=1,COUNTIFS($M$5:$M$1517,"&gt;="&amp;M475,$K$5:$K$1517,1)/COUNTIF($M$5:$M$1517,"&gt;="&amp;M475),0)</f>
        <v>0</v>
      </c>
      <c r="W475" s="8" t="n">
        <f aca="false">IF($K475=1,COUNTIFS($N$5:$N$1517,"&gt;="&amp;N475,$K$5:$K$1517,1)/COUNTIF($N$5:$N$1517,"&gt;="&amp;N475),0)</f>
        <v>0</v>
      </c>
      <c r="X475" s="8" t="n">
        <f aca="false">IF($K475=1,COUNTIFS($O$5:$O$1517,"&gt;="&amp;O475,$K$5:$K$1517,1)/COUNTIF($O$5:$O$1517,"&gt;="&amp;O475),0)</f>
        <v>0</v>
      </c>
      <c r="Y475" s="8" t="n">
        <f aca="false">IF($K475=1,COUNTIFS($P$5:$P$1517,"&gt;="&amp;P475,$K$5:$K$1517,1)/COUNTIF($P$5:$P$1517,"&gt;="&amp;P475),0)</f>
        <v>0</v>
      </c>
      <c r="Z475" s="8" t="n">
        <f aca="false">(L475-$K475)^2</f>
        <v>0.447234587536</v>
      </c>
      <c r="AA475" s="8" t="n">
        <f aca="false">(M475-$K475)^2</f>
        <v>0.033933692521</v>
      </c>
      <c r="AB475" s="8" t="n">
        <f aca="false">(N475-$K475)^2</f>
        <v>0.028309408516</v>
      </c>
      <c r="AC475" s="8" t="n">
        <f aca="false">(O475-$K475)^2</f>
        <v>0.011274829489</v>
      </c>
      <c r="AD475" s="8" t="n">
        <f aca="false">(P475-$K475)^2</f>
        <v>0.033001808896</v>
      </c>
      <c r="AE475" s="8" t="n">
        <f aca="false">MIN(INT(ROUND(N475*1000000,0)/100000),9)</f>
        <v>1</v>
      </c>
      <c r="AF475" s="8" t="n">
        <f aca="false">MIN(INT(ROUND(P475*1000000,0)/100000),9)</f>
        <v>1</v>
      </c>
    </row>
    <row r="476" customFormat="false" ht="15" hidden="false" customHeight="false" outlineLevel="0" collapsed="false">
      <c r="A476" s="4" t="n">
        <v>472</v>
      </c>
      <c r="B476" s="4" t="n">
        <v>556</v>
      </c>
      <c r="C476" s="4" t="n">
        <v>1</v>
      </c>
      <c r="D476" s="11" t="n">
        <v>46082</v>
      </c>
      <c r="E476" s="4" t="s">
        <v>202</v>
      </c>
      <c r="F476" s="4" t="s">
        <v>206</v>
      </c>
      <c r="G476" s="4" t="n">
        <v>8</v>
      </c>
      <c r="H476" s="4" t="n">
        <v>5</v>
      </c>
      <c r="I476" s="4" t="n">
        <v>0</v>
      </c>
      <c r="J476" s="4"/>
      <c r="K476" s="4" t="n">
        <v>1</v>
      </c>
      <c r="L476" s="12" t="n">
        <v>0.930984</v>
      </c>
      <c r="M476" s="12" t="n">
        <v>0.092063</v>
      </c>
      <c r="N476" s="12" t="n">
        <v>0.043448</v>
      </c>
      <c r="O476" s="12" t="n">
        <v>0.106183</v>
      </c>
      <c r="P476" s="12" t="n">
        <v>0.044366</v>
      </c>
      <c r="Q476" s="0" t="str">
        <f aca="false">IF(L476&gt;=Models!$G$5,1+COUNTIF($L$5:$L$1517,"&gt;"&amp;L476)+COUNTIFS($L$5:$L$1517,L476,$B$5:$B$1517,"&lt;"&amp;B476)+COUNTIFS($L$5:$L$1517,L476,$B$5:$B$1517,B476,$C$5:$C$1517,"&lt;"&amp;C476),"")</f>
        <v/>
      </c>
      <c r="R476" s="0" t="str">
        <f aca="false">IF(M476&gt;=Models!$G$6,1+COUNTIF($M$5:$M$1517,"&gt;"&amp;M476)+COUNTIFS($M$5:$M$1517,M476,$B$5:$B$1517,"&lt;"&amp;B476)+COUNTIFS($M$5:$M$1517,M476,$B$5:$B$1517,B476,$C$5:$C$1517,"&lt;"&amp;C476),"")</f>
        <v/>
      </c>
      <c r="S476" s="0" t="str">
        <f aca="false">IF(N476&gt;=Models!$G$7,1+COUNTIF($N$5:$N$1517,"&gt;"&amp;N476)+COUNTIFS($N$5:$N$1517,N476,$B$5:$B$1517,"&lt;"&amp;B476)+COUNTIFS($N$5:$N$1517,N476,$B$5:$B$1517,B476,$C$5:$C$1517,"&lt;"&amp;C476),"")</f>
        <v/>
      </c>
      <c r="T476" s="8" t="n">
        <f aca="false">IF(O476&gt;=Models!$G$8,1+COUNTIF($O$5:$O$1517,"&gt;"&amp;O476)+COUNTIFS($O$5:$O$1517,O476,$B$5:$B$1517,"&lt;"&amp;B476)+COUNTIFS($O$5:$O$1517,O476,$B$5:$B$1517,B476,$C$5:$C$1517,"&lt;"&amp;C476),"")</f>
        <v>414</v>
      </c>
      <c r="U476" s="8" t="n">
        <f aca="false">IF($K476=1,COUNTIFS($L$5:$L$1517,"&gt;="&amp;L476,$K$5:$K$1517,1)/COUNTIF($L$5:$L$1517,"&gt;="&amp;L476),0)</f>
        <v>0.132075471698113</v>
      </c>
      <c r="V476" s="8" t="n">
        <f aca="false">IF($K476=1,COUNTIFS($M$5:$M$1517,"&gt;="&amp;M476,$K$5:$K$1517,1)/COUNTIF($M$5:$M$1517,"&gt;="&amp;M476),0)</f>
        <v>0.12491738268341</v>
      </c>
      <c r="W476" s="8" t="n">
        <f aca="false">IF($K476=1,COUNTIFS($N$5:$N$1517,"&gt;="&amp;N476,$K$5:$K$1517,1)/COUNTIF($N$5:$N$1517,"&gt;="&amp;N476),0)</f>
        <v>0.143423137876387</v>
      </c>
      <c r="X476" s="8" t="n">
        <f aca="false">IF($K476=1,COUNTIFS($O$5:$O$1517,"&gt;="&amp;O476,$K$5:$K$1517,1)/COUNTIF($O$5:$O$1517,"&gt;="&amp;O476),0)</f>
        <v>0.12491738268341</v>
      </c>
      <c r="Y476" s="8" t="n">
        <f aca="false">IF($K476=1,COUNTIFS($P$5:$P$1517,"&gt;="&amp;P476,$K$5:$K$1517,1)/COUNTIF($P$5:$P$1517,"&gt;="&amp;P476),0)</f>
        <v>0.143423137876387</v>
      </c>
      <c r="Z476" s="8" t="n">
        <f aca="false">(L476-$K476)^2</f>
        <v>0.004763208256</v>
      </c>
      <c r="AA476" s="8" t="n">
        <f aca="false">(M476-$K476)^2</f>
        <v>0.824349595969</v>
      </c>
      <c r="AB476" s="8" t="n">
        <f aca="false">(N476-$K476)^2</f>
        <v>0.914991728704</v>
      </c>
      <c r="AC476" s="8" t="n">
        <f aca="false">(O476-$K476)^2</f>
        <v>0.798908829489</v>
      </c>
      <c r="AD476" s="8" t="n">
        <f aca="false">(P476-$K476)^2</f>
        <v>0.913236341956</v>
      </c>
      <c r="AE476" s="8" t="n">
        <f aca="false">MIN(INT(ROUND(N476*1000000,0)/100000),9)</f>
        <v>0</v>
      </c>
      <c r="AF476" s="8" t="n">
        <f aca="false">MIN(INT(ROUND(P476*1000000,0)/100000),9)</f>
        <v>0</v>
      </c>
    </row>
    <row r="477" customFormat="false" ht="15" hidden="false" customHeight="false" outlineLevel="0" collapsed="false">
      <c r="A477" s="4" t="n">
        <v>473</v>
      </c>
      <c r="B477" s="4" t="n">
        <v>567</v>
      </c>
      <c r="C477" s="4" t="n">
        <v>1</v>
      </c>
      <c r="D477" s="11" t="n">
        <v>46082</v>
      </c>
      <c r="E477" s="4" t="s">
        <v>203</v>
      </c>
      <c r="F477" s="4" t="s">
        <v>209</v>
      </c>
      <c r="G477" s="4" t="n">
        <v>9</v>
      </c>
      <c r="H477" s="4" t="n">
        <v>0</v>
      </c>
      <c r="I477" s="4" t="n">
        <v>0</v>
      </c>
      <c r="J477" s="4"/>
      <c r="K477" s="4" t="n">
        <v>0</v>
      </c>
      <c r="L477" s="12" t="n">
        <v>0.251433</v>
      </c>
      <c r="M477" s="12" t="n">
        <v>0.092063</v>
      </c>
      <c r="N477" s="12" t="n">
        <v>0.038318</v>
      </c>
      <c r="O477" s="12" t="n">
        <v>0.106183</v>
      </c>
      <c r="P477" s="12" t="n">
        <v>0.038899</v>
      </c>
      <c r="Q477" s="0" t="str">
        <f aca="false">IF(L477&gt;=Models!$G$5,1+COUNTIF($L$5:$L$1517,"&gt;"&amp;L477)+COUNTIFS($L$5:$L$1517,L477,$B$5:$B$1517,"&lt;"&amp;B477)+COUNTIFS($L$5:$L$1517,L477,$B$5:$B$1517,B477,$C$5:$C$1517,"&lt;"&amp;C477),"")</f>
        <v/>
      </c>
      <c r="R477" s="0" t="str">
        <f aca="false">IF(M477&gt;=Models!$G$6,1+COUNTIF($M$5:$M$1517,"&gt;"&amp;M477)+COUNTIFS($M$5:$M$1517,M477,$B$5:$B$1517,"&lt;"&amp;B477)+COUNTIFS($M$5:$M$1517,M477,$B$5:$B$1517,B477,$C$5:$C$1517,"&lt;"&amp;C477),"")</f>
        <v/>
      </c>
      <c r="S477" s="0" t="str">
        <f aca="false">IF(N477&gt;=Models!$G$7,1+COUNTIF($N$5:$N$1517,"&gt;"&amp;N477)+COUNTIFS($N$5:$N$1517,N477,$B$5:$B$1517,"&lt;"&amp;B477)+COUNTIFS($N$5:$N$1517,N477,$B$5:$B$1517,B477,$C$5:$C$1517,"&lt;"&amp;C477),"")</f>
        <v/>
      </c>
      <c r="T477" s="8" t="n">
        <f aca="false">IF(O477&gt;=Models!$G$8,1+COUNTIF($O$5:$O$1517,"&gt;"&amp;O477)+COUNTIFS($O$5:$O$1517,O477,$B$5:$B$1517,"&lt;"&amp;B477)+COUNTIFS($O$5:$O$1517,O477,$B$5:$B$1517,B477,$C$5:$C$1517,"&lt;"&amp;C477),"")</f>
        <v>418</v>
      </c>
      <c r="U477" s="8" t="n">
        <f aca="false">IF($K477=1,COUNTIFS($L$5:$L$1517,"&gt;="&amp;L477,$K$5:$K$1517,1)/COUNTIF($L$5:$L$1517,"&gt;="&amp;L477),0)</f>
        <v>0</v>
      </c>
      <c r="V477" s="8" t="n">
        <f aca="false">IF($K477=1,COUNTIFS($M$5:$M$1517,"&gt;="&amp;M477,$K$5:$K$1517,1)/COUNTIF($M$5:$M$1517,"&gt;="&amp;M477),0)</f>
        <v>0</v>
      </c>
      <c r="W477" s="8" t="n">
        <f aca="false">IF($K477=1,COUNTIFS($N$5:$N$1517,"&gt;="&amp;N477,$K$5:$K$1517,1)/COUNTIF($N$5:$N$1517,"&gt;="&amp;N477),0)</f>
        <v>0</v>
      </c>
      <c r="X477" s="8" t="n">
        <f aca="false">IF($K477=1,COUNTIFS($O$5:$O$1517,"&gt;="&amp;O477,$K$5:$K$1517,1)/COUNTIF($O$5:$O$1517,"&gt;="&amp;O477),0)</f>
        <v>0</v>
      </c>
      <c r="Y477" s="8" t="n">
        <f aca="false">IF($K477=1,COUNTIFS($P$5:$P$1517,"&gt;="&amp;P477,$K$5:$K$1517,1)/COUNTIF($P$5:$P$1517,"&gt;="&amp;P477),0)</f>
        <v>0</v>
      </c>
      <c r="Z477" s="8" t="n">
        <f aca="false">(L477-$K477)^2</f>
        <v>0.063218553489</v>
      </c>
      <c r="AA477" s="8" t="n">
        <f aca="false">(M477-$K477)^2</f>
        <v>0.008475595969</v>
      </c>
      <c r="AB477" s="8" t="n">
        <f aca="false">(N477-$K477)^2</f>
        <v>0.001468269124</v>
      </c>
      <c r="AC477" s="8" t="n">
        <f aca="false">(O477-$K477)^2</f>
        <v>0.011274829489</v>
      </c>
      <c r="AD477" s="8" t="n">
        <f aca="false">(P477-$K477)^2</f>
        <v>0.001513132201</v>
      </c>
      <c r="AE477" s="8" t="n">
        <f aca="false">MIN(INT(ROUND(N477*1000000,0)/100000),9)</f>
        <v>0</v>
      </c>
      <c r="AF477" s="8" t="n">
        <f aca="false">MIN(INT(ROUND(P477*1000000,0)/100000),9)</f>
        <v>0</v>
      </c>
    </row>
    <row r="478" customFormat="false" ht="15" hidden="false" customHeight="false" outlineLevel="0" collapsed="false">
      <c r="A478" s="4" t="n">
        <v>474</v>
      </c>
      <c r="B478" s="4" t="n">
        <v>570</v>
      </c>
      <c r="C478" s="4" t="n">
        <v>1</v>
      </c>
      <c r="D478" s="11" t="n">
        <v>46082</v>
      </c>
      <c r="E478" s="4" t="s">
        <v>202</v>
      </c>
      <c r="F478" s="4" t="s">
        <v>210</v>
      </c>
      <c r="G478" s="4" t="n">
        <v>6</v>
      </c>
      <c r="H478" s="4" t="n">
        <v>6</v>
      </c>
      <c r="I478" s="4" t="n">
        <v>0</v>
      </c>
      <c r="J478" s="4"/>
      <c r="K478" s="4" t="n">
        <v>0</v>
      </c>
      <c r="L478" s="12" t="n">
        <v>0.518705</v>
      </c>
      <c r="M478" s="12" t="n">
        <v>0.092063</v>
      </c>
      <c r="N478" s="12" t="n">
        <v>0.051976</v>
      </c>
      <c r="O478" s="12" t="n">
        <v>0.106183</v>
      </c>
      <c r="P478" s="12" t="n">
        <v>0.053516</v>
      </c>
      <c r="Q478" s="0" t="str">
        <f aca="false">IF(L478&gt;=Models!$G$5,1+COUNTIF($L$5:$L$1517,"&gt;"&amp;L478)+COUNTIFS($L$5:$L$1517,L478,$B$5:$B$1517,"&lt;"&amp;B478)+COUNTIFS($L$5:$L$1517,L478,$B$5:$B$1517,B478,$C$5:$C$1517,"&lt;"&amp;C478),"")</f>
        <v/>
      </c>
      <c r="R478" s="0" t="str">
        <f aca="false">IF(M478&gt;=Models!$G$6,1+COUNTIF($M$5:$M$1517,"&gt;"&amp;M478)+COUNTIFS($M$5:$M$1517,M478,$B$5:$B$1517,"&lt;"&amp;B478)+COUNTIFS($M$5:$M$1517,M478,$B$5:$B$1517,B478,$C$5:$C$1517,"&lt;"&amp;C478),"")</f>
        <v/>
      </c>
      <c r="S478" s="0" t="str">
        <f aca="false">IF(N478&gt;=Models!$G$7,1+COUNTIF($N$5:$N$1517,"&gt;"&amp;N478)+COUNTIFS($N$5:$N$1517,N478,$B$5:$B$1517,"&lt;"&amp;B478)+COUNTIFS($N$5:$N$1517,N478,$B$5:$B$1517,B478,$C$5:$C$1517,"&lt;"&amp;C478),"")</f>
        <v/>
      </c>
      <c r="T478" s="8" t="n">
        <f aca="false">IF(O478&gt;=Models!$G$8,1+COUNTIF($O$5:$O$1517,"&gt;"&amp;O478)+COUNTIFS($O$5:$O$1517,O478,$B$5:$B$1517,"&lt;"&amp;B478)+COUNTIFS($O$5:$O$1517,O478,$B$5:$B$1517,B478,$C$5:$C$1517,"&lt;"&amp;C478),"")</f>
        <v>422</v>
      </c>
      <c r="U478" s="8" t="n">
        <f aca="false">IF($K478=1,COUNTIFS($L$5:$L$1517,"&gt;="&amp;L478,$K$5:$K$1517,1)/COUNTIF($L$5:$L$1517,"&gt;="&amp;L478),0)</f>
        <v>0</v>
      </c>
      <c r="V478" s="8" t="n">
        <f aca="false">IF($K478=1,COUNTIFS($M$5:$M$1517,"&gt;="&amp;M478,$K$5:$K$1517,1)/COUNTIF($M$5:$M$1517,"&gt;="&amp;M478),0)</f>
        <v>0</v>
      </c>
      <c r="W478" s="8" t="n">
        <f aca="false">IF($K478=1,COUNTIFS($N$5:$N$1517,"&gt;="&amp;N478,$K$5:$K$1517,1)/COUNTIF($N$5:$N$1517,"&gt;="&amp;N478),0)</f>
        <v>0</v>
      </c>
      <c r="X478" s="8" t="n">
        <f aca="false">IF($K478=1,COUNTIFS($O$5:$O$1517,"&gt;="&amp;O478,$K$5:$K$1517,1)/COUNTIF($O$5:$O$1517,"&gt;="&amp;O478),0)</f>
        <v>0</v>
      </c>
      <c r="Y478" s="8" t="n">
        <f aca="false">IF($K478=1,COUNTIFS($P$5:$P$1517,"&gt;="&amp;P478,$K$5:$K$1517,1)/COUNTIF($P$5:$P$1517,"&gt;="&amp;P478),0)</f>
        <v>0</v>
      </c>
      <c r="Z478" s="8" t="n">
        <f aca="false">(L478-$K478)^2</f>
        <v>0.269054877025</v>
      </c>
      <c r="AA478" s="8" t="n">
        <f aca="false">(M478-$K478)^2</f>
        <v>0.008475595969</v>
      </c>
      <c r="AB478" s="8" t="n">
        <f aca="false">(N478-$K478)^2</f>
        <v>0.002701504576</v>
      </c>
      <c r="AC478" s="8" t="n">
        <f aca="false">(O478-$K478)^2</f>
        <v>0.011274829489</v>
      </c>
      <c r="AD478" s="8" t="n">
        <f aca="false">(P478-$K478)^2</f>
        <v>0.002863962256</v>
      </c>
      <c r="AE478" s="8" t="n">
        <f aca="false">MIN(INT(ROUND(N478*1000000,0)/100000),9)</f>
        <v>0</v>
      </c>
      <c r="AF478" s="8" t="n">
        <f aca="false">MIN(INT(ROUND(P478*1000000,0)/100000),9)</f>
        <v>0</v>
      </c>
    </row>
    <row r="479" customFormat="false" ht="15" hidden="false" customHeight="false" outlineLevel="0" collapsed="false">
      <c r="A479" s="4" t="n">
        <v>475</v>
      </c>
      <c r="B479" s="4" t="n">
        <v>572</v>
      </c>
      <c r="C479" s="4" t="n">
        <v>1</v>
      </c>
      <c r="D479" s="11" t="n">
        <v>46082</v>
      </c>
      <c r="E479" s="4" t="s">
        <v>203</v>
      </c>
      <c r="F479" s="4" t="s">
        <v>210</v>
      </c>
      <c r="G479" s="4" t="n">
        <v>4</v>
      </c>
      <c r="H479" s="4" t="n">
        <v>0</v>
      </c>
      <c r="I479" s="4" t="n">
        <v>0</v>
      </c>
      <c r="J479" s="4" t="n">
        <v>384</v>
      </c>
      <c r="K479" s="4" t="n">
        <v>0</v>
      </c>
      <c r="L479" s="12" t="n">
        <v>0.562742</v>
      </c>
      <c r="M479" s="12" t="n">
        <v>0.092063</v>
      </c>
      <c r="N479" s="12" t="n">
        <v>0.115237</v>
      </c>
      <c r="O479" s="12" t="n">
        <v>0.106183</v>
      </c>
      <c r="P479" s="12" t="n">
        <v>0.122783</v>
      </c>
      <c r="Q479" s="0" t="str">
        <f aca="false">IF(L479&gt;=Models!$G$5,1+COUNTIF($L$5:$L$1517,"&gt;"&amp;L479)+COUNTIFS($L$5:$L$1517,L479,$B$5:$B$1517,"&lt;"&amp;B479)+COUNTIFS($L$5:$L$1517,L479,$B$5:$B$1517,B479,$C$5:$C$1517,"&lt;"&amp;C479),"")</f>
        <v/>
      </c>
      <c r="R479" s="0" t="str">
        <f aca="false">IF(M479&gt;=Models!$G$6,1+COUNTIF($M$5:$M$1517,"&gt;"&amp;M479)+COUNTIFS($M$5:$M$1517,M479,$B$5:$B$1517,"&lt;"&amp;B479)+COUNTIFS($M$5:$M$1517,M479,$B$5:$B$1517,B479,$C$5:$C$1517,"&lt;"&amp;C479),"")</f>
        <v/>
      </c>
      <c r="S479" s="0" t="str">
        <f aca="false">IF(N479&gt;=Models!$G$7,1+COUNTIF($N$5:$N$1517,"&gt;"&amp;N479)+COUNTIFS($N$5:$N$1517,N479,$B$5:$B$1517,"&lt;"&amp;B479)+COUNTIFS($N$5:$N$1517,N479,$B$5:$B$1517,B479,$C$5:$C$1517,"&lt;"&amp;C479),"")</f>
        <v/>
      </c>
      <c r="T479" s="8" t="n">
        <f aca="false">IF(O479&gt;=Models!$G$8,1+COUNTIF($O$5:$O$1517,"&gt;"&amp;O479)+COUNTIFS($O$5:$O$1517,O479,$B$5:$B$1517,"&lt;"&amp;B479)+COUNTIFS($O$5:$O$1517,O479,$B$5:$B$1517,B479,$C$5:$C$1517,"&lt;"&amp;C479),"")</f>
        <v>426</v>
      </c>
      <c r="U479" s="8" t="n">
        <f aca="false">IF($K479=1,COUNTIFS($L$5:$L$1517,"&gt;="&amp;L479,$K$5:$K$1517,1)/COUNTIF($L$5:$L$1517,"&gt;="&amp;L479),0)</f>
        <v>0</v>
      </c>
      <c r="V479" s="8" t="n">
        <f aca="false">IF($K479=1,COUNTIFS($M$5:$M$1517,"&gt;="&amp;M479,$K$5:$K$1517,1)/COUNTIF($M$5:$M$1517,"&gt;="&amp;M479),0)</f>
        <v>0</v>
      </c>
      <c r="W479" s="8" t="n">
        <f aca="false">IF($K479=1,COUNTIFS($N$5:$N$1517,"&gt;="&amp;N479,$K$5:$K$1517,1)/COUNTIF($N$5:$N$1517,"&gt;="&amp;N479),0)</f>
        <v>0</v>
      </c>
      <c r="X479" s="8" t="n">
        <f aca="false">IF($K479=1,COUNTIFS($O$5:$O$1517,"&gt;="&amp;O479,$K$5:$K$1517,1)/COUNTIF($O$5:$O$1517,"&gt;="&amp;O479),0)</f>
        <v>0</v>
      </c>
      <c r="Y479" s="8" t="n">
        <f aca="false">IF($K479=1,COUNTIFS($P$5:$P$1517,"&gt;="&amp;P479,$K$5:$K$1517,1)/COUNTIF($P$5:$P$1517,"&gt;="&amp;P479),0)</f>
        <v>0</v>
      </c>
      <c r="Z479" s="8" t="n">
        <f aca="false">(L479-$K479)^2</f>
        <v>0.316678558564</v>
      </c>
      <c r="AA479" s="8" t="n">
        <f aca="false">(M479-$K479)^2</f>
        <v>0.008475595969</v>
      </c>
      <c r="AB479" s="8" t="n">
        <f aca="false">(N479-$K479)^2</f>
        <v>0.013279566169</v>
      </c>
      <c r="AC479" s="8" t="n">
        <f aca="false">(O479-$K479)^2</f>
        <v>0.011274829489</v>
      </c>
      <c r="AD479" s="8" t="n">
        <f aca="false">(P479-$K479)^2</f>
        <v>0.015075665089</v>
      </c>
      <c r="AE479" s="8" t="n">
        <f aca="false">MIN(INT(ROUND(N479*1000000,0)/100000),9)</f>
        <v>1</v>
      </c>
      <c r="AF479" s="8" t="n">
        <f aca="false">MIN(INT(ROUND(P479*1000000,0)/100000),9)</f>
        <v>1</v>
      </c>
    </row>
    <row r="480" customFormat="false" ht="15" hidden="false" customHeight="false" outlineLevel="0" collapsed="false">
      <c r="A480" s="4" t="n">
        <v>476</v>
      </c>
      <c r="B480" s="4" t="n">
        <v>573</v>
      </c>
      <c r="C480" s="4" t="n">
        <v>1</v>
      </c>
      <c r="D480" s="11" t="n">
        <v>46082</v>
      </c>
      <c r="E480" s="4" t="s">
        <v>202</v>
      </c>
      <c r="F480" s="4" t="s">
        <v>206</v>
      </c>
      <c r="G480" s="4" t="n">
        <v>8</v>
      </c>
      <c r="H480" s="4" t="n">
        <v>1</v>
      </c>
      <c r="I480" s="4" t="n">
        <v>0</v>
      </c>
      <c r="J480" s="4" t="n">
        <v>1293</v>
      </c>
      <c r="K480" s="4" t="n">
        <v>0</v>
      </c>
      <c r="L480" s="12" t="n">
        <v>0.86714</v>
      </c>
      <c r="M480" s="12" t="n">
        <v>0.092063</v>
      </c>
      <c r="N480" s="12" t="n">
        <v>0.079961</v>
      </c>
      <c r="O480" s="12" t="n">
        <v>0.106183</v>
      </c>
      <c r="P480" s="12" t="n">
        <v>0.083928</v>
      </c>
      <c r="Q480" s="0" t="str">
        <f aca="false">IF(L480&gt;=Models!$G$5,1+COUNTIF($L$5:$L$1517,"&gt;"&amp;L480)+COUNTIFS($L$5:$L$1517,L480,$B$5:$B$1517,"&lt;"&amp;B480)+COUNTIFS($L$5:$L$1517,L480,$B$5:$B$1517,B480,$C$5:$C$1517,"&lt;"&amp;C480),"")</f>
        <v/>
      </c>
      <c r="R480" s="0" t="str">
        <f aca="false">IF(M480&gt;=Models!$G$6,1+COUNTIF($M$5:$M$1517,"&gt;"&amp;M480)+COUNTIFS($M$5:$M$1517,M480,$B$5:$B$1517,"&lt;"&amp;B480)+COUNTIFS($M$5:$M$1517,M480,$B$5:$B$1517,B480,$C$5:$C$1517,"&lt;"&amp;C480),"")</f>
        <v/>
      </c>
      <c r="S480" s="0" t="str">
        <f aca="false">IF(N480&gt;=Models!$G$7,1+COUNTIF($N$5:$N$1517,"&gt;"&amp;N480)+COUNTIFS($N$5:$N$1517,N480,$B$5:$B$1517,"&lt;"&amp;B480)+COUNTIFS($N$5:$N$1517,N480,$B$5:$B$1517,B480,$C$5:$C$1517,"&lt;"&amp;C480),"")</f>
        <v/>
      </c>
      <c r="T480" s="8" t="n">
        <f aca="false">IF(O480&gt;=Models!$G$8,1+COUNTIF($O$5:$O$1517,"&gt;"&amp;O480)+COUNTIFS($O$5:$O$1517,O480,$B$5:$B$1517,"&lt;"&amp;B480)+COUNTIFS($O$5:$O$1517,O480,$B$5:$B$1517,B480,$C$5:$C$1517,"&lt;"&amp;C480),"")</f>
        <v>430</v>
      </c>
      <c r="U480" s="8" t="n">
        <f aca="false">IF($K480=1,COUNTIFS($L$5:$L$1517,"&gt;="&amp;L480,$K$5:$K$1517,1)/COUNTIF($L$5:$L$1517,"&gt;="&amp;L480),0)</f>
        <v>0</v>
      </c>
      <c r="V480" s="8" t="n">
        <f aca="false">IF($K480=1,COUNTIFS($M$5:$M$1517,"&gt;="&amp;M480,$K$5:$K$1517,1)/COUNTIF($M$5:$M$1517,"&gt;="&amp;M480),0)</f>
        <v>0</v>
      </c>
      <c r="W480" s="8" t="n">
        <f aca="false">IF($K480=1,COUNTIFS($N$5:$N$1517,"&gt;="&amp;N480,$K$5:$K$1517,1)/COUNTIF($N$5:$N$1517,"&gt;="&amp;N480),0)</f>
        <v>0</v>
      </c>
      <c r="X480" s="8" t="n">
        <f aca="false">IF($K480=1,COUNTIFS($O$5:$O$1517,"&gt;="&amp;O480,$K$5:$K$1517,1)/COUNTIF($O$5:$O$1517,"&gt;="&amp;O480),0)</f>
        <v>0</v>
      </c>
      <c r="Y480" s="8" t="n">
        <f aca="false">IF($K480=1,COUNTIFS($P$5:$P$1517,"&gt;="&amp;P480,$K$5:$K$1517,1)/COUNTIF($P$5:$P$1517,"&gt;="&amp;P480),0)</f>
        <v>0</v>
      </c>
      <c r="Z480" s="8" t="n">
        <f aca="false">(L480-$K480)^2</f>
        <v>0.7519317796</v>
      </c>
      <c r="AA480" s="8" t="n">
        <f aca="false">(M480-$K480)^2</f>
        <v>0.008475595969</v>
      </c>
      <c r="AB480" s="8" t="n">
        <f aca="false">(N480-$K480)^2</f>
        <v>0.006393761521</v>
      </c>
      <c r="AC480" s="8" t="n">
        <f aca="false">(O480-$K480)^2</f>
        <v>0.011274829489</v>
      </c>
      <c r="AD480" s="8" t="n">
        <f aca="false">(P480-$K480)^2</f>
        <v>0.007043909184</v>
      </c>
      <c r="AE480" s="8" t="n">
        <f aca="false">MIN(INT(ROUND(N480*1000000,0)/100000),9)</f>
        <v>0</v>
      </c>
      <c r="AF480" s="8" t="n">
        <f aca="false">MIN(INT(ROUND(P480*1000000,0)/100000),9)</f>
        <v>0</v>
      </c>
    </row>
    <row r="481" customFormat="false" ht="15" hidden="false" customHeight="false" outlineLevel="0" collapsed="false">
      <c r="A481" s="4" t="n">
        <v>477</v>
      </c>
      <c r="B481" s="4" t="n">
        <v>575</v>
      </c>
      <c r="C481" s="4" t="n">
        <v>1</v>
      </c>
      <c r="D481" s="11" t="n">
        <v>46082</v>
      </c>
      <c r="E481" s="4" t="s">
        <v>203</v>
      </c>
      <c r="F481" s="4" t="s">
        <v>208</v>
      </c>
      <c r="G481" s="4" t="n">
        <v>4</v>
      </c>
      <c r="H481" s="4" t="n">
        <v>8</v>
      </c>
      <c r="I481" s="4" t="n">
        <v>0</v>
      </c>
      <c r="J481" s="4" t="n">
        <v>354</v>
      </c>
      <c r="K481" s="4" t="n">
        <v>1</v>
      </c>
      <c r="L481" s="12" t="n">
        <v>0.471559</v>
      </c>
      <c r="M481" s="12" t="n">
        <v>0.092063</v>
      </c>
      <c r="N481" s="12" t="n">
        <v>0.122279</v>
      </c>
      <c r="O481" s="12" t="n">
        <v>0.106183</v>
      </c>
      <c r="P481" s="12" t="n">
        <v>0.130581</v>
      </c>
      <c r="Q481" s="0" t="str">
        <f aca="false">IF(L481&gt;=Models!$G$5,1+COUNTIF($L$5:$L$1517,"&gt;"&amp;L481)+COUNTIFS($L$5:$L$1517,L481,$B$5:$B$1517,"&lt;"&amp;B481)+COUNTIFS($L$5:$L$1517,L481,$B$5:$B$1517,B481,$C$5:$C$1517,"&lt;"&amp;C481),"")</f>
        <v/>
      </c>
      <c r="R481" s="0" t="str">
        <f aca="false">IF(M481&gt;=Models!$G$6,1+COUNTIF($M$5:$M$1517,"&gt;"&amp;M481)+COUNTIFS($M$5:$M$1517,M481,$B$5:$B$1517,"&lt;"&amp;B481)+COUNTIFS($M$5:$M$1517,M481,$B$5:$B$1517,B481,$C$5:$C$1517,"&lt;"&amp;C481),"")</f>
        <v/>
      </c>
      <c r="S481" s="0" t="str">
        <f aca="false">IF(N481&gt;=Models!$G$7,1+COUNTIF($N$5:$N$1517,"&gt;"&amp;N481)+COUNTIFS($N$5:$N$1517,N481,$B$5:$B$1517,"&lt;"&amp;B481)+COUNTIFS($N$5:$N$1517,N481,$B$5:$B$1517,B481,$C$5:$C$1517,"&lt;"&amp;C481),"")</f>
        <v/>
      </c>
      <c r="T481" s="8" t="n">
        <f aca="false">IF(O481&gt;=Models!$G$8,1+COUNTIF($O$5:$O$1517,"&gt;"&amp;O481)+COUNTIFS($O$5:$O$1517,O481,$B$5:$B$1517,"&lt;"&amp;B481)+COUNTIFS($O$5:$O$1517,O481,$B$5:$B$1517,B481,$C$5:$C$1517,"&lt;"&amp;C481),"")</f>
        <v>434</v>
      </c>
      <c r="U481" s="8" t="n">
        <f aca="false">IF($K481=1,COUNTIFS($L$5:$L$1517,"&gt;="&amp;L481,$K$5:$K$1517,1)/COUNTIF($L$5:$L$1517,"&gt;="&amp;L481),0)</f>
        <v>0.122137404580153</v>
      </c>
      <c r="V481" s="8" t="n">
        <f aca="false">IF($K481=1,COUNTIFS($M$5:$M$1517,"&gt;="&amp;M481,$K$5:$K$1517,1)/COUNTIF($M$5:$M$1517,"&gt;="&amp;M481),0)</f>
        <v>0.12491738268341</v>
      </c>
      <c r="W481" s="8" t="n">
        <f aca="false">IF($K481=1,COUNTIFS($N$5:$N$1517,"&gt;="&amp;N481,$K$5:$K$1517,1)/COUNTIF($N$5:$N$1517,"&gt;="&amp;N481),0)</f>
        <v>0.233409610983982</v>
      </c>
      <c r="X481" s="8" t="n">
        <f aca="false">IF($K481=1,COUNTIFS($O$5:$O$1517,"&gt;="&amp;O481,$K$5:$K$1517,1)/COUNTIF($O$5:$O$1517,"&gt;="&amp;O481),0)</f>
        <v>0.12491738268341</v>
      </c>
      <c r="Y481" s="8" t="n">
        <f aca="false">IF($K481=1,COUNTIFS($P$5:$P$1517,"&gt;="&amp;P481,$K$5:$K$1517,1)/COUNTIF($P$5:$P$1517,"&gt;="&amp;P481),0)</f>
        <v>0.233409610983982</v>
      </c>
      <c r="Z481" s="8" t="n">
        <f aca="false">(L481-$K481)^2</f>
        <v>0.279249890481</v>
      </c>
      <c r="AA481" s="8" t="n">
        <f aca="false">(M481-$K481)^2</f>
        <v>0.824349595969</v>
      </c>
      <c r="AB481" s="8" t="n">
        <f aca="false">(N481-$K481)^2</f>
        <v>0.770394153841</v>
      </c>
      <c r="AC481" s="8" t="n">
        <f aca="false">(O481-$K481)^2</f>
        <v>0.798908829489</v>
      </c>
      <c r="AD481" s="8" t="n">
        <f aca="false">(P481-$K481)^2</f>
        <v>0.755889397561</v>
      </c>
      <c r="AE481" s="8" t="n">
        <f aca="false">MIN(INT(ROUND(N481*1000000,0)/100000),9)</f>
        <v>1</v>
      </c>
      <c r="AF481" s="8" t="n">
        <f aca="false">MIN(INT(ROUND(P481*1000000,0)/100000),9)</f>
        <v>1</v>
      </c>
    </row>
    <row r="482" customFormat="false" ht="15" hidden="false" customHeight="false" outlineLevel="0" collapsed="false">
      <c r="A482" s="4" t="n">
        <v>478</v>
      </c>
      <c r="B482" s="4" t="n">
        <v>577</v>
      </c>
      <c r="C482" s="4" t="n">
        <v>1</v>
      </c>
      <c r="D482" s="11" t="n">
        <v>46082</v>
      </c>
      <c r="E482" s="4" t="s">
        <v>203</v>
      </c>
      <c r="F482" s="4" t="s">
        <v>206</v>
      </c>
      <c r="G482" s="4" t="n">
        <v>6</v>
      </c>
      <c r="H482" s="4" t="n">
        <v>4</v>
      </c>
      <c r="I482" s="4" t="n">
        <v>0</v>
      </c>
      <c r="J482" s="4" t="n">
        <v>441</v>
      </c>
      <c r="K482" s="4" t="n">
        <v>0</v>
      </c>
      <c r="L482" s="12" t="n">
        <v>0.361165</v>
      </c>
      <c r="M482" s="12" t="n">
        <v>0.092063</v>
      </c>
      <c r="N482" s="12" t="n">
        <v>0.100757</v>
      </c>
      <c r="O482" s="12" t="n">
        <v>0.106183</v>
      </c>
      <c r="P482" s="12" t="n">
        <v>0.106785</v>
      </c>
      <c r="Q482" s="0" t="str">
        <f aca="false">IF(L482&gt;=Models!$G$5,1+COUNTIF($L$5:$L$1517,"&gt;"&amp;L482)+COUNTIFS($L$5:$L$1517,L482,$B$5:$B$1517,"&lt;"&amp;B482)+COUNTIFS($L$5:$L$1517,L482,$B$5:$B$1517,B482,$C$5:$C$1517,"&lt;"&amp;C482),"")</f>
        <v/>
      </c>
      <c r="R482" s="0" t="str">
        <f aca="false">IF(M482&gt;=Models!$G$6,1+COUNTIF($M$5:$M$1517,"&gt;"&amp;M482)+COUNTIFS($M$5:$M$1517,M482,$B$5:$B$1517,"&lt;"&amp;B482)+COUNTIFS($M$5:$M$1517,M482,$B$5:$B$1517,B482,$C$5:$C$1517,"&lt;"&amp;C482),"")</f>
        <v/>
      </c>
      <c r="S482" s="0" t="str">
        <f aca="false">IF(N482&gt;=Models!$G$7,1+COUNTIF($N$5:$N$1517,"&gt;"&amp;N482)+COUNTIFS($N$5:$N$1517,N482,$B$5:$B$1517,"&lt;"&amp;B482)+COUNTIFS($N$5:$N$1517,N482,$B$5:$B$1517,B482,$C$5:$C$1517,"&lt;"&amp;C482),"")</f>
        <v/>
      </c>
      <c r="T482" s="8" t="n">
        <f aca="false">IF(O482&gt;=Models!$G$8,1+COUNTIF($O$5:$O$1517,"&gt;"&amp;O482)+COUNTIFS($O$5:$O$1517,O482,$B$5:$B$1517,"&lt;"&amp;B482)+COUNTIFS($O$5:$O$1517,O482,$B$5:$B$1517,B482,$C$5:$C$1517,"&lt;"&amp;C482),"")</f>
        <v>438</v>
      </c>
      <c r="U482" s="8" t="n">
        <f aca="false">IF($K482=1,COUNTIFS($L$5:$L$1517,"&gt;="&amp;L482,$K$5:$K$1517,1)/COUNTIF($L$5:$L$1517,"&gt;="&amp;L482),0)</f>
        <v>0</v>
      </c>
      <c r="V482" s="8" t="n">
        <f aca="false">IF($K482=1,COUNTIFS($M$5:$M$1517,"&gt;="&amp;M482,$K$5:$K$1517,1)/COUNTIF($M$5:$M$1517,"&gt;="&amp;M482),0)</f>
        <v>0</v>
      </c>
      <c r="W482" s="8" t="n">
        <f aca="false">IF($K482=1,COUNTIFS($N$5:$N$1517,"&gt;="&amp;N482,$K$5:$K$1517,1)/COUNTIF($N$5:$N$1517,"&gt;="&amp;N482),0)</f>
        <v>0</v>
      </c>
      <c r="X482" s="8" t="n">
        <f aca="false">IF($K482=1,COUNTIFS($O$5:$O$1517,"&gt;="&amp;O482,$K$5:$K$1517,1)/COUNTIF($O$5:$O$1517,"&gt;="&amp;O482),0)</f>
        <v>0</v>
      </c>
      <c r="Y482" s="8" t="n">
        <f aca="false">IF($K482=1,COUNTIFS($P$5:$P$1517,"&gt;="&amp;P482,$K$5:$K$1517,1)/COUNTIF($P$5:$P$1517,"&gt;="&amp;P482),0)</f>
        <v>0</v>
      </c>
      <c r="Z482" s="8" t="n">
        <f aca="false">(L482-$K482)^2</f>
        <v>0.130440157225</v>
      </c>
      <c r="AA482" s="8" t="n">
        <f aca="false">(M482-$K482)^2</f>
        <v>0.008475595969</v>
      </c>
      <c r="AB482" s="8" t="n">
        <f aca="false">(N482-$K482)^2</f>
        <v>0.010151973049</v>
      </c>
      <c r="AC482" s="8" t="n">
        <f aca="false">(O482-$K482)^2</f>
        <v>0.011274829489</v>
      </c>
      <c r="AD482" s="8" t="n">
        <f aca="false">(P482-$K482)^2</f>
        <v>0.011403036225</v>
      </c>
      <c r="AE482" s="8" t="n">
        <f aca="false">MIN(INT(ROUND(N482*1000000,0)/100000),9)</f>
        <v>1</v>
      </c>
      <c r="AF482" s="8" t="n">
        <f aca="false">MIN(INT(ROUND(P482*1000000,0)/100000),9)</f>
        <v>1</v>
      </c>
    </row>
    <row r="483" customFormat="false" ht="15" hidden="false" customHeight="false" outlineLevel="0" collapsed="false">
      <c r="A483" s="4" t="n">
        <v>479</v>
      </c>
      <c r="B483" s="4" t="n">
        <v>586</v>
      </c>
      <c r="C483" s="4" t="n">
        <v>1</v>
      </c>
      <c r="D483" s="11" t="n">
        <v>46082</v>
      </c>
      <c r="E483" s="4" t="s">
        <v>202</v>
      </c>
      <c r="F483" s="4" t="s">
        <v>206</v>
      </c>
      <c r="G483" s="4" t="n">
        <v>15</v>
      </c>
      <c r="H483" s="4" t="n">
        <v>1</v>
      </c>
      <c r="I483" s="4" t="n">
        <v>0</v>
      </c>
      <c r="J483" s="4"/>
      <c r="K483" s="4" t="n">
        <v>0</v>
      </c>
      <c r="L483" s="12" t="n">
        <v>0.275617</v>
      </c>
      <c r="M483" s="12" t="n">
        <v>0.092063</v>
      </c>
      <c r="N483" s="12" t="n">
        <v>0.022877</v>
      </c>
      <c r="O483" s="12" t="n">
        <v>0.106183</v>
      </c>
      <c r="P483" s="12" t="n">
        <v>0.022662</v>
      </c>
      <c r="Q483" s="0" t="str">
        <f aca="false">IF(L483&gt;=Models!$G$5,1+COUNTIF($L$5:$L$1517,"&gt;"&amp;L483)+COUNTIFS($L$5:$L$1517,L483,$B$5:$B$1517,"&lt;"&amp;B483)+COUNTIFS($L$5:$L$1517,L483,$B$5:$B$1517,B483,$C$5:$C$1517,"&lt;"&amp;C483),"")</f>
        <v/>
      </c>
      <c r="R483" s="0" t="str">
        <f aca="false">IF(M483&gt;=Models!$G$6,1+COUNTIF($M$5:$M$1517,"&gt;"&amp;M483)+COUNTIFS($M$5:$M$1517,M483,$B$5:$B$1517,"&lt;"&amp;B483)+COUNTIFS($M$5:$M$1517,M483,$B$5:$B$1517,B483,$C$5:$C$1517,"&lt;"&amp;C483),"")</f>
        <v/>
      </c>
      <c r="S483" s="0" t="str">
        <f aca="false">IF(N483&gt;=Models!$G$7,1+COUNTIF($N$5:$N$1517,"&gt;"&amp;N483)+COUNTIFS($N$5:$N$1517,N483,$B$5:$B$1517,"&lt;"&amp;B483)+COUNTIFS($N$5:$N$1517,N483,$B$5:$B$1517,B483,$C$5:$C$1517,"&lt;"&amp;C483),"")</f>
        <v/>
      </c>
      <c r="T483" s="8" t="n">
        <f aca="false">IF(O483&gt;=Models!$G$8,1+COUNTIF($O$5:$O$1517,"&gt;"&amp;O483)+COUNTIFS($O$5:$O$1517,O483,$B$5:$B$1517,"&lt;"&amp;B483)+COUNTIFS($O$5:$O$1517,O483,$B$5:$B$1517,B483,$C$5:$C$1517,"&lt;"&amp;C483),"")</f>
        <v>442</v>
      </c>
      <c r="U483" s="8" t="n">
        <f aca="false">IF($K483=1,COUNTIFS($L$5:$L$1517,"&gt;="&amp;L483,$K$5:$K$1517,1)/COUNTIF($L$5:$L$1517,"&gt;="&amp;L483),0)</f>
        <v>0</v>
      </c>
      <c r="V483" s="8" t="n">
        <f aca="false">IF($K483=1,COUNTIFS($M$5:$M$1517,"&gt;="&amp;M483,$K$5:$K$1517,1)/COUNTIF($M$5:$M$1517,"&gt;="&amp;M483),0)</f>
        <v>0</v>
      </c>
      <c r="W483" s="8" t="n">
        <f aca="false">IF($K483=1,COUNTIFS($N$5:$N$1517,"&gt;="&amp;N483,$K$5:$K$1517,1)/COUNTIF($N$5:$N$1517,"&gt;="&amp;N483),0)</f>
        <v>0</v>
      </c>
      <c r="X483" s="8" t="n">
        <f aca="false">IF($K483=1,COUNTIFS($O$5:$O$1517,"&gt;="&amp;O483,$K$5:$K$1517,1)/COUNTIF($O$5:$O$1517,"&gt;="&amp;O483),0)</f>
        <v>0</v>
      </c>
      <c r="Y483" s="8" t="n">
        <f aca="false">IF($K483=1,COUNTIFS($P$5:$P$1517,"&gt;="&amp;P483,$K$5:$K$1517,1)/COUNTIF($P$5:$P$1517,"&gt;="&amp;P483),0)</f>
        <v>0</v>
      </c>
      <c r="Z483" s="8" t="n">
        <f aca="false">(L483-$K483)^2</f>
        <v>0.075964730689</v>
      </c>
      <c r="AA483" s="8" t="n">
        <f aca="false">(M483-$K483)^2</f>
        <v>0.008475595969</v>
      </c>
      <c r="AB483" s="8" t="n">
        <f aca="false">(N483-$K483)^2</f>
        <v>0.000523357129</v>
      </c>
      <c r="AC483" s="8" t="n">
        <f aca="false">(O483-$K483)^2</f>
        <v>0.011274829489</v>
      </c>
      <c r="AD483" s="8" t="n">
        <f aca="false">(P483-$K483)^2</f>
        <v>0.000513566244</v>
      </c>
      <c r="AE483" s="8" t="n">
        <f aca="false">MIN(INT(ROUND(N483*1000000,0)/100000),9)</f>
        <v>0</v>
      </c>
      <c r="AF483" s="8" t="n">
        <f aca="false">MIN(INT(ROUND(P483*1000000,0)/100000),9)</f>
        <v>0</v>
      </c>
    </row>
    <row r="484" customFormat="false" ht="15" hidden="false" customHeight="false" outlineLevel="0" collapsed="false">
      <c r="A484" s="4" t="n">
        <v>480</v>
      </c>
      <c r="B484" s="4" t="n">
        <v>591</v>
      </c>
      <c r="C484" s="4" t="n">
        <v>1</v>
      </c>
      <c r="D484" s="11" t="n">
        <v>46082</v>
      </c>
      <c r="E484" s="4" t="s">
        <v>204</v>
      </c>
      <c r="F484" s="4" t="s">
        <v>210</v>
      </c>
      <c r="G484" s="4" t="n">
        <v>0</v>
      </c>
      <c r="H484" s="4" t="n">
        <v>49</v>
      </c>
      <c r="I484" s="4" t="n">
        <v>0</v>
      </c>
      <c r="J484" s="4"/>
      <c r="K484" s="4" t="n">
        <v>0</v>
      </c>
      <c r="L484" s="12" t="n">
        <v>0.215353</v>
      </c>
      <c r="M484" s="12" t="n">
        <v>0.184211</v>
      </c>
      <c r="N484" s="12" t="n">
        <v>0.118024</v>
      </c>
      <c r="O484" s="12" t="n">
        <v>0.106183</v>
      </c>
      <c r="P484" s="12" t="n">
        <v>0.125868</v>
      </c>
      <c r="Q484" s="0" t="str">
        <f aca="false">IF(L484&gt;=Models!$G$5,1+COUNTIF($L$5:$L$1517,"&gt;"&amp;L484)+COUNTIFS($L$5:$L$1517,L484,$B$5:$B$1517,"&lt;"&amp;B484)+COUNTIFS($L$5:$L$1517,L484,$B$5:$B$1517,B484,$C$5:$C$1517,"&lt;"&amp;C484),"")</f>
        <v/>
      </c>
      <c r="R484" s="8" t="n">
        <f aca="false">IF(M484&gt;=Models!$G$6,1+COUNTIF($M$5:$M$1517,"&gt;"&amp;M484)+COUNTIFS($M$5:$M$1517,M484,$B$5:$B$1517,"&lt;"&amp;B484)+COUNTIFS($M$5:$M$1517,M484,$B$5:$B$1517,B484,$C$5:$C$1517,"&lt;"&amp;C484),"")</f>
        <v>48</v>
      </c>
      <c r="S484" s="0" t="str">
        <f aca="false">IF(N484&gt;=Models!$G$7,1+COUNTIF($N$5:$N$1517,"&gt;"&amp;N484)+COUNTIFS($N$5:$N$1517,N484,$B$5:$B$1517,"&lt;"&amp;B484)+COUNTIFS($N$5:$N$1517,N484,$B$5:$B$1517,B484,$C$5:$C$1517,"&lt;"&amp;C484),"")</f>
        <v/>
      </c>
      <c r="T484" s="8" t="n">
        <f aca="false">IF(O484&gt;=Models!$G$8,1+COUNTIF($O$5:$O$1517,"&gt;"&amp;O484)+COUNTIFS($O$5:$O$1517,O484,$B$5:$B$1517,"&lt;"&amp;B484)+COUNTIFS($O$5:$O$1517,O484,$B$5:$B$1517,B484,$C$5:$C$1517,"&lt;"&amp;C484),"")</f>
        <v>446</v>
      </c>
      <c r="U484" s="8" t="n">
        <f aca="false">IF($K484=1,COUNTIFS($L$5:$L$1517,"&gt;="&amp;L484,$K$5:$K$1517,1)/COUNTIF($L$5:$L$1517,"&gt;="&amp;L484),0)</f>
        <v>0</v>
      </c>
      <c r="V484" s="8" t="n">
        <f aca="false">IF($K484=1,COUNTIFS($M$5:$M$1517,"&gt;="&amp;M484,$K$5:$K$1517,1)/COUNTIF($M$5:$M$1517,"&gt;="&amp;M484),0)</f>
        <v>0</v>
      </c>
      <c r="W484" s="8" t="n">
        <f aca="false">IF($K484=1,COUNTIFS($N$5:$N$1517,"&gt;="&amp;N484,$K$5:$K$1517,1)/COUNTIF($N$5:$N$1517,"&gt;="&amp;N484),0)</f>
        <v>0</v>
      </c>
      <c r="X484" s="8" t="n">
        <f aca="false">IF($K484=1,COUNTIFS($O$5:$O$1517,"&gt;="&amp;O484,$K$5:$K$1517,1)/COUNTIF($O$5:$O$1517,"&gt;="&amp;O484),0)</f>
        <v>0</v>
      </c>
      <c r="Y484" s="8" t="n">
        <f aca="false">IF($K484=1,COUNTIFS($P$5:$P$1517,"&gt;="&amp;P484,$K$5:$K$1517,1)/COUNTIF($P$5:$P$1517,"&gt;="&amp;P484),0)</f>
        <v>0</v>
      </c>
      <c r="Z484" s="8" t="n">
        <f aca="false">(L484-$K484)^2</f>
        <v>0.046376914609</v>
      </c>
      <c r="AA484" s="8" t="n">
        <f aca="false">(M484-$K484)^2</f>
        <v>0.033933692521</v>
      </c>
      <c r="AB484" s="8" t="n">
        <f aca="false">(N484-$K484)^2</f>
        <v>0.013929664576</v>
      </c>
      <c r="AC484" s="8" t="n">
        <f aca="false">(O484-$K484)^2</f>
        <v>0.011274829489</v>
      </c>
      <c r="AD484" s="8" t="n">
        <f aca="false">(P484-$K484)^2</f>
        <v>0.015842753424</v>
      </c>
      <c r="AE484" s="8" t="n">
        <f aca="false">MIN(INT(ROUND(N484*1000000,0)/100000),9)</f>
        <v>1</v>
      </c>
      <c r="AF484" s="8" t="n">
        <f aca="false">MIN(INT(ROUND(P484*1000000,0)/100000),9)</f>
        <v>1</v>
      </c>
    </row>
    <row r="485" customFormat="false" ht="15" hidden="false" customHeight="false" outlineLevel="0" collapsed="false">
      <c r="A485" s="4" t="n">
        <v>481</v>
      </c>
      <c r="B485" s="4" t="n">
        <v>596</v>
      </c>
      <c r="C485" s="4" t="n">
        <v>1</v>
      </c>
      <c r="D485" s="11" t="n">
        <v>46082</v>
      </c>
      <c r="E485" s="4" t="s">
        <v>202</v>
      </c>
      <c r="F485" s="4" t="s">
        <v>208</v>
      </c>
      <c r="G485" s="4" t="n">
        <v>8</v>
      </c>
      <c r="H485" s="4" t="n">
        <v>4</v>
      </c>
      <c r="I485" s="4" t="n">
        <v>0</v>
      </c>
      <c r="J485" s="4"/>
      <c r="K485" s="4" t="n">
        <v>0</v>
      </c>
      <c r="L485" s="12" t="n">
        <v>0.667635</v>
      </c>
      <c r="M485" s="12" t="n">
        <v>0.092063</v>
      </c>
      <c r="N485" s="12" t="n">
        <v>0.043108</v>
      </c>
      <c r="O485" s="12" t="n">
        <v>0.106183</v>
      </c>
      <c r="P485" s="12" t="n">
        <v>0.044003</v>
      </c>
      <c r="Q485" s="0" t="str">
        <f aca="false">IF(L485&gt;=Models!$G$5,1+COUNTIF($L$5:$L$1517,"&gt;"&amp;L485)+COUNTIFS($L$5:$L$1517,L485,$B$5:$B$1517,"&lt;"&amp;B485)+COUNTIFS($L$5:$L$1517,L485,$B$5:$B$1517,B485,$C$5:$C$1517,"&lt;"&amp;C485),"")</f>
        <v/>
      </c>
      <c r="R485" s="0" t="str">
        <f aca="false">IF(M485&gt;=Models!$G$6,1+COUNTIF($M$5:$M$1517,"&gt;"&amp;M485)+COUNTIFS($M$5:$M$1517,M485,$B$5:$B$1517,"&lt;"&amp;B485)+COUNTIFS($M$5:$M$1517,M485,$B$5:$B$1517,B485,$C$5:$C$1517,"&lt;"&amp;C485),"")</f>
        <v/>
      </c>
      <c r="S485" s="0" t="str">
        <f aca="false">IF(N485&gt;=Models!$G$7,1+COUNTIF($N$5:$N$1517,"&gt;"&amp;N485)+COUNTIFS($N$5:$N$1517,N485,$B$5:$B$1517,"&lt;"&amp;B485)+COUNTIFS($N$5:$N$1517,N485,$B$5:$B$1517,B485,$C$5:$C$1517,"&lt;"&amp;C485),"")</f>
        <v/>
      </c>
      <c r="T485" s="8" t="n">
        <f aca="false">IF(O485&gt;=Models!$G$8,1+COUNTIF($O$5:$O$1517,"&gt;"&amp;O485)+COUNTIFS($O$5:$O$1517,O485,$B$5:$B$1517,"&lt;"&amp;B485)+COUNTIFS($O$5:$O$1517,O485,$B$5:$B$1517,B485,$C$5:$C$1517,"&lt;"&amp;C485),"")</f>
        <v>450</v>
      </c>
      <c r="U485" s="8" t="n">
        <f aca="false">IF($K485=1,COUNTIFS($L$5:$L$1517,"&gt;="&amp;L485,$K$5:$K$1517,1)/COUNTIF($L$5:$L$1517,"&gt;="&amp;L485),0)</f>
        <v>0</v>
      </c>
      <c r="V485" s="8" t="n">
        <f aca="false">IF($K485=1,COUNTIFS($M$5:$M$1517,"&gt;="&amp;M485,$K$5:$K$1517,1)/COUNTIF($M$5:$M$1517,"&gt;="&amp;M485),0)</f>
        <v>0</v>
      </c>
      <c r="W485" s="8" t="n">
        <f aca="false">IF($K485=1,COUNTIFS($N$5:$N$1517,"&gt;="&amp;N485,$K$5:$K$1517,1)/COUNTIF($N$5:$N$1517,"&gt;="&amp;N485),0)</f>
        <v>0</v>
      </c>
      <c r="X485" s="8" t="n">
        <f aca="false">IF($K485=1,COUNTIFS($O$5:$O$1517,"&gt;="&amp;O485,$K$5:$K$1517,1)/COUNTIF($O$5:$O$1517,"&gt;="&amp;O485),0)</f>
        <v>0</v>
      </c>
      <c r="Y485" s="8" t="n">
        <f aca="false">IF($K485=1,COUNTIFS($P$5:$P$1517,"&gt;="&amp;P485,$K$5:$K$1517,1)/COUNTIF($P$5:$P$1517,"&gt;="&amp;P485),0)</f>
        <v>0</v>
      </c>
      <c r="Z485" s="8" t="n">
        <f aca="false">(L485-$K485)^2</f>
        <v>0.445736493225</v>
      </c>
      <c r="AA485" s="8" t="n">
        <f aca="false">(M485-$K485)^2</f>
        <v>0.008475595969</v>
      </c>
      <c r="AB485" s="8" t="n">
        <f aca="false">(N485-$K485)^2</f>
        <v>0.001858299664</v>
      </c>
      <c r="AC485" s="8" t="n">
        <f aca="false">(O485-$K485)^2</f>
        <v>0.011274829489</v>
      </c>
      <c r="AD485" s="8" t="n">
        <f aca="false">(P485-$K485)^2</f>
        <v>0.001936264009</v>
      </c>
      <c r="AE485" s="8" t="n">
        <f aca="false">MIN(INT(ROUND(N485*1000000,0)/100000),9)</f>
        <v>0</v>
      </c>
      <c r="AF485" s="8" t="n">
        <f aca="false">MIN(INT(ROUND(P485*1000000,0)/100000),9)</f>
        <v>0</v>
      </c>
    </row>
    <row r="486" customFormat="false" ht="15" hidden="false" customHeight="false" outlineLevel="0" collapsed="false">
      <c r="A486" s="4" t="n">
        <v>482</v>
      </c>
      <c r="B486" s="4" t="n">
        <v>604</v>
      </c>
      <c r="C486" s="4" t="n">
        <v>1</v>
      </c>
      <c r="D486" s="11" t="n">
        <v>46082</v>
      </c>
      <c r="E486" s="4" t="s">
        <v>202</v>
      </c>
      <c r="F486" s="4" t="s">
        <v>208</v>
      </c>
      <c r="G486" s="4" t="n">
        <v>4</v>
      </c>
      <c r="H486" s="4" t="n">
        <v>4</v>
      </c>
      <c r="I486" s="4" t="n">
        <v>0</v>
      </c>
      <c r="J486" s="4"/>
      <c r="K486" s="4" t="n">
        <v>0</v>
      </c>
      <c r="L486" s="12" t="n">
        <v>0.658088</v>
      </c>
      <c r="M486" s="12" t="n">
        <v>0.092063</v>
      </c>
      <c r="N486" s="12" t="n">
        <v>0.060654</v>
      </c>
      <c r="O486" s="12" t="n">
        <v>0.106183</v>
      </c>
      <c r="P486" s="12" t="n">
        <v>0.062891</v>
      </c>
      <c r="Q486" s="0" t="str">
        <f aca="false">IF(L486&gt;=Models!$G$5,1+COUNTIF($L$5:$L$1517,"&gt;"&amp;L486)+COUNTIFS($L$5:$L$1517,L486,$B$5:$B$1517,"&lt;"&amp;B486)+COUNTIFS($L$5:$L$1517,L486,$B$5:$B$1517,B486,$C$5:$C$1517,"&lt;"&amp;C486),"")</f>
        <v/>
      </c>
      <c r="R486" s="0" t="str">
        <f aca="false">IF(M486&gt;=Models!$G$6,1+COUNTIF($M$5:$M$1517,"&gt;"&amp;M486)+COUNTIFS($M$5:$M$1517,M486,$B$5:$B$1517,"&lt;"&amp;B486)+COUNTIFS($M$5:$M$1517,M486,$B$5:$B$1517,B486,$C$5:$C$1517,"&lt;"&amp;C486),"")</f>
        <v/>
      </c>
      <c r="S486" s="0" t="str">
        <f aca="false">IF(N486&gt;=Models!$G$7,1+COUNTIF($N$5:$N$1517,"&gt;"&amp;N486)+COUNTIFS($N$5:$N$1517,N486,$B$5:$B$1517,"&lt;"&amp;B486)+COUNTIFS($N$5:$N$1517,N486,$B$5:$B$1517,B486,$C$5:$C$1517,"&lt;"&amp;C486),"")</f>
        <v/>
      </c>
      <c r="T486" s="8" t="n">
        <f aca="false">IF(O486&gt;=Models!$G$8,1+COUNTIF($O$5:$O$1517,"&gt;"&amp;O486)+COUNTIFS($O$5:$O$1517,O486,$B$5:$B$1517,"&lt;"&amp;B486)+COUNTIFS($O$5:$O$1517,O486,$B$5:$B$1517,B486,$C$5:$C$1517,"&lt;"&amp;C486),"")</f>
        <v>454</v>
      </c>
      <c r="U486" s="8" t="n">
        <f aca="false">IF($K486=1,COUNTIFS($L$5:$L$1517,"&gt;="&amp;L486,$K$5:$K$1517,1)/COUNTIF($L$5:$L$1517,"&gt;="&amp;L486),0)</f>
        <v>0</v>
      </c>
      <c r="V486" s="8" t="n">
        <f aca="false">IF($K486=1,COUNTIFS($M$5:$M$1517,"&gt;="&amp;M486,$K$5:$K$1517,1)/COUNTIF($M$5:$M$1517,"&gt;="&amp;M486),0)</f>
        <v>0</v>
      </c>
      <c r="W486" s="8" t="n">
        <f aca="false">IF($K486=1,COUNTIFS($N$5:$N$1517,"&gt;="&amp;N486,$K$5:$K$1517,1)/COUNTIF($N$5:$N$1517,"&gt;="&amp;N486),0)</f>
        <v>0</v>
      </c>
      <c r="X486" s="8" t="n">
        <f aca="false">IF($K486=1,COUNTIFS($O$5:$O$1517,"&gt;="&amp;O486,$K$5:$K$1517,1)/COUNTIF($O$5:$O$1517,"&gt;="&amp;O486),0)</f>
        <v>0</v>
      </c>
      <c r="Y486" s="8" t="n">
        <f aca="false">IF($K486=1,COUNTIFS($P$5:$P$1517,"&gt;="&amp;P486,$K$5:$K$1517,1)/COUNTIF($P$5:$P$1517,"&gt;="&amp;P486),0)</f>
        <v>0</v>
      </c>
      <c r="Z486" s="8" t="n">
        <f aca="false">(L486-$K486)^2</f>
        <v>0.433079815744</v>
      </c>
      <c r="AA486" s="8" t="n">
        <f aca="false">(M486-$K486)^2</f>
        <v>0.008475595969</v>
      </c>
      <c r="AB486" s="8" t="n">
        <f aca="false">(N486-$K486)^2</f>
        <v>0.003678907716</v>
      </c>
      <c r="AC486" s="8" t="n">
        <f aca="false">(O486-$K486)^2</f>
        <v>0.011274829489</v>
      </c>
      <c r="AD486" s="8" t="n">
        <f aca="false">(P486-$K486)^2</f>
        <v>0.003955277881</v>
      </c>
      <c r="AE486" s="8" t="n">
        <f aca="false">MIN(INT(ROUND(N486*1000000,0)/100000),9)</f>
        <v>0</v>
      </c>
      <c r="AF486" s="8" t="n">
        <f aca="false">MIN(INT(ROUND(P486*1000000,0)/100000),9)</f>
        <v>0</v>
      </c>
    </row>
    <row r="487" customFormat="false" ht="15" hidden="false" customHeight="false" outlineLevel="0" collapsed="false">
      <c r="A487" s="4" t="n">
        <v>483</v>
      </c>
      <c r="B487" s="4" t="n">
        <v>607</v>
      </c>
      <c r="C487" s="4" t="n">
        <v>1</v>
      </c>
      <c r="D487" s="11" t="n">
        <v>46082</v>
      </c>
      <c r="E487" s="4" t="s">
        <v>201</v>
      </c>
      <c r="F487" s="4" t="s">
        <v>210</v>
      </c>
      <c r="G487" s="4" t="n">
        <v>23</v>
      </c>
      <c r="H487" s="4" t="n">
        <v>2</v>
      </c>
      <c r="I487" s="4" t="n">
        <v>0</v>
      </c>
      <c r="J487" s="4"/>
      <c r="K487" s="4" t="n">
        <v>0</v>
      </c>
      <c r="L487" s="12" t="n">
        <v>0.735355</v>
      </c>
      <c r="M487" s="12" t="n">
        <v>0.092063</v>
      </c>
      <c r="N487" s="12" t="n">
        <v>0.011359</v>
      </c>
      <c r="O487" s="12" t="n">
        <v>0.106183</v>
      </c>
      <c r="P487" s="12" t="n">
        <v>0.010881</v>
      </c>
      <c r="Q487" s="0" t="str">
        <f aca="false">IF(L487&gt;=Models!$G$5,1+COUNTIF($L$5:$L$1517,"&gt;"&amp;L487)+COUNTIFS($L$5:$L$1517,L487,$B$5:$B$1517,"&lt;"&amp;B487)+COUNTIFS($L$5:$L$1517,L487,$B$5:$B$1517,B487,$C$5:$C$1517,"&lt;"&amp;C487),"")</f>
        <v/>
      </c>
      <c r="R487" s="0" t="str">
        <f aca="false">IF(M487&gt;=Models!$G$6,1+COUNTIF($M$5:$M$1517,"&gt;"&amp;M487)+COUNTIFS($M$5:$M$1517,M487,$B$5:$B$1517,"&lt;"&amp;B487)+COUNTIFS($M$5:$M$1517,M487,$B$5:$B$1517,B487,$C$5:$C$1517,"&lt;"&amp;C487),"")</f>
        <v/>
      </c>
      <c r="S487" s="0" t="str">
        <f aca="false">IF(N487&gt;=Models!$G$7,1+COUNTIF($N$5:$N$1517,"&gt;"&amp;N487)+COUNTIFS($N$5:$N$1517,N487,$B$5:$B$1517,"&lt;"&amp;B487)+COUNTIFS($N$5:$N$1517,N487,$B$5:$B$1517,B487,$C$5:$C$1517,"&lt;"&amp;C487),"")</f>
        <v/>
      </c>
      <c r="T487" s="8" t="n">
        <f aca="false">IF(O487&gt;=Models!$G$8,1+COUNTIF($O$5:$O$1517,"&gt;"&amp;O487)+COUNTIFS($O$5:$O$1517,O487,$B$5:$B$1517,"&lt;"&amp;B487)+COUNTIFS($O$5:$O$1517,O487,$B$5:$B$1517,B487,$C$5:$C$1517,"&lt;"&amp;C487),"")</f>
        <v>458</v>
      </c>
      <c r="U487" s="8" t="n">
        <f aca="false">IF($K487=1,COUNTIFS($L$5:$L$1517,"&gt;="&amp;L487,$K$5:$K$1517,1)/COUNTIF($L$5:$L$1517,"&gt;="&amp;L487),0)</f>
        <v>0</v>
      </c>
      <c r="V487" s="8" t="n">
        <f aca="false">IF($K487=1,COUNTIFS($M$5:$M$1517,"&gt;="&amp;M487,$K$5:$K$1517,1)/COUNTIF($M$5:$M$1517,"&gt;="&amp;M487),0)</f>
        <v>0</v>
      </c>
      <c r="W487" s="8" t="n">
        <f aca="false">IF($K487=1,COUNTIFS($N$5:$N$1517,"&gt;="&amp;N487,$K$5:$K$1517,1)/COUNTIF($N$5:$N$1517,"&gt;="&amp;N487),0)</f>
        <v>0</v>
      </c>
      <c r="X487" s="8" t="n">
        <f aca="false">IF($K487=1,COUNTIFS($O$5:$O$1517,"&gt;="&amp;O487,$K$5:$K$1517,1)/COUNTIF($O$5:$O$1517,"&gt;="&amp;O487),0)</f>
        <v>0</v>
      </c>
      <c r="Y487" s="8" t="n">
        <f aca="false">IF($K487=1,COUNTIFS($P$5:$P$1517,"&gt;="&amp;P487,$K$5:$K$1517,1)/COUNTIF($P$5:$P$1517,"&gt;="&amp;P487),0)</f>
        <v>0</v>
      </c>
      <c r="Z487" s="8" t="n">
        <f aca="false">(L487-$K487)^2</f>
        <v>0.540746976025</v>
      </c>
      <c r="AA487" s="8" t="n">
        <f aca="false">(M487-$K487)^2</f>
        <v>0.008475595969</v>
      </c>
      <c r="AB487" s="8" t="n">
        <f aca="false">(N487-$K487)^2</f>
        <v>0.000129026881</v>
      </c>
      <c r="AC487" s="8" t="n">
        <f aca="false">(O487-$K487)^2</f>
        <v>0.011274829489</v>
      </c>
      <c r="AD487" s="8" t="n">
        <f aca="false">(P487-$K487)^2</f>
        <v>0.000118396161</v>
      </c>
      <c r="AE487" s="8" t="n">
        <f aca="false">MIN(INT(ROUND(N487*1000000,0)/100000),9)</f>
        <v>0</v>
      </c>
      <c r="AF487" s="8" t="n">
        <f aca="false">MIN(INT(ROUND(P487*1000000,0)/100000),9)</f>
        <v>0</v>
      </c>
    </row>
    <row r="488" customFormat="false" ht="15" hidden="false" customHeight="false" outlineLevel="0" collapsed="false">
      <c r="A488" s="4" t="n">
        <v>484</v>
      </c>
      <c r="B488" s="4" t="n">
        <v>618</v>
      </c>
      <c r="C488" s="4" t="n">
        <v>1</v>
      </c>
      <c r="D488" s="11" t="n">
        <v>46082</v>
      </c>
      <c r="E488" s="4" t="s">
        <v>203</v>
      </c>
      <c r="F488" s="4" t="s">
        <v>206</v>
      </c>
      <c r="G488" s="4" t="n">
        <v>3</v>
      </c>
      <c r="H488" s="4" t="n">
        <v>15</v>
      </c>
      <c r="I488" s="4" t="n">
        <v>0</v>
      </c>
      <c r="J488" s="4" t="n">
        <v>441</v>
      </c>
      <c r="K488" s="4" t="n">
        <v>0</v>
      </c>
      <c r="L488" s="12" t="n">
        <v>0.348621</v>
      </c>
      <c r="M488" s="12" t="n">
        <v>0.092063</v>
      </c>
      <c r="N488" s="12" t="n">
        <v>0.13839</v>
      </c>
      <c r="O488" s="12" t="n">
        <v>0.106183</v>
      </c>
      <c r="P488" s="12" t="n">
        <v>0.148456</v>
      </c>
      <c r="Q488" s="0" t="str">
        <f aca="false">IF(L488&gt;=Models!$G$5,1+COUNTIF($L$5:$L$1517,"&gt;"&amp;L488)+COUNTIFS($L$5:$L$1517,L488,$B$5:$B$1517,"&lt;"&amp;B488)+COUNTIFS($L$5:$L$1517,L488,$B$5:$B$1517,B488,$C$5:$C$1517,"&lt;"&amp;C488),"")</f>
        <v/>
      </c>
      <c r="R488" s="0" t="str">
        <f aca="false">IF(M488&gt;=Models!$G$6,1+COUNTIF($M$5:$M$1517,"&gt;"&amp;M488)+COUNTIFS($M$5:$M$1517,M488,$B$5:$B$1517,"&lt;"&amp;B488)+COUNTIFS($M$5:$M$1517,M488,$B$5:$B$1517,B488,$C$5:$C$1517,"&lt;"&amp;C488),"")</f>
        <v/>
      </c>
      <c r="S488" s="0" t="str">
        <f aca="false">IF(N488&gt;=Models!$G$7,1+COUNTIF($N$5:$N$1517,"&gt;"&amp;N488)+COUNTIFS($N$5:$N$1517,N488,$B$5:$B$1517,"&lt;"&amp;B488)+COUNTIFS($N$5:$N$1517,N488,$B$5:$B$1517,B488,$C$5:$C$1517,"&lt;"&amp;C488),"")</f>
        <v/>
      </c>
      <c r="T488" s="8" t="n">
        <f aca="false">IF(O488&gt;=Models!$G$8,1+COUNTIF($O$5:$O$1517,"&gt;"&amp;O488)+COUNTIFS($O$5:$O$1517,O488,$B$5:$B$1517,"&lt;"&amp;B488)+COUNTIFS($O$5:$O$1517,O488,$B$5:$B$1517,B488,$C$5:$C$1517,"&lt;"&amp;C488),"")</f>
        <v>462</v>
      </c>
      <c r="U488" s="8" t="n">
        <f aca="false">IF($K488=1,COUNTIFS($L$5:$L$1517,"&gt;="&amp;L488,$K$5:$K$1517,1)/COUNTIF($L$5:$L$1517,"&gt;="&amp;L488),0)</f>
        <v>0</v>
      </c>
      <c r="V488" s="8" t="n">
        <f aca="false">IF($K488=1,COUNTIFS($M$5:$M$1517,"&gt;="&amp;M488,$K$5:$K$1517,1)/COUNTIF($M$5:$M$1517,"&gt;="&amp;M488),0)</f>
        <v>0</v>
      </c>
      <c r="W488" s="8" t="n">
        <f aca="false">IF($K488=1,COUNTIFS($N$5:$N$1517,"&gt;="&amp;N488,$K$5:$K$1517,1)/COUNTIF($N$5:$N$1517,"&gt;="&amp;N488),0)</f>
        <v>0</v>
      </c>
      <c r="X488" s="8" t="n">
        <f aca="false">IF($K488=1,COUNTIFS($O$5:$O$1517,"&gt;="&amp;O488,$K$5:$K$1517,1)/COUNTIF($O$5:$O$1517,"&gt;="&amp;O488),0)</f>
        <v>0</v>
      </c>
      <c r="Y488" s="8" t="n">
        <f aca="false">IF($K488=1,COUNTIFS($P$5:$P$1517,"&gt;="&amp;P488,$K$5:$K$1517,1)/COUNTIF($P$5:$P$1517,"&gt;="&amp;P488),0)</f>
        <v>0</v>
      </c>
      <c r="Z488" s="8" t="n">
        <f aca="false">(L488-$K488)^2</f>
        <v>0.121536601641</v>
      </c>
      <c r="AA488" s="8" t="n">
        <f aca="false">(M488-$K488)^2</f>
        <v>0.008475595969</v>
      </c>
      <c r="AB488" s="8" t="n">
        <f aca="false">(N488-$K488)^2</f>
        <v>0.0191517921</v>
      </c>
      <c r="AC488" s="8" t="n">
        <f aca="false">(O488-$K488)^2</f>
        <v>0.011274829489</v>
      </c>
      <c r="AD488" s="8" t="n">
        <f aca="false">(P488-$K488)^2</f>
        <v>0.022039183936</v>
      </c>
      <c r="AE488" s="8" t="n">
        <f aca="false">MIN(INT(ROUND(N488*1000000,0)/100000),9)</f>
        <v>1</v>
      </c>
      <c r="AF488" s="8" t="n">
        <f aca="false">MIN(INT(ROUND(P488*1000000,0)/100000),9)</f>
        <v>1</v>
      </c>
    </row>
    <row r="489" customFormat="false" ht="15" hidden="false" customHeight="false" outlineLevel="0" collapsed="false">
      <c r="A489" s="4" t="n">
        <v>485</v>
      </c>
      <c r="B489" s="4" t="n">
        <v>621</v>
      </c>
      <c r="C489" s="4" t="n">
        <v>1</v>
      </c>
      <c r="D489" s="11" t="n">
        <v>46082</v>
      </c>
      <c r="E489" s="4" t="s">
        <v>201</v>
      </c>
      <c r="F489" s="4" t="s">
        <v>209</v>
      </c>
      <c r="G489" s="4" t="n">
        <v>3</v>
      </c>
      <c r="H489" s="4" t="n">
        <v>18</v>
      </c>
      <c r="I489" s="4" t="n">
        <v>0</v>
      </c>
      <c r="J489" s="4" t="n">
        <v>6883.8</v>
      </c>
      <c r="K489" s="4" t="n">
        <v>0</v>
      </c>
      <c r="L489" s="12" t="n">
        <v>0.395507</v>
      </c>
      <c r="M489" s="12" t="n">
        <v>0.092063</v>
      </c>
      <c r="N489" s="12" t="n">
        <v>0.101719</v>
      </c>
      <c r="O489" s="12" t="n">
        <v>0.106183</v>
      </c>
      <c r="P489" s="12" t="n">
        <v>0.107846</v>
      </c>
      <c r="Q489" s="0" t="str">
        <f aca="false">IF(L489&gt;=Models!$G$5,1+COUNTIF($L$5:$L$1517,"&gt;"&amp;L489)+COUNTIFS($L$5:$L$1517,L489,$B$5:$B$1517,"&lt;"&amp;B489)+COUNTIFS($L$5:$L$1517,L489,$B$5:$B$1517,B489,$C$5:$C$1517,"&lt;"&amp;C489),"")</f>
        <v/>
      </c>
      <c r="R489" s="0" t="str">
        <f aca="false">IF(M489&gt;=Models!$G$6,1+COUNTIF($M$5:$M$1517,"&gt;"&amp;M489)+COUNTIFS($M$5:$M$1517,M489,$B$5:$B$1517,"&lt;"&amp;B489)+COUNTIFS($M$5:$M$1517,M489,$B$5:$B$1517,B489,$C$5:$C$1517,"&lt;"&amp;C489),"")</f>
        <v/>
      </c>
      <c r="S489" s="0" t="str">
        <f aca="false">IF(N489&gt;=Models!$G$7,1+COUNTIF($N$5:$N$1517,"&gt;"&amp;N489)+COUNTIFS($N$5:$N$1517,N489,$B$5:$B$1517,"&lt;"&amp;B489)+COUNTIFS($N$5:$N$1517,N489,$B$5:$B$1517,B489,$C$5:$C$1517,"&lt;"&amp;C489),"")</f>
        <v/>
      </c>
      <c r="T489" s="8" t="n">
        <f aca="false">IF(O489&gt;=Models!$G$8,1+COUNTIF($O$5:$O$1517,"&gt;"&amp;O489)+COUNTIFS($O$5:$O$1517,O489,$B$5:$B$1517,"&lt;"&amp;B489)+COUNTIFS($O$5:$O$1517,O489,$B$5:$B$1517,B489,$C$5:$C$1517,"&lt;"&amp;C489),"")</f>
        <v>466</v>
      </c>
      <c r="U489" s="8" t="n">
        <f aca="false">IF($K489=1,COUNTIFS($L$5:$L$1517,"&gt;="&amp;L489,$K$5:$K$1517,1)/COUNTIF($L$5:$L$1517,"&gt;="&amp;L489),0)</f>
        <v>0</v>
      </c>
      <c r="V489" s="8" t="n">
        <f aca="false">IF($K489=1,COUNTIFS($M$5:$M$1517,"&gt;="&amp;M489,$K$5:$K$1517,1)/COUNTIF($M$5:$M$1517,"&gt;="&amp;M489),0)</f>
        <v>0</v>
      </c>
      <c r="W489" s="8" t="n">
        <f aca="false">IF($K489=1,COUNTIFS($N$5:$N$1517,"&gt;="&amp;N489,$K$5:$K$1517,1)/COUNTIF($N$5:$N$1517,"&gt;="&amp;N489),0)</f>
        <v>0</v>
      </c>
      <c r="X489" s="8" t="n">
        <f aca="false">IF($K489=1,COUNTIFS($O$5:$O$1517,"&gt;="&amp;O489,$K$5:$K$1517,1)/COUNTIF($O$5:$O$1517,"&gt;="&amp;O489),0)</f>
        <v>0</v>
      </c>
      <c r="Y489" s="8" t="n">
        <f aca="false">IF($K489=1,COUNTIFS($P$5:$P$1517,"&gt;="&amp;P489,$K$5:$K$1517,1)/COUNTIF($P$5:$P$1517,"&gt;="&amp;P489),0)</f>
        <v>0</v>
      </c>
      <c r="Z489" s="8" t="n">
        <f aca="false">(L489-$K489)^2</f>
        <v>0.156425787049</v>
      </c>
      <c r="AA489" s="8" t="n">
        <f aca="false">(M489-$K489)^2</f>
        <v>0.008475595969</v>
      </c>
      <c r="AB489" s="8" t="n">
        <f aca="false">(N489-$K489)^2</f>
        <v>0.010346754961</v>
      </c>
      <c r="AC489" s="8" t="n">
        <f aca="false">(O489-$K489)^2</f>
        <v>0.011274829489</v>
      </c>
      <c r="AD489" s="8" t="n">
        <f aca="false">(P489-$K489)^2</f>
        <v>0.011630759716</v>
      </c>
      <c r="AE489" s="8" t="n">
        <f aca="false">MIN(INT(ROUND(N489*1000000,0)/100000),9)</f>
        <v>1</v>
      </c>
      <c r="AF489" s="8" t="n">
        <f aca="false">MIN(INT(ROUND(P489*1000000,0)/100000),9)</f>
        <v>1</v>
      </c>
    </row>
    <row r="490" customFormat="false" ht="15" hidden="false" customHeight="false" outlineLevel="0" collapsed="false">
      <c r="A490" s="4" t="n">
        <v>486</v>
      </c>
      <c r="B490" s="4" t="n">
        <v>629</v>
      </c>
      <c r="C490" s="4" t="n">
        <v>1</v>
      </c>
      <c r="D490" s="11" t="n">
        <v>46082</v>
      </c>
      <c r="E490" s="4" t="s">
        <v>201</v>
      </c>
      <c r="F490" s="4" t="s">
        <v>210</v>
      </c>
      <c r="G490" s="4" t="n">
        <v>16</v>
      </c>
      <c r="H490" s="4" t="n">
        <v>4</v>
      </c>
      <c r="I490" s="4" t="n">
        <v>0</v>
      </c>
      <c r="J490" s="4"/>
      <c r="K490" s="4" t="n">
        <v>0</v>
      </c>
      <c r="L490" s="12" t="n">
        <v>0.136112</v>
      </c>
      <c r="M490" s="12" t="n">
        <v>0.092063</v>
      </c>
      <c r="N490" s="12" t="n">
        <v>0.021459</v>
      </c>
      <c r="O490" s="12" t="n">
        <v>0.106183</v>
      </c>
      <c r="P490" s="12" t="n">
        <v>0.021193</v>
      </c>
      <c r="Q490" s="0" t="str">
        <f aca="false">IF(L490&gt;=Models!$G$5,1+COUNTIF($L$5:$L$1517,"&gt;"&amp;L490)+COUNTIFS($L$5:$L$1517,L490,$B$5:$B$1517,"&lt;"&amp;B490)+COUNTIFS($L$5:$L$1517,L490,$B$5:$B$1517,B490,$C$5:$C$1517,"&lt;"&amp;C490),"")</f>
        <v/>
      </c>
      <c r="R490" s="0" t="str">
        <f aca="false">IF(M490&gt;=Models!$G$6,1+COUNTIF($M$5:$M$1517,"&gt;"&amp;M490)+COUNTIFS($M$5:$M$1517,M490,$B$5:$B$1517,"&lt;"&amp;B490)+COUNTIFS($M$5:$M$1517,M490,$B$5:$B$1517,B490,$C$5:$C$1517,"&lt;"&amp;C490),"")</f>
        <v/>
      </c>
      <c r="S490" s="0" t="str">
        <f aca="false">IF(N490&gt;=Models!$G$7,1+COUNTIF($N$5:$N$1517,"&gt;"&amp;N490)+COUNTIFS($N$5:$N$1517,N490,$B$5:$B$1517,"&lt;"&amp;B490)+COUNTIFS($N$5:$N$1517,N490,$B$5:$B$1517,B490,$C$5:$C$1517,"&lt;"&amp;C490),"")</f>
        <v/>
      </c>
      <c r="T490" s="8" t="n">
        <f aca="false">IF(O490&gt;=Models!$G$8,1+COUNTIF($O$5:$O$1517,"&gt;"&amp;O490)+COUNTIFS($O$5:$O$1517,O490,$B$5:$B$1517,"&lt;"&amp;B490)+COUNTIFS($O$5:$O$1517,O490,$B$5:$B$1517,B490,$C$5:$C$1517,"&lt;"&amp;C490),"")</f>
        <v>470</v>
      </c>
      <c r="U490" s="8" t="n">
        <f aca="false">IF($K490=1,COUNTIFS($L$5:$L$1517,"&gt;="&amp;L490,$K$5:$K$1517,1)/COUNTIF($L$5:$L$1517,"&gt;="&amp;L490),0)</f>
        <v>0</v>
      </c>
      <c r="V490" s="8" t="n">
        <f aca="false">IF($K490=1,COUNTIFS($M$5:$M$1517,"&gt;="&amp;M490,$K$5:$K$1517,1)/COUNTIF($M$5:$M$1517,"&gt;="&amp;M490),0)</f>
        <v>0</v>
      </c>
      <c r="W490" s="8" t="n">
        <f aca="false">IF($K490=1,COUNTIFS($N$5:$N$1517,"&gt;="&amp;N490,$K$5:$K$1517,1)/COUNTIF($N$5:$N$1517,"&gt;="&amp;N490),0)</f>
        <v>0</v>
      </c>
      <c r="X490" s="8" t="n">
        <f aca="false">IF($K490=1,COUNTIFS($O$5:$O$1517,"&gt;="&amp;O490,$K$5:$K$1517,1)/COUNTIF($O$5:$O$1517,"&gt;="&amp;O490),0)</f>
        <v>0</v>
      </c>
      <c r="Y490" s="8" t="n">
        <f aca="false">IF($K490=1,COUNTIFS($P$5:$P$1517,"&gt;="&amp;P490,$K$5:$K$1517,1)/COUNTIF($P$5:$P$1517,"&gt;="&amp;P490),0)</f>
        <v>0</v>
      </c>
      <c r="Z490" s="8" t="n">
        <f aca="false">(L490-$K490)^2</f>
        <v>0.018526476544</v>
      </c>
      <c r="AA490" s="8" t="n">
        <f aca="false">(M490-$K490)^2</f>
        <v>0.008475595969</v>
      </c>
      <c r="AB490" s="8" t="n">
        <f aca="false">(N490-$K490)^2</f>
        <v>0.000460488681</v>
      </c>
      <c r="AC490" s="8" t="n">
        <f aca="false">(O490-$K490)^2</f>
        <v>0.011274829489</v>
      </c>
      <c r="AD490" s="8" t="n">
        <f aca="false">(P490-$K490)^2</f>
        <v>0.000449143249</v>
      </c>
      <c r="AE490" s="8" t="n">
        <f aca="false">MIN(INT(ROUND(N490*1000000,0)/100000),9)</f>
        <v>0</v>
      </c>
      <c r="AF490" s="8" t="n">
        <f aca="false">MIN(INT(ROUND(P490*1000000,0)/100000),9)</f>
        <v>0</v>
      </c>
    </row>
    <row r="491" customFormat="false" ht="15" hidden="false" customHeight="false" outlineLevel="0" collapsed="false">
      <c r="A491" s="4" t="n">
        <v>487</v>
      </c>
      <c r="B491" s="4" t="n">
        <v>633</v>
      </c>
      <c r="C491" s="4" t="n">
        <v>1</v>
      </c>
      <c r="D491" s="11" t="n">
        <v>46082</v>
      </c>
      <c r="E491" s="4" t="s">
        <v>201</v>
      </c>
      <c r="F491" s="4" t="s">
        <v>206</v>
      </c>
      <c r="G491" s="4" t="n">
        <v>16</v>
      </c>
      <c r="H491" s="4" t="n">
        <v>0</v>
      </c>
      <c r="I491" s="4" t="n">
        <v>0</v>
      </c>
      <c r="J491" s="4"/>
      <c r="K491" s="4" t="n">
        <v>0</v>
      </c>
      <c r="L491" s="12" t="n">
        <v>0.936325</v>
      </c>
      <c r="M491" s="12" t="n">
        <v>0.092063</v>
      </c>
      <c r="N491" s="12" t="n">
        <v>0.020781</v>
      </c>
      <c r="O491" s="12" t="n">
        <v>0.106183</v>
      </c>
      <c r="P491" s="12" t="n">
        <v>0.020492</v>
      </c>
      <c r="Q491" s="0" t="str">
        <f aca="false">IF(L491&gt;=Models!$G$5,1+COUNTIF($L$5:$L$1517,"&gt;"&amp;L491)+COUNTIFS($L$5:$L$1517,L491,$B$5:$B$1517,"&lt;"&amp;B491)+COUNTIFS($L$5:$L$1517,L491,$B$5:$B$1517,B491,$C$5:$C$1517,"&lt;"&amp;C491),"")</f>
        <v/>
      </c>
      <c r="R491" s="0" t="str">
        <f aca="false">IF(M491&gt;=Models!$G$6,1+COUNTIF($M$5:$M$1517,"&gt;"&amp;M491)+COUNTIFS($M$5:$M$1517,M491,$B$5:$B$1517,"&lt;"&amp;B491)+COUNTIFS($M$5:$M$1517,M491,$B$5:$B$1517,B491,$C$5:$C$1517,"&lt;"&amp;C491),"")</f>
        <v/>
      </c>
      <c r="S491" s="0" t="str">
        <f aca="false">IF(N491&gt;=Models!$G$7,1+COUNTIF($N$5:$N$1517,"&gt;"&amp;N491)+COUNTIFS($N$5:$N$1517,N491,$B$5:$B$1517,"&lt;"&amp;B491)+COUNTIFS($N$5:$N$1517,N491,$B$5:$B$1517,B491,$C$5:$C$1517,"&lt;"&amp;C491),"")</f>
        <v/>
      </c>
      <c r="T491" s="8" t="n">
        <f aca="false">IF(O491&gt;=Models!$G$8,1+COUNTIF($O$5:$O$1517,"&gt;"&amp;O491)+COUNTIFS($O$5:$O$1517,O491,$B$5:$B$1517,"&lt;"&amp;B491)+COUNTIFS($O$5:$O$1517,O491,$B$5:$B$1517,B491,$C$5:$C$1517,"&lt;"&amp;C491),"")</f>
        <v>474</v>
      </c>
      <c r="U491" s="8" t="n">
        <f aca="false">IF($K491=1,COUNTIFS($L$5:$L$1517,"&gt;="&amp;L491,$K$5:$K$1517,1)/COUNTIF($L$5:$L$1517,"&gt;="&amp;L491),0)</f>
        <v>0</v>
      </c>
      <c r="V491" s="8" t="n">
        <f aca="false">IF($K491=1,COUNTIFS($M$5:$M$1517,"&gt;="&amp;M491,$K$5:$K$1517,1)/COUNTIF($M$5:$M$1517,"&gt;="&amp;M491),0)</f>
        <v>0</v>
      </c>
      <c r="W491" s="8" t="n">
        <f aca="false">IF($K491=1,COUNTIFS($N$5:$N$1517,"&gt;="&amp;N491,$K$5:$K$1517,1)/COUNTIF($N$5:$N$1517,"&gt;="&amp;N491),0)</f>
        <v>0</v>
      </c>
      <c r="X491" s="8" t="n">
        <f aca="false">IF($K491=1,COUNTIFS($O$5:$O$1517,"&gt;="&amp;O491,$K$5:$K$1517,1)/COUNTIF($O$5:$O$1517,"&gt;="&amp;O491),0)</f>
        <v>0</v>
      </c>
      <c r="Y491" s="8" t="n">
        <f aca="false">IF($K491=1,COUNTIFS($P$5:$P$1517,"&gt;="&amp;P491,$K$5:$K$1517,1)/COUNTIF($P$5:$P$1517,"&gt;="&amp;P491),0)</f>
        <v>0</v>
      </c>
      <c r="Z491" s="8" t="n">
        <f aca="false">(L491-$K491)^2</f>
        <v>0.876704505625</v>
      </c>
      <c r="AA491" s="8" t="n">
        <f aca="false">(M491-$K491)^2</f>
        <v>0.008475595969</v>
      </c>
      <c r="AB491" s="8" t="n">
        <f aca="false">(N491-$K491)^2</f>
        <v>0.000431849961</v>
      </c>
      <c r="AC491" s="8" t="n">
        <f aca="false">(O491-$K491)^2</f>
        <v>0.011274829489</v>
      </c>
      <c r="AD491" s="8" t="n">
        <f aca="false">(P491-$K491)^2</f>
        <v>0.000419922064</v>
      </c>
      <c r="AE491" s="8" t="n">
        <f aca="false">MIN(INT(ROUND(N491*1000000,0)/100000),9)</f>
        <v>0</v>
      </c>
      <c r="AF491" s="8" t="n">
        <f aca="false">MIN(INT(ROUND(P491*1000000,0)/100000),9)</f>
        <v>0</v>
      </c>
    </row>
    <row r="492" customFormat="false" ht="15" hidden="false" customHeight="false" outlineLevel="0" collapsed="false">
      <c r="A492" s="4" t="n">
        <v>488</v>
      </c>
      <c r="B492" s="4" t="n">
        <v>635</v>
      </c>
      <c r="C492" s="4" t="n">
        <v>1</v>
      </c>
      <c r="D492" s="11" t="n">
        <v>46082</v>
      </c>
      <c r="E492" s="4" t="s">
        <v>201</v>
      </c>
      <c r="F492" s="4" t="s">
        <v>208</v>
      </c>
      <c r="G492" s="4" t="n">
        <v>29</v>
      </c>
      <c r="H492" s="4" t="n">
        <v>3</v>
      </c>
      <c r="I492" s="4" t="n">
        <v>0</v>
      </c>
      <c r="J492" s="4"/>
      <c r="K492" s="4" t="n">
        <v>0</v>
      </c>
      <c r="L492" s="12" t="n">
        <v>0.336675</v>
      </c>
      <c r="M492" s="12" t="n">
        <v>0.092063</v>
      </c>
      <c r="N492" s="12" t="n">
        <v>0.006706</v>
      </c>
      <c r="O492" s="12" t="n">
        <v>0.106183</v>
      </c>
      <c r="P492" s="12" t="n">
        <v>0.006263</v>
      </c>
      <c r="Q492" s="0" t="str">
        <f aca="false">IF(L492&gt;=Models!$G$5,1+COUNTIF($L$5:$L$1517,"&gt;"&amp;L492)+COUNTIFS($L$5:$L$1517,L492,$B$5:$B$1517,"&lt;"&amp;B492)+COUNTIFS($L$5:$L$1517,L492,$B$5:$B$1517,B492,$C$5:$C$1517,"&lt;"&amp;C492),"")</f>
        <v/>
      </c>
      <c r="R492" s="0" t="str">
        <f aca="false">IF(M492&gt;=Models!$G$6,1+COUNTIF($M$5:$M$1517,"&gt;"&amp;M492)+COUNTIFS($M$5:$M$1517,M492,$B$5:$B$1517,"&lt;"&amp;B492)+COUNTIFS($M$5:$M$1517,M492,$B$5:$B$1517,B492,$C$5:$C$1517,"&lt;"&amp;C492),"")</f>
        <v/>
      </c>
      <c r="S492" s="0" t="str">
        <f aca="false">IF(N492&gt;=Models!$G$7,1+COUNTIF($N$5:$N$1517,"&gt;"&amp;N492)+COUNTIFS($N$5:$N$1517,N492,$B$5:$B$1517,"&lt;"&amp;B492)+COUNTIFS($N$5:$N$1517,N492,$B$5:$B$1517,B492,$C$5:$C$1517,"&lt;"&amp;C492),"")</f>
        <v/>
      </c>
      <c r="T492" s="8" t="n">
        <f aca="false">IF(O492&gt;=Models!$G$8,1+COUNTIF($O$5:$O$1517,"&gt;"&amp;O492)+COUNTIFS($O$5:$O$1517,O492,$B$5:$B$1517,"&lt;"&amp;B492)+COUNTIFS($O$5:$O$1517,O492,$B$5:$B$1517,B492,$C$5:$C$1517,"&lt;"&amp;C492),"")</f>
        <v>479</v>
      </c>
      <c r="U492" s="8" t="n">
        <f aca="false">IF($K492=1,COUNTIFS($L$5:$L$1517,"&gt;="&amp;L492,$K$5:$K$1517,1)/COUNTIF($L$5:$L$1517,"&gt;="&amp;L492),0)</f>
        <v>0</v>
      </c>
      <c r="V492" s="8" t="n">
        <f aca="false">IF($K492=1,COUNTIFS($M$5:$M$1517,"&gt;="&amp;M492,$K$5:$K$1517,1)/COUNTIF($M$5:$M$1517,"&gt;="&amp;M492),0)</f>
        <v>0</v>
      </c>
      <c r="W492" s="8" t="n">
        <f aca="false">IF($K492=1,COUNTIFS($N$5:$N$1517,"&gt;="&amp;N492,$K$5:$K$1517,1)/COUNTIF($N$5:$N$1517,"&gt;="&amp;N492),0)</f>
        <v>0</v>
      </c>
      <c r="X492" s="8" t="n">
        <f aca="false">IF($K492=1,COUNTIFS($O$5:$O$1517,"&gt;="&amp;O492,$K$5:$K$1517,1)/COUNTIF($O$5:$O$1517,"&gt;="&amp;O492),0)</f>
        <v>0</v>
      </c>
      <c r="Y492" s="8" t="n">
        <f aca="false">IF($K492=1,COUNTIFS($P$5:$P$1517,"&gt;="&amp;P492,$K$5:$K$1517,1)/COUNTIF($P$5:$P$1517,"&gt;="&amp;P492),0)</f>
        <v>0</v>
      </c>
      <c r="Z492" s="8" t="n">
        <f aca="false">(L492-$K492)^2</f>
        <v>0.113350055625</v>
      </c>
      <c r="AA492" s="8" t="n">
        <f aca="false">(M492-$K492)^2</f>
        <v>0.008475595969</v>
      </c>
      <c r="AB492" s="8" t="n">
        <f aca="false">(N492-$K492)^2</f>
        <v>4.4970436E-005</v>
      </c>
      <c r="AC492" s="8" t="n">
        <f aca="false">(O492-$K492)^2</f>
        <v>0.011274829489</v>
      </c>
      <c r="AD492" s="8" t="n">
        <f aca="false">(P492-$K492)^2</f>
        <v>3.9225169E-005</v>
      </c>
      <c r="AE492" s="8" t="n">
        <f aca="false">MIN(INT(ROUND(N492*1000000,0)/100000),9)</f>
        <v>0</v>
      </c>
      <c r="AF492" s="8" t="n">
        <f aca="false">MIN(INT(ROUND(P492*1000000,0)/100000),9)</f>
        <v>0</v>
      </c>
    </row>
    <row r="493" customFormat="false" ht="15" hidden="false" customHeight="false" outlineLevel="0" collapsed="false">
      <c r="A493" s="4" t="n">
        <v>489</v>
      </c>
      <c r="B493" s="4" t="n">
        <v>642</v>
      </c>
      <c r="C493" s="4" t="n">
        <v>1</v>
      </c>
      <c r="D493" s="11" t="n">
        <v>46082</v>
      </c>
      <c r="E493" s="4" t="s">
        <v>201</v>
      </c>
      <c r="F493" s="4" t="s">
        <v>209</v>
      </c>
      <c r="G493" s="4" t="n">
        <v>13</v>
      </c>
      <c r="H493" s="4" t="n">
        <v>0</v>
      </c>
      <c r="I493" s="4" t="n">
        <v>0</v>
      </c>
      <c r="J493" s="4" t="n">
        <v>7773</v>
      </c>
      <c r="K493" s="4" t="n">
        <v>0</v>
      </c>
      <c r="L493" s="12" t="n">
        <v>0.420535</v>
      </c>
      <c r="M493" s="12" t="n">
        <v>0.092063</v>
      </c>
      <c r="N493" s="12" t="n">
        <v>0.036357</v>
      </c>
      <c r="O493" s="12" t="n">
        <v>0.106183</v>
      </c>
      <c r="P493" s="12" t="n">
        <v>0.036817</v>
      </c>
      <c r="Q493" s="0" t="str">
        <f aca="false">IF(L493&gt;=Models!$G$5,1+COUNTIF($L$5:$L$1517,"&gt;"&amp;L493)+COUNTIFS($L$5:$L$1517,L493,$B$5:$B$1517,"&lt;"&amp;B493)+COUNTIFS($L$5:$L$1517,L493,$B$5:$B$1517,B493,$C$5:$C$1517,"&lt;"&amp;C493),"")</f>
        <v/>
      </c>
      <c r="R493" s="0" t="str">
        <f aca="false">IF(M493&gt;=Models!$G$6,1+COUNTIF($M$5:$M$1517,"&gt;"&amp;M493)+COUNTIFS($M$5:$M$1517,M493,$B$5:$B$1517,"&lt;"&amp;B493)+COUNTIFS($M$5:$M$1517,M493,$B$5:$B$1517,B493,$C$5:$C$1517,"&lt;"&amp;C493),"")</f>
        <v/>
      </c>
      <c r="S493" s="0" t="str">
        <f aca="false">IF(N493&gt;=Models!$G$7,1+COUNTIF($N$5:$N$1517,"&gt;"&amp;N493)+COUNTIFS($N$5:$N$1517,N493,$B$5:$B$1517,"&lt;"&amp;B493)+COUNTIFS($N$5:$N$1517,N493,$B$5:$B$1517,B493,$C$5:$C$1517,"&lt;"&amp;C493),"")</f>
        <v/>
      </c>
      <c r="T493" s="8" t="n">
        <f aca="false">IF(O493&gt;=Models!$G$8,1+COUNTIF($O$5:$O$1517,"&gt;"&amp;O493)+COUNTIFS($O$5:$O$1517,O493,$B$5:$B$1517,"&lt;"&amp;B493)+COUNTIFS($O$5:$O$1517,O493,$B$5:$B$1517,B493,$C$5:$C$1517,"&lt;"&amp;C493),"")</f>
        <v>483</v>
      </c>
      <c r="U493" s="8" t="n">
        <f aca="false">IF($K493=1,COUNTIFS($L$5:$L$1517,"&gt;="&amp;L493,$K$5:$K$1517,1)/COUNTIF($L$5:$L$1517,"&gt;="&amp;L493),0)</f>
        <v>0</v>
      </c>
      <c r="V493" s="8" t="n">
        <f aca="false">IF($K493=1,COUNTIFS($M$5:$M$1517,"&gt;="&amp;M493,$K$5:$K$1517,1)/COUNTIF($M$5:$M$1517,"&gt;="&amp;M493),0)</f>
        <v>0</v>
      </c>
      <c r="W493" s="8" t="n">
        <f aca="false">IF($K493=1,COUNTIFS($N$5:$N$1517,"&gt;="&amp;N493,$K$5:$K$1517,1)/COUNTIF($N$5:$N$1517,"&gt;="&amp;N493),0)</f>
        <v>0</v>
      </c>
      <c r="X493" s="8" t="n">
        <f aca="false">IF($K493=1,COUNTIFS($O$5:$O$1517,"&gt;="&amp;O493,$K$5:$K$1517,1)/COUNTIF($O$5:$O$1517,"&gt;="&amp;O493),0)</f>
        <v>0</v>
      </c>
      <c r="Y493" s="8" t="n">
        <f aca="false">IF($K493=1,COUNTIFS($P$5:$P$1517,"&gt;="&amp;P493,$K$5:$K$1517,1)/COUNTIF($P$5:$P$1517,"&gt;="&amp;P493),0)</f>
        <v>0</v>
      </c>
      <c r="Z493" s="8" t="n">
        <f aca="false">(L493-$K493)^2</f>
        <v>0.176849686225</v>
      </c>
      <c r="AA493" s="8" t="n">
        <f aca="false">(M493-$K493)^2</f>
        <v>0.008475595969</v>
      </c>
      <c r="AB493" s="8" t="n">
        <f aca="false">(N493-$K493)^2</f>
        <v>0.001321831449</v>
      </c>
      <c r="AC493" s="8" t="n">
        <f aca="false">(O493-$K493)^2</f>
        <v>0.011274829489</v>
      </c>
      <c r="AD493" s="8" t="n">
        <f aca="false">(P493-$K493)^2</f>
        <v>0.001355491489</v>
      </c>
      <c r="AE493" s="8" t="n">
        <f aca="false">MIN(INT(ROUND(N493*1000000,0)/100000),9)</f>
        <v>0</v>
      </c>
      <c r="AF493" s="8" t="n">
        <f aca="false">MIN(INT(ROUND(P493*1000000,0)/100000),9)</f>
        <v>0</v>
      </c>
    </row>
    <row r="494" customFormat="false" ht="15" hidden="false" customHeight="false" outlineLevel="0" collapsed="false">
      <c r="A494" s="4" t="n">
        <v>490</v>
      </c>
      <c r="B494" s="4" t="n">
        <v>646</v>
      </c>
      <c r="C494" s="4" t="n">
        <v>1</v>
      </c>
      <c r="D494" s="11" t="n">
        <v>46082</v>
      </c>
      <c r="E494" s="4" t="s">
        <v>203</v>
      </c>
      <c r="F494" s="4" t="s">
        <v>210</v>
      </c>
      <c r="G494" s="4" t="n">
        <v>6</v>
      </c>
      <c r="H494" s="4" t="n">
        <v>1</v>
      </c>
      <c r="I494" s="4" t="n">
        <v>0</v>
      </c>
      <c r="J494" s="4"/>
      <c r="K494" s="4" t="n">
        <v>0</v>
      </c>
      <c r="L494" s="12" t="n">
        <v>0.065762</v>
      </c>
      <c r="M494" s="12" t="n">
        <v>0.092063</v>
      </c>
      <c r="N494" s="12" t="n">
        <v>0.049993</v>
      </c>
      <c r="O494" s="12" t="n">
        <v>0.106183</v>
      </c>
      <c r="P494" s="12" t="n">
        <v>0.051383</v>
      </c>
      <c r="Q494" s="0" t="str">
        <f aca="false">IF(L494&gt;=Models!$G$5,1+COUNTIF($L$5:$L$1517,"&gt;"&amp;L494)+COUNTIFS($L$5:$L$1517,L494,$B$5:$B$1517,"&lt;"&amp;B494)+COUNTIFS($L$5:$L$1517,L494,$B$5:$B$1517,B494,$C$5:$C$1517,"&lt;"&amp;C494),"")</f>
        <v/>
      </c>
      <c r="R494" s="0" t="str">
        <f aca="false">IF(M494&gt;=Models!$G$6,1+COUNTIF($M$5:$M$1517,"&gt;"&amp;M494)+COUNTIFS($M$5:$M$1517,M494,$B$5:$B$1517,"&lt;"&amp;B494)+COUNTIFS($M$5:$M$1517,M494,$B$5:$B$1517,B494,$C$5:$C$1517,"&lt;"&amp;C494),"")</f>
        <v/>
      </c>
      <c r="S494" s="0" t="str">
        <f aca="false">IF(N494&gt;=Models!$G$7,1+COUNTIF($N$5:$N$1517,"&gt;"&amp;N494)+COUNTIFS($N$5:$N$1517,N494,$B$5:$B$1517,"&lt;"&amp;B494)+COUNTIFS($N$5:$N$1517,N494,$B$5:$B$1517,B494,$C$5:$C$1517,"&lt;"&amp;C494),"")</f>
        <v/>
      </c>
      <c r="T494" s="8" t="n">
        <f aca="false">IF(O494&gt;=Models!$G$8,1+COUNTIF($O$5:$O$1517,"&gt;"&amp;O494)+COUNTIFS($O$5:$O$1517,O494,$B$5:$B$1517,"&lt;"&amp;B494)+COUNTIFS($O$5:$O$1517,O494,$B$5:$B$1517,B494,$C$5:$C$1517,"&lt;"&amp;C494),"")</f>
        <v>487</v>
      </c>
      <c r="U494" s="8" t="n">
        <f aca="false">IF($K494=1,COUNTIFS($L$5:$L$1517,"&gt;="&amp;L494,$K$5:$K$1517,1)/COUNTIF($L$5:$L$1517,"&gt;="&amp;L494),0)</f>
        <v>0</v>
      </c>
      <c r="V494" s="8" t="n">
        <f aca="false">IF($K494=1,COUNTIFS($M$5:$M$1517,"&gt;="&amp;M494,$K$5:$K$1517,1)/COUNTIF($M$5:$M$1517,"&gt;="&amp;M494),0)</f>
        <v>0</v>
      </c>
      <c r="W494" s="8" t="n">
        <f aca="false">IF($K494=1,COUNTIFS($N$5:$N$1517,"&gt;="&amp;N494,$K$5:$K$1517,1)/COUNTIF($N$5:$N$1517,"&gt;="&amp;N494),0)</f>
        <v>0</v>
      </c>
      <c r="X494" s="8" t="n">
        <f aca="false">IF($K494=1,COUNTIFS($O$5:$O$1517,"&gt;="&amp;O494,$K$5:$K$1517,1)/COUNTIF($O$5:$O$1517,"&gt;="&amp;O494),0)</f>
        <v>0</v>
      </c>
      <c r="Y494" s="8" t="n">
        <f aca="false">IF($K494=1,COUNTIFS($P$5:$P$1517,"&gt;="&amp;P494,$K$5:$K$1517,1)/COUNTIF($P$5:$P$1517,"&gt;="&amp;P494),0)</f>
        <v>0</v>
      </c>
      <c r="Z494" s="8" t="n">
        <f aca="false">(L494-$K494)^2</f>
        <v>0.004324640644</v>
      </c>
      <c r="AA494" s="8" t="n">
        <f aca="false">(M494-$K494)^2</f>
        <v>0.008475595969</v>
      </c>
      <c r="AB494" s="8" t="n">
        <f aca="false">(N494-$K494)^2</f>
        <v>0.002499300049</v>
      </c>
      <c r="AC494" s="8" t="n">
        <f aca="false">(O494-$K494)^2</f>
        <v>0.011274829489</v>
      </c>
      <c r="AD494" s="8" t="n">
        <f aca="false">(P494-$K494)^2</f>
        <v>0.002640212689</v>
      </c>
      <c r="AE494" s="8" t="n">
        <f aca="false">MIN(INT(ROUND(N494*1000000,0)/100000),9)</f>
        <v>0</v>
      </c>
      <c r="AF494" s="8" t="n">
        <f aca="false">MIN(INT(ROUND(P494*1000000,0)/100000),9)</f>
        <v>0</v>
      </c>
    </row>
    <row r="495" customFormat="false" ht="15" hidden="false" customHeight="false" outlineLevel="0" collapsed="false">
      <c r="A495" s="4" t="n">
        <v>491</v>
      </c>
      <c r="B495" s="4" t="n">
        <v>649</v>
      </c>
      <c r="C495" s="4" t="n">
        <v>1</v>
      </c>
      <c r="D495" s="11" t="n">
        <v>46082</v>
      </c>
      <c r="E495" s="4" t="s">
        <v>201</v>
      </c>
      <c r="F495" s="4" t="s">
        <v>209</v>
      </c>
      <c r="G495" s="4" t="n">
        <v>16</v>
      </c>
      <c r="H495" s="4" t="n">
        <v>2</v>
      </c>
      <c r="I495" s="4" t="n">
        <v>0</v>
      </c>
      <c r="J495" s="4" t="n">
        <v>7632</v>
      </c>
      <c r="K495" s="4" t="n">
        <v>0</v>
      </c>
      <c r="L495" s="12" t="n">
        <v>0.376624</v>
      </c>
      <c r="M495" s="12" t="n">
        <v>0.092063</v>
      </c>
      <c r="N495" s="12" t="n">
        <v>0.028673</v>
      </c>
      <c r="O495" s="12" t="n">
        <v>0.106183</v>
      </c>
      <c r="P495" s="12" t="n">
        <v>0.028711</v>
      </c>
      <c r="Q495" s="0" t="str">
        <f aca="false">IF(L495&gt;=Models!$G$5,1+COUNTIF($L$5:$L$1517,"&gt;"&amp;L495)+COUNTIFS($L$5:$L$1517,L495,$B$5:$B$1517,"&lt;"&amp;B495)+COUNTIFS($L$5:$L$1517,L495,$B$5:$B$1517,B495,$C$5:$C$1517,"&lt;"&amp;C495),"")</f>
        <v/>
      </c>
      <c r="R495" s="0" t="str">
        <f aca="false">IF(M495&gt;=Models!$G$6,1+COUNTIF($M$5:$M$1517,"&gt;"&amp;M495)+COUNTIFS($M$5:$M$1517,M495,$B$5:$B$1517,"&lt;"&amp;B495)+COUNTIFS($M$5:$M$1517,M495,$B$5:$B$1517,B495,$C$5:$C$1517,"&lt;"&amp;C495),"")</f>
        <v/>
      </c>
      <c r="S495" s="0" t="str">
        <f aca="false">IF(N495&gt;=Models!$G$7,1+COUNTIF($N$5:$N$1517,"&gt;"&amp;N495)+COUNTIFS($N$5:$N$1517,N495,$B$5:$B$1517,"&lt;"&amp;B495)+COUNTIFS($N$5:$N$1517,N495,$B$5:$B$1517,B495,$C$5:$C$1517,"&lt;"&amp;C495),"")</f>
        <v/>
      </c>
      <c r="T495" s="8" t="n">
        <f aca="false">IF(O495&gt;=Models!$G$8,1+COUNTIF($O$5:$O$1517,"&gt;"&amp;O495)+COUNTIFS($O$5:$O$1517,O495,$B$5:$B$1517,"&lt;"&amp;B495)+COUNTIFS($O$5:$O$1517,O495,$B$5:$B$1517,B495,$C$5:$C$1517,"&lt;"&amp;C495),"")</f>
        <v>491</v>
      </c>
      <c r="U495" s="8" t="n">
        <f aca="false">IF($K495=1,COUNTIFS($L$5:$L$1517,"&gt;="&amp;L495,$K$5:$K$1517,1)/COUNTIF($L$5:$L$1517,"&gt;="&amp;L495),0)</f>
        <v>0</v>
      </c>
      <c r="V495" s="8" t="n">
        <f aca="false">IF($K495=1,COUNTIFS($M$5:$M$1517,"&gt;="&amp;M495,$K$5:$K$1517,1)/COUNTIF($M$5:$M$1517,"&gt;="&amp;M495),0)</f>
        <v>0</v>
      </c>
      <c r="W495" s="8" t="n">
        <f aca="false">IF($K495=1,COUNTIFS($N$5:$N$1517,"&gt;="&amp;N495,$K$5:$K$1517,1)/COUNTIF($N$5:$N$1517,"&gt;="&amp;N495),0)</f>
        <v>0</v>
      </c>
      <c r="X495" s="8" t="n">
        <f aca="false">IF($K495=1,COUNTIFS($O$5:$O$1517,"&gt;="&amp;O495,$K$5:$K$1517,1)/COUNTIF($O$5:$O$1517,"&gt;="&amp;O495),0)</f>
        <v>0</v>
      </c>
      <c r="Y495" s="8" t="n">
        <f aca="false">IF($K495=1,COUNTIFS($P$5:$P$1517,"&gt;="&amp;P495,$K$5:$K$1517,1)/COUNTIF($P$5:$P$1517,"&gt;="&amp;P495),0)</f>
        <v>0</v>
      </c>
      <c r="Z495" s="8" t="n">
        <f aca="false">(L495-$K495)^2</f>
        <v>0.141845637376</v>
      </c>
      <c r="AA495" s="8" t="n">
        <f aca="false">(M495-$K495)^2</f>
        <v>0.008475595969</v>
      </c>
      <c r="AB495" s="8" t="n">
        <f aca="false">(N495-$K495)^2</f>
        <v>0.000822140929</v>
      </c>
      <c r="AC495" s="8" t="n">
        <f aca="false">(O495-$K495)^2</f>
        <v>0.011274829489</v>
      </c>
      <c r="AD495" s="8" t="n">
        <f aca="false">(P495-$K495)^2</f>
        <v>0.000824321521</v>
      </c>
      <c r="AE495" s="8" t="n">
        <f aca="false">MIN(INT(ROUND(N495*1000000,0)/100000),9)</f>
        <v>0</v>
      </c>
      <c r="AF495" s="8" t="n">
        <f aca="false">MIN(INT(ROUND(P495*1000000,0)/100000),9)</f>
        <v>0</v>
      </c>
    </row>
    <row r="496" customFormat="false" ht="15" hidden="false" customHeight="false" outlineLevel="0" collapsed="false">
      <c r="A496" s="4" t="n">
        <v>492</v>
      </c>
      <c r="B496" s="4" t="n">
        <v>657</v>
      </c>
      <c r="C496" s="4" t="n">
        <v>1</v>
      </c>
      <c r="D496" s="11" t="n">
        <v>46082</v>
      </c>
      <c r="E496" s="4" t="s">
        <v>203</v>
      </c>
      <c r="F496" s="4" t="s">
        <v>209</v>
      </c>
      <c r="G496" s="4" t="n">
        <v>7</v>
      </c>
      <c r="H496" s="4" t="n">
        <v>1</v>
      </c>
      <c r="I496" s="4" t="n">
        <v>0</v>
      </c>
      <c r="J496" s="4" t="n">
        <v>339</v>
      </c>
      <c r="K496" s="4" t="n">
        <v>0</v>
      </c>
      <c r="L496" s="12" t="n">
        <v>0.115001</v>
      </c>
      <c r="M496" s="12" t="n">
        <v>0.092063</v>
      </c>
      <c r="N496" s="12" t="n">
        <v>0.091331</v>
      </c>
      <c r="O496" s="12" t="n">
        <v>0.106183</v>
      </c>
      <c r="P496" s="12" t="n">
        <v>0.096404</v>
      </c>
      <c r="Q496" s="0" t="str">
        <f aca="false">IF(L496&gt;=Models!$G$5,1+COUNTIF($L$5:$L$1517,"&gt;"&amp;L496)+COUNTIFS($L$5:$L$1517,L496,$B$5:$B$1517,"&lt;"&amp;B496)+COUNTIFS($L$5:$L$1517,L496,$B$5:$B$1517,B496,$C$5:$C$1517,"&lt;"&amp;C496),"")</f>
        <v/>
      </c>
      <c r="R496" s="0" t="str">
        <f aca="false">IF(M496&gt;=Models!$G$6,1+COUNTIF($M$5:$M$1517,"&gt;"&amp;M496)+COUNTIFS($M$5:$M$1517,M496,$B$5:$B$1517,"&lt;"&amp;B496)+COUNTIFS($M$5:$M$1517,M496,$B$5:$B$1517,B496,$C$5:$C$1517,"&lt;"&amp;C496),"")</f>
        <v/>
      </c>
      <c r="S496" s="0" t="str">
        <f aca="false">IF(N496&gt;=Models!$G$7,1+COUNTIF($N$5:$N$1517,"&gt;"&amp;N496)+COUNTIFS($N$5:$N$1517,N496,$B$5:$B$1517,"&lt;"&amp;B496)+COUNTIFS($N$5:$N$1517,N496,$B$5:$B$1517,B496,$C$5:$C$1517,"&lt;"&amp;C496),"")</f>
        <v/>
      </c>
      <c r="T496" s="8" t="n">
        <f aca="false">IF(O496&gt;=Models!$G$8,1+COUNTIF($O$5:$O$1517,"&gt;"&amp;O496)+COUNTIFS($O$5:$O$1517,O496,$B$5:$B$1517,"&lt;"&amp;B496)+COUNTIFS($O$5:$O$1517,O496,$B$5:$B$1517,B496,$C$5:$C$1517,"&lt;"&amp;C496),"")</f>
        <v>495</v>
      </c>
      <c r="U496" s="8" t="n">
        <f aca="false">IF($K496=1,COUNTIFS($L$5:$L$1517,"&gt;="&amp;L496,$K$5:$K$1517,1)/COUNTIF($L$5:$L$1517,"&gt;="&amp;L496),0)</f>
        <v>0</v>
      </c>
      <c r="V496" s="8" t="n">
        <f aca="false">IF($K496=1,COUNTIFS($M$5:$M$1517,"&gt;="&amp;M496,$K$5:$K$1517,1)/COUNTIF($M$5:$M$1517,"&gt;="&amp;M496),0)</f>
        <v>0</v>
      </c>
      <c r="W496" s="8" t="n">
        <f aca="false">IF($K496=1,COUNTIFS($N$5:$N$1517,"&gt;="&amp;N496,$K$5:$K$1517,1)/COUNTIF($N$5:$N$1517,"&gt;="&amp;N496),0)</f>
        <v>0</v>
      </c>
      <c r="X496" s="8" t="n">
        <f aca="false">IF($K496=1,COUNTIFS($O$5:$O$1517,"&gt;="&amp;O496,$K$5:$K$1517,1)/COUNTIF($O$5:$O$1517,"&gt;="&amp;O496),0)</f>
        <v>0</v>
      </c>
      <c r="Y496" s="8" t="n">
        <f aca="false">IF($K496=1,COUNTIFS($P$5:$P$1517,"&gt;="&amp;P496,$K$5:$K$1517,1)/COUNTIF($P$5:$P$1517,"&gt;="&amp;P496),0)</f>
        <v>0</v>
      </c>
      <c r="Z496" s="8" t="n">
        <f aca="false">(L496-$K496)^2</f>
        <v>0.013225230001</v>
      </c>
      <c r="AA496" s="8" t="n">
        <f aca="false">(M496-$K496)^2</f>
        <v>0.008475595969</v>
      </c>
      <c r="AB496" s="8" t="n">
        <f aca="false">(N496-$K496)^2</f>
        <v>0.008341351561</v>
      </c>
      <c r="AC496" s="8" t="n">
        <f aca="false">(O496-$K496)^2</f>
        <v>0.011274829489</v>
      </c>
      <c r="AD496" s="8" t="n">
        <f aca="false">(P496-$K496)^2</f>
        <v>0.009293731216</v>
      </c>
      <c r="AE496" s="8" t="n">
        <f aca="false">MIN(INT(ROUND(N496*1000000,0)/100000),9)</f>
        <v>0</v>
      </c>
      <c r="AF496" s="8" t="n">
        <f aca="false">MIN(INT(ROUND(P496*1000000,0)/100000),9)</f>
        <v>0</v>
      </c>
    </row>
    <row r="497" customFormat="false" ht="15" hidden="false" customHeight="false" outlineLevel="0" collapsed="false">
      <c r="A497" s="4" t="n">
        <v>493</v>
      </c>
      <c r="B497" s="4" t="n">
        <v>659</v>
      </c>
      <c r="C497" s="4" t="n">
        <v>1</v>
      </c>
      <c r="D497" s="11" t="n">
        <v>46082</v>
      </c>
      <c r="E497" s="4" t="s">
        <v>203</v>
      </c>
      <c r="F497" s="4" t="s">
        <v>206</v>
      </c>
      <c r="G497" s="4" t="n">
        <v>6</v>
      </c>
      <c r="H497" s="4" t="n">
        <v>1</v>
      </c>
      <c r="I497" s="4" t="n">
        <v>0</v>
      </c>
      <c r="J497" s="4" t="n">
        <v>306</v>
      </c>
      <c r="K497" s="4" t="n">
        <v>0</v>
      </c>
      <c r="L497" s="12" t="n">
        <v>0.728408</v>
      </c>
      <c r="M497" s="12" t="n">
        <v>0.092063</v>
      </c>
      <c r="N497" s="12" t="n">
        <v>0.09925</v>
      </c>
      <c r="O497" s="12" t="n">
        <v>0.106183</v>
      </c>
      <c r="P497" s="12" t="n">
        <v>0.105123</v>
      </c>
      <c r="Q497" s="0" t="str">
        <f aca="false">IF(L497&gt;=Models!$G$5,1+COUNTIF($L$5:$L$1517,"&gt;"&amp;L497)+COUNTIFS($L$5:$L$1517,L497,$B$5:$B$1517,"&lt;"&amp;B497)+COUNTIFS($L$5:$L$1517,L497,$B$5:$B$1517,B497,$C$5:$C$1517,"&lt;"&amp;C497),"")</f>
        <v/>
      </c>
      <c r="R497" s="0" t="str">
        <f aca="false">IF(M497&gt;=Models!$G$6,1+COUNTIF($M$5:$M$1517,"&gt;"&amp;M497)+COUNTIFS($M$5:$M$1517,M497,$B$5:$B$1517,"&lt;"&amp;B497)+COUNTIFS($M$5:$M$1517,M497,$B$5:$B$1517,B497,$C$5:$C$1517,"&lt;"&amp;C497),"")</f>
        <v/>
      </c>
      <c r="S497" s="0" t="str">
        <f aca="false">IF(N497&gt;=Models!$G$7,1+COUNTIF($N$5:$N$1517,"&gt;"&amp;N497)+COUNTIFS($N$5:$N$1517,N497,$B$5:$B$1517,"&lt;"&amp;B497)+COUNTIFS($N$5:$N$1517,N497,$B$5:$B$1517,B497,$C$5:$C$1517,"&lt;"&amp;C497),"")</f>
        <v/>
      </c>
      <c r="T497" s="8" t="n">
        <f aca="false">IF(O497&gt;=Models!$G$8,1+COUNTIF($O$5:$O$1517,"&gt;"&amp;O497)+COUNTIFS($O$5:$O$1517,O497,$B$5:$B$1517,"&lt;"&amp;B497)+COUNTIFS($O$5:$O$1517,O497,$B$5:$B$1517,B497,$C$5:$C$1517,"&lt;"&amp;C497),"")</f>
        <v>499</v>
      </c>
      <c r="U497" s="8" t="n">
        <f aca="false">IF($K497=1,COUNTIFS($L$5:$L$1517,"&gt;="&amp;L497,$K$5:$K$1517,1)/COUNTIF($L$5:$L$1517,"&gt;="&amp;L497),0)</f>
        <v>0</v>
      </c>
      <c r="V497" s="8" t="n">
        <f aca="false">IF($K497=1,COUNTIFS($M$5:$M$1517,"&gt;="&amp;M497,$K$5:$K$1517,1)/COUNTIF($M$5:$M$1517,"&gt;="&amp;M497),0)</f>
        <v>0</v>
      </c>
      <c r="W497" s="8" t="n">
        <f aca="false">IF($K497=1,COUNTIFS($N$5:$N$1517,"&gt;="&amp;N497,$K$5:$K$1517,1)/COUNTIF($N$5:$N$1517,"&gt;="&amp;N497),0)</f>
        <v>0</v>
      </c>
      <c r="X497" s="8" t="n">
        <f aca="false">IF($K497=1,COUNTIFS($O$5:$O$1517,"&gt;="&amp;O497,$K$5:$K$1517,1)/COUNTIF($O$5:$O$1517,"&gt;="&amp;O497),0)</f>
        <v>0</v>
      </c>
      <c r="Y497" s="8" t="n">
        <f aca="false">IF($K497=1,COUNTIFS($P$5:$P$1517,"&gt;="&amp;P497,$K$5:$K$1517,1)/COUNTIF($P$5:$P$1517,"&gt;="&amp;P497),0)</f>
        <v>0</v>
      </c>
      <c r="Z497" s="8" t="n">
        <f aca="false">(L497-$K497)^2</f>
        <v>0.530578214464</v>
      </c>
      <c r="AA497" s="8" t="n">
        <f aca="false">(M497-$K497)^2</f>
        <v>0.008475595969</v>
      </c>
      <c r="AB497" s="8" t="n">
        <f aca="false">(N497-$K497)^2</f>
        <v>0.0098505625</v>
      </c>
      <c r="AC497" s="8" t="n">
        <f aca="false">(O497-$K497)^2</f>
        <v>0.011274829489</v>
      </c>
      <c r="AD497" s="8" t="n">
        <f aca="false">(P497-$K497)^2</f>
        <v>0.011050845129</v>
      </c>
      <c r="AE497" s="8" t="n">
        <f aca="false">MIN(INT(ROUND(N497*1000000,0)/100000),9)</f>
        <v>0</v>
      </c>
      <c r="AF497" s="8" t="n">
        <f aca="false">MIN(INT(ROUND(P497*1000000,0)/100000),9)</f>
        <v>1</v>
      </c>
    </row>
    <row r="498" customFormat="false" ht="15" hidden="false" customHeight="false" outlineLevel="0" collapsed="false">
      <c r="A498" s="4" t="n">
        <v>494</v>
      </c>
      <c r="B498" s="4" t="n">
        <v>665</v>
      </c>
      <c r="C498" s="4" t="n">
        <v>1</v>
      </c>
      <c r="D498" s="11" t="n">
        <v>46082</v>
      </c>
      <c r="E498" s="4" t="s">
        <v>204</v>
      </c>
      <c r="F498" s="4" t="s">
        <v>206</v>
      </c>
      <c r="G498" s="4" t="n">
        <v>3</v>
      </c>
      <c r="H498" s="4" t="n">
        <v>19</v>
      </c>
      <c r="I498" s="4" t="n">
        <v>0</v>
      </c>
      <c r="J498" s="4" t="n">
        <v>93</v>
      </c>
      <c r="K498" s="4" t="n">
        <v>0</v>
      </c>
      <c r="L498" s="12" t="n">
        <v>0.741001</v>
      </c>
      <c r="M498" s="12" t="n">
        <v>0.092063</v>
      </c>
      <c r="N498" s="12" t="n">
        <v>0.14483</v>
      </c>
      <c r="O498" s="12" t="n">
        <v>0.106183</v>
      </c>
      <c r="P498" s="12" t="n">
        <v>0.155611</v>
      </c>
      <c r="Q498" s="0" t="str">
        <f aca="false">IF(L498&gt;=Models!$G$5,1+COUNTIF($L$5:$L$1517,"&gt;"&amp;L498)+COUNTIFS($L$5:$L$1517,L498,$B$5:$B$1517,"&lt;"&amp;B498)+COUNTIFS($L$5:$L$1517,L498,$B$5:$B$1517,B498,$C$5:$C$1517,"&lt;"&amp;C498),"")</f>
        <v/>
      </c>
      <c r="R498" s="0" t="str">
        <f aca="false">IF(M498&gt;=Models!$G$6,1+COUNTIF($M$5:$M$1517,"&gt;"&amp;M498)+COUNTIFS($M$5:$M$1517,M498,$B$5:$B$1517,"&lt;"&amp;B498)+COUNTIFS($M$5:$M$1517,M498,$B$5:$B$1517,B498,$C$5:$C$1517,"&lt;"&amp;C498),"")</f>
        <v/>
      </c>
      <c r="S498" s="0" t="str">
        <f aca="false">IF(N498&gt;=Models!$G$7,1+COUNTIF($N$5:$N$1517,"&gt;"&amp;N498)+COUNTIFS($N$5:$N$1517,N498,$B$5:$B$1517,"&lt;"&amp;B498)+COUNTIFS($N$5:$N$1517,N498,$B$5:$B$1517,B498,$C$5:$C$1517,"&lt;"&amp;C498),"")</f>
        <v/>
      </c>
      <c r="T498" s="8" t="n">
        <f aca="false">IF(O498&gt;=Models!$G$8,1+COUNTIF($O$5:$O$1517,"&gt;"&amp;O498)+COUNTIFS($O$5:$O$1517,O498,$B$5:$B$1517,"&lt;"&amp;B498)+COUNTIFS($O$5:$O$1517,O498,$B$5:$B$1517,B498,$C$5:$C$1517,"&lt;"&amp;C498),"")</f>
        <v>503</v>
      </c>
      <c r="U498" s="8" t="n">
        <f aca="false">IF($K498=1,COUNTIFS($L$5:$L$1517,"&gt;="&amp;L498,$K$5:$K$1517,1)/COUNTIF($L$5:$L$1517,"&gt;="&amp;L498),0)</f>
        <v>0</v>
      </c>
      <c r="V498" s="8" t="n">
        <f aca="false">IF($K498=1,COUNTIFS($M$5:$M$1517,"&gt;="&amp;M498,$K$5:$K$1517,1)/COUNTIF($M$5:$M$1517,"&gt;="&amp;M498),0)</f>
        <v>0</v>
      </c>
      <c r="W498" s="8" t="n">
        <f aca="false">IF($K498=1,COUNTIFS($N$5:$N$1517,"&gt;="&amp;N498,$K$5:$K$1517,1)/COUNTIF($N$5:$N$1517,"&gt;="&amp;N498),0)</f>
        <v>0</v>
      </c>
      <c r="X498" s="8" t="n">
        <f aca="false">IF($K498=1,COUNTIFS($O$5:$O$1517,"&gt;="&amp;O498,$K$5:$K$1517,1)/COUNTIF($O$5:$O$1517,"&gt;="&amp;O498),0)</f>
        <v>0</v>
      </c>
      <c r="Y498" s="8" t="n">
        <f aca="false">IF($K498=1,COUNTIFS($P$5:$P$1517,"&gt;="&amp;P498,$K$5:$K$1517,1)/COUNTIF($P$5:$P$1517,"&gt;="&amp;P498),0)</f>
        <v>0</v>
      </c>
      <c r="Z498" s="8" t="n">
        <f aca="false">(L498-$K498)^2</f>
        <v>0.549082482001</v>
      </c>
      <c r="AA498" s="8" t="n">
        <f aca="false">(M498-$K498)^2</f>
        <v>0.008475595969</v>
      </c>
      <c r="AB498" s="8" t="n">
        <f aca="false">(N498-$K498)^2</f>
        <v>0.0209757289</v>
      </c>
      <c r="AC498" s="8" t="n">
        <f aca="false">(O498-$K498)^2</f>
        <v>0.011274829489</v>
      </c>
      <c r="AD498" s="8" t="n">
        <f aca="false">(P498-$K498)^2</f>
        <v>0.024214783321</v>
      </c>
      <c r="AE498" s="8" t="n">
        <f aca="false">MIN(INT(ROUND(N498*1000000,0)/100000),9)</f>
        <v>1</v>
      </c>
      <c r="AF498" s="8" t="n">
        <f aca="false">MIN(INT(ROUND(P498*1000000,0)/100000),9)</f>
        <v>1</v>
      </c>
    </row>
    <row r="499" customFormat="false" ht="15" hidden="false" customHeight="false" outlineLevel="0" collapsed="false">
      <c r="A499" s="4" t="n">
        <v>495</v>
      </c>
      <c r="B499" s="4" t="n">
        <v>670</v>
      </c>
      <c r="C499" s="4" t="n">
        <v>1</v>
      </c>
      <c r="D499" s="11" t="n">
        <v>46082</v>
      </c>
      <c r="E499" s="4" t="s">
        <v>201</v>
      </c>
      <c r="F499" s="4" t="s">
        <v>208</v>
      </c>
      <c r="G499" s="4" t="n">
        <v>11</v>
      </c>
      <c r="H499" s="4" t="n">
        <v>0</v>
      </c>
      <c r="I499" s="4" t="n">
        <v>0</v>
      </c>
      <c r="J499" s="4"/>
      <c r="K499" s="4" t="n">
        <v>0</v>
      </c>
      <c r="L499" s="12" t="n">
        <v>0.602425</v>
      </c>
      <c r="M499" s="12" t="n">
        <v>0.092063</v>
      </c>
      <c r="N499" s="12" t="n">
        <v>0.03221</v>
      </c>
      <c r="O499" s="12" t="n">
        <v>0.106183</v>
      </c>
      <c r="P499" s="12" t="n">
        <v>0.032432</v>
      </c>
      <c r="Q499" s="0" t="str">
        <f aca="false">IF(L499&gt;=Models!$G$5,1+COUNTIF($L$5:$L$1517,"&gt;"&amp;L499)+COUNTIFS($L$5:$L$1517,L499,$B$5:$B$1517,"&lt;"&amp;B499)+COUNTIFS($L$5:$L$1517,L499,$B$5:$B$1517,B499,$C$5:$C$1517,"&lt;"&amp;C499),"")</f>
        <v/>
      </c>
      <c r="R499" s="0" t="str">
        <f aca="false">IF(M499&gt;=Models!$G$6,1+COUNTIF($M$5:$M$1517,"&gt;"&amp;M499)+COUNTIFS($M$5:$M$1517,M499,$B$5:$B$1517,"&lt;"&amp;B499)+COUNTIFS($M$5:$M$1517,M499,$B$5:$B$1517,B499,$C$5:$C$1517,"&lt;"&amp;C499),"")</f>
        <v/>
      </c>
      <c r="S499" s="0" t="str">
        <f aca="false">IF(N499&gt;=Models!$G$7,1+COUNTIF($N$5:$N$1517,"&gt;"&amp;N499)+COUNTIFS($N$5:$N$1517,N499,$B$5:$B$1517,"&lt;"&amp;B499)+COUNTIFS($N$5:$N$1517,N499,$B$5:$B$1517,B499,$C$5:$C$1517,"&lt;"&amp;C499),"")</f>
        <v/>
      </c>
      <c r="T499" s="8" t="n">
        <f aca="false">IF(O499&gt;=Models!$G$8,1+COUNTIF($O$5:$O$1517,"&gt;"&amp;O499)+COUNTIFS($O$5:$O$1517,O499,$B$5:$B$1517,"&lt;"&amp;B499)+COUNTIFS($O$5:$O$1517,O499,$B$5:$B$1517,B499,$C$5:$C$1517,"&lt;"&amp;C499),"")</f>
        <v>507</v>
      </c>
      <c r="U499" s="8" t="n">
        <f aca="false">IF($K499=1,COUNTIFS($L$5:$L$1517,"&gt;="&amp;L499,$K$5:$K$1517,1)/COUNTIF($L$5:$L$1517,"&gt;="&amp;L499),0)</f>
        <v>0</v>
      </c>
      <c r="V499" s="8" t="n">
        <f aca="false">IF($K499=1,COUNTIFS($M$5:$M$1517,"&gt;="&amp;M499,$K$5:$K$1517,1)/COUNTIF($M$5:$M$1517,"&gt;="&amp;M499),0)</f>
        <v>0</v>
      </c>
      <c r="W499" s="8" t="n">
        <f aca="false">IF($K499=1,COUNTIFS($N$5:$N$1517,"&gt;="&amp;N499,$K$5:$K$1517,1)/COUNTIF($N$5:$N$1517,"&gt;="&amp;N499),0)</f>
        <v>0</v>
      </c>
      <c r="X499" s="8" t="n">
        <f aca="false">IF($K499=1,COUNTIFS($O$5:$O$1517,"&gt;="&amp;O499,$K$5:$K$1517,1)/COUNTIF($O$5:$O$1517,"&gt;="&amp;O499),0)</f>
        <v>0</v>
      </c>
      <c r="Y499" s="8" t="n">
        <f aca="false">IF($K499=1,COUNTIFS($P$5:$P$1517,"&gt;="&amp;P499,$K$5:$K$1517,1)/COUNTIF($P$5:$P$1517,"&gt;="&amp;P499),0)</f>
        <v>0</v>
      </c>
      <c r="Z499" s="8" t="n">
        <f aca="false">(L499-$K499)^2</f>
        <v>0.362915880625</v>
      </c>
      <c r="AA499" s="8" t="n">
        <f aca="false">(M499-$K499)^2</f>
        <v>0.008475595969</v>
      </c>
      <c r="AB499" s="8" t="n">
        <f aca="false">(N499-$K499)^2</f>
        <v>0.0010374841</v>
      </c>
      <c r="AC499" s="8" t="n">
        <f aca="false">(O499-$K499)^2</f>
        <v>0.011274829489</v>
      </c>
      <c r="AD499" s="8" t="n">
        <f aca="false">(P499-$K499)^2</f>
        <v>0.001051834624</v>
      </c>
      <c r="AE499" s="8" t="n">
        <f aca="false">MIN(INT(ROUND(N499*1000000,0)/100000),9)</f>
        <v>0</v>
      </c>
      <c r="AF499" s="8" t="n">
        <f aca="false">MIN(INT(ROUND(P499*1000000,0)/100000),9)</f>
        <v>0</v>
      </c>
    </row>
    <row r="500" customFormat="false" ht="15" hidden="false" customHeight="false" outlineLevel="0" collapsed="false">
      <c r="A500" s="4" t="n">
        <v>496</v>
      </c>
      <c r="B500" s="4" t="n">
        <v>671</v>
      </c>
      <c r="C500" s="4" t="n">
        <v>1</v>
      </c>
      <c r="D500" s="11" t="n">
        <v>46082</v>
      </c>
      <c r="E500" s="4" t="s">
        <v>203</v>
      </c>
      <c r="F500" s="4" t="s">
        <v>209</v>
      </c>
      <c r="G500" s="4" t="n">
        <v>1</v>
      </c>
      <c r="H500" s="4" t="n">
        <v>18</v>
      </c>
      <c r="I500" s="4" t="n">
        <v>0</v>
      </c>
      <c r="J500" s="4"/>
      <c r="K500" s="4" t="n">
        <v>0</v>
      </c>
      <c r="L500" s="12" t="n">
        <v>0.284183</v>
      </c>
      <c r="M500" s="12" t="n">
        <v>0.092063</v>
      </c>
      <c r="N500" s="12" t="n">
        <v>0.086645</v>
      </c>
      <c r="O500" s="12" t="n">
        <v>0.106183</v>
      </c>
      <c r="P500" s="12" t="n">
        <v>0.091256</v>
      </c>
      <c r="Q500" s="0" t="str">
        <f aca="false">IF(L500&gt;=Models!$G$5,1+COUNTIF($L$5:$L$1517,"&gt;"&amp;L500)+COUNTIFS($L$5:$L$1517,L500,$B$5:$B$1517,"&lt;"&amp;B500)+COUNTIFS($L$5:$L$1517,L500,$B$5:$B$1517,B500,$C$5:$C$1517,"&lt;"&amp;C500),"")</f>
        <v/>
      </c>
      <c r="R500" s="0" t="str">
        <f aca="false">IF(M500&gt;=Models!$G$6,1+COUNTIF($M$5:$M$1517,"&gt;"&amp;M500)+COUNTIFS($M$5:$M$1517,M500,$B$5:$B$1517,"&lt;"&amp;B500)+COUNTIFS($M$5:$M$1517,M500,$B$5:$B$1517,B500,$C$5:$C$1517,"&lt;"&amp;C500),"")</f>
        <v/>
      </c>
      <c r="S500" s="0" t="str">
        <f aca="false">IF(N500&gt;=Models!$G$7,1+COUNTIF($N$5:$N$1517,"&gt;"&amp;N500)+COUNTIFS($N$5:$N$1517,N500,$B$5:$B$1517,"&lt;"&amp;B500)+COUNTIFS($N$5:$N$1517,N500,$B$5:$B$1517,B500,$C$5:$C$1517,"&lt;"&amp;C500),"")</f>
        <v/>
      </c>
      <c r="T500" s="8" t="n">
        <f aca="false">IF(O500&gt;=Models!$G$8,1+COUNTIF($O$5:$O$1517,"&gt;"&amp;O500)+COUNTIFS($O$5:$O$1517,O500,$B$5:$B$1517,"&lt;"&amp;B500)+COUNTIFS($O$5:$O$1517,O500,$B$5:$B$1517,B500,$C$5:$C$1517,"&lt;"&amp;C500),"")</f>
        <v>511</v>
      </c>
      <c r="U500" s="8" t="n">
        <f aca="false">IF($K500=1,COUNTIFS($L$5:$L$1517,"&gt;="&amp;L500,$K$5:$K$1517,1)/COUNTIF($L$5:$L$1517,"&gt;="&amp;L500),0)</f>
        <v>0</v>
      </c>
      <c r="V500" s="8" t="n">
        <f aca="false">IF($K500=1,COUNTIFS($M$5:$M$1517,"&gt;="&amp;M500,$K$5:$K$1517,1)/COUNTIF($M$5:$M$1517,"&gt;="&amp;M500),0)</f>
        <v>0</v>
      </c>
      <c r="W500" s="8" t="n">
        <f aca="false">IF($K500=1,COUNTIFS($N$5:$N$1517,"&gt;="&amp;N500,$K$5:$K$1517,1)/COUNTIF($N$5:$N$1517,"&gt;="&amp;N500),0)</f>
        <v>0</v>
      </c>
      <c r="X500" s="8" t="n">
        <f aca="false">IF($K500=1,COUNTIFS($O$5:$O$1517,"&gt;="&amp;O500,$K$5:$K$1517,1)/COUNTIF($O$5:$O$1517,"&gt;="&amp;O500),0)</f>
        <v>0</v>
      </c>
      <c r="Y500" s="8" t="n">
        <f aca="false">IF($K500=1,COUNTIFS($P$5:$P$1517,"&gt;="&amp;P500,$K$5:$K$1517,1)/COUNTIF($P$5:$P$1517,"&gt;="&amp;P500),0)</f>
        <v>0</v>
      </c>
      <c r="Z500" s="8" t="n">
        <f aca="false">(L500-$K500)^2</f>
        <v>0.080759977489</v>
      </c>
      <c r="AA500" s="8" t="n">
        <f aca="false">(M500-$K500)^2</f>
        <v>0.008475595969</v>
      </c>
      <c r="AB500" s="8" t="n">
        <f aca="false">(N500-$K500)^2</f>
        <v>0.007507356025</v>
      </c>
      <c r="AC500" s="8" t="n">
        <f aca="false">(O500-$K500)^2</f>
        <v>0.011274829489</v>
      </c>
      <c r="AD500" s="8" t="n">
        <f aca="false">(P500-$K500)^2</f>
        <v>0.008327657536</v>
      </c>
      <c r="AE500" s="8" t="n">
        <f aca="false">MIN(INT(ROUND(N500*1000000,0)/100000),9)</f>
        <v>0</v>
      </c>
      <c r="AF500" s="8" t="n">
        <f aca="false">MIN(INT(ROUND(P500*1000000,0)/100000),9)</f>
        <v>0</v>
      </c>
    </row>
    <row r="501" customFormat="false" ht="15" hidden="false" customHeight="false" outlineLevel="0" collapsed="false">
      <c r="A501" s="4" t="n">
        <v>497</v>
      </c>
      <c r="B501" s="4" t="n">
        <v>675</v>
      </c>
      <c r="C501" s="4" t="n">
        <v>1</v>
      </c>
      <c r="D501" s="11" t="n">
        <v>46082</v>
      </c>
      <c r="E501" s="4" t="s">
        <v>201</v>
      </c>
      <c r="F501" s="4" t="s">
        <v>207</v>
      </c>
      <c r="G501" s="4" t="n">
        <v>17</v>
      </c>
      <c r="H501" s="4" t="n">
        <v>1</v>
      </c>
      <c r="I501" s="4" t="n">
        <v>0</v>
      </c>
      <c r="J501" s="4" t="n">
        <v>3960</v>
      </c>
      <c r="K501" s="4" t="n">
        <v>0</v>
      </c>
      <c r="L501" s="12" t="n">
        <v>0.97462</v>
      </c>
      <c r="M501" s="12" t="n">
        <v>0.092063</v>
      </c>
      <c r="N501" s="12" t="n">
        <v>0.032056</v>
      </c>
      <c r="O501" s="12" t="n">
        <v>0.106183</v>
      </c>
      <c r="P501" s="12" t="n">
        <v>0.032269</v>
      </c>
      <c r="Q501" s="0" t="str">
        <f aca="false">IF(L501&gt;=Models!$G$5,1+COUNTIF($L$5:$L$1517,"&gt;"&amp;L501)+COUNTIFS($L$5:$L$1517,L501,$B$5:$B$1517,"&lt;"&amp;B501)+COUNTIFS($L$5:$L$1517,L501,$B$5:$B$1517,B501,$C$5:$C$1517,"&lt;"&amp;C501),"")</f>
        <v/>
      </c>
      <c r="R501" s="0" t="str">
        <f aca="false">IF(M501&gt;=Models!$G$6,1+COUNTIF($M$5:$M$1517,"&gt;"&amp;M501)+COUNTIFS($M$5:$M$1517,M501,$B$5:$B$1517,"&lt;"&amp;B501)+COUNTIFS($M$5:$M$1517,M501,$B$5:$B$1517,B501,$C$5:$C$1517,"&lt;"&amp;C501),"")</f>
        <v/>
      </c>
      <c r="S501" s="0" t="str">
        <f aca="false">IF(N501&gt;=Models!$G$7,1+COUNTIF($N$5:$N$1517,"&gt;"&amp;N501)+COUNTIFS($N$5:$N$1517,N501,$B$5:$B$1517,"&lt;"&amp;B501)+COUNTIFS($N$5:$N$1517,N501,$B$5:$B$1517,B501,$C$5:$C$1517,"&lt;"&amp;C501),"")</f>
        <v/>
      </c>
      <c r="T501" s="8" t="n">
        <f aca="false">IF(O501&gt;=Models!$G$8,1+COUNTIF($O$5:$O$1517,"&gt;"&amp;O501)+COUNTIFS($O$5:$O$1517,O501,$B$5:$B$1517,"&lt;"&amp;B501)+COUNTIFS($O$5:$O$1517,O501,$B$5:$B$1517,B501,$C$5:$C$1517,"&lt;"&amp;C501),"")</f>
        <v>515</v>
      </c>
      <c r="U501" s="8" t="n">
        <f aca="false">IF($K501=1,COUNTIFS($L$5:$L$1517,"&gt;="&amp;L501,$K$5:$K$1517,1)/COUNTIF($L$5:$L$1517,"&gt;="&amp;L501),0)</f>
        <v>0</v>
      </c>
      <c r="V501" s="8" t="n">
        <f aca="false">IF($K501=1,COUNTIFS($M$5:$M$1517,"&gt;="&amp;M501,$K$5:$K$1517,1)/COUNTIF($M$5:$M$1517,"&gt;="&amp;M501),0)</f>
        <v>0</v>
      </c>
      <c r="W501" s="8" t="n">
        <f aca="false">IF($K501=1,COUNTIFS($N$5:$N$1517,"&gt;="&amp;N501,$K$5:$K$1517,1)/COUNTIF($N$5:$N$1517,"&gt;="&amp;N501),0)</f>
        <v>0</v>
      </c>
      <c r="X501" s="8" t="n">
        <f aca="false">IF($K501=1,COUNTIFS($O$5:$O$1517,"&gt;="&amp;O501,$K$5:$K$1517,1)/COUNTIF($O$5:$O$1517,"&gt;="&amp;O501),0)</f>
        <v>0</v>
      </c>
      <c r="Y501" s="8" t="n">
        <f aca="false">IF($K501=1,COUNTIFS($P$5:$P$1517,"&gt;="&amp;P501,$K$5:$K$1517,1)/COUNTIF($P$5:$P$1517,"&gt;="&amp;P501),0)</f>
        <v>0</v>
      </c>
      <c r="Z501" s="8" t="n">
        <f aca="false">(L501-$K501)^2</f>
        <v>0.9498841444</v>
      </c>
      <c r="AA501" s="8" t="n">
        <f aca="false">(M501-$K501)^2</f>
        <v>0.008475595969</v>
      </c>
      <c r="AB501" s="8" t="n">
        <f aca="false">(N501-$K501)^2</f>
        <v>0.001027587136</v>
      </c>
      <c r="AC501" s="8" t="n">
        <f aca="false">(O501-$K501)^2</f>
        <v>0.011274829489</v>
      </c>
      <c r="AD501" s="8" t="n">
        <f aca="false">(P501-$K501)^2</f>
        <v>0.001041288361</v>
      </c>
      <c r="AE501" s="8" t="n">
        <f aca="false">MIN(INT(ROUND(N501*1000000,0)/100000),9)</f>
        <v>0</v>
      </c>
      <c r="AF501" s="8" t="n">
        <f aca="false">MIN(INT(ROUND(P501*1000000,0)/100000),9)</f>
        <v>0</v>
      </c>
    </row>
    <row r="502" customFormat="false" ht="15" hidden="false" customHeight="false" outlineLevel="0" collapsed="false">
      <c r="A502" s="4" t="n">
        <v>498</v>
      </c>
      <c r="B502" s="4" t="n">
        <v>677</v>
      </c>
      <c r="C502" s="4" t="n">
        <v>1</v>
      </c>
      <c r="D502" s="11" t="n">
        <v>46082</v>
      </c>
      <c r="E502" s="4" t="s">
        <v>201</v>
      </c>
      <c r="F502" s="4" t="s">
        <v>210</v>
      </c>
      <c r="G502" s="4" t="n">
        <v>7</v>
      </c>
      <c r="H502" s="4" t="n">
        <v>0</v>
      </c>
      <c r="I502" s="4" t="n">
        <v>0</v>
      </c>
      <c r="J502" s="4" t="n">
        <v>15330.6</v>
      </c>
      <c r="K502" s="4" t="n">
        <v>0</v>
      </c>
      <c r="L502" s="12" t="n">
        <v>0.669035</v>
      </c>
      <c r="M502" s="12" t="n">
        <v>0.092063</v>
      </c>
      <c r="N502" s="12" t="n">
        <v>0.040069</v>
      </c>
      <c r="O502" s="12" t="n">
        <v>0.106183</v>
      </c>
      <c r="P502" s="12" t="n">
        <v>0.040762</v>
      </c>
      <c r="Q502" s="0" t="str">
        <f aca="false">IF(L502&gt;=Models!$G$5,1+COUNTIF($L$5:$L$1517,"&gt;"&amp;L502)+COUNTIFS($L$5:$L$1517,L502,$B$5:$B$1517,"&lt;"&amp;B502)+COUNTIFS($L$5:$L$1517,L502,$B$5:$B$1517,B502,$C$5:$C$1517,"&lt;"&amp;C502),"")</f>
        <v/>
      </c>
      <c r="R502" s="0" t="str">
        <f aca="false">IF(M502&gt;=Models!$G$6,1+COUNTIF($M$5:$M$1517,"&gt;"&amp;M502)+COUNTIFS($M$5:$M$1517,M502,$B$5:$B$1517,"&lt;"&amp;B502)+COUNTIFS($M$5:$M$1517,M502,$B$5:$B$1517,B502,$C$5:$C$1517,"&lt;"&amp;C502),"")</f>
        <v/>
      </c>
      <c r="S502" s="0" t="str">
        <f aca="false">IF(N502&gt;=Models!$G$7,1+COUNTIF($N$5:$N$1517,"&gt;"&amp;N502)+COUNTIFS($N$5:$N$1517,N502,$B$5:$B$1517,"&lt;"&amp;B502)+COUNTIFS($N$5:$N$1517,N502,$B$5:$B$1517,B502,$C$5:$C$1517,"&lt;"&amp;C502),"")</f>
        <v/>
      </c>
      <c r="T502" s="8" t="n">
        <f aca="false">IF(O502&gt;=Models!$G$8,1+COUNTIF($O$5:$O$1517,"&gt;"&amp;O502)+COUNTIFS($O$5:$O$1517,O502,$B$5:$B$1517,"&lt;"&amp;B502)+COUNTIFS($O$5:$O$1517,O502,$B$5:$B$1517,B502,$C$5:$C$1517,"&lt;"&amp;C502),"")</f>
        <v>519</v>
      </c>
      <c r="U502" s="8" t="n">
        <f aca="false">IF($K502=1,COUNTIFS($L$5:$L$1517,"&gt;="&amp;L502,$K$5:$K$1517,1)/COUNTIF($L$5:$L$1517,"&gt;="&amp;L502),0)</f>
        <v>0</v>
      </c>
      <c r="V502" s="8" t="n">
        <f aca="false">IF($K502=1,COUNTIFS($M$5:$M$1517,"&gt;="&amp;M502,$K$5:$K$1517,1)/COUNTIF($M$5:$M$1517,"&gt;="&amp;M502),0)</f>
        <v>0</v>
      </c>
      <c r="W502" s="8" t="n">
        <f aca="false">IF($K502=1,COUNTIFS($N$5:$N$1517,"&gt;="&amp;N502,$K$5:$K$1517,1)/COUNTIF($N$5:$N$1517,"&gt;="&amp;N502),0)</f>
        <v>0</v>
      </c>
      <c r="X502" s="8" t="n">
        <f aca="false">IF($K502=1,COUNTIFS($O$5:$O$1517,"&gt;="&amp;O502,$K$5:$K$1517,1)/COUNTIF($O$5:$O$1517,"&gt;="&amp;O502),0)</f>
        <v>0</v>
      </c>
      <c r="Y502" s="8" t="n">
        <f aca="false">IF($K502=1,COUNTIFS($P$5:$P$1517,"&gt;="&amp;P502,$K$5:$K$1517,1)/COUNTIF($P$5:$P$1517,"&gt;="&amp;P502),0)</f>
        <v>0</v>
      </c>
      <c r="Z502" s="8" t="n">
        <f aca="false">(L502-$K502)^2</f>
        <v>0.447607831225</v>
      </c>
      <c r="AA502" s="8" t="n">
        <f aca="false">(M502-$K502)^2</f>
        <v>0.008475595969</v>
      </c>
      <c r="AB502" s="8" t="n">
        <f aca="false">(N502-$K502)^2</f>
        <v>0.001605524761</v>
      </c>
      <c r="AC502" s="8" t="n">
        <f aca="false">(O502-$K502)^2</f>
        <v>0.011274829489</v>
      </c>
      <c r="AD502" s="8" t="n">
        <f aca="false">(P502-$K502)^2</f>
        <v>0.001661540644</v>
      </c>
      <c r="AE502" s="8" t="n">
        <f aca="false">MIN(INT(ROUND(N502*1000000,0)/100000),9)</f>
        <v>0</v>
      </c>
      <c r="AF502" s="8" t="n">
        <f aca="false">MIN(INT(ROUND(P502*1000000,0)/100000),9)</f>
        <v>0</v>
      </c>
    </row>
    <row r="503" customFormat="false" ht="15" hidden="false" customHeight="false" outlineLevel="0" collapsed="false">
      <c r="A503" s="4" t="n">
        <v>499</v>
      </c>
      <c r="B503" s="4" t="n">
        <v>680</v>
      </c>
      <c r="C503" s="4" t="n">
        <v>1</v>
      </c>
      <c r="D503" s="11" t="n">
        <v>46082</v>
      </c>
      <c r="E503" s="4" t="s">
        <v>201</v>
      </c>
      <c r="F503" s="4" t="s">
        <v>207</v>
      </c>
      <c r="G503" s="4" t="n">
        <v>8</v>
      </c>
      <c r="H503" s="4" t="n">
        <v>0</v>
      </c>
      <c r="I503" s="4" t="n">
        <v>1</v>
      </c>
      <c r="J503" s="4" t="n">
        <v>3843</v>
      </c>
      <c r="K503" s="4" t="n">
        <v>0</v>
      </c>
      <c r="L503" s="12" t="n">
        <v>0.588056</v>
      </c>
      <c r="M503" s="12" t="n">
        <v>0.184211</v>
      </c>
      <c r="N503" s="12" t="n">
        <v>0.118876</v>
      </c>
      <c r="O503" s="12" t="n">
        <v>0.106183</v>
      </c>
      <c r="P503" s="12" t="n">
        <v>0.126811</v>
      </c>
      <c r="Q503" s="0" t="str">
        <f aca="false">IF(L503&gt;=Models!$G$5,1+COUNTIF($L$5:$L$1517,"&gt;"&amp;L503)+COUNTIFS($L$5:$L$1517,L503,$B$5:$B$1517,"&lt;"&amp;B503)+COUNTIFS($L$5:$L$1517,L503,$B$5:$B$1517,B503,$C$5:$C$1517,"&lt;"&amp;C503),"")</f>
        <v/>
      </c>
      <c r="R503" s="8" t="n">
        <f aca="false">IF(M503&gt;=Models!$G$6,1+COUNTIF($M$5:$M$1517,"&gt;"&amp;M503)+COUNTIFS($M$5:$M$1517,M503,$B$5:$B$1517,"&lt;"&amp;B503)+COUNTIFS($M$5:$M$1517,M503,$B$5:$B$1517,B503,$C$5:$C$1517,"&lt;"&amp;C503),"")</f>
        <v>52</v>
      </c>
      <c r="S503" s="0" t="str">
        <f aca="false">IF(N503&gt;=Models!$G$7,1+COUNTIF($N$5:$N$1517,"&gt;"&amp;N503)+COUNTIFS($N$5:$N$1517,N503,$B$5:$B$1517,"&lt;"&amp;B503)+COUNTIFS($N$5:$N$1517,N503,$B$5:$B$1517,B503,$C$5:$C$1517,"&lt;"&amp;C503),"")</f>
        <v/>
      </c>
      <c r="T503" s="8" t="n">
        <f aca="false">IF(O503&gt;=Models!$G$8,1+COUNTIF($O$5:$O$1517,"&gt;"&amp;O503)+COUNTIFS($O$5:$O$1517,O503,$B$5:$B$1517,"&lt;"&amp;B503)+COUNTIFS($O$5:$O$1517,O503,$B$5:$B$1517,B503,$C$5:$C$1517,"&lt;"&amp;C503),"")</f>
        <v>523</v>
      </c>
      <c r="U503" s="8" t="n">
        <f aca="false">IF($K503=1,COUNTIFS($L$5:$L$1517,"&gt;="&amp;L503,$K$5:$K$1517,1)/COUNTIF($L$5:$L$1517,"&gt;="&amp;L503),0)</f>
        <v>0</v>
      </c>
      <c r="V503" s="8" t="n">
        <f aca="false">IF($K503=1,COUNTIFS($M$5:$M$1517,"&gt;="&amp;M503,$K$5:$K$1517,1)/COUNTIF($M$5:$M$1517,"&gt;="&amp;M503),0)</f>
        <v>0</v>
      </c>
      <c r="W503" s="8" t="n">
        <f aca="false">IF($K503=1,COUNTIFS($N$5:$N$1517,"&gt;="&amp;N503,$K$5:$K$1517,1)/COUNTIF($N$5:$N$1517,"&gt;="&amp;N503),0)</f>
        <v>0</v>
      </c>
      <c r="X503" s="8" t="n">
        <f aca="false">IF($K503=1,COUNTIFS($O$5:$O$1517,"&gt;="&amp;O503,$K$5:$K$1517,1)/COUNTIF($O$5:$O$1517,"&gt;="&amp;O503),0)</f>
        <v>0</v>
      </c>
      <c r="Y503" s="8" t="n">
        <f aca="false">IF($K503=1,COUNTIFS($P$5:$P$1517,"&gt;="&amp;P503,$K$5:$K$1517,1)/COUNTIF($P$5:$P$1517,"&gt;="&amp;P503),0)</f>
        <v>0</v>
      </c>
      <c r="Z503" s="8" t="n">
        <f aca="false">(L503-$K503)^2</f>
        <v>0.345809859136</v>
      </c>
      <c r="AA503" s="8" t="n">
        <f aca="false">(M503-$K503)^2</f>
        <v>0.033933692521</v>
      </c>
      <c r="AB503" s="8" t="n">
        <f aca="false">(N503-$K503)^2</f>
        <v>0.014131503376</v>
      </c>
      <c r="AC503" s="8" t="n">
        <f aca="false">(O503-$K503)^2</f>
        <v>0.011274829489</v>
      </c>
      <c r="AD503" s="8" t="n">
        <f aca="false">(P503-$K503)^2</f>
        <v>0.016081029721</v>
      </c>
      <c r="AE503" s="8" t="n">
        <f aca="false">MIN(INT(ROUND(N503*1000000,0)/100000),9)</f>
        <v>1</v>
      </c>
      <c r="AF503" s="8" t="n">
        <f aca="false">MIN(INT(ROUND(P503*1000000,0)/100000),9)</f>
        <v>1</v>
      </c>
    </row>
    <row r="504" customFormat="false" ht="15" hidden="false" customHeight="false" outlineLevel="0" collapsed="false">
      <c r="A504" s="4" t="n">
        <v>500</v>
      </c>
      <c r="B504" s="4" t="n">
        <v>683</v>
      </c>
      <c r="C504" s="4" t="n">
        <v>1</v>
      </c>
      <c r="D504" s="11" t="n">
        <v>46082</v>
      </c>
      <c r="E504" s="4" t="s">
        <v>204</v>
      </c>
      <c r="F504" s="4" t="s">
        <v>206</v>
      </c>
      <c r="G504" s="4" t="n">
        <v>1</v>
      </c>
      <c r="H504" s="4" t="n">
        <v>21</v>
      </c>
      <c r="I504" s="4" t="n">
        <v>0</v>
      </c>
      <c r="J504" s="4" t="n">
        <v>114</v>
      </c>
      <c r="K504" s="4" t="n">
        <v>0</v>
      </c>
      <c r="L504" s="12" t="n">
        <v>0.588183</v>
      </c>
      <c r="M504" s="12" t="n">
        <v>0.092063</v>
      </c>
      <c r="N504" s="12" t="n">
        <v>0.170713</v>
      </c>
      <c r="O504" s="12" t="n">
        <v>0.106183</v>
      </c>
      <c r="P504" s="12" t="n">
        <v>0.1844</v>
      </c>
      <c r="Q504" s="0" t="str">
        <f aca="false">IF(L504&gt;=Models!$G$5,1+COUNTIF($L$5:$L$1517,"&gt;"&amp;L504)+COUNTIFS($L$5:$L$1517,L504,$B$5:$B$1517,"&lt;"&amp;B504)+COUNTIFS($L$5:$L$1517,L504,$B$5:$B$1517,B504,$C$5:$C$1517,"&lt;"&amp;C504),"")</f>
        <v/>
      </c>
      <c r="R504" s="0" t="str">
        <f aca="false">IF(M504&gt;=Models!$G$6,1+COUNTIF($M$5:$M$1517,"&gt;"&amp;M504)+COUNTIFS($M$5:$M$1517,M504,$B$5:$B$1517,"&lt;"&amp;B504)+COUNTIFS($M$5:$M$1517,M504,$B$5:$B$1517,B504,$C$5:$C$1517,"&lt;"&amp;C504),"")</f>
        <v/>
      </c>
      <c r="S504" s="0" t="str">
        <f aca="false">IF(N504&gt;=Models!$G$7,1+COUNTIF($N$5:$N$1517,"&gt;"&amp;N504)+COUNTIFS($N$5:$N$1517,N504,$B$5:$B$1517,"&lt;"&amp;B504)+COUNTIFS($N$5:$N$1517,N504,$B$5:$B$1517,B504,$C$5:$C$1517,"&lt;"&amp;C504),"")</f>
        <v/>
      </c>
      <c r="T504" s="8" t="n">
        <f aca="false">IF(O504&gt;=Models!$G$8,1+COUNTIF($O$5:$O$1517,"&gt;"&amp;O504)+COUNTIFS($O$5:$O$1517,O504,$B$5:$B$1517,"&lt;"&amp;B504)+COUNTIFS($O$5:$O$1517,O504,$B$5:$B$1517,B504,$C$5:$C$1517,"&lt;"&amp;C504),"")</f>
        <v>527</v>
      </c>
      <c r="U504" s="8" t="n">
        <f aca="false">IF($K504=1,COUNTIFS($L$5:$L$1517,"&gt;="&amp;L504,$K$5:$K$1517,1)/COUNTIF($L$5:$L$1517,"&gt;="&amp;L504),0)</f>
        <v>0</v>
      </c>
      <c r="V504" s="8" t="n">
        <f aca="false">IF($K504=1,COUNTIFS($M$5:$M$1517,"&gt;="&amp;M504,$K$5:$K$1517,1)/COUNTIF($M$5:$M$1517,"&gt;="&amp;M504),0)</f>
        <v>0</v>
      </c>
      <c r="W504" s="8" t="n">
        <f aca="false">IF($K504=1,COUNTIFS($N$5:$N$1517,"&gt;="&amp;N504,$K$5:$K$1517,1)/COUNTIF($N$5:$N$1517,"&gt;="&amp;N504),0)</f>
        <v>0</v>
      </c>
      <c r="X504" s="8" t="n">
        <f aca="false">IF($K504=1,COUNTIFS($O$5:$O$1517,"&gt;="&amp;O504,$K$5:$K$1517,1)/COUNTIF($O$5:$O$1517,"&gt;="&amp;O504),0)</f>
        <v>0</v>
      </c>
      <c r="Y504" s="8" t="n">
        <f aca="false">IF($K504=1,COUNTIFS($P$5:$P$1517,"&gt;="&amp;P504,$K$5:$K$1517,1)/COUNTIF($P$5:$P$1517,"&gt;="&amp;P504),0)</f>
        <v>0</v>
      </c>
      <c r="Z504" s="8" t="n">
        <f aca="false">(L504-$K504)^2</f>
        <v>0.345959241489</v>
      </c>
      <c r="AA504" s="8" t="n">
        <f aca="false">(M504-$K504)^2</f>
        <v>0.008475595969</v>
      </c>
      <c r="AB504" s="8" t="n">
        <f aca="false">(N504-$K504)^2</f>
        <v>0.029142928369</v>
      </c>
      <c r="AC504" s="8" t="n">
        <f aca="false">(O504-$K504)^2</f>
        <v>0.011274829489</v>
      </c>
      <c r="AD504" s="8" t="n">
        <f aca="false">(P504-$K504)^2</f>
        <v>0.03400336</v>
      </c>
      <c r="AE504" s="8" t="n">
        <f aca="false">MIN(INT(ROUND(N504*1000000,0)/100000),9)</f>
        <v>1</v>
      </c>
      <c r="AF504" s="8" t="n">
        <f aca="false">MIN(INT(ROUND(P504*1000000,0)/100000),9)</f>
        <v>1</v>
      </c>
    </row>
    <row r="505" customFormat="false" ht="15" hidden="false" customHeight="false" outlineLevel="0" collapsed="false">
      <c r="A505" s="4" t="n">
        <v>501</v>
      </c>
      <c r="B505" s="4" t="n">
        <v>701</v>
      </c>
      <c r="C505" s="4" t="n">
        <v>1</v>
      </c>
      <c r="D505" s="11" t="n">
        <v>46082</v>
      </c>
      <c r="E505" s="4" t="s">
        <v>202</v>
      </c>
      <c r="F505" s="4" t="s">
        <v>207</v>
      </c>
      <c r="G505" s="4" t="n">
        <v>14</v>
      </c>
      <c r="H505" s="4" t="n">
        <v>0</v>
      </c>
      <c r="I505" s="4" t="n">
        <v>1</v>
      </c>
      <c r="J505" s="4" t="n">
        <v>3315</v>
      </c>
      <c r="K505" s="4" t="n">
        <v>0</v>
      </c>
      <c r="L505" s="12" t="n">
        <v>0.893614</v>
      </c>
      <c r="M505" s="12" t="n">
        <v>0.184211</v>
      </c>
      <c r="N505" s="12" t="n">
        <v>0.074993</v>
      </c>
      <c r="O505" s="12" t="n">
        <v>0.106183</v>
      </c>
      <c r="P505" s="12" t="n">
        <v>0.078495</v>
      </c>
      <c r="Q505" s="0" t="str">
        <f aca="false">IF(L505&gt;=Models!$G$5,1+COUNTIF($L$5:$L$1517,"&gt;"&amp;L505)+COUNTIFS($L$5:$L$1517,L505,$B$5:$B$1517,"&lt;"&amp;B505)+COUNTIFS($L$5:$L$1517,L505,$B$5:$B$1517,B505,$C$5:$C$1517,"&lt;"&amp;C505),"")</f>
        <v/>
      </c>
      <c r="R505" s="8" t="n">
        <f aca="false">IF(M505&gt;=Models!$G$6,1+COUNTIF($M$5:$M$1517,"&gt;"&amp;M505)+COUNTIFS($M$5:$M$1517,M505,$B$5:$B$1517,"&lt;"&amp;B505)+COUNTIFS($M$5:$M$1517,M505,$B$5:$B$1517,B505,$C$5:$C$1517,"&lt;"&amp;C505),"")</f>
        <v>55</v>
      </c>
      <c r="S505" s="0" t="str">
        <f aca="false">IF(N505&gt;=Models!$G$7,1+COUNTIF($N$5:$N$1517,"&gt;"&amp;N505)+COUNTIFS($N$5:$N$1517,N505,$B$5:$B$1517,"&lt;"&amp;B505)+COUNTIFS($N$5:$N$1517,N505,$B$5:$B$1517,B505,$C$5:$C$1517,"&lt;"&amp;C505),"")</f>
        <v/>
      </c>
      <c r="T505" s="8" t="n">
        <f aca="false">IF(O505&gt;=Models!$G$8,1+COUNTIF($O$5:$O$1517,"&gt;"&amp;O505)+COUNTIFS($O$5:$O$1517,O505,$B$5:$B$1517,"&lt;"&amp;B505)+COUNTIFS($O$5:$O$1517,O505,$B$5:$B$1517,B505,$C$5:$C$1517,"&lt;"&amp;C505),"")</f>
        <v>531</v>
      </c>
      <c r="U505" s="8" t="n">
        <f aca="false">IF($K505=1,COUNTIFS($L$5:$L$1517,"&gt;="&amp;L505,$K$5:$K$1517,1)/COUNTIF($L$5:$L$1517,"&gt;="&amp;L505),0)</f>
        <v>0</v>
      </c>
      <c r="V505" s="8" t="n">
        <f aca="false">IF($K505=1,COUNTIFS($M$5:$M$1517,"&gt;="&amp;M505,$K$5:$K$1517,1)/COUNTIF($M$5:$M$1517,"&gt;="&amp;M505),0)</f>
        <v>0</v>
      </c>
      <c r="W505" s="8" t="n">
        <f aca="false">IF($K505=1,COUNTIFS($N$5:$N$1517,"&gt;="&amp;N505,$K$5:$K$1517,1)/COUNTIF($N$5:$N$1517,"&gt;="&amp;N505),0)</f>
        <v>0</v>
      </c>
      <c r="X505" s="8" t="n">
        <f aca="false">IF($K505=1,COUNTIFS($O$5:$O$1517,"&gt;="&amp;O505,$K$5:$K$1517,1)/COUNTIF($O$5:$O$1517,"&gt;="&amp;O505),0)</f>
        <v>0</v>
      </c>
      <c r="Y505" s="8" t="n">
        <f aca="false">IF($K505=1,COUNTIFS($P$5:$P$1517,"&gt;="&amp;P505,$K$5:$K$1517,1)/COUNTIF($P$5:$P$1517,"&gt;="&amp;P505),0)</f>
        <v>0</v>
      </c>
      <c r="Z505" s="8" t="n">
        <f aca="false">(L505-$K505)^2</f>
        <v>0.798545980996</v>
      </c>
      <c r="AA505" s="8" t="n">
        <f aca="false">(M505-$K505)^2</f>
        <v>0.033933692521</v>
      </c>
      <c r="AB505" s="8" t="n">
        <f aca="false">(N505-$K505)^2</f>
        <v>0.005623950049</v>
      </c>
      <c r="AC505" s="8" t="n">
        <f aca="false">(O505-$K505)^2</f>
        <v>0.011274829489</v>
      </c>
      <c r="AD505" s="8" t="n">
        <f aca="false">(P505-$K505)^2</f>
        <v>0.006161465025</v>
      </c>
      <c r="AE505" s="8" t="n">
        <f aca="false">MIN(INT(ROUND(N505*1000000,0)/100000),9)</f>
        <v>0</v>
      </c>
      <c r="AF505" s="8" t="n">
        <f aca="false">MIN(INT(ROUND(P505*1000000,0)/100000),9)</f>
        <v>0</v>
      </c>
    </row>
    <row r="506" customFormat="false" ht="15" hidden="false" customHeight="false" outlineLevel="0" collapsed="false">
      <c r="A506" s="4" t="n">
        <v>502</v>
      </c>
      <c r="B506" s="4" t="n">
        <v>706</v>
      </c>
      <c r="C506" s="4" t="n">
        <v>1</v>
      </c>
      <c r="D506" s="11" t="n">
        <v>46082</v>
      </c>
      <c r="E506" s="4" t="s">
        <v>202</v>
      </c>
      <c r="F506" s="4" t="s">
        <v>206</v>
      </c>
      <c r="G506" s="4" t="n">
        <v>9</v>
      </c>
      <c r="H506" s="4" t="n">
        <v>0</v>
      </c>
      <c r="I506" s="4" t="n">
        <v>0</v>
      </c>
      <c r="J506" s="4" t="n">
        <v>4222.8</v>
      </c>
      <c r="K506" s="4" t="n">
        <v>0</v>
      </c>
      <c r="L506" s="12" t="n">
        <v>0.182642</v>
      </c>
      <c r="M506" s="12" t="n">
        <v>0.092063</v>
      </c>
      <c r="N506" s="12" t="n">
        <v>0.062316</v>
      </c>
      <c r="O506" s="12" t="n">
        <v>0.106183</v>
      </c>
      <c r="P506" s="12" t="n">
        <v>0.064693</v>
      </c>
      <c r="Q506" s="0" t="str">
        <f aca="false">IF(L506&gt;=Models!$G$5,1+COUNTIF($L$5:$L$1517,"&gt;"&amp;L506)+COUNTIFS($L$5:$L$1517,L506,$B$5:$B$1517,"&lt;"&amp;B506)+COUNTIFS($L$5:$L$1517,L506,$B$5:$B$1517,B506,$C$5:$C$1517,"&lt;"&amp;C506),"")</f>
        <v/>
      </c>
      <c r="R506" s="0" t="str">
        <f aca="false">IF(M506&gt;=Models!$G$6,1+COUNTIF($M$5:$M$1517,"&gt;"&amp;M506)+COUNTIFS($M$5:$M$1517,M506,$B$5:$B$1517,"&lt;"&amp;B506)+COUNTIFS($M$5:$M$1517,M506,$B$5:$B$1517,B506,$C$5:$C$1517,"&lt;"&amp;C506),"")</f>
        <v/>
      </c>
      <c r="S506" s="0" t="str">
        <f aca="false">IF(N506&gt;=Models!$G$7,1+COUNTIF($N$5:$N$1517,"&gt;"&amp;N506)+COUNTIFS($N$5:$N$1517,N506,$B$5:$B$1517,"&lt;"&amp;B506)+COUNTIFS($N$5:$N$1517,N506,$B$5:$B$1517,B506,$C$5:$C$1517,"&lt;"&amp;C506),"")</f>
        <v/>
      </c>
      <c r="T506" s="8" t="n">
        <f aca="false">IF(O506&gt;=Models!$G$8,1+COUNTIF($O$5:$O$1517,"&gt;"&amp;O506)+COUNTIFS($O$5:$O$1517,O506,$B$5:$B$1517,"&lt;"&amp;B506)+COUNTIFS($O$5:$O$1517,O506,$B$5:$B$1517,B506,$C$5:$C$1517,"&lt;"&amp;C506),"")</f>
        <v>535</v>
      </c>
      <c r="U506" s="8" t="n">
        <f aca="false">IF($K506=1,COUNTIFS($L$5:$L$1517,"&gt;="&amp;L506,$K$5:$K$1517,1)/COUNTIF($L$5:$L$1517,"&gt;="&amp;L506),0)</f>
        <v>0</v>
      </c>
      <c r="V506" s="8" t="n">
        <f aca="false">IF($K506=1,COUNTIFS($M$5:$M$1517,"&gt;="&amp;M506,$K$5:$K$1517,1)/COUNTIF($M$5:$M$1517,"&gt;="&amp;M506),0)</f>
        <v>0</v>
      </c>
      <c r="W506" s="8" t="n">
        <f aca="false">IF($K506=1,COUNTIFS($N$5:$N$1517,"&gt;="&amp;N506,$K$5:$K$1517,1)/COUNTIF($N$5:$N$1517,"&gt;="&amp;N506),0)</f>
        <v>0</v>
      </c>
      <c r="X506" s="8" t="n">
        <f aca="false">IF($K506=1,COUNTIFS($O$5:$O$1517,"&gt;="&amp;O506,$K$5:$K$1517,1)/COUNTIF($O$5:$O$1517,"&gt;="&amp;O506),0)</f>
        <v>0</v>
      </c>
      <c r="Y506" s="8" t="n">
        <f aca="false">IF($K506=1,COUNTIFS($P$5:$P$1517,"&gt;="&amp;P506,$K$5:$K$1517,1)/COUNTIF($P$5:$P$1517,"&gt;="&amp;P506),0)</f>
        <v>0</v>
      </c>
      <c r="Z506" s="8" t="n">
        <f aca="false">(L506-$K506)^2</f>
        <v>0.033358100164</v>
      </c>
      <c r="AA506" s="8" t="n">
        <f aca="false">(M506-$K506)^2</f>
        <v>0.008475595969</v>
      </c>
      <c r="AB506" s="8" t="n">
        <f aca="false">(N506-$K506)^2</f>
        <v>0.003883283856</v>
      </c>
      <c r="AC506" s="8" t="n">
        <f aca="false">(O506-$K506)^2</f>
        <v>0.011274829489</v>
      </c>
      <c r="AD506" s="8" t="n">
        <f aca="false">(P506-$K506)^2</f>
        <v>0.004185184249</v>
      </c>
      <c r="AE506" s="8" t="n">
        <f aca="false">MIN(INT(ROUND(N506*1000000,0)/100000),9)</f>
        <v>0</v>
      </c>
      <c r="AF506" s="8" t="n">
        <f aca="false">MIN(INT(ROUND(P506*1000000,0)/100000),9)</f>
        <v>0</v>
      </c>
    </row>
    <row r="507" customFormat="false" ht="15" hidden="false" customHeight="false" outlineLevel="0" collapsed="false">
      <c r="A507" s="4" t="n">
        <v>503</v>
      </c>
      <c r="B507" s="4" t="n">
        <v>708</v>
      </c>
      <c r="C507" s="4" t="n">
        <v>1</v>
      </c>
      <c r="D507" s="11" t="n">
        <v>46082</v>
      </c>
      <c r="E507" s="4" t="s">
        <v>201</v>
      </c>
      <c r="F507" s="4" t="s">
        <v>206</v>
      </c>
      <c r="G507" s="4" t="n">
        <v>7</v>
      </c>
      <c r="H507" s="4" t="n">
        <v>1</v>
      </c>
      <c r="I507" s="4" t="n">
        <v>0</v>
      </c>
      <c r="J507" s="4" t="n">
        <v>20542.8</v>
      </c>
      <c r="K507" s="4" t="n">
        <v>0</v>
      </c>
      <c r="L507" s="12" t="n">
        <v>0.165222</v>
      </c>
      <c r="M507" s="12" t="n">
        <v>0.092063</v>
      </c>
      <c r="N507" s="12" t="n">
        <v>0.030157</v>
      </c>
      <c r="O507" s="12" t="n">
        <v>0.106183</v>
      </c>
      <c r="P507" s="12" t="n">
        <v>0.03027</v>
      </c>
      <c r="Q507" s="0" t="str">
        <f aca="false">IF(L507&gt;=Models!$G$5,1+COUNTIF($L$5:$L$1517,"&gt;"&amp;L507)+COUNTIFS($L$5:$L$1517,L507,$B$5:$B$1517,"&lt;"&amp;B507)+COUNTIFS($L$5:$L$1517,L507,$B$5:$B$1517,B507,$C$5:$C$1517,"&lt;"&amp;C507),"")</f>
        <v/>
      </c>
      <c r="R507" s="0" t="str">
        <f aca="false">IF(M507&gt;=Models!$G$6,1+COUNTIF($M$5:$M$1517,"&gt;"&amp;M507)+COUNTIFS($M$5:$M$1517,M507,$B$5:$B$1517,"&lt;"&amp;B507)+COUNTIFS($M$5:$M$1517,M507,$B$5:$B$1517,B507,$C$5:$C$1517,"&lt;"&amp;C507),"")</f>
        <v/>
      </c>
      <c r="S507" s="0" t="str">
        <f aca="false">IF(N507&gt;=Models!$G$7,1+COUNTIF($N$5:$N$1517,"&gt;"&amp;N507)+COUNTIFS($N$5:$N$1517,N507,$B$5:$B$1517,"&lt;"&amp;B507)+COUNTIFS($N$5:$N$1517,N507,$B$5:$B$1517,B507,$C$5:$C$1517,"&lt;"&amp;C507),"")</f>
        <v/>
      </c>
      <c r="T507" s="8" t="n">
        <f aca="false">IF(O507&gt;=Models!$G$8,1+COUNTIF($O$5:$O$1517,"&gt;"&amp;O507)+COUNTIFS($O$5:$O$1517,O507,$B$5:$B$1517,"&lt;"&amp;B507)+COUNTIFS($O$5:$O$1517,O507,$B$5:$B$1517,B507,$C$5:$C$1517,"&lt;"&amp;C507),"")</f>
        <v>539</v>
      </c>
      <c r="U507" s="8" t="n">
        <f aca="false">IF($K507=1,COUNTIFS($L$5:$L$1517,"&gt;="&amp;L507,$K$5:$K$1517,1)/COUNTIF($L$5:$L$1517,"&gt;="&amp;L507),0)</f>
        <v>0</v>
      </c>
      <c r="V507" s="8" t="n">
        <f aca="false">IF($K507=1,COUNTIFS($M$5:$M$1517,"&gt;="&amp;M507,$K$5:$K$1517,1)/COUNTIF($M$5:$M$1517,"&gt;="&amp;M507),0)</f>
        <v>0</v>
      </c>
      <c r="W507" s="8" t="n">
        <f aca="false">IF($K507=1,COUNTIFS($N$5:$N$1517,"&gt;="&amp;N507,$K$5:$K$1517,1)/COUNTIF($N$5:$N$1517,"&gt;="&amp;N507),0)</f>
        <v>0</v>
      </c>
      <c r="X507" s="8" t="n">
        <f aca="false">IF($K507=1,COUNTIFS($O$5:$O$1517,"&gt;="&amp;O507,$K$5:$K$1517,1)/COUNTIF($O$5:$O$1517,"&gt;="&amp;O507),0)</f>
        <v>0</v>
      </c>
      <c r="Y507" s="8" t="n">
        <f aca="false">IF($K507=1,COUNTIFS($P$5:$P$1517,"&gt;="&amp;P507,$K$5:$K$1517,1)/COUNTIF($P$5:$P$1517,"&gt;="&amp;P507),0)</f>
        <v>0</v>
      </c>
      <c r="Z507" s="8" t="n">
        <f aca="false">(L507-$K507)^2</f>
        <v>0.027298309284</v>
      </c>
      <c r="AA507" s="8" t="n">
        <f aca="false">(M507-$K507)^2</f>
        <v>0.008475595969</v>
      </c>
      <c r="AB507" s="8" t="n">
        <f aca="false">(N507-$K507)^2</f>
        <v>0.000909444649</v>
      </c>
      <c r="AC507" s="8" t="n">
        <f aca="false">(O507-$K507)^2</f>
        <v>0.011274829489</v>
      </c>
      <c r="AD507" s="8" t="n">
        <f aca="false">(P507-$K507)^2</f>
        <v>0.0009162729</v>
      </c>
      <c r="AE507" s="8" t="n">
        <f aca="false">MIN(INT(ROUND(N507*1000000,0)/100000),9)</f>
        <v>0</v>
      </c>
      <c r="AF507" s="8" t="n">
        <f aca="false">MIN(INT(ROUND(P507*1000000,0)/100000),9)</f>
        <v>0</v>
      </c>
    </row>
    <row r="508" customFormat="false" ht="15" hidden="false" customHeight="false" outlineLevel="0" collapsed="false">
      <c r="A508" s="4" t="n">
        <v>504</v>
      </c>
      <c r="B508" s="4" t="n">
        <v>712</v>
      </c>
      <c r="C508" s="4" t="n">
        <v>1</v>
      </c>
      <c r="D508" s="11" t="n">
        <v>46082</v>
      </c>
      <c r="E508" s="4" t="s">
        <v>201</v>
      </c>
      <c r="F508" s="4" t="s">
        <v>209</v>
      </c>
      <c r="G508" s="4" t="n">
        <v>15</v>
      </c>
      <c r="H508" s="4" t="n">
        <v>1</v>
      </c>
      <c r="I508" s="4" t="n">
        <v>0</v>
      </c>
      <c r="J508" s="4" t="n">
        <v>22939.8</v>
      </c>
      <c r="K508" s="4" t="n">
        <v>0</v>
      </c>
      <c r="L508" s="12" t="n">
        <v>0.722313</v>
      </c>
      <c r="M508" s="12" t="n">
        <v>0.092063</v>
      </c>
      <c r="N508" s="12" t="n">
        <v>0.012999</v>
      </c>
      <c r="O508" s="12" t="n">
        <v>0.106183</v>
      </c>
      <c r="P508" s="12" t="n">
        <v>0.012532</v>
      </c>
      <c r="Q508" s="0" t="str">
        <f aca="false">IF(L508&gt;=Models!$G$5,1+COUNTIF($L$5:$L$1517,"&gt;"&amp;L508)+COUNTIFS($L$5:$L$1517,L508,$B$5:$B$1517,"&lt;"&amp;B508)+COUNTIFS($L$5:$L$1517,L508,$B$5:$B$1517,B508,$C$5:$C$1517,"&lt;"&amp;C508),"")</f>
        <v/>
      </c>
      <c r="R508" s="0" t="str">
        <f aca="false">IF(M508&gt;=Models!$G$6,1+COUNTIF($M$5:$M$1517,"&gt;"&amp;M508)+COUNTIFS($M$5:$M$1517,M508,$B$5:$B$1517,"&lt;"&amp;B508)+COUNTIFS($M$5:$M$1517,M508,$B$5:$B$1517,B508,$C$5:$C$1517,"&lt;"&amp;C508),"")</f>
        <v/>
      </c>
      <c r="S508" s="0" t="str">
        <f aca="false">IF(N508&gt;=Models!$G$7,1+COUNTIF($N$5:$N$1517,"&gt;"&amp;N508)+COUNTIFS($N$5:$N$1517,N508,$B$5:$B$1517,"&lt;"&amp;B508)+COUNTIFS($N$5:$N$1517,N508,$B$5:$B$1517,B508,$C$5:$C$1517,"&lt;"&amp;C508),"")</f>
        <v/>
      </c>
      <c r="T508" s="8" t="n">
        <f aca="false">IF(O508&gt;=Models!$G$8,1+COUNTIF($O$5:$O$1517,"&gt;"&amp;O508)+COUNTIFS($O$5:$O$1517,O508,$B$5:$B$1517,"&lt;"&amp;B508)+COUNTIFS($O$5:$O$1517,O508,$B$5:$B$1517,B508,$C$5:$C$1517,"&lt;"&amp;C508),"")</f>
        <v>543</v>
      </c>
      <c r="U508" s="8" t="n">
        <f aca="false">IF($K508=1,COUNTIFS($L$5:$L$1517,"&gt;="&amp;L508,$K$5:$K$1517,1)/COUNTIF($L$5:$L$1517,"&gt;="&amp;L508),0)</f>
        <v>0</v>
      </c>
      <c r="V508" s="8" t="n">
        <f aca="false">IF($K508=1,COUNTIFS($M$5:$M$1517,"&gt;="&amp;M508,$K$5:$K$1517,1)/COUNTIF($M$5:$M$1517,"&gt;="&amp;M508),0)</f>
        <v>0</v>
      </c>
      <c r="W508" s="8" t="n">
        <f aca="false">IF($K508=1,COUNTIFS($N$5:$N$1517,"&gt;="&amp;N508,$K$5:$K$1517,1)/COUNTIF($N$5:$N$1517,"&gt;="&amp;N508),0)</f>
        <v>0</v>
      </c>
      <c r="X508" s="8" t="n">
        <f aca="false">IF($K508=1,COUNTIFS($O$5:$O$1517,"&gt;="&amp;O508,$K$5:$K$1517,1)/COUNTIF($O$5:$O$1517,"&gt;="&amp;O508),0)</f>
        <v>0</v>
      </c>
      <c r="Y508" s="8" t="n">
        <f aca="false">IF($K508=1,COUNTIFS($P$5:$P$1517,"&gt;="&amp;P508,$K$5:$K$1517,1)/COUNTIF($P$5:$P$1517,"&gt;="&amp;P508),0)</f>
        <v>0</v>
      </c>
      <c r="Z508" s="8" t="n">
        <f aca="false">(L508-$K508)^2</f>
        <v>0.521736069969</v>
      </c>
      <c r="AA508" s="8" t="n">
        <f aca="false">(M508-$K508)^2</f>
        <v>0.008475595969</v>
      </c>
      <c r="AB508" s="8" t="n">
        <f aca="false">(N508-$K508)^2</f>
        <v>0.000168974001</v>
      </c>
      <c r="AC508" s="8" t="n">
        <f aca="false">(O508-$K508)^2</f>
        <v>0.011274829489</v>
      </c>
      <c r="AD508" s="8" t="n">
        <f aca="false">(P508-$K508)^2</f>
        <v>0.000157051024</v>
      </c>
      <c r="AE508" s="8" t="n">
        <f aca="false">MIN(INT(ROUND(N508*1000000,0)/100000),9)</f>
        <v>0</v>
      </c>
      <c r="AF508" s="8" t="n">
        <f aca="false">MIN(INT(ROUND(P508*1000000,0)/100000),9)</f>
        <v>0</v>
      </c>
    </row>
    <row r="509" customFormat="false" ht="15" hidden="false" customHeight="false" outlineLevel="0" collapsed="false">
      <c r="A509" s="4" t="n">
        <v>505</v>
      </c>
      <c r="B509" s="4" t="n">
        <v>715</v>
      </c>
      <c r="C509" s="4" t="n">
        <v>1</v>
      </c>
      <c r="D509" s="11" t="n">
        <v>46082</v>
      </c>
      <c r="E509" s="4" t="s">
        <v>201</v>
      </c>
      <c r="F509" s="4" t="s">
        <v>209</v>
      </c>
      <c r="G509" s="4" t="n">
        <v>7</v>
      </c>
      <c r="H509" s="4" t="n">
        <v>0</v>
      </c>
      <c r="I509" s="4" t="n">
        <v>1</v>
      </c>
      <c r="J509" s="4" t="n">
        <v>13147.8</v>
      </c>
      <c r="K509" s="4" t="n">
        <v>0</v>
      </c>
      <c r="L509" s="12" t="n">
        <v>0.686709</v>
      </c>
      <c r="M509" s="12" t="n">
        <v>0.184211</v>
      </c>
      <c r="N509" s="12" t="n">
        <v>0.079187</v>
      </c>
      <c r="O509" s="12" t="n">
        <v>0.106183</v>
      </c>
      <c r="P509" s="12" t="n">
        <v>0.083081</v>
      </c>
      <c r="Q509" s="0" t="str">
        <f aca="false">IF(L509&gt;=Models!$G$5,1+COUNTIF($L$5:$L$1517,"&gt;"&amp;L509)+COUNTIFS($L$5:$L$1517,L509,$B$5:$B$1517,"&lt;"&amp;B509)+COUNTIFS($L$5:$L$1517,L509,$B$5:$B$1517,B509,$C$5:$C$1517,"&lt;"&amp;C509),"")</f>
        <v/>
      </c>
      <c r="R509" s="8" t="n">
        <f aca="false">IF(M509&gt;=Models!$G$6,1+COUNTIF($M$5:$M$1517,"&gt;"&amp;M509)+COUNTIFS($M$5:$M$1517,M509,$B$5:$B$1517,"&lt;"&amp;B509)+COUNTIFS($M$5:$M$1517,M509,$B$5:$B$1517,B509,$C$5:$C$1517,"&lt;"&amp;C509),"")</f>
        <v>59</v>
      </c>
      <c r="S509" s="0" t="str">
        <f aca="false">IF(N509&gt;=Models!$G$7,1+COUNTIF($N$5:$N$1517,"&gt;"&amp;N509)+COUNTIFS($N$5:$N$1517,N509,$B$5:$B$1517,"&lt;"&amp;B509)+COUNTIFS($N$5:$N$1517,N509,$B$5:$B$1517,B509,$C$5:$C$1517,"&lt;"&amp;C509),"")</f>
        <v/>
      </c>
      <c r="T509" s="8" t="n">
        <f aca="false">IF(O509&gt;=Models!$G$8,1+COUNTIF($O$5:$O$1517,"&gt;"&amp;O509)+COUNTIFS($O$5:$O$1517,O509,$B$5:$B$1517,"&lt;"&amp;B509)+COUNTIFS($O$5:$O$1517,O509,$B$5:$B$1517,B509,$C$5:$C$1517,"&lt;"&amp;C509),"")</f>
        <v>547</v>
      </c>
      <c r="U509" s="8" t="n">
        <f aca="false">IF($K509=1,COUNTIFS($L$5:$L$1517,"&gt;="&amp;L509,$K$5:$K$1517,1)/COUNTIF($L$5:$L$1517,"&gt;="&amp;L509),0)</f>
        <v>0</v>
      </c>
      <c r="V509" s="8" t="n">
        <f aca="false">IF($K509=1,COUNTIFS($M$5:$M$1517,"&gt;="&amp;M509,$K$5:$K$1517,1)/COUNTIF($M$5:$M$1517,"&gt;="&amp;M509),0)</f>
        <v>0</v>
      </c>
      <c r="W509" s="8" t="n">
        <f aca="false">IF($K509=1,COUNTIFS($N$5:$N$1517,"&gt;="&amp;N509,$K$5:$K$1517,1)/COUNTIF($N$5:$N$1517,"&gt;="&amp;N509),0)</f>
        <v>0</v>
      </c>
      <c r="X509" s="8" t="n">
        <f aca="false">IF($K509=1,COUNTIFS($O$5:$O$1517,"&gt;="&amp;O509,$K$5:$K$1517,1)/COUNTIF($O$5:$O$1517,"&gt;="&amp;O509),0)</f>
        <v>0</v>
      </c>
      <c r="Y509" s="8" t="n">
        <f aca="false">IF($K509=1,COUNTIFS($P$5:$P$1517,"&gt;="&amp;P509,$K$5:$K$1517,1)/COUNTIF($P$5:$P$1517,"&gt;="&amp;P509),0)</f>
        <v>0</v>
      </c>
      <c r="Z509" s="8" t="n">
        <f aca="false">(L509-$K509)^2</f>
        <v>0.471569250681</v>
      </c>
      <c r="AA509" s="8" t="n">
        <f aca="false">(M509-$K509)^2</f>
        <v>0.033933692521</v>
      </c>
      <c r="AB509" s="8" t="n">
        <f aca="false">(N509-$K509)^2</f>
        <v>0.006270580969</v>
      </c>
      <c r="AC509" s="8" t="n">
        <f aca="false">(O509-$K509)^2</f>
        <v>0.011274829489</v>
      </c>
      <c r="AD509" s="8" t="n">
        <f aca="false">(P509-$K509)^2</f>
        <v>0.006902452561</v>
      </c>
      <c r="AE509" s="8" t="n">
        <f aca="false">MIN(INT(ROUND(N509*1000000,0)/100000),9)</f>
        <v>0</v>
      </c>
      <c r="AF509" s="8" t="n">
        <f aca="false">MIN(INT(ROUND(P509*1000000,0)/100000),9)</f>
        <v>0</v>
      </c>
    </row>
    <row r="510" customFormat="false" ht="15" hidden="false" customHeight="false" outlineLevel="0" collapsed="false">
      <c r="A510" s="4" t="n">
        <v>506</v>
      </c>
      <c r="B510" s="4" t="n">
        <v>717</v>
      </c>
      <c r="C510" s="4" t="n">
        <v>1</v>
      </c>
      <c r="D510" s="11" t="n">
        <v>46082</v>
      </c>
      <c r="E510" s="4" t="s">
        <v>203</v>
      </c>
      <c r="F510" s="4" t="s">
        <v>209</v>
      </c>
      <c r="G510" s="4" t="n">
        <v>6</v>
      </c>
      <c r="H510" s="4" t="n">
        <v>2</v>
      </c>
      <c r="I510" s="4" t="n">
        <v>0</v>
      </c>
      <c r="J510" s="4" t="n">
        <v>285</v>
      </c>
      <c r="K510" s="4" t="n">
        <v>0</v>
      </c>
      <c r="L510" s="12" t="n">
        <v>0.297586</v>
      </c>
      <c r="M510" s="12" t="n">
        <v>0.092063</v>
      </c>
      <c r="N510" s="12" t="n">
        <v>0.100095</v>
      </c>
      <c r="O510" s="12" t="n">
        <v>0.106183</v>
      </c>
      <c r="P510" s="12" t="n">
        <v>0.106055</v>
      </c>
      <c r="Q510" s="0" t="str">
        <f aca="false">IF(L510&gt;=Models!$G$5,1+COUNTIF($L$5:$L$1517,"&gt;"&amp;L510)+COUNTIFS($L$5:$L$1517,L510,$B$5:$B$1517,"&lt;"&amp;B510)+COUNTIFS($L$5:$L$1517,L510,$B$5:$B$1517,B510,$C$5:$C$1517,"&lt;"&amp;C510),"")</f>
        <v/>
      </c>
      <c r="R510" s="0" t="str">
        <f aca="false">IF(M510&gt;=Models!$G$6,1+COUNTIF($M$5:$M$1517,"&gt;"&amp;M510)+COUNTIFS($M$5:$M$1517,M510,$B$5:$B$1517,"&lt;"&amp;B510)+COUNTIFS($M$5:$M$1517,M510,$B$5:$B$1517,B510,$C$5:$C$1517,"&lt;"&amp;C510),"")</f>
        <v/>
      </c>
      <c r="S510" s="0" t="str">
        <f aca="false">IF(N510&gt;=Models!$G$7,1+COUNTIF($N$5:$N$1517,"&gt;"&amp;N510)+COUNTIFS($N$5:$N$1517,N510,$B$5:$B$1517,"&lt;"&amp;B510)+COUNTIFS($N$5:$N$1517,N510,$B$5:$B$1517,B510,$C$5:$C$1517,"&lt;"&amp;C510),"")</f>
        <v/>
      </c>
      <c r="T510" s="8" t="n">
        <f aca="false">IF(O510&gt;=Models!$G$8,1+COUNTIF($O$5:$O$1517,"&gt;"&amp;O510)+COUNTIFS($O$5:$O$1517,O510,$B$5:$B$1517,"&lt;"&amp;B510)+COUNTIFS($O$5:$O$1517,O510,$B$5:$B$1517,B510,$C$5:$C$1517,"&lt;"&amp;C510),"")</f>
        <v>551</v>
      </c>
      <c r="U510" s="8" t="n">
        <f aca="false">IF($K510=1,COUNTIFS($L$5:$L$1517,"&gt;="&amp;L510,$K$5:$K$1517,1)/COUNTIF($L$5:$L$1517,"&gt;="&amp;L510),0)</f>
        <v>0</v>
      </c>
      <c r="V510" s="8" t="n">
        <f aca="false">IF($K510=1,COUNTIFS($M$5:$M$1517,"&gt;="&amp;M510,$K$5:$K$1517,1)/COUNTIF($M$5:$M$1517,"&gt;="&amp;M510),0)</f>
        <v>0</v>
      </c>
      <c r="W510" s="8" t="n">
        <f aca="false">IF($K510=1,COUNTIFS($N$5:$N$1517,"&gt;="&amp;N510,$K$5:$K$1517,1)/COUNTIF($N$5:$N$1517,"&gt;="&amp;N510),0)</f>
        <v>0</v>
      </c>
      <c r="X510" s="8" t="n">
        <f aca="false">IF($K510=1,COUNTIFS($O$5:$O$1517,"&gt;="&amp;O510,$K$5:$K$1517,1)/COUNTIF($O$5:$O$1517,"&gt;="&amp;O510),0)</f>
        <v>0</v>
      </c>
      <c r="Y510" s="8" t="n">
        <f aca="false">IF($K510=1,COUNTIFS($P$5:$P$1517,"&gt;="&amp;P510,$K$5:$K$1517,1)/COUNTIF($P$5:$P$1517,"&gt;="&amp;P510),0)</f>
        <v>0</v>
      </c>
      <c r="Z510" s="8" t="n">
        <f aca="false">(L510-$K510)^2</f>
        <v>0.088557427396</v>
      </c>
      <c r="AA510" s="8" t="n">
        <f aca="false">(M510-$K510)^2</f>
        <v>0.008475595969</v>
      </c>
      <c r="AB510" s="8" t="n">
        <f aca="false">(N510-$K510)^2</f>
        <v>0.010019009025</v>
      </c>
      <c r="AC510" s="8" t="n">
        <f aca="false">(O510-$K510)^2</f>
        <v>0.011274829489</v>
      </c>
      <c r="AD510" s="8" t="n">
        <f aca="false">(P510-$K510)^2</f>
        <v>0.011247663025</v>
      </c>
      <c r="AE510" s="8" t="n">
        <f aca="false">MIN(INT(ROUND(N510*1000000,0)/100000),9)</f>
        <v>1</v>
      </c>
      <c r="AF510" s="8" t="n">
        <f aca="false">MIN(INT(ROUND(P510*1000000,0)/100000),9)</f>
        <v>1</v>
      </c>
    </row>
    <row r="511" customFormat="false" ht="15" hidden="false" customHeight="false" outlineLevel="0" collapsed="false">
      <c r="A511" s="4" t="n">
        <v>507</v>
      </c>
      <c r="B511" s="4" t="n">
        <v>722</v>
      </c>
      <c r="C511" s="4" t="n">
        <v>1</v>
      </c>
      <c r="D511" s="11" t="n">
        <v>46082</v>
      </c>
      <c r="E511" s="4" t="s">
        <v>204</v>
      </c>
      <c r="F511" s="4" t="s">
        <v>208</v>
      </c>
      <c r="G511" s="4" t="n">
        <v>0</v>
      </c>
      <c r="H511" s="4" t="n">
        <v>39</v>
      </c>
      <c r="I511" s="4" t="n">
        <v>0</v>
      </c>
      <c r="J511" s="4" t="n">
        <v>346.8</v>
      </c>
      <c r="K511" s="4" t="n">
        <v>0</v>
      </c>
      <c r="L511" s="12" t="n">
        <v>0.297921</v>
      </c>
      <c r="M511" s="12" t="n">
        <v>0.184211</v>
      </c>
      <c r="N511" s="12" t="n">
        <v>0.204793</v>
      </c>
      <c r="O511" s="12" t="n">
        <v>0.106183</v>
      </c>
      <c r="P511" s="12" t="n">
        <v>0.222323</v>
      </c>
      <c r="Q511" s="0" t="str">
        <f aca="false">IF(L511&gt;=Models!$G$5,1+COUNTIF($L$5:$L$1517,"&gt;"&amp;L511)+COUNTIFS($L$5:$L$1517,L511,$B$5:$B$1517,"&lt;"&amp;B511)+COUNTIFS($L$5:$L$1517,L511,$B$5:$B$1517,B511,$C$5:$C$1517,"&lt;"&amp;C511),"")</f>
        <v/>
      </c>
      <c r="R511" s="8" t="n">
        <f aca="false">IF(M511&gt;=Models!$G$6,1+COUNTIF($M$5:$M$1517,"&gt;"&amp;M511)+COUNTIFS($M$5:$M$1517,M511,$B$5:$B$1517,"&lt;"&amp;B511)+COUNTIFS($M$5:$M$1517,M511,$B$5:$B$1517,B511,$C$5:$C$1517,"&lt;"&amp;C511),"")</f>
        <v>60</v>
      </c>
      <c r="S511" s="0" t="str">
        <f aca="false">IF(N511&gt;=Models!$G$7,1+COUNTIF($N$5:$N$1517,"&gt;"&amp;N511)+COUNTIFS($N$5:$N$1517,N511,$B$5:$B$1517,"&lt;"&amp;B511)+COUNTIFS($N$5:$N$1517,N511,$B$5:$B$1517,B511,$C$5:$C$1517,"&lt;"&amp;C511),"")</f>
        <v/>
      </c>
      <c r="T511" s="8" t="n">
        <f aca="false">IF(O511&gt;=Models!$G$8,1+COUNTIF($O$5:$O$1517,"&gt;"&amp;O511)+COUNTIFS($O$5:$O$1517,O511,$B$5:$B$1517,"&lt;"&amp;B511)+COUNTIFS($O$5:$O$1517,O511,$B$5:$B$1517,B511,$C$5:$C$1517,"&lt;"&amp;C511),"")</f>
        <v>555</v>
      </c>
      <c r="U511" s="8" t="n">
        <f aca="false">IF($K511=1,COUNTIFS($L$5:$L$1517,"&gt;="&amp;L511,$K$5:$K$1517,1)/COUNTIF($L$5:$L$1517,"&gt;="&amp;L511),0)</f>
        <v>0</v>
      </c>
      <c r="V511" s="8" t="n">
        <f aca="false">IF($K511=1,COUNTIFS($M$5:$M$1517,"&gt;="&amp;M511,$K$5:$K$1517,1)/COUNTIF($M$5:$M$1517,"&gt;="&amp;M511),0)</f>
        <v>0</v>
      </c>
      <c r="W511" s="8" t="n">
        <f aca="false">IF($K511=1,COUNTIFS($N$5:$N$1517,"&gt;="&amp;N511,$K$5:$K$1517,1)/COUNTIF($N$5:$N$1517,"&gt;="&amp;N511),0)</f>
        <v>0</v>
      </c>
      <c r="X511" s="8" t="n">
        <f aca="false">IF($K511=1,COUNTIFS($O$5:$O$1517,"&gt;="&amp;O511,$K$5:$K$1517,1)/COUNTIF($O$5:$O$1517,"&gt;="&amp;O511),0)</f>
        <v>0</v>
      </c>
      <c r="Y511" s="8" t="n">
        <f aca="false">IF($K511=1,COUNTIFS($P$5:$P$1517,"&gt;="&amp;P511,$K$5:$K$1517,1)/COUNTIF($P$5:$P$1517,"&gt;="&amp;P511),0)</f>
        <v>0</v>
      </c>
      <c r="Z511" s="8" t="n">
        <f aca="false">(L511-$K511)^2</f>
        <v>0.088756922241</v>
      </c>
      <c r="AA511" s="8" t="n">
        <f aca="false">(M511-$K511)^2</f>
        <v>0.033933692521</v>
      </c>
      <c r="AB511" s="8" t="n">
        <f aca="false">(N511-$K511)^2</f>
        <v>0.041940172849</v>
      </c>
      <c r="AC511" s="8" t="n">
        <f aca="false">(O511-$K511)^2</f>
        <v>0.011274829489</v>
      </c>
      <c r="AD511" s="8" t="n">
        <f aca="false">(P511-$K511)^2</f>
        <v>0.049427516329</v>
      </c>
      <c r="AE511" s="8" t="n">
        <f aca="false">MIN(INT(ROUND(N511*1000000,0)/100000),9)</f>
        <v>2</v>
      </c>
      <c r="AF511" s="8" t="n">
        <f aca="false">MIN(INT(ROUND(P511*1000000,0)/100000),9)</f>
        <v>2</v>
      </c>
    </row>
    <row r="512" customFormat="false" ht="15" hidden="false" customHeight="false" outlineLevel="0" collapsed="false">
      <c r="A512" s="4" t="n">
        <v>508</v>
      </c>
      <c r="B512" s="4" t="n">
        <v>734</v>
      </c>
      <c r="C512" s="4" t="n">
        <v>1</v>
      </c>
      <c r="D512" s="11" t="n">
        <v>46082</v>
      </c>
      <c r="E512" s="4" t="s">
        <v>202</v>
      </c>
      <c r="F512" s="4" t="s">
        <v>209</v>
      </c>
      <c r="G512" s="4" t="n">
        <v>3</v>
      </c>
      <c r="H512" s="4" t="n">
        <v>3</v>
      </c>
      <c r="I512" s="4" t="n">
        <v>0</v>
      </c>
      <c r="J512" s="4" t="n">
        <v>810</v>
      </c>
      <c r="K512" s="4" t="n">
        <v>0</v>
      </c>
      <c r="L512" s="12" t="n">
        <v>0.025975</v>
      </c>
      <c r="M512" s="12" t="n">
        <v>0.092063</v>
      </c>
      <c r="N512" s="12" t="n">
        <v>0.124719</v>
      </c>
      <c r="O512" s="12" t="n">
        <v>0.106183</v>
      </c>
      <c r="P512" s="12" t="n">
        <v>0.133285</v>
      </c>
      <c r="Q512" s="0" t="str">
        <f aca="false">IF(L512&gt;=Models!$G$5,1+COUNTIF($L$5:$L$1517,"&gt;"&amp;L512)+COUNTIFS($L$5:$L$1517,L512,$B$5:$B$1517,"&lt;"&amp;B512)+COUNTIFS($L$5:$L$1517,L512,$B$5:$B$1517,B512,$C$5:$C$1517,"&lt;"&amp;C512),"")</f>
        <v/>
      </c>
      <c r="R512" s="0" t="str">
        <f aca="false">IF(M512&gt;=Models!$G$6,1+COUNTIF($M$5:$M$1517,"&gt;"&amp;M512)+COUNTIFS($M$5:$M$1517,M512,$B$5:$B$1517,"&lt;"&amp;B512)+COUNTIFS($M$5:$M$1517,M512,$B$5:$B$1517,B512,$C$5:$C$1517,"&lt;"&amp;C512),"")</f>
        <v/>
      </c>
      <c r="S512" s="0" t="str">
        <f aca="false">IF(N512&gt;=Models!$G$7,1+COUNTIF($N$5:$N$1517,"&gt;"&amp;N512)+COUNTIFS($N$5:$N$1517,N512,$B$5:$B$1517,"&lt;"&amp;B512)+COUNTIFS($N$5:$N$1517,N512,$B$5:$B$1517,B512,$C$5:$C$1517,"&lt;"&amp;C512),"")</f>
        <v/>
      </c>
      <c r="T512" s="8" t="n">
        <f aca="false">IF(O512&gt;=Models!$G$8,1+COUNTIF($O$5:$O$1517,"&gt;"&amp;O512)+COUNTIFS($O$5:$O$1517,O512,$B$5:$B$1517,"&lt;"&amp;B512)+COUNTIFS($O$5:$O$1517,O512,$B$5:$B$1517,B512,$C$5:$C$1517,"&lt;"&amp;C512),"")</f>
        <v>559</v>
      </c>
      <c r="U512" s="8" t="n">
        <f aca="false">IF($K512=1,COUNTIFS($L$5:$L$1517,"&gt;="&amp;L512,$K$5:$K$1517,1)/COUNTIF($L$5:$L$1517,"&gt;="&amp;L512),0)</f>
        <v>0</v>
      </c>
      <c r="V512" s="8" t="n">
        <f aca="false">IF($K512=1,COUNTIFS($M$5:$M$1517,"&gt;="&amp;M512,$K$5:$K$1517,1)/COUNTIF($M$5:$M$1517,"&gt;="&amp;M512),0)</f>
        <v>0</v>
      </c>
      <c r="W512" s="8" t="n">
        <f aca="false">IF($K512=1,COUNTIFS($N$5:$N$1517,"&gt;="&amp;N512,$K$5:$K$1517,1)/COUNTIF($N$5:$N$1517,"&gt;="&amp;N512),0)</f>
        <v>0</v>
      </c>
      <c r="X512" s="8" t="n">
        <f aca="false">IF($K512=1,COUNTIFS($O$5:$O$1517,"&gt;="&amp;O512,$K$5:$K$1517,1)/COUNTIF($O$5:$O$1517,"&gt;="&amp;O512),0)</f>
        <v>0</v>
      </c>
      <c r="Y512" s="8" t="n">
        <f aca="false">IF($K512=1,COUNTIFS($P$5:$P$1517,"&gt;="&amp;P512,$K$5:$K$1517,1)/COUNTIF($P$5:$P$1517,"&gt;="&amp;P512),0)</f>
        <v>0</v>
      </c>
      <c r="Z512" s="8" t="n">
        <f aca="false">(L512-$K512)^2</f>
        <v>0.000674700625</v>
      </c>
      <c r="AA512" s="8" t="n">
        <f aca="false">(M512-$K512)^2</f>
        <v>0.008475595969</v>
      </c>
      <c r="AB512" s="8" t="n">
        <f aca="false">(N512-$K512)^2</f>
        <v>0.015554828961</v>
      </c>
      <c r="AC512" s="8" t="n">
        <f aca="false">(O512-$K512)^2</f>
        <v>0.011274829489</v>
      </c>
      <c r="AD512" s="8" t="n">
        <f aca="false">(P512-$K512)^2</f>
        <v>0.017764891225</v>
      </c>
      <c r="AE512" s="8" t="n">
        <f aca="false">MIN(INT(ROUND(N512*1000000,0)/100000),9)</f>
        <v>1</v>
      </c>
      <c r="AF512" s="8" t="n">
        <f aca="false">MIN(INT(ROUND(P512*1000000,0)/100000),9)</f>
        <v>1</v>
      </c>
    </row>
    <row r="513" customFormat="false" ht="15" hidden="false" customHeight="false" outlineLevel="0" collapsed="false">
      <c r="A513" s="4" t="n">
        <v>509</v>
      </c>
      <c r="B513" s="4" t="n">
        <v>736</v>
      </c>
      <c r="C513" s="4" t="n">
        <v>1</v>
      </c>
      <c r="D513" s="11" t="n">
        <v>46082</v>
      </c>
      <c r="E513" s="4" t="s">
        <v>204</v>
      </c>
      <c r="F513" s="4" t="s">
        <v>207</v>
      </c>
      <c r="G513" s="4" t="n">
        <v>2</v>
      </c>
      <c r="H513" s="4" t="n">
        <v>7</v>
      </c>
      <c r="I513" s="4" t="n">
        <v>1</v>
      </c>
      <c r="J513" s="4" t="n">
        <v>99</v>
      </c>
      <c r="K513" s="4" t="n">
        <v>1</v>
      </c>
      <c r="L513" s="12" t="n">
        <v>0.630434</v>
      </c>
      <c r="M513" s="12" t="n">
        <v>0.184211</v>
      </c>
      <c r="N513" s="12" t="n">
        <v>0.233547</v>
      </c>
      <c r="O513" s="12" t="n">
        <v>0.106183</v>
      </c>
      <c r="P513" s="12" t="n">
        <v>0.25427</v>
      </c>
      <c r="Q513" s="0" t="str">
        <f aca="false">IF(L513&gt;=Models!$G$5,1+COUNTIF($L$5:$L$1517,"&gt;"&amp;L513)+COUNTIFS($L$5:$L$1517,L513,$B$5:$B$1517,"&lt;"&amp;B513)+COUNTIFS($L$5:$L$1517,L513,$B$5:$B$1517,B513,$C$5:$C$1517,"&lt;"&amp;C513),"")</f>
        <v/>
      </c>
      <c r="R513" s="8" t="n">
        <f aca="false">IF(M513&gt;=Models!$G$6,1+COUNTIF($M$5:$M$1517,"&gt;"&amp;M513)+COUNTIFS($M$5:$M$1517,M513,$B$5:$B$1517,"&lt;"&amp;B513)+COUNTIFS($M$5:$M$1517,M513,$B$5:$B$1517,B513,$C$5:$C$1517,"&lt;"&amp;C513),"")</f>
        <v>63</v>
      </c>
      <c r="S513" s="0" t="str">
        <f aca="false">IF(N513&gt;=Models!$G$7,1+COUNTIF($N$5:$N$1517,"&gt;"&amp;N513)+COUNTIFS($N$5:$N$1517,N513,$B$5:$B$1517,"&lt;"&amp;B513)+COUNTIFS($N$5:$N$1517,N513,$B$5:$B$1517,B513,$C$5:$C$1517,"&lt;"&amp;C513),"")</f>
        <v/>
      </c>
      <c r="T513" s="8" t="n">
        <f aca="false">IF(O513&gt;=Models!$G$8,1+COUNTIF($O$5:$O$1517,"&gt;"&amp;O513)+COUNTIFS($O$5:$O$1517,O513,$B$5:$B$1517,"&lt;"&amp;B513)+COUNTIFS($O$5:$O$1517,O513,$B$5:$B$1517,B513,$C$5:$C$1517,"&lt;"&amp;C513),"")</f>
        <v>563</v>
      </c>
      <c r="U513" s="8" t="n">
        <f aca="false">IF($K513=1,COUNTIFS($L$5:$L$1517,"&gt;="&amp;L513,$K$5:$K$1517,1)/COUNTIF($L$5:$L$1517,"&gt;="&amp;L513),0)</f>
        <v>0.132216014897579</v>
      </c>
      <c r="V513" s="8" t="n">
        <f aca="false">IF($K513=1,COUNTIFS($M$5:$M$1517,"&gt;="&amp;M513,$K$5:$K$1517,1)/COUNTIF($M$5:$M$1517,"&gt;="&amp;M513),0)</f>
        <v>0.186528497409326</v>
      </c>
      <c r="W513" s="8" t="n">
        <f aca="false">IF($K513=1,COUNTIFS($N$5:$N$1517,"&gt;="&amp;N513,$K$5:$K$1517,1)/COUNTIF($N$5:$N$1517,"&gt;="&amp;N513),0)</f>
        <v>0.375</v>
      </c>
      <c r="X513" s="8" t="n">
        <f aca="false">IF($K513=1,COUNTIFS($O$5:$O$1517,"&gt;="&amp;O513,$K$5:$K$1517,1)/COUNTIF($O$5:$O$1517,"&gt;="&amp;O513),0)</f>
        <v>0.12491738268341</v>
      </c>
      <c r="Y513" s="8" t="n">
        <f aca="false">IF($K513=1,COUNTIFS($P$5:$P$1517,"&gt;="&amp;P513,$K$5:$K$1517,1)/COUNTIF($P$5:$P$1517,"&gt;="&amp;P513),0)</f>
        <v>0.375</v>
      </c>
      <c r="Z513" s="8" t="n">
        <f aca="false">(L513-$K513)^2</f>
        <v>0.136579028356</v>
      </c>
      <c r="AA513" s="8" t="n">
        <f aca="false">(M513-$K513)^2</f>
        <v>0.665511692521</v>
      </c>
      <c r="AB513" s="8" t="n">
        <f aca="false">(N513-$K513)^2</f>
        <v>0.587450201209</v>
      </c>
      <c r="AC513" s="8" t="n">
        <f aca="false">(O513-$K513)^2</f>
        <v>0.798908829489</v>
      </c>
      <c r="AD513" s="8" t="n">
        <f aca="false">(P513-$K513)^2</f>
        <v>0.5561132329</v>
      </c>
      <c r="AE513" s="8" t="n">
        <f aca="false">MIN(INT(ROUND(N513*1000000,0)/100000),9)</f>
        <v>2</v>
      </c>
      <c r="AF513" s="8" t="n">
        <f aca="false">MIN(INT(ROUND(P513*1000000,0)/100000),9)</f>
        <v>2</v>
      </c>
    </row>
    <row r="514" customFormat="false" ht="15" hidden="false" customHeight="false" outlineLevel="0" collapsed="false">
      <c r="A514" s="4" t="n">
        <v>510</v>
      </c>
      <c r="B514" s="4" t="n">
        <v>742</v>
      </c>
      <c r="C514" s="4" t="n">
        <v>1</v>
      </c>
      <c r="D514" s="11" t="n">
        <v>46082</v>
      </c>
      <c r="E514" s="4" t="s">
        <v>202</v>
      </c>
      <c r="F514" s="4" t="s">
        <v>206</v>
      </c>
      <c r="G514" s="4" t="n">
        <v>7</v>
      </c>
      <c r="H514" s="4" t="n">
        <v>1</v>
      </c>
      <c r="I514" s="4" t="n">
        <v>0</v>
      </c>
      <c r="J514" s="4" t="n">
        <v>5773.2</v>
      </c>
      <c r="K514" s="4" t="n">
        <v>0</v>
      </c>
      <c r="L514" s="12" t="n">
        <v>0.419408</v>
      </c>
      <c r="M514" s="12" t="n">
        <v>0.092063</v>
      </c>
      <c r="N514" s="12" t="n">
        <v>0.068303</v>
      </c>
      <c r="O514" s="12" t="n">
        <v>0.106183</v>
      </c>
      <c r="P514" s="12" t="n">
        <v>0.0712</v>
      </c>
      <c r="Q514" s="0" t="str">
        <f aca="false">IF(L514&gt;=Models!$G$5,1+COUNTIF($L$5:$L$1517,"&gt;"&amp;L514)+COUNTIFS($L$5:$L$1517,L514,$B$5:$B$1517,"&lt;"&amp;B514)+COUNTIFS($L$5:$L$1517,L514,$B$5:$B$1517,B514,$C$5:$C$1517,"&lt;"&amp;C514),"")</f>
        <v/>
      </c>
      <c r="R514" s="0" t="str">
        <f aca="false">IF(M514&gt;=Models!$G$6,1+COUNTIF($M$5:$M$1517,"&gt;"&amp;M514)+COUNTIFS($M$5:$M$1517,M514,$B$5:$B$1517,"&lt;"&amp;B514)+COUNTIFS($M$5:$M$1517,M514,$B$5:$B$1517,B514,$C$5:$C$1517,"&lt;"&amp;C514),"")</f>
        <v/>
      </c>
      <c r="S514" s="0" t="str">
        <f aca="false">IF(N514&gt;=Models!$G$7,1+COUNTIF($N$5:$N$1517,"&gt;"&amp;N514)+COUNTIFS($N$5:$N$1517,N514,$B$5:$B$1517,"&lt;"&amp;B514)+COUNTIFS($N$5:$N$1517,N514,$B$5:$B$1517,B514,$C$5:$C$1517,"&lt;"&amp;C514),"")</f>
        <v/>
      </c>
      <c r="T514" s="8" t="n">
        <f aca="false">IF(O514&gt;=Models!$G$8,1+COUNTIF($O$5:$O$1517,"&gt;"&amp;O514)+COUNTIFS($O$5:$O$1517,O514,$B$5:$B$1517,"&lt;"&amp;B514)+COUNTIFS($O$5:$O$1517,O514,$B$5:$B$1517,B514,$C$5:$C$1517,"&lt;"&amp;C514),"")</f>
        <v>566</v>
      </c>
      <c r="U514" s="8" t="n">
        <f aca="false">IF($K514=1,COUNTIFS($L$5:$L$1517,"&gt;="&amp;L514,$K$5:$K$1517,1)/COUNTIF($L$5:$L$1517,"&gt;="&amp;L514),0)</f>
        <v>0</v>
      </c>
      <c r="V514" s="8" t="n">
        <f aca="false">IF($K514=1,COUNTIFS($M$5:$M$1517,"&gt;="&amp;M514,$K$5:$K$1517,1)/COUNTIF($M$5:$M$1517,"&gt;="&amp;M514),0)</f>
        <v>0</v>
      </c>
      <c r="W514" s="8" t="n">
        <f aca="false">IF($K514=1,COUNTIFS($N$5:$N$1517,"&gt;="&amp;N514,$K$5:$K$1517,1)/COUNTIF($N$5:$N$1517,"&gt;="&amp;N514),0)</f>
        <v>0</v>
      </c>
      <c r="X514" s="8" t="n">
        <f aca="false">IF($K514=1,COUNTIFS($O$5:$O$1517,"&gt;="&amp;O514,$K$5:$K$1517,1)/COUNTIF($O$5:$O$1517,"&gt;="&amp;O514),0)</f>
        <v>0</v>
      </c>
      <c r="Y514" s="8" t="n">
        <f aca="false">IF($K514=1,COUNTIFS($P$5:$P$1517,"&gt;="&amp;P514,$K$5:$K$1517,1)/COUNTIF($P$5:$P$1517,"&gt;="&amp;P514),0)</f>
        <v>0</v>
      </c>
      <c r="Z514" s="8" t="n">
        <f aca="false">(L514-$K514)^2</f>
        <v>0.175903070464</v>
      </c>
      <c r="AA514" s="8" t="n">
        <f aca="false">(M514-$K514)^2</f>
        <v>0.008475595969</v>
      </c>
      <c r="AB514" s="8" t="n">
        <f aca="false">(N514-$K514)^2</f>
        <v>0.004665299809</v>
      </c>
      <c r="AC514" s="8" t="n">
        <f aca="false">(O514-$K514)^2</f>
        <v>0.011274829489</v>
      </c>
      <c r="AD514" s="8" t="n">
        <f aca="false">(P514-$K514)^2</f>
        <v>0.00506944</v>
      </c>
      <c r="AE514" s="8" t="n">
        <f aca="false">MIN(INT(ROUND(N514*1000000,0)/100000),9)</f>
        <v>0</v>
      </c>
      <c r="AF514" s="8" t="n">
        <f aca="false">MIN(INT(ROUND(P514*1000000,0)/100000),9)</f>
        <v>0</v>
      </c>
    </row>
    <row r="515" customFormat="false" ht="15" hidden="false" customHeight="false" outlineLevel="0" collapsed="false">
      <c r="A515" s="4" t="n">
        <v>511</v>
      </c>
      <c r="B515" s="4" t="n">
        <v>745</v>
      </c>
      <c r="C515" s="4" t="n">
        <v>1</v>
      </c>
      <c r="D515" s="11" t="n">
        <v>46082</v>
      </c>
      <c r="E515" s="4" t="s">
        <v>204</v>
      </c>
      <c r="F515" s="4" t="s">
        <v>210</v>
      </c>
      <c r="G515" s="4" t="n">
        <v>1</v>
      </c>
      <c r="H515" s="4" t="n">
        <v>24</v>
      </c>
      <c r="I515" s="4" t="n">
        <v>0</v>
      </c>
      <c r="J515" s="4" t="n">
        <v>79.8</v>
      </c>
      <c r="K515" s="4" t="n">
        <v>0</v>
      </c>
      <c r="L515" s="12" t="n">
        <v>0.10526</v>
      </c>
      <c r="M515" s="12" t="n">
        <v>0.092063</v>
      </c>
      <c r="N515" s="12" t="n">
        <v>0.174507</v>
      </c>
      <c r="O515" s="12" t="n">
        <v>0.106183</v>
      </c>
      <c r="P515" s="12" t="n">
        <v>0.188623</v>
      </c>
      <c r="Q515" s="0" t="str">
        <f aca="false">IF(L515&gt;=Models!$G$5,1+COUNTIF($L$5:$L$1517,"&gt;"&amp;L515)+COUNTIFS($L$5:$L$1517,L515,$B$5:$B$1517,"&lt;"&amp;B515)+COUNTIFS($L$5:$L$1517,L515,$B$5:$B$1517,B515,$C$5:$C$1517,"&lt;"&amp;C515),"")</f>
        <v/>
      </c>
      <c r="R515" s="0" t="str">
        <f aca="false">IF(M515&gt;=Models!$G$6,1+COUNTIF($M$5:$M$1517,"&gt;"&amp;M515)+COUNTIFS($M$5:$M$1517,M515,$B$5:$B$1517,"&lt;"&amp;B515)+COUNTIFS($M$5:$M$1517,M515,$B$5:$B$1517,B515,$C$5:$C$1517,"&lt;"&amp;C515),"")</f>
        <v/>
      </c>
      <c r="S515" s="0" t="str">
        <f aca="false">IF(N515&gt;=Models!$G$7,1+COUNTIF($N$5:$N$1517,"&gt;"&amp;N515)+COUNTIFS($N$5:$N$1517,N515,$B$5:$B$1517,"&lt;"&amp;B515)+COUNTIFS($N$5:$N$1517,N515,$B$5:$B$1517,B515,$C$5:$C$1517,"&lt;"&amp;C515),"")</f>
        <v/>
      </c>
      <c r="T515" s="8" t="n">
        <f aca="false">IF(O515&gt;=Models!$G$8,1+COUNTIF($O$5:$O$1517,"&gt;"&amp;O515)+COUNTIFS($O$5:$O$1517,O515,$B$5:$B$1517,"&lt;"&amp;B515)+COUNTIFS($O$5:$O$1517,O515,$B$5:$B$1517,B515,$C$5:$C$1517,"&lt;"&amp;C515),"")</f>
        <v>570</v>
      </c>
      <c r="U515" s="8" t="n">
        <f aca="false">IF($K515=1,COUNTIFS($L$5:$L$1517,"&gt;="&amp;L515,$K$5:$K$1517,1)/COUNTIF($L$5:$L$1517,"&gt;="&amp;L515),0)</f>
        <v>0</v>
      </c>
      <c r="V515" s="8" t="n">
        <f aca="false">IF($K515=1,COUNTIFS($M$5:$M$1517,"&gt;="&amp;M515,$K$5:$K$1517,1)/COUNTIF($M$5:$M$1517,"&gt;="&amp;M515),0)</f>
        <v>0</v>
      </c>
      <c r="W515" s="8" t="n">
        <f aca="false">IF($K515=1,COUNTIFS($N$5:$N$1517,"&gt;="&amp;N515,$K$5:$K$1517,1)/COUNTIF($N$5:$N$1517,"&gt;="&amp;N515),0)</f>
        <v>0</v>
      </c>
      <c r="X515" s="8" t="n">
        <f aca="false">IF($K515=1,COUNTIFS($O$5:$O$1517,"&gt;="&amp;O515,$K$5:$K$1517,1)/COUNTIF($O$5:$O$1517,"&gt;="&amp;O515),0)</f>
        <v>0</v>
      </c>
      <c r="Y515" s="8" t="n">
        <f aca="false">IF($K515=1,COUNTIFS($P$5:$P$1517,"&gt;="&amp;P515,$K$5:$K$1517,1)/COUNTIF($P$5:$P$1517,"&gt;="&amp;P515),0)</f>
        <v>0</v>
      </c>
      <c r="Z515" s="8" t="n">
        <f aca="false">(L515-$K515)^2</f>
        <v>0.0110796676</v>
      </c>
      <c r="AA515" s="8" t="n">
        <f aca="false">(M515-$K515)^2</f>
        <v>0.008475595969</v>
      </c>
      <c r="AB515" s="8" t="n">
        <f aca="false">(N515-$K515)^2</f>
        <v>0.030452693049</v>
      </c>
      <c r="AC515" s="8" t="n">
        <f aca="false">(O515-$K515)^2</f>
        <v>0.011274829489</v>
      </c>
      <c r="AD515" s="8" t="n">
        <f aca="false">(P515-$K515)^2</f>
        <v>0.035578636129</v>
      </c>
      <c r="AE515" s="8" t="n">
        <f aca="false">MIN(INT(ROUND(N515*1000000,0)/100000),9)</f>
        <v>1</v>
      </c>
      <c r="AF515" s="8" t="n">
        <f aca="false">MIN(INT(ROUND(P515*1000000,0)/100000),9)</f>
        <v>1</v>
      </c>
    </row>
    <row r="516" customFormat="false" ht="15" hidden="false" customHeight="false" outlineLevel="0" collapsed="false">
      <c r="A516" s="4" t="n">
        <v>512</v>
      </c>
      <c r="B516" s="4" t="n">
        <v>746</v>
      </c>
      <c r="C516" s="4" t="n">
        <v>1</v>
      </c>
      <c r="D516" s="11" t="n">
        <v>46082</v>
      </c>
      <c r="E516" s="4" t="s">
        <v>204</v>
      </c>
      <c r="F516" s="4" t="s">
        <v>209</v>
      </c>
      <c r="G516" s="4" t="n">
        <v>5</v>
      </c>
      <c r="H516" s="4" t="n">
        <v>1</v>
      </c>
      <c r="I516" s="4" t="n">
        <v>0</v>
      </c>
      <c r="J516" s="4" t="n">
        <v>78</v>
      </c>
      <c r="K516" s="4" t="n">
        <v>0</v>
      </c>
      <c r="L516" s="12" t="n">
        <v>0.246639</v>
      </c>
      <c r="M516" s="12" t="n">
        <v>0.092063</v>
      </c>
      <c r="N516" s="12" t="n">
        <v>0.108868</v>
      </c>
      <c r="O516" s="12" t="n">
        <v>0.106183</v>
      </c>
      <c r="P516" s="12" t="n">
        <v>0.115739</v>
      </c>
      <c r="Q516" s="0" t="str">
        <f aca="false">IF(L516&gt;=Models!$G$5,1+COUNTIF($L$5:$L$1517,"&gt;"&amp;L516)+COUNTIFS($L$5:$L$1517,L516,$B$5:$B$1517,"&lt;"&amp;B516)+COUNTIFS($L$5:$L$1517,L516,$B$5:$B$1517,B516,$C$5:$C$1517,"&lt;"&amp;C516),"")</f>
        <v/>
      </c>
      <c r="R516" s="0" t="str">
        <f aca="false">IF(M516&gt;=Models!$G$6,1+COUNTIF($M$5:$M$1517,"&gt;"&amp;M516)+COUNTIFS($M$5:$M$1517,M516,$B$5:$B$1517,"&lt;"&amp;B516)+COUNTIFS($M$5:$M$1517,M516,$B$5:$B$1517,B516,$C$5:$C$1517,"&lt;"&amp;C516),"")</f>
        <v/>
      </c>
      <c r="S516" s="0" t="str">
        <f aca="false">IF(N516&gt;=Models!$G$7,1+COUNTIF($N$5:$N$1517,"&gt;"&amp;N516)+COUNTIFS($N$5:$N$1517,N516,$B$5:$B$1517,"&lt;"&amp;B516)+COUNTIFS($N$5:$N$1517,N516,$B$5:$B$1517,B516,$C$5:$C$1517,"&lt;"&amp;C516),"")</f>
        <v/>
      </c>
      <c r="T516" s="8" t="n">
        <f aca="false">IF(O516&gt;=Models!$G$8,1+COUNTIF($O$5:$O$1517,"&gt;"&amp;O516)+COUNTIFS($O$5:$O$1517,O516,$B$5:$B$1517,"&lt;"&amp;B516)+COUNTIFS($O$5:$O$1517,O516,$B$5:$B$1517,B516,$C$5:$C$1517,"&lt;"&amp;C516),"")</f>
        <v>574</v>
      </c>
      <c r="U516" s="8" t="n">
        <f aca="false">IF($K516=1,COUNTIFS($L$5:$L$1517,"&gt;="&amp;L516,$K$5:$K$1517,1)/COUNTIF($L$5:$L$1517,"&gt;="&amp;L516),0)</f>
        <v>0</v>
      </c>
      <c r="V516" s="8" t="n">
        <f aca="false">IF($K516=1,COUNTIFS($M$5:$M$1517,"&gt;="&amp;M516,$K$5:$K$1517,1)/COUNTIF($M$5:$M$1517,"&gt;="&amp;M516),0)</f>
        <v>0</v>
      </c>
      <c r="W516" s="8" t="n">
        <f aca="false">IF($K516=1,COUNTIFS($N$5:$N$1517,"&gt;="&amp;N516,$K$5:$K$1517,1)/COUNTIF($N$5:$N$1517,"&gt;="&amp;N516),0)</f>
        <v>0</v>
      </c>
      <c r="X516" s="8" t="n">
        <f aca="false">IF($K516=1,COUNTIFS($O$5:$O$1517,"&gt;="&amp;O516,$K$5:$K$1517,1)/COUNTIF($O$5:$O$1517,"&gt;="&amp;O516),0)</f>
        <v>0</v>
      </c>
      <c r="Y516" s="8" t="n">
        <f aca="false">IF($K516=1,COUNTIFS($P$5:$P$1517,"&gt;="&amp;P516,$K$5:$K$1517,1)/COUNTIF($P$5:$P$1517,"&gt;="&amp;P516),0)</f>
        <v>0</v>
      </c>
      <c r="Z516" s="8" t="n">
        <f aca="false">(L516-$K516)^2</f>
        <v>0.060830796321</v>
      </c>
      <c r="AA516" s="8" t="n">
        <f aca="false">(M516-$K516)^2</f>
        <v>0.008475595969</v>
      </c>
      <c r="AB516" s="8" t="n">
        <f aca="false">(N516-$K516)^2</f>
        <v>0.011852241424</v>
      </c>
      <c r="AC516" s="8" t="n">
        <f aca="false">(O516-$K516)^2</f>
        <v>0.011274829489</v>
      </c>
      <c r="AD516" s="8" t="n">
        <f aca="false">(P516-$K516)^2</f>
        <v>0.013395516121</v>
      </c>
      <c r="AE516" s="8" t="n">
        <f aca="false">MIN(INT(ROUND(N516*1000000,0)/100000),9)</f>
        <v>1</v>
      </c>
      <c r="AF516" s="8" t="n">
        <f aca="false">MIN(INT(ROUND(P516*1000000,0)/100000),9)</f>
        <v>1</v>
      </c>
    </row>
    <row r="517" customFormat="false" ht="15" hidden="false" customHeight="false" outlineLevel="0" collapsed="false">
      <c r="A517" s="4" t="n">
        <v>513</v>
      </c>
      <c r="B517" s="4" t="n">
        <v>751</v>
      </c>
      <c r="C517" s="4" t="n">
        <v>1</v>
      </c>
      <c r="D517" s="11" t="n">
        <v>46082</v>
      </c>
      <c r="E517" s="4" t="s">
        <v>204</v>
      </c>
      <c r="F517" s="4" t="s">
        <v>209</v>
      </c>
      <c r="G517" s="4" t="n">
        <v>2</v>
      </c>
      <c r="H517" s="4" t="n">
        <v>4</v>
      </c>
      <c r="I517" s="4" t="n">
        <v>0</v>
      </c>
      <c r="J517" s="4" t="n">
        <v>58</v>
      </c>
      <c r="K517" s="4" t="n">
        <v>0</v>
      </c>
      <c r="L517" s="12" t="n">
        <v>0.172995</v>
      </c>
      <c r="M517" s="12" t="n">
        <v>0.092063</v>
      </c>
      <c r="N517" s="12" t="n">
        <v>0.141045</v>
      </c>
      <c r="O517" s="12" t="n">
        <v>0.106183</v>
      </c>
      <c r="P517" s="12" t="n">
        <v>0.151405</v>
      </c>
      <c r="Q517" s="0" t="str">
        <f aca="false">IF(L517&gt;=Models!$G$5,1+COUNTIF($L$5:$L$1517,"&gt;"&amp;L517)+COUNTIFS($L$5:$L$1517,L517,$B$5:$B$1517,"&lt;"&amp;B517)+COUNTIFS($L$5:$L$1517,L517,$B$5:$B$1517,B517,$C$5:$C$1517,"&lt;"&amp;C517),"")</f>
        <v/>
      </c>
      <c r="R517" s="0" t="str">
        <f aca="false">IF(M517&gt;=Models!$G$6,1+COUNTIF($M$5:$M$1517,"&gt;"&amp;M517)+COUNTIFS($M$5:$M$1517,M517,$B$5:$B$1517,"&lt;"&amp;B517)+COUNTIFS($M$5:$M$1517,M517,$B$5:$B$1517,B517,$C$5:$C$1517,"&lt;"&amp;C517),"")</f>
        <v/>
      </c>
      <c r="S517" s="0" t="str">
        <f aca="false">IF(N517&gt;=Models!$G$7,1+COUNTIF($N$5:$N$1517,"&gt;"&amp;N517)+COUNTIFS($N$5:$N$1517,N517,$B$5:$B$1517,"&lt;"&amp;B517)+COUNTIFS($N$5:$N$1517,N517,$B$5:$B$1517,B517,$C$5:$C$1517,"&lt;"&amp;C517),"")</f>
        <v/>
      </c>
      <c r="T517" s="8" t="n">
        <f aca="false">IF(O517&gt;=Models!$G$8,1+COUNTIF($O$5:$O$1517,"&gt;"&amp;O517)+COUNTIFS($O$5:$O$1517,O517,$B$5:$B$1517,"&lt;"&amp;B517)+COUNTIFS($O$5:$O$1517,O517,$B$5:$B$1517,B517,$C$5:$C$1517,"&lt;"&amp;C517),"")</f>
        <v>578</v>
      </c>
      <c r="U517" s="8" t="n">
        <f aca="false">IF($K517=1,COUNTIFS($L$5:$L$1517,"&gt;="&amp;L517,$K$5:$K$1517,1)/COUNTIF($L$5:$L$1517,"&gt;="&amp;L517),0)</f>
        <v>0</v>
      </c>
      <c r="V517" s="8" t="n">
        <f aca="false">IF($K517=1,COUNTIFS($M$5:$M$1517,"&gt;="&amp;M517,$K$5:$K$1517,1)/COUNTIF($M$5:$M$1517,"&gt;="&amp;M517),0)</f>
        <v>0</v>
      </c>
      <c r="W517" s="8" t="n">
        <f aca="false">IF($K517=1,COUNTIFS($N$5:$N$1517,"&gt;="&amp;N517,$K$5:$K$1517,1)/COUNTIF($N$5:$N$1517,"&gt;="&amp;N517),0)</f>
        <v>0</v>
      </c>
      <c r="X517" s="8" t="n">
        <f aca="false">IF($K517=1,COUNTIFS($O$5:$O$1517,"&gt;="&amp;O517,$K$5:$K$1517,1)/COUNTIF($O$5:$O$1517,"&gt;="&amp;O517),0)</f>
        <v>0</v>
      </c>
      <c r="Y517" s="8" t="n">
        <f aca="false">IF($K517=1,COUNTIFS($P$5:$P$1517,"&gt;="&amp;P517,$K$5:$K$1517,1)/COUNTIF($P$5:$P$1517,"&gt;="&amp;P517),0)</f>
        <v>0</v>
      </c>
      <c r="Z517" s="8" t="n">
        <f aca="false">(L517-$K517)^2</f>
        <v>0.029927270025</v>
      </c>
      <c r="AA517" s="8" t="n">
        <f aca="false">(M517-$K517)^2</f>
        <v>0.008475595969</v>
      </c>
      <c r="AB517" s="8" t="n">
        <f aca="false">(N517-$K517)^2</f>
        <v>0.019893692025</v>
      </c>
      <c r="AC517" s="8" t="n">
        <f aca="false">(O517-$K517)^2</f>
        <v>0.011274829489</v>
      </c>
      <c r="AD517" s="8" t="n">
        <f aca="false">(P517-$K517)^2</f>
        <v>0.022923474025</v>
      </c>
      <c r="AE517" s="8" t="n">
        <f aca="false">MIN(INT(ROUND(N517*1000000,0)/100000),9)</f>
        <v>1</v>
      </c>
      <c r="AF517" s="8" t="n">
        <f aca="false">MIN(INT(ROUND(P517*1000000,0)/100000),9)</f>
        <v>1</v>
      </c>
    </row>
    <row r="518" customFormat="false" ht="15" hidden="false" customHeight="false" outlineLevel="0" collapsed="false">
      <c r="A518" s="4" t="n">
        <v>514</v>
      </c>
      <c r="B518" s="4" t="n">
        <v>754</v>
      </c>
      <c r="C518" s="4" t="n">
        <v>1</v>
      </c>
      <c r="D518" s="11" t="n">
        <v>46082</v>
      </c>
      <c r="E518" s="4" t="s">
        <v>201</v>
      </c>
      <c r="F518" s="4" t="s">
        <v>209</v>
      </c>
      <c r="G518" s="4" t="n">
        <v>17</v>
      </c>
      <c r="H518" s="4" t="n">
        <v>1</v>
      </c>
      <c r="I518" s="4" t="n">
        <v>0</v>
      </c>
      <c r="J518" s="4" t="n">
        <v>26632.2</v>
      </c>
      <c r="K518" s="4" t="n">
        <v>0</v>
      </c>
      <c r="L518" s="12" t="n">
        <v>0.183336</v>
      </c>
      <c r="M518" s="12" t="n">
        <v>0.092063</v>
      </c>
      <c r="N518" s="12" t="n">
        <v>0.008799</v>
      </c>
      <c r="O518" s="12" t="n">
        <v>0.106183</v>
      </c>
      <c r="P518" s="12" t="n">
        <v>0.008326</v>
      </c>
      <c r="Q518" s="0" t="str">
        <f aca="false">IF(L518&gt;=Models!$G$5,1+COUNTIF($L$5:$L$1517,"&gt;"&amp;L518)+COUNTIFS($L$5:$L$1517,L518,$B$5:$B$1517,"&lt;"&amp;B518)+COUNTIFS($L$5:$L$1517,L518,$B$5:$B$1517,B518,$C$5:$C$1517,"&lt;"&amp;C518),"")</f>
        <v/>
      </c>
      <c r="R518" s="0" t="str">
        <f aca="false">IF(M518&gt;=Models!$G$6,1+COUNTIF($M$5:$M$1517,"&gt;"&amp;M518)+COUNTIFS($M$5:$M$1517,M518,$B$5:$B$1517,"&lt;"&amp;B518)+COUNTIFS($M$5:$M$1517,M518,$B$5:$B$1517,B518,$C$5:$C$1517,"&lt;"&amp;C518),"")</f>
        <v/>
      </c>
      <c r="S518" s="0" t="str">
        <f aca="false">IF(N518&gt;=Models!$G$7,1+COUNTIF($N$5:$N$1517,"&gt;"&amp;N518)+COUNTIFS($N$5:$N$1517,N518,$B$5:$B$1517,"&lt;"&amp;B518)+COUNTIFS($N$5:$N$1517,N518,$B$5:$B$1517,B518,$C$5:$C$1517,"&lt;"&amp;C518),"")</f>
        <v/>
      </c>
      <c r="T518" s="8" t="n">
        <f aca="false">IF(O518&gt;=Models!$G$8,1+COUNTIF($O$5:$O$1517,"&gt;"&amp;O518)+COUNTIFS($O$5:$O$1517,O518,$B$5:$B$1517,"&lt;"&amp;B518)+COUNTIFS($O$5:$O$1517,O518,$B$5:$B$1517,B518,$C$5:$C$1517,"&lt;"&amp;C518),"")</f>
        <v>582</v>
      </c>
      <c r="U518" s="8" t="n">
        <f aca="false">IF($K518=1,COUNTIFS($L$5:$L$1517,"&gt;="&amp;L518,$K$5:$K$1517,1)/COUNTIF($L$5:$L$1517,"&gt;="&amp;L518),0)</f>
        <v>0</v>
      </c>
      <c r="V518" s="8" t="n">
        <f aca="false">IF($K518=1,COUNTIFS($M$5:$M$1517,"&gt;="&amp;M518,$K$5:$K$1517,1)/COUNTIF($M$5:$M$1517,"&gt;="&amp;M518),0)</f>
        <v>0</v>
      </c>
      <c r="W518" s="8" t="n">
        <f aca="false">IF($K518=1,COUNTIFS($N$5:$N$1517,"&gt;="&amp;N518,$K$5:$K$1517,1)/COUNTIF($N$5:$N$1517,"&gt;="&amp;N518),0)</f>
        <v>0</v>
      </c>
      <c r="X518" s="8" t="n">
        <f aca="false">IF($K518=1,COUNTIFS($O$5:$O$1517,"&gt;="&amp;O518,$K$5:$K$1517,1)/COUNTIF($O$5:$O$1517,"&gt;="&amp;O518),0)</f>
        <v>0</v>
      </c>
      <c r="Y518" s="8" t="n">
        <f aca="false">IF($K518=1,COUNTIFS($P$5:$P$1517,"&gt;="&amp;P518,$K$5:$K$1517,1)/COUNTIF($P$5:$P$1517,"&gt;="&amp;P518),0)</f>
        <v>0</v>
      </c>
      <c r="Z518" s="8" t="n">
        <f aca="false">(L518-$K518)^2</f>
        <v>0.033612088896</v>
      </c>
      <c r="AA518" s="8" t="n">
        <f aca="false">(M518-$K518)^2</f>
        <v>0.008475595969</v>
      </c>
      <c r="AB518" s="8" t="n">
        <f aca="false">(N518-$K518)^2</f>
        <v>7.7422401E-005</v>
      </c>
      <c r="AC518" s="8" t="n">
        <f aca="false">(O518-$K518)^2</f>
        <v>0.011274829489</v>
      </c>
      <c r="AD518" s="8" t="n">
        <f aca="false">(P518-$K518)^2</f>
        <v>6.9322276E-005</v>
      </c>
      <c r="AE518" s="8" t="n">
        <f aca="false">MIN(INT(ROUND(N518*1000000,0)/100000),9)</f>
        <v>0</v>
      </c>
      <c r="AF518" s="8" t="n">
        <f aca="false">MIN(INT(ROUND(P518*1000000,0)/100000),9)</f>
        <v>0</v>
      </c>
    </row>
    <row r="519" customFormat="false" ht="15" hidden="false" customHeight="false" outlineLevel="0" collapsed="false">
      <c r="A519" s="4" t="n">
        <v>515</v>
      </c>
      <c r="B519" s="4" t="n">
        <v>759</v>
      </c>
      <c r="C519" s="4" t="n">
        <v>1</v>
      </c>
      <c r="D519" s="11" t="n">
        <v>46082</v>
      </c>
      <c r="E519" s="4" t="s">
        <v>202</v>
      </c>
      <c r="F519" s="4" t="s">
        <v>206</v>
      </c>
      <c r="G519" s="4" t="n">
        <v>10</v>
      </c>
      <c r="H519" s="4" t="n">
        <v>2</v>
      </c>
      <c r="I519" s="4" t="n">
        <v>0</v>
      </c>
      <c r="J519" s="4" t="n">
        <v>3029.4</v>
      </c>
      <c r="K519" s="4" t="n">
        <v>0</v>
      </c>
      <c r="L519" s="12" t="n">
        <v>0.709242</v>
      </c>
      <c r="M519" s="12" t="n">
        <v>0.092063</v>
      </c>
      <c r="N519" s="12" t="n">
        <v>0.062065</v>
      </c>
      <c r="O519" s="12" t="n">
        <v>0.106183</v>
      </c>
      <c r="P519" s="12" t="n">
        <v>0.064421</v>
      </c>
      <c r="Q519" s="0" t="str">
        <f aca="false">IF(L519&gt;=Models!$G$5,1+COUNTIF($L$5:$L$1517,"&gt;"&amp;L519)+COUNTIFS($L$5:$L$1517,L519,$B$5:$B$1517,"&lt;"&amp;B519)+COUNTIFS($L$5:$L$1517,L519,$B$5:$B$1517,B519,$C$5:$C$1517,"&lt;"&amp;C519),"")</f>
        <v/>
      </c>
      <c r="R519" s="0" t="str">
        <f aca="false">IF(M519&gt;=Models!$G$6,1+COUNTIF($M$5:$M$1517,"&gt;"&amp;M519)+COUNTIFS($M$5:$M$1517,M519,$B$5:$B$1517,"&lt;"&amp;B519)+COUNTIFS($M$5:$M$1517,M519,$B$5:$B$1517,B519,$C$5:$C$1517,"&lt;"&amp;C519),"")</f>
        <v/>
      </c>
      <c r="S519" s="0" t="str">
        <f aca="false">IF(N519&gt;=Models!$G$7,1+COUNTIF($N$5:$N$1517,"&gt;"&amp;N519)+COUNTIFS($N$5:$N$1517,N519,$B$5:$B$1517,"&lt;"&amp;B519)+COUNTIFS($N$5:$N$1517,N519,$B$5:$B$1517,B519,$C$5:$C$1517,"&lt;"&amp;C519),"")</f>
        <v/>
      </c>
      <c r="T519" s="8" t="n">
        <f aca="false">IF(O519&gt;=Models!$G$8,1+COUNTIF($O$5:$O$1517,"&gt;"&amp;O519)+COUNTIFS($O$5:$O$1517,O519,$B$5:$B$1517,"&lt;"&amp;B519)+COUNTIFS($O$5:$O$1517,O519,$B$5:$B$1517,B519,$C$5:$C$1517,"&lt;"&amp;C519),"")</f>
        <v>587</v>
      </c>
      <c r="U519" s="8" t="n">
        <f aca="false">IF($K519=1,COUNTIFS($L$5:$L$1517,"&gt;="&amp;L519,$K$5:$K$1517,1)/COUNTIF($L$5:$L$1517,"&gt;="&amp;L519),0)</f>
        <v>0</v>
      </c>
      <c r="V519" s="8" t="n">
        <f aca="false">IF($K519=1,COUNTIFS($M$5:$M$1517,"&gt;="&amp;M519,$K$5:$K$1517,1)/COUNTIF($M$5:$M$1517,"&gt;="&amp;M519),0)</f>
        <v>0</v>
      </c>
      <c r="W519" s="8" t="n">
        <f aca="false">IF($K519=1,COUNTIFS($N$5:$N$1517,"&gt;="&amp;N519,$K$5:$K$1517,1)/COUNTIF($N$5:$N$1517,"&gt;="&amp;N519),0)</f>
        <v>0</v>
      </c>
      <c r="X519" s="8" t="n">
        <f aca="false">IF($K519=1,COUNTIFS($O$5:$O$1517,"&gt;="&amp;O519,$K$5:$K$1517,1)/COUNTIF($O$5:$O$1517,"&gt;="&amp;O519),0)</f>
        <v>0</v>
      </c>
      <c r="Y519" s="8" t="n">
        <f aca="false">IF($K519=1,COUNTIFS($P$5:$P$1517,"&gt;="&amp;P519,$K$5:$K$1517,1)/COUNTIF($P$5:$P$1517,"&gt;="&amp;P519),0)</f>
        <v>0</v>
      </c>
      <c r="Z519" s="8" t="n">
        <f aca="false">(L519-$K519)^2</f>
        <v>0.503024214564</v>
      </c>
      <c r="AA519" s="8" t="n">
        <f aca="false">(M519-$K519)^2</f>
        <v>0.008475595969</v>
      </c>
      <c r="AB519" s="8" t="n">
        <f aca="false">(N519-$K519)^2</f>
        <v>0.003852064225</v>
      </c>
      <c r="AC519" s="8" t="n">
        <f aca="false">(O519-$K519)^2</f>
        <v>0.011274829489</v>
      </c>
      <c r="AD519" s="8" t="n">
        <f aca="false">(P519-$K519)^2</f>
        <v>0.004150065241</v>
      </c>
      <c r="AE519" s="8" t="n">
        <f aca="false">MIN(INT(ROUND(N519*1000000,0)/100000),9)</f>
        <v>0</v>
      </c>
      <c r="AF519" s="8" t="n">
        <f aca="false">MIN(INT(ROUND(P519*1000000,0)/100000),9)</f>
        <v>0</v>
      </c>
    </row>
    <row r="520" customFormat="false" ht="15" hidden="false" customHeight="false" outlineLevel="0" collapsed="false">
      <c r="A520" s="4" t="n">
        <v>516</v>
      </c>
      <c r="B520" s="4" t="n">
        <v>764</v>
      </c>
      <c r="C520" s="4" t="n">
        <v>1</v>
      </c>
      <c r="D520" s="11" t="n">
        <v>46082</v>
      </c>
      <c r="E520" s="4" t="s">
        <v>204</v>
      </c>
      <c r="F520" s="4" t="s">
        <v>206</v>
      </c>
      <c r="G520" s="4" t="n">
        <v>3</v>
      </c>
      <c r="H520" s="4" t="n">
        <v>1</v>
      </c>
      <c r="I520" s="4" t="n">
        <v>0</v>
      </c>
      <c r="J520" s="4" t="n">
        <v>255</v>
      </c>
      <c r="K520" s="4" t="n">
        <v>1</v>
      </c>
      <c r="L520" s="12" t="n">
        <v>0.525343</v>
      </c>
      <c r="M520" s="12" t="n">
        <v>0.092063</v>
      </c>
      <c r="N520" s="12" t="n">
        <v>0.126458</v>
      </c>
      <c r="O520" s="12" t="n">
        <v>0.106183</v>
      </c>
      <c r="P520" s="12" t="n">
        <v>0.135213</v>
      </c>
      <c r="Q520" s="0" t="str">
        <f aca="false">IF(L520&gt;=Models!$G$5,1+COUNTIF($L$5:$L$1517,"&gt;"&amp;L520)+COUNTIFS($L$5:$L$1517,L520,$B$5:$B$1517,"&lt;"&amp;B520)+COUNTIFS($L$5:$L$1517,L520,$B$5:$B$1517,B520,$C$5:$C$1517,"&lt;"&amp;C520),"")</f>
        <v/>
      </c>
      <c r="R520" s="0" t="str">
        <f aca="false">IF(M520&gt;=Models!$G$6,1+COUNTIF($M$5:$M$1517,"&gt;"&amp;M520)+COUNTIFS($M$5:$M$1517,M520,$B$5:$B$1517,"&lt;"&amp;B520)+COUNTIFS($M$5:$M$1517,M520,$B$5:$B$1517,B520,$C$5:$C$1517,"&lt;"&amp;C520),"")</f>
        <v/>
      </c>
      <c r="S520" s="0" t="str">
        <f aca="false">IF(N520&gt;=Models!$G$7,1+COUNTIF($N$5:$N$1517,"&gt;"&amp;N520)+COUNTIFS($N$5:$N$1517,N520,$B$5:$B$1517,"&lt;"&amp;B520)+COUNTIFS($N$5:$N$1517,N520,$B$5:$B$1517,B520,$C$5:$C$1517,"&lt;"&amp;C520),"")</f>
        <v/>
      </c>
      <c r="T520" s="8" t="n">
        <f aca="false">IF(O520&gt;=Models!$G$8,1+COUNTIF($O$5:$O$1517,"&gt;"&amp;O520)+COUNTIFS($O$5:$O$1517,O520,$B$5:$B$1517,"&lt;"&amp;B520)+COUNTIFS($O$5:$O$1517,O520,$B$5:$B$1517,B520,$C$5:$C$1517,"&lt;"&amp;C520),"")</f>
        <v>591</v>
      </c>
      <c r="U520" s="8" t="n">
        <f aca="false">IF($K520=1,COUNTIFS($L$5:$L$1517,"&gt;="&amp;L520,$K$5:$K$1517,1)/COUNTIF($L$5:$L$1517,"&gt;="&amp;L520),0)</f>
        <v>0.118811881188119</v>
      </c>
      <c r="V520" s="8" t="n">
        <f aca="false">IF($K520=1,COUNTIFS($M$5:$M$1517,"&gt;="&amp;M520,$K$5:$K$1517,1)/COUNTIF($M$5:$M$1517,"&gt;="&amp;M520),0)</f>
        <v>0.12491738268341</v>
      </c>
      <c r="W520" s="8" t="n">
        <f aca="false">IF($K520=1,COUNTIFS($N$5:$N$1517,"&gt;="&amp;N520,$K$5:$K$1517,1)/COUNTIF($N$5:$N$1517,"&gt;="&amp;N520),0)</f>
        <v>0.234848484848485</v>
      </c>
      <c r="X520" s="8" t="n">
        <f aca="false">IF($K520=1,COUNTIFS($O$5:$O$1517,"&gt;="&amp;O520,$K$5:$K$1517,1)/COUNTIF($O$5:$O$1517,"&gt;="&amp;O520),0)</f>
        <v>0.12491738268341</v>
      </c>
      <c r="Y520" s="8" t="n">
        <f aca="false">IF($K520=1,COUNTIFS($P$5:$P$1517,"&gt;="&amp;P520,$K$5:$K$1517,1)/COUNTIF($P$5:$P$1517,"&gt;="&amp;P520),0)</f>
        <v>0.234848484848485</v>
      </c>
      <c r="Z520" s="8" t="n">
        <f aca="false">(L520-$K520)^2</f>
        <v>0.225299267649</v>
      </c>
      <c r="AA520" s="8" t="n">
        <f aca="false">(M520-$K520)^2</f>
        <v>0.824349595969</v>
      </c>
      <c r="AB520" s="8" t="n">
        <f aca="false">(N520-$K520)^2</f>
        <v>0.763075625764</v>
      </c>
      <c r="AC520" s="8" t="n">
        <f aca="false">(O520-$K520)^2</f>
        <v>0.798908829489</v>
      </c>
      <c r="AD520" s="8" t="n">
        <f aca="false">(P520-$K520)^2</f>
        <v>0.747856555369</v>
      </c>
      <c r="AE520" s="8" t="n">
        <f aca="false">MIN(INT(ROUND(N520*1000000,0)/100000),9)</f>
        <v>1</v>
      </c>
      <c r="AF520" s="8" t="n">
        <f aca="false">MIN(INT(ROUND(P520*1000000,0)/100000),9)</f>
        <v>1</v>
      </c>
    </row>
    <row r="521" customFormat="false" ht="15" hidden="false" customHeight="false" outlineLevel="0" collapsed="false">
      <c r="A521" s="4" t="n">
        <v>517</v>
      </c>
      <c r="B521" s="4" t="n">
        <v>768</v>
      </c>
      <c r="C521" s="4" t="n">
        <v>1</v>
      </c>
      <c r="D521" s="11" t="n">
        <v>46082</v>
      </c>
      <c r="E521" s="4" t="s">
        <v>201</v>
      </c>
      <c r="F521" s="4" t="s">
        <v>207</v>
      </c>
      <c r="G521" s="4" t="n">
        <v>16</v>
      </c>
      <c r="H521" s="4" t="n">
        <v>2</v>
      </c>
      <c r="I521" s="4" t="n">
        <v>0</v>
      </c>
      <c r="J521" s="4" t="n">
        <v>22654.2</v>
      </c>
      <c r="K521" s="4" t="n">
        <v>0</v>
      </c>
      <c r="L521" s="12" t="n">
        <v>0.145954</v>
      </c>
      <c r="M521" s="12" t="n">
        <v>0.092063</v>
      </c>
      <c r="N521" s="12" t="n">
        <v>0.012188</v>
      </c>
      <c r="O521" s="12" t="n">
        <v>0.106183</v>
      </c>
      <c r="P521" s="12" t="n">
        <v>0.011714</v>
      </c>
      <c r="Q521" s="0" t="str">
        <f aca="false">IF(L521&gt;=Models!$G$5,1+COUNTIF($L$5:$L$1517,"&gt;"&amp;L521)+COUNTIFS($L$5:$L$1517,L521,$B$5:$B$1517,"&lt;"&amp;B521)+COUNTIFS($L$5:$L$1517,L521,$B$5:$B$1517,B521,$C$5:$C$1517,"&lt;"&amp;C521),"")</f>
        <v/>
      </c>
      <c r="R521" s="0" t="str">
        <f aca="false">IF(M521&gt;=Models!$G$6,1+COUNTIF($M$5:$M$1517,"&gt;"&amp;M521)+COUNTIFS($M$5:$M$1517,M521,$B$5:$B$1517,"&lt;"&amp;B521)+COUNTIFS($M$5:$M$1517,M521,$B$5:$B$1517,B521,$C$5:$C$1517,"&lt;"&amp;C521),"")</f>
        <v/>
      </c>
      <c r="S521" s="0" t="str">
        <f aca="false">IF(N521&gt;=Models!$G$7,1+COUNTIF($N$5:$N$1517,"&gt;"&amp;N521)+COUNTIFS($N$5:$N$1517,N521,$B$5:$B$1517,"&lt;"&amp;B521)+COUNTIFS($N$5:$N$1517,N521,$B$5:$B$1517,B521,$C$5:$C$1517,"&lt;"&amp;C521),"")</f>
        <v/>
      </c>
      <c r="T521" s="8" t="n">
        <f aca="false">IF(O521&gt;=Models!$G$8,1+COUNTIF($O$5:$O$1517,"&gt;"&amp;O521)+COUNTIFS($O$5:$O$1517,O521,$B$5:$B$1517,"&lt;"&amp;B521)+COUNTIFS($O$5:$O$1517,O521,$B$5:$B$1517,B521,$C$5:$C$1517,"&lt;"&amp;C521),"")</f>
        <v>593</v>
      </c>
      <c r="U521" s="8" t="n">
        <f aca="false">IF($K521=1,COUNTIFS($L$5:$L$1517,"&gt;="&amp;L521,$K$5:$K$1517,1)/COUNTIF($L$5:$L$1517,"&gt;="&amp;L521),0)</f>
        <v>0</v>
      </c>
      <c r="V521" s="8" t="n">
        <f aca="false">IF($K521=1,COUNTIFS($M$5:$M$1517,"&gt;="&amp;M521,$K$5:$K$1517,1)/COUNTIF($M$5:$M$1517,"&gt;="&amp;M521),0)</f>
        <v>0</v>
      </c>
      <c r="W521" s="8" t="n">
        <f aca="false">IF($K521=1,COUNTIFS($N$5:$N$1517,"&gt;="&amp;N521,$K$5:$K$1517,1)/COUNTIF($N$5:$N$1517,"&gt;="&amp;N521),0)</f>
        <v>0</v>
      </c>
      <c r="X521" s="8" t="n">
        <f aca="false">IF($K521=1,COUNTIFS($O$5:$O$1517,"&gt;="&amp;O521,$K$5:$K$1517,1)/COUNTIF($O$5:$O$1517,"&gt;="&amp;O521),0)</f>
        <v>0</v>
      </c>
      <c r="Y521" s="8" t="n">
        <f aca="false">IF($K521=1,COUNTIFS($P$5:$P$1517,"&gt;="&amp;P521,$K$5:$K$1517,1)/COUNTIF($P$5:$P$1517,"&gt;="&amp;P521),0)</f>
        <v>0</v>
      </c>
      <c r="Z521" s="8" t="n">
        <f aca="false">(L521-$K521)^2</f>
        <v>0.021302570116</v>
      </c>
      <c r="AA521" s="8" t="n">
        <f aca="false">(M521-$K521)^2</f>
        <v>0.008475595969</v>
      </c>
      <c r="AB521" s="8" t="n">
        <f aca="false">(N521-$K521)^2</f>
        <v>0.000148547344</v>
      </c>
      <c r="AC521" s="8" t="n">
        <f aca="false">(O521-$K521)^2</f>
        <v>0.011274829489</v>
      </c>
      <c r="AD521" s="8" t="n">
        <f aca="false">(P521-$K521)^2</f>
        <v>0.000137217796</v>
      </c>
      <c r="AE521" s="8" t="n">
        <f aca="false">MIN(INT(ROUND(N521*1000000,0)/100000),9)</f>
        <v>0</v>
      </c>
      <c r="AF521" s="8" t="n">
        <f aca="false">MIN(INT(ROUND(P521*1000000,0)/100000),9)</f>
        <v>0</v>
      </c>
    </row>
    <row r="522" customFormat="false" ht="15" hidden="false" customHeight="false" outlineLevel="0" collapsed="false">
      <c r="A522" s="4" t="n">
        <v>518</v>
      </c>
      <c r="B522" s="4" t="n">
        <v>771</v>
      </c>
      <c r="C522" s="4" t="n">
        <v>1</v>
      </c>
      <c r="D522" s="11" t="n">
        <v>46082</v>
      </c>
      <c r="E522" s="4" t="s">
        <v>202</v>
      </c>
      <c r="F522" s="4" t="s">
        <v>209</v>
      </c>
      <c r="G522" s="4" t="n">
        <v>14</v>
      </c>
      <c r="H522" s="4" t="n">
        <v>0</v>
      </c>
      <c r="I522" s="4" t="n">
        <v>0</v>
      </c>
      <c r="J522" s="4" t="n">
        <v>1116</v>
      </c>
      <c r="K522" s="4" t="n">
        <v>0</v>
      </c>
      <c r="L522" s="12" t="n">
        <v>0.401735</v>
      </c>
      <c r="M522" s="12" t="n">
        <v>0.092063</v>
      </c>
      <c r="N522" s="12" t="n">
        <v>0.048303</v>
      </c>
      <c r="O522" s="12" t="n">
        <v>0.106183</v>
      </c>
      <c r="P522" s="12" t="n">
        <v>0.049567</v>
      </c>
      <c r="Q522" s="0" t="str">
        <f aca="false">IF(L522&gt;=Models!$G$5,1+COUNTIF($L$5:$L$1517,"&gt;"&amp;L522)+COUNTIFS($L$5:$L$1517,L522,$B$5:$B$1517,"&lt;"&amp;B522)+COUNTIFS($L$5:$L$1517,L522,$B$5:$B$1517,B522,$C$5:$C$1517,"&lt;"&amp;C522),"")</f>
        <v/>
      </c>
      <c r="R522" s="0" t="str">
        <f aca="false">IF(M522&gt;=Models!$G$6,1+COUNTIF($M$5:$M$1517,"&gt;"&amp;M522)+COUNTIFS($M$5:$M$1517,M522,$B$5:$B$1517,"&lt;"&amp;B522)+COUNTIFS($M$5:$M$1517,M522,$B$5:$B$1517,B522,$C$5:$C$1517,"&lt;"&amp;C522),"")</f>
        <v/>
      </c>
      <c r="S522" s="0" t="str">
        <f aca="false">IF(N522&gt;=Models!$G$7,1+COUNTIF($N$5:$N$1517,"&gt;"&amp;N522)+COUNTIFS($N$5:$N$1517,N522,$B$5:$B$1517,"&lt;"&amp;B522)+COUNTIFS($N$5:$N$1517,N522,$B$5:$B$1517,B522,$C$5:$C$1517,"&lt;"&amp;C522),"")</f>
        <v/>
      </c>
      <c r="T522" s="8" t="n">
        <f aca="false">IF(O522&gt;=Models!$G$8,1+COUNTIF($O$5:$O$1517,"&gt;"&amp;O522)+COUNTIFS($O$5:$O$1517,O522,$B$5:$B$1517,"&lt;"&amp;B522)+COUNTIFS($O$5:$O$1517,O522,$B$5:$B$1517,B522,$C$5:$C$1517,"&lt;"&amp;C522),"")</f>
        <v>597</v>
      </c>
      <c r="U522" s="8" t="n">
        <f aca="false">IF($K522=1,COUNTIFS($L$5:$L$1517,"&gt;="&amp;L522,$K$5:$K$1517,1)/COUNTIF($L$5:$L$1517,"&gt;="&amp;L522),0)</f>
        <v>0</v>
      </c>
      <c r="V522" s="8" t="n">
        <f aca="false">IF($K522=1,COUNTIFS($M$5:$M$1517,"&gt;="&amp;M522,$K$5:$K$1517,1)/COUNTIF($M$5:$M$1517,"&gt;="&amp;M522),0)</f>
        <v>0</v>
      </c>
      <c r="W522" s="8" t="n">
        <f aca="false">IF($K522=1,COUNTIFS($N$5:$N$1517,"&gt;="&amp;N522,$K$5:$K$1517,1)/COUNTIF($N$5:$N$1517,"&gt;="&amp;N522),0)</f>
        <v>0</v>
      </c>
      <c r="X522" s="8" t="n">
        <f aca="false">IF($K522=1,COUNTIFS($O$5:$O$1517,"&gt;="&amp;O522,$K$5:$K$1517,1)/COUNTIF($O$5:$O$1517,"&gt;="&amp;O522),0)</f>
        <v>0</v>
      </c>
      <c r="Y522" s="8" t="n">
        <f aca="false">IF($K522=1,COUNTIFS($P$5:$P$1517,"&gt;="&amp;P522,$K$5:$K$1517,1)/COUNTIF($P$5:$P$1517,"&gt;="&amp;P522),0)</f>
        <v>0</v>
      </c>
      <c r="Z522" s="8" t="n">
        <f aca="false">(L522-$K522)^2</f>
        <v>0.161391010225</v>
      </c>
      <c r="AA522" s="8" t="n">
        <f aca="false">(M522-$K522)^2</f>
        <v>0.008475595969</v>
      </c>
      <c r="AB522" s="8" t="n">
        <f aca="false">(N522-$K522)^2</f>
        <v>0.002333179809</v>
      </c>
      <c r="AC522" s="8" t="n">
        <f aca="false">(O522-$K522)^2</f>
        <v>0.011274829489</v>
      </c>
      <c r="AD522" s="8" t="n">
        <f aca="false">(P522-$K522)^2</f>
        <v>0.002456887489</v>
      </c>
      <c r="AE522" s="8" t="n">
        <f aca="false">MIN(INT(ROUND(N522*1000000,0)/100000),9)</f>
        <v>0</v>
      </c>
      <c r="AF522" s="8" t="n">
        <f aca="false">MIN(INT(ROUND(P522*1000000,0)/100000),9)</f>
        <v>0</v>
      </c>
    </row>
    <row r="523" customFormat="false" ht="15" hidden="false" customHeight="false" outlineLevel="0" collapsed="false">
      <c r="A523" s="4" t="n">
        <v>519</v>
      </c>
      <c r="B523" s="4" t="n">
        <v>774</v>
      </c>
      <c r="C523" s="4" t="n">
        <v>1</v>
      </c>
      <c r="D523" s="11" t="n">
        <v>46082</v>
      </c>
      <c r="E523" s="4" t="s">
        <v>201</v>
      </c>
      <c r="F523" s="4" t="s">
        <v>207</v>
      </c>
      <c r="G523" s="4" t="n">
        <v>6</v>
      </c>
      <c r="H523" s="4" t="n">
        <v>1</v>
      </c>
      <c r="I523" s="4" t="n">
        <v>0</v>
      </c>
      <c r="J523" s="4" t="n">
        <v>29049.6</v>
      </c>
      <c r="K523" s="4" t="n">
        <v>0</v>
      </c>
      <c r="L523" s="12" t="n">
        <v>0.965329</v>
      </c>
      <c r="M523" s="12" t="n">
        <v>0.092063</v>
      </c>
      <c r="N523" s="12" t="n">
        <v>0.020338</v>
      </c>
      <c r="O523" s="12" t="n">
        <v>0.106183</v>
      </c>
      <c r="P523" s="12" t="n">
        <v>0.020034</v>
      </c>
      <c r="Q523" s="0" t="str">
        <f aca="false">IF(L523&gt;=Models!$G$5,1+COUNTIF($L$5:$L$1517,"&gt;"&amp;L523)+COUNTIFS($L$5:$L$1517,L523,$B$5:$B$1517,"&lt;"&amp;B523)+COUNTIFS($L$5:$L$1517,L523,$B$5:$B$1517,B523,$C$5:$C$1517,"&lt;"&amp;C523),"")</f>
        <v/>
      </c>
      <c r="R523" s="0" t="str">
        <f aca="false">IF(M523&gt;=Models!$G$6,1+COUNTIF($M$5:$M$1517,"&gt;"&amp;M523)+COUNTIFS($M$5:$M$1517,M523,$B$5:$B$1517,"&lt;"&amp;B523)+COUNTIFS($M$5:$M$1517,M523,$B$5:$B$1517,B523,$C$5:$C$1517,"&lt;"&amp;C523),"")</f>
        <v/>
      </c>
      <c r="S523" s="0" t="str">
        <f aca="false">IF(N523&gt;=Models!$G$7,1+COUNTIF($N$5:$N$1517,"&gt;"&amp;N523)+COUNTIFS($N$5:$N$1517,N523,$B$5:$B$1517,"&lt;"&amp;B523)+COUNTIFS($N$5:$N$1517,N523,$B$5:$B$1517,B523,$C$5:$C$1517,"&lt;"&amp;C523),"")</f>
        <v/>
      </c>
      <c r="T523" s="8" t="n">
        <f aca="false">IF(O523&gt;=Models!$G$8,1+COUNTIF($O$5:$O$1517,"&gt;"&amp;O523)+COUNTIFS($O$5:$O$1517,O523,$B$5:$B$1517,"&lt;"&amp;B523)+COUNTIFS($O$5:$O$1517,O523,$B$5:$B$1517,B523,$C$5:$C$1517,"&lt;"&amp;C523),"")</f>
        <v>602</v>
      </c>
      <c r="U523" s="8" t="n">
        <f aca="false">IF($K523=1,COUNTIFS($L$5:$L$1517,"&gt;="&amp;L523,$K$5:$K$1517,1)/COUNTIF($L$5:$L$1517,"&gt;="&amp;L523),0)</f>
        <v>0</v>
      </c>
      <c r="V523" s="8" t="n">
        <f aca="false">IF($K523=1,COUNTIFS($M$5:$M$1517,"&gt;="&amp;M523,$K$5:$K$1517,1)/COUNTIF($M$5:$M$1517,"&gt;="&amp;M523),0)</f>
        <v>0</v>
      </c>
      <c r="W523" s="8" t="n">
        <f aca="false">IF($K523=1,COUNTIFS($N$5:$N$1517,"&gt;="&amp;N523,$K$5:$K$1517,1)/COUNTIF($N$5:$N$1517,"&gt;="&amp;N523),0)</f>
        <v>0</v>
      </c>
      <c r="X523" s="8" t="n">
        <f aca="false">IF($K523=1,COUNTIFS($O$5:$O$1517,"&gt;="&amp;O523,$K$5:$K$1517,1)/COUNTIF($O$5:$O$1517,"&gt;="&amp;O523),0)</f>
        <v>0</v>
      </c>
      <c r="Y523" s="8" t="n">
        <f aca="false">IF($K523=1,COUNTIFS($P$5:$P$1517,"&gt;="&amp;P523,$K$5:$K$1517,1)/COUNTIF($P$5:$P$1517,"&gt;="&amp;P523),0)</f>
        <v>0</v>
      </c>
      <c r="Z523" s="8" t="n">
        <f aca="false">(L523-$K523)^2</f>
        <v>0.931860078241</v>
      </c>
      <c r="AA523" s="8" t="n">
        <f aca="false">(M523-$K523)^2</f>
        <v>0.008475595969</v>
      </c>
      <c r="AB523" s="8" t="n">
        <f aca="false">(N523-$K523)^2</f>
        <v>0.000413634244</v>
      </c>
      <c r="AC523" s="8" t="n">
        <f aca="false">(O523-$K523)^2</f>
        <v>0.011274829489</v>
      </c>
      <c r="AD523" s="8" t="n">
        <f aca="false">(P523-$K523)^2</f>
        <v>0.000401361156</v>
      </c>
      <c r="AE523" s="8" t="n">
        <f aca="false">MIN(INT(ROUND(N523*1000000,0)/100000),9)</f>
        <v>0</v>
      </c>
      <c r="AF523" s="8" t="n">
        <f aca="false">MIN(INT(ROUND(P523*1000000,0)/100000),9)</f>
        <v>0</v>
      </c>
    </row>
    <row r="524" customFormat="false" ht="15" hidden="false" customHeight="false" outlineLevel="0" collapsed="false">
      <c r="A524" s="4" t="n">
        <v>520</v>
      </c>
      <c r="B524" s="4" t="n">
        <v>775</v>
      </c>
      <c r="C524" s="4" t="n">
        <v>1</v>
      </c>
      <c r="D524" s="11" t="n">
        <v>46082</v>
      </c>
      <c r="E524" s="4" t="s">
        <v>203</v>
      </c>
      <c r="F524" s="4" t="s">
        <v>206</v>
      </c>
      <c r="G524" s="4" t="n">
        <v>3</v>
      </c>
      <c r="H524" s="4" t="n">
        <v>5</v>
      </c>
      <c r="I524" s="4" t="n">
        <v>0</v>
      </c>
      <c r="J524" s="4" t="n">
        <v>220.5</v>
      </c>
      <c r="K524" s="4" t="n">
        <v>0</v>
      </c>
      <c r="L524" s="12" t="n">
        <v>0.374516</v>
      </c>
      <c r="M524" s="12" t="n">
        <v>0.092063</v>
      </c>
      <c r="N524" s="12" t="n">
        <v>0.13035</v>
      </c>
      <c r="O524" s="12" t="n">
        <v>0.106183</v>
      </c>
      <c r="P524" s="12" t="n">
        <v>0.139531</v>
      </c>
      <c r="Q524" s="0" t="str">
        <f aca="false">IF(L524&gt;=Models!$G$5,1+COUNTIF($L$5:$L$1517,"&gt;"&amp;L524)+COUNTIFS($L$5:$L$1517,L524,$B$5:$B$1517,"&lt;"&amp;B524)+COUNTIFS($L$5:$L$1517,L524,$B$5:$B$1517,B524,$C$5:$C$1517,"&lt;"&amp;C524),"")</f>
        <v/>
      </c>
      <c r="R524" s="0" t="str">
        <f aca="false">IF(M524&gt;=Models!$G$6,1+COUNTIF($M$5:$M$1517,"&gt;"&amp;M524)+COUNTIFS($M$5:$M$1517,M524,$B$5:$B$1517,"&lt;"&amp;B524)+COUNTIFS($M$5:$M$1517,M524,$B$5:$B$1517,B524,$C$5:$C$1517,"&lt;"&amp;C524),"")</f>
        <v/>
      </c>
      <c r="S524" s="0" t="str">
        <f aca="false">IF(N524&gt;=Models!$G$7,1+COUNTIF($N$5:$N$1517,"&gt;"&amp;N524)+COUNTIFS($N$5:$N$1517,N524,$B$5:$B$1517,"&lt;"&amp;B524)+COUNTIFS($N$5:$N$1517,N524,$B$5:$B$1517,B524,$C$5:$C$1517,"&lt;"&amp;C524),"")</f>
        <v/>
      </c>
      <c r="T524" s="8" t="n">
        <f aca="false">IF(O524&gt;=Models!$G$8,1+COUNTIF($O$5:$O$1517,"&gt;"&amp;O524)+COUNTIFS($O$5:$O$1517,O524,$B$5:$B$1517,"&lt;"&amp;B524)+COUNTIFS($O$5:$O$1517,O524,$B$5:$B$1517,B524,$C$5:$C$1517,"&lt;"&amp;C524),"")</f>
        <v>606</v>
      </c>
      <c r="U524" s="8" t="n">
        <f aca="false">IF($K524=1,COUNTIFS($L$5:$L$1517,"&gt;="&amp;L524,$K$5:$K$1517,1)/COUNTIF($L$5:$L$1517,"&gt;="&amp;L524),0)</f>
        <v>0</v>
      </c>
      <c r="V524" s="8" t="n">
        <f aca="false">IF($K524=1,COUNTIFS($M$5:$M$1517,"&gt;="&amp;M524,$K$5:$K$1517,1)/COUNTIF($M$5:$M$1517,"&gt;="&amp;M524),0)</f>
        <v>0</v>
      </c>
      <c r="W524" s="8" t="n">
        <f aca="false">IF($K524=1,COUNTIFS($N$5:$N$1517,"&gt;="&amp;N524,$K$5:$K$1517,1)/COUNTIF($N$5:$N$1517,"&gt;="&amp;N524),0)</f>
        <v>0</v>
      </c>
      <c r="X524" s="8" t="n">
        <f aca="false">IF($K524=1,COUNTIFS($O$5:$O$1517,"&gt;="&amp;O524,$K$5:$K$1517,1)/COUNTIF($O$5:$O$1517,"&gt;="&amp;O524),0)</f>
        <v>0</v>
      </c>
      <c r="Y524" s="8" t="n">
        <f aca="false">IF($K524=1,COUNTIFS($P$5:$P$1517,"&gt;="&amp;P524,$K$5:$K$1517,1)/COUNTIF($P$5:$P$1517,"&gt;="&amp;P524),0)</f>
        <v>0</v>
      </c>
      <c r="Z524" s="8" t="n">
        <f aca="false">(L524-$K524)^2</f>
        <v>0.140262234256</v>
      </c>
      <c r="AA524" s="8" t="n">
        <f aca="false">(M524-$K524)^2</f>
        <v>0.008475595969</v>
      </c>
      <c r="AB524" s="8" t="n">
        <f aca="false">(N524-$K524)^2</f>
        <v>0.0169911225</v>
      </c>
      <c r="AC524" s="8" t="n">
        <f aca="false">(O524-$K524)^2</f>
        <v>0.011274829489</v>
      </c>
      <c r="AD524" s="8" t="n">
        <f aca="false">(P524-$K524)^2</f>
        <v>0.019468899961</v>
      </c>
      <c r="AE524" s="8" t="n">
        <f aca="false">MIN(INT(ROUND(N524*1000000,0)/100000),9)</f>
        <v>1</v>
      </c>
      <c r="AF524" s="8" t="n">
        <f aca="false">MIN(INT(ROUND(P524*1000000,0)/100000),9)</f>
        <v>1</v>
      </c>
    </row>
    <row r="525" customFormat="false" ht="15" hidden="false" customHeight="false" outlineLevel="0" collapsed="false">
      <c r="A525" s="4" t="n">
        <v>521</v>
      </c>
      <c r="B525" s="4" t="n">
        <v>784</v>
      </c>
      <c r="C525" s="4" t="n">
        <v>1</v>
      </c>
      <c r="D525" s="11" t="n">
        <v>46082</v>
      </c>
      <c r="E525" s="4" t="s">
        <v>204</v>
      </c>
      <c r="F525" s="4" t="s">
        <v>209</v>
      </c>
      <c r="G525" s="4" t="n">
        <v>3</v>
      </c>
      <c r="H525" s="4" t="n">
        <v>6</v>
      </c>
      <c r="I525" s="4" t="n">
        <v>2</v>
      </c>
      <c r="J525" s="4" t="n">
        <v>102</v>
      </c>
      <c r="K525" s="4" t="n">
        <v>0</v>
      </c>
      <c r="L525" s="12" t="n">
        <v>0.245328</v>
      </c>
      <c r="M525" s="12" t="n">
        <v>0.184211</v>
      </c>
      <c r="N525" s="12" t="n">
        <v>0.333874</v>
      </c>
      <c r="O525" s="12" t="n">
        <v>0.106183</v>
      </c>
      <c r="P525" s="12" t="n">
        <v>0.364794</v>
      </c>
      <c r="Q525" s="0" t="str">
        <f aca="false">IF(L525&gt;=Models!$G$5,1+COUNTIF($L$5:$L$1517,"&gt;"&amp;L525)+COUNTIFS($L$5:$L$1517,L525,$B$5:$B$1517,"&lt;"&amp;B525)+COUNTIFS($L$5:$L$1517,L525,$B$5:$B$1517,B525,$C$5:$C$1517,"&lt;"&amp;C525),"")</f>
        <v/>
      </c>
      <c r="R525" s="8" t="n">
        <f aca="false">IF(M525&gt;=Models!$G$6,1+COUNTIF($M$5:$M$1517,"&gt;"&amp;M525)+COUNTIFS($M$5:$M$1517,M525,$B$5:$B$1517,"&lt;"&amp;B525)+COUNTIFS($M$5:$M$1517,M525,$B$5:$B$1517,B525,$C$5:$C$1517,"&lt;"&amp;C525),"")</f>
        <v>66</v>
      </c>
      <c r="S525" s="8" t="n">
        <f aca="false">IF(N525&gt;=Models!$G$7,1+COUNTIF($N$5:$N$1517,"&gt;"&amp;N525)+COUNTIFS($N$5:$N$1517,N525,$B$5:$B$1517,"&lt;"&amp;B525)+COUNTIFS($N$5:$N$1517,N525,$B$5:$B$1517,B525,$C$5:$C$1517,"&lt;"&amp;C525),"")</f>
        <v>5</v>
      </c>
      <c r="T525" s="8" t="n">
        <f aca="false">IF(O525&gt;=Models!$G$8,1+COUNTIF($O$5:$O$1517,"&gt;"&amp;O525)+COUNTIFS($O$5:$O$1517,O525,$B$5:$B$1517,"&lt;"&amp;B525)+COUNTIFS($O$5:$O$1517,O525,$B$5:$B$1517,B525,$C$5:$C$1517,"&lt;"&amp;C525),"")</f>
        <v>610</v>
      </c>
      <c r="U525" s="8" t="n">
        <f aca="false">IF($K525=1,COUNTIFS($L$5:$L$1517,"&gt;="&amp;L525,$K$5:$K$1517,1)/COUNTIF($L$5:$L$1517,"&gt;="&amp;L525),0)</f>
        <v>0</v>
      </c>
      <c r="V525" s="8" t="n">
        <f aca="false">IF($K525=1,COUNTIFS($M$5:$M$1517,"&gt;="&amp;M525,$K$5:$K$1517,1)/COUNTIF($M$5:$M$1517,"&gt;="&amp;M525),0)</f>
        <v>0</v>
      </c>
      <c r="W525" s="8" t="n">
        <f aca="false">IF($K525=1,COUNTIFS($N$5:$N$1517,"&gt;="&amp;N525,$K$5:$K$1517,1)/COUNTIF($N$5:$N$1517,"&gt;="&amp;N525),0)</f>
        <v>0</v>
      </c>
      <c r="X525" s="8" t="n">
        <f aca="false">IF($K525=1,COUNTIFS($O$5:$O$1517,"&gt;="&amp;O525,$K$5:$K$1517,1)/COUNTIF($O$5:$O$1517,"&gt;="&amp;O525),0)</f>
        <v>0</v>
      </c>
      <c r="Y525" s="8" t="n">
        <f aca="false">IF($K525=1,COUNTIFS($P$5:$P$1517,"&gt;="&amp;P525,$K$5:$K$1517,1)/COUNTIF($P$5:$P$1517,"&gt;="&amp;P525),0)</f>
        <v>0</v>
      </c>
      <c r="Z525" s="8" t="n">
        <f aca="false">(L525-$K525)^2</f>
        <v>0.060185827584</v>
      </c>
      <c r="AA525" s="8" t="n">
        <f aca="false">(M525-$K525)^2</f>
        <v>0.033933692521</v>
      </c>
      <c r="AB525" s="8" t="n">
        <f aca="false">(N525-$K525)^2</f>
        <v>0.111471847876</v>
      </c>
      <c r="AC525" s="8" t="n">
        <f aca="false">(O525-$K525)^2</f>
        <v>0.011274829489</v>
      </c>
      <c r="AD525" s="8" t="n">
        <f aca="false">(P525-$K525)^2</f>
        <v>0.133074662436</v>
      </c>
      <c r="AE525" s="8" t="n">
        <f aca="false">MIN(INT(ROUND(N525*1000000,0)/100000),9)</f>
        <v>3</v>
      </c>
      <c r="AF525" s="8" t="n">
        <f aca="false">MIN(INT(ROUND(P525*1000000,0)/100000),9)</f>
        <v>3</v>
      </c>
    </row>
    <row r="526" customFormat="false" ht="15" hidden="false" customHeight="false" outlineLevel="0" collapsed="false">
      <c r="A526" s="4" t="n">
        <v>522</v>
      </c>
      <c r="B526" s="4" t="n">
        <v>791</v>
      </c>
      <c r="C526" s="4" t="n">
        <v>1</v>
      </c>
      <c r="D526" s="11" t="n">
        <v>46082</v>
      </c>
      <c r="E526" s="4" t="s">
        <v>204</v>
      </c>
      <c r="F526" s="4" t="s">
        <v>209</v>
      </c>
      <c r="G526" s="4" t="n">
        <v>4</v>
      </c>
      <c r="H526" s="4" t="n">
        <v>10</v>
      </c>
      <c r="I526" s="4" t="n">
        <v>0</v>
      </c>
      <c r="J526" s="4" t="n">
        <v>57</v>
      </c>
      <c r="K526" s="4" t="n">
        <v>0</v>
      </c>
      <c r="L526" s="12" t="n">
        <v>0.047627</v>
      </c>
      <c r="M526" s="12" t="n">
        <v>0.092063</v>
      </c>
      <c r="N526" s="12" t="n">
        <v>0.125934</v>
      </c>
      <c r="O526" s="12" t="n">
        <v>0.106183</v>
      </c>
      <c r="P526" s="12" t="n">
        <v>0.134633</v>
      </c>
      <c r="Q526" s="0" t="str">
        <f aca="false">IF(L526&gt;=Models!$G$5,1+COUNTIF($L$5:$L$1517,"&gt;"&amp;L526)+COUNTIFS($L$5:$L$1517,L526,$B$5:$B$1517,"&lt;"&amp;B526)+COUNTIFS($L$5:$L$1517,L526,$B$5:$B$1517,B526,$C$5:$C$1517,"&lt;"&amp;C526),"")</f>
        <v/>
      </c>
      <c r="R526" s="0" t="str">
        <f aca="false">IF(M526&gt;=Models!$G$6,1+COUNTIF($M$5:$M$1517,"&gt;"&amp;M526)+COUNTIFS($M$5:$M$1517,M526,$B$5:$B$1517,"&lt;"&amp;B526)+COUNTIFS($M$5:$M$1517,M526,$B$5:$B$1517,B526,$C$5:$C$1517,"&lt;"&amp;C526),"")</f>
        <v/>
      </c>
      <c r="S526" s="0" t="str">
        <f aca="false">IF(N526&gt;=Models!$G$7,1+COUNTIF($N$5:$N$1517,"&gt;"&amp;N526)+COUNTIFS($N$5:$N$1517,N526,$B$5:$B$1517,"&lt;"&amp;B526)+COUNTIFS($N$5:$N$1517,N526,$B$5:$B$1517,B526,$C$5:$C$1517,"&lt;"&amp;C526),"")</f>
        <v/>
      </c>
      <c r="T526" s="8" t="n">
        <f aca="false">IF(O526&gt;=Models!$G$8,1+COUNTIF($O$5:$O$1517,"&gt;"&amp;O526)+COUNTIFS($O$5:$O$1517,O526,$B$5:$B$1517,"&lt;"&amp;B526)+COUNTIFS($O$5:$O$1517,O526,$B$5:$B$1517,B526,$C$5:$C$1517,"&lt;"&amp;C526),"")</f>
        <v>614</v>
      </c>
      <c r="U526" s="8" t="n">
        <f aca="false">IF($K526=1,COUNTIFS($L$5:$L$1517,"&gt;="&amp;L526,$K$5:$K$1517,1)/COUNTIF($L$5:$L$1517,"&gt;="&amp;L526),0)</f>
        <v>0</v>
      </c>
      <c r="V526" s="8" t="n">
        <f aca="false">IF($K526=1,COUNTIFS($M$5:$M$1517,"&gt;="&amp;M526,$K$5:$K$1517,1)/COUNTIF($M$5:$M$1517,"&gt;="&amp;M526),0)</f>
        <v>0</v>
      </c>
      <c r="W526" s="8" t="n">
        <f aca="false">IF($K526=1,COUNTIFS($N$5:$N$1517,"&gt;="&amp;N526,$K$5:$K$1517,1)/COUNTIF($N$5:$N$1517,"&gt;="&amp;N526),0)</f>
        <v>0</v>
      </c>
      <c r="X526" s="8" t="n">
        <f aca="false">IF($K526=1,COUNTIFS($O$5:$O$1517,"&gt;="&amp;O526,$K$5:$K$1517,1)/COUNTIF($O$5:$O$1517,"&gt;="&amp;O526),0)</f>
        <v>0</v>
      </c>
      <c r="Y526" s="8" t="n">
        <f aca="false">IF($K526=1,COUNTIFS($P$5:$P$1517,"&gt;="&amp;P526,$K$5:$K$1517,1)/COUNTIF($P$5:$P$1517,"&gt;="&amp;P526),0)</f>
        <v>0</v>
      </c>
      <c r="Z526" s="8" t="n">
        <f aca="false">(L526-$K526)^2</f>
        <v>0.002268331129</v>
      </c>
      <c r="AA526" s="8" t="n">
        <f aca="false">(M526-$K526)^2</f>
        <v>0.008475595969</v>
      </c>
      <c r="AB526" s="8" t="n">
        <f aca="false">(N526-$K526)^2</f>
        <v>0.015859372356</v>
      </c>
      <c r="AC526" s="8" t="n">
        <f aca="false">(O526-$K526)^2</f>
        <v>0.011274829489</v>
      </c>
      <c r="AD526" s="8" t="n">
        <f aca="false">(P526-$K526)^2</f>
        <v>0.018126044689</v>
      </c>
      <c r="AE526" s="8" t="n">
        <f aca="false">MIN(INT(ROUND(N526*1000000,0)/100000),9)</f>
        <v>1</v>
      </c>
      <c r="AF526" s="8" t="n">
        <f aca="false">MIN(INT(ROUND(P526*1000000,0)/100000),9)</f>
        <v>1</v>
      </c>
    </row>
    <row r="527" customFormat="false" ht="15" hidden="false" customHeight="false" outlineLevel="0" collapsed="false">
      <c r="A527" s="4" t="n">
        <v>523</v>
      </c>
      <c r="B527" s="4" t="n">
        <v>793</v>
      </c>
      <c r="C527" s="4" t="n">
        <v>1</v>
      </c>
      <c r="D527" s="11" t="n">
        <v>46082</v>
      </c>
      <c r="E527" s="4" t="s">
        <v>204</v>
      </c>
      <c r="F527" s="4" t="s">
        <v>206</v>
      </c>
      <c r="G527" s="4" t="n">
        <v>1</v>
      </c>
      <c r="H527" s="4" t="n">
        <v>9</v>
      </c>
      <c r="I527" s="4" t="n">
        <v>0</v>
      </c>
      <c r="J527" s="4" t="n">
        <v>96</v>
      </c>
      <c r="K527" s="4" t="n">
        <v>0</v>
      </c>
      <c r="L527" s="12" t="n">
        <v>0.58687</v>
      </c>
      <c r="M527" s="12" t="n">
        <v>0.092063</v>
      </c>
      <c r="N527" s="12" t="n">
        <v>0.157377</v>
      </c>
      <c r="O527" s="12" t="n">
        <v>0.106183</v>
      </c>
      <c r="P527" s="12" t="n">
        <v>0.169562</v>
      </c>
      <c r="Q527" s="0" t="str">
        <f aca="false">IF(L527&gt;=Models!$G$5,1+COUNTIF($L$5:$L$1517,"&gt;"&amp;L527)+COUNTIFS($L$5:$L$1517,L527,$B$5:$B$1517,"&lt;"&amp;B527)+COUNTIFS($L$5:$L$1517,L527,$B$5:$B$1517,B527,$C$5:$C$1517,"&lt;"&amp;C527),"")</f>
        <v/>
      </c>
      <c r="R527" s="0" t="str">
        <f aca="false">IF(M527&gt;=Models!$G$6,1+COUNTIF($M$5:$M$1517,"&gt;"&amp;M527)+COUNTIFS($M$5:$M$1517,M527,$B$5:$B$1517,"&lt;"&amp;B527)+COUNTIFS($M$5:$M$1517,M527,$B$5:$B$1517,B527,$C$5:$C$1517,"&lt;"&amp;C527),"")</f>
        <v/>
      </c>
      <c r="S527" s="0" t="str">
        <f aca="false">IF(N527&gt;=Models!$G$7,1+COUNTIF($N$5:$N$1517,"&gt;"&amp;N527)+COUNTIFS($N$5:$N$1517,N527,$B$5:$B$1517,"&lt;"&amp;B527)+COUNTIFS($N$5:$N$1517,N527,$B$5:$B$1517,B527,$C$5:$C$1517,"&lt;"&amp;C527),"")</f>
        <v/>
      </c>
      <c r="T527" s="8" t="n">
        <f aca="false">IF(O527&gt;=Models!$G$8,1+COUNTIF($O$5:$O$1517,"&gt;"&amp;O527)+COUNTIFS($O$5:$O$1517,O527,$B$5:$B$1517,"&lt;"&amp;B527)+COUNTIFS($O$5:$O$1517,O527,$B$5:$B$1517,B527,$C$5:$C$1517,"&lt;"&amp;C527),"")</f>
        <v>618</v>
      </c>
      <c r="U527" s="8" t="n">
        <f aca="false">IF($K527=1,COUNTIFS($L$5:$L$1517,"&gt;="&amp;L527,$K$5:$K$1517,1)/COUNTIF($L$5:$L$1517,"&gt;="&amp;L527),0)</f>
        <v>0</v>
      </c>
      <c r="V527" s="8" t="n">
        <f aca="false">IF($K527=1,COUNTIFS($M$5:$M$1517,"&gt;="&amp;M527,$K$5:$K$1517,1)/COUNTIF($M$5:$M$1517,"&gt;="&amp;M527),0)</f>
        <v>0</v>
      </c>
      <c r="W527" s="8" t="n">
        <f aca="false">IF($K527=1,COUNTIFS($N$5:$N$1517,"&gt;="&amp;N527,$K$5:$K$1517,1)/COUNTIF($N$5:$N$1517,"&gt;="&amp;N527),0)</f>
        <v>0</v>
      </c>
      <c r="X527" s="8" t="n">
        <f aca="false">IF($K527=1,COUNTIFS($O$5:$O$1517,"&gt;="&amp;O527,$K$5:$K$1517,1)/COUNTIF($O$5:$O$1517,"&gt;="&amp;O527),0)</f>
        <v>0</v>
      </c>
      <c r="Y527" s="8" t="n">
        <f aca="false">IF($K527=1,COUNTIFS($P$5:$P$1517,"&gt;="&amp;P527,$K$5:$K$1517,1)/COUNTIF($P$5:$P$1517,"&gt;="&amp;P527),0)</f>
        <v>0</v>
      </c>
      <c r="Z527" s="8" t="n">
        <f aca="false">(L527-$K527)^2</f>
        <v>0.3444163969</v>
      </c>
      <c r="AA527" s="8" t="n">
        <f aca="false">(M527-$K527)^2</f>
        <v>0.008475595969</v>
      </c>
      <c r="AB527" s="8" t="n">
        <f aca="false">(N527-$K527)^2</f>
        <v>0.024767520129</v>
      </c>
      <c r="AC527" s="8" t="n">
        <f aca="false">(O527-$K527)^2</f>
        <v>0.011274829489</v>
      </c>
      <c r="AD527" s="8" t="n">
        <f aca="false">(P527-$K527)^2</f>
        <v>0.028751271844</v>
      </c>
      <c r="AE527" s="8" t="n">
        <f aca="false">MIN(INT(ROUND(N527*1000000,0)/100000),9)</f>
        <v>1</v>
      </c>
      <c r="AF527" s="8" t="n">
        <f aca="false">MIN(INT(ROUND(P527*1000000,0)/100000),9)</f>
        <v>1</v>
      </c>
    </row>
    <row r="528" customFormat="false" ht="15" hidden="false" customHeight="false" outlineLevel="0" collapsed="false">
      <c r="A528" s="4" t="n">
        <v>524</v>
      </c>
      <c r="B528" s="4" t="n">
        <v>807</v>
      </c>
      <c r="C528" s="4" t="n">
        <v>1</v>
      </c>
      <c r="D528" s="11" t="n">
        <v>46082</v>
      </c>
      <c r="E528" s="4" t="s">
        <v>203</v>
      </c>
      <c r="F528" s="4" t="s">
        <v>209</v>
      </c>
      <c r="G528" s="4" t="n">
        <v>4</v>
      </c>
      <c r="H528" s="4" t="n">
        <v>5</v>
      </c>
      <c r="I528" s="4" t="n">
        <v>0</v>
      </c>
      <c r="J528" s="4" t="n">
        <v>258</v>
      </c>
      <c r="K528" s="4" t="n">
        <v>0</v>
      </c>
      <c r="L528" s="12" t="n">
        <v>0.83888</v>
      </c>
      <c r="M528" s="12" t="n">
        <v>0.092063</v>
      </c>
      <c r="N528" s="12" t="n">
        <v>0.120253</v>
      </c>
      <c r="O528" s="12" t="n">
        <v>0.106183</v>
      </c>
      <c r="P528" s="12" t="n">
        <v>0.128336</v>
      </c>
      <c r="Q528" s="0" t="str">
        <f aca="false">IF(L528&gt;=Models!$G$5,1+COUNTIF($L$5:$L$1517,"&gt;"&amp;L528)+COUNTIFS($L$5:$L$1517,L528,$B$5:$B$1517,"&lt;"&amp;B528)+COUNTIFS($L$5:$L$1517,L528,$B$5:$B$1517,B528,$C$5:$C$1517,"&lt;"&amp;C528),"")</f>
        <v/>
      </c>
      <c r="R528" s="0" t="str">
        <f aca="false">IF(M528&gt;=Models!$G$6,1+COUNTIF($M$5:$M$1517,"&gt;"&amp;M528)+COUNTIFS($M$5:$M$1517,M528,$B$5:$B$1517,"&lt;"&amp;B528)+COUNTIFS($M$5:$M$1517,M528,$B$5:$B$1517,B528,$C$5:$C$1517,"&lt;"&amp;C528),"")</f>
        <v/>
      </c>
      <c r="S528" s="0" t="str">
        <f aca="false">IF(N528&gt;=Models!$G$7,1+COUNTIF($N$5:$N$1517,"&gt;"&amp;N528)+COUNTIFS($N$5:$N$1517,N528,$B$5:$B$1517,"&lt;"&amp;B528)+COUNTIFS($N$5:$N$1517,N528,$B$5:$B$1517,B528,$C$5:$C$1517,"&lt;"&amp;C528),"")</f>
        <v/>
      </c>
      <c r="T528" s="8" t="n">
        <f aca="false">IF(O528&gt;=Models!$G$8,1+COUNTIF($O$5:$O$1517,"&gt;"&amp;O528)+COUNTIFS($O$5:$O$1517,O528,$B$5:$B$1517,"&lt;"&amp;B528)+COUNTIFS($O$5:$O$1517,O528,$B$5:$B$1517,B528,$C$5:$C$1517,"&lt;"&amp;C528),"")</f>
        <v>622</v>
      </c>
      <c r="U528" s="8" t="n">
        <f aca="false">IF($K528=1,COUNTIFS($L$5:$L$1517,"&gt;="&amp;L528,$K$5:$K$1517,1)/COUNTIF($L$5:$L$1517,"&gt;="&amp;L528),0)</f>
        <v>0</v>
      </c>
      <c r="V528" s="8" t="n">
        <f aca="false">IF($K528=1,COUNTIFS($M$5:$M$1517,"&gt;="&amp;M528,$K$5:$K$1517,1)/COUNTIF($M$5:$M$1517,"&gt;="&amp;M528),0)</f>
        <v>0</v>
      </c>
      <c r="W528" s="8" t="n">
        <f aca="false">IF($K528=1,COUNTIFS($N$5:$N$1517,"&gt;="&amp;N528,$K$5:$K$1517,1)/COUNTIF($N$5:$N$1517,"&gt;="&amp;N528),0)</f>
        <v>0</v>
      </c>
      <c r="X528" s="8" t="n">
        <f aca="false">IF($K528=1,COUNTIFS($O$5:$O$1517,"&gt;="&amp;O528,$K$5:$K$1517,1)/COUNTIF($O$5:$O$1517,"&gt;="&amp;O528),0)</f>
        <v>0</v>
      </c>
      <c r="Y528" s="8" t="n">
        <f aca="false">IF($K528=1,COUNTIFS($P$5:$P$1517,"&gt;="&amp;P528,$K$5:$K$1517,1)/COUNTIF($P$5:$P$1517,"&gt;="&amp;P528),0)</f>
        <v>0</v>
      </c>
      <c r="Z528" s="8" t="n">
        <f aca="false">(L528-$K528)^2</f>
        <v>0.7037196544</v>
      </c>
      <c r="AA528" s="8" t="n">
        <f aca="false">(M528-$K528)^2</f>
        <v>0.008475595969</v>
      </c>
      <c r="AB528" s="8" t="n">
        <f aca="false">(N528-$K528)^2</f>
        <v>0.014460784009</v>
      </c>
      <c r="AC528" s="8" t="n">
        <f aca="false">(O528-$K528)^2</f>
        <v>0.011274829489</v>
      </c>
      <c r="AD528" s="8" t="n">
        <f aca="false">(P528-$K528)^2</f>
        <v>0.016470128896</v>
      </c>
      <c r="AE528" s="8" t="n">
        <f aca="false">MIN(INT(ROUND(N528*1000000,0)/100000),9)</f>
        <v>1</v>
      </c>
      <c r="AF528" s="8" t="n">
        <f aca="false">MIN(INT(ROUND(P528*1000000,0)/100000),9)</f>
        <v>1</v>
      </c>
    </row>
    <row r="529" customFormat="false" ht="15" hidden="false" customHeight="false" outlineLevel="0" collapsed="false">
      <c r="A529" s="4" t="n">
        <v>525</v>
      </c>
      <c r="B529" s="4" t="n">
        <v>808</v>
      </c>
      <c r="C529" s="4" t="n">
        <v>1</v>
      </c>
      <c r="D529" s="11" t="n">
        <v>46082</v>
      </c>
      <c r="E529" s="4" t="s">
        <v>202</v>
      </c>
      <c r="F529" s="4" t="s">
        <v>206</v>
      </c>
      <c r="G529" s="4" t="n">
        <v>12</v>
      </c>
      <c r="H529" s="4" t="n">
        <v>2</v>
      </c>
      <c r="I529" s="4" t="n">
        <v>0</v>
      </c>
      <c r="J529" s="4" t="n">
        <v>1002</v>
      </c>
      <c r="K529" s="4" t="n">
        <v>0</v>
      </c>
      <c r="L529" s="12" t="n">
        <v>0.492606</v>
      </c>
      <c r="M529" s="12" t="n">
        <v>0.092063</v>
      </c>
      <c r="N529" s="12" t="n">
        <v>0.058538</v>
      </c>
      <c r="O529" s="12" t="n">
        <v>0.106183</v>
      </c>
      <c r="P529" s="12" t="n">
        <v>0.0606</v>
      </c>
      <c r="Q529" s="0" t="str">
        <f aca="false">IF(L529&gt;=Models!$G$5,1+COUNTIF($L$5:$L$1517,"&gt;"&amp;L529)+COUNTIFS($L$5:$L$1517,L529,$B$5:$B$1517,"&lt;"&amp;B529)+COUNTIFS($L$5:$L$1517,L529,$B$5:$B$1517,B529,$C$5:$C$1517,"&lt;"&amp;C529),"")</f>
        <v/>
      </c>
      <c r="R529" s="0" t="str">
        <f aca="false">IF(M529&gt;=Models!$G$6,1+COUNTIF($M$5:$M$1517,"&gt;"&amp;M529)+COUNTIFS($M$5:$M$1517,M529,$B$5:$B$1517,"&lt;"&amp;B529)+COUNTIFS($M$5:$M$1517,M529,$B$5:$B$1517,B529,$C$5:$C$1517,"&lt;"&amp;C529),"")</f>
        <v/>
      </c>
      <c r="S529" s="0" t="str">
        <f aca="false">IF(N529&gt;=Models!$G$7,1+COUNTIF($N$5:$N$1517,"&gt;"&amp;N529)+COUNTIFS($N$5:$N$1517,N529,$B$5:$B$1517,"&lt;"&amp;B529)+COUNTIFS($N$5:$N$1517,N529,$B$5:$B$1517,B529,$C$5:$C$1517,"&lt;"&amp;C529),"")</f>
        <v/>
      </c>
      <c r="T529" s="8" t="n">
        <f aca="false">IF(O529&gt;=Models!$G$8,1+COUNTIF($O$5:$O$1517,"&gt;"&amp;O529)+COUNTIFS($O$5:$O$1517,O529,$B$5:$B$1517,"&lt;"&amp;B529)+COUNTIFS($O$5:$O$1517,O529,$B$5:$B$1517,B529,$C$5:$C$1517,"&lt;"&amp;C529),"")</f>
        <v>626</v>
      </c>
      <c r="U529" s="8" t="n">
        <f aca="false">IF($K529=1,COUNTIFS($L$5:$L$1517,"&gt;="&amp;L529,$K$5:$K$1517,1)/COUNTIF($L$5:$L$1517,"&gt;="&amp;L529),0)</f>
        <v>0</v>
      </c>
      <c r="V529" s="8" t="n">
        <f aca="false">IF($K529=1,COUNTIFS($M$5:$M$1517,"&gt;="&amp;M529,$K$5:$K$1517,1)/COUNTIF($M$5:$M$1517,"&gt;="&amp;M529),0)</f>
        <v>0</v>
      </c>
      <c r="W529" s="8" t="n">
        <f aca="false">IF($K529=1,COUNTIFS($N$5:$N$1517,"&gt;="&amp;N529,$K$5:$K$1517,1)/COUNTIF($N$5:$N$1517,"&gt;="&amp;N529),0)</f>
        <v>0</v>
      </c>
      <c r="X529" s="8" t="n">
        <f aca="false">IF($K529=1,COUNTIFS($O$5:$O$1517,"&gt;="&amp;O529,$K$5:$K$1517,1)/COUNTIF($O$5:$O$1517,"&gt;="&amp;O529),0)</f>
        <v>0</v>
      </c>
      <c r="Y529" s="8" t="n">
        <f aca="false">IF($K529=1,COUNTIFS($P$5:$P$1517,"&gt;="&amp;P529,$K$5:$K$1517,1)/COUNTIF($P$5:$P$1517,"&gt;="&amp;P529),0)</f>
        <v>0</v>
      </c>
      <c r="Z529" s="8" t="n">
        <f aca="false">(L529-$K529)^2</f>
        <v>0.242660671236</v>
      </c>
      <c r="AA529" s="8" t="n">
        <f aca="false">(M529-$K529)^2</f>
        <v>0.008475595969</v>
      </c>
      <c r="AB529" s="8" t="n">
        <f aca="false">(N529-$K529)^2</f>
        <v>0.003426697444</v>
      </c>
      <c r="AC529" s="8" t="n">
        <f aca="false">(O529-$K529)^2</f>
        <v>0.011274829489</v>
      </c>
      <c r="AD529" s="8" t="n">
        <f aca="false">(P529-$K529)^2</f>
        <v>0.00367236</v>
      </c>
      <c r="AE529" s="8" t="n">
        <f aca="false">MIN(INT(ROUND(N529*1000000,0)/100000),9)</f>
        <v>0</v>
      </c>
      <c r="AF529" s="8" t="n">
        <f aca="false">MIN(INT(ROUND(P529*1000000,0)/100000),9)</f>
        <v>0</v>
      </c>
    </row>
    <row r="530" customFormat="false" ht="15" hidden="false" customHeight="false" outlineLevel="0" collapsed="false">
      <c r="A530" s="4" t="n">
        <v>526</v>
      </c>
      <c r="B530" s="4" t="n">
        <v>809</v>
      </c>
      <c r="C530" s="4" t="n">
        <v>1</v>
      </c>
      <c r="D530" s="11" t="n">
        <v>46082</v>
      </c>
      <c r="E530" s="4" t="s">
        <v>204</v>
      </c>
      <c r="F530" s="4" t="s">
        <v>207</v>
      </c>
      <c r="G530" s="4" t="n">
        <v>0</v>
      </c>
      <c r="H530" s="4" t="n">
        <v>32</v>
      </c>
      <c r="I530" s="4" t="n">
        <v>0</v>
      </c>
      <c r="J530" s="4" t="n">
        <v>35</v>
      </c>
      <c r="K530" s="4" t="n">
        <v>1</v>
      </c>
      <c r="L530" s="12" t="n">
        <v>0.4609</v>
      </c>
      <c r="M530" s="12" t="n">
        <v>0.184211</v>
      </c>
      <c r="N530" s="12" t="n">
        <v>0.198474</v>
      </c>
      <c r="O530" s="12" t="n">
        <v>0.106183</v>
      </c>
      <c r="P530" s="12" t="n">
        <v>0.215294</v>
      </c>
      <c r="Q530" s="0" t="str">
        <f aca="false">IF(L530&gt;=Models!$G$5,1+COUNTIF($L$5:$L$1517,"&gt;"&amp;L530)+COUNTIFS($L$5:$L$1517,L530,$B$5:$B$1517,"&lt;"&amp;B530)+COUNTIFS($L$5:$L$1517,L530,$B$5:$B$1517,B530,$C$5:$C$1517,"&lt;"&amp;C530),"")</f>
        <v/>
      </c>
      <c r="R530" s="8" t="n">
        <f aca="false">IF(M530&gt;=Models!$G$6,1+COUNTIF($M$5:$M$1517,"&gt;"&amp;M530)+COUNTIFS($M$5:$M$1517,M530,$B$5:$B$1517,"&lt;"&amp;B530)+COUNTIFS($M$5:$M$1517,M530,$B$5:$B$1517,B530,$C$5:$C$1517,"&lt;"&amp;C530),"")</f>
        <v>69</v>
      </c>
      <c r="S530" s="0" t="str">
        <f aca="false">IF(N530&gt;=Models!$G$7,1+COUNTIF($N$5:$N$1517,"&gt;"&amp;N530)+COUNTIFS($N$5:$N$1517,N530,$B$5:$B$1517,"&lt;"&amp;B530)+COUNTIFS($N$5:$N$1517,N530,$B$5:$B$1517,B530,$C$5:$C$1517,"&lt;"&amp;C530),"")</f>
        <v/>
      </c>
      <c r="T530" s="8" t="n">
        <f aca="false">IF(O530&gt;=Models!$G$8,1+COUNTIF($O$5:$O$1517,"&gt;"&amp;O530)+COUNTIFS($O$5:$O$1517,O530,$B$5:$B$1517,"&lt;"&amp;B530)+COUNTIFS($O$5:$O$1517,O530,$B$5:$B$1517,B530,$C$5:$C$1517,"&lt;"&amp;C530),"")</f>
        <v>630</v>
      </c>
      <c r="U530" s="8" t="n">
        <f aca="false">IF($K530=1,COUNTIFS($L$5:$L$1517,"&gt;="&amp;L530,$K$5:$K$1517,1)/COUNTIF($L$5:$L$1517,"&gt;="&amp;L530),0)</f>
        <v>0.123915737298637</v>
      </c>
      <c r="V530" s="8" t="n">
        <f aca="false">IF($K530=1,COUNTIFS($M$5:$M$1517,"&gt;="&amp;M530,$K$5:$K$1517,1)/COUNTIF($M$5:$M$1517,"&gt;="&amp;M530),0)</f>
        <v>0.186528497409326</v>
      </c>
      <c r="W530" s="8" t="n">
        <f aca="false">IF($K530=1,COUNTIFS($N$5:$N$1517,"&gt;="&amp;N530,$K$5:$K$1517,1)/COUNTIF($N$5:$N$1517,"&gt;="&amp;N530),0)</f>
        <v>0.26984126984127</v>
      </c>
      <c r="X530" s="8" t="n">
        <f aca="false">IF($K530=1,COUNTIFS($O$5:$O$1517,"&gt;="&amp;O530,$K$5:$K$1517,1)/COUNTIF($O$5:$O$1517,"&gt;="&amp;O530),0)</f>
        <v>0.12491738268341</v>
      </c>
      <c r="Y530" s="8" t="n">
        <f aca="false">IF($K530=1,COUNTIFS($P$5:$P$1517,"&gt;="&amp;P530,$K$5:$K$1517,1)/COUNTIF($P$5:$P$1517,"&gt;="&amp;P530),0)</f>
        <v>0.26984126984127</v>
      </c>
      <c r="Z530" s="8" t="n">
        <f aca="false">(L530-$K530)^2</f>
        <v>0.29062881</v>
      </c>
      <c r="AA530" s="8" t="n">
        <f aca="false">(M530-$K530)^2</f>
        <v>0.665511692521</v>
      </c>
      <c r="AB530" s="8" t="n">
        <f aca="false">(N530-$K530)^2</f>
        <v>0.642443928676</v>
      </c>
      <c r="AC530" s="8" t="n">
        <f aca="false">(O530-$K530)^2</f>
        <v>0.798908829489</v>
      </c>
      <c r="AD530" s="8" t="n">
        <f aca="false">(P530-$K530)^2</f>
        <v>0.615763506436</v>
      </c>
      <c r="AE530" s="8" t="n">
        <f aca="false">MIN(INT(ROUND(N530*1000000,0)/100000),9)</f>
        <v>1</v>
      </c>
      <c r="AF530" s="8" t="n">
        <f aca="false">MIN(INT(ROUND(P530*1000000,0)/100000),9)</f>
        <v>2</v>
      </c>
    </row>
    <row r="531" customFormat="false" ht="15" hidden="false" customHeight="false" outlineLevel="0" collapsed="false">
      <c r="A531" s="4" t="n">
        <v>527</v>
      </c>
      <c r="B531" s="4" t="n">
        <v>813</v>
      </c>
      <c r="C531" s="4" t="n">
        <v>1</v>
      </c>
      <c r="D531" s="11" t="n">
        <v>46082</v>
      </c>
      <c r="E531" s="4" t="s">
        <v>203</v>
      </c>
      <c r="F531" s="4" t="s">
        <v>208</v>
      </c>
      <c r="G531" s="4" t="n">
        <v>4</v>
      </c>
      <c r="H531" s="4" t="n">
        <v>0</v>
      </c>
      <c r="I531" s="4" t="n">
        <v>0</v>
      </c>
      <c r="J531" s="4" t="n">
        <v>378</v>
      </c>
      <c r="K531" s="4" t="n">
        <v>0</v>
      </c>
      <c r="L531" s="12" t="n">
        <v>0.26831</v>
      </c>
      <c r="M531" s="12" t="n">
        <v>0.092063</v>
      </c>
      <c r="N531" s="12" t="n">
        <v>0.115272</v>
      </c>
      <c r="O531" s="12" t="n">
        <v>0.106183</v>
      </c>
      <c r="P531" s="12" t="n">
        <v>0.122822</v>
      </c>
      <c r="Q531" s="0" t="str">
        <f aca="false">IF(L531&gt;=Models!$G$5,1+COUNTIF($L$5:$L$1517,"&gt;"&amp;L531)+COUNTIFS($L$5:$L$1517,L531,$B$5:$B$1517,"&lt;"&amp;B531)+COUNTIFS($L$5:$L$1517,L531,$B$5:$B$1517,B531,$C$5:$C$1517,"&lt;"&amp;C531),"")</f>
        <v/>
      </c>
      <c r="R531" s="0" t="str">
        <f aca="false">IF(M531&gt;=Models!$G$6,1+COUNTIF($M$5:$M$1517,"&gt;"&amp;M531)+COUNTIFS($M$5:$M$1517,M531,$B$5:$B$1517,"&lt;"&amp;B531)+COUNTIFS($M$5:$M$1517,M531,$B$5:$B$1517,B531,$C$5:$C$1517,"&lt;"&amp;C531),"")</f>
        <v/>
      </c>
      <c r="S531" s="0" t="str">
        <f aca="false">IF(N531&gt;=Models!$G$7,1+COUNTIF($N$5:$N$1517,"&gt;"&amp;N531)+COUNTIFS($N$5:$N$1517,N531,$B$5:$B$1517,"&lt;"&amp;B531)+COUNTIFS($N$5:$N$1517,N531,$B$5:$B$1517,B531,$C$5:$C$1517,"&lt;"&amp;C531),"")</f>
        <v/>
      </c>
      <c r="T531" s="8" t="n">
        <f aca="false">IF(O531&gt;=Models!$G$8,1+COUNTIF($O$5:$O$1517,"&gt;"&amp;O531)+COUNTIFS($O$5:$O$1517,O531,$B$5:$B$1517,"&lt;"&amp;B531)+COUNTIFS($O$5:$O$1517,O531,$B$5:$B$1517,B531,$C$5:$C$1517,"&lt;"&amp;C531),"")</f>
        <v>634</v>
      </c>
      <c r="U531" s="8" t="n">
        <f aca="false">IF($K531=1,COUNTIFS($L$5:$L$1517,"&gt;="&amp;L531,$K$5:$K$1517,1)/COUNTIF($L$5:$L$1517,"&gt;="&amp;L531),0)</f>
        <v>0</v>
      </c>
      <c r="V531" s="8" t="n">
        <f aca="false">IF($K531=1,COUNTIFS($M$5:$M$1517,"&gt;="&amp;M531,$K$5:$K$1517,1)/COUNTIF($M$5:$M$1517,"&gt;="&amp;M531),0)</f>
        <v>0</v>
      </c>
      <c r="W531" s="8" t="n">
        <f aca="false">IF($K531=1,COUNTIFS($N$5:$N$1517,"&gt;="&amp;N531,$K$5:$K$1517,1)/COUNTIF($N$5:$N$1517,"&gt;="&amp;N531),0)</f>
        <v>0</v>
      </c>
      <c r="X531" s="8" t="n">
        <f aca="false">IF($K531=1,COUNTIFS($O$5:$O$1517,"&gt;="&amp;O531,$K$5:$K$1517,1)/COUNTIF($O$5:$O$1517,"&gt;="&amp;O531),0)</f>
        <v>0</v>
      </c>
      <c r="Y531" s="8" t="n">
        <f aca="false">IF($K531=1,COUNTIFS($P$5:$P$1517,"&gt;="&amp;P531,$K$5:$K$1517,1)/COUNTIF($P$5:$P$1517,"&gt;="&amp;P531),0)</f>
        <v>0</v>
      </c>
      <c r="Z531" s="8" t="n">
        <f aca="false">(L531-$K531)^2</f>
        <v>0.0719902561</v>
      </c>
      <c r="AA531" s="8" t="n">
        <f aca="false">(M531-$K531)^2</f>
        <v>0.008475595969</v>
      </c>
      <c r="AB531" s="8" t="n">
        <f aca="false">(N531-$K531)^2</f>
        <v>0.013287633984</v>
      </c>
      <c r="AC531" s="8" t="n">
        <f aca="false">(O531-$K531)^2</f>
        <v>0.011274829489</v>
      </c>
      <c r="AD531" s="8" t="n">
        <f aca="false">(P531-$K531)^2</f>
        <v>0.015085243684</v>
      </c>
      <c r="AE531" s="8" t="n">
        <f aca="false">MIN(INT(ROUND(N531*1000000,0)/100000),9)</f>
        <v>1</v>
      </c>
      <c r="AF531" s="8" t="n">
        <f aca="false">MIN(INT(ROUND(P531*1000000,0)/100000),9)</f>
        <v>1</v>
      </c>
    </row>
    <row r="532" customFormat="false" ht="15" hidden="false" customHeight="false" outlineLevel="0" collapsed="false">
      <c r="A532" s="4" t="n">
        <v>528</v>
      </c>
      <c r="B532" s="4" t="n">
        <v>814</v>
      </c>
      <c r="C532" s="4" t="n">
        <v>1</v>
      </c>
      <c r="D532" s="11" t="n">
        <v>46082</v>
      </c>
      <c r="E532" s="4" t="s">
        <v>201</v>
      </c>
      <c r="F532" s="4" t="s">
        <v>209</v>
      </c>
      <c r="G532" s="4" t="n">
        <v>12</v>
      </c>
      <c r="H532" s="4" t="n">
        <v>0</v>
      </c>
      <c r="I532" s="4" t="n">
        <v>0</v>
      </c>
      <c r="J532" s="4" t="n">
        <v>28723.2</v>
      </c>
      <c r="K532" s="4" t="n">
        <v>0</v>
      </c>
      <c r="L532" s="12" t="n">
        <v>0.189564</v>
      </c>
      <c r="M532" s="12" t="n">
        <v>0.092063</v>
      </c>
      <c r="N532" s="12" t="n">
        <v>0.012081</v>
      </c>
      <c r="O532" s="12" t="n">
        <v>0.106183</v>
      </c>
      <c r="P532" s="12" t="n">
        <v>0.011607</v>
      </c>
      <c r="Q532" s="0" t="str">
        <f aca="false">IF(L532&gt;=Models!$G$5,1+COUNTIF($L$5:$L$1517,"&gt;"&amp;L532)+COUNTIFS($L$5:$L$1517,L532,$B$5:$B$1517,"&lt;"&amp;B532)+COUNTIFS($L$5:$L$1517,L532,$B$5:$B$1517,B532,$C$5:$C$1517,"&lt;"&amp;C532),"")</f>
        <v/>
      </c>
      <c r="R532" s="0" t="str">
        <f aca="false">IF(M532&gt;=Models!$G$6,1+COUNTIF($M$5:$M$1517,"&gt;"&amp;M532)+COUNTIFS($M$5:$M$1517,M532,$B$5:$B$1517,"&lt;"&amp;B532)+COUNTIFS($M$5:$M$1517,M532,$B$5:$B$1517,B532,$C$5:$C$1517,"&lt;"&amp;C532),"")</f>
        <v/>
      </c>
      <c r="S532" s="0" t="str">
        <f aca="false">IF(N532&gt;=Models!$G$7,1+COUNTIF($N$5:$N$1517,"&gt;"&amp;N532)+COUNTIFS($N$5:$N$1517,N532,$B$5:$B$1517,"&lt;"&amp;B532)+COUNTIFS($N$5:$N$1517,N532,$B$5:$B$1517,B532,$C$5:$C$1517,"&lt;"&amp;C532),"")</f>
        <v/>
      </c>
      <c r="T532" s="8" t="n">
        <f aca="false">IF(O532&gt;=Models!$G$8,1+COUNTIF($O$5:$O$1517,"&gt;"&amp;O532)+COUNTIFS($O$5:$O$1517,O532,$B$5:$B$1517,"&lt;"&amp;B532)+COUNTIFS($O$5:$O$1517,O532,$B$5:$B$1517,B532,$C$5:$C$1517,"&lt;"&amp;C532),"")</f>
        <v>638</v>
      </c>
      <c r="U532" s="8" t="n">
        <f aca="false">IF($K532=1,COUNTIFS($L$5:$L$1517,"&gt;="&amp;L532,$K$5:$K$1517,1)/COUNTIF($L$5:$L$1517,"&gt;="&amp;L532),0)</f>
        <v>0</v>
      </c>
      <c r="V532" s="8" t="n">
        <f aca="false">IF($K532=1,COUNTIFS($M$5:$M$1517,"&gt;="&amp;M532,$K$5:$K$1517,1)/COUNTIF($M$5:$M$1517,"&gt;="&amp;M532),0)</f>
        <v>0</v>
      </c>
      <c r="W532" s="8" t="n">
        <f aca="false">IF($K532=1,COUNTIFS($N$5:$N$1517,"&gt;="&amp;N532,$K$5:$K$1517,1)/COUNTIF($N$5:$N$1517,"&gt;="&amp;N532),0)</f>
        <v>0</v>
      </c>
      <c r="X532" s="8" t="n">
        <f aca="false">IF($K532=1,COUNTIFS($O$5:$O$1517,"&gt;="&amp;O532,$K$5:$K$1517,1)/COUNTIF($O$5:$O$1517,"&gt;="&amp;O532),0)</f>
        <v>0</v>
      </c>
      <c r="Y532" s="8" t="n">
        <f aca="false">IF($K532=1,COUNTIFS($P$5:$P$1517,"&gt;="&amp;P532,$K$5:$K$1517,1)/COUNTIF($P$5:$P$1517,"&gt;="&amp;P532),0)</f>
        <v>0</v>
      </c>
      <c r="Z532" s="8" t="n">
        <f aca="false">(L532-$K532)^2</f>
        <v>0.035934510096</v>
      </c>
      <c r="AA532" s="8" t="n">
        <f aca="false">(M532-$K532)^2</f>
        <v>0.008475595969</v>
      </c>
      <c r="AB532" s="8" t="n">
        <f aca="false">(N532-$K532)^2</f>
        <v>0.000145950561</v>
      </c>
      <c r="AC532" s="8" t="n">
        <f aca="false">(O532-$K532)^2</f>
        <v>0.011274829489</v>
      </c>
      <c r="AD532" s="8" t="n">
        <f aca="false">(P532-$K532)^2</f>
        <v>0.000134722449</v>
      </c>
      <c r="AE532" s="8" t="n">
        <f aca="false">MIN(INT(ROUND(N532*1000000,0)/100000),9)</f>
        <v>0</v>
      </c>
      <c r="AF532" s="8" t="n">
        <f aca="false">MIN(INT(ROUND(P532*1000000,0)/100000),9)</f>
        <v>0</v>
      </c>
    </row>
    <row r="533" customFormat="false" ht="15" hidden="false" customHeight="false" outlineLevel="0" collapsed="false">
      <c r="A533" s="4" t="n">
        <v>529</v>
      </c>
      <c r="B533" s="4" t="n">
        <v>818</v>
      </c>
      <c r="C533" s="4" t="n">
        <v>1</v>
      </c>
      <c r="D533" s="11" t="n">
        <v>46082</v>
      </c>
      <c r="E533" s="4" t="s">
        <v>204</v>
      </c>
      <c r="F533" s="4" t="s">
        <v>209</v>
      </c>
      <c r="G533" s="4" t="n">
        <v>4</v>
      </c>
      <c r="H533" s="4" t="n">
        <v>0</v>
      </c>
      <c r="I533" s="4" t="n">
        <v>0</v>
      </c>
      <c r="J533" s="4" t="n">
        <v>214.2</v>
      </c>
      <c r="K533" s="4" t="n">
        <v>0</v>
      </c>
      <c r="L533" s="12" t="n">
        <v>0.095102</v>
      </c>
      <c r="M533" s="12" t="n">
        <v>0.092063</v>
      </c>
      <c r="N533" s="12" t="n">
        <v>0.116246</v>
      </c>
      <c r="O533" s="12" t="n">
        <v>0.106183</v>
      </c>
      <c r="P533" s="12" t="n">
        <v>0.1239</v>
      </c>
      <c r="Q533" s="0" t="str">
        <f aca="false">IF(L533&gt;=Models!$G$5,1+COUNTIF($L$5:$L$1517,"&gt;"&amp;L533)+COUNTIFS($L$5:$L$1517,L533,$B$5:$B$1517,"&lt;"&amp;B533)+COUNTIFS($L$5:$L$1517,L533,$B$5:$B$1517,B533,$C$5:$C$1517,"&lt;"&amp;C533),"")</f>
        <v/>
      </c>
      <c r="R533" s="0" t="str">
        <f aca="false">IF(M533&gt;=Models!$G$6,1+COUNTIF($M$5:$M$1517,"&gt;"&amp;M533)+COUNTIFS($M$5:$M$1517,M533,$B$5:$B$1517,"&lt;"&amp;B533)+COUNTIFS($M$5:$M$1517,M533,$B$5:$B$1517,B533,$C$5:$C$1517,"&lt;"&amp;C533),"")</f>
        <v/>
      </c>
      <c r="S533" s="0" t="str">
        <f aca="false">IF(N533&gt;=Models!$G$7,1+COUNTIF($N$5:$N$1517,"&gt;"&amp;N533)+COUNTIFS($N$5:$N$1517,N533,$B$5:$B$1517,"&lt;"&amp;B533)+COUNTIFS($N$5:$N$1517,N533,$B$5:$B$1517,B533,$C$5:$C$1517,"&lt;"&amp;C533),"")</f>
        <v/>
      </c>
      <c r="T533" s="8" t="n">
        <f aca="false">IF(O533&gt;=Models!$G$8,1+COUNTIF($O$5:$O$1517,"&gt;"&amp;O533)+COUNTIFS($O$5:$O$1517,O533,$B$5:$B$1517,"&lt;"&amp;B533)+COUNTIFS($O$5:$O$1517,O533,$B$5:$B$1517,B533,$C$5:$C$1517,"&lt;"&amp;C533),"")</f>
        <v>642</v>
      </c>
      <c r="U533" s="8" t="n">
        <f aca="false">IF($K533=1,COUNTIFS($L$5:$L$1517,"&gt;="&amp;L533,$K$5:$K$1517,1)/COUNTIF($L$5:$L$1517,"&gt;="&amp;L533),0)</f>
        <v>0</v>
      </c>
      <c r="V533" s="8" t="n">
        <f aca="false">IF($K533=1,COUNTIFS($M$5:$M$1517,"&gt;="&amp;M533,$K$5:$K$1517,1)/COUNTIF($M$5:$M$1517,"&gt;="&amp;M533),0)</f>
        <v>0</v>
      </c>
      <c r="W533" s="8" t="n">
        <f aca="false">IF($K533=1,COUNTIFS($N$5:$N$1517,"&gt;="&amp;N533,$K$5:$K$1517,1)/COUNTIF($N$5:$N$1517,"&gt;="&amp;N533),0)</f>
        <v>0</v>
      </c>
      <c r="X533" s="8" t="n">
        <f aca="false">IF($K533=1,COUNTIFS($O$5:$O$1517,"&gt;="&amp;O533,$K$5:$K$1517,1)/COUNTIF($O$5:$O$1517,"&gt;="&amp;O533),0)</f>
        <v>0</v>
      </c>
      <c r="Y533" s="8" t="n">
        <f aca="false">IF($K533=1,COUNTIFS($P$5:$P$1517,"&gt;="&amp;P533,$K$5:$K$1517,1)/COUNTIF($P$5:$P$1517,"&gt;="&amp;P533),0)</f>
        <v>0</v>
      </c>
      <c r="Z533" s="8" t="n">
        <f aca="false">(L533-$K533)^2</f>
        <v>0.009044390404</v>
      </c>
      <c r="AA533" s="8" t="n">
        <f aca="false">(M533-$K533)^2</f>
        <v>0.008475595969</v>
      </c>
      <c r="AB533" s="8" t="n">
        <f aca="false">(N533-$K533)^2</f>
        <v>0.013513132516</v>
      </c>
      <c r="AC533" s="8" t="n">
        <f aca="false">(O533-$K533)^2</f>
        <v>0.011274829489</v>
      </c>
      <c r="AD533" s="8" t="n">
        <f aca="false">(P533-$K533)^2</f>
        <v>0.01535121</v>
      </c>
      <c r="AE533" s="8" t="n">
        <f aca="false">MIN(INT(ROUND(N533*1000000,0)/100000),9)</f>
        <v>1</v>
      </c>
      <c r="AF533" s="8" t="n">
        <f aca="false">MIN(INT(ROUND(P533*1000000,0)/100000),9)</f>
        <v>1</v>
      </c>
    </row>
    <row r="534" customFormat="false" ht="15" hidden="false" customHeight="false" outlineLevel="0" collapsed="false">
      <c r="A534" s="4" t="n">
        <v>530</v>
      </c>
      <c r="B534" s="4" t="n">
        <v>820</v>
      </c>
      <c r="C534" s="4" t="n">
        <v>1</v>
      </c>
      <c r="D534" s="11" t="n">
        <v>46082</v>
      </c>
      <c r="E534" s="4" t="s">
        <v>204</v>
      </c>
      <c r="F534" s="4" t="s">
        <v>206</v>
      </c>
      <c r="G534" s="4" t="n">
        <v>2</v>
      </c>
      <c r="H534" s="4" t="n">
        <v>7</v>
      </c>
      <c r="I534" s="4" t="n">
        <v>0</v>
      </c>
      <c r="J534" s="4" t="n">
        <v>102</v>
      </c>
      <c r="K534" s="4" t="n">
        <v>0</v>
      </c>
      <c r="L534" s="12" t="n">
        <v>0.669382</v>
      </c>
      <c r="M534" s="12" t="n">
        <v>0.092063</v>
      </c>
      <c r="N534" s="12" t="n">
        <v>0.143735</v>
      </c>
      <c r="O534" s="12" t="n">
        <v>0.106183</v>
      </c>
      <c r="P534" s="12" t="n">
        <v>0.154394</v>
      </c>
      <c r="Q534" s="0" t="str">
        <f aca="false">IF(L534&gt;=Models!$G$5,1+COUNTIF($L$5:$L$1517,"&gt;"&amp;L534)+COUNTIFS($L$5:$L$1517,L534,$B$5:$B$1517,"&lt;"&amp;B534)+COUNTIFS($L$5:$L$1517,L534,$B$5:$B$1517,B534,$C$5:$C$1517,"&lt;"&amp;C534),"")</f>
        <v/>
      </c>
      <c r="R534" s="0" t="str">
        <f aca="false">IF(M534&gt;=Models!$G$6,1+COUNTIF($M$5:$M$1517,"&gt;"&amp;M534)+COUNTIFS($M$5:$M$1517,M534,$B$5:$B$1517,"&lt;"&amp;B534)+COUNTIFS($M$5:$M$1517,M534,$B$5:$B$1517,B534,$C$5:$C$1517,"&lt;"&amp;C534),"")</f>
        <v/>
      </c>
      <c r="S534" s="0" t="str">
        <f aca="false">IF(N534&gt;=Models!$G$7,1+COUNTIF($N$5:$N$1517,"&gt;"&amp;N534)+COUNTIFS($N$5:$N$1517,N534,$B$5:$B$1517,"&lt;"&amp;B534)+COUNTIFS($N$5:$N$1517,N534,$B$5:$B$1517,B534,$C$5:$C$1517,"&lt;"&amp;C534),"")</f>
        <v/>
      </c>
      <c r="T534" s="8" t="n">
        <f aca="false">IF(O534&gt;=Models!$G$8,1+COUNTIF($O$5:$O$1517,"&gt;"&amp;O534)+COUNTIFS($O$5:$O$1517,O534,$B$5:$B$1517,"&lt;"&amp;B534)+COUNTIFS($O$5:$O$1517,O534,$B$5:$B$1517,B534,$C$5:$C$1517,"&lt;"&amp;C534),"")</f>
        <v>646</v>
      </c>
      <c r="U534" s="8" t="n">
        <f aca="false">IF($K534=1,COUNTIFS($L$5:$L$1517,"&gt;="&amp;L534,$K$5:$K$1517,1)/COUNTIF($L$5:$L$1517,"&gt;="&amp;L534),0)</f>
        <v>0</v>
      </c>
      <c r="V534" s="8" t="n">
        <f aca="false">IF($K534=1,COUNTIFS($M$5:$M$1517,"&gt;="&amp;M534,$K$5:$K$1517,1)/COUNTIF($M$5:$M$1517,"&gt;="&amp;M534),0)</f>
        <v>0</v>
      </c>
      <c r="W534" s="8" t="n">
        <f aca="false">IF($K534=1,COUNTIFS($N$5:$N$1517,"&gt;="&amp;N534,$K$5:$K$1517,1)/COUNTIF($N$5:$N$1517,"&gt;="&amp;N534),0)</f>
        <v>0</v>
      </c>
      <c r="X534" s="8" t="n">
        <f aca="false">IF($K534=1,COUNTIFS($O$5:$O$1517,"&gt;="&amp;O534,$K$5:$K$1517,1)/COUNTIF($O$5:$O$1517,"&gt;="&amp;O534),0)</f>
        <v>0</v>
      </c>
      <c r="Y534" s="8" t="n">
        <f aca="false">IF($K534=1,COUNTIFS($P$5:$P$1517,"&gt;="&amp;P534,$K$5:$K$1517,1)/COUNTIF($P$5:$P$1517,"&gt;="&amp;P534),0)</f>
        <v>0</v>
      </c>
      <c r="Z534" s="8" t="n">
        <f aca="false">(L534-$K534)^2</f>
        <v>0.448072261924</v>
      </c>
      <c r="AA534" s="8" t="n">
        <f aca="false">(M534-$K534)^2</f>
        <v>0.008475595969</v>
      </c>
      <c r="AB534" s="8" t="n">
        <f aca="false">(N534-$K534)^2</f>
        <v>0.020659750225</v>
      </c>
      <c r="AC534" s="8" t="n">
        <f aca="false">(O534-$K534)^2</f>
        <v>0.011274829489</v>
      </c>
      <c r="AD534" s="8" t="n">
        <f aca="false">(P534-$K534)^2</f>
        <v>0.023837507236</v>
      </c>
      <c r="AE534" s="8" t="n">
        <f aca="false">MIN(INT(ROUND(N534*1000000,0)/100000),9)</f>
        <v>1</v>
      </c>
      <c r="AF534" s="8" t="n">
        <f aca="false">MIN(INT(ROUND(P534*1000000,0)/100000),9)</f>
        <v>1</v>
      </c>
    </row>
    <row r="535" customFormat="false" ht="15" hidden="false" customHeight="false" outlineLevel="0" collapsed="false">
      <c r="A535" s="4" t="n">
        <v>531</v>
      </c>
      <c r="B535" s="4" t="n">
        <v>830</v>
      </c>
      <c r="C535" s="4" t="n">
        <v>1</v>
      </c>
      <c r="D535" s="11" t="n">
        <v>46082</v>
      </c>
      <c r="E535" s="4" t="s">
        <v>203</v>
      </c>
      <c r="F535" s="4" t="s">
        <v>207</v>
      </c>
      <c r="G535" s="4" t="n">
        <v>6</v>
      </c>
      <c r="H535" s="4" t="n">
        <v>3</v>
      </c>
      <c r="I535" s="4" t="n">
        <v>1</v>
      </c>
      <c r="J535" s="4" t="n">
        <v>399</v>
      </c>
      <c r="K535" s="4" t="n">
        <v>0</v>
      </c>
      <c r="L535" s="12" t="n">
        <v>0.608695</v>
      </c>
      <c r="M535" s="12" t="n">
        <v>0.184211</v>
      </c>
      <c r="N535" s="12" t="n">
        <v>0.168183</v>
      </c>
      <c r="O535" s="12" t="n">
        <v>0.106183</v>
      </c>
      <c r="P535" s="12" t="n">
        <v>0.181585</v>
      </c>
      <c r="Q535" s="0" t="str">
        <f aca="false">IF(L535&gt;=Models!$G$5,1+COUNTIF($L$5:$L$1517,"&gt;"&amp;L535)+COUNTIFS($L$5:$L$1517,L535,$B$5:$B$1517,"&lt;"&amp;B535)+COUNTIFS($L$5:$L$1517,L535,$B$5:$B$1517,B535,$C$5:$C$1517,"&lt;"&amp;C535),"")</f>
        <v/>
      </c>
      <c r="R535" s="8" t="n">
        <f aca="false">IF(M535&gt;=Models!$G$6,1+COUNTIF($M$5:$M$1517,"&gt;"&amp;M535)+COUNTIFS($M$5:$M$1517,M535,$B$5:$B$1517,"&lt;"&amp;B535)+COUNTIFS($M$5:$M$1517,M535,$B$5:$B$1517,B535,$C$5:$C$1517,"&lt;"&amp;C535),"")</f>
        <v>71</v>
      </c>
      <c r="S535" s="0" t="str">
        <f aca="false">IF(N535&gt;=Models!$G$7,1+COUNTIF($N$5:$N$1517,"&gt;"&amp;N535)+COUNTIFS($N$5:$N$1517,N535,$B$5:$B$1517,"&lt;"&amp;B535)+COUNTIFS($N$5:$N$1517,N535,$B$5:$B$1517,B535,$C$5:$C$1517,"&lt;"&amp;C535),"")</f>
        <v/>
      </c>
      <c r="T535" s="8" t="n">
        <f aca="false">IF(O535&gt;=Models!$G$8,1+COUNTIF($O$5:$O$1517,"&gt;"&amp;O535)+COUNTIFS($O$5:$O$1517,O535,$B$5:$B$1517,"&lt;"&amp;B535)+COUNTIFS($O$5:$O$1517,O535,$B$5:$B$1517,B535,$C$5:$C$1517,"&lt;"&amp;C535),"")</f>
        <v>651</v>
      </c>
      <c r="U535" s="8" t="n">
        <f aca="false">IF($K535=1,COUNTIFS($L$5:$L$1517,"&gt;="&amp;L535,$K$5:$K$1517,1)/COUNTIF($L$5:$L$1517,"&gt;="&amp;L535),0)</f>
        <v>0</v>
      </c>
      <c r="V535" s="8" t="n">
        <f aca="false">IF($K535=1,COUNTIFS($M$5:$M$1517,"&gt;="&amp;M535,$K$5:$K$1517,1)/COUNTIF($M$5:$M$1517,"&gt;="&amp;M535),0)</f>
        <v>0</v>
      </c>
      <c r="W535" s="8" t="n">
        <f aca="false">IF($K535=1,COUNTIFS($N$5:$N$1517,"&gt;="&amp;N535,$K$5:$K$1517,1)/COUNTIF($N$5:$N$1517,"&gt;="&amp;N535),0)</f>
        <v>0</v>
      </c>
      <c r="X535" s="8" t="n">
        <f aca="false">IF($K535=1,COUNTIFS($O$5:$O$1517,"&gt;="&amp;O535,$K$5:$K$1517,1)/COUNTIF($O$5:$O$1517,"&gt;="&amp;O535),0)</f>
        <v>0</v>
      </c>
      <c r="Y535" s="8" t="n">
        <f aca="false">IF($K535=1,COUNTIFS($P$5:$P$1517,"&gt;="&amp;P535,$K$5:$K$1517,1)/COUNTIF($P$5:$P$1517,"&gt;="&amp;P535),0)</f>
        <v>0</v>
      </c>
      <c r="Z535" s="8" t="n">
        <f aca="false">(L535-$K535)^2</f>
        <v>0.370509603025</v>
      </c>
      <c r="AA535" s="8" t="n">
        <f aca="false">(M535-$K535)^2</f>
        <v>0.033933692521</v>
      </c>
      <c r="AB535" s="8" t="n">
        <f aca="false">(N535-$K535)^2</f>
        <v>0.028285521489</v>
      </c>
      <c r="AC535" s="8" t="n">
        <f aca="false">(O535-$K535)^2</f>
        <v>0.011274829489</v>
      </c>
      <c r="AD535" s="8" t="n">
        <f aca="false">(P535-$K535)^2</f>
        <v>0.032973112225</v>
      </c>
      <c r="AE535" s="8" t="n">
        <f aca="false">MIN(INT(ROUND(N535*1000000,0)/100000),9)</f>
        <v>1</v>
      </c>
      <c r="AF535" s="8" t="n">
        <f aca="false">MIN(INT(ROUND(P535*1000000,0)/100000),9)</f>
        <v>1</v>
      </c>
    </row>
    <row r="536" customFormat="false" ht="15" hidden="false" customHeight="false" outlineLevel="0" collapsed="false">
      <c r="A536" s="4" t="n">
        <v>532</v>
      </c>
      <c r="B536" s="4" t="n">
        <v>835</v>
      </c>
      <c r="C536" s="4" t="n">
        <v>1</v>
      </c>
      <c r="D536" s="11" t="n">
        <v>46082</v>
      </c>
      <c r="E536" s="4" t="s">
        <v>202</v>
      </c>
      <c r="F536" s="4" t="s">
        <v>209</v>
      </c>
      <c r="G536" s="4" t="n">
        <v>6</v>
      </c>
      <c r="H536" s="4" t="n">
        <v>8</v>
      </c>
      <c r="I536" s="4" t="n">
        <v>0</v>
      </c>
      <c r="J536" s="4" t="n">
        <v>1041</v>
      </c>
      <c r="K536" s="4" t="n">
        <v>1</v>
      </c>
      <c r="L536" s="12" t="n">
        <v>0.695348</v>
      </c>
      <c r="M536" s="12" t="n">
        <v>0.092063</v>
      </c>
      <c r="N536" s="12" t="n">
        <v>0.10057</v>
      </c>
      <c r="O536" s="12" t="n">
        <v>0.106183</v>
      </c>
      <c r="P536" s="12" t="n">
        <v>0.106579</v>
      </c>
      <c r="Q536" s="0" t="str">
        <f aca="false">IF(L536&gt;=Models!$G$5,1+COUNTIF($L$5:$L$1517,"&gt;"&amp;L536)+COUNTIFS($L$5:$L$1517,L536,$B$5:$B$1517,"&lt;"&amp;B536)+COUNTIFS($L$5:$L$1517,L536,$B$5:$B$1517,B536,$C$5:$C$1517,"&lt;"&amp;C536),"")</f>
        <v/>
      </c>
      <c r="R536" s="0" t="str">
        <f aca="false">IF(M536&gt;=Models!$G$6,1+COUNTIF($M$5:$M$1517,"&gt;"&amp;M536)+COUNTIFS($M$5:$M$1517,M536,$B$5:$B$1517,"&lt;"&amp;B536)+COUNTIFS($M$5:$M$1517,M536,$B$5:$B$1517,B536,$C$5:$C$1517,"&lt;"&amp;C536),"")</f>
        <v/>
      </c>
      <c r="S536" s="0" t="str">
        <f aca="false">IF(N536&gt;=Models!$G$7,1+COUNTIF($N$5:$N$1517,"&gt;"&amp;N536)+COUNTIFS($N$5:$N$1517,N536,$B$5:$B$1517,"&lt;"&amp;B536)+COUNTIFS($N$5:$N$1517,N536,$B$5:$B$1517,B536,$C$5:$C$1517,"&lt;"&amp;C536),"")</f>
        <v/>
      </c>
      <c r="T536" s="8" t="n">
        <f aca="false">IF(O536&gt;=Models!$G$8,1+COUNTIF($O$5:$O$1517,"&gt;"&amp;O536)+COUNTIFS($O$5:$O$1517,O536,$B$5:$B$1517,"&lt;"&amp;B536)+COUNTIFS($O$5:$O$1517,O536,$B$5:$B$1517,B536,$C$5:$C$1517,"&lt;"&amp;C536),"")</f>
        <v>655</v>
      </c>
      <c r="U536" s="8" t="n">
        <f aca="false">IF($K536=1,COUNTIFS($L$5:$L$1517,"&gt;="&amp;L536,$K$5:$K$1517,1)/COUNTIF($L$5:$L$1517,"&gt;="&amp;L536),0)</f>
        <v>0.12751677852349</v>
      </c>
      <c r="V536" s="8" t="n">
        <f aca="false">IF($K536=1,COUNTIFS($M$5:$M$1517,"&gt;="&amp;M536,$K$5:$K$1517,1)/COUNTIF($M$5:$M$1517,"&gt;="&amp;M536),0)</f>
        <v>0.12491738268341</v>
      </c>
      <c r="W536" s="8" t="n">
        <f aca="false">IF($K536=1,COUNTIFS($N$5:$N$1517,"&gt;="&amp;N536,$K$5:$K$1517,1)/COUNTIF($N$5:$N$1517,"&gt;="&amp;N536),0)</f>
        <v>0.191860465116279</v>
      </c>
      <c r="X536" s="8" t="n">
        <f aca="false">IF($K536=1,COUNTIFS($O$5:$O$1517,"&gt;="&amp;O536,$K$5:$K$1517,1)/COUNTIF($O$5:$O$1517,"&gt;="&amp;O536),0)</f>
        <v>0.12491738268341</v>
      </c>
      <c r="Y536" s="8" t="n">
        <f aca="false">IF($K536=1,COUNTIFS($P$5:$P$1517,"&gt;="&amp;P536,$K$5:$K$1517,1)/COUNTIF($P$5:$P$1517,"&gt;="&amp;P536),0)</f>
        <v>0.191860465116279</v>
      </c>
      <c r="Z536" s="8" t="n">
        <f aca="false">(L536-$K536)^2</f>
        <v>0.092812841104</v>
      </c>
      <c r="AA536" s="8" t="n">
        <f aca="false">(M536-$K536)^2</f>
        <v>0.824349595969</v>
      </c>
      <c r="AB536" s="8" t="n">
        <f aca="false">(N536-$K536)^2</f>
        <v>0.8089743249</v>
      </c>
      <c r="AC536" s="8" t="n">
        <f aca="false">(O536-$K536)^2</f>
        <v>0.798908829489</v>
      </c>
      <c r="AD536" s="8" t="n">
        <f aca="false">(P536-$K536)^2</f>
        <v>0.798201083241</v>
      </c>
      <c r="AE536" s="8" t="n">
        <f aca="false">MIN(INT(ROUND(N536*1000000,0)/100000),9)</f>
        <v>1</v>
      </c>
      <c r="AF536" s="8" t="n">
        <f aca="false">MIN(INT(ROUND(P536*1000000,0)/100000),9)</f>
        <v>1</v>
      </c>
    </row>
    <row r="537" customFormat="false" ht="15" hidden="false" customHeight="false" outlineLevel="0" collapsed="false">
      <c r="A537" s="4" t="n">
        <v>533</v>
      </c>
      <c r="B537" s="4" t="n">
        <v>844</v>
      </c>
      <c r="C537" s="4" t="n">
        <v>1</v>
      </c>
      <c r="D537" s="11" t="n">
        <v>46082</v>
      </c>
      <c r="E537" s="4" t="s">
        <v>201</v>
      </c>
      <c r="F537" s="4" t="s">
        <v>208</v>
      </c>
      <c r="G537" s="4" t="n">
        <v>12</v>
      </c>
      <c r="H537" s="4" t="n">
        <v>1</v>
      </c>
      <c r="I537" s="4" t="n">
        <v>0</v>
      </c>
      <c r="J537" s="4" t="n">
        <v>18339.6</v>
      </c>
      <c r="K537" s="4" t="n">
        <v>0</v>
      </c>
      <c r="L537" s="12" t="n">
        <v>0.738564</v>
      </c>
      <c r="M537" s="12" t="n">
        <v>0.092063</v>
      </c>
      <c r="N537" s="12" t="n">
        <v>0.022037</v>
      </c>
      <c r="O537" s="12" t="n">
        <v>0.106183</v>
      </c>
      <c r="P537" s="12" t="n">
        <v>0.021791</v>
      </c>
      <c r="Q537" s="0" t="str">
        <f aca="false">IF(L537&gt;=Models!$G$5,1+COUNTIF($L$5:$L$1517,"&gt;"&amp;L537)+COUNTIFS($L$5:$L$1517,L537,$B$5:$B$1517,"&lt;"&amp;B537)+COUNTIFS($L$5:$L$1517,L537,$B$5:$B$1517,B537,$C$5:$C$1517,"&lt;"&amp;C537),"")</f>
        <v/>
      </c>
      <c r="R537" s="0" t="str">
        <f aca="false">IF(M537&gt;=Models!$G$6,1+COUNTIF($M$5:$M$1517,"&gt;"&amp;M537)+COUNTIFS($M$5:$M$1517,M537,$B$5:$B$1517,"&lt;"&amp;B537)+COUNTIFS($M$5:$M$1517,M537,$B$5:$B$1517,B537,$C$5:$C$1517,"&lt;"&amp;C537),"")</f>
        <v/>
      </c>
      <c r="S537" s="0" t="str">
        <f aca="false">IF(N537&gt;=Models!$G$7,1+COUNTIF($N$5:$N$1517,"&gt;"&amp;N537)+COUNTIFS($N$5:$N$1517,N537,$B$5:$B$1517,"&lt;"&amp;B537)+COUNTIFS($N$5:$N$1517,N537,$B$5:$B$1517,B537,$C$5:$C$1517,"&lt;"&amp;C537),"")</f>
        <v/>
      </c>
      <c r="T537" s="8" t="n">
        <f aca="false">IF(O537&gt;=Models!$G$8,1+COUNTIF($O$5:$O$1517,"&gt;"&amp;O537)+COUNTIFS($O$5:$O$1517,O537,$B$5:$B$1517,"&lt;"&amp;B537)+COUNTIFS($O$5:$O$1517,O537,$B$5:$B$1517,B537,$C$5:$C$1517,"&lt;"&amp;C537),"")</f>
        <v>658</v>
      </c>
      <c r="U537" s="8" t="n">
        <f aca="false">IF($K537=1,COUNTIFS($L$5:$L$1517,"&gt;="&amp;L537,$K$5:$K$1517,1)/COUNTIF($L$5:$L$1517,"&gt;="&amp;L537),0)</f>
        <v>0</v>
      </c>
      <c r="V537" s="8" t="n">
        <f aca="false">IF($K537=1,COUNTIFS($M$5:$M$1517,"&gt;="&amp;M537,$K$5:$K$1517,1)/COUNTIF($M$5:$M$1517,"&gt;="&amp;M537),0)</f>
        <v>0</v>
      </c>
      <c r="W537" s="8" t="n">
        <f aca="false">IF($K537=1,COUNTIFS($N$5:$N$1517,"&gt;="&amp;N537,$K$5:$K$1517,1)/COUNTIF($N$5:$N$1517,"&gt;="&amp;N537),0)</f>
        <v>0</v>
      </c>
      <c r="X537" s="8" t="n">
        <f aca="false">IF($K537=1,COUNTIFS($O$5:$O$1517,"&gt;="&amp;O537,$K$5:$K$1517,1)/COUNTIF($O$5:$O$1517,"&gt;="&amp;O537),0)</f>
        <v>0</v>
      </c>
      <c r="Y537" s="8" t="n">
        <f aca="false">IF($K537=1,COUNTIFS($P$5:$P$1517,"&gt;="&amp;P537,$K$5:$K$1517,1)/COUNTIF($P$5:$P$1517,"&gt;="&amp;P537),0)</f>
        <v>0</v>
      </c>
      <c r="Z537" s="8" t="n">
        <f aca="false">(L537-$K537)^2</f>
        <v>0.545476782096</v>
      </c>
      <c r="AA537" s="8" t="n">
        <f aca="false">(M537-$K537)^2</f>
        <v>0.008475595969</v>
      </c>
      <c r="AB537" s="8" t="n">
        <f aca="false">(N537-$K537)^2</f>
        <v>0.000485629369</v>
      </c>
      <c r="AC537" s="8" t="n">
        <f aca="false">(O537-$K537)^2</f>
        <v>0.011274829489</v>
      </c>
      <c r="AD537" s="8" t="n">
        <f aca="false">(P537-$K537)^2</f>
        <v>0.000474847681</v>
      </c>
      <c r="AE537" s="8" t="n">
        <f aca="false">MIN(INT(ROUND(N537*1000000,0)/100000),9)</f>
        <v>0</v>
      </c>
      <c r="AF537" s="8" t="n">
        <f aca="false">MIN(INT(ROUND(P537*1000000,0)/100000),9)</f>
        <v>0</v>
      </c>
    </row>
    <row r="538" customFormat="false" ht="15" hidden="false" customHeight="false" outlineLevel="0" collapsed="false">
      <c r="A538" s="4" t="n">
        <v>534</v>
      </c>
      <c r="B538" s="4" t="n">
        <v>859</v>
      </c>
      <c r="C538" s="4" t="n">
        <v>1</v>
      </c>
      <c r="D538" s="11" t="n">
        <v>46082</v>
      </c>
      <c r="E538" s="4" t="s">
        <v>204</v>
      </c>
      <c r="F538" s="4" t="s">
        <v>206</v>
      </c>
      <c r="G538" s="4" t="n">
        <v>2</v>
      </c>
      <c r="H538" s="4" t="n">
        <v>4</v>
      </c>
      <c r="I538" s="4" t="n">
        <v>0</v>
      </c>
      <c r="J538" s="4" t="n">
        <v>397.8</v>
      </c>
      <c r="K538" s="4" t="n">
        <v>0</v>
      </c>
      <c r="L538" s="12" t="n">
        <v>0.682126</v>
      </c>
      <c r="M538" s="12" t="n">
        <v>0.092063</v>
      </c>
      <c r="N538" s="12" t="n">
        <v>0.138672</v>
      </c>
      <c r="O538" s="12" t="n">
        <v>0.106183</v>
      </c>
      <c r="P538" s="12" t="n">
        <v>0.148769</v>
      </c>
      <c r="Q538" s="0" t="str">
        <f aca="false">IF(L538&gt;=Models!$G$5,1+COUNTIF($L$5:$L$1517,"&gt;"&amp;L538)+COUNTIFS($L$5:$L$1517,L538,$B$5:$B$1517,"&lt;"&amp;B538)+COUNTIFS($L$5:$L$1517,L538,$B$5:$B$1517,B538,$C$5:$C$1517,"&lt;"&amp;C538),"")</f>
        <v/>
      </c>
      <c r="R538" s="0" t="str">
        <f aca="false">IF(M538&gt;=Models!$G$6,1+COUNTIF($M$5:$M$1517,"&gt;"&amp;M538)+COUNTIFS($M$5:$M$1517,M538,$B$5:$B$1517,"&lt;"&amp;B538)+COUNTIFS($M$5:$M$1517,M538,$B$5:$B$1517,B538,$C$5:$C$1517,"&lt;"&amp;C538),"")</f>
        <v/>
      </c>
      <c r="S538" s="0" t="str">
        <f aca="false">IF(N538&gt;=Models!$G$7,1+COUNTIF($N$5:$N$1517,"&gt;"&amp;N538)+COUNTIFS($N$5:$N$1517,N538,$B$5:$B$1517,"&lt;"&amp;B538)+COUNTIFS($N$5:$N$1517,N538,$B$5:$B$1517,B538,$C$5:$C$1517,"&lt;"&amp;C538),"")</f>
        <v/>
      </c>
      <c r="T538" s="8" t="n">
        <f aca="false">IF(O538&gt;=Models!$G$8,1+COUNTIF($O$5:$O$1517,"&gt;"&amp;O538)+COUNTIFS($O$5:$O$1517,O538,$B$5:$B$1517,"&lt;"&amp;B538)+COUNTIFS($O$5:$O$1517,O538,$B$5:$B$1517,B538,$C$5:$C$1517,"&lt;"&amp;C538),"")</f>
        <v>662</v>
      </c>
      <c r="U538" s="8" t="n">
        <f aca="false">IF($K538=1,COUNTIFS($L$5:$L$1517,"&gt;="&amp;L538,$K$5:$K$1517,1)/COUNTIF($L$5:$L$1517,"&gt;="&amp;L538),0)</f>
        <v>0</v>
      </c>
      <c r="V538" s="8" t="n">
        <f aca="false">IF($K538=1,COUNTIFS($M$5:$M$1517,"&gt;="&amp;M538,$K$5:$K$1517,1)/COUNTIF($M$5:$M$1517,"&gt;="&amp;M538),0)</f>
        <v>0</v>
      </c>
      <c r="W538" s="8" t="n">
        <f aca="false">IF($K538=1,COUNTIFS($N$5:$N$1517,"&gt;="&amp;N538,$K$5:$K$1517,1)/COUNTIF($N$5:$N$1517,"&gt;="&amp;N538),0)</f>
        <v>0</v>
      </c>
      <c r="X538" s="8" t="n">
        <f aca="false">IF($K538=1,COUNTIFS($O$5:$O$1517,"&gt;="&amp;O538,$K$5:$K$1517,1)/COUNTIF($O$5:$O$1517,"&gt;="&amp;O538),0)</f>
        <v>0</v>
      </c>
      <c r="Y538" s="8" t="n">
        <f aca="false">IF($K538=1,COUNTIFS($P$5:$P$1517,"&gt;="&amp;P538,$K$5:$K$1517,1)/COUNTIF($P$5:$P$1517,"&gt;="&amp;P538),0)</f>
        <v>0</v>
      </c>
      <c r="Z538" s="8" t="n">
        <f aca="false">(L538-$K538)^2</f>
        <v>0.465295879876</v>
      </c>
      <c r="AA538" s="8" t="n">
        <f aca="false">(M538-$K538)^2</f>
        <v>0.008475595969</v>
      </c>
      <c r="AB538" s="8" t="n">
        <f aca="false">(N538-$K538)^2</f>
        <v>0.019229923584</v>
      </c>
      <c r="AC538" s="8" t="n">
        <f aca="false">(O538-$K538)^2</f>
        <v>0.011274829489</v>
      </c>
      <c r="AD538" s="8" t="n">
        <f aca="false">(P538-$K538)^2</f>
        <v>0.022132215361</v>
      </c>
      <c r="AE538" s="8" t="n">
        <f aca="false">MIN(INT(ROUND(N538*1000000,0)/100000),9)</f>
        <v>1</v>
      </c>
      <c r="AF538" s="8" t="n">
        <f aca="false">MIN(INT(ROUND(P538*1000000,0)/100000),9)</f>
        <v>1</v>
      </c>
    </row>
    <row r="539" customFormat="false" ht="15" hidden="false" customHeight="false" outlineLevel="0" collapsed="false">
      <c r="A539" s="4" t="n">
        <v>535</v>
      </c>
      <c r="B539" s="4" t="n">
        <v>863</v>
      </c>
      <c r="C539" s="4" t="n">
        <v>1</v>
      </c>
      <c r="D539" s="11" t="n">
        <v>46082</v>
      </c>
      <c r="E539" s="4" t="s">
        <v>203</v>
      </c>
      <c r="F539" s="4" t="s">
        <v>206</v>
      </c>
      <c r="G539" s="4" t="n">
        <v>2</v>
      </c>
      <c r="H539" s="4" t="n">
        <v>4</v>
      </c>
      <c r="I539" s="4" t="n">
        <v>0</v>
      </c>
      <c r="J539" s="4" t="n">
        <v>444</v>
      </c>
      <c r="K539" s="4" t="n">
        <v>0</v>
      </c>
      <c r="L539" s="12" t="n">
        <v>0.093103</v>
      </c>
      <c r="M539" s="12" t="n">
        <v>0.092063</v>
      </c>
      <c r="N539" s="12" t="n">
        <v>0.138352</v>
      </c>
      <c r="O539" s="12" t="n">
        <v>0.106183</v>
      </c>
      <c r="P539" s="12" t="n">
        <v>0.148413</v>
      </c>
      <c r="Q539" s="0" t="str">
        <f aca="false">IF(L539&gt;=Models!$G$5,1+COUNTIF($L$5:$L$1517,"&gt;"&amp;L539)+COUNTIFS($L$5:$L$1517,L539,$B$5:$B$1517,"&lt;"&amp;B539)+COUNTIFS($L$5:$L$1517,L539,$B$5:$B$1517,B539,$C$5:$C$1517,"&lt;"&amp;C539),"")</f>
        <v/>
      </c>
      <c r="R539" s="0" t="str">
        <f aca="false">IF(M539&gt;=Models!$G$6,1+COUNTIF($M$5:$M$1517,"&gt;"&amp;M539)+COUNTIFS($M$5:$M$1517,M539,$B$5:$B$1517,"&lt;"&amp;B539)+COUNTIFS($M$5:$M$1517,M539,$B$5:$B$1517,B539,$C$5:$C$1517,"&lt;"&amp;C539),"")</f>
        <v/>
      </c>
      <c r="S539" s="0" t="str">
        <f aca="false">IF(N539&gt;=Models!$G$7,1+COUNTIF($N$5:$N$1517,"&gt;"&amp;N539)+COUNTIFS($N$5:$N$1517,N539,$B$5:$B$1517,"&lt;"&amp;B539)+COUNTIFS($N$5:$N$1517,N539,$B$5:$B$1517,B539,$C$5:$C$1517,"&lt;"&amp;C539),"")</f>
        <v/>
      </c>
      <c r="T539" s="8" t="n">
        <f aca="false">IF(O539&gt;=Models!$G$8,1+COUNTIF($O$5:$O$1517,"&gt;"&amp;O539)+COUNTIFS($O$5:$O$1517,O539,$B$5:$B$1517,"&lt;"&amp;B539)+COUNTIFS($O$5:$O$1517,O539,$B$5:$B$1517,B539,$C$5:$C$1517,"&lt;"&amp;C539),"")</f>
        <v>666</v>
      </c>
      <c r="U539" s="8" t="n">
        <f aca="false">IF($K539=1,COUNTIFS($L$5:$L$1517,"&gt;="&amp;L539,$K$5:$K$1517,1)/COUNTIF($L$5:$L$1517,"&gt;="&amp;L539),0)</f>
        <v>0</v>
      </c>
      <c r="V539" s="8" t="n">
        <f aca="false">IF($K539=1,COUNTIFS($M$5:$M$1517,"&gt;="&amp;M539,$K$5:$K$1517,1)/COUNTIF($M$5:$M$1517,"&gt;="&amp;M539),0)</f>
        <v>0</v>
      </c>
      <c r="W539" s="8" t="n">
        <f aca="false">IF($K539=1,COUNTIFS($N$5:$N$1517,"&gt;="&amp;N539,$K$5:$K$1517,1)/COUNTIF($N$5:$N$1517,"&gt;="&amp;N539),0)</f>
        <v>0</v>
      </c>
      <c r="X539" s="8" t="n">
        <f aca="false">IF($K539=1,COUNTIFS($O$5:$O$1517,"&gt;="&amp;O539,$K$5:$K$1517,1)/COUNTIF($O$5:$O$1517,"&gt;="&amp;O539),0)</f>
        <v>0</v>
      </c>
      <c r="Y539" s="8" t="n">
        <f aca="false">IF($K539=1,COUNTIFS($P$5:$P$1517,"&gt;="&amp;P539,$K$5:$K$1517,1)/COUNTIF($P$5:$P$1517,"&gt;="&amp;P539),0)</f>
        <v>0</v>
      </c>
      <c r="Z539" s="8" t="n">
        <f aca="false">(L539-$K539)^2</f>
        <v>0.008668168609</v>
      </c>
      <c r="AA539" s="8" t="n">
        <f aca="false">(M539-$K539)^2</f>
        <v>0.008475595969</v>
      </c>
      <c r="AB539" s="8" t="n">
        <f aca="false">(N539-$K539)^2</f>
        <v>0.019141275904</v>
      </c>
      <c r="AC539" s="8" t="n">
        <f aca="false">(O539-$K539)^2</f>
        <v>0.011274829489</v>
      </c>
      <c r="AD539" s="8" t="n">
        <f aca="false">(P539-$K539)^2</f>
        <v>0.022026418569</v>
      </c>
      <c r="AE539" s="8" t="n">
        <f aca="false">MIN(INT(ROUND(N539*1000000,0)/100000),9)</f>
        <v>1</v>
      </c>
      <c r="AF539" s="8" t="n">
        <f aca="false">MIN(INT(ROUND(P539*1000000,0)/100000),9)</f>
        <v>1</v>
      </c>
    </row>
    <row r="540" customFormat="false" ht="15" hidden="false" customHeight="false" outlineLevel="0" collapsed="false">
      <c r="A540" s="4" t="n">
        <v>536</v>
      </c>
      <c r="B540" s="4" t="n">
        <v>864</v>
      </c>
      <c r="C540" s="4" t="n">
        <v>1</v>
      </c>
      <c r="D540" s="11" t="n">
        <v>46082</v>
      </c>
      <c r="E540" s="4" t="s">
        <v>203</v>
      </c>
      <c r="F540" s="4" t="s">
        <v>206</v>
      </c>
      <c r="G540" s="4" t="n">
        <v>5</v>
      </c>
      <c r="H540" s="4" t="n">
        <v>0</v>
      </c>
      <c r="I540" s="4" t="n">
        <v>0</v>
      </c>
      <c r="J540" s="4" t="n">
        <v>918</v>
      </c>
      <c r="K540" s="4" t="n">
        <v>0</v>
      </c>
      <c r="L540" s="12" t="n">
        <v>0.523944</v>
      </c>
      <c r="M540" s="12" t="n">
        <v>0.092063</v>
      </c>
      <c r="N540" s="12" t="n">
        <v>0.103463</v>
      </c>
      <c r="O540" s="12" t="n">
        <v>0.106183</v>
      </c>
      <c r="P540" s="12" t="n">
        <v>0.10977</v>
      </c>
      <c r="Q540" s="0" t="str">
        <f aca="false">IF(L540&gt;=Models!$G$5,1+COUNTIF($L$5:$L$1517,"&gt;"&amp;L540)+COUNTIFS($L$5:$L$1517,L540,$B$5:$B$1517,"&lt;"&amp;B540)+COUNTIFS($L$5:$L$1517,L540,$B$5:$B$1517,B540,$C$5:$C$1517,"&lt;"&amp;C540),"")</f>
        <v/>
      </c>
      <c r="R540" s="0" t="str">
        <f aca="false">IF(M540&gt;=Models!$G$6,1+COUNTIF($M$5:$M$1517,"&gt;"&amp;M540)+COUNTIFS($M$5:$M$1517,M540,$B$5:$B$1517,"&lt;"&amp;B540)+COUNTIFS($M$5:$M$1517,M540,$B$5:$B$1517,B540,$C$5:$C$1517,"&lt;"&amp;C540),"")</f>
        <v/>
      </c>
      <c r="S540" s="0" t="str">
        <f aca="false">IF(N540&gt;=Models!$G$7,1+COUNTIF($N$5:$N$1517,"&gt;"&amp;N540)+COUNTIFS($N$5:$N$1517,N540,$B$5:$B$1517,"&lt;"&amp;B540)+COUNTIFS($N$5:$N$1517,N540,$B$5:$B$1517,B540,$C$5:$C$1517,"&lt;"&amp;C540),"")</f>
        <v/>
      </c>
      <c r="T540" s="8" t="n">
        <f aca="false">IF(O540&gt;=Models!$G$8,1+COUNTIF($O$5:$O$1517,"&gt;"&amp;O540)+COUNTIFS($O$5:$O$1517,O540,$B$5:$B$1517,"&lt;"&amp;B540)+COUNTIFS($O$5:$O$1517,O540,$B$5:$B$1517,B540,$C$5:$C$1517,"&lt;"&amp;C540),"")</f>
        <v>670</v>
      </c>
      <c r="U540" s="8" t="n">
        <f aca="false">IF($K540=1,COUNTIFS($L$5:$L$1517,"&gt;="&amp;L540,$K$5:$K$1517,1)/COUNTIF($L$5:$L$1517,"&gt;="&amp;L540),0)</f>
        <v>0</v>
      </c>
      <c r="V540" s="8" t="n">
        <f aca="false">IF($K540=1,COUNTIFS($M$5:$M$1517,"&gt;="&amp;M540,$K$5:$K$1517,1)/COUNTIF($M$5:$M$1517,"&gt;="&amp;M540),0)</f>
        <v>0</v>
      </c>
      <c r="W540" s="8" t="n">
        <f aca="false">IF($K540=1,COUNTIFS($N$5:$N$1517,"&gt;="&amp;N540,$K$5:$K$1517,1)/COUNTIF($N$5:$N$1517,"&gt;="&amp;N540),0)</f>
        <v>0</v>
      </c>
      <c r="X540" s="8" t="n">
        <f aca="false">IF($K540=1,COUNTIFS($O$5:$O$1517,"&gt;="&amp;O540,$K$5:$K$1517,1)/COUNTIF($O$5:$O$1517,"&gt;="&amp;O540),0)</f>
        <v>0</v>
      </c>
      <c r="Y540" s="8" t="n">
        <f aca="false">IF($K540=1,COUNTIFS($P$5:$P$1517,"&gt;="&amp;P540,$K$5:$K$1517,1)/COUNTIF($P$5:$P$1517,"&gt;="&amp;P540),0)</f>
        <v>0</v>
      </c>
      <c r="Z540" s="8" t="n">
        <f aca="false">(L540-$K540)^2</f>
        <v>0.274517315136</v>
      </c>
      <c r="AA540" s="8" t="n">
        <f aca="false">(M540-$K540)^2</f>
        <v>0.008475595969</v>
      </c>
      <c r="AB540" s="8" t="n">
        <f aca="false">(N540-$K540)^2</f>
        <v>0.010704592369</v>
      </c>
      <c r="AC540" s="8" t="n">
        <f aca="false">(O540-$K540)^2</f>
        <v>0.011274829489</v>
      </c>
      <c r="AD540" s="8" t="n">
        <f aca="false">(P540-$K540)^2</f>
        <v>0.0120494529</v>
      </c>
      <c r="AE540" s="8" t="n">
        <f aca="false">MIN(INT(ROUND(N540*1000000,0)/100000),9)</f>
        <v>1</v>
      </c>
      <c r="AF540" s="8" t="n">
        <f aca="false">MIN(INT(ROUND(P540*1000000,0)/100000),9)</f>
        <v>1</v>
      </c>
    </row>
    <row r="541" customFormat="false" ht="15" hidden="false" customHeight="false" outlineLevel="0" collapsed="false">
      <c r="A541" s="4" t="n">
        <v>537</v>
      </c>
      <c r="B541" s="4" t="n">
        <v>865</v>
      </c>
      <c r="C541" s="4" t="n">
        <v>1</v>
      </c>
      <c r="D541" s="11" t="n">
        <v>46082</v>
      </c>
      <c r="E541" s="4" t="s">
        <v>203</v>
      </c>
      <c r="F541" s="4" t="s">
        <v>206</v>
      </c>
      <c r="G541" s="4" t="n">
        <v>6</v>
      </c>
      <c r="H541" s="4" t="n">
        <v>0</v>
      </c>
      <c r="I541" s="4" t="n">
        <v>0</v>
      </c>
      <c r="J541" s="4" t="n">
        <v>1509.6</v>
      </c>
      <c r="K541" s="4" t="n">
        <v>0</v>
      </c>
      <c r="L541" s="12" t="n">
        <v>0.771215</v>
      </c>
      <c r="M541" s="12" t="n">
        <v>0.092063</v>
      </c>
      <c r="N541" s="12" t="n">
        <v>0.092484</v>
      </c>
      <c r="O541" s="12" t="n">
        <v>0.106183</v>
      </c>
      <c r="P541" s="12" t="n">
        <v>0.097673</v>
      </c>
      <c r="Q541" s="0" t="str">
        <f aca="false">IF(L541&gt;=Models!$G$5,1+COUNTIF($L$5:$L$1517,"&gt;"&amp;L541)+COUNTIFS($L$5:$L$1517,L541,$B$5:$B$1517,"&lt;"&amp;B541)+COUNTIFS($L$5:$L$1517,L541,$B$5:$B$1517,B541,$C$5:$C$1517,"&lt;"&amp;C541),"")</f>
        <v/>
      </c>
      <c r="R541" s="0" t="str">
        <f aca="false">IF(M541&gt;=Models!$G$6,1+COUNTIF($M$5:$M$1517,"&gt;"&amp;M541)+COUNTIFS($M$5:$M$1517,M541,$B$5:$B$1517,"&lt;"&amp;B541)+COUNTIFS($M$5:$M$1517,M541,$B$5:$B$1517,B541,$C$5:$C$1517,"&lt;"&amp;C541),"")</f>
        <v/>
      </c>
      <c r="S541" s="0" t="str">
        <f aca="false">IF(N541&gt;=Models!$G$7,1+COUNTIF($N$5:$N$1517,"&gt;"&amp;N541)+COUNTIFS($N$5:$N$1517,N541,$B$5:$B$1517,"&lt;"&amp;B541)+COUNTIFS($N$5:$N$1517,N541,$B$5:$B$1517,B541,$C$5:$C$1517,"&lt;"&amp;C541),"")</f>
        <v/>
      </c>
      <c r="T541" s="8" t="n">
        <f aca="false">IF(O541&gt;=Models!$G$8,1+COUNTIF($O$5:$O$1517,"&gt;"&amp;O541)+COUNTIFS($O$5:$O$1517,O541,$B$5:$B$1517,"&lt;"&amp;B541)+COUNTIFS($O$5:$O$1517,O541,$B$5:$B$1517,B541,$C$5:$C$1517,"&lt;"&amp;C541),"")</f>
        <v>674</v>
      </c>
      <c r="U541" s="8" t="n">
        <f aca="false">IF($K541=1,COUNTIFS($L$5:$L$1517,"&gt;="&amp;L541,$K$5:$K$1517,1)/COUNTIF($L$5:$L$1517,"&gt;="&amp;L541),0)</f>
        <v>0</v>
      </c>
      <c r="V541" s="8" t="n">
        <f aca="false">IF($K541=1,COUNTIFS($M$5:$M$1517,"&gt;="&amp;M541,$K$5:$K$1517,1)/COUNTIF($M$5:$M$1517,"&gt;="&amp;M541),0)</f>
        <v>0</v>
      </c>
      <c r="W541" s="8" t="n">
        <f aca="false">IF($K541=1,COUNTIFS($N$5:$N$1517,"&gt;="&amp;N541,$K$5:$K$1517,1)/COUNTIF($N$5:$N$1517,"&gt;="&amp;N541),0)</f>
        <v>0</v>
      </c>
      <c r="X541" s="8" t="n">
        <f aca="false">IF($K541=1,COUNTIFS($O$5:$O$1517,"&gt;="&amp;O541,$K$5:$K$1517,1)/COUNTIF($O$5:$O$1517,"&gt;="&amp;O541),0)</f>
        <v>0</v>
      </c>
      <c r="Y541" s="8" t="n">
        <f aca="false">IF($K541=1,COUNTIFS($P$5:$P$1517,"&gt;="&amp;P541,$K$5:$K$1517,1)/COUNTIF($P$5:$P$1517,"&gt;="&amp;P541),0)</f>
        <v>0</v>
      </c>
      <c r="Z541" s="8" t="n">
        <f aca="false">(L541-$K541)^2</f>
        <v>0.594772576225</v>
      </c>
      <c r="AA541" s="8" t="n">
        <f aca="false">(M541-$K541)^2</f>
        <v>0.008475595969</v>
      </c>
      <c r="AB541" s="8" t="n">
        <f aca="false">(N541-$K541)^2</f>
        <v>0.008553290256</v>
      </c>
      <c r="AC541" s="8" t="n">
        <f aca="false">(O541-$K541)^2</f>
        <v>0.011274829489</v>
      </c>
      <c r="AD541" s="8" t="n">
        <f aca="false">(P541-$K541)^2</f>
        <v>0.009540014929</v>
      </c>
      <c r="AE541" s="8" t="n">
        <f aca="false">MIN(INT(ROUND(N541*1000000,0)/100000),9)</f>
        <v>0</v>
      </c>
      <c r="AF541" s="8" t="n">
        <f aca="false">MIN(INT(ROUND(P541*1000000,0)/100000),9)</f>
        <v>0</v>
      </c>
    </row>
    <row r="542" customFormat="false" ht="15" hidden="false" customHeight="false" outlineLevel="0" collapsed="false">
      <c r="A542" s="4" t="n">
        <v>538</v>
      </c>
      <c r="B542" s="4" t="n">
        <v>866</v>
      </c>
      <c r="C542" s="4" t="n">
        <v>1</v>
      </c>
      <c r="D542" s="11" t="n">
        <v>46082</v>
      </c>
      <c r="E542" s="4" t="s">
        <v>201</v>
      </c>
      <c r="F542" s="4" t="s">
        <v>208</v>
      </c>
      <c r="G542" s="4" t="n">
        <v>7</v>
      </c>
      <c r="H542" s="4" t="n">
        <v>12</v>
      </c>
      <c r="I542" s="4" t="n">
        <v>0</v>
      </c>
      <c r="J542" s="4" t="n">
        <v>20808</v>
      </c>
      <c r="K542" s="4" t="n">
        <v>1</v>
      </c>
      <c r="L542" s="12" t="n">
        <v>0.577675</v>
      </c>
      <c r="M542" s="12" t="n">
        <v>0.092063</v>
      </c>
      <c r="N542" s="12" t="n">
        <v>0.032422</v>
      </c>
      <c r="O542" s="12" t="n">
        <v>0.106183</v>
      </c>
      <c r="P542" s="12" t="n">
        <v>0.032655</v>
      </c>
      <c r="Q542" s="0" t="str">
        <f aca="false">IF(L542&gt;=Models!$G$5,1+COUNTIF($L$5:$L$1517,"&gt;"&amp;L542)+COUNTIFS($L$5:$L$1517,L542,$B$5:$B$1517,"&lt;"&amp;B542)+COUNTIFS($L$5:$L$1517,L542,$B$5:$B$1517,B542,$C$5:$C$1517,"&lt;"&amp;C542),"")</f>
        <v/>
      </c>
      <c r="R542" s="0" t="str">
        <f aca="false">IF(M542&gt;=Models!$G$6,1+COUNTIF($M$5:$M$1517,"&gt;"&amp;M542)+COUNTIFS($M$5:$M$1517,M542,$B$5:$B$1517,"&lt;"&amp;B542)+COUNTIFS($M$5:$M$1517,M542,$B$5:$B$1517,B542,$C$5:$C$1517,"&lt;"&amp;C542),"")</f>
        <v/>
      </c>
      <c r="S542" s="0" t="str">
        <f aca="false">IF(N542&gt;=Models!$G$7,1+COUNTIF($N$5:$N$1517,"&gt;"&amp;N542)+COUNTIFS($N$5:$N$1517,N542,$B$5:$B$1517,"&lt;"&amp;B542)+COUNTIFS($N$5:$N$1517,N542,$B$5:$B$1517,B542,$C$5:$C$1517,"&lt;"&amp;C542),"")</f>
        <v/>
      </c>
      <c r="T542" s="8" t="n">
        <f aca="false">IF(O542&gt;=Models!$G$8,1+COUNTIF($O$5:$O$1517,"&gt;"&amp;O542)+COUNTIFS($O$5:$O$1517,O542,$B$5:$B$1517,"&lt;"&amp;B542)+COUNTIFS($O$5:$O$1517,O542,$B$5:$B$1517,B542,$C$5:$C$1517,"&lt;"&amp;C542),"")</f>
        <v>678</v>
      </c>
      <c r="U542" s="8" t="n">
        <f aca="false">IF($K542=1,COUNTIFS($L$5:$L$1517,"&gt;="&amp;L542,$K$5:$K$1517,1)/COUNTIF($L$5:$L$1517,"&gt;="&amp;L542),0)</f>
        <v>0.124401913875598</v>
      </c>
      <c r="V542" s="8" t="n">
        <f aca="false">IF($K542=1,COUNTIFS($M$5:$M$1517,"&gt;="&amp;M542,$K$5:$K$1517,1)/COUNTIF($M$5:$M$1517,"&gt;="&amp;M542),0)</f>
        <v>0.12491738268341</v>
      </c>
      <c r="W542" s="8" t="n">
        <f aca="false">IF($K542=1,COUNTIFS($N$5:$N$1517,"&gt;="&amp;N542,$K$5:$K$1517,1)/COUNTIF($N$5:$N$1517,"&gt;="&amp;N542),0)</f>
        <v>0.134601316752012</v>
      </c>
      <c r="X542" s="8" t="n">
        <f aca="false">IF($K542=1,COUNTIFS($O$5:$O$1517,"&gt;="&amp;O542,$K$5:$K$1517,1)/COUNTIF($O$5:$O$1517,"&gt;="&amp;O542),0)</f>
        <v>0.12491738268341</v>
      </c>
      <c r="Y542" s="8" t="n">
        <f aca="false">IF($K542=1,COUNTIFS($P$5:$P$1517,"&gt;="&amp;P542,$K$5:$K$1517,1)/COUNTIF($P$5:$P$1517,"&gt;="&amp;P542),0)</f>
        <v>0.134601316752012</v>
      </c>
      <c r="Z542" s="8" t="n">
        <f aca="false">(L542-$K542)^2</f>
        <v>0.178358405625</v>
      </c>
      <c r="AA542" s="8" t="n">
        <f aca="false">(M542-$K542)^2</f>
        <v>0.824349595969</v>
      </c>
      <c r="AB542" s="8" t="n">
        <f aca="false">(N542-$K542)^2</f>
        <v>0.936207186084</v>
      </c>
      <c r="AC542" s="8" t="n">
        <f aca="false">(O542-$K542)^2</f>
        <v>0.798908829489</v>
      </c>
      <c r="AD542" s="8" t="n">
        <f aca="false">(P542-$K542)^2</f>
        <v>0.935756349025</v>
      </c>
      <c r="AE542" s="8" t="n">
        <f aca="false">MIN(INT(ROUND(N542*1000000,0)/100000),9)</f>
        <v>0</v>
      </c>
      <c r="AF542" s="8" t="n">
        <f aca="false">MIN(INT(ROUND(P542*1000000,0)/100000),9)</f>
        <v>0</v>
      </c>
    </row>
    <row r="543" customFormat="false" ht="15" hidden="false" customHeight="false" outlineLevel="0" collapsed="false">
      <c r="A543" s="4" t="n">
        <v>539</v>
      </c>
      <c r="B543" s="4" t="n">
        <v>874</v>
      </c>
      <c r="C543" s="4" t="n">
        <v>1</v>
      </c>
      <c r="D543" s="11" t="n">
        <v>46082</v>
      </c>
      <c r="E543" s="4" t="s">
        <v>201</v>
      </c>
      <c r="F543" s="4" t="s">
        <v>206</v>
      </c>
      <c r="G543" s="4" t="n">
        <v>7</v>
      </c>
      <c r="H543" s="4" t="n">
        <v>3</v>
      </c>
      <c r="I543" s="4" t="n">
        <v>0</v>
      </c>
      <c r="J543" s="4" t="n">
        <v>4269</v>
      </c>
      <c r="K543" s="4" t="n">
        <v>0</v>
      </c>
      <c r="L543" s="12" t="n">
        <v>0.419451</v>
      </c>
      <c r="M543" s="12" t="n">
        <v>0.092063</v>
      </c>
      <c r="N543" s="12" t="n">
        <v>0.075208</v>
      </c>
      <c r="O543" s="12" t="n">
        <v>0.106183</v>
      </c>
      <c r="P543" s="12" t="n">
        <v>0.07873</v>
      </c>
      <c r="Q543" s="0" t="str">
        <f aca="false">IF(L543&gt;=Models!$G$5,1+COUNTIF($L$5:$L$1517,"&gt;"&amp;L543)+COUNTIFS($L$5:$L$1517,L543,$B$5:$B$1517,"&lt;"&amp;B543)+COUNTIFS($L$5:$L$1517,L543,$B$5:$B$1517,B543,$C$5:$C$1517,"&lt;"&amp;C543),"")</f>
        <v/>
      </c>
      <c r="R543" s="0" t="str">
        <f aca="false">IF(M543&gt;=Models!$G$6,1+COUNTIF($M$5:$M$1517,"&gt;"&amp;M543)+COUNTIFS($M$5:$M$1517,M543,$B$5:$B$1517,"&lt;"&amp;B543)+COUNTIFS($M$5:$M$1517,M543,$B$5:$B$1517,B543,$C$5:$C$1517,"&lt;"&amp;C543),"")</f>
        <v/>
      </c>
      <c r="S543" s="0" t="str">
        <f aca="false">IF(N543&gt;=Models!$G$7,1+COUNTIF($N$5:$N$1517,"&gt;"&amp;N543)+COUNTIFS($N$5:$N$1517,N543,$B$5:$B$1517,"&lt;"&amp;B543)+COUNTIFS($N$5:$N$1517,N543,$B$5:$B$1517,B543,$C$5:$C$1517,"&lt;"&amp;C543),"")</f>
        <v/>
      </c>
      <c r="T543" s="8" t="n">
        <f aca="false">IF(O543&gt;=Models!$G$8,1+COUNTIF($O$5:$O$1517,"&gt;"&amp;O543)+COUNTIFS($O$5:$O$1517,O543,$B$5:$B$1517,"&lt;"&amp;B543)+COUNTIFS($O$5:$O$1517,O543,$B$5:$B$1517,B543,$C$5:$C$1517,"&lt;"&amp;C543),"")</f>
        <v>681</v>
      </c>
      <c r="U543" s="8" t="n">
        <f aca="false">IF($K543=1,COUNTIFS($L$5:$L$1517,"&gt;="&amp;L543,$K$5:$K$1517,1)/COUNTIF($L$5:$L$1517,"&gt;="&amp;L543),0)</f>
        <v>0</v>
      </c>
      <c r="V543" s="8" t="n">
        <f aca="false">IF($K543=1,COUNTIFS($M$5:$M$1517,"&gt;="&amp;M543,$K$5:$K$1517,1)/COUNTIF($M$5:$M$1517,"&gt;="&amp;M543),0)</f>
        <v>0</v>
      </c>
      <c r="W543" s="8" t="n">
        <f aca="false">IF($K543=1,COUNTIFS($N$5:$N$1517,"&gt;="&amp;N543,$K$5:$K$1517,1)/COUNTIF($N$5:$N$1517,"&gt;="&amp;N543),0)</f>
        <v>0</v>
      </c>
      <c r="X543" s="8" t="n">
        <f aca="false">IF($K543=1,COUNTIFS($O$5:$O$1517,"&gt;="&amp;O543,$K$5:$K$1517,1)/COUNTIF($O$5:$O$1517,"&gt;="&amp;O543),0)</f>
        <v>0</v>
      </c>
      <c r="Y543" s="8" t="n">
        <f aca="false">IF($K543=1,COUNTIFS($P$5:$P$1517,"&gt;="&amp;P543,$K$5:$K$1517,1)/COUNTIF($P$5:$P$1517,"&gt;="&amp;P543),0)</f>
        <v>0</v>
      </c>
      <c r="Z543" s="8" t="n">
        <f aca="false">(L543-$K543)^2</f>
        <v>0.175939141401</v>
      </c>
      <c r="AA543" s="8" t="n">
        <f aca="false">(M543-$K543)^2</f>
        <v>0.008475595969</v>
      </c>
      <c r="AB543" s="8" t="n">
        <f aca="false">(N543-$K543)^2</f>
        <v>0.005656243264</v>
      </c>
      <c r="AC543" s="8" t="n">
        <f aca="false">(O543-$K543)^2</f>
        <v>0.011274829489</v>
      </c>
      <c r="AD543" s="8" t="n">
        <f aca="false">(P543-$K543)^2</f>
        <v>0.0061984129</v>
      </c>
      <c r="AE543" s="8" t="n">
        <f aca="false">MIN(INT(ROUND(N543*1000000,0)/100000),9)</f>
        <v>0</v>
      </c>
      <c r="AF543" s="8" t="n">
        <f aca="false">MIN(INT(ROUND(P543*1000000,0)/100000),9)</f>
        <v>0</v>
      </c>
    </row>
    <row r="544" customFormat="false" ht="15" hidden="false" customHeight="false" outlineLevel="0" collapsed="false">
      <c r="A544" s="4" t="n">
        <v>540</v>
      </c>
      <c r="B544" s="4" t="n">
        <v>876</v>
      </c>
      <c r="C544" s="4" t="n">
        <v>1</v>
      </c>
      <c r="D544" s="11" t="n">
        <v>46082</v>
      </c>
      <c r="E544" s="4" t="s">
        <v>203</v>
      </c>
      <c r="F544" s="4" t="s">
        <v>209</v>
      </c>
      <c r="G544" s="4" t="n">
        <v>4</v>
      </c>
      <c r="H544" s="4" t="n">
        <v>3</v>
      </c>
      <c r="I544" s="4" t="n">
        <v>0</v>
      </c>
      <c r="J544" s="4" t="n">
        <v>264</v>
      </c>
      <c r="K544" s="4" t="n">
        <v>0</v>
      </c>
      <c r="L544" s="12" t="n">
        <v>0.789883</v>
      </c>
      <c r="M544" s="12" t="n">
        <v>0.092063</v>
      </c>
      <c r="N544" s="12" t="n">
        <v>0.118494</v>
      </c>
      <c r="O544" s="12" t="n">
        <v>0.106183</v>
      </c>
      <c r="P544" s="12" t="n">
        <v>0.126388</v>
      </c>
      <c r="Q544" s="0" t="str">
        <f aca="false">IF(L544&gt;=Models!$G$5,1+COUNTIF($L$5:$L$1517,"&gt;"&amp;L544)+COUNTIFS($L$5:$L$1517,L544,$B$5:$B$1517,"&lt;"&amp;B544)+COUNTIFS($L$5:$L$1517,L544,$B$5:$B$1517,B544,$C$5:$C$1517,"&lt;"&amp;C544),"")</f>
        <v/>
      </c>
      <c r="R544" s="0" t="str">
        <f aca="false">IF(M544&gt;=Models!$G$6,1+COUNTIF($M$5:$M$1517,"&gt;"&amp;M544)+COUNTIFS($M$5:$M$1517,M544,$B$5:$B$1517,"&lt;"&amp;B544)+COUNTIFS($M$5:$M$1517,M544,$B$5:$B$1517,B544,$C$5:$C$1517,"&lt;"&amp;C544),"")</f>
        <v/>
      </c>
      <c r="S544" s="0" t="str">
        <f aca="false">IF(N544&gt;=Models!$G$7,1+COUNTIF($N$5:$N$1517,"&gt;"&amp;N544)+COUNTIFS($N$5:$N$1517,N544,$B$5:$B$1517,"&lt;"&amp;B544)+COUNTIFS($N$5:$N$1517,N544,$B$5:$B$1517,B544,$C$5:$C$1517,"&lt;"&amp;C544),"")</f>
        <v/>
      </c>
      <c r="T544" s="8" t="n">
        <f aca="false">IF(O544&gt;=Models!$G$8,1+COUNTIF($O$5:$O$1517,"&gt;"&amp;O544)+COUNTIFS($O$5:$O$1517,O544,$B$5:$B$1517,"&lt;"&amp;B544)+COUNTIFS($O$5:$O$1517,O544,$B$5:$B$1517,B544,$C$5:$C$1517,"&lt;"&amp;C544),"")</f>
        <v>686</v>
      </c>
      <c r="U544" s="8" t="n">
        <f aca="false">IF($K544=1,COUNTIFS($L$5:$L$1517,"&gt;="&amp;L544,$K$5:$K$1517,1)/COUNTIF($L$5:$L$1517,"&gt;="&amp;L544),0)</f>
        <v>0</v>
      </c>
      <c r="V544" s="8" t="n">
        <f aca="false">IF($K544=1,COUNTIFS($M$5:$M$1517,"&gt;="&amp;M544,$K$5:$K$1517,1)/COUNTIF($M$5:$M$1517,"&gt;="&amp;M544),0)</f>
        <v>0</v>
      </c>
      <c r="W544" s="8" t="n">
        <f aca="false">IF($K544=1,COUNTIFS($N$5:$N$1517,"&gt;="&amp;N544,$K$5:$K$1517,1)/COUNTIF($N$5:$N$1517,"&gt;="&amp;N544),0)</f>
        <v>0</v>
      </c>
      <c r="X544" s="8" t="n">
        <f aca="false">IF($K544=1,COUNTIFS($O$5:$O$1517,"&gt;="&amp;O544,$K$5:$K$1517,1)/COUNTIF($O$5:$O$1517,"&gt;="&amp;O544),0)</f>
        <v>0</v>
      </c>
      <c r="Y544" s="8" t="n">
        <f aca="false">IF($K544=1,COUNTIFS($P$5:$P$1517,"&gt;="&amp;P544,$K$5:$K$1517,1)/COUNTIF($P$5:$P$1517,"&gt;="&amp;P544),0)</f>
        <v>0</v>
      </c>
      <c r="Z544" s="8" t="n">
        <f aca="false">(L544-$K544)^2</f>
        <v>0.623915153689</v>
      </c>
      <c r="AA544" s="8" t="n">
        <f aca="false">(M544-$K544)^2</f>
        <v>0.008475595969</v>
      </c>
      <c r="AB544" s="8" t="n">
        <f aca="false">(N544-$K544)^2</f>
        <v>0.014040828036</v>
      </c>
      <c r="AC544" s="8" t="n">
        <f aca="false">(O544-$K544)^2</f>
        <v>0.011274829489</v>
      </c>
      <c r="AD544" s="8" t="n">
        <f aca="false">(P544-$K544)^2</f>
        <v>0.015973926544</v>
      </c>
      <c r="AE544" s="8" t="n">
        <f aca="false">MIN(INT(ROUND(N544*1000000,0)/100000),9)</f>
        <v>1</v>
      </c>
      <c r="AF544" s="8" t="n">
        <f aca="false">MIN(INT(ROUND(P544*1000000,0)/100000),9)</f>
        <v>1</v>
      </c>
    </row>
    <row r="545" customFormat="false" ht="15" hidden="false" customHeight="false" outlineLevel="0" collapsed="false">
      <c r="A545" s="4" t="n">
        <v>541</v>
      </c>
      <c r="B545" s="4" t="n">
        <v>877</v>
      </c>
      <c r="C545" s="4" t="n">
        <v>1</v>
      </c>
      <c r="D545" s="11" t="n">
        <v>46082</v>
      </c>
      <c r="E545" s="4" t="s">
        <v>203</v>
      </c>
      <c r="F545" s="4" t="s">
        <v>210</v>
      </c>
      <c r="G545" s="4" t="n">
        <v>5</v>
      </c>
      <c r="H545" s="4" t="n">
        <v>1</v>
      </c>
      <c r="I545" s="4" t="n">
        <v>0</v>
      </c>
      <c r="J545" s="4" t="n">
        <v>420</v>
      </c>
      <c r="K545" s="4" t="n">
        <v>0</v>
      </c>
      <c r="L545" s="12" t="n">
        <v>0.067395</v>
      </c>
      <c r="M545" s="12" t="n">
        <v>0.092063</v>
      </c>
      <c r="N545" s="12" t="n">
        <v>0.106956</v>
      </c>
      <c r="O545" s="12" t="n">
        <v>0.106183</v>
      </c>
      <c r="P545" s="12" t="n">
        <v>0.113627</v>
      </c>
      <c r="Q545" s="0" t="str">
        <f aca="false">IF(L545&gt;=Models!$G$5,1+COUNTIF($L$5:$L$1517,"&gt;"&amp;L545)+COUNTIFS($L$5:$L$1517,L545,$B$5:$B$1517,"&lt;"&amp;B545)+COUNTIFS($L$5:$L$1517,L545,$B$5:$B$1517,B545,$C$5:$C$1517,"&lt;"&amp;C545),"")</f>
        <v/>
      </c>
      <c r="R545" s="0" t="str">
        <f aca="false">IF(M545&gt;=Models!$G$6,1+COUNTIF($M$5:$M$1517,"&gt;"&amp;M545)+COUNTIFS($M$5:$M$1517,M545,$B$5:$B$1517,"&lt;"&amp;B545)+COUNTIFS($M$5:$M$1517,M545,$B$5:$B$1517,B545,$C$5:$C$1517,"&lt;"&amp;C545),"")</f>
        <v/>
      </c>
      <c r="S545" s="0" t="str">
        <f aca="false">IF(N545&gt;=Models!$G$7,1+COUNTIF($N$5:$N$1517,"&gt;"&amp;N545)+COUNTIFS($N$5:$N$1517,N545,$B$5:$B$1517,"&lt;"&amp;B545)+COUNTIFS($N$5:$N$1517,N545,$B$5:$B$1517,B545,$C$5:$C$1517,"&lt;"&amp;C545),"")</f>
        <v/>
      </c>
      <c r="T545" s="8" t="n">
        <f aca="false">IF(O545&gt;=Models!$G$8,1+COUNTIF($O$5:$O$1517,"&gt;"&amp;O545)+COUNTIFS($O$5:$O$1517,O545,$B$5:$B$1517,"&lt;"&amp;B545)+COUNTIFS($O$5:$O$1517,O545,$B$5:$B$1517,B545,$C$5:$C$1517,"&lt;"&amp;C545),"")</f>
        <v>690</v>
      </c>
      <c r="U545" s="8" t="n">
        <f aca="false">IF($K545=1,COUNTIFS($L$5:$L$1517,"&gt;="&amp;L545,$K$5:$K$1517,1)/COUNTIF($L$5:$L$1517,"&gt;="&amp;L545),0)</f>
        <v>0</v>
      </c>
      <c r="V545" s="8" t="n">
        <f aca="false">IF($K545=1,COUNTIFS($M$5:$M$1517,"&gt;="&amp;M545,$K$5:$K$1517,1)/COUNTIF($M$5:$M$1517,"&gt;="&amp;M545),0)</f>
        <v>0</v>
      </c>
      <c r="W545" s="8" t="n">
        <f aca="false">IF($K545=1,COUNTIFS($N$5:$N$1517,"&gt;="&amp;N545,$K$5:$K$1517,1)/COUNTIF($N$5:$N$1517,"&gt;="&amp;N545),0)</f>
        <v>0</v>
      </c>
      <c r="X545" s="8" t="n">
        <f aca="false">IF($K545=1,COUNTIFS($O$5:$O$1517,"&gt;="&amp;O545,$K$5:$K$1517,1)/COUNTIF($O$5:$O$1517,"&gt;="&amp;O545),0)</f>
        <v>0</v>
      </c>
      <c r="Y545" s="8" t="n">
        <f aca="false">IF($K545=1,COUNTIFS($P$5:$P$1517,"&gt;="&amp;P545,$K$5:$K$1517,1)/COUNTIF($P$5:$P$1517,"&gt;="&amp;P545),0)</f>
        <v>0</v>
      </c>
      <c r="Z545" s="8" t="n">
        <f aca="false">(L545-$K545)^2</f>
        <v>0.004542086025</v>
      </c>
      <c r="AA545" s="8" t="n">
        <f aca="false">(M545-$K545)^2</f>
        <v>0.008475595969</v>
      </c>
      <c r="AB545" s="8" t="n">
        <f aca="false">(N545-$K545)^2</f>
        <v>0.011439585936</v>
      </c>
      <c r="AC545" s="8" t="n">
        <f aca="false">(O545-$K545)^2</f>
        <v>0.011274829489</v>
      </c>
      <c r="AD545" s="8" t="n">
        <f aca="false">(P545-$K545)^2</f>
        <v>0.012911095129</v>
      </c>
      <c r="AE545" s="8" t="n">
        <f aca="false">MIN(INT(ROUND(N545*1000000,0)/100000),9)</f>
        <v>1</v>
      </c>
      <c r="AF545" s="8" t="n">
        <f aca="false">MIN(INT(ROUND(P545*1000000,0)/100000),9)</f>
        <v>1</v>
      </c>
    </row>
    <row r="546" customFormat="false" ht="15" hidden="false" customHeight="false" outlineLevel="0" collapsed="false">
      <c r="A546" s="4" t="n">
        <v>542</v>
      </c>
      <c r="B546" s="4" t="n">
        <v>880</v>
      </c>
      <c r="C546" s="4" t="n">
        <v>1</v>
      </c>
      <c r="D546" s="11" t="n">
        <v>46082</v>
      </c>
      <c r="E546" s="4" t="s">
        <v>201</v>
      </c>
      <c r="F546" s="4" t="s">
        <v>206</v>
      </c>
      <c r="G546" s="4" t="n">
        <v>16</v>
      </c>
      <c r="H546" s="4" t="n">
        <v>1</v>
      </c>
      <c r="I546" s="4" t="n">
        <v>0</v>
      </c>
      <c r="J546" s="4" t="n">
        <v>30365.4</v>
      </c>
      <c r="K546" s="4" t="n">
        <v>0</v>
      </c>
      <c r="L546" s="12" t="n">
        <v>0.495953</v>
      </c>
      <c r="M546" s="12" t="n">
        <v>0.092063</v>
      </c>
      <c r="N546" s="12" t="n">
        <v>0.00776</v>
      </c>
      <c r="O546" s="12" t="n">
        <v>0.106183</v>
      </c>
      <c r="P546" s="12" t="n">
        <v>0.007298</v>
      </c>
      <c r="Q546" s="0" t="str">
        <f aca="false">IF(L546&gt;=Models!$G$5,1+COUNTIF($L$5:$L$1517,"&gt;"&amp;L546)+COUNTIFS($L$5:$L$1517,L546,$B$5:$B$1517,"&lt;"&amp;B546)+COUNTIFS($L$5:$L$1517,L546,$B$5:$B$1517,B546,$C$5:$C$1517,"&lt;"&amp;C546),"")</f>
        <v/>
      </c>
      <c r="R546" s="0" t="str">
        <f aca="false">IF(M546&gt;=Models!$G$6,1+COUNTIF($M$5:$M$1517,"&gt;"&amp;M546)+COUNTIFS($M$5:$M$1517,M546,$B$5:$B$1517,"&lt;"&amp;B546)+COUNTIFS($M$5:$M$1517,M546,$B$5:$B$1517,B546,$C$5:$C$1517,"&lt;"&amp;C546),"")</f>
        <v/>
      </c>
      <c r="S546" s="0" t="str">
        <f aca="false">IF(N546&gt;=Models!$G$7,1+COUNTIF($N$5:$N$1517,"&gt;"&amp;N546)+COUNTIFS($N$5:$N$1517,N546,$B$5:$B$1517,"&lt;"&amp;B546)+COUNTIFS($N$5:$N$1517,N546,$B$5:$B$1517,B546,$C$5:$C$1517,"&lt;"&amp;C546),"")</f>
        <v/>
      </c>
      <c r="T546" s="8" t="n">
        <f aca="false">IF(O546&gt;=Models!$G$8,1+COUNTIF($O$5:$O$1517,"&gt;"&amp;O546)+COUNTIFS($O$5:$O$1517,O546,$B$5:$B$1517,"&lt;"&amp;B546)+COUNTIFS($O$5:$O$1517,O546,$B$5:$B$1517,B546,$C$5:$C$1517,"&lt;"&amp;C546),"")</f>
        <v>694</v>
      </c>
      <c r="U546" s="8" t="n">
        <f aca="false">IF($K546=1,COUNTIFS($L$5:$L$1517,"&gt;="&amp;L546,$K$5:$K$1517,1)/COUNTIF($L$5:$L$1517,"&gt;="&amp;L546),0)</f>
        <v>0</v>
      </c>
      <c r="V546" s="8" t="n">
        <f aca="false">IF($K546=1,COUNTIFS($M$5:$M$1517,"&gt;="&amp;M546,$K$5:$K$1517,1)/COUNTIF($M$5:$M$1517,"&gt;="&amp;M546),0)</f>
        <v>0</v>
      </c>
      <c r="W546" s="8" t="n">
        <f aca="false">IF($K546=1,COUNTIFS($N$5:$N$1517,"&gt;="&amp;N546,$K$5:$K$1517,1)/COUNTIF($N$5:$N$1517,"&gt;="&amp;N546),0)</f>
        <v>0</v>
      </c>
      <c r="X546" s="8" t="n">
        <f aca="false">IF($K546=1,COUNTIFS($O$5:$O$1517,"&gt;="&amp;O546,$K$5:$K$1517,1)/COUNTIF($O$5:$O$1517,"&gt;="&amp;O546),0)</f>
        <v>0</v>
      </c>
      <c r="Y546" s="8" t="n">
        <f aca="false">IF($K546=1,COUNTIFS($P$5:$P$1517,"&gt;="&amp;P546,$K$5:$K$1517,1)/COUNTIF($P$5:$P$1517,"&gt;="&amp;P546),0)</f>
        <v>0</v>
      </c>
      <c r="Z546" s="8" t="n">
        <f aca="false">(L546-$K546)^2</f>
        <v>0.245969378209</v>
      </c>
      <c r="AA546" s="8" t="n">
        <f aca="false">(M546-$K546)^2</f>
        <v>0.008475595969</v>
      </c>
      <c r="AB546" s="8" t="n">
        <f aca="false">(N546-$K546)^2</f>
        <v>6.02176E-005</v>
      </c>
      <c r="AC546" s="8" t="n">
        <f aca="false">(O546-$K546)^2</f>
        <v>0.011274829489</v>
      </c>
      <c r="AD546" s="8" t="n">
        <f aca="false">(P546-$K546)^2</f>
        <v>5.3260804E-005</v>
      </c>
      <c r="AE546" s="8" t="n">
        <f aca="false">MIN(INT(ROUND(N546*1000000,0)/100000),9)</f>
        <v>0</v>
      </c>
      <c r="AF546" s="8" t="n">
        <f aca="false">MIN(INT(ROUND(P546*1000000,0)/100000),9)</f>
        <v>0</v>
      </c>
    </row>
    <row r="547" customFormat="false" ht="15" hidden="false" customHeight="false" outlineLevel="0" collapsed="false">
      <c r="A547" s="4" t="n">
        <v>543</v>
      </c>
      <c r="B547" s="4" t="n">
        <v>881</v>
      </c>
      <c r="C547" s="4" t="n">
        <v>1</v>
      </c>
      <c r="D547" s="11" t="n">
        <v>46082</v>
      </c>
      <c r="E547" s="4" t="s">
        <v>203</v>
      </c>
      <c r="F547" s="4" t="s">
        <v>209</v>
      </c>
      <c r="G547" s="4" t="n">
        <v>3</v>
      </c>
      <c r="H547" s="4" t="n">
        <v>8</v>
      </c>
      <c r="I547" s="4" t="n">
        <v>0</v>
      </c>
      <c r="J547" s="4" t="n">
        <v>390</v>
      </c>
      <c r="K547" s="4" t="n">
        <v>0</v>
      </c>
      <c r="L547" s="12" t="n">
        <v>0.315987</v>
      </c>
      <c r="M547" s="12" t="n">
        <v>0.092063</v>
      </c>
      <c r="N547" s="12" t="n">
        <v>0.13203</v>
      </c>
      <c r="O547" s="12" t="n">
        <v>0.106183</v>
      </c>
      <c r="P547" s="12" t="n">
        <v>0.141395</v>
      </c>
      <c r="Q547" s="0" t="str">
        <f aca="false">IF(L547&gt;=Models!$G$5,1+COUNTIF($L$5:$L$1517,"&gt;"&amp;L547)+COUNTIFS($L$5:$L$1517,L547,$B$5:$B$1517,"&lt;"&amp;B547)+COUNTIFS($L$5:$L$1517,L547,$B$5:$B$1517,B547,$C$5:$C$1517,"&lt;"&amp;C547),"")</f>
        <v/>
      </c>
      <c r="R547" s="0" t="str">
        <f aca="false">IF(M547&gt;=Models!$G$6,1+COUNTIF($M$5:$M$1517,"&gt;"&amp;M547)+COUNTIFS($M$5:$M$1517,M547,$B$5:$B$1517,"&lt;"&amp;B547)+COUNTIFS($M$5:$M$1517,M547,$B$5:$B$1517,B547,$C$5:$C$1517,"&lt;"&amp;C547),"")</f>
        <v/>
      </c>
      <c r="S547" s="0" t="str">
        <f aca="false">IF(N547&gt;=Models!$G$7,1+COUNTIF($N$5:$N$1517,"&gt;"&amp;N547)+COUNTIFS($N$5:$N$1517,N547,$B$5:$B$1517,"&lt;"&amp;B547)+COUNTIFS($N$5:$N$1517,N547,$B$5:$B$1517,B547,$C$5:$C$1517,"&lt;"&amp;C547),"")</f>
        <v/>
      </c>
      <c r="T547" s="8" t="n">
        <f aca="false">IF(O547&gt;=Models!$G$8,1+COUNTIF($O$5:$O$1517,"&gt;"&amp;O547)+COUNTIFS($O$5:$O$1517,O547,$B$5:$B$1517,"&lt;"&amp;B547)+COUNTIFS($O$5:$O$1517,O547,$B$5:$B$1517,B547,$C$5:$C$1517,"&lt;"&amp;C547),"")</f>
        <v>698</v>
      </c>
      <c r="U547" s="8" t="n">
        <f aca="false">IF($K547=1,COUNTIFS($L$5:$L$1517,"&gt;="&amp;L547,$K$5:$K$1517,1)/COUNTIF($L$5:$L$1517,"&gt;="&amp;L547),0)</f>
        <v>0</v>
      </c>
      <c r="V547" s="8" t="n">
        <f aca="false">IF($K547=1,COUNTIFS($M$5:$M$1517,"&gt;="&amp;M547,$K$5:$K$1517,1)/COUNTIF($M$5:$M$1517,"&gt;="&amp;M547),0)</f>
        <v>0</v>
      </c>
      <c r="W547" s="8" t="n">
        <f aca="false">IF($K547=1,COUNTIFS($N$5:$N$1517,"&gt;="&amp;N547,$K$5:$K$1517,1)/COUNTIF($N$5:$N$1517,"&gt;="&amp;N547),0)</f>
        <v>0</v>
      </c>
      <c r="X547" s="8" t="n">
        <f aca="false">IF($K547=1,COUNTIFS($O$5:$O$1517,"&gt;="&amp;O547,$K$5:$K$1517,1)/COUNTIF($O$5:$O$1517,"&gt;="&amp;O547),0)</f>
        <v>0</v>
      </c>
      <c r="Y547" s="8" t="n">
        <f aca="false">IF($K547=1,COUNTIFS($P$5:$P$1517,"&gt;="&amp;P547,$K$5:$K$1517,1)/COUNTIF($P$5:$P$1517,"&gt;="&amp;P547),0)</f>
        <v>0</v>
      </c>
      <c r="Z547" s="8" t="n">
        <f aca="false">(L547-$K547)^2</f>
        <v>0.099847784169</v>
      </c>
      <c r="AA547" s="8" t="n">
        <f aca="false">(M547-$K547)^2</f>
        <v>0.008475595969</v>
      </c>
      <c r="AB547" s="8" t="n">
        <f aca="false">(N547-$K547)^2</f>
        <v>0.0174319209</v>
      </c>
      <c r="AC547" s="8" t="n">
        <f aca="false">(O547-$K547)^2</f>
        <v>0.011274829489</v>
      </c>
      <c r="AD547" s="8" t="n">
        <f aca="false">(P547-$K547)^2</f>
        <v>0.019992546025</v>
      </c>
      <c r="AE547" s="8" t="n">
        <f aca="false">MIN(INT(ROUND(N547*1000000,0)/100000),9)</f>
        <v>1</v>
      </c>
      <c r="AF547" s="8" t="n">
        <f aca="false">MIN(INT(ROUND(P547*1000000,0)/100000),9)</f>
        <v>1</v>
      </c>
    </row>
    <row r="548" customFormat="false" ht="15" hidden="false" customHeight="false" outlineLevel="0" collapsed="false">
      <c r="A548" s="4" t="n">
        <v>544</v>
      </c>
      <c r="B548" s="4" t="n">
        <v>893</v>
      </c>
      <c r="C548" s="4" t="n">
        <v>1</v>
      </c>
      <c r="D548" s="11" t="n">
        <v>46082</v>
      </c>
      <c r="E548" s="4" t="s">
        <v>204</v>
      </c>
      <c r="F548" s="4" t="s">
        <v>206</v>
      </c>
      <c r="G548" s="4" t="n">
        <v>2</v>
      </c>
      <c r="H548" s="4" t="n">
        <v>14</v>
      </c>
      <c r="I548" s="4" t="n">
        <v>0</v>
      </c>
      <c r="J548" s="4" t="n">
        <v>105</v>
      </c>
      <c r="K548" s="4" t="n">
        <v>1</v>
      </c>
      <c r="L548" s="12" t="n">
        <v>0.771167</v>
      </c>
      <c r="M548" s="12" t="n">
        <v>0.092063</v>
      </c>
      <c r="N548" s="12" t="n">
        <v>0.150919</v>
      </c>
      <c r="O548" s="12" t="n">
        <v>0.106183</v>
      </c>
      <c r="P548" s="12" t="n">
        <v>0.162379</v>
      </c>
      <c r="Q548" s="0" t="str">
        <f aca="false">IF(L548&gt;=Models!$G$5,1+COUNTIF($L$5:$L$1517,"&gt;"&amp;L548)+COUNTIFS($L$5:$L$1517,L548,$B$5:$B$1517,"&lt;"&amp;B548)+COUNTIFS($L$5:$L$1517,L548,$B$5:$B$1517,B548,$C$5:$C$1517,"&lt;"&amp;C548),"")</f>
        <v/>
      </c>
      <c r="R548" s="0" t="str">
        <f aca="false">IF(M548&gt;=Models!$G$6,1+COUNTIF($M$5:$M$1517,"&gt;"&amp;M548)+COUNTIFS($M$5:$M$1517,M548,$B$5:$B$1517,"&lt;"&amp;B548)+COUNTIFS($M$5:$M$1517,M548,$B$5:$B$1517,B548,$C$5:$C$1517,"&lt;"&amp;C548),"")</f>
        <v/>
      </c>
      <c r="S548" s="0" t="str">
        <f aca="false">IF(N548&gt;=Models!$G$7,1+COUNTIF($N$5:$N$1517,"&gt;"&amp;N548)+COUNTIFS($N$5:$N$1517,N548,$B$5:$B$1517,"&lt;"&amp;B548)+COUNTIFS($N$5:$N$1517,N548,$B$5:$B$1517,B548,$C$5:$C$1517,"&lt;"&amp;C548),"")</f>
        <v/>
      </c>
      <c r="T548" s="8" t="n">
        <f aca="false">IF(O548&gt;=Models!$G$8,1+COUNTIF($O$5:$O$1517,"&gt;"&amp;O548)+COUNTIFS($O$5:$O$1517,O548,$B$5:$B$1517,"&lt;"&amp;B548)+COUNTIFS($O$5:$O$1517,O548,$B$5:$B$1517,B548,$C$5:$C$1517,"&lt;"&amp;C548),"")</f>
        <v>702</v>
      </c>
      <c r="U548" s="8" t="n">
        <f aca="false">IF($K548=1,COUNTIFS($L$5:$L$1517,"&gt;="&amp;L548,$K$5:$K$1517,1)/COUNTIF($L$5:$L$1517,"&gt;="&amp;L548),0)</f>
        <v>0.139393939393939</v>
      </c>
      <c r="V548" s="8" t="n">
        <f aca="false">IF($K548=1,COUNTIFS($M$5:$M$1517,"&gt;="&amp;M548,$K$5:$K$1517,1)/COUNTIF($M$5:$M$1517,"&gt;="&amp;M548),0)</f>
        <v>0.12491738268341</v>
      </c>
      <c r="W548" s="8" t="n">
        <f aca="false">IF($K548=1,COUNTIFS($N$5:$N$1517,"&gt;="&amp;N548,$K$5:$K$1517,1)/COUNTIF($N$5:$N$1517,"&gt;="&amp;N548),0)</f>
        <v>0.294685990338164</v>
      </c>
      <c r="X548" s="8" t="n">
        <f aca="false">IF($K548=1,COUNTIFS($O$5:$O$1517,"&gt;="&amp;O548,$K$5:$K$1517,1)/COUNTIF($O$5:$O$1517,"&gt;="&amp;O548),0)</f>
        <v>0.12491738268341</v>
      </c>
      <c r="Y548" s="8" t="n">
        <f aca="false">IF($K548=1,COUNTIFS($P$5:$P$1517,"&gt;="&amp;P548,$K$5:$K$1517,1)/COUNTIF($P$5:$P$1517,"&gt;="&amp;P548),0)</f>
        <v>0.294685990338164</v>
      </c>
      <c r="Z548" s="8" t="n">
        <f aca="false">(L548-$K548)^2</f>
        <v>0.052364541889</v>
      </c>
      <c r="AA548" s="8" t="n">
        <f aca="false">(M548-$K548)^2</f>
        <v>0.824349595969</v>
      </c>
      <c r="AB548" s="8" t="n">
        <f aca="false">(N548-$K548)^2</f>
        <v>0.720938544561</v>
      </c>
      <c r="AC548" s="8" t="n">
        <f aca="false">(O548-$K548)^2</f>
        <v>0.798908829489</v>
      </c>
      <c r="AD548" s="8" t="n">
        <f aca="false">(P548-$K548)^2</f>
        <v>0.701608939641</v>
      </c>
      <c r="AE548" s="8" t="n">
        <f aca="false">MIN(INT(ROUND(N548*1000000,0)/100000),9)</f>
        <v>1</v>
      </c>
      <c r="AF548" s="8" t="n">
        <f aca="false">MIN(INT(ROUND(P548*1000000,0)/100000),9)</f>
        <v>1</v>
      </c>
    </row>
    <row r="549" customFormat="false" ht="15" hidden="false" customHeight="false" outlineLevel="0" collapsed="false">
      <c r="A549" s="4" t="n">
        <v>545</v>
      </c>
      <c r="B549" s="4" t="n">
        <v>912</v>
      </c>
      <c r="C549" s="4" t="n">
        <v>1</v>
      </c>
      <c r="D549" s="11" t="n">
        <v>46082</v>
      </c>
      <c r="E549" s="4" t="s">
        <v>204</v>
      </c>
      <c r="F549" s="4" t="s">
        <v>209</v>
      </c>
      <c r="G549" s="4" t="n">
        <v>2</v>
      </c>
      <c r="H549" s="4" t="n">
        <v>10</v>
      </c>
      <c r="I549" s="4" t="n">
        <v>1</v>
      </c>
      <c r="J549" s="4" t="n">
        <v>57</v>
      </c>
      <c r="K549" s="4" t="n">
        <v>1</v>
      </c>
      <c r="L549" s="12" t="n">
        <v>0.278296</v>
      </c>
      <c r="M549" s="12" t="n">
        <v>0.184211</v>
      </c>
      <c r="N549" s="12" t="n">
        <v>0.238419</v>
      </c>
      <c r="O549" s="12" t="n">
        <v>0.106183</v>
      </c>
      <c r="P549" s="12" t="n">
        <v>0.259675</v>
      </c>
      <c r="Q549" s="0" t="str">
        <f aca="false">IF(L549&gt;=Models!$G$5,1+COUNTIF($L$5:$L$1517,"&gt;"&amp;L549)+COUNTIFS($L$5:$L$1517,L549,$B$5:$B$1517,"&lt;"&amp;B549)+COUNTIFS($L$5:$L$1517,L549,$B$5:$B$1517,B549,$C$5:$C$1517,"&lt;"&amp;C549),"")</f>
        <v/>
      </c>
      <c r="R549" s="8" t="n">
        <f aca="false">IF(M549&gt;=Models!$G$6,1+COUNTIF($M$5:$M$1517,"&gt;"&amp;M549)+COUNTIFS($M$5:$M$1517,M549,$B$5:$B$1517,"&lt;"&amp;B549)+COUNTIFS($M$5:$M$1517,M549,$B$5:$B$1517,B549,$C$5:$C$1517,"&lt;"&amp;C549),"")</f>
        <v>76</v>
      </c>
      <c r="S549" s="8" t="n">
        <f aca="false">IF(N549&gt;=Models!$G$7,1+COUNTIF($N$5:$N$1517,"&gt;"&amp;N549)+COUNTIFS($N$5:$N$1517,N549,$B$5:$B$1517,"&lt;"&amp;B549)+COUNTIFS($N$5:$N$1517,N549,$B$5:$B$1517,B549,$C$5:$C$1517,"&lt;"&amp;C549),"")</f>
        <v>25</v>
      </c>
      <c r="T549" s="8" t="n">
        <f aca="false">IF(O549&gt;=Models!$G$8,1+COUNTIF($O$5:$O$1517,"&gt;"&amp;O549)+COUNTIFS($O$5:$O$1517,O549,$B$5:$B$1517,"&lt;"&amp;B549)+COUNTIFS($O$5:$O$1517,O549,$B$5:$B$1517,B549,$C$5:$C$1517,"&lt;"&amp;C549),"")</f>
        <v>704</v>
      </c>
      <c r="U549" s="8" t="n">
        <f aca="false">IF($K549=1,COUNTIFS($L$5:$L$1517,"&gt;="&amp;L549,$K$5:$K$1517,1)/COUNTIF($L$5:$L$1517,"&gt;="&amp;L549),0)</f>
        <v>0.129990714948932</v>
      </c>
      <c r="V549" s="8" t="n">
        <f aca="false">IF($K549=1,COUNTIFS($M$5:$M$1517,"&gt;="&amp;M549,$K$5:$K$1517,1)/COUNTIF($M$5:$M$1517,"&gt;="&amp;M549),0)</f>
        <v>0.186528497409326</v>
      </c>
      <c r="W549" s="8" t="n">
        <f aca="false">IF($K549=1,COUNTIFS($N$5:$N$1517,"&gt;="&amp;N549,$K$5:$K$1517,1)/COUNTIF($N$5:$N$1517,"&gt;="&amp;N549),0)</f>
        <v>0.36</v>
      </c>
      <c r="X549" s="8" t="n">
        <f aca="false">IF($K549=1,COUNTIFS($O$5:$O$1517,"&gt;="&amp;O549,$K$5:$K$1517,1)/COUNTIF($O$5:$O$1517,"&gt;="&amp;O549),0)</f>
        <v>0.12491738268341</v>
      </c>
      <c r="Y549" s="8" t="n">
        <f aca="false">IF($K549=1,COUNTIFS($P$5:$P$1517,"&gt;="&amp;P549,$K$5:$K$1517,1)/COUNTIF($P$5:$P$1517,"&gt;="&amp;P549),0)</f>
        <v>0.36</v>
      </c>
      <c r="Z549" s="8" t="n">
        <f aca="false">(L549-$K549)^2</f>
        <v>0.520856663616</v>
      </c>
      <c r="AA549" s="8" t="n">
        <f aca="false">(M549-$K549)^2</f>
        <v>0.665511692521</v>
      </c>
      <c r="AB549" s="8" t="n">
        <f aca="false">(N549-$K549)^2</f>
        <v>0.580005619561</v>
      </c>
      <c r="AC549" s="8" t="n">
        <f aca="false">(O549-$K549)^2</f>
        <v>0.798908829489</v>
      </c>
      <c r="AD549" s="8" t="n">
        <f aca="false">(P549-$K549)^2</f>
        <v>0.548081105625</v>
      </c>
      <c r="AE549" s="8" t="n">
        <f aca="false">MIN(INT(ROUND(N549*1000000,0)/100000),9)</f>
        <v>2</v>
      </c>
      <c r="AF549" s="8" t="n">
        <f aca="false">MIN(INT(ROUND(P549*1000000,0)/100000),9)</f>
        <v>2</v>
      </c>
    </row>
    <row r="550" customFormat="false" ht="15" hidden="false" customHeight="false" outlineLevel="0" collapsed="false">
      <c r="A550" s="4" t="n">
        <v>546</v>
      </c>
      <c r="B550" s="4" t="n">
        <v>915</v>
      </c>
      <c r="C550" s="4" t="n">
        <v>1</v>
      </c>
      <c r="D550" s="11" t="n">
        <v>46082</v>
      </c>
      <c r="E550" s="4" t="s">
        <v>202</v>
      </c>
      <c r="F550" s="4" t="s">
        <v>206</v>
      </c>
      <c r="G550" s="4" t="n">
        <v>4</v>
      </c>
      <c r="H550" s="4" t="n">
        <v>0</v>
      </c>
      <c r="I550" s="4" t="n">
        <v>0</v>
      </c>
      <c r="J550" s="4" t="n">
        <v>1230</v>
      </c>
      <c r="K550" s="4" t="n">
        <v>1</v>
      </c>
      <c r="L550" s="12" t="n">
        <v>0.314805</v>
      </c>
      <c r="M550" s="12" t="n">
        <v>0.092063</v>
      </c>
      <c r="N550" s="12" t="n">
        <v>0.110323</v>
      </c>
      <c r="O550" s="12" t="n">
        <v>0.106183</v>
      </c>
      <c r="P550" s="12" t="n">
        <v>0.117347</v>
      </c>
      <c r="Q550" s="0" t="str">
        <f aca="false">IF(L550&gt;=Models!$G$5,1+COUNTIF($L$5:$L$1517,"&gt;"&amp;L550)+COUNTIFS($L$5:$L$1517,L550,$B$5:$B$1517,"&lt;"&amp;B550)+COUNTIFS($L$5:$L$1517,L550,$B$5:$B$1517,B550,$C$5:$C$1517,"&lt;"&amp;C550),"")</f>
        <v/>
      </c>
      <c r="R550" s="0" t="str">
        <f aca="false">IF(M550&gt;=Models!$G$6,1+COUNTIF($M$5:$M$1517,"&gt;"&amp;M550)+COUNTIFS($M$5:$M$1517,M550,$B$5:$B$1517,"&lt;"&amp;B550)+COUNTIFS($M$5:$M$1517,M550,$B$5:$B$1517,B550,$C$5:$C$1517,"&lt;"&amp;C550),"")</f>
        <v/>
      </c>
      <c r="S550" s="0" t="str">
        <f aca="false">IF(N550&gt;=Models!$G$7,1+COUNTIF($N$5:$N$1517,"&gt;"&amp;N550)+COUNTIFS($N$5:$N$1517,N550,$B$5:$B$1517,"&lt;"&amp;B550)+COUNTIFS($N$5:$N$1517,N550,$B$5:$B$1517,B550,$C$5:$C$1517,"&lt;"&amp;C550),"")</f>
        <v/>
      </c>
      <c r="T550" s="8" t="n">
        <f aca="false">IF(O550&gt;=Models!$G$8,1+COUNTIF($O$5:$O$1517,"&gt;"&amp;O550)+COUNTIFS($O$5:$O$1517,O550,$B$5:$B$1517,"&lt;"&amp;B550)+COUNTIFS($O$5:$O$1517,O550,$B$5:$B$1517,B550,$C$5:$C$1517,"&lt;"&amp;C550),"")</f>
        <v>708</v>
      </c>
      <c r="U550" s="8" t="n">
        <f aca="false">IF($K550=1,COUNTIFS($L$5:$L$1517,"&gt;="&amp;L550,$K$5:$K$1517,1)/COUNTIF($L$5:$L$1517,"&gt;="&amp;L550),0)</f>
        <v>0.127576054955839</v>
      </c>
      <c r="V550" s="8" t="n">
        <f aca="false">IF($K550=1,COUNTIFS($M$5:$M$1517,"&gt;="&amp;M550,$K$5:$K$1517,1)/COUNTIF($M$5:$M$1517,"&gt;="&amp;M550),0)</f>
        <v>0.12491738268341</v>
      </c>
      <c r="W550" s="8" t="n">
        <f aca="false">IF($K550=1,COUNTIFS($N$5:$N$1517,"&gt;="&amp;N550,$K$5:$K$1517,1)/COUNTIF($N$5:$N$1517,"&gt;="&amp;N550),0)</f>
        <v>0.209876543209877</v>
      </c>
      <c r="X550" s="8" t="n">
        <f aca="false">IF($K550=1,COUNTIFS($O$5:$O$1517,"&gt;="&amp;O550,$K$5:$K$1517,1)/COUNTIF($O$5:$O$1517,"&gt;="&amp;O550),0)</f>
        <v>0.12491738268341</v>
      </c>
      <c r="Y550" s="8" t="n">
        <f aca="false">IF($K550=1,COUNTIFS($P$5:$P$1517,"&gt;="&amp;P550,$K$5:$K$1517,1)/COUNTIF($P$5:$P$1517,"&gt;="&amp;P550),0)</f>
        <v>0.209876543209877</v>
      </c>
      <c r="Z550" s="8" t="n">
        <f aca="false">(L550-$K550)^2</f>
        <v>0.469492188025</v>
      </c>
      <c r="AA550" s="8" t="n">
        <f aca="false">(M550-$K550)^2</f>
        <v>0.824349595969</v>
      </c>
      <c r="AB550" s="8" t="n">
        <f aca="false">(N550-$K550)^2</f>
        <v>0.791525164329</v>
      </c>
      <c r="AC550" s="8" t="n">
        <f aca="false">(O550-$K550)^2</f>
        <v>0.798908829489</v>
      </c>
      <c r="AD550" s="8" t="n">
        <f aca="false">(P550-$K550)^2</f>
        <v>0.779076318409</v>
      </c>
      <c r="AE550" s="8" t="n">
        <f aca="false">MIN(INT(ROUND(N550*1000000,0)/100000),9)</f>
        <v>1</v>
      </c>
      <c r="AF550" s="8" t="n">
        <f aca="false">MIN(INT(ROUND(P550*1000000,0)/100000),9)</f>
        <v>1</v>
      </c>
    </row>
    <row r="551" customFormat="false" ht="15" hidden="false" customHeight="false" outlineLevel="0" collapsed="false">
      <c r="A551" s="4" t="n">
        <v>547</v>
      </c>
      <c r="B551" s="4" t="n">
        <v>918</v>
      </c>
      <c r="C551" s="4" t="n">
        <v>1</v>
      </c>
      <c r="D551" s="11" t="n">
        <v>46082</v>
      </c>
      <c r="E551" s="4" t="s">
        <v>203</v>
      </c>
      <c r="F551" s="4" t="s">
        <v>209</v>
      </c>
      <c r="G551" s="4" t="n">
        <v>5</v>
      </c>
      <c r="H551" s="4" t="n">
        <v>2</v>
      </c>
      <c r="I551" s="4" t="n">
        <v>0</v>
      </c>
      <c r="J551" s="4" t="n">
        <v>384</v>
      </c>
      <c r="K551" s="4" t="n">
        <v>0</v>
      </c>
      <c r="L551" s="12" t="n">
        <v>0.766313</v>
      </c>
      <c r="M551" s="12" t="n">
        <v>0.092063</v>
      </c>
      <c r="N551" s="12" t="n">
        <v>0.107943</v>
      </c>
      <c r="O551" s="12" t="n">
        <v>0.106183</v>
      </c>
      <c r="P551" s="12" t="n">
        <v>0.114717</v>
      </c>
      <c r="Q551" s="0" t="str">
        <f aca="false">IF(L551&gt;=Models!$G$5,1+COUNTIF($L$5:$L$1517,"&gt;"&amp;L551)+COUNTIFS($L$5:$L$1517,L551,$B$5:$B$1517,"&lt;"&amp;B551)+COUNTIFS($L$5:$L$1517,L551,$B$5:$B$1517,B551,$C$5:$C$1517,"&lt;"&amp;C551),"")</f>
        <v/>
      </c>
      <c r="R551" s="0" t="str">
        <f aca="false">IF(M551&gt;=Models!$G$6,1+COUNTIF($M$5:$M$1517,"&gt;"&amp;M551)+COUNTIFS($M$5:$M$1517,M551,$B$5:$B$1517,"&lt;"&amp;B551)+COUNTIFS($M$5:$M$1517,M551,$B$5:$B$1517,B551,$C$5:$C$1517,"&lt;"&amp;C551),"")</f>
        <v/>
      </c>
      <c r="S551" s="0" t="str">
        <f aca="false">IF(N551&gt;=Models!$G$7,1+COUNTIF($N$5:$N$1517,"&gt;"&amp;N551)+COUNTIFS($N$5:$N$1517,N551,$B$5:$B$1517,"&lt;"&amp;B551)+COUNTIFS($N$5:$N$1517,N551,$B$5:$B$1517,B551,$C$5:$C$1517,"&lt;"&amp;C551),"")</f>
        <v/>
      </c>
      <c r="T551" s="8" t="n">
        <f aca="false">IF(O551&gt;=Models!$G$8,1+COUNTIF($O$5:$O$1517,"&gt;"&amp;O551)+COUNTIFS($O$5:$O$1517,O551,$B$5:$B$1517,"&lt;"&amp;B551)+COUNTIFS($O$5:$O$1517,O551,$B$5:$B$1517,B551,$C$5:$C$1517,"&lt;"&amp;C551),"")</f>
        <v>713</v>
      </c>
      <c r="U551" s="8" t="n">
        <f aca="false">IF($K551=1,COUNTIFS($L$5:$L$1517,"&gt;="&amp;L551,$K$5:$K$1517,1)/COUNTIF($L$5:$L$1517,"&gt;="&amp;L551),0)</f>
        <v>0</v>
      </c>
      <c r="V551" s="8" t="n">
        <f aca="false">IF($K551=1,COUNTIFS($M$5:$M$1517,"&gt;="&amp;M551,$K$5:$K$1517,1)/COUNTIF($M$5:$M$1517,"&gt;="&amp;M551),0)</f>
        <v>0</v>
      </c>
      <c r="W551" s="8" t="n">
        <f aca="false">IF($K551=1,COUNTIFS($N$5:$N$1517,"&gt;="&amp;N551,$K$5:$K$1517,1)/COUNTIF($N$5:$N$1517,"&gt;="&amp;N551),0)</f>
        <v>0</v>
      </c>
      <c r="X551" s="8" t="n">
        <f aca="false">IF($K551=1,COUNTIFS($O$5:$O$1517,"&gt;="&amp;O551,$K$5:$K$1517,1)/COUNTIF($O$5:$O$1517,"&gt;="&amp;O551),0)</f>
        <v>0</v>
      </c>
      <c r="Y551" s="8" t="n">
        <f aca="false">IF($K551=1,COUNTIFS($P$5:$P$1517,"&gt;="&amp;P551,$K$5:$K$1517,1)/COUNTIF($P$5:$P$1517,"&gt;="&amp;P551),0)</f>
        <v>0</v>
      </c>
      <c r="Z551" s="8" t="n">
        <f aca="false">(L551-$K551)^2</f>
        <v>0.587235613969</v>
      </c>
      <c r="AA551" s="8" t="n">
        <f aca="false">(M551-$K551)^2</f>
        <v>0.008475595969</v>
      </c>
      <c r="AB551" s="8" t="n">
        <f aca="false">(N551-$K551)^2</f>
        <v>0.011651691249</v>
      </c>
      <c r="AC551" s="8" t="n">
        <f aca="false">(O551-$K551)^2</f>
        <v>0.011274829489</v>
      </c>
      <c r="AD551" s="8" t="n">
        <f aca="false">(P551-$K551)^2</f>
        <v>0.013159990089</v>
      </c>
      <c r="AE551" s="8" t="n">
        <f aca="false">MIN(INT(ROUND(N551*1000000,0)/100000),9)</f>
        <v>1</v>
      </c>
      <c r="AF551" s="8" t="n">
        <f aca="false">MIN(INT(ROUND(P551*1000000,0)/100000),9)</f>
        <v>1</v>
      </c>
    </row>
    <row r="552" customFormat="false" ht="15" hidden="false" customHeight="false" outlineLevel="0" collapsed="false">
      <c r="A552" s="4" t="n">
        <v>548</v>
      </c>
      <c r="B552" s="4" t="n">
        <v>920</v>
      </c>
      <c r="C552" s="4" t="n">
        <v>1</v>
      </c>
      <c r="D552" s="11" t="n">
        <v>46082</v>
      </c>
      <c r="E552" s="4" t="s">
        <v>202</v>
      </c>
      <c r="F552" s="4" t="s">
        <v>206</v>
      </c>
      <c r="G552" s="4" t="n">
        <v>7</v>
      </c>
      <c r="H552" s="4" t="n">
        <v>1</v>
      </c>
      <c r="I552" s="4" t="n">
        <v>0</v>
      </c>
      <c r="J552" s="4" t="n">
        <v>813</v>
      </c>
      <c r="K552" s="4" t="n">
        <v>0</v>
      </c>
      <c r="L552" s="12" t="n">
        <v>0.75723</v>
      </c>
      <c r="M552" s="12" t="n">
        <v>0.092063</v>
      </c>
      <c r="N552" s="12" t="n">
        <v>0.089072</v>
      </c>
      <c r="O552" s="12" t="n">
        <v>0.106183</v>
      </c>
      <c r="P552" s="12" t="n">
        <v>0.093921</v>
      </c>
      <c r="Q552" s="0" t="str">
        <f aca="false">IF(L552&gt;=Models!$G$5,1+COUNTIF($L$5:$L$1517,"&gt;"&amp;L552)+COUNTIFS($L$5:$L$1517,L552,$B$5:$B$1517,"&lt;"&amp;B552)+COUNTIFS($L$5:$L$1517,L552,$B$5:$B$1517,B552,$C$5:$C$1517,"&lt;"&amp;C552),"")</f>
        <v/>
      </c>
      <c r="R552" s="0" t="str">
        <f aca="false">IF(M552&gt;=Models!$G$6,1+COUNTIF($M$5:$M$1517,"&gt;"&amp;M552)+COUNTIFS($M$5:$M$1517,M552,$B$5:$B$1517,"&lt;"&amp;B552)+COUNTIFS($M$5:$M$1517,M552,$B$5:$B$1517,B552,$C$5:$C$1517,"&lt;"&amp;C552),"")</f>
        <v/>
      </c>
      <c r="S552" s="0" t="str">
        <f aca="false">IF(N552&gt;=Models!$G$7,1+COUNTIF($N$5:$N$1517,"&gt;"&amp;N552)+COUNTIFS($N$5:$N$1517,N552,$B$5:$B$1517,"&lt;"&amp;B552)+COUNTIFS($N$5:$N$1517,N552,$B$5:$B$1517,B552,$C$5:$C$1517,"&lt;"&amp;C552),"")</f>
        <v/>
      </c>
      <c r="T552" s="8" t="n">
        <f aca="false">IF(O552&gt;=Models!$G$8,1+COUNTIF($O$5:$O$1517,"&gt;"&amp;O552)+COUNTIFS($O$5:$O$1517,O552,$B$5:$B$1517,"&lt;"&amp;B552)+COUNTIFS($O$5:$O$1517,O552,$B$5:$B$1517,B552,$C$5:$C$1517,"&lt;"&amp;C552),"")</f>
        <v>717</v>
      </c>
      <c r="U552" s="8" t="n">
        <f aca="false">IF($K552=1,COUNTIFS($L$5:$L$1517,"&gt;="&amp;L552,$K$5:$K$1517,1)/COUNTIF($L$5:$L$1517,"&gt;="&amp;L552),0)</f>
        <v>0</v>
      </c>
      <c r="V552" s="8" t="n">
        <f aca="false">IF($K552=1,COUNTIFS($M$5:$M$1517,"&gt;="&amp;M552,$K$5:$K$1517,1)/COUNTIF($M$5:$M$1517,"&gt;="&amp;M552),0)</f>
        <v>0</v>
      </c>
      <c r="W552" s="8" t="n">
        <f aca="false">IF($K552=1,COUNTIFS($N$5:$N$1517,"&gt;="&amp;N552,$K$5:$K$1517,1)/COUNTIF($N$5:$N$1517,"&gt;="&amp;N552),0)</f>
        <v>0</v>
      </c>
      <c r="X552" s="8" t="n">
        <f aca="false">IF($K552=1,COUNTIFS($O$5:$O$1517,"&gt;="&amp;O552,$K$5:$K$1517,1)/COUNTIF($O$5:$O$1517,"&gt;="&amp;O552),0)</f>
        <v>0</v>
      </c>
      <c r="Y552" s="8" t="n">
        <f aca="false">IF($K552=1,COUNTIFS($P$5:$P$1517,"&gt;="&amp;P552,$K$5:$K$1517,1)/COUNTIF($P$5:$P$1517,"&gt;="&amp;P552),0)</f>
        <v>0</v>
      </c>
      <c r="Z552" s="8" t="n">
        <f aca="false">(L552-$K552)^2</f>
        <v>0.5733972729</v>
      </c>
      <c r="AA552" s="8" t="n">
        <f aca="false">(M552-$K552)^2</f>
        <v>0.008475595969</v>
      </c>
      <c r="AB552" s="8" t="n">
        <f aca="false">(N552-$K552)^2</f>
        <v>0.007933821184</v>
      </c>
      <c r="AC552" s="8" t="n">
        <f aca="false">(O552-$K552)^2</f>
        <v>0.011274829489</v>
      </c>
      <c r="AD552" s="8" t="n">
        <f aca="false">(P552-$K552)^2</f>
        <v>0.008821154241</v>
      </c>
      <c r="AE552" s="8" t="n">
        <f aca="false">MIN(INT(ROUND(N552*1000000,0)/100000),9)</f>
        <v>0</v>
      </c>
      <c r="AF552" s="8" t="n">
        <f aca="false">MIN(INT(ROUND(P552*1000000,0)/100000),9)</f>
        <v>0</v>
      </c>
    </row>
    <row r="553" customFormat="false" ht="15" hidden="false" customHeight="false" outlineLevel="0" collapsed="false">
      <c r="A553" s="4" t="n">
        <v>549</v>
      </c>
      <c r="B553" s="4" t="n">
        <v>926</v>
      </c>
      <c r="C553" s="4" t="n">
        <v>1</v>
      </c>
      <c r="D553" s="11" t="n">
        <v>46082</v>
      </c>
      <c r="E553" s="4" t="s">
        <v>204</v>
      </c>
      <c r="F553" s="4" t="s">
        <v>206</v>
      </c>
      <c r="G553" s="4" t="n">
        <v>2</v>
      </c>
      <c r="H553" s="4" t="n">
        <v>14</v>
      </c>
      <c r="I553" s="4" t="n">
        <v>0</v>
      </c>
      <c r="J553" s="4"/>
      <c r="K553" s="4" t="n">
        <v>0</v>
      </c>
      <c r="L553" s="12" t="n">
        <v>0.243732</v>
      </c>
      <c r="M553" s="12" t="n">
        <v>0.092063</v>
      </c>
      <c r="N553" s="12" t="n">
        <v>0.07741</v>
      </c>
      <c r="O553" s="12" t="n">
        <v>0.106183</v>
      </c>
      <c r="P553" s="12" t="n">
        <v>0.081137</v>
      </c>
      <c r="Q553" s="0" t="str">
        <f aca="false">IF(L553&gt;=Models!$G$5,1+COUNTIF($L$5:$L$1517,"&gt;"&amp;L553)+COUNTIFS($L$5:$L$1517,L553,$B$5:$B$1517,"&lt;"&amp;B553)+COUNTIFS($L$5:$L$1517,L553,$B$5:$B$1517,B553,$C$5:$C$1517,"&lt;"&amp;C553),"")</f>
        <v/>
      </c>
      <c r="R553" s="0" t="str">
        <f aca="false">IF(M553&gt;=Models!$G$6,1+COUNTIF($M$5:$M$1517,"&gt;"&amp;M553)+COUNTIFS($M$5:$M$1517,M553,$B$5:$B$1517,"&lt;"&amp;B553)+COUNTIFS($M$5:$M$1517,M553,$B$5:$B$1517,B553,$C$5:$C$1517,"&lt;"&amp;C553),"")</f>
        <v/>
      </c>
      <c r="S553" s="0" t="str">
        <f aca="false">IF(N553&gt;=Models!$G$7,1+COUNTIF($N$5:$N$1517,"&gt;"&amp;N553)+COUNTIFS($N$5:$N$1517,N553,$B$5:$B$1517,"&lt;"&amp;B553)+COUNTIFS($N$5:$N$1517,N553,$B$5:$B$1517,B553,$C$5:$C$1517,"&lt;"&amp;C553),"")</f>
        <v/>
      </c>
      <c r="T553" s="8" t="n">
        <f aca="false">IF(O553&gt;=Models!$G$8,1+COUNTIF($O$5:$O$1517,"&gt;"&amp;O553)+COUNTIFS($O$5:$O$1517,O553,$B$5:$B$1517,"&lt;"&amp;B553)+COUNTIFS($O$5:$O$1517,O553,$B$5:$B$1517,B553,$C$5:$C$1517,"&lt;"&amp;C553),"")</f>
        <v>721</v>
      </c>
      <c r="U553" s="8" t="n">
        <f aca="false">IF($K553=1,COUNTIFS($L$5:$L$1517,"&gt;="&amp;L553,$K$5:$K$1517,1)/COUNTIF($L$5:$L$1517,"&gt;="&amp;L553),0)</f>
        <v>0</v>
      </c>
      <c r="V553" s="8" t="n">
        <f aca="false">IF($K553=1,COUNTIFS($M$5:$M$1517,"&gt;="&amp;M553,$K$5:$K$1517,1)/COUNTIF($M$5:$M$1517,"&gt;="&amp;M553),0)</f>
        <v>0</v>
      </c>
      <c r="W553" s="8" t="n">
        <f aca="false">IF($K553=1,COUNTIFS($N$5:$N$1517,"&gt;="&amp;N553,$K$5:$K$1517,1)/COUNTIF($N$5:$N$1517,"&gt;="&amp;N553),0)</f>
        <v>0</v>
      </c>
      <c r="X553" s="8" t="n">
        <f aca="false">IF($K553=1,COUNTIFS($O$5:$O$1517,"&gt;="&amp;O553,$K$5:$K$1517,1)/COUNTIF($O$5:$O$1517,"&gt;="&amp;O553),0)</f>
        <v>0</v>
      </c>
      <c r="Y553" s="8" t="n">
        <f aca="false">IF($K553=1,COUNTIFS($P$5:$P$1517,"&gt;="&amp;P553,$K$5:$K$1517,1)/COUNTIF($P$5:$P$1517,"&gt;="&amp;P553),0)</f>
        <v>0</v>
      </c>
      <c r="Z553" s="8" t="n">
        <f aca="false">(L553-$K553)^2</f>
        <v>0.059405287824</v>
      </c>
      <c r="AA553" s="8" t="n">
        <f aca="false">(M553-$K553)^2</f>
        <v>0.008475595969</v>
      </c>
      <c r="AB553" s="8" t="n">
        <f aca="false">(N553-$K553)^2</f>
        <v>0.0059923081</v>
      </c>
      <c r="AC553" s="8" t="n">
        <f aca="false">(O553-$K553)^2</f>
        <v>0.011274829489</v>
      </c>
      <c r="AD553" s="8" t="n">
        <f aca="false">(P553-$K553)^2</f>
        <v>0.006583212769</v>
      </c>
      <c r="AE553" s="8" t="n">
        <f aca="false">MIN(INT(ROUND(N553*1000000,0)/100000),9)</f>
        <v>0</v>
      </c>
      <c r="AF553" s="8" t="n">
        <f aca="false">MIN(INT(ROUND(P553*1000000,0)/100000),9)</f>
        <v>0</v>
      </c>
    </row>
    <row r="554" customFormat="false" ht="15" hidden="false" customHeight="false" outlineLevel="0" collapsed="false">
      <c r="A554" s="4" t="n">
        <v>550</v>
      </c>
      <c r="B554" s="4" t="n">
        <v>930</v>
      </c>
      <c r="C554" s="4" t="n">
        <v>1</v>
      </c>
      <c r="D554" s="11" t="n">
        <v>46082</v>
      </c>
      <c r="E554" s="4" t="s">
        <v>204</v>
      </c>
      <c r="F554" s="4" t="s">
        <v>208</v>
      </c>
      <c r="G554" s="4" t="n">
        <v>2</v>
      </c>
      <c r="H554" s="4" t="n">
        <v>7</v>
      </c>
      <c r="I554" s="4" t="n">
        <v>0</v>
      </c>
      <c r="J554" s="4" t="n">
        <v>117</v>
      </c>
      <c r="K554" s="4" t="n">
        <v>0</v>
      </c>
      <c r="L554" s="12" t="n">
        <v>0.354744</v>
      </c>
      <c r="M554" s="12" t="n">
        <v>0.092063</v>
      </c>
      <c r="N554" s="12" t="n">
        <v>0.143628</v>
      </c>
      <c r="O554" s="12" t="n">
        <v>0.106183</v>
      </c>
      <c r="P554" s="12" t="n">
        <v>0.154275</v>
      </c>
      <c r="Q554" s="0" t="str">
        <f aca="false">IF(L554&gt;=Models!$G$5,1+COUNTIF($L$5:$L$1517,"&gt;"&amp;L554)+COUNTIFS($L$5:$L$1517,L554,$B$5:$B$1517,"&lt;"&amp;B554)+COUNTIFS($L$5:$L$1517,L554,$B$5:$B$1517,B554,$C$5:$C$1517,"&lt;"&amp;C554),"")</f>
        <v/>
      </c>
      <c r="R554" s="0" t="str">
        <f aca="false">IF(M554&gt;=Models!$G$6,1+COUNTIF($M$5:$M$1517,"&gt;"&amp;M554)+COUNTIFS($M$5:$M$1517,M554,$B$5:$B$1517,"&lt;"&amp;B554)+COUNTIFS($M$5:$M$1517,M554,$B$5:$B$1517,B554,$C$5:$C$1517,"&lt;"&amp;C554),"")</f>
        <v/>
      </c>
      <c r="S554" s="0" t="str">
        <f aca="false">IF(N554&gt;=Models!$G$7,1+COUNTIF($N$5:$N$1517,"&gt;"&amp;N554)+COUNTIFS($N$5:$N$1517,N554,$B$5:$B$1517,"&lt;"&amp;B554)+COUNTIFS($N$5:$N$1517,N554,$B$5:$B$1517,B554,$C$5:$C$1517,"&lt;"&amp;C554),"")</f>
        <v/>
      </c>
      <c r="T554" s="8" t="n">
        <f aca="false">IF(O554&gt;=Models!$G$8,1+COUNTIF($O$5:$O$1517,"&gt;"&amp;O554)+COUNTIFS($O$5:$O$1517,O554,$B$5:$B$1517,"&lt;"&amp;B554)+COUNTIFS($O$5:$O$1517,O554,$B$5:$B$1517,B554,$C$5:$C$1517,"&lt;"&amp;C554),"")</f>
        <v>725</v>
      </c>
      <c r="U554" s="8" t="n">
        <f aca="false">IF($K554=1,COUNTIFS($L$5:$L$1517,"&gt;="&amp;L554,$K$5:$K$1517,1)/COUNTIF($L$5:$L$1517,"&gt;="&amp;L554),0)</f>
        <v>0</v>
      </c>
      <c r="V554" s="8" t="n">
        <f aca="false">IF($K554=1,COUNTIFS($M$5:$M$1517,"&gt;="&amp;M554,$K$5:$K$1517,1)/COUNTIF($M$5:$M$1517,"&gt;="&amp;M554),0)</f>
        <v>0</v>
      </c>
      <c r="W554" s="8" t="n">
        <f aca="false">IF($K554=1,COUNTIFS($N$5:$N$1517,"&gt;="&amp;N554,$K$5:$K$1517,1)/COUNTIF($N$5:$N$1517,"&gt;="&amp;N554),0)</f>
        <v>0</v>
      </c>
      <c r="X554" s="8" t="n">
        <f aca="false">IF($K554=1,COUNTIFS($O$5:$O$1517,"&gt;="&amp;O554,$K$5:$K$1517,1)/COUNTIF($O$5:$O$1517,"&gt;="&amp;O554),0)</f>
        <v>0</v>
      </c>
      <c r="Y554" s="8" t="n">
        <f aca="false">IF($K554=1,COUNTIFS($P$5:$P$1517,"&gt;="&amp;P554,$K$5:$K$1517,1)/COUNTIF($P$5:$P$1517,"&gt;="&amp;P554),0)</f>
        <v>0</v>
      </c>
      <c r="Z554" s="8" t="n">
        <f aca="false">(L554-$K554)^2</f>
        <v>0.125843305536</v>
      </c>
      <c r="AA554" s="8" t="n">
        <f aca="false">(M554-$K554)^2</f>
        <v>0.008475595969</v>
      </c>
      <c r="AB554" s="8" t="n">
        <f aca="false">(N554-$K554)^2</f>
        <v>0.020629002384</v>
      </c>
      <c r="AC554" s="8" t="n">
        <f aca="false">(O554-$K554)^2</f>
        <v>0.011274829489</v>
      </c>
      <c r="AD554" s="8" t="n">
        <f aca="false">(P554-$K554)^2</f>
        <v>0.023800775625</v>
      </c>
      <c r="AE554" s="8" t="n">
        <f aca="false">MIN(INT(ROUND(N554*1000000,0)/100000),9)</f>
        <v>1</v>
      </c>
      <c r="AF554" s="8" t="n">
        <f aca="false">MIN(INT(ROUND(P554*1000000,0)/100000),9)</f>
        <v>1</v>
      </c>
    </row>
    <row r="555" customFormat="false" ht="15" hidden="false" customHeight="false" outlineLevel="0" collapsed="false">
      <c r="A555" s="4" t="n">
        <v>551</v>
      </c>
      <c r="B555" s="4" t="n">
        <v>934</v>
      </c>
      <c r="C555" s="4" t="n">
        <v>1</v>
      </c>
      <c r="D555" s="11" t="n">
        <v>46082</v>
      </c>
      <c r="E555" s="4" t="s">
        <v>204</v>
      </c>
      <c r="F555" s="4" t="s">
        <v>206</v>
      </c>
      <c r="G555" s="4" t="n">
        <v>5</v>
      </c>
      <c r="H555" s="4" t="n">
        <v>12</v>
      </c>
      <c r="I555" s="4" t="n">
        <v>0</v>
      </c>
      <c r="J555" s="4"/>
      <c r="K555" s="4" t="n">
        <v>0</v>
      </c>
      <c r="L555" s="12" t="n">
        <v>0.029801</v>
      </c>
      <c r="M555" s="12" t="n">
        <v>0.092063</v>
      </c>
      <c r="N555" s="12" t="n">
        <v>0.059276</v>
      </c>
      <c r="O555" s="12" t="n">
        <v>0.106183</v>
      </c>
      <c r="P555" s="12" t="n">
        <v>0.061399</v>
      </c>
      <c r="Q555" s="0" t="str">
        <f aca="false">IF(L555&gt;=Models!$G$5,1+COUNTIF($L$5:$L$1517,"&gt;"&amp;L555)+COUNTIFS($L$5:$L$1517,L555,$B$5:$B$1517,"&lt;"&amp;B555)+COUNTIFS($L$5:$L$1517,L555,$B$5:$B$1517,B555,$C$5:$C$1517,"&lt;"&amp;C555),"")</f>
        <v/>
      </c>
      <c r="R555" s="0" t="str">
        <f aca="false">IF(M555&gt;=Models!$G$6,1+COUNTIF($M$5:$M$1517,"&gt;"&amp;M555)+COUNTIFS($M$5:$M$1517,M555,$B$5:$B$1517,"&lt;"&amp;B555)+COUNTIFS($M$5:$M$1517,M555,$B$5:$B$1517,B555,$C$5:$C$1517,"&lt;"&amp;C555),"")</f>
        <v/>
      </c>
      <c r="S555" s="0" t="str">
        <f aca="false">IF(N555&gt;=Models!$G$7,1+COUNTIF($N$5:$N$1517,"&gt;"&amp;N555)+COUNTIFS($N$5:$N$1517,N555,$B$5:$B$1517,"&lt;"&amp;B555)+COUNTIFS($N$5:$N$1517,N555,$B$5:$B$1517,B555,$C$5:$C$1517,"&lt;"&amp;C555),"")</f>
        <v/>
      </c>
      <c r="T555" s="8" t="n">
        <f aca="false">IF(O555&gt;=Models!$G$8,1+COUNTIF($O$5:$O$1517,"&gt;"&amp;O555)+COUNTIFS($O$5:$O$1517,O555,$B$5:$B$1517,"&lt;"&amp;B555)+COUNTIFS($O$5:$O$1517,O555,$B$5:$B$1517,B555,$C$5:$C$1517,"&lt;"&amp;C555),"")</f>
        <v>729</v>
      </c>
      <c r="U555" s="8" t="n">
        <f aca="false">IF($K555=1,COUNTIFS($L$5:$L$1517,"&gt;="&amp;L555,$K$5:$K$1517,1)/COUNTIF($L$5:$L$1517,"&gt;="&amp;L555),0)</f>
        <v>0</v>
      </c>
      <c r="V555" s="8" t="n">
        <f aca="false">IF($K555=1,COUNTIFS($M$5:$M$1517,"&gt;="&amp;M555,$K$5:$K$1517,1)/COUNTIF($M$5:$M$1517,"&gt;="&amp;M555),0)</f>
        <v>0</v>
      </c>
      <c r="W555" s="8" t="n">
        <f aca="false">IF($K555=1,COUNTIFS($N$5:$N$1517,"&gt;="&amp;N555,$K$5:$K$1517,1)/COUNTIF($N$5:$N$1517,"&gt;="&amp;N555),0)</f>
        <v>0</v>
      </c>
      <c r="X555" s="8" t="n">
        <f aca="false">IF($K555=1,COUNTIFS($O$5:$O$1517,"&gt;="&amp;O555,$K$5:$K$1517,1)/COUNTIF($O$5:$O$1517,"&gt;="&amp;O555),0)</f>
        <v>0</v>
      </c>
      <c r="Y555" s="8" t="n">
        <f aca="false">IF($K555=1,COUNTIFS($P$5:$P$1517,"&gt;="&amp;P555,$K$5:$K$1517,1)/COUNTIF($P$5:$P$1517,"&gt;="&amp;P555),0)</f>
        <v>0</v>
      </c>
      <c r="Z555" s="8" t="n">
        <f aca="false">(L555-$K555)^2</f>
        <v>0.000888099601</v>
      </c>
      <c r="AA555" s="8" t="n">
        <f aca="false">(M555-$K555)^2</f>
        <v>0.008475595969</v>
      </c>
      <c r="AB555" s="8" t="n">
        <f aca="false">(N555-$K555)^2</f>
        <v>0.003513644176</v>
      </c>
      <c r="AC555" s="8" t="n">
        <f aca="false">(O555-$K555)^2</f>
        <v>0.011274829489</v>
      </c>
      <c r="AD555" s="8" t="n">
        <f aca="false">(P555-$K555)^2</f>
        <v>0.003769837201</v>
      </c>
      <c r="AE555" s="8" t="n">
        <f aca="false">MIN(INT(ROUND(N555*1000000,0)/100000),9)</f>
        <v>0</v>
      </c>
      <c r="AF555" s="8" t="n">
        <f aca="false">MIN(INT(ROUND(P555*1000000,0)/100000),9)</f>
        <v>0</v>
      </c>
    </row>
    <row r="556" customFormat="false" ht="15" hidden="false" customHeight="false" outlineLevel="0" collapsed="false">
      <c r="A556" s="4" t="n">
        <v>552</v>
      </c>
      <c r="B556" s="4" t="n">
        <v>935</v>
      </c>
      <c r="C556" s="4" t="n">
        <v>1</v>
      </c>
      <c r="D556" s="11" t="n">
        <v>46082</v>
      </c>
      <c r="E556" s="4" t="s">
        <v>201</v>
      </c>
      <c r="F556" s="4" t="s">
        <v>208</v>
      </c>
      <c r="G556" s="4" t="n">
        <v>20</v>
      </c>
      <c r="H556" s="4" t="n">
        <v>4</v>
      </c>
      <c r="I556" s="4" t="n">
        <v>0</v>
      </c>
      <c r="J556" s="4"/>
      <c r="K556" s="4" t="n">
        <v>0</v>
      </c>
      <c r="L556" s="12" t="n">
        <v>0.66372</v>
      </c>
      <c r="M556" s="12" t="n">
        <v>0.092063</v>
      </c>
      <c r="N556" s="12" t="n">
        <v>0.01507</v>
      </c>
      <c r="O556" s="12" t="n">
        <v>0.106183</v>
      </c>
      <c r="P556" s="12" t="n">
        <v>0.014633</v>
      </c>
      <c r="Q556" s="0" t="str">
        <f aca="false">IF(L556&gt;=Models!$G$5,1+COUNTIF($L$5:$L$1517,"&gt;"&amp;L556)+COUNTIFS($L$5:$L$1517,L556,$B$5:$B$1517,"&lt;"&amp;B556)+COUNTIFS($L$5:$L$1517,L556,$B$5:$B$1517,B556,$C$5:$C$1517,"&lt;"&amp;C556),"")</f>
        <v/>
      </c>
      <c r="R556" s="0" t="str">
        <f aca="false">IF(M556&gt;=Models!$G$6,1+COUNTIF($M$5:$M$1517,"&gt;"&amp;M556)+COUNTIFS($M$5:$M$1517,M556,$B$5:$B$1517,"&lt;"&amp;B556)+COUNTIFS($M$5:$M$1517,M556,$B$5:$B$1517,B556,$C$5:$C$1517,"&lt;"&amp;C556),"")</f>
        <v/>
      </c>
      <c r="S556" s="0" t="str">
        <f aca="false">IF(N556&gt;=Models!$G$7,1+COUNTIF($N$5:$N$1517,"&gt;"&amp;N556)+COUNTIFS($N$5:$N$1517,N556,$B$5:$B$1517,"&lt;"&amp;B556)+COUNTIFS($N$5:$N$1517,N556,$B$5:$B$1517,B556,$C$5:$C$1517,"&lt;"&amp;C556),"")</f>
        <v/>
      </c>
      <c r="T556" s="8" t="n">
        <f aca="false">IF(O556&gt;=Models!$G$8,1+COUNTIF($O$5:$O$1517,"&gt;"&amp;O556)+COUNTIFS($O$5:$O$1517,O556,$B$5:$B$1517,"&lt;"&amp;B556)+COUNTIFS($O$5:$O$1517,O556,$B$5:$B$1517,B556,$C$5:$C$1517,"&lt;"&amp;C556),"")</f>
        <v>733</v>
      </c>
      <c r="U556" s="8" t="n">
        <f aca="false">IF($K556=1,COUNTIFS($L$5:$L$1517,"&gt;="&amp;L556,$K$5:$K$1517,1)/COUNTIF($L$5:$L$1517,"&gt;="&amp;L556),0)</f>
        <v>0</v>
      </c>
      <c r="V556" s="8" t="n">
        <f aca="false">IF($K556=1,COUNTIFS($M$5:$M$1517,"&gt;="&amp;M556,$K$5:$K$1517,1)/COUNTIF($M$5:$M$1517,"&gt;="&amp;M556),0)</f>
        <v>0</v>
      </c>
      <c r="W556" s="8" t="n">
        <f aca="false">IF($K556=1,COUNTIFS($N$5:$N$1517,"&gt;="&amp;N556,$K$5:$K$1517,1)/COUNTIF($N$5:$N$1517,"&gt;="&amp;N556),0)</f>
        <v>0</v>
      </c>
      <c r="X556" s="8" t="n">
        <f aca="false">IF($K556=1,COUNTIFS($O$5:$O$1517,"&gt;="&amp;O556,$K$5:$K$1517,1)/COUNTIF($O$5:$O$1517,"&gt;="&amp;O556),0)</f>
        <v>0</v>
      </c>
      <c r="Y556" s="8" t="n">
        <f aca="false">IF($K556=1,COUNTIFS($P$5:$P$1517,"&gt;="&amp;P556,$K$5:$K$1517,1)/COUNTIF($P$5:$P$1517,"&gt;="&amp;P556),0)</f>
        <v>0</v>
      </c>
      <c r="Z556" s="8" t="n">
        <f aca="false">(L556-$K556)^2</f>
        <v>0.4405242384</v>
      </c>
      <c r="AA556" s="8" t="n">
        <f aca="false">(M556-$K556)^2</f>
        <v>0.008475595969</v>
      </c>
      <c r="AB556" s="8" t="n">
        <f aca="false">(N556-$K556)^2</f>
        <v>0.0002271049</v>
      </c>
      <c r="AC556" s="8" t="n">
        <f aca="false">(O556-$K556)^2</f>
        <v>0.011274829489</v>
      </c>
      <c r="AD556" s="8" t="n">
        <f aca="false">(P556-$K556)^2</f>
        <v>0.000214124689</v>
      </c>
      <c r="AE556" s="8" t="n">
        <f aca="false">MIN(INT(ROUND(N556*1000000,0)/100000),9)</f>
        <v>0</v>
      </c>
      <c r="AF556" s="8" t="n">
        <f aca="false">MIN(INT(ROUND(P556*1000000,0)/100000),9)</f>
        <v>0</v>
      </c>
    </row>
    <row r="557" customFormat="false" ht="15" hidden="false" customHeight="false" outlineLevel="0" collapsed="false">
      <c r="A557" s="4" t="n">
        <v>553</v>
      </c>
      <c r="B557" s="4" t="n">
        <v>937</v>
      </c>
      <c r="C557" s="4" t="n">
        <v>1</v>
      </c>
      <c r="D557" s="11" t="n">
        <v>46082</v>
      </c>
      <c r="E557" s="4" t="s">
        <v>203</v>
      </c>
      <c r="F557" s="4" t="s">
        <v>209</v>
      </c>
      <c r="G557" s="4" t="n">
        <v>6</v>
      </c>
      <c r="H557" s="4" t="n">
        <v>7</v>
      </c>
      <c r="I557" s="4" t="n">
        <v>0</v>
      </c>
      <c r="J557" s="4"/>
      <c r="K557" s="4" t="n">
        <v>0</v>
      </c>
      <c r="L557" s="12" t="n">
        <v>0.511583</v>
      </c>
      <c r="M557" s="12" t="n">
        <v>0.092063</v>
      </c>
      <c r="N557" s="12" t="n">
        <v>0.052382</v>
      </c>
      <c r="O557" s="12" t="n">
        <v>0.106183</v>
      </c>
      <c r="P557" s="12" t="n">
        <v>0.053953</v>
      </c>
      <c r="Q557" s="0" t="str">
        <f aca="false">IF(L557&gt;=Models!$G$5,1+COUNTIF($L$5:$L$1517,"&gt;"&amp;L557)+COUNTIFS($L$5:$L$1517,L557,$B$5:$B$1517,"&lt;"&amp;B557)+COUNTIFS($L$5:$L$1517,L557,$B$5:$B$1517,B557,$C$5:$C$1517,"&lt;"&amp;C557),"")</f>
        <v/>
      </c>
      <c r="R557" s="0" t="str">
        <f aca="false">IF(M557&gt;=Models!$G$6,1+COUNTIF($M$5:$M$1517,"&gt;"&amp;M557)+COUNTIFS($M$5:$M$1517,M557,$B$5:$B$1517,"&lt;"&amp;B557)+COUNTIFS($M$5:$M$1517,M557,$B$5:$B$1517,B557,$C$5:$C$1517,"&lt;"&amp;C557),"")</f>
        <v/>
      </c>
      <c r="S557" s="0" t="str">
        <f aca="false">IF(N557&gt;=Models!$G$7,1+COUNTIF($N$5:$N$1517,"&gt;"&amp;N557)+COUNTIFS($N$5:$N$1517,N557,$B$5:$B$1517,"&lt;"&amp;B557)+COUNTIFS($N$5:$N$1517,N557,$B$5:$B$1517,B557,$C$5:$C$1517,"&lt;"&amp;C557),"")</f>
        <v/>
      </c>
      <c r="T557" s="8" t="n">
        <f aca="false">IF(O557&gt;=Models!$G$8,1+COUNTIF($O$5:$O$1517,"&gt;"&amp;O557)+COUNTIFS($O$5:$O$1517,O557,$B$5:$B$1517,"&lt;"&amp;B557)+COUNTIFS($O$5:$O$1517,O557,$B$5:$B$1517,B557,$C$5:$C$1517,"&lt;"&amp;C557),"")</f>
        <v>737</v>
      </c>
      <c r="U557" s="8" t="n">
        <f aca="false">IF($K557=1,COUNTIFS($L$5:$L$1517,"&gt;="&amp;L557,$K$5:$K$1517,1)/COUNTIF($L$5:$L$1517,"&gt;="&amp;L557),0)</f>
        <v>0</v>
      </c>
      <c r="V557" s="8" t="n">
        <f aca="false">IF($K557=1,COUNTIFS($M$5:$M$1517,"&gt;="&amp;M557,$K$5:$K$1517,1)/COUNTIF($M$5:$M$1517,"&gt;="&amp;M557),0)</f>
        <v>0</v>
      </c>
      <c r="W557" s="8" t="n">
        <f aca="false">IF($K557=1,COUNTIFS($N$5:$N$1517,"&gt;="&amp;N557,$K$5:$K$1517,1)/COUNTIF($N$5:$N$1517,"&gt;="&amp;N557),0)</f>
        <v>0</v>
      </c>
      <c r="X557" s="8" t="n">
        <f aca="false">IF($K557=1,COUNTIFS($O$5:$O$1517,"&gt;="&amp;O557,$K$5:$K$1517,1)/COUNTIF($O$5:$O$1517,"&gt;="&amp;O557),0)</f>
        <v>0</v>
      </c>
      <c r="Y557" s="8" t="n">
        <f aca="false">IF($K557=1,COUNTIFS($P$5:$P$1517,"&gt;="&amp;P557,$K$5:$K$1517,1)/COUNTIF($P$5:$P$1517,"&gt;="&amp;P557),0)</f>
        <v>0</v>
      </c>
      <c r="Z557" s="8" t="n">
        <f aca="false">(L557-$K557)^2</f>
        <v>0.261717165889</v>
      </c>
      <c r="AA557" s="8" t="n">
        <f aca="false">(M557-$K557)^2</f>
        <v>0.008475595969</v>
      </c>
      <c r="AB557" s="8" t="n">
        <f aca="false">(N557-$K557)^2</f>
        <v>0.002743873924</v>
      </c>
      <c r="AC557" s="8" t="n">
        <f aca="false">(O557-$K557)^2</f>
        <v>0.011274829489</v>
      </c>
      <c r="AD557" s="8" t="n">
        <f aca="false">(P557-$K557)^2</f>
        <v>0.002910926209</v>
      </c>
      <c r="AE557" s="8" t="n">
        <f aca="false">MIN(INT(ROUND(N557*1000000,0)/100000),9)</f>
        <v>0</v>
      </c>
      <c r="AF557" s="8" t="n">
        <f aca="false">MIN(INT(ROUND(P557*1000000,0)/100000),9)</f>
        <v>0</v>
      </c>
    </row>
    <row r="558" customFormat="false" ht="15" hidden="false" customHeight="false" outlineLevel="0" collapsed="false">
      <c r="A558" s="4" t="n">
        <v>554</v>
      </c>
      <c r="B558" s="4" t="n">
        <v>939</v>
      </c>
      <c r="C558" s="4" t="n">
        <v>1</v>
      </c>
      <c r="D558" s="11" t="n">
        <v>46082</v>
      </c>
      <c r="E558" s="4" t="s">
        <v>203</v>
      </c>
      <c r="F558" s="4" t="s">
        <v>209</v>
      </c>
      <c r="G558" s="4" t="n">
        <v>1</v>
      </c>
      <c r="H558" s="4" t="n">
        <v>8</v>
      </c>
      <c r="I558" s="4" t="n">
        <v>0</v>
      </c>
      <c r="J558" s="4" t="n">
        <v>342</v>
      </c>
      <c r="K558" s="4" t="n">
        <v>1</v>
      </c>
      <c r="L558" s="12" t="n">
        <v>0.117359</v>
      </c>
      <c r="M558" s="12" t="n">
        <v>0.092063</v>
      </c>
      <c r="N558" s="12" t="n">
        <v>0.154419</v>
      </c>
      <c r="O558" s="12" t="n">
        <v>0.106183</v>
      </c>
      <c r="P558" s="12" t="n">
        <v>0.166272</v>
      </c>
      <c r="Q558" s="0" t="str">
        <f aca="false">IF(L558&gt;=Models!$G$5,1+COUNTIF($L$5:$L$1517,"&gt;"&amp;L558)+COUNTIFS($L$5:$L$1517,L558,$B$5:$B$1517,"&lt;"&amp;B558)+COUNTIFS($L$5:$L$1517,L558,$B$5:$B$1517,B558,$C$5:$C$1517,"&lt;"&amp;C558),"")</f>
        <v/>
      </c>
      <c r="R558" s="0" t="str">
        <f aca="false">IF(M558&gt;=Models!$G$6,1+COUNTIF($M$5:$M$1517,"&gt;"&amp;M558)+COUNTIFS($M$5:$M$1517,M558,$B$5:$B$1517,"&lt;"&amp;B558)+COUNTIFS($M$5:$M$1517,M558,$B$5:$B$1517,B558,$C$5:$C$1517,"&lt;"&amp;C558),"")</f>
        <v/>
      </c>
      <c r="S558" s="0" t="str">
        <f aca="false">IF(N558&gt;=Models!$G$7,1+COUNTIF($N$5:$N$1517,"&gt;"&amp;N558)+COUNTIFS($N$5:$N$1517,N558,$B$5:$B$1517,"&lt;"&amp;B558)+COUNTIFS($N$5:$N$1517,N558,$B$5:$B$1517,B558,$C$5:$C$1517,"&lt;"&amp;C558),"")</f>
        <v/>
      </c>
      <c r="T558" s="8" t="n">
        <f aca="false">IF(O558&gt;=Models!$G$8,1+COUNTIF($O$5:$O$1517,"&gt;"&amp;O558)+COUNTIFS($O$5:$O$1517,O558,$B$5:$B$1517,"&lt;"&amp;B558)+COUNTIFS($O$5:$O$1517,O558,$B$5:$B$1517,B558,$C$5:$C$1517,"&lt;"&amp;C558),"")</f>
        <v>741</v>
      </c>
      <c r="U558" s="8" t="n">
        <f aca="false">IF($K558=1,COUNTIFS($L$5:$L$1517,"&gt;="&amp;L558,$K$5:$K$1517,1)/COUNTIF($L$5:$L$1517,"&gt;="&amp;L558),0)</f>
        <v>0.122448979591837</v>
      </c>
      <c r="V558" s="8" t="n">
        <f aca="false">IF($K558=1,COUNTIFS($M$5:$M$1517,"&gt;="&amp;M558,$K$5:$K$1517,1)/COUNTIF($M$5:$M$1517,"&gt;="&amp;M558),0)</f>
        <v>0.12491738268341</v>
      </c>
      <c r="W558" s="8" t="n">
        <f aca="false">IF($K558=1,COUNTIFS($N$5:$N$1517,"&gt;="&amp;N558,$K$5:$K$1517,1)/COUNTIF($N$5:$N$1517,"&gt;="&amp;N558),0)</f>
        <v>0.297752808988764</v>
      </c>
      <c r="X558" s="8" t="n">
        <f aca="false">IF($K558=1,COUNTIFS($O$5:$O$1517,"&gt;="&amp;O558,$K$5:$K$1517,1)/COUNTIF($O$5:$O$1517,"&gt;="&amp;O558),0)</f>
        <v>0.12491738268341</v>
      </c>
      <c r="Y558" s="8" t="n">
        <f aca="false">IF($K558=1,COUNTIFS($P$5:$P$1517,"&gt;="&amp;P558,$K$5:$K$1517,1)/COUNTIF($P$5:$P$1517,"&gt;="&amp;P558),0)</f>
        <v>0.297752808988764</v>
      </c>
      <c r="Z558" s="8" t="n">
        <f aca="false">(L558-$K558)^2</f>
        <v>0.779055134881</v>
      </c>
      <c r="AA558" s="8" t="n">
        <f aca="false">(M558-$K558)^2</f>
        <v>0.824349595969</v>
      </c>
      <c r="AB558" s="8" t="n">
        <f aca="false">(N558-$K558)^2</f>
        <v>0.715007227561</v>
      </c>
      <c r="AC558" s="8" t="n">
        <f aca="false">(O558-$K558)^2</f>
        <v>0.798908829489</v>
      </c>
      <c r="AD558" s="8" t="n">
        <f aca="false">(P558-$K558)^2</f>
        <v>0.695102377984</v>
      </c>
      <c r="AE558" s="8" t="n">
        <f aca="false">MIN(INT(ROUND(N558*1000000,0)/100000),9)</f>
        <v>1</v>
      </c>
      <c r="AF558" s="8" t="n">
        <f aca="false">MIN(INT(ROUND(P558*1000000,0)/100000),9)</f>
        <v>1</v>
      </c>
    </row>
    <row r="559" customFormat="false" ht="15" hidden="false" customHeight="false" outlineLevel="0" collapsed="false">
      <c r="A559" s="4" t="n">
        <v>555</v>
      </c>
      <c r="B559" s="4" t="n">
        <v>942</v>
      </c>
      <c r="C559" s="4" t="n">
        <v>1</v>
      </c>
      <c r="D559" s="11" t="n">
        <v>46082</v>
      </c>
      <c r="E559" s="4" t="s">
        <v>203</v>
      </c>
      <c r="F559" s="4" t="s">
        <v>209</v>
      </c>
      <c r="G559" s="4" t="n">
        <v>10</v>
      </c>
      <c r="H559" s="4" t="n">
        <v>2</v>
      </c>
      <c r="I559" s="4" t="n">
        <v>0</v>
      </c>
      <c r="J559" s="4" t="n">
        <v>381</v>
      </c>
      <c r="K559" s="4" t="n">
        <v>0</v>
      </c>
      <c r="L559" s="12" t="n">
        <v>0.034702</v>
      </c>
      <c r="M559" s="12" t="n">
        <v>0.092063</v>
      </c>
      <c r="N559" s="12" t="n">
        <v>0.071643</v>
      </c>
      <c r="O559" s="12" t="n">
        <v>0.106183</v>
      </c>
      <c r="P559" s="12" t="n">
        <v>0.074839</v>
      </c>
      <c r="Q559" s="0" t="str">
        <f aca="false">IF(L559&gt;=Models!$G$5,1+COUNTIF($L$5:$L$1517,"&gt;"&amp;L559)+COUNTIFS($L$5:$L$1517,L559,$B$5:$B$1517,"&lt;"&amp;B559)+COUNTIFS($L$5:$L$1517,L559,$B$5:$B$1517,B559,$C$5:$C$1517,"&lt;"&amp;C559),"")</f>
        <v/>
      </c>
      <c r="R559" s="0" t="str">
        <f aca="false">IF(M559&gt;=Models!$G$6,1+COUNTIF($M$5:$M$1517,"&gt;"&amp;M559)+COUNTIFS($M$5:$M$1517,M559,$B$5:$B$1517,"&lt;"&amp;B559)+COUNTIFS($M$5:$M$1517,M559,$B$5:$B$1517,B559,$C$5:$C$1517,"&lt;"&amp;C559),"")</f>
        <v/>
      </c>
      <c r="S559" s="0" t="str">
        <f aca="false">IF(N559&gt;=Models!$G$7,1+COUNTIF($N$5:$N$1517,"&gt;"&amp;N559)+COUNTIFS($N$5:$N$1517,N559,$B$5:$B$1517,"&lt;"&amp;B559)+COUNTIFS($N$5:$N$1517,N559,$B$5:$B$1517,B559,$C$5:$C$1517,"&lt;"&amp;C559),"")</f>
        <v/>
      </c>
      <c r="T559" s="8" t="n">
        <f aca="false">IF(O559&gt;=Models!$G$8,1+COUNTIF($O$5:$O$1517,"&gt;"&amp;O559)+COUNTIFS($O$5:$O$1517,O559,$B$5:$B$1517,"&lt;"&amp;B559)+COUNTIFS($O$5:$O$1517,O559,$B$5:$B$1517,B559,$C$5:$C$1517,"&lt;"&amp;C559),"")</f>
        <v>744</v>
      </c>
      <c r="U559" s="8" t="n">
        <f aca="false">IF($K559=1,COUNTIFS($L$5:$L$1517,"&gt;="&amp;L559,$K$5:$K$1517,1)/COUNTIF($L$5:$L$1517,"&gt;="&amp;L559),0)</f>
        <v>0</v>
      </c>
      <c r="V559" s="8" t="n">
        <f aca="false">IF($K559=1,COUNTIFS($M$5:$M$1517,"&gt;="&amp;M559,$K$5:$K$1517,1)/COUNTIF($M$5:$M$1517,"&gt;="&amp;M559),0)</f>
        <v>0</v>
      </c>
      <c r="W559" s="8" t="n">
        <f aca="false">IF($K559=1,COUNTIFS($N$5:$N$1517,"&gt;="&amp;N559,$K$5:$K$1517,1)/COUNTIF($N$5:$N$1517,"&gt;="&amp;N559),0)</f>
        <v>0</v>
      </c>
      <c r="X559" s="8" t="n">
        <f aca="false">IF($K559=1,COUNTIFS($O$5:$O$1517,"&gt;="&amp;O559,$K$5:$K$1517,1)/COUNTIF($O$5:$O$1517,"&gt;="&amp;O559),0)</f>
        <v>0</v>
      </c>
      <c r="Y559" s="8" t="n">
        <f aca="false">IF($K559=1,COUNTIFS($P$5:$P$1517,"&gt;="&amp;P559,$K$5:$K$1517,1)/COUNTIF($P$5:$P$1517,"&gt;="&amp;P559),0)</f>
        <v>0</v>
      </c>
      <c r="Z559" s="8" t="n">
        <f aca="false">(L559-$K559)^2</f>
        <v>0.001204228804</v>
      </c>
      <c r="AA559" s="8" t="n">
        <f aca="false">(M559-$K559)^2</f>
        <v>0.008475595969</v>
      </c>
      <c r="AB559" s="8" t="n">
        <f aca="false">(N559-$K559)^2</f>
        <v>0.005132719449</v>
      </c>
      <c r="AC559" s="8" t="n">
        <f aca="false">(O559-$K559)^2</f>
        <v>0.011274829489</v>
      </c>
      <c r="AD559" s="8" t="n">
        <f aca="false">(P559-$K559)^2</f>
        <v>0.005600875921</v>
      </c>
      <c r="AE559" s="8" t="n">
        <f aca="false">MIN(INT(ROUND(N559*1000000,0)/100000),9)</f>
        <v>0</v>
      </c>
      <c r="AF559" s="8" t="n">
        <f aca="false">MIN(INT(ROUND(P559*1000000,0)/100000),9)</f>
        <v>0</v>
      </c>
    </row>
    <row r="560" customFormat="false" ht="15" hidden="false" customHeight="false" outlineLevel="0" collapsed="false">
      <c r="A560" s="4" t="n">
        <v>556</v>
      </c>
      <c r="B560" s="4" t="n">
        <v>943</v>
      </c>
      <c r="C560" s="4" t="n">
        <v>1</v>
      </c>
      <c r="D560" s="11" t="n">
        <v>46082</v>
      </c>
      <c r="E560" s="4" t="s">
        <v>204</v>
      </c>
      <c r="F560" s="4" t="s">
        <v>208</v>
      </c>
      <c r="G560" s="4" t="n">
        <v>2</v>
      </c>
      <c r="H560" s="4" t="n">
        <v>16</v>
      </c>
      <c r="I560" s="4" t="n">
        <v>0</v>
      </c>
      <c r="J560" s="4" t="n">
        <v>78</v>
      </c>
      <c r="K560" s="4" t="n">
        <v>1</v>
      </c>
      <c r="L560" s="12" t="n">
        <v>0.468968</v>
      </c>
      <c r="M560" s="12" t="n">
        <v>0.092063</v>
      </c>
      <c r="N560" s="12" t="n">
        <v>0.153234</v>
      </c>
      <c r="O560" s="12" t="n">
        <v>0.106183</v>
      </c>
      <c r="P560" s="12" t="n">
        <v>0.164954</v>
      </c>
      <c r="Q560" s="0" t="str">
        <f aca="false">IF(L560&gt;=Models!$G$5,1+COUNTIF($L$5:$L$1517,"&gt;"&amp;L560)+COUNTIFS($L$5:$L$1517,L560,$B$5:$B$1517,"&lt;"&amp;B560)+COUNTIFS($L$5:$L$1517,L560,$B$5:$B$1517,B560,$C$5:$C$1517,"&lt;"&amp;C560),"")</f>
        <v/>
      </c>
      <c r="R560" s="0" t="str">
        <f aca="false">IF(M560&gt;=Models!$G$6,1+COUNTIF($M$5:$M$1517,"&gt;"&amp;M560)+COUNTIFS($M$5:$M$1517,M560,$B$5:$B$1517,"&lt;"&amp;B560)+COUNTIFS($M$5:$M$1517,M560,$B$5:$B$1517,B560,$C$5:$C$1517,"&lt;"&amp;C560),"")</f>
        <v/>
      </c>
      <c r="S560" s="0" t="str">
        <f aca="false">IF(N560&gt;=Models!$G$7,1+COUNTIF($N$5:$N$1517,"&gt;"&amp;N560)+COUNTIFS($N$5:$N$1517,N560,$B$5:$B$1517,"&lt;"&amp;B560)+COUNTIFS($N$5:$N$1517,N560,$B$5:$B$1517,B560,$C$5:$C$1517,"&lt;"&amp;C560),"")</f>
        <v/>
      </c>
      <c r="T560" s="8" t="n">
        <f aca="false">IF(O560&gt;=Models!$G$8,1+COUNTIF($O$5:$O$1517,"&gt;"&amp;O560)+COUNTIFS($O$5:$O$1517,O560,$B$5:$B$1517,"&lt;"&amp;B560)+COUNTIFS($O$5:$O$1517,O560,$B$5:$B$1517,B560,$C$5:$C$1517,"&lt;"&amp;C560),"")</f>
        <v>748</v>
      </c>
      <c r="U560" s="8" t="n">
        <f aca="false">IF($K560=1,COUNTIFS($L$5:$L$1517,"&gt;="&amp;L560,$K$5:$K$1517,1)/COUNTIF($L$5:$L$1517,"&gt;="&amp;L560),0)</f>
        <v>0.122474747474747</v>
      </c>
      <c r="V560" s="8" t="n">
        <f aca="false">IF($K560=1,COUNTIFS($M$5:$M$1517,"&gt;="&amp;M560,$K$5:$K$1517,1)/COUNTIF($M$5:$M$1517,"&gt;="&amp;M560),0)</f>
        <v>0.12491738268341</v>
      </c>
      <c r="W560" s="8" t="n">
        <f aca="false">IF($K560=1,COUNTIFS($N$5:$N$1517,"&gt;="&amp;N560,$K$5:$K$1517,1)/COUNTIF($N$5:$N$1517,"&gt;="&amp;N560),0)</f>
        <v>0.288770053475936</v>
      </c>
      <c r="X560" s="8" t="n">
        <f aca="false">IF($K560=1,COUNTIFS($O$5:$O$1517,"&gt;="&amp;O560,$K$5:$K$1517,1)/COUNTIF($O$5:$O$1517,"&gt;="&amp;O560),0)</f>
        <v>0.12491738268341</v>
      </c>
      <c r="Y560" s="8" t="n">
        <f aca="false">IF($K560=1,COUNTIFS($P$5:$P$1517,"&gt;="&amp;P560,$K$5:$K$1517,1)/COUNTIF($P$5:$P$1517,"&gt;="&amp;P560),0)</f>
        <v>0.288770053475936</v>
      </c>
      <c r="Z560" s="8" t="n">
        <f aca="false">(L560-$K560)^2</f>
        <v>0.281994985024</v>
      </c>
      <c r="AA560" s="8" t="n">
        <f aca="false">(M560-$K560)^2</f>
        <v>0.824349595969</v>
      </c>
      <c r="AB560" s="8" t="n">
        <f aca="false">(N560-$K560)^2</f>
        <v>0.717012658756</v>
      </c>
      <c r="AC560" s="8" t="n">
        <f aca="false">(O560-$K560)^2</f>
        <v>0.798908829489</v>
      </c>
      <c r="AD560" s="8" t="n">
        <f aca="false">(P560-$K560)^2</f>
        <v>0.697301822116</v>
      </c>
      <c r="AE560" s="8" t="n">
        <f aca="false">MIN(INT(ROUND(N560*1000000,0)/100000),9)</f>
        <v>1</v>
      </c>
      <c r="AF560" s="8" t="n">
        <f aca="false">MIN(INT(ROUND(P560*1000000,0)/100000),9)</f>
        <v>1</v>
      </c>
    </row>
    <row r="561" customFormat="false" ht="15" hidden="false" customHeight="false" outlineLevel="0" collapsed="false">
      <c r="A561" s="4" t="n">
        <v>557</v>
      </c>
      <c r="B561" s="4" t="n">
        <v>944</v>
      </c>
      <c r="C561" s="4" t="n">
        <v>1</v>
      </c>
      <c r="D561" s="11" t="n">
        <v>46082</v>
      </c>
      <c r="E561" s="4" t="s">
        <v>204</v>
      </c>
      <c r="F561" s="4" t="s">
        <v>209</v>
      </c>
      <c r="G561" s="4" t="n">
        <v>2</v>
      </c>
      <c r="H561" s="4" t="n">
        <v>13</v>
      </c>
      <c r="I561" s="4" t="n">
        <v>0</v>
      </c>
      <c r="J561" s="4" t="n">
        <v>75</v>
      </c>
      <c r="K561" s="4" t="n">
        <v>1</v>
      </c>
      <c r="L561" s="12" t="n">
        <v>0.862755</v>
      </c>
      <c r="M561" s="12" t="n">
        <v>0.092063</v>
      </c>
      <c r="N561" s="12" t="n">
        <v>0.150094</v>
      </c>
      <c r="O561" s="12" t="n">
        <v>0.106183</v>
      </c>
      <c r="P561" s="12" t="n">
        <v>0.161462</v>
      </c>
      <c r="Q561" s="0" t="str">
        <f aca="false">IF(L561&gt;=Models!$G$5,1+COUNTIF($L$5:$L$1517,"&gt;"&amp;L561)+COUNTIFS($L$5:$L$1517,L561,$B$5:$B$1517,"&lt;"&amp;B561)+COUNTIFS($L$5:$L$1517,L561,$B$5:$B$1517,B561,$C$5:$C$1517,"&lt;"&amp;C561),"")</f>
        <v/>
      </c>
      <c r="R561" s="0" t="str">
        <f aca="false">IF(M561&gt;=Models!$G$6,1+COUNTIF($M$5:$M$1517,"&gt;"&amp;M561)+COUNTIFS($M$5:$M$1517,M561,$B$5:$B$1517,"&lt;"&amp;B561)+COUNTIFS($M$5:$M$1517,M561,$B$5:$B$1517,B561,$C$5:$C$1517,"&lt;"&amp;C561),"")</f>
        <v/>
      </c>
      <c r="S561" s="0" t="str">
        <f aca="false">IF(N561&gt;=Models!$G$7,1+COUNTIF($N$5:$N$1517,"&gt;"&amp;N561)+COUNTIFS($N$5:$N$1517,N561,$B$5:$B$1517,"&lt;"&amp;B561)+COUNTIFS($N$5:$N$1517,N561,$B$5:$B$1517,B561,$C$5:$C$1517,"&lt;"&amp;C561),"")</f>
        <v/>
      </c>
      <c r="T561" s="8" t="n">
        <f aca="false">IF(O561&gt;=Models!$G$8,1+COUNTIF($O$5:$O$1517,"&gt;"&amp;O561)+COUNTIFS($O$5:$O$1517,O561,$B$5:$B$1517,"&lt;"&amp;B561)+COUNTIFS($O$5:$O$1517,O561,$B$5:$B$1517,B561,$C$5:$C$1517,"&lt;"&amp;C561),"")</f>
        <v>752</v>
      </c>
      <c r="U561" s="8" t="n">
        <f aca="false">IF($K561=1,COUNTIFS($L$5:$L$1517,"&gt;="&amp;L561,$K$5:$K$1517,1)/COUNTIF($L$5:$L$1517,"&gt;="&amp;L561),0)</f>
        <v>0.122448979591837</v>
      </c>
      <c r="V561" s="8" t="n">
        <f aca="false">IF($K561=1,COUNTIFS($M$5:$M$1517,"&gt;="&amp;M561,$K$5:$K$1517,1)/COUNTIF($M$5:$M$1517,"&gt;="&amp;M561),0)</f>
        <v>0.12491738268341</v>
      </c>
      <c r="W561" s="8" t="n">
        <f aca="false">IF($K561=1,COUNTIFS($N$5:$N$1517,"&gt;="&amp;N561,$K$5:$K$1517,1)/COUNTIF($N$5:$N$1517,"&gt;="&amp;N561),0)</f>
        <v>0.3</v>
      </c>
      <c r="X561" s="8" t="n">
        <f aca="false">IF($K561=1,COUNTIFS($O$5:$O$1517,"&gt;="&amp;O561,$K$5:$K$1517,1)/COUNTIF($O$5:$O$1517,"&gt;="&amp;O561),0)</f>
        <v>0.12491738268341</v>
      </c>
      <c r="Y561" s="8" t="n">
        <f aca="false">IF($K561=1,COUNTIFS($P$5:$P$1517,"&gt;="&amp;P561,$K$5:$K$1517,1)/COUNTIF($P$5:$P$1517,"&gt;="&amp;P561),0)</f>
        <v>0.3</v>
      </c>
      <c r="Z561" s="8" t="n">
        <f aca="false">(L561-$K561)^2</f>
        <v>0.018836190025</v>
      </c>
      <c r="AA561" s="8" t="n">
        <f aca="false">(M561-$K561)^2</f>
        <v>0.824349595969</v>
      </c>
      <c r="AB561" s="8" t="n">
        <f aca="false">(N561-$K561)^2</f>
        <v>0.722340208836</v>
      </c>
      <c r="AC561" s="8" t="n">
        <f aca="false">(O561-$K561)^2</f>
        <v>0.798908829489</v>
      </c>
      <c r="AD561" s="8" t="n">
        <f aca="false">(P561-$K561)^2</f>
        <v>0.703145977444</v>
      </c>
      <c r="AE561" s="8" t="n">
        <f aca="false">MIN(INT(ROUND(N561*1000000,0)/100000),9)</f>
        <v>1</v>
      </c>
      <c r="AF561" s="8" t="n">
        <f aca="false">MIN(INT(ROUND(P561*1000000,0)/100000),9)</f>
        <v>1</v>
      </c>
    </row>
    <row r="562" customFormat="false" ht="15" hidden="false" customHeight="false" outlineLevel="0" collapsed="false">
      <c r="A562" s="4" t="n">
        <v>558</v>
      </c>
      <c r="B562" s="4" t="n">
        <v>950</v>
      </c>
      <c r="C562" s="4" t="n">
        <v>1</v>
      </c>
      <c r="D562" s="11" t="n">
        <v>46082</v>
      </c>
      <c r="E562" s="4" t="s">
        <v>202</v>
      </c>
      <c r="F562" s="4" t="s">
        <v>208</v>
      </c>
      <c r="G562" s="4" t="n">
        <v>7</v>
      </c>
      <c r="H562" s="4" t="n">
        <v>2</v>
      </c>
      <c r="I562" s="4" t="n">
        <v>0</v>
      </c>
      <c r="J562" s="4"/>
      <c r="K562" s="4" t="n">
        <v>0</v>
      </c>
      <c r="L562" s="12" t="n">
        <v>0.604864</v>
      </c>
      <c r="M562" s="12" t="n">
        <v>0.092063</v>
      </c>
      <c r="N562" s="12" t="n">
        <v>0.046248</v>
      </c>
      <c r="O562" s="12" t="n">
        <v>0.106183</v>
      </c>
      <c r="P562" s="12" t="n">
        <v>0.047363</v>
      </c>
      <c r="Q562" s="0" t="str">
        <f aca="false">IF(L562&gt;=Models!$G$5,1+COUNTIF($L$5:$L$1517,"&gt;"&amp;L562)+COUNTIFS($L$5:$L$1517,L562,$B$5:$B$1517,"&lt;"&amp;B562)+COUNTIFS($L$5:$L$1517,L562,$B$5:$B$1517,B562,$C$5:$C$1517,"&lt;"&amp;C562),"")</f>
        <v/>
      </c>
      <c r="R562" s="0" t="str">
        <f aca="false">IF(M562&gt;=Models!$G$6,1+COUNTIF($M$5:$M$1517,"&gt;"&amp;M562)+COUNTIFS($M$5:$M$1517,M562,$B$5:$B$1517,"&lt;"&amp;B562)+COUNTIFS($M$5:$M$1517,M562,$B$5:$B$1517,B562,$C$5:$C$1517,"&lt;"&amp;C562),"")</f>
        <v/>
      </c>
      <c r="S562" s="0" t="str">
        <f aca="false">IF(N562&gt;=Models!$G$7,1+COUNTIF($N$5:$N$1517,"&gt;"&amp;N562)+COUNTIFS($N$5:$N$1517,N562,$B$5:$B$1517,"&lt;"&amp;B562)+COUNTIFS($N$5:$N$1517,N562,$B$5:$B$1517,B562,$C$5:$C$1517,"&lt;"&amp;C562),"")</f>
        <v/>
      </c>
      <c r="T562" s="8" t="n">
        <f aca="false">IF(O562&gt;=Models!$G$8,1+COUNTIF($O$5:$O$1517,"&gt;"&amp;O562)+COUNTIFS($O$5:$O$1517,O562,$B$5:$B$1517,"&lt;"&amp;B562)+COUNTIFS($O$5:$O$1517,O562,$B$5:$B$1517,B562,$C$5:$C$1517,"&lt;"&amp;C562),"")</f>
        <v>755</v>
      </c>
      <c r="U562" s="8" t="n">
        <f aca="false">IF($K562=1,COUNTIFS($L$5:$L$1517,"&gt;="&amp;L562,$K$5:$K$1517,1)/COUNTIF($L$5:$L$1517,"&gt;="&amp;L562),0)</f>
        <v>0</v>
      </c>
      <c r="V562" s="8" t="n">
        <f aca="false">IF($K562=1,COUNTIFS($M$5:$M$1517,"&gt;="&amp;M562,$K$5:$K$1517,1)/COUNTIF($M$5:$M$1517,"&gt;="&amp;M562),0)</f>
        <v>0</v>
      </c>
      <c r="W562" s="8" t="n">
        <f aca="false">IF($K562=1,COUNTIFS($N$5:$N$1517,"&gt;="&amp;N562,$K$5:$K$1517,1)/COUNTIF($N$5:$N$1517,"&gt;="&amp;N562),0)</f>
        <v>0</v>
      </c>
      <c r="X562" s="8" t="n">
        <f aca="false">IF($K562=1,COUNTIFS($O$5:$O$1517,"&gt;="&amp;O562,$K$5:$K$1517,1)/COUNTIF($O$5:$O$1517,"&gt;="&amp;O562),0)</f>
        <v>0</v>
      </c>
      <c r="Y562" s="8" t="n">
        <f aca="false">IF($K562=1,COUNTIFS($P$5:$P$1517,"&gt;="&amp;P562,$K$5:$K$1517,1)/COUNTIF($P$5:$P$1517,"&gt;="&amp;P562),0)</f>
        <v>0</v>
      </c>
      <c r="Z562" s="8" t="n">
        <f aca="false">(L562-$K562)^2</f>
        <v>0.365860458496</v>
      </c>
      <c r="AA562" s="8" t="n">
        <f aca="false">(M562-$K562)^2</f>
        <v>0.008475595969</v>
      </c>
      <c r="AB562" s="8" t="n">
        <f aca="false">(N562-$K562)^2</f>
        <v>0.002138877504</v>
      </c>
      <c r="AC562" s="8" t="n">
        <f aca="false">(O562-$K562)^2</f>
        <v>0.011274829489</v>
      </c>
      <c r="AD562" s="8" t="n">
        <f aca="false">(P562-$K562)^2</f>
        <v>0.002243253769</v>
      </c>
      <c r="AE562" s="8" t="n">
        <f aca="false">MIN(INT(ROUND(N562*1000000,0)/100000),9)</f>
        <v>0</v>
      </c>
      <c r="AF562" s="8" t="n">
        <f aca="false">MIN(INT(ROUND(P562*1000000,0)/100000),9)</f>
        <v>0</v>
      </c>
    </row>
    <row r="563" customFormat="false" ht="15" hidden="false" customHeight="false" outlineLevel="0" collapsed="false">
      <c r="A563" s="4" t="n">
        <v>559</v>
      </c>
      <c r="B563" s="4" t="n">
        <v>951</v>
      </c>
      <c r="C563" s="4" t="n">
        <v>1</v>
      </c>
      <c r="D563" s="11" t="n">
        <v>46082</v>
      </c>
      <c r="E563" s="4" t="s">
        <v>202</v>
      </c>
      <c r="F563" s="4" t="s">
        <v>206</v>
      </c>
      <c r="G563" s="4" t="n">
        <v>2</v>
      </c>
      <c r="H563" s="4" t="n">
        <v>8</v>
      </c>
      <c r="I563" s="4" t="n">
        <v>0</v>
      </c>
      <c r="J563" s="4" t="n">
        <v>1525.5</v>
      </c>
      <c r="K563" s="4" t="n">
        <v>0</v>
      </c>
      <c r="L563" s="12" t="n">
        <v>0.614274</v>
      </c>
      <c r="M563" s="12" t="n">
        <v>0.092063</v>
      </c>
      <c r="N563" s="12" t="n">
        <v>0.134811</v>
      </c>
      <c r="O563" s="12" t="n">
        <v>0.106183</v>
      </c>
      <c r="P563" s="12" t="n">
        <v>0.144482</v>
      </c>
      <c r="Q563" s="0" t="str">
        <f aca="false">IF(L563&gt;=Models!$G$5,1+COUNTIF($L$5:$L$1517,"&gt;"&amp;L563)+COUNTIFS($L$5:$L$1517,L563,$B$5:$B$1517,"&lt;"&amp;B563)+COUNTIFS($L$5:$L$1517,L563,$B$5:$B$1517,B563,$C$5:$C$1517,"&lt;"&amp;C563),"")</f>
        <v/>
      </c>
      <c r="R563" s="0" t="str">
        <f aca="false">IF(M563&gt;=Models!$G$6,1+COUNTIF($M$5:$M$1517,"&gt;"&amp;M563)+COUNTIFS($M$5:$M$1517,M563,$B$5:$B$1517,"&lt;"&amp;B563)+COUNTIFS($M$5:$M$1517,M563,$B$5:$B$1517,B563,$C$5:$C$1517,"&lt;"&amp;C563),"")</f>
        <v/>
      </c>
      <c r="S563" s="0" t="str">
        <f aca="false">IF(N563&gt;=Models!$G$7,1+COUNTIF($N$5:$N$1517,"&gt;"&amp;N563)+COUNTIFS($N$5:$N$1517,N563,$B$5:$B$1517,"&lt;"&amp;B563)+COUNTIFS($N$5:$N$1517,N563,$B$5:$B$1517,B563,$C$5:$C$1517,"&lt;"&amp;C563),"")</f>
        <v/>
      </c>
      <c r="T563" s="8" t="n">
        <f aca="false">IF(O563&gt;=Models!$G$8,1+COUNTIF($O$5:$O$1517,"&gt;"&amp;O563)+COUNTIFS($O$5:$O$1517,O563,$B$5:$B$1517,"&lt;"&amp;B563)+COUNTIFS($O$5:$O$1517,O563,$B$5:$B$1517,B563,$C$5:$C$1517,"&lt;"&amp;C563),"")</f>
        <v>759</v>
      </c>
      <c r="U563" s="8" t="n">
        <f aca="false">IF($K563=1,COUNTIFS($L$5:$L$1517,"&gt;="&amp;L563,$K$5:$K$1517,1)/COUNTIF($L$5:$L$1517,"&gt;="&amp;L563),0)</f>
        <v>0</v>
      </c>
      <c r="V563" s="8" t="n">
        <f aca="false">IF($K563=1,COUNTIFS($M$5:$M$1517,"&gt;="&amp;M563,$K$5:$K$1517,1)/COUNTIF($M$5:$M$1517,"&gt;="&amp;M563),0)</f>
        <v>0</v>
      </c>
      <c r="W563" s="8" t="n">
        <f aca="false">IF($K563=1,COUNTIFS($N$5:$N$1517,"&gt;="&amp;N563,$K$5:$K$1517,1)/COUNTIF($N$5:$N$1517,"&gt;="&amp;N563),0)</f>
        <v>0</v>
      </c>
      <c r="X563" s="8" t="n">
        <f aca="false">IF($K563=1,COUNTIFS($O$5:$O$1517,"&gt;="&amp;O563,$K$5:$K$1517,1)/COUNTIF($O$5:$O$1517,"&gt;="&amp;O563),0)</f>
        <v>0</v>
      </c>
      <c r="Y563" s="8" t="n">
        <f aca="false">IF($K563=1,COUNTIFS($P$5:$P$1517,"&gt;="&amp;P563,$K$5:$K$1517,1)/COUNTIF($P$5:$P$1517,"&gt;="&amp;P563),0)</f>
        <v>0</v>
      </c>
      <c r="Z563" s="8" t="n">
        <f aca="false">(L563-$K563)^2</f>
        <v>0.377332547076</v>
      </c>
      <c r="AA563" s="8" t="n">
        <f aca="false">(M563-$K563)^2</f>
        <v>0.008475595969</v>
      </c>
      <c r="AB563" s="8" t="n">
        <f aca="false">(N563-$K563)^2</f>
        <v>0.018174005721</v>
      </c>
      <c r="AC563" s="8" t="n">
        <f aca="false">(O563-$K563)^2</f>
        <v>0.011274829489</v>
      </c>
      <c r="AD563" s="8" t="n">
        <f aca="false">(P563-$K563)^2</f>
        <v>0.020875048324</v>
      </c>
      <c r="AE563" s="8" t="n">
        <f aca="false">MIN(INT(ROUND(N563*1000000,0)/100000),9)</f>
        <v>1</v>
      </c>
      <c r="AF563" s="8" t="n">
        <f aca="false">MIN(INT(ROUND(P563*1000000,0)/100000),9)</f>
        <v>1</v>
      </c>
    </row>
    <row r="564" customFormat="false" ht="15" hidden="false" customHeight="false" outlineLevel="0" collapsed="false">
      <c r="A564" s="4" t="n">
        <v>560</v>
      </c>
      <c r="B564" s="4" t="n">
        <v>953</v>
      </c>
      <c r="C564" s="4" t="n">
        <v>1</v>
      </c>
      <c r="D564" s="11" t="n">
        <v>46082</v>
      </c>
      <c r="E564" s="4" t="s">
        <v>204</v>
      </c>
      <c r="F564" s="4" t="s">
        <v>209</v>
      </c>
      <c r="G564" s="4" t="n">
        <v>6</v>
      </c>
      <c r="H564" s="4" t="n">
        <v>12</v>
      </c>
      <c r="I564" s="4" t="n">
        <v>0</v>
      </c>
      <c r="J564" s="4" t="n">
        <v>96</v>
      </c>
      <c r="K564" s="4" t="n">
        <v>0</v>
      </c>
      <c r="L564" s="12" t="n">
        <v>0.070285</v>
      </c>
      <c r="M564" s="12" t="n">
        <v>0.092063</v>
      </c>
      <c r="N564" s="12" t="n">
        <v>0.108782</v>
      </c>
      <c r="O564" s="12" t="n">
        <v>0.106183</v>
      </c>
      <c r="P564" s="12" t="n">
        <v>0.115644</v>
      </c>
      <c r="Q564" s="0" t="str">
        <f aca="false">IF(L564&gt;=Models!$G$5,1+COUNTIF($L$5:$L$1517,"&gt;"&amp;L564)+COUNTIFS($L$5:$L$1517,L564,$B$5:$B$1517,"&lt;"&amp;B564)+COUNTIFS($L$5:$L$1517,L564,$B$5:$B$1517,B564,$C$5:$C$1517,"&lt;"&amp;C564),"")</f>
        <v/>
      </c>
      <c r="R564" s="0" t="str">
        <f aca="false">IF(M564&gt;=Models!$G$6,1+COUNTIF($M$5:$M$1517,"&gt;"&amp;M564)+COUNTIFS($M$5:$M$1517,M564,$B$5:$B$1517,"&lt;"&amp;B564)+COUNTIFS($M$5:$M$1517,M564,$B$5:$B$1517,B564,$C$5:$C$1517,"&lt;"&amp;C564),"")</f>
        <v/>
      </c>
      <c r="S564" s="0" t="str">
        <f aca="false">IF(N564&gt;=Models!$G$7,1+COUNTIF($N$5:$N$1517,"&gt;"&amp;N564)+COUNTIFS($N$5:$N$1517,N564,$B$5:$B$1517,"&lt;"&amp;B564)+COUNTIFS($N$5:$N$1517,N564,$B$5:$B$1517,B564,$C$5:$C$1517,"&lt;"&amp;C564),"")</f>
        <v/>
      </c>
      <c r="T564" s="8" t="n">
        <f aca="false">IF(O564&gt;=Models!$G$8,1+COUNTIF($O$5:$O$1517,"&gt;"&amp;O564)+COUNTIFS($O$5:$O$1517,O564,$B$5:$B$1517,"&lt;"&amp;B564)+COUNTIFS($O$5:$O$1517,O564,$B$5:$B$1517,B564,$C$5:$C$1517,"&lt;"&amp;C564),"")</f>
        <v>763</v>
      </c>
      <c r="U564" s="8" t="n">
        <f aca="false">IF($K564=1,COUNTIFS($L$5:$L$1517,"&gt;="&amp;L564,$K$5:$K$1517,1)/COUNTIF($L$5:$L$1517,"&gt;="&amp;L564),0)</f>
        <v>0</v>
      </c>
      <c r="V564" s="8" t="n">
        <f aca="false">IF($K564=1,COUNTIFS($M$5:$M$1517,"&gt;="&amp;M564,$K$5:$K$1517,1)/COUNTIF($M$5:$M$1517,"&gt;="&amp;M564),0)</f>
        <v>0</v>
      </c>
      <c r="W564" s="8" t="n">
        <f aca="false">IF($K564=1,COUNTIFS($N$5:$N$1517,"&gt;="&amp;N564,$K$5:$K$1517,1)/COUNTIF($N$5:$N$1517,"&gt;="&amp;N564),0)</f>
        <v>0</v>
      </c>
      <c r="X564" s="8" t="n">
        <f aca="false">IF($K564=1,COUNTIFS($O$5:$O$1517,"&gt;="&amp;O564,$K$5:$K$1517,1)/COUNTIF($O$5:$O$1517,"&gt;="&amp;O564),0)</f>
        <v>0</v>
      </c>
      <c r="Y564" s="8" t="n">
        <f aca="false">IF($K564=1,COUNTIFS($P$5:$P$1517,"&gt;="&amp;P564,$K$5:$K$1517,1)/COUNTIF($P$5:$P$1517,"&gt;="&amp;P564),0)</f>
        <v>0</v>
      </c>
      <c r="Z564" s="8" t="n">
        <f aca="false">(L564-$K564)^2</f>
        <v>0.004939981225</v>
      </c>
      <c r="AA564" s="8" t="n">
        <f aca="false">(M564-$K564)^2</f>
        <v>0.008475595969</v>
      </c>
      <c r="AB564" s="8" t="n">
        <f aca="false">(N564-$K564)^2</f>
        <v>0.011833523524</v>
      </c>
      <c r="AC564" s="8" t="n">
        <f aca="false">(O564-$K564)^2</f>
        <v>0.011274829489</v>
      </c>
      <c r="AD564" s="8" t="n">
        <f aca="false">(P564-$K564)^2</f>
        <v>0.013373534736</v>
      </c>
      <c r="AE564" s="8" t="n">
        <f aca="false">MIN(INT(ROUND(N564*1000000,0)/100000),9)</f>
        <v>1</v>
      </c>
      <c r="AF564" s="8" t="n">
        <f aca="false">MIN(INT(ROUND(P564*1000000,0)/100000),9)</f>
        <v>1</v>
      </c>
    </row>
    <row r="565" customFormat="false" ht="15" hidden="false" customHeight="false" outlineLevel="0" collapsed="false">
      <c r="A565" s="4" t="n">
        <v>561</v>
      </c>
      <c r="B565" s="4" t="n">
        <v>971</v>
      </c>
      <c r="C565" s="4" t="n">
        <v>1</v>
      </c>
      <c r="D565" s="11" t="n">
        <v>46082</v>
      </c>
      <c r="E565" s="4" t="s">
        <v>203</v>
      </c>
      <c r="F565" s="4" t="s">
        <v>206</v>
      </c>
      <c r="G565" s="4" t="n">
        <v>3</v>
      </c>
      <c r="H565" s="4" t="n">
        <v>0</v>
      </c>
      <c r="I565" s="4" t="n">
        <v>0</v>
      </c>
      <c r="J565" s="4" t="n">
        <v>287.7</v>
      </c>
      <c r="K565" s="4" t="n">
        <v>1</v>
      </c>
      <c r="L565" s="12" t="n">
        <v>0.995764</v>
      </c>
      <c r="M565" s="12" t="n">
        <v>0.092063</v>
      </c>
      <c r="N565" s="12" t="n">
        <v>0.125347</v>
      </c>
      <c r="O565" s="12" t="n">
        <v>0.106183</v>
      </c>
      <c r="P565" s="12" t="n">
        <v>0.133982</v>
      </c>
      <c r="Q565" s="8" t="n">
        <f aca="false">IF(L565&gt;=Models!$G$5,1+COUNTIF($L$5:$L$1517,"&gt;"&amp;L565)+COUNTIFS($L$5:$L$1517,L565,$B$5:$B$1517,"&lt;"&amp;B565)+COUNTIFS($L$5:$L$1517,L565,$B$5:$B$1517,B565,$C$5:$C$1517,"&lt;"&amp;C565),"")</f>
        <v>7</v>
      </c>
      <c r="R565" s="0" t="str">
        <f aca="false">IF(M565&gt;=Models!$G$6,1+COUNTIF($M$5:$M$1517,"&gt;"&amp;M565)+COUNTIFS($M$5:$M$1517,M565,$B$5:$B$1517,"&lt;"&amp;B565)+COUNTIFS($M$5:$M$1517,M565,$B$5:$B$1517,B565,$C$5:$C$1517,"&lt;"&amp;C565),"")</f>
        <v/>
      </c>
      <c r="S565" s="0" t="str">
        <f aca="false">IF(N565&gt;=Models!$G$7,1+COUNTIF($N$5:$N$1517,"&gt;"&amp;N565)+COUNTIFS($N$5:$N$1517,N565,$B$5:$B$1517,"&lt;"&amp;B565)+COUNTIFS($N$5:$N$1517,N565,$B$5:$B$1517,B565,$C$5:$C$1517,"&lt;"&amp;C565),"")</f>
        <v/>
      </c>
      <c r="T565" s="8" t="n">
        <f aca="false">IF(O565&gt;=Models!$G$8,1+COUNTIF($O$5:$O$1517,"&gt;"&amp;O565)+COUNTIFS($O$5:$O$1517,O565,$B$5:$B$1517,"&lt;"&amp;B565)+COUNTIFS($O$5:$O$1517,O565,$B$5:$B$1517,B565,$C$5:$C$1517,"&lt;"&amp;C565),"")</f>
        <v>767</v>
      </c>
      <c r="U565" s="8" t="n">
        <f aca="false">IF($K565=1,COUNTIFS($L$5:$L$1517,"&gt;="&amp;L565,$K$5:$K$1517,1)/COUNTIF($L$5:$L$1517,"&gt;="&amp;L565),0)</f>
        <v>0.142857142857143</v>
      </c>
      <c r="V565" s="8" t="n">
        <f aca="false">IF($K565=1,COUNTIFS($M$5:$M$1517,"&gt;="&amp;M565,$K$5:$K$1517,1)/COUNTIF($M$5:$M$1517,"&gt;="&amp;M565),0)</f>
        <v>0.12491738268341</v>
      </c>
      <c r="W565" s="8" t="n">
        <f aca="false">IF($K565=1,COUNTIFS($N$5:$N$1517,"&gt;="&amp;N565,$K$5:$K$1517,1)/COUNTIF($N$5:$N$1517,"&gt;="&amp;N565),0)</f>
        <v>0.237163814180929</v>
      </c>
      <c r="X565" s="8" t="n">
        <f aca="false">IF($K565=1,COUNTIFS($O$5:$O$1517,"&gt;="&amp;O565,$K$5:$K$1517,1)/COUNTIF($O$5:$O$1517,"&gt;="&amp;O565),0)</f>
        <v>0.12491738268341</v>
      </c>
      <c r="Y565" s="8" t="n">
        <f aca="false">IF($K565=1,COUNTIFS($P$5:$P$1517,"&gt;="&amp;P565,$K$5:$K$1517,1)/COUNTIF($P$5:$P$1517,"&gt;="&amp;P565),0)</f>
        <v>0.237163814180929</v>
      </c>
      <c r="Z565" s="8" t="n">
        <f aca="false">(L565-$K565)^2</f>
        <v>1.79436960000001E-005</v>
      </c>
      <c r="AA565" s="8" t="n">
        <f aca="false">(M565-$K565)^2</f>
        <v>0.824349595969</v>
      </c>
      <c r="AB565" s="8" t="n">
        <f aca="false">(N565-$K565)^2</f>
        <v>0.765017870409</v>
      </c>
      <c r="AC565" s="8" t="n">
        <f aca="false">(O565-$K565)^2</f>
        <v>0.798908829489</v>
      </c>
      <c r="AD565" s="8" t="n">
        <f aca="false">(P565-$K565)^2</f>
        <v>0.749987176324</v>
      </c>
      <c r="AE565" s="8" t="n">
        <f aca="false">MIN(INT(ROUND(N565*1000000,0)/100000),9)</f>
        <v>1</v>
      </c>
      <c r="AF565" s="8" t="n">
        <f aca="false">MIN(INT(ROUND(P565*1000000,0)/100000),9)</f>
        <v>1</v>
      </c>
    </row>
    <row r="566" customFormat="false" ht="15" hidden="false" customHeight="false" outlineLevel="0" collapsed="false">
      <c r="A566" s="4" t="n">
        <v>562</v>
      </c>
      <c r="B566" s="4" t="n">
        <v>973</v>
      </c>
      <c r="C566" s="4" t="n">
        <v>1</v>
      </c>
      <c r="D566" s="11" t="n">
        <v>46082</v>
      </c>
      <c r="E566" s="4" t="s">
        <v>201</v>
      </c>
      <c r="F566" s="4" t="s">
        <v>209</v>
      </c>
      <c r="G566" s="4" t="n">
        <v>11</v>
      </c>
      <c r="H566" s="4" t="n">
        <v>3</v>
      </c>
      <c r="I566" s="4" t="n">
        <v>0</v>
      </c>
      <c r="J566" s="4"/>
      <c r="K566" s="4" t="n">
        <v>0</v>
      </c>
      <c r="L566" s="12" t="n">
        <v>0.434601</v>
      </c>
      <c r="M566" s="12" t="n">
        <v>0.092063</v>
      </c>
      <c r="N566" s="12" t="n">
        <v>0.032986</v>
      </c>
      <c r="O566" s="12" t="n">
        <v>0.106183</v>
      </c>
      <c r="P566" s="12" t="n">
        <v>0.03325</v>
      </c>
      <c r="Q566" s="0" t="str">
        <f aca="false">IF(L566&gt;=Models!$G$5,1+COUNTIF($L$5:$L$1517,"&gt;"&amp;L566)+COUNTIFS($L$5:$L$1517,L566,$B$5:$B$1517,"&lt;"&amp;B566)+COUNTIFS($L$5:$L$1517,L566,$B$5:$B$1517,B566,$C$5:$C$1517,"&lt;"&amp;C566),"")</f>
        <v/>
      </c>
      <c r="R566" s="0" t="str">
        <f aca="false">IF(M566&gt;=Models!$G$6,1+COUNTIF($M$5:$M$1517,"&gt;"&amp;M566)+COUNTIFS($M$5:$M$1517,M566,$B$5:$B$1517,"&lt;"&amp;B566)+COUNTIFS($M$5:$M$1517,M566,$B$5:$B$1517,B566,$C$5:$C$1517,"&lt;"&amp;C566),"")</f>
        <v/>
      </c>
      <c r="S566" s="0" t="str">
        <f aca="false">IF(N566&gt;=Models!$G$7,1+COUNTIF($N$5:$N$1517,"&gt;"&amp;N566)+COUNTIFS($N$5:$N$1517,N566,$B$5:$B$1517,"&lt;"&amp;B566)+COUNTIFS($N$5:$N$1517,N566,$B$5:$B$1517,B566,$C$5:$C$1517,"&lt;"&amp;C566),"")</f>
        <v/>
      </c>
      <c r="T566" s="8" t="n">
        <f aca="false">IF(O566&gt;=Models!$G$8,1+COUNTIF($O$5:$O$1517,"&gt;"&amp;O566)+COUNTIFS($O$5:$O$1517,O566,$B$5:$B$1517,"&lt;"&amp;B566)+COUNTIFS($O$5:$O$1517,O566,$B$5:$B$1517,B566,$C$5:$C$1517,"&lt;"&amp;C566),"")</f>
        <v>770</v>
      </c>
      <c r="U566" s="8" t="n">
        <f aca="false">IF($K566=1,COUNTIFS($L$5:$L$1517,"&gt;="&amp;L566,$K$5:$K$1517,1)/COUNTIF($L$5:$L$1517,"&gt;="&amp;L566),0)</f>
        <v>0</v>
      </c>
      <c r="V566" s="8" t="n">
        <f aca="false">IF($K566=1,COUNTIFS($M$5:$M$1517,"&gt;="&amp;M566,$K$5:$K$1517,1)/COUNTIF($M$5:$M$1517,"&gt;="&amp;M566),0)</f>
        <v>0</v>
      </c>
      <c r="W566" s="8" t="n">
        <f aca="false">IF($K566=1,COUNTIFS($N$5:$N$1517,"&gt;="&amp;N566,$K$5:$K$1517,1)/COUNTIF($N$5:$N$1517,"&gt;="&amp;N566),0)</f>
        <v>0</v>
      </c>
      <c r="X566" s="8" t="n">
        <f aca="false">IF($K566=1,COUNTIFS($O$5:$O$1517,"&gt;="&amp;O566,$K$5:$K$1517,1)/COUNTIF($O$5:$O$1517,"&gt;="&amp;O566),0)</f>
        <v>0</v>
      </c>
      <c r="Y566" s="8" t="n">
        <f aca="false">IF($K566=1,COUNTIFS($P$5:$P$1517,"&gt;="&amp;P566,$K$5:$K$1517,1)/COUNTIF($P$5:$P$1517,"&gt;="&amp;P566),0)</f>
        <v>0</v>
      </c>
      <c r="Z566" s="8" t="n">
        <f aca="false">(L566-$K566)^2</f>
        <v>0.188878029201</v>
      </c>
      <c r="AA566" s="8" t="n">
        <f aca="false">(M566-$K566)^2</f>
        <v>0.008475595969</v>
      </c>
      <c r="AB566" s="8" t="n">
        <f aca="false">(N566-$K566)^2</f>
        <v>0.001088076196</v>
      </c>
      <c r="AC566" s="8" t="n">
        <f aca="false">(O566-$K566)^2</f>
        <v>0.011274829489</v>
      </c>
      <c r="AD566" s="8" t="n">
        <f aca="false">(P566-$K566)^2</f>
        <v>0.0011055625</v>
      </c>
      <c r="AE566" s="8" t="n">
        <f aca="false">MIN(INT(ROUND(N566*1000000,0)/100000),9)</f>
        <v>0</v>
      </c>
      <c r="AF566" s="8" t="n">
        <f aca="false">MIN(INT(ROUND(P566*1000000,0)/100000),9)</f>
        <v>0</v>
      </c>
    </row>
    <row r="567" customFormat="false" ht="15" hidden="false" customHeight="false" outlineLevel="0" collapsed="false">
      <c r="A567" s="4" t="n">
        <v>563</v>
      </c>
      <c r="B567" s="4" t="n">
        <v>978</v>
      </c>
      <c r="C567" s="4" t="n">
        <v>1</v>
      </c>
      <c r="D567" s="11" t="n">
        <v>46082</v>
      </c>
      <c r="E567" s="4" t="s">
        <v>204</v>
      </c>
      <c r="F567" s="4" t="s">
        <v>206</v>
      </c>
      <c r="G567" s="4" t="n">
        <v>5</v>
      </c>
      <c r="H567" s="4" t="n">
        <v>9</v>
      </c>
      <c r="I567" s="4" t="n">
        <v>0</v>
      </c>
      <c r="J567" s="4" t="n">
        <v>63</v>
      </c>
      <c r="K567" s="4" t="n">
        <v>0</v>
      </c>
      <c r="L567" s="12" t="n">
        <v>0.793148</v>
      </c>
      <c r="M567" s="12" t="n">
        <v>0.092063</v>
      </c>
      <c r="N567" s="12" t="n">
        <v>0.115482</v>
      </c>
      <c r="O567" s="12" t="n">
        <v>0.106183</v>
      </c>
      <c r="P567" s="12" t="n">
        <v>0.123054</v>
      </c>
      <c r="Q567" s="0" t="str">
        <f aca="false">IF(L567&gt;=Models!$G$5,1+COUNTIF($L$5:$L$1517,"&gt;"&amp;L567)+COUNTIFS($L$5:$L$1517,L567,$B$5:$B$1517,"&lt;"&amp;B567)+COUNTIFS($L$5:$L$1517,L567,$B$5:$B$1517,B567,$C$5:$C$1517,"&lt;"&amp;C567),"")</f>
        <v/>
      </c>
      <c r="R567" s="0" t="str">
        <f aca="false">IF(M567&gt;=Models!$G$6,1+COUNTIF($M$5:$M$1517,"&gt;"&amp;M567)+COUNTIFS($M$5:$M$1517,M567,$B$5:$B$1517,"&lt;"&amp;B567)+COUNTIFS($M$5:$M$1517,M567,$B$5:$B$1517,B567,$C$5:$C$1517,"&lt;"&amp;C567),"")</f>
        <v/>
      </c>
      <c r="S567" s="0" t="str">
        <f aca="false">IF(N567&gt;=Models!$G$7,1+COUNTIF($N$5:$N$1517,"&gt;"&amp;N567)+COUNTIFS($N$5:$N$1517,N567,$B$5:$B$1517,"&lt;"&amp;B567)+COUNTIFS($N$5:$N$1517,N567,$B$5:$B$1517,B567,$C$5:$C$1517,"&lt;"&amp;C567),"")</f>
        <v/>
      </c>
      <c r="T567" s="8" t="n">
        <f aca="false">IF(O567&gt;=Models!$G$8,1+COUNTIF($O$5:$O$1517,"&gt;"&amp;O567)+COUNTIFS($O$5:$O$1517,O567,$B$5:$B$1517,"&lt;"&amp;B567)+COUNTIFS($O$5:$O$1517,O567,$B$5:$B$1517,B567,$C$5:$C$1517,"&lt;"&amp;C567),"")</f>
        <v>774</v>
      </c>
      <c r="U567" s="8" t="n">
        <f aca="false">IF($K567=1,COUNTIFS($L$5:$L$1517,"&gt;="&amp;L567,$K$5:$K$1517,1)/COUNTIF($L$5:$L$1517,"&gt;="&amp;L567),0)</f>
        <v>0</v>
      </c>
      <c r="V567" s="8" t="n">
        <f aca="false">IF($K567=1,COUNTIFS($M$5:$M$1517,"&gt;="&amp;M567,$K$5:$K$1517,1)/COUNTIF($M$5:$M$1517,"&gt;="&amp;M567),0)</f>
        <v>0</v>
      </c>
      <c r="W567" s="8" t="n">
        <f aca="false">IF($K567=1,COUNTIFS($N$5:$N$1517,"&gt;="&amp;N567,$K$5:$K$1517,1)/COUNTIF($N$5:$N$1517,"&gt;="&amp;N567),0)</f>
        <v>0</v>
      </c>
      <c r="X567" s="8" t="n">
        <f aca="false">IF($K567=1,COUNTIFS($O$5:$O$1517,"&gt;="&amp;O567,$K$5:$K$1517,1)/COUNTIF($O$5:$O$1517,"&gt;="&amp;O567),0)</f>
        <v>0</v>
      </c>
      <c r="Y567" s="8" t="n">
        <f aca="false">IF($K567=1,COUNTIFS($P$5:$P$1517,"&gt;="&amp;P567,$K$5:$K$1517,1)/COUNTIF($P$5:$P$1517,"&gt;="&amp;P567),0)</f>
        <v>0</v>
      </c>
      <c r="Z567" s="8" t="n">
        <f aca="false">(L567-$K567)^2</f>
        <v>0.629083749904</v>
      </c>
      <c r="AA567" s="8" t="n">
        <f aca="false">(M567-$K567)^2</f>
        <v>0.008475595969</v>
      </c>
      <c r="AB567" s="8" t="n">
        <f aca="false">(N567-$K567)^2</f>
        <v>0.013336092324</v>
      </c>
      <c r="AC567" s="8" t="n">
        <f aca="false">(O567-$K567)^2</f>
        <v>0.011274829489</v>
      </c>
      <c r="AD567" s="8" t="n">
        <f aca="false">(P567-$K567)^2</f>
        <v>0.015142286916</v>
      </c>
      <c r="AE567" s="8" t="n">
        <f aca="false">MIN(INT(ROUND(N567*1000000,0)/100000),9)</f>
        <v>1</v>
      </c>
      <c r="AF567" s="8" t="n">
        <f aca="false">MIN(INT(ROUND(P567*1000000,0)/100000),9)</f>
        <v>1</v>
      </c>
    </row>
    <row r="568" customFormat="false" ht="15" hidden="false" customHeight="false" outlineLevel="0" collapsed="false">
      <c r="A568" s="4" t="n">
        <v>564</v>
      </c>
      <c r="B568" s="4" t="n">
        <v>985</v>
      </c>
      <c r="C568" s="4" t="n">
        <v>1</v>
      </c>
      <c r="D568" s="11" t="n">
        <v>46082</v>
      </c>
      <c r="E568" s="4" t="s">
        <v>203</v>
      </c>
      <c r="F568" s="4" t="s">
        <v>206</v>
      </c>
      <c r="G568" s="4" t="n">
        <v>5</v>
      </c>
      <c r="H568" s="4" t="n">
        <v>0</v>
      </c>
      <c r="I568" s="4" t="n">
        <v>0</v>
      </c>
      <c r="J568" s="4"/>
      <c r="K568" s="4" t="n">
        <v>0</v>
      </c>
      <c r="L568" s="12" t="n">
        <v>0.442256</v>
      </c>
      <c r="M568" s="12" t="n">
        <v>0.092063</v>
      </c>
      <c r="N568" s="12" t="n">
        <v>0.054025</v>
      </c>
      <c r="O568" s="12" t="n">
        <v>0.106183</v>
      </c>
      <c r="P568" s="12" t="n">
        <v>0.055724</v>
      </c>
      <c r="Q568" s="0" t="str">
        <f aca="false">IF(L568&gt;=Models!$G$5,1+COUNTIF($L$5:$L$1517,"&gt;"&amp;L568)+COUNTIFS($L$5:$L$1517,L568,$B$5:$B$1517,"&lt;"&amp;B568)+COUNTIFS($L$5:$L$1517,L568,$B$5:$B$1517,B568,$C$5:$C$1517,"&lt;"&amp;C568),"")</f>
        <v/>
      </c>
      <c r="R568" s="0" t="str">
        <f aca="false">IF(M568&gt;=Models!$G$6,1+COUNTIF($M$5:$M$1517,"&gt;"&amp;M568)+COUNTIFS($M$5:$M$1517,M568,$B$5:$B$1517,"&lt;"&amp;B568)+COUNTIFS($M$5:$M$1517,M568,$B$5:$B$1517,B568,$C$5:$C$1517,"&lt;"&amp;C568),"")</f>
        <v/>
      </c>
      <c r="S568" s="0" t="str">
        <f aca="false">IF(N568&gt;=Models!$G$7,1+COUNTIF($N$5:$N$1517,"&gt;"&amp;N568)+COUNTIFS($N$5:$N$1517,N568,$B$5:$B$1517,"&lt;"&amp;B568)+COUNTIFS($N$5:$N$1517,N568,$B$5:$B$1517,B568,$C$5:$C$1517,"&lt;"&amp;C568),"")</f>
        <v/>
      </c>
      <c r="T568" s="8" t="n">
        <f aca="false">IF(O568&gt;=Models!$G$8,1+COUNTIF($O$5:$O$1517,"&gt;"&amp;O568)+COUNTIFS($O$5:$O$1517,O568,$B$5:$B$1517,"&lt;"&amp;B568)+COUNTIFS($O$5:$O$1517,O568,$B$5:$B$1517,B568,$C$5:$C$1517,"&lt;"&amp;C568),"")</f>
        <v>778</v>
      </c>
      <c r="U568" s="8" t="n">
        <f aca="false">IF($K568=1,COUNTIFS($L$5:$L$1517,"&gt;="&amp;L568,$K$5:$K$1517,1)/COUNTIF($L$5:$L$1517,"&gt;="&amp;L568),0)</f>
        <v>0</v>
      </c>
      <c r="V568" s="8" t="n">
        <f aca="false">IF($K568=1,COUNTIFS($M$5:$M$1517,"&gt;="&amp;M568,$K$5:$K$1517,1)/COUNTIF($M$5:$M$1517,"&gt;="&amp;M568),0)</f>
        <v>0</v>
      </c>
      <c r="W568" s="8" t="n">
        <f aca="false">IF($K568=1,COUNTIFS($N$5:$N$1517,"&gt;="&amp;N568,$K$5:$K$1517,1)/COUNTIF($N$5:$N$1517,"&gt;="&amp;N568),0)</f>
        <v>0</v>
      </c>
      <c r="X568" s="8" t="n">
        <f aca="false">IF($K568=1,COUNTIFS($O$5:$O$1517,"&gt;="&amp;O568,$K$5:$K$1517,1)/COUNTIF($O$5:$O$1517,"&gt;="&amp;O568),0)</f>
        <v>0</v>
      </c>
      <c r="Y568" s="8" t="n">
        <f aca="false">IF($K568=1,COUNTIFS($P$5:$P$1517,"&gt;="&amp;P568,$K$5:$K$1517,1)/COUNTIF($P$5:$P$1517,"&gt;="&amp;P568),0)</f>
        <v>0</v>
      </c>
      <c r="Z568" s="8" t="n">
        <f aca="false">(L568-$K568)^2</f>
        <v>0.195590369536</v>
      </c>
      <c r="AA568" s="8" t="n">
        <f aca="false">(M568-$K568)^2</f>
        <v>0.008475595969</v>
      </c>
      <c r="AB568" s="8" t="n">
        <f aca="false">(N568-$K568)^2</f>
        <v>0.002918700625</v>
      </c>
      <c r="AC568" s="8" t="n">
        <f aca="false">(O568-$K568)^2</f>
        <v>0.011274829489</v>
      </c>
      <c r="AD568" s="8" t="n">
        <f aca="false">(P568-$K568)^2</f>
        <v>0.003105164176</v>
      </c>
      <c r="AE568" s="8" t="n">
        <f aca="false">MIN(INT(ROUND(N568*1000000,0)/100000),9)</f>
        <v>0</v>
      </c>
      <c r="AF568" s="8" t="n">
        <f aca="false">MIN(INT(ROUND(P568*1000000,0)/100000),9)</f>
        <v>0</v>
      </c>
    </row>
    <row r="569" customFormat="false" ht="15" hidden="false" customHeight="false" outlineLevel="0" collapsed="false">
      <c r="A569" s="4" t="n">
        <v>565</v>
      </c>
      <c r="B569" s="4" t="n">
        <v>986</v>
      </c>
      <c r="C569" s="4" t="n">
        <v>1</v>
      </c>
      <c r="D569" s="11" t="n">
        <v>46082</v>
      </c>
      <c r="E569" s="4" t="s">
        <v>202</v>
      </c>
      <c r="F569" s="4" t="s">
        <v>207</v>
      </c>
      <c r="G569" s="4" t="n">
        <v>8</v>
      </c>
      <c r="H569" s="4" t="n">
        <v>1</v>
      </c>
      <c r="I569" s="4" t="n">
        <v>0</v>
      </c>
      <c r="J569" s="4" t="n">
        <v>630</v>
      </c>
      <c r="K569" s="4" t="n">
        <v>0</v>
      </c>
      <c r="L569" s="12" t="n">
        <v>0.513519</v>
      </c>
      <c r="M569" s="12" t="n">
        <v>0.092063</v>
      </c>
      <c r="N569" s="12" t="n">
        <v>0.082839</v>
      </c>
      <c r="O569" s="12" t="n">
        <v>0.106183</v>
      </c>
      <c r="P569" s="12" t="n">
        <v>0.087081</v>
      </c>
      <c r="Q569" s="0" t="str">
        <f aca="false">IF(L569&gt;=Models!$G$5,1+COUNTIF($L$5:$L$1517,"&gt;"&amp;L569)+COUNTIFS($L$5:$L$1517,L569,$B$5:$B$1517,"&lt;"&amp;B569)+COUNTIFS($L$5:$L$1517,L569,$B$5:$B$1517,B569,$C$5:$C$1517,"&lt;"&amp;C569),"")</f>
        <v/>
      </c>
      <c r="R569" s="0" t="str">
        <f aca="false">IF(M569&gt;=Models!$G$6,1+COUNTIF($M$5:$M$1517,"&gt;"&amp;M569)+COUNTIFS($M$5:$M$1517,M569,$B$5:$B$1517,"&lt;"&amp;B569)+COUNTIFS($M$5:$M$1517,M569,$B$5:$B$1517,B569,$C$5:$C$1517,"&lt;"&amp;C569),"")</f>
        <v/>
      </c>
      <c r="S569" s="0" t="str">
        <f aca="false">IF(N569&gt;=Models!$G$7,1+COUNTIF($N$5:$N$1517,"&gt;"&amp;N569)+COUNTIFS($N$5:$N$1517,N569,$B$5:$B$1517,"&lt;"&amp;B569)+COUNTIFS($N$5:$N$1517,N569,$B$5:$B$1517,B569,$C$5:$C$1517,"&lt;"&amp;C569),"")</f>
        <v/>
      </c>
      <c r="T569" s="8" t="n">
        <f aca="false">IF(O569&gt;=Models!$G$8,1+COUNTIF($O$5:$O$1517,"&gt;"&amp;O569)+COUNTIFS($O$5:$O$1517,O569,$B$5:$B$1517,"&lt;"&amp;B569)+COUNTIFS($O$5:$O$1517,O569,$B$5:$B$1517,B569,$C$5:$C$1517,"&lt;"&amp;C569),"")</f>
        <v>782</v>
      </c>
      <c r="U569" s="8" t="n">
        <f aca="false">IF($K569=1,COUNTIFS($L$5:$L$1517,"&gt;="&amp;L569,$K$5:$K$1517,1)/COUNTIF($L$5:$L$1517,"&gt;="&amp;L569),0)</f>
        <v>0</v>
      </c>
      <c r="V569" s="8" t="n">
        <f aca="false">IF($K569=1,COUNTIFS($M$5:$M$1517,"&gt;="&amp;M569,$K$5:$K$1517,1)/COUNTIF($M$5:$M$1517,"&gt;="&amp;M569),0)</f>
        <v>0</v>
      </c>
      <c r="W569" s="8" t="n">
        <f aca="false">IF($K569=1,COUNTIFS($N$5:$N$1517,"&gt;="&amp;N569,$K$5:$K$1517,1)/COUNTIF($N$5:$N$1517,"&gt;="&amp;N569),0)</f>
        <v>0</v>
      </c>
      <c r="X569" s="8" t="n">
        <f aca="false">IF($K569=1,COUNTIFS($O$5:$O$1517,"&gt;="&amp;O569,$K$5:$K$1517,1)/COUNTIF($O$5:$O$1517,"&gt;="&amp;O569),0)</f>
        <v>0</v>
      </c>
      <c r="Y569" s="8" t="n">
        <f aca="false">IF($K569=1,COUNTIFS($P$5:$P$1517,"&gt;="&amp;P569,$K$5:$K$1517,1)/COUNTIF($P$5:$P$1517,"&gt;="&amp;P569),0)</f>
        <v>0</v>
      </c>
      <c r="Z569" s="8" t="n">
        <f aca="false">(L569-$K569)^2</f>
        <v>0.263701763361</v>
      </c>
      <c r="AA569" s="8" t="n">
        <f aca="false">(M569-$K569)^2</f>
        <v>0.008475595969</v>
      </c>
      <c r="AB569" s="8" t="n">
        <f aca="false">(N569-$K569)^2</f>
        <v>0.006862299921</v>
      </c>
      <c r="AC569" s="8" t="n">
        <f aca="false">(O569-$K569)^2</f>
        <v>0.011274829489</v>
      </c>
      <c r="AD569" s="8" t="n">
        <f aca="false">(P569-$K569)^2</f>
        <v>0.007583100561</v>
      </c>
      <c r="AE569" s="8" t="n">
        <f aca="false">MIN(INT(ROUND(N569*1000000,0)/100000),9)</f>
        <v>0</v>
      </c>
      <c r="AF569" s="8" t="n">
        <f aca="false">MIN(INT(ROUND(P569*1000000,0)/100000),9)</f>
        <v>0</v>
      </c>
    </row>
    <row r="570" customFormat="false" ht="15" hidden="false" customHeight="false" outlineLevel="0" collapsed="false">
      <c r="A570" s="4" t="n">
        <v>566</v>
      </c>
      <c r="B570" s="4" t="n">
        <v>987</v>
      </c>
      <c r="C570" s="4" t="n">
        <v>1</v>
      </c>
      <c r="D570" s="11" t="n">
        <v>46082</v>
      </c>
      <c r="E570" s="4" t="s">
        <v>201</v>
      </c>
      <c r="F570" s="4" t="s">
        <v>206</v>
      </c>
      <c r="G570" s="4" t="n">
        <v>10</v>
      </c>
      <c r="H570" s="4" t="n">
        <v>3</v>
      </c>
      <c r="I570" s="4" t="n">
        <v>1</v>
      </c>
      <c r="J570" s="4"/>
      <c r="K570" s="4" t="n">
        <v>0</v>
      </c>
      <c r="L570" s="12" t="n">
        <v>0.550087</v>
      </c>
      <c r="M570" s="12" t="n">
        <v>0.184211</v>
      </c>
      <c r="N570" s="12" t="n">
        <v>0.063441</v>
      </c>
      <c r="O570" s="12" t="n">
        <v>0.106183</v>
      </c>
      <c r="P570" s="12" t="n">
        <v>0.065914</v>
      </c>
      <c r="Q570" s="0" t="str">
        <f aca="false">IF(L570&gt;=Models!$G$5,1+COUNTIF($L$5:$L$1517,"&gt;"&amp;L570)+COUNTIFS($L$5:$L$1517,L570,$B$5:$B$1517,"&lt;"&amp;B570)+COUNTIFS($L$5:$L$1517,L570,$B$5:$B$1517,B570,$C$5:$C$1517,"&lt;"&amp;C570),"")</f>
        <v/>
      </c>
      <c r="R570" s="8" t="n">
        <f aca="false">IF(M570&gt;=Models!$G$6,1+COUNTIF($M$5:$M$1517,"&gt;"&amp;M570)+COUNTIFS($M$5:$M$1517,M570,$B$5:$B$1517,"&lt;"&amp;B570)+COUNTIFS($M$5:$M$1517,M570,$B$5:$B$1517,B570,$C$5:$C$1517,"&lt;"&amp;C570),"")</f>
        <v>85</v>
      </c>
      <c r="S570" s="0" t="str">
        <f aca="false">IF(N570&gt;=Models!$G$7,1+COUNTIF($N$5:$N$1517,"&gt;"&amp;N570)+COUNTIFS($N$5:$N$1517,N570,$B$5:$B$1517,"&lt;"&amp;B570)+COUNTIFS($N$5:$N$1517,N570,$B$5:$B$1517,B570,$C$5:$C$1517,"&lt;"&amp;C570),"")</f>
        <v/>
      </c>
      <c r="T570" s="8" t="n">
        <f aca="false">IF(O570&gt;=Models!$G$8,1+COUNTIF($O$5:$O$1517,"&gt;"&amp;O570)+COUNTIFS($O$5:$O$1517,O570,$B$5:$B$1517,"&lt;"&amp;B570)+COUNTIFS($O$5:$O$1517,O570,$B$5:$B$1517,B570,$C$5:$C$1517,"&lt;"&amp;C570),"")</f>
        <v>786</v>
      </c>
      <c r="U570" s="8" t="n">
        <f aca="false">IF($K570=1,COUNTIFS($L$5:$L$1517,"&gt;="&amp;L570,$K$5:$K$1517,1)/COUNTIF($L$5:$L$1517,"&gt;="&amp;L570),0)</f>
        <v>0</v>
      </c>
      <c r="V570" s="8" t="n">
        <f aca="false">IF($K570=1,COUNTIFS($M$5:$M$1517,"&gt;="&amp;M570,$K$5:$K$1517,1)/COUNTIF($M$5:$M$1517,"&gt;="&amp;M570),0)</f>
        <v>0</v>
      </c>
      <c r="W570" s="8" t="n">
        <f aca="false">IF($K570=1,COUNTIFS($N$5:$N$1517,"&gt;="&amp;N570,$K$5:$K$1517,1)/COUNTIF($N$5:$N$1517,"&gt;="&amp;N570),0)</f>
        <v>0</v>
      </c>
      <c r="X570" s="8" t="n">
        <f aca="false">IF($K570=1,COUNTIFS($O$5:$O$1517,"&gt;="&amp;O570,$K$5:$K$1517,1)/COUNTIF($O$5:$O$1517,"&gt;="&amp;O570),0)</f>
        <v>0</v>
      </c>
      <c r="Y570" s="8" t="n">
        <f aca="false">IF($K570=1,COUNTIFS($P$5:$P$1517,"&gt;="&amp;P570,$K$5:$K$1517,1)/COUNTIF($P$5:$P$1517,"&gt;="&amp;P570),0)</f>
        <v>0</v>
      </c>
      <c r="Z570" s="8" t="n">
        <f aca="false">(L570-$K570)^2</f>
        <v>0.302595707569</v>
      </c>
      <c r="AA570" s="8" t="n">
        <f aca="false">(M570-$K570)^2</f>
        <v>0.033933692521</v>
      </c>
      <c r="AB570" s="8" t="n">
        <f aca="false">(N570-$K570)^2</f>
        <v>0.004024760481</v>
      </c>
      <c r="AC570" s="8" t="n">
        <f aca="false">(O570-$K570)^2</f>
        <v>0.011274829489</v>
      </c>
      <c r="AD570" s="8" t="n">
        <f aca="false">(P570-$K570)^2</f>
        <v>0.004344655396</v>
      </c>
      <c r="AE570" s="8" t="n">
        <f aca="false">MIN(INT(ROUND(N570*1000000,0)/100000),9)</f>
        <v>0</v>
      </c>
      <c r="AF570" s="8" t="n">
        <f aca="false">MIN(INT(ROUND(P570*1000000,0)/100000),9)</f>
        <v>0</v>
      </c>
    </row>
    <row r="571" customFormat="false" ht="15" hidden="false" customHeight="false" outlineLevel="0" collapsed="false">
      <c r="A571" s="4" t="n">
        <v>567</v>
      </c>
      <c r="B571" s="4" t="n">
        <v>989</v>
      </c>
      <c r="C571" s="4" t="n">
        <v>1</v>
      </c>
      <c r="D571" s="11" t="n">
        <v>46082</v>
      </c>
      <c r="E571" s="4" t="s">
        <v>202</v>
      </c>
      <c r="F571" s="4" t="s">
        <v>209</v>
      </c>
      <c r="G571" s="4" t="n">
        <v>21</v>
      </c>
      <c r="H571" s="4" t="n">
        <v>0</v>
      </c>
      <c r="I571" s="4" t="n">
        <v>0</v>
      </c>
      <c r="J571" s="4" t="n">
        <v>1113</v>
      </c>
      <c r="K571" s="4" t="n">
        <v>0</v>
      </c>
      <c r="L571" s="12" t="n">
        <v>0.209075</v>
      </c>
      <c r="M571" s="12" t="n">
        <v>0.092063</v>
      </c>
      <c r="N571" s="12" t="n">
        <v>0.026326</v>
      </c>
      <c r="O571" s="12" t="n">
        <v>0.106183</v>
      </c>
      <c r="P571" s="12" t="n">
        <v>0.026254</v>
      </c>
      <c r="Q571" s="0" t="str">
        <f aca="false">IF(L571&gt;=Models!$G$5,1+COUNTIF($L$5:$L$1517,"&gt;"&amp;L571)+COUNTIFS($L$5:$L$1517,L571,$B$5:$B$1517,"&lt;"&amp;B571)+COUNTIFS($L$5:$L$1517,L571,$B$5:$B$1517,B571,$C$5:$C$1517,"&lt;"&amp;C571),"")</f>
        <v/>
      </c>
      <c r="R571" s="0" t="str">
        <f aca="false">IF(M571&gt;=Models!$G$6,1+COUNTIF($M$5:$M$1517,"&gt;"&amp;M571)+COUNTIFS($M$5:$M$1517,M571,$B$5:$B$1517,"&lt;"&amp;B571)+COUNTIFS($M$5:$M$1517,M571,$B$5:$B$1517,B571,$C$5:$C$1517,"&lt;"&amp;C571),"")</f>
        <v/>
      </c>
      <c r="S571" s="0" t="str">
        <f aca="false">IF(N571&gt;=Models!$G$7,1+COUNTIF($N$5:$N$1517,"&gt;"&amp;N571)+COUNTIFS($N$5:$N$1517,N571,$B$5:$B$1517,"&lt;"&amp;B571)+COUNTIFS($N$5:$N$1517,N571,$B$5:$B$1517,B571,$C$5:$C$1517,"&lt;"&amp;C571),"")</f>
        <v/>
      </c>
      <c r="T571" s="8" t="n">
        <f aca="false">IF(O571&gt;=Models!$G$8,1+COUNTIF($O$5:$O$1517,"&gt;"&amp;O571)+COUNTIFS($O$5:$O$1517,O571,$B$5:$B$1517,"&lt;"&amp;B571)+COUNTIFS($O$5:$O$1517,O571,$B$5:$B$1517,B571,$C$5:$C$1517,"&lt;"&amp;C571),"")</f>
        <v>790</v>
      </c>
      <c r="U571" s="8" t="n">
        <f aca="false">IF($K571=1,COUNTIFS($L$5:$L$1517,"&gt;="&amp;L571,$K$5:$K$1517,1)/COUNTIF($L$5:$L$1517,"&gt;="&amp;L571),0)</f>
        <v>0</v>
      </c>
      <c r="V571" s="8" t="n">
        <f aca="false">IF($K571=1,COUNTIFS($M$5:$M$1517,"&gt;="&amp;M571,$K$5:$K$1517,1)/COUNTIF($M$5:$M$1517,"&gt;="&amp;M571),0)</f>
        <v>0</v>
      </c>
      <c r="W571" s="8" t="n">
        <f aca="false">IF($K571=1,COUNTIFS($N$5:$N$1517,"&gt;="&amp;N571,$K$5:$K$1517,1)/COUNTIF($N$5:$N$1517,"&gt;="&amp;N571),0)</f>
        <v>0</v>
      </c>
      <c r="X571" s="8" t="n">
        <f aca="false">IF($K571=1,COUNTIFS($O$5:$O$1517,"&gt;="&amp;O571,$K$5:$K$1517,1)/COUNTIF($O$5:$O$1517,"&gt;="&amp;O571),0)</f>
        <v>0</v>
      </c>
      <c r="Y571" s="8" t="n">
        <f aca="false">IF($K571=1,COUNTIFS($P$5:$P$1517,"&gt;="&amp;P571,$K$5:$K$1517,1)/COUNTIF($P$5:$P$1517,"&gt;="&amp;P571),0)</f>
        <v>0</v>
      </c>
      <c r="Z571" s="8" t="n">
        <f aca="false">(L571-$K571)^2</f>
        <v>0.043712355625</v>
      </c>
      <c r="AA571" s="8" t="n">
        <f aca="false">(M571-$K571)^2</f>
        <v>0.008475595969</v>
      </c>
      <c r="AB571" s="8" t="n">
        <f aca="false">(N571-$K571)^2</f>
        <v>0.000693058276</v>
      </c>
      <c r="AC571" s="8" t="n">
        <f aca="false">(O571-$K571)^2</f>
        <v>0.011274829489</v>
      </c>
      <c r="AD571" s="8" t="n">
        <f aca="false">(P571-$K571)^2</f>
        <v>0.000689272516</v>
      </c>
      <c r="AE571" s="8" t="n">
        <f aca="false">MIN(INT(ROUND(N571*1000000,0)/100000),9)</f>
        <v>0</v>
      </c>
      <c r="AF571" s="8" t="n">
        <f aca="false">MIN(INT(ROUND(P571*1000000,0)/100000),9)</f>
        <v>0</v>
      </c>
    </row>
    <row r="572" customFormat="false" ht="15" hidden="false" customHeight="false" outlineLevel="0" collapsed="false">
      <c r="A572" s="4" t="n">
        <v>568</v>
      </c>
      <c r="B572" s="4" t="n">
        <v>997</v>
      </c>
      <c r="C572" s="4" t="n">
        <v>1</v>
      </c>
      <c r="D572" s="11" t="n">
        <v>46082</v>
      </c>
      <c r="E572" s="4" t="s">
        <v>202</v>
      </c>
      <c r="F572" s="4" t="s">
        <v>206</v>
      </c>
      <c r="G572" s="4" t="n">
        <v>3</v>
      </c>
      <c r="H572" s="4" t="n">
        <v>3</v>
      </c>
      <c r="I572" s="4" t="n">
        <v>0</v>
      </c>
      <c r="J572" s="4" t="n">
        <v>1064.7</v>
      </c>
      <c r="K572" s="4" t="n">
        <v>0</v>
      </c>
      <c r="L572" s="12" t="n">
        <v>0.549285</v>
      </c>
      <c r="M572" s="12" t="n">
        <v>0.092063</v>
      </c>
      <c r="N572" s="12" t="n">
        <v>0.123113</v>
      </c>
      <c r="O572" s="12" t="n">
        <v>0.106183</v>
      </c>
      <c r="P572" s="12" t="n">
        <v>0.131505</v>
      </c>
      <c r="Q572" s="0" t="str">
        <f aca="false">IF(L572&gt;=Models!$G$5,1+COUNTIF($L$5:$L$1517,"&gt;"&amp;L572)+COUNTIFS($L$5:$L$1517,L572,$B$5:$B$1517,"&lt;"&amp;B572)+COUNTIFS($L$5:$L$1517,L572,$B$5:$B$1517,B572,$C$5:$C$1517,"&lt;"&amp;C572),"")</f>
        <v/>
      </c>
      <c r="R572" s="0" t="str">
        <f aca="false">IF(M572&gt;=Models!$G$6,1+COUNTIF($M$5:$M$1517,"&gt;"&amp;M572)+COUNTIFS($M$5:$M$1517,M572,$B$5:$B$1517,"&lt;"&amp;B572)+COUNTIFS($M$5:$M$1517,M572,$B$5:$B$1517,B572,$C$5:$C$1517,"&lt;"&amp;C572),"")</f>
        <v/>
      </c>
      <c r="S572" s="0" t="str">
        <f aca="false">IF(N572&gt;=Models!$G$7,1+COUNTIF($N$5:$N$1517,"&gt;"&amp;N572)+COUNTIFS($N$5:$N$1517,N572,$B$5:$B$1517,"&lt;"&amp;B572)+COUNTIFS($N$5:$N$1517,N572,$B$5:$B$1517,B572,$C$5:$C$1517,"&lt;"&amp;C572),"")</f>
        <v/>
      </c>
      <c r="T572" s="8" t="n">
        <f aca="false">IF(O572&gt;=Models!$G$8,1+COUNTIF($O$5:$O$1517,"&gt;"&amp;O572)+COUNTIFS($O$5:$O$1517,O572,$B$5:$B$1517,"&lt;"&amp;B572)+COUNTIFS($O$5:$O$1517,O572,$B$5:$B$1517,B572,$C$5:$C$1517,"&lt;"&amp;C572),"")</f>
        <v>794</v>
      </c>
      <c r="U572" s="8" t="n">
        <f aca="false">IF($K572=1,COUNTIFS($L$5:$L$1517,"&gt;="&amp;L572,$K$5:$K$1517,1)/COUNTIF($L$5:$L$1517,"&gt;="&amp;L572),0)</f>
        <v>0</v>
      </c>
      <c r="V572" s="8" t="n">
        <f aca="false">IF($K572=1,COUNTIFS($M$5:$M$1517,"&gt;="&amp;M572,$K$5:$K$1517,1)/COUNTIF($M$5:$M$1517,"&gt;="&amp;M572),0)</f>
        <v>0</v>
      </c>
      <c r="W572" s="8" t="n">
        <f aca="false">IF($K572=1,COUNTIFS($N$5:$N$1517,"&gt;="&amp;N572,$K$5:$K$1517,1)/COUNTIF($N$5:$N$1517,"&gt;="&amp;N572),0)</f>
        <v>0</v>
      </c>
      <c r="X572" s="8" t="n">
        <f aca="false">IF($K572=1,COUNTIFS($O$5:$O$1517,"&gt;="&amp;O572,$K$5:$K$1517,1)/COUNTIF($O$5:$O$1517,"&gt;="&amp;O572),0)</f>
        <v>0</v>
      </c>
      <c r="Y572" s="8" t="n">
        <f aca="false">IF($K572=1,COUNTIFS($P$5:$P$1517,"&gt;="&amp;P572,$K$5:$K$1517,1)/COUNTIF($P$5:$P$1517,"&gt;="&amp;P572),0)</f>
        <v>0</v>
      </c>
      <c r="Z572" s="8" t="n">
        <f aca="false">(L572-$K572)^2</f>
        <v>0.301714011225</v>
      </c>
      <c r="AA572" s="8" t="n">
        <f aca="false">(M572-$K572)^2</f>
        <v>0.008475595969</v>
      </c>
      <c r="AB572" s="8" t="n">
        <f aca="false">(N572-$K572)^2</f>
        <v>0.015156810769</v>
      </c>
      <c r="AC572" s="8" t="n">
        <f aca="false">(O572-$K572)^2</f>
        <v>0.011274829489</v>
      </c>
      <c r="AD572" s="8" t="n">
        <f aca="false">(P572-$K572)^2</f>
        <v>0.017293565025</v>
      </c>
      <c r="AE572" s="8" t="n">
        <f aca="false">MIN(INT(ROUND(N572*1000000,0)/100000),9)</f>
        <v>1</v>
      </c>
      <c r="AF572" s="8" t="n">
        <f aca="false">MIN(INT(ROUND(P572*1000000,0)/100000),9)</f>
        <v>1</v>
      </c>
    </row>
    <row r="573" customFormat="false" ht="15" hidden="false" customHeight="false" outlineLevel="0" collapsed="false">
      <c r="A573" s="4" t="n">
        <v>569</v>
      </c>
      <c r="B573" s="4" t="n">
        <v>999</v>
      </c>
      <c r="C573" s="4" t="n">
        <v>1</v>
      </c>
      <c r="D573" s="11" t="n">
        <v>46082</v>
      </c>
      <c r="E573" s="4" t="s">
        <v>202</v>
      </c>
      <c r="F573" s="4" t="s">
        <v>206</v>
      </c>
      <c r="G573" s="4" t="n">
        <v>5</v>
      </c>
      <c r="H573" s="4" t="n">
        <v>11</v>
      </c>
      <c r="I573" s="4" t="n">
        <v>0</v>
      </c>
      <c r="J573" s="4"/>
      <c r="K573" s="4" t="n">
        <v>0</v>
      </c>
      <c r="L573" s="12" t="n">
        <v>0.732873</v>
      </c>
      <c r="M573" s="12" t="n">
        <v>0.092063</v>
      </c>
      <c r="N573" s="12" t="n">
        <v>0.058821</v>
      </c>
      <c r="O573" s="12" t="n">
        <v>0.106183</v>
      </c>
      <c r="P573" s="12" t="n">
        <v>0.060906</v>
      </c>
      <c r="Q573" s="0" t="str">
        <f aca="false">IF(L573&gt;=Models!$G$5,1+COUNTIF($L$5:$L$1517,"&gt;"&amp;L573)+COUNTIFS($L$5:$L$1517,L573,$B$5:$B$1517,"&lt;"&amp;B573)+COUNTIFS($L$5:$L$1517,L573,$B$5:$B$1517,B573,$C$5:$C$1517,"&lt;"&amp;C573),"")</f>
        <v/>
      </c>
      <c r="R573" s="0" t="str">
        <f aca="false">IF(M573&gt;=Models!$G$6,1+COUNTIF($M$5:$M$1517,"&gt;"&amp;M573)+COUNTIFS($M$5:$M$1517,M573,$B$5:$B$1517,"&lt;"&amp;B573)+COUNTIFS($M$5:$M$1517,M573,$B$5:$B$1517,B573,$C$5:$C$1517,"&lt;"&amp;C573),"")</f>
        <v/>
      </c>
      <c r="S573" s="0" t="str">
        <f aca="false">IF(N573&gt;=Models!$G$7,1+COUNTIF($N$5:$N$1517,"&gt;"&amp;N573)+COUNTIFS($N$5:$N$1517,N573,$B$5:$B$1517,"&lt;"&amp;B573)+COUNTIFS($N$5:$N$1517,N573,$B$5:$B$1517,B573,$C$5:$C$1517,"&lt;"&amp;C573),"")</f>
        <v/>
      </c>
      <c r="T573" s="8" t="n">
        <f aca="false">IF(O573&gt;=Models!$G$8,1+COUNTIF($O$5:$O$1517,"&gt;"&amp;O573)+COUNTIFS($O$5:$O$1517,O573,$B$5:$B$1517,"&lt;"&amp;B573)+COUNTIFS($O$5:$O$1517,O573,$B$5:$B$1517,B573,$C$5:$C$1517,"&lt;"&amp;C573),"")</f>
        <v>798</v>
      </c>
      <c r="U573" s="8" t="n">
        <f aca="false">IF($K573=1,COUNTIFS($L$5:$L$1517,"&gt;="&amp;L573,$K$5:$K$1517,1)/COUNTIF($L$5:$L$1517,"&gt;="&amp;L573),0)</f>
        <v>0</v>
      </c>
      <c r="V573" s="8" t="n">
        <f aca="false">IF($K573=1,COUNTIFS($M$5:$M$1517,"&gt;="&amp;M573,$K$5:$K$1517,1)/COUNTIF($M$5:$M$1517,"&gt;="&amp;M573),0)</f>
        <v>0</v>
      </c>
      <c r="W573" s="8" t="n">
        <f aca="false">IF($K573=1,COUNTIFS($N$5:$N$1517,"&gt;="&amp;N573,$K$5:$K$1517,1)/COUNTIF($N$5:$N$1517,"&gt;="&amp;N573),0)</f>
        <v>0</v>
      </c>
      <c r="X573" s="8" t="n">
        <f aca="false">IF($K573=1,COUNTIFS($O$5:$O$1517,"&gt;="&amp;O573,$K$5:$K$1517,1)/COUNTIF($O$5:$O$1517,"&gt;="&amp;O573),0)</f>
        <v>0</v>
      </c>
      <c r="Y573" s="8" t="n">
        <f aca="false">IF($K573=1,COUNTIFS($P$5:$P$1517,"&gt;="&amp;P573,$K$5:$K$1517,1)/COUNTIF($P$5:$P$1517,"&gt;="&amp;P573),0)</f>
        <v>0</v>
      </c>
      <c r="Z573" s="8" t="n">
        <f aca="false">(L573-$K573)^2</f>
        <v>0.537102834129</v>
      </c>
      <c r="AA573" s="8" t="n">
        <f aca="false">(M573-$K573)^2</f>
        <v>0.008475595969</v>
      </c>
      <c r="AB573" s="8" t="n">
        <f aca="false">(N573-$K573)^2</f>
        <v>0.003459910041</v>
      </c>
      <c r="AC573" s="8" t="n">
        <f aca="false">(O573-$K573)^2</f>
        <v>0.011274829489</v>
      </c>
      <c r="AD573" s="8" t="n">
        <f aca="false">(P573-$K573)^2</f>
        <v>0.003709540836</v>
      </c>
      <c r="AE573" s="8" t="n">
        <f aca="false">MIN(INT(ROUND(N573*1000000,0)/100000),9)</f>
        <v>0</v>
      </c>
      <c r="AF573" s="8" t="n">
        <f aca="false">MIN(INT(ROUND(P573*1000000,0)/100000),9)</f>
        <v>0</v>
      </c>
    </row>
    <row r="574" customFormat="false" ht="15" hidden="false" customHeight="false" outlineLevel="0" collapsed="false">
      <c r="A574" s="4" t="n">
        <v>570</v>
      </c>
      <c r="B574" s="4" t="n">
        <v>1009</v>
      </c>
      <c r="C574" s="4" t="n">
        <v>1</v>
      </c>
      <c r="D574" s="11" t="n">
        <v>46082</v>
      </c>
      <c r="E574" s="4" t="s">
        <v>204</v>
      </c>
      <c r="F574" s="4" t="s">
        <v>208</v>
      </c>
      <c r="G574" s="4" t="n">
        <v>5</v>
      </c>
      <c r="H574" s="4" t="n">
        <v>3</v>
      </c>
      <c r="I574" s="4" t="n">
        <v>1</v>
      </c>
      <c r="J574" s="4" t="n">
        <v>117</v>
      </c>
      <c r="K574" s="4" t="n">
        <v>0</v>
      </c>
      <c r="L574" s="12" t="n">
        <v>0.92882</v>
      </c>
      <c r="M574" s="12" t="n">
        <v>0.184211</v>
      </c>
      <c r="N574" s="12" t="n">
        <v>0.183593</v>
      </c>
      <c r="O574" s="12" t="n">
        <v>0.106183</v>
      </c>
      <c r="P574" s="12" t="n">
        <v>0.198735</v>
      </c>
      <c r="Q574" s="0" t="str">
        <f aca="false">IF(L574&gt;=Models!$G$5,1+COUNTIF($L$5:$L$1517,"&gt;"&amp;L574)+COUNTIFS($L$5:$L$1517,L574,$B$5:$B$1517,"&lt;"&amp;B574)+COUNTIFS($L$5:$L$1517,L574,$B$5:$B$1517,B574,$C$5:$C$1517,"&lt;"&amp;C574),"")</f>
        <v/>
      </c>
      <c r="R574" s="8" t="n">
        <f aca="false">IF(M574&gt;=Models!$G$6,1+COUNTIF($M$5:$M$1517,"&gt;"&amp;M574)+COUNTIFS($M$5:$M$1517,M574,$B$5:$B$1517,"&lt;"&amp;B574)+COUNTIFS($M$5:$M$1517,M574,$B$5:$B$1517,B574,$C$5:$C$1517,"&lt;"&amp;C574),"")</f>
        <v>87</v>
      </c>
      <c r="S574" s="0" t="str">
        <f aca="false">IF(N574&gt;=Models!$G$7,1+COUNTIF($N$5:$N$1517,"&gt;"&amp;N574)+COUNTIFS($N$5:$N$1517,N574,$B$5:$B$1517,"&lt;"&amp;B574)+COUNTIFS($N$5:$N$1517,N574,$B$5:$B$1517,B574,$C$5:$C$1517,"&lt;"&amp;C574),"")</f>
        <v/>
      </c>
      <c r="T574" s="8" t="n">
        <f aca="false">IF(O574&gt;=Models!$G$8,1+COUNTIF($O$5:$O$1517,"&gt;"&amp;O574)+COUNTIFS($O$5:$O$1517,O574,$B$5:$B$1517,"&lt;"&amp;B574)+COUNTIFS($O$5:$O$1517,O574,$B$5:$B$1517,B574,$C$5:$C$1517,"&lt;"&amp;C574),"")</f>
        <v>802</v>
      </c>
      <c r="U574" s="8" t="n">
        <f aca="false">IF($K574=1,COUNTIFS($L$5:$L$1517,"&gt;="&amp;L574,$K$5:$K$1517,1)/COUNTIF($L$5:$L$1517,"&gt;="&amp;L574),0)</f>
        <v>0</v>
      </c>
      <c r="V574" s="8" t="n">
        <f aca="false">IF($K574=1,COUNTIFS($M$5:$M$1517,"&gt;="&amp;M574,$K$5:$K$1517,1)/COUNTIF($M$5:$M$1517,"&gt;="&amp;M574),0)</f>
        <v>0</v>
      </c>
      <c r="W574" s="8" t="n">
        <f aca="false">IF($K574=1,COUNTIFS($N$5:$N$1517,"&gt;="&amp;N574,$K$5:$K$1517,1)/COUNTIF($N$5:$N$1517,"&gt;="&amp;N574),0)</f>
        <v>0</v>
      </c>
      <c r="X574" s="8" t="n">
        <f aca="false">IF($K574=1,COUNTIFS($O$5:$O$1517,"&gt;="&amp;O574,$K$5:$K$1517,1)/COUNTIF($O$5:$O$1517,"&gt;="&amp;O574),0)</f>
        <v>0</v>
      </c>
      <c r="Y574" s="8" t="n">
        <f aca="false">IF($K574=1,COUNTIFS($P$5:$P$1517,"&gt;="&amp;P574,$K$5:$K$1517,1)/COUNTIF($P$5:$P$1517,"&gt;="&amp;P574),0)</f>
        <v>0</v>
      </c>
      <c r="Z574" s="8" t="n">
        <f aca="false">(L574-$K574)^2</f>
        <v>0.8627065924</v>
      </c>
      <c r="AA574" s="8" t="n">
        <f aca="false">(M574-$K574)^2</f>
        <v>0.033933692521</v>
      </c>
      <c r="AB574" s="8" t="n">
        <f aca="false">(N574-$K574)^2</f>
        <v>0.033706389649</v>
      </c>
      <c r="AC574" s="8" t="n">
        <f aca="false">(O574-$K574)^2</f>
        <v>0.011274829489</v>
      </c>
      <c r="AD574" s="8" t="n">
        <f aca="false">(P574-$K574)^2</f>
        <v>0.039495600225</v>
      </c>
      <c r="AE574" s="8" t="n">
        <f aca="false">MIN(INT(ROUND(N574*1000000,0)/100000),9)</f>
        <v>1</v>
      </c>
      <c r="AF574" s="8" t="n">
        <f aca="false">MIN(INT(ROUND(P574*1000000,0)/100000),9)</f>
        <v>1</v>
      </c>
    </row>
    <row r="575" customFormat="false" ht="15" hidden="false" customHeight="false" outlineLevel="0" collapsed="false">
      <c r="A575" s="4" t="n">
        <v>571</v>
      </c>
      <c r="B575" s="4" t="n">
        <v>1013</v>
      </c>
      <c r="C575" s="4" t="n">
        <v>1</v>
      </c>
      <c r="D575" s="11" t="n">
        <v>46082</v>
      </c>
      <c r="E575" s="4" t="s">
        <v>204</v>
      </c>
      <c r="F575" s="4" t="s">
        <v>209</v>
      </c>
      <c r="G575" s="4" t="n">
        <v>3</v>
      </c>
      <c r="H575" s="4" t="n">
        <v>4</v>
      </c>
      <c r="I575" s="4" t="n">
        <v>0</v>
      </c>
      <c r="J575" s="4" t="n">
        <v>84</v>
      </c>
      <c r="K575" s="4" t="n">
        <v>1</v>
      </c>
      <c r="L575" s="12" t="n">
        <v>0.286749</v>
      </c>
      <c r="M575" s="12" t="n">
        <v>0.092063</v>
      </c>
      <c r="N575" s="12" t="n">
        <v>0.13032</v>
      </c>
      <c r="O575" s="12" t="n">
        <v>0.106183</v>
      </c>
      <c r="P575" s="12" t="n">
        <v>0.139497</v>
      </c>
      <c r="Q575" s="0" t="str">
        <f aca="false">IF(L575&gt;=Models!$G$5,1+COUNTIF($L$5:$L$1517,"&gt;"&amp;L575)+COUNTIFS($L$5:$L$1517,L575,$B$5:$B$1517,"&lt;"&amp;B575)+COUNTIFS($L$5:$L$1517,L575,$B$5:$B$1517,B575,$C$5:$C$1517,"&lt;"&amp;C575),"")</f>
        <v/>
      </c>
      <c r="R575" s="0" t="str">
        <f aca="false">IF(M575&gt;=Models!$G$6,1+COUNTIF($M$5:$M$1517,"&gt;"&amp;M575)+COUNTIFS($M$5:$M$1517,M575,$B$5:$B$1517,"&lt;"&amp;B575)+COUNTIFS($M$5:$M$1517,M575,$B$5:$B$1517,B575,$C$5:$C$1517,"&lt;"&amp;C575),"")</f>
        <v/>
      </c>
      <c r="S575" s="0" t="str">
        <f aca="false">IF(N575&gt;=Models!$G$7,1+COUNTIF($N$5:$N$1517,"&gt;"&amp;N575)+COUNTIFS($N$5:$N$1517,N575,$B$5:$B$1517,"&lt;"&amp;B575)+COUNTIFS($N$5:$N$1517,N575,$B$5:$B$1517,B575,$C$5:$C$1517,"&lt;"&amp;C575),"")</f>
        <v/>
      </c>
      <c r="T575" s="8" t="n">
        <f aca="false">IF(O575&gt;=Models!$G$8,1+COUNTIF($O$5:$O$1517,"&gt;"&amp;O575)+COUNTIFS($O$5:$O$1517,O575,$B$5:$B$1517,"&lt;"&amp;B575)+COUNTIFS($O$5:$O$1517,O575,$B$5:$B$1517,B575,$C$5:$C$1517,"&lt;"&amp;C575),"")</f>
        <v>806</v>
      </c>
      <c r="U575" s="8" t="n">
        <f aca="false">IF($K575=1,COUNTIFS($L$5:$L$1517,"&gt;="&amp;L575,$K$5:$K$1517,1)/COUNTIF($L$5:$L$1517,"&gt;="&amp;L575),0)</f>
        <v>0.128638497652582</v>
      </c>
      <c r="V575" s="8" t="n">
        <f aca="false">IF($K575=1,COUNTIFS($M$5:$M$1517,"&gt;="&amp;M575,$K$5:$K$1517,1)/COUNTIF($M$5:$M$1517,"&gt;="&amp;M575),0)</f>
        <v>0.12491738268341</v>
      </c>
      <c r="W575" s="8" t="n">
        <f aca="false">IF($K575=1,COUNTIFS($N$5:$N$1517,"&gt;="&amp;N575,$K$5:$K$1517,1)/COUNTIF($N$5:$N$1517,"&gt;="&amp;N575),0)</f>
        <v>0.240112994350283</v>
      </c>
      <c r="X575" s="8" t="n">
        <f aca="false">IF($K575=1,COUNTIFS($O$5:$O$1517,"&gt;="&amp;O575,$K$5:$K$1517,1)/COUNTIF($O$5:$O$1517,"&gt;="&amp;O575),0)</f>
        <v>0.12491738268341</v>
      </c>
      <c r="Y575" s="8" t="n">
        <f aca="false">IF($K575=1,COUNTIFS($P$5:$P$1517,"&gt;="&amp;P575,$K$5:$K$1517,1)/COUNTIF($P$5:$P$1517,"&gt;="&amp;P575),0)</f>
        <v>0.240112994350283</v>
      </c>
      <c r="Z575" s="8" t="n">
        <f aca="false">(L575-$K575)^2</f>
        <v>0.508726989001</v>
      </c>
      <c r="AA575" s="8" t="n">
        <f aca="false">(M575-$K575)^2</f>
        <v>0.824349595969</v>
      </c>
      <c r="AB575" s="8" t="n">
        <f aca="false">(N575-$K575)^2</f>
        <v>0.7563433024</v>
      </c>
      <c r="AC575" s="8" t="n">
        <f aca="false">(O575-$K575)^2</f>
        <v>0.798908829489</v>
      </c>
      <c r="AD575" s="8" t="n">
        <f aca="false">(P575-$K575)^2</f>
        <v>0.740465413009</v>
      </c>
      <c r="AE575" s="8" t="n">
        <f aca="false">MIN(INT(ROUND(N575*1000000,0)/100000),9)</f>
        <v>1</v>
      </c>
      <c r="AF575" s="8" t="n">
        <f aca="false">MIN(INT(ROUND(P575*1000000,0)/100000),9)</f>
        <v>1</v>
      </c>
    </row>
    <row r="576" customFormat="false" ht="15" hidden="false" customHeight="false" outlineLevel="0" collapsed="false">
      <c r="A576" s="4" t="n">
        <v>572</v>
      </c>
      <c r="B576" s="4" t="n">
        <v>1015</v>
      </c>
      <c r="C576" s="4" t="n">
        <v>1</v>
      </c>
      <c r="D576" s="11" t="n">
        <v>46082</v>
      </c>
      <c r="E576" s="4" t="s">
        <v>204</v>
      </c>
      <c r="F576" s="4" t="s">
        <v>209</v>
      </c>
      <c r="G576" s="4" t="n">
        <v>5</v>
      </c>
      <c r="H576" s="4" t="n">
        <v>3</v>
      </c>
      <c r="I576" s="4" t="n">
        <v>0</v>
      </c>
      <c r="J576" s="4"/>
      <c r="K576" s="4" t="n">
        <v>0</v>
      </c>
      <c r="L576" s="12" t="n">
        <v>0.859801</v>
      </c>
      <c r="M576" s="12" t="n">
        <v>0.092063</v>
      </c>
      <c r="N576" s="12" t="n">
        <v>0.055295</v>
      </c>
      <c r="O576" s="12" t="n">
        <v>0.106183</v>
      </c>
      <c r="P576" s="12" t="n">
        <v>0.057095</v>
      </c>
      <c r="Q576" s="0" t="str">
        <f aca="false">IF(L576&gt;=Models!$G$5,1+COUNTIF($L$5:$L$1517,"&gt;"&amp;L576)+COUNTIFS($L$5:$L$1517,L576,$B$5:$B$1517,"&lt;"&amp;B576)+COUNTIFS($L$5:$L$1517,L576,$B$5:$B$1517,B576,$C$5:$C$1517,"&lt;"&amp;C576),"")</f>
        <v/>
      </c>
      <c r="R576" s="0" t="str">
        <f aca="false">IF(M576&gt;=Models!$G$6,1+COUNTIF($M$5:$M$1517,"&gt;"&amp;M576)+COUNTIFS($M$5:$M$1517,M576,$B$5:$B$1517,"&lt;"&amp;B576)+COUNTIFS($M$5:$M$1517,M576,$B$5:$B$1517,B576,$C$5:$C$1517,"&lt;"&amp;C576),"")</f>
        <v/>
      </c>
      <c r="S576" s="0" t="str">
        <f aca="false">IF(N576&gt;=Models!$G$7,1+COUNTIF($N$5:$N$1517,"&gt;"&amp;N576)+COUNTIFS($N$5:$N$1517,N576,$B$5:$B$1517,"&lt;"&amp;B576)+COUNTIFS($N$5:$N$1517,N576,$B$5:$B$1517,B576,$C$5:$C$1517,"&lt;"&amp;C576),"")</f>
        <v/>
      </c>
      <c r="T576" s="8" t="n">
        <f aca="false">IF(O576&gt;=Models!$G$8,1+COUNTIF($O$5:$O$1517,"&gt;"&amp;O576)+COUNTIFS($O$5:$O$1517,O576,$B$5:$B$1517,"&lt;"&amp;B576)+COUNTIFS($O$5:$O$1517,O576,$B$5:$B$1517,B576,$C$5:$C$1517,"&lt;"&amp;C576),"")</f>
        <v>808</v>
      </c>
      <c r="U576" s="8" t="n">
        <f aca="false">IF($K576=1,COUNTIFS($L$5:$L$1517,"&gt;="&amp;L576,$K$5:$K$1517,1)/COUNTIF($L$5:$L$1517,"&gt;="&amp;L576),0)</f>
        <v>0</v>
      </c>
      <c r="V576" s="8" t="n">
        <f aca="false">IF($K576=1,COUNTIFS($M$5:$M$1517,"&gt;="&amp;M576,$K$5:$K$1517,1)/COUNTIF($M$5:$M$1517,"&gt;="&amp;M576),0)</f>
        <v>0</v>
      </c>
      <c r="W576" s="8" t="n">
        <f aca="false">IF($K576=1,COUNTIFS($N$5:$N$1517,"&gt;="&amp;N576,$K$5:$K$1517,1)/COUNTIF($N$5:$N$1517,"&gt;="&amp;N576),0)</f>
        <v>0</v>
      </c>
      <c r="X576" s="8" t="n">
        <f aca="false">IF($K576=1,COUNTIFS($O$5:$O$1517,"&gt;="&amp;O576,$K$5:$K$1517,1)/COUNTIF($O$5:$O$1517,"&gt;="&amp;O576),0)</f>
        <v>0</v>
      </c>
      <c r="Y576" s="8" t="n">
        <f aca="false">IF($K576=1,COUNTIFS($P$5:$P$1517,"&gt;="&amp;P576,$K$5:$K$1517,1)/COUNTIF($P$5:$P$1517,"&gt;="&amp;P576),0)</f>
        <v>0</v>
      </c>
      <c r="Z576" s="8" t="n">
        <f aca="false">(L576-$K576)^2</f>
        <v>0.739257759601</v>
      </c>
      <c r="AA576" s="8" t="n">
        <f aca="false">(M576-$K576)^2</f>
        <v>0.008475595969</v>
      </c>
      <c r="AB576" s="8" t="n">
        <f aca="false">(N576-$K576)^2</f>
        <v>0.003057537025</v>
      </c>
      <c r="AC576" s="8" t="n">
        <f aca="false">(O576-$K576)^2</f>
        <v>0.011274829489</v>
      </c>
      <c r="AD576" s="8" t="n">
        <f aca="false">(P576-$K576)^2</f>
        <v>0.003259839025</v>
      </c>
      <c r="AE576" s="8" t="n">
        <f aca="false">MIN(INT(ROUND(N576*1000000,0)/100000),9)</f>
        <v>0</v>
      </c>
      <c r="AF576" s="8" t="n">
        <f aca="false">MIN(INT(ROUND(P576*1000000,0)/100000),9)</f>
        <v>0</v>
      </c>
    </row>
    <row r="577" customFormat="false" ht="15" hidden="false" customHeight="false" outlineLevel="0" collapsed="false">
      <c r="A577" s="4" t="n">
        <v>573</v>
      </c>
      <c r="B577" s="4" t="n">
        <v>1017</v>
      </c>
      <c r="C577" s="4" t="n">
        <v>1</v>
      </c>
      <c r="D577" s="11" t="n">
        <v>46082</v>
      </c>
      <c r="E577" s="4" t="s">
        <v>203</v>
      </c>
      <c r="F577" s="4" t="s">
        <v>209</v>
      </c>
      <c r="G577" s="4" t="n">
        <v>5</v>
      </c>
      <c r="H577" s="4" t="n">
        <v>3</v>
      </c>
      <c r="I577" s="4" t="n">
        <v>0</v>
      </c>
      <c r="J577" s="4" t="n">
        <v>203.7</v>
      </c>
      <c r="K577" s="4" t="n">
        <v>0</v>
      </c>
      <c r="L577" s="12" t="n">
        <v>0.446212</v>
      </c>
      <c r="M577" s="12" t="n">
        <v>0.092063</v>
      </c>
      <c r="N577" s="12" t="n">
        <v>0.109754</v>
      </c>
      <c r="O577" s="12" t="n">
        <v>0.106183</v>
      </c>
      <c r="P577" s="12" t="n">
        <v>0.116718</v>
      </c>
      <c r="Q577" s="0" t="str">
        <f aca="false">IF(L577&gt;=Models!$G$5,1+COUNTIF($L$5:$L$1517,"&gt;"&amp;L577)+COUNTIFS($L$5:$L$1517,L577,$B$5:$B$1517,"&lt;"&amp;B577)+COUNTIFS($L$5:$L$1517,L577,$B$5:$B$1517,B577,$C$5:$C$1517,"&lt;"&amp;C577),"")</f>
        <v/>
      </c>
      <c r="R577" s="0" t="str">
        <f aca="false">IF(M577&gt;=Models!$G$6,1+COUNTIF($M$5:$M$1517,"&gt;"&amp;M577)+COUNTIFS($M$5:$M$1517,M577,$B$5:$B$1517,"&lt;"&amp;B577)+COUNTIFS($M$5:$M$1517,M577,$B$5:$B$1517,B577,$C$5:$C$1517,"&lt;"&amp;C577),"")</f>
        <v/>
      </c>
      <c r="S577" s="0" t="str">
        <f aca="false">IF(N577&gt;=Models!$G$7,1+COUNTIF($N$5:$N$1517,"&gt;"&amp;N577)+COUNTIFS($N$5:$N$1517,N577,$B$5:$B$1517,"&lt;"&amp;B577)+COUNTIFS($N$5:$N$1517,N577,$B$5:$B$1517,B577,$C$5:$C$1517,"&lt;"&amp;C577),"")</f>
        <v/>
      </c>
      <c r="T577" s="8" t="n">
        <f aca="false">IF(O577&gt;=Models!$G$8,1+COUNTIF($O$5:$O$1517,"&gt;"&amp;O577)+COUNTIFS($O$5:$O$1517,O577,$B$5:$B$1517,"&lt;"&amp;B577)+COUNTIFS($O$5:$O$1517,O577,$B$5:$B$1517,B577,$C$5:$C$1517,"&lt;"&amp;C577),"")</f>
        <v>812</v>
      </c>
      <c r="U577" s="8" t="n">
        <f aca="false">IF($K577=1,COUNTIFS($L$5:$L$1517,"&gt;="&amp;L577,$K$5:$K$1517,1)/COUNTIF($L$5:$L$1517,"&gt;="&amp;L577),0)</f>
        <v>0</v>
      </c>
      <c r="V577" s="8" t="n">
        <f aca="false">IF($K577=1,COUNTIFS($M$5:$M$1517,"&gt;="&amp;M577,$K$5:$K$1517,1)/COUNTIF($M$5:$M$1517,"&gt;="&amp;M577),0)</f>
        <v>0</v>
      </c>
      <c r="W577" s="8" t="n">
        <f aca="false">IF($K577=1,COUNTIFS($N$5:$N$1517,"&gt;="&amp;N577,$K$5:$K$1517,1)/COUNTIF($N$5:$N$1517,"&gt;="&amp;N577),0)</f>
        <v>0</v>
      </c>
      <c r="X577" s="8" t="n">
        <f aca="false">IF($K577=1,COUNTIFS($O$5:$O$1517,"&gt;="&amp;O577,$K$5:$K$1517,1)/COUNTIF($O$5:$O$1517,"&gt;="&amp;O577),0)</f>
        <v>0</v>
      </c>
      <c r="Y577" s="8" t="n">
        <f aca="false">IF($K577=1,COUNTIFS($P$5:$P$1517,"&gt;="&amp;P577,$K$5:$K$1517,1)/COUNTIF($P$5:$P$1517,"&gt;="&amp;P577),0)</f>
        <v>0</v>
      </c>
      <c r="Z577" s="8" t="n">
        <f aca="false">(L577-$K577)^2</f>
        <v>0.199105148944</v>
      </c>
      <c r="AA577" s="8" t="n">
        <f aca="false">(M577-$K577)^2</f>
        <v>0.008475595969</v>
      </c>
      <c r="AB577" s="8" t="n">
        <f aca="false">(N577-$K577)^2</f>
        <v>0.012045940516</v>
      </c>
      <c r="AC577" s="8" t="n">
        <f aca="false">(O577-$K577)^2</f>
        <v>0.011274829489</v>
      </c>
      <c r="AD577" s="8" t="n">
        <f aca="false">(P577-$K577)^2</f>
        <v>0.013623091524</v>
      </c>
      <c r="AE577" s="8" t="n">
        <f aca="false">MIN(INT(ROUND(N577*1000000,0)/100000),9)</f>
        <v>1</v>
      </c>
      <c r="AF577" s="8" t="n">
        <f aca="false">MIN(INT(ROUND(P577*1000000,0)/100000),9)</f>
        <v>1</v>
      </c>
    </row>
    <row r="578" customFormat="false" ht="15" hidden="false" customHeight="false" outlineLevel="0" collapsed="false">
      <c r="A578" s="4" t="n">
        <v>574</v>
      </c>
      <c r="B578" s="4" t="n">
        <v>1019</v>
      </c>
      <c r="C578" s="4" t="n">
        <v>1</v>
      </c>
      <c r="D578" s="11" t="n">
        <v>46082</v>
      </c>
      <c r="E578" s="4" t="s">
        <v>204</v>
      </c>
      <c r="F578" s="4" t="s">
        <v>206</v>
      </c>
      <c r="G578" s="4" t="n">
        <v>3</v>
      </c>
      <c r="H578" s="4" t="n">
        <v>3</v>
      </c>
      <c r="I578" s="4" t="n">
        <v>0</v>
      </c>
      <c r="J578" s="4" t="n">
        <v>72</v>
      </c>
      <c r="K578" s="4" t="n">
        <v>0</v>
      </c>
      <c r="L578" s="12" t="n">
        <v>0.786024</v>
      </c>
      <c r="M578" s="12" t="n">
        <v>0.092063</v>
      </c>
      <c r="N578" s="12" t="n">
        <v>0.129473</v>
      </c>
      <c r="O578" s="12" t="n">
        <v>0.106183</v>
      </c>
      <c r="P578" s="12" t="n">
        <v>0.138557</v>
      </c>
      <c r="Q578" s="0" t="str">
        <f aca="false">IF(L578&gt;=Models!$G$5,1+COUNTIF($L$5:$L$1517,"&gt;"&amp;L578)+COUNTIFS($L$5:$L$1517,L578,$B$5:$B$1517,"&lt;"&amp;B578)+COUNTIFS($L$5:$L$1517,L578,$B$5:$B$1517,B578,$C$5:$C$1517,"&lt;"&amp;C578),"")</f>
        <v/>
      </c>
      <c r="R578" s="0" t="str">
        <f aca="false">IF(M578&gt;=Models!$G$6,1+COUNTIF($M$5:$M$1517,"&gt;"&amp;M578)+COUNTIFS($M$5:$M$1517,M578,$B$5:$B$1517,"&lt;"&amp;B578)+COUNTIFS($M$5:$M$1517,M578,$B$5:$B$1517,B578,$C$5:$C$1517,"&lt;"&amp;C578),"")</f>
        <v/>
      </c>
      <c r="S578" s="0" t="str">
        <f aca="false">IF(N578&gt;=Models!$G$7,1+COUNTIF($N$5:$N$1517,"&gt;"&amp;N578)+COUNTIFS($N$5:$N$1517,N578,$B$5:$B$1517,"&lt;"&amp;B578)+COUNTIFS($N$5:$N$1517,N578,$B$5:$B$1517,B578,$C$5:$C$1517,"&lt;"&amp;C578),"")</f>
        <v/>
      </c>
      <c r="T578" s="8" t="n">
        <f aca="false">IF(O578&gt;=Models!$G$8,1+COUNTIF($O$5:$O$1517,"&gt;"&amp;O578)+COUNTIFS($O$5:$O$1517,O578,$B$5:$B$1517,"&lt;"&amp;B578)+COUNTIFS($O$5:$O$1517,O578,$B$5:$B$1517,B578,$C$5:$C$1517,"&lt;"&amp;C578),"")</f>
        <v>816</v>
      </c>
      <c r="U578" s="8" t="n">
        <f aca="false">IF($K578=1,COUNTIFS($L$5:$L$1517,"&gt;="&amp;L578,$K$5:$K$1517,1)/COUNTIF($L$5:$L$1517,"&gt;="&amp;L578),0)</f>
        <v>0</v>
      </c>
      <c r="V578" s="8" t="n">
        <f aca="false">IF($K578=1,COUNTIFS($M$5:$M$1517,"&gt;="&amp;M578,$K$5:$K$1517,1)/COUNTIF($M$5:$M$1517,"&gt;="&amp;M578),0)</f>
        <v>0</v>
      </c>
      <c r="W578" s="8" t="n">
        <f aca="false">IF($K578=1,COUNTIFS($N$5:$N$1517,"&gt;="&amp;N578,$K$5:$K$1517,1)/COUNTIF($N$5:$N$1517,"&gt;="&amp;N578),0)</f>
        <v>0</v>
      </c>
      <c r="X578" s="8" t="n">
        <f aca="false">IF($K578=1,COUNTIFS($O$5:$O$1517,"&gt;="&amp;O578,$K$5:$K$1517,1)/COUNTIF($O$5:$O$1517,"&gt;="&amp;O578),0)</f>
        <v>0</v>
      </c>
      <c r="Y578" s="8" t="n">
        <f aca="false">IF($K578=1,COUNTIFS($P$5:$P$1517,"&gt;="&amp;P578,$K$5:$K$1517,1)/COUNTIF($P$5:$P$1517,"&gt;="&amp;P578),0)</f>
        <v>0</v>
      </c>
      <c r="Z578" s="8" t="n">
        <f aca="false">(L578-$K578)^2</f>
        <v>0.617833728576</v>
      </c>
      <c r="AA578" s="8" t="n">
        <f aca="false">(M578-$K578)^2</f>
        <v>0.008475595969</v>
      </c>
      <c r="AB578" s="8" t="n">
        <f aca="false">(N578-$K578)^2</f>
        <v>0.016763257729</v>
      </c>
      <c r="AC578" s="8" t="n">
        <f aca="false">(O578-$K578)^2</f>
        <v>0.011274829489</v>
      </c>
      <c r="AD578" s="8" t="n">
        <f aca="false">(P578-$K578)^2</f>
        <v>0.019198042249</v>
      </c>
      <c r="AE578" s="8" t="n">
        <f aca="false">MIN(INT(ROUND(N578*1000000,0)/100000),9)</f>
        <v>1</v>
      </c>
      <c r="AF578" s="8" t="n">
        <f aca="false">MIN(INT(ROUND(P578*1000000,0)/100000),9)</f>
        <v>1</v>
      </c>
    </row>
    <row r="579" customFormat="false" ht="15" hidden="false" customHeight="false" outlineLevel="0" collapsed="false">
      <c r="A579" s="4" t="n">
        <v>575</v>
      </c>
      <c r="B579" s="4" t="n">
        <v>1020</v>
      </c>
      <c r="C579" s="4" t="n">
        <v>1</v>
      </c>
      <c r="D579" s="11" t="n">
        <v>46082</v>
      </c>
      <c r="E579" s="4" t="s">
        <v>201</v>
      </c>
      <c r="F579" s="4" t="s">
        <v>209</v>
      </c>
      <c r="G579" s="4" t="n">
        <v>15</v>
      </c>
      <c r="H579" s="4" t="n">
        <v>0</v>
      </c>
      <c r="I579" s="4" t="n">
        <v>1</v>
      </c>
      <c r="J579" s="4" t="n">
        <v>9615</v>
      </c>
      <c r="K579" s="4" t="n">
        <v>0</v>
      </c>
      <c r="L579" s="12" t="n">
        <v>0.487203</v>
      </c>
      <c r="M579" s="12" t="n">
        <v>0.184211</v>
      </c>
      <c r="N579" s="12" t="n">
        <v>0.048881</v>
      </c>
      <c r="O579" s="12" t="n">
        <v>0.106183</v>
      </c>
      <c r="P579" s="12" t="n">
        <v>0.050188</v>
      </c>
      <c r="Q579" s="0" t="str">
        <f aca="false">IF(L579&gt;=Models!$G$5,1+COUNTIF($L$5:$L$1517,"&gt;"&amp;L579)+COUNTIFS($L$5:$L$1517,L579,$B$5:$B$1517,"&lt;"&amp;B579)+COUNTIFS($L$5:$L$1517,L579,$B$5:$B$1517,B579,$C$5:$C$1517,"&lt;"&amp;C579),"")</f>
        <v/>
      </c>
      <c r="R579" s="8" t="n">
        <f aca="false">IF(M579&gt;=Models!$G$6,1+COUNTIF($M$5:$M$1517,"&gt;"&amp;M579)+COUNTIFS($M$5:$M$1517,M579,$B$5:$B$1517,"&lt;"&amp;B579)+COUNTIFS($M$5:$M$1517,M579,$B$5:$B$1517,B579,$C$5:$C$1517,"&lt;"&amp;C579),"")</f>
        <v>90</v>
      </c>
      <c r="S579" s="0" t="str">
        <f aca="false">IF(N579&gt;=Models!$G$7,1+COUNTIF($N$5:$N$1517,"&gt;"&amp;N579)+COUNTIFS($N$5:$N$1517,N579,$B$5:$B$1517,"&lt;"&amp;B579)+COUNTIFS($N$5:$N$1517,N579,$B$5:$B$1517,B579,$C$5:$C$1517,"&lt;"&amp;C579),"")</f>
        <v/>
      </c>
      <c r="T579" s="8" t="n">
        <f aca="false">IF(O579&gt;=Models!$G$8,1+COUNTIF($O$5:$O$1517,"&gt;"&amp;O579)+COUNTIFS($O$5:$O$1517,O579,$B$5:$B$1517,"&lt;"&amp;B579)+COUNTIFS($O$5:$O$1517,O579,$B$5:$B$1517,B579,$C$5:$C$1517,"&lt;"&amp;C579),"")</f>
        <v>820</v>
      </c>
      <c r="U579" s="8" t="n">
        <f aca="false">IF($K579=1,COUNTIFS($L$5:$L$1517,"&gt;="&amp;L579,$K$5:$K$1517,1)/COUNTIF($L$5:$L$1517,"&gt;="&amp;L579),0)</f>
        <v>0</v>
      </c>
      <c r="V579" s="8" t="n">
        <f aca="false">IF($K579=1,COUNTIFS($M$5:$M$1517,"&gt;="&amp;M579,$K$5:$K$1517,1)/COUNTIF($M$5:$M$1517,"&gt;="&amp;M579),0)</f>
        <v>0</v>
      </c>
      <c r="W579" s="8" t="n">
        <f aca="false">IF($K579=1,COUNTIFS($N$5:$N$1517,"&gt;="&amp;N579,$K$5:$K$1517,1)/COUNTIF($N$5:$N$1517,"&gt;="&amp;N579),0)</f>
        <v>0</v>
      </c>
      <c r="X579" s="8" t="n">
        <f aca="false">IF($K579=1,COUNTIFS($O$5:$O$1517,"&gt;="&amp;O579,$K$5:$K$1517,1)/COUNTIF($O$5:$O$1517,"&gt;="&amp;O579),0)</f>
        <v>0</v>
      </c>
      <c r="Y579" s="8" t="n">
        <f aca="false">IF($K579=1,COUNTIFS($P$5:$P$1517,"&gt;="&amp;P579,$K$5:$K$1517,1)/COUNTIF($P$5:$P$1517,"&gt;="&amp;P579),0)</f>
        <v>0</v>
      </c>
      <c r="Z579" s="8" t="n">
        <f aca="false">(L579-$K579)^2</f>
        <v>0.237366763209</v>
      </c>
      <c r="AA579" s="8" t="n">
        <f aca="false">(M579-$K579)^2</f>
        <v>0.033933692521</v>
      </c>
      <c r="AB579" s="8" t="n">
        <f aca="false">(N579-$K579)^2</f>
        <v>0.002389352161</v>
      </c>
      <c r="AC579" s="8" t="n">
        <f aca="false">(O579-$K579)^2</f>
        <v>0.011274829489</v>
      </c>
      <c r="AD579" s="8" t="n">
        <f aca="false">(P579-$K579)^2</f>
        <v>0.002518835344</v>
      </c>
      <c r="AE579" s="8" t="n">
        <f aca="false">MIN(INT(ROUND(N579*1000000,0)/100000),9)</f>
        <v>0</v>
      </c>
      <c r="AF579" s="8" t="n">
        <f aca="false">MIN(INT(ROUND(P579*1000000,0)/100000),9)</f>
        <v>0</v>
      </c>
    </row>
    <row r="580" customFormat="false" ht="15" hidden="false" customHeight="false" outlineLevel="0" collapsed="false">
      <c r="A580" s="4" t="n">
        <v>576</v>
      </c>
      <c r="B580" s="4" t="n">
        <v>1025</v>
      </c>
      <c r="C580" s="4" t="n">
        <v>1</v>
      </c>
      <c r="D580" s="11" t="n">
        <v>46082</v>
      </c>
      <c r="E580" s="4" t="s">
        <v>201</v>
      </c>
      <c r="F580" s="4" t="s">
        <v>206</v>
      </c>
      <c r="G580" s="4" t="n">
        <v>20</v>
      </c>
      <c r="H580" s="4" t="n">
        <v>1</v>
      </c>
      <c r="I580" s="4" t="n">
        <v>0</v>
      </c>
      <c r="J580" s="4"/>
      <c r="K580" s="4" t="n">
        <v>0</v>
      </c>
      <c r="L580" s="12" t="n">
        <v>0.25434</v>
      </c>
      <c r="M580" s="12" t="n">
        <v>0.092063</v>
      </c>
      <c r="N580" s="12" t="n">
        <v>0.014709</v>
      </c>
      <c r="O580" s="12" t="n">
        <v>0.106183</v>
      </c>
      <c r="P580" s="12" t="n">
        <v>0.014266</v>
      </c>
      <c r="Q580" s="0" t="str">
        <f aca="false">IF(L580&gt;=Models!$G$5,1+COUNTIF($L$5:$L$1517,"&gt;"&amp;L580)+COUNTIFS($L$5:$L$1517,L580,$B$5:$B$1517,"&lt;"&amp;B580)+COUNTIFS($L$5:$L$1517,L580,$B$5:$B$1517,B580,$C$5:$C$1517,"&lt;"&amp;C580),"")</f>
        <v/>
      </c>
      <c r="R580" s="0" t="str">
        <f aca="false">IF(M580&gt;=Models!$G$6,1+COUNTIF($M$5:$M$1517,"&gt;"&amp;M580)+COUNTIFS($M$5:$M$1517,M580,$B$5:$B$1517,"&lt;"&amp;B580)+COUNTIFS($M$5:$M$1517,M580,$B$5:$B$1517,B580,$C$5:$C$1517,"&lt;"&amp;C580),"")</f>
        <v/>
      </c>
      <c r="S580" s="0" t="str">
        <f aca="false">IF(N580&gt;=Models!$G$7,1+COUNTIF($N$5:$N$1517,"&gt;"&amp;N580)+COUNTIFS($N$5:$N$1517,N580,$B$5:$B$1517,"&lt;"&amp;B580)+COUNTIFS($N$5:$N$1517,N580,$B$5:$B$1517,B580,$C$5:$C$1517,"&lt;"&amp;C580),"")</f>
        <v/>
      </c>
      <c r="T580" s="8" t="n">
        <f aca="false">IF(O580&gt;=Models!$G$8,1+COUNTIF($O$5:$O$1517,"&gt;"&amp;O580)+COUNTIFS($O$5:$O$1517,O580,$B$5:$B$1517,"&lt;"&amp;B580)+COUNTIFS($O$5:$O$1517,O580,$B$5:$B$1517,B580,$C$5:$C$1517,"&lt;"&amp;C580),"")</f>
        <v>824</v>
      </c>
      <c r="U580" s="8" t="n">
        <f aca="false">IF($K580=1,COUNTIFS($L$5:$L$1517,"&gt;="&amp;L580,$K$5:$K$1517,1)/COUNTIF($L$5:$L$1517,"&gt;="&amp;L580),0)</f>
        <v>0</v>
      </c>
      <c r="V580" s="8" t="n">
        <f aca="false">IF($K580=1,COUNTIFS($M$5:$M$1517,"&gt;="&amp;M580,$K$5:$K$1517,1)/COUNTIF($M$5:$M$1517,"&gt;="&amp;M580),0)</f>
        <v>0</v>
      </c>
      <c r="W580" s="8" t="n">
        <f aca="false">IF($K580=1,COUNTIFS($N$5:$N$1517,"&gt;="&amp;N580,$K$5:$K$1517,1)/COUNTIF($N$5:$N$1517,"&gt;="&amp;N580),0)</f>
        <v>0</v>
      </c>
      <c r="X580" s="8" t="n">
        <f aca="false">IF($K580=1,COUNTIFS($O$5:$O$1517,"&gt;="&amp;O580,$K$5:$K$1517,1)/COUNTIF($O$5:$O$1517,"&gt;="&amp;O580),0)</f>
        <v>0</v>
      </c>
      <c r="Y580" s="8" t="n">
        <f aca="false">IF($K580=1,COUNTIFS($P$5:$P$1517,"&gt;="&amp;P580,$K$5:$K$1517,1)/COUNTIF($P$5:$P$1517,"&gt;="&amp;P580),0)</f>
        <v>0</v>
      </c>
      <c r="Z580" s="8" t="n">
        <f aca="false">(L580-$K580)^2</f>
        <v>0.0646888356</v>
      </c>
      <c r="AA580" s="8" t="n">
        <f aca="false">(M580-$K580)^2</f>
        <v>0.008475595969</v>
      </c>
      <c r="AB580" s="8" t="n">
        <f aca="false">(N580-$K580)^2</f>
        <v>0.000216354681</v>
      </c>
      <c r="AC580" s="8" t="n">
        <f aca="false">(O580-$K580)^2</f>
        <v>0.011274829489</v>
      </c>
      <c r="AD580" s="8" t="n">
        <f aca="false">(P580-$K580)^2</f>
        <v>0.000203518756</v>
      </c>
      <c r="AE580" s="8" t="n">
        <f aca="false">MIN(INT(ROUND(N580*1000000,0)/100000),9)</f>
        <v>0</v>
      </c>
      <c r="AF580" s="8" t="n">
        <f aca="false">MIN(INT(ROUND(P580*1000000,0)/100000),9)</f>
        <v>0</v>
      </c>
    </row>
    <row r="581" customFormat="false" ht="15" hidden="false" customHeight="false" outlineLevel="0" collapsed="false">
      <c r="A581" s="4" t="n">
        <v>577</v>
      </c>
      <c r="B581" s="4" t="n">
        <v>1031</v>
      </c>
      <c r="C581" s="4" t="n">
        <v>1</v>
      </c>
      <c r="D581" s="11" t="n">
        <v>46082</v>
      </c>
      <c r="E581" s="4" t="s">
        <v>203</v>
      </c>
      <c r="F581" s="4" t="s">
        <v>209</v>
      </c>
      <c r="G581" s="4" t="n">
        <v>4</v>
      </c>
      <c r="H581" s="4" t="n">
        <v>14</v>
      </c>
      <c r="I581" s="4" t="n">
        <v>0</v>
      </c>
      <c r="J581" s="4" t="n">
        <v>333</v>
      </c>
      <c r="K581" s="4" t="n">
        <v>0</v>
      </c>
      <c r="L581" s="12" t="n">
        <v>0.271052</v>
      </c>
      <c r="M581" s="12" t="n">
        <v>0.092063</v>
      </c>
      <c r="N581" s="12" t="n">
        <v>0.12779</v>
      </c>
      <c r="O581" s="12" t="n">
        <v>0.106183</v>
      </c>
      <c r="P581" s="12" t="n">
        <v>0.136691</v>
      </c>
      <c r="Q581" s="0" t="str">
        <f aca="false">IF(L581&gt;=Models!$G$5,1+COUNTIF($L$5:$L$1517,"&gt;"&amp;L581)+COUNTIFS($L$5:$L$1517,L581,$B$5:$B$1517,"&lt;"&amp;B581)+COUNTIFS($L$5:$L$1517,L581,$B$5:$B$1517,B581,$C$5:$C$1517,"&lt;"&amp;C581),"")</f>
        <v/>
      </c>
      <c r="R581" s="0" t="str">
        <f aca="false">IF(M581&gt;=Models!$G$6,1+COUNTIF($M$5:$M$1517,"&gt;"&amp;M581)+COUNTIFS($M$5:$M$1517,M581,$B$5:$B$1517,"&lt;"&amp;B581)+COUNTIFS($M$5:$M$1517,M581,$B$5:$B$1517,B581,$C$5:$C$1517,"&lt;"&amp;C581),"")</f>
        <v/>
      </c>
      <c r="S581" s="0" t="str">
        <f aca="false">IF(N581&gt;=Models!$G$7,1+COUNTIF($N$5:$N$1517,"&gt;"&amp;N581)+COUNTIFS($N$5:$N$1517,N581,$B$5:$B$1517,"&lt;"&amp;B581)+COUNTIFS($N$5:$N$1517,N581,$B$5:$B$1517,B581,$C$5:$C$1517,"&lt;"&amp;C581),"")</f>
        <v/>
      </c>
      <c r="T581" s="8" t="n">
        <f aca="false">IF(O581&gt;=Models!$G$8,1+COUNTIF($O$5:$O$1517,"&gt;"&amp;O581)+COUNTIFS($O$5:$O$1517,O581,$B$5:$B$1517,"&lt;"&amp;B581)+COUNTIFS($O$5:$O$1517,O581,$B$5:$B$1517,B581,$C$5:$C$1517,"&lt;"&amp;C581),"")</f>
        <v>828</v>
      </c>
      <c r="U581" s="8" t="n">
        <f aca="false">IF($K581=1,COUNTIFS($L$5:$L$1517,"&gt;="&amp;L581,$K$5:$K$1517,1)/COUNTIF($L$5:$L$1517,"&gt;="&amp;L581),0)</f>
        <v>0</v>
      </c>
      <c r="V581" s="8" t="n">
        <f aca="false">IF($K581=1,COUNTIFS($M$5:$M$1517,"&gt;="&amp;M581,$K$5:$K$1517,1)/COUNTIF($M$5:$M$1517,"&gt;="&amp;M581),0)</f>
        <v>0</v>
      </c>
      <c r="W581" s="8" t="n">
        <f aca="false">IF($K581=1,COUNTIFS($N$5:$N$1517,"&gt;="&amp;N581,$K$5:$K$1517,1)/COUNTIF($N$5:$N$1517,"&gt;="&amp;N581),0)</f>
        <v>0</v>
      </c>
      <c r="X581" s="8" t="n">
        <f aca="false">IF($K581=1,COUNTIFS($O$5:$O$1517,"&gt;="&amp;O581,$K$5:$K$1517,1)/COUNTIF($O$5:$O$1517,"&gt;="&amp;O581),0)</f>
        <v>0</v>
      </c>
      <c r="Y581" s="8" t="n">
        <f aca="false">IF($K581=1,COUNTIFS($P$5:$P$1517,"&gt;="&amp;P581,$K$5:$K$1517,1)/COUNTIF($P$5:$P$1517,"&gt;="&amp;P581),0)</f>
        <v>0</v>
      </c>
      <c r="Z581" s="8" t="n">
        <f aca="false">(L581-$K581)^2</f>
        <v>0.073469186704</v>
      </c>
      <c r="AA581" s="8" t="n">
        <f aca="false">(M581-$K581)^2</f>
        <v>0.008475595969</v>
      </c>
      <c r="AB581" s="8" t="n">
        <f aca="false">(N581-$K581)^2</f>
        <v>0.0163302841</v>
      </c>
      <c r="AC581" s="8" t="n">
        <f aca="false">(O581-$K581)^2</f>
        <v>0.011274829489</v>
      </c>
      <c r="AD581" s="8" t="n">
        <f aca="false">(P581-$K581)^2</f>
        <v>0.018684429481</v>
      </c>
      <c r="AE581" s="8" t="n">
        <f aca="false">MIN(INT(ROUND(N581*1000000,0)/100000),9)</f>
        <v>1</v>
      </c>
      <c r="AF581" s="8" t="n">
        <f aca="false">MIN(INT(ROUND(P581*1000000,0)/100000),9)</f>
        <v>1</v>
      </c>
    </row>
    <row r="582" customFormat="false" ht="15" hidden="false" customHeight="false" outlineLevel="0" collapsed="false">
      <c r="A582" s="4" t="n">
        <v>578</v>
      </c>
      <c r="B582" s="4" t="n">
        <v>1038</v>
      </c>
      <c r="C582" s="4" t="n">
        <v>1</v>
      </c>
      <c r="D582" s="11" t="n">
        <v>46082</v>
      </c>
      <c r="E582" s="4" t="s">
        <v>203</v>
      </c>
      <c r="F582" s="4" t="s">
        <v>209</v>
      </c>
      <c r="G582" s="4" t="n">
        <v>8</v>
      </c>
      <c r="H582" s="4" t="n">
        <v>1</v>
      </c>
      <c r="I582" s="4" t="n">
        <v>0</v>
      </c>
      <c r="J582" s="4" t="n">
        <v>324</v>
      </c>
      <c r="K582" s="4" t="n">
        <v>0</v>
      </c>
      <c r="L582" s="12" t="n">
        <v>0.108866</v>
      </c>
      <c r="M582" s="12" t="n">
        <v>0.092063</v>
      </c>
      <c r="N582" s="12" t="n">
        <v>0.084199</v>
      </c>
      <c r="O582" s="12" t="n">
        <v>0.106183</v>
      </c>
      <c r="P582" s="12" t="n">
        <v>0.088572</v>
      </c>
      <c r="Q582" s="0" t="str">
        <f aca="false">IF(L582&gt;=Models!$G$5,1+COUNTIF($L$5:$L$1517,"&gt;"&amp;L582)+COUNTIFS($L$5:$L$1517,L582,$B$5:$B$1517,"&lt;"&amp;B582)+COUNTIFS($L$5:$L$1517,L582,$B$5:$B$1517,B582,$C$5:$C$1517,"&lt;"&amp;C582),"")</f>
        <v/>
      </c>
      <c r="R582" s="0" t="str">
        <f aca="false">IF(M582&gt;=Models!$G$6,1+COUNTIF($M$5:$M$1517,"&gt;"&amp;M582)+COUNTIFS($M$5:$M$1517,M582,$B$5:$B$1517,"&lt;"&amp;B582)+COUNTIFS($M$5:$M$1517,M582,$B$5:$B$1517,B582,$C$5:$C$1517,"&lt;"&amp;C582),"")</f>
        <v/>
      </c>
      <c r="S582" s="0" t="str">
        <f aca="false">IF(N582&gt;=Models!$G$7,1+COUNTIF($N$5:$N$1517,"&gt;"&amp;N582)+COUNTIFS($N$5:$N$1517,N582,$B$5:$B$1517,"&lt;"&amp;B582)+COUNTIFS($N$5:$N$1517,N582,$B$5:$B$1517,B582,$C$5:$C$1517,"&lt;"&amp;C582),"")</f>
        <v/>
      </c>
      <c r="T582" s="8" t="n">
        <f aca="false">IF(O582&gt;=Models!$G$8,1+COUNTIF($O$5:$O$1517,"&gt;"&amp;O582)+COUNTIFS($O$5:$O$1517,O582,$B$5:$B$1517,"&lt;"&amp;B582)+COUNTIFS($O$5:$O$1517,O582,$B$5:$B$1517,B582,$C$5:$C$1517,"&lt;"&amp;C582),"")</f>
        <v>832</v>
      </c>
      <c r="U582" s="8" t="n">
        <f aca="false">IF($K582=1,COUNTIFS($L$5:$L$1517,"&gt;="&amp;L582,$K$5:$K$1517,1)/COUNTIF($L$5:$L$1517,"&gt;="&amp;L582),0)</f>
        <v>0</v>
      </c>
      <c r="V582" s="8" t="n">
        <f aca="false">IF($K582=1,COUNTIFS($M$5:$M$1517,"&gt;="&amp;M582,$K$5:$K$1517,1)/COUNTIF($M$5:$M$1517,"&gt;="&amp;M582),0)</f>
        <v>0</v>
      </c>
      <c r="W582" s="8" t="n">
        <f aca="false">IF($K582=1,COUNTIFS($N$5:$N$1517,"&gt;="&amp;N582,$K$5:$K$1517,1)/COUNTIF($N$5:$N$1517,"&gt;="&amp;N582),0)</f>
        <v>0</v>
      </c>
      <c r="X582" s="8" t="n">
        <f aca="false">IF($K582=1,COUNTIFS($O$5:$O$1517,"&gt;="&amp;O582,$K$5:$K$1517,1)/COUNTIF($O$5:$O$1517,"&gt;="&amp;O582),0)</f>
        <v>0</v>
      </c>
      <c r="Y582" s="8" t="n">
        <f aca="false">IF($K582=1,COUNTIFS($P$5:$P$1517,"&gt;="&amp;P582,$K$5:$K$1517,1)/COUNTIF($P$5:$P$1517,"&gt;="&amp;P582),0)</f>
        <v>0</v>
      </c>
      <c r="Z582" s="8" t="n">
        <f aca="false">(L582-$K582)^2</f>
        <v>0.011851805956</v>
      </c>
      <c r="AA582" s="8" t="n">
        <f aca="false">(M582-$K582)^2</f>
        <v>0.008475595969</v>
      </c>
      <c r="AB582" s="8" t="n">
        <f aca="false">(N582-$K582)^2</f>
        <v>0.007089471601</v>
      </c>
      <c r="AC582" s="8" t="n">
        <f aca="false">(O582-$K582)^2</f>
        <v>0.011274829489</v>
      </c>
      <c r="AD582" s="8" t="n">
        <f aca="false">(P582-$K582)^2</f>
        <v>0.007844999184</v>
      </c>
      <c r="AE582" s="8" t="n">
        <f aca="false">MIN(INT(ROUND(N582*1000000,0)/100000),9)</f>
        <v>0</v>
      </c>
      <c r="AF582" s="8" t="n">
        <f aca="false">MIN(INT(ROUND(P582*1000000,0)/100000),9)</f>
        <v>0</v>
      </c>
    </row>
    <row r="583" customFormat="false" ht="15" hidden="false" customHeight="false" outlineLevel="0" collapsed="false">
      <c r="A583" s="4" t="n">
        <v>579</v>
      </c>
      <c r="B583" s="4" t="n">
        <v>1039</v>
      </c>
      <c r="C583" s="4" t="n">
        <v>1</v>
      </c>
      <c r="D583" s="11" t="n">
        <v>46082</v>
      </c>
      <c r="E583" s="4" t="s">
        <v>203</v>
      </c>
      <c r="F583" s="4" t="s">
        <v>206</v>
      </c>
      <c r="G583" s="4" t="n">
        <v>3</v>
      </c>
      <c r="H583" s="4" t="n">
        <v>0</v>
      </c>
      <c r="I583" s="4" t="n">
        <v>1</v>
      </c>
      <c r="J583" s="4"/>
      <c r="K583" s="4" t="n">
        <v>0</v>
      </c>
      <c r="L583" s="12" t="n">
        <v>0.806995</v>
      </c>
      <c r="M583" s="12" t="n">
        <v>0.184211</v>
      </c>
      <c r="N583" s="12" t="n">
        <v>0.110391</v>
      </c>
      <c r="O583" s="12" t="n">
        <v>0.106183</v>
      </c>
      <c r="P583" s="12" t="n">
        <v>0.117423</v>
      </c>
      <c r="Q583" s="0" t="str">
        <f aca="false">IF(L583&gt;=Models!$G$5,1+COUNTIF($L$5:$L$1517,"&gt;"&amp;L583)+COUNTIFS($L$5:$L$1517,L583,$B$5:$B$1517,"&lt;"&amp;B583)+COUNTIFS($L$5:$L$1517,L583,$B$5:$B$1517,B583,$C$5:$C$1517,"&lt;"&amp;C583),"")</f>
        <v/>
      </c>
      <c r="R583" s="8" t="n">
        <f aca="false">IF(M583&gt;=Models!$G$6,1+COUNTIF($M$5:$M$1517,"&gt;"&amp;M583)+COUNTIFS($M$5:$M$1517,M583,$B$5:$B$1517,"&lt;"&amp;B583)+COUNTIFS($M$5:$M$1517,M583,$B$5:$B$1517,B583,$C$5:$C$1517,"&lt;"&amp;C583),"")</f>
        <v>93</v>
      </c>
      <c r="S583" s="0" t="str">
        <f aca="false">IF(N583&gt;=Models!$G$7,1+COUNTIF($N$5:$N$1517,"&gt;"&amp;N583)+COUNTIFS($N$5:$N$1517,N583,$B$5:$B$1517,"&lt;"&amp;B583)+COUNTIFS($N$5:$N$1517,N583,$B$5:$B$1517,B583,$C$5:$C$1517,"&lt;"&amp;C583),"")</f>
        <v/>
      </c>
      <c r="T583" s="8" t="n">
        <f aca="false">IF(O583&gt;=Models!$G$8,1+COUNTIF($O$5:$O$1517,"&gt;"&amp;O583)+COUNTIFS($O$5:$O$1517,O583,$B$5:$B$1517,"&lt;"&amp;B583)+COUNTIFS($O$5:$O$1517,O583,$B$5:$B$1517,B583,$C$5:$C$1517,"&lt;"&amp;C583),"")</f>
        <v>836</v>
      </c>
      <c r="U583" s="8" t="n">
        <f aca="false">IF($K583=1,COUNTIFS($L$5:$L$1517,"&gt;="&amp;L583,$K$5:$K$1517,1)/COUNTIF($L$5:$L$1517,"&gt;="&amp;L583),0)</f>
        <v>0</v>
      </c>
      <c r="V583" s="8" t="n">
        <f aca="false">IF($K583=1,COUNTIFS($M$5:$M$1517,"&gt;="&amp;M583,$K$5:$K$1517,1)/COUNTIF($M$5:$M$1517,"&gt;="&amp;M583),0)</f>
        <v>0</v>
      </c>
      <c r="W583" s="8" t="n">
        <f aca="false">IF($K583=1,COUNTIFS($N$5:$N$1517,"&gt;="&amp;N583,$K$5:$K$1517,1)/COUNTIF($N$5:$N$1517,"&gt;="&amp;N583),0)</f>
        <v>0</v>
      </c>
      <c r="X583" s="8" t="n">
        <f aca="false">IF($K583=1,COUNTIFS($O$5:$O$1517,"&gt;="&amp;O583,$K$5:$K$1517,1)/COUNTIF($O$5:$O$1517,"&gt;="&amp;O583),0)</f>
        <v>0</v>
      </c>
      <c r="Y583" s="8" t="n">
        <f aca="false">IF($K583=1,COUNTIFS($P$5:$P$1517,"&gt;="&amp;P583,$K$5:$K$1517,1)/COUNTIF($P$5:$P$1517,"&gt;="&amp;P583),0)</f>
        <v>0</v>
      </c>
      <c r="Z583" s="8" t="n">
        <f aca="false">(L583-$K583)^2</f>
        <v>0.651240930025</v>
      </c>
      <c r="AA583" s="8" t="n">
        <f aca="false">(M583-$K583)^2</f>
        <v>0.033933692521</v>
      </c>
      <c r="AB583" s="8" t="n">
        <f aca="false">(N583-$K583)^2</f>
        <v>0.012186172881</v>
      </c>
      <c r="AC583" s="8" t="n">
        <f aca="false">(O583-$K583)^2</f>
        <v>0.011274829489</v>
      </c>
      <c r="AD583" s="8" t="n">
        <f aca="false">(P583-$K583)^2</f>
        <v>0.013788160929</v>
      </c>
      <c r="AE583" s="8" t="n">
        <f aca="false">MIN(INT(ROUND(N583*1000000,0)/100000),9)</f>
        <v>1</v>
      </c>
      <c r="AF583" s="8" t="n">
        <f aca="false">MIN(INT(ROUND(P583*1000000,0)/100000),9)</f>
        <v>1</v>
      </c>
    </row>
    <row r="584" customFormat="false" ht="15" hidden="false" customHeight="false" outlineLevel="0" collapsed="false">
      <c r="A584" s="4" t="n">
        <v>580</v>
      </c>
      <c r="B584" s="4" t="n">
        <v>1042</v>
      </c>
      <c r="C584" s="4" t="n">
        <v>1</v>
      </c>
      <c r="D584" s="11" t="n">
        <v>46082</v>
      </c>
      <c r="E584" s="4" t="s">
        <v>202</v>
      </c>
      <c r="F584" s="4" t="s">
        <v>206</v>
      </c>
      <c r="G584" s="4" t="n">
        <v>5</v>
      </c>
      <c r="H584" s="4" t="n">
        <v>9</v>
      </c>
      <c r="I584" s="4" t="n">
        <v>0</v>
      </c>
      <c r="J584" s="4"/>
      <c r="K584" s="4" t="n">
        <v>0</v>
      </c>
      <c r="L584" s="12" t="n">
        <v>0.498737</v>
      </c>
      <c r="M584" s="12" t="n">
        <v>0.092063</v>
      </c>
      <c r="N584" s="12" t="n">
        <v>0.05792</v>
      </c>
      <c r="O584" s="12" t="n">
        <v>0.106183</v>
      </c>
      <c r="P584" s="12" t="n">
        <v>0.059932</v>
      </c>
      <c r="Q584" s="0" t="str">
        <f aca="false">IF(L584&gt;=Models!$G$5,1+COUNTIF($L$5:$L$1517,"&gt;"&amp;L584)+COUNTIFS($L$5:$L$1517,L584,$B$5:$B$1517,"&lt;"&amp;B584)+COUNTIFS($L$5:$L$1517,L584,$B$5:$B$1517,B584,$C$5:$C$1517,"&lt;"&amp;C584),"")</f>
        <v/>
      </c>
      <c r="R584" s="0" t="str">
        <f aca="false">IF(M584&gt;=Models!$G$6,1+COUNTIF($M$5:$M$1517,"&gt;"&amp;M584)+COUNTIFS($M$5:$M$1517,M584,$B$5:$B$1517,"&lt;"&amp;B584)+COUNTIFS($M$5:$M$1517,M584,$B$5:$B$1517,B584,$C$5:$C$1517,"&lt;"&amp;C584),"")</f>
        <v/>
      </c>
      <c r="S584" s="0" t="str">
        <f aca="false">IF(N584&gt;=Models!$G$7,1+COUNTIF($N$5:$N$1517,"&gt;"&amp;N584)+COUNTIFS($N$5:$N$1517,N584,$B$5:$B$1517,"&lt;"&amp;B584)+COUNTIFS($N$5:$N$1517,N584,$B$5:$B$1517,B584,$C$5:$C$1517,"&lt;"&amp;C584),"")</f>
        <v/>
      </c>
      <c r="T584" s="8" t="n">
        <f aca="false">IF(O584&gt;=Models!$G$8,1+COUNTIF($O$5:$O$1517,"&gt;"&amp;O584)+COUNTIFS($O$5:$O$1517,O584,$B$5:$B$1517,"&lt;"&amp;B584)+COUNTIFS($O$5:$O$1517,O584,$B$5:$B$1517,B584,$C$5:$C$1517,"&lt;"&amp;C584),"")</f>
        <v>840</v>
      </c>
      <c r="U584" s="8" t="n">
        <f aca="false">IF($K584=1,COUNTIFS($L$5:$L$1517,"&gt;="&amp;L584,$K$5:$K$1517,1)/COUNTIF($L$5:$L$1517,"&gt;="&amp;L584),0)</f>
        <v>0</v>
      </c>
      <c r="V584" s="8" t="n">
        <f aca="false">IF($K584=1,COUNTIFS($M$5:$M$1517,"&gt;="&amp;M584,$K$5:$K$1517,1)/COUNTIF($M$5:$M$1517,"&gt;="&amp;M584),0)</f>
        <v>0</v>
      </c>
      <c r="W584" s="8" t="n">
        <f aca="false">IF($K584=1,COUNTIFS($N$5:$N$1517,"&gt;="&amp;N584,$K$5:$K$1517,1)/COUNTIF($N$5:$N$1517,"&gt;="&amp;N584),0)</f>
        <v>0</v>
      </c>
      <c r="X584" s="8" t="n">
        <f aca="false">IF($K584=1,COUNTIFS($O$5:$O$1517,"&gt;="&amp;O584,$K$5:$K$1517,1)/COUNTIF($O$5:$O$1517,"&gt;="&amp;O584),0)</f>
        <v>0</v>
      </c>
      <c r="Y584" s="8" t="n">
        <f aca="false">IF($K584=1,COUNTIFS($P$5:$P$1517,"&gt;="&amp;P584,$K$5:$K$1517,1)/COUNTIF($P$5:$P$1517,"&gt;="&amp;P584),0)</f>
        <v>0</v>
      </c>
      <c r="Z584" s="8" t="n">
        <f aca="false">(L584-$K584)^2</f>
        <v>0.248738595169</v>
      </c>
      <c r="AA584" s="8" t="n">
        <f aca="false">(M584-$K584)^2</f>
        <v>0.008475595969</v>
      </c>
      <c r="AB584" s="8" t="n">
        <f aca="false">(N584-$K584)^2</f>
        <v>0.0033547264</v>
      </c>
      <c r="AC584" s="8" t="n">
        <f aca="false">(O584-$K584)^2</f>
        <v>0.011274829489</v>
      </c>
      <c r="AD584" s="8" t="n">
        <f aca="false">(P584-$K584)^2</f>
        <v>0.003591844624</v>
      </c>
      <c r="AE584" s="8" t="n">
        <f aca="false">MIN(INT(ROUND(N584*1000000,0)/100000),9)</f>
        <v>0</v>
      </c>
      <c r="AF584" s="8" t="n">
        <f aca="false">MIN(INT(ROUND(P584*1000000,0)/100000),9)</f>
        <v>0</v>
      </c>
    </row>
    <row r="585" customFormat="false" ht="15" hidden="false" customHeight="false" outlineLevel="0" collapsed="false">
      <c r="A585" s="4" t="n">
        <v>581</v>
      </c>
      <c r="B585" s="4" t="n">
        <v>1044</v>
      </c>
      <c r="C585" s="4" t="n">
        <v>1</v>
      </c>
      <c r="D585" s="11" t="n">
        <v>46082</v>
      </c>
      <c r="E585" s="4" t="s">
        <v>204</v>
      </c>
      <c r="F585" s="4" t="s">
        <v>206</v>
      </c>
      <c r="G585" s="4" t="n">
        <v>2</v>
      </c>
      <c r="H585" s="4" t="n">
        <v>15</v>
      </c>
      <c r="I585" s="4" t="n">
        <v>0</v>
      </c>
      <c r="J585" s="4"/>
      <c r="K585" s="4" t="n">
        <v>0</v>
      </c>
      <c r="L585" s="12" t="n">
        <v>0.607411</v>
      </c>
      <c r="M585" s="12" t="n">
        <v>0.092063</v>
      </c>
      <c r="N585" s="12" t="n">
        <v>0.077997</v>
      </c>
      <c r="O585" s="12" t="n">
        <v>0.106183</v>
      </c>
      <c r="P585" s="12" t="n">
        <v>0.081779</v>
      </c>
      <c r="Q585" s="0" t="str">
        <f aca="false">IF(L585&gt;=Models!$G$5,1+COUNTIF($L$5:$L$1517,"&gt;"&amp;L585)+COUNTIFS($L$5:$L$1517,L585,$B$5:$B$1517,"&lt;"&amp;B585)+COUNTIFS($L$5:$L$1517,L585,$B$5:$B$1517,B585,$C$5:$C$1517,"&lt;"&amp;C585),"")</f>
        <v/>
      </c>
      <c r="R585" s="0" t="str">
        <f aca="false">IF(M585&gt;=Models!$G$6,1+COUNTIF($M$5:$M$1517,"&gt;"&amp;M585)+COUNTIFS($M$5:$M$1517,M585,$B$5:$B$1517,"&lt;"&amp;B585)+COUNTIFS($M$5:$M$1517,M585,$B$5:$B$1517,B585,$C$5:$C$1517,"&lt;"&amp;C585),"")</f>
        <v/>
      </c>
      <c r="S585" s="0" t="str">
        <f aca="false">IF(N585&gt;=Models!$G$7,1+COUNTIF($N$5:$N$1517,"&gt;"&amp;N585)+COUNTIFS($N$5:$N$1517,N585,$B$5:$B$1517,"&lt;"&amp;B585)+COUNTIFS($N$5:$N$1517,N585,$B$5:$B$1517,B585,$C$5:$C$1517,"&lt;"&amp;C585),"")</f>
        <v/>
      </c>
      <c r="T585" s="8" t="n">
        <f aca="false">IF(O585&gt;=Models!$G$8,1+COUNTIF($O$5:$O$1517,"&gt;"&amp;O585)+COUNTIFS($O$5:$O$1517,O585,$B$5:$B$1517,"&lt;"&amp;B585)+COUNTIFS($O$5:$O$1517,O585,$B$5:$B$1517,B585,$C$5:$C$1517,"&lt;"&amp;C585),"")</f>
        <v>844</v>
      </c>
      <c r="U585" s="8" t="n">
        <f aca="false">IF($K585=1,COUNTIFS($L$5:$L$1517,"&gt;="&amp;L585,$K$5:$K$1517,1)/COUNTIF($L$5:$L$1517,"&gt;="&amp;L585),0)</f>
        <v>0</v>
      </c>
      <c r="V585" s="8" t="n">
        <f aca="false">IF($K585=1,COUNTIFS($M$5:$M$1517,"&gt;="&amp;M585,$K$5:$K$1517,1)/COUNTIF($M$5:$M$1517,"&gt;="&amp;M585),0)</f>
        <v>0</v>
      </c>
      <c r="W585" s="8" t="n">
        <f aca="false">IF($K585=1,COUNTIFS($N$5:$N$1517,"&gt;="&amp;N585,$K$5:$K$1517,1)/COUNTIF($N$5:$N$1517,"&gt;="&amp;N585),0)</f>
        <v>0</v>
      </c>
      <c r="X585" s="8" t="n">
        <f aca="false">IF($K585=1,COUNTIFS($O$5:$O$1517,"&gt;="&amp;O585,$K$5:$K$1517,1)/COUNTIF($O$5:$O$1517,"&gt;="&amp;O585),0)</f>
        <v>0</v>
      </c>
      <c r="Y585" s="8" t="n">
        <f aca="false">IF($K585=1,COUNTIFS($P$5:$P$1517,"&gt;="&amp;P585,$K$5:$K$1517,1)/COUNTIF($P$5:$P$1517,"&gt;="&amp;P585),0)</f>
        <v>0</v>
      </c>
      <c r="Z585" s="8" t="n">
        <f aca="false">(L585-$K585)^2</f>
        <v>0.368948122921</v>
      </c>
      <c r="AA585" s="8" t="n">
        <f aca="false">(M585-$K585)^2</f>
        <v>0.008475595969</v>
      </c>
      <c r="AB585" s="8" t="n">
        <f aca="false">(N585-$K585)^2</f>
        <v>0.006083532009</v>
      </c>
      <c r="AC585" s="8" t="n">
        <f aca="false">(O585-$K585)^2</f>
        <v>0.011274829489</v>
      </c>
      <c r="AD585" s="8" t="n">
        <f aca="false">(P585-$K585)^2</f>
        <v>0.006687804841</v>
      </c>
      <c r="AE585" s="8" t="n">
        <f aca="false">MIN(INT(ROUND(N585*1000000,0)/100000),9)</f>
        <v>0</v>
      </c>
      <c r="AF585" s="8" t="n">
        <f aca="false">MIN(INT(ROUND(P585*1000000,0)/100000),9)</f>
        <v>0</v>
      </c>
    </row>
    <row r="586" customFormat="false" ht="15" hidden="false" customHeight="false" outlineLevel="0" collapsed="false">
      <c r="A586" s="4" t="n">
        <v>582</v>
      </c>
      <c r="B586" s="4" t="n">
        <v>1048</v>
      </c>
      <c r="C586" s="4" t="n">
        <v>1</v>
      </c>
      <c r="D586" s="11" t="n">
        <v>46082</v>
      </c>
      <c r="E586" s="4" t="s">
        <v>203</v>
      </c>
      <c r="F586" s="4" t="s">
        <v>207</v>
      </c>
      <c r="G586" s="4" t="n">
        <v>11</v>
      </c>
      <c r="H586" s="4" t="n">
        <v>2</v>
      </c>
      <c r="I586" s="4" t="n">
        <v>0</v>
      </c>
      <c r="J586" s="4" t="n">
        <v>414</v>
      </c>
      <c r="K586" s="4" t="n">
        <v>0</v>
      </c>
      <c r="L586" s="12" t="n">
        <v>0.255202</v>
      </c>
      <c r="M586" s="12" t="n">
        <v>0.092063</v>
      </c>
      <c r="N586" s="12" t="n">
        <v>0.065766</v>
      </c>
      <c r="O586" s="12" t="n">
        <v>0.106183</v>
      </c>
      <c r="P586" s="12" t="n">
        <v>0.06844</v>
      </c>
      <c r="Q586" s="0" t="str">
        <f aca="false">IF(L586&gt;=Models!$G$5,1+COUNTIF($L$5:$L$1517,"&gt;"&amp;L586)+COUNTIFS($L$5:$L$1517,L586,$B$5:$B$1517,"&lt;"&amp;B586)+COUNTIFS($L$5:$L$1517,L586,$B$5:$B$1517,B586,$C$5:$C$1517,"&lt;"&amp;C586),"")</f>
        <v/>
      </c>
      <c r="R586" s="0" t="str">
        <f aca="false">IF(M586&gt;=Models!$G$6,1+COUNTIF($M$5:$M$1517,"&gt;"&amp;M586)+COUNTIFS($M$5:$M$1517,M586,$B$5:$B$1517,"&lt;"&amp;B586)+COUNTIFS($M$5:$M$1517,M586,$B$5:$B$1517,B586,$C$5:$C$1517,"&lt;"&amp;C586),"")</f>
        <v/>
      </c>
      <c r="S586" s="0" t="str">
        <f aca="false">IF(N586&gt;=Models!$G$7,1+COUNTIF($N$5:$N$1517,"&gt;"&amp;N586)+COUNTIFS($N$5:$N$1517,N586,$B$5:$B$1517,"&lt;"&amp;B586)+COUNTIFS($N$5:$N$1517,N586,$B$5:$B$1517,B586,$C$5:$C$1517,"&lt;"&amp;C586),"")</f>
        <v/>
      </c>
      <c r="T586" s="8" t="n">
        <f aca="false">IF(O586&gt;=Models!$G$8,1+COUNTIF($O$5:$O$1517,"&gt;"&amp;O586)+COUNTIFS($O$5:$O$1517,O586,$B$5:$B$1517,"&lt;"&amp;B586)+COUNTIFS($O$5:$O$1517,O586,$B$5:$B$1517,B586,$C$5:$C$1517,"&lt;"&amp;C586),"")</f>
        <v>848</v>
      </c>
      <c r="U586" s="8" t="n">
        <f aca="false">IF($K586=1,COUNTIFS($L$5:$L$1517,"&gt;="&amp;L586,$K$5:$K$1517,1)/COUNTIF($L$5:$L$1517,"&gt;="&amp;L586),0)</f>
        <v>0</v>
      </c>
      <c r="V586" s="8" t="n">
        <f aca="false">IF($K586=1,COUNTIFS($M$5:$M$1517,"&gt;="&amp;M586,$K$5:$K$1517,1)/COUNTIF($M$5:$M$1517,"&gt;="&amp;M586),0)</f>
        <v>0</v>
      </c>
      <c r="W586" s="8" t="n">
        <f aca="false">IF($K586=1,COUNTIFS($N$5:$N$1517,"&gt;="&amp;N586,$K$5:$K$1517,1)/COUNTIF($N$5:$N$1517,"&gt;="&amp;N586),0)</f>
        <v>0</v>
      </c>
      <c r="X586" s="8" t="n">
        <f aca="false">IF($K586=1,COUNTIFS($O$5:$O$1517,"&gt;="&amp;O586,$K$5:$K$1517,1)/COUNTIF($O$5:$O$1517,"&gt;="&amp;O586),0)</f>
        <v>0</v>
      </c>
      <c r="Y586" s="8" t="n">
        <f aca="false">IF($K586=1,COUNTIFS($P$5:$P$1517,"&gt;="&amp;P586,$K$5:$K$1517,1)/COUNTIF($P$5:$P$1517,"&gt;="&amp;P586),0)</f>
        <v>0</v>
      </c>
      <c r="Z586" s="8" t="n">
        <f aca="false">(L586-$K586)^2</f>
        <v>0.065128060804</v>
      </c>
      <c r="AA586" s="8" t="n">
        <f aca="false">(M586-$K586)^2</f>
        <v>0.008475595969</v>
      </c>
      <c r="AB586" s="8" t="n">
        <f aca="false">(N586-$K586)^2</f>
        <v>0.004325166756</v>
      </c>
      <c r="AC586" s="8" t="n">
        <f aca="false">(O586-$K586)^2</f>
        <v>0.011274829489</v>
      </c>
      <c r="AD586" s="8" t="n">
        <f aca="false">(P586-$K586)^2</f>
        <v>0.0046840336</v>
      </c>
      <c r="AE586" s="8" t="n">
        <f aca="false">MIN(INT(ROUND(N586*1000000,0)/100000),9)</f>
        <v>0</v>
      </c>
      <c r="AF586" s="8" t="n">
        <f aca="false">MIN(INT(ROUND(P586*1000000,0)/100000),9)</f>
        <v>0</v>
      </c>
    </row>
    <row r="587" customFormat="false" ht="15" hidden="false" customHeight="false" outlineLevel="0" collapsed="false">
      <c r="A587" s="4" t="n">
        <v>583</v>
      </c>
      <c r="B587" s="4" t="n">
        <v>1066</v>
      </c>
      <c r="C587" s="4" t="n">
        <v>1</v>
      </c>
      <c r="D587" s="11" t="n">
        <v>46082</v>
      </c>
      <c r="E587" s="4" t="s">
        <v>203</v>
      </c>
      <c r="F587" s="4" t="s">
        <v>206</v>
      </c>
      <c r="G587" s="4" t="n">
        <v>4</v>
      </c>
      <c r="H587" s="4" t="n">
        <v>8</v>
      </c>
      <c r="I587" s="4" t="n">
        <v>0</v>
      </c>
      <c r="J587" s="4" t="n">
        <v>432</v>
      </c>
      <c r="K587" s="4" t="n">
        <v>0</v>
      </c>
      <c r="L587" s="12" t="n">
        <v>0.12927</v>
      </c>
      <c r="M587" s="12" t="n">
        <v>0.092063</v>
      </c>
      <c r="N587" s="12" t="n">
        <v>0.121793</v>
      </c>
      <c r="O587" s="12" t="n">
        <v>0.106183</v>
      </c>
      <c r="P587" s="12" t="n">
        <v>0.130043</v>
      </c>
      <c r="Q587" s="0" t="str">
        <f aca="false">IF(L587&gt;=Models!$G$5,1+COUNTIF($L$5:$L$1517,"&gt;"&amp;L587)+COUNTIFS($L$5:$L$1517,L587,$B$5:$B$1517,"&lt;"&amp;B587)+COUNTIFS($L$5:$L$1517,L587,$B$5:$B$1517,B587,$C$5:$C$1517,"&lt;"&amp;C587),"")</f>
        <v/>
      </c>
      <c r="R587" s="0" t="str">
        <f aca="false">IF(M587&gt;=Models!$G$6,1+COUNTIF($M$5:$M$1517,"&gt;"&amp;M587)+COUNTIFS($M$5:$M$1517,M587,$B$5:$B$1517,"&lt;"&amp;B587)+COUNTIFS($M$5:$M$1517,M587,$B$5:$B$1517,B587,$C$5:$C$1517,"&lt;"&amp;C587),"")</f>
        <v/>
      </c>
      <c r="S587" s="0" t="str">
        <f aca="false">IF(N587&gt;=Models!$G$7,1+COUNTIF($N$5:$N$1517,"&gt;"&amp;N587)+COUNTIFS($N$5:$N$1517,N587,$B$5:$B$1517,"&lt;"&amp;B587)+COUNTIFS($N$5:$N$1517,N587,$B$5:$B$1517,B587,$C$5:$C$1517,"&lt;"&amp;C587),"")</f>
        <v/>
      </c>
      <c r="T587" s="8" t="n">
        <f aca="false">IF(O587&gt;=Models!$G$8,1+COUNTIF($O$5:$O$1517,"&gt;"&amp;O587)+COUNTIFS($O$5:$O$1517,O587,$B$5:$B$1517,"&lt;"&amp;B587)+COUNTIFS($O$5:$O$1517,O587,$B$5:$B$1517,B587,$C$5:$C$1517,"&lt;"&amp;C587),"")</f>
        <v>852</v>
      </c>
      <c r="U587" s="8" t="n">
        <f aca="false">IF($K587=1,COUNTIFS($L$5:$L$1517,"&gt;="&amp;L587,$K$5:$K$1517,1)/COUNTIF($L$5:$L$1517,"&gt;="&amp;L587),0)</f>
        <v>0</v>
      </c>
      <c r="V587" s="8" t="n">
        <f aca="false">IF($K587=1,COUNTIFS($M$5:$M$1517,"&gt;="&amp;M587,$K$5:$K$1517,1)/COUNTIF($M$5:$M$1517,"&gt;="&amp;M587),0)</f>
        <v>0</v>
      </c>
      <c r="W587" s="8" t="n">
        <f aca="false">IF($K587=1,COUNTIFS($N$5:$N$1517,"&gt;="&amp;N587,$K$5:$K$1517,1)/COUNTIF($N$5:$N$1517,"&gt;="&amp;N587),0)</f>
        <v>0</v>
      </c>
      <c r="X587" s="8" t="n">
        <f aca="false">IF($K587=1,COUNTIFS($O$5:$O$1517,"&gt;="&amp;O587,$K$5:$K$1517,1)/COUNTIF($O$5:$O$1517,"&gt;="&amp;O587),0)</f>
        <v>0</v>
      </c>
      <c r="Y587" s="8" t="n">
        <f aca="false">IF($K587=1,COUNTIFS($P$5:$P$1517,"&gt;="&amp;P587,$K$5:$K$1517,1)/COUNTIF($P$5:$P$1517,"&gt;="&amp;P587),0)</f>
        <v>0</v>
      </c>
      <c r="Z587" s="8" t="n">
        <f aca="false">(L587-$K587)^2</f>
        <v>0.0167107329</v>
      </c>
      <c r="AA587" s="8" t="n">
        <f aca="false">(M587-$K587)^2</f>
        <v>0.008475595969</v>
      </c>
      <c r="AB587" s="8" t="n">
        <f aca="false">(N587-$K587)^2</f>
        <v>0.014833534849</v>
      </c>
      <c r="AC587" s="8" t="n">
        <f aca="false">(O587-$K587)^2</f>
        <v>0.011274829489</v>
      </c>
      <c r="AD587" s="8" t="n">
        <f aca="false">(P587-$K587)^2</f>
        <v>0.016911181849</v>
      </c>
      <c r="AE587" s="8" t="n">
        <f aca="false">MIN(INT(ROUND(N587*1000000,0)/100000),9)</f>
        <v>1</v>
      </c>
      <c r="AF587" s="8" t="n">
        <f aca="false">MIN(INT(ROUND(P587*1000000,0)/100000),9)</f>
        <v>1</v>
      </c>
    </row>
    <row r="588" customFormat="false" ht="15" hidden="false" customHeight="false" outlineLevel="0" collapsed="false">
      <c r="A588" s="4" t="n">
        <v>584</v>
      </c>
      <c r="B588" s="4" t="n">
        <v>1073</v>
      </c>
      <c r="C588" s="4" t="n">
        <v>1</v>
      </c>
      <c r="D588" s="11" t="n">
        <v>46082</v>
      </c>
      <c r="E588" s="4" t="s">
        <v>204</v>
      </c>
      <c r="F588" s="4" t="s">
        <v>209</v>
      </c>
      <c r="G588" s="4" t="n">
        <v>6</v>
      </c>
      <c r="H588" s="4" t="n">
        <v>0</v>
      </c>
      <c r="I588" s="4" t="n">
        <v>0</v>
      </c>
      <c r="J588" s="4" t="n">
        <v>60</v>
      </c>
      <c r="K588" s="4" t="n">
        <v>0</v>
      </c>
      <c r="L588" s="12" t="n">
        <v>0.578138</v>
      </c>
      <c r="M588" s="12" t="n">
        <v>0.092063</v>
      </c>
      <c r="N588" s="12" t="n">
        <v>0.099796</v>
      </c>
      <c r="O588" s="12" t="n">
        <v>0.106183</v>
      </c>
      <c r="P588" s="12" t="n">
        <v>0.105725</v>
      </c>
      <c r="Q588" s="0" t="str">
        <f aca="false">IF(L588&gt;=Models!$G$5,1+COUNTIF($L$5:$L$1517,"&gt;"&amp;L588)+COUNTIFS($L$5:$L$1517,L588,$B$5:$B$1517,"&lt;"&amp;B588)+COUNTIFS($L$5:$L$1517,L588,$B$5:$B$1517,B588,$C$5:$C$1517,"&lt;"&amp;C588),"")</f>
        <v/>
      </c>
      <c r="R588" s="0" t="str">
        <f aca="false">IF(M588&gt;=Models!$G$6,1+COUNTIF($M$5:$M$1517,"&gt;"&amp;M588)+COUNTIFS($M$5:$M$1517,M588,$B$5:$B$1517,"&lt;"&amp;B588)+COUNTIFS($M$5:$M$1517,M588,$B$5:$B$1517,B588,$C$5:$C$1517,"&lt;"&amp;C588),"")</f>
        <v/>
      </c>
      <c r="S588" s="0" t="str">
        <f aca="false">IF(N588&gt;=Models!$G$7,1+COUNTIF($N$5:$N$1517,"&gt;"&amp;N588)+COUNTIFS($N$5:$N$1517,N588,$B$5:$B$1517,"&lt;"&amp;B588)+COUNTIFS($N$5:$N$1517,N588,$B$5:$B$1517,B588,$C$5:$C$1517,"&lt;"&amp;C588),"")</f>
        <v/>
      </c>
      <c r="T588" s="8" t="n">
        <f aca="false">IF(O588&gt;=Models!$G$8,1+COUNTIF($O$5:$O$1517,"&gt;"&amp;O588)+COUNTIFS($O$5:$O$1517,O588,$B$5:$B$1517,"&lt;"&amp;B588)+COUNTIFS($O$5:$O$1517,O588,$B$5:$B$1517,B588,$C$5:$C$1517,"&lt;"&amp;C588),"")</f>
        <v>856</v>
      </c>
      <c r="U588" s="8" t="n">
        <f aca="false">IF($K588=1,COUNTIFS($L$5:$L$1517,"&gt;="&amp;L588,$K$5:$K$1517,1)/COUNTIF($L$5:$L$1517,"&gt;="&amp;L588),0)</f>
        <v>0</v>
      </c>
      <c r="V588" s="8" t="n">
        <f aca="false">IF($K588=1,COUNTIFS($M$5:$M$1517,"&gt;="&amp;M588,$K$5:$K$1517,1)/COUNTIF($M$5:$M$1517,"&gt;="&amp;M588),0)</f>
        <v>0</v>
      </c>
      <c r="W588" s="8" t="n">
        <f aca="false">IF($K588=1,COUNTIFS($N$5:$N$1517,"&gt;="&amp;N588,$K$5:$K$1517,1)/COUNTIF($N$5:$N$1517,"&gt;="&amp;N588),0)</f>
        <v>0</v>
      </c>
      <c r="X588" s="8" t="n">
        <f aca="false">IF($K588=1,COUNTIFS($O$5:$O$1517,"&gt;="&amp;O588,$K$5:$K$1517,1)/COUNTIF($O$5:$O$1517,"&gt;="&amp;O588),0)</f>
        <v>0</v>
      </c>
      <c r="Y588" s="8" t="n">
        <f aca="false">IF($K588=1,COUNTIFS($P$5:$P$1517,"&gt;="&amp;P588,$K$5:$K$1517,1)/COUNTIF($P$5:$P$1517,"&gt;="&amp;P588),0)</f>
        <v>0</v>
      </c>
      <c r="Z588" s="8" t="n">
        <f aca="false">(L588-$K588)^2</f>
        <v>0.334243547044</v>
      </c>
      <c r="AA588" s="8" t="n">
        <f aca="false">(M588-$K588)^2</f>
        <v>0.008475595969</v>
      </c>
      <c r="AB588" s="8" t="n">
        <f aca="false">(N588-$K588)^2</f>
        <v>0.009959241616</v>
      </c>
      <c r="AC588" s="8" t="n">
        <f aca="false">(O588-$K588)^2</f>
        <v>0.011274829489</v>
      </c>
      <c r="AD588" s="8" t="n">
        <f aca="false">(P588-$K588)^2</f>
        <v>0.011177775625</v>
      </c>
      <c r="AE588" s="8" t="n">
        <f aca="false">MIN(INT(ROUND(N588*1000000,0)/100000),9)</f>
        <v>0</v>
      </c>
      <c r="AF588" s="8" t="n">
        <f aca="false">MIN(INT(ROUND(P588*1000000,0)/100000),9)</f>
        <v>1</v>
      </c>
    </row>
    <row r="589" customFormat="false" ht="15" hidden="false" customHeight="false" outlineLevel="0" collapsed="false">
      <c r="A589" s="4" t="n">
        <v>585</v>
      </c>
      <c r="B589" s="4" t="n">
        <v>1076</v>
      </c>
      <c r="C589" s="4" t="n">
        <v>1</v>
      </c>
      <c r="D589" s="11" t="n">
        <v>46082</v>
      </c>
      <c r="E589" s="4" t="s">
        <v>204</v>
      </c>
      <c r="F589" s="4" t="s">
        <v>209</v>
      </c>
      <c r="G589" s="4" t="n">
        <v>2</v>
      </c>
      <c r="H589" s="4" t="n">
        <v>0</v>
      </c>
      <c r="I589" s="4" t="n">
        <v>0</v>
      </c>
      <c r="J589" s="4" t="n">
        <v>117</v>
      </c>
      <c r="K589" s="4" t="n">
        <v>0</v>
      </c>
      <c r="L589" s="12" t="n">
        <v>0.483287</v>
      </c>
      <c r="M589" s="12" t="n">
        <v>0.092063</v>
      </c>
      <c r="N589" s="12" t="n">
        <v>0.136716</v>
      </c>
      <c r="O589" s="12" t="n">
        <v>0.106183</v>
      </c>
      <c r="P589" s="12" t="n">
        <v>0.146597</v>
      </c>
      <c r="Q589" s="0" t="str">
        <f aca="false">IF(L589&gt;=Models!$G$5,1+COUNTIF($L$5:$L$1517,"&gt;"&amp;L589)+COUNTIFS($L$5:$L$1517,L589,$B$5:$B$1517,"&lt;"&amp;B589)+COUNTIFS($L$5:$L$1517,L589,$B$5:$B$1517,B589,$C$5:$C$1517,"&lt;"&amp;C589),"")</f>
        <v/>
      </c>
      <c r="R589" s="0" t="str">
        <f aca="false">IF(M589&gt;=Models!$G$6,1+COUNTIF($M$5:$M$1517,"&gt;"&amp;M589)+COUNTIFS($M$5:$M$1517,M589,$B$5:$B$1517,"&lt;"&amp;B589)+COUNTIFS($M$5:$M$1517,M589,$B$5:$B$1517,B589,$C$5:$C$1517,"&lt;"&amp;C589),"")</f>
        <v/>
      </c>
      <c r="S589" s="0" t="str">
        <f aca="false">IF(N589&gt;=Models!$G$7,1+COUNTIF($N$5:$N$1517,"&gt;"&amp;N589)+COUNTIFS($N$5:$N$1517,N589,$B$5:$B$1517,"&lt;"&amp;B589)+COUNTIFS($N$5:$N$1517,N589,$B$5:$B$1517,B589,$C$5:$C$1517,"&lt;"&amp;C589),"")</f>
        <v/>
      </c>
      <c r="T589" s="8" t="n">
        <f aca="false">IF(O589&gt;=Models!$G$8,1+COUNTIF($O$5:$O$1517,"&gt;"&amp;O589)+COUNTIFS($O$5:$O$1517,O589,$B$5:$B$1517,"&lt;"&amp;B589)+COUNTIFS($O$5:$O$1517,O589,$B$5:$B$1517,B589,$C$5:$C$1517,"&lt;"&amp;C589),"")</f>
        <v>860</v>
      </c>
      <c r="U589" s="8" t="n">
        <f aca="false">IF($K589=1,COUNTIFS($L$5:$L$1517,"&gt;="&amp;L589,$K$5:$K$1517,1)/COUNTIF($L$5:$L$1517,"&gt;="&amp;L589),0)</f>
        <v>0</v>
      </c>
      <c r="V589" s="8" t="n">
        <f aca="false">IF($K589=1,COUNTIFS($M$5:$M$1517,"&gt;="&amp;M589,$K$5:$K$1517,1)/COUNTIF($M$5:$M$1517,"&gt;="&amp;M589),0)</f>
        <v>0</v>
      </c>
      <c r="W589" s="8" t="n">
        <f aca="false">IF($K589=1,COUNTIFS($N$5:$N$1517,"&gt;="&amp;N589,$K$5:$K$1517,1)/COUNTIF($N$5:$N$1517,"&gt;="&amp;N589),0)</f>
        <v>0</v>
      </c>
      <c r="X589" s="8" t="n">
        <f aca="false">IF($K589=1,COUNTIFS($O$5:$O$1517,"&gt;="&amp;O589,$K$5:$K$1517,1)/COUNTIF($O$5:$O$1517,"&gt;="&amp;O589),0)</f>
        <v>0</v>
      </c>
      <c r="Y589" s="8" t="n">
        <f aca="false">IF($K589=1,COUNTIFS($P$5:$P$1517,"&gt;="&amp;P589,$K$5:$K$1517,1)/COUNTIF($P$5:$P$1517,"&gt;="&amp;P589),0)</f>
        <v>0</v>
      </c>
      <c r="Z589" s="8" t="n">
        <f aca="false">(L589-$K589)^2</f>
        <v>0.233566324369</v>
      </c>
      <c r="AA589" s="8" t="n">
        <f aca="false">(M589-$K589)^2</f>
        <v>0.008475595969</v>
      </c>
      <c r="AB589" s="8" t="n">
        <f aca="false">(N589-$K589)^2</f>
        <v>0.018691264656</v>
      </c>
      <c r="AC589" s="8" t="n">
        <f aca="false">(O589-$K589)^2</f>
        <v>0.011274829489</v>
      </c>
      <c r="AD589" s="8" t="n">
        <f aca="false">(P589-$K589)^2</f>
        <v>0.021490680409</v>
      </c>
      <c r="AE589" s="8" t="n">
        <f aca="false">MIN(INT(ROUND(N589*1000000,0)/100000),9)</f>
        <v>1</v>
      </c>
      <c r="AF589" s="8" t="n">
        <f aca="false">MIN(INT(ROUND(P589*1000000,0)/100000),9)</f>
        <v>1</v>
      </c>
    </row>
    <row r="590" customFormat="false" ht="15" hidden="false" customHeight="false" outlineLevel="0" collapsed="false">
      <c r="A590" s="4" t="n">
        <v>586</v>
      </c>
      <c r="B590" s="4" t="n">
        <v>1080</v>
      </c>
      <c r="C590" s="4" t="n">
        <v>1</v>
      </c>
      <c r="D590" s="11" t="n">
        <v>46082</v>
      </c>
      <c r="E590" s="4" t="s">
        <v>202</v>
      </c>
      <c r="F590" s="4" t="s">
        <v>209</v>
      </c>
      <c r="G590" s="4" t="n">
        <v>4</v>
      </c>
      <c r="H590" s="4" t="n">
        <v>22</v>
      </c>
      <c r="I590" s="4" t="n">
        <v>0</v>
      </c>
      <c r="J590" s="4"/>
      <c r="K590" s="4" t="n">
        <v>0</v>
      </c>
      <c r="L590" s="12" t="n">
        <v>0.287026</v>
      </c>
      <c r="M590" s="12" t="n">
        <v>0.092063</v>
      </c>
      <c r="N590" s="12" t="n">
        <v>0.069623</v>
      </c>
      <c r="O590" s="12" t="n">
        <v>0.106183</v>
      </c>
      <c r="P590" s="12" t="n">
        <v>0.072637</v>
      </c>
      <c r="Q590" s="0" t="str">
        <f aca="false">IF(L590&gt;=Models!$G$5,1+COUNTIF($L$5:$L$1517,"&gt;"&amp;L590)+COUNTIFS($L$5:$L$1517,L590,$B$5:$B$1517,"&lt;"&amp;B590)+COUNTIFS($L$5:$L$1517,L590,$B$5:$B$1517,B590,$C$5:$C$1517,"&lt;"&amp;C590),"")</f>
        <v/>
      </c>
      <c r="R590" s="0" t="str">
        <f aca="false">IF(M590&gt;=Models!$G$6,1+COUNTIF($M$5:$M$1517,"&gt;"&amp;M590)+COUNTIFS($M$5:$M$1517,M590,$B$5:$B$1517,"&lt;"&amp;B590)+COUNTIFS($M$5:$M$1517,M590,$B$5:$B$1517,B590,$C$5:$C$1517,"&lt;"&amp;C590),"")</f>
        <v/>
      </c>
      <c r="S590" s="0" t="str">
        <f aca="false">IF(N590&gt;=Models!$G$7,1+COUNTIF($N$5:$N$1517,"&gt;"&amp;N590)+COUNTIFS($N$5:$N$1517,N590,$B$5:$B$1517,"&lt;"&amp;B590)+COUNTIFS($N$5:$N$1517,N590,$B$5:$B$1517,B590,$C$5:$C$1517,"&lt;"&amp;C590),"")</f>
        <v/>
      </c>
      <c r="T590" s="8" t="n">
        <f aca="false">IF(O590&gt;=Models!$G$8,1+COUNTIF($O$5:$O$1517,"&gt;"&amp;O590)+COUNTIFS($O$5:$O$1517,O590,$B$5:$B$1517,"&lt;"&amp;B590)+COUNTIFS($O$5:$O$1517,O590,$B$5:$B$1517,B590,$C$5:$C$1517,"&lt;"&amp;C590),"")</f>
        <v>864</v>
      </c>
      <c r="U590" s="8" t="n">
        <f aca="false">IF($K590=1,COUNTIFS($L$5:$L$1517,"&gt;="&amp;L590,$K$5:$K$1517,1)/COUNTIF($L$5:$L$1517,"&gt;="&amp;L590),0)</f>
        <v>0</v>
      </c>
      <c r="V590" s="8" t="n">
        <f aca="false">IF($K590=1,COUNTIFS($M$5:$M$1517,"&gt;="&amp;M590,$K$5:$K$1517,1)/COUNTIF($M$5:$M$1517,"&gt;="&amp;M590),0)</f>
        <v>0</v>
      </c>
      <c r="W590" s="8" t="n">
        <f aca="false">IF($K590=1,COUNTIFS($N$5:$N$1517,"&gt;="&amp;N590,$K$5:$K$1517,1)/COUNTIF($N$5:$N$1517,"&gt;="&amp;N590),0)</f>
        <v>0</v>
      </c>
      <c r="X590" s="8" t="n">
        <f aca="false">IF($K590=1,COUNTIFS($O$5:$O$1517,"&gt;="&amp;O590,$K$5:$K$1517,1)/COUNTIF($O$5:$O$1517,"&gt;="&amp;O590),0)</f>
        <v>0</v>
      </c>
      <c r="Y590" s="8" t="n">
        <f aca="false">IF($K590=1,COUNTIFS($P$5:$P$1517,"&gt;="&amp;P590,$K$5:$K$1517,1)/COUNTIF($P$5:$P$1517,"&gt;="&amp;P590),0)</f>
        <v>0</v>
      </c>
      <c r="Z590" s="8" t="n">
        <f aca="false">(L590-$K590)^2</f>
        <v>0.082383924676</v>
      </c>
      <c r="AA590" s="8" t="n">
        <f aca="false">(M590-$K590)^2</f>
        <v>0.008475595969</v>
      </c>
      <c r="AB590" s="8" t="n">
        <f aca="false">(N590-$K590)^2</f>
        <v>0.004847362129</v>
      </c>
      <c r="AC590" s="8" t="n">
        <f aca="false">(O590-$K590)^2</f>
        <v>0.011274829489</v>
      </c>
      <c r="AD590" s="8" t="n">
        <f aca="false">(P590-$K590)^2</f>
        <v>0.005276133769</v>
      </c>
      <c r="AE590" s="8" t="n">
        <f aca="false">MIN(INT(ROUND(N590*1000000,0)/100000),9)</f>
        <v>0</v>
      </c>
      <c r="AF590" s="8" t="n">
        <f aca="false">MIN(INT(ROUND(P590*1000000,0)/100000),9)</f>
        <v>0</v>
      </c>
    </row>
    <row r="591" customFormat="false" ht="15" hidden="false" customHeight="false" outlineLevel="0" collapsed="false">
      <c r="A591" s="4" t="n">
        <v>587</v>
      </c>
      <c r="B591" s="4" t="n">
        <v>1091</v>
      </c>
      <c r="C591" s="4" t="n">
        <v>1</v>
      </c>
      <c r="D591" s="11" t="n">
        <v>46082</v>
      </c>
      <c r="E591" s="4" t="s">
        <v>204</v>
      </c>
      <c r="F591" s="4" t="s">
        <v>208</v>
      </c>
      <c r="G591" s="4" t="n">
        <v>3</v>
      </c>
      <c r="H591" s="4" t="n">
        <v>8</v>
      </c>
      <c r="I591" s="4" t="n">
        <v>0</v>
      </c>
      <c r="J591" s="4" t="n">
        <v>69</v>
      </c>
      <c r="K591" s="4" t="n">
        <v>0</v>
      </c>
      <c r="L591" s="12" t="n">
        <v>0.421654</v>
      </c>
      <c r="M591" s="12" t="n">
        <v>0.092063</v>
      </c>
      <c r="N591" s="12" t="n">
        <v>0.134181</v>
      </c>
      <c r="O591" s="12" t="n">
        <v>0.106183</v>
      </c>
      <c r="P591" s="12" t="n">
        <v>0.143782</v>
      </c>
      <c r="Q591" s="0" t="str">
        <f aca="false">IF(L591&gt;=Models!$G$5,1+COUNTIF($L$5:$L$1517,"&gt;"&amp;L591)+COUNTIFS($L$5:$L$1517,L591,$B$5:$B$1517,"&lt;"&amp;B591)+COUNTIFS($L$5:$L$1517,L591,$B$5:$B$1517,B591,$C$5:$C$1517,"&lt;"&amp;C591),"")</f>
        <v/>
      </c>
      <c r="R591" s="0" t="str">
        <f aca="false">IF(M591&gt;=Models!$G$6,1+COUNTIF($M$5:$M$1517,"&gt;"&amp;M591)+COUNTIFS($M$5:$M$1517,M591,$B$5:$B$1517,"&lt;"&amp;B591)+COUNTIFS($M$5:$M$1517,M591,$B$5:$B$1517,B591,$C$5:$C$1517,"&lt;"&amp;C591),"")</f>
        <v/>
      </c>
      <c r="S591" s="0" t="str">
        <f aca="false">IF(N591&gt;=Models!$G$7,1+COUNTIF($N$5:$N$1517,"&gt;"&amp;N591)+COUNTIFS($N$5:$N$1517,N591,$B$5:$B$1517,"&lt;"&amp;B591)+COUNTIFS($N$5:$N$1517,N591,$B$5:$B$1517,B591,$C$5:$C$1517,"&lt;"&amp;C591),"")</f>
        <v/>
      </c>
      <c r="T591" s="8" t="n">
        <f aca="false">IF(O591&gt;=Models!$G$8,1+COUNTIF($O$5:$O$1517,"&gt;"&amp;O591)+COUNTIFS($O$5:$O$1517,O591,$B$5:$B$1517,"&lt;"&amp;B591)+COUNTIFS($O$5:$O$1517,O591,$B$5:$B$1517,B591,$C$5:$C$1517,"&lt;"&amp;C591),"")</f>
        <v>868</v>
      </c>
      <c r="U591" s="8" t="n">
        <f aca="false">IF($K591=1,COUNTIFS($L$5:$L$1517,"&gt;="&amp;L591,$K$5:$K$1517,1)/COUNTIF($L$5:$L$1517,"&gt;="&amp;L591),0)</f>
        <v>0</v>
      </c>
      <c r="V591" s="8" t="n">
        <f aca="false">IF($K591=1,COUNTIFS($M$5:$M$1517,"&gt;="&amp;M591,$K$5:$K$1517,1)/COUNTIF($M$5:$M$1517,"&gt;="&amp;M591),0)</f>
        <v>0</v>
      </c>
      <c r="W591" s="8" t="n">
        <f aca="false">IF($K591=1,COUNTIFS($N$5:$N$1517,"&gt;="&amp;N591,$K$5:$K$1517,1)/COUNTIF($N$5:$N$1517,"&gt;="&amp;N591),0)</f>
        <v>0</v>
      </c>
      <c r="X591" s="8" t="n">
        <f aca="false">IF($K591=1,COUNTIFS($O$5:$O$1517,"&gt;="&amp;O591,$K$5:$K$1517,1)/COUNTIF($O$5:$O$1517,"&gt;="&amp;O591),0)</f>
        <v>0</v>
      </c>
      <c r="Y591" s="8" t="n">
        <f aca="false">IF($K591=1,COUNTIFS($P$5:$P$1517,"&gt;="&amp;P591,$K$5:$K$1517,1)/COUNTIF($P$5:$P$1517,"&gt;="&amp;P591),0)</f>
        <v>0</v>
      </c>
      <c r="Z591" s="8" t="n">
        <f aca="false">(L591-$K591)^2</f>
        <v>0.177792095716</v>
      </c>
      <c r="AA591" s="8" t="n">
        <f aca="false">(M591-$K591)^2</f>
        <v>0.008475595969</v>
      </c>
      <c r="AB591" s="8" t="n">
        <f aca="false">(N591-$K591)^2</f>
        <v>0.018004540761</v>
      </c>
      <c r="AC591" s="8" t="n">
        <f aca="false">(O591-$K591)^2</f>
        <v>0.011274829489</v>
      </c>
      <c r="AD591" s="8" t="n">
        <f aca="false">(P591-$K591)^2</f>
        <v>0.020673263524</v>
      </c>
      <c r="AE591" s="8" t="n">
        <f aca="false">MIN(INT(ROUND(N591*1000000,0)/100000),9)</f>
        <v>1</v>
      </c>
      <c r="AF591" s="8" t="n">
        <f aca="false">MIN(INT(ROUND(P591*1000000,0)/100000),9)</f>
        <v>1</v>
      </c>
    </row>
    <row r="592" customFormat="false" ht="15" hidden="false" customHeight="false" outlineLevel="0" collapsed="false">
      <c r="A592" s="4" t="n">
        <v>588</v>
      </c>
      <c r="B592" s="4" t="n">
        <v>1092</v>
      </c>
      <c r="C592" s="4" t="n">
        <v>1</v>
      </c>
      <c r="D592" s="11" t="n">
        <v>46082</v>
      </c>
      <c r="E592" s="4" t="s">
        <v>204</v>
      </c>
      <c r="F592" s="4" t="s">
        <v>208</v>
      </c>
      <c r="G592" s="4" t="n">
        <v>2</v>
      </c>
      <c r="H592" s="4" t="n">
        <v>7</v>
      </c>
      <c r="I592" s="4" t="n">
        <v>1</v>
      </c>
      <c r="J592" s="4" t="n">
        <v>78.3</v>
      </c>
      <c r="K592" s="4" t="n">
        <v>1</v>
      </c>
      <c r="L592" s="12" t="n">
        <v>0.566261</v>
      </c>
      <c r="M592" s="12" t="n">
        <v>0.184211</v>
      </c>
      <c r="N592" s="12" t="n">
        <v>0.233762</v>
      </c>
      <c r="O592" s="12" t="n">
        <v>0.106183</v>
      </c>
      <c r="P592" s="12" t="n">
        <v>0.254509</v>
      </c>
      <c r="Q592" s="0" t="str">
        <f aca="false">IF(L592&gt;=Models!$G$5,1+COUNTIF($L$5:$L$1517,"&gt;"&amp;L592)+COUNTIFS($L$5:$L$1517,L592,$B$5:$B$1517,"&lt;"&amp;B592)+COUNTIFS($L$5:$L$1517,L592,$B$5:$B$1517,B592,$C$5:$C$1517,"&lt;"&amp;C592),"")</f>
        <v/>
      </c>
      <c r="R592" s="8" t="n">
        <f aca="false">IF(M592&gt;=Models!$G$6,1+COUNTIF($M$5:$M$1517,"&gt;"&amp;M592)+COUNTIFS($M$5:$M$1517,M592,$B$5:$B$1517,"&lt;"&amp;B592)+COUNTIFS($M$5:$M$1517,M592,$B$5:$B$1517,B592,$C$5:$C$1517,"&lt;"&amp;C592),"")</f>
        <v>101</v>
      </c>
      <c r="S592" s="0" t="str">
        <f aca="false">IF(N592&gt;=Models!$G$7,1+COUNTIF($N$5:$N$1517,"&gt;"&amp;N592)+COUNTIFS($N$5:$N$1517,N592,$B$5:$B$1517,"&lt;"&amp;B592)+COUNTIFS($N$5:$N$1517,N592,$B$5:$B$1517,B592,$C$5:$C$1517,"&lt;"&amp;C592),"")</f>
        <v/>
      </c>
      <c r="T592" s="8" t="n">
        <f aca="false">IF(O592&gt;=Models!$G$8,1+COUNTIF($O$5:$O$1517,"&gt;"&amp;O592)+COUNTIFS($O$5:$O$1517,O592,$B$5:$B$1517,"&lt;"&amp;B592)+COUNTIFS($O$5:$O$1517,O592,$B$5:$B$1517,B592,$C$5:$C$1517,"&lt;"&amp;C592),"")</f>
        <v>872</v>
      </c>
      <c r="U592" s="8" t="n">
        <f aca="false">IF($K592=1,COUNTIFS($L$5:$L$1517,"&gt;="&amp;L592,$K$5:$K$1517,1)/COUNTIF($L$5:$L$1517,"&gt;="&amp;L592),0)</f>
        <v>0.123244929797192</v>
      </c>
      <c r="V592" s="8" t="n">
        <f aca="false">IF($K592=1,COUNTIFS($M$5:$M$1517,"&gt;="&amp;M592,$K$5:$K$1517,1)/COUNTIF($M$5:$M$1517,"&gt;="&amp;M592),0)</f>
        <v>0.186528497409326</v>
      </c>
      <c r="W592" s="8" t="n">
        <f aca="false">IF($K592=1,COUNTIFS($N$5:$N$1517,"&gt;="&amp;N592,$K$5:$K$1517,1)/COUNTIF($N$5:$N$1517,"&gt;="&amp;N592),0)</f>
        <v>0.354838709677419</v>
      </c>
      <c r="X592" s="8" t="n">
        <f aca="false">IF($K592=1,COUNTIFS($O$5:$O$1517,"&gt;="&amp;O592,$K$5:$K$1517,1)/COUNTIF($O$5:$O$1517,"&gt;="&amp;O592),0)</f>
        <v>0.12491738268341</v>
      </c>
      <c r="Y592" s="8" t="n">
        <f aca="false">IF($K592=1,COUNTIFS($P$5:$P$1517,"&gt;="&amp;P592,$K$5:$K$1517,1)/COUNTIF($P$5:$P$1517,"&gt;="&amp;P592),0)</f>
        <v>0.354838709677419</v>
      </c>
      <c r="Z592" s="8" t="n">
        <f aca="false">(L592-$K592)^2</f>
        <v>0.188129520121</v>
      </c>
      <c r="AA592" s="8" t="n">
        <f aca="false">(M592-$K592)^2</f>
        <v>0.665511692521</v>
      </c>
      <c r="AB592" s="8" t="n">
        <f aca="false">(N592-$K592)^2</f>
        <v>0.587120672644</v>
      </c>
      <c r="AC592" s="8" t="n">
        <f aca="false">(O592-$K592)^2</f>
        <v>0.798908829489</v>
      </c>
      <c r="AD592" s="8" t="n">
        <f aca="false">(P592-$K592)^2</f>
        <v>0.555756831081</v>
      </c>
      <c r="AE592" s="8" t="n">
        <f aca="false">MIN(INT(ROUND(N592*1000000,0)/100000),9)</f>
        <v>2</v>
      </c>
      <c r="AF592" s="8" t="n">
        <f aca="false">MIN(INT(ROUND(P592*1000000,0)/100000),9)</f>
        <v>2</v>
      </c>
    </row>
    <row r="593" customFormat="false" ht="15" hidden="false" customHeight="false" outlineLevel="0" collapsed="false">
      <c r="A593" s="4" t="n">
        <v>589</v>
      </c>
      <c r="B593" s="4" t="n">
        <v>1094</v>
      </c>
      <c r="C593" s="4" t="n">
        <v>1</v>
      </c>
      <c r="D593" s="11" t="n">
        <v>46082</v>
      </c>
      <c r="E593" s="4" t="s">
        <v>202</v>
      </c>
      <c r="F593" s="4" t="s">
        <v>210</v>
      </c>
      <c r="G593" s="4" t="n">
        <v>17</v>
      </c>
      <c r="H593" s="4" t="n">
        <v>0</v>
      </c>
      <c r="I593" s="4" t="n">
        <v>0</v>
      </c>
      <c r="J593" s="4" t="n">
        <v>1746</v>
      </c>
      <c r="K593" s="4" t="n">
        <v>0</v>
      </c>
      <c r="L593" s="12" t="n">
        <v>0.051128</v>
      </c>
      <c r="M593" s="12" t="n">
        <v>0.092063</v>
      </c>
      <c r="N593" s="12" t="n">
        <v>0.036009</v>
      </c>
      <c r="O593" s="12" t="n">
        <v>0.106183</v>
      </c>
      <c r="P593" s="12" t="n">
        <v>0.036448</v>
      </c>
      <c r="Q593" s="0" t="str">
        <f aca="false">IF(L593&gt;=Models!$G$5,1+COUNTIF($L$5:$L$1517,"&gt;"&amp;L593)+COUNTIFS($L$5:$L$1517,L593,$B$5:$B$1517,"&lt;"&amp;B593)+COUNTIFS($L$5:$L$1517,L593,$B$5:$B$1517,B593,$C$5:$C$1517,"&lt;"&amp;C593),"")</f>
        <v/>
      </c>
      <c r="R593" s="0" t="str">
        <f aca="false">IF(M593&gt;=Models!$G$6,1+COUNTIF($M$5:$M$1517,"&gt;"&amp;M593)+COUNTIFS($M$5:$M$1517,M593,$B$5:$B$1517,"&lt;"&amp;B593)+COUNTIFS($M$5:$M$1517,M593,$B$5:$B$1517,B593,$C$5:$C$1517,"&lt;"&amp;C593),"")</f>
        <v/>
      </c>
      <c r="S593" s="0" t="str">
        <f aca="false">IF(N593&gt;=Models!$G$7,1+COUNTIF($N$5:$N$1517,"&gt;"&amp;N593)+COUNTIFS($N$5:$N$1517,N593,$B$5:$B$1517,"&lt;"&amp;B593)+COUNTIFS($N$5:$N$1517,N593,$B$5:$B$1517,B593,$C$5:$C$1517,"&lt;"&amp;C593),"")</f>
        <v/>
      </c>
      <c r="T593" s="8" t="n">
        <f aca="false">IF(O593&gt;=Models!$G$8,1+COUNTIF($O$5:$O$1517,"&gt;"&amp;O593)+COUNTIFS($O$5:$O$1517,O593,$B$5:$B$1517,"&lt;"&amp;B593)+COUNTIFS($O$5:$O$1517,O593,$B$5:$B$1517,B593,$C$5:$C$1517,"&lt;"&amp;C593),"")</f>
        <v>875</v>
      </c>
      <c r="U593" s="8" t="n">
        <f aca="false">IF($K593=1,COUNTIFS($L$5:$L$1517,"&gt;="&amp;L593,$K$5:$K$1517,1)/COUNTIF($L$5:$L$1517,"&gt;="&amp;L593),0)</f>
        <v>0</v>
      </c>
      <c r="V593" s="8" t="n">
        <f aca="false">IF($K593=1,COUNTIFS($M$5:$M$1517,"&gt;="&amp;M593,$K$5:$K$1517,1)/COUNTIF($M$5:$M$1517,"&gt;="&amp;M593),0)</f>
        <v>0</v>
      </c>
      <c r="W593" s="8" t="n">
        <f aca="false">IF($K593=1,COUNTIFS($N$5:$N$1517,"&gt;="&amp;N593,$K$5:$K$1517,1)/COUNTIF($N$5:$N$1517,"&gt;="&amp;N593),0)</f>
        <v>0</v>
      </c>
      <c r="X593" s="8" t="n">
        <f aca="false">IF($K593=1,COUNTIFS($O$5:$O$1517,"&gt;="&amp;O593,$K$5:$K$1517,1)/COUNTIF($O$5:$O$1517,"&gt;="&amp;O593),0)</f>
        <v>0</v>
      </c>
      <c r="Y593" s="8" t="n">
        <f aca="false">IF($K593=1,COUNTIFS($P$5:$P$1517,"&gt;="&amp;P593,$K$5:$K$1517,1)/COUNTIF($P$5:$P$1517,"&gt;="&amp;P593),0)</f>
        <v>0</v>
      </c>
      <c r="Z593" s="8" t="n">
        <f aca="false">(L593-$K593)^2</f>
        <v>0.002614072384</v>
      </c>
      <c r="AA593" s="8" t="n">
        <f aca="false">(M593-$K593)^2</f>
        <v>0.008475595969</v>
      </c>
      <c r="AB593" s="8" t="n">
        <f aca="false">(N593-$K593)^2</f>
        <v>0.001296648081</v>
      </c>
      <c r="AC593" s="8" t="n">
        <f aca="false">(O593-$K593)^2</f>
        <v>0.011274829489</v>
      </c>
      <c r="AD593" s="8" t="n">
        <f aca="false">(P593-$K593)^2</f>
        <v>0.001328456704</v>
      </c>
      <c r="AE593" s="8" t="n">
        <f aca="false">MIN(INT(ROUND(N593*1000000,0)/100000),9)</f>
        <v>0</v>
      </c>
      <c r="AF593" s="8" t="n">
        <f aca="false">MIN(INT(ROUND(P593*1000000,0)/100000),9)</f>
        <v>0</v>
      </c>
    </row>
    <row r="594" customFormat="false" ht="15" hidden="false" customHeight="false" outlineLevel="0" collapsed="false">
      <c r="A594" s="4" t="n">
        <v>590</v>
      </c>
      <c r="B594" s="4" t="n">
        <v>1096</v>
      </c>
      <c r="C594" s="4" t="n">
        <v>1</v>
      </c>
      <c r="D594" s="11" t="n">
        <v>46082</v>
      </c>
      <c r="E594" s="4" t="s">
        <v>203</v>
      </c>
      <c r="F594" s="4" t="s">
        <v>206</v>
      </c>
      <c r="G594" s="4" t="n">
        <v>5</v>
      </c>
      <c r="H594" s="4" t="n">
        <v>1</v>
      </c>
      <c r="I594" s="4" t="n">
        <v>0</v>
      </c>
      <c r="J594" s="4" t="n">
        <v>333</v>
      </c>
      <c r="K594" s="4" t="n">
        <v>0</v>
      </c>
      <c r="L594" s="12" t="n">
        <v>0.250696</v>
      </c>
      <c r="M594" s="12" t="n">
        <v>0.092063</v>
      </c>
      <c r="N594" s="12" t="n">
        <v>0.10744</v>
      </c>
      <c r="O594" s="12" t="n">
        <v>0.106183</v>
      </c>
      <c r="P594" s="12" t="n">
        <v>0.114161</v>
      </c>
      <c r="Q594" s="0" t="str">
        <f aca="false">IF(L594&gt;=Models!$G$5,1+COUNTIF($L$5:$L$1517,"&gt;"&amp;L594)+COUNTIFS($L$5:$L$1517,L594,$B$5:$B$1517,"&lt;"&amp;B594)+COUNTIFS($L$5:$L$1517,L594,$B$5:$B$1517,B594,$C$5:$C$1517,"&lt;"&amp;C594),"")</f>
        <v/>
      </c>
      <c r="R594" s="0" t="str">
        <f aca="false">IF(M594&gt;=Models!$G$6,1+COUNTIF($M$5:$M$1517,"&gt;"&amp;M594)+COUNTIFS($M$5:$M$1517,M594,$B$5:$B$1517,"&lt;"&amp;B594)+COUNTIFS($M$5:$M$1517,M594,$B$5:$B$1517,B594,$C$5:$C$1517,"&lt;"&amp;C594),"")</f>
        <v/>
      </c>
      <c r="S594" s="0" t="str">
        <f aca="false">IF(N594&gt;=Models!$G$7,1+COUNTIF($N$5:$N$1517,"&gt;"&amp;N594)+COUNTIFS($N$5:$N$1517,N594,$B$5:$B$1517,"&lt;"&amp;B594)+COUNTIFS($N$5:$N$1517,N594,$B$5:$B$1517,B594,$C$5:$C$1517,"&lt;"&amp;C594),"")</f>
        <v/>
      </c>
      <c r="T594" s="8" t="n">
        <f aca="false">IF(O594&gt;=Models!$G$8,1+COUNTIF($O$5:$O$1517,"&gt;"&amp;O594)+COUNTIFS($O$5:$O$1517,O594,$B$5:$B$1517,"&lt;"&amp;B594)+COUNTIFS($O$5:$O$1517,O594,$B$5:$B$1517,B594,$C$5:$C$1517,"&lt;"&amp;C594),"")</f>
        <v>879</v>
      </c>
      <c r="U594" s="8" t="n">
        <f aca="false">IF($K594=1,COUNTIFS($L$5:$L$1517,"&gt;="&amp;L594,$K$5:$K$1517,1)/COUNTIF($L$5:$L$1517,"&gt;="&amp;L594),0)</f>
        <v>0</v>
      </c>
      <c r="V594" s="8" t="n">
        <f aca="false">IF($K594=1,COUNTIFS($M$5:$M$1517,"&gt;="&amp;M594,$K$5:$K$1517,1)/COUNTIF($M$5:$M$1517,"&gt;="&amp;M594),0)</f>
        <v>0</v>
      </c>
      <c r="W594" s="8" t="n">
        <f aca="false">IF($K594=1,COUNTIFS($N$5:$N$1517,"&gt;="&amp;N594,$K$5:$K$1517,1)/COUNTIF($N$5:$N$1517,"&gt;="&amp;N594),0)</f>
        <v>0</v>
      </c>
      <c r="X594" s="8" t="n">
        <f aca="false">IF($K594=1,COUNTIFS($O$5:$O$1517,"&gt;="&amp;O594,$K$5:$K$1517,1)/COUNTIF($O$5:$O$1517,"&gt;="&amp;O594),0)</f>
        <v>0</v>
      </c>
      <c r="Y594" s="8" t="n">
        <f aca="false">IF($K594=1,COUNTIFS($P$5:$P$1517,"&gt;="&amp;P594,$K$5:$K$1517,1)/COUNTIF($P$5:$P$1517,"&gt;="&amp;P594),0)</f>
        <v>0</v>
      </c>
      <c r="Z594" s="8" t="n">
        <f aca="false">(L594-$K594)^2</f>
        <v>0.062848484416</v>
      </c>
      <c r="AA594" s="8" t="n">
        <f aca="false">(M594-$K594)^2</f>
        <v>0.008475595969</v>
      </c>
      <c r="AB594" s="8" t="n">
        <f aca="false">(N594-$K594)^2</f>
        <v>0.0115433536</v>
      </c>
      <c r="AC594" s="8" t="n">
        <f aca="false">(O594-$K594)^2</f>
        <v>0.011274829489</v>
      </c>
      <c r="AD594" s="8" t="n">
        <f aca="false">(P594-$K594)^2</f>
        <v>0.013032733921</v>
      </c>
      <c r="AE594" s="8" t="n">
        <f aca="false">MIN(INT(ROUND(N594*1000000,0)/100000),9)</f>
        <v>1</v>
      </c>
      <c r="AF594" s="8" t="n">
        <f aca="false">MIN(INT(ROUND(P594*1000000,0)/100000),9)</f>
        <v>1</v>
      </c>
    </row>
    <row r="595" customFormat="false" ht="15" hidden="false" customHeight="false" outlineLevel="0" collapsed="false">
      <c r="A595" s="4" t="n">
        <v>591</v>
      </c>
      <c r="B595" s="4" t="n">
        <v>1101</v>
      </c>
      <c r="C595" s="4" t="n">
        <v>1</v>
      </c>
      <c r="D595" s="11" t="n">
        <v>46082</v>
      </c>
      <c r="E595" s="4" t="s">
        <v>203</v>
      </c>
      <c r="F595" s="4" t="s">
        <v>209</v>
      </c>
      <c r="G595" s="4" t="n">
        <v>3</v>
      </c>
      <c r="H595" s="4" t="n">
        <v>9</v>
      </c>
      <c r="I595" s="4" t="n">
        <v>0</v>
      </c>
      <c r="J595" s="4" t="n">
        <v>402</v>
      </c>
      <c r="K595" s="4" t="n">
        <v>0</v>
      </c>
      <c r="L595" s="12" t="n">
        <v>0.626773</v>
      </c>
      <c r="M595" s="12" t="n">
        <v>0.092063</v>
      </c>
      <c r="N595" s="12" t="n">
        <v>0.132892</v>
      </c>
      <c r="O595" s="12" t="n">
        <v>0.106183</v>
      </c>
      <c r="P595" s="12" t="n">
        <v>0.142351</v>
      </c>
      <c r="Q595" s="0" t="str">
        <f aca="false">IF(L595&gt;=Models!$G$5,1+COUNTIF($L$5:$L$1517,"&gt;"&amp;L595)+COUNTIFS($L$5:$L$1517,L595,$B$5:$B$1517,"&lt;"&amp;B595)+COUNTIFS($L$5:$L$1517,L595,$B$5:$B$1517,B595,$C$5:$C$1517,"&lt;"&amp;C595),"")</f>
        <v/>
      </c>
      <c r="R595" s="0" t="str">
        <f aca="false">IF(M595&gt;=Models!$G$6,1+COUNTIF($M$5:$M$1517,"&gt;"&amp;M595)+COUNTIFS($M$5:$M$1517,M595,$B$5:$B$1517,"&lt;"&amp;B595)+COUNTIFS($M$5:$M$1517,M595,$B$5:$B$1517,B595,$C$5:$C$1517,"&lt;"&amp;C595),"")</f>
        <v/>
      </c>
      <c r="S595" s="0" t="str">
        <f aca="false">IF(N595&gt;=Models!$G$7,1+COUNTIF($N$5:$N$1517,"&gt;"&amp;N595)+COUNTIFS($N$5:$N$1517,N595,$B$5:$B$1517,"&lt;"&amp;B595)+COUNTIFS($N$5:$N$1517,N595,$B$5:$B$1517,B595,$C$5:$C$1517,"&lt;"&amp;C595),"")</f>
        <v/>
      </c>
      <c r="T595" s="8" t="n">
        <f aca="false">IF(O595&gt;=Models!$G$8,1+COUNTIF($O$5:$O$1517,"&gt;"&amp;O595)+COUNTIFS($O$5:$O$1517,O595,$B$5:$B$1517,"&lt;"&amp;B595)+COUNTIFS($O$5:$O$1517,O595,$B$5:$B$1517,B595,$C$5:$C$1517,"&lt;"&amp;C595),"")</f>
        <v>883</v>
      </c>
      <c r="U595" s="8" t="n">
        <f aca="false">IF($K595=1,COUNTIFS($L$5:$L$1517,"&gt;="&amp;L595,$K$5:$K$1517,1)/COUNTIF($L$5:$L$1517,"&gt;="&amp;L595),0)</f>
        <v>0</v>
      </c>
      <c r="V595" s="8" t="n">
        <f aca="false">IF($K595=1,COUNTIFS($M$5:$M$1517,"&gt;="&amp;M595,$K$5:$K$1517,1)/COUNTIF($M$5:$M$1517,"&gt;="&amp;M595),0)</f>
        <v>0</v>
      </c>
      <c r="W595" s="8" t="n">
        <f aca="false">IF($K595=1,COUNTIFS($N$5:$N$1517,"&gt;="&amp;N595,$K$5:$K$1517,1)/COUNTIF($N$5:$N$1517,"&gt;="&amp;N595),0)</f>
        <v>0</v>
      </c>
      <c r="X595" s="8" t="n">
        <f aca="false">IF($K595=1,COUNTIFS($O$5:$O$1517,"&gt;="&amp;O595,$K$5:$K$1517,1)/COUNTIF($O$5:$O$1517,"&gt;="&amp;O595),0)</f>
        <v>0</v>
      </c>
      <c r="Y595" s="8" t="n">
        <f aca="false">IF($K595=1,COUNTIFS($P$5:$P$1517,"&gt;="&amp;P595,$K$5:$K$1517,1)/COUNTIF($P$5:$P$1517,"&gt;="&amp;P595),0)</f>
        <v>0</v>
      </c>
      <c r="Z595" s="8" t="n">
        <f aca="false">(L595-$K595)^2</f>
        <v>0.392844393529</v>
      </c>
      <c r="AA595" s="8" t="n">
        <f aca="false">(M595-$K595)^2</f>
        <v>0.008475595969</v>
      </c>
      <c r="AB595" s="8" t="n">
        <f aca="false">(N595-$K595)^2</f>
        <v>0.017660283664</v>
      </c>
      <c r="AC595" s="8" t="n">
        <f aca="false">(O595-$K595)^2</f>
        <v>0.011274829489</v>
      </c>
      <c r="AD595" s="8" t="n">
        <f aca="false">(P595-$K595)^2</f>
        <v>0.020263807201</v>
      </c>
      <c r="AE595" s="8" t="n">
        <f aca="false">MIN(INT(ROUND(N595*1000000,0)/100000),9)</f>
        <v>1</v>
      </c>
      <c r="AF595" s="8" t="n">
        <f aca="false">MIN(INT(ROUND(P595*1000000,0)/100000),9)</f>
        <v>1</v>
      </c>
    </row>
    <row r="596" customFormat="false" ht="15" hidden="false" customHeight="false" outlineLevel="0" collapsed="false">
      <c r="A596" s="4" t="n">
        <v>592</v>
      </c>
      <c r="B596" s="4" t="n">
        <v>1102</v>
      </c>
      <c r="C596" s="4" t="n">
        <v>1</v>
      </c>
      <c r="D596" s="11" t="n">
        <v>46082</v>
      </c>
      <c r="E596" s="4" t="s">
        <v>203</v>
      </c>
      <c r="F596" s="4" t="s">
        <v>209</v>
      </c>
      <c r="G596" s="4" t="n">
        <v>7</v>
      </c>
      <c r="H596" s="4" t="n">
        <v>1</v>
      </c>
      <c r="I596" s="4" t="n">
        <v>0</v>
      </c>
      <c r="J596" s="4" t="n">
        <v>255</v>
      </c>
      <c r="K596" s="4" t="n">
        <v>0</v>
      </c>
      <c r="L596" s="12" t="n">
        <v>0.22669</v>
      </c>
      <c r="M596" s="12" t="n">
        <v>0.092063</v>
      </c>
      <c r="N596" s="12" t="n">
        <v>0.091736</v>
      </c>
      <c r="O596" s="12" t="n">
        <v>0.106183</v>
      </c>
      <c r="P596" s="12" t="n">
        <v>0.09685</v>
      </c>
      <c r="Q596" s="0" t="str">
        <f aca="false">IF(L596&gt;=Models!$G$5,1+COUNTIF($L$5:$L$1517,"&gt;"&amp;L596)+COUNTIFS($L$5:$L$1517,L596,$B$5:$B$1517,"&lt;"&amp;B596)+COUNTIFS($L$5:$L$1517,L596,$B$5:$B$1517,B596,$C$5:$C$1517,"&lt;"&amp;C596),"")</f>
        <v/>
      </c>
      <c r="R596" s="0" t="str">
        <f aca="false">IF(M596&gt;=Models!$G$6,1+COUNTIF($M$5:$M$1517,"&gt;"&amp;M596)+COUNTIFS($M$5:$M$1517,M596,$B$5:$B$1517,"&lt;"&amp;B596)+COUNTIFS($M$5:$M$1517,M596,$B$5:$B$1517,B596,$C$5:$C$1517,"&lt;"&amp;C596),"")</f>
        <v/>
      </c>
      <c r="S596" s="0" t="str">
        <f aca="false">IF(N596&gt;=Models!$G$7,1+COUNTIF($N$5:$N$1517,"&gt;"&amp;N596)+COUNTIFS($N$5:$N$1517,N596,$B$5:$B$1517,"&lt;"&amp;B596)+COUNTIFS($N$5:$N$1517,N596,$B$5:$B$1517,B596,$C$5:$C$1517,"&lt;"&amp;C596),"")</f>
        <v/>
      </c>
      <c r="T596" s="8" t="n">
        <f aca="false">IF(O596&gt;=Models!$G$8,1+COUNTIF($O$5:$O$1517,"&gt;"&amp;O596)+COUNTIFS($O$5:$O$1517,O596,$B$5:$B$1517,"&lt;"&amp;B596)+COUNTIFS($O$5:$O$1517,O596,$B$5:$B$1517,B596,$C$5:$C$1517,"&lt;"&amp;C596),"")</f>
        <v>887</v>
      </c>
      <c r="U596" s="8" t="n">
        <f aca="false">IF($K596=1,COUNTIFS($L$5:$L$1517,"&gt;="&amp;L596,$K$5:$K$1517,1)/COUNTIF($L$5:$L$1517,"&gt;="&amp;L596),0)</f>
        <v>0</v>
      </c>
      <c r="V596" s="8" t="n">
        <f aca="false">IF($K596=1,COUNTIFS($M$5:$M$1517,"&gt;="&amp;M596,$K$5:$K$1517,1)/COUNTIF($M$5:$M$1517,"&gt;="&amp;M596),0)</f>
        <v>0</v>
      </c>
      <c r="W596" s="8" t="n">
        <f aca="false">IF($K596=1,COUNTIFS($N$5:$N$1517,"&gt;="&amp;N596,$K$5:$K$1517,1)/COUNTIF($N$5:$N$1517,"&gt;="&amp;N596),0)</f>
        <v>0</v>
      </c>
      <c r="X596" s="8" t="n">
        <f aca="false">IF($K596=1,COUNTIFS($O$5:$O$1517,"&gt;="&amp;O596,$K$5:$K$1517,1)/COUNTIF($O$5:$O$1517,"&gt;="&amp;O596),0)</f>
        <v>0</v>
      </c>
      <c r="Y596" s="8" t="n">
        <f aca="false">IF($K596=1,COUNTIFS($P$5:$P$1517,"&gt;="&amp;P596,$K$5:$K$1517,1)/COUNTIF($P$5:$P$1517,"&gt;="&amp;P596),0)</f>
        <v>0</v>
      </c>
      <c r="Z596" s="8" t="n">
        <f aca="false">(L596-$K596)^2</f>
        <v>0.0513883561</v>
      </c>
      <c r="AA596" s="8" t="n">
        <f aca="false">(M596-$K596)^2</f>
        <v>0.008475595969</v>
      </c>
      <c r="AB596" s="8" t="n">
        <f aca="false">(N596-$K596)^2</f>
        <v>0.008415493696</v>
      </c>
      <c r="AC596" s="8" t="n">
        <f aca="false">(O596-$K596)^2</f>
        <v>0.011274829489</v>
      </c>
      <c r="AD596" s="8" t="n">
        <f aca="false">(P596-$K596)^2</f>
        <v>0.0093799225</v>
      </c>
      <c r="AE596" s="8" t="n">
        <f aca="false">MIN(INT(ROUND(N596*1000000,0)/100000),9)</f>
        <v>0</v>
      </c>
      <c r="AF596" s="8" t="n">
        <f aca="false">MIN(INT(ROUND(P596*1000000,0)/100000),9)</f>
        <v>0</v>
      </c>
    </row>
    <row r="597" customFormat="false" ht="15" hidden="false" customHeight="false" outlineLevel="0" collapsed="false">
      <c r="A597" s="4" t="n">
        <v>593</v>
      </c>
      <c r="B597" s="4" t="n">
        <v>1112</v>
      </c>
      <c r="C597" s="4" t="n">
        <v>1</v>
      </c>
      <c r="D597" s="11" t="n">
        <v>46082</v>
      </c>
      <c r="E597" s="4" t="s">
        <v>202</v>
      </c>
      <c r="F597" s="4" t="s">
        <v>209</v>
      </c>
      <c r="G597" s="4" t="n">
        <v>6</v>
      </c>
      <c r="H597" s="4" t="n">
        <v>1</v>
      </c>
      <c r="I597" s="4" t="n">
        <v>0</v>
      </c>
      <c r="J597" s="4"/>
      <c r="K597" s="4" t="n">
        <v>0</v>
      </c>
      <c r="L597" s="12" t="n">
        <v>0.433479</v>
      </c>
      <c r="M597" s="12" t="n">
        <v>0.092063</v>
      </c>
      <c r="N597" s="12" t="n">
        <v>0.049993</v>
      </c>
      <c r="O597" s="12" t="n">
        <v>0.106183</v>
      </c>
      <c r="P597" s="12" t="n">
        <v>0.051383</v>
      </c>
      <c r="Q597" s="0" t="str">
        <f aca="false">IF(L597&gt;=Models!$G$5,1+COUNTIF($L$5:$L$1517,"&gt;"&amp;L597)+COUNTIFS($L$5:$L$1517,L597,$B$5:$B$1517,"&lt;"&amp;B597)+COUNTIFS($L$5:$L$1517,L597,$B$5:$B$1517,B597,$C$5:$C$1517,"&lt;"&amp;C597),"")</f>
        <v/>
      </c>
      <c r="R597" s="0" t="str">
        <f aca="false">IF(M597&gt;=Models!$G$6,1+COUNTIF($M$5:$M$1517,"&gt;"&amp;M597)+COUNTIFS($M$5:$M$1517,M597,$B$5:$B$1517,"&lt;"&amp;B597)+COUNTIFS($M$5:$M$1517,M597,$B$5:$B$1517,B597,$C$5:$C$1517,"&lt;"&amp;C597),"")</f>
        <v/>
      </c>
      <c r="S597" s="0" t="str">
        <f aca="false">IF(N597&gt;=Models!$G$7,1+COUNTIF($N$5:$N$1517,"&gt;"&amp;N597)+COUNTIFS($N$5:$N$1517,N597,$B$5:$B$1517,"&lt;"&amp;B597)+COUNTIFS($N$5:$N$1517,N597,$B$5:$B$1517,B597,$C$5:$C$1517,"&lt;"&amp;C597),"")</f>
        <v/>
      </c>
      <c r="T597" s="8" t="n">
        <f aca="false">IF(O597&gt;=Models!$G$8,1+COUNTIF($O$5:$O$1517,"&gt;"&amp;O597)+COUNTIFS($O$5:$O$1517,O597,$B$5:$B$1517,"&lt;"&amp;B597)+COUNTIFS($O$5:$O$1517,O597,$B$5:$B$1517,B597,$C$5:$C$1517,"&lt;"&amp;C597),"")</f>
        <v>891</v>
      </c>
      <c r="U597" s="8" t="n">
        <f aca="false">IF($K597=1,COUNTIFS($L$5:$L$1517,"&gt;="&amp;L597,$K$5:$K$1517,1)/COUNTIF($L$5:$L$1517,"&gt;="&amp;L597),0)</f>
        <v>0</v>
      </c>
      <c r="V597" s="8" t="n">
        <f aca="false">IF($K597=1,COUNTIFS($M$5:$M$1517,"&gt;="&amp;M597,$K$5:$K$1517,1)/COUNTIF($M$5:$M$1517,"&gt;="&amp;M597),0)</f>
        <v>0</v>
      </c>
      <c r="W597" s="8" t="n">
        <f aca="false">IF($K597=1,COUNTIFS($N$5:$N$1517,"&gt;="&amp;N597,$K$5:$K$1517,1)/COUNTIF($N$5:$N$1517,"&gt;="&amp;N597),0)</f>
        <v>0</v>
      </c>
      <c r="X597" s="8" t="n">
        <f aca="false">IF($K597=1,COUNTIFS($O$5:$O$1517,"&gt;="&amp;O597,$K$5:$K$1517,1)/COUNTIF($O$5:$O$1517,"&gt;="&amp;O597),0)</f>
        <v>0</v>
      </c>
      <c r="Y597" s="8" t="n">
        <f aca="false">IF($K597=1,COUNTIFS($P$5:$P$1517,"&gt;="&amp;P597,$K$5:$K$1517,1)/COUNTIF($P$5:$P$1517,"&gt;="&amp;P597),0)</f>
        <v>0</v>
      </c>
      <c r="Z597" s="8" t="n">
        <f aca="false">(L597-$K597)^2</f>
        <v>0.187904043441</v>
      </c>
      <c r="AA597" s="8" t="n">
        <f aca="false">(M597-$K597)^2</f>
        <v>0.008475595969</v>
      </c>
      <c r="AB597" s="8" t="n">
        <f aca="false">(N597-$K597)^2</f>
        <v>0.002499300049</v>
      </c>
      <c r="AC597" s="8" t="n">
        <f aca="false">(O597-$K597)^2</f>
        <v>0.011274829489</v>
      </c>
      <c r="AD597" s="8" t="n">
        <f aca="false">(P597-$K597)^2</f>
        <v>0.002640212689</v>
      </c>
      <c r="AE597" s="8" t="n">
        <f aca="false">MIN(INT(ROUND(N597*1000000,0)/100000),9)</f>
        <v>0</v>
      </c>
      <c r="AF597" s="8" t="n">
        <f aca="false">MIN(INT(ROUND(P597*1000000,0)/100000),9)</f>
        <v>0</v>
      </c>
    </row>
    <row r="598" customFormat="false" ht="15" hidden="false" customHeight="false" outlineLevel="0" collapsed="false">
      <c r="A598" s="4" t="n">
        <v>594</v>
      </c>
      <c r="B598" s="4" t="n">
        <v>1119</v>
      </c>
      <c r="C598" s="4" t="n">
        <v>1</v>
      </c>
      <c r="D598" s="11" t="n">
        <v>46082</v>
      </c>
      <c r="E598" s="4" t="s">
        <v>204</v>
      </c>
      <c r="F598" s="4" t="s">
        <v>210</v>
      </c>
      <c r="G598" s="4" t="n">
        <v>3</v>
      </c>
      <c r="H598" s="4" t="n">
        <v>4</v>
      </c>
      <c r="I598" s="4" t="n">
        <v>0</v>
      </c>
      <c r="J598" s="4" t="n">
        <v>99</v>
      </c>
      <c r="K598" s="4" t="n">
        <v>0</v>
      </c>
      <c r="L598" s="12" t="n">
        <v>0.733158</v>
      </c>
      <c r="M598" s="12" t="n">
        <v>0.092063</v>
      </c>
      <c r="N598" s="12" t="n">
        <v>0.130221</v>
      </c>
      <c r="O598" s="12" t="n">
        <v>0.106183</v>
      </c>
      <c r="P598" s="12" t="n">
        <v>0.139387</v>
      </c>
      <c r="Q598" s="0" t="str">
        <f aca="false">IF(L598&gt;=Models!$G$5,1+COUNTIF($L$5:$L$1517,"&gt;"&amp;L598)+COUNTIFS($L$5:$L$1517,L598,$B$5:$B$1517,"&lt;"&amp;B598)+COUNTIFS($L$5:$L$1517,L598,$B$5:$B$1517,B598,$C$5:$C$1517,"&lt;"&amp;C598),"")</f>
        <v/>
      </c>
      <c r="R598" s="0" t="str">
        <f aca="false">IF(M598&gt;=Models!$G$6,1+COUNTIF($M$5:$M$1517,"&gt;"&amp;M598)+COUNTIFS($M$5:$M$1517,M598,$B$5:$B$1517,"&lt;"&amp;B598)+COUNTIFS($M$5:$M$1517,M598,$B$5:$B$1517,B598,$C$5:$C$1517,"&lt;"&amp;C598),"")</f>
        <v/>
      </c>
      <c r="S598" s="0" t="str">
        <f aca="false">IF(N598&gt;=Models!$G$7,1+COUNTIF($N$5:$N$1517,"&gt;"&amp;N598)+COUNTIFS($N$5:$N$1517,N598,$B$5:$B$1517,"&lt;"&amp;B598)+COUNTIFS($N$5:$N$1517,N598,$B$5:$B$1517,B598,$C$5:$C$1517,"&lt;"&amp;C598),"")</f>
        <v/>
      </c>
      <c r="T598" s="8" t="n">
        <f aca="false">IF(O598&gt;=Models!$G$8,1+COUNTIF($O$5:$O$1517,"&gt;"&amp;O598)+COUNTIFS($O$5:$O$1517,O598,$B$5:$B$1517,"&lt;"&amp;B598)+COUNTIFS($O$5:$O$1517,O598,$B$5:$B$1517,B598,$C$5:$C$1517,"&lt;"&amp;C598),"")</f>
        <v>895</v>
      </c>
      <c r="U598" s="8" t="n">
        <f aca="false">IF($K598=1,COUNTIFS($L$5:$L$1517,"&gt;="&amp;L598,$K$5:$K$1517,1)/COUNTIF($L$5:$L$1517,"&gt;="&amp;L598),0)</f>
        <v>0</v>
      </c>
      <c r="V598" s="8" t="n">
        <f aca="false">IF($K598=1,COUNTIFS($M$5:$M$1517,"&gt;="&amp;M598,$K$5:$K$1517,1)/COUNTIF($M$5:$M$1517,"&gt;="&amp;M598),0)</f>
        <v>0</v>
      </c>
      <c r="W598" s="8" t="n">
        <f aca="false">IF($K598=1,COUNTIFS($N$5:$N$1517,"&gt;="&amp;N598,$K$5:$K$1517,1)/COUNTIF($N$5:$N$1517,"&gt;="&amp;N598),0)</f>
        <v>0</v>
      </c>
      <c r="X598" s="8" t="n">
        <f aca="false">IF($K598=1,COUNTIFS($O$5:$O$1517,"&gt;="&amp;O598,$K$5:$K$1517,1)/COUNTIF($O$5:$O$1517,"&gt;="&amp;O598),0)</f>
        <v>0</v>
      </c>
      <c r="Y598" s="8" t="n">
        <f aca="false">IF($K598=1,COUNTIFS($P$5:$P$1517,"&gt;="&amp;P598,$K$5:$K$1517,1)/COUNTIF($P$5:$P$1517,"&gt;="&amp;P598),0)</f>
        <v>0</v>
      </c>
      <c r="Z598" s="8" t="n">
        <f aca="false">(L598-$K598)^2</f>
        <v>0.537520652964</v>
      </c>
      <c r="AA598" s="8" t="n">
        <f aca="false">(M598-$K598)^2</f>
        <v>0.008475595969</v>
      </c>
      <c r="AB598" s="8" t="n">
        <f aca="false">(N598-$K598)^2</f>
        <v>0.016957508841</v>
      </c>
      <c r="AC598" s="8" t="n">
        <f aca="false">(O598-$K598)^2</f>
        <v>0.011274829489</v>
      </c>
      <c r="AD598" s="8" t="n">
        <f aca="false">(P598-$K598)^2</f>
        <v>0.019428735769</v>
      </c>
      <c r="AE598" s="8" t="n">
        <f aca="false">MIN(INT(ROUND(N598*1000000,0)/100000),9)</f>
        <v>1</v>
      </c>
      <c r="AF598" s="8" t="n">
        <f aca="false">MIN(INT(ROUND(P598*1000000,0)/100000),9)</f>
        <v>1</v>
      </c>
    </row>
    <row r="599" customFormat="false" ht="15" hidden="false" customHeight="false" outlineLevel="0" collapsed="false">
      <c r="A599" s="4" t="n">
        <v>595</v>
      </c>
      <c r="B599" s="4" t="n">
        <v>1123</v>
      </c>
      <c r="C599" s="4" t="n">
        <v>1</v>
      </c>
      <c r="D599" s="11" t="n">
        <v>46082</v>
      </c>
      <c r="E599" s="4" t="s">
        <v>201</v>
      </c>
      <c r="F599" s="4" t="s">
        <v>206</v>
      </c>
      <c r="G599" s="4" t="n">
        <v>8</v>
      </c>
      <c r="H599" s="4" t="n">
        <v>0</v>
      </c>
      <c r="I599" s="4" t="n">
        <v>0</v>
      </c>
      <c r="J599" s="4"/>
      <c r="K599" s="4" t="n">
        <v>0</v>
      </c>
      <c r="L599" s="12" t="n">
        <v>0.851304</v>
      </c>
      <c r="M599" s="12" t="n">
        <v>0.092063</v>
      </c>
      <c r="N599" s="12" t="n">
        <v>0.041776</v>
      </c>
      <c r="O599" s="12" t="n">
        <v>0.106183</v>
      </c>
      <c r="P599" s="12" t="n">
        <v>0.042581</v>
      </c>
      <c r="Q599" s="0" t="str">
        <f aca="false">IF(L599&gt;=Models!$G$5,1+COUNTIF($L$5:$L$1517,"&gt;"&amp;L599)+COUNTIFS($L$5:$L$1517,L599,$B$5:$B$1517,"&lt;"&amp;B599)+COUNTIFS($L$5:$L$1517,L599,$B$5:$B$1517,B599,$C$5:$C$1517,"&lt;"&amp;C599),"")</f>
        <v/>
      </c>
      <c r="R599" s="0" t="str">
        <f aca="false">IF(M599&gt;=Models!$G$6,1+COUNTIF($M$5:$M$1517,"&gt;"&amp;M599)+COUNTIFS($M$5:$M$1517,M599,$B$5:$B$1517,"&lt;"&amp;B599)+COUNTIFS($M$5:$M$1517,M599,$B$5:$B$1517,B599,$C$5:$C$1517,"&lt;"&amp;C599),"")</f>
        <v/>
      </c>
      <c r="S599" s="0" t="str">
        <f aca="false">IF(N599&gt;=Models!$G$7,1+COUNTIF($N$5:$N$1517,"&gt;"&amp;N599)+COUNTIFS($N$5:$N$1517,N599,$B$5:$B$1517,"&lt;"&amp;B599)+COUNTIFS($N$5:$N$1517,N599,$B$5:$B$1517,B599,$C$5:$C$1517,"&lt;"&amp;C599),"")</f>
        <v/>
      </c>
      <c r="T599" s="8" t="n">
        <f aca="false">IF(O599&gt;=Models!$G$8,1+COUNTIF($O$5:$O$1517,"&gt;"&amp;O599)+COUNTIFS($O$5:$O$1517,O599,$B$5:$B$1517,"&lt;"&amp;B599)+COUNTIFS($O$5:$O$1517,O599,$B$5:$B$1517,B599,$C$5:$C$1517,"&lt;"&amp;C599),"")</f>
        <v>899</v>
      </c>
      <c r="U599" s="8" t="n">
        <f aca="false">IF($K599=1,COUNTIFS($L$5:$L$1517,"&gt;="&amp;L599,$K$5:$K$1517,1)/COUNTIF($L$5:$L$1517,"&gt;="&amp;L599),0)</f>
        <v>0</v>
      </c>
      <c r="V599" s="8" t="n">
        <f aca="false">IF($K599=1,COUNTIFS($M$5:$M$1517,"&gt;="&amp;M599,$K$5:$K$1517,1)/COUNTIF($M$5:$M$1517,"&gt;="&amp;M599),0)</f>
        <v>0</v>
      </c>
      <c r="W599" s="8" t="n">
        <f aca="false">IF($K599=1,COUNTIFS($N$5:$N$1517,"&gt;="&amp;N599,$K$5:$K$1517,1)/COUNTIF($N$5:$N$1517,"&gt;="&amp;N599),0)</f>
        <v>0</v>
      </c>
      <c r="X599" s="8" t="n">
        <f aca="false">IF($K599=1,COUNTIFS($O$5:$O$1517,"&gt;="&amp;O599,$K$5:$K$1517,1)/COUNTIF($O$5:$O$1517,"&gt;="&amp;O599),0)</f>
        <v>0</v>
      </c>
      <c r="Y599" s="8" t="n">
        <f aca="false">IF($K599=1,COUNTIFS($P$5:$P$1517,"&gt;="&amp;P599,$K$5:$K$1517,1)/COUNTIF($P$5:$P$1517,"&gt;="&amp;P599),0)</f>
        <v>0</v>
      </c>
      <c r="Z599" s="8" t="n">
        <f aca="false">(L599-$K599)^2</f>
        <v>0.724718500416</v>
      </c>
      <c r="AA599" s="8" t="n">
        <f aca="false">(M599-$K599)^2</f>
        <v>0.008475595969</v>
      </c>
      <c r="AB599" s="8" t="n">
        <f aca="false">(N599-$K599)^2</f>
        <v>0.001745234176</v>
      </c>
      <c r="AC599" s="8" t="n">
        <f aca="false">(O599-$K599)^2</f>
        <v>0.011274829489</v>
      </c>
      <c r="AD599" s="8" t="n">
        <f aca="false">(P599-$K599)^2</f>
        <v>0.001813141561</v>
      </c>
      <c r="AE599" s="8" t="n">
        <f aca="false">MIN(INT(ROUND(N599*1000000,0)/100000),9)</f>
        <v>0</v>
      </c>
      <c r="AF599" s="8" t="n">
        <f aca="false">MIN(INT(ROUND(P599*1000000,0)/100000),9)</f>
        <v>0</v>
      </c>
    </row>
    <row r="600" customFormat="false" ht="15" hidden="false" customHeight="false" outlineLevel="0" collapsed="false">
      <c r="A600" s="4" t="n">
        <v>596</v>
      </c>
      <c r="B600" s="4" t="n">
        <v>1133</v>
      </c>
      <c r="C600" s="4" t="n">
        <v>1</v>
      </c>
      <c r="D600" s="11" t="n">
        <v>46082</v>
      </c>
      <c r="E600" s="4" t="s">
        <v>201</v>
      </c>
      <c r="F600" s="4" t="s">
        <v>210</v>
      </c>
      <c r="G600" s="4" t="n">
        <v>14</v>
      </c>
      <c r="H600" s="4" t="n">
        <v>0</v>
      </c>
      <c r="I600" s="4" t="n">
        <v>0</v>
      </c>
      <c r="J600" s="4"/>
      <c r="K600" s="4" t="n">
        <v>0</v>
      </c>
      <c r="L600" s="12" t="n">
        <v>0.253098</v>
      </c>
      <c r="M600" s="12" t="n">
        <v>0.092063</v>
      </c>
      <c r="N600" s="12" t="n">
        <v>0.024778</v>
      </c>
      <c r="O600" s="12" t="n">
        <v>0.106183</v>
      </c>
      <c r="P600" s="12" t="n">
        <v>0.024639</v>
      </c>
      <c r="Q600" s="0" t="str">
        <f aca="false">IF(L600&gt;=Models!$G$5,1+COUNTIF($L$5:$L$1517,"&gt;"&amp;L600)+COUNTIFS($L$5:$L$1517,L600,$B$5:$B$1517,"&lt;"&amp;B600)+COUNTIFS($L$5:$L$1517,L600,$B$5:$B$1517,B600,$C$5:$C$1517,"&lt;"&amp;C600),"")</f>
        <v/>
      </c>
      <c r="R600" s="0" t="str">
        <f aca="false">IF(M600&gt;=Models!$G$6,1+COUNTIF($M$5:$M$1517,"&gt;"&amp;M600)+COUNTIFS($M$5:$M$1517,M600,$B$5:$B$1517,"&lt;"&amp;B600)+COUNTIFS($M$5:$M$1517,M600,$B$5:$B$1517,B600,$C$5:$C$1517,"&lt;"&amp;C600),"")</f>
        <v/>
      </c>
      <c r="S600" s="0" t="str">
        <f aca="false">IF(N600&gt;=Models!$G$7,1+COUNTIF($N$5:$N$1517,"&gt;"&amp;N600)+COUNTIFS($N$5:$N$1517,N600,$B$5:$B$1517,"&lt;"&amp;B600)+COUNTIFS($N$5:$N$1517,N600,$B$5:$B$1517,B600,$C$5:$C$1517,"&lt;"&amp;C600),"")</f>
        <v/>
      </c>
      <c r="T600" s="8" t="n">
        <f aca="false">IF(O600&gt;=Models!$G$8,1+COUNTIF($O$5:$O$1517,"&gt;"&amp;O600)+COUNTIFS($O$5:$O$1517,O600,$B$5:$B$1517,"&lt;"&amp;B600)+COUNTIFS($O$5:$O$1517,O600,$B$5:$B$1517,B600,$C$5:$C$1517,"&lt;"&amp;C600),"")</f>
        <v>904</v>
      </c>
      <c r="U600" s="8" t="n">
        <f aca="false">IF($K600=1,COUNTIFS($L$5:$L$1517,"&gt;="&amp;L600,$K$5:$K$1517,1)/COUNTIF($L$5:$L$1517,"&gt;="&amp;L600),0)</f>
        <v>0</v>
      </c>
      <c r="V600" s="8" t="n">
        <f aca="false">IF($K600=1,COUNTIFS($M$5:$M$1517,"&gt;="&amp;M600,$K$5:$K$1517,1)/COUNTIF($M$5:$M$1517,"&gt;="&amp;M600),0)</f>
        <v>0</v>
      </c>
      <c r="W600" s="8" t="n">
        <f aca="false">IF($K600=1,COUNTIFS($N$5:$N$1517,"&gt;="&amp;N600,$K$5:$K$1517,1)/COUNTIF($N$5:$N$1517,"&gt;="&amp;N600),0)</f>
        <v>0</v>
      </c>
      <c r="X600" s="8" t="n">
        <f aca="false">IF($K600=1,COUNTIFS($O$5:$O$1517,"&gt;="&amp;O600,$K$5:$K$1517,1)/COUNTIF($O$5:$O$1517,"&gt;="&amp;O600),0)</f>
        <v>0</v>
      </c>
      <c r="Y600" s="8" t="n">
        <f aca="false">IF($K600=1,COUNTIFS($P$5:$P$1517,"&gt;="&amp;P600,$K$5:$K$1517,1)/COUNTIF($P$5:$P$1517,"&gt;="&amp;P600),0)</f>
        <v>0</v>
      </c>
      <c r="Z600" s="8" t="n">
        <f aca="false">(L600-$K600)^2</f>
        <v>0.064058597604</v>
      </c>
      <c r="AA600" s="8" t="n">
        <f aca="false">(M600-$K600)^2</f>
        <v>0.008475595969</v>
      </c>
      <c r="AB600" s="8" t="n">
        <f aca="false">(N600-$K600)^2</f>
        <v>0.000613949284</v>
      </c>
      <c r="AC600" s="8" t="n">
        <f aca="false">(O600-$K600)^2</f>
        <v>0.011274829489</v>
      </c>
      <c r="AD600" s="8" t="n">
        <f aca="false">(P600-$K600)^2</f>
        <v>0.000607080321</v>
      </c>
      <c r="AE600" s="8" t="n">
        <f aca="false">MIN(INT(ROUND(N600*1000000,0)/100000),9)</f>
        <v>0</v>
      </c>
      <c r="AF600" s="8" t="n">
        <f aca="false">MIN(INT(ROUND(P600*1000000,0)/100000),9)</f>
        <v>0</v>
      </c>
    </row>
    <row r="601" customFormat="false" ht="15" hidden="false" customHeight="false" outlineLevel="0" collapsed="false">
      <c r="A601" s="4" t="n">
        <v>597</v>
      </c>
      <c r="B601" s="4" t="n">
        <v>1141</v>
      </c>
      <c r="C601" s="4" t="n">
        <v>1</v>
      </c>
      <c r="D601" s="11" t="n">
        <v>46082</v>
      </c>
      <c r="E601" s="4" t="s">
        <v>204</v>
      </c>
      <c r="F601" s="4" t="s">
        <v>210</v>
      </c>
      <c r="G601" s="4" t="n">
        <v>5</v>
      </c>
      <c r="H601" s="4" t="n">
        <v>0</v>
      </c>
      <c r="I601" s="4" t="n">
        <v>0</v>
      </c>
      <c r="J601" s="4" t="n">
        <v>90</v>
      </c>
      <c r="K601" s="4" t="n">
        <v>0</v>
      </c>
      <c r="L601" s="12" t="n">
        <v>0.832277</v>
      </c>
      <c r="M601" s="12" t="n">
        <v>0.092063</v>
      </c>
      <c r="N601" s="12" t="n">
        <v>0.108009</v>
      </c>
      <c r="O601" s="12" t="n">
        <v>0.106183</v>
      </c>
      <c r="P601" s="12" t="n">
        <v>0.11479</v>
      </c>
      <c r="Q601" s="0" t="str">
        <f aca="false">IF(L601&gt;=Models!$G$5,1+COUNTIF($L$5:$L$1517,"&gt;"&amp;L601)+COUNTIFS($L$5:$L$1517,L601,$B$5:$B$1517,"&lt;"&amp;B601)+COUNTIFS($L$5:$L$1517,L601,$B$5:$B$1517,B601,$C$5:$C$1517,"&lt;"&amp;C601),"")</f>
        <v/>
      </c>
      <c r="R601" s="0" t="str">
        <f aca="false">IF(M601&gt;=Models!$G$6,1+COUNTIF($M$5:$M$1517,"&gt;"&amp;M601)+COUNTIFS($M$5:$M$1517,M601,$B$5:$B$1517,"&lt;"&amp;B601)+COUNTIFS($M$5:$M$1517,M601,$B$5:$B$1517,B601,$C$5:$C$1517,"&lt;"&amp;C601),"")</f>
        <v/>
      </c>
      <c r="S601" s="0" t="str">
        <f aca="false">IF(N601&gt;=Models!$G$7,1+COUNTIF($N$5:$N$1517,"&gt;"&amp;N601)+COUNTIFS($N$5:$N$1517,N601,$B$5:$B$1517,"&lt;"&amp;B601)+COUNTIFS($N$5:$N$1517,N601,$B$5:$B$1517,B601,$C$5:$C$1517,"&lt;"&amp;C601),"")</f>
        <v/>
      </c>
      <c r="T601" s="8" t="n">
        <f aca="false">IF(O601&gt;=Models!$G$8,1+COUNTIF($O$5:$O$1517,"&gt;"&amp;O601)+COUNTIFS($O$5:$O$1517,O601,$B$5:$B$1517,"&lt;"&amp;B601)+COUNTIFS($O$5:$O$1517,O601,$B$5:$B$1517,B601,$C$5:$C$1517,"&lt;"&amp;C601),"")</f>
        <v>909</v>
      </c>
      <c r="U601" s="8" t="n">
        <f aca="false">IF($K601=1,COUNTIFS($L$5:$L$1517,"&gt;="&amp;L601,$K$5:$K$1517,1)/COUNTIF($L$5:$L$1517,"&gt;="&amp;L601),0)</f>
        <v>0</v>
      </c>
      <c r="V601" s="8" t="n">
        <f aca="false">IF($K601=1,COUNTIFS($M$5:$M$1517,"&gt;="&amp;M601,$K$5:$K$1517,1)/COUNTIF($M$5:$M$1517,"&gt;="&amp;M601),0)</f>
        <v>0</v>
      </c>
      <c r="W601" s="8" t="n">
        <f aca="false">IF($K601=1,COUNTIFS($N$5:$N$1517,"&gt;="&amp;N601,$K$5:$K$1517,1)/COUNTIF($N$5:$N$1517,"&gt;="&amp;N601),0)</f>
        <v>0</v>
      </c>
      <c r="X601" s="8" t="n">
        <f aca="false">IF($K601=1,COUNTIFS($O$5:$O$1517,"&gt;="&amp;O601,$K$5:$K$1517,1)/COUNTIF($O$5:$O$1517,"&gt;="&amp;O601),0)</f>
        <v>0</v>
      </c>
      <c r="Y601" s="8" t="n">
        <f aca="false">IF($K601=1,COUNTIFS($P$5:$P$1517,"&gt;="&amp;P601,$K$5:$K$1517,1)/COUNTIF($P$5:$P$1517,"&gt;="&amp;P601),0)</f>
        <v>0</v>
      </c>
      <c r="Z601" s="8" t="n">
        <f aca="false">(L601-$K601)^2</f>
        <v>0.692685004729</v>
      </c>
      <c r="AA601" s="8" t="n">
        <f aca="false">(M601-$K601)^2</f>
        <v>0.008475595969</v>
      </c>
      <c r="AB601" s="8" t="n">
        <f aca="false">(N601-$K601)^2</f>
        <v>0.011665944081</v>
      </c>
      <c r="AC601" s="8" t="n">
        <f aca="false">(O601-$K601)^2</f>
        <v>0.011274829489</v>
      </c>
      <c r="AD601" s="8" t="n">
        <f aca="false">(P601-$K601)^2</f>
        <v>0.0131767441</v>
      </c>
      <c r="AE601" s="8" t="n">
        <f aca="false">MIN(INT(ROUND(N601*1000000,0)/100000),9)</f>
        <v>1</v>
      </c>
      <c r="AF601" s="8" t="n">
        <f aca="false">MIN(INT(ROUND(P601*1000000,0)/100000),9)</f>
        <v>1</v>
      </c>
    </row>
    <row r="602" customFormat="false" ht="15" hidden="false" customHeight="false" outlineLevel="0" collapsed="false">
      <c r="A602" s="4" t="n">
        <v>598</v>
      </c>
      <c r="B602" s="4" t="n">
        <v>1143</v>
      </c>
      <c r="C602" s="4" t="n">
        <v>1</v>
      </c>
      <c r="D602" s="11" t="n">
        <v>46082</v>
      </c>
      <c r="E602" s="4" t="s">
        <v>201</v>
      </c>
      <c r="F602" s="4" t="s">
        <v>206</v>
      </c>
      <c r="G602" s="4" t="n">
        <v>19</v>
      </c>
      <c r="H602" s="4" t="n">
        <v>0</v>
      </c>
      <c r="I602" s="4" t="n">
        <v>0</v>
      </c>
      <c r="J602" s="4"/>
      <c r="K602" s="4" t="n">
        <v>0</v>
      </c>
      <c r="L602" s="12" t="n">
        <v>0.273897</v>
      </c>
      <c r="M602" s="12" t="n">
        <v>0.092063</v>
      </c>
      <c r="N602" s="12" t="n">
        <v>0.015943</v>
      </c>
      <c r="O602" s="12" t="n">
        <v>0.106183</v>
      </c>
      <c r="P602" s="12" t="n">
        <v>0.015522</v>
      </c>
      <c r="Q602" s="0" t="str">
        <f aca="false">IF(L602&gt;=Models!$G$5,1+COUNTIF($L$5:$L$1517,"&gt;"&amp;L602)+COUNTIFS($L$5:$L$1517,L602,$B$5:$B$1517,"&lt;"&amp;B602)+COUNTIFS($L$5:$L$1517,L602,$B$5:$B$1517,B602,$C$5:$C$1517,"&lt;"&amp;C602),"")</f>
        <v/>
      </c>
      <c r="R602" s="0" t="str">
        <f aca="false">IF(M602&gt;=Models!$G$6,1+COUNTIF($M$5:$M$1517,"&gt;"&amp;M602)+COUNTIFS($M$5:$M$1517,M602,$B$5:$B$1517,"&lt;"&amp;B602)+COUNTIFS($M$5:$M$1517,M602,$B$5:$B$1517,B602,$C$5:$C$1517,"&lt;"&amp;C602),"")</f>
        <v/>
      </c>
      <c r="S602" s="0" t="str">
        <f aca="false">IF(N602&gt;=Models!$G$7,1+COUNTIF($N$5:$N$1517,"&gt;"&amp;N602)+COUNTIFS($N$5:$N$1517,N602,$B$5:$B$1517,"&lt;"&amp;B602)+COUNTIFS($N$5:$N$1517,N602,$B$5:$B$1517,B602,$C$5:$C$1517,"&lt;"&amp;C602),"")</f>
        <v/>
      </c>
      <c r="T602" s="8" t="n">
        <f aca="false">IF(O602&gt;=Models!$G$8,1+COUNTIF($O$5:$O$1517,"&gt;"&amp;O602)+COUNTIFS($O$5:$O$1517,O602,$B$5:$B$1517,"&lt;"&amp;B602)+COUNTIFS($O$5:$O$1517,O602,$B$5:$B$1517,B602,$C$5:$C$1517,"&lt;"&amp;C602),"")</f>
        <v>913</v>
      </c>
      <c r="U602" s="8" t="n">
        <f aca="false">IF($K602=1,COUNTIFS($L$5:$L$1517,"&gt;="&amp;L602,$K$5:$K$1517,1)/COUNTIF($L$5:$L$1517,"&gt;="&amp;L602),0)</f>
        <v>0</v>
      </c>
      <c r="V602" s="8" t="n">
        <f aca="false">IF($K602=1,COUNTIFS($M$5:$M$1517,"&gt;="&amp;M602,$K$5:$K$1517,1)/COUNTIF($M$5:$M$1517,"&gt;="&amp;M602),0)</f>
        <v>0</v>
      </c>
      <c r="W602" s="8" t="n">
        <f aca="false">IF($K602=1,COUNTIFS($N$5:$N$1517,"&gt;="&amp;N602,$K$5:$K$1517,1)/COUNTIF($N$5:$N$1517,"&gt;="&amp;N602),0)</f>
        <v>0</v>
      </c>
      <c r="X602" s="8" t="n">
        <f aca="false">IF($K602=1,COUNTIFS($O$5:$O$1517,"&gt;="&amp;O602,$K$5:$K$1517,1)/COUNTIF($O$5:$O$1517,"&gt;="&amp;O602),0)</f>
        <v>0</v>
      </c>
      <c r="Y602" s="8" t="n">
        <f aca="false">IF($K602=1,COUNTIFS($P$5:$P$1517,"&gt;="&amp;P602,$K$5:$K$1517,1)/COUNTIF($P$5:$P$1517,"&gt;="&amp;P602),0)</f>
        <v>0</v>
      </c>
      <c r="Z602" s="8" t="n">
        <f aca="false">(L602-$K602)^2</f>
        <v>0.075019566609</v>
      </c>
      <c r="AA602" s="8" t="n">
        <f aca="false">(M602-$K602)^2</f>
        <v>0.008475595969</v>
      </c>
      <c r="AB602" s="8" t="n">
        <f aca="false">(N602-$K602)^2</f>
        <v>0.000254179249</v>
      </c>
      <c r="AC602" s="8" t="n">
        <f aca="false">(O602-$K602)^2</f>
        <v>0.011274829489</v>
      </c>
      <c r="AD602" s="8" t="n">
        <f aca="false">(P602-$K602)^2</f>
        <v>0.000240932484</v>
      </c>
      <c r="AE602" s="8" t="n">
        <f aca="false">MIN(INT(ROUND(N602*1000000,0)/100000),9)</f>
        <v>0</v>
      </c>
      <c r="AF602" s="8" t="n">
        <f aca="false">MIN(INT(ROUND(P602*1000000,0)/100000),9)</f>
        <v>0</v>
      </c>
    </row>
    <row r="603" customFormat="false" ht="15" hidden="false" customHeight="false" outlineLevel="0" collapsed="false">
      <c r="A603" s="4" t="n">
        <v>599</v>
      </c>
      <c r="B603" s="4" t="n">
        <v>1146</v>
      </c>
      <c r="C603" s="4" t="n">
        <v>1</v>
      </c>
      <c r="D603" s="11" t="n">
        <v>46082</v>
      </c>
      <c r="E603" s="4" t="s">
        <v>204</v>
      </c>
      <c r="F603" s="4" t="s">
        <v>206</v>
      </c>
      <c r="G603" s="4" t="n">
        <v>4</v>
      </c>
      <c r="H603" s="4" t="n">
        <v>4</v>
      </c>
      <c r="I603" s="4" t="n">
        <v>0</v>
      </c>
      <c r="J603" s="4"/>
      <c r="K603" s="4" t="n">
        <v>0</v>
      </c>
      <c r="L603" s="12" t="n">
        <v>0.379033</v>
      </c>
      <c r="M603" s="12" t="n">
        <v>0.092063</v>
      </c>
      <c r="N603" s="12" t="n">
        <v>0.060654</v>
      </c>
      <c r="O603" s="12" t="n">
        <v>0.106183</v>
      </c>
      <c r="P603" s="12" t="n">
        <v>0.062891</v>
      </c>
      <c r="Q603" s="0" t="str">
        <f aca="false">IF(L603&gt;=Models!$G$5,1+COUNTIF($L$5:$L$1517,"&gt;"&amp;L603)+COUNTIFS($L$5:$L$1517,L603,$B$5:$B$1517,"&lt;"&amp;B603)+COUNTIFS($L$5:$L$1517,L603,$B$5:$B$1517,B603,$C$5:$C$1517,"&lt;"&amp;C603),"")</f>
        <v/>
      </c>
      <c r="R603" s="0" t="str">
        <f aca="false">IF(M603&gt;=Models!$G$6,1+COUNTIF($M$5:$M$1517,"&gt;"&amp;M603)+COUNTIFS($M$5:$M$1517,M603,$B$5:$B$1517,"&lt;"&amp;B603)+COUNTIFS($M$5:$M$1517,M603,$B$5:$B$1517,B603,$C$5:$C$1517,"&lt;"&amp;C603),"")</f>
        <v/>
      </c>
      <c r="S603" s="0" t="str">
        <f aca="false">IF(N603&gt;=Models!$G$7,1+COUNTIF($N$5:$N$1517,"&gt;"&amp;N603)+COUNTIFS($N$5:$N$1517,N603,$B$5:$B$1517,"&lt;"&amp;B603)+COUNTIFS($N$5:$N$1517,N603,$B$5:$B$1517,B603,$C$5:$C$1517,"&lt;"&amp;C603),"")</f>
        <v/>
      </c>
      <c r="T603" s="8" t="n">
        <f aca="false">IF(O603&gt;=Models!$G$8,1+COUNTIF($O$5:$O$1517,"&gt;"&amp;O603)+COUNTIFS($O$5:$O$1517,O603,$B$5:$B$1517,"&lt;"&amp;B603)+COUNTIFS($O$5:$O$1517,O603,$B$5:$B$1517,B603,$C$5:$C$1517,"&lt;"&amp;C603),"")</f>
        <v>917</v>
      </c>
      <c r="U603" s="8" t="n">
        <f aca="false">IF($K603=1,COUNTIFS($L$5:$L$1517,"&gt;="&amp;L603,$K$5:$K$1517,1)/COUNTIF($L$5:$L$1517,"&gt;="&amp;L603),0)</f>
        <v>0</v>
      </c>
      <c r="V603" s="8" t="n">
        <f aca="false">IF($K603=1,COUNTIFS($M$5:$M$1517,"&gt;="&amp;M603,$K$5:$K$1517,1)/COUNTIF($M$5:$M$1517,"&gt;="&amp;M603),0)</f>
        <v>0</v>
      </c>
      <c r="W603" s="8" t="n">
        <f aca="false">IF($K603=1,COUNTIFS($N$5:$N$1517,"&gt;="&amp;N603,$K$5:$K$1517,1)/COUNTIF($N$5:$N$1517,"&gt;="&amp;N603),0)</f>
        <v>0</v>
      </c>
      <c r="X603" s="8" t="n">
        <f aca="false">IF($K603=1,COUNTIFS($O$5:$O$1517,"&gt;="&amp;O603,$K$5:$K$1517,1)/COUNTIF($O$5:$O$1517,"&gt;="&amp;O603),0)</f>
        <v>0</v>
      </c>
      <c r="Y603" s="8" t="n">
        <f aca="false">IF($K603=1,COUNTIFS($P$5:$P$1517,"&gt;="&amp;P603,$K$5:$K$1517,1)/COUNTIF($P$5:$P$1517,"&gt;="&amp;P603),0)</f>
        <v>0</v>
      </c>
      <c r="Z603" s="8" t="n">
        <f aca="false">(L603-$K603)^2</f>
        <v>0.143666015089</v>
      </c>
      <c r="AA603" s="8" t="n">
        <f aca="false">(M603-$K603)^2</f>
        <v>0.008475595969</v>
      </c>
      <c r="AB603" s="8" t="n">
        <f aca="false">(N603-$K603)^2</f>
        <v>0.003678907716</v>
      </c>
      <c r="AC603" s="8" t="n">
        <f aca="false">(O603-$K603)^2</f>
        <v>0.011274829489</v>
      </c>
      <c r="AD603" s="8" t="n">
        <f aca="false">(P603-$K603)^2</f>
        <v>0.003955277881</v>
      </c>
      <c r="AE603" s="8" t="n">
        <f aca="false">MIN(INT(ROUND(N603*1000000,0)/100000),9)</f>
        <v>0</v>
      </c>
      <c r="AF603" s="8" t="n">
        <f aca="false">MIN(INT(ROUND(P603*1000000,0)/100000),9)</f>
        <v>0</v>
      </c>
    </row>
    <row r="604" customFormat="false" ht="15" hidden="false" customHeight="false" outlineLevel="0" collapsed="false">
      <c r="A604" s="4" t="n">
        <v>600</v>
      </c>
      <c r="B604" s="4" t="n">
        <v>1150</v>
      </c>
      <c r="C604" s="4" t="n">
        <v>1</v>
      </c>
      <c r="D604" s="11" t="n">
        <v>46082</v>
      </c>
      <c r="E604" s="4" t="s">
        <v>204</v>
      </c>
      <c r="F604" s="4" t="s">
        <v>209</v>
      </c>
      <c r="G604" s="4" t="n">
        <v>2</v>
      </c>
      <c r="H604" s="4" t="n">
        <v>16</v>
      </c>
      <c r="I604" s="4" t="n">
        <v>0</v>
      </c>
      <c r="J604" s="4" t="n">
        <v>69</v>
      </c>
      <c r="K604" s="4" t="n">
        <v>0</v>
      </c>
      <c r="L604" s="12" t="n">
        <v>0.09853</v>
      </c>
      <c r="M604" s="12" t="n">
        <v>0.092063</v>
      </c>
      <c r="N604" s="12" t="n">
        <v>0.153302</v>
      </c>
      <c r="O604" s="12" t="n">
        <v>0.106183</v>
      </c>
      <c r="P604" s="12" t="n">
        <v>0.165029</v>
      </c>
      <c r="Q604" s="0" t="str">
        <f aca="false">IF(L604&gt;=Models!$G$5,1+COUNTIF($L$5:$L$1517,"&gt;"&amp;L604)+COUNTIFS($L$5:$L$1517,L604,$B$5:$B$1517,"&lt;"&amp;B604)+COUNTIFS($L$5:$L$1517,L604,$B$5:$B$1517,B604,$C$5:$C$1517,"&lt;"&amp;C604),"")</f>
        <v/>
      </c>
      <c r="R604" s="0" t="str">
        <f aca="false">IF(M604&gt;=Models!$G$6,1+COUNTIF($M$5:$M$1517,"&gt;"&amp;M604)+COUNTIFS($M$5:$M$1517,M604,$B$5:$B$1517,"&lt;"&amp;B604)+COUNTIFS($M$5:$M$1517,M604,$B$5:$B$1517,B604,$C$5:$C$1517,"&lt;"&amp;C604),"")</f>
        <v/>
      </c>
      <c r="S604" s="0" t="str">
        <f aca="false">IF(N604&gt;=Models!$G$7,1+COUNTIF($N$5:$N$1517,"&gt;"&amp;N604)+COUNTIFS($N$5:$N$1517,N604,$B$5:$B$1517,"&lt;"&amp;B604)+COUNTIFS($N$5:$N$1517,N604,$B$5:$B$1517,B604,$C$5:$C$1517,"&lt;"&amp;C604),"")</f>
        <v/>
      </c>
      <c r="T604" s="8" t="n">
        <f aca="false">IF(O604&gt;=Models!$G$8,1+COUNTIF($O$5:$O$1517,"&gt;"&amp;O604)+COUNTIFS($O$5:$O$1517,O604,$B$5:$B$1517,"&lt;"&amp;B604)+COUNTIFS($O$5:$O$1517,O604,$B$5:$B$1517,B604,$C$5:$C$1517,"&lt;"&amp;C604),"")</f>
        <v>921</v>
      </c>
      <c r="U604" s="8" t="n">
        <f aca="false">IF($K604=1,COUNTIFS($L$5:$L$1517,"&gt;="&amp;L604,$K$5:$K$1517,1)/COUNTIF($L$5:$L$1517,"&gt;="&amp;L604),0)</f>
        <v>0</v>
      </c>
      <c r="V604" s="8" t="n">
        <f aca="false">IF($K604=1,COUNTIFS($M$5:$M$1517,"&gt;="&amp;M604,$K$5:$K$1517,1)/COUNTIF($M$5:$M$1517,"&gt;="&amp;M604),0)</f>
        <v>0</v>
      </c>
      <c r="W604" s="8" t="n">
        <f aca="false">IF($K604=1,COUNTIFS($N$5:$N$1517,"&gt;="&amp;N604,$K$5:$K$1517,1)/COUNTIF($N$5:$N$1517,"&gt;="&amp;N604),0)</f>
        <v>0</v>
      </c>
      <c r="X604" s="8" t="n">
        <f aca="false">IF($K604=1,COUNTIFS($O$5:$O$1517,"&gt;="&amp;O604,$K$5:$K$1517,1)/COUNTIF($O$5:$O$1517,"&gt;="&amp;O604),0)</f>
        <v>0</v>
      </c>
      <c r="Y604" s="8" t="n">
        <f aca="false">IF($K604=1,COUNTIFS($P$5:$P$1517,"&gt;="&amp;P604,$K$5:$K$1517,1)/COUNTIF($P$5:$P$1517,"&gt;="&amp;P604),0)</f>
        <v>0</v>
      </c>
      <c r="Z604" s="8" t="n">
        <f aca="false">(L604-$K604)^2</f>
        <v>0.0097081609</v>
      </c>
      <c r="AA604" s="8" t="n">
        <f aca="false">(M604-$K604)^2</f>
        <v>0.008475595969</v>
      </c>
      <c r="AB604" s="8" t="n">
        <f aca="false">(N604-$K604)^2</f>
        <v>0.023501503204</v>
      </c>
      <c r="AC604" s="8" t="n">
        <f aca="false">(O604-$K604)^2</f>
        <v>0.011274829489</v>
      </c>
      <c r="AD604" s="8" t="n">
        <f aca="false">(P604-$K604)^2</f>
        <v>0.027234570841</v>
      </c>
      <c r="AE604" s="8" t="n">
        <f aca="false">MIN(INT(ROUND(N604*1000000,0)/100000),9)</f>
        <v>1</v>
      </c>
      <c r="AF604" s="8" t="n">
        <f aca="false">MIN(INT(ROUND(P604*1000000,0)/100000),9)</f>
        <v>1</v>
      </c>
    </row>
    <row r="605" customFormat="false" ht="15" hidden="false" customHeight="false" outlineLevel="0" collapsed="false">
      <c r="A605" s="4" t="n">
        <v>601</v>
      </c>
      <c r="B605" s="4" t="n">
        <v>1153</v>
      </c>
      <c r="C605" s="4" t="n">
        <v>1</v>
      </c>
      <c r="D605" s="11" t="n">
        <v>46082</v>
      </c>
      <c r="E605" s="4" t="s">
        <v>203</v>
      </c>
      <c r="F605" s="4" t="s">
        <v>206</v>
      </c>
      <c r="G605" s="4" t="n">
        <v>2</v>
      </c>
      <c r="H605" s="4" t="n">
        <v>10</v>
      </c>
      <c r="I605" s="4" t="n">
        <v>0</v>
      </c>
      <c r="J605" s="4"/>
      <c r="K605" s="4" t="n">
        <v>1</v>
      </c>
      <c r="L605" s="12" t="n">
        <v>0.361629</v>
      </c>
      <c r="M605" s="12" t="n">
        <v>0.092063</v>
      </c>
      <c r="N605" s="12" t="n">
        <v>0.075101</v>
      </c>
      <c r="O605" s="12" t="n">
        <v>0.106183</v>
      </c>
      <c r="P605" s="12" t="n">
        <v>0.078613</v>
      </c>
      <c r="Q605" s="0" t="str">
        <f aca="false">IF(L605&gt;=Models!$G$5,1+COUNTIF($L$5:$L$1517,"&gt;"&amp;L605)+COUNTIFS($L$5:$L$1517,L605,$B$5:$B$1517,"&lt;"&amp;B605)+COUNTIFS($L$5:$L$1517,L605,$B$5:$B$1517,B605,$C$5:$C$1517,"&lt;"&amp;C605),"")</f>
        <v/>
      </c>
      <c r="R605" s="0" t="str">
        <f aca="false">IF(M605&gt;=Models!$G$6,1+COUNTIF($M$5:$M$1517,"&gt;"&amp;M605)+COUNTIFS($M$5:$M$1517,M605,$B$5:$B$1517,"&lt;"&amp;B605)+COUNTIFS($M$5:$M$1517,M605,$B$5:$B$1517,B605,$C$5:$C$1517,"&lt;"&amp;C605),"")</f>
        <v/>
      </c>
      <c r="S605" s="0" t="str">
        <f aca="false">IF(N605&gt;=Models!$G$7,1+COUNTIF($N$5:$N$1517,"&gt;"&amp;N605)+COUNTIFS($N$5:$N$1517,N605,$B$5:$B$1517,"&lt;"&amp;B605)+COUNTIFS($N$5:$N$1517,N605,$B$5:$B$1517,B605,$C$5:$C$1517,"&lt;"&amp;C605),"")</f>
        <v/>
      </c>
      <c r="T605" s="8" t="n">
        <f aca="false">IF(O605&gt;=Models!$G$8,1+COUNTIF($O$5:$O$1517,"&gt;"&amp;O605)+COUNTIFS($O$5:$O$1517,O605,$B$5:$B$1517,"&lt;"&amp;B605)+COUNTIFS($O$5:$O$1517,O605,$B$5:$B$1517,B605,$C$5:$C$1517,"&lt;"&amp;C605),"")</f>
        <v>925</v>
      </c>
      <c r="U605" s="8" t="n">
        <f aca="false">IF($K605=1,COUNTIFS($L$5:$L$1517,"&gt;="&amp;L605,$K$5:$K$1517,1)/COUNTIF($L$5:$L$1517,"&gt;="&amp;L605),0)</f>
        <v>0.129100529100529</v>
      </c>
      <c r="V605" s="8" t="n">
        <f aca="false">IF($K605=1,COUNTIFS($M$5:$M$1517,"&gt;="&amp;M605,$K$5:$K$1517,1)/COUNTIF($M$5:$M$1517,"&gt;="&amp;M605),0)</f>
        <v>0.12491738268341</v>
      </c>
      <c r="W605" s="8" t="n">
        <f aca="false">IF($K605=1,COUNTIFS($N$5:$N$1517,"&gt;="&amp;N605,$K$5:$K$1517,1)/COUNTIF($N$5:$N$1517,"&gt;="&amp;N605),0)</f>
        <v>0.168295331161781</v>
      </c>
      <c r="X605" s="8" t="n">
        <f aca="false">IF($K605=1,COUNTIFS($O$5:$O$1517,"&gt;="&amp;O605,$K$5:$K$1517,1)/COUNTIF($O$5:$O$1517,"&gt;="&amp;O605),0)</f>
        <v>0.12491738268341</v>
      </c>
      <c r="Y605" s="8" t="n">
        <f aca="false">IF($K605=1,COUNTIFS($P$5:$P$1517,"&gt;="&amp;P605,$K$5:$K$1517,1)/COUNTIF($P$5:$P$1517,"&gt;="&amp;P605),0)</f>
        <v>0.168295331161781</v>
      </c>
      <c r="Z605" s="8" t="n">
        <f aca="false">(L605-$K605)^2</f>
        <v>0.407517533641</v>
      </c>
      <c r="AA605" s="8" t="n">
        <f aca="false">(M605-$K605)^2</f>
        <v>0.824349595969</v>
      </c>
      <c r="AB605" s="8" t="n">
        <f aca="false">(N605-$K605)^2</f>
        <v>0.855438160201</v>
      </c>
      <c r="AC605" s="8" t="n">
        <f aca="false">(O605-$K605)^2</f>
        <v>0.798908829489</v>
      </c>
      <c r="AD605" s="8" t="n">
        <f aca="false">(P605-$K605)^2</f>
        <v>0.848954003769</v>
      </c>
      <c r="AE605" s="8" t="n">
        <f aca="false">MIN(INT(ROUND(N605*1000000,0)/100000),9)</f>
        <v>0</v>
      </c>
      <c r="AF605" s="8" t="n">
        <f aca="false">MIN(INT(ROUND(P605*1000000,0)/100000),9)</f>
        <v>0</v>
      </c>
    </row>
    <row r="606" customFormat="false" ht="15" hidden="false" customHeight="false" outlineLevel="0" collapsed="false">
      <c r="A606" s="4" t="n">
        <v>602</v>
      </c>
      <c r="B606" s="4" t="n">
        <v>1156</v>
      </c>
      <c r="C606" s="4" t="n">
        <v>1</v>
      </c>
      <c r="D606" s="11" t="n">
        <v>46082</v>
      </c>
      <c r="E606" s="4" t="s">
        <v>203</v>
      </c>
      <c r="F606" s="4" t="s">
        <v>206</v>
      </c>
      <c r="G606" s="4" t="n">
        <v>3</v>
      </c>
      <c r="H606" s="4" t="n">
        <v>6</v>
      </c>
      <c r="I606" s="4" t="n">
        <v>0</v>
      </c>
      <c r="J606" s="4" t="n">
        <v>342</v>
      </c>
      <c r="K606" s="4" t="n">
        <v>0</v>
      </c>
      <c r="L606" s="12" t="n">
        <v>0.705654</v>
      </c>
      <c r="M606" s="12" t="n">
        <v>0.092063</v>
      </c>
      <c r="N606" s="12" t="n">
        <v>0.130479</v>
      </c>
      <c r="O606" s="12" t="n">
        <v>0.106183</v>
      </c>
      <c r="P606" s="12" t="n">
        <v>0.139674</v>
      </c>
      <c r="Q606" s="0" t="str">
        <f aca="false">IF(L606&gt;=Models!$G$5,1+COUNTIF($L$5:$L$1517,"&gt;"&amp;L606)+COUNTIFS($L$5:$L$1517,L606,$B$5:$B$1517,"&lt;"&amp;B606)+COUNTIFS($L$5:$L$1517,L606,$B$5:$B$1517,B606,$C$5:$C$1517,"&lt;"&amp;C606),"")</f>
        <v/>
      </c>
      <c r="R606" s="0" t="str">
        <f aca="false">IF(M606&gt;=Models!$G$6,1+COUNTIF($M$5:$M$1517,"&gt;"&amp;M606)+COUNTIFS($M$5:$M$1517,M606,$B$5:$B$1517,"&lt;"&amp;B606)+COUNTIFS($M$5:$M$1517,M606,$B$5:$B$1517,B606,$C$5:$C$1517,"&lt;"&amp;C606),"")</f>
        <v/>
      </c>
      <c r="S606" s="0" t="str">
        <f aca="false">IF(N606&gt;=Models!$G$7,1+COUNTIF($N$5:$N$1517,"&gt;"&amp;N606)+COUNTIFS($N$5:$N$1517,N606,$B$5:$B$1517,"&lt;"&amp;B606)+COUNTIFS($N$5:$N$1517,N606,$B$5:$B$1517,B606,$C$5:$C$1517,"&lt;"&amp;C606),"")</f>
        <v/>
      </c>
      <c r="T606" s="8" t="n">
        <f aca="false">IF(O606&gt;=Models!$G$8,1+COUNTIF($O$5:$O$1517,"&gt;"&amp;O606)+COUNTIFS($O$5:$O$1517,O606,$B$5:$B$1517,"&lt;"&amp;B606)+COUNTIFS($O$5:$O$1517,O606,$B$5:$B$1517,B606,$C$5:$C$1517,"&lt;"&amp;C606),"")</f>
        <v>929</v>
      </c>
      <c r="U606" s="8" t="n">
        <f aca="false">IF($K606=1,COUNTIFS($L$5:$L$1517,"&gt;="&amp;L606,$K$5:$K$1517,1)/COUNTIF($L$5:$L$1517,"&gt;="&amp;L606),0)</f>
        <v>0</v>
      </c>
      <c r="V606" s="8" t="n">
        <f aca="false">IF($K606=1,COUNTIFS($M$5:$M$1517,"&gt;="&amp;M606,$K$5:$K$1517,1)/COUNTIF($M$5:$M$1517,"&gt;="&amp;M606),0)</f>
        <v>0</v>
      </c>
      <c r="W606" s="8" t="n">
        <f aca="false">IF($K606=1,COUNTIFS($N$5:$N$1517,"&gt;="&amp;N606,$K$5:$K$1517,1)/COUNTIF($N$5:$N$1517,"&gt;="&amp;N606),0)</f>
        <v>0</v>
      </c>
      <c r="X606" s="8" t="n">
        <f aca="false">IF($K606=1,COUNTIFS($O$5:$O$1517,"&gt;="&amp;O606,$K$5:$K$1517,1)/COUNTIF($O$5:$O$1517,"&gt;="&amp;O606),0)</f>
        <v>0</v>
      </c>
      <c r="Y606" s="8" t="n">
        <f aca="false">IF($K606=1,COUNTIFS($P$5:$P$1517,"&gt;="&amp;P606,$K$5:$K$1517,1)/COUNTIF($P$5:$P$1517,"&gt;="&amp;P606),0)</f>
        <v>0</v>
      </c>
      <c r="Z606" s="8" t="n">
        <f aca="false">(L606-$K606)^2</f>
        <v>0.497947567716</v>
      </c>
      <c r="AA606" s="8" t="n">
        <f aca="false">(M606-$K606)^2</f>
        <v>0.008475595969</v>
      </c>
      <c r="AB606" s="8" t="n">
        <f aca="false">(N606-$K606)^2</f>
        <v>0.017024769441</v>
      </c>
      <c r="AC606" s="8" t="n">
        <f aca="false">(O606-$K606)^2</f>
        <v>0.011274829489</v>
      </c>
      <c r="AD606" s="8" t="n">
        <f aca="false">(P606-$K606)^2</f>
        <v>0.019508826276</v>
      </c>
      <c r="AE606" s="8" t="n">
        <f aca="false">MIN(INT(ROUND(N606*1000000,0)/100000),9)</f>
        <v>1</v>
      </c>
      <c r="AF606" s="8" t="n">
        <f aca="false">MIN(INT(ROUND(P606*1000000,0)/100000),9)</f>
        <v>1</v>
      </c>
    </row>
    <row r="607" customFormat="false" ht="15" hidden="false" customHeight="false" outlineLevel="0" collapsed="false">
      <c r="A607" s="4" t="n">
        <v>603</v>
      </c>
      <c r="B607" s="4" t="n">
        <v>1166</v>
      </c>
      <c r="C607" s="4" t="n">
        <v>1</v>
      </c>
      <c r="D607" s="11" t="n">
        <v>46082</v>
      </c>
      <c r="E607" s="4" t="s">
        <v>204</v>
      </c>
      <c r="F607" s="4" t="s">
        <v>206</v>
      </c>
      <c r="G607" s="4" t="n">
        <v>1</v>
      </c>
      <c r="H607" s="4" t="n">
        <v>5</v>
      </c>
      <c r="I607" s="4" t="n">
        <v>0</v>
      </c>
      <c r="J607" s="4" t="n">
        <v>105</v>
      </c>
      <c r="K607" s="4" t="n">
        <v>0</v>
      </c>
      <c r="L607" s="12" t="n">
        <v>0.555188</v>
      </c>
      <c r="M607" s="12" t="n">
        <v>0.092063</v>
      </c>
      <c r="N607" s="12" t="n">
        <v>0.153011</v>
      </c>
      <c r="O607" s="12" t="n">
        <v>0.106183</v>
      </c>
      <c r="P607" s="12" t="n">
        <v>0.164706</v>
      </c>
      <c r="Q607" s="0" t="str">
        <f aca="false">IF(L607&gt;=Models!$G$5,1+COUNTIF($L$5:$L$1517,"&gt;"&amp;L607)+COUNTIFS($L$5:$L$1517,L607,$B$5:$B$1517,"&lt;"&amp;B607)+COUNTIFS($L$5:$L$1517,L607,$B$5:$B$1517,B607,$C$5:$C$1517,"&lt;"&amp;C607),"")</f>
        <v/>
      </c>
      <c r="R607" s="0" t="str">
        <f aca="false">IF(M607&gt;=Models!$G$6,1+COUNTIF($M$5:$M$1517,"&gt;"&amp;M607)+COUNTIFS($M$5:$M$1517,M607,$B$5:$B$1517,"&lt;"&amp;B607)+COUNTIFS($M$5:$M$1517,M607,$B$5:$B$1517,B607,$C$5:$C$1517,"&lt;"&amp;C607),"")</f>
        <v/>
      </c>
      <c r="S607" s="0" t="str">
        <f aca="false">IF(N607&gt;=Models!$G$7,1+COUNTIF($N$5:$N$1517,"&gt;"&amp;N607)+COUNTIFS($N$5:$N$1517,N607,$B$5:$B$1517,"&lt;"&amp;B607)+COUNTIFS($N$5:$N$1517,N607,$B$5:$B$1517,B607,$C$5:$C$1517,"&lt;"&amp;C607),"")</f>
        <v/>
      </c>
      <c r="T607" s="8" t="n">
        <f aca="false">IF(O607&gt;=Models!$G$8,1+COUNTIF($O$5:$O$1517,"&gt;"&amp;O607)+COUNTIFS($O$5:$O$1517,O607,$B$5:$B$1517,"&lt;"&amp;B607)+COUNTIFS($O$5:$O$1517,O607,$B$5:$B$1517,B607,$C$5:$C$1517,"&lt;"&amp;C607),"")</f>
        <v>933</v>
      </c>
      <c r="U607" s="8" t="n">
        <f aca="false">IF($K607=1,COUNTIFS($L$5:$L$1517,"&gt;="&amp;L607,$K$5:$K$1517,1)/COUNTIF($L$5:$L$1517,"&gt;="&amp;L607),0)</f>
        <v>0</v>
      </c>
      <c r="V607" s="8" t="n">
        <f aca="false">IF($K607=1,COUNTIFS($M$5:$M$1517,"&gt;="&amp;M607,$K$5:$K$1517,1)/COUNTIF($M$5:$M$1517,"&gt;="&amp;M607),0)</f>
        <v>0</v>
      </c>
      <c r="W607" s="8" t="n">
        <f aca="false">IF($K607=1,COUNTIFS($N$5:$N$1517,"&gt;="&amp;N607,$K$5:$K$1517,1)/COUNTIF($N$5:$N$1517,"&gt;="&amp;N607),0)</f>
        <v>0</v>
      </c>
      <c r="X607" s="8" t="n">
        <f aca="false">IF($K607=1,COUNTIFS($O$5:$O$1517,"&gt;="&amp;O607,$K$5:$K$1517,1)/COUNTIF($O$5:$O$1517,"&gt;="&amp;O607),0)</f>
        <v>0</v>
      </c>
      <c r="Y607" s="8" t="n">
        <f aca="false">IF($K607=1,COUNTIFS($P$5:$P$1517,"&gt;="&amp;P607,$K$5:$K$1517,1)/COUNTIF($P$5:$P$1517,"&gt;="&amp;P607),0)</f>
        <v>0</v>
      </c>
      <c r="Z607" s="8" t="n">
        <f aca="false">(L607-$K607)^2</f>
        <v>0.308233715344</v>
      </c>
      <c r="AA607" s="8" t="n">
        <f aca="false">(M607-$K607)^2</f>
        <v>0.008475595969</v>
      </c>
      <c r="AB607" s="8" t="n">
        <f aca="false">(N607-$K607)^2</f>
        <v>0.023412366121</v>
      </c>
      <c r="AC607" s="8" t="n">
        <f aca="false">(O607-$K607)^2</f>
        <v>0.011274829489</v>
      </c>
      <c r="AD607" s="8" t="n">
        <f aca="false">(P607-$K607)^2</f>
        <v>0.027128066436</v>
      </c>
      <c r="AE607" s="8" t="n">
        <f aca="false">MIN(INT(ROUND(N607*1000000,0)/100000),9)</f>
        <v>1</v>
      </c>
      <c r="AF607" s="8" t="n">
        <f aca="false">MIN(INT(ROUND(P607*1000000,0)/100000),9)</f>
        <v>1</v>
      </c>
    </row>
    <row r="608" customFormat="false" ht="15" hidden="false" customHeight="false" outlineLevel="0" collapsed="false">
      <c r="A608" s="4" t="n">
        <v>604</v>
      </c>
      <c r="B608" s="4" t="n">
        <v>1168</v>
      </c>
      <c r="C608" s="4" t="n">
        <v>1</v>
      </c>
      <c r="D608" s="11" t="n">
        <v>46082</v>
      </c>
      <c r="E608" s="4" t="s">
        <v>202</v>
      </c>
      <c r="F608" s="4" t="s">
        <v>206</v>
      </c>
      <c r="G608" s="4" t="n">
        <v>8</v>
      </c>
      <c r="H608" s="4" t="n">
        <v>1</v>
      </c>
      <c r="I608" s="4" t="n">
        <v>0</v>
      </c>
      <c r="J608" s="4"/>
      <c r="K608" s="4" t="n">
        <v>0</v>
      </c>
      <c r="L608" s="12" t="n">
        <v>0.402304</v>
      </c>
      <c r="M608" s="12" t="n">
        <v>0.092063</v>
      </c>
      <c r="N608" s="12" t="n">
        <v>0.042106</v>
      </c>
      <c r="O608" s="12" t="n">
        <v>0.106183</v>
      </c>
      <c r="P608" s="12" t="n">
        <v>0.042933</v>
      </c>
      <c r="Q608" s="0" t="str">
        <f aca="false">IF(L608&gt;=Models!$G$5,1+COUNTIF($L$5:$L$1517,"&gt;"&amp;L608)+COUNTIFS($L$5:$L$1517,L608,$B$5:$B$1517,"&lt;"&amp;B608)+COUNTIFS($L$5:$L$1517,L608,$B$5:$B$1517,B608,$C$5:$C$1517,"&lt;"&amp;C608),"")</f>
        <v/>
      </c>
      <c r="R608" s="0" t="str">
        <f aca="false">IF(M608&gt;=Models!$G$6,1+COUNTIF($M$5:$M$1517,"&gt;"&amp;M608)+COUNTIFS($M$5:$M$1517,M608,$B$5:$B$1517,"&lt;"&amp;B608)+COUNTIFS($M$5:$M$1517,M608,$B$5:$B$1517,B608,$C$5:$C$1517,"&lt;"&amp;C608),"")</f>
        <v/>
      </c>
      <c r="S608" s="0" t="str">
        <f aca="false">IF(N608&gt;=Models!$G$7,1+COUNTIF($N$5:$N$1517,"&gt;"&amp;N608)+COUNTIFS($N$5:$N$1517,N608,$B$5:$B$1517,"&lt;"&amp;B608)+COUNTIFS($N$5:$N$1517,N608,$B$5:$B$1517,B608,$C$5:$C$1517,"&lt;"&amp;C608),"")</f>
        <v/>
      </c>
      <c r="T608" s="8" t="n">
        <f aca="false">IF(O608&gt;=Models!$G$8,1+COUNTIF($O$5:$O$1517,"&gt;"&amp;O608)+COUNTIFS($O$5:$O$1517,O608,$B$5:$B$1517,"&lt;"&amp;B608)+COUNTIFS($O$5:$O$1517,O608,$B$5:$B$1517,B608,$C$5:$C$1517,"&lt;"&amp;C608),"")</f>
        <v>937</v>
      </c>
      <c r="U608" s="8" t="n">
        <f aca="false">IF($K608=1,COUNTIFS($L$5:$L$1517,"&gt;="&amp;L608,$K$5:$K$1517,1)/COUNTIF($L$5:$L$1517,"&gt;="&amp;L608),0)</f>
        <v>0</v>
      </c>
      <c r="V608" s="8" t="n">
        <f aca="false">IF($K608=1,COUNTIFS($M$5:$M$1517,"&gt;="&amp;M608,$K$5:$K$1517,1)/COUNTIF($M$5:$M$1517,"&gt;="&amp;M608),0)</f>
        <v>0</v>
      </c>
      <c r="W608" s="8" t="n">
        <f aca="false">IF($K608=1,COUNTIFS($N$5:$N$1517,"&gt;="&amp;N608,$K$5:$K$1517,1)/COUNTIF($N$5:$N$1517,"&gt;="&amp;N608),0)</f>
        <v>0</v>
      </c>
      <c r="X608" s="8" t="n">
        <f aca="false">IF($K608=1,COUNTIFS($O$5:$O$1517,"&gt;="&amp;O608,$K$5:$K$1517,1)/COUNTIF($O$5:$O$1517,"&gt;="&amp;O608),0)</f>
        <v>0</v>
      </c>
      <c r="Y608" s="8" t="n">
        <f aca="false">IF($K608=1,COUNTIFS($P$5:$P$1517,"&gt;="&amp;P608,$K$5:$K$1517,1)/COUNTIF($P$5:$P$1517,"&gt;="&amp;P608),0)</f>
        <v>0</v>
      </c>
      <c r="Z608" s="8" t="n">
        <f aca="false">(L608-$K608)^2</f>
        <v>0.161848508416</v>
      </c>
      <c r="AA608" s="8" t="n">
        <f aca="false">(M608-$K608)^2</f>
        <v>0.008475595969</v>
      </c>
      <c r="AB608" s="8" t="n">
        <f aca="false">(N608-$K608)^2</f>
        <v>0.001772915236</v>
      </c>
      <c r="AC608" s="8" t="n">
        <f aca="false">(O608-$K608)^2</f>
        <v>0.011274829489</v>
      </c>
      <c r="AD608" s="8" t="n">
        <f aca="false">(P608-$K608)^2</f>
        <v>0.001843242489</v>
      </c>
      <c r="AE608" s="8" t="n">
        <f aca="false">MIN(INT(ROUND(N608*1000000,0)/100000),9)</f>
        <v>0</v>
      </c>
      <c r="AF608" s="8" t="n">
        <f aca="false">MIN(INT(ROUND(P608*1000000,0)/100000),9)</f>
        <v>0</v>
      </c>
    </row>
    <row r="609" customFormat="false" ht="15" hidden="false" customHeight="false" outlineLevel="0" collapsed="false">
      <c r="A609" s="4" t="n">
        <v>605</v>
      </c>
      <c r="B609" s="4" t="n">
        <v>1169</v>
      </c>
      <c r="C609" s="4" t="n">
        <v>1</v>
      </c>
      <c r="D609" s="11" t="n">
        <v>46082</v>
      </c>
      <c r="E609" s="4" t="s">
        <v>203</v>
      </c>
      <c r="F609" s="4" t="s">
        <v>208</v>
      </c>
      <c r="G609" s="4" t="n">
        <v>7</v>
      </c>
      <c r="H609" s="4" t="n">
        <v>0</v>
      </c>
      <c r="I609" s="4" t="n">
        <v>0</v>
      </c>
      <c r="J609" s="4" t="n">
        <v>357</v>
      </c>
      <c r="K609" s="4" t="n">
        <v>0</v>
      </c>
      <c r="L609" s="12" t="n">
        <v>0.971923</v>
      </c>
      <c r="M609" s="12" t="n">
        <v>0.092063</v>
      </c>
      <c r="N609" s="12" t="n">
        <v>0.090567</v>
      </c>
      <c r="O609" s="12" t="n">
        <v>0.106183</v>
      </c>
      <c r="P609" s="12" t="n">
        <v>0.095564</v>
      </c>
      <c r="Q609" s="0" t="str">
        <f aca="false">IF(L609&gt;=Models!$G$5,1+COUNTIF($L$5:$L$1517,"&gt;"&amp;L609)+COUNTIFS($L$5:$L$1517,L609,$B$5:$B$1517,"&lt;"&amp;B609)+COUNTIFS($L$5:$L$1517,L609,$B$5:$B$1517,B609,$C$5:$C$1517,"&lt;"&amp;C609),"")</f>
        <v/>
      </c>
      <c r="R609" s="0" t="str">
        <f aca="false">IF(M609&gt;=Models!$G$6,1+COUNTIF($M$5:$M$1517,"&gt;"&amp;M609)+COUNTIFS($M$5:$M$1517,M609,$B$5:$B$1517,"&lt;"&amp;B609)+COUNTIFS($M$5:$M$1517,M609,$B$5:$B$1517,B609,$C$5:$C$1517,"&lt;"&amp;C609),"")</f>
        <v/>
      </c>
      <c r="S609" s="0" t="str">
        <f aca="false">IF(N609&gt;=Models!$G$7,1+COUNTIF($N$5:$N$1517,"&gt;"&amp;N609)+COUNTIFS($N$5:$N$1517,N609,$B$5:$B$1517,"&lt;"&amp;B609)+COUNTIFS($N$5:$N$1517,N609,$B$5:$B$1517,B609,$C$5:$C$1517,"&lt;"&amp;C609),"")</f>
        <v/>
      </c>
      <c r="T609" s="8" t="n">
        <f aca="false">IF(O609&gt;=Models!$G$8,1+COUNTIF($O$5:$O$1517,"&gt;"&amp;O609)+COUNTIFS($O$5:$O$1517,O609,$B$5:$B$1517,"&lt;"&amp;B609)+COUNTIFS($O$5:$O$1517,O609,$B$5:$B$1517,B609,$C$5:$C$1517,"&lt;"&amp;C609),"")</f>
        <v>941</v>
      </c>
      <c r="U609" s="8" t="n">
        <f aca="false">IF($K609=1,COUNTIFS($L$5:$L$1517,"&gt;="&amp;L609,$K$5:$K$1517,1)/COUNTIF($L$5:$L$1517,"&gt;="&amp;L609),0)</f>
        <v>0</v>
      </c>
      <c r="V609" s="8" t="n">
        <f aca="false">IF($K609=1,COUNTIFS($M$5:$M$1517,"&gt;="&amp;M609,$K$5:$K$1517,1)/COUNTIF($M$5:$M$1517,"&gt;="&amp;M609),0)</f>
        <v>0</v>
      </c>
      <c r="W609" s="8" t="n">
        <f aca="false">IF($K609=1,COUNTIFS($N$5:$N$1517,"&gt;="&amp;N609,$K$5:$K$1517,1)/COUNTIF($N$5:$N$1517,"&gt;="&amp;N609),0)</f>
        <v>0</v>
      </c>
      <c r="X609" s="8" t="n">
        <f aca="false">IF($K609=1,COUNTIFS($O$5:$O$1517,"&gt;="&amp;O609,$K$5:$K$1517,1)/COUNTIF($O$5:$O$1517,"&gt;="&amp;O609),0)</f>
        <v>0</v>
      </c>
      <c r="Y609" s="8" t="n">
        <f aca="false">IF($K609=1,COUNTIFS($P$5:$P$1517,"&gt;="&amp;P609,$K$5:$K$1517,1)/COUNTIF($P$5:$P$1517,"&gt;="&amp;P609),0)</f>
        <v>0</v>
      </c>
      <c r="Z609" s="8" t="n">
        <f aca="false">(L609-$K609)^2</f>
        <v>0.944634317929</v>
      </c>
      <c r="AA609" s="8" t="n">
        <f aca="false">(M609-$K609)^2</f>
        <v>0.008475595969</v>
      </c>
      <c r="AB609" s="8" t="n">
        <f aca="false">(N609-$K609)^2</f>
        <v>0.008202381489</v>
      </c>
      <c r="AC609" s="8" t="n">
        <f aca="false">(O609-$K609)^2</f>
        <v>0.011274829489</v>
      </c>
      <c r="AD609" s="8" t="n">
        <f aca="false">(P609-$K609)^2</f>
        <v>0.009132478096</v>
      </c>
      <c r="AE609" s="8" t="n">
        <f aca="false">MIN(INT(ROUND(N609*1000000,0)/100000),9)</f>
        <v>0</v>
      </c>
      <c r="AF609" s="8" t="n">
        <f aca="false">MIN(INT(ROUND(P609*1000000,0)/100000),9)</f>
        <v>0</v>
      </c>
    </row>
    <row r="610" customFormat="false" ht="15" hidden="false" customHeight="false" outlineLevel="0" collapsed="false">
      <c r="A610" s="4" t="n">
        <v>606</v>
      </c>
      <c r="B610" s="4" t="n">
        <v>1176</v>
      </c>
      <c r="C610" s="4" t="n">
        <v>1</v>
      </c>
      <c r="D610" s="11" t="n">
        <v>46082</v>
      </c>
      <c r="E610" s="4" t="s">
        <v>202</v>
      </c>
      <c r="F610" s="4" t="s">
        <v>209</v>
      </c>
      <c r="G610" s="4" t="n">
        <v>18</v>
      </c>
      <c r="H610" s="4" t="n">
        <v>0</v>
      </c>
      <c r="I610" s="4" t="n">
        <v>0</v>
      </c>
      <c r="J610" s="4" t="n">
        <v>1512</v>
      </c>
      <c r="K610" s="4" t="n">
        <v>0</v>
      </c>
      <c r="L610" s="12" t="n">
        <v>0.530144</v>
      </c>
      <c r="M610" s="12" t="n">
        <v>0.092063</v>
      </c>
      <c r="N610" s="12" t="n">
        <v>0.033449</v>
      </c>
      <c r="O610" s="12" t="n">
        <v>0.106183</v>
      </c>
      <c r="P610" s="12" t="n">
        <v>0.033739</v>
      </c>
      <c r="Q610" s="0" t="str">
        <f aca="false">IF(L610&gt;=Models!$G$5,1+COUNTIF($L$5:$L$1517,"&gt;"&amp;L610)+COUNTIFS($L$5:$L$1517,L610,$B$5:$B$1517,"&lt;"&amp;B610)+COUNTIFS($L$5:$L$1517,L610,$B$5:$B$1517,B610,$C$5:$C$1517,"&lt;"&amp;C610),"")</f>
        <v/>
      </c>
      <c r="R610" s="0" t="str">
        <f aca="false">IF(M610&gt;=Models!$G$6,1+COUNTIF($M$5:$M$1517,"&gt;"&amp;M610)+COUNTIFS($M$5:$M$1517,M610,$B$5:$B$1517,"&lt;"&amp;B610)+COUNTIFS($M$5:$M$1517,M610,$B$5:$B$1517,B610,$C$5:$C$1517,"&lt;"&amp;C610),"")</f>
        <v/>
      </c>
      <c r="S610" s="0" t="str">
        <f aca="false">IF(N610&gt;=Models!$G$7,1+COUNTIF($N$5:$N$1517,"&gt;"&amp;N610)+COUNTIFS($N$5:$N$1517,N610,$B$5:$B$1517,"&lt;"&amp;B610)+COUNTIFS($N$5:$N$1517,N610,$B$5:$B$1517,B610,$C$5:$C$1517,"&lt;"&amp;C610),"")</f>
        <v/>
      </c>
      <c r="T610" s="8" t="n">
        <f aca="false">IF(O610&gt;=Models!$G$8,1+COUNTIF($O$5:$O$1517,"&gt;"&amp;O610)+COUNTIFS($O$5:$O$1517,O610,$B$5:$B$1517,"&lt;"&amp;B610)+COUNTIFS($O$5:$O$1517,O610,$B$5:$B$1517,B610,$C$5:$C$1517,"&lt;"&amp;C610),"")</f>
        <v>945</v>
      </c>
      <c r="U610" s="8" t="n">
        <f aca="false">IF($K610=1,COUNTIFS($L$5:$L$1517,"&gt;="&amp;L610,$K$5:$K$1517,1)/COUNTIF($L$5:$L$1517,"&gt;="&amp;L610),0)</f>
        <v>0</v>
      </c>
      <c r="V610" s="8" t="n">
        <f aca="false">IF($K610=1,COUNTIFS($M$5:$M$1517,"&gt;="&amp;M610,$K$5:$K$1517,1)/COUNTIF($M$5:$M$1517,"&gt;="&amp;M610),0)</f>
        <v>0</v>
      </c>
      <c r="W610" s="8" t="n">
        <f aca="false">IF($K610=1,COUNTIFS($N$5:$N$1517,"&gt;="&amp;N610,$K$5:$K$1517,1)/COUNTIF($N$5:$N$1517,"&gt;="&amp;N610),0)</f>
        <v>0</v>
      </c>
      <c r="X610" s="8" t="n">
        <f aca="false">IF($K610=1,COUNTIFS($O$5:$O$1517,"&gt;="&amp;O610,$K$5:$K$1517,1)/COUNTIF($O$5:$O$1517,"&gt;="&amp;O610),0)</f>
        <v>0</v>
      </c>
      <c r="Y610" s="8" t="n">
        <f aca="false">IF($K610=1,COUNTIFS($P$5:$P$1517,"&gt;="&amp;P610,$K$5:$K$1517,1)/COUNTIF($P$5:$P$1517,"&gt;="&amp;P610),0)</f>
        <v>0</v>
      </c>
      <c r="Z610" s="8" t="n">
        <f aca="false">(L610-$K610)^2</f>
        <v>0.281052660736</v>
      </c>
      <c r="AA610" s="8" t="n">
        <f aca="false">(M610-$K610)^2</f>
        <v>0.008475595969</v>
      </c>
      <c r="AB610" s="8" t="n">
        <f aca="false">(N610-$K610)^2</f>
        <v>0.001118835601</v>
      </c>
      <c r="AC610" s="8" t="n">
        <f aca="false">(O610-$K610)^2</f>
        <v>0.011274829489</v>
      </c>
      <c r="AD610" s="8" t="n">
        <f aca="false">(P610-$K610)^2</f>
        <v>0.001138320121</v>
      </c>
      <c r="AE610" s="8" t="n">
        <f aca="false">MIN(INT(ROUND(N610*1000000,0)/100000),9)</f>
        <v>0</v>
      </c>
      <c r="AF610" s="8" t="n">
        <f aca="false">MIN(INT(ROUND(P610*1000000,0)/100000),9)</f>
        <v>0</v>
      </c>
    </row>
    <row r="611" customFormat="false" ht="15" hidden="false" customHeight="false" outlineLevel="0" collapsed="false">
      <c r="A611" s="4" t="n">
        <v>607</v>
      </c>
      <c r="B611" s="4" t="n">
        <v>1180</v>
      </c>
      <c r="C611" s="4" t="n">
        <v>1</v>
      </c>
      <c r="D611" s="11" t="n">
        <v>46082</v>
      </c>
      <c r="E611" s="4" t="s">
        <v>203</v>
      </c>
      <c r="F611" s="4" t="s">
        <v>206</v>
      </c>
      <c r="G611" s="4" t="n">
        <v>5</v>
      </c>
      <c r="H611" s="4" t="n">
        <v>10</v>
      </c>
      <c r="I611" s="4" t="n">
        <v>0</v>
      </c>
      <c r="J611" s="4"/>
      <c r="K611" s="4" t="n">
        <v>0</v>
      </c>
      <c r="L611" s="12" t="n">
        <v>0.03413</v>
      </c>
      <c r="M611" s="12" t="n">
        <v>0.092063</v>
      </c>
      <c r="N611" s="12" t="n">
        <v>0.058369</v>
      </c>
      <c r="O611" s="12" t="n">
        <v>0.106183</v>
      </c>
      <c r="P611" s="12" t="n">
        <v>0.060417</v>
      </c>
      <c r="Q611" s="0" t="str">
        <f aca="false">IF(L611&gt;=Models!$G$5,1+COUNTIF($L$5:$L$1517,"&gt;"&amp;L611)+COUNTIFS($L$5:$L$1517,L611,$B$5:$B$1517,"&lt;"&amp;B611)+COUNTIFS($L$5:$L$1517,L611,$B$5:$B$1517,B611,$C$5:$C$1517,"&lt;"&amp;C611),"")</f>
        <v/>
      </c>
      <c r="R611" s="0" t="str">
        <f aca="false">IF(M611&gt;=Models!$G$6,1+COUNTIF($M$5:$M$1517,"&gt;"&amp;M611)+COUNTIFS($M$5:$M$1517,M611,$B$5:$B$1517,"&lt;"&amp;B611)+COUNTIFS($M$5:$M$1517,M611,$B$5:$B$1517,B611,$C$5:$C$1517,"&lt;"&amp;C611),"")</f>
        <v/>
      </c>
      <c r="S611" s="0" t="str">
        <f aca="false">IF(N611&gt;=Models!$G$7,1+COUNTIF($N$5:$N$1517,"&gt;"&amp;N611)+COUNTIFS($N$5:$N$1517,N611,$B$5:$B$1517,"&lt;"&amp;B611)+COUNTIFS($N$5:$N$1517,N611,$B$5:$B$1517,B611,$C$5:$C$1517,"&lt;"&amp;C611),"")</f>
        <v/>
      </c>
      <c r="T611" s="8" t="n">
        <f aca="false">IF(O611&gt;=Models!$G$8,1+COUNTIF($O$5:$O$1517,"&gt;"&amp;O611)+COUNTIFS($O$5:$O$1517,O611,$B$5:$B$1517,"&lt;"&amp;B611)+COUNTIFS($O$5:$O$1517,O611,$B$5:$B$1517,B611,$C$5:$C$1517,"&lt;"&amp;C611),"")</f>
        <v>949</v>
      </c>
      <c r="U611" s="8" t="n">
        <f aca="false">IF($K611=1,COUNTIFS($L$5:$L$1517,"&gt;="&amp;L611,$K$5:$K$1517,1)/COUNTIF($L$5:$L$1517,"&gt;="&amp;L611),0)</f>
        <v>0</v>
      </c>
      <c r="V611" s="8" t="n">
        <f aca="false">IF($K611=1,COUNTIFS($M$5:$M$1517,"&gt;="&amp;M611,$K$5:$K$1517,1)/COUNTIF($M$5:$M$1517,"&gt;="&amp;M611),0)</f>
        <v>0</v>
      </c>
      <c r="W611" s="8" t="n">
        <f aca="false">IF($K611=1,COUNTIFS($N$5:$N$1517,"&gt;="&amp;N611,$K$5:$K$1517,1)/COUNTIF($N$5:$N$1517,"&gt;="&amp;N611),0)</f>
        <v>0</v>
      </c>
      <c r="X611" s="8" t="n">
        <f aca="false">IF($K611=1,COUNTIFS($O$5:$O$1517,"&gt;="&amp;O611,$K$5:$K$1517,1)/COUNTIF($O$5:$O$1517,"&gt;="&amp;O611),0)</f>
        <v>0</v>
      </c>
      <c r="Y611" s="8" t="n">
        <f aca="false">IF($K611=1,COUNTIFS($P$5:$P$1517,"&gt;="&amp;P611,$K$5:$K$1517,1)/COUNTIF($P$5:$P$1517,"&gt;="&amp;P611),0)</f>
        <v>0</v>
      </c>
      <c r="Z611" s="8" t="n">
        <f aca="false">(L611-$K611)^2</f>
        <v>0.0011648569</v>
      </c>
      <c r="AA611" s="8" t="n">
        <f aca="false">(M611-$K611)^2</f>
        <v>0.008475595969</v>
      </c>
      <c r="AB611" s="8" t="n">
        <f aca="false">(N611-$K611)^2</f>
        <v>0.003406940161</v>
      </c>
      <c r="AC611" s="8" t="n">
        <f aca="false">(O611-$K611)^2</f>
        <v>0.011274829489</v>
      </c>
      <c r="AD611" s="8" t="n">
        <f aca="false">(P611-$K611)^2</f>
        <v>0.003650213889</v>
      </c>
      <c r="AE611" s="8" t="n">
        <f aca="false">MIN(INT(ROUND(N611*1000000,0)/100000),9)</f>
        <v>0</v>
      </c>
      <c r="AF611" s="8" t="n">
        <f aca="false">MIN(INT(ROUND(P611*1000000,0)/100000),9)</f>
        <v>0</v>
      </c>
    </row>
    <row r="612" customFormat="false" ht="15" hidden="false" customHeight="false" outlineLevel="0" collapsed="false">
      <c r="A612" s="4" t="n">
        <v>608</v>
      </c>
      <c r="B612" s="4" t="n">
        <v>1190</v>
      </c>
      <c r="C612" s="4" t="n">
        <v>1</v>
      </c>
      <c r="D612" s="11" t="n">
        <v>46082</v>
      </c>
      <c r="E612" s="4" t="s">
        <v>202</v>
      </c>
      <c r="F612" s="4" t="s">
        <v>209</v>
      </c>
      <c r="G612" s="4" t="n">
        <v>11</v>
      </c>
      <c r="H612" s="4" t="n">
        <v>2</v>
      </c>
      <c r="I612" s="4" t="n">
        <v>0</v>
      </c>
      <c r="J612" s="4" t="n">
        <v>1506</v>
      </c>
      <c r="K612" s="4" t="n">
        <v>0</v>
      </c>
      <c r="L612" s="12" t="n">
        <v>0.574745</v>
      </c>
      <c r="M612" s="12" t="n">
        <v>0.092063</v>
      </c>
      <c r="N612" s="12" t="n">
        <v>0.061975</v>
      </c>
      <c r="O612" s="12" t="n">
        <v>0.106183</v>
      </c>
      <c r="P612" s="12" t="n">
        <v>0.064324</v>
      </c>
      <c r="Q612" s="0" t="str">
        <f aca="false">IF(L612&gt;=Models!$G$5,1+COUNTIF($L$5:$L$1517,"&gt;"&amp;L612)+COUNTIFS($L$5:$L$1517,L612,$B$5:$B$1517,"&lt;"&amp;B612)+COUNTIFS($L$5:$L$1517,L612,$B$5:$B$1517,B612,$C$5:$C$1517,"&lt;"&amp;C612),"")</f>
        <v/>
      </c>
      <c r="R612" s="0" t="str">
        <f aca="false">IF(M612&gt;=Models!$G$6,1+COUNTIF($M$5:$M$1517,"&gt;"&amp;M612)+COUNTIFS($M$5:$M$1517,M612,$B$5:$B$1517,"&lt;"&amp;B612)+COUNTIFS($M$5:$M$1517,M612,$B$5:$B$1517,B612,$C$5:$C$1517,"&lt;"&amp;C612),"")</f>
        <v/>
      </c>
      <c r="S612" s="0" t="str">
        <f aca="false">IF(N612&gt;=Models!$G$7,1+COUNTIF($N$5:$N$1517,"&gt;"&amp;N612)+COUNTIFS($N$5:$N$1517,N612,$B$5:$B$1517,"&lt;"&amp;B612)+COUNTIFS($N$5:$N$1517,N612,$B$5:$B$1517,B612,$C$5:$C$1517,"&lt;"&amp;C612),"")</f>
        <v/>
      </c>
      <c r="T612" s="8" t="n">
        <f aca="false">IF(O612&gt;=Models!$G$8,1+COUNTIF($O$5:$O$1517,"&gt;"&amp;O612)+COUNTIFS($O$5:$O$1517,O612,$B$5:$B$1517,"&lt;"&amp;B612)+COUNTIFS($O$5:$O$1517,O612,$B$5:$B$1517,B612,$C$5:$C$1517,"&lt;"&amp;C612),"")</f>
        <v>953</v>
      </c>
      <c r="U612" s="8" t="n">
        <f aca="false">IF($K612=1,COUNTIFS($L$5:$L$1517,"&gt;="&amp;L612,$K$5:$K$1517,1)/COUNTIF($L$5:$L$1517,"&gt;="&amp;L612),0)</f>
        <v>0</v>
      </c>
      <c r="V612" s="8" t="n">
        <f aca="false">IF($K612=1,COUNTIFS($M$5:$M$1517,"&gt;="&amp;M612,$K$5:$K$1517,1)/COUNTIF($M$5:$M$1517,"&gt;="&amp;M612),0)</f>
        <v>0</v>
      </c>
      <c r="W612" s="8" t="n">
        <f aca="false">IF($K612=1,COUNTIFS($N$5:$N$1517,"&gt;="&amp;N612,$K$5:$K$1517,1)/COUNTIF($N$5:$N$1517,"&gt;="&amp;N612),0)</f>
        <v>0</v>
      </c>
      <c r="X612" s="8" t="n">
        <f aca="false">IF($K612=1,COUNTIFS($O$5:$O$1517,"&gt;="&amp;O612,$K$5:$K$1517,1)/COUNTIF($O$5:$O$1517,"&gt;="&amp;O612),0)</f>
        <v>0</v>
      </c>
      <c r="Y612" s="8" t="n">
        <f aca="false">IF($K612=1,COUNTIFS($P$5:$P$1517,"&gt;="&amp;P612,$K$5:$K$1517,1)/COUNTIF($P$5:$P$1517,"&gt;="&amp;P612),0)</f>
        <v>0</v>
      </c>
      <c r="Z612" s="8" t="n">
        <f aca="false">(L612-$K612)^2</f>
        <v>0.330331815025</v>
      </c>
      <c r="AA612" s="8" t="n">
        <f aca="false">(M612-$K612)^2</f>
        <v>0.008475595969</v>
      </c>
      <c r="AB612" s="8" t="n">
        <f aca="false">(N612-$K612)^2</f>
        <v>0.003840900625</v>
      </c>
      <c r="AC612" s="8" t="n">
        <f aca="false">(O612-$K612)^2</f>
        <v>0.011274829489</v>
      </c>
      <c r="AD612" s="8" t="n">
        <f aca="false">(P612-$K612)^2</f>
        <v>0.004137576976</v>
      </c>
      <c r="AE612" s="8" t="n">
        <f aca="false">MIN(INT(ROUND(N612*1000000,0)/100000),9)</f>
        <v>0</v>
      </c>
      <c r="AF612" s="8" t="n">
        <f aca="false">MIN(INT(ROUND(P612*1000000,0)/100000),9)</f>
        <v>0</v>
      </c>
    </row>
    <row r="613" customFormat="false" ht="15" hidden="false" customHeight="false" outlineLevel="0" collapsed="false">
      <c r="A613" s="4" t="n">
        <v>609</v>
      </c>
      <c r="B613" s="4" t="n">
        <v>1191</v>
      </c>
      <c r="C613" s="4" t="n">
        <v>1</v>
      </c>
      <c r="D613" s="11" t="n">
        <v>46082</v>
      </c>
      <c r="E613" s="4" t="s">
        <v>202</v>
      </c>
      <c r="F613" s="4" t="s">
        <v>208</v>
      </c>
      <c r="G613" s="4" t="n">
        <v>20</v>
      </c>
      <c r="H613" s="4" t="n">
        <v>1</v>
      </c>
      <c r="I613" s="4" t="n">
        <v>0</v>
      </c>
      <c r="J613" s="4"/>
      <c r="K613" s="4" t="n">
        <v>0</v>
      </c>
      <c r="L613" s="12" t="n">
        <v>0.108775</v>
      </c>
      <c r="M613" s="12" t="n">
        <v>0.092063</v>
      </c>
      <c r="N613" s="12" t="n">
        <v>0.014709</v>
      </c>
      <c r="O613" s="12" t="n">
        <v>0.106183</v>
      </c>
      <c r="P613" s="12" t="n">
        <v>0.014266</v>
      </c>
      <c r="Q613" s="0" t="str">
        <f aca="false">IF(L613&gt;=Models!$G$5,1+COUNTIF($L$5:$L$1517,"&gt;"&amp;L613)+COUNTIFS($L$5:$L$1517,L613,$B$5:$B$1517,"&lt;"&amp;B613)+COUNTIFS($L$5:$L$1517,L613,$B$5:$B$1517,B613,$C$5:$C$1517,"&lt;"&amp;C613),"")</f>
        <v/>
      </c>
      <c r="R613" s="0" t="str">
        <f aca="false">IF(M613&gt;=Models!$G$6,1+COUNTIF($M$5:$M$1517,"&gt;"&amp;M613)+COUNTIFS($M$5:$M$1517,M613,$B$5:$B$1517,"&lt;"&amp;B613)+COUNTIFS($M$5:$M$1517,M613,$B$5:$B$1517,B613,$C$5:$C$1517,"&lt;"&amp;C613),"")</f>
        <v/>
      </c>
      <c r="S613" s="0" t="str">
        <f aca="false">IF(N613&gt;=Models!$G$7,1+COUNTIF($N$5:$N$1517,"&gt;"&amp;N613)+COUNTIFS($N$5:$N$1517,N613,$B$5:$B$1517,"&lt;"&amp;B613)+COUNTIFS($N$5:$N$1517,N613,$B$5:$B$1517,B613,$C$5:$C$1517,"&lt;"&amp;C613),"")</f>
        <v/>
      </c>
      <c r="T613" s="8" t="n">
        <f aca="false">IF(O613&gt;=Models!$G$8,1+COUNTIF($O$5:$O$1517,"&gt;"&amp;O613)+COUNTIFS($O$5:$O$1517,O613,$B$5:$B$1517,"&lt;"&amp;B613)+COUNTIFS($O$5:$O$1517,O613,$B$5:$B$1517,B613,$C$5:$C$1517,"&lt;"&amp;C613),"")</f>
        <v>957</v>
      </c>
      <c r="U613" s="8" t="n">
        <f aca="false">IF($K613=1,COUNTIFS($L$5:$L$1517,"&gt;="&amp;L613,$K$5:$K$1517,1)/COUNTIF($L$5:$L$1517,"&gt;="&amp;L613),0)</f>
        <v>0</v>
      </c>
      <c r="V613" s="8" t="n">
        <f aca="false">IF($K613=1,COUNTIFS($M$5:$M$1517,"&gt;="&amp;M613,$K$5:$K$1517,1)/COUNTIF($M$5:$M$1517,"&gt;="&amp;M613),0)</f>
        <v>0</v>
      </c>
      <c r="W613" s="8" t="n">
        <f aca="false">IF($K613=1,COUNTIFS($N$5:$N$1517,"&gt;="&amp;N613,$K$5:$K$1517,1)/COUNTIF($N$5:$N$1517,"&gt;="&amp;N613),0)</f>
        <v>0</v>
      </c>
      <c r="X613" s="8" t="n">
        <f aca="false">IF($K613=1,COUNTIFS($O$5:$O$1517,"&gt;="&amp;O613,$K$5:$K$1517,1)/COUNTIF($O$5:$O$1517,"&gt;="&amp;O613),0)</f>
        <v>0</v>
      </c>
      <c r="Y613" s="8" t="n">
        <f aca="false">IF($K613=1,COUNTIFS($P$5:$P$1517,"&gt;="&amp;P613,$K$5:$K$1517,1)/COUNTIF($P$5:$P$1517,"&gt;="&amp;P613),0)</f>
        <v>0</v>
      </c>
      <c r="Z613" s="8" t="n">
        <f aca="false">(L613-$K613)^2</f>
        <v>0.011832000625</v>
      </c>
      <c r="AA613" s="8" t="n">
        <f aca="false">(M613-$K613)^2</f>
        <v>0.008475595969</v>
      </c>
      <c r="AB613" s="8" t="n">
        <f aca="false">(N613-$K613)^2</f>
        <v>0.000216354681</v>
      </c>
      <c r="AC613" s="8" t="n">
        <f aca="false">(O613-$K613)^2</f>
        <v>0.011274829489</v>
      </c>
      <c r="AD613" s="8" t="n">
        <f aca="false">(P613-$K613)^2</f>
        <v>0.000203518756</v>
      </c>
      <c r="AE613" s="8" t="n">
        <f aca="false">MIN(INT(ROUND(N613*1000000,0)/100000),9)</f>
        <v>0</v>
      </c>
      <c r="AF613" s="8" t="n">
        <f aca="false">MIN(INT(ROUND(P613*1000000,0)/100000),9)</f>
        <v>0</v>
      </c>
    </row>
    <row r="614" customFormat="false" ht="15" hidden="false" customHeight="false" outlineLevel="0" collapsed="false">
      <c r="A614" s="4" t="n">
        <v>610</v>
      </c>
      <c r="B614" s="4" t="n">
        <v>1193</v>
      </c>
      <c r="C614" s="4" t="n">
        <v>1</v>
      </c>
      <c r="D614" s="11" t="n">
        <v>46082</v>
      </c>
      <c r="E614" s="4" t="s">
        <v>203</v>
      </c>
      <c r="F614" s="4" t="s">
        <v>206</v>
      </c>
      <c r="G614" s="4" t="n">
        <v>8</v>
      </c>
      <c r="H614" s="4" t="n">
        <v>6</v>
      </c>
      <c r="I614" s="4" t="n">
        <v>0</v>
      </c>
      <c r="J614" s="4" t="n">
        <v>411</v>
      </c>
      <c r="K614" s="4" t="n">
        <v>0</v>
      </c>
      <c r="L614" s="12" t="n">
        <v>0.154486</v>
      </c>
      <c r="M614" s="12" t="n">
        <v>0.092063</v>
      </c>
      <c r="N614" s="12" t="n">
        <v>0.08701</v>
      </c>
      <c r="O614" s="12" t="n">
        <v>0.106183</v>
      </c>
      <c r="P614" s="12" t="n">
        <v>0.091657</v>
      </c>
      <c r="Q614" s="0" t="str">
        <f aca="false">IF(L614&gt;=Models!$G$5,1+COUNTIF($L$5:$L$1517,"&gt;"&amp;L614)+COUNTIFS($L$5:$L$1517,L614,$B$5:$B$1517,"&lt;"&amp;B614)+COUNTIFS($L$5:$L$1517,L614,$B$5:$B$1517,B614,$C$5:$C$1517,"&lt;"&amp;C614),"")</f>
        <v/>
      </c>
      <c r="R614" s="0" t="str">
        <f aca="false">IF(M614&gt;=Models!$G$6,1+COUNTIF($M$5:$M$1517,"&gt;"&amp;M614)+COUNTIFS($M$5:$M$1517,M614,$B$5:$B$1517,"&lt;"&amp;B614)+COUNTIFS($M$5:$M$1517,M614,$B$5:$B$1517,B614,$C$5:$C$1517,"&lt;"&amp;C614),"")</f>
        <v/>
      </c>
      <c r="S614" s="0" t="str">
        <f aca="false">IF(N614&gt;=Models!$G$7,1+COUNTIF($N$5:$N$1517,"&gt;"&amp;N614)+COUNTIFS($N$5:$N$1517,N614,$B$5:$B$1517,"&lt;"&amp;B614)+COUNTIFS($N$5:$N$1517,N614,$B$5:$B$1517,B614,$C$5:$C$1517,"&lt;"&amp;C614),"")</f>
        <v/>
      </c>
      <c r="T614" s="8" t="n">
        <f aca="false">IF(O614&gt;=Models!$G$8,1+COUNTIF($O$5:$O$1517,"&gt;"&amp;O614)+COUNTIFS($O$5:$O$1517,O614,$B$5:$B$1517,"&lt;"&amp;B614)+COUNTIFS($O$5:$O$1517,O614,$B$5:$B$1517,B614,$C$5:$C$1517,"&lt;"&amp;C614),"")</f>
        <v>961</v>
      </c>
      <c r="U614" s="8" t="n">
        <f aca="false">IF($K614=1,COUNTIFS($L$5:$L$1517,"&gt;="&amp;L614,$K$5:$K$1517,1)/COUNTIF($L$5:$L$1517,"&gt;="&amp;L614),0)</f>
        <v>0</v>
      </c>
      <c r="V614" s="8" t="n">
        <f aca="false">IF($K614=1,COUNTIFS($M$5:$M$1517,"&gt;="&amp;M614,$K$5:$K$1517,1)/COUNTIF($M$5:$M$1517,"&gt;="&amp;M614),0)</f>
        <v>0</v>
      </c>
      <c r="W614" s="8" t="n">
        <f aca="false">IF($K614=1,COUNTIFS($N$5:$N$1517,"&gt;="&amp;N614,$K$5:$K$1517,1)/COUNTIF($N$5:$N$1517,"&gt;="&amp;N614),0)</f>
        <v>0</v>
      </c>
      <c r="X614" s="8" t="n">
        <f aca="false">IF($K614=1,COUNTIFS($O$5:$O$1517,"&gt;="&amp;O614,$K$5:$K$1517,1)/COUNTIF($O$5:$O$1517,"&gt;="&amp;O614),0)</f>
        <v>0</v>
      </c>
      <c r="Y614" s="8" t="n">
        <f aca="false">IF($K614=1,COUNTIFS($P$5:$P$1517,"&gt;="&amp;P614,$K$5:$K$1517,1)/COUNTIF($P$5:$P$1517,"&gt;="&amp;P614),0)</f>
        <v>0</v>
      </c>
      <c r="Z614" s="8" t="n">
        <f aca="false">(L614-$K614)^2</f>
        <v>0.023865924196</v>
      </c>
      <c r="AA614" s="8" t="n">
        <f aca="false">(M614-$K614)^2</f>
        <v>0.008475595969</v>
      </c>
      <c r="AB614" s="8" t="n">
        <f aca="false">(N614-$K614)^2</f>
        <v>0.0075707401</v>
      </c>
      <c r="AC614" s="8" t="n">
        <f aca="false">(O614-$K614)^2</f>
        <v>0.011274829489</v>
      </c>
      <c r="AD614" s="8" t="n">
        <f aca="false">(P614-$K614)^2</f>
        <v>0.008401005649</v>
      </c>
      <c r="AE614" s="8" t="n">
        <f aca="false">MIN(INT(ROUND(N614*1000000,0)/100000),9)</f>
        <v>0</v>
      </c>
      <c r="AF614" s="8" t="n">
        <f aca="false">MIN(INT(ROUND(P614*1000000,0)/100000),9)</f>
        <v>0</v>
      </c>
    </row>
    <row r="615" customFormat="false" ht="15" hidden="false" customHeight="false" outlineLevel="0" collapsed="false">
      <c r="A615" s="4" t="n">
        <v>611</v>
      </c>
      <c r="B615" s="4" t="n">
        <v>1202</v>
      </c>
      <c r="C615" s="4" t="n">
        <v>1</v>
      </c>
      <c r="D615" s="11" t="n">
        <v>46082</v>
      </c>
      <c r="E615" s="4" t="s">
        <v>204</v>
      </c>
      <c r="F615" s="4" t="s">
        <v>208</v>
      </c>
      <c r="G615" s="4" t="n">
        <v>5</v>
      </c>
      <c r="H615" s="4" t="n">
        <v>4</v>
      </c>
      <c r="I615" s="4" t="n">
        <v>0</v>
      </c>
      <c r="J615" s="4" t="n">
        <v>117</v>
      </c>
      <c r="K615" s="4" t="n">
        <v>0</v>
      </c>
      <c r="L615" s="12" t="n">
        <v>0.611053</v>
      </c>
      <c r="M615" s="12" t="n">
        <v>0.092063</v>
      </c>
      <c r="N615" s="12" t="n">
        <v>0.111052</v>
      </c>
      <c r="O615" s="12" t="n">
        <v>0.106183</v>
      </c>
      <c r="P615" s="12" t="n">
        <v>0.118154</v>
      </c>
      <c r="Q615" s="0" t="str">
        <f aca="false">IF(L615&gt;=Models!$G$5,1+COUNTIF($L$5:$L$1517,"&gt;"&amp;L615)+COUNTIFS($L$5:$L$1517,L615,$B$5:$B$1517,"&lt;"&amp;B615)+COUNTIFS($L$5:$L$1517,L615,$B$5:$B$1517,B615,$C$5:$C$1517,"&lt;"&amp;C615),"")</f>
        <v/>
      </c>
      <c r="R615" s="0" t="str">
        <f aca="false">IF(M615&gt;=Models!$G$6,1+COUNTIF($M$5:$M$1517,"&gt;"&amp;M615)+COUNTIFS($M$5:$M$1517,M615,$B$5:$B$1517,"&lt;"&amp;B615)+COUNTIFS($M$5:$M$1517,M615,$B$5:$B$1517,B615,$C$5:$C$1517,"&lt;"&amp;C615),"")</f>
        <v/>
      </c>
      <c r="S615" s="0" t="str">
        <f aca="false">IF(N615&gt;=Models!$G$7,1+COUNTIF($N$5:$N$1517,"&gt;"&amp;N615)+COUNTIFS($N$5:$N$1517,N615,$B$5:$B$1517,"&lt;"&amp;B615)+COUNTIFS($N$5:$N$1517,N615,$B$5:$B$1517,B615,$C$5:$C$1517,"&lt;"&amp;C615),"")</f>
        <v/>
      </c>
      <c r="T615" s="8" t="n">
        <f aca="false">IF(O615&gt;=Models!$G$8,1+COUNTIF($O$5:$O$1517,"&gt;"&amp;O615)+COUNTIFS($O$5:$O$1517,O615,$B$5:$B$1517,"&lt;"&amp;B615)+COUNTIFS($O$5:$O$1517,O615,$B$5:$B$1517,B615,$C$5:$C$1517,"&lt;"&amp;C615),"")</f>
        <v>965</v>
      </c>
      <c r="U615" s="8" t="n">
        <f aca="false">IF($K615=1,COUNTIFS($L$5:$L$1517,"&gt;="&amp;L615,$K$5:$K$1517,1)/COUNTIF($L$5:$L$1517,"&gt;="&amp;L615),0)</f>
        <v>0</v>
      </c>
      <c r="V615" s="8" t="n">
        <f aca="false">IF($K615=1,COUNTIFS($M$5:$M$1517,"&gt;="&amp;M615,$K$5:$K$1517,1)/COUNTIF($M$5:$M$1517,"&gt;="&amp;M615),0)</f>
        <v>0</v>
      </c>
      <c r="W615" s="8" t="n">
        <f aca="false">IF($K615=1,COUNTIFS($N$5:$N$1517,"&gt;="&amp;N615,$K$5:$K$1517,1)/COUNTIF($N$5:$N$1517,"&gt;="&amp;N615),0)</f>
        <v>0</v>
      </c>
      <c r="X615" s="8" t="n">
        <f aca="false">IF($K615=1,COUNTIFS($O$5:$O$1517,"&gt;="&amp;O615,$K$5:$K$1517,1)/COUNTIF($O$5:$O$1517,"&gt;="&amp;O615),0)</f>
        <v>0</v>
      </c>
      <c r="Y615" s="8" t="n">
        <f aca="false">IF($K615=1,COUNTIFS($P$5:$P$1517,"&gt;="&amp;P615,$K$5:$K$1517,1)/COUNTIF($P$5:$P$1517,"&gt;="&amp;P615),0)</f>
        <v>0</v>
      </c>
      <c r="Z615" s="8" t="n">
        <f aca="false">(L615-$K615)^2</f>
        <v>0.373385768809</v>
      </c>
      <c r="AA615" s="8" t="n">
        <f aca="false">(M615-$K615)^2</f>
        <v>0.008475595969</v>
      </c>
      <c r="AB615" s="8" t="n">
        <f aca="false">(N615-$K615)^2</f>
        <v>0.012332546704</v>
      </c>
      <c r="AC615" s="8" t="n">
        <f aca="false">(O615-$K615)^2</f>
        <v>0.011274829489</v>
      </c>
      <c r="AD615" s="8" t="n">
        <f aca="false">(P615-$K615)^2</f>
        <v>0.013960367716</v>
      </c>
      <c r="AE615" s="8" t="n">
        <f aca="false">MIN(INT(ROUND(N615*1000000,0)/100000),9)</f>
        <v>1</v>
      </c>
      <c r="AF615" s="8" t="n">
        <f aca="false">MIN(INT(ROUND(P615*1000000,0)/100000),9)</f>
        <v>1</v>
      </c>
    </row>
    <row r="616" customFormat="false" ht="15" hidden="false" customHeight="false" outlineLevel="0" collapsed="false">
      <c r="A616" s="4" t="n">
        <v>612</v>
      </c>
      <c r="B616" s="4" t="n">
        <v>1208</v>
      </c>
      <c r="C616" s="4" t="n">
        <v>1</v>
      </c>
      <c r="D616" s="11" t="n">
        <v>46082</v>
      </c>
      <c r="E616" s="4" t="s">
        <v>204</v>
      </c>
      <c r="F616" s="4" t="s">
        <v>208</v>
      </c>
      <c r="G616" s="4" t="n">
        <v>5</v>
      </c>
      <c r="H616" s="4" t="n">
        <v>7</v>
      </c>
      <c r="I616" s="4" t="n">
        <v>0</v>
      </c>
      <c r="J616" s="4"/>
      <c r="K616" s="4" t="n">
        <v>0</v>
      </c>
      <c r="L616" s="12" t="n">
        <v>0.119847</v>
      </c>
      <c r="M616" s="12" t="n">
        <v>0.092063</v>
      </c>
      <c r="N616" s="12" t="n">
        <v>0.057033</v>
      </c>
      <c r="O616" s="12" t="n">
        <v>0.106183</v>
      </c>
      <c r="P616" s="12" t="n">
        <v>0.058972</v>
      </c>
      <c r="Q616" s="0" t="str">
        <f aca="false">IF(L616&gt;=Models!$G$5,1+COUNTIF($L$5:$L$1517,"&gt;"&amp;L616)+COUNTIFS($L$5:$L$1517,L616,$B$5:$B$1517,"&lt;"&amp;B616)+COUNTIFS($L$5:$L$1517,L616,$B$5:$B$1517,B616,$C$5:$C$1517,"&lt;"&amp;C616),"")</f>
        <v/>
      </c>
      <c r="R616" s="0" t="str">
        <f aca="false">IF(M616&gt;=Models!$G$6,1+COUNTIF($M$5:$M$1517,"&gt;"&amp;M616)+COUNTIFS($M$5:$M$1517,M616,$B$5:$B$1517,"&lt;"&amp;B616)+COUNTIFS($M$5:$M$1517,M616,$B$5:$B$1517,B616,$C$5:$C$1517,"&lt;"&amp;C616),"")</f>
        <v/>
      </c>
      <c r="S616" s="0" t="str">
        <f aca="false">IF(N616&gt;=Models!$G$7,1+COUNTIF($N$5:$N$1517,"&gt;"&amp;N616)+COUNTIFS($N$5:$N$1517,N616,$B$5:$B$1517,"&lt;"&amp;B616)+COUNTIFS($N$5:$N$1517,N616,$B$5:$B$1517,B616,$C$5:$C$1517,"&lt;"&amp;C616),"")</f>
        <v/>
      </c>
      <c r="T616" s="8" t="n">
        <f aca="false">IF(O616&gt;=Models!$G$8,1+COUNTIF($O$5:$O$1517,"&gt;"&amp;O616)+COUNTIFS($O$5:$O$1517,O616,$B$5:$B$1517,"&lt;"&amp;B616)+COUNTIFS($O$5:$O$1517,O616,$B$5:$B$1517,B616,$C$5:$C$1517,"&lt;"&amp;C616),"")</f>
        <v>969</v>
      </c>
      <c r="U616" s="8" t="n">
        <f aca="false">IF($K616=1,COUNTIFS($L$5:$L$1517,"&gt;="&amp;L616,$K$5:$K$1517,1)/COUNTIF($L$5:$L$1517,"&gt;="&amp;L616),0)</f>
        <v>0</v>
      </c>
      <c r="V616" s="8" t="n">
        <f aca="false">IF($K616=1,COUNTIFS($M$5:$M$1517,"&gt;="&amp;M616,$K$5:$K$1517,1)/COUNTIF($M$5:$M$1517,"&gt;="&amp;M616),0)</f>
        <v>0</v>
      </c>
      <c r="W616" s="8" t="n">
        <f aca="false">IF($K616=1,COUNTIFS($N$5:$N$1517,"&gt;="&amp;N616,$K$5:$K$1517,1)/COUNTIF($N$5:$N$1517,"&gt;="&amp;N616),0)</f>
        <v>0</v>
      </c>
      <c r="X616" s="8" t="n">
        <f aca="false">IF($K616=1,COUNTIFS($O$5:$O$1517,"&gt;="&amp;O616,$K$5:$K$1517,1)/COUNTIF($O$5:$O$1517,"&gt;="&amp;O616),0)</f>
        <v>0</v>
      </c>
      <c r="Y616" s="8" t="n">
        <f aca="false">IF($K616=1,COUNTIFS($P$5:$P$1517,"&gt;="&amp;P616,$K$5:$K$1517,1)/COUNTIF($P$5:$P$1517,"&gt;="&amp;P616),0)</f>
        <v>0</v>
      </c>
      <c r="Z616" s="8" t="n">
        <f aca="false">(L616-$K616)^2</f>
        <v>0.014363303409</v>
      </c>
      <c r="AA616" s="8" t="n">
        <f aca="false">(M616-$K616)^2</f>
        <v>0.008475595969</v>
      </c>
      <c r="AB616" s="8" t="n">
        <f aca="false">(N616-$K616)^2</f>
        <v>0.003252763089</v>
      </c>
      <c r="AC616" s="8" t="n">
        <f aca="false">(O616-$K616)^2</f>
        <v>0.011274829489</v>
      </c>
      <c r="AD616" s="8" t="n">
        <f aca="false">(P616-$K616)^2</f>
        <v>0.003477696784</v>
      </c>
      <c r="AE616" s="8" t="n">
        <f aca="false">MIN(INT(ROUND(N616*1000000,0)/100000),9)</f>
        <v>0</v>
      </c>
      <c r="AF616" s="8" t="n">
        <f aca="false">MIN(INT(ROUND(P616*1000000,0)/100000),9)</f>
        <v>0</v>
      </c>
    </row>
    <row r="617" customFormat="false" ht="15" hidden="false" customHeight="false" outlineLevel="0" collapsed="false">
      <c r="A617" s="4" t="n">
        <v>613</v>
      </c>
      <c r="B617" s="4" t="n">
        <v>1217</v>
      </c>
      <c r="C617" s="4" t="n">
        <v>1</v>
      </c>
      <c r="D617" s="11" t="n">
        <v>46082</v>
      </c>
      <c r="E617" s="4" t="s">
        <v>203</v>
      </c>
      <c r="F617" s="4" t="s">
        <v>209</v>
      </c>
      <c r="G617" s="4" t="n">
        <v>4</v>
      </c>
      <c r="H617" s="4" t="n">
        <v>13</v>
      </c>
      <c r="I617" s="4" t="n">
        <v>0</v>
      </c>
      <c r="J617" s="4" t="n">
        <v>294</v>
      </c>
      <c r="K617" s="4" t="n">
        <v>0</v>
      </c>
      <c r="L617" s="12" t="n">
        <v>0.685892</v>
      </c>
      <c r="M617" s="12" t="n">
        <v>0.092063</v>
      </c>
      <c r="N617" s="12" t="n">
        <v>0.127131</v>
      </c>
      <c r="O617" s="12" t="n">
        <v>0.106183</v>
      </c>
      <c r="P617" s="12" t="n">
        <v>0.13596</v>
      </c>
      <c r="Q617" s="0" t="str">
        <f aca="false">IF(L617&gt;=Models!$G$5,1+COUNTIF($L$5:$L$1517,"&gt;"&amp;L617)+COUNTIFS($L$5:$L$1517,L617,$B$5:$B$1517,"&lt;"&amp;B617)+COUNTIFS($L$5:$L$1517,L617,$B$5:$B$1517,B617,$C$5:$C$1517,"&lt;"&amp;C617),"")</f>
        <v/>
      </c>
      <c r="R617" s="0" t="str">
        <f aca="false">IF(M617&gt;=Models!$G$6,1+COUNTIF($M$5:$M$1517,"&gt;"&amp;M617)+COUNTIFS($M$5:$M$1517,M617,$B$5:$B$1517,"&lt;"&amp;B617)+COUNTIFS($M$5:$M$1517,M617,$B$5:$B$1517,B617,$C$5:$C$1517,"&lt;"&amp;C617),"")</f>
        <v/>
      </c>
      <c r="S617" s="0" t="str">
        <f aca="false">IF(N617&gt;=Models!$G$7,1+COUNTIF($N$5:$N$1517,"&gt;"&amp;N617)+COUNTIFS($N$5:$N$1517,N617,$B$5:$B$1517,"&lt;"&amp;B617)+COUNTIFS($N$5:$N$1517,N617,$B$5:$B$1517,B617,$C$5:$C$1517,"&lt;"&amp;C617),"")</f>
        <v/>
      </c>
      <c r="T617" s="8" t="n">
        <f aca="false">IF(O617&gt;=Models!$G$8,1+COUNTIF($O$5:$O$1517,"&gt;"&amp;O617)+COUNTIFS($O$5:$O$1517,O617,$B$5:$B$1517,"&lt;"&amp;B617)+COUNTIFS($O$5:$O$1517,O617,$B$5:$B$1517,B617,$C$5:$C$1517,"&lt;"&amp;C617),"")</f>
        <v>973</v>
      </c>
      <c r="U617" s="8" t="n">
        <f aca="false">IF($K617=1,COUNTIFS($L$5:$L$1517,"&gt;="&amp;L617,$K$5:$K$1517,1)/COUNTIF($L$5:$L$1517,"&gt;="&amp;L617),0)</f>
        <v>0</v>
      </c>
      <c r="V617" s="8" t="n">
        <f aca="false">IF($K617=1,COUNTIFS($M$5:$M$1517,"&gt;="&amp;M617,$K$5:$K$1517,1)/COUNTIF($M$5:$M$1517,"&gt;="&amp;M617),0)</f>
        <v>0</v>
      </c>
      <c r="W617" s="8" t="n">
        <f aca="false">IF($K617=1,COUNTIFS($N$5:$N$1517,"&gt;="&amp;N617,$K$5:$K$1517,1)/COUNTIF($N$5:$N$1517,"&gt;="&amp;N617),0)</f>
        <v>0</v>
      </c>
      <c r="X617" s="8" t="n">
        <f aca="false">IF($K617=1,COUNTIFS($O$5:$O$1517,"&gt;="&amp;O617,$K$5:$K$1517,1)/COUNTIF($O$5:$O$1517,"&gt;="&amp;O617),0)</f>
        <v>0</v>
      </c>
      <c r="Y617" s="8" t="n">
        <f aca="false">IF($K617=1,COUNTIFS($P$5:$P$1517,"&gt;="&amp;P617,$K$5:$K$1517,1)/COUNTIF($P$5:$P$1517,"&gt;="&amp;P617),0)</f>
        <v>0</v>
      </c>
      <c r="Z617" s="8" t="n">
        <f aca="false">(L617-$K617)^2</f>
        <v>0.470447835664</v>
      </c>
      <c r="AA617" s="8" t="n">
        <f aca="false">(M617-$K617)^2</f>
        <v>0.008475595969</v>
      </c>
      <c r="AB617" s="8" t="n">
        <f aca="false">(N617-$K617)^2</f>
        <v>0.016162291161</v>
      </c>
      <c r="AC617" s="8" t="n">
        <f aca="false">(O617-$K617)^2</f>
        <v>0.011274829489</v>
      </c>
      <c r="AD617" s="8" t="n">
        <f aca="false">(P617-$K617)^2</f>
        <v>0.0184851216</v>
      </c>
      <c r="AE617" s="8" t="n">
        <f aca="false">MIN(INT(ROUND(N617*1000000,0)/100000),9)</f>
        <v>1</v>
      </c>
      <c r="AF617" s="8" t="n">
        <f aca="false">MIN(INT(ROUND(P617*1000000,0)/100000),9)</f>
        <v>1</v>
      </c>
    </row>
    <row r="618" customFormat="false" ht="15" hidden="false" customHeight="false" outlineLevel="0" collapsed="false">
      <c r="A618" s="4" t="n">
        <v>614</v>
      </c>
      <c r="B618" s="4" t="n">
        <v>1221</v>
      </c>
      <c r="C618" s="4" t="n">
        <v>1</v>
      </c>
      <c r="D618" s="11" t="n">
        <v>46082</v>
      </c>
      <c r="E618" s="4" t="s">
        <v>202</v>
      </c>
      <c r="F618" s="4" t="s">
        <v>206</v>
      </c>
      <c r="G618" s="4" t="n">
        <v>4</v>
      </c>
      <c r="H618" s="4" t="n">
        <v>7</v>
      </c>
      <c r="I618" s="4" t="n">
        <v>0</v>
      </c>
      <c r="J618" s="4" t="n">
        <v>915</v>
      </c>
      <c r="K618" s="4" t="n">
        <v>0</v>
      </c>
      <c r="L618" s="12" t="n">
        <v>0.465407</v>
      </c>
      <c r="M618" s="12" t="n">
        <v>0.092063</v>
      </c>
      <c r="N618" s="12" t="n">
        <v>0.11797</v>
      </c>
      <c r="O618" s="12" t="n">
        <v>0.106183</v>
      </c>
      <c r="P618" s="12" t="n">
        <v>0.125808</v>
      </c>
      <c r="Q618" s="0" t="str">
        <f aca="false">IF(L618&gt;=Models!$G$5,1+COUNTIF($L$5:$L$1517,"&gt;"&amp;L618)+COUNTIFS($L$5:$L$1517,L618,$B$5:$B$1517,"&lt;"&amp;B618)+COUNTIFS($L$5:$L$1517,L618,$B$5:$B$1517,B618,$C$5:$C$1517,"&lt;"&amp;C618),"")</f>
        <v/>
      </c>
      <c r="R618" s="0" t="str">
        <f aca="false">IF(M618&gt;=Models!$G$6,1+COUNTIF($M$5:$M$1517,"&gt;"&amp;M618)+COUNTIFS($M$5:$M$1517,M618,$B$5:$B$1517,"&lt;"&amp;B618)+COUNTIFS($M$5:$M$1517,M618,$B$5:$B$1517,B618,$C$5:$C$1517,"&lt;"&amp;C618),"")</f>
        <v/>
      </c>
      <c r="S618" s="0" t="str">
        <f aca="false">IF(N618&gt;=Models!$G$7,1+COUNTIF($N$5:$N$1517,"&gt;"&amp;N618)+COUNTIFS($N$5:$N$1517,N618,$B$5:$B$1517,"&lt;"&amp;B618)+COUNTIFS($N$5:$N$1517,N618,$B$5:$B$1517,B618,$C$5:$C$1517,"&lt;"&amp;C618),"")</f>
        <v/>
      </c>
      <c r="T618" s="8" t="n">
        <f aca="false">IF(O618&gt;=Models!$G$8,1+COUNTIF($O$5:$O$1517,"&gt;"&amp;O618)+COUNTIFS($O$5:$O$1517,O618,$B$5:$B$1517,"&lt;"&amp;B618)+COUNTIFS($O$5:$O$1517,O618,$B$5:$B$1517,B618,$C$5:$C$1517,"&lt;"&amp;C618),"")</f>
        <v>977</v>
      </c>
      <c r="U618" s="8" t="n">
        <f aca="false">IF($K618=1,COUNTIFS($L$5:$L$1517,"&gt;="&amp;L618,$K$5:$K$1517,1)/COUNTIF($L$5:$L$1517,"&gt;="&amp;L618),0)</f>
        <v>0</v>
      </c>
      <c r="V618" s="8" t="n">
        <f aca="false">IF($K618=1,COUNTIFS($M$5:$M$1517,"&gt;="&amp;M618,$K$5:$K$1517,1)/COUNTIF($M$5:$M$1517,"&gt;="&amp;M618),0)</f>
        <v>0</v>
      </c>
      <c r="W618" s="8" t="n">
        <f aca="false">IF($K618=1,COUNTIFS($N$5:$N$1517,"&gt;="&amp;N618,$K$5:$K$1517,1)/COUNTIF($N$5:$N$1517,"&gt;="&amp;N618),0)</f>
        <v>0</v>
      </c>
      <c r="X618" s="8" t="n">
        <f aca="false">IF($K618=1,COUNTIFS($O$5:$O$1517,"&gt;="&amp;O618,$K$5:$K$1517,1)/COUNTIF($O$5:$O$1517,"&gt;="&amp;O618),0)</f>
        <v>0</v>
      </c>
      <c r="Y618" s="8" t="n">
        <f aca="false">IF($K618=1,COUNTIFS($P$5:$P$1517,"&gt;="&amp;P618,$K$5:$K$1517,1)/COUNTIF($P$5:$P$1517,"&gt;="&amp;P618),0)</f>
        <v>0</v>
      </c>
      <c r="Z618" s="8" t="n">
        <f aca="false">(L618-$K618)^2</f>
        <v>0.216603675649</v>
      </c>
      <c r="AA618" s="8" t="n">
        <f aca="false">(M618-$K618)^2</f>
        <v>0.008475595969</v>
      </c>
      <c r="AB618" s="8" t="n">
        <f aca="false">(N618-$K618)^2</f>
        <v>0.0139169209</v>
      </c>
      <c r="AC618" s="8" t="n">
        <f aca="false">(O618-$K618)^2</f>
        <v>0.011274829489</v>
      </c>
      <c r="AD618" s="8" t="n">
        <f aca="false">(P618-$K618)^2</f>
        <v>0.015827652864</v>
      </c>
      <c r="AE618" s="8" t="n">
        <f aca="false">MIN(INT(ROUND(N618*1000000,0)/100000),9)</f>
        <v>1</v>
      </c>
      <c r="AF618" s="8" t="n">
        <f aca="false">MIN(INT(ROUND(P618*1000000,0)/100000),9)</f>
        <v>1</v>
      </c>
    </row>
    <row r="619" customFormat="false" ht="15" hidden="false" customHeight="false" outlineLevel="0" collapsed="false">
      <c r="A619" s="4" t="n">
        <v>615</v>
      </c>
      <c r="B619" s="4" t="n">
        <v>1222</v>
      </c>
      <c r="C619" s="4" t="n">
        <v>1</v>
      </c>
      <c r="D619" s="11" t="n">
        <v>46082</v>
      </c>
      <c r="E619" s="4" t="s">
        <v>202</v>
      </c>
      <c r="F619" s="4" t="s">
        <v>208</v>
      </c>
      <c r="G619" s="4" t="n">
        <v>8</v>
      </c>
      <c r="H619" s="4" t="n">
        <v>3</v>
      </c>
      <c r="I619" s="4" t="n">
        <v>0</v>
      </c>
      <c r="J619" s="4"/>
      <c r="K619" s="4" t="n">
        <v>0</v>
      </c>
      <c r="L619" s="12" t="n">
        <v>0.230097</v>
      </c>
      <c r="M619" s="12" t="n">
        <v>0.092063</v>
      </c>
      <c r="N619" s="12" t="n">
        <v>0.042772</v>
      </c>
      <c r="O619" s="12" t="n">
        <v>0.106183</v>
      </c>
      <c r="P619" s="12" t="n">
        <v>0.043644</v>
      </c>
      <c r="Q619" s="0" t="str">
        <f aca="false">IF(L619&gt;=Models!$G$5,1+COUNTIF($L$5:$L$1517,"&gt;"&amp;L619)+COUNTIFS($L$5:$L$1517,L619,$B$5:$B$1517,"&lt;"&amp;B619)+COUNTIFS($L$5:$L$1517,L619,$B$5:$B$1517,B619,$C$5:$C$1517,"&lt;"&amp;C619),"")</f>
        <v/>
      </c>
      <c r="R619" s="0" t="str">
        <f aca="false">IF(M619&gt;=Models!$G$6,1+COUNTIF($M$5:$M$1517,"&gt;"&amp;M619)+COUNTIFS($M$5:$M$1517,M619,$B$5:$B$1517,"&lt;"&amp;B619)+COUNTIFS($M$5:$M$1517,M619,$B$5:$B$1517,B619,$C$5:$C$1517,"&lt;"&amp;C619),"")</f>
        <v/>
      </c>
      <c r="S619" s="0" t="str">
        <f aca="false">IF(N619&gt;=Models!$G$7,1+COUNTIF($N$5:$N$1517,"&gt;"&amp;N619)+COUNTIFS($N$5:$N$1517,N619,$B$5:$B$1517,"&lt;"&amp;B619)+COUNTIFS($N$5:$N$1517,N619,$B$5:$B$1517,B619,$C$5:$C$1517,"&lt;"&amp;C619),"")</f>
        <v/>
      </c>
      <c r="T619" s="8" t="n">
        <f aca="false">IF(O619&gt;=Models!$G$8,1+COUNTIF($O$5:$O$1517,"&gt;"&amp;O619)+COUNTIFS($O$5:$O$1517,O619,$B$5:$B$1517,"&lt;"&amp;B619)+COUNTIFS($O$5:$O$1517,O619,$B$5:$B$1517,B619,$C$5:$C$1517,"&lt;"&amp;C619),"")</f>
        <v>981</v>
      </c>
      <c r="U619" s="8" t="n">
        <f aca="false">IF($K619=1,COUNTIFS($L$5:$L$1517,"&gt;="&amp;L619,$K$5:$K$1517,1)/COUNTIF($L$5:$L$1517,"&gt;="&amp;L619),0)</f>
        <v>0</v>
      </c>
      <c r="V619" s="8" t="n">
        <f aca="false">IF($K619=1,COUNTIFS($M$5:$M$1517,"&gt;="&amp;M619,$K$5:$K$1517,1)/COUNTIF($M$5:$M$1517,"&gt;="&amp;M619),0)</f>
        <v>0</v>
      </c>
      <c r="W619" s="8" t="n">
        <f aca="false">IF($K619=1,COUNTIFS($N$5:$N$1517,"&gt;="&amp;N619,$K$5:$K$1517,1)/COUNTIF($N$5:$N$1517,"&gt;="&amp;N619),0)</f>
        <v>0</v>
      </c>
      <c r="X619" s="8" t="n">
        <f aca="false">IF($K619=1,COUNTIFS($O$5:$O$1517,"&gt;="&amp;O619,$K$5:$K$1517,1)/COUNTIF($O$5:$O$1517,"&gt;="&amp;O619),0)</f>
        <v>0</v>
      </c>
      <c r="Y619" s="8" t="n">
        <f aca="false">IF($K619=1,COUNTIFS($P$5:$P$1517,"&gt;="&amp;P619,$K$5:$K$1517,1)/COUNTIF($P$5:$P$1517,"&gt;="&amp;P619),0)</f>
        <v>0</v>
      </c>
      <c r="Z619" s="8" t="n">
        <f aca="false">(L619-$K619)^2</f>
        <v>0.052944629409</v>
      </c>
      <c r="AA619" s="8" t="n">
        <f aca="false">(M619-$K619)^2</f>
        <v>0.008475595969</v>
      </c>
      <c r="AB619" s="8" t="n">
        <f aca="false">(N619-$K619)^2</f>
        <v>0.001829443984</v>
      </c>
      <c r="AC619" s="8" t="n">
        <f aca="false">(O619-$K619)^2</f>
        <v>0.011274829489</v>
      </c>
      <c r="AD619" s="8" t="n">
        <f aca="false">(P619-$K619)^2</f>
        <v>0.001904798736</v>
      </c>
      <c r="AE619" s="8" t="n">
        <f aca="false">MIN(INT(ROUND(N619*1000000,0)/100000),9)</f>
        <v>0</v>
      </c>
      <c r="AF619" s="8" t="n">
        <f aca="false">MIN(INT(ROUND(P619*1000000,0)/100000),9)</f>
        <v>0</v>
      </c>
    </row>
    <row r="620" customFormat="false" ht="15" hidden="false" customHeight="false" outlineLevel="0" collapsed="false">
      <c r="A620" s="4" t="n">
        <v>616</v>
      </c>
      <c r="B620" s="4" t="n">
        <v>1224</v>
      </c>
      <c r="C620" s="4" t="n">
        <v>1</v>
      </c>
      <c r="D620" s="11" t="n">
        <v>46082</v>
      </c>
      <c r="E620" s="4" t="s">
        <v>203</v>
      </c>
      <c r="F620" s="4" t="s">
        <v>208</v>
      </c>
      <c r="G620" s="4" t="n">
        <v>10</v>
      </c>
      <c r="H620" s="4" t="n">
        <v>1</v>
      </c>
      <c r="I620" s="4" t="n">
        <v>1</v>
      </c>
      <c r="J620" s="4" t="n">
        <v>282</v>
      </c>
      <c r="K620" s="4" t="n">
        <v>0</v>
      </c>
      <c r="L620" s="12" t="n">
        <v>0.77393</v>
      </c>
      <c r="M620" s="12" t="n">
        <v>0.184211</v>
      </c>
      <c r="N620" s="12" t="n">
        <v>0.12259</v>
      </c>
      <c r="O620" s="12" t="n">
        <v>0.106183</v>
      </c>
      <c r="P620" s="12" t="n">
        <v>0.130926</v>
      </c>
      <c r="Q620" s="0" t="str">
        <f aca="false">IF(L620&gt;=Models!$G$5,1+COUNTIF($L$5:$L$1517,"&gt;"&amp;L620)+COUNTIFS($L$5:$L$1517,L620,$B$5:$B$1517,"&lt;"&amp;B620)+COUNTIFS($L$5:$L$1517,L620,$B$5:$B$1517,B620,$C$5:$C$1517,"&lt;"&amp;C620),"")</f>
        <v/>
      </c>
      <c r="R620" s="8" t="n">
        <f aca="false">IF(M620&gt;=Models!$G$6,1+COUNTIF($M$5:$M$1517,"&gt;"&amp;M620)+COUNTIFS($M$5:$M$1517,M620,$B$5:$B$1517,"&lt;"&amp;B620)+COUNTIFS($M$5:$M$1517,M620,$B$5:$B$1517,B620,$C$5:$C$1517,"&lt;"&amp;C620),"")</f>
        <v>113</v>
      </c>
      <c r="S620" s="0" t="str">
        <f aca="false">IF(N620&gt;=Models!$G$7,1+COUNTIF($N$5:$N$1517,"&gt;"&amp;N620)+COUNTIFS($N$5:$N$1517,N620,$B$5:$B$1517,"&lt;"&amp;B620)+COUNTIFS($N$5:$N$1517,N620,$B$5:$B$1517,B620,$C$5:$C$1517,"&lt;"&amp;C620),"")</f>
        <v/>
      </c>
      <c r="T620" s="8" t="n">
        <f aca="false">IF(O620&gt;=Models!$G$8,1+COUNTIF($O$5:$O$1517,"&gt;"&amp;O620)+COUNTIFS($O$5:$O$1517,O620,$B$5:$B$1517,"&lt;"&amp;B620)+COUNTIFS($O$5:$O$1517,O620,$B$5:$B$1517,B620,$C$5:$C$1517,"&lt;"&amp;C620),"")</f>
        <v>985</v>
      </c>
      <c r="U620" s="8" t="n">
        <f aca="false">IF($K620=1,COUNTIFS($L$5:$L$1517,"&gt;="&amp;L620,$K$5:$K$1517,1)/COUNTIF($L$5:$L$1517,"&gt;="&amp;L620),0)</f>
        <v>0</v>
      </c>
      <c r="V620" s="8" t="n">
        <f aca="false">IF($K620=1,COUNTIFS($M$5:$M$1517,"&gt;="&amp;M620,$K$5:$K$1517,1)/COUNTIF($M$5:$M$1517,"&gt;="&amp;M620),0)</f>
        <v>0</v>
      </c>
      <c r="W620" s="8" t="n">
        <f aca="false">IF($K620=1,COUNTIFS($N$5:$N$1517,"&gt;="&amp;N620,$K$5:$K$1517,1)/COUNTIF($N$5:$N$1517,"&gt;="&amp;N620),0)</f>
        <v>0</v>
      </c>
      <c r="X620" s="8" t="n">
        <f aca="false">IF($K620=1,COUNTIFS($O$5:$O$1517,"&gt;="&amp;O620,$K$5:$K$1517,1)/COUNTIF($O$5:$O$1517,"&gt;="&amp;O620),0)</f>
        <v>0</v>
      </c>
      <c r="Y620" s="8" t="n">
        <f aca="false">IF($K620=1,COUNTIFS($P$5:$P$1517,"&gt;="&amp;P620,$K$5:$K$1517,1)/COUNTIF($P$5:$P$1517,"&gt;="&amp;P620),0)</f>
        <v>0</v>
      </c>
      <c r="Z620" s="8" t="n">
        <f aca="false">(L620-$K620)^2</f>
        <v>0.5989676449</v>
      </c>
      <c r="AA620" s="8" t="n">
        <f aca="false">(M620-$K620)^2</f>
        <v>0.033933692521</v>
      </c>
      <c r="AB620" s="8" t="n">
        <f aca="false">(N620-$K620)^2</f>
        <v>0.0150283081</v>
      </c>
      <c r="AC620" s="8" t="n">
        <f aca="false">(O620-$K620)^2</f>
        <v>0.011274829489</v>
      </c>
      <c r="AD620" s="8" t="n">
        <f aca="false">(P620-$K620)^2</f>
        <v>0.017141617476</v>
      </c>
      <c r="AE620" s="8" t="n">
        <f aca="false">MIN(INT(ROUND(N620*1000000,0)/100000),9)</f>
        <v>1</v>
      </c>
      <c r="AF620" s="8" t="n">
        <f aca="false">MIN(INT(ROUND(P620*1000000,0)/100000),9)</f>
        <v>1</v>
      </c>
    </row>
    <row r="621" customFormat="false" ht="15" hidden="false" customHeight="false" outlineLevel="0" collapsed="false">
      <c r="A621" s="4" t="n">
        <v>617</v>
      </c>
      <c r="B621" s="4" t="n">
        <v>1226</v>
      </c>
      <c r="C621" s="4" t="n">
        <v>1</v>
      </c>
      <c r="D621" s="11" t="n">
        <v>46082</v>
      </c>
      <c r="E621" s="4" t="s">
        <v>203</v>
      </c>
      <c r="F621" s="4" t="s">
        <v>206</v>
      </c>
      <c r="G621" s="4" t="n">
        <v>7</v>
      </c>
      <c r="H621" s="4" t="n">
        <v>0</v>
      </c>
      <c r="I621" s="4" t="n">
        <v>0</v>
      </c>
      <c r="J621" s="4" t="n">
        <v>288</v>
      </c>
      <c r="K621" s="4" t="n">
        <v>0</v>
      </c>
      <c r="L621" s="12" t="n">
        <v>0.61575</v>
      </c>
      <c r="M621" s="12" t="n">
        <v>0.092063</v>
      </c>
      <c r="N621" s="12" t="n">
        <v>0.090898</v>
      </c>
      <c r="O621" s="12" t="n">
        <v>0.106183</v>
      </c>
      <c r="P621" s="12" t="n">
        <v>0.095928</v>
      </c>
      <c r="Q621" s="0" t="str">
        <f aca="false">IF(L621&gt;=Models!$G$5,1+COUNTIF($L$5:$L$1517,"&gt;"&amp;L621)+COUNTIFS($L$5:$L$1517,L621,$B$5:$B$1517,"&lt;"&amp;B621)+COUNTIFS($L$5:$L$1517,L621,$B$5:$B$1517,B621,$C$5:$C$1517,"&lt;"&amp;C621),"")</f>
        <v/>
      </c>
      <c r="R621" s="0" t="str">
        <f aca="false">IF(M621&gt;=Models!$G$6,1+COUNTIF($M$5:$M$1517,"&gt;"&amp;M621)+COUNTIFS($M$5:$M$1517,M621,$B$5:$B$1517,"&lt;"&amp;B621)+COUNTIFS($M$5:$M$1517,M621,$B$5:$B$1517,B621,$C$5:$C$1517,"&lt;"&amp;C621),"")</f>
        <v/>
      </c>
      <c r="S621" s="0" t="str">
        <f aca="false">IF(N621&gt;=Models!$G$7,1+COUNTIF($N$5:$N$1517,"&gt;"&amp;N621)+COUNTIFS($N$5:$N$1517,N621,$B$5:$B$1517,"&lt;"&amp;B621)+COUNTIFS($N$5:$N$1517,N621,$B$5:$B$1517,B621,$C$5:$C$1517,"&lt;"&amp;C621),"")</f>
        <v/>
      </c>
      <c r="T621" s="8" t="n">
        <f aca="false">IF(O621&gt;=Models!$G$8,1+COUNTIF($O$5:$O$1517,"&gt;"&amp;O621)+COUNTIFS($O$5:$O$1517,O621,$B$5:$B$1517,"&lt;"&amp;B621)+COUNTIFS($O$5:$O$1517,O621,$B$5:$B$1517,B621,$C$5:$C$1517,"&lt;"&amp;C621),"")</f>
        <v>989</v>
      </c>
      <c r="U621" s="8" t="n">
        <f aca="false">IF($K621=1,COUNTIFS($L$5:$L$1517,"&gt;="&amp;L621,$K$5:$K$1517,1)/COUNTIF($L$5:$L$1517,"&gt;="&amp;L621),0)</f>
        <v>0</v>
      </c>
      <c r="V621" s="8" t="n">
        <f aca="false">IF($K621=1,COUNTIFS($M$5:$M$1517,"&gt;="&amp;M621,$K$5:$K$1517,1)/COUNTIF($M$5:$M$1517,"&gt;="&amp;M621),0)</f>
        <v>0</v>
      </c>
      <c r="W621" s="8" t="n">
        <f aca="false">IF($K621=1,COUNTIFS($N$5:$N$1517,"&gt;="&amp;N621,$K$5:$K$1517,1)/COUNTIF($N$5:$N$1517,"&gt;="&amp;N621),0)</f>
        <v>0</v>
      </c>
      <c r="X621" s="8" t="n">
        <f aca="false">IF($K621=1,COUNTIFS($O$5:$O$1517,"&gt;="&amp;O621,$K$5:$K$1517,1)/COUNTIF($O$5:$O$1517,"&gt;="&amp;O621),0)</f>
        <v>0</v>
      </c>
      <c r="Y621" s="8" t="n">
        <f aca="false">IF($K621=1,COUNTIFS($P$5:$P$1517,"&gt;="&amp;P621,$K$5:$K$1517,1)/COUNTIF($P$5:$P$1517,"&gt;="&amp;P621),0)</f>
        <v>0</v>
      </c>
      <c r="Z621" s="8" t="n">
        <f aca="false">(L621-$K621)^2</f>
        <v>0.3791480625</v>
      </c>
      <c r="AA621" s="8" t="n">
        <f aca="false">(M621-$K621)^2</f>
        <v>0.008475595969</v>
      </c>
      <c r="AB621" s="8" t="n">
        <f aca="false">(N621-$K621)^2</f>
        <v>0.008262446404</v>
      </c>
      <c r="AC621" s="8" t="n">
        <f aca="false">(O621-$K621)^2</f>
        <v>0.011274829489</v>
      </c>
      <c r="AD621" s="8" t="n">
        <f aca="false">(P621-$K621)^2</f>
        <v>0.009202181184</v>
      </c>
      <c r="AE621" s="8" t="n">
        <f aca="false">MIN(INT(ROUND(N621*1000000,0)/100000),9)</f>
        <v>0</v>
      </c>
      <c r="AF621" s="8" t="n">
        <f aca="false">MIN(INT(ROUND(P621*1000000,0)/100000),9)</f>
        <v>0</v>
      </c>
    </row>
    <row r="622" customFormat="false" ht="15" hidden="false" customHeight="false" outlineLevel="0" collapsed="false">
      <c r="A622" s="4" t="n">
        <v>618</v>
      </c>
      <c r="B622" s="4" t="n">
        <v>1228</v>
      </c>
      <c r="C622" s="4" t="n">
        <v>1</v>
      </c>
      <c r="D622" s="11" t="n">
        <v>46082</v>
      </c>
      <c r="E622" s="4" t="s">
        <v>202</v>
      </c>
      <c r="F622" s="4" t="s">
        <v>209</v>
      </c>
      <c r="G622" s="4" t="n">
        <v>11</v>
      </c>
      <c r="H622" s="4" t="n">
        <v>6</v>
      </c>
      <c r="I622" s="4" t="n">
        <v>0</v>
      </c>
      <c r="J622" s="4" t="n">
        <v>1155</v>
      </c>
      <c r="K622" s="4" t="n">
        <v>0</v>
      </c>
      <c r="L622" s="12" t="n">
        <v>0.591147</v>
      </c>
      <c r="M622" s="12" t="n">
        <v>0.092063</v>
      </c>
      <c r="N622" s="12" t="n">
        <v>0.065139</v>
      </c>
      <c r="O622" s="12" t="n">
        <v>0.106183</v>
      </c>
      <c r="P622" s="12" t="n">
        <v>0.067758</v>
      </c>
      <c r="Q622" s="0" t="str">
        <f aca="false">IF(L622&gt;=Models!$G$5,1+COUNTIF($L$5:$L$1517,"&gt;"&amp;L622)+COUNTIFS($L$5:$L$1517,L622,$B$5:$B$1517,"&lt;"&amp;B622)+COUNTIFS($L$5:$L$1517,L622,$B$5:$B$1517,B622,$C$5:$C$1517,"&lt;"&amp;C622),"")</f>
        <v/>
      </c>
      <c r="R622" s="0" t="str">
        <f aca="false">IF(M622&gt;=Models!$G$6,1+COUNTIF($M$5:$M$1517,"&gt;"&amp;M622)+COUNTIFS($M$5:$M$1517,M622,$B$5:$B$1517,"&lt;"&amp;B622)+COUNTIFS($M$5:$M$1517,M622,$B$5:$B$1517,B622,$C$5:$C$1517,"&lt;"&amp;C622),"")</f>
        <v/>
      </c>
      <c r="S622" s="0" t="str">
        <f aca="false">IF(N622&gt;=Models!$G$7,1+COUNTIF($N$5:$N$1517,"&gt;"&amp;N622)+COUNTIFS($N$5:$N$1517,N622,$B$5:$B$1517,"&lt;"&amp;B622)+COUNTIFS($N$5:$N$1517,N622,$B$5:$B$1517,B622,$C$5:$C$1517,"&lt;"&amp;C622),"")</f>
        <v/>
      </c>
      <c r="T622" s="8" t="n">
        <f aca="false">IF(O622&gt;=Models!$G$8,1+COUNTIF($O$5:$O$1517,"&gt;"&amp;O622)+COUNTIFS($O$5:$O$1517,O622,$B$5:$B$1517,"&lt;"&amp;B622)+COUNTIFS($O$5:$O$1517,O622,$B$5:$B$1517,B622,$C$5:$C$1517,"&lt;"&amp;C622),"")</f>
        <v>993</v>
      </c>
      <c r="U622" s="8" t="n">
        <f aca="false">IF($K622=1,COUNTIFS($L$5:$L$1517,"&gt;="&amp;L622,$K$5:$K$1517,1)/COUNTIF($L$5:$L$1517,"&gt;="&amp;L622),0)</f>
        <v>0</v>
      </c>
      <c r="V622" s="8" t="n">
        <f aca="false">IF($K622=1,COUNTIFS($M$5:$M$1517,"&gt;="&amp;M622,$K$5:$K$1517,1)/COUNTIF($M$5:$M$1517,"&gt;="&amp;M622),0)</f>
        <v>0</v>
      </c>
      <c r="W622" s="8" t="n">
        <f aca="false">IF($K622=1,COUNTIFS($N$5:$N$1517,"&gt;="&amp;N622,$K$5:$K$1517,1)/COUNTIF($N$5:$N$1517,"&gt;="&amp;N622),0)</f>
        <v>0</v>
      </c>
      <c r="X622" s="8" t="n">
        <f aca="false">IF($K622=1,COUNTIFS($O$5:$O$1517,"&gt;="&amp;O622,$K$5:$K$1517,1)/COUNTIF($O$5:$O$1517,"&gt;="&amp;O622),0)</f>
        <v>0</v>
      </c>
      <c r="Y622" s="8" t="n">
        <f aca="false">IF($K622=1,COUNTIFS($P$5:$P$1517,"&gt;="&amp;P622,$K$5:$K$1517,1)/COUNTIF($P$5:$P$1517,"&gt;="&amp;P622),0)</f>
        <v>0</v>
      </c>
      <c r="Z622" s="8" t="n">
        <f aca="false">(L622-$K622)^2</f>
        <v>0.349454775609</v>
      </c>
      <c r="AA622" s="8" t="n">
        <f aca="false">(M622-$K622)^2</f>
        <v>0.008475595969</v>
      </c>
      <c r="AB622" s="8" t="n">
        <f aca="false">(N622-$K622)^2</f>
        <v>0.004243089321</v>
      </c>
      <c r="AC622" s="8" t="n">
        <f aca="false">(O622-$K622)^2</f>
        <v>0.011274829489</v>
      </c>
      <c r="AD622" s="8" t="n">
        <f aca="false">(P622-$K622)^2</f>
        <v>0.004591146564</v>
      </c>
      <c r="AE622" s="8" t="n">
        <f aca="false">MIN(INT(ROUND(N622*1000000,0)/100000),9)</f>
        <v>0</v>
      </c>
      <c r="AF622" s="8" t="n">
        <f aca="false">MIN(INT(ROUND(P622*1000000,0)/100000),9)</f>
        <v>0</v>
      </c>
    </row>
    <row r="623" customFormat="false" ht="15" hidden="false" customHeight="false" outlineLevel="0" collapsed="false">
      <c r="A623" s="4" t="n">
        <v>619</v>
      </c>
      <c r="B623" s="4" t="n">
        <v>1230</v>
      </c>
      <c r="C623" s="4" t="n">
        <v>1</v>
      </c>
      <c r="D623" s="11" t="n">
        <v>46082</v>
      </c>
      <c r="E623" s="4" t="s">
        <v>202</v>
      </c>
      <c r="F623" s="4" t="s">
        <v>206</v>
      </c>
      <c r="G623" s="4" t="n">
        <v>6</v>
      </c>
      <c r="H623" s="4" t="n">
        <v>1</v>
      </c>
      <c r="I623" s="4" t="n">
        <v>0</v>
      </c>
      <c r="J623" s="4" t="n">
        <v>942</v>
      </c>
      <c r="K623" s="4" t="n">
        <v>0</v>
      </c>
      <c r="L623" s="12" t="n">
        <v>0.919809</v>
      </c>
      <c r="M623" s="12" t="n">
        <v>0.092063</v>
      </c>
      <c r="N623" s="12" t="n">
        <v>0.095997</v>
      </c>
      <c r="O623" s="12" t="n">
        <v>0.106183</v>
      </c>
      <c r="P623" s="12" t="n">
        <v>0.101539</v>
      </c>
      <c r="Q623" s="0" t="str">
        <f aca="false">IF(L623&gt;=Models!$G$5,1+COUNTIF($L$5:$L$1517,"&gt;"&amp;L623)+COUNTIFS($L$5:$L$1517,L623,$B$5:$B$1517,"&lt;"&amp;B623)+COUNTIFS($L$5:$L$1517,L623,$B$5:$B$1517,B623,$C$5:$C$1517,"&lt;"&amp;C623),"")</f>
        <v/>
      </c>
      <c r="R623" s="0" t="str">
        <f aca="false">IF(M623&gt;=Models!$G$6,1+COUNTIF($M$5:$M$1517,"&gt;"&amp;M623)+COUNTIFS($M$5:$M$1517,M623,$B$5:$B$1517,"&lt;"&amp;B623)+COUNTIFS($M$5:$M$1517,M623,$B$5:$B$1517,B623,$C$5:$C$1517,"&lt;"&amp;C623),"")</f>
        <v/>
      </c>
      <c r="S623" s="0" t="str">
        <f aca="false">IF(N623&gt;=Models!$G$7,1+COUNTIF($N$5:$N$1517,"&gt;"&amp;N623)+COUNTIFS($N$5:$N$1517,N623,$B$5:$B$1517,"&lt;"&amp;B623)+COUNTIFS($N$5:$N$1517,N623,$B$5:$B$1517,B623,$C$5:$C$1517,"&lt;"&amp;C623),"")</f>
        <v/>
      </c>
      <c r="T623" s="8" t="n">
        <f aca="false">IF(O623&gt;=Models!$G$8,1+COUNTIF($O$5:$O$1517,"&gt;"&amp;O623)+COUNTIFS($O$5:$O$1517,O623,$B$5:$B$1517,"&lt;"&amp;B623)+COUNTIFS($O$5:$O$1517,O623,$B$5:$B$1517,B623,$C$5:$C$1517,"&lt;"&amp;C623),"")</f>
        <v>997</v>
      </c>
      <c r="U623" s="8" t="n">
        <f aca="false">IF($K623=1,COUNTIFS($L$5:$L$1517,"&gt;="&amp;L623,$K$5:$K$1517,1)/COUNTIF($L$5:$L$1517,"&gt;="&amp;L623),0)</f>
        <v>0</v>
      </c>
      <c r="V623" s="8" t="n">
        <f aca="false">IF($K623=1,COUNTIFS($M$5:$M$1517,"&gt;="&amp;M623,$K$5:$K$1517,1)/COUNTIF($M$5:$M$1517,"&gt;="&amp;M623),0)</f>
        <v>0</v>
      </c>
      <c r="W623" s="8" t="n">
        <f aca="false">IF($K623=1,COUNTIFS($N$5:$N$1517,"&gt;="&amp;N623,$K$5:$K$1517,1)/COUNTIF($N$5:$N$1517,"&gt;="&amp;N623),0)</f>
        <v>0</v>
      </c>
      <c r="X623" s="8" t="n">
        <f aca="false">IF($K623=1,COUNTIFS($O$5:$O$1517,"&gt;="&amp;O623,$K$5:$K$1517,1)/COUNTIF($O$5:$O$1517,"&gt;="&amp;O623),0)</f>
        <v>0</v>
      </c>
      <c r="Y623" s="8" t="n">
        <f aca="false">IF($K623=1,COUNTIFS($P$5:$P$1517,"&gt;="&amp;P623,$K$5:$K$1517,1)/COUNTIF($P$5:$P$1517,"&gt;="&amp;P623),0)</f>
        <v>0</v>
      </c>
      <c r="Z623" s="8" t="n">
        <f aca="false">(L623-$K623)^2</f>
        <v>0.846048596481</v>
      </c>
      <c r="AA623" s="8" t="n">
        <f aca="false">(M623-$K623)^2</f>
        <v>0.008475595969</v>
      </c>
      <c r="AB623" s="8" t="n">
        <f aca="false">(N623-$K623)^2</f>
        <v>0.009215424009</v>
      </c>
      <c r="AC623" s="8" t="n">
        <f aca="false">(O623-$K623)^2</f>
        <v>0.011274829489</v>
      </c>
      <c r="AD623" s="8" t="n">
        <f aca="false">(P623-$K623)^2</f>
        <v>0.010310168521</v>
      </c>
      <c r="AE623" s="8" t="n">
        <f aca="false">MIN(INT(ROUND(N623*1000000,0)/100000),9)</f>
        <v>0</v>
      </c>
      <c r="AF623" s="8" t="n">
        <f aca="false">MIN(INT(ROUND(P623*1000000,0)/100000),9)</f>
        <v>1</v>
      </c>
    </row>
    <row r="624" customFormat="false" ht="15" hidden="false" customHeight="false" outlineLevel="0" collapsed="false">
      <c r="A624" s="4" t="n">
        <v>620</v>
      </c>
      <c r="B624" s="4" t="n">
        <v>1232</v>
      </c>
      <c r="C624" s="4" t="n">
        <v>1</v>
      </c>
      <c r="D624" s="11" t="n">
        <v>46082</v>
      </c>
      <c r="E624" s="4" t="s">
        <v>202</v>
      </c>
      <c r="F624" s="4" t="s">
        <v>206</v>
      </c>
      <c r="G624" s="4" t="n">
        <v>12</v>
      </c>
      <c r="H624" s="4" t="n">
        <v>7</v>
      </c>
      <c r="I624" s="4" t="n">
        <v>1</v>
      </c>
      <c r="J624" s="4" t="n">
        <v>1728</v>
      </c>
      <c r="K624" s="4" t="n">
        <v>0</v>
      </c>
      <c r="L624" s="12" t="n">
        <v>0.447624</v>
      </c>
      <c r="M624" s="12" t="n">
        <v>0.184211</v>
      </c>
      <c r="N624" s="12" t="n">
        <v>0.101296</v>
      </c>
      <c r="O624" s="12" t="n">
        <v>0.106183</v>
      </c>
      <c r="P624" s="12" t="n">
        <v>0.107379</v>
      </c>
      <c r="Q624" s="0" t="str">
        <f aca="false">IF(L624&gt;=Models!$G$5,1+COUNTIF($L$5:$L$1517,"&gt;"&amp;L624)+COUNTIFS($L$5:$L$1517,L624,$B$5:$B$1517,"&lt;"&amp;B624)+COUNTIFS($L$5:$L$1517,L624,$B$5:$B$1517,B624,$C$5:$C$1517,"&lt;"&amp;C624),"")</f>
        <v/>
      </c>
      <c r="R624" s="8" t="n">
        <f aca="false">IF(M624&gt;=Models!$G$6,1+COUNTIF($M$5:$M$1517,"&gt;"&amp;M624)+COUNTIFS($M$5:$M$1517,M624,$B$5:$B$1517,"&lt;"&amp;B624)+COUNTIFS($M$5:$M$1517,M624,$B$5:$B$1517,B624,$C$5:$C$1517,"&lt;"&amp;C624),"")</f>
        <v>117</v>
      </c>
      <c r="S624" s="0" t="str">
        <f aca="false">IF(N624&gt;=Models!$G$7,1+COUNTIF($N$5:$N$1517,"&gt;"&amp;N624)+COUNTIFS($N$5:$N$1517,N624,$B$5:$B$1517,"&lt;"&amp;B624)+COUNTIFS($N$5:$N$1517,N624,$B$5:$B$1517,B624,$C$5:$C$1517,"&lt;"&amp;C624),"")</f>
        <v/>
      </c>
      <c r="T624" s="8" t="n">
        <f aca="false">IF(O624&gt;=Models!$G$8,1+COUNTIF($O$5:$O$1517,"&gt;"&amp;O624)+COUNTIFS($O$5:$O$1517,O624,$B$5:$B$1517,"&lt;"&amp;B624)+COUNTIFS($O$5:$O$1517,O624,$B$5:$B$1517,B624,$C$5:$C$1517,"&lt;"&amp;C624),"")</f>
        <v>1001</v>
      </c>
      <c r="U624" s="8" t="n">
        <f aca="false">IF($K624=1,COUNTIFS($L$5:$L$1517,"&gt;="&amp;L624,$K$5:$K$1517,1)/COUNTIF($L$5:$L$1517,"&gt;="&amp;L624),0)</f>
        <v>0</v>
      </c>
      <c r="V624" s="8" t="n">
        <f aca="false">IF($K624=1,COUNTIFS($M$5:$M$1517,"&gt;="&amp;M624,$K$5:$K$1517,1)/COUNTIF($M$5:$M$1517,"&gt;="&amp;M624),0)</f>
        <v>0</v>
      </c>
      <c r="W624" s="8" t="n">
        <f aca="false">IF($K624=1,COUNTIFS($N$5:$N$1517,"&gt;="&amp;N624,$K$5:$K$1517,1)/COUNTIF($N$5:$N$1517,"&gt;="&amp;N624),0)</f>
        <v>0</v>
      </c>
      <c r="X624" s="8" t="n">
        <f aca="false">IF($K624=1,COUNTIFS($O$5:$O$1517,"&gt;="&amp;O624,$K$5:$K$1517,1)/COUNTIF($O$5:$O$1517,"&gt;="&amp;O624),0)</f>
        <v>0</v>
      </c>
      <c r="Y624" s="8" t="n">
        <f aca="false">IF($K624=1,COUNTIFS($P$5:$P$1517,"&gt;="&amp;P624,$K$5:$K$1517,1)/COUNTIF($P$5:$P$1517,"&gt;="&amp;P624),0)</f>
        <v>0</v>
      </c>
      <c r="Z624" s="8" t="n">
        <f aca="false">(L624-$K624)^2</f>
        <v>0.200367245376</v>
      </c>
      <c r="AA624" s="8" t="n">
        <f aca="false">(M624-$K624)^2</f>
        <v>0.033933692521</v>
      </c>
      <c r="AB624" s="8" t="n">
        <f aca="false">(N624-$K624)^2</f>
        <v>0.010260879616</v>
      </c>
      <c r="AC624" s="8" t="n">
        <f aca="false">(O624-$K624)^2</f>
        <v>0.011274829489</v>
      </c>
      <c r="AD624" s="8" t="n">
        <f aca="false">(P624-$K624)^2</f>
        <v>0.011530249641</v>
      </c>
      <c r="AE624" s="8" t="n">
        <f aca="false">MIN(INT(ROUND(N624*1000000,0)/100000),9)</f>
        <v>1</v>
      </c>
      <c r="AF624" s="8" t="n">
        <f aca="false">MIN(INT(ROUND(P624*1000000,0)/100000),9)</f>
        <v>1</v>
      </c>
    </row>
    <row r="625" customFormat="false" ht="15" hidden="false" customHeight="false" outlineLevel="0" collapsed="false">
      <c r="A625" s="4" t="n">
        <v>621</v>
      </c>
      <c r="B625" s="4" t="n">
        <v>1243</v>
      </c>
      <c r="C625" s="4" t="n">
        <v>1</v>
      </c>
      <c r="D625" s="11" t="n">
        <v>46082</v>
      </c>
      <c r="E625" s="4" t="s">
        <v>202</v>
      </c>
      <c r="F625" s="4" t="s">
        <v>209</v>
      </c>
      <c r="G625" s="4" t="n">
        <v>4</v>
      </c>
      <c r="H625" s="4" t="n">
        <v>5</v>
      </c>
      <c r="I625" s="4" t="n">
        <v>0</v>
      </c>
      <c r="J625" s="4" t="n">
        <v>1209.6</v>
      </c>
      <c r="K625" s="4" t="n">
        <v>1</v>
      </c>
      <c r="L625" s="12" t="n">
        <v>0.915717</v>
      </c>
      <c r="M625" s="12" t="n">
        <v>0.092063</v>
      </c>
      <c r="N625" s="12" t="n">
        <v>0.114529</v>
      </c>
      <c r="O625" s="12" t="n">
        <v>0.106183</v>
      </c>
      <c r="P625" s="12" t="n">
        <v>0.121999</v>
      </c>
      <c r="Q625" s="0" t="str">
        <f aca="false">IF(L625&gt;=Models!$G$5,1+COUNTIF($L$5:$L$1517,"&gt;"&amp;L625)+COUNTIFS($L$5:$L$1517,L625,$B$5:$B$1517,"&lt;"&amp;B625)+COUNTIFS($L$5:$L$1517,L625,$B$5:$B$1517,B625,$C$5:$C$1517,"&lt;"&amp;C625),"")</f>
        <v/>
      </c>
      <c r="R625" s="0" t="str">
        <f aca="false">IF(M625&gt;=Models!$G$6,1+COUNTIF($M$5:$M$1517,"&gt;"&amp;M625)+COUNTIFS($M$5:$M$1517,M625,$B$5:$B$1517,"&lt;"&amp;B625)+COUNTIFS($M$5:$M$1517,M625,$B$5:$B$1517,B625,$C$5:$C$1517,"&lt;"&amp;C625),"")</f>
        <v/>
      </c>
      <c r="S625" s="0" t="str">
        <f aca="false">IF(N625&gt;=Models!$G$7,1+COUNTIF($N$5:$N$1517,"&gt;"&amp;N625)+COUNTIFS($N$5:$N$1517,N625,$B$5:$B$1517,"&lt;"&amp;B625)+COUNTIFS($N$5:$N$1517,N625,$B$5:$B$1517,B625,$C$5:$C$1517,"&lt;"&amp;C625),"")</f>
        <v/>
      </c>
      <c r="T625" s="8" t="n">
        <f aca="false">IF(O625&gt;=Models!$G$8,1+COUNTIF($O$5:$O$1517,"&gt;"&amp;O625)+COUNTIFS($O$5:$O$1517,O625,$B$5:$B$1517,"&lt;"&amp;B625)+COUNTIFS($O$5:$O$1517,O625,$B$5:$B$1517,B625,$C$5:$C$1517,"&lt;"&amp;C625),"")</f>
        <v>1005</v>
      </c>
      <c r="U625" s="8" t="n">
        <f aca="false">IF($K625=1,COUNTIFS($L$5:$L$1517,"&gt;="&amp;L625,$K$5:$K$1517,1)/COUNTIF($L$5:$L$1517,"&gt;="&amp;L625),0)</f>
        <v>0.13953488372093</v>
      </c>
      <c r="V625" s="8" t="n">
        <f aca="false">IF($K625=1,COUNTIFS($M$5:$M$1517,"&gt;="&amp;M625,$K$5:$K$1517,1)/COUNTIF($M$5:$M$1517,"&gt;="&amp;M625),0)</f>
        <v>0.12491738268341</v>
      </c>
      <c r="W625" s="8" t="n">
        <f aca="false">IF($K625=1,COUNTIFS($N$5:$N$1517,"&gt;="&amp;N625,$K$5:$K$1517,1)/COUNTIF($N$5:$N$1517,"&gt;="&amp;N625),0)</f>
        <v>0.214953271028037</v>
      </c>
      <c r="X625" s="8" t="n">
        <f aca="false">IF($K625=1,COUNTIFS($O$5:$O$1517,"&gt;="&amp;O625,$K$5:$K$1517,1)/COUNTIF($O$5:$O$1517,"&gt;="&amp;O625),0)</f>
        <v>0.12491738268341</v>
      </c>
      <c r="Y625" s="8" t="n">
        <f aca="false">IF($K625=1,COUNTIFS($P$5:$P$1517,"&gt;="&amp;P625,$K$5:$K$1517,1)/COUNTIF($P$5:$P$1517,"&gt;="&amp;P625),0)</f>
        <v>0.214953271028037</v>
      </c>
      <c r="Z625" s="8" t="n">
        <f aca="false">(L625-$K625)^2</f>
        <v>0.007103624089</v>
      </c>
      <c r="AA625" s="8" t="n">
        <f aca="false">(M625-$K625)^2</f>
        <v>0.824349595969</v>
      </c>
      <c r="AB625" s="8" t="n">
        <f aca="false">(N625-$K625)^2</f>
        <v>0.784058891841</v>
      </c>
      <c r="AC625" s="8" t="n">
        <f aca="false">(O625-$K625)^2</f>
        <v>0.798908829489</v>
      </c>
      <c r="AD625" s="8" t="n">
        <f aca="false">(P625-$K625)^2</f>
        <v>0.770885756001</v>
      </c>
      <c r="AE625" s="8" t="n">
        <f aca="false">MIN(INT(ROUND(N625*1000000,0)/100000),9)</f>
        <v>1</v>
      </c>
      <c r="AF625" s="8" t="n">
        <f aca="false">MIN(INT(ROUND(P625*1000000,0)/100000),9)</f>
        <v>1</v>
      </c>
    </row>
    <row r="626" customFormat="false" ht="15" hidden="false" customHeight="false" outlineLevel="0" collapsed="false">
      <c r="A626" s="4" t="n">
        <v>622</v>
      </c>
      <c r="B626" s="4" t="n">
        <v>1246</v>
      </c>
      <c r="C626" s="4" t="n">
        <v>1</v>
      </c>
      <c r="D626" s="11" t="n">
        <v>46082</v>
      </c>
      <c r="E626" s="4" t="s">
        <v>203</v>
      </c>
      <c r="F626" s="4" t="s">
        <v>207</v>
      </c>
      <c r="G626" s="4" t="n">
        <v>6</v>
      </c>
      <c r="H626" s="4" t="n">
        <v>4</v>
      </c>
      <c r="I626" s="4" t="n">
        <v>0</v>
      </c>
      <c r="J626" s="4"/>
      <c r="K626" s="4" t="n">
        <v>0</v>
      </c>
      <c r="L626" s="12" t="n">
        <v>0.566666</v>
      </c>
      <c r="M626" s="12" t="n">
        <v>0.092063</v>
      </c>
      <c r="N626" s="12" t="n">
        <v>0.051174</v>
      </c>
      <c r="O626" s="12" t="n">
        <v>0.106183</v>
      </c>
      <c r="P626" s="12" t="n">
        <v>0.052653</v>
      </c>
      <c r="Q626" s="0" t="str">
        <f aca="false">IF(L626&gt;=Models!$G$5,1+COUNTIF($L$5:$L$1517,"&gt;"&amp;L626)+COUNTIFS($L$5:$L$1517,L626,$B$5:$B$1517,"&lt;"&amp;B626)+COUNTIFS($L$5:$L$1517,L626,$B$5:$B$1517,B626,$C$5:$C$1517,"&lt;"&amp;C626),"")</f>
        <v/>
      </c>
      <c r="R626" s="0" t="str">
        <f aca="false">IF(M626&gt;=Models!$G$6,1+COUNTIF($M$5:$M$1517,"&gt;"&amp;M626)+COUNTIFS($M$5:$M$1517,M626,$B$5:$B$1517,"&lt;"&amp;B626)+COUNTIFS($M$5:$M$1517,M626,$B$5:$B$1517,B626,$C$5:$C$1517,"&lt;"&amp;C626),"")</f>
        <v/>
      </c>
      <c r="S626" s="0" t="str">
        <f aca="false">IF(N626&gt;=Models!$G$7,1+COUNTIF($N$5:$N$1517,"&gt;"&amp;N626)+COUNTIFS($N$5:$N$1517,N626,$B$5:$B$1517,"&lt;"&amp;B626)+COUNTIFS($N$5:$N$1517,N626,$B$5:$B$1517,B626,$C$5:$C$1517,"&lt;"&amp;C626),"")</f>
        <v/>
      </c>
      <c r="T626" s="8" t="n">
        <f aca="false">IF(O626&gt;=Models!$G$8,1+COUNTIF($O$5:$O$1517,"&gt;"&amp;O626)+COUNTIFS($O$5:$O$1517,O626,$B$5:$B$1517,"&lt;"&amp;B626)+COUNTIFS($O$5:$O$1517,O626,$B$5:$B$1517,B626,$C$5:$C$1517,"&lt;"&amp;C626),"")</f>
        <v>1008</v>
      </c>
      <c r="U626" s="8" t="n">
        <f aca="false">IF($K626=1,COUNTIFS($L$5:$L$1517,"&gt;="&amp;L626,$K$5:$K$1517,1)/COUNTIF($L$5:$L$1517,"&gt;="&amp;L626),0)</f>
        <v>0</v>
      </c>
      <c r="V626" s="8" t="n">
        <f aca="false">IF($K626=1,COUNTIFS($M$5:$M$1517,"&gt;="&amp;M626,$K$5:$K$1517,1)/COUNTIF($M$5:$M$1517,"&gt;="&amp;M626),0)</f>
        <v>0</v>
      </c>
      <c r="W626" s="8" t="n">
        <f aca="false">IF($K626=1,COUNTIFS($N$5:$N$1517,"&gt;="&amp;N626,$K$5:$K$1517,1)/COUNTIF($N$5:$N$1517,"&gt;="&amp;N626),0)</f>
        <v>0</v>
      </c>
      <c r="X626" s="8" t="n">
        <f aca="false">IF($K626=1,COUNTIFS($O$5:$O$1517,"&gt;="&amp;O626,$K$5:$K$1517,1)/COUNTIF($O$5:$O$1517,"&gt;="&amp;O626),0)</f>
        <v>0</v>
      </c>
      <c r="Y626" s="8" t="n">
        <f aca="false">IF($K626=1,COUNTIFS($P$5:$P$1517,"&gt;="&amp;P626,$K$5:$K$1517,1)/COUNTIF($P$5:$P$1517,"&gt;="&amp;P626),0)</f>
        <v>0</v>
      </c>
      <c r="Z626" s="8" t="n">
        <f aca="false">(L626-$K626)^2</f>
        <v>0.321110355556</v>
      </c>
      <c r="AA626" s="8" t="n">
        <f aca="false">(M626-$K626)^2</f>
        <v>0.008475595969</v>
      </c>
      <c r="AB626" s="8" t="n">
        <f aca="false">(N626-$K626)^2</f>
        <v>0.002618778276</v>
      </c>
      <c r="AC626" s="8" t="n">
        <f aca="false">(O626-$K626)^2</f>
        <v>0.011274829489</v>
      </c>
      <c r="AD626" s="8" t="n">
        <f aca="false">(P626-$K626)^2</f>
        <v>0.002772338409</v>
      </c>
      <c r="AE626" s="8" t="n">
        <f aca="false">MIN(INT(ROUND(N626*1000000,0)/100000),9)</f>
        <v>0</v>
      </c>
      <c r="AF626" s="8" t="n">
        <f aca="false">MIN(INT(ROUND(P626*1000000,0)/100000),9)</f>
        <v>0</v>
      </c>
    </row>
    <row r="627" customFormat="false" ht="15" hidden="false" customHeight="false" outlineLevel="0" collapsed="false">
      <c r="A627" s="4" t="n">
        <v>623</v>
      </c>
      <c r="B627" s="4" t="n">
        <v>1247</v>
      </c>
      <c r="C627" s="4" t="n">
        <v>1</v>
      </c>
      <c r="D627" s="11" t="n">
        <v>46082</v>
      </c>
      <c r="E627" s="4" t="s">
        <v>203</v>
      </c>
      <c r="F627" s="4" t="s">
        <v>207</v>
      </c>
      <c r="G627" s="4" t="n">
        <v>7</v>
      </c>
      <c r="H627" s="4" t="n">
        <v>3</v>
      </c>
      <c r="I627" s="4" t="n">
        <v>0</v>
      </c>
      <c r="J627" s="4"/>
      <c r="K627" s="4" t="n">
        <v>0</v>
      </c>
      <c r="L627" s="12" t="n">
        <v>0.873069</v>
      </c>
      <c r="M627" s="12" t="n">
        <v>0.092063</v>
      </c>
      <c r="N627" s="12" t="n">
        <v>0.046611</v>
      </c>
      <c r="O627" s="12" t="n">
        <v>0.106183</v>
      </c>
      <c r="P627" s="12" t="n">
        <v>0.047752</v>
      </c>
      <c r="Q627" s="0" t="str">
        <f aca="false">IF(L627&gt;=Models!$G$5,1+COUNTIF($L$5:$L$1517,"&gt;"&amp;L627)+COUNTIFS($L$5:$L$1517,L627,$B$5:$B$1517,"&lt;"&amp;B627)+COUNTIFS($L$5:$L$1517,L627,$B$5:$B$1517,B627,$C$5:$C$1517,"&lt;"&amp;C627),"")</f>
        <v/>
      </c>
      <c r="R627" s="0" t="str">
        <f aca="false">IF(M627&gt;=Models!$G$6,1+COUNTIF($M$5:$M$1517,"&gt;"&amp;M627)+COUNTIFS($M$5:$M$1517,M627,$B$5:$B$1517,"&lt;"&amp;B627)+COUNTIFS($M$5:$M$1517,M627,$B$5:$B$1517,B627,$C$5:$C$1517,"&lt;"&amp;C627),"")</f>
        <v/>
      </c>
      <c r="S627" s="0" t="str">
        <f aca="false">IF(N627&gt;=Models!$G$7,1+COUNTIF($N$5:$N$1517,"&gt;"&amp;N627)+COUNTIFS($N$5:$N$1517,N627,$B$5:$B$1517,"&lt;"&amp;B627)+COUNTIFS($N$5:$N$1517,N627,$B$5:$B$1517,B627,$C$5:$C$1517,"&lt;"&amp;C627),"")</f>
        <v/>
      </c>
      <c r="T627" s="8" t="n">
        <f aca="false">IF(O627&gt;=Models!$G$8,1+COUNTIF($O$5:$O$1517,"&gt;"&amp;O627)+COUNTIFS($O$5:$O$1517,O627,$B$5:$B$1517,"&lt;"&amp;B627)+COUNTIFS($O$5:$O$1517,O627,$B$5:$B$1517,B627,$C$5:$C$1517,"&lt;"&amp;C627),"")</f>
        <v>1012</v>
      </c>
      <c r="U627" s="8" t="n">
        <f aca="false">IF($K627=1,COUNTIFS($L$5:$L$1517,"&gt;="&amp;L627,$K$5:$K$1517,1)/COUNTIF($L$5:$L$1517,"&gt;="&amp;L627),0)</f>
        <v>0</v>
      </c>
      <c r="V627" s="8" t="n">
        <f aca="false">IF($K627=1,COUNTIFS($M$5:$M$1517,"&gt;="&amp;M627,$K$5:$K$1517,1)/COUNTIF($M$5:$M$1517,"&gt;="&amp;M627),0)</f>
        <v>0</v>
      </c>
      <c r="W627" s="8" t="n">
        <f aca="false">IF($K627=1,COUNTIFS($N$5:$N$1517,"&gt;="&amp;N627,$K$5:$K$1517,1)/COUNTIF($N$5:$N$1517,"&gt;="&amp;N627),0)</f>
        <v>0</v>
      </c>
      <c r="X627" s="8" t="n">
        <f aca="false">IF($K627=1,COUNTIFS($O$5:$O$1517,"&gt;="&amp;O627,$K$5:$K$1517,1)/COUNTIF($O$5:$O$1517,"&gt;="&amp;O627),0)</f>
        <v>0</v>
      </c>
      <c r="Y627" s="8" t="n">
        <f aca="false">IF($K627=1,COUNTIFS($P$5:$P$1517,"&gt;="&amp;P627,$K$5:$K$1517,1)/COUNTIF($P$5:$P$1517,"&gt;="&amp;P627),0)</f>
        <v>0</v>
      </c>
      <c r="Z627" s="8" t="n">
        <f aca="false">(L627-$K627)^2</f>
        <v>0.762249478761</v>
      </c>
      <c r="AA627" s="8" t="n">
        <f aca="false">(M627-$K627)^2</f>
        <v>0.008475595969</v>
      </c>
      <c r="AB627" s="8" t="n">
        <f aca="false">(N627-$K627)^2</f>
        <v>0.002172585321</v>
      </c>
      <c r="AC627" s="8" t="n">
        <f aca="false">(O627-$K627)^2</f>
        <v>0.011274829489</v>
      </c>
      <c r="AD627" s="8" t="n">
        <f aca="false">(P627-$K627)^2</f>
        <v>0.002280253504</v>
      </c>
      <c r="AE627" s="8" t="n">
        <f aca="false">MIN(INT(ROUND(N627*1000000,0)/100000),9)</f>
        <v>0</v>
      </c>
      <c r="AF627" s="8" t="n">
        <f aca="false">MIN(INT(ROUND(P627*1000000,0)/100000),9)</f>
        <v>0</v>
      </c>
    </row>
    <row r="628" customFormat="false" ht="15" hidden="false" customHeight="false" outlineLevel="0" collapsed="false">
      <c r="A628" s="4" t="n">
        <v>624</v>
      </c>
      <c r="B628" s="4" t="n">
        <v>1249</v>
      </c>
      <c r="C628" s="4" t="n">
        <v>1</v>
      </c>
      <c r="D628" s="11" t="n">
        <v>46082</v>
      </c>
      <c r="E628" s="4" t="s">
        <v>201</v>
      </c>
      <c r="F628" s="4" t="s">
        <v>209</v>
      </c>
      <c r="G628" s="4" t="n">
        <v>2</v>
      </c>
      <c r="H628" s="4" t="n">
        <v>7</v>
      </c>
      <c r="I628" s="4" t="n">
        <v>2</v>
      </c>
      <c r="J628" s="4"/>
      <c r="K628" s="4" t="n">
        <v>0</v>
      </c>
      <c r="L628" s="12" t="n">
        <v>0.53036</v>
      </c>
      <c r="M628" s="12" t="n">
        <v>0.184211</v>
      </c>
      <c r="N628" s="12" t="n">
        <v>0.206958</v>
      </c>
      <c r="O628" s="12" t="n">
        <v>0.106183</v>
      </c>
      <c r="P628" s="12" t="n">
        <v>0.224731</v>
      </c>
      <c r="Q628" s="0" t="str">
        <f aca="false">IF(L628&gt;=Models!$G$5,1+COUNTIF($L$5:$L$1517,"&gt;"&amp;L628)+COUNTIFS($L$5:$L$1517,L628,$B$5:$B$1517,"&lt;"&amp;B628)+COUNTIFS($L$5:$L$1517,L628,$B$5:$B$1517,B628,$C$5:$C$1517,"&lt;"&amp;C628),"")</f>
        <v/>
      </c>
      <c r="R628" s="8" t="n">
        <f aca="false">IF(M628&gt;=Models!$G$6,1+COUNTIF($M$5:$M$1517,"&gt;"&amp;M628)+COUNTIFS($M$5:$M$1517,M628,$B$5:$B$1517,"&lt;"&amp;B628)+COUNTIFS($M$5:$M$1517,M628,$B$5:$B$1517,B628,$C$5:$C$1517,"&lt;"&amp;C628),"")</f>
        <v>119</v>
      </c>
      <c r="S628" s="0" t="str">
        <f aca="false">IF(N628&gt;=Models!$G$7,1+COUNTIF($N$5:$N$1517,"&gt;"&amp;N628)+COUNTIFS($N$5:$N$1517,N628,$B$5:$B$1517,"&lt;"&amp;B628)+COUNTIFS($N$5:$N$1517,N628,$B$5:$B$1517,B628,$C$5:$C$1517,"&lt;"&amp;C628),"")</f>
        <v/>
      </c>
      <c r="T628" s="8" t="n">
        <f aca="false">IF(O628&gt;=Models!$G$8,1+COUNTIF($O$5:$O$1517,"&gt;"&amp;O628)+COUNTIFS($O$5:$O$1517,O628,$B$5:$B$1517,"&lt;"&amp;B628)+COUNTIFS($O$5:$O$1517,O628,$B$5:$B$1517,B628,$C$5:$C$1517,"&lt;"&amp;C628),"")</f>
        <v>1016</v>
      </c>
      <c r="U628" s="8" t="n">
        <f aca="false">IF($K628=1,COUNTIFS($L$5:$L$1517,"&gt;="&amp;L628,$K$5:$K$1517,1)/COUNTIF($L$5:$L$1517,"&gt;="&amp;L628),0)</f>
        <v>0</v>
      </c>
      <c r="V628" s="8" t="n">
        <f aca="false">IF($K628=1,COUNTIFS($M$5:$M$1517,"&gt;="&amp;M628,$K$5:$K$1517,1)/COUNTIF($M$5:$M$1517,"&gt;="&amp;M628),0)</f>
        <v>0</v>
      </c>
      <c r="W628" s="8" t="n">
        <f aca="false">IF($K628=1,COUNTIFS($N$5:$N$1517,"&gt;="&amp;N628,$K$5:$K$1517,1)/COUNTIF($N$5:$N$1517,"&gt;="&amp;N628),0)</f>
        <v>0</v>
      </c>
      <c r="X628" s="8" t="n">
        <f aca="false">IF($K628=1,COUNTIFS($O$5:$O$1517,"&gt;="&amp;O628,$K$5:$K$1517,1)/COUNTIF($O$5:$O$1517,"&gt;="&amp;O628),0)</f>
        <v>0</v>
      </c>
      <c r="Y628" s="8" t="n">
        <f aca="false">IF($K628=1,COUNTIFS($P$5:$P$1517,"&gt;="&amp;P628,$K$5:$K$1517,1)/COUNTIF($P$5:$P$1517,"&gt;="&amp;P628),0)</f>
        <v>0</v>
      </c>
      <c r="Z628" s="8" t="n">
        <f aca="false">(L628-$K628)^2</f>
        <v>0.2812817296</v>
      </c>
      <c r="AA628" s="8" t="n">
        <f aca="false">(M628-$K628)^2</f>
        <v>0.033933692521</v>
      </c>
      <c r="AB628" s="8" t="n">
        <f aca="false">(N628-$K628)^2</f>
        <v>0.042831613764</v>
      </c>
      <c r="AC628" s="8" t="n">
        <f aca="false">(O628-$K628)^2</f>
        <v>0.011274829489</v>
      </c>
      <c r="AD628" s="8" t="n">
        <f aca="false">(P628-$K628)^2</f>
        <v>0.050504022361</v>
      </c>
      <c r="AE628" s="8" t="n">
        <f aca="false">MIN(INT(ROUND(N628*1000000,0)/100000),9)</f>
        <v>2</v>
      </c>
      <c r="AF628" s="8" t="n">
        <f aca="false">MIN(INT(ROUND(P628*1000000,0)/100000),9)</f>
        <v>2</v>
      </c>
    </row>
    <row r="629" customFormat="false" ht="15" hidden="false" customHeight="false" outlineLevel="0" collapsed="false">
      <c r="A629" s="4" t="n">
        <v>625</v>
      </c>
      <c r="B629" s="4" t="n">
        <v>1256</v>
      </c>
      <c r="C629" s="4" t="n">
        <v>1</v>
      </c>
      <c r="D629" s="11" t="n">
        <v>46082</v>
      </c>
      <c r="E629" s="4" t="s">
        <v>201</v>
      </c>
      <c r="F629" s="4" t="s">
        <v>206</v>
      </c>
      <c r="G629" s="4" t="n">
        <v>3</v>
      </c>
      <c r="H629" s="4" t="n">
        <v>0</v>
      </c>
      <c r="I629" s="4" t="n">
        <v>2</v>
      </c>
      <c r="J629" s="4"/>
      <c r="K629" s="4" t="n">
        <v>0</v>
      </c>
      <c r="L629" s="12" t="n">
        <v>0.663459</v>
      </c>
      <c r="M629" s="12" t="n">
        <v>0.184211</v>
      </c>
      <c r="N629" s="12" t="n">
        <v>0.183814</v>
      </c>
      <c r="O629" s="12" t="n">
        <v>0.106183</v>
      </c>
      <c r="P629" s="12" t="n">
        <v>0.198981</v>
      </c>
      <c r="Q629" s="0" t="str">
        <f aca="false">IF(L629&gt;=Models!$G$5,1+COUNTIF($L$5:$L$1517,"&gt;"&amp;L629)+COUNTIFS($L$5:$L$1517,L629,$B$5:$B$1517,"&lt;"&amp;B629)+COUNTIFS($L$5:$L$1517,L629,$B$5:$B$1517,B629,$C$5:$C$1517,"&lt;"&amp;C629),"")</f>
        <v/>
      </c>
      <c r="R629" s="8" t="n">
        <f aca="false">IF(M629&gt;=Models!$G$6,1+COUNTIF($M$5:$M$1517,"&gt;"&amp;M629)+COUNTIFS($M$5:$M$1517,M629,$B$5:$B$1517,"&lt;"&amp;B629)+COUNTIFS($M$5:$M$1517,M629,$B$5:$B$1517,B629,$C$5:$C$1517,"&lt;"&amp;C629),"")</f>
        <v>123</v>
      </c>
      <c r="S629" s="0" t="str">
        <f aca="false">IF(N629&gt;=Models!$G$7,1+COUNTIF($N$5:$N$1517,"&gt;"&amp;N629)+COUNTIFS($N$5:$N$1517,N629,$B$5:$B$1517,"&lt;"&amp;B629)+COUNTIFS($N$5:$N$1517,N629,$B$5:$B$1517,B629,$C$5:$C$1517,"&lt;"&amp;C629),"")</f>
        <v/>
      </c>
      <c r="T629" s="8" t="n">
        <f aca="false">IF(O629&gt;=Models!$G$8,1+COUNTIF($O$5:$O$1517,"&gt;"&amp;O629)+COUNTIFS($O$5:$O$1517,O629,$B$5:$B$1517,"&lt;"&amp;B629)+COUNTIFS($O$5:$O$1517,O629,$B$5:$B$1517,B629,$C$5:$C$1517,"&lt;"&amp;C629),"")</f>
        <v>1020</v>
      </c>
      <c r="U629" s="8" t="n">
        <f aca="false">IF($K629=1,COUNTIFS($L$5:$L$1517,"&gt;="&amp;L629,$K$5:$K$1517,1)/COUNTIF($L$5:$L$1517,"&gt;="&amp;L629),0)</f>
        <v>0</v>
      </c>
      <c r="V629" s="8" t="n">
        <f aca="false">IF($K629=1,COUNTIFS($M$5:$M$1517,"&gt;="&amp;M629,$K$5:$K$1517,1)/COUNTIF($M$5:$M$1517,"&gt;="&amp;M629),0)</f>
        <v>0</v>
      </c>
      <c r="W629" s="8" t="n">
        <f aca="false">IF($K629=1,COUNTIFS($N$5:$N$1517,"&gt;="&amp;N629,$K$5:$K$1517,1)/COUNTIF($N$5:$N$1517,"&gt;="&amp;N629),0)</f>
        <v>0</v>
      </c>
      <c r="X629" s="8" t="n">
        <f aca="false">IF($K629=1,COUNTIFS($O$5:$O$1517,"&gt;="&amp;O629,$K$5:$K$1517,1)/COUNTIF($O$5:$O$1517,"&gt;="&amp;O629),0)</f>
        <v>0</v>
      </c>
      <c r="Y629" s="8" t="n">
        <f aca="false">IF($K629=1,COUNTIFS($P$5:$P$1517,"&gt;="&amp;P629,$K$5:$K$1517,1)/COUNTIF($P$5:$P$1517,"&gt;="&amp;P629),0)</f>
        <v>0</v>
      </c>
      <c r="Z629" s="8" t="n">
        <f aca="false">(L629-$K629)^2</f>
        <v>0.440177844681</v>
      </c>
      <c r="AA629" s="8" t="n">
        <f aca="false">(M629-$K629)^2</f>
        <v>0.033933692521</v>
      </c>
      <c r="AB629" s="8" t="n">
        <f aca="false">(N629-$K629)^2</f>
        <v>0.033787586596</v>
      </c>
      <c r="AC629" s="8" t="n">
        <f aca="false">(O629-$K629)^2</f>
        <v>0.011274829489</v>
      </c>
      <c r="AD629" s="8" t="n">
        <f aca="false">(P629-$K629)^2</f>
        <v>0.039593438361</v>
      </c>
      <c r="AE629" s="8" t="n">
        <f aca="false">MIN(INT(ROUND(N629*1000000,0)/100000),9)</f>
        <v>1</v>
      </c>
      <c r="AF629" s="8" t="n">
        <f aca="false">MIN(INT(ROUND(P629*1000000,0)/100000),9)</f>
        <v>1</v>
      </c>
    </row>
    <row r="630" customFormat="false" ht="15" hidden="false" customHeight="false" outlineLevel="0" collapsed="false">
      <c r="A630" s="4" t="n">
        <v>626</v>
      </c>
      <c r="B630" s="4" t="n">
        <v>1262</v>
      </c>
      <c r="C630" s="4" t="n">
        <v>1</v>
      </c>
      <c r="D630" s="11" t="n">
        <v>46082</v>
      </c>
      <c r="E630" s="4" t="s">
        <v>201</v>
      </c>
      <c r="F630" s="4" t="s">
        <v>207</v>
      </c>
      <c r="G630" s="4" t="n">
        <v>10</v>
      </c>
      <c r="H630" s="4" t="n">
        <v>0</v>
      </c>
      <c r="I630" s="4" t="n">
        <v>0</v>
      </c>
      <c r="J630" s="4" t="n">
        <v>6618</v>
      </c>
      <c r="K630" s="4" t="n">
        <v>0</v>
      </c>
      <c r="L630" s="12" t="n">
        <v>0.606649</v>
      </c>
      <c r="M630" s="12" t="n">
        <v>0.092063</v>
      </c>
      <c r="N630" s="12" t="n">
        <v>0.050198</v>
      </c>
      <c r="O630" s="12" t="n">
        <v>0.106183</v>
      </c>
      <c r="P630" s="12" t="n">
        <v>0.051603</v>
      </c>
      <c r="Q630" s="0" t="str">
        <f aca="false">IF(L630&gt;=Models!$G$5,1+COUNTIF($L$5:$L$1517,"&gt;"&amp;L630)+COUNTIFS($L$5:$L$1517,L630,$B$5:$B$1517,"&lt;"&amp;B630)+COUNTIFS($L$5:$L$1517,L630,$B$5:$B$1517,B630,$C$5:$C$1517,"&lt;"&amp;C630),"")</f>
        <v/>
      </c>
      <c r="R630" s="0" t="str">
        <f aca="false">IF(M630&gt;=Models!$G$6,1+COUNTIF($M$5:$M$1517,"&gt;"&amp;M630)+COUNTIFS($M$5:$M$1517,M630,$B$5:$B$1517,"&lt;"&amp;B630)+COUNTIFS($M$5:$M$1517,M630,$B$5:$B$1517,B630,$C$5:$C$1517,"&lt;"&amp;C630),"")</f>
        <v/>
      </c>
      <c r="S630" s="0" t="str">
        <f aca="false">IF(N630&gt;=Models!$G$7,1+COUNTIF($N$5:$N$1517,"&gt;"&amp;N630)+COUNTIFS($N$5:$N$1517,N630,$B$5:$B$1517,"&lt;"&amp;B630)+COUNTIFS($N$5:$N$1517,N630,$B$5:$B$1517,B630,$C$5:$C$1517,"&lt;"&amp;C630),"")</f>
        <v/>
      </c>
      <c r="T630" s="8" t="n">
        <f aca="false">IF(O630&gt;=Models!$G$8,1+COUNTIF($O$5:$O$1517,"&gt;"&amp;O630)+COUNTIFS($O$5:$O$1517,O630,$B$5:$B$1517,"&lt;"&amp;B630)+COUNTIFS($O$5:$O$1517,O630,$B$5:$B$1517,B630,$C$5:$C$1517,"&lt;"&amp;C630),"")</f>
        <v>1024</v>
      </c>
      <c r="U630" s="8" t="n">
        <f aca="false">IF($K630=1,COUNTIFS($L$5:$L$1517,"&gt;="&amp;L630,$K$5:$K$1517,1)/COUNTIF($L$5:$L$1517,"&gt;="&amp;L630),0)</f>
        <v>0</v>
      </c>
      <c r="V630" s="8" t="n">
        <f aca="false">IF($K630=1,COUNTIFS($M$5:$M$1517,"&gt;="&amp;M630,$K$5:$K$1517,1)/COUNTIF($M$5:$M$1517,"&gt;="&amp;M630),0)</f>
        <v>0</v>
      </c>
      <c r="W630" s="8" t="n">
        <f aca="false">IF($K630=1,COUNTIFS($N$5:$N$1517,"&gt;="&amp;N630,$K$5:$K$1517,1)/COUNTIF($N$5:$N$1517,"&gt;="&amp;N630),0)</f>
        <v>0</v>
      </c>
      <c r="X630" s="8" t="n">
        <f aca="false">IF($K630=1,COUNTIFS($O$5:$O$1517,"&gt;="&amp;O630,$K$5:$K$1517,1)/COUNTIF($O$5:$O$1517,"&gt;="&amp;O630),0)</f>
        <v>0</v>
      </c>
      <c r="Y630" s="8" t="n">
        <f aca="false">IF($K630=1,COUNTIFS($P$5:$P$1517,"&gt;="&amp;P630,$K$5:$K$1517,1)/COUNTIF($P$5:$P$1517,"&gt;="&amp;P630),0)</f>
        <v>0</v>
      </c>
      <c r="Z630" s="8" t="n">
        <f aca="false">(L630-$K630)^2</f>
        <v>0.368023009201</v>
      </c>
      <c r="AA630" s="8" t="n">
        <f aca="false">(M630-$K630)^2</f>
        <v>0.008475595969</v>
      </c>
      <c r="AB630" s="8" t="n">
        <f aca="false">(N630-$K630)^2</f>
        <v>0.002519839204</v>
      </c>
      <c r="AC630" s="8" t="n">
        <f aca="false">(O630-$K630)^2</f>
        <v>0.011274829489</v>
      </c>
      <c r="AD630" s="8" t="n">
        <f aca="false">(P630-$K630)^2</f>
        <v>0.002662869609</v>
      </c>
      <c r="AE630" s="8" t="n">
        <f aca="false">MIN(INT(ROUND(N630*1000000,0)/100000),9)</f>
        <v>0</v>
      </c>
      <c r="AF630" s="8" t="n">
        <f aca="false">MIN(INT(ROUND(P630*1000000,0)/100000),9)</f>
        <v>0</v>
      </c>
    </row>
    <row r="631" customFormat="false" ht="15" hidden="false" customHeight="false" outlineLevel="0" collapsed="false">
      <c r="A631" s="4" t="n">
        <v>627</v>
      </c>
      <c r="B631" s="4" t="n">
        <v>1266</v>
      </c>
      <c r="C631" s="4" t="n">
        <v>1</v>
      </c>
      <c r="D631" s="11" t="n">
        <v>46082</v>
      </c>
      <c r="E631" s="4" t="s">
        <v>202</v>
      </c>
      <c r="F631" s="4" t="s">
        <v>207</v>
      </c>
      <c r="G631" s="4" t="n">
        <v>11</v>
      </c>
      <c r="H631" s="4" t="n">
        <v>0</v>
      </c>
      <c r="I631" s="4" t="n">
        <v>0</v>
      </c>
      <c r="J631" s="4"/>
      <c r="K631" s="4" t="n">
        <v>1</v>
      </c>
      <c r="L631" s="12" t="n">
        <v>0.110173</v>
      </c>
      <c r="M631" s="12" t="n">
        <v>0.092063</v>
      </c>
      <c r="N631" s="12" t="n">
        <v>0.03221</v>
      </c>
      <c r="O631" s="12" t="n">
        <v>0.106183</v>
      </c>
      <c r="P631" s="12" t="n">
        <v>0.032432</v>
      </c>
      <c r="Q631" s="0" t="str">
        <f aca="false">IF(L631&gt;=Models!$G$5,1+COUNTIF($L$5:$L$1517,"&gt;"&amp;L631)+COUNTIFS($L$5:$L$1517,L631,$B$5:$B$1517,"&lt;"&amp;B631)+COUNTIFS($L$5:$L$1517,L631,$B$5:$B$1517,B631,$C$5:$C$1517,"&lt;"&amp;C631),"")</f>
        <v/>
      </c>
      <c r="R631" s="0" t="str">
        <f aca="false">IF(M631&gt;=Models!$G$6,1+COUNTIF($M$5:$M$1517,"&gt;"&amp;M631)+COUNTIFS($M$5:$M$1517,M631,$B$5:$B$1517,"&lt;"&amp;B631)+COUNTIFS($M$5:$M$1517,M631,$B$5:$B$1517,B631,$C$5:$C$1517,"&lt;"&amp;C631),"")</f>
        <v/>
      </c>
      <c r="S631" s="0" t="str">
        <f aca="false">IF(N631&gt;=Models!$G$7,1+COUNTIF($N$5:$N$1517,"&gt;"&amp;N631)+COUNTIFS($N$5:$N$1517,N631,$B$5:$B$1517,"&lt;"&amp;B631)+COUNTIFS($N$5:$N$1517,N631,$B$5:$B$1517,B631,$C$5:$C$1517,"&lt;"&amp;C631),"")</f>
        <v/>
      </c>
      <c r="T631" s="8" t="n">
        <f aca="false">IF(O631&gt;=Models!$G$8,1+COUNTIF($O$5:$O$1517,"&gt;"&amp;O631)+COUNTIFS($O$5:$O$1517,O631,$B$5:$B$1517,"&lt;"&amp;B631)+COUNTIFS($O$5:$O$1517,O631,$B$5:$B$1517,B631,$C$5:$C$1517,"&lt;"&amp;C631),"")</f>
        <v>1028</v>
      </c>
      <c r="U631" s="8" t="n">
        <f aca="false">IF($K631=1,COUNTIFS($L$5:$L$1517,"&gt;="&amp;L631,$K$5:$K$1517,1)/COUNTIF($L$5:$L$1517,"&gt;="&amp;L631),0)</f>
        <v>0.123030757689422</v>
      </c>
      <c r="V631" s="8" t="n">
        <f aca="false">IF($K631=1,COUNTIFS($M$5:$M$1517,"&gt;="&amp;M631,$K$5:$K$1517,1)/COUNTIF($M$5:$M$1517,"&gt;="&amp;M631),0)</f>
        <v>0.12491738268341</v>
      </c>
      <c r="W631" s="8" t="n">
        <f aca="false">IF($K631=1,COUNTIFS($N$5:$N$1517,"&gt;="&amp;N631,$K$5:$K$1517,1)/COUNTIF($N$5:$N$1517,"&gt;="&amp;N631),0)</f>
        <v>0.134839650145773</v>
      </c>
      <c r="X631" s="8" t="n">
        <f aca="false">IF($K631=1,COUNTIFS($O$5:$O$1517,"&gt;="&amp;O631,$K$5:$K$1517,1)/COUNTIF($O$5:$O$1517,"&gt;="&amp;O631),0)</f>
        <v>0.12491738268341</v>
      </c>
      <c r="Y631" s="8" t="n">
        <f aca="false">IF($K631=1,COUNTIFS($P$5:$P$1517,"&gt;="&amp;P631,$K$5:$K$1517,1)/COUNTIF($P$5:$P$1517,"&gt;="&amp;P631),0)</f>
        <v>0.134839650145773</v>
      </c>
      <c r="Z631" s="8" t="n">
        <f aca="false">(L631-$K631)^2</f>
        <v>0.791792089929</v>
      </c>
      <c r="AA631" s="8" t="n">
        <f aca="false">(M631-$K631)^2</f>
        <v>0.824349595969</v>
      </c>
      <c r="AB631" s="8" t="n">
        <f aca="false">(N631-$K631)^2</f>
        <v>0.9366174841</v>
      </c>
      <c r="AC631" s="8" t="n">
        <f aca="false">(O631-$K631)^2</f>
        <v>0.798908829489</v>
      </c>
      <c r="AD631" s="8" t="n">
        <f aca="false">(P631-$K631)^2</f>
        <v>0.936187834624</v>
      </c>
      <c r="AE631" s="8" t="n">
        <f aca="false">MIN(INT(ROUND(N631*1000000,0)/100000),9)</f>
        <v>0</v>
      </c>
      <c r="AF631" s="8" t="n">
        <f aca="false">MIN(INT(ROUND(P631*1000000,0)/100000),9)</f>
        <v>0</v>
      </c>
    </row>
    <row r="632" customFormat="false" ht="15" hidden="false" customHeight="false" outlineLevel="0" collapsed="false">
      <c r="A632" s="4" t="n">
        <v>628</v>
      </c>
      <c r="B632" s="4" t="n">
        <v>1270</v>
      </c>
      <c r="C632" s="4" t="n">
        <v>1</v>
      </c>
      <c r="D632" s="11" t="n">
        <v>46082</v>
      </c>
      <c r="E632" s="4" t="s">
        <v>204</v>
      </c>
      <c r="F632" s="4" t="s">
        <v>208</v>
      </c>
      <c r="G632" s="4" t="n">
        <v>2</v>
      </c>
      <c r="H632" s="4" t="n">
        <v>0</v>
      </c>
      <c r="I632" s="4" t="n">
        <v>0</v>
      </c>
      <c r="J632" s="4"/>
      <c r="K632" s="4" t="n">
        <v>1</v>
      </c>
      <c r="L632" s="12" t="n">
        <v>0.853895</v>
      </c>
      <c r="M632" s="12" t="n">
        <v>0.092063</v>
      </c>
      <c r="N632" s="12" t="n">
        <v>0.069604</v>
      </c>
      <c r="O632" s="12" t="n">
        <v>0.106183</v>
      </c>
      <c r="P632" s="12" t="n">
        <v>0.072616</v>
      </c>
      <c r="Q632" s="0" t="str">
        <f aca="false">IF(L632&gt;=Models!$G$5,1+COUNTIF($L$5:$L$1517,"&gt;"&amp;L632)+COUNTIFS($L$5:$L$1517,L632,$B$5:$B$1517,"&lt;"&amp;B632)+COUNTIFS($L$5:$L$1517,L632,$B$5:$B$1517,B632,$C$5:$C$1517,"&lt;"&amp;C632),"")</f>
        <v/>
      </c>
      <c r="R632" s="0" t="str">
        <f aca="false">IF(M632&gt;=Models!$G$6,1+COUNTIF($M$5:$M$1517,"&gt;"&amp;M632)+COUNTIFS($M$5:$M$1517,M632,$B$5:$B$1517,"&lt;"&amp;B632)+COUNTIFS($M$5:$M$1517,M632,$B$5:$B$1517,B632,$C$5:$C$1517,"&lt;"&amp;C632),"")</f>
        <v/>
      </c>
      <c r="S632" s="0" t="str">
        <f aca="false">IF(N632&gt;=Models!$G$7,1+COUNTIF($N$5:$N$1517,"&gt;"&amp;N632)+COUNTIFS($N$5:$N$1517,N632,$B$5:$B$1517,"&lt;"&amp;B632)+COUNTIFS($N$5:$N$1517,N632,$B$5:$B$1517,B632,$C$5:$C$1517,"&lt;"&amp;C632),"")</f>
        <v/>
      </c>
      <c r="T632" s="8" t="n">
        <f aca="false">IF(O632&gt;=Models!$G$8,1+COUNTIF($O$5:$O$1517,"&gt;"&amp;O632)+COUNTIFS($O$5:$O$1517,O632,$B$5:$B$1517,"&lt;"&amp;B632)+COUNTIFS($O$5:$O$1517,O632,$B$5:$B$1517,B632,$C$5:$C$1517,"&lt;"&amp;C632),"")</f>
        <v>1031</v>
      </c>
      <c r="U632" s="8" t="n">
        <f aca="false">IF($K632=1,COUNTIFS($L$5:$L$1517,"&gt;="&amp;L632,$K$5:$K$1517,1)/COUNTIF($L$5:$L$1517,"&gt;="&amp;L632),0)</f>
        <v>0.130841121495327</v>
      </c>
      <c r="V632" s="8" t="n">
        <f aca="false">IF($K632=1,COUNTIFS($M$5:$M$1517,"&gt;="&amp;M632,$K$5:$K$1517,1)/COUNTIF($M$5:$M$1517,"&gt;="&amp;M632),0)</f>
        <v>0.12491738268341</v>
      </c>
      <c r="W632" s="8" t="n">
        <f aca="false">IF($K632=1,COUNTIFS($N$5:$N$1517,"&gt;="&amp;N632,$K$5:$K$1517,1)/COUNTIF($N$5:$N$1517,"&gt;="&amp;N632),0)</f>
        <v>0.162576687116564</v>
      </c>
      <c r="X632" s="8" t="n">
        <f aca="false">IF($K632=1,COUNTIFS($O$5:$O$1517,"&gt;="&amp;O632,$K$5:$K$1517,1)/COUNTIF($O$5:$O$1517,"&gt;="&amp;O632),0)</f>
        <v>0.12491738268341</v>
      </c>
      <c r="Y632" s="8" t="n">
        <f aca="false">IF($K632=1,COUNTIFS($P$5:$P$1517,"&gt;="&amp;P632,$K$5:$K$1517,1)/COUNTIF($P$5:$P$1517,"&gt;="&amp;P632),0)</f>
        <v>0.162576687116564</v>
      </c>
      <c r="Z632" s="8" t="n">
        <f aca="false">(L632-$K632)^2</f>
        <v>0.021346671025</v>
      </c>
      <c r="AA632" s="8" t="n">
        <f aca="false">(M632-$K632)^2</f>
        <v>0.824349595969</v>
      </c>
      <c r="AB632" s="8" t="n">
        <f aca="false">(N632-$K632)^2</f>
        <v>0.865636716816</v>
      </c>
      <c r="AC632" s="8" t="n">
        <f aca="false">(O632-$K632)^2</f>
        <v>0.798908829489</v>
      </c>
      <c r="AD632" s="8" t="n">
        <f aca="false">(P632-$K632)^2</f>
        <v>0.860041083456</v>
      </c>
      <c r="AE632" s="8" t="n">
        <f aca="false">MIN(INT(ROUND(N632*1000000,0)/100000),9)</f>
        <v>0</v>
      </c>
      <c r="AF632" s="8" t="n">
        <f aca="false">MIN(INT(ROUND(P632*1000000,0)/100000),9)</f>
        <v>0</v>
      </c>
    </row>
    <row r="633" customFormat="false" ht="15" hidden="false" customHeight="false" outlineLevel="0" collapsed="false">
      <c r="A633" s="4" t="n">
        <v>629</v>
      </c>
      <c r="B633" s="4" t="n">
        <v>1274</v>
      </c>
      <c r="C633" s="4" t="n">
        <v>1</v>
      </c>
      <c r="D633" s="11" t="n">
        <v>46082</v>
      </c>
      <c r="E633" s="4" t="s">
        <v>202</v>
      </c>
      <c r="F633" s="4" t="s">
        <v>210</v>
      </c>
      <c r="G633" s="4" t="n">
        <v>5</v>
      </c>
      <c r="H633" s="4" t="n">
        <v>7</v>
      </c>
      <c r="I633" s="4" t="n">
        <v>0</v>
      </c>
      <c r="J633" s="4"/>
      <c r="K633" s="4" t="n">
        <v>0</v>
      </c>
      <c r="L633" s="12" t="n">
        <v>0.118415</v>
      </c>
      <c r="M633" s="12" t="n">
        <v>0.092063</v>
      </c>
      <c r="N633" s="12" t="n">
        <v>0.057033</v>
      </c>
      <c r="O633" s="12" t="n">
        <v>0.106183</v>
      </c>
      <c r="P633" s="12" t="n">
        <v>0.058972</v>
      </c>
      <c r="Q633" s="0" t="str">
        <f aca="false">IF(L633&gt;=Models!$G$5,1+COUNTIF($L$5:$L$1517,"&gt;"&amp;L633)+COUNTIFS($L$5:$L$1517,L633,$B$5:$B$1517,"&lt;"&amp;B633)+COUNTIFS($L$5:$L$1517,L633,$B$5:$B$1517,B633,$C$5:$C$1517,"&lt;"&amp;C633),"")</f>
        <v/>
      </c>
      <c r="R633" s="0" t="str">
        <f aca="false">IF(M633&gt;=Models!$G$6,1+COUNTIF($M$5:$M$1517,"&gt;"&amp;M633)+COUNTIFS($M$5:$M$1517,M633,$B$5:$B$1517,"&lt;"&amp;B633)+COUNTIFS($M$5:$M$1517,M633,$B$5:$B$1517,B633,$C$5:$C$1517,"&lt;"&amp;C633),"")</f>
        <v/>
      </c>
      <c r="S633" s="0" t="str">
        <f aca="false">IF(N633&gt;=Models!$G$7,1+COUNTIF($N$5:$N$1517,"&gt;"&amp;N633)+COUNTIFS($N$5:$N$1517,N633,$B$5:$B$1517,"&lt;"&amp;B633)+COUNTIFS($N$5:$N$1517,N633,$B$5:$B$1517,B633,$C$5:$C$1517,"&lt;"&amp;C633),"")</f>
        <v/>
      </c>
      <c r="T633" s="8" t="n">
        <f aca="false">IF(O633&gt;=Models!$G$8,1+COUNTIF($O$5:$O$1517,"&gt;"&amp;O633)+COUNTIFS($O$5:$O$1517,O633,$B$5:$B$1517,"&lt;"&amp;B633)+COUNTIFS($O$5:$O$1517,O633,$B$5:$B$1517,B633,$C$5:$C$1517,"&lt;"&amp;C633),"")</f>
        <v>1034</v>
      </c>
      <c r="U633" s="8" t="n">
        <f aca="false">IF($K633=1,COUNTIFS($L$5:$L$1517,"&gt;="&amp;L633,$K$5:$K$1517,1)/COUNTIF($L$5:$L$1517,"&gt;="&amp;L633),0)</f>
        <v>0</v>
      </c>
      <c r="V633" s="8" t="n">
        <f aca="false">IF($K633=1,COUNTIFS($M$5:$M$1517,"&gt;="&amp;M633,$K$5:$K$1517,1)/COUNTIF($M$5:$M$1517,"&gt;="&amp;M633),0)</f>
        <v>0</v>
      </c>
      <c r="W633" s="8" t="n">
        <f aca="false">IF($K633=1,COUNTIFS($N$5:$N$1517,"&gt;="&amp;N633,$K$5:$K$1517,1)/COUNTIF($N$5:$N$1517,"&gt;="&amp;N633),0)</f>
        <v>0</v>
      </c>
      <c r="X633" s="8" t="n">
        <f aca="false">IF($K633=1,COUNTIFS($O$5:$O$1517,"&gt;="&amp;O633,$K$5:$K$1517,1)/COUNTIF($O$5:$O$1517,"&gt;="&amp;O633),0)</f>
        <v>0</v>
      </c>
      <c r="Y633" s="8" t="n">
        <f aca="false">IF($K633=1,COUNTIFS($P$5:$P$1517,"&gt;="&amp;P633,$K$5:$K$1517,1)/COUNTIF($P$5:$P$1517,"&gt;="&amp;P633),0)</f>
        <v>0</v>
      </c>
      <c r="Z633" s="8" t="n">
        <f aca="false">(L633-$K633)^2</f>
        <v>0.014022112225</v>
      </c>
      <c r="AA633" s="8" t="n">
        <f aca="false">(M633-$K633)^2</f>
        <v>0.008475595969</v>
      </c>
      <c r="AB633" s="8" t="n">
        <f aca="false">(N633-$K633)^2</f>
        <v>0.003252763089</v>
      </c>
      <c r="AC633" s="8" t="n">
        <f aca="false">(O633-$K633)^2</f>
        <v>0.011274829489</v>
      </c>
      <c r="AD633" s="8" t="n">
        <f aca="false">(P633-$K633)^2</f>
        <v>0.003477696784</v>
      </c>
      <c r="AE633" s="8" t="n">
        <f aca="false">MIN(INT(ROUND(N633*1000000,0)/100000),9)</f>
        <v>0</v>
      </c>
      <c r="AF633" s="8" t="n">
        <f aca="false">MIN(INT(ROUND(P633*1000000,0)/100000),9)</f>
        <v>0</v>
      </c>
    </row>
    <row r="634" customFormat="false" ht="15" hidden="false" customHeight="false" outlineLevel="0" collapsed="false">
      <c r="A634" s="4" t="n">
        <v>630</v>
      </c>
      <c r="B634" s="4" t="n">
        <v>1278</v>
      </c>
      <c r="C634" s="4" t="n">
        <v>1</v>
      </c>
      <c r="D634" s="11" t="n">
        <v>46082</v>
      </c>
      <c r="E634" s="4" t="s">
        <v>203</v>
      </c>
      <c r="F634" s="4" t="s">
        <v>209</v>
      </c>
      <c r="G634" s="4" t="n">
        <v>5</v>
      </c>
      <c r="H634" s="4" t="n">
        <v>4</v>
      </c>
      <c r="I634" s="4" t="n">
        <v>0</v>
      </c>
      <c r="J634" s="4" t="n">
        <v>345</v>
      </c>
      <c r="K634" s="4" t="n">
        <v>0</v>
      </c>
      <c r="L634" s="12" t="n">
        <v>0.469141</v>
      </c>
      <c r="M634" s="12" t="n">
        <v>0.092063</v>
      </c>
      <c r="N634" s="12" t="n">
        <v>0.109752</v>
      </c>
      <c r="O634" s="12" t="n">
        <v>0.106183</v>
      </c>
      <c r="P634" s="12" t="n">
        <v>0.116716</v>
      </c>
      <c r="Q634" s="0" t="str">
        <f aca="false">IF(L634&gt;=Models!$G$5,1+COUNTIF($L$5:$L$1517,"&gt;"&amp;L634)+COUNTIFS($L$5:$L$1517,L634,$B$5:$B$1517,"&lt;"&amp;B634)+COUNTIFS($L$5:$L$1517,L634,$B$5:$B$1517,B634,$C$5:$C$1517,"&lt;"&amp;C634),"")</f>
        <v/>
      </c>
      <c r="R634" s="0" t="str">
        <f aca="false">IF(M634&gt;=Models!$G$6,1+COUNTIF($M$5:$M$1517,"&gt;"&amp;M634)+COUNTIFS($M$5:$M$1517,M634,$B$5:$B$1517,"&lt;"&amp;B634)+COUNTIFS($M$5:$M$1517,M634,$B$5:$B$1517,B634,$C$5:$C$1517,"&lt;"&amp;C634),"")</f>
        <v/>
      </c>
      <c r="S634" s="0" t="str">
        <f aca="false">IF(N634&gt;=Models!$G$7,1+COUNTIF($N$5:$N$1517,"&gt;"&amp;N634)+COUNTIFS($N$5:$N$1517,N634,$B$5:$B$1517,"&lt;"&amp;B634)+COUNTIFS($N$5:$N$1517,N634,$B$5:$B$1517,B634,$C$5:$C$1517,"&lt;"&amp;C634),"")</f>
        <v/>
      </c>
      <c r="T634" s="8" t="n">
        <f aca="false">IF(O634&gt;=Models!$G$8,1+COUNTIF($O$5:$O$1517,"&gt;"&amp;O634)+COUNTIFS($O$5:$O$1517,O634,$B$5:$B$1517,"&lt;"&amp;B634)+COUNTIFS($O$5:$O$1517,O634,$B$5:$B$1517,B634,$C$5:$C$1517,"&lt;"&amp;C634),"")</f>
        <v>1038</v>
      </c>
      <c r="U634" s="8" t="n">
        <f aca="false">IF($K634=1,COUNTIFS($L$5:$L$1517,"&gt;="&amp;L634,$K$5:$K$1517,1)/COUNTIF($L$5:$L$1517,"&gt;="&amp;L634),0)</f>
        <v>0</v>
      </c>
      <c r="V634" s="8" t="n">
        <f aca="false">IF($K634=1,COUNTIFS($M$5:$M$1517,"&gt;="&amp;M634,$K$5:$K$1517,1)/COUNTIF($M$5:$M$1517,"&gt;="&amp;M634),0)</f>
        <v>0</v>
      </c>
      <c r="W634" s="8" t="n">
        <f aca="false">IF($K634=1,COUNTIFS($N$5:$N$1517,"&gt;="&amp;N634,$K$5:$K$1517,1)/COUNTIF($N$5:$N$1517,"&gt;="&amp;N634),0)</f>
        <v>0</v>
      </c>
      <c r="X634" s="8" t="n">
        <f aca="false">IF($K634=1,COUNTIFS($O$5:$O$1517,"&gt;="&amp;O634,$K$5:$K$1517,1)/COUNTIF($O$5:$O$1517,"&gt;="&amp;O634),0)</f>
        <v>0</v>
      </c>
      <c r="Y634" s="8" t="n">
        <f aca="false">IF($K634=1,COUNTIFS($P$5:$P$1517,"&gt;="&amp;P634,$K$5:$K$1517,1)/COUNTIF($P$5:$P$1517,"&gt;="&amp;P634),0)</f>
        <v>0</v>
      </c>
      <c r="Z634" s="8" t="n">
        <f aca="false">(L634-$K634)^2</f>
        <v>0.220093277881</v>
      </c>
      <c r="AA634" s="8" t="n">
        <f aca="false">(M634-$K634)^2</f>
        <v>0.008475595969</v>
      </c>
      <c r="AB634" s="8" t="n">
        <f aca="false">(N634-$K634)^2</f>
        <v>0.012045501504</v>
      </c>
      <c r="AC634" s="8" t="n">
        <f aca="false">(O634-$K634)^2</f>
        <v>0.011274829489</v>
      </c>
      <c r="AD634" s="8" t="n">
        <f aca="false">(P634-$K634)^2</f>
        <v>0.013622624656</v>
      </c>
      <c r="AE634" s="8" t="n">
        <f aca="false">MIN(INT(ROUND(N634*1000000,0)/100000),9)</f>
        <v>1</v>
      </c>
      <c r="AF634" s="8" t="n">
        <f aca="false">MIN(INT(ROUND(P634*1000000,0)/100000),9)</f>
        <v>1</v>
      </c>
    </row>
    <row r="635" customFormat="false" ht="15" hidden="false" customHeight="false" outlineLevel="0" collapsed="false">
      <c r="A635" s="4" t="n">
        <v>631</v>
      </c>
      <c r="B635" s="4" t="n">
        <v>1284</v>
      </c>
      <c r="C635" s="4" t="n">
        <v>1</v>
      </c>
      <c r="D635" s="11" t="n">
        <v>46082</v>
      </c>
      <c r="E635" s="4" t="s">
        <v>202</v>
      </c>
      <c r="F635" s="4" t="s">
        <v>208</v>
      </c>
      <c r="G635" s="4" t="n">
        <v>10</v>
      </c>
      <c r="H635" s="4" t="n">
        <v>0</v>
      </c>
      <c r="I635" s="4" t="n">
        <v>0</v>
      </c>
      <c r="J635" s="4" t="n">
        <v>1773</v>
      </c>
      <c r="K635" s="4" t="n">
        <v>0</v>
      </c>
      <c r="L635" s="12" t="n">
        <v>0.610807</v>
      </c>
      <c r="M635" s="12" t="n">
        <v>0.092063</v>
      </c>
      <c r="N635" s="12" t="n">
        <v>0.06544</v>
      </c>
      <c r="O635" s="12" t="n">
        <v>0.106183</v>
      </c>
      <c r="P635" s="12" t="n">
        <v>0.068086</v>
      </c>
      <c r="Q635" s="0" t="str">
        <f aca="false">IF(L635&gt;=Models!$G$5,1+COUNTIF($L$5:$L$1517,"&gt;"&amp;L635)+COUNTIFS($L$5:$L$1517,L635,$B$5:$B$1517,"&lt;"&amp;B635)+COUNTIFS($L$5:$L$1517,L635,$B$5:$B$1517,B635,$C$5:$C$1517,"&lt;"&amp;C635),"")</f>
        <v/>
      </c>
      <c r="R635" s="0" t="str">
        <f aca="false">IF(M635&gt;=Models!$G$6,1+COUNTIF($M$5:$M$1517,"&gt;"&amp;M635)+COUNTIFS($M$5:$M$1517,M635,$B$5:$B$1517,"&lt;"&amp;B635)+COUNTIFS($M$5:$M$1517,M635,$B$5:$B$1517,B635,$C$5:$C$1517,"&lt;"&amp;C635),"")</f>
        <v/>
      </c>
      <c r="S635" s="0" t="str">
        <f aca="false">IF(N635&gt;=Models!$G$7,1+COUNTIF($N$5:$N$1517,"&gt;"&amp;N635)+COUNTIFS($N$5:$N$1517,N635,$B$5:$B$1517,"&lt;"&amp;B635)+COUNTIFS($N$5:$N$1517,N635,$B$5:$B$1517,B635,$C$5:$C$1517,"&lt;"&amp;C635),"")</f>
        <v/>
      </c>
      <c r="T635" s="8" t="n">
        <f aca="false">IF(O635&gt;=Models!$G$8,1+COUNTIF($O$5:$O$1517,"&gt;"&amp;O635)+COUNTIFS($O$5:$O$1517,O635,$B$5:$B$1517,"&lt;"&amp;B635)+COUNTIFS($O$5:$O$1517,O635,$B$5:$B$1517,B635,$C$5:$C$1517,"&lt;"&amp;C635),"")</f>
        <v>1042</v>
      </c>
      <c r="U635" s="8" t="n">
        <f aca="false">IF($K635=1,COUNTIFS($L$5:$L$1517,"&gt;="&amp;L635,$K$5:$K$1517,1)/COUNTIF($L$5:$L$1517,"&gt;="&amp;L635),0)</f>
        <v>0</v>
      </c>
      <c r="V635" s="8" t="n">
        <f aca="false">IF($K635=1,COUNTIFS($M$5:$M$1517,"&gt;="&amp;M635,$K$5:$K$1517,1)/COUNTIF($M$5:$M$1517,"&gt;="&amp;M635),0)</f>
        <v>0</v>
      </c>
      <c r="W635" s="8" t="n">
        <f aca="false">IF($K635=1,COUNTIFS($N$5:$N$1517,"&gt;="&amp;N635,$K$5:$K$1517,1)/COUNTIF($N$5:$N$1517,"&gt;="&amp;N635),0)</f>
        <v>0</v>
      </c>
      <c r="X635" s="8" t="n">
        <f aca="false">IF($K635=1,COUNTIFS($O$5:$O$1517,"&gt;="&amp;O635,$K$5:$K$1517,1)/COUNTIF($O$5:$O$1517,"&gt;="&amp;O635),0)</f>
        <v>0</v>
      </c>
      <c r="Y635" s="8" t="n">
        <f aca="false">IF($K635=1,COUNTIFS($P$5:$P$1517,"&gt;="&amp;P635,$K$5:$K$1517,1)/COUNTIF($P$5:$P$1517,"&gt;="&amp;P635),0)</f>
        <v>0</v>
      </c>
      <c r="Z635" s="8" t="n">
        <f aca="false">(L635-$K635)^2</f>
        <v>0.373085191249</v>
      </c>
      <c r="AA635" s="8" t="n">
        <f aca="false">(M635-$K635)^2</f>
        <v>0.008475595969</v>
      </c>
      <c r="AB635" s="8" t="n">
        <f aca="false">(N635-$K635)^2</f>
        <v>0.0042823936</v>
      </c>
      <c r="AC635" s="8" t="n">
        <f aca="false">(O635-$K635)^2</f>
        <v>0.011274829489</v>
      </c>
      <c r="AD635" s="8" t="n">
        <f aca="false">(P635-$K635)^2</f>
        <v>0.004635703396</v>
      </c>
      <c r="AE635" s="8" t="n">
        <f aca="false">MIN(INT(ROUND(N635*1000000,0)/100000),9)</f>
        <v>0</v>
      </c>
      <c r="AF635" s="8" t="n">
        <f aca="false">MIN(INT(ROUND(P635*1000000,0)/100000),9)</f>
        <v>0</v>
      </c>
    </row>
    <row r="636" customFormat="false" ht="15" hidden="false" customHeight="false" outlineLevel="0" collapsed="false">
      <c r="A636" s="4" t="n">
        <v>632</v>
      </c>
      <c r="B636" s="4" t="n">
        <v>1289</v>
      </c>
      <c r="C636" s="4" t="n">
        <v>1</v>
      </c>
      <c r="D636" s="11" t="n">
        <v>46082</v>
      </c>
      <c r="E636" s="4" t="s">
        <v>203</v>
      </c>
      <c r="F636" s="4" t="s">
        <v>208</v>
      </c>
      <c r="G636" s="4" t="n">
        <v>6</v>
      </c>
      <c r="H636" s="4" t="n">
        <v>3</v>
      </c>
      <c r="I636" s="4" t="n">
        <v>0</v>
      </c>
      <c r="J636" s="4" t="n">
        <v>363</v>
      </c>
      <c r="K636" s="4" t="n">
        <v>0</v>
      </c>
      <c r="L636" s="12" t="n">
        <v>0.571853</v>
      </c>
      <c r="M636" s="12" t="n">
        <v>0.092063</v>
      </c>
      <c r="N636" s="12" t="n">
        <v>0.100425</v>
      </c>
      <c r="O636" s="12" t="n">
        <v>0.106183</v>
      </c>
      <c r="P636" s="12" t="n">
        <v>0.106419</v>
      </c>
      <c r="Q636" s="0" t="str">
        <f aca="false">IF(L636&gt;=Models!$G$5,1+COUNTIF($L$5:$L$1517,"&gt;"&amp;L636)+COUNTIFS($L$5:$L$1517,L636,$B$5:$B$1517,"&lt;"&amp;B636)+COUNTIFS($L$5:$L$1517,L636,$B$5:$B$1517,B636,$C$5:$C$1517,"&lt;"&amp;C636),"")</f>
        <v/>
      </c>
      <c r="R636" s="0" t="str">
        <f aca="false">IF(M636&gt;=Models!$G$6,1+COUNTIF($M$5:$M$1517,"&gt;"&amp;M636)+COUNTIFS($M$5:$M$1517,M636,$B$5:$B$1517,"&lt;"&amp;B636)+COUNTIFS($M$5:$M$1517,M636,$B$5:$B$1517,B636,$C$5:$C$1517,"&lt;"&amp;C636),"")</f>
        <v/>
      </c>
      <c r="S636" s="0" t="str">
        <f aca="false">IF(N636&gt;=Models!$G$7,1+COUNTIF($N$5:$N$1517,"&gt;"&amp;N636)+COUNTIFS($N$5:$N$1517,N636,$B$5:$B$1517,"&lt;"&amp;B636)+COUNTIFS($N$5:$N$1517,N636,$B$5:$B$1517,B636,$C$5:$C$1517,"&lt;"&amp;C636),"")</f>
        <v/>
      </c>
      <c r="T636" s="8" t="n">
        <f aca="false">IF(O636&gt;=Models!$G$8,1+COUNTIF($O$5:$O$1517,"&gt;"&amp;O636)+COUNTIFS($O$5:$O$1517,O636,$B$5:$B$1517,"&lt;"&amp;B636)+COUNTIFS($O$5:$O$1517,O636,$B$5:$B$1517,B636,$C$5:$C$1517,"&lt;"&amp;C636),"")</f>
        <v>1046</v>
      </c>
      <c r="U636" s="8" t="n">
        <f aca="false">IF($K636=1,COUNTIFS($L$5:$L$1517,"&gt;="&amp;L636,$K$5:$K$1517,1)/COUNTIF($L$5:$L$1517,"&gt;="&amp;L636),0)</f>
        <v>0</v>
      </c>
      <c r="V636" s="8" t="n">
        <f aca="false">IF($K636=1,COUNTIFS($M$5:$M$1517,"&gt;="&amp;M636,$K$5:$K$1517,1)/COUNTIF($M$5:$M$1517,"&gt;="&amp;M636),0)</f>
        <v>0</v>
      </c>
      <c r="W636" s="8" t="n">
        <f aca="false">IF($K636=1,COUNTIFS($N$5:$N$1517,"&gt;="&amp;N636,$K$5:$K$1517,1)/COUNTIF($N$5:$N$1517,"&gt;="&amp;N636),0)</f>
        <v>0</v>
      </c>
      <c r="X636" s="8" t="n">
        <f aca="false">IF($K636=1,COUNTIFS($O$5:$O$1517,"&gt;="&amp;O636,$K$5:$K$1517,1)/COUNTIF($O$5:$O$1517,"&gt;="&amp;O636),0)</f>
        <v>0</v>
      </c>
      <c r="Y636" s="8" t="n">
        <f aca="false">IF($K636=1,COUNTIFS($P$5:$P$1517,"&gt;="&amp;P636,$K$5:$K$1517,1)/COUNTIF($P$5:$P$1517,"&gt;="&amp;P636),0)</f>
        <v>0</v>
      </c>
      <c r="Z636" s="8" t="n">
        <f aca="false">(L636-$K636)^2</f>
        <v>0.327015853609</v>
      </c>
      <c r="AA636" s="8" t="n">
        <f aca="false">(M636-$K636)^2</f>
        <v>0.008475595969</v>
      </c>
      <c r="AB636" s="8" t="n">
        <f aca="false">(N636-$K636)^2</f>
        <v>0.010085180625</v>
      </c>
      <c r="AC636" s="8" t="n">
        <f aca="false">(O636-$K636)^2</f>
        <v>0.011274829489</v>
      </c>
      <c r="AD636" s="8" t="n">
        <f aca="false">(P636-$K636)^2</f>
        <v>0.011325003561</v>
      </c>
      <c r="AE636" s="8" t="n">
        <f aca="false">MIN(INT(ROUND(N636*1000000,0)/100000),9)</f>
        <v>1</v>
      </c>
      <c r="AF636" s="8" t="n">
        <f aca="false">MIN(INT(ROUND(P636*1000000,0)/100000),9)</f>
        <v>1</v>
      </c>
    </row>
    <row r="637" customFormat="false" ht="15" hidden="false" customHeight="false" outlineLevel="0" collapsed="false">
      <c r="A637" s="4" t="n">
        <v>633</v>
      </c>
      <c r="B637" s="4" t="n">
        <v>1299</v>
      </c>
      <c r="C637" s="4" t="n">
        <v>1</v>
      </c>
      <c r="D637" s="11" t="n">
        <v>46082</v>
      </c>
      <c r="E637" s="4" t="s">
        <v>202</v>
      </c>
      <c r="F637" s="4" t="s">
        <v>206</v>
      </c>
      <c r="G637" s="4" t="n">
        <v>9</v>
      </c>
      <c r="H637" s="4" t="n">
        <v>3</v>
      </c>
      <c r="I637" s="4" t="n">
        <v>0</v>
      </c>
      <c r="J637" s="4" t="n">
        <v>1644</v>
      </c>
      <c r="K637" s="4" t="n">
        <v>0</v>
      </c>
      <c r="L637" s="12" t="n">
        <v>0.840979</v>
      </c>
      <c r="M637" s="12" t="n">
        <v>0.092063</v>
      </c>
      <c r="N637" s="12" t="n">
        <v>0.073314</v>
      </c>
      <c r="O637" s="12" t="n">
        <v>0.106183</v>
      </c>
      <c r="P637" s="12" t="n">
        <v>0.076662</v>
      </c>
      <c r="Q637" s="0" t="str">
        <f aca="false">IF(L637&gt;=Models!$G$5,1+COUNTIF($L$5:$L$1517,"&gt;"&amp;L637)+COUNTIFS($L$5:$L$1517,L637,$B$5:$B$1517,"&lt;"&amp;B637)+COUNTIFS($L$5:$L$1517,L637,$B$5:$B$1517,B637,$C$5:$C$1517,"&lt;"&amp;C637),"")</f>
        <v/>
      </c>
      <c r="R637" s="0" t="str">
        <f aca="false">IF(M637&gt;=Models!$G$6,1+COUNTIF($M$5:$M$1517,"&gt;"&amp;M637)+COUNTIFS($M$5:$M$1517,M637,$B$5:$B$1517,"&lt;"&amp;B637)+COUNTIFS($M$5:$M$1517,M637,$B$5:$B$1517,B637,$C$5:$C$1517,"&lt;"&amp;C637),"")</f>
        <v/>
      </c>
      <c r="S637" s="0" t="str">
        <f aca="false">IF(N637&gt;=Models!$G$7,1+COUNTIF($N$5:$N$1517,"&gt;"&amp;N637)+COUNTIFS($N$5:$N$1517,N637,$B$5:$B$1517,"&lt;"&amp;B637)+COUNTIFS($N$5:$N$1517,N637,$B$5:$B$1517,B637,$C$5:$C$1517,"&lt;"&amp;C637),"")</f>
        <v/>
      </c>
      <c r="T637" s="8" t="n">
        <f aca="false">IF(O637&gt;=Models!$G$8,1+COUNTIF($O$5:$O$1517,"&gt;"&amp;O637)+COUNTIFS($O$5:$O$1517,O637,$B$5:$B$1517,"&lt;"&amp;B637)+COUNTIFS($O$5:$O$1517,O637,$B$5:$B$1517,B637,$C$5:$C$1517,"&lt;"&amp;C637),"")</f>
        <v>1050</v>
      </c>
      <c r="U637" s="8" t="n">
        <f aca="false">IF($K637=1,COUNTIFS($L$5:$L$1517,"&gt;="&amp;L637,$K$5:$K$1517,1)/COUNTIF($L$5:$L$1517,"&gt;="&amp;L637),0)</f>
        <v>0</v>
      </c>
      <c r="V637" s="8" t="n">
        <f aca="false">IF($K637=1,COUNTIFS($M$5:$M$1517,"&gt;="&amp;M637,$K$5:$K$1517,1)/COUNTIF($M$5:$M$1517,"&gt;="&amp;M637),0)</f>
        <v>0</v>
      </c>
      <c r="W637" s="8" t="n">
        <f aca="false">IF($K637=1,COUNTIFS($N$5:$N$1517,"&gt;="&amp;N637,$K$5:$K$1517,1)/COUNTIF($N$5:$N$1517,"&gt;="&amp;N637),0)</f>
        <v>0</v>
      </c>
      <c r="X637" s="8" t="n">
        <f aca="false">IF($K637=1,COUNTIFS($O$5:$O$1517,"&gt;="&amp;O637,$K$5:$K$1517,1)/COUNTIF($O$5:$O$1517,"&gt;="&amp;O637),0)</f>
        <v>0</v>
      </c>
      <c r="Y637" s="8" t="n">
        <f aca="false">IF($K637=1,COUNTIFS($P$5:$P$1517,"&gt;="&amp;P637,$K$5:$K$1517,1)/COUNTIF($P$5:$P$1517,"&gt;="&amp;P637),0)</f>
        <v>0</v>
      </c>
      <c r="Z637" s="8" t="n">
        <f aca="false">(L637-$K637)^2</f>
        <v>0.707245678441</v>
      </c>
      <c r="AA637" s="8" t="n">
        <f aca="false">(M637-$K637)^2</f>
        <v>0.008475595969</v>
      </c>
      <c r="AB637" s="8" t="n">
        <f aca="false">(N637-$K637)^2</f>
        <v>0.005374942596</v>
      </c>
      <c r="AC637" s="8" t="n">
        <f aca="false">(O637-$K637)^2</f>
        <v>0.011274829489</v>
      </c>
      <c r="AD637" s="8" t="n">
        <f aca="false">(P637-$K637)^2</f>
        <v>0.005877062244</v>
      </c>
      <c r="AE637" s="8" t="n">
        <f aca="false">MIN(INT(ROUND(N637*1000000,0)/100000),9)</f>
        <v>0</v>
      </c>
      <c r="AF637" s="8" t="n">
        <f aca="false">MIN(INT(ROUND(P637*1000000,0)/100000),9)</f>
        <v>0</v>
      </c>
    </row>
    <row r="638" customFormat="false" ht="15" hidden="false" customHeight="false" outlineLevel="0" collapsed="false">
      <c r="A638" s="4" t="n">
        <v>634</v>
      </c>
      <c r="B638" s="4" t="n">
        <v>1301</v>
      </c>
      <c r="C638" s="4" t="n">
        <v>1</v>
      </c>
      <c r="D638" s="11" t="n">
        <v>46082</v>
      </c>
      <c r="E638" s="4" t="s">
        <v>203</v>
      </c>
      <c r="F638" s="4" t="s">
        <v>206</v>
      </c>
      <c r="G638" s="4" t="n">
        <v>7</v>
      </c>
      <c r="H638" s="4" t="n">
        <v>1</v>
      </c>
      <c r="I638" s="4" t="n">
        <v>0</v>
      </c>
      <c r="J638" s="4"/>
      <c r="K638" s="4" t="n">
        <v>0</v>
      </c>
      <c r="L638" s="12" t="n">
        <v>0.458357</v>
      </c>
      <c r="M638" s="12" t="n">
        <v>0.092063</v>
      </c>
      <c r="N638" s="12" t="n">
        <v>0.045889</v>
      </c>
      <c r="O638" s="12" t="n">
        <v>0.106183</v>
      </c>
      <c r="P638" s="12" t="n">
        <v>0.046978</v>
      </c>
      <c r="Q638" s="0" t="str">
        <f aca="false">IF(L638&gt;=Models!$G$5,1+COUNTIF($L$5:$L$1517,"&gt;"&amp;L638)+COUNTIFS($L$5:$L$1517,L638,$B$5:$B$1517,"&lt;"&amp;B638)+COUNTIFS($L$5:$L$1517,L638,$B$5:$B$1517,B638,$C$5:$C$1517,"&lt;"&amp;C638),"")</f>
        <v/>
      </c>
      <c r="R638" s="0" t="str">
        <f aca="false">IF(M638&gt;=Models!$G$6,1+COUNTIF($M$5:$M$1517,"&gt;"&amp;M638)+COUNTIFS($M$5:$M$1517,M638,$B$5:$B$1517,"&lt;"&amp;B638)+COUNTIFS($M$5:$M$1517,M638,$B$5:$B$1517,B638,$C$5:$C$1517,"&lt;"&amp;C638),"")</f>
        <v/>
      </c>
      <c r="S638" s="0" t="str">
        <f aca="false">IF(N638&gt;=Models!$G$7,1+COUNTIF($N$5:$N$1517,"&gt;"&amp;N638)+COUNTIFS($N$5:$N$1517,N638,$B$5:$B$1517,"&lt;"&amp;B638)+COUNTIFS($N$5:$N$1517,N638,$B$5:$B$1517,B638,$C$5:$C$1517,"&lt;"&amp;C638),"")</f>
        <v/>
      </c>
      <c r="T638" s="8" t="n">
        <f aca="false">IF(O638&gt;=Models!$G$8,1+COUNTIF($O$5:$O$1517,"&gt;"&amp;O638)+COUNTIFS($O$5:$O$1517,O638,$B$5:$B$1517,"&lt;"&amp;B638)+COUNTIFS($O$5:$O$1517,O638,$B$5:$B$1517,B638,$C$5:$C$1517,"&lt;"&amp;C638),"")</f>
        <v>1054</v>
      </c>
      <c r="U638" s="8" t="n">
        <f aca="false">IF($K638=1,COUNTIFS($L$5:$L$1517,"&gt;="&amp;L638,$K$5:$K$1517,1)/COUNTIF($L$5:$L$1517,"&gt;="&amp;L638),0)</f>
        <v>0</v>
      </c>
      <c r="V638" s="8" t="n">
        <f aca="false">IF($K638=1,COUNTIFS($M$5:$M$1517,"&gt;="&amp;M638,$K$5:$K$1517,1)/COUNTIF($M$5:$M$1517,"&gt;="&amp;M638),0)</f>
        <v>0</v>
      </c>
      <c r="W638" s="8" t="n">
        <f aca="false">IF($K638=1,COUNTIFS($N$5:$N$1517,"&gt;="&amp;N638,$K$5:$K$1517,1)/COUNTIF($N$5:$N$1517,"&gt;="&amp;N638),0)</f>
        <v>0</v>
      </c>
      <c r="X638" s="8" t="n">
        <f aca="false">IF($K638=1,COUNTIFS($O$5:$O$1517,"&gt;="&amp;O638,$K$5:$K$1517,1)/COUNTIF($O$5:$O$1517,"&gt;="&amp;O638),0)</f>
        <v>0</v>
      </c>
      <c r="Y638" s="8" t="n">
        <f aca="false">IF($K638=1,COUNTIFS($P$5:$P$1517,"&gt;="&amp;P638,$K$5:$K$1517,1)/COUNTIF($P$5:$P$1517,"&gt;="&amp;P638),0)</f>
        <v>0</v>
      </c>
      <c r="Z638" s="8" t="n">
        <f aca="false">(L638-$K638)^2</f>
        <v>0.210091139449</v>
      </c>
      <c r="AA638" s="8" t="n">
        <f aca="false">(M638-$K638)^2</f>
        <v>0.008475595969</v>
      </c>
      <c r="AB638" s="8" t="n">
        <f aca="false">(N638-$K638)^2</f>
        <v>0.002105800321</v>
      </c>
      <c r="AC638" s="8" t="n">
        <f aca="false">(O638-$K638)^2</f>
        <v>0.011274829489</v>
      </c>
      <c r="AD638" s="8" t="n">
        <f aca="false">(P638-$K638)^2</f>
        <v>0.002206932484</v>
      </c>
      <c r="AE638" s="8" t="n">
        <f aca="false">MIN(INT(ROUND(N638*1000000,0)/100000),9)</f>
        <v>0</v>
      </c>
      <c r="AF638" s="8" t="n">
        <f aca="false">MIN(INT(ROUND(P638*1000000,0)/100000),9)</f>
        <v>0</v>
      </c>
    </row>
    <row r="639" customFormat="false" ht="15" hidden="false" customHeight="false" outlineLevel="0" collapsed="false">
      <c r="A639" s="4" t="n">
        <v>635</v>
      </c>
      <c r="B639" s="4" t="n">
        <v>1311</v>
      </c>
      <c r="C639" s="4" t="n">
        <v>1</v>
      </c>
      <c r="D639" s="11" t="n">
        <v>46082</v>
      </c>
      <c r="E639" s="4" t="s">
        <v>204</v>
      </c>
      <c r="F639" s="4" t="s">
        <v>206</v>
      </c>
      <c r="G639" s="4" t="n">
        <v>12</v>
      </c>
      <c r="H639" s="4" t="n">
        <v>0</v>
      </c>
      <c r="I639" s="4" t="n">
        <v>0</v>
      </c>
      <c r="J639" s="4" t="n">
        <v>52</v>
      </c>
      <c r="K639" s="4" t="n">
        <v>0</v>
      </c>
      <c r="L639" s="12" t="n">
        <v>0.786414</v>
      </c>
      <c r="M639" s="12" t="n">
        <v>0.092063</v>
      </c>
      <c r="N639" s="12" t="n">
        <v>0.060712</v>
      </c>
      <c r="O639" s="12" t="n">
        <v>0.106183</v>
      </c>
      <c r="P639" s="12" t="n">
        <v>0.062954</v>
      </c>
      <c r="Q639" s="0" t="str">
        <f aca="false">IF(L639&gt;=Models!$G$5,1+COUNTIF($L$5:$L$1517,"&gt;"&amp;L639)+COUNTIFS($L$5:$L$1517,L639,$B$5:$B$1517,"&lt;"&amp;B639)+COUNTIFS($L$5:$L$1517,L639,$B$5:$B$1517,B639,$C$5:$C$1517,"&lt;"&amp;C639),"")</f>
        <v/>
      </c>
      <c r="R639" s="0" t="str">
        <f aca="false">IF(M639&gt;=Models!$G$6,1+COUNTIF($M$5:$M$1517,"&gt;"&amp;M639)+COUNTIFS($M$5:$M$1517,M639,$B$5:$B$1517,"&lt;"&amp;B639)+COUNTIFS($M$5:$M$1517,M639,$B$5:$B$1517,B639,$C$5:$C$1517,"&lt;"&amp;C639),"")</f>
        <v/>
      </c>
      <c r="S639" s="0" t="str">
        <f aca="false">IF(N639&gt;=Models!$G$7,1+COUNTIF($N$5:$N$1517,"&gt;"&amp;N639)+COUNTIFS($N$5:$N$1517,N639,$B$5:$B$1517,"&lt;"&amp;B639)+COUNTIFS($N$5:$N$1517,N639,$B$5:$B$1517,B639,$C$5:$C$1517,"&lt;"&amp;C639),"")</f>
        <v/>
      </c>
      <c r="T639" s="8" t="n">
        <f aca="false">IF(O639&gt;=Models!$G$8,1+COUNTIF($O$5:$O$1517,"&gt;"&amp;O639)+COUNTIFS($O$5:$O$1517,O639,$B$5:$B$1517,"&lt;"&amp;B639)+COUNTIFS($O$5:$O$1517,O639,$B$5:$B$1517,B639,$C$5:$C$1517,"&lt;"&amp;C639),"")</f>
        <v>1058</v>
      </c>
      <c r="U639" s="8" t="n">
        <f aca="false">IF($K639=1,COUNTIFS($L$5:$L$1517,"&gt;="&amp;L639,$K$5:$K$1517,1)/COUNTIF($L$5:$L$1517,"&gt;="&amp;L639),0)</f>
        <v>0</v>
      </c>
      <c r="V639" s="8" t="n">
        <f aca="false">IF($K639=1,COUNTIFS($M$5:$M$1517,"&gt;="&amp;M639,$K$5:$K$1517,1)/COUNTIF($M$5:$M$1517,"&gt;="&amp;M639),0)</f>
        <v>0</v>
      </c>
      <c r="W639" s="8" t="n">
        <f aca="false">IF($K639=1,COUNTIFS($N$5:$N$1517,"&gt;="&amp;N639,$K$5:$K$1517,1)/COUNTIF($N$5:$N$1517,"&gt;="&amp;N639),0)</f>
        <v>0</v>
      </c>
      <c r="X639" s="8" t="n">
        <f aca="false">IF($K639=1,COUNTIFS($O$5:$O$1517,"&gt;="&amp;O639,$K$5:$K$1517,1)/COUNTIF($O$5:$O$1517,"&gt;="&amp;O639),0)</f>
        <v>0</v>
      </c>
      <c r="Y639" s="8" t="n">
        <f aca="false">IF($K639=1,COUNTIFS($P$5:$P$1517,"&gt;="&amp;P639,$K$5:$K$1517,1)/COUNTIF($P$5:$P$1517,"&gt;="&amp;P639),0)</f>
        <v>0</v>
      </c>
      <c r="Z639" s="8" t="n">
        <f aca="false">(L639-$K639)^2</f>
        <v>0.618446979396</v>
      </c>
      <c r="AA639" s="8" t="n">
        <f aca="false">(M639-$K639)^2</f>
        <v>0.008475595969</v>
      </c>
      <c r="AB639" s="8" t="n">
        <f aca="false">(N639-$K639)^2</f>
        <v>0.003685946944</v>
      </c>
      <c r="AC639" s="8" t="n">
        <f aca="false">(O639-$K639)^2</f>
        <v>0.011274829489</v>
      </c>
      <c r="AD639" s="8" t="n">
        <f aca="false">(P639-$K639)^2</f>
        <v>0.003963206116</v>
      </c>
      <c r="AE639" s="8" t="n">
        <f aca="false">MIN(INT(ROUND(N639*1000000,0)/100000),9)</f>
        <v>0</v>
      </c>
      <c r="AF639" s="8" t="n">
        <f aca="false">MIN(INT(ROUND(P639*1000000,0)/100000),9)</f>
        <v>0</v>
      </c>
    </row>
    <row r="640" customFormat="false" ht="15" hidden="false" customHeight="false" outlineLevel="0" collapsed="false">
      <c r="A640" s="4" t="n">
        <v>636</v>
      </c>
      <c r="B640" s="4" t="n">
        <v>1316</v>
      </c>
      <c r="C640" s="4" t="n">
        <v>1</v>
      </c>
      <c r="D640" s="11" t="n">
        <v>46082</v>
      </c>
      <c r="E640" s="4" t="s">
        <v>202</v>
      </c>
      <c r="F640" s="4" t="s">
        <v>206</v>
      </c>
      <c r="G640" s="4" t="n">
        <v>10</v>
      </c>
      <c r="H640" s="4" t="n">
        <v>0</v>
      </c>
      <c r="I640" s="4" t="n">
        <v>0</v>
      </c>
      <c r="J640" s="4"/>
      <c r="K640" s="4" t="n">
        <v>0</v>
      </c>
      <c r="L640" s="12" t="n">
        <v>0.1638</v>
      </c>
      <c r="M640" s="12" t="n">
        <v>0.092063</v>
      </c>
      <c r="N640" s="12" t="n">
        <v>0.035137</v>
      </c>
      <c r="O640" s="12" t="n">
        <v>0.106183</v>
      </c>
      <c r="P640" s="12" t="n">
        <v>0.035524</v>
      </c>
      <c r="Q640" s="0" t="str">
        <f aca="false">IF(L640&gt;=Models!$G$5,1+COUNTIF($L$5:$L$1517,"&gt;"&amp;L640)+COUNTIFS($L$5:$L$1517,L640,$B$5:$B$1517,"&lt;"&amp;B640)+COUNTIFS($L$5:$L$1517,L640,$B$5:$B$1517,B640,$C$5:$C$1517,"&lt;"&amp;C640),"")</f>
        <v/>
      </c>
      <c r="R640" s="0" t="str">
        <f aca="false">IF(M640&gt;=Models!$G$6,1+COUNTIF($M$5:$M$1517,"&gt;"&amp;M640)+COUNTIFS($M$5:$M$1517,M640,$B$5:$B$1517,"&lt;"&amp;B640)+COUNTIFS($M$5:$M$1517,M640,$B$5:$B$1517,B640,$C$5:$C$1517,"&lt;"&amp;C640),"")</f>
        <v/>
      </c>
      <c r="S640" s="0" t="str">
        <f aca="false">IF(N640&gt;=Models!$G$7,1+COUNTIF($N$5:$N$1517,"&gt;"&amp;N640)+COUNTIFS($N$5:$N$1517,N640,$B$5:$B$1517,"&lt;"&amp;B640)+COUNTIFS($N$5:$N$1517,N640,$B$5:$B$1517,B640,$C$5:$C$1517,"&lt;"&amp;C640),"")</f>
        <v/>
      </c>
      <c r="T640" s="8" t="n">
        <f aca="false">IF(O640&gt;=Models!$G$8,1+COUNTIF($O$5:$O$1517,"&gt;"&amp;O640)+COUNTIFS($O$5:$O$1517,O640,$B$5:$B$1517,"&lt;"&amp;B640)+COUNTIFS($O$5:$O$1517,O640,$B$5:$B$1517,B640,$C$5:$C$1517,"&lt;"&amp;C640),"")</f>
        <v>1062</v>
      </c>
      <c r="U640" s="8" t="n">
        <f aca="false">IF($K640=1,COUNTIFS($L$5:$L$1517,"&gt;="&amp;L640,$K$5:$K$1517,1)/COUNTIF($L$5:$L$1517,"&gt;="&amp;L640),0)</f>
        <v>0</v>
      </c>
      <c r="V640" s="8" t="n">
        <f aca="false">IF($K640=1,COUNTIFS($M$5:$M$1517,"&gt;="&amp;M640,$K$5:$K$1517,1)/COUNTIF($M$5:$M$1517,"&gt;="&amp;M640),0)</f>
        <v>0</v>
      </c>
      <c r="W640" s="8" t="n">
        <f aca="false">IF($K640=1,COUNTIFS($N$5:$N$1517,"&gt;="&amp;N640,$K$5:$K$1517,1)/COUNTIF($N$5:$N$1517,"&gt;="&amp;N640),0)</f>
        <v>0</v>
      </c>
      <c r="X640" s="8" t="n">
        <f aca="false">IF($K640=1,COUNTIFS($O$5:$O$1517,"&gt;="&amp;O640,$K$5:$K$1517,1)/COUNTIF($O$5:$O$1517,"&gt;="&amp;O640),0)</f>
        <v>0</v>
      </c>
      <c r="Y640" s="8" t="n">
        <f aca="false">IF($K640=1,COUNTIFS($P$5:$P$1517,"&gt;="&amp;P640,$K$5:$K$1517,1)/COUNTIF($P$5:$P$1517,"&gt;="&amp;P640),0)</f>
        <v>0</v>
      </c>
      <c r="Z640" s="8" t="n">
        <f aca="false">(L640-$K640)^2</f>
        <v>0.02683044</v>
      </c>
      <c r="AA640" s="8" t="n">
        <f aca="false">(M640-$K640)^2</f>
        <v>0.008475595969</v>
      </c>
      <c r="AB640" s="8" t="n">
        <f aca="false">(N640-$K640)^2</f>
        <v>0.001234608769</v>
      </c>
      <c r="AC640" s="8" t="n">
        <f aca="false">(O640-$K640)^2</f>
        <v>0.011274829489</v>
      </c>
      <c r="AD640" s="8" t="n">
        <f aca="false">(P640-$K640)^2</f>
        <v>0.001261954576</v>
      </c>
      <c r="AE640" s="8" t="n">
        <f aca="false">MIN(INT(ROUND(N640*1000000,0)/100000),9)</f>
        <v>0</v>
      </c>
      <c r="AF640" s="8" t="n">
        <f aca="false">MIN(INT(ROUND(P640*1000000,0)/100000),9)</f>
        <v>0</v>
      </c>
    </row>
    <row r="641" customFormat="false" ht="15" hidden="false" customHeight="false" outlineLevel="0" collapsed="false">
      <c r="A641" s="4" t="n">
        <v>637</v>
      </c>
      <c r="B641" s="4" t="n">
        <v>1317</v>
      </c>
      <c r="C641" s="4" t="n">
        <v>1</v>
      </c>
      <c r="D641" s="11" t="n">
        <v>46082</v>
      </c>
      <c r="E641" s="4" t="s">
        <v>202</v>
      </c>
      <c r="F641" s="4" t="s">
        <v>206</v>
      </c>
      <c r="G641" s="4" t="n">
        <v>13</v>
      </c>
      <c r="H641" s="4" t="n">
        <v>0</v>
      </c>
      <c r="I641" s="4" t="n">
        <v>0</v>
      </c>
      <c r="J641" s="4"/>
      <c r="K641" s="4" t="n">
        <v>0</v>
      </c>
      <c r="L641" s="12" t="n">
        <v>0.805908</v>
      </c>
      <c r="M641" s="12" t="n">
        <v>0.092063</v>
      </c>
      <c r="N641" s="12" t="n">
        <v>0.027048</v>
      </c>
      <c r="O641" s="12" t="n">
        <v>0.106183</v>
      </c>
      <c r="P641" s="12" t="n">
        <v>0.027009</v>
      </c>
      <c r="Q641" s="0" t="str">
        <f aca="false">IF(L641&gt;=Models!$G$5,1+COUNTIF($L$5:$L$1517,"&gt;"&amp;L641)+COUNTIFS($L$5:$L$1517,L641,$B$5:$B$1517,"&lt;"&amp;B641)+COUNTIFS($L$5:$L$1517,L641,$B$5:$B$1517,B641,$C$5:$C$1517,"&lt;"&amp;C641),"")</f>
        <v/>
      </c>
      <c r="R641" s="0" t="str">
        <f aca="false">IF(M641&gt;=Models!$G$6,1+COUNTIF($M$5:$M$1517,"&gt;"&amp;M641)+COUNTIFS($M$5:$M$1517,M641,$B$5:$B$1517,"&lt;"&amp;B641)+COUNTIFS($M$5:$M$1517,M641,$B$5:$B$1517,B641,$C$5:$C$1517,"&lt;"&amp;C641),"")</f>
        <v/>
      </c>
      <c r="S641" s="0" t="str">
        <f aca="false">IF(N641&gt;=Models!$G$7,1+COUNTIF($N$5:$N$1517,"&gt;"&amp;N641)+COUNTIFS($N$5:$N$1517,N641,$B$5:$B$1517,"&lt;"&amp;B641)+COUNTIFS($N$5:$N$1517,N641,$B$5:$B$1517,B641,$C$5:$C$1517,"&lt;"&amp;C641),"")</f>
        <v/>
      </c>
      <c r="T641" s="8" t="n">
        <f aca="false">IF(O641&gt;=Models!$G$8,1+COUNTIF($O$5:$O$1517,"&gt;"&amp;O641)+COUNTIFS($O$5:$O$1517,O641,$B$5:$B$1517,"&lt;"&amp;B641)+COUNTIFS($O$5:$O$1517,O641,$B$5:$B$1517,B641,$C$5:$C$1517,"&lt;"&amp;C641),"")</f>
        <v>1066</v>
      </c>
      <c r="U641" s="8" t="n">
        <f aca="false">IF($K641=1,COUNTIFS($L$5:$L$1517,"&gt;="&amp;L641,$K$5:$K$1517,1)/COUNTIF($L$5:$L$1517,"&gt;="&amp;L641),0)</f>
        <v>0</v>
      </c>
      <c r="V641" s="8" t="n">
        <f aca="false">IF($K641=1,COUNTIFS($M$5:$M$1517,"&gt;="&amp;M641,$K$5:$K$1517,1)/COUNTIF($M$5:$M$1517,"&gt;="&amp;M641),0)</f>
        <v>0</v>
      </c>
      <c r="W641" s="8" t="n">
        <f aca="false">IF($K641=1,COUNTIFS($N$5:$N$1517,"&gt;="&amp;N641,$K$5:$K$1517,1)/COUNTIF($N$5:$N$1517,"&gt;="&amp;N641),0)</f>
        <v>0</v>
      </c>
      <c r="X641" s="8" t="n">
        <f aca="false">IF($K641=1,COUNTIFS($O$5:$O$1517,"&gt;="&amp;O641,$K$5:$K$1517,1)/COUNTIF($O$5:$O$1517,"&gt;="&amp;O641),0)</f>
        <v>0</v>
      </c>
      <c r="Y641" s="8" t="n">
        <f aca="false">IF($K641=1,COUNTIFS($P$5:$P$1517,"&gt;="&amp;P641,$K$5:$K$1517,1)/COUNTIF($P$5:$P$1517,"&gt;="&amp;P641),0)</f>
        <v>0</v>
      </c>
      <c r="Z641" s="8" t="n">
        <f aca="false">(L641-$K641)^2</f>
        <v>0.649487704464</v>
      </c>
      <c r="AA641" s="8" t="n">
        <f aca="false">(M641-$K641)^2</f>
        <v>0.008475595969</v>
      </c>
      <c r="AB641" s="8" t="n">
        <f aca="false">(N641-$K641)^2</f>
        <v>0.000731594304</v>
      </c>
      <c r="AC641" s="8" t="n">
        <f aca="false">(O641-$K641)^2</f>
        <v>0.011274829489</v>
      </c>
      <c r="AD641" s="8" t="n">
        <f aca="false">(P641-$K641)^2</f>
        <v>0.000729486081</v>
      </c>
      <c r="AE641" s="8" t="n">
        <f aca="false">MIN(INT(ROUND(N641*1000000,0)/100000),9)</f>
        <v>0</v>
      </c>
      <c r="AF641" s="8" t="n">
        <f aca="false">MIN(INT(ROUND(P641*1000000,0)/100000),9)</f>
        <v>0</v>
      </c>
    </row>
    <row r="642" customFormat="false" ht="15" hidden="false" customHeight="false" outlineLevel="0" collapsed="false">
      <c r="A642" s="4" t="n">
        <v>638</v>
      </c>
      <c r="B642" s="4" t="n">
        <v>1319</v>
      </c>
      <c r="C642" s="4" t="n">
        <v>1</v>
      </c>
      <c r="D642" s="11" t="n">
        <v>46082</v>
      </c>
      <c r="E642" s="4" t="s">
        <v>202</v>
      </c>
      <c r="F642" s="4" t="s">
        <v>206</v>
      </c>
      <c r="G642" s="4" t="n">
        <v>10</v>
      </c>
      <c r="H642" s="4" t="n">
        <v>5</v>
      </c>
      <c r="I642" s="4" t="n">
        <v>0</v>
      </c>
      <c r="J642" s="4" t="n">
        <v>1167</v>
      </c>
      <c r="K642" s="4" t="n">
        <v>0</v>
      </c>
      <c r="L642" s="12" t="n">
        <v>0.968137</v>
      </c>
      <c r="M642" s="12" t="n">
        <v>0.092063</v>
      </c>
      <c r="N642" s="12" t="n">
        <v>0.070255</v>
      </c>
      <c r="O642" s="12" t="n">
        <v>0.106183</v>
      </c>
      <c r="P642" s="12" t="n">
        <v>0.073326</v>
      </c>
      <c r="Q642" s="0" t="str">
        <f aca="false">IF(L642&gt;=Models!$G$5,1+COUNTIF($L$5:$L$1517,"&gt;"&amp;L642)+COUNTIFS($L$5:$L$1517,L642,$B$5:$B$1517,"&lt;"&amp;B642)+COUNTIFS($L$5:$L$1517,L642,$B$5:$B$1517,B642,$C$5:$C$1517,"&lt;"&amp;C642),"")</f>
        <v/>
      </c>
      <c r="R642" s="0" t="str">
        <f aca="false">IF(M642&gt;=Models!$G$6,1+COUNTIF($M$5:$M$1517,"&gt;"&amp;M642)+COUNTIFS($M$5:$M$1517,M642,$B$5:$B$1517,"&lt;"&amp;B642)+COUNTIFS($M$5:$M$1517,M642,$B$5:$B$1517,B642,$C$5:$C$1517,"&lt;"&amp;C642),"")</f>
        <v/>
      </c>
      <c r="S642" s="0" t="str">
        <f aca="false">IF(N642&gt;=Models!$G$7,1+COUNTIF($N$5:$N$1517,"&gt;"&amp;N642)+COUNTIFS($N$5:$N$1517,N642,$B$5:$B$1517,"&lt;"&amp;B642)+COUNTIFS($N$5:$N$1517,N642,$B$5:$B$1517,B642,$C$5:$C$1517,"&lt;"&amp;C642),"")</f>
        <v/>
      </c>
      <c r="T642" s="8" t="n">
        <f aca="false">IF(O642&gt;=Models!$G$8,1+COUNTIF($O$5:$O$1517,"&gt;"&amp;O642)+COUNTIFS($O$5:$O$1517,O642,$B$5:$B$1517,"&lt;"&amp;B642)+COUNTIFS($O$5:$O$1517,O642,$B$5:$B$1517,B642,$C$5:$C$1517,"&lt;"&amp;C642),"")</f>
        <v>1070</v>
      </c>
      <c r="U642" s="8" t="n">
        <f aca="false">IF($K642=1,COUNTIFS($L$5:$L$1517,"&gt;="&amp;L642,$K$5:$K$1517,1)/COUNTIF($L$5:$L$1517,"&gt;="&amp;L642),0)</f>
        <v>0</v>
      </c>
      <c r="V642" s="8" t="n">
        <f aca="false">IF($K642=1,COUNTIFS($M$5:$M$1517,"&gt;="&amp;M642,$K$5:$K$1517,1)/COUNTIF($M$5:$M$1517,"&gt;="&amp;M642),0)</f>
        <v>0</v>
      </c>
      <c r="W642" s="8" t="n">
        <f aca="false">IF($K642=1,COUNTIFS($N$5:$N$1517,"&gt;="&amp;N642,$K$5:$K$1517,1)/COUNTIF($N$5:$N$1517,"&gt;="&amp;N642),0)</f>
        <v>0</v>
      </c>
      <c r="X642" s="8" t="n">
        <f aca="false">IF($K642=1,COUNTIFS($O$5:$O$1517,"&gt;="&amp;O642,$K$5:$K$1517,1)/COUNTIF($O$5:$O$1517,"&gt;="&amp;O642),0)</f>
        <v>0</v>
      </c>
      <c r="Y642" s="8" t="n">
        <f aca="false">IF($K642=1,COUNTIFS($P$5:$P$1517,"&gt;="&amp;P642,$K$5:$K$1517,1)/COUNTIF($P$5:$P$1517,"&gt;="&amp;P642),0)</f>
        <v>0</v>
      </c>
      <c r="Z642" s="8" t="n">
        <f aca="false">(L642-$K642)^2</f>
        <v>0.937289250769</v>
      </c>
      <c r="AA642" s="8" t="n">
        <f aca="false">(M642-$K642)^2</f>
        <v>0.008475595969</v>
      </c>
      <c r="AB642" s="8" t="n">
        <f aca="false">(N642-$K642)^2</f>
        <v>0.004935765025</v>
      </c>
      <c r="AC642" s="8" t="n">
        <f aca="false">(O642-$K642)^2</f>
        <v>0.011274829489</v>
      </c>
      <c r="AD642" s="8" t="n">
        <f aca="false">(P642-$K642)^2</f>
        <v>0.005376702276</v>
      </c>
      <c r="AE642" s="8" t="n">
        <f aca="false">MIN(INT(ROUND(N642*1000000,0)/100000),9)</f>
        <v>0</v>
      </c>
      <c r="AF642" s="8" t="n">
        <f aca="false">MIN(INT(ROUND(P642*1000000,0)/100000),9)</f>
        <v>0</v>
      </c>
    </row>
    <row r="643" customFormat="false" ht="15" hidden="false" customHeight="false" outlineLevel="0" collapsed="false">
      <c r="A643" s="4" t="n">
        <v>639</v>
      </c>
      <c r="B643" s="4" t="n">
        <v>1321</v>
      </c>
      <c r="C643" s="4" t="n">
        <v>1</v>
      </c>
      <c r="D643" s="11" t="n">
        <v>46082</v>
      </c>
      <c r="E643" s="4" t="s">
        <v>202</v>
      </c>
      <c r="F643" s="4" t="s">
        <v>210</v>
      </c>
      <c r="G643" s="4" t="n">
        <v>3</v>
      </c>
      <c r="H643" s="4" t="n">
        <v>0</v>
      </c>
      <c r="I643" s="4" t="n">
        <v>0</v>
      </c>
      <c r="J643" s="4"/>
      <c r="K643" s="4" t="n">
        <v>0</v>
      </c>
      <c r="L643" s="12" t="n">
        <v>0.57259</v>
      </c>
      <c r="M643" s="12" t="n">
        <v>0.092063</v>
      </c>
      <c r="N643" s="12" t="n">
        <v>0.063996</v>
      </c>
      <c r="O643" s="12" t="n">
        <v>0.106183</v>
      </c>
      <c r="P643" s="12" t="n">
        <v>0.066517</v>
      </c>
      <c r="Q643" s="0" t="str">
        <f aca="false">IF(L643&gt;=Models!$G$5,1+COUNTIF($L$5:$L$1517,"&gt;"&amp;L643)+COUNTIFS($L$5:$L$1517,L643,$B$5:$B$1517,"&lt;"&amp;B643)+COUNTIFS($L$5:$L$1517,L643,$B$5:$B$1517,B643,$C$5:$C$1517,"&lt;"&amp;C643),"")</f>
        <v/>
      </c>
      <c r="R643" s="0" t="str">
        <f aca="false">IF(M643&gt;=Models!$G$6,1+COUNTIF($M$5:$M$1517,"&gt;"&amp;M643)+COUNTIFS($M$5:$M$1517,M643,$B$5:$B$1517,"&lt;"&amp;B643)+COUNTIFS($M$5:$M$1517,M643,$B$5:$B$1517,B643,$C$5:$C$1517,"&lt;"&amp;C643),"")</f>
        <v/>
      </c>
      <c r="S643" s="0" t="str">
        <f aca="false">IF(N643&gt;=Models!$G$7,1+COUNTIF($N$5:$N$1517,"&gt;"&amp;N643)+COUNTIFS($N$5:$N$1517,N643,$B$5:$B$1517,"&lt;"&amp;B643)+COUNTIFS($N$5:$N$1517,N643,$B$5:$B$1517,B643,$C$5:$C$1517,"&lt;"&amp;C643),"")</f>
        <v/>
      </c>
      <c r="T643" s="8" t="n">
        <f aca="false">IF(O643&gt;=Models!$G$8,1+COUNTIF($O$5:$O$1517,"&gt;"&amp;O643)+COUNTIFS($O$5:$O$1517,O643,$B$5:$B$1517,"&lt;"&amp;B643)+COUNTIFS($O$5:$O$1517,O643,$B$5:$B$1517,B643,$C$5:$C$1517,"&lt;"&amp;C643),"")</f>
        <v>1074</v>
      </c>
      <c r="U643" s="8" t="n">
        <f aca="false">IF($K643=1,COUNTIFS($L$5:$L$1517,"&gt;="&amp;L643,$K$5:$K$1517,1)/COUNTIF($L$5:$L$1517,"&gt;="&amp;L643),0)</f>
        <v>0</v>
      </c>
      <c r="V643" s="8" t="n">
        <f aca="false">IF($K643=1,COUNTIFS($M$5:$M$1517,"&gt;="&amp;M643,$K$5:$K$1517,1)/COUNTIF($M$5:$M$1517,"&gt;="&amp;M643),0)</f>
        <v>0</v>
      </c>
      <c r="W643" s="8" t="n">
        <f aca="false">IF($K643=1,COUNTIFS($N$5:$N$1517,"&gt;="&amp;N643,$K$5:$K$1517,1)/COUNTIF($N$5:$N$1517,"&gt;="&amp;N643),0)</f>
        <v>0</v>
      </c>
      <c r="X643" s="8" t="n">
        <f aca="false">IF($K643=1,COUNTIFS($O$5:$O$1517,"&gt;="&amp;O643,$K$5:$K$1517,1)/COUNTIF($O$5:$O$1517,"&gt;="&amp;O643),0)</f>
        <v>0</v>
      </c>
      <c r="Y643" s="8" t="n">
        <f aca="false">IF($K643=1,COUNTIFS($P$5:$P$1517,"&gt;="&amp;P643,$K$5:$K$1517,1)/COUNTIF($P$5:$P$1517,"&gt;="&amp;P643),0)</f>
        <v>0</v>
      </c>
      <c r="Z643" s="8" t="n">
        <f aca="false">(L643-$K643)^2</f>
        <v>0.3278593081</v>
      </c>
      <c r="AA643" s="8" t="n">
        <f aca="false">(M643-$K643)^2</f>
        <v>0.008475595969</v>
      </c>
      <c r="AB643" s="8" t="n">
        <f aca="false">(N643-$K643)^2</f>
        <v>0.004095488016</v>
      </c>
      <c r="AC643" s="8" t="n">
        <f aca="false">(O643-$K643)^2</f>
        <v>0.011274829489</v>
      </c>
      <c r="AD643" s="8" t="n">
        <f aca="false">(P643-$K643)^2</f>
        <v>0.004424511289</v>
      </c>
      <c r="AE643" s="8" t="n">
        <f aca="false">MIN(INT(ROUND(N643*1000000,0)/100000),9)</f>
        <v>0</v>
      </c>
      <c r="AF643" s="8" t="n">
        <f aca="false">MIN(INT(ROUND(P643*1000000,0)/100000),9)</f>
        <v>0</v>
      </c>
    </row>
    <row r="644" customFormat="false" ht="15" hidden="false" customHeight="false" outlineLevel="0" collapsed="false">
      <c r="A644" s="4" t="n">
        <v>640</v>
      </c>
      <c r="B644" s="4" t="n">
        <v>1323</v>
      </c>
      <c r="C644" s="4" t="n">
        <v>1</v>
      </c>
      <c r="D644" s="11" t="n">
        <v>46082</v>
      </c>
      <c r="E644" s="4" t="s">
        <v>203</v>
      </c>
      <c r="F644" s="4" t="s">
        <v>209</v>
      </c>
      <c r="G644" s="4" t="n">
        <v>3</v>
      </c>
      <c r="H644" s="4" t="n">
        <v>6</v>
      </c>
      <c r="I644" s="4" t="n">
        <v>0</v>
      </c>
      <c r="J644" s="4" t="n">
        <v>447</v>
      </c>
      <c r="K644" s="4" t="n">
        <v>0</v>
      </c>
      <c r="L644" s="12" t="n">
        <v>0.496506</v>
      </c>
      <c r="M644" s="12" t="n">
        <v>0.092063</v>
      </c>
      <c r="N644" s="12" t="n">
        <v>0.129789</v>
      </c>
      <c r="O644" s="12" t="n">
        <v>0.106183</v>
      </c>
      <c r="P644" s="12" t="n">
        <v>0.138908</v>
      </c>
      <c r="Q644" s="0" t="str">
        <f aca="false">IF(L644&gt;=Models!$G$5,1+COUNTIF($L$5:$L$1517,"&gt;"&amp;L644)+COUNTIFS($L$5:$L$1517,L644,$B$5:$B$1517,"&lt;"&amp;B644)+COUNTIFS($L$5:$L$1517,L644,$B$5:$B$1517,B644,$C$5:$C$1517,"&lt;"&amp;C644),"")</f>
        <v/>
      </c>
      <c r="R644" s="0" t="str">
        <f aca="false">IF(M644&gt;=Models!$G$6,1+COUNTIF($M$5:$M$1517,"&gt;"&amp;M644)+COUNTIFS($M$5:$M$1517,M644,$B$5:$B$1517,"&lt;"&amp;B644)+COUNTIFS($M$5:$M$1517,M644,$B$5:$B$1517,B644,$C$5:$C$1517,"&lt;"&amp;C644),"")</f>
        <v/>
      </c>
      <c r="S644" s="0" t="str">
        <f aca="false">IF(N644&gt;=Models!$G$7,1+COUNTIF($N$5:$N$1517,"&gt;"&amp;N644)+COUNTIFS($N$5:$N$1517,N644,$B$5:$B$1517,"&lt;"&amp;B644)+COUNTIFS($N$5:$N$1517,N644,$B$5:$B$1517,B644,$C$5:$C$1517,"&lt;"&amp;C644),"")</f>
        <v/>
      </c>
      <c r="T644" s="8" t="n">
        <f aca="false">IF(O644&gt;=Models!$G$8,1+COUNTIF($O$5:$O$1517,"&gt;"&amp;O644)+COUNTIFS($O$5:$O$1517,O644,$B$5:$B$1517,"&lt;"&amp;B644)+COUNTIFS($O$5:$O$1517,O644,$B$5:$B$1517,B644,$C$5:$C$1517,"&lt;"&amp;C644),"")</f>
        <v>1078</v>
      </c>
      <c r="U644" s="8" t="n">
        <f aca="false">IF($K644=1,COUNTIFS($L$5:$L$1517,"&gt;="&amp;L644,$K$5:$K$1517,1)/COUNTIF($L$5:$L$1517,"&gt;="&amp;L644),0)</f>
        <v>0</v>
      </c>
      <c r="V644" s="8" t="n">
        <f aca="false">IF($K644=1,COUNTIFS($M$5:$M$1517,"&gt;="&amp;M644,$K$5:$K$1517,1)/COUNTIF($M$5:$M$1517,"&gt;="&amp;M644),0)</f>
        <v>0</v>
      </c>
      <c r="W644" s="8" t="n">
        <f aca="false">IF($K644=1,COUNTIFS($N$5:$N$1517,"&gt;="&amp;N644,$K$5:$K$1517,1)/COUNTIF($N$5:$N$1517,"&gt;="&amp;N644),0)</f>
        <v>0</v>
      </c>
      <c r="X644" s="8" t="n">
        <f aca="false">IF($K644=1,COUNTIFS($O$5:$O$1517,"&gt;="&amp;O644,$K$5:$K$1517,1)/COUNTIF($O$5:$O$1517,"&gt;="&amp;O644),0)</f>
        <v>0</v>
      </c>
      <c r="Y644" s="8" t="n">
        <f aca="false">IF($K644=1,COUNTIFS($P$5:$P$1517,"&gt;="&amp;P644,$K$5:$K$1517,1)/COUNTIF($P$5:$P$1517,"&gt;="&amp;P644),0)</f>
        <v>0</v>
      </c>
      <c r="Z644" s="8" t="n">
        <f aca="false">(L644-$K644)^2</f>
        <v>0.246518208036</v>
      </c>
      <c r="AA644" s="8" t="n">
        <f aca="false">(M644-$K644)^2</f>
        <v>0.008475595969</v>
      </c>
      <c r="AB644" s="8" t="n">
        <f aca="false">(N644-$K644)^2</f>
        <v>0.016845184521</v>
      </c>
      <c r="AC644" s="8" t="n">
        <f aca="false">(O644-$K644)^2</f>
        <v>0.011274829489</v>
      </c>
      <c r="AD644" s="8" t="n">
        <f aca="false">(P644-$K644)^2</f>
        <v>0.019295432464</v>
      </c>
      <c r="AE644" s="8" t="n">
        <f aca="false">MIN(INT(ROUND(N644*1000000,0)/100000),9)</f>
        <v>1</v>
      </c>
      <c r="AF644" s="8" t="n">
        <f aca="false">MIN(INT(ROUND(P644*1000000,0)/100000),9)</f>
        <v>1</v>
      </c>
    </row>
    <row r="645" customFormat="false" ht="15" hidden="false" customHeight="false" outlineLevel="0" collapsed="false">
      <c r="A645" s="4" t="n">
        <v>641</v>
      </c>
      <c r="B645" s="4" t="n">
        <v>1324</v>
      </c>
      <c r="C645" s="4" t="n">
        <v>1</v>
      </c>
      <c r="D645" s="11" t="n">
        <v>46082</v>
      </c>
      <c r="E645" s="4" t="s">
        <v>204</v>
      </c>
      <c r="F645" s="4" t="s">
        <v>207</v>
      </c>
      <c r="G645" s="4" t="n">
        <v>3</v>
      </c>
      <c r="H645" s="4" t="n">
        <v>1</v>
      </c>
      <c r="I645" s="4" t="n">
        <v>1</v>
      </c>
      <c r="J645" s="4" t="n">
        <v>81</v>
      </c>
      <c r="K645" s="4" t="n">
        <v>0</v>
      </c>
      <c r="L645" s="12" t="n">
        <v>0.595263</v>
      </c>
      <c r="M645" s="12" t="n">
        <v>0.184211</v>
      </c>
      <c r="N645" s="12" t="n">
        <v>0.209738</v>
      </c>
      <c r="O645" s="12" t="n">
        <v>0.106183</v>
      </c>
      <c r="P645" s="12" t="n">
        <v>0.227822</v>
      </c>
      <c r="Q645" s="0" t="str">
        <f aca="false">IF(L645&gt;=Models!$G$5,1+COUNTIF($L$5:$L$1517,"&gt;"&amp;L645)+COUNTIFS($L$5:$L$1517,L645,$B$5:$B$1517,"&lt;"&amp;B645)+COUNTIFS($L$5:$L$1517,L645,$B$5:$B$1517,B645,$C$5:$C$1517,"&lt;"&amp;C645),"")</f>
        <v/>
      </c>
      <c r="R645" s="8" t="n">
        <f aca="false">IF(M645&gt;=Models!$G$6,1+COUNTIF($M$5:$M$1517,"&gt;"&amp;M645)+COUNTIFS($M$5:$M$1517,M645,$B$5:$B$1517,"&lt;"&amp;B645)+COUNTIFS($M$5:$M$1517,M645,$B$5:$B$1517,B645,$C$5:$C$1517,"&lt;"&amp;C645),"")</f>
        <v>131</v>
      </c>
      <c r="S645" s="0" t="str">
        <f aca="false">IF(N645&gt;=Models!$G$7,1+COUNTIF($N$5:$N$1517,"&gt;"&amp;N645)+COUNTIFS($N$5:$N$1517,N645,$B$5:$B$1517,"&lt;"&amp;B645)+COUNTIFS($N$5:$N$1517,N645,$B$5:$B$1517,B645,$C$5:$C$1517,"&lt;"&amp;C645),"")</f>
        <v/>
      </c>
      <c r="T645" s="8" t="n">
        <f aca="false">IF(O645&gt;=Models!$G$8,1+COUNTIF($O$5:$O$1517,"&gt;"&amp;O645)+COUNTIFS($O$5:$O$1517,O645,$B$5:$B$1517,"&lt;"&amp;B645)+COUNTIFS($O$5:$O$1517,O645,$B$5:$B$1517,B645,$C$5:$C$1517,"&lt;"&amp;C645),"")</f>
        <v>1082</v>
      </c>
      <c r="U645" s="8" t="n">
        <f aca="false">IF($K645=1,COUNTIFS($L$5:$L$1517,"&gt;="&amp;L645,$K$5:$K$1517,1)/COUNTIF($L$5:$L$1517,"&gt;="&amp;L645),0)</f>
        <v>0</v>
      </c>
      <c r="V645" s="8" t="n">
        <f aca="false">IF($K645=1,COUNTIFS($M$5:$M$1517,"&gt;="&amp;M645,$K$5:$K$1517,1)/COUNTIF($M$5:$M$1517,"&gt;="&amp;M645),0)</f>
        <v>0</v>
      </c>
      <c r="W645" s="8" t="n">
        <f aca="false">IF($K645=1,COUNTIFS($N$5:$N$1517,"&gt;="&amp;N645,$K$5:$K$1517,1)/COUNTIF($N$5:$N$1517,"&gt;="&amp;N645),0)</f>
        <v>0</v>
      </c>
      <c r="X645" s="8" t="n">
        <f aca="false">IF($K645=1,COUNTIFS($O$5:$O$1517,"&gt;="&amp;O645,$K$5:$K$1517,1)/COUNTIF($O$5:$O$1517,"&gt;="&amp;O645),0)</f>
        <v>0</v>
      </c>
      <c r="Y645" s="8" t="n">
        <f aca="false">IF($K645=1,COUNTIFS($P$5:$P$1517,"&gt;="&amp;P645,$K$5:$K$1517,1)/COUNTIF($P$5:$P$1517,"&gt;="&amp;P645),0)</f>
        <v>0</v>
      </c>
      <c r="Z645" s="8" t="n">
        <f aca="false">(L645-$K645)^2</f>
        <v>0.354338039169</v>
      </c>
      <c r="AA645" s="8" t="n">
        <f aca="false">(M645-$K645)^2</f>
        <v>0.033933692521</v>
      </c>
      <c r="AB645" s="8" t="n">
        <f aca="false">(N645-$K645)^2</f>
        <v>0.043990028644</v>
      </c>
      <c r="AC645" s="8" t="n">
        <f aca="false">(O645-$K645)^2</f>
        <v>0.011274829489</v>
      </c>
      <c r="AD645" s="8" t="n">
        <f aca="false">(P645-$K645)^2</f>
        <v>0.051902863684</v>
      </c>
      <c r="AE645" s="8" t="n">
        <f aca="false">MIN(INT(ROUND(N645*1000000,0)/100000),9)</f>
        <v>2</v>
      </c>
      <c r="AF645" s="8" t="n">
        <f aca="false">MIN(INT(ROUND(P645*1000000,0)/100000),9)</f>
        <v>2</v>
      </c>
    </row>
    <row r="646" customFormat="false" ht="15" hidden="false" customHeight="false" outlineLevel="0" collapsed="false">
      <c r="A646" s="4" t="n">
        <v>642</v>
      </c>
      <c r="B646" s="4" t="n">
        <v>1327</v>
      </c>
      <c r="C646" s="4" t="n">
        <v>1</v>
      </c>
      <c r="D646" s="11" t="n">
        <v>46082</v>
      </c>
      <c r="E646" s="4" t="s">
        <v>202</v>
      </c>
      <c r="F646" s="4" t="s">
        <v>207</v>
      </c>
      <c r="G646" s="4" t="n">
        <v>3</v>
      </c>
      <c r="H646" s="4" t="n">
        <v>1</v>
      </c>
      <c r="I646" s="4" t="n">
        <v>1</v>
      </c>
      <c r="J646" s="4" t="n">
        <v>765</v>
      </c>
      <c r="K646" s="4" t="n">
        <v>0</v>
      </c>
      <c r="L646" s="12" t="n">
        <v>0.3274</v>
      </c>
      <c r="M646" s="12" t="n">
        <v>0.184211</v>
      </c>
      <c r="N646" s="12" t="n">
        <v>0.20323</v>
      </c>
      <c r="O646" s="12" t="n">
        <v>0.106183</v>
      </c>
      <c r="P646" s="12" t="n">
        <v>0.220585</v>
      </c>
      <c r="Q646" s="0" t="str">
        <f aca="false">IF(L646&gt;=Models!$G$5,1+COUNTIF($L$5:$L$1517,"&gt;"&amp;L646)+COUNTIFS($L$5:$L$1517,L646,$B$5:$B$1517,"&lt;"&amp;B646)+COUNTIFS($L$5:$L$1517,L646,$B$5:$B$1517,B646,$C$5:$C$1517,"&lt;"&amp;C646),"")</f>
        <v/>
      </c>
      <c r="R646" s="8" t="n">
        <f aca="false">IF(M646&gt;=Models!$G$6,1+COUNTIF($M$5:$M$1517,"&gt;"&amp;M646)+COUNTIFS($M$5:$M$1517,M646,$B$5:$B$1517,"&lt;"&amp;B646)+COUNTIFS($M$5:$M$1517,M646,$B$5:$B$1517,B646,$C$5:$C$1517,"&lt;"&amp;C646),"")</f>
        <v>133</v>
      </c>
      <c r="S646" s="0" t="str">
        <f aca="false">IF(N646&gt;=Models!$G$7,1+COUNTIF($N$5:$N$1517,"&gt;"&amp;N646)+COUNTIFS($N$5:$N$1517,N646,$B$5:$B$1517,"&lt;"&amp;B646)+COUNTIFS($N$5:$N$1517,N646,$B$5:$B$1517,B646,$C$5:$C$1517,"&lt;"&amp;C646),"")</f>
        <v/>
      </c>
      <c r="T646" s="8" t="n">
        <f aca="false">IF(O646&gt;=Models!$G$8,1+COUNTIF($O$5:$O$1517,"&gt;"&amp;O646)+COUNTIFS($O$5:$O$1517,O646,$B$5:$B$1517,"&lt;"&amp;B646)+COUNTIFS($O$5:$O$1517,O646,$B$5:$B$1517,B646,$C$5:$C$1517,"&lt;"&amp;C646),"")</f>
        <v>1086</v>
      </c>
      <c r="U646" s="8" t="n">
        <f aca="false">IF($K646=1,COUNTIFS($L$5:$L$1517,"&gt;="&amp;L646,$K$5:$K$1517,1)/COUNTIF($L$5:$L$1517,"&gt;="&amp;L646),0)</f>
        <v>0</v>
      </c>
      <c r="V646" s="8" t="n">
        <f aca="false">IF($K646=1,COUNTIFS($M$5:$M$1517,"&gt;="&amp;M646,$K$5:$K$1517,1)/COUNTIF($M$5:$M$1517,"&gt;="&amp;M646),0)</f>
        <v>0</v>
      </c>
      <c r="W646" s="8" t="n">
        <f aca="false">IF($K646=1,COUNTIFS($N$5:$N$1517,"&gt;="&amp;N646,$K$5:$K$1517,1)/COUNTIF($N$5:$N$1517,"&gt;="&amp;N646),0)</f>
        <v>0</v>
      </c>
      <c r="X646" s="8" t="n">
        <f aca="false">IF($K646=1,COUNTIFS($O$5:$O$1517,"&gt;="&amp;O646,$K$5:$K$1517,1)/COUNTIF($O$5:$O$1517,"&gt;="&amp;O646),0)</f>
        <v>0</v>
      </c>
      <c r="Y646" s="8" t="n">
        <f aca="false">IF($K646=1,COUNTIFS($P$5:$P$1517,"&gt;="&amp;P646,$K$5:$K$1517,1)/COUNTIF($P$5:$P$1517,"&gt;="&amp;P646),0)</f>
        <v>0</v>
      </c>
      <c r="Z646" s="8" t="n">
        <f aca="false">(L646-$K646)^2</f>
        <v>0.10719076</v>
      </c>
      <c r="AA646" s="8" t="n">
        <f aca="false">(M646-$K646)^2</f>
        <v>0.033933692521</v>
      </c>
      <c r="AB646" s="8" t="n">
        <f aca="false">(N646-$K646)^2</f>
        <v>0.0413024329</v>
      </c>
      <c r="AC646" s="8" t="n">
        <f aca="false">(O646-$K646)^2</f>
        <v>0.011274829489</v>
      </c>
      <c r="AD646" s="8" t="n">
        <f aca="false">(P646-$K646)^2</f>
        <v>0.048657742225</v>
      </c>
      <c r="AE646" s="8" t="n">
        <f aca="false">MIN(INT(ROUND(N646*1000000,0)/100000),9)</f>
        <v>2</v>
      </c>
      <c r="AF646" s="8" t="n">
        <f aca="false">MIN(INT(ROUND(P646*1000000,0)/100000),9)</f>
        <v>2</v>
      </c>
    </row>
    <row r="647" customFormat="false" ht="15" hidden="false" customHeight="false" outlineLevel="0" collapsed="false">
      <c r="A647" s="4" t="n">
        <v>643</v>
      </c>
      <c r="B647" s="4" t="n">
        <v>1328</v>
      </c>
      <c r="C647" s="4" t="n">
        <v>1</v>
      </c>
      <c r="D647" s="11" t="n">
        <v>46082</v>
      </c>
      <c r="E647" s="4" t="s">
        <v>202</v>
      </c>
      <c r="F647" s="4" t="s">
        <v>206</v>
      </c>
      <c r="G647" s="4" t="n">
        <v>11</v>
      </c>
      <c r="H647" s="4" t="n">
        <v>3</v>
      </c>
      <c r="I647" s="4" t="n">
        <v>0</v>
      </c>
      <c r="J647" s="4"/>
      <c r="K647" s="4" t="n">
        <v>0</v>
      </c>
      <c r="L647" s="12" t="n">
        <v>0.035713</v>
      </c>
      <c r="M647" s="12" t="n">
        <v>0.092063</v>
      </c>
      <c r="N647" s="12" t="n">
        <v>0.032986</v>
      </c>
      <c r="O647" s="12" t="n">
        <v>0.106183</v>
      </c>
      <c r="P647" s="12" t="n">
        <v>0.03325</v>
      </c>
      <c r="Q647" s="0" t="str">
        <f aca="false">IF(L647&gt;=Models!$G$5,1+COUNTIF($L$5:$L$1517,"&gt;"&amp;L647)+COUNTIFS($L$5:$L$1517,L647,$B$5:$B$1517,"&lt;"&amp;B647)+COUNTIFS($L$5:$L$1517,L647,$B$5:$B$1517,B647,$C$5:$C$1517,"&lt;"&amp;C647),"")</f>
        <v/>
      </c>
      <c r="R647" s="0" t="str">
        <f aca="false">IF(M647&gt;=Models!$G$6,1+COUNTIF($M$5:$M$1517,"&gt;"&amp;M647)+COUNTIFS($M$5:$M$1517,M647,$B$5:$B$1517,"&lt;"&amp;B647)+COUNTIFS($M$5:$M$1517,M647,$B$5:$B$1517,B647,$C$5:$C$1517,"&lt;"&amp;C647),"")</f>
        <v/>
      </c>
      <c r="S647" s="0" t="str">
        <f aca="false">IF(N647&gt;=Models!$G$7,1+COUNTIF($N$5:$N$1517,"&gt;"&amp;N647)+COUNTIFS($N$5:$N$1517,N647,$B$5:$B$1517,"&lt;"&amp;B647)+COUNTIFS($N$5:$N$1517,N647,$B$5:$B$1517,B647,$C$5:$C$1517,"&lt;"&amp;C647),"")</f>
        <v/>
      </c>
      <c r="T647" s="8" t="n">
        <f aca="false">IF(O647&gt;=Models!$G$8,1+COUNTIF($O$5:$O$1517,"&gt;"&amp;O647)+COUNTIFS($O$5:$O$1517,O647,$B$5:$B$1517,"&lt;"&amp;B647)+COUNTIFS($O$5:$O$1517,O647,$B$5:$B$1517,B647,$C$5:$C$1517,"&lt;"&amp;C647),"")</f>
        <v>1090</v>
      </c>
      <c r="U647" s="8" t="n">
        <f aca="false">IF($K647=1,COUNTIFS($L$5:$L$1517,"&gt;="&amp;L647,$K$5:$K$1517,1)/COUNTIF($L$5:$L$1517,"&gt;="&amp;L647),0)</f>
        <v>0</v>
      </c>
      <c r="V647" s="8" t="n">
        <f aca="false">IF($K647=1,COUNTIFS($M$5:$M$1517,"&gt;="&amp;M647,$K$5:$K$1517,1)/COUNTIF($M$5:$M$1517,"&gt;="&amp;M647),0)</f>
        <v>0</v>
      </c>
      <c r="W647" s="8" t="n">
        <f aca="false">IF($K647=1,COUNTIFS($N$5:$N$1517,"&gt;="&amp;N647,$K$5:$K$1517,1)/COUNTIF($N$5:$N$1517,"&gt;="&amp;N647),0)</f>
        <v>0</v>
      </c>
      <c r="X647" s="8" t="n">
        <f aca="false">IF($K647=1,COUNTIFS($O$5:$O$1517,"&gt;="&amp;O647,$K$5:$K$1517,1)/COUNTIF($O$5:$O$1517,"&gt;="&amp;O647),0)</f>
        <v>0</v>
      </c>
      <c r="Y647" s="8" t="n">
        <f aca="false">IF($K647=1,COUNTIFS($P$5:$P$1517,"&gt;="&amp;P647,$K$5:$K$1517,1)/COUNTIF($P$5:$P$1517,"&gt;="&amp;P647),0)</f>
        <v>0</v>
      </c>
      <c r="Z647" s="8" t="n">
        <f aca="false">(L647-$K647)^2</f>
        <v>0.001275418369</v>
      </c>
      <c r="AA647" s="8" t="n">
        <f aca="false">(M647-$K647)^2</f>
        <v>0.008475595969</v>
      </c>
      <c r="AB647" s="8" t="n">
        <f aca="false">(N647-$K647)^2</f>
        <v>0.001088076196</v>
      </c>
      <c r="AC647" s="8" t="n">
        <f aca="false">(O647-$K647)^2</f>
        <v>0.011274829489</v>
      </c>
      <c r="AD647" s="8" t="n">
        <f aca="false">(P647-$K647)^2</f>
        <v>0.0011055625</v>
      </c>
      <c r="AE647" s="8" t="n">
        <f aca="false">MIN(INT(ROUND(N647*1000000,0)/100000),9)</f>
        <v>0</v>
      </c>
      <c r="AF647" s="8" t="n">
        <f aca="false">MIN(INT(ROUND(P647*1000000,0)/100000),9)</f>
        <v>0</v>
      </c>
    </row>
    <row r="648" customFormat="false" ht="15" hidden="false" customHeight="false" outlineLevel="0" collapsed="false">
      <c r="A648" s="4" t="n">
        <v>644</v>
      </c>
      <c r="B648" s="4" t="n">
        <v>1329</v>
      </c>
      <c r="C648" s="4" t="n">
        <v>1</v>
      </c>
      <c r="D648" s="11" t="n">
        <v>46082</v>
      </c>
      <c r="E648" s="4" t="s">
        <v>203</v>
      </c>
      <c r="F648" s="4" t="s">
        <v>207</v>
      </c>
      <c r="G648" s="4" t="n">
        <v>9</v>
      </c>
      <c r="H648" s="4" t="n">
        <v>3</v>
      </c>
      <c r="I648" s="4" t="n">
        <v>0</v>
      </c>
      <c r="J648" s="4"/>
      <c r="K648" s="4" t="n">
        <v>0</v>
      </c>
      <c r="L648" s="12" t="n">
        <v>0.973251</v>
      </c>
      <c r="M648" s="12" t="n">
        <v>0.092063</v>
      </c>
      <c r="N648" s="12" t="n">
        <v>0.039235</v>
      </c>
      <c r="O648" s="12" t="n">
        <v>0.106183</v>
      </c>
      <c r="P648" s="12" t="n">
        <v>0.039874</v>
      </c>
      <c r="Q648" s="0" t="str">
        <f aca="false">IF(L648&gt;=Models!$G$5,1+COUNTIF($L$5:$L$1517,"&gt;"&amp;L648)+COUNTIFS($L$5:$L$1517,L648,$B$5:$B$1517,"&lt;"&amp;B648)+COUNTIFS($L$5:$L$1517,L648,$B$5:$B$1517,B648,$C$5:$C$1517,"&lt;"&amp;C648),"")</f>
        <v/>
      </c>
      <c r="R648" s="0" t="str">
        <f aca="false">IF(M648&gt;=Models!$G$6,1+COUNTIF($M$5:$M$1517,"&gt;"&amp;M648)+COUNTIFS($M$5:$M$1517,M648,$B$5:$B$1517,"&lt;"&amp;B648)+COUNTIFS($M$5:$M$1517,M648,$B$5:$B$1517,B648,$C$5:$C$1517,"&lt;"&amp;C648),"")</f>
        <v/>
      </c>
      <c r="S648" s="0" t="str">
        <f aca="false">IF(N648&gt;=Models!$G$7,1+COUNTIF($N$5:$N$1517,"&gt;"&amp;N648)+COUNTIFS($N$5:$N$1517,N648,$B$5:$B$1517,"&lt;"&amp;B648)+COUNTIFS($N$5:$N$1517,N648,$B$5:$B$1517,B648,$C$5:$C$1517,"&lt;"&amp;C648),"")</f>
        <v/>
      </c>
      <c r="T648" s="8" t="n">
        <f aca="false">IF(O648&gt;=Models!$G$8,1+COUNTIF($O$5:$O$1517,"&gt;"&amp;O648)+COUNTIFS($O$5:$O$1517,O648,$B$5:$B$1517,"&lt;"&amp;B648)+COUNTIFS($O$5:$O$1517,O648,$B$5:$B$1517,B648,$C$5:$C$1517,"&lt;"&amp;C648),"")</f>
        <v>1094</v>
      </c>
      <c r="U648" s="8" t="n">
        <f aca="false">IF($K648=1,COUNTIFS($L$5:$L$1517,"&gt;="&amp;L648,$K$5:$K$1517,1)/COUNTIF($L$5:$L$1517,"&gt;="&amp;L648),0)</f>
        <v>0</v>
      </c>
      <c r="V648" s="8" t="n">
        <f aca="false">IF($K648=1,COUNTIFS($M$5:$M$1517,"&gt;="&amp;M648,$K$5:$K$1517,1)/COUNTIF($M$5:$M$1517,"&gt;="&amp;M648),0)</f>
        <v>0</v>
      </c>
      <c r="W648" s="8" t="n">
        <f aca="false">IF($K648=1,COUNTIFS($N$5:$N$1517,"&gt;="&amp;N648,$K$5:$K$1517,1)/COUNTIF($N$5:$N$1517,"&gt;="&amp;N648),0)</f>
        <v>0</v>
      </c>
      <c r="X648" s="8" t="n">
        <f aca="false">IF($K648=1,COUNTIFS($O$5:$O$1517,"&gt;="&amp;O648,$K$5:$K$1517,1)/COUNTIF($O$5:$O$1517,"&gt;="&amp;O648),0)</f>
        <v>0</v>
      </c>
      <c r="Y648" s="8" t="n">
        <f aca="false">IF($K648=1,COUNTIFS($P$5:$P$1517,"&gt;="&amp;P648,$K$5:$K$1517,1)/COUNTIF($P$5:$P$1517,"&gt;="&amp;P648),0)</f>
        <v>0</v>
      </c>
      <c r="Z648" s="8" t="n">
        <f aca="false">(L648-$K648)^2</f>
        <v>0.947217509001</v>
      </c>
      <c r="AA648" s="8" t="n">
        <f aca="false">(M648-$K648)^2</f>
        <v>0.008475595969</v>
      </c>
      <c r="AB648" s="8" t="n">
        <f aca="false">(N648-$K648)^2</f>
        <v>0.001539385225</v>
      </c>
      <c r="AC648" s="8" t="n">
        <f aca="false">(O648-$K648)^2</f>
        <v>0.011274829489</v>
      </c>
      <c r="AD648" s="8" t="n">
        <f aca="false">(P648-$K648)^2</f>
        <v>0.001589935876</v>
      </c>
      <c r="AE648" s="8" t="n">
        <f aca="false">MIN(INT(ROUND(N648*1000000,0)/100000),9)</f>
        <v>0</v>
      </c>
      <c r="AF648" s="8" t="n">
        <f aca="false">MIN(INT(ROUND(P648*1000000,0)/100000),9)</f>
        <v>0</v>
      </c>
    </row>
    <row r="649" customFormat="false" ht="15" hidden="false" customHeight="false" outlineLevel="0" collapsed="false">
      <c r="A649" s="4" t="n">
        <v>645</v>
      </c>
      <c r="B649" s="4" t="n">
        <v>1337</v>
      </c>
      <c r="C649" s="4" t="n">
        <v>1</v>
      </c>
      <c r="D649" s="11" t="n">
        <v>46082</v>
      </c>
      <c r="E649" s="4" t="s">
        <v>202</v>
      </c>
      <c r="F649" s="4" t="s">
        <v>206</v>
      </c>
      <c r="G649" s="4" t="n">
        <v>3</v>
      </c>
      <c r="H649" s="4" t="n">
        <v>16</v>
      </c>
      <c r="I649" s="4" t="n">
        <v>0</v>
      </c>
      <c r="J649" s="4" t="n">
        <v>1311</v>
      </c>
      <c r="K649" s="4" t="n">
        <v>0</v>
      </c>
      <c r="L649" s="12" t="n">
        <v>0.638497</v>
      </c>
      <c r="M649" s="12" t="n">
        <v>0.092063</v>
      </c>
      <c r="N649" s="12" t="n">
        <v>0.133421</v>
      </c>
      <c r="O649" s="12" t="n">
        <v>0.106183</v>
      </c>
      <c r="P649" s="12" t="n">
        <v>0.142938</v>
      </c>
      <c r="Q649" s="0" t="str">
        <f aca="false">IF(L649&gt;=Models!$G$5,1+COUNTIF($L$5:$L$1517,"&gt;"&amp;L649)+COUNTIFS($L$5:$L$1517,L649,$B$5:$B$1517,"&lt;"&amp;B649)+COUNTIFS($L$5:$L$1517,L649,$B$5:$B$1517,B649,$C$5:$C$1517,"&lt;"&amp;C649),"")</f>
        <v/>
      </c>
      <c r="R649" s="0" t="str">
        <f aca="false">IF(M649&gt;=Models!$G$6,1+COUNTIF($M$5:$M$1517,"&gt;"&amp;M649)+COUNTIFS($M$5:$M$1517,M649,$B$5:$B$1517,"&lt;"&amp;B649)+COUNTIFS($M$5:$M$1517,M649,$B$5:$B$1517,B649,$C$5:$C$1517,"&lt;"&amp;C649),"")</f>
        <v/>
      </c>
      <c r="S649" s="0" t="str">
        <f aca="false">IF(N649&gt;=Models!$G$7,1+COUNTIF($N$5:$N$1517,"&gt;"&amp;N649)+COUNTIFS($N$5:$N$1517,N649,$B$5:$B$1517,"&lt;"&amp;B649)+COUNTIFS($N$5:$N$1517,N649,$B$5:$B$1517,B649,$C$5:$C$1517,"&lt;"&amp;C649),"")</f>
        <v/>
      </c>
      <c r="T649" s="8" t="n">
        <f aca="false">IF(O649&gt;=Models!$G$8,1+COUNTIF($O$5:$O$1517,"&gt;"&amp;O649)+COUNTIFS($O$5:$O$1517,O649,$B$5:$B$1517,"&lt;"&amp;B649)+COUNTIFS($O$5:$O$1517,O649,$B$5:$B$1517,B649,$C$5:$C$1517,"&lt;"&amp;C649),"")</f>
        <v>1098</v>
      </c>
      <c r="U649" s="8" t="n">
        <f aca="false">IF($K649=1,COUNTIFS($L$5:$L$1517,"&gt;="&amp;L649,$K$5:$K$1517,1)/COUNTIF($L$5:$L$1517,"&gt;="&amp;L649),0)</f>
        <v>0</v>
      </c>
      <c r="V649" s="8" t="n">
        <f aca="false">IF($K649=1,COUNTIFS($M$5:$M$1517,"&gt;="&amp;M649,$K$5:$K$1517,1)/COUNTIF($M$5:$M$1517,"&gt;="&amp;M649),0)</f>
        <v>0</v>
      </c>
      <c r="W649" s="8" t="n">
        <f aca="false">IF($K649=1,COUNTIFS($N$5:$N$1517,"&gt;="&amp;N649,$K$5:$K$1517,1)/COUNTIF($N$5:$N$1517,"&gt;="&amp;N649),0)</f>
        <v>0</v>
      </c>
      <c r="X649" s="8" t="n">
        <f aca="false">IF($K649=1,COUNTIFS($O$5:$O$1517,"&gt;="&amp;O649,$K$5:$K$1517,1)/COUNTIF($O$5:$O$1517,"&gt;="&amp;O649),0)</f>
        <v>0</v>
      </c>
      <c r="Y649" s="8" t="n">
        <f aca="false">IF($K649=1,COUNTIFS($P$5:$P$1517,"&gt;="&amp;P649,$K$5:$K$1517,1)/COUNTIF($P$5:$P$1517,"&gt;="&amp;P649),0)</f>
        <v>0</v>
      </c>
      <c r="Z649" s="8" t="n">
        <f aca="false">(L649-$K649)^2</f>
        <v>0.407678419009</v>
      </c>
      <c r="AA649" s="8" t="n">
        <f aca="false">(M649-$K649)^2</f>
        <v>0.008475595969</v>
      </c>
      <c r="AB649" s="8" t="n">
        <f aca="false">(N649-$K649)^2</f>
        <v>0.017801163241</v>
      </c>
      <c r="AC649" s="8" t="n">
        <f aca="false">(O649-$K649)^2</f>
        <v>0.011274829489</v>
      </c>
      <c r="AD649" s="8" t="n">
        <f aca="false">(P649-$K649)^2</f>
        <v>0.020431271844</v>
      </c>
      <c r="AE649" s="8" t="n">
        <f aca="false">MIN(INT(ROUND(N649*1000000,0)/100000),9)</f>
        <v>1</v>
      </c>
      <c r="AF649" s="8" t="n">
        <f aca="false">MIN(INT(ROUND(P649*1000000,0)/100000),9)</f>
        <v>1</v>
      </c>
    </row>
    <row r="650" customFormat="false" ht="15" hidden="false" customHeight="false" outlineLevel="0" collapsed="false">
      <c r="A650" s="4" t="n">
        <v>646</v>
      </c>
      <c r="B650" s="4" t="n">
        <v>1338</v>
      </c>
      <c r="C650" s="4" t="n">
        <v>1</v>
      </c>
      <c r="D650" s="11" t="n">
        <v>46082</v>
      </c>
      <c r="E650" s="4" t="s">
        <v>203</v>
      </c>
      <c r="F650" s="4" t="s">
        <v>208</v>
      </c>
      <c r="G650" s="4" t="n">
        <v>7</v>
      </c>
      <c r="H650" s="4" t="n">
        <v>3</v>
      </c>
      <c r="I650" s="4" t="n">
        <v>0</v>
      </c>
      <c r="J650" s="4"/>
      <c r="K650" s="4" t="n">
        <v>0</v>
      </c>
      <c r="L650" s="12" t="n">
        <v>0.506492</v>
      </c>
      <c r="M650" s="12" t="n">
        <v>0.092063</v>
      </c>
      <c r="N650" s="12" t="n">
        <v>0.046611</v>
      </c>
      <c r="O650" s="12" t="n">
        <v>0.106183</v>
      </c>
      <c r="P650" s="12" t="n">
        <v>0.047752</v>
      </c>
      <c r="Q650" s="0" t="str">
        <f aca="false">IF(L650&gt;=Models!$G$5,1+COUNTIF($L$5:$L$1517,"&gt;"&amp;L650)+COUNTIFS($L$5:$L$1517,L650,$B$5:$B$1517,"&lt;"&amp;B650)+COUNTIFS($L$5:$L$1517,L650,$B$5:$B$1517,B650,$C$5:$C$1517,"&lt;"&amp;C650),"")</f>
        <v/>
      </c>
      <c r="R650" s="0" t="str">
        <f aca="false">IF(M650&gt;=Models!$G$6,1+COUNTIF($M$5:$M$1517,"&gt;"&amp;M650)+COUNTIFS($M$5:$M$1517,M650,$B$5:$B$1517,"&lt;"&amp;B650)+COUNTIFS($M$5:$M$1517,M650,$B$5:$B$1517,B650,$C$5:$C$1517,"&lt;"&amp;C650),"")</f>
        <v/>
      </c>
      <c r="S650" s="0" t="str">
        <f aca="false">IF(N650&gt;=Models!$G$7,1+COUNTIF($N$5:$N$1517,"&gt;"&amp;N650)+COUNTIFS($N$5:$N$1517,N650,$B$5:$B$1517,"&lt;"&amp;B650)+COUNTIFS($N$5:$N$1517,N650,$B$5:$B$1517,B650,$C$5:$C$1517,"&lt;"&amp;C650),"")</f>
        <v/>
      </c>
      <c r="T650" s="8" t="n">
        <f aca="false">IF(O650&gt;=Models!$G$8,1+COUNTIF($O$5:$O$1517,"&gt;"&amp;O650)+COUNTIFS($O$5:$O$1517,O650,$B$5:$B$1517,"&lt;"&amp;B650)+COUNTIFS($O$5:$O$1517,O650,$B$5:$B$1517,B650,$C$5:$C$1517,"&lt;"&amp;C650),"")</f>
        <v>1102</v>
      </c>
      <c r="U650" s="8" t="n">
        <f aca="false">IF($K650=1,COUNTIFS($L$5:$L$1517,"&gt;="&amp;L650,$K$5:$K$1517,1)/COUNTIF($L$5:$L$1517,"&gt;="&amp;L650),0)</f>
        <v>0</v>
      </c>
      <c r="V650" s="8" t="n">
        <f aca="false">IF($K650=1,COUNTIFS($M$5:$M$1517,"&gt;="&amp;M650,$K$5:$K$1517,1)/COUNTIF($M$5:$M$1517,"&gt;="&amp;M650),0)</f>
        <v>0</v>
      </c>
      <c r="W650" s="8" t="n">
        <f aca="false">IF($K650=1,COUNTIFS($N$5:$N$1517,"&gt;="&amp;N650,$K$5:$K$1517,1)/COUNTIF($N$5:$N$1517,"&gt;="&amp;N650),0)</f>
        <v>0</v>
      </c>
      <c r="X650" s="8" t="n">
        <f aca="false">IF($K650=1,COUNTIFS($O$5:$O$1517,"&gt;="&amp;O650,$K$5:$K$1517,1)/COUNTIF($O$5:$O$1517,"&gt;="&amp;O650),0)</f>
        <v>0</v>
      </c>
      <c r="Y650" s="8" t="n">
        <f aca="false">IF($K650=1,COUNTIFS($P$5:$P$1517,"&gt;="&amp;P650,$K$5:$K$1517,1)/COUNTIF($P$5:$P$1517,"&gt;="&amp;P650),0)</f>
        <v>0</v>
      </c>
      <c r="Z650" s="8" t="n">
        <f aca="false">(L650-$K650)^2</f>
        <v>0.256534146064</v>
      </c>
      <c r="AA650" s="8" t="n">
        <f aca="false">(M650-$K650)^2</f>
        <v>0.008475595969</v>
      </c>
      <c r="AB650" s="8" t="n">
        <f aca="false">(N650-$K650)^2</f>
        <v>0.002172585321</v>
      </c>
      <c r="AC650" s="8" t="n">
        <f aca="false">(O650-$K650)^2</f>
        <v>0.011274829489</v>
      </c>
      <c r="AD650" s="8" t="n">
        <f aca="false">(P650-$K650)^2</f>
        <v>0.002280253504</v>
      </c>
      <c r="AE650" s="8" t="n">
        <f aca="false">MIN(INT(ROUND(N650*1000000,0)/100000),9)</f>
        <v>0</v>
      </c>
      <c r="AF650" s="8" t="n">
        <f aca="false">MIN(INT(ROUND(P650*1000000,0)/100000),9)</f>
        <v>0</v>
      </c>
    </row>
    <row r="651" customFormat="false" ht="15" hidden="false" customHeight="false" outlineLevel="0" collapsed="false">
      <c r="A651" s="4" t="n">
        <v>647</v>
      </c>
      <c r="B651" s="4" t="n">
        <v>1342</v>
      </c>
      <c r="C651" s="4" t="n">
        <v>1</v>
      </c>
      <c r="D651" s="11" t="n">
        <v>46082</v>
      </c>
      <c r="E651" s="4" t="s">
        <v>204</v>
      </c>
      <c r="F651" s="4" t="s">
        <v>206</v>
      </c>
      <c r="G651" s="4" t="n">
        <v>2</v>
      </c>
      <c r="H651" s="4" t="n">
        <v>8</v>
      </c>
      <c r="I651" s="4" t="n">
        <v>0</v>
      </c>
      <c r="J651" s="4" t="n">
        <v>93</v>
      </c>
      <c r="K651" s="4" t="n">
        <v>0</v>
      </c>
      <c r="L651" s="12" t="n">
        <v>0.917421</v>
      </c>
      <c r="M651" s="12" t="n">
        <v>0.092063</v>
      </c>
      <c r="N651" s="12" t="n">
        <v>0.144811</v>
      </c>
      <c r="O651" s="12" t="n">
        <v>0.106183</v>
      </c>
      <c r="P651" s="12" t="n">
        <v>0.15559</v>
      </c>
      <c r="Q651" s="0" t="str">
        <f aca="false">IF(L651&gt;=Models!$G$5,1+COUNTIF($L$5:$L$1517,"&gt;"&amp;L651)+COUNTIFS($L$5:$L$1517,L651,$B$5:$B$1517,"&lt;"&amp;B651)+COUNTIFS($L$5:$L$1517,L651,$B$5:$B$1517,B651,$C$5:$C$1517,"&lt;"&amp;C651),"")</f>
        <v/>
      </c>
      <c r="R651" s="0" t="str">
        <f aca="false">IF(M651&gt;=Models!$G$6,1+COUNTIF($M$5:$M$1517,"&gt;"&amp;M651)+COUNTIFS($M$5:$M$1517,M651,$B$5:$B$1517,"&lt;"&amp;B651)+COUNTIFS($M$5:$M$1517,M651,$B$5:$B$1517,B651,$C$5:$C$1517,"&lt;"&amp;C651),"")</f>
        <v/>
      </c>
      <c r="S651" s="0" t="str">
        <f aca="false">IF(N651&gt;=Models!$G$7,1+COUNTIF($N$5:$N$1517,"&gt;"&amp;N651)+COUNTIFS($N$5:$N$1517,N651,$B$5:$B$1517,"&lt;"&amp;B651)+COUNTIFS($N$5:$N$1517,N651,$B$5:$B$1517,B651,$C$5:$C$1517,"&lt;"&amp;C651),"")</f>
        <v/>
      </c>
      <c r="T651" s="8" t="n">
        <f aca="false">IF(O651&gt;=Models!$G$8,1+COUNTIF($O$5:$O$1517,"&gt;"&amp;O651)+COUNTIFS($O$5:$O$1517,O651,$B$5:$B$1517,"&lt;"&amp;B651)+COUNTIFS($O$5:$O$1517,O651,$B$5:$B$1517,B651,$C$5:$C$1517,"&lt;"&amp;C651),"")</f>
        <v>1106</v>
      </c>
      <c r="U651" s="8" t="n">
        <f aca="false">IF($K651=1,COUNTIFS($L$5:$L$1517,"&gt;="&amp;L651,$K$5:$K$1517,1)/COUNTIF($L$5:$L$1517,"&gt;="&amp;L651),0)</f>
        <v>0</v>
      </c>
      <c r="V651" s="8" t="n">
        <f aca="false">IF($K651=1,COUNTIFS($M$5:$M$1517,"&gt;="&amp;M651,$K$5:$K$1517,1)/COUNTIF($M$5:$M$1517,"&gt;="&amp;M651),0)</f>
        <v>0</v>
      </c>
      <c r="W651" s="8" t="n">
        <f aca="false">IF($K651=1,COUNTIFS($N$5:$N$1517,"&gt;="&amp;N651,$K$5:$K$1517,1)/COUNTIF($N$5:$N$1517,"&gt;="&amp;N651),0)</f>
        <v>0</v>
      </c>
      <c r="X651" s="8" t="n">
        <f aca="false">IF($K651=1,COUNTIFS($O$5:$O$1517,"&gt;="&amp;O651,$K$5:$K$1517,1)/COUNTIF($O$5:$O$1517,"&gt;="&amp;O651),0)</f>
        <v>0</v>
      </c>
      <c r="Y651" s="8" t="n">
        <f aca="false">IF($K651=1,COUNTIFS($P$5:$P$1517,"&gt;="&amp;P651,$K$5:$K$1517,1)/COUNTIF($P$5:$P$1517,"&gt;="&amp;P651),0)</f>
        <v>0</v>
      </c>
      <c r="Z651" s="8" t="n">
        <f aca="false">(L651-$K651)^2</f>
        <v>0.841661291241</v>
      </c>
      <c r="AA651" s="8" t="n">
        <f aca="false">(M651-$K651)^2</f>
        <v>0.008475595969</v>
      </c>
      <c r="AB651" s="8" t="n">
        <f aca="false">(N651-$K651)^2</f>
        <v>0.020970225721</v>
      </c>
      <c r="AC651" s="8" t="n">
        <f aca="false">(O651-$K651)^2</f>
        <v>0.011274829489</v>
      </c>
      <c r="AD651" s="8" t="n">
        <f aca="false">(P651-$K651)^2</f>
        <v>0.0242082481</v>
      </c>
      <c r="AE651" s="8" t="n">
        <f aca="false">MIN(INT(ROUND(N651*1000000,0)/100000),9)</f>
        <v>1</v>
      </c>
      <c r="AF651" s="8" t="n">
        <f aca="false">MIN(INT(ROUND(P651*1000000,0)/100000),9)</f>
        <v>1</v>
      </c>
    </row>
    <row r="652" customFormat="false" ht="15" hidden="false" customHeight="false" outlineLevel="0" collapsed="false">
      <c r="A652" s="4" t="n">
        <v>648</v>
      </c>
      <c r="B652" s="4" t="n">
        <v>1351</v>
      </c>
      <c r="C652" s="4" t="n">
        <v>1</v>
      </c>
      <c r="D652" s="11" t="n">
        <v>46082</v>
      </c>
      <c r="E652" s="4" t="s">
        <v>204</v>
      </c>
      <c r="F652" s="4" t="s">
        <v>210</v>
      </c>
      <c r="G652" s="4" t="n">
        <v>4</v>
      </c>
      <c r="H652" s="4" t="n">
        <v>10</v>
      </c>
      <c r="I652" s="4" t="n">
        <v>0</v>
      </c>
      <c r="J652" s="4" t="n">
        <v>81</v>
      </c>
      <c r="K652" s="4" t="n">
        <v>0</v>
      </c>
      <c r="L652" s="12" t="n">
        <v>0.807562</v>
      </c>
      <c r="M652" s="12" t="n">
        <v>0.092063</v>
      </c>
      <c r="N652" s="12" t="n">
        <v>0.125781</v>
      </c>
      <c r="O652" s="12" t="n">
        <v>0.106183</v>
      </c>
      <c r="P652" s="12" t="n">
        <v>0.134463</v>
      </c>
      <c r="Q652" s="0" t="str">
        <f aca="false">IF(L652&gt;=Models!$G$5,1+COUNTIF($L$5:$L$1517,"&gt;"&amp;L652)+COUNTIFS($L$5:$L$1517,L652,$B$5:$B$1517,"&lt;"&amp;B652)+COUNTIFS($L$5:$L$1517,L652,$B$5:$B$1517,B652,$C$5:$C$1517,"&lt;"&amp;C652),"")</f>
        <v/>
      </c>
      <c r="R652" s="0" t="str">
        <f aca="false">IF(M652&gt;=Models!$G$6,1+COUNTIF($M$5:$M$1517,"&gt;"&amp;M652)+COUNTIFS($M$5:$M$1517,M652,$B$5:$B$1517,"&lt;"&amp;B652)+COUNTIFS($M$5:$M$1517,M652,$B$5:$B$1517,B652,$C$5:$C$1517,"&lt;"&amp;C652),"")</f>
        <v/>
      </c>
      <c r="S652" s="0" t="str">
        <f aca="false">IF(N652&gt;=Models!$G$7,1+COUNTIF($N$5:$N$1517,"&gt;"&amp;N652)+COUNTIFS($N$5:$N$1517,N652,$B$5:$B$1517,"&lt;"&amp;B652)+COUNTIFS($N$5:$N$1517,N652,$B$5:$B$1517,B652,$C$5:$C$1517,"&lt;"&amp;C652),"")</f>
        <v/>
      </c>
      <c r="T652" s="8" t="n">
        <f aca="false">IF(O652&gt;=Models!$G$8,1+COUNTIF($O$5:$O$1517,"&gt;"&amp;O652)+COUNTIFS($O$5:$O$1517,O652,$B$5:$B$1517,"&lt;"&amp;B652)+COUNTIFS($O$5:$O$1517,O652,$B$5:$B$1517,B652,$C$5:$C$1517,"&lt;"&amp;C652),"")</f>
        <v>1110</v>
      </c>
      <c r="U652" s="8" t="n">
        <f aca="false">IF($K652=1,COUNTIFS($L$5:$L$1517,"&gt;="&amp;L652,$K$5:$K$1517,1)/COUNTIF($L$5:$L$1517,"&gt;="&amp;L652),0)</f>
        <v>0</v>
      </c>
      <c r="V652" s="8" t="n">
        <f aca="false">IF($K652=1,COUNTIFS($M$5:$M$1517,"&gt;="&amp;M652,$K$5:$K$1517,1)/COUNTIF($M$5:$M$1517,"&gt;="&amp;M652),0)</f>
        <v>0</v>
      </c>
      <c r="W652" s="8" t="n">
        <f aca="false">IF($K652=1,COUNTIFS($N$5:$N$1517,"&gt;="&amp;N652,$K$5:$K$1517,1)/COUNTIF($N$5:$N$1517,"&gt;="&amp;N652),0)</f>
        <v>0</v>
      </c>
      <c r="X652" s="8" t="n">
        <f aca="false">IF($K652=1,COUNTIFS($O$5:$O$1517,"&gt;="&amp;O652,$K$5:$K$1517,1)/COUNTIF($O$5:$O$1517,"&gt;="&amp;O652),0)</f>
        <v>0</v>
      </c>
      <c r="Y652" s="8" t="n">
        <f aca="false">IF($K652=1,COUNTIFS($P$5:$P$1517,"&gt;="&amp;P652,$K$5:$K$1517,1)/COUNTIF($P$5:$P$1517,"&gt;="&amp;P652),0)</f>
        <v>0</v>
      </c>
      <c r="Z652" s="8" t="n">
        <f aca="false">(L652-$K652)^2</f>
        <v>0.652156383844</v>
      </c>
      <c r="AA652" s="8" t="n">
        <f aca="false">(M652-$K652)^2</f>
        <v>0.008475595969</v>
      </c>
      <c r="AB652" s="8" t="n">
        <f aca="false">(N652-$K652)^2</f>
        <v>0.015820859961</v>
      </c>
      <c r="AC652" s="8" t="n">
        <f aca="false">(O652-$K652)^2</f>
        <v>0.011274829489</v>
      </c>
      <c r="AD652" s="8" t="n">
        <f aca="false">(P652-$K652)^2</f>
        <v>0.018080298369</v>
      </c>
      <c r="AE652" s="8" t="n">
        <f aca="false">MIN(INT(ROUND(N652*1000000,0)/100000),9)</f>
        <v>1</v>
      </c>
      <c r="AF652" s="8" t="n">
        <f aca="false">MIN(INT(ROUND(P652*1000000,0)/100000),9)</f>
        <v>1</v>
      </c>
    </row>
    <row r="653" customFormat="false" ht="15" hidden="false" customHeight="false" outlineLevel="0" collapsed="false">
      <c r="A653" s="4" t="n">
        <v>649</v>
      </c>
      <c r="B653" s="4" t="n">
        <v>1353</v>
      </c>
      <c r="C653" s="4" t="n">
        <v>1</v>
      </c>
      <c r="D653" s="11" t="n">
        <v>46082</v>
      </c>
      <c r="E653" s="4" t="s">
        <v>204</v>
      </c>
      <c r="F653" s="4" t="s">
        <v>209</v>
      </c>
      <c r="G653" s="4" t="n">
        <v>3</v>
      </c>
      <c r="H653" s="4" t="n">
        <v>1</v>
      </c>
      <c r="I653" s="4" t="n">
        <v>0</v>
      </c>
      <c r="J653" s="4" t="n">
        <v>111</v>
      </c>
      <c r="K653" s="4" t="n">
        <v>0</v>
      </c>
      <c r="L653" s="12" t="n">
        <v>0.736774</v>
      </c>
      <c r="M653" s="12" t="n">
        <v>0.092063</v>
      </c>
      <c r="N653" s="12" t="n">
        <v>0.127385</v>
      </c>
      <c r="O653" s="12" t="n">
        <v>0.106183</v>
      </c>
      <c r="P653" s="12" t="n">
        <v>0.136241</v>
      </c>
      <c r="Q653" s="0" t="str">
        <f aca="false">IF(L653&gt;=Models!$G$5,1+COUNTIF($L$5:$L$1517,"&gt;"&amp;L653)+COUNTIFS($L$5:$L$1517,L653,$B$5:$B$1517,"&lt;"&amp;B653)+COUNTIFS($L$5:$L$1517,L653,$B$5:$B$1517,B653,$C$5:$C$1517,"&lt;"&amp;C653),"")</f>
        <v/>
      </c>
      <c r="R653" s="0" t="str">
        <f aca="false">IF(M653&gt;=Models!$G$6,1+COUNTIF($M$5:$M$1517,"&gt;"&amp;M653)+COUNTIFS($M$5:$M$1517,M653,$B$5:$B$1517,"&lt;"&amp;B653)+COUNTIFS($M$5:$M$1517,M653,$B$5:$B$1517,B653,$C$5:$C$1517,"&lt;"&amp;C653),"")</f>
        <v/>
      </c>
      <c r="S653" s="0" t="str">
        <f aca="false">IF(N653&gt;=Models!$G$7,1+COUNTIF($N$5:$N$1517,"&gt;"&amp;N653)+COUNTIFS($N$5:$N$1517,N653,$B$5:$B$1517,"&lt;"&amp;B653)+COUNTIFS($N$5:$N$1517,N653,$B$5:$B$1517,B653,$C$5:$C$1517,"&lt;"&amp;C653),"")</f>
        <v/>
      </c>
      <c r="T653" s="8" t="n">
        <f aca="false">IF(O653&gt;=Models!$G$8,1+COUNTIF($O$5:$O$1517,"&gt;"&amp;O653)+COUNTIFS($O$5:$O$1517,O653,$B$5:$B$1517,"&lt;"&amp;B653)+COUNTIFS($O$5:$O$1517,O653,$B$5:$B$1517,B653,$C$5:$C$1517,"&lt;"&amp;C653),"")</f>
        <v>1114</v>
      </c>
      <c r="U653" s="8" t="n">
        <f aca="false">IF($K653=1,COUNTIFS($L$5:$L$1517,"&gt;="&amp;L653,$K$5:$K$1517,1)/COUNTIF($L$5:$L$1517,"&gt;="&amp;L653),0)</f>
        <v>0</v>
      </c>
      <c r="V653" s="8" t="n">
        <f aca="false">IF($K653=1,COUNTIFS($M$5:$M$1517,"&gt;="&amp;M653,$K$5:$K$1517,1)/COUNTIF($M$5:$M$1517,"&gt;="&amp;M653),0)</f>
        <v>0</v>
      </c>
      <c r="W653" s="8" t="n">
        <f aca="false">IF($K653=1,COUNTIFS($N$5:$N$1517,"&gt;="&amp;N653,$K$5:$K$1517,1)/COUNTIF($N$5:$N$1517,"&gt;="&amp;N653),0)</f>
        <v>0</v>
      </c>
      <c r="X653" s="8" t="n">
        <f aca="false">IF($K653=1,COUNTIFS($O$5:$O$1517,"&gt;="&amp;O653,$K$5:$K$1517,1)/COUNTIF($O$5:$O$1517,"&gt;="&amp;O653),0)</f>
        <v>0</v>
      </c>
      <c r="Y653" s="8" t="n">
        <f aca="false">IF($K653=1,COUNTIFS($P$5:$P$1517,"&gt;="&amp;P653,$K$5:$K$1517,1)/COUNTIF($P$5:$P$1517,"&gt;="&amp;P653),0)</f>
        <v>0</v>
      </c>
      <c r="Z653" s="8" t="n">
        <f aca="false">(L653-$K653)^2</f>
        <v>0.542835927076</v>
      </c>
      <c r="AA653" s="8" t="n">
        <f aca="false">(M653-$K653)^2</f>
        <v>0.008475595969</v>
      </c>
      <c r="AB653" s="8" t="n">
        <f aca="false">(N653-$K653)^2</f>
        <v>0.016226938225</v>
      </c>
      <c r="AC653" s="8" t="n">
        <f aca="false">(O653-$K653)^2</f>
        <v>0.011274829489</v>
      </c>
      <c r="AD653" s="8" t="n">
        <f aca="false">(P653-$K653)^2</f>
        <v>0.018561610081</v>
      </c>
      <c r="AE653" s="8" t="n">
        <f aca="false">MIN(INT(ROUND(N653*1000000,0)/100000),9)</f>
        <v>1</v>
      </c>
      <c r="AF653" s="8" t="n">
        <f aca="false">MIN(INT(ROUND(P653*1000000,0)/100000),9)</f>
        <v>1</v>
      </c>
    </row>
    <row r="654" customFormat="false" ht="15" hidden="false" customHeight="false" outlineLevel="0" collapsed="false">
      <c r="A654" s="4" t="n">
        <v>650</v>
      </c>
      <c r="B654" s="4" t="n">
        <v>1357</v>
      </c>
      <c r="C654" s="4" t="n">
        <v>1</v>
      </c>
      <c r="D654" s="11" t="n">
        <v>46082</v>
      </c>
      <c r="E654" s="4" t="s">
        <v>203</v>
      </c>
      <c r="F654" s="4" t="s">
        <v>206</v>
      </c>
      <c r="G654" s="4" t="n">
        <v>6</v>
      </c>
      <c r="H654" s="4" t="n">
        <v>3</v>
      </c>
      <c r="I654" s="4" t="n">
        <v>0</v>
      </c>
      <c r="J654" s="4" t="n">
        <v>357</v>
      </c>
      <c r="K654" s="4" t="n">
        <v>0</v>
      </c>
      <c r="L654" s="12" t="n">
        <v>0.021807</v>
      </c>
      <c r="M654" s="12" t="n">
        <v>0.092063</v>
      </c>
      <c r="N654" s="12" t="n">
        <v>0.100457</v>
      </c>
      <c r="O654" s="12" t="n">
        <v>0.106183</v>
      </c>
      <c r="P654" s="12" t="n">
        <v>0.106454</v>
      </c>
      <c r="Q654" s="0" t="str">
        <f aca="false">IF(L654&gt;=Models!$G$5,1+COUNTIF($L$5:$L$1517,"&gt;"&amp;L654)+COUNTIFS($L$5:$L$1517,L654,$B$5:$B$1517,"&lt;"&amp;B654)+COUNTIFS($L$5:$L$1517,L654,$B$5:$B$1517,B654,$C$5:$C$1517,"&lt;"&amp;C654),"")</f>
        <v/>
      </c>
      <c r="R654" s="0" t="str">
        <f aca="false">IF(M654&gt;=Models!$G$6,1+COUNTIF($M$5:$M$1517,"&gt;"&amp;M654)+COUNTIFS($M$5:$M$1517,M654,$B$5:$B$1517,"&lt;"&amp;B654)+COUNTIFS($M$5:$M$1517,M654,$B$5:$B$1517,B654,$C$5:$C$1517,"&lt;"&amp;C654),"")</f>
        <v/>
      </c>
      <c r="S654" s="0" t="str">
        <f aca="false">IF(N654&gt;=Models!$G$7,1+COUNTIF($N$5:$N$1517,"&gt;"&amp;N654)+COUNTIFS($N$5:$N$1517,N654,$B$5:$B$1517,"&lt;"&amp;B654)+COUNTIFS($N$5:$N$1517,N654,$B$5:$B$1517,B654,$C$5:$C$1517,"&lt;"&amp;C654),"")</f>
        <v/>
      </c>
      <c r="T654" s="8" t="n">
        <f aca="false">IF(O654&gt;=Models!$G$8,1+COUNTIF($O$5:$O$1517,"&gt;"&amp;O654)+COUNTIFS($O$5:$O$1517,O654,$B$5:$B$1517,"&lt;"&amp;B654)+COUNTIFS($O$5:$O$1517,O654,$B$5:$B$1517,B654,$C$5:$C$1517,"&lt;"&amp;C654),"")</f>
        <v>1118</v>
      </c>
      <c r="U654" s="8" t="n">
        <f aca="false">IF($K654=1,COUNTIFS($L$5:$L$1517,"&gt;="&amp;L654,$K$5:$K$1517,1)/COUNTIF($L$5:$L$1517,"&gt;="&amp;L654),0)</f>
        <v>0</v>
      </c>
      <c r="V654" s="8" t="n">
        <f aca="false">IF($K654=1,COUNTIFS($M$5:$M$1517,"&gt;="&amp;M654,$K$5:$K$1517,1)/COUNTIF($M$5:$M$1517,"&gt;="&amp;M654),0)</f>
        <v>0</v>
      </c>
      <c r="W654" s="8" t="n">
        <f aca="false">IF($K654=1,COUNTIFS($N$5:$N$1517,"&gt;="&amp;N654,$K$5:$K$1517,1)/COUNTIF($N$5:$N$1517,"&gt;="&amp;N654),0)</f>
        <v>0</v>
      </c>
      <c r="X654" s="8" t="n">
        <f aca="false">IF($K654=1,COUNTIFS($O$5:$O$1517,"&gt;="&amp;O654,$K$5:$K$1517,1)/COUNTIF($O$5:$O$1517,"&gt;="&amp;O654),0)</f>
        <v>0</v>
      </c>
      <c r="Y654" s="8" t="n">
        <f aca="false">IF($K654=1,COUNTIFS($P$5:$P$1517,"&gt;="&amp;P654,$K$5:$K$1517,1)/COUNTIF($P$5:$P$1517,"&gt;="&amp;P654),0)</f>
        <v>0</v>
      </c>
      <c r="Z654" s="8" t="n">
        <f aca="false">(L654-$K654)^2</f>
        <v>0.000475545249</v>
      </c>
      <c r="AA654" s="8" t="n">
        <f aca="false">(M654-$K654)^2</f>
        <v>0.008475595969</v>
      </c>
      <c r="AB654" s="8" t="n">
        <f aca="false">(N654-$K654)^2</f>
        <v>0.010091608849</v>
      </c>
      <c r="AC654" s="8" t="n">
        <f aca="false">(O654-$K654)^2</f>
        <v>0.011274829489</v>
      </c>
      <c r="AD654" s="8" t="n">
        <f aca="false">(P654-$K654)^2</f>
        <v>0.011332454116</v>
      </c>
      <c r="AE654" s="8" t="n">
        <f aca="false">MIN(INT(ROUND(N654*1000000,0)/100000),9)</f>
        <v>1</v>
      </c>
      <c r="AF654" s="8" t="n">
        <f aca="false">MIN(INT(ROUND(P654*1000000,0)/100000),9)</f>
        <v>1</v>
      </c>
    </row>
    <row r="655" customFormat="false" ht="15" hidden="false" customHeight="false" outlineLevel="0" collapsed="false">
      <c r="A655" s="4" t="n">
        <v>651</v>
      </c>
      <c r="B655" s="4" t="n">
        <v>1359</v>
      </c>
      <c r="C655" s="4" t="n">
        <v>1</v>
      </c>
      <c r="D655" s="11" t="n">
        <v>46082</v>
      </c>
      <c r="E655" s="4" t="s">
        <v>203</v>
      </c>
      <c r="F655" s="4" t="s">
        <v>208</v>
      </c>
      <c r="G655" s="4" t="n">
        <v>7</v>
      </c>
      <c r="H655" s="4" t="n">
        <v>7</v>
      </c>
      <c r="I655" s="4" t="n">
        <v>0</v>
      </c>
      <c r="J655" s="4" t="n">
        <v>312</v>
      </c>
      <c r="K655" s="4" t="n">
        <v>0</v>
      </c>
      <c r="L655" s="12" t="n">
        <v>0.497095</v>
      </c>
      <c r="M655" s="12" t="n">
        <v>0.092063</v>
      </c>
      <c r="N655" s="12" t="n">
        <v>0.095629</v>
      </c>
      <c r="O655" s="12" t="n">
        <v>0.106183</v>
      </c>
      <c r="P655" s="12" t="n">
        <v>0.101134</v>
      </c>
      <c r="Q655" s="0" t="str">
        <f aca="false">IF(L655&gt;=Models!$G$5,1+COUNTIF($L$5:$L$1517,"&gt;"&amp;L655)+COUNTIFS($L$5:$L$1517,L655,$B$5:$B$1517,"&lt;"&amp;B655)+COUNTIFS($L$5:$L$1517,L655,$B$5:$B$1517,B655,$C$5:$C$1517,"&lt;"&amp;C655),"")</f>
        <v/>
      </c>
      <c r="R655" s="0" t="str">
        <f aca="false">IF(M655&gt;=Models!$G$6,1+COUNTIF($M$5:$M$1517,"&gt;"&amp;M655)+COUNTIFS($M$5:$M$1517,M655,$B$5:$B$1517,"&lt;"&amp;B655)+COUNTIFS($M$5:$M$1517,M655,$B$5:$B$1517,B655,$C$5:$C$1517,"&lt;"&amp;C655),"")</f>
        <v/>
      </c>
      <c r="S655" s="0" t="str">
        <f aca="false">IF(N655&gt;=Models!$G$7,1+COUNTIF($N$5:$N$1517,"&gt;"&amp;N655)+COUNTIFS($N$5:$N$1517,N655,$B$5:$B$1517,"&lt;"&amp;B655)+COUNTIFS($N$5:$N$1517,N655,$B$5:$B$1517,B655,$C$5:$C$1517,"&lt;"&amp;C655),"")</f>
        <v/>
      </c>
      <c r="T655" s="8" t="n">
        <f aca="false">IF(O655&gt;=Models!$G$8,1+COUNTIF($O$5:$O$1517,"&gt;"&amp;O655)+COUNTIFS($O$5:$O$1517,O655,$B$5:$B$1517,"&lt;"&amp;B655)+COUNTIFS($O$5:$O$1517,O655,$B$5:$B$1517,B655,$C$5:$C$1517,"&lt;"&amp;C655),"")</f>
        <v>1123</v>
      </c>
      <c r="U655" s="8" t="n">
        <f aca="false">IF($K655=1,COUNTIFS($L$5:$L$1517,"&gt;="&amp;L655,$K$5:$K$1517,1)/COUNTIF($L$5:$L$1517,"&gt;="&amp;L655),0)</f>
        <v>0</v>
      </c>
      <c r="V655" s="8" t="n">
        <f aca="false">IF($K655=1,COUNTIFS($M$5:$M$1517,"&gt;="&amp;M655,$K$5:$K$1517,1)/COUNTIF($M$5:$M$1517,"&gt;="&amp;M655),0)</f>
        <v>0</v>
      </c>
      <c r="W655" s="8" t="n">
        <f aca="false">IF($K655=1,COUNTIFS($N$5:$N$1517,"&gt;="&amp;N655,$K$5:$K$1517,1)/COUNTIF($N$5:$N$1517,"&gt;="&amp;N655),0)</f>
        <v>0</v>
      </c>
      <c r="X655" s="8" t="n">
        <f aca="false">IF($K655=1,COUNTIFS($O$5:$O$1517,"&gt;="&amp;O655,$K$5:$K$1517,1)/COUNTIF($O$5:$O$1517,"&gt;="&amp;O655),0)</f>
        <v>0</v>
      </c>
      <c r="Y655" s="8" t="n">
        <f aca="false">IF($K655=1,COUNTIFS($P$5:$P$1517,"&gt;="&amp;P655,$K$5:$K$1517,1)/COUNTIF($P$5:$P$1517,"&gt;="&amp;P655),0)</f>
        <v>0</v>
      </c>
      <c r="Z655" s="8" t="n">
        <f aca="false">(L655-$K655)^2</f>
        <v>0.247103439025</v>
      </c>
      <c r="AA655" s="8" t="n">
        <f aca="false">(M655-$K655)^2</f>
        <v>0.008475595969</v>
      </c>
      <c r="AB655" s="8" t="n">
        <f aca="false">(N655-$K655)^2</f>
        <v>0.009144905641</v>
      </c>
      <c r="AC655" s="8" t="n">
        <f aca="false">(O655-$K655)^2</f>
        <v>0.011274829489</v>
      </c>
      <c r="AD655" s="8" t="n">
        <f aca="false">(P655-$K655)^2</f>
        <v>0.010228085956</v>
      </c>
      <c r="AE655" s="8" t="n">
        <f aca="false">MIN(INT(ROUND(N655*1000000,0)/100000),9)</f>
        <v>0</v>
      </c>
      <c r="AF655" s="8" t="n">
        <f aca="false">MIN(INT(ROUND(P655*1000000,0)/100000),9)</f>
        <v>1</v>
      </c>
    </row>
    <row r="656" customFormat="false" ht="15" hidden="false" customHeight="false" outlineLevel="0" collapsed="false">
      <c r="A656" s="4" t="n">
        <v>652</v>
      </c>
      <c r="B656" s="4" t="n">
        <v>1361</v>
      </c>
      <c r="C656" s="4" t="n">
        <v>1</v>
      </c>
      <c r="D656" s="11" t="n">
        <v>46082</v>
      </c>
      <c r="E656" s="4" t="s">
        <v>203</v>
      </c>
      <c r="F656" s="4" t="s">
        <v>210</v>
      </c>
      <c r="G656" s="4" t="n">
        <v>8</v>
      </c>
      <c r="H656" s="4" t="n">
        <v>6</v>
      </c>
      <c r="I656" s="4" t="n">
        <v>0</v>
      </c>
      <c r="J656" s="4" t="n">
        <v>306</v>
      </c>
      <c r="K656" s="4" t="n">
        <v>0</v>
      </c>
      <c r="L656" s="12" t="n">
        <v>0.959762</v>
      </c>
      <c r="M656" s="12" t="n">
        <v>0.092063</v>
      </c>
      <c r="N656" s="12" t="n">
        <v>0.087497</v>
      </c>
      <c r="O656" s="12" t="n">
        <v>0.106183</v>
      </c>
      <c r="P656" s="12" t="n">
        <v>0.092191</v>
      </c>
      <c r="Q656" s="0" t="str">
        <f aca="false">IF(L656&gt;=Models!$G$5,1+COUNTIF($L$5:$L$1517,"&gt;"&amp;L656)+COUNTIFS($L$5:$L$1517,L656,$B$5:$B$1517,"&lt;"&amp;B656)+COUNTIFS($L$5:$L$1517,L656,$B$5:$B$1517,B656,$C$5:$C$1517,"&lt;"&amp;C656),"")</f>
        <v/>
      </c>
      <c r="R656" s="0" t="str">
        <f aca="false">IF(M656&gt;=Models!$G$6,1+COUNTIF($M$5:$M$1517,"&gt;"&amp;M656)+COUNTIFS($M$5:$M$1517,M656,$B$5:$B$1517,"&lt;"&amp;B656)+COUNTIFS($M$5:$M$1517,M656,$B$5:$B$1517,B656,$C$5:$C$1517,"&lt;"&amp;C656),"")</f>
        <v/>
      </c>
      <c r="S656" s="0" t="str">
        <f aca="false">IF(N656&gt;=Models!$G$7,1+COUNTIF($N$5:$N$1517,"&gt;"&amp;N656)+COUNTIFS($N$5:$N$1517,N656,$B$5:$B$1517,"&lt;"&amp;B656)+COUNTIFS($N$5:$N$1517,N656,$B$5:$B$1517,B656,$C$5:$C$1517,"&lt;"&amp;C656),"")</f>
        <v/>
      </c>
      <c r="T656" s="8" t="n">
        <f aca="false">IF(O656&gt;=Models!$G$8,1+COUNTIF($O$5:$O$1517,"&gt;"&amp;O656)+COUNTIFS($O$5:$O$1517,O656,$B$5:$B$1517,"&lt;"&amp;B656)+COUNTIFS($O$5:$O$1517,O656,$B$5:$B$1517,B656,$C$5:$C$1517,"&lt;"&amp;C656),"")</f>
        <v>1127</v>
      </c>
      <c r="U656" s="8" t="n">
        <f aca="false">IF($K656=1,COUNTIFS($L$5:$L$1517,"&gt;="&amp;L656,$K$5:$K$1517,1)/COUNTIF($L$5:$L$1517,"&gt;="&amp;L656),0)</f>
        <v>0</v>
      </c>
      <c r="V656" s="8" t="n">
        <f aca="false">IF($K656=1,COUNTIFS($M$5:$M$1517,"&gt;="&amp;M656,$K$5:$K$1517,1)/COUNTIF($M$5:$M$1517,"&gt;="&amp;M656),0)</f>
        <v>0</v>
      </c>
      <c r="W656" s="8" t="n">
        <f aca="false">IF($K656=1,COUNTIFS($N$5:$N$1517,"&gt;="&amp;N656,$K$5:$K$1517,1)/COUNTIF($N$5:$N$1517,"&gt;="&amp;N656),0)</f>
        <v>0</v>
      </c>
      <c r="X656" s="8" t="n">
        <f aca="false">IF($K656=1,COUNTIFS($O$5:$O$1517,"&gt;="&amp;O656,$K$5:$K$1517,1)/COUNTIF($O$5:$O$1517,"&gt;="&amp;O656),0)</f>
        <v>0</v>
      </c>
      <c r="Y656" s="8" t="n">
        <f aca="false">IF($K656=1,COUNTIFS($P$5:$P$1517,"&gt;="&amp;P656,$K$5:$K$1517,1)/COUNTIF($P$5:$P$1517,"&gt;="&amp;P656),0)</f>
        <v>0</v>
      </c>
      <c r="Z656" s="8" t="n">
        <f aca="false">(L656-$K656)^2</f>
        <v>0.921143096644</v>
      </c>
      <c r="AA656" s="8" t="n">
        <f aca="false">(M656-$K656)^2</f>
        <v>0.008475595969</v>
      </c>
      <c r="AB656" s="8" t="n">
        <f aca="false">(N656-$K656)^2</f>
        <v>0.007655725009</v>
      </c>
      <c r="AC656" s="8" t="n">
        <f aca="false">(O656-$K656)^2</f>
        <v>0.011274829489</v>
      </c>
      <c r="AD656" s="8" t="n">
        <f aca="false">(P656-$K656)^2</f>
        <v>0.008499180481</v>
      </c>
      <c r="AE656" s="8" t="n">
        <f aca="false">MIN(INT(ROUND(N656*1000000,0)/100000),9)</f>
        <v>0</v>
      </c>
      <c r="AF656" s="8" t="n">
        <f aca="false">MIN(INT(ROUND(P656*1000000,0)/100000),9)</f>
        <v>0</v>
      </c>
    </row>
    <row r="657" customFormat="false" ht="15" hidden="false" customHeight="false" outlineLevel="0" collapsed="false">
      <c r="A657" s="4" t="n">
        <v>653</v>
      </c>
      <c r="B657" s="4" t="n">
        <v>1366</v>
      </c>
      <c r="C657" s="4" t="n">
        <v>1</v>
      </c>
      <c r="D657" s="11" t="n">
        <v>46082</v>
      </c>
      <c r="E657" s="4" t="s">
        <v>204</v>
      </c>
      <c r="F657" s="4" t="s">
        <v>209</v>
      </c>
      <c r="G657" s="4" t="n">
        <v>1</v>
      </c>
      <c r="H657" s="4" t="n">
        <v>24</v>
      </c>
      <c r="I657" s="4" t="n">
        <v>0</v>
      </c>
      <c r="J657" s="4" t="n">
        <v>69</v>
      </c>
      <c r="K657" s="4" t="n">
        <v>0</v>
      </c>
      <c r="L657" s="12" t="n">
        <v>0.467007</v>
      </c>
      <c r="M657" s="12" t="n">
        <v>0.092063</v>
      </c>
      <c r="N657" s="12" t="n">
        <v>0.174598</v>
      </c>
      <c r="O657" s="12" t="n">
        <v>0.106183</v>
      </c>
      <c r="P657" s="12" t="n">
        <v>0.188724</v>
      </c>
      <c r="Q657" s="0" t="str">
        <f aca="false">IF(L657&gt;=Models!$G$5,1+COUNTIF($L$5:$L$1517,"&gt;"&amp;L657)+COUNTIFS($L$5:$L$1517,L657,$B$5:$B$1517,"&lt;"&amp;B657)+COUNTIFS($L$5:$L$1517,L657,$B$5:$B$1517,B657,$C$5:$C$1517,"&lt;"&amp;C657),"")</f>
        <v/>
      </c>
      <c r="R657" s="0" t="str">
        <f aca="false">IF(M657&gt;=Models!$G$6,1+COUNTIF($M$5:$M$1517,"&gt;"&amp;M657)+COUNTIFS($M$5:$M$1517,M657,$B$5:$B$1517,"&lt;"&amp;B657)+COUNTIFS($M$5:$M$1517,M657,$B$5:$B$1517,B657,$C$5:$C$1517,"&lt;"&amp;C657),"")</f>
        <v/>
      </c>
      <c r="S657" s="0" t="str">
        <f aca="false">IF(N657&gt;=Models!$G$7,1+COUNTIF($N$5:$N$1517,"&gt;"&amp;N657)+COUNTIFS($N$5:$N$1517,N657,$B$5:$B$1517,"&lt;"&amp;B657)+COUNTIFS($N$5:$N$1517,N657,$B$5:$B$1517,B657,$C$5:$C$1517,"&lt;"&amp;C657),"")</f>
        <v/>
      </c>
      <c r="T657" s="8" t="n">
        <f aca="false">IF(O657&gt;=Models!$G$8,1+COUNTIF($O$5:$O$1517,"&gt;"&amp;O657)+COUNTIFS($O$5:$O$1517,O657,$B$5:$B$1517,"&lt;"&amp;B657)+COUNTIFS($O$5:$O$1517,O657,$B$5:$B$1517,B657,$C$5:$C$1517,"&lt;"&amp;C657),"")</f>
        <v>1131</v>
      </c>
      <c r="U657" s="8" t="n">
        <f aca="false">IF($K657=1,COUNTIFS($L$5:$L$1517,"&gt;="&amp;L657,$K$5:$K$1517,1)/COUNTIF($L$5:$L$1517,"&gt;="&amp;L657),0)</f>
        <v>0</v>
      </c>
      <c r="V657" s="8" t="n">
        <f aca="false">IF($K657=1,COUNTIFS($M$5:$M$1517,"&gt;="&amp;M657,$K$5:$K$1517,1)/COUNTIF($M$5:$M$1517,"&gt;="&amp;M657),0)</f>
        <v>0</v>
      </c>
      <c r="W657" s="8" t="n">
        <f aca="false">IF($K657=1,COUNTIFS($N$5:$N$1517,"&gt;="&amp;N657,$K$5:$K$1517,1)/COUNTIF($N$5:$N$1517,"&gt;="&amp;N657),0)</f>
        <v>0</v>
      </c>
      <c r="X657" s="8" t="n">
        <f aca="false">IF($K657=1,COUNTIFS($O$5:$O$1517,"&gt;="&amp;O657,$K$5:$K$1517,1)/COUNTIF($O$5:$O$1517,"&gt;="&amp;O657),0)</f>
        <v>0</v>
      </c>
      <c r="Y657" s="8" t="n">
        <f aca="false">IF($K657=1,COUNTIFS($P$5:$P$1517,"&gt;="&amp;P657,$K$5:$K$1517,1)/COUNTIF($P$5:$P$1517,"&gt;="&amp;P657),0)</f>
        <v>0</v>
      </c>
      <c r="Z657" s="8" t="n">
        <f aca="false">(L657-$K657)^2</f>
        <v>0.218095538049</v>
      </c>
      <c r="AA657" s="8" t="n">
        <f aca="false">(M657-$K657)^2</f>
        <v>0.008475595969</v>
      </c>
      <c r="AB657" s="8" t="n">
        <f aca="false">(N657-$K657)^2</f>
        <v>0.030484461604</v>
      </c>
      <c r="AC657" s="8" t="n">
        <f aca="false">(O657-$K657)^2</f>
        <v>0.011274829489</v>
      </c>
      <c r="AD657" s="8" t="n">
        <f aca="false">(P657-$K657)^2</f>
        <v>0.035616748176</v>
      </c>
      <c r="AE657" s="8" t="n">
        <f aca="false">MIN(INT(ROUND(N657*1000000,0)/100000),9)</f>
        <v>1</v>
      </c>
      <c r="AF657" s="8" t="n">
        <f aca="false">MIN(INT(ROUND(P657*1000000,0)/100000),9)</f>
        <v>1</v>
      </c>
    </row>
    <row r="658" customFormat="false" ht="15" hidden="false" customHeight="false" outlineLevel="0" collapsed="false">
      <c r="A658" s="4" t="n">
        <v>654</v>
      </c>
      <c r="B658" s="4" t="n">
        <v>1372</v>
      </c>
      <c r="C658" s="4" t="n">
        <v>1</v>
      </c>
      <c r="D658" s="11" t="n">
        <v>46082</v>
      </c>
      <c r="E658" s="4" t="s">
        <v>204</v>
      </c>
      <c r="F658" s="4" t="s">
        <v>206</v>
      </c>
      <c r="G658" s="4" t="n">
        <v>5</v>
      </c>
      <c r="H658" s="4" t="n">
        <v>1</v>
      </c>
      <c r="I658" s="4" t="n">
        <v>0</v>
      </c>
      <c r="J658" s="4" t="n">
        <v>102</v>
      </c>
      <c r="K658" s="4" t="n">
        <v>0</v>
      </c>
      <c r="L658" s="12" t="n">
        <v>0.870811</v>
      </c>
      <c r="M658" s="12" t="n">
        <v>0.092063</v>
      </c>
      <c r="N658" s="12" t="n">
        <v>0.108733</v>
      </c>
      <c r="O658" s="12" t="n">
        <v>0.106183</v>
      </c>
      <c r="P658" s="12" t="n">
        <v>0.11559</v>
      </c>
      <c r="Q658" s="0" t="str">
        <f aca="false">IF(L658&gt;=Models!$G$5,1+COUNTIF($L$5:$L$1517,"&gt;"&amp;L658)+COUNTIFS($L$5:$L$1517,L658,$B$5:$B$1517,"&lt;"&amp;B658)+COUNTIFS($L$5:$L$1517,L658,$B$5:$B$1517,B658,$C$5:$C$1517,"&lt;"&amp;C658),"")</f>
        <v/>
      </c>
      <c r="R658" s="0" t="str">
        <f aca="false">IF(M658&gt;=Models!$G$6,1+COUNTIF($M$5:$M$1517,"&gt;"&amp;M658)+COUNTIFS($M$5:$M$1517,M658,$B$5:$B$1517,"&lt;"&amp;B658)+COUNTIFS($M$5:$M$1517,M658,$B$5:$B$1517,B658,$C$5:$C$1517,"&lt;"&amp;C658),"")</f>
        <v/>
      </c>
      <c r="S658" s="0" t="str">
        <f aca="false">IF(N658&gt;=Models!$G$7,1+COUNTIF($N$5:$N$1517,"&gt;"&amp;N658)+COUNTIFS($N$5:$N$1517,N658,$B$5:$B$1517,"&lt;"&amp;B658)+COUNTIFS($N$5:$N$1517,N658,$B$5:$B$1517,B658,$C$5:$C$1517,"&lt;"&amp;C658),"")</f>
        <v/>
      </c>
      <c r="T658" s="8" t="n">
        <f aca="false">IF(O658&gt;=Models!$G$8,1+COUNTIF($O$5:$O$1517,"&gt;"&amp;O658)+COUNTIFS($O$5:$O$1517,O658,$B$5:$B$1517,"&lt;"&amp;B658)+COUNTIFS($O$5:$O$1517,O658,$B$5:$B$1517,B658,$C$5:$C$1517,"&lt;"&amp;C658),"")</f>
        <v>1135</v>
      </c>
      <c r="U658" s="8" t="n">
        <f aca="false">IF($K658=1,COUNTIFS($L$5:$L$1517,"&gt;="&amp;L658,$K$5:$K$1517,1)/COUNTIF($L$5:$L$1517,"&gt;="&amp;L658),0)</f>
        <v>0</v>
      </c>
      <c r="V658" s="8" t="n">
        <f aca="false">IF($K658=1,COUNTIFS($M$5:$M$1517,"&gt;="&amp;M658,$K$5:$K$1517,1)/COUNTIF($M$5:$M$1517,"&gt;="&amp;M658),0)</f>
        <v>0</v>
      </c>
      <c r="W658" s="8" t="n">
        <f aca="false">IF($K658=1,COUNTIFS($N$5:$N$1517,"&gt;="&amp;N658,$K$5:$K$1517,1)/COUNTIF($N$5:$N$1517,"&gt;="&amp;N658),0)</f>
        <v>0</v>
      </c>
      <c r="X658" s="8" t="n">
        <f aca="false">IF($K658=1,COUNTIFS($O$5:$O$1517,"&gt;="&amp;O658,$K$5:$K$1517,1)/COUNTIF($O$5:$O$1517,"&gt;="&amp;O658),0)</f>
        <v>0</v>
      </c>
      <c r="Y658" s="8" t="n">
        <f aca="false">IF($K658=1,COUNTIFS($P$5:$P$1517,"&gt;="&amp;P658,$K$5:$K$1517,1)/COUNTIF($P$5:$P$1517,"&gt;="&amp;P658),0)</f>
        <v>0</v>
      </c>
      <c r="Z658" s="8" t="n">
        <f aca="false">(L658-$K658)^2</f>
        <v>0.758311797721</v>
      </c>
      <c r="AA658" s="8" t="n">
        <f aca="false">(M658-$K658)^2</f>
        <v>0.008475595969</v>
      </c>
      <c r="AB658" s="8" t="n">
        <f aca="false">(N658-$K658)^2</f>
        <v>0.011822865289</v>
      </c>
      <c r="AC658" s="8" t="n">
        <f aca="false">(O658-$K658)^2</f>
        <v>0.011274829489</v>
      </c>
      <c r="AD658" s="8" t="n">
        <f aca="false">(P658-$K658)^2</f>
        <v>0.0133610481</v>
      </c>
      <c r="AE658" s="8" t="n">
        <f aca="false">MIN(INT(ROUND(N658*1000000,0)/100000),9)</f>
        <v>1</v>
      </c>
      <c r="AF658" s="8" t="n">
        <f aca="false">MIN(INT(ROUND(P658*1000000,0)/100000),9)</f>
        <v>1</v>
      </c>
    </row>
    <row r="659" customFormat="false" ht="15" hidden="false" customHeight="false" outlineLevel="0" collapsed="false">
      <c r="A659" s="4" t="n">
        <v>655</v>
      </c>
      <c r="B659" s="4" t="n">
        <v>1373</v>
      </c>
      <c r="C659" s="4" t="n">
        <v>1</v>
      </c>
      <c r="D659" s="11" t="n">
        <v>46082</v>
      </c>
      <c r="E659" s="4" t="s">
        <v>203</v>
      </c>
      <c r="F659" s="4" t="s">
        <v>209</v>
      </c>
      <c r="G659" s="4" t="n">
        <v>2</v>
      </c>
      <c r="H659" s="4" t="n">
        <v>7</v>
      </c>
      <c r="I659" s="4" t="n">
        <v>1</v>
      </c>
      <c r="J659" s="4"/>
      <c r="K659" s="4" t="n">
        <v>0</v>
      </c>
      <c r="L659" s="12" t="n">
        <v>0.146876</v>
      </c>
      <c r="M659" s="12" t="n">
        <v>0.184211</v>
      </c>
      <c r="N659" s="12" t="n">
        <v>0.125714</v>
      </c>
      <c r="O659" s="12" t="n">
        <v>0.106183</v>
      </c>
      <c r="P659" s="12" t="n">
        <v>0.134388</v>
      </c>
      <c r="Q659" s="0" t="str">
        <f aca="false">IF(L659&gt;=Models!$G$5,1+COUNTIF($L$5:$L$1517,"&gt;"&amp;L659)+COUNTIFS($L$5:$L$1517,L659,$B$5:$B$1517,"&lt;"&amp;B659)+COUNTIFS($L$5:$L$1517,L659,$B$5:$B$1517,B659,$C$5:$C$1517,"&lt;"&amp;C659),"")</f>
        <v/>
      </c>
      <c r="R659" s="8" t="n">
        <f aca="false">IF(M659&gt;=Models!$G$6,1+COUNTIF($M$5:$M$1517,"&gt;"&amp;M659)+COUNTIFS($M$5:$M$1517,M659,$B$5:$B$1517,"&lt;"&amp;B659)+COUNTIFS($M$5:$M$1517,M659,$B$5:$B$1517,B659,$C$5:$C$1517,"&lt;"&amp;C659),"")</f>
        <v>136</v>
      </c>
      <c r="S659" s="0" t="str">
        <f aca="false">IF(N659&gt;=Models!$G$7,1+COUNTIF($N$5:$N$1517,"&gt;"&amp;N659)+COUNTIFS($N$5:$N$1517,N659,$B$5:$B$1517,"&lt;"&amp;B659)+COUNTIFS($N$5:$N$1517,N659,$B$5:$B$1517,B659,$C$5:$C$1517,"&lt;"&amp;C659),"")</f>
        <v/>
      </c>
      <c r="T659" s="8" t="n">
        <f aca="false">IF(O659&gt;=Models!$G$8,1+COUNTIF($O$5:$O$1517,"&gt;"&amp;O659)+COUNTIFS($O$5:$O$1517,O659,$B$5:$B$1517,"&lt;"&amp;B659)+COUNTIFS($O$5:$O$1517,O659,$B$5:$B$1517,B659,$C$5:$C$1517,"&lt;"&amp;C659),"")</f>
        <v>1139</v>
      </c>
      <c r="U659" s="8" t="n">
        <f aca="false">IF($K659=1,COUNTIFS($L$5:$L$1517,"&gt;="&amp;L659,$K$5:$K$1517,1)/COUNTIF($L$5:$L$1517,"&gt;="&amp;L659),0)</f>
        <v>0</v>
      </c>
      <c r="V659" s="8" t="n">
        <f aca="false">IF($K659=1,COUNTIFS($M$5:$M$1517,"&gt;="&amp;M659,$K$5:$K$1517,1)/COUNTIF($M$5:$M$1517,"&gt;="&amp;M659),0)</f>
        <v>0</v>
      </c>
      <c r="W659" s="8" t="n">
        <f aca="false">IF($K659=1,COUNTIFS($N$5:$N$1517,"&gt;="&amp;N659,$K$5:$K$1517,1)/COUNTIF($N$5:$N$1517,"&gt;="&amp;N659),0)</f>
        <v>0</v>
      </c>
      <c r="X659" s="8" t="n">
        <f aca="false">IF($K659=1,COUNTIFS($O$5:$O$1517,"&gt;="&amp;O659,$K$5:$K$1517,1)/COUNTIF($O$5:$O$1517,"&gt;="&amp;O659),0)</f>
        <v>0</v>
      </c>
      <c r="Y659" s="8" t="n">
        <f aca="false">IF($K659=1,COUNTIFS($P$5:$P$1517,"&gt;="&amp;P659,$K$5:$K$1517,1)/COUNTIF($P$5:$P$1517,"&gt;="&amp;P659),0)</f>
        <v>0</v>
      </c>
      <c r="Z659" s="8" t="n">
        <f aca="false">(L659-$K659)^2</f>
        <v>0.021572559376</v>
      </c>
      <c r="AA659" s="8" t="n">
        <f aca="false">(M659-$K659)^2</f>
        <v>0.033933692521</v>
      </c>
      <c r="AB659" s="8" t="n">
        <f aca="false">(N659-$K659)^2</f>
        <v>0.015804009796</v>
      </c>
      <c r="AC659" s="8" t="n">
        <f aca="false">(O659-$K659)^2</f>
        <v>0.011274829489</v>
      </c>
      <c r="AD659" s="8" t="n">
        <f aca="false">(P659-$K659)^2</f>
        <v>0.018060134544</v>
      </c>
      <c r="AE659" s="8" t="n">
        <f aca="false">MIN(INT(ROUND(N659*1000000,0)/100000),9)</f>
        <v>1</v>
      </c>
      <c r="AF659" s="8" t="n">
        <f aca="false">MIN(INT(ROUND(P659*1000000,0)/100000),9)</f>
        <v>1</v>
      </c>
    </row>
    <row r="660" customFormat="false" ht="15" hidden="false" customHeight="false" outlineLevel="0" collapsed="false">
      <c r="A660" s="4" t="n">
        <v>656</v>
      </c>
      <c r="B660" s="4" t="n">
        <v>1374</v>
      </c>
      <c r="C660" s="4" t="n">
        <v>1</v>
      </c>
      <c r="D660" s="11" t="n">
        <v>46082</v>
      </c>
      <c r="E660" s="4" t="s">
        <v>203</v>
      </c>
      <c r="F660" s="4" t="s">
        <v>208</v>
      </c>
      <c r="G660" s="4" t="n">
        <v>6</v>
      </c>
      <c r="H660" s="4" t="n">
        <v>9</v>
      </c>
      <c r="I660" s="4" t="n">
        <v>0</v>
      </c>
      <c r="J660" s="4" t="n">
        <v>417</v>
      </c>
      <c r="K660" s="4" t="n">
        <v>0</v>
      </c>
      <c r="L660" s="12" t="n">
        <v>0.024948</v>
      </c>
      <c r="M660" s="12" t="n">
        <v>0.092063</v>
      </c>
      <c r="N660" s="12" t="n">
        <v>0.104661</v>
      </c>
      <c r="O660" s="12" t="n">
        <v>0.106183</v>
      </c>
      <c r="P660" s="12" t="n">
        <v>0.111093</v>
      </c>
      <c r="Q660" s="0" t="str">
        <f aca="false">IF(L660&gt;=Models!$G$5,1+COUNTIF($L$5:$L$1517,"&gt;"&amp;L660)+COUNTIFS($L$5:$L$1517,L660,$B$5:$B$1517,"&lt;"&amp;B660)+COUNTIFS($L$5:$L$1517,L660,$B$5:$B$1517,B660,$C$5:$C$1517,"&lt;"&amp;C660),"")</f>
        <v/>
      </c>
      <c r="R660" s="0" t="str">
        <f aca="false">IF(M660&gt;=Models!$G$6,1+COUNTIF($M$5:$M$1517,"&gt;"&amp;M660)+COUNTIFS($M$5:$M$1517,M660,$B$5:$B$1517,"&lt;"&amp;B660)+COUNTIFS($M$5:$M$1517,M660,$B$5:$B$1517,B660,$C$5:$C$1517,"&lt;"&amp;C660),"")</f>
        <v/>
      </c>
      <c r="S660" s="0" t="str">
        <f aca="false">IF(N660&gt;=Models!$G$7,1+COUNTIF($N$5:$N$1517,"&gt;"&amp;N660)+COUNTIFS($N$5:$N$1517,N660,$B$5:$B$1517,"&lt;"&amp;B660)+COUNTIFS($N$5:$N$1517,N660,$B$5:$B$1517,B660,$C$5:$C$1517,"&lt;"&amp;C660),"")</f>
        <v/>
      </c>
      <c r="T660" s="8" t="n">
        <f aca="false">IF(O660&gt;=Models!$G$8,1+COUNTIF($O$5:$O$1517,"&gt;"&amp;O660)+COUNTIFS($O$5:$O$1517,O660,$B$5:$B$1517,"&lt;"&amp;B660)+COUNTIFS($O$5:$O$1517,O660,$B$5:$B$1517,B660,$C$5:$C$1517,"&lt;"&amp;C660),"")</f>
        <v>1143</v>
      </c>
      <c r="U660" s="8" t="n">
        <f aca="false">IF($K660=1,COUNTIFS($L$5:$L$1517,"&gt;="&amp;L660,$K$5:$K$1517,1)/COUNTIF($L$5:$L$1517,"&gt;="&amp;L660),0)</f>
        <v>0</v>
      </c>
      <c r="V660" s="8" t="n">
        <f aca="false">IF($K660=1,COUNTIFS($M$5:$M$1517,"&gt;="&amp;M660,$K$5:$K$1517,1)/COUNTIF($M$5:$M$1517,"&gt;="&amp;M660),0)</f>
        <v>0</v>
      </c>
      <c r="W660" s="8" t="n">
        <f aca="false">IF($K660=1,COUNTIFS($N$5:$N$1517,"&gt;="&amp;N660,$K$5:$K$1517,1)/COUNTIF($N$5:$N$1517,"&gt;="&amp;N660),0)</f>
        <v>0</v>
      </c>
      <c r="X660" s="8" t="n">
        <f aca="false">IF($K660=1,COUNTIFS($O$5:$O$1517,"&gt;="&amp;O660,$K$5:$K$1517,1)/COUNTIF($O$5:$O$1517,"&gt;="&amp;O660),0)</f>
        <v>0</v>
      </c>
      <c r="Y660" s="8" t="n">
        <f aca="false">IF($K660=1,COUNTIFS($P$5:$P$1517,"&gt;="&amp;P660,$K$5:$K$1517,1)/COUNTIF($P$5:$P$1517,"&gt;="&amp;P660),0)</f>
        <v>0</v>
      </c>
      <c r="Z660" s="8" t="n">
        <f aca="false">(L660-$K660)^2</f>
        <v>0.000622402704</v>
      </c>
      <c r="AA660" s="8" t="n">
        <f aca="false">(M660-$K660)^2</f>
        <v>0.008475595969</v>
      </c>
      <c r="AB660" s="8" t="n">
        <f aca="false">(N660-$K660)^2</f>
        <v>0.010953924921</v>
      </c>
      <c r="AC660" s="8" t="n">
        <f aca="false">(O660-$K660)^2</f>
        <v>0.011274829489</v>
      </c>
      <c r="AD660" s="8" t="n">
        <f aca="false">(P660-$K660)^2</f>
        <v>0.012341654649</v>
      </c>
      <c r="AE660" s="8" t="n">
        <f aca="false">MIN(INT(ROUND(N660*1000000,0)/100000),9)</f>
        <v>1</v>
      </c>
      <c r="AF660" s="8" t="n">
        <f aca="false">MIN(INT(ROUND(P660*1000000,0)/100000),9)</f>
        <v>1</v>
      </c>
    </row>
    <row r="661" customFormat="false" ht="15" hidden="false" customHeight="false" outlineLevel="0" collapsed="false">
      <c r="A661" s="4" t="n">
        <v>657</v>
      </c>
      <c r="B661" s="4" t="n">
        <v>1380</v>
      </c>
      <c r="C661" s="4" t="n">
        <v>1</v>
      </c>
      <c r="D661" s="11" t="n">
        <v>46082</v>
      </c>
      <c r="E661" s="4" t="s">
        <v>203</v>
      </c>
      <c r="F661" s="4" t="s">
        <v>206</v>
      </c>
      <c r="G661" s="4" t="n">
        <v>7</v>
      </c>
      <c r="H661" s="4" t="n">
        <v>3</v>
      </c>
      <c r="I661" s="4" t="n">
        <v>0</v>
      </c>
      <c r="J661" s="4"/>
      <c r="K661" s="4" t="n">
        <v>0</v>
      </c>
      <c r="L661" s="12" t="n">
        <v>0.775139</v>
      </c>
      <c r="M661" s="12" t="n">
        <v>0.092063</v>
      </c>
      <c r="N661" s="12" t="n">
        <v>0.046611</v>
      </c>
      <c r="O661" s="12" t="n">
        <v>0.106183</v>
      </c>
      <c r="P661" s="12" t="n">
        <v>0.047752</v>
      </c>
      <c r="Q661" s="0" t="str">
        <f aca="false">IF(L661&gt;=Models!$G$5,1+COUNTIF($L$5:$L$1517,"&gt;"&amp;L661)+COUNTIFS($L$5:$L$1517,L661,$B$5:$B$1517,"&lt;"&amp;B661)+COUNTIFS($L$5:$L$1517,L661,$B$5:$B$1517,B661,$C$5:$C$1517,"&lt;"&amp;C661),"")</f>
        <v/>
      </c>
      <c r="R661" s="0" t="str">
        <f aca="false">IF(M661&gt;=Models!$G$6,1+COUNTIF($M$5:$M$1517,"&gt;"&amp;M661)+COUNTIFS($M$5:$M$1517,M661,$B$5:$B$1517,"&lt;"&amp;B661)+COUNTIFS($M$5:$M$1517,M661,$B$5:$B$1517,B661,$C$5:$C$1517,"&lt;"&amp;C661),"")</f>
        <v/>
      </c>
      <c r="S661" s="0" t="str">
        <f aca="false">IF(N661&gt;=Models!$G$7,1+COUNTIF($N$5:$N$1517,"&gt;"&amp;N661)+COUNTIFS($N$5:$N$1517,N661,$B$5:$B$1517,"&lt;"&amp;B661)+COUNTIFS($N$5:$N$1517,N661,$B$5:$B$1517,B661,$C$5:$C$1517,"&lt;"&amp;C661),"")</f>
        <v/>
      </c>
      <c r="T661" s="8" t="n">
        <f aca="false">IF(O661&gt;=Models!$G$8,1+COUNTIF($O$5:$O$1517,"&gt;"&amp;O661)+COUNTIFS($O$5:$O$1517,O661,$B$5:$B$1517,"&lt;"&amp;B661)+COUNTIFS($O$5:$O$1517,O661,$B$5:$B$1517,B661,$C$5:$C$1517,"&lt;"&amp;C661),"")</f>
        <v>1147</v>
      </c>
      <c r="U661" s="8" t="n">
        <f aca="false">IF($K661=1,COUNTIFS($L$5:$L$1517,"&gt;="&amp;L661,$K$5:$K$1517,1)/COUNTIF($L$5:$L$1517,"&gt;="&amp;L661),0)</f>
        <v>0</v>
      </c>
      <c r="V661" s="8" t="n">
        <f aca="false">IF($K661=1,COUNTIFS($M$5:$M$1517,"&gt;="&amp;M661,$K$5:$K$1517,1)/COUNTIF($M$5:$M$1517,"&gt;="&amp;M661),0)</f>
        <v>0</v>
      </c>
      <c r="W661" s="8" t="n">
        <f aca="false">IF($K661=1,COUNTIFS($N$5:$N$1517,"&gt;="&amp;N661,$K$5:$K$1517,1)/COUNTIF($N$5:$N$1517,"&gt;="&amp;N661),0)</f>
        <v>0</v>
      </c>
      <c r="X661" s="8" t="n">
        <f aca="false">IF($K661=1,COUNTIFS($O$5:$O$1517,"&gt;="&amp;O661,$K$5:$K$1517,1)/COUNTIF($O$5:$O$1517,"&gt;="&amp;O661),0)</f>
        <v>0</v>
      </c>
      <c r="Y661" s="8" t="n">
        <f aca="false">IF($K661=1,COUNTIFS($P$5:$P$1517,"&gt;="&amp;P661,$K$5:$K$1517,1)/COUNTIF($P$5:$P$1517,"&gt;="&amp;P661),0)</f>
        <v>0</v>
      </c>
      <c r="Z661" s="8" t="n">
        <f aca="false">(L661-$K661)^2</f>
        <v>0.600840469321</v>
      </c>
      <c r="AA661" s="8" t="n">
        <f aca="false">(M661-$K661)^2</f>
        <v>0.008475595969</v>
      </c>
      <c r="AB661" s="8" t="n">
        <f aca="false">(N661-$K661)^2</f>
        <v>0.002172585321</v>
      </c>
      <c r="AC661" s="8" t="n">
        <f aca="false">(O661-$K661)^2</f>
        <v>0.011274829489</v>
      </c>
      <c r="AD661" s="8" t="n">
        <f aca="false">(P661-$K661)^2</f>
        <v>0.002280253504</v>
      </c>
      <c r="AE661" s="8" t="n">
        <f aca="false">MIN(INT(ROUND(N661*1000000,0)/100000),9)</f>
        <v>0</v>
      </c>
      <c r="AF661" s="8" t="n">
        <f aca="false">MIN(INT(ROUND(P661*1000000,0)/100000),9)</f>
        <v>0</v>
      </c>
    </row>
    <row r="662" customFormat="false" ht="15" hidden="false" customHeight="false" outlineLevel="0" collapsed="false">
      <c r="A662" s="4" t="n">
        <v>658</v>
      </c>
      <c r="B662" s="4" t="n">
        <v>1384</v>
      </c>
      <c r="C662" s="4" t="n">
        <v>1</v>
      </c>
      <c r="D662" s="11" t="n">
        <v>46082</v>
      </c>
      <c r="E662" s="4" t="s">
        <v>203</v>
      </c>
      <c r="F662" s="4" t="s">
        <v>209</v>
      </c>
      <c r="G662" s="4" t="n">
        <v>6</v>
      </c>
      <c r="H662" s="4" t="n">
        <v>2</v>
      </c>
      <c r="I662" s="4" t="n">
        <v>0</v>
      </c>
      <c r="J662" s="4" t="n">
        <v>246</v>
      </c>
      <c r="K662" s="4" t="n">
        <v>0</v>
      </c>
      <c r="L662" s="12" t="n">
        <v>0.928465</v>
      </c>
      <c r="M662" s="12" t="n">
        <v>0.092063</v>
      </c>
      <c r="N662" s="12" t="n">
        <v>0.100299</v>
      </c>
      <c r="O662" s="12" t="n">
        <v>0.106183</v>
      </c>
      <c r="P662" s="12" t="n">
        <v>0.10628</v>
      </c>
      <c r="Q662" s="0" t="str">
        <f aca="false">IF(L662&gt;=Models!$G$5,1+COUNTIF($L$5:$L$1517,"&gt;"&amp;L662)+COUNTIFS($L$5:$L$1517,L662,$B$5:$B$1517,"&lt;"&amp;B662)+COUNTIFS($L$5:$L$1517,L662,$B$5:$B$1517,B662,$C$5:$C$1517,"&lt;"&amp;C662),"")</f>
        <v/>
      </c>
      <c r="R662" s="0" t="str">
        <f aca="false">IF(M662&gt;=Models!$G$6,1+COUNTIF($M$5:$M$1517,"&gt;"&amp;M662)+COUNTIFS($M$5:$M$1517,M662,$B$5:$B$1517,"&lt;"&amp;B662)+COUNTIFS($M$5:$M$1517,M662,$B$5:$B$1517,B662,$C$5:$C$1517,"&lt;"&amp;C662),"")</f>
        <v/>
      </c>
      <c r="S662" s="0" t="str">
        <f aca="false">IF(N662&gt;=Models!$G$7,1+COUNTIF($N$5:$N$1517,"&gt;"&amp;N662)+COUNTIFS($N$5:$N$1517,N662,$B$5:$B$1517,"&lt;"&amp;B662)+COUNTIFS($N$5:$N$1517,N662,$B$5:$B$1517,B662,$C$5:$C$1517,"&lt;"&amp;C662),"")</f>
        <v/>
      </c>
      <c r="T662" s="8" t="n">
        <f aca="false">IF(O662&gt;=Models!$G$8,1+COUNTIF($O$5:$O$1517,"&gt;"&amp;O662)+COUNTIFS($O$5:$O$1517,O662,$B$5:$B$1517,"&lt;"&amp;B662)+COUNTIFS($O$5:$O$1517,O662,$B$5:$B$1517,B662,$C$5:$C$1517,"&lt;"&amp;C662),"")</f>
        <v>1152</v>
      </c>
      <c r="U662" s="8" t="n">
        <f aca="false">IF($K662=1,COUNTIFS($L$5:$L$1517,"&gt;="&amp;L662,$K$5:$K$1517,1)/COUNTIF($L$5:$L$1517,"&gt;="&amp;L662),0)</f>
        <v>0</v>
      </c>
      <c r="V662" s="8" t="n">
        <f aca="false">IF($K662=1,COUNTIFS($M$5:$M$1517,"&gt;="&amp;M662,$K$5:$K$1517,1)/COUNTIF($M$5:$M$1517,"&gt;="&amp;M662),0)</f>
        <v>0</v>
      </c>
      <c r="W662" s="8" t="n">
        <f aca="false">IF($K662=1,COUNTIFS($N$5:$N$1517,"&gt;="&amp;N662,$K$5:$K$1517,1)/COUNTIF($N$5:$N$1517,"&gt;="&amp;N662),0)</f>
        <v>0</v>
      </c>
      <c r="X662" s="8" t="n">
        <f aca="false">IF($K662=1,COUNTIFS($O$5:$O$1517,"&gt;="&amp;O662,$K$5:$K$1517,1)/COUNTIF($O$5:$O$1517,"&gt;="&amp;O662),0)</f>
        <v>0</v>
      </c>
      <c r="Y662" s="8" t="n">
        <f aca="false">IF($K662=1,COUNTIFS($P$5:$P$1517,"&gt;="&amp;P662,$K$5:$K$1517,1)/COUNTIF($P$5:$P$1517,"&gt;="&amp;P662),0)</f>
        <v>0</v>
      </c>
      <c r="Z662" s="8" t="n">
        <f aca="false">(L662-$K662)^2</f>
        <v>0.862047256225</v>
      </c>
      <c r="AA662" s="8" t="n">
        <f aca="false">(M662-$K662)^2</f>
        <v>0.008475595969</v>
      </c>
      <c r="AB662" s="8" t="n">
        <f aca="false">(N662-$K662)^2</f>
        <v>0.010059889401</v>
      </c>
      <c r="AC662" s="8" t="n">
        <f aca="false">(O662-$K662)^2</f>
        <v>0.011274829489</v>
      </c>
      <c r="AD662" s="8" t="n">
        <f aca="false">(P662-$K662)^2</f>
        <v>0.0112954384</v>
      </c>
      <c r="AE662" s="8" t="n">
        <f aca="false">MIN(INT(ROUND(N662*1000000,0)/100000),9)</f>
        <v>1</v>
      </c>
      <c r="AF662" s="8" t="n">
        <f aca="false">MIN(INT(ROUND(P662*1000000,0)/100000),9)</f>
        <v>1</v>
      </c>
    </row>
    <row r="663" customFormat="false" ht="15" hidden="false" customHeight="false" outlineLevel="0" collapsed="false">
      <c r="A663" s="4" t="n">
        <v>659</v>
      </c>
      <c r="B663" s="4" t="n">
        <v>1385</v>
      </c>
      <c r="C663" s="4" t="n">
        <v>1</v>
      </c>
      <c r="D663" s="11" t="n">
        <v>46082</v>
      </c>
      <c r="E663" s="4" t="s">
        <v>202</v>
      </c>
      <c r="F663" s="4" t="s">
        <v>206</v>
      </c>
      <c r="G663" s="4" t="n">
        <v>8</v>
      </c>
      <c r="H663" s="4" t="n">
        <v>2</v>
      </c>
      <c r="I663" s="4" t="n">
        <v>1</v>
      </c>
      <c r="J663" s="4"/>
      <c r="K663" s="4" t="n">
        <v>0</v>
      </c>
      <c r="L663" s="12" t="n">
        <v>0.319417</v>
      </c>
      <c r="M663" s="12" t="n">
        <v>0.184211</v>
      </c>
      <c r="N663" s="12" t="n">
        <v>0.074445</v>
      </c>
      <c r="O663" s="12" t="n">
        <v>0.106183</v>
      </c>
      <c r="P663" s="12" t="n">
        <v>0.077897</v>
      </c>
      <c r="Q663" s="0" t="str">
        <f aca="false">IF(L663&gt;=Models!$G$5,1+COUNTIF($L$5:$L$1517,"&gt;"&amp;L663)+COUNTIFS($L$5:$L$1517,L663,$B$5:$B$1517,"&lt;"&amp;B663)+COUNTIFS($L$5:$L$1517,L663,$B$5:$B$1517,B663,$C$5:$C$1517,"&lt;"&amp;C663),"")</f>
        <v/>
      </c>
      <c r="R663" s="8" t="n">
        <f aca="false">IF(M663&gt;=Models!$G$6,1+COUNTIF($M$5:$M$1517,"&gt;"&amp;M663)+COUNTIFS($M$5:$M$1517,M663,$B$5:$B$1517,"&lt;"&amp;B663)+COUNTIFS($M$5:$M$1517,M663,$B$5:$B$1517,B663,$C$5:$C$1517,"&lt;"&amp;C663),"")</f>
        <v>142</v>
      </c>
      <c r="S663" s="0" t="str">
        <f aca="false">IF(N663&gt;=Models!$G$7,1+COUNTIF($N$5:$N$1517,"&gt;"&amp;N663)+COUNTIFS($N$5:$N$1517,N663,$B$5:$B$1517,"&lt;"&amp;B663)+COUNTIFS($N$5:$N$1517,N663,$B$5:$B$1517,B663,$C$5:$C$1517,"&lt;"&amp;C663),"")</f>
        <v/>
      </c>
      <c r="T663" s="8" t="n">
        <f aca="false">IF(O663&gt;=Models!$G$8,1+COUNTIF($O$5:$O$1517,"&gt;"&amp;O663)+COUNTIFS($O$5:$O$1517,O663,$B$5:$B$1517,"&lt;"&amp;B663)+COUNTIFS($O$5:$O$1517,O663,$B$5:$B$1517,B663,$C$5:$C$1517,"&lt;"&amp;C663),"")</f>
        <v>1156</v>
      </c>
      <c r="U663" s="8" t="n">
        <f aca="false">IF($K663=1,COUNTIFS($L$5:$L$1517,"&gt;="&amp;L663,$K$5:$K$1517,1)/COUNTIF($L$5:$L$1517,"&gt;="&amp;L663),0)</f>
        <v>0</v>
      </c>
      <c r="V663" s="8" t="n">
        <f aca="false">IF($K663=1,COUNTIFS($M$5:$M$1517,"&gt;="&amp;M663,$K$5:$K$1517,1)/COUNTIF($M$5:$M$1517,"&gt;="&amp;M663),0)</f>
        <v>0</v>
      </c>
      <c r="W663" s="8" t="n">
        <f aca="false">IF($K663=1,COUNTIFS($N$5:$N$1517,"&gt;="&amp;N663,$K$5:$K$1517,1)/COUNTIF($N$5:$N$1517,"&gt;="&amp;N663),0)</f>
        <v>0</v>
      </c>
      <c r="X663" s="8" t="n">
        <f aca="false">IF($K663=1,COUNTIFS($O$5:$O$1517,"&gt;="&amp;O663,$K$5:$K$1517,1)/COUNTIF($O$5:$O$1517,"&gt;="&amp;O663),0)</f>
        <v>0</v>
      </c>
      <c r="Y663" s="8" t="n">
        <f aca="false">IF($K663=1,COUNTIFS($P$5:$P$1517,"&gt;="&amp;P663,$K$5:$K$1517,1)/COUNTIF($P$5:$P$1517,"&gt;="&amp;P663),0)</f>
        <v>0</v>
      </c>
      <c r="Z663" s="8" t="n">
        <f aca="false">(L663-$K663)^2</f>
        <v>0.102027219889</v>
      </c>
      <c r="AA663" s="8" t="n">
        <f aca="false">(M663-$K663)^2</f>
        <v>0.033933692521</v>
      </c>
      <c r="AB663" s="8" t="n">
        <f aca="false">(N663-$K663)^2</f>
        <v>0.005542058025</v>
      </c>
      <c r="AC663" s="8" t="n">
        <f aca="false">(O663-$K663)^2</f>
        <v>0.011274829489</v>
      </c>
      <c r="AD663" s="8" t="n">
        <f aca="false">(P663-$K663)^2</f>
        <v>0.006067942609</v>
      </c>
      <c r="AE663" s="8" t="n">
        <f aca="false">MIN(INT(ROUND(N663*1000000,0)/100000),9)</f>
        <v>0</v>
      </c>
      <c r="AF663" s="8" t="n">
        <f aca="false">MIN(INT(ROUND(P663*1000000,0)/100000),9)</f>
        <v>0</v>
      </c>
    </row>
    <row r="664" customFormat="false" ht="15" hidden="false" customHeight="false" outlineLevel="0" collapsed="false">
      <c r="A664" s="4" t="n">
        <v>660</v>
      </c>
      <c r="B664" s="4" t="n">
        <v>1389</v>
      </c>
      <c r="C664" s="4" t="n">
        <v>1</v>
      </c>
      <c r="D664" s="11" t="n">
        <v>46082</v>
      </c>
      <c r="E664" s="4" t="s">
        <v>203</v>
      </c>
      <c r="F664" s="4" t="s">
        <v>209</v>
      </c>
      <c r="G664" s="4" t="n">
        <v>2</v>
      </c>
      <c r="H664" s="4" t="n">
        <v>12</v>
      </c>
      <c r="I664" s="4" t="n">
        <v>1</v>
      </c>
      <c r="J664" s="4"/>
      <c r="K664" s="4" t="n">
        <v>0</v>
      </c>
      <c r="L664" s="12" t="n">
        <v>0.720137</v>
      </c>
      <c r="M664" s="12" t="n">
        <v>0.184211</v>
      </c>
      <c r="N664" s="12" t="n">
        <v>0.130286</v>
      </c>
      <c r="O664" s="12" t="n">
        <v>0.106183</v>
      </c>
      <c r="P664" s="12" t="n">
        <v>0.13946</v>
      </c>
      <c r="Q664" s="0" t="str">
        <f aca="false">IF(L664&gt;=Models!$G$5,1+COUNTIF($L$5:$L$1517,"&gt;"&amp;L664)+COUNTIFS($L$5:$L$1517,L664,$B$5:$B$1517,"&lt;"&amp;B664)+COUNTIFS($L$5:$L$1517,L664,$B$5:$B$1517,B664,$C$5:$C$1517,"&lt;"&amp;C664),"")</f>
        <v/>
      </c>
      <c r="R664" s="8" t="n">
        <f aca="false">IF(M664&gt;=Models!$G$6,1+COUNTIF($M$5:$M$1517,"&gt;"&amp;M664)+COUNTIFS($M$5:$M$1517,M664,$B$5:$B$1517,"&lt;"&amp;B664)+COUNTIFS($M$5:$M$1517,M664,$B$5:$B$1517,B664,$C$5:$C$1517,"&lt;"&amp;C664),"")</f>
        <v>145</v>
      </c>
      <c r="S664" s="0" t="str">
        <f aca="false">IF(N664&gt;=Models!$G$7,1+COUNTIF($N$5:$N$1517,"&gt;"&amp;N664)+COUNTIFS($N$5:$N$1517,N664,$B$5:$B$1517,"&lt;"&amp;B664)+COUNTIFS($N$5:$N$1517,N664,$B$5:$B$1517,B664,$C$5:$C$1517,"&lt;"&amp;C664),"")</f>
        <v/>
      </c>
      <c r="T664" s="8" t="n">
        <f aca="false">IF(O664&gt;=Models!$G$8,1+COUNTIF($O$5:$O$1517,"&gt;"&amp;O664)+COUNTIFS($O$5:$O$1517,O664,$B$5:$B$1517,"&lt;"&amp;B664)+COUNTIFS($O$5:$O$1517,O664,$B$5:$B$1517,B664,$C$5:$C$1517,"&lt;"&amp;C664),"")</f>
        <v>1160</v>
      </c>
      <c r="U664" s="8" t="n">
        <f aca="false">IF($K664=1,COUNTIFS($L$5:$L$1517,"&gt;="&amp;L664,$K$5:$K$1517,1)/COUNTIF($L$5:$L$1517,"&gt;="&amp;L664),0)</f>
        <v>0</v>
      </c>
      <c r="V664" s="8" t="n">
        <f aca="false">IF($K664=1,COUNTIFS($M$5:$M$1517,"&gt;="&amp;M664,$K$5:$K$1517,1)/COUNTIF($M$5:$M$1517,"&gt;="&amp;M664),0)</f>
        <v>0</v>
      </c>
      <c r="W664" s="8" t="n">
        <f aca="false">IF($K664=1,COUNTIFS($N$5:$N$1517,"&gt;="&amp;N664,$K$5:$K$1517,1)/COUNTIF($N$5:$N$1517,"&gt;="&amp;N664),0)</f>
        <v>0</v>
      </c>
      <c r="X664" s="8" t="n">
        <f aca="false">IF($K664=1,COUNTIFS($O$5:$O$1517,"&gt;="&amp;O664,$K$5:$K$1517,1)/COUNTIF($O$5:$O$1517,"&gt;="&amp;O664),0)</f>
        <v>0</v>
      </c>
      <c r="Y664" s="8" t="n">
        <f aca="false">IF($K664=1,COUNTIFS($P$5:$P$1517,"&gt;="&amp;P664,$K$5:$K$1517,1)/COUNTIF($P$5:$P$1517,"&gt;="&amp;P664),0)</f>
        <v>0</v>
      </c>
      <c r="Z664" s="8" t="n">
        <f aca="false">(L664-$K664)^2</f>
        <v>0.518597298769</v>
      </c>
      <c r="AA664" s="8" t="n">
        <f aca="false">(M664-$K664)^2</f>
        <v>0.033933692521</v>
      </c>
      <c r="AB664" s="8" t="n">
        <f aca="false">(N664-$K664)^2</f>
        <v>0.016974441796</v>
      </c>
      <c r="AC664" s="8" t="n">
        <f aca="false">(O664-$K664)^2</f>
        <v>0.011274829489</v>
      </c>
      <c r="AD664" s="8" t="n">
        <f aca="false">(P664-$K664)^2</f>
        <v>0.0194490916</v>
      </c>
      <c r="AE664" s="8" t="n">
        <f aca="false">MIN(INT(ROUND(N664*1000000,0)/100000),9)</f>
        <v>1</v>
      </c>
      <c r="AF664" s="8" t="n">
        <f aca="false">MIN(INT(ROUND(P664*1000000,0)/100000),9)</f>
        <v>1</v>
      </c>
    </row>
    <row r="665" customFormat="false" ht="15" hidden="false" customHeight="false" outlineLevel="0" collapsed="false">
      <c r="A665" s="4" t="n">
        <v>661</v>
      </c>
      <c r="B665" s="4" t="n">
        <v>1400</v>
      </c>
      <c r="C665" s="4" t="n">
        <v>1</v>
      </c>
      <c r="D665" s="11" t="n">
        <v>46082</v>
      </c>
      <c r="E665" s="4" t="s">
        <v>204</v>
      </c>
      <c r="F665" s="4" t="s">
        <v>206</v>
      </c>
      <c r="G665" s="4" t="n">
        <v>2</v>
      </c>
      <c r="H665" s="4" t="n">
        <v>22</v>
      </c>
      <c r="I665" s="4" t="n">
        <v>0</v>
      </c>
      <c r="J665" s="4" t="n">
        <v>105</v>
      </c>
      <c r="K665" s="4" t="n">
        <v>0</v>
      </c>
      <c r="L665" s="12" t="n">
        <v>0.613451</v>
      </c>
      <c r="M665" s="12" t="n">
        <v>0.092063</v>
      </c>
      <c r="N665" s="12" t="n">
        <v>0.159513</v>
      </c>
      <c r="O665" s="12" t="n">
        <v>0.106183</v>
      </c>
      <c r="P665" s="12" t="n">
        <v>0.171938</v>
      </c>
      <c r="Q665" s="0" t="str">
        <f aca="false">IF(L665&gt;=Models!$G$5,1+COUNTIF($L$5:$L$1517,"&gt;"&amp;L665)+COUNTIFS($L$5:$L$1517,L665,$B$5:$B$1517,"&lt;"&amp;B665)+COUNTIFS($L$5:$L$1517,L665,$B$5:$B$1517,B665,$C$5:$C$1517,"&lt;"&amp;C665),"")</f>
        <v/>
      </c>
      <c r="R665" s="0" t="str">
        <f aca="false">IF(M665&gt;=Models!$G$6,1+COUNTIF($M$5:$M$1517,"&gt;"&amp;M665)+COUNTIFS($M$5:$M$1517,M665,$B$5:$B$1517,"&lt;"&amp;B665)+COUNTIFS($M$5:$M$1517,M665,$B$5:$B$1517,B665,$C$5:$C$1517,"&lt;"&amp;C665),"")</f>
        <v/>
      </c>
      <c r="S665" s="0" t="str">
        <f aca="false">IF(N665&gt;=Models!$G$7,1+COUNTIF($N$5:$N$1517,"&gt;"&amp;N665)+COUNTIFS($N$5:$N$1517,N665,$B$5:$B$1517,"&lt;"&amp;B665)+COUNTIFS($N$5:$N$1517,N665,$B$5:$B$1517,B665,$C$5:$C$1517,"&lt;"&amp;C665),"")</f>
        <v/>
      </c>
      <c r="T665" s="8" t="n">
        <f aca="false">IF(O665&gt;=Models!$G$8,1+COUNTIF($O$5:$O$1517,"&gt;"&amp;O665)+COUNTIFS($O$5:$O$1517,O665,$B$5:$B$1517,"&lt;"&amp;B665)+COUNTIFS($O$5:$O$1517,O665,$B$5:$B$1517,B665,$C$5:$C$1517,"&lt;"&amp;C665),"")</f>
        <v>1164</v>
      </c>
      <c r="U665" s="8" t="n">
        <f aca="false">IF($K665=1,COUNTIFS($L$5:$L$1517,"&gt;="&amp;L665,$K$5:$K$1517,1)/COUNTIF($L$5:$L$1517,"&gt;="&amp;L665),0)</f>
        <v>0</v>
      </c>
      <c r="V665" s="8" t="n">
        <f aca="false">IF($K665=1,COUNTIFS($M$5:$M$1517,"&gt;="&amp;M665,$K$5:$K$1517,1)/COUNTIF($M$5:$M$1517,"&gt;="&amp;M665),0)</f>
        <v>0</v>
      </c>
      <c r="W665" s="8" t="n">
        <f aca="false">IF($K665=1,COUNTIFS($N$5:$N$1517,"&gt;="&amp;N665,$K$5:$K$1517,1)/COUNTIF($N$5:$N$1517,"&gt;="&amp;N665),0)</f>
        <v>0</v>
      </c>
      <c r="X665" s="8" t="n">
        <f aca="false">IF($K665=1,COUNTIFS($O$5:$O$1517,"&gt;="&amp;O665,$K$5:$K$1517,1)/COUNTIF($O$5:$O$1517,"&gt;="&amp;O665),0)</f>
        <v>0</v>
      </c>
      <c r="Y665" s="8" t="n">
        <f aca="false">IF($K665=1,COUNTIFS($P$5:$P$1517,"&gt;="&amp;P665,$K$5:$K$1517,1)/COUNTIF($P$5:$P$1517,"&gt;="&amp;P665),0)</f>
        <v>0</v>
      </c>
      <c r="Z665" s="8" t="n">
        <f aca="false">(L665-$K665)^2</f>
        <v>0.376322129401</v>
      </c>
      <c r="AA665" s="8" t="n">
        <f aca="false">(M665-$K665)^2</f>
        <v>0.008475595969</v>
      </c>
      <c r="AB665" s="8" t="n">
        <f aca="false">(N665-$K665)^2</f>
        <v>0.025444397169</v>
      </c>
      <c r="AC665" s="8" t="n">
        <f aca="false">(O665-$K665)^2</f>
        <v>0.011274829489</v>
      </c>
      <c r="AD665" s="8" t="n">
        <f aca="false">(P665-$K665)^2</f>
        <v>0.029562675844</v>
      </c>
      <c r="AE665" s="8" t="n">
        <f aca="false">MIN(INT(ROUND(N665*1000000,0)/100000),9)</f>
        <v>1</v>
      </c>
      <c r="AF665" s="8" t="n">
        <f aca="false">MIN(INT(ROUND(P665*1000000,0)/100000),9)</f>
        <v>1</v>
      </c>
    </row>
    <row r="666" customFormat="false" ht="15" hidden="false" customHeight="false" outlineLevel="0" collapsed="false">
      <c r="A666" s="4" t="n">
        <v>662</v>
      </c>
      <c r="B666" s="4" t="n">
        <v>1405</v>
      </c>
      <c r="C666" s="4" t="n">
        <v>1</v>
      </c>
      <c r="D666" s="11" t="n">
        <v>46082</v>
      </c>
      <c r="E666" s="4" t="s">
        <v>202</v>
      </c>
      <c r="F666" s="4" t="s">
        <v>209</v>
      </c>
      <c r="G666" s="4" t="n">
        <v>4</v>
      </c>
      <c r="H666" s="4" t="n">
        <v>1</v>
      </c>
      <c r="I666" s="4" t="n">
        <v>0</v>
      </c>
      <c r="J666" s="4"/>
      <c r="K666" s="4" t="n">
        <v>0</v>
      </c>
      <c r="L666" s="12" t="n">
        <v>0.23261</v>
      </c>
      <c r="M666" s="12" t="n">
        <v>0.092063</v>
      </c>
      <c r="N666" s="12" t="n">
        <v>0.059268</v>
      </c>
      <c r="O666" s="12" t="n">
        <v>0.106183</v>
      </c>
      <c r="P666" s="12" t="n">
        <v>0.06139</v>
      </c>
      <c r="Q666" s="0" t="str">
        <f aca="false">IF(L666&gt;=Models!$G$5,1+COUNTIF($L$5:$L$1517,"&gt;"&amp;L666)+COUNTIFS($L$5:$L$1517,L666,$B$5:$B$1517,"&lt;"&amp;B666)+COUNTIFS($L$5:$L$1517,L666,$B$5:$B$1517,B666,$C$5:$C$1517,"&lt;"&amp;C666),"")</f>
        <v/>
      </c>
      <c r="R666" s="0" t="str">
        <f aca="false">IF(M666&gt;=Models!$G$6,1+COUNTIF($M$5:$M$1517,"&gt;"&amp;M666)+COUNTIFS($M$5:$M$1517,M666,$B$5:$B$1517,"&lt;"&amp;B666)+COUNTIFS($M$5:$M$1517,M666,$B$5:$B$1517,B666,$C$5:$C$1517,"&lt;"&amp;C666),"")</f>
        <v/>
      </c>
      <c r="S666" s="0" t="str">
        <f aca="false">IF(N666&gt;=Models!$G$7,1+COUNTIF($N$5:$N$1517,"&gt;"&amp;N666)+COUNTIFS($N$5:$N$1517,N666,$B$5:$B$1517,"&lt;"&amp;B666)+COUNTIFS($N$5:$N$1517,N666,$B$5:$B$1517,B666,$C$5:$C$1517,"&lt;"&amp;C666),"")</f>
        <v/>
      </c>
      <c r="T666" s="8" t="n">
        <f aca="false">IF(O666&gt;=Models!$G$8,1+COUNTIF($O$5:$O$1517,"&gt;"&amp;O666)+COUNTIFS($O$5:$O$1517,O666,$B$5:$B$1517,"&lt;"&amp;B666)+COUNTIFS($O$5:$O$1517,O666,$B$5:$B$1517,B666,$C$5:$C$1517,"&lt;"&amp;C666),"")</f>
        <v>1168</v>
      </c>
      <c r="U666" s="8" t="n">
        <f aca="false">IF($K666=1,COUNTIFS($L$5:$L$1517,"&gt;="&amp;L666,$K$5:$K$1517,1)/COUNTIF($L$5:$L$1517,"&gt;="&amp;L666),0)</f>
        <v>0</v>
      </c>
      <c r="V666" s="8" t="n">
        <f aca="false">IF($K666=1,COUNTIFS($M$5:$M$1517,"&gt;="&amp;M666,$K$5:$K$1517,1)/COUNTIF($M$5:$M$1517,"&gt;="&amp;M666),0)</f>
        <v>0</v>
      </c>
      <c r="W666" s="8" t="n">
        <f aca="false">IF($K666=1,COUNTIFS($N$5:$N$1517,"&gt;="&amp;N666,$K$5:$K$1517,1)/COUNTIF($N$5:$N$1517,"&gt;="&amp;N666),0)</f>
        <v>0</v>
      </c>
      <c r="X666" s="8" t="n">
        <f aca="false">IF($K666=1,COUNTIFS($O$5:$O$1517,"&gt;="&amp;O666,$K$5:$K$1517,1)/COUNTIF($O$5:$O$1517,"&gt;="&amp;O666),0)</f>
        <v>0</v>
      </c>
      <c r="Y666" s="8" t="n">
        <f aca="false">IF($K666=1,COUNTIFS($P$5:$P$1517,"&gt;="&amp;P666,$K$5:$K$1517,1)/COUNTIF($P$5:$P$1517,"&gt;="&amp;P666),0)</f>
        <v>0</v>
      </c>
      <c r="Z666" s="8" t="n">
        <f aca="false">(L666-$K666)^2</f>
        <v>0.0541074121</v>
      </c>
      <c r="AA666" s="8" t="n">
        <f aca="false">(M666-$K666)^2</f>
        <v>0.008475595969</v>
      </c>
      <c r="AB666" s="8" t="n">
        <f aca="false">(N666-$K666)^2</f>
        <v>0.003512695824</v>
      </c>
      <c r="AC666" s="8" t="n">
        <f aca="false">(O666-$K666)^2</f>
        <v>0.011274829489</v>
      </c>
      <c r="AD666" s="8" t="n">
        <f aca="false">(P666-$K666)^2</f>
        <v>0.0037687321</v>
      </c>
      <c r="AE666" s="8" t="n">
        <f aca="false">MIN(INT(ROUND(N666*1000000,0)/100000),9)</f>
        <v>0</v>
      </c>
      <c r="AF666" s="8" t="n">
        <f aca="false">MIN(INT(ROUND(P666*1000000,0)/100000),9)</f>
        <v>0</v>
      </c>
    </row>
    <row r="667" customFormat="false" ht="15" hidden="false" customHeight="false" outlineLevel="0" collapsed="false">
      <c r="A667" s="4" t="n">
        <v>663</v>
      </c>
      <c r="B667" s="4" t="n">
        <v>1411</v>
      </c>
      <c r="C667" s="4" t="n">
        <v>1</v>
      </c>
      <c r="D667" s="11" t="n">
        <v>46082</v>
      </c>
      <c r="E667" s="4" t="s">
        <v>202</v>
      </c>
      <c r="F667" s="4" t="s">
        <v>206</v>
      </c>
      <c r="G667" s="4" t="n">
        <v>8</v>
      </c>
      <c r="H667" s="4" t="n">
        <v>5</v>
      </c>
      <c r="I667" s="4" t="n">
        <v>0</v>
      </c>
      <c r="J667" s="4" t="n">
        <v>1560</v>
      </c>
      <c r="K667" s="4" t="n">
        <v>0</v>
      </c>
      <c r="L667" s="12" t="n">
        <v>0.067553</v>
      </c>
      <c r="M667" s="12" t="n">
        <v>0.092063</v>
      </c>
      <c r="N667" s="12" t="n">
        <v>0.08124</v>
      </c>
      <c r="O667" s="12" t="n">
        <v>0.106183</v>
      </c>
      <c r="P667" s="12" t="n">
        <v>0.085329</v>
      </c>
      <c r="Q667" s="0" t="str">
        <f aca="false">IF(L667&gt;=Models!$G$5,1+COUNTIF($L$5:$L$1517,"&gt;"&amp;L667)+COUNTIFS($L$5:$L$1517,L667,$B$5:$B$1517,"&lt;"&amp;B667)+COUNTIFS($L$5:$L$1517,L667,$B$5:$B$1517,B667,$C$5:$C$1517,"&lt;"&amp;C667),"")</f>
        <v/>
      </c>
      <c r="R667" s="0" t="str">
        <f aca="false">IF(M667&gt;=Models!$G$6,1+COUNTIF($M$5:$M$1517,"&gt;"&amp;M667)+COUNTIFS($M$5:$M$1517,M667,$B$5:$B$1517,"&lt;"&amp;B667)+COUNTIFS($M$5:$M$1517,M667,$B$5:$B$1517,B667,$C$5:$C$1517,"&lt;"&amp;C667),"")</f>
        <v/>
      </c>
      <c r="S667" s="0" t="str">
        <f aca="false">IF(N667&gt;=Models!$G$7,1+COUNTIF($N$5:$N$1517,"&gt;"&amp;N667)+COUNTIFS($N$5:$N$1517,N667,$B$5:$B$1517,"&lt;"&amp;B667)+COUNTIFS($N$5:$N$1517,N667,$B$5:$B$1517,B667,$C$5:$C$1517,"&lt;"&amp;C667),"")</f>
        <v/>
      </c>
      <c r="T667" s="8" t="n">
        <f aca="false">IF(O667&gt;=Models!$G$8,1+COUNTIF($O$5:$O$1517,"&gt;"&amp;O667)+COUNTIFS($O$5:$O$1517,O667,$B$5:$B$1517,"&lt;"&amp;B667)+COUNTIFS($O$5:$O$1517,O667,$B$5:$B$1517,B667,$C$5:$C$1517,"&lt;"&amp;C667),"")</f>
        <v>1172</v>
      </c>
      <c r="U667" s="8" t="n">
        <f aca="false">IF($K667=1,COUNTIFS($L$5:$L$1517,"&gt;="&amp;L667,$K$5:$K$1517,1)/COUNTIF($L$5:$L$1517,"&gt;="&amp;L667),0)</f>
        <v>0</v>
      </c>
      <c r="V667" s="8" t="n">
        <f aca="false">IF($K667=1,COUNTIFS($M$5:$M$1517,"&gt;="&amp;M667,$K$5:$K$1517,1)/COUNTIF($M$5:$M$1517,"&gt;="&amp;M667),0)</f>
        <v>0</v>
      </c>
      <c r="W667" s="8" t="n">
        <f aca="false">IF($K667=1,COUNTIFS($N$5:$N$1517,"&gt;="&amp;N667,$K$5:$K$1517,1)/COUNTIF($N$5:$N$1517,"&gt;="&amp;N667),0)</f>
        <v>0</v>
      </c>
      <c r="X667" s="8" t="n">
        <f aca="false">IF($K667=1,COUNTIFS($O$5:$O$1517,"&gt;="&amp;O667,$K$5:$K$1517,1)/COUNTIF($O$5:$O$1517,"&gt;="&amp;O667),0)</f>
        <v>0</v>
      </c>
      <c r="Y667" s="8" t="n">
        <f aca="false">IF($K667=1,COUNTIFS($P$5:$P$1517,"&gt;="&amp;P667,$K$5:$K$1517,1)/COUNTIF($P$5:$P$1517,"&gt;="&amp;P667),0)</f>
        <v>0</v>
      </c>
      <c r="Z667" s="8" t="n">
        <f aca="false">(L667-$K667)^2</f>
        <v>0.004563407809</v>
      </c>
      <c r="AA667" s="8" t="n">
        <f aca="false">(M667-$K667)^2</f>
        <v>0.008475595969</v>
      </c>
      <c r="AB667" s="8" t="n">
        <f aca="false">(N667-$K667)^2</f>
        <v>0.0065999376</v>
      </c>
      <c r="AC667" s="8" t="n">
        <f aca="false">(O667-$K667)^2</f>
        <v>0.011274829489</v>
      </c>
      <c r="AD667" s="8" t="n">
        <f aca="false">(P667-$K667)^2</f>
        <v>0.007281038241</v>
      </c>
      <c r="AE667" s="8" t="n">
        <f aca="false">MIN(INT(ROUND(N667*1000000,0)/100000),9)</f>
        <v>0</v>
      </c>
      <c r="AF667" s="8" t="n">
        <f aca="false">MIN(INT(ROUND(P667*1000000,0)/100000),9)</f>
        <v>0</v>
      </c>
    </row>
    <row r="668" customFormat="false" ht="15" hidden="false" customHeight="false" outlineLevel="0" collapsed="false">
      <c r="A668" s="4" t="n">
        <v>664</v>
      </c>
      <c r="B668" s="4" t="n">
        <v>1418</v>
      </c>
      <c r="C668" s="4" t="n">
        <v>1</v>
      </c>
      <c r="D668" s="11" t="n">
        <v>46082</v>
      </c>
      <c r="E668" s="4" t="s">
        <v>202</v>
      </c>
      <c r="F668" s="4" t="s">
        <v>207</v>
      </c>
      <c r="G668" s="4" t="n">
        <v>9</v>
      </c>
      <c r="H668" s="4" t="n">
        <v>6</v>
      </c>
      <c r="I668" s="4" t="n">
        <v>0</v>
      </c>
      <c r="J668" s="4"/>
      <c r="K668" s="4" t="n">
        <v>0</v>
      </c>
      <c r="L668" s="12" t="n">
        <v>0.082927</v>
      </c>
      <c r="M668" s="12" t="n">
        <v>0.092063</v>
      </c>
      <c r="N668" s="12" t="n">
        <v>0.040173</v>
      </c>
      <c r="O668" s="12" t="n">
        <v>0.106183</v>
      </c>
      <c r="P668" s="12" t="n">
        <v>0.040872</v>
      </c>
      <c r="Q668" s="0" t="str">
        <f aca="false">IF(L668&gt;=Models!$G$5,1+COUNTIF($L$5:$L$1517,"&gt;"&amp;L668)+COUNTIFS($L$5:$L$1517,L668,$B$5:$B$1517,"&lt;"&amp;B668)+COUNTIFS($L$5:$L$1517,L668,$B$5:$B$1517,B668,$C$5:$C$1517,"&lt;"&amp;C668),"")</f>
        <v/>
      </c>
      <c r="R668" s="0" t="str">
        <f aca="false">IF(M668&gt;=Models!$G$6,1+COUNTIF($M$5:$M$1517,"&gt;"&amp;M668)+COUNTIFS($M$5:$M$1517,M668,$B$5:$B$1517,"&lt;"&amp;B668)+COUNTIFS($M$5:$M$1517,M668,$B$5:$B$1517,B668,$C$5:$C$1517,"&lt;"&amp;C668),"")</f>
        <v/>
      </c>
      <c r="S668" s="0" t="str">
        <f aca="false">IF(N668&gt;=Models!$G$7,1+COUNTIF($N$5:$N$1517,"&gt;"&amp;N668)+COUNTIFS($N$5:$N$1517,N668,$B$5:$B$1517,"&lt;"&amp;B668)+COUNTIFS($N$5:$N$1517,N668,$B$5:$B$1517,B668,$C$5:$C$1517,"&lt;"&amp;C668),"")</f>
        <v/>
      </c>
      <c r="T668" s="8" t="n">
        <f aca="false">IF(O668&gt;=Models!$G$8,1+COUNTIF($O$5:$O$1517,"&gt;"&amp;O668)+COUNTIFS($O$5:$O$1517,O668,$B$5:$B$1517,"&lt;"&amp;B668)+COUNTIFS($O$5:$O$1517,O668,$B$5:$B$1517,B668,$C$5:$C$1517,"&lt;"&amp;C668),"")</f>
        <v>1176</v>
      </c>
      <c r="U668" s="8" t="n">
        <f aca="false">IF($K668=1,COUNTIFS($L$5:$L$1517,"&gt;="&amp;L668,$K$5:$K$1517,1)/COUNTIF($L$5:$L$1517,"&gt;="&amp;L668),0)</f>
        <v>0</v>
      </c>
      <c r="V668" s="8" t="n">
        <f aca="false">IF($K668=1,COUNTIFS($M$5:$M$1517,"&gt;="&amp;M668,$K$5:$K$1517,1)/COUNTIF($M$5:$M$1517,"&gt;="&amp;M668),0)</f>
        <v>0</v>
      </c>
      <c r="W668" s="8" t="n">
        <f aca="false">IF($K668=1,COUNTIFS($N$5:$N$1517,"&gt;="&amp;N668,$K$5:$K$1517,1)/COUNTIF($N$5:$N$1517,"&gt;="&amp;N668),0)</f>
        <v>0</v>
      </c>
      <c r="X668" s="8" t="n">
        <f aca="false">IF($K668=1,COUNTIFS($O$5:$O$1517,"&gt;="&amp;O668,$K$5:$K$1517,1)/COUNTIF($O$5:$O$1517,"&gt;="&amp;O668),0)</f>
        <v>0</v>
      </c>
      <c r="Y668" s="8" t="n">
        <f aca="false">IF($K668=1,COUNTIFS($P$5:$P$1517,"&gt;="&amp;P668,$K$5:$K$1517,1)/COUNTIF($P$5:$P$1517,"&gt;="&amp;P668),0)</f>
        <v>0</v>
      </c>
      <c r="Z668" s="8" t="n">
        <f aca="false">(L668-$K668)^2</f>
        <v>0.006876887329</v>
      </c>
      <c r="AA668" s="8" t="n">
        <f aca="false">(M668-$K668)^2</f>
        <v>0.008475595969</v>
      </c>
      <c r="AB668" s="8" t="n">
        <f aca="false">(N668-$K668)^2</f>
        <v>0.001613869929</v>
      </c>
      <c r="AC668" s="8" t="n">
        <f aca="false">(O668-$K668)^2</f>
        <v>0.011274829489</v>
      </c>
      <c r="AD668" s="8" t="n">
        <f aca="false">(P668-$K668)^2</f>
        <v>0.001670520384</v>
      </c>
      <c r="AE668" s="8" t="n">
        <f aca="false">MIN(INT(ROUND(N668*1000000,0)/100000),9)</f>
        <v>0</v>
      </c>
      <c r="AF668" s="8" t="n">
        <f aca="false">MIN(INT(ROUND(P668*1000000,0)/100000),9)</f>
        <v>0</v>
      </c>
    </row>
    <row r="669" customFormat="false" ht="15" hidden="false" customHeight="false" outlineLevel="0" collapsed="false">
      <c r="A669" s="4" t="n">
        <v>665</v>
      </c>
      <c r="B669" s="4" t="n">
        <v>1423</v>
      </c>
      <c r="C669" s="4" t="n">
        <v>1</v>
      </c>
      <c r="D669" s="11" t="n">
        <v>46082</v>
      </c>
      <c r="E669" s="4" t="s">
        <v>204</v>
      </c>
      <c r="F669" s="4" t="s">
        <v>208</v>
      </c>
      <c r="G669" s="4" t="n">
        <v>3</v>
      </c>
      <c r="H669" s="4" t="n">
        <v>2</v>
      </c>
      <c r="I669" s="4" t="n">
        <v>0</v>
      </c>
      <c r="J669" s="4" t="n">
        <v>66</v>
      </c>
      <c r="K669" s="4" t="n">
        <v>0</v>
      </c>
      <c r="L669" s="12" t="n">
        <v>0.73787</v>
      </c>
      <c r="M669" s="12" t="n">
        <v>0.092063</v>
      </c>
      <c r="N669" s="12" t="n">
        <v>0.128591</v>
      </c>
      <c r="O669" s="12" t="n">
        <v>0.106183</v>
      </c>
      <c r="P669" s="12" t="n">
        <v>0.137579</v>
      </c>
      <c r="Q669" s="0" t="str">
        <f aca="false">IF(L669&gt;=Models!$G$5,1+COUNTIF($L$5:$L$1517,"&gt;"&amp;L669)+COUNTIFS($L$5:$L$1517,L669,$B$5:$B$1517,"&lt;"&amp;B669)+COUNTIFS($L$5:$L$1517,L669,$B$5:$B$1517,B669,$C$5:$C$1517,"&lt;"&amp;C669),"")</f>
        <v/>
      </c>
      <c r="R669" s="0" t="str">
        <f aca="false">IF(M669&gt;=Models!$G$6,1+COUNTIF($M$5:$M$1517,"&gt;"&amp;M669)+COUNTIFS($M$5:$M$1517,M669,$B$5:$B$1517,"&lt;"&amp;B669)+COUNTIFS($M$5:$M$1517,M669,$B$5:$B$1517,B669,$C$5:$C$1517,"&lt;"&amp;C669),"")</f>
        <v/>
      </c>
      <c r="S669" s="0" t="str">
        <f aca="false">IF(N669&gt;=Models!$G$7,1+COUNTIF($N$5:$N$1517,"&gt;"&amp;N669)+COUNTIFS($N$5:$N$1517,N669,$B$5:$B$1517,"&lt;"&amp;B669)+COUNTIFS($N$5:$N$1517,N669,$B$5:$B$1517,B669,$C$5:$C$1517,"&lt;"&amp;C669),"")</f>
        <v/>
      </c>
      <c r="T669" s="8" t="n">
        <f aca="false">IF(O669&gt;=Models!$G$8,1+COUNTIF($O$5:$O$1517,"&gt;"&amp;O669)+COUNTIFS($O$5:$O$1517,O669,$B$5:$B$1517,"&lt;"&amp;B669)+COUNTIFS($O$5:$O$1517,O669,$B$5:$B$1517,B669,$C$5:$C$1517,"&lt;"&amp;C669),"")</f>
        <v>1180</v>
      </c>
      <c r="U669" s="8" t="n">
        <f aca="false">IF($K669=1,COUNTIFS($L$5:$L$1517,"&gt;="&amp;L669,$K$5:$K$1517,1)/COUNTIF($L$5:$L$1517,"&gt;="&amp;L669),0)</f>
        <v>0</v>
      </c>
      <c r="V669" s="8" t="n">
        <f aca="false">IF($K669=1,COUNTIFS($M$5:$M$1517,"&gt;="&amp;M669,$K$5:$K$1517,1)/COUNTIF($M$5:$M$1517,"&gt;="&amp;M669),0)</f>
        <v>0</v>
      </c>
      <c r="W669" s="8" t="n">
        <f aca="false">IF($K669=1,COUNTIFS($N$5:$N$1517,"&gt;="&amp;N669,$K$5:$K$1517,1)/COUNTIF($N$5:$N$1517,"&gt;="&amp;N669),0)</f>
        <v>0</v>
      </c>
      <c r="X669" s="8" t="n">
        <f aca="false">IF($K669=1,COUNTIFS($O$5:$O$1517,"&gt;="&amp;O669,$K$5:$K$1517,1)/COUNTIF($O$5:$O$1517,"&gt;="&amp;O669),0)</f>
        <v>0</v>
      </c>
      <c r="Y669" s="8" t="n">
        <f aca="false">IF($K669=1,COUNTIFS($P$5:$P$1517,"&gt;="&amp;P669,$K$5:$K$1517,1)/COUNTIF($P$5:$P$1517,"&gt;="&amp;P669),0)</f>
        <v>0</v>
      </c>
      <c r="Z669" s="8" t="n">
        <f aca="false">(L669-$K669)^2</f>
        <v>0.5444521369</v>
      </c>
      <c r="AA669" s="8" t="n">
        <f aca="false">(M669-$K669)^2</f>
        <v>0.008475595969</v>
      </c>
      <c r="AB669" s="8" t="n">
        <f aca="false">(N669-$K669)^2</f>
        <v>0.016535645281</v>
      </c>
      <c r="AC669" s="8" t="n">
        <f aca="false">(O669-$K669)^2</f>
        <v>0.011274829489</v>
      </c>
      <c r="AD669" s="8" t="n">
        <f aca="false">(P669-$K669)^2</f>
        <v>0.018927981241</v>
      </c>
      <c r="AE669" s="8" t="n">
        <f aca="false">MIN(INT(ROUND(N669*1000000,0)/100000),9)</f>
        <v>1</v>
      </c>
      <c r="AF669" s="8" t="n">
        <f aca="false">MIN(INT(ROUND(P669*1000000,0)/100000),9)</f>
        <v>1</v>
      </c>
    </row>
    <row r="670" customFormat="false" ht="15" hidden="false" customHeight="false" outlineLevel="0" collapsed="false">
      <c r="A670" s="4" t="n">
        <v>666</v>
      </c>
      <c r="B670" s="4" t="n">
        <v>1432</v>
      </c>
      <c r="C670" s="4" t="n">
        <v>1</v>
      </c>
      <c r="D670" s="11" t="n">
        <v>46082</v>
      </c>
      <c r="E670" s="4" t="s">
        <v>203</v>
      </c>
      <c r="F670" s="4" t="s">
        <v>209</v>
      </c>
      <c r="G670" s="4" t="n">
        <v>5</v>
      </c>
      <c r="H670" s="4" t="n">
        <v>1</v>
      </c>
      <c r="I670" s="4" t="n">
        <v>0</v>
      </c>
      <c r="J670" s="4" t="n">
        <v>408</v>
      </c>
      <c r="K670" s="4" t="n">
        <v>0</v>
      </c>
      <c r="L670" s="12" t="n">
        <v>0.615486</v>
      </c>
      <c r="M670" s="12" t="n">
        <v>0.092063</v>
      </c>
      <c r="N670" s="12" t="n">
        <v>0.107023</v>
      </c>
      <c r="O670" s="12" t="n">
        <v>0.106183</v>
      </c>
      <c r="P670" s="12" t="n">
        <v>0.113701</v>
      </c>
      <c r="Q670" s="0" t="str">
        <f aca="false">IF(L670&gt;=Models!$G$5,1+COUNTIF($L$5:$L$1517,"&gt;"&amp;L670)+COUNTIFS($L$5:$L$1517,L670,$B$5:$B$1517,"&lt;"&amp;B670)+COUNTIFS($L$5:$L$1517,L670,$B$5:$B$1517,B670,$C$5:$C$1517,"&lt;"&amp;C670),"")</f>
        <v/>
      </c>
      <c r="R670" s="0" t="str">
        <f aca="false">IF(M670&gt;=Models!$G$6,1+COUNTIF($M$5:$M$1517,"&gt;"&amp;M670)+COUNTIFS($M$5:$M$1517,M670,$B$5:$B$1517,"&lt;"&amp;B670)+COUNTIFS($M$5:$M$1517,M670,$B$5:$B$1517,B670,$C$5:$C$1517,"&lt;"&amp;C670),"")</f>
        <v/>
      </c>
      <c r="S670" s="0" t="str">
        <f aca="false">IF(N670&gt;=Models!$G$7,1+COUNTIF($N$5:$N$1517,"&gt;"&amp;N670)+COUNTIFS($N$5:$N$1517,N670,$B$5:$B$1517,"&lt;"&amp;B670)+COUNTIFS($N$5:$N$1517,N670,$B$5:$B$1517,B670,$C$5:$C$1517,"&lt;"&amp;C670),"")</f>
        <v/>
      </c>
      <c r="T670" s="8" t="n">
        <f aca="false">IF(O670&gt;=Models!$G$8,1+COUNTIF($O$5:$O$1517,"&gt;"&amp;O670)+COUNTIFS($O$5:$O$1517,O670,$B$5:$B$1517,"&lt;"&amp;B670)+COUNTIFS($O$5:$O$1517,O670,$B$5:$B$1517,B670,$C$5:$C$1517,"&lt;"&amp;C670),"")</f>
        <v>1184</v>
      </c>
      <c r="U670" s="8" t="n">
        <f aca="false">IF($K670=1,COUNTIFS($L$5:$L$1517,"&gt;="&amp;L670,$K$5:$K$1517,1)/COUNTIF($L$5:$L$1517,"&gt;="&amp;L670),0)</f>
        <v>0</v>
      </c>
      <c r="V670" s="8" t="n">
        <f aca="false">IF($K670=1,COUNTIFS($M$5:$M$1517,"&gt;="&amp;M670,$K$5:$K$1517,1)/COUNTIF($M$5:$M$1517,"&gt;="&amp;M670),0)</f>
        <v>0</v>
      </c>
      <c r="W670" s="8" t="n">
        <f aca="false">IF($K670=1,COUNTIFS($N$5:$N$1517,"&gt;="&amp;N670,$K$5:$K$1517,1)/COUNTIF($N$5:$N$1517,"&gt;="&amp;N670),0)</f>
        <v>0</v>
      </c>
      <c r="X670" s="8" t="n">
        <f aca="false">IF($K670=1,COUNTIFS($O$5:$O$1517,"&gt;="&amp;O670,$K$5:$K$1517,1)/COUNTIF($O$5:$O$1517,"&gt;="&amp;O670),0)</f>
        <v>0</v>
      </c>
      <c r="Y670" s="8" t="n">
        <f aca="false">IF($K670=1,COUNTIFS($P$5:$P$1517,"&gt;="&amp;P670,$K$5:$K$1517,1)/COUNTIF($P$5:$P$1517,"&gt;="&amp;P670),0)</f>
        <v>0</v>
      </c>
      <c r="Z670" s="8" t="n">
        <f aca="false">(L670-$K670)^2</f>
        <v>0.378823016196</v>
      </c>
      <c r="AA670" s="8" t="n">
        <f aca="false">(M670-$K670)^2</f>
        <v>0.008475595969</v>
      </c>
      <c r="AB670" s="8" t="n">
        <f aca="false">(N670-$K670)^2</f>
        <v>0.011453922529</v>
      </c>
      <c r="AC670" s="8" t="n">
        <f aca="false">(O670-$K670)^2</f>
        <v>0.011274829489</v>
      </c>
      <c r="AD670" s="8" t="n">
        <f aca="false">(P670-$K670)^2</f>
        <v>0.012927917401</v>
      </c>
      <c r="AE670" s="8" t="n">
        <f aca="false">MIN(INT(ROUND(N670*1000000,0)/100000),9)</f>
        <v>1</v>
      </c>
      <c r="AF670" s="8" t="n">
        <f aca="false">MIN(INT(ROUND(P670*1000000,0)/100000),9)</f>
        <v>1</v>
      </c>
    </row>
    <row r="671" customFormat="false" ht="15" hidden="false" customHeight="false" outlineLevel="0" collapsed="false">
      <c r="A671" s="4" t="n">
        <v>667</v>
      </c>
      <c r="B671" s="4" t="n">
        <v>1434</v>
      </c>
      <c r="C671" s="4" t="n">
        <v>1</v>
      </c>
      <c r="D671" s="11" t="n">
        <v>46082</v>
      </c>
      <c r="E671" s="4" t="s">
        <v>203</v>
      </c>
      <c r="F671" s="4" t="s">
        <v>206</v>
      </c>
      <c r="G671" s="4" t="n">
        <v>4</v>
      </c>
      <c r="H671" s="4" t="n">
        <v>3</v>
      </c>
      <c r="I671" s="4" t="n">
        <v>0</v>
      </c>
      <c r="J671" s="4" t="n">
        <v>258</v>
      </c>
      <c r="K671" s="4" t="n">
        <v>0</v>
      </c>
      <c r="L671" s="12" t="n">
        <v>0.781884</v>
      </c>
      <c r="M671" s="12" t="n">
        <v>0.092063</v>
      </c>
      <c r="N671" s="12" t="n">
        <v>0.11853</v>
      </c>
      <c r="O671" s="12" t="n">
        <v>0.106183</v>
      </c>
      <c r="P671" s="12" t="n">
        <v>0.126428</v>
      </c>
      <c r="Q671" s="0" t="str">
        <f aca="false">IF(L671&gt;=Models!$G$5,1+COUNTIF($L$5:$L$1517,"&gt;"&amp;L671)+COUNTIFS($L$5:$L$1517,L671,$B$5:$B$1517,"&lt;"&amp;B671)+COUNTIFS($L$5:$L$1517,L671,$B$5:$B$1517,B671,$C$5:$C$1517,"&lt;"&amp;C671),"")</f>
        <v/>
      </c>
      <c r="R671" s="0" t="str">
        <f aca="false">IF(M671&gt;=Models!$G$6,1+COUNTIF($M$5:$M$1517,"&gt;"&amp;M671)+COUNTIFS($M$5:$M$1517,M671,$B$5:$B$1517,"&lt;"&amp;B671)+COUNTIFS($M$5:$M$1517,M671,$B$5:$B$1517,B671,$C$5:$C$1517,"&lt;"&amp;C671),"")</f>
        <v/>
      </c>
      <c r="S671" s="0" t="str">
        <f aca="false">IF(N671&gt;=Models!$G$7,1+COUNTIF($N$5:$N$1517,"&gt;"&amp;N671)+COUNTIFS($N$5:$N$1517,N671,$B$5:$B$1517,"&lt;"&amp;B671)+COUNTIFS($N$5:$N$1517,N671,$B$5:$B$1517,B671,$C$5:$C$1517,"&lt;"&amp;C671),"")</f>
        <v/>
      </c>
      <c r="T671" s="8" t="n">
        <f aca="false">IF(O671&gt;=Models!$G$8,1+COUNTIF($O$5:$O$1517,"&gt;"&amp;O671)+COUNTIFS($O$5:$O$1517,O671,$B$5:$B$1517,"&lt;"&amp;B671)+COUNTIFS($O$5:$O$1517,O671,$B$5:$B$1517,B671,$C$5:$C$1517,"&lt;"&amp;C671),"")</f>
        <v>1188</v>
      </c>
      <c r="U671" s="8" t="n">
        <f aca="false">IF($K671=1,COUNTIFS($L$5:$L$1517,"&gt;="&amp;L671,$K$5:$K$1517,1)/COUNTIF($L$5:$L$1517,"&gt;="&amp;L671),0)</f>
        <v>0</v>
      </c>
      <c r="V671" s="8" t="n">
        <f aca="false">IF($K671=1,COUNTIFS($M$5:$M$1517,"&gt;="&amp;M671,$K$5:$K$1517,1)/COUNTIF($M$5:$M$1517,"&gt;="&amp;M671),0)</f>
        <v>0</v>
      </c>
      <c r="W671" s="8" t="n">
        <f aca="false">IF($K671=1,COUNTIFS($N$5:$N$1517,"&gt;="&amp;N671,$K$5:$K$1517,1)/COUNTIF($N$5:$N$1517,"&gt;="&amp;N671),0)</f>
        <v>0</v>
      </c>
      <c r="X671" s="8" t="n">
        <f aca="false">IF($K671=1,COUNTIFS($O$5:$O$1517,"&gt;="&amp;O671,$K$5:$K$1517,1)/COUNTIF($O$5:$O$1517,"&gt;="&amp;O671),0)</f>
        <v>0</v>
      </c>
      <c r="Y671" s="8" t="n">
        <f aca="false">IF($K671=1,COUNTIFS($P$5:$P$1517,"&gt;="&amp;P671,$K$5:$K$1517,1)/COUNTIF($P$5:$P$1517,"&gt;="&amp;P671),0)</f>
        <v>0</v>
      </c>
      <c r="Z671" s="8" t="n">
        <f aca="false">(L671-$K671)^2</f>
        <v>0.611342589456</v>
      </c>
      <c r="AA671" s="8" t="n">
        <f aca="false">(M671-$K671)^2</f>
        <v>0.008475595969</v>
      </c>
      <c r="AB671" s="8" t="n">
        <f aca="false">(N671-$K671)^2</f>
        <v>0.0140493609</v>
      </c>
      <c r="AC671" s="8" t="n">
        <f aca="false">(O671-$K671)^2</f>
        <v>0.011274829489</v>
      </c>
      <c r="AD671" s="8" t="n">
        <f aca="false">(P671-$K671)^2</f>
        <v>0.015984039184</v>
      </c>
      <c r="AE671" s="8" t="n">
        <f aca="false">MIN(INT(ROUND(N671*1000000,0)/100000),9)</f>
        <v>1</v>
      </c>
      <c r="AF671" s="8" t="n">
        <f aca="false">MIN(INT(ROUND(P671*1000000,0)/100000),9)</f>
        <v>1</v>
      </c>
    </row>
    <row r="672" customFormat="false" ht="15" hidden="false" customHeight="false" outlineLevel="0" collapsed="false">
      <c r="A672" s="4" t="n">
        <v>668</v>
      </c>
      <c r="B672" s="4" t="n">
        <v>1437</v>
      </c>
      <c r="C672" s="4" t="n">
        <v>1</v>
      </c>
      <c r="D672" s="11" t="n">
        <v>46082</v>
      </c>
      <c r="E672" s="4" t="s">
        <v>204</v>
      </c>
      <c r="F672" s="4" t="s">
        <v>207</v>
      </c>
      <c r="G672" s="4" t="n">
        <v>4</v>
      </c>
      <c r="H672" s="4" t="n">
        <v>6</v>
      </c>
      <c r="I672" s="4" t="n">
        <v>0</v>
      </c>
      <c r="J672" s="4" t="n">
        <v>87</v>
      </c>
      <c r="K672" s="4" t="n">
        <v>0</v>
      </c>
      <c r="L672" s="12" t="n">
        <v>0.624994</v>
      </c>
      <c r="M672" s="12" t="n">
        <v>0.092063</v>
      </c>
      <c r="N672" s="12" t="n">
        <v>0.122183</v>
      </c>
      <c r="O672" s="12" t="n">
        <v>0.106183</v>
      </c>
      <c r="P672" s="12" t="n">
        <v>0.130475</v>
      </c>
      <c r="Q672" s="0" t="str">
        <f aca="false">IF(L672&gt;=Models!$G$5,1+COUNTIF($L$5:$L$1517,"&gt;"&amp;L672)+COUNTIFS($L$5:$L$1517,L672,$B$5:$B$1517,"&lt;"&amp;B672)+COUNTIFS($L$5:$L$1517,L672,$B$5:$B$1517,B672,$C$5:$C$1517,"&lt;"&amp;C672),"")</f>
        <v/>
      </c>
      <c r="R672" s="0" t="str">
        <f aca="false">IF(M672&gt;=Models!$G$6,1+COUNTIF($M$5:$M$1517,"&gt;"&amp;M672)+COUNTIFS($M$5:$M$1517,M672,$B$5:$B$1517,"&lt;"&amp;B672)+COUNTIFS($M$5:$M$1517,M672,$B$5:$B$1517,B672,$C$5:$C$1517,"&lt;"&amp;C672),"")</f>
        <v/>
      </c>
      <c r="S672" s="0" t="str">
        <f aca="false">IF(N672&gt;=Models!$G$7,1+COUNTIF($N$5:$N$1517,"&gt;"&amp;N672)+COUNTIFS($N$5:$N$1517,N672,$B$5:$B$1517,"&lt;"&amp;B672)+COUNTIFS($N$5:$N$1517,N672,$B$5:$B$1517,B672,$C$5:$C$1517,"&lt;"&amp;C672),"")</f>
        <v/>
      </c>
      <c r="T672" s="8" t="n">
        <f aca="false">IF(O672&gt;=Models!$G$8,1+COUNTIF($O$5:$O$1517,"&gt;"&amp;O672)+COUNTIFS($O$5:$O$1517,O672,$B$5:$B$1517,"&lt;"&amp;B672)+COUNTIFS($O$5:$O$1517,O672,$B$5:$B$1517,B672,$C$5:$C$1517,"&lt;"&amp;C672),"")</f>
        <v>1192</v>
      </c>
      <c r="U672" s="8" t="n">
        <f aca="false">IF($K672=1,COUNTIFS($L$5:$L$1517,"&gt;="&amp;L672,$K$5:$K$1517,1)/COUNTIF($L$5:$L$1517,"&gt;="&amp;L672),0)</f>
        <v>0</v>
      </c>
      <c r="V672" s="8" t="n">
        <f aca="false">IF($K672=1,COUNTIFS($M$5:$M$1517,"&gt;="&amp;M672,$K$5:$K$1517,1)/COUNTIF($M$5:$M$1517,"&gt;="&amp;M672),0)</f>
        <v>0</v>
      </c>
      <c r="W672" s="8" t="n">
        <f aca="false">IF($K672=1,COUNTIFS($N$5:$N$1517,"&gt;="&amp;N672,$K$5:$K$1517,1)/COUNTIF($N$5:$N$1517,"&gt;="&amp;N672),0)</f>
        <v>0</v>
      </c>
      <c r="X672" s="8" t="n">
        <f aca="false">IF($K672=1,COUNTIFS($O$5:$O$1517,"&gt;="&amp;O672,$K$5:$K$1517,1)/COUNTIF($O$5:$O$1517,"&gt;="&amp;O672),0)</f>
        <v>0</v>
      </c>
      <c r="Y672" s="8" t="n">
        <f aca="false">IF($K672=1,COUNTIFS($P$5:$P$1517,"&gt;="&amp;P672,$K$5:$K$1517,1)/COUNTIF($P$5:$P$1517,"&gt;="&amp;P672),0)</f>
        <v>0</v>
      </c>
      <c r="Z672" s="8" t="n">
        <f aca="false">(L672-$K672)^2</f>
        <v>0.390617500036</v>
      </c>
      <c r="AA672" s="8" t="n">
        <f aca="false">(M672-$K672)^2</f>
        <v>0.008475595969</v>
      </c>
      <c r="AB672" s="8" t="n">
        <f aca="false">(N672-$K672)^2</f>
        <v>0.014928685489</v>
      </c>
      <c r="AC672" s="8" t="n">
        <f aca="false">(O672-$K672)^2</f>
        <v>0.011274829489</v>
      </c>
      <c r="AD672" s="8" t="n">
        <f aca="false">(P672-$K672)^2</f>
        <v>0.017023725625</v>
      </c>
      <c r="AE672" s="8" t="n">
        <f aca="false">MIN(INT(ROUND(N672*1000000,0)/100000),9)</f>
        <v>1</v>
      </c>
      <c r="AF672" s="8" t="n">
        <f aca="false">MIN(INT(ROUND(P672*1000000,0)/100000),9)</f>
        <v>1</v>
      </c>
    </row>
    <row r="673" customFormat="false" ht="15" hidden="false" customHeight="false" outlineLevel="0" collapsed="false">
      <c r="A673" s="4" t="n">
        <v>669</v>
      </c>
      <c r="B673" s="4" t="n">
        <v>1444</v>
      </c>
      <c r="C673" s="4" t="n">
        <v>1</v>
      </c>
      <c r="D673" s="11" t="n">
        <v>46082</v>
      </c>
      <c r="E673" s="4" t="s">
        <v>204</v>
      </c>
      <c r="F673" s="4" t="s">
        <v>209</v>
      </c>
      <c r="G673" s="4" t="n">
        <v>3</v>
      </c>
      <c r="H673" s="4" t="n">
        <v>0</v>
      </c>
      <c r="I673" s="4" t="n">
        <v>0</v>
      </c>
      <c r="J673" s="4" t="n">
        <v>93</v>
      </c>
      <c r="K673" s="4" t="n">
        <v>0</v>
      </c>
      <c r="L673" s="12" t="n">
        <v>0.571565</v>
      </c>
      <c r="M673" s="12" t="n">
        <v>0.092063</v>
      </c>
      <c r="N673" s="12" t="n">
        <v>0.126592</v>
      </c>
      <c r="O673" s="12" t="n">
        <v>0.106183</v>
      </c>
      <c r="P673" s="12" t="n">
        <v>0.135362</v>
      </c>
      <c r="Q673" s="0" t="str">
        <f aca="false">IF(L673&gt;=Models!$G$5,1+COUNTIF($L$5:$L$1517,"&gt;"&amp;L673)+COUNTIFS($L$5:$L$1517,L673,$B$5:$B$1517,"&lt;"&amp;B673)+COUNTIFS($L$5:$L$1517,L673,$B$5:$B$1517,B673,$C$5:$C$1517,"&lt;"&amp;C673),"")</f>
        <v/>
      </c>
      <c r="R673" s="0" t="str">
        <f aca="false">IF(M673&gt;=Models!$G$6,1+COUNTIF($M$5:$M$1517,"&gt;"&amp;M673)+COUNTIFS($M$5:$M$1517,M673,$B$5:$B$1517,"&lt;"&amp;B673)+COUNTIFS($M$5:$M$1517,M673,$B$5:$B$1517,B673,$C$5:$C$1517,"&lt;"&amp;C673),"")</f>
        <v/>
      </c>
      <c r="S673" s="0" t="str">
        <f aca="false">IF(N673&gt;=Models!$G$7,1+COUNTIF($N$5:$N$1517,"&gt;"&amp;N673)+COUNTIFS($N$5:$N$1517,N673,$B$5:$B$1517,"&lt;"&amp;B673)+COUNTIFS($N$5:$N$1517,N673,$B$5:$B$1517,B673,$C$5:$C$1517,"&lt;"&amp;C673),"")</f>
        <v/>
      </c>
      <c r="T673" s="8" t="n">
        <f aca="false">IF(O673&gt;=Models!$G$8,1+COUNTIF($O$5:$O$1517,"&gt;"&amp;O673)+COUNTIFS($O$5:$O$1517,O673,$B$5:$B$1517,"&lt;"&amp;B673)+COUNTIFS($O$5:$O$1517,O673,$B$5:$B$1517,B673,$C$5:$C$1517,"&lt;"&amp;C673),"")</f>
        <v>1196</v>
      </c>
      <c r="U673" s="8" t="n">
        <f aca="false">IF($K673=1,COUNTIFS($L$5:$L$1517,"&gt;="&amp;L673,$K$5:$K$1517,1)/COUNTIF($L$5:$L$1517,"&gt;="&amp;L673),0)</f>
        <v>0</v>
      </c>
      <c r="V673" s="8" t="n">
        <f aca="false">IF($K673=1,COUNTIFS($M$5:$M$1517,"&gt;="&amp;M673,$K$5:$K$1517,1)/COUNTIF($M$5:$M$1517,"&gt;="&amp;M673),0)</f>
        <v>0</v>
      </c>
      <c r="W673" s="8" t="n">
        <f aca="false">IF($K673=1,COUNTIFS($N$5:$N$1517,"&gt;="&amp;N673,$K$5:$K$1517,1)/COUNTIF($N$5:$N$1517,"&gt;="&amp;N673),0)</f>
        <v>0</v>
      </c>
      <c r="X673" s="8" t="n">
        <f aca="false">IF($K673=1,COUNTIFS($O$5:$O$1517,"&gt;="&amp;O673,$K$5:$K$1517,1)/COUNTIF($O$5:$O$1517,"&gt;="&amp;O673),0)</f>
        <v>0</v>
      </c>
      <c r="Y673" s="8" t="n">
        <f aca="false">IF($K673=1,COUNTIFS($P$5:$P$1517,"&gt;="&amp;P673,$K$5:$K$1517,1)/COUNTIF($P$5:$P$1517,"&gt;="&amp;P673),0)</f>
        <v>0</v>
      </c>
      <c r="Z673" s="8" t="n">
        <f aca="false">(L673-$K673)^2</f>
        <v>0.326686549225</v>
      </c>
      <c r="AA673" s="8" t="n">
        <f aca="false">(M673-$K673)^2</f>
        <v>0.008475595969</v>
      </c>
      <c r="AB673" s="8" t="n">
        <f aca="false">(N673-$K673)^2</f>
        <v>0.016025534464</v>
      </c>
      <c r="AC673" s="8" t="n">
        <f aca="false">(O673-$K673)^2</f>
        <v>0.011274829489</v>
      </c>
      <c r="AD673" s="8" t="n">
        <f aca="false">(P673-$K673)^2</f>
        <v>0.018322871044</v>
      </c>
      <c r="AE673" s="8" t="n">
        <f aca="false">MIN(INT(ROUND(N673*1000000,0)/100000),9)</f>
        <v>1</v>
      </c>
      <c r="AF673" s="8" t="n">
        <f aca="false">MIN(INT(ROUND(P673*1000000,0)/100000),9)</f>
        <v>1</v>
      </c>
    </row>
    <row r="674" customFormat="false" ht="15" hidden="false" customHeight="false" outlineLevel="0" collapsed="false">
      <c r="A674" s="4" t="n">
        <v>670</v>
      </c>
      <c r="B674" s="4" t="n">
        <v>1448</v>
      </c>
      <c r="C674" s="4" t="n">
        <v>1</v>
      </c>
      <c r="D674" s="11" t="n">
        <v>46082</v>
      </c>
      <c r="E674" s="4" t="s">
        <v>203</v>
      </c>
      <c r="F674" s="4" t="s">
        <v>208</v>
      </c>
      <c r="G674" s="4" t="n">
        <v>7</v>
      </c>
      <c r="H674" s="4" t="n">
        <v>4</v>
      </c>
      <c r="I674" s="4" t="n">
        <v>0</v>
      </c>
      <c r="J674" s="4" t="n">
        <v>315</v>
      </c>
      <c r="K674" s="4" t="n">
        <v>0</v>
      </c>
      <c r="L674" s="12" t="n">
        <v>0.802391</v>
      </c>
      <c r="M674" s="12" t="n">
        <v>0.092063</v>
      </c>
      <c r="N674" s="12" t="n">
        <v>0.09351</v>
      </c>
      <c r="O674" s="12" t="n">
        <v>0.106183</v>
      </c>
      <c r="P674" s="12" t="n">
        <v>0.098801</v>
      </c>
      <c r="Q674" s="0" t="str">
        <f aca="false">IF(L674&gt;=Models!$G$5,1+COUNTIF($L$5:$L$1517,"&gt;"&amp;L674)+COUNTIFS($L$5:$L$1517,L674,$B$5:$B$1517,"&lt;"&amp;B674)+COUNTIFS($L$5:$L$1517,L674,$B$5:$B$1517,B674,$C$5:$C$1517,"&lt;"&amp;C674),"")</f>
        <v/>
      </c>
      <c r="R674" s="0" t="str">
        <f aca="false">IF(M674&gt;=Models!$G$6,1+COUNTIF($M$5:$M$1517,"&gt;"&amp;M674)+COUNTIFS($M$5:$M$1517,M674,$B$5:$B$1517,"&lt;"&amp;B674)+COUNTIFS($M$5:$M$1517,M674,$B$5:$B$1517,B674,$C$5:$C$1517,"&lt;"&amp;C674),"")</f>
        <v/>
      </c>
      <c r="S674" s="0" t="str">
        <f aca="false">IF(N674&gt;=Models!$G$7,1+COUNTIF($N$5:$N$1517,"&gt;"&amp;N674)+COUNTIFS($N$5:$N$1517,N674,$B$5:$B$1517,"&lt;"&amp;B674)+COUNTIFS($N$5:$N$1517,N674,$B$5:$B$1517,B674,$C$5:$C$1517,"&lt;"&amp;C674),"")</f>
        <v/>
      </c>
      <c r="T674" s="8" t="n">
        <f aca="false">IF(O674&gt;=Models!$G$8,1+COUNTIF($O$5:$O$1517,"&gt;"&amp;O674)+COUNTIFS($O$5:$O$1517,O674,$B$5:$B$1517,"&lt;"&amp;B674)+COUNTIFS($O$5:$O$1517,O674,$B$5:$B$1517,B674,$C$5:$C$1517,"&lt;"&amp;C674),"")</f>
        <v>1200</v>
      </c>
      <c r="U674" s="8" t="n">
        <f aca="false">IF($K674=1,COUNTIFS($L$5:$L$1517,"&gt;="&amp;L674,$K$5:$K$1517,1)/COUNTIF($L$5:$L$1517,"&gt;="&amp;L674),0)</f>
        <v>0</v>
      </c>
      <c r="V674" s="8" t="n">
        <f aca="false">IF($K674=1,COUNTIFS($M$5:$M$1517,"&gt;="&amp;M674,$K$5:$K$1517,1)/COUNTIF($M$5:$M$1517,"&gt;="&amp;M674),0)</f>
        <v>0</v>
      </c>
      <c r="W674" s="8" t="n">
        <f aca="false">IF($K674=1,COUNTIFS($N$5:$N$1517,"&gt;="&amp;N674,$K$5:$K$1517,1)/COUNTIF($N$5:$N$1517,"&gt;="&amp;N674),0)</f>
        <v>0</v>
      </c>
      <c r="X674" s="8" t="n">
        <f aca="false">IF($K674=1,COUNTIFS($O$5:$O$1517,"&gt;="&amp;O674,$K$5:$K$1517,1)/COUNTIF($O$5:$O$1517,"&gt;="&amp;O674),0)</f>
        <v>0</v>
      </c>
      <c r="Y674" s="8" t="n">
        <f aca="false">IF($K674=1,COUNTIFS($P$5:$P$1517,"&gt;="&amp;P674,$K$5:$K$1517,1)/COUNTIF($P$5:$P$1517,"&gt;="&amp;P674),0)</f>
        <v>0</v>
      </c>
      <c r="Z674" s="8" t="n">
        <f aca="false">(L674-$K674)^2</f>
        <v>0.643831316881</v>
      </c>
      <c r="AA674" s="8" t="n">
        <f aca="false">(M674-$K674)^2</f>
        <v>0.008475595969</v>
      </c>
      <c r="AB674" s="8" t="n">
        <f aca="false">(N674-$K674)^2</f>
        <v>0.0087441201</v>
      </c>
      <c r="AC674" s="8" t="n">
        <f aca="false">(O674-$K674)^2</f>
        <v>0.011274829489</v>
      </c>
      <c r="AD674" s="8" t="n">
        <f aca="false">(P674-$K674)^2</f>
        <v>0.009761637601</v>
      </c>
      <c r="AE674" s="8" t="n">
        <f aca="false">MIN(INT(ROUND(N674*1000000,0)/100000),9)</f>
        <v>0</v>
      </c>
      <c r="AF674" s="8" t="n">
        <f aca="false">MIN(INT(ROUND(P674*1000000,0)/100000),9)</f>
        <v>0</v>
      </c>
    </row>
    <row r="675" customFormat="false" ht="15" hidden="false" customHeight="false" outlineLevel="0" collapsed="false">
      <c r="A675" s="4" t="n">
        <v>671</v>
      </c>
      <c r="B675" s="4" t="n">
        <v>1453</v>
      </c>
      <c r="C675" s="4" t="n">
        <v>1</v>
      </c>
      <c r="D675" s="11" t="n">
        <v>46082</v>
      </c>
      <c r="E675" s="4" t="s">
        <v>203</v>
      </c>
      <c r="F675" s="4" t="s">
        <v>210</v>
      </c>
      <c r="G675" s="4" t="n">
        <v>2</v>
      </c>
      <c r="H675" s="4" t="n">
        <v>5</v>
      </c>
      <c r="I675" s="4" t="n">
        <v>1</v>
      </c>
      <c r="J675" s="4"/>
      <c r="K675" s="4" t="n">
        <v>0</v>
      </c>
      <c r="L675" s="12" t="n">
        <v>0.515685</v>
      </c>
      <c r="M675" s="12" t="n">
        <v>0.184211</v>
      </c>
      <c r="N675" s="12" t="n">
        <v>0.123924</v>
      </c>
      <c r="O675" s="12" t="n">
        <v>0.106183</v>
      </c>
      <c r="P675" s="12" t="n">
        <v>0.132404</v>
      </c>
      <c r="Q675" s="0" t="str">
        <f aca="false">IF(L675&gt;=Models!$G$5,1+COUNTIF($L$5:$L$1517,"&gt;"&amp;L675)+COUNTIFS($L$5:$L$1517,L675,$B$5:$B$1517,"&lt;"&amp;B675)+COUNTIFS($L$5:$L$1517,L675,$B$5:$B$1517,B675,$C$5:$C$1517,"&lt;"&amp;C675),"")</f>
        <v/>
      </c>
      <c r="R675" s="8" t="n">
        <f aca="false">IF(M675&gt;=Models!$G$6,1+COUNTIF($M$5:$M$1517,"&gt;"&amp;M675)+COUNTIFS($M$5:$M$1517,M675,$B$5:$B$1517,"&lt;"&amp;B675)+COUNTIFS($M$5:$M$1517,M675,$B$5:$B$1517,B675,$C$5:$C$1517,"&lt;"&amp;C675),"")</f>
        <v>150</v>
      </c>
      <c r="S675" s="0" t="str">
        <f aca="false">IF(N675&gt;=Models!$G$7,1+COUNTIF($N$5:$N$1517,"&gt;"&amp;N675)+COUNTIFS($N$5:$N$1517,N675,$B$5:$B$1517,"&lt;"&amp;B675)+COUNTIFS($N$5:$N$1517,N675,$B$5:$B$1517,B675,$C$5:$C$1517,"&lt;"&amp;C675),"")</f>
        <v/>
      </c>
      <c r="T675" s="8" t="n">
        <f aca="false">IF(O675&gt;=Models!$G$8,1+COUNTIF($O$5:$O$1517,"&gt;"&amp;O675)+COUNTIFS($O$5:$O$1517,O675,$B$5:$B$1517,"&lt;"&amp;B675)+COUNTIFS($O$5:$O$1517,O675,$B$5:$B$1517,B675,$C$5:$C$1517,"&lt;"&amp;C675),"")</f>
        <v>1204</v>
      </c>
      <c r="U675" s="8" t="n">
        <f aca="false">IF($K675=1,COUNTIFS($L$5:$L$1517,"&gt;="&amp;L675,$K$5:$K$1517,1)/COUNTIF($L$5:$L$1517,"&gt;="&amp;L675),0)</f>
        <v>0</v>
      </c>
      <c r="V675" s="8" t="n">
        <f aca="false">IF($K675=1,COUNTIFS($M$5:$M$1517,"&gt;="&amp;M675,$K$5:$K$1517,1)/COUNTIF($M$5:$M$1517,"&gt;="&amp;M675),0)</f>
        <v>0</v>
      </c>
      <c r="W675" s="8" t="n">
        <f aca="false">IF($K675=1,COUNTIFS($N$5:$N$1517,"&gt;="&amp;N675,$K$5:$K$1517,1)/COUNTIF($N$5:$N$1517,"&gt;="&amp;N675),0)</f>
        <v>0</v>
      </c>
      <c r="X675" s="8" t="n">
        <f aca="false">IF($K675=1,COUNTIFS($O$5:$O$1517,"&gt;="&amp;O675,$K$5:$K$1517,1)/COUNTIF($O$5:$O$1517,"&gt;="&amp;O675),0)</f>
        <v>0</v>
      </c>
      <c r="Y675" s="8" t="n">
        <f aca="false">IF($K675=1,COUNTIFS($P$5:$P$1517,"&gt;="&amp;P675,$K$5:$K$1517,1)/COUNTIF($P$5:$P$1517,"&gt;="&amp;P675),0)</f>
        <v>0</v>
      </c>
      <c r="Z675" s="8" t="n">
        <f aca="false">(L675-$K675)^2</f>
        <v>0.265931019225</v>
      </c>
      <c r="AA675" s="8" t="n">
        <f aca="false">(M675-$K675)^2</f>
        <v>0.033933692521</v>
      </c>
      <c r="AB675" s="8" t="n">
        <f aca="false">(N675-$K675)^2</f>
        <v>0.015357157776</v>
      </c>
      <c r="AC675" s="8" t="n">
        <f aca="false">(O675-$K675)^2</f>
        <v>0.011274829489</v>
      </c>
      <c r="AD675" s="8" t="n">
        <f aca="false">(P675-$K675)^2</f>
        <v>0.017530819216</v>
      </c>
      <c r="AE675" s="8" t="n">
        <f aca="false">MIN(INT(ROUND(N675*1000000,0)/100000),9)</f>
        <v>1</v>
      </c>
      <c r="AF675" s="8" t="n">
        <f aca="false">MIN(INT(ROUND(P675*1000000,0)/100000),9)</f>
        <v>1</v>
      </c>
    </row>
    <row r="676" customFormat="false" ht="15" hidden="false" customHeight="false" outlineLevel="0" collapsed="false">
      <c r="A676" s="4" t="n">
        <v>672</v>
      </c>
      <c r="B676" s="4" t="n">
        <v>1456</v>
      </c>
      <c r="C676" s="4" t="n">
        <v>1</v>
      </c>
      <c r="D676" s="11" t="n">
        <v>46082</v>
      </c>
      <c r="E676" s="4" t="s">
        <v>202</v>
      </c>
      <c r="F676" s="4" t="s">
        <v>210</v>
      </c>
      <c r="G676" s="4" t="n">
        <v>13</v>
      </c>
      <c r="H676" s="4" t="n">
        <v>2</v>
      </c>
      <c r="I676" s="4" t="n">
        <v>0</v>
      </c>
      <c r="J676" s="4" t="n">
        <v>1026</v>
      </c>
      <c r="K676" s="4" t="n">
        <v>0</v>
      </c>
      <c r="L676" s="12" t="n">
        <v>0.765929</v>
      </c>
      <c r="M676" s="12" t="n">
        <v>0.092063</v>
      </c>
      <c r="N676" s="12" t="n">
        <v>0.0537</v>
      </c>
      <c r="O676" s="12" t="n">
        <v>0.106183</v>
      </c>
      <c r="P676" s="12" t="n">
        <v>0.055374</v>
      </c>
      <c r="Q676" s="0" t="str">
        <f aca="false">IF(L676&gt;=Models!$G$5,1+COUNTIF($L$5:$L$1517,"&gt;"&amp;L676)+COUNTIFS($L$5:$L$1517,L676,$B$5:$B$1517,"&lt;"&amp;B676)+COUNTIFS($L$5:$L$1517,L676,$B$5:$B$1517,B676,$C$5:$C$1517,"&lt;"&amp;C676),"")</f>
        <v/>
      </c>
      <c r="R676" s="0" t="str">
        <f aca="false">IF(M676&gt;=Models!$G$6,1+COUNTIF($M$5:$M$1517,"&gt;"&amp;M676)+COUNTIFS($M$5:$M$1517,M676,$B$5:$B$1517,"&lt;"&amp;B676)+COUNTIFS($M$5:$M$1517,M676,$B$5:$B$1517,B676,$C$5:$C$1517,"&lt;"&amp;C676),"")</f>
        <v/>
      </c>
      <c r="S676" s="0" t="str">
        <f aca="false">IF(N676&gt;=Models!$G$7,1+COUNTIF($N$5:$N$1517,"&gt;"&amp;N676)+COUNTIFS($N$5:$N$1517,N676,$B$5:$B$1517,"&lt;"&amp;B676)+COUNTIFS($N$5:$N$1517,N676,$B$5:$B$1517,B676,$C$5:$C$1517,"&lt;"&amp;C676),"")</f>
        <v/>
      </c>
      <c r="T676" s="8" t="n">
        <f aca="false">IF(O676&gt;=Models!$G$8,1+COUNTIF($O$5:$O$1517,"&gt;"&amp;O676)+COUNTIFS($O$5:$O$1517,O676,$B$5:$B$1517,"&lt;"&amp;B676)+COUNTIFS($O$5:$O$1517,O676,$B$5:$B$1517,B676,$C$5:$C$1517,"&lt;"&amp;C676),"")</f>
        <v>1208</v>
      </c>
      <c r="U676" s="8" t="n">
        <f aca="false">IF($K676=1,COUNTIFS($L$5:$L$1517,"&gt;="&amp;L676,$K$5:$K$1517,1)/COUNTIF($L$5:$L$1517,"&gt;="&amp;L676),0)</f>
        <v>0</v>
      </c>
      <c r="V676" s="8" t="n">
        <f aca="false">IF($K676=1,COUNTIFS($M$5:$M$1517,"&gt;="&amp;M676,$K$5:$K$1517,1)/COUNTIF($M$5:$M$1517,"&gt;="&amp;M676),0)</f>
        <v>0</v>
      </c>
      <c r="W676" s="8" t="n">
        <f aca="false">IF($K676=1,COUNTIFS($N$5:$N$1517,"&gt;="&amp;N676,$K$5:$K$1517,1)/COUNTIF($N$5:$N$1517,"&gt;="&amp;N676),0)</f>
        <v>0</v>
      </c>
      <c r="X676" s="8" t="n">
        <f aca="false">IF($K676=1,COUNTIFS($O$5:$O$1517,"&gt;="&amp;O676,$K$5:$K$1517,1)/COUNTIF($O$5:$O$1517,"&gt;="&amp;O676),0)</f>
        <v>0</v>
      </c>
      <c r="Y676" s="8" t="n">
        <f aca="false">IF($K676=1,COUNTIFS($P$5:$P$1517,"&gt;="&amp;P676,$K$5:$K$1517,1)/COUNTIF($P$5:$P$1517,"&gt;="&amp;P676),0)</f>
        <v>0</v>
      </c>
      <c r="Z676" s="8" t="n">
        <f aca="false">(L676-$K676)^2</f>
        <v>0.586647233041</v>
      </c>
      <c r="AA676" s="8" t="n">
        <f aca="false">(M676-$K676)^2</f>
        <v>0.008475595969</v>
      </c>
      <c r="AB676" s="8" t="n">
        <f aca="false">(N676-$K676)^2</f>
        <v>0.00288369</v>
      </c>
      <c r="AC676" s="8" t="n">
        <f aca="false">(O676-$K676)^2</f>
        <v>0.011274829489</v>
      </c>
      <c r="AD676" s="8" t="n">
        <f aca="false">(P676-$K676)^2</f>
        <v>0.003066279876</v>
      </c>
      <c r="AE676" s="8" t="n">
        <f aca="false">MIN(INT(ROUND(N676*1000000,0)/100000),9)</f>
        <v>0</v>
      </c>
      <c r="AF676" s="8" t="n">
        <f aca="false">MIN(INT(ROUND(P676*1000000,0)/100000),9)</f>
        <v>0</v>
      </c>
    </row>
    <row r="677" customFormat="false" ht="15" hidden="false" customHeight="false" outlineLevel="0" collapsed="false">
      <c r="A677" s="4" t="n">
        <v>673</v>
      </c>
      <c r="B677" s="4" t="n">
        <v>1460</v>
      </c>
      <c r="C677" s="4" t="n">
        <v>1</v>
      </c>
      <c r="D677" s="11" t="n">
        <v>46082</v>
      </c>
      <c r="E677" s="4" t="s">
        <v>203</v>
      </c>
      <c r="F677" s="4" t="s">
        <v>210</v>
      </c>
      <c r="G677" s="4" t="n">
        <v>11</v>
      </c>
      <c r="H677" s="4" t="n">
        <v>0</v>
      </c>
      <c r="I677" s="4" t="n">
        <v>0</v>
      </c>
      <c r="J677" s="4" t="n">
        <v>270</v>
      </c>
      <c r="K677" s="4" t="n">
        <v>0</v>
      </c>
      <c r="L677" s="12" t="n">
        <v>0.235393</v>
      </c>
      <c r="M677" s="12" t="n">
        <v>0.092063</v>
      </c>
      <c r="N677" s="12" t="n">
        <v>0.065275</v>
      </c>
      <c r="O677" s="12" t="n">
        <v>0.106183</v>
      </c>
      <c r="P677" s="12" t="n">
        <v>0.067906</v>
      </c>
      <c r="Q677" s="0" t="str">
        <f aca="false">IF(L677&gt;=Models!$G$5,1+COUNTIF($L$5:$L$1517,"&gt;"&amp;L677)+COUNTIFS($L$5:$L$1517,L677,$B$5:$B$1517,"&lt;"&amp;B677)+COUNTIFS($L$5:$L$1517,L677,$B$5:$B$1517,B677,$C$5:$C$1517,"&lt;"&amp;C677),"")</f>
        <v/>
      </c>
      <c r="R677" s="0" t="str">
        <f aca="false">IF(M677&gt;=Models!$G$6,1+COUNTIF($M$5:$M$1517,"&gt;"&amp;M677)+COUNTIFS($M$5:$M$1517,M677,$B$5:$B$1517,"&lt;"&amp;B677)+COUNTIFS($M$5:$M$1517,M677,$B$5:$B$1517,B677,$C$5:$C$1517,"&lt;"&amp;C677),"")</f>
        <v/>
      </c>
      <c r="S677" s="0" t="str">
        <f aca="false">IF(N677&gt;=Models!$G$7,1+COUNTIF($N$5:$N$1517,"&gt;"&amp;N677)+COUNTIFS($N$5:$N$1517,N677,$B$5:$B$1517,"&lt;"&amp;B677)+COUNTIFS($N$5:$N$1517,N677,$B$5:$B$1517,B677,$C$5:$C$1517,"&lt;"&amp;C677),"")</f>
        <v/>
      </c>
      <c r="T677" s="8" t="n">
        <f aca="false">IF(O677&gt;=Models!$G$8,1+COUNTIF($O$5:$O$1517,"&gt;"&amp;O677)+COUNTIFS($O$5:$O$1517,O677,$B$5:$B$1517,"&lt;"&amp;B677)+COUNTIFS($O$5:$O$1517,O677,$B$5:$B$1517,B677,$C$5:$C$1517,"&lt;"&amp;C677),"")</f>
        <v>1212</v>
      </c>
      <c r="U677" s="8" t="n">
        <f aca="false">IF($K677=1,COUNTIFS($L$5:$L$1517,"&gt;="&amp;L677,$K$5:$K$1517,1)/COUNTIF($L$5:$L$1517,"&gt;="&amp;L677),0)</f>
        <v>0</v>
      </c>
      <c r="V677" s="8" t="n">
        <f aca="false">IF($K677=1,COUNTIFS($M$5:$M$1517,"&gt;="&amp;M677,$K$5:$K$1517,1)/COUNTIF($M$5:$M$1517,"&gt;="&amp;M677),0)</f>
        <v>0</v>
      </c>
      <c r="W677" s="8" t="n">
        <f aca="false">IF($K677=1,COUNTIFS($N$5:$N$1517,"&gt;="&amp;N677,$K$5:$K$1517,1)/COUNTIF($N$5:$N$1517,"&gt;="&amp;N677),0)</f>
        <v>0</v>
      </c>
      <c r="X677" s="8" t="n">
        <f aca="false">IF($K677=1,COUNTIFS($O$5:$O$1517,"&gt;="&amp;O677,$K$5:$K$1517,1)/COUNTIF($O$5:$O$1517,"&gt;="&amp;O677),0)</f>
        <v>0</v>
      </c>
      <c r="Y677" s="8" t="n">
        <f aca="false">IF($K677=1,COUNTIFS($P$5:$P$1517,"&gt;="&amp;P677,$K$5:$K$1517,1)/COUNTIF($P$5:$P$1517,"&gt;="&amp;P677),0)</f>
        <v>0</v>
      </c>
      <c r="Z677" s="8" t="n">
        <f aca="false">(L677-$K677)^2</f>
        <v>0.055409864449</v>
      </c>
      <c r="AA677" s="8" t="n">
        <f aca="false">(M677-$K677)^2</f>
        <v>0.008475595969</v>
      </c>
      <c r="AB677" s="8" t="n">
        <f aca="false">(N677-$K677)^2</f>
        <v>0.004260825625</v>
      </c>
      <c r="AC677" s="8" t="n">
        <f aca="false">(O677-$K677)^2</f>
        <v>0.011274829489</v>
      </c>
      <c r="AD677" s="8" t="n">
        <f aca="false">(P677-$K677)^2</f>
        <v>0.004611224836</v>
      </c>
      <c r="AE677" s="8" t="n">
        <f aca="false">MIN(INT(ROUND(N677*1000000,0)/100000),9)</f>
        <v>0</v>
      </c>
      <c r="AF677" s="8" t="n">
        <f aca="false">MIN(INT(ROUND(P677*1000000,0)/100000),9)</f>
        <v>0</v>
      </c>
    </row>
    <row r="678" customFormat="false" ht="15" hidden="false" customHeight="false" outlineLevel="0" collapsed="false">
      <c r="A678" s="4" t="n">
        <v>674</v>
      </c>
      <c r="B678" s="4" t="n">
        <v>1462</v>
      </c>
      <c r="C678" s="4" t="n">
        <v>1</v>
      </c>
      <c r="D678" s="11" t="n">
        <v>46082</v>
      </c>
      <c r="E678" s="4" t="s">
        <v>204</v>
      </c>
      <c r="F678" s="4" t="s">
        <v>207</v>
      </c>
      <c r="G678" s="4" t="n">
        <v>2</v>
      </c>
      <c r="H678" s="4" t="n">
        <v>5</v>
      </c>
      <c r="I678" s="4" t="n">
        <v>0</v>
      </c>
      <c r="J678" s="4" t="n">
        <v>57</v>
      </c>
      <c r="K678" s="4" t="n">
        <v>0</v>
      </c>
      <c r="L678" s="12" t="n">
        <v>0.721409</v>
      </c>
      <c r="M678" s="12" t="n">
        <v>0.092063</v>
      </c>
      <c r="N678" s="12" t="n">
        <v>0.142049</v>
      </c>
      <c r="O678" s="12" t="n">
        <v>0.106183</v>
      </c>
      <c r="P678" s="12" t="n">
        <v>0.15252</v>
      </c>
      <c r="Q678" s="0" t="str">
        <f aca="false">IF(L678&gt;=Models!$G$5,1+COUNTIF($L$5:$L$1517,"&gt;"&amp;L678)+COUNTIFS($L$5:$L$1517,L678,$B$5:$B$1517,"&lt;"&amp;B678)+COUNTIFS($L$5:$L$1517,L678,$B$5:$B$1517,B678,$C$5:$C$1517,"&lt;"&amp;C678),"")</f>
        <v/>
      </c>
      <c r="R678" s="0" t="str">
        <f aca="false">IF(M678&gt;=Models!$G$6,1+COUNTIF($M$5:$M$1517,"&gt;"&amp;M678)+COUNTIFS($M$5:$M$1517,M678,$B$5:$B$1517,"&lt;"&amp;B678)+COUNTIFS($M$5:$M$1517,M678,$B$5:$B$1517,B678,$C$5:$C$1517,"&lt;"&amp;C678),"")</f>
        <v/>
      </c>
      <c r="S678" s="0" t="str">
        <f aca="false">IF(N678&gt;=Models!$G$7,1+COUNTIF($N$5:$N$1517,"&gt;"&amp;N678)+COUNTIFS($N$5:$N$1517,N678,$B$5:$B$1517,"&lt;"&amp;B678)+COUNTIFS($N$5:$N$1517,N678,$B$5:$B$1517,B678,$C$5:$C$1517,"&lt;"&amp;C678),"")</f>
        <v/>
      </c>
      <c r="T678" s="8" t="n">
        <f aca="false">IF(O678&gt;=Models!$G$8,1+COUNTIF($O$5:$O$1517,"&gt;"&amp;O678)+COUNTIFS($O$5:$O$1517,O678,$B$5:$B$1517,"&lt;"&amp;B678)+COUNTIFS($O$5:$O$1517,O678,$B$5:$B$1517,B678,$C$5:$C$1517,"&lt;"&amp;C678),"")</f>
        <v>1216</v>
      </c>
      <c r="U678" s="8" t="n">
        <f aca="false">IF($K678=1,COUNTIFS($L$5:$L$1517,"&gt;="&amp;L678,$K$5:$K$1517,1)/COUNTIF($L$5:$L$1517,"&gt;="&amp;L678),0)</f>
        <v>0</v>
      </c>
      <c r="V678" s="8" t="n">
        <f aca="false">IF($K678=1,COUNTIFS($M$5:$M$1517,"&gt;="&amp;M678,$K$5:$K$1517,1)/COUNTIF($M$5:$M$1517,"&gt;="&amp;M678),0)</f>
        <v>0</v>
      </c>
      <c r="W678" s="8" t="n">
        <f aca="false">IF($K678=1,COUNTIFS($N$5:$N$1517,"&gt;="&amp;N678,$K$5:$K$1517,1)/COUNTIF($N$5:$N$1517,"&gt;="&amp;N678),0)</f>
        <v>0</v>
      </c>
      <c r="X678" s="8" t="n">
        <f aca="false">IF($K678=1,COUNTIFS($O$5:$O$1517,"&gt;="&amp;O678,$K$5:$K$1517,1)/COUNTIF($O$5:$O$1517,"&gt;="&amp;O678),0)</f>
        <v>0</v>
      </c>
      <c r="Y678" s="8" t="n">
        <f aca="false">IF($K678=1,COUNTIFS($P$5:$P$1517,"&gt;="&amp;P678,$K$5:$K$1517,1)/COUNTIF($P$5:$P$1517,"&gt;="&amp;P678),0)</f>
        <v>0</v>
      </c>
      <c r="Z678" s="8" t="n">
        <f aca="false">(L678-$K678)^2</f>
        <v>0.520430945281</v>
      </c>
      <c r="AA678" s="8" t="n">
        <f aca="false">(M678-$K678)^2</f>
        <v>0.008475595969</v>
      </c>
      <c r="AB678" s="8" t="n">
        <f aca="false">(N678-$K678)^2</f>
        <v>0.020177918401</v>
      </c>
      <c r="AC678" s="8" t="n">
        <f aca="false">(O678-$K678)^2</f>
        <v>0.011274829489</v>
      </c>
      <c r="AD678" s="8" t="n">
        <f aca="false">(P678-$K678)^2</f>
        <v>0.0232623504</v>
      </c>
      <c r="AE678" s="8" t="n">
        <f aca="false">MIN(INT(ROUND(N678*1000000,0)/100000),9)</f>
        <v>1</v>
      </c>
      <c r="AF678" s="8" t="n">
        <f aca="false">MIN(INT(ROUND(P678*1000000,0)/100000),9)</f>
        <v>1</v>
      </c>
    </row>
    <row r="679" customFormat="false" ht="15" hidden="false" customHeight="false" outlineLevel="0" collapsed="false">
      <c r="A679" s="4" t="n">
        <v>675</v>
      </c>
      <c r="B679" s="4" t="n">
        <v>1463</v>
      </c>
      <c r="C679" s="4" t="n">
        <v>1</v>
      </c>
      <c r="D679" s="11" t="n">
        <v>46082</v>
      </c>
      <c r="E679" s="4" t="s">
        <v>201</v>
      </c>
      <c r="F679" s="4" t="s">
        <v>206</v>
      </c>
      <c r="G679" s="4" t="n">
        <v>23</v>
      </c>
      <c r="H679" s="4" t="n">
        <v>5</v>
      </c>
      <c r="I679" s="4" t="n">
        <v>0</v>
      </c>
      <c r="J679" s="4"/>
      <c r="K679" s="4" t="n">
        <v>0</v>
      </c>
      <c r="L679" s="12" t="n">
        <v>0.176639</v>
      </c>
      <c r="M679" s="12" t="n">
        <v>0.092063</v>
      </c>
      <c r="N679" s="12" t="n">
        <v>0.011639</v>
      </c>
      <c r="O679" s="12" t="n">
        <v>0.106183</v>
      </c>
      <c r="P679" s="12" t="n">
        <v>0.011162</v>
      </c>
      <c r="Q679" s="0" t="str">
        <f aca="false">IF(L679&gt;=Models!$G$5,1+COUNTIF($L$5:$L$1517,"&gt;"&amp;L679)+COUNTIFS($L$5:$L$1517,L679,$B$5:$B$1517,"&lt;"&amp;B679)+COUNTIFS($L$5:$L$1517,L679,$B$5:$B$1517,B679,$C$5:$C$1517,"&lt;"&amp;C679),"")</f>
        <v/>
      </c>
      <c r="R679" s="0" t="str">
        <f aca="false">IF(M679&gt;=Models!$G$6,1+COUNTIF($M$5:$M$1517,"&gt;"&amp;M679)+COUNTIFS($M$5:$M$1517,M679,$B$5:$B$1517,"&lt;"&amp;B679)+COUNTIFS($M$5:$M$1517,M679,$B$5:$B$1517,B679,$C$5:$C$1517,"&lt;"&amp;C679),"")</f>
        <v/>
      </c>
      <c r="S679" s="0" t="str">
        <f aca="false">IF(N679&gt;=Models!$G$7,1+COUNTIF($N$5:$N$1517,"&gt;"&amp;N679)+COUNTIFS($N$5:$N$1517,N679,$B$5:$B$1517,"&lt;"&amp;B679)+COUNTIFS($N$5:$N$1517,N679,$B$5:$B$1517,B679,$C$5:$C$1517,"&lt;"&amp;C679),"")</f>
        <v/>
      </c>
      <c r="T679" s="8" t="n">
        <f aca="false">IF(O679&gt;=Models!$G$8,1+COUNTIF($O$5:$O$1517,"&gt;"&amp;O679)+COUNTIFS($O$5:$O$1517,O679,$B$5:$B$1517,"&lt;"&amp;B679)+COUNTIFS($O$5:$O$1517,O679,$B$5:$B$1517,B679,$C$5:$C$1517,"&lt;"&amp;C679),"")</f>
        <v>1220</v>
      </c>
      <c r="U679" s="8" t="n">
        <f aca="false">IF($K679=1,COUNTIFS($L$5:$L$1517,"&gt;="&amp;L679,$K$5:$K$1517,1)/COUNTIF($L$5:$L$1517,"&gt;="&amp;L679),0)</f>
        <v>0</v>
      </c>
      <c r="V679" s="8" t="n">
        <f aca="false">IF($K679=1,COUNTIFS($M$5:$M$1517,"&gt;="&amp;M679,$K$5:$K$1517,1)/COUNTIF($M$5:$M$1517,"&gt;="&amp;M679),0)</f>
        <v>0</v>
      </c>
      <c r="W679" s="8" t="n">
        <f aca="false">IF($K679=1,COUNTIFS($N$5:$N$1517,"&gt;="&amp;N679,$K$5:$K$1517,1)/COUNTIF($N$5:$N$1517,"&gt;="&amp;N679),0)</f>
        <v>0</v>
      </c>
      <c r="X679" s="8" t="n">
        <f aca="false">IF($K679=1,COUNTIFS($O$5:$O$1517,"&gt;="&amp;O679,$K$5:$K$1517,1)/COUNTIF($O$5:$O$1517,"&gt;="&amp;O679),0)</f>
        <v>0</v>
      </c>
      <c r="Y679" s="8" t="n">
        <f aca="false">IF($K679=1,COUNTIFS($P$5:$P$1517,"&gt;="&amp;P679,$K$5:$K$1517,1)/COUNTIF($P$5:$P$1517,"&gt;="&amp;P679),0)</f>
        <v>0</v>
      </c>
      <c r="Z679" s="8" t="n">
        <f aca="false">(L679-$K679)^2</f>
        <v>0.031201336321</v>
      </c>
      <c r="AA679" s="8" t="n">
        <f aca="false">(M679-$K679)^2</f>
        <v>0.008475595969</v>
      </c>
      <c r="AB679" s="8" t="n">
        <f aca="false">(N679-$K679)^2</f>
        <v>0.000135466321</v>
      </c>
      <c r="AC679" s="8" t="n">
        <f aca="false">(O679-$K679)^2</f>
        <v>0.011274829489</v>
      </c>
      <c r="AD679" s="8" t="n">
        <f aca="false">(P679-$K679)^2</f>
        <v>0.000124590244</v>
      </c>
      <c r="AE679" s="8" t="n">
        <f aca="false">MIN(INT(ROUND(N679*1000000,0)/100000),9)</f>
        <v>0</v>
      </c>
      <c r="AF679" s="8" t="n">
        <f aca="false">MIN(INT(ROUND(P679*1000000,0)/100000),9)</f>
        <v>0</v>
      </c>
    </row>
    <row r="680" customFormat="false" ht="15" hidden="false" customHeight="false" outlineLevel="0" collapsed="false">
      <c r="A680" s="4" t="n">
        <v>676</v>
      </c>
      <c r="B680" s="4" t="n">
        <v>1472</v>
      </c>
      <c r="C680" s="4" t="n">
        <v>1</v>
      </c>
      <c r="D680" s="11" t="n">
        <v>46082</v>
      </c>
      <c r="E680" s="4" t="s">
        <v>201</v>
      </c>
      <c r="F680" s="4" t="s">
        <v>206</v>
      </c>
      <c r="G680" s="4" t="n">
        <v>21</v>
      </c>
      <c r="H680" s="4" t="n">
        <v>0</v>
      </c>
      <c r="I680" s="4" t="n">
        <v>0</v>
      </c>
      <c r="J680" s="4"/>
      <c r="K680" s="4" t="n">
        <v>0</v>
      </c>
      <c r="L680" s="12" t="n">
        <v>0.821474</v>
      </c>
      <c r="M680" s="12" t="n">
        <v>0.092063</v>
      </c>
      <c r="N680" s="12" t="n">
        <v>0.013352</v>
      </c>
      <c r="O680" s="12" t="n">
        <v>0.106183</v>
      </c>
      <c r="P680" s="12" t="n">
        <v>0.012889</v>
      </c>
      <c r="Q680" s="0" t="str">
        <f aca="false">IF(L680&gt;=Models!$G$5,1+COUNTIF($L$5:$L$1517,"&gt;"&amp;L680)+COUNTIFS($L$5:$L$1517,L680,$B$5:$B$1517,"&lt;"&amp;B680)+COUNTIFS($L$5:$L$1517,L680,$B$5:$B$1517,B680,$C$5:$C$1517,"&lt;"&amp;C680),"")</f>
        <v/>
      </c>
      <c r="R680" s="0" t="str">
        <f aca="false">IF(M680&gt;=Models!$G$6,1+COUNTIF($M$5:$M$1517,"&gt;"&amp;M680)+COUNTIFS($M$5:$M$1517,M680,$B$5:$B$1517,"&lt;"&amp;B680)+COUNTIFS($M$5:$M$1517,M680,$B$5:$B$1517,B680,$C$5:$C$1517,"&lt;"&amp;C680),"")</f>
        <v/>
      </c>
      <c r="S680" s="0" t="str">
        <f aca="false">IF(N680&gt;=Models!$G$7,1+COUNTIF($N$5:$N$1517,"&gt;"&amp;N680)+COUNTIFS($N$5:$N$1517,N680,$B$5:$B$1517,"&lt;"&amp;B680)+COUNTIFS($N$5:$N$1517,N680,$B$5:$B$1517,B680,$C$5:$C$1517,"&lt;"&amp;C680),"")</f>
        <v/>
      </c>
      <c r="T680" s="8" t="n">
        <f aca="false">IF(O680&gt;=Models!$G$8,1+COUNTIF($O$5:$O$1517,"&gt;"&amp;O680)+COUNTIFS($O$5:$O$1517,O680,$B$5:$B$1517,"&lt;"&amp;B680)+COUNTIFS($O$5:$O$1517,O680,$B$5:$B$1517,B680,$C$5:$C$1517,"&lt;"&amp;C680),"")</f>
        <v>1224</v>
      </c>
      <c r="U680" s="8" t="n">
        <f aca="false">IF($K680=1,COUNTIFS($L$5:$L$1517,"&gt;="&amp;L680,$K$5:$K$1517,1)/COUNTIF($L$5:$L$1517,"&gt;="&amp;L680),0)</f>
        <v>0</v>
      </c>
      <c r="V680" s="8" t="n">
        <f aca="false">IF($K680=1,COUNTIFS($M$5:$M$1517,"&gt;="&amp;M680,$K$5:$K$1517,1)/COUNTIF($M$5:$M$1517,"&gt;="&amp;M680),0)</f>
        <v>0</v>
      </c>
      <c r="W680" s="8" t="n">
        <f aca="false">IF($K680=1,COUNTIFS($N$5:$N$1517,"&gt;="&amp;N680,$K$5:$K$1517,1)/COUNTIF($N$5:$N$1517,"&gt;="&amp;N680),0)</f>
        <v>0</v>
      </c>
      <c r="X680" s="8" t="n">
        <f aca="false">IF($K680=1,COUNTIFS($O$5:$O$1517,"&gt;="&amp;O680,$K$5:$K$1517,1)/COUNTIF($O$5:$O$1517,"&gt;="&amp;O680),0)</f>
        <v>0</v>
      </c>
      <c r="Y680" s="8" t="n">
        <f aca="false">IF($K680=1,COUNTIFS($P$5:$P$1517,"&gt;="&amp;P680,$K$5:$K$1517,1)/COUNTIF($P$5:$P$1517,"&gt;="&amp;P680),0)</f>
        <v>0</v>
      </c>
      <c r="Z680" s="8" t="n">
        <f aca="false">(L680-$K680)^2</f>
        <v>0.674819532676</v>
      </c>
      <c r="AA680" s="8" t="n">
        <f aca="false">(M680-$K680)^2</f>
        <v>0.008475595969</v>
      </c>
      <c r="AB680" s="8" t="n">
        <f aca="false">(N680-$K680)^2</f>
        <v>0.000178275904</v>
      </c>
      <c r="AC680" s="8" t="n">
        <f aca="false">(O680-$K680)^2</f>
        <v>0.011274829489</v>
      </c>
      <c r="AD680" s="8" t="n">
        <f aca="false">(P680-$K680)^2</f>
        <v>0.000166126321</v>
      </c>
      <c r="AE680" s="8" t="n">
        <f aca="false">MIN(INT(ROUND(N680*1000000,0)/100000),9)</f>
        <v>0</v>
      </c>
      <c r="AF680" s="8" t="n">
        <f aca="false">MIN(INT(ROUND(P680*1000000,0)/100000),9)</f>
        <v>0</v>
      </c>
    </row>
    <row r="681" customFormat="false" ht="15" hidden="false" customHeight="false" outlineLevel="0" collapsed="false">
      <c r="A681" s="4" t="n">
        <v>677</v>
      </c>
      <c r="B681" s="4" t="n">
        <v>1475</v>
      </c>
      <c r="C681" s="4" t="n">
        <v>1</v>
      </c>
      <c r="D681" s="11" t="n">
        <v>46082</v>
      </c>
      <c r="E681" s="4" t="s">
        <v>203</v>
      </c>
      <c r="F681" s="4" t="s">
        <v>206</v>
      </c>
      <c r="G681" s="4" t="n">
        <v>8</v>
      </c>
      <c r="H681" s="4" t="n">
        <v>3</v>
      </c>
      <c r="I681" s="4" t="n">
        <v>1</v>
      </c>
      <c r="J681" s="4" t="n">
        <v>282</v>
      </c>
      <c r="K681" s="4" t="n">
        <v>0</v>
      </c>
      <c r="L681" s="12" t="n">
        <v>0.11467</v>
      </c>
      <c r="M681" s="12" t="n">
        <v>0.184211</v>
      </c>
      <c r="N681" s="12" t="n">
        <v>0.145325</v>
      </c>
      <c r="O681" s="12" t="n">
        <v>0.106183</v>
      </c>
      <c r="P681" s="12" t="n">
        <v>0.156161</v>
      </c>
      <c r="Q681" s="0" t="str">
        <f aca="false">IF(L681&gt;=Models!$G$5,1+COUNTIF($L$5:$L$1517,"&gt;"&amp;L681)+COUNTIFS($L$5:$L$1517,L681,$B$5:$B$1517,"&lt;"&amp;B681)+COUNTIFS($L$5:$L$1517,L681,$B$5:$B$1517,B681,$C$5:$C$1517,"&lt;"&amp;C681),"")</f>
        <v/>
      </c>
      <c r="R681" s="8" t="n">
        <f aca="false">IF(M681&gt;=Models!$G$6,1+COUNTIF($M$5:$M$1517,"&gt;"&amp;M681)+COUNTIFS($M$5:$M$1517,M681,$B$5:$B$1517,"&lt;"&amp;B681)+COUNTIFS($M$5:$M$1517,M681,$B$5:$B$1517,B681,$C$5:$C$1517,"&lt;"&amp;C681),"")</f>
        <v>151</v>
      </c>
      <c r="S681" s="0" t="str">
        <f aca="false">IF(N681&gt;=Models!$G$7,1+COUNTIF($N$5:$N$1517,"&gt;"&amp;N681)+COUNTIFS($N$5:$N$1517,N681,$B$5:$B$1517,"&lt;"&amp;B681)+COUNTIFS($N$5:$N$1517,N681,$B$5:$B$1517,B681,$C$5:$C$1517,"&lt;"&amp;C681),"")</f>
        <v/>
      </c>
      <c r="T681" s="8" t="n">
        <f aca="false">IF(O681&gt;=Models!$G$8,1+COUNTIF($O$5:$O$1517,"&gt;"&amp;O681)+COUNTIFS($O$5:$O$1517,O681,$B$5:$B$1517,"&lt;"&amp;B681)+COUNTIFS($O$5:$O$1517,O681,$B$5:$B$1517,B681,$C$5:$C$1517,"&lt;"&amp;C681),"")</f>
        <v>1228</v>
      </c>
      <c r="U681" s="8" t="n">
        <f aca="false">IF($K681=1,COUNTIFS($L$5:$L$1517,"&gt;="&amp;L681,$K$5:$K$1517,1)/COUNTIF($L$5:$L$1517,"&gt;="&amp;L681),0)</f>
        <v>0</v>
      </c>
      <c r="V681" s="8" t="n">
        <f aca="false">IF($K681=1,COUNTIFS($M$5:$M$1517,"&gt;="&amp;M681,$K$5:$K$1517,1)/COUNTIF($M$5:$M$1517,"&gt;="&amp;M681),0)</f>
        <v>0</v>
      </c>
      <c r="W681" s="8" t="n">
        <f aca="false">IF($K681=1,COUNTIFS($N$5:$N$1517,"&gt;="&amp;N681,$K$5:$K$1517,1)/COUNTIF($N$5:$N$1517,"&gt;="&amp;N681),0)</f>
        <v>0</v>
      </c>
      <c r="X681" s="8" t="n">
        <f aca="false">IF($K681=1,COUNTIFS($O$5:$O$1517,"&gt;="&amp;O681,$K$5:$K$1517,1)/COUNTIF($O$5:$O$1517,"&gt;="&amp;O681),0)</f>
        <v>0</v>
      </c>
      <c r="Y681" s="8" t="n">
        <f aca="false">IF($K681=1,COUNTIFS($P$5:$P$1517,"&gt;="&amp;P681,$K$5:$K$1517,1)/COUNTIF($P$5:$P$1517,"&gt;="&amp;P681),0)</f>
        <v>0</v>
      </c>
      <c r="Z681" s="8" t="n">
        <f aca="false">(L681-$K681)^2</f>
        <v>0.0131492089</v>
      </c>
      <c r="AA681" s="8" t="n">
        <f aca="false">(M681-$K681)^2</f>
        <v>0.033933692521</v>
      </c>
      <c r="AB681" s="8" t="n">
        <f aca="false">(N681-$K681)^2</f>
        <v>0.021119355625</v>
      </c>
      <c r="AC681" s="8" t="n">
        <f aca="false">(O681-$K681)^2</f>
        <v>0.011274829489</v>
      </c>
      <c r="AD681" s="8" t="n">
        <f aca="false">(P681-$K681)^2</f>
        <v>0.024386257921</v>
      </c>
      <c r="AE681" s="8" t="n">
        <f aca="false">MIN(INT(ROUND(N681*1000000,0)/100000),9)</f>
        <v>1</v>
      </c>
      <c r="AF681" s="8" t="n">
        <f aca="false">MIN(INT(ROUND(P681*1000000,0)/100000),9)</f>
        <v>1</v>
      </c>
    </row>
    <row r="682" customFormat="false" ht="15" hidden="false" customHeight="false" outlineLevel="0" collapsed="false">
      <c r="A682" s="4" t="n">
        <v>678</v>
      </c>
      <c r="B682" s="4" t="n">
        <v>1485</v>
      </c>
      <c r="C682" s="4" t="n">
        <v>1</v>
      </c>
      <c r="D682" s="11" t="n">
        <v>46082</v>
      </c>
      <c r="E682" s="4" t="s">
        <v>204</v>
      </c>
      <c r="F682" s="4" t="s">
        <v>208</v>
      </c>
      <c r="G682" s="4" t="n">
        <v>2</v>
      </c>
      <c r="H682" s="4" t="n">
        <v>14</v>
      </c>
      <c r="I682" s="4" t="n">
        <v>0</v>
      </c>
      <c r="J682" s="4" t="n">
        <v>99</v>
      </c>
      <c r="K682" s="4" t="n">
        <v>1</v>
      </c>
      <c r="L682" s="12" t="n">
        <v>0.30078</v>
      </c>
      <c r="M682" s="12" t="n">
        <v>0.092063</v>
      </c>
      <c r="N682" s="12" t="n">
        <v>0.150964</v>
      </c>
      <c r="O682" s="12" t="n">
        <v>0.106183</v>
      </c>
      <c r="P682" s="12" t="n">
        <v>0.162429</v>
      </c>
      <c r="Q682" s="0" t="str">
        <f aca="false">IF(L682&gt;=Models!$G$5,1+COUNTIF($L$5:$L$1517,"&gt;"&amp;L682)+COUNTIFS($L$5:$L$1517,L682,$B$5:$B$1517,"&lt;"&amp;B682)+COUNTIFS($L$5:$L$1517,L682,$B$5:$B$1517,B682,$C$5:$C$1517,"&lt;"&amp;C682),"")</f>
        <v/>
      </c>
      <c r="R682" s="0" t="str">
        <f aca="false">IF(M682&gt;=Models!$G$6,1+COUNTIF($M$5:$M$1517,"&gt;"&amp;M682)+COUNTIFS($M$5:$M$1517,M682,$B$5:$B$1517,"&lt;"&amp;B682)+COUNTIFS($M$5:$M$1517,M682,$B$5:$B$1517,B682,$C$5:$C$1517,"&lt;"&amp;C682),"")</f>
        <v/>
      </c>
      <c r="S682" s="0" t="str">
        <f aca="false">IF(N682&gt;=Models!$G$7,1+COUNTIF($N$5:$N$1517,"&gt;"&amp;N682)+COUNTIFS($N$5:$N$1517,N682,$B$5:$B$1517,"&lt;"&amp;B682)+COUNTIFS($N$5:$N$1517,N682,$B$5:$B$1517,B682,$C$5:$C$1517,"&lt;"&amp;C682),"")</f>
        <v/>
      </c>
      <c r="T682" s="8" t="n">
        <f aca="false">IF(O682&gt;=Models!$G$8,1+COUNTIF($O$5:$O$1517,"&gt;"&amp;O682)+COUNTIFS($O$5:$O$1517,O682,$B$5:$B$1517,"&lt;"&amp;B682)+COUNTIFS($O$5:$O$1517,O682,$B$5:$B$1517,B682,$C$5:$C$1517,"&lt;"&amp;C682),"")</f>
        <v>1232</v>
      </c>
      <c r="U682" s="8" t="n">
        <f aca="false">IF($K682=1,COUNTIFS($L$5:$L$1517,"&gt;="&amp;L682,$K$5:$K$1517,1)/COUNTIF($L$5:$L$1517,"&gt;="&amp;L682),0)</f>
        <v>0.130057803468208</v>
      </c>
      <c r="V682" s="8" t="n">
        <f aca="false">IF($K682=1,COUNTIFS($M$5:$M$1517,"&gt;="&amp;M682,$K$5:$K$1517,1)/COUNTIF($M$5:$M$1517,"&gt;="&amp;M682),0)</f>
        <v>0.12491738268341</v>
      </c>
      <c r="W682" s="8" t="n">
        <f aca="false">IF($K682=1,COUNTIFS($N$5:$N$1517,"&gt;="&amp;N682,$K$5:$K$1517,1)/COUNTIF($N$5:$N$1517,"&gt;="&amp;N682),0)</f>
        <v>0.29126213592233</v>
      </c>
      <c r="X682" s="8" t="n">
        <f aca="false">IF($K682=1,COUNTIFS($O$5:$O$1517,"&gt;="&amp;O682,$K$5:$K$1517,1)/COUNTIF($O$5:$O$1517,"&gt;="&amp;O682),0)</f>
        <v>0.12491738268341</v>
      </c>
      <c r="Y682" s="8" t="n">
        <f aca="false">IF($K682=1,COUNTIFS($P$5:$P$1517,"&gt;="&amp;P682,$K$5:$K$1517,1)/COUNTIF($P$5:$P$1517,"&gt;="&amp;P682),0)</f>
        <v>0.29126213592233</v>
      </c>
      <c r="Z682" s="8" t="n">
        <f aca="false">(L682-$K682)^2</f>
        <v>0.4889086084</v>
      </c>
      <c r="AA682" s="8" t="n">
        <f aca="false">(M682-$K682)^2</f>
        <v>0.824349595969</v>
      </c>
      <c r="AB682" s="8" t="n">
        <f aca="false">(N682-$K682)^2</f>
        <v>0.720862129296</v>
      </c>
      <c r="AC682" s="8" t="n">
        <f aca="false">(O682-$K682)^2</f>
        <v>0.798908829489</v>
      </c>
      <c r="AD682" s="8" t="n">
        <f aca="false">(P682-$K682)^2</f>
        <v>0.701525180041</v>
      </c>
      <c r="AE682" s="8" t="n">
        <f aca="false">MIN(INT(ROUND(N682*1000000,0)/100000),9)</f>
        <v>1</v>
      </c>
      <c r="AF682" s="8" t="n">
        <f aca="false">MIN(INT(ROUND(P682*1000000,0)/100000),9)</f>
        <v>1</v>
      </c>
    </row>
    <row r="683" customFormat="false" ht="15" hidden="false" customHeight="false" outlineLevel="0" collapsed="false">
      <c r="A683" s="4" t="n">
        <v>679</v>
      </c>
      <c r="B683" s="4" t="n">
        <v>1489</v>
      </c>
      <c r="C683" s="4" t="n">
        <v>1</v>
      </c>
      <c r="D683" s="11" t="n">
        <v>46082</v>
      </c>
      <c r="E683" s="4" t="s">
        <v>203</v>
      </c>
      <c r="F683" s="4" t="s">
        <v>206</v>
      </c>
      <c r="G683" s="4" t="n">
        <v>3</v>
      </c>
      <c r="H683" s="4" t="n">
        <v>0</v>
      </c>
      <c r="I683" s="4" t="n">
        <v>0</v>
      </c>
      <c r="J683" s="4" t="n">
        <v>345</v>
      </c>
      <c r="K683" s="4" t="n">
        <v>0</v>
      </c>
      <c r="L683" s="12" t="n">
        <v>0.791134</v>
      </c>
      <c r="M683" s="12" t="n">
        <v>0.092063</v>
      </c>
      <c r="N683" s="12" t="n">
        <v>0.124983</v>
      </c>
      <c r="O683" s="12" t="n">
        <v>0.106183</v>
      </c>
      <c r="P683" s="12" t="n">
        <v>0.133578</v>
      </c>
      <c r="Q683" s="0" t="str">
        <f aca="false">IF(L683&gt;=Models!$G$5,1+COUNTIF($L$5:$L$1517,"&gt;"&amp;L683)+COUNTIFS($L$5:$L$1517,L683,$B$5:$B$1517,"&lt;"&amp;B683)+COUNTIFS($L$5:$L$1517,L683,$B$5:$B$1517,B683,$C$5:$C$1517,"&lt;"&amp;C683),"")</f>
        <v/>
      </c>
      <c r="R683" s="0" t="str">
        <f aca="false">IF(M683&gt;=Models!$G$6,1+COUNTIF($M$5:$M$1517,"&gt;"&amp;M683)+COUNTIFS($M$5:$M$1517,M683,$B$5:$B$1517,"&lt;"&amp;B683)+COUNTIFS($M$5:$M$1517,M683,$B$5:$B$1517,B683,$C$5:$C$1517,"&lt;"&amp;C683),"")</f>
        <v/>
      </c>
      <c r="S683" s="0" t="str">
        <f aca="false">IF(N683&gt;=Models!$G$7,1+COUNTIF($N$5:$N$1517,"&gt;"&amp;N683)+COUNTIFS($N$5:$N$1517,N683,$B$5:$B$1517,"&lt;"&amp;B683)+COUNTIFS($N$5:$N$1517,N683,$B$5:$B$1517,B683,$C$5:$C$1517,"&lt;"&amp;C683),"")</f>
        <v/>
      </c>
      <c r="T683" s="8" t="n">
        <f aca="false">IF(O683&gt;=Models!$G$8,1+COUNTIF($O$5:$O$1517,"&gt;"&amp;O683)+COUNTIFS($O$5:$O$1517,O683,$B$5:$B$1517,"&lt;"&amp;B683)+COUNTIFS($O$5:$O$1517,O683,$B$5:$B$1517,B683,$C$5:$C$1517,"&lt;"&amp;C683),"")</f>
        <v>1235</v>
      </c>
      <c r="U683" s="8" t="n">
        <f aca="false">IF($K683=1,COUNTIFS($L$5:$L$1517,"&gt;="&amp;L683,$K$5:$K$1517,1)/COUNTIF($L$5:$L$1517,"&gt;="&amp;L683),0)</f>
        <v>0</v>
      </c>
      <c r="V683" s="8" t="n">
        <f aca="false">IF($K683=1,COUNTIFS($M$5:$M$1517,"&gt;="&amp;M683,$K$5:$K$1517,1)/COUNTIF($M$5:$M$1517,"&gt;="&amp;M683),0)</f>
        <v>0</v>
      </c>
      <c r="W683" s="8" t="n">
        <f aca="false">IF($K683=1,COUNTIFS($N$5:$N$1517,"&gt;="&amp;N683,$K$5:$K$1517,1)/COUNTIF($N$5:$N$1517,"&gt;="&amp;N683),0)</f>
        <v>0</v>
      </c>
      <c r="X683" s="8" t="n">
        <f aca="false">IF($K683=1,COUNTIFS($O$5:$O$1517,"&gt;="&amp;O683,$K$5:$K$1517,1)/COUNTIF($O$5:$O$1517,"&gt;="&amp;O683),0)</f>
        <v>0</v>
      </c>
      <c r="Y683" s="8" t="n">
        <f aca="false">IF($K683=1,COUNTIFS($P$5:$P$1517,"&gt;="&amp;P683,$K$5:$K$1517,1)/COUNTIF($P$5:$P$1517,"&gt;="&amp;P683),0)</f>
        <v>0</v>
      </c>
      <c r="Z683" s="8" t="n">
        <f aca="false">(L683-$K683)^2</f>
        <v>0.625893005956</v>
      </c>
      <c r="AA683" s="8" t="n">
        <f aca="false">(M683-$K683)^2</f>
        <v>0.008475595969</v>
      </c>
      <c r="AB683" s="8" t="n">
        <f aca="false">(N683-$K683)^2</f>
        <v>0.015620750289</v>
      </c>
      <c r="AC683" s="8" t="n">
        <f aca="false">(O683-$K683)^2</f>
        <v>0.011274829489</v>
      </c>
      <c r="AD683" s="8" t="n">
        <f aca="false">(P683-$K683)^2</f>
        <v>0.017843082084</v>
      </c>
      <c r="AE683" s="8" t="n">
        <f aca="false">MIN(INT(ROUND(N683*1000000,0)/100000),9)</f>
        <v>1</v>
      </c>
      <c r="AF683" s="8" t="n">
        <f aca="false">MIN(INT(ROUND(P683*1000000,0)/100000),9)</f>
        <v>1</v>
      </c>
    </row>
    <row r="684" customFormat="false" ht="15" hidden="false" customHeight="false" outlineLevel="0" collapsed="false">
      <c r="A684" s="4" t="n">
        <v>680</v>
      </c>
      <c r="B684" s="4" t="n">
        <v>1491</v>
      </c>
      <c r="C684" s="4" t="n">
        <v>1</v>
      </c>
      <c r="D684" s="11" t="n">
        <v>46082</v>
      </c>
      <c r="E684" s="4" t="s">
        <v>204</v>
      </c>
      <c r="F684" s="4" t="s">
        <v>210</v>
      </c>
      <c r="G684" s="4" t="n">
        <v>7</v>
      </c>
      <c r="H684" s="4" t="n">
        <v>0</v>
      </c>
      <c r="I684" s="4" t="n">
        <v>0</v>
      </c>
      <c r="J684" s="4" t="n">
        <v>108</v>
      </c>
      <c r="K684" s="4" t="n">
        <v>0</v>
      </c>
      <c r="L684" s="12" t="n">
        <v>0.09489</v>
      </c>
      <c r="M684" s="12" t="n">
        <v>0.092063</v>
      </c>
      <c r="N684" s="12" t="n">
        <v>0.091764</v>
      </c>
      <c r="O684" s="12" t="n">
        <v>0.106183</v>
      </c>
      <c r="P684" s="12" t="n">
        <v>0.096881</v>
      </c>
      <c r="Q684" s="0" t="str">
        <f aca="false">IF(L684&gt;=Models!$G$5,1+COUNTIF($L$5:$L$1517,"&gt;"&amp;L684)+COUNTIFS($L$5:$L$1517,L684,$B$5:$B$1517,"&lt;"&amp;B684)+COUNTIFS($L$5:$L$1517,L684,$B$5:$B$1517,B684,$C$5:$C$1517,"&lt;"&amp;C684),"")</f>
        <v/>
      </c>
      <c r="R684" s="0" t="str">
        <f aca="false">IF(M684&gt;=Models!$G$6,1+COUNTIF($M$5:$M$1517,"&gt;"&amp;M684)+COUNTIFS($M$5:$M$1517,M684,$B$5:$B$1517,"&lt;"&amp;B684)+COUNTIFS($M$5:$M$1517,M684,$B$5:$B$1517,B684,$C$5:$C$1517,"&lt;"&amp;C684),"")</f>
        <v/>
      </c>
      <c r="S684" s="0" t="str">
        <f aca="false">IF(N684&gt;=Models!$G$7,1+COUNTIF($N$5:$N$1517,"&gt;"&amp;N684)+COUNTIFS($N$5:$N$1517,N684,$B$5:$B$1517,"&lt;"&amp;B684)+COUNTIFS($N$5:$N$1517,N684,$B$5:$B$1517,B684,$C$5:$C$1517,"&lt;"&amp;C684),"")</f>
        <v/>
      </c>
      <c r="T684" s="8" t="n">
        <f aca="false">IF(O684&gt;=Models!$G$8,1+COUNTIF($O$5:$O$1517,"&gt;"&amp;O684)+COUNTIFS($O$5:$O$1517,O684,$B$5:$B$1517,"&lt;"&amp;B684)+COUNTIFS($O$5:$O$1517,O684,$B$5:$B$1517,B684,$C$5:$C$1517,"&lt;"&amp;C684),"")</f>
        <v>1239</v>
      </c>
      <c r="U684" s="8" t="n">
        <f aca="false">IF($K684=1,COUNTIFS($L$5:$L$1517,"&gt;="&amp;L684,$K$5:$K$1517,1)/COUNTIF($L$5:$L$1517,"&gt;="&amp;L684),0)</f>
        <v>0</v>
      </c>
      <c r="V684" s="8" t="n">
        <f aca="false">IF($K684=1,COUNTIFS($M$5:$M$1517,"&gt;="&amp;M684,$K$5:$K$1517,1)/COUNTIF($M$5:$M$1517,"&gt;="&amp;M684),0)</f>
        <v>0</v>
      </c>
      <c r="W684" s="8" t="n">
        <f aca="false">IF($K684=1,COUNTIFS($N$5:$N$1517,"&gt;="&amp;N684,$K$5:$K$1517,1)/COUNTIF($N$5:$N$1517,"&gt;="&amp;N684),0)</f>
        <v>0</v>
      </c>
      <c r="X684" s="8" t="n">
        <f aca="false">IF($K684=1,COUNTIFS($O$5:$O$1517,"&gt;="&amp;O684,$K$5:$K$1517,1)/COUNTIF($O$5:$O$1517,"&gt;="&amp;O684),0)</f>
        <v>0</v>
      </c>
      <c r="Y684" s="8" t="n">
        <f aca="false">IF($K684=1,COUNTIFS($P$5:$P$1517,"&gt;="&amp;P684,$K$5:$K$1517,1)/COUNTIF($P$5:$P$1517,"&gt;="&amp;P684),0)</f>
        <v>0</v>
      </c>
      <c r="Z684" s="8" t="n">
        <f aca="false">(L684-$K684)^2</f>
        <v>0.0090041121</v>
      </c>
      <c r="AA684" s="8" t="n">
        <f aca="false">(M684-$K684)^2</f>
        <v>0.008475595969</v>
      </c>
      <c r="AB684" s="8" t="n">
        <f aca="false">(N684-$K684)^2</f>
        <v>0.008420631696</v>
      </c>
      <c r="AC684" s="8" t="n">
        <f aca="false">(O684-$K684)^2</f>
        <v>0.011274829489</v>
      </c>
      <c r="AD684" s="8" t="n">
        <f aca="false">(P684-$K684)^2</f>
        <v>0.009385928161</v>
      </c>
      <c r="AE684" s="8" t="n">
        <f aca="false">MIN(INT(ROUND(N684*1000000,0)/100000),9)</f>
        <v>0</v>
      </c>
      <c r="AF684" s="8" t="n">
        <f aca="false">MIN(INT(ROUND(P684*1000000,0)/100000),9)</f>
        <v>0</v>
      </c>
    </row>
    <row r="685" customFormat="false" ht="15" hidden="false" customHeight="false" outlineLevel="0" collapsed="false">
      <c r="A685" s="4" t="n">
        <v>681</v>
      </c>
      <c r="B685" s="4" t="n">
        <v>1504</v>
      </c>
      <c r="C685" s="4" t="n">
        <v>1</v>
      </c>
      <c r="D685" s="11" t="n">
        <v>46082</v>
      </c>
      <c r="E685" s="4" t="s">
        <v>203</v>
      </c>
      <c r="F685" s="4" t="s">
        <v>206</v>
      </c>
      <c r="G685" s="4" t="n">
        <v>6</v>
      </c>
      <c r="H685" s="4" t="n">
        <v>0</v>
      </c>
      <c r="I685" s="4" t="n">
        <v>1</v>
      </c>
      <c r="J685" s="4" t="n">
        <v>258</v>
      </c>
      <c r="K685" s="4" t="n">
        <v>1</v>
      </c>
      <c r="L685" s="12" t="n">
        <v>0.023407</v>
      </c>
      <c r="M685" s="12" t="n">
        <v>0.184211</v>
      </c>
      <c r="N685" s="12" t="n">
        <v>0.165902</v>
      </c>
      <c r="O685" s="12" t="n">
        <v>0.106183</v>
      </c>
      <c r="P685" s="12" t="n">
        <v>0.179046</v>
      </c>
      <c r="Q685" s="0" t="str">
        <f aca="false">IF(L685&gt;=Models!$G$5,1+COUNTIF($L$5:$L$1517,"&gt;"&amp;L685)+COUNTIFS($L$5:$L$1517,L685,$B$5:$B$1517,"&lt;"&amp;B685)+COUNTIFS($L$5:$L$1517,L685,$B$5:$B$1517,B685,$C$5:$C$1517,"&lt;"&amp;C685),"")</f>
        <v/>
      </c>
      <c r="R685" s="8" t="n">
        <f aca="false">IF(M685&gt;=Models!$G$6,1+COUNTIF($M$5:$M$1517,"&gt;"&amp;M685)+COUNTIFS($M$5:$M$1517,M685,$B$5:$B$1517,"&lt;"&amp;B685)+COUNTIFS($M$5:$M$1517,M685,$B$5:$B$1517,B685,$C$5:$C$1517,"&lt;"&amp;C685),"")</f>
        <v>156</v>
      </c>
      <c r="S685" s="0" t="str">
        <f aca="false">IF(N685&gt;=Models!$G$7,1+COUNTIF($N$5:$N$1517,"&gt;"&amp;N685)+COUNTIFS($N$5:$N$1517,N685,$B$5:$B$1517,"&lt;"&amp;B685)+COUNTIFS($N$5:$N$1517,N685,$B$5:$B$1517,B685,$C$5:$C$1517,"&lt;"&amp;C685),"")</f>
        <v/>
      </c>
      <c r="T685" s="8" t="n">
        <f aca="false">IF(O685&gt;=Models!$G$8,1+COUNTIF($O$5:$O$1517,"&gt;"&amp;O685)+COUNTIFS($O$5:$O$1517,O685,$B$5:$B$1517,"&lt;"&amp;B685)+COUNTIFS($O$5:$O$1517,O685,$B$5:$B$1517,B685,$C$5:$C$1517,"&lt;"&amp;C685),"")</f>
        <v>1244</v>
      </c>
      <c r="U685" s="8" t="n">
        <f aca="false">IF($K685=1,COUNTIFS($L$5:$L$1517,"&gt;="&amp;L685,$K$5:$K$1517,1)/COUNTIF($L$5:$L$1517,"&gt;="&amp;L685),0)</f>
        <v>0.125679347826087</v>
      </c>
      <c r="V685" s="8" t="n">
        <f aca="false">IF($K685=1,COUNTIFS($M$5:$M$1517,"&gt;="&amp;M685,$K$5:$K$1517,1)/COUNTIF($M$5:$M$1517,"&gt;="&amp;M685),0)</f>
        <v>0.186528497409326</v>
      </c>
      <c r="W685" s="8" t="n">
        <f aca="false">IF($K685=1,COUNTIFS($N$5:$N$1517,"&gt;="&amp;N685,$K$5:$K$1517,1)/COUNTIF($N$5:$N$1517,"&gt;="&amp;N685),0)</f>
        <v>0.313432835820896</v>
      </c>
      <c r="X685" s="8" t="n">
        <f aca="false">IF($K685=1,COUNTIFS($O$5:$O$1517,"&gt;="&amp;O685,$K$5:$K$1517,1)/COUNTIF($O$5:$O$1517,"&gt;="&amp;O685),0)</f>
        <v>0.12491738268341</v>
      </c>
      <c r="Y685" s="8" t="n">
        <f aca="false">IF($K685=1,COUNTIFS($P$5:$P$1517,"&gt;="&amp;P685,$K$5:$K$1517,1)/COUNTIF($P$5:$P$1517,"&gt;="&amp;P685),0)</f>
        <v>0.313432835820896</v>
      </c>
      <c r="Z685" s="8" t="n">
        <f aca="false">(L685-$K685)^2</f>
        <v>0.953733887649</v>
      </c>
      <c r="AA685" s="8" t="n">
        <f aca="false">(M685-$K685)^2</f>
        <v>0.665511692521</v>
      </c>
      <c r="AB685" s="8" t="n">
        <f aca="false">(N685-$K685)^2</f>
        <v>0.695719473604</v>
      </c>
      <c r="AC685" s="8" t="n">
        <f aca="false">(O685-$K685)^2</f>
        <v>0.798908829489</v>
      </c>
      <c r="AD685" s="8" t="n">
        <f aca="false">(P685-$K685)^2</f>
        <v>0.673965470116</v>
      </c>
      <c r="AE685" s="8" t="n">
        <f aca="false">MIN(INT(ROUND(N685*1000000,0)/100000),9)</f>
        <v>1</v>
      </c>
      <c r="AF685" s="8" t="n">
        <f aca="false">MIN(INT(ROUND(P685*1000000,0)/100000),9)</f>
        <v>1</v>
      </c>
    </row>
    <row r="686" customFormat="false" ht="15" hidden="false" customHeight="false" outlineLevel="0" collapsed="false">
      <c r="A686" s="4" t="n">
        <v>682</v>
      </c>
      <c r="B686" s="4" t="n">
        <v>1508</v>
      </c>
      <c r="C686" s="4" t="n">
        <v>1</v>
      </c>
      <c r="D686" s="11" t="n">
        <v>46082</v>
      </c>
      <c r="E686" s="4" t="s">
        <v>202</v>
      </c>
      <c r="F686" s="4" t="s">
        <v>206</v>
      </c>
      <c r="G686" s="4" t="n">
        <v>8</v>
      </c>
      <c r="H686" s="4" t="n">
        <v>8</v>
      </c>
      <c r="I686" s="4" t="n">
        <v>1</v>
      </c>
      <c r="J686" s="4"/>
      <c r="K686" s="4" t="n">
        <v>0</v>
      </c>
      <c r="L686" s="12" t="n">
        <v>0.687643</v>
      </c>
      <c r="M686" s="12" t="n">
        <v>0.184211</v>
      </c>
      <c r="N686" s="12" t="n">
        <v>0.077906</v>
      </c>
      <c r="O686" s="12" t="n">
        <v>0.106183</v>
      </c>
      <c r="P686" s="12" t="n">
        <v>0.081679</v>
      </c>
      <c r="Q686" s="0" t="str">
        <f aca="false">IF(L686&gt;=Models!$G$5,1+COUNTIF($L$5:$L$1517,"&gt;"&amp;L686)+COUNTIFS($L$5:$L$1517,L686,$B$5:$B$1517,"&lt;"&amp;B686)+COUNTIFS($L$5:$L$1517,L686,$B$5:$B$1517,B686,$C$5:$C$1517,"&lt;"&amp;C686),"")</f>
        <v/>
      </c>
      <c r="R686" s="8" t="n">
        <f aca="false">IF(M686&gt;=Models!$G$6,1+COUNTIF($M$5:$M$1517,"&gt;"&amp;M686)+COUNTIFS($M$5:$M$1517,M686,$B$5:$B$1517,"&lt;"&amp;B686)+COUNTIFS($M$5:$M$1517,M686,$B$5:$B$1517,B686,$C$5:$C$1517,"&lt;"&amp;C686),"")</f>
        <v>158</v>
      </c>
      <c r="S686" s="0" t="str">
        <f aca="false">IF(N686&gt;=Models!$G$7,1+COUNTIF($N$5:$N$1517,"&gt;"&amp;N686)+COUNTIFS($N$5:$N$1517,N686,$B$5:$B$1517,"&lt;"&amp;B686)+COUNTIFS($N$5:$N$1517,N686,$B$5:$B$1517,B686,$C$5:$C$1517,"&lt;"&amp;C686),"")</f>
        <v/>
      </c>
      <c r="T686" s="8" t="n">
        <f aca="false">IF(O686&gt;=Models!$G$8,1+COUNTIF($O$5:$O$1517,"&gt;"&amp;O686)+COUNTIFS($O$5:$O$1517,O686,$B$5:$B$1517,"&lt;"&amp;B686)+COUNTIFS($O$5:$O$1517,O686,$B$5:$B$1517,B686,$C$5:$C$1517,"&lt;"&amp;C686),"")</f>
        <v>1248</v>
      </c>
      <c r="U686" s="8" t="n">
        <f aca="false">IF($K686=1,COUNTIFS($L$5:$L$1517,"&gt;="&amp;L686,$K$5:$K$1517,1)/COUNTIF($L$5:$L$1517,"&gt;="&amp;L686),0)</f>
        <v>0</v>
      </c>
      <c r="V686" s="8" t="n">
        <f aca="false">IF($K686=1,COUNTIFS($M$5:$M$1517,"&gt;="&amp;M686,$K$5:$K$1517,1)/COUNTIF($M$5:$M$1517,"&gt;="&amp;M686),0)</f>
        <v>0</v>
      </c>
      <c r="W686" s="8" t="n">
        <f aca="false">IF($K686=1,COUNTIFS($N$5:$N$1517,"&gt;="&amp;N686,$K$5:$K$1517,1)/COUNTIF($N$5:$N$1517,"&gt;="&amp;N686),0)</f>
        <v>0</v>
      </c>
      <c r="X686" s="8" t="n">
        <f aca="false">IF($K686=1,COUNTIFS($O$5:$O$1517,"&gt;="&amp;O686,$K$5:$K$1517,1)/COUNTIF($O$5:$O$1517,"&gt;="&amp;O686),0)</f>
        <v>0</v>
      </c>
      <c r="Y686" s="8" t="n">
        <f aca="false">IF($K686=1,COUNTIFS($P$5:$P$1517,"&gt;="&amp;P686,$K$5:$K$1517,1)/COUNTIF($P$5:$P$1517,"&gt;="&amp;P686),0)</f>
        <v>0</v>
      </c>
      <c r="Z686" s="8" t="n">
        <f aca="false">(L686-$K686)^2</f>
        <v>0.472852895449</v>
      </c>
      <c r="AA686" s="8" t="n">
        <f aca="false">(M686-$K686)^2</f>
        <v>0.033933692521</v>
      </c>
      <c r="AB686" s="8" t="n">
        <f aca="false">(N686-$K686)^2</f>
        <v>0.006069344836</v>
      </c>
      <c r="AC686" s="8" t="n">
        <f aca="false">(O686-$K686)^2</f>
        <v>0.011274829489</v>
      </c>
      <c r="AD686" s="8" t="n">
        <f aca="false">(P686-$K686)^2</f>
        <v>0.006671459041</v>
      </c>
      <c r="AE686" s="8" t="n">
        <f aca="false">MIN(INT(ROUND(N686*1000000,0)/100000),9)</f>
        <v>0</v>
      </c>
      <c r="AF686" s="8" t="n">
        <f aca="false">MIN(INT(ROUND(P686*1000000,0)/100000),9)</f>
        <v>0</v>
      </c>
    </row>
    <row r="687" customFormat="false" ht="15" hidden="false" customHeight="false" outlineLevel="0" collapsed="false">
      <c r="A687" s="4" t="n">
        <v>683</v>
      </c>
      <c r="B687" s="4" t="n">
        <v>1509</v>
      </c>
      <c r="C687" s="4" t="n">
        <v>1</v>
      </c>
      <c r="D687" s="11" t="n">
        <v>46082</v>
      </c>
      <c r="E687" s="4" t="s">
        <v>202</v>
      </c>
      <c r="F687" s="4" t="s">
        <v>208</v>
      </c>
      <c r="G687" s="4" t="n">
        <v>8</v>
      </c>
      <c r="H687" s="4" t="n">
        <v>1</v>
      </c>
      <c r="I687" s="4" t="n">
        <v>0</v>
      </c>
      <c r="J687" s="4" t="n">
        <v>1491</v>
      </c>
      <c r="K687" s="4" t="n">
        <v>0</v>
      </c>
      <c r="L687" s="12" t="n">
        <v>0.408669</v>
      </c>
      <c r="M687" s="12" t="n">
        <v>0.092063</v>
      </c>
      <c r="N687" s="12" t="n">
        <v>0.079118</v>
      </c>
      <c r="O687" s="12" t="n">
        <v>0.106183</v>
      </c>
      <c r="P687" s="12" t="n">
        <v>0.083006</v>
      </c>
      <c r="Q687" s="0" t="str">
        <f aca="false">IF(L687&gt;=Models!$G$5,1+COUNTIF($L$5:$L$1517,"&gt;"&amp;L687)+COUNTIFS($L$5:$L$1517,L687,$B$5:$B$1517,"&lt;"&amp;B687)+COUNTIFS($L$5:$L$1517,L687,$B$5:$B$1517,B687,$C$5:$C$1517,"&lt;"&amp;C687),"")</f>
        <v/>
      </c>
      <c r="R687" s="0" t="str">
        <f aca="false">IF(M687&gt;=Models!$G$6,1+COUNTIF($M$5:$M$1517,"&gt;"&amp;M687)+COUNTIFS($M$5:$M$1517,M687,$B$5:$B$1517,"&lt;"&amp;B687)+COUNTIFS($M$5:$M$1517,M687,$B$5:$B$1517,B687,$C$5:$C$1517,"&lt;"&amp;C687),"")</f>
        <v/>
      </c>
      <c r="S687" s="0" t="str">
        <f aca="false">IF(N687&gt;=Models!$G$7,1+COUNTIF($N$5:$N$1517,"&gt;"&amp;N687)+COUNTIFS($N$5:$N$1517,N687,$B$5:$B$1517,"&lt;"&amp;B687)+COUNTIFS($N$5:$N$1517,N687,$B$5:$B$1517,B687,$C$5:$C$1517,"&lt;"&amp;C687),"")</f>
        <v/>
      </c>
      <c r="T687" s="8" t="n">
        <f aca="false">IF(O687&gt;=Models!$G$8,1+COUNTIF($O$5:$O$1517,"&gt;"&amp;O687)+COUNTIFS($O$5:$O$1517,O687,$B$5:$B$1517,"&lt;"&amp;B687)+COUNTIFS($O$5:$O$1517,O687,$B$5:$B$1517,B687,$C$5:$C$1517,"&lt;"&amp;C687),"")</f>
        <v>1252</v>
      </c>
      <c r="U687" s="8" t="n">
        <f aca="false">IF($K687=1,COUNTIFS($L$5:$L$1517,"&gt;="&amp;L687,$K$5:$K$1517,1)/COUNTIF($L$5:$L$1517,"&gt;="&amp;L687),0)</f>
        <v>0</v>
      </c>
      <c r="V687" s="8" t="n">
        <f aca="false">IF($K687=1,COUNTIFS($M$5:$M$1517,"&gt;="&amp;M687,$K$5:$K$1517,1)/COUNTIF($M$5:$M$1517,"&gt;="&amp;M687),0)</f>
        <v>0</v>
      </c>
      <c r="W687" s="8" t="n">
        <f aca="false">IF($K687=1,COUNTIFS($N$5:$N$1517,"&gt;="&amp;N687,$K$5:$K$1517,1)/COUNTIF($N$5:$N$1517,"&gt;="&amp;N687),0)</f>
        <v>0</v>
      </c>
      <c r="X687" s="8" t="n">
        <f aca="false">IF($K687=1,COUNTIFS($O$5:$O$1517,"&gt;="&amp;O687,$K$5:$K$1517,1)/COUNTIF($O$5:$O$1517,"&gt;="&amp;O687),0)</f>
        <v>0</v>
      </c>
      <c r="Y687" s="8" t="n">
        <f aca="false">IF($K687=1,COUNTIFS($P$5:$P$1517,"&gt;="&amp;P687,$K$5:$K$1517,1)/COUNTIF($P$5:$P$1517,"&gt;="&amp;P687),0)</f>
        <v>0</v>
      </c>
      <c r="Z687" s="8" t="n">
        <f aca="false">(L687-$K687)^2</f>
        <v>0.167010351561</v>
      </c>
      <c r="AA687" s="8" t="n">
        <f aca="false">(M687-$K687)^2</f>
        <v>0.008475595969</v>
      </c>
      <c r="AB687" s="8" t="n">
        <f aca="false">(N687-$K687)^2</f>
        <v>0.006259657924</v>
      </c>
      <c r="AC687" s="8" t="n">
        <f aca="false">(O687-$K687)^2</f>
        <v>0.011274829489</v>
      </c>
      <c r="AD687" s="8" t="n">
        <f aca="false">(P687-$K687)^2</f>
        <v>0.006889996036</v>
      </c>
      <c r="AE687" s="8" t="n">
        <f aca="false">MIN(INT(ROUND(N687*1000000,0)/100000),9)</f>
        <v>0</v>
      </c>
      <c r="AF687" s="8" t="n">
        <f aca="false">MIN(INT(ROUND(P687*1000000,0)/100000),9)</f>
        <v>0</v>
      </c>
    </row>
    <row r="688" customFormat="false" ht="15" hidden="false" customHeight="false" outlineLevel="0" collapsed="false">
      <c r="A688" s="4" t="n">
        <v>684</v>
      </c>
      <c r="B688" s="4" t="n">
        <v>1511</v>
      </c>
      <c r="C688" s="4" t="n">
        <v>1</v>
      </c>
      <c r="D688" s="11" t="n">
        <v>46082</v>
      </c>
      <c r="E688" s="4" t="s">
        <v>203</v>
      </c>
      <c r="F688" s="4" t="s">
        <v>210</v>
      </c>
      <c r="G688" s="4" t="n">
        <v>2</v>
      </c>
      <c r="H688" s="4" t="n">
        <v>19</v>
      </c>
      <c r="I688" s="4" t="n">
        <v>0</v>
      </c>
      <c r="J688" s="4"/>
      <c r="K688" s="4" t="n">
        <v>0</v>
      </c>
      <c r="L688" s="12" t="n">
        <v>0.809119</v>
      </c>
      <c r="M688" s="12" t="n">
        <v>0.092063</v>
      </c>
      <c r="N688" s="12" t="n">
        <v>0.080387</v>
      </c>
      <c r="O688" s="12" t="n">
        <v>0.106183</v>
      </c>
      <c r="P688" s="12" t="n">
        <v>0.084395</v>
      </c>
      <c r="Q688" s="0" t="str">
        <f aca="false">IF(L688&gt;=Models!$G$5,1+COUNTIF($L$5:$L$1517,"&gt;"&amp;L688)+COUNTIFS($L$5:$L$1517,L688,$B$5:$B$1517,"&lt;"&amp;B688)+COUNTIFS($L$5:$L$1517,L688,$B$5:$B$1517,B688,$C$5:$C$1517,"&lt;"&amp;C688),"")</f>
        <v/>
      </c>
      <c r="R688" s="0" t="str">
        <f aca="false">IF(M688&gt;=Models!$G$6,1+COUNTIF($M$5:$M$1517,"&gt;"&amp;M688)+COUNTIFS($M$5:$M$1517,M688,$B$5:$B$1517,"&lt;"&amp;B688)+COUNTIFS($M$5:$M$1517,M688,$B$5:$B$1517,B688,$C$5:$C$1517,"&lt;"&amp;C688),"")</f>
        <v/>
      </c>
      <c r="S688" s="0" t="str">
        <f aca="false">IF(N688&gt;=Models!$G$7,1+COUNTIF($N$5:$N$1517,"&gt;"&amp;N688)+COUNTIFS($N$5:$N$1517,N688,$B$5:$B$1517,"&lt;"&amp;B688)+COUNTIFS($N$5:$N$1517,N688,$B$5:$B$1517,B688,$C$5:$C$1517,"&lt;"&amp;C688),"")</f>
        <v/>
      </c>
      <c r="T688" s="8" t="n">
        <f aca="false">IF(O688&gt;=Models!$G$8,1+COUNTIF($O$5:$O$1517,"&gt;"&amp;O688)+COUNTIFS($O$5:$O$1517,O688,$B$5:$B$1517,"&lt;"&amp;B688)+COUNTIFS($O$5:$O$1517,O688,$B$5:$B$1517,B688,$C$5:$C$1517,"&lt;"&amp;C688),"")</f>
        <v>1256</v>
      </c>
      <c r="U688" s="8" t="n">
        <f aca="false">IF($K688=1,COUNTIFS($L$5:$L$1517,"&gt;="&amp;L688,$K$5:$K$1517,1)/COUNTIF($L$5:$L$1517,"&gt;="&amp;L688),0)</f>
        <v>0</v>
      </c>
      <c r="V688" s="8" t="n">
        <f aca="false">IF($K688=1,COUNTIFS($M$5:$M$1517,"&gt;="&amp;M688,$K$5:$K$1517,1)/COUNTIF($M$5:$M$1517,"&gt;="&amp;M688),0)</f>
        <v>0</v>
      </c>
      <c r="W688" s="8" t="n">
        <f aca="false">IF($K688=1,COUNTIFS($N$5:$N$1517,"&gt;="&amp;N688,$K$5:$K$1517,1)/COUNTIF($N$5:$N$1517,"&gt;="&amp;N688),0)</f>
        <v>0</v>
      </c>
      <c r="X688" s="8" t="n">
        <f aca="false">IF($K688=1,COUNTIFS($O$5:$O$1517,"&gt;="&amp;O688,$K$5:$K$1517,1)/COUNTIF($O$5:$O$1517,"&gt;="&amp;O688),0)</f>
        <v>0</v>
      </c>
      <c r="Y688" s="8" t="n">
        <f aca="false">IF($K688=1,COUNTIFS($P$5:$P$1517,"&gt;="&amp;P688,$K$5:$K$1517,1)/COUNTIF($P$5:$P$1517,"&gt;="&amp;P688),0)</f>
        <v>0</v>
      </c>
      <c r="Z688" s="8" t="n">
        <f aca="false">(L688-$K688)^2</f>
        <v>0.654673556161</v>
      </c>
      <c r="AA688" s="8" t="n">
        <f aca="false">(M688-$K688)^2</f>
        <v>0.008475595969</v>
      </c>
      <c r="AB688" s="8" t="n">
        <f aca="false">(N688-$K688)^2</f>
        <v>0.006462069769</v>
      </c>
      <c r="AC688" s="8" t="n">
        <f aca="false">(O688-$K688)^2</f>
        <v>0.011274829489</v>
      </c>
      <c r="AD688" s="8" t="n">
        <f aca="false">(P688-$K688)^2</f>
        <v>0.007122516025</v>
      </c>
      <c r="AE688" s="8" t="n">
        <f aca="false">MIN(INT(ROUND(N688*1000000,0)/100000),9)</f>
        <v>0</v>
      </c>
      <c r="AF688" s="8" t="n">
        <f aca="false">MIN(INT(ROUND(P688*1000000,0)/100000),9)</f>
        <v>0</v>
      </c>
    </row>
    <row r="689" customFormat="false" ht="15" hidden="false" customHeight="false" outlineLevel="0" collapsed="false">
      <c r="A689" s="4" t="n">
        <v>685</v>
      </c>
      <c r="B689" s="4" t="n">
        <v>1518</v>
      </c>
      <c r="C689" s="4" t="n">
        <v>1</v>
      </c>
      <c r="D689" s="11" t="n">
        <v>46082</v>
      </c>
      <c r="E689" s="4" t="s">
        <v>204</v>
      </c>
      <c r="F689" s="4" t="s">
        <v>206</v>
      </c>
      <c r="G689" s="4" t="n">
        <v>5</v>
      </c>
      <c r="H689" s="4" t="n">
        <v>4</v>
      </c>
      <c r="I689" s="4" t="n">
        <v>0</v>
      </c>
      <c r="J689" s="4" t="n">
        <v>84</v>
      </c>
      <c r="K689" s="4" t="n">
        <v>0</v>
      </c>
      <c r="L689" s="12" t="n">
        <v>0.16121</v>
      </c>
      <c r="M689" s="12" t="n">
        <v>0.092063</v>
      </c>
      <c r="N689" s="12" t="n">
        <v>0.111242</v>
      </c>
      <c r="O689" s="12" t="n">
        <v>0.106183</v>
      </c>
      <c r="P689" s="12" t="n">
        <v>0.118363</v>
      </c>
      <c r="Q689" s="0" t="str">
        <f aca="false">IF(L689&gt;=Models!$G$5,1+COUNTIF($L$5:$L$1517,"&gt;"&amp;L689)+COUNTIFS($L$5:$L$1517,L689,$B$5:$B$1517,"&lt;"&amp;B689)+COUNTIFS($L$5:$L$1517,L689,$B$5:$B$1517,B689,$C$5:$C$1517,"&lt;"&amp;C689),"")</f>
        <v/>
      </c>
      <c r="R689" s="0" t="str">
        <f aca="false">IF(M689&gt;=Models!$G$6,1+COUNTIF($M$5:$M$1517,"&gt;"&amp;M689)+COUNTIFS($M$5:$M$1517,M689,$B$5:$B$1517,"&lt;"&amp;B689)+COUNTIFS($M$5:$M$1517,M689,$B$5:$B$1517,B689,$C$5:$C$1517,"&lt;"&amp;C689),"")</f>
        <v/>
      </c>
      <c r="S689" s="0" t="str">
        <f aca="false">IF(N689&gt;=Models!$G$7,1+COUNTIF($N$5:$N$1517,"&gt;"&amp;N689)+COUNTIFS($N$5:$N$1517,N689,$B$5:$B$1517,"&lt;"&amp;B689)+COUNTIFS($N$5:$N$1517,N689,$B$5:$B$1517,B689,$C$5:$C$1517,"&lt;"&amp;C689),"")</f>
        <v/>
      </c>
      <c r="T689" s="8" t="n">
        <f aca="false">IF(O689&gt;=Models!$G$8,1+COUNTIF($O$5:$O$1517,"&gt;"&amp;O689)+COUNTIFS($O$5:$O$1517,O689,$B$5:$B$1517,"&lt;"&amp;B689)+COUNTIFS($O$5:$O$1517,O689,$B$5:$B$1517,B689,$C$5:$C$1517,"&lt;"&amp;C689),"")</f>
        <v>1260</v>
      </c>
      <c r="U689" s="8" t="n">
        <f aca="false">IF($K689=1,COUNTIFS($L$5:$L$1517,"&gt;="&amp;L689,$K$5:$K$1517,1)/COUNTIF($L$5:$L$1517,"&gt;="&amp;L689),0)</f>
        <v>0</v>
      </c>
      <c r="V689" s="8" t="n">
        <f aca="false">IF($K689=1,COUNTIFS($M$5:$M$1517,"&gt;="&amp;M689,$K$5:$K$1517,1)/COUNTIF($M$5:$M$1517,"&gt;="&amp;M689),0)</f>
        <v>0</v>
      </c>
      <c r="W689" s="8" t="n">
        <f aca="false">IF($K689=1,COUNTIFS($N$5:$N$1517,"&gt;="&amp;N689,$K$5:$K$1517,1)/COUNTIF($N$5:$N$1517,"&gt;="&amp;N689),0)</f>
        <v>0</v>
      </c>
      <c r="X689" s="8" t="n">
        <f aca="false">IF($K689=1,COUNTIFS($O$5:$O$1517,"&gt;="&amp;O689,$K$5:$K$1517,1)/COUNTIF($O$5:$O$1517,"&gt;="&amp;O689),0)</f>
        <v>0</v>
      </c>
      <c r="Y689" s="8" t="n">
        <f aca="false">IF($K689=1,COUNTIFS($P$5:$P$1517,"&gt;="&amp;P689,$K$5:$K$1517,1)/COUNTIF($P$5:$P$1517,"&gt;="&amp;P689),0)</f>
        <v>0</v>
      </c>
      <c r="Z689" s="8" t="n">
        <f aca="false">(L689-$K689)^2</f>
        <v>0.0259886641</v>
      </c>
      <c r="AA689" s="8" t="n">
        <f aca="false">(M689-$K689)^2</f>
        <v>0.008475595969</v>
      </c>
      <c r="AB689" s="8" t="n">
        <f aca="false">(N689-$K689)^2</f>
        <v>0.012374782564</v>
      </c>
      <c r="AC689" s="8" t="n">
        <f aca="false">(O689-$K689)^2</f>
        <v>0.011274829489</v>
      </c>
      <c r="AD689" s="8" t="n">
        <f aca="false">(P689-$K689)^2</f>
        <v>0.014009799769</v>
      </c>
      <c r="AE689" s="8" t="n">
        <f aca="false">MIN(INT(ROUND(N689*1000000,0)/100000),9)</f>
        <v>1</v>
      </c>
      <c r="AF689" s="8" t="n">
        <f aca="false">MIN(INT(ROUND(P689*1000000,0)/100000),9)</f>
        <v>1</v>
      </c>
    </row>
    <row r="690" customFormat="false" ht="15" hidden="false" customHeight="false" outlineLevel="0" collapsed="false">
      <c r="A690" s="4" t="n">
        <v>686</v>
      </c>
      <c r="B690" s="4" t="n">
        <v>1519</v>
      </c>
      <c r="C690" s="4" t="n">
        <v>1</v>
      </c>
      <c r="D690" s="11" t="n">
        <v>46082</v>
      </c>
      <c r="E690" s="4" t="s">
        <v>204</v>
      </c>
      <c r="F690" s="4" t="s">
        <v>209</v>
      </c>
      <c r="G690" s="4" t="n">
        <v>6</v>
      </c>
      <c r="H690" s="4" t="n">
        <v>2</v>
      </c>
      <c r="I690" s="4" t="n">
        <v>0</v>
      </c>
      <c r="J690" s="4" t="n">
        <v>102</v>
      </c>
      <c r="K690" s="4" t="n">
        <v>0</v>
      </c>
      <c r="L690" s="12" t="n">
        <v>0.570529</v>
      </c>
      <c r="M690" s="12" t="n">
        <v>0.092063</v>
      </c>
      <c r="N690" s="12" t="n">
        <v>0.101056</v>
      </c>
      <c r="O690" s="12" t="n">
        <v>0.106183</v>
      </c>
      <c r="P690" s="12" t="n">
        <v>0.107115</v>
      </c>
      <c r="Q690" s="0" t="str">
        <f aca="false">IF(L690&gt;=Models!$G$5,1+COUNTIF($L$5:$L$1517,"&gt;"&amp;L690)+COUNTIFS($L$5:$L$1517,L690,$B$5:$B$1517,"&lt;"&amp;B690)+COUNTIFS($L$5:$L$1517,L690,$B$5:$B$1517,B690,$C$5:$C$1517,"&lt;"&amp;C690),"")</f>
        <v/>
      </c>
      <c r="R690" s="0" t="str">
        <f aca="false">IF(M690&gt;=Models!$G$6,1+COUNTIF($M$5:$M$1517,"&gt;"&amp;M690)+COUNTIFS($M$5:$M$1517,M690,$B$5:$B$1517,"&lt;"&amp;B690)+COUNTIFS($M$5:$M$1517,M690,$B$5:$B$1517,B690,$C$5:$C$1517,"&lt;"&amp;C690),"")</f>
        <v/>
      </c>
      <c r="S690" s="0" t="str">
        <f aca="false">IF(N690&gt;=Models!$G$7,1+COUNTIF($N$5:$N$1517,"&gt;"&amp;N690)+COUNTIFS($N$5:$N$1517,N690,$B$5:$B$1517,"&lt;"&amp;B690)+COUNTIFS($N$5:$N$1517,N690,$B$5:$B$1517,B690,$C$5:$C$1517,"&lt;"&amp;C690),"")</f>
        <v/>
      </c>
      <c r="T690" s="8" t="n">
        <f aca="false">IF(O690&gt;=Models!$G$8,1+COUNTIF($O$5:$O$1517,"&gt;"&amp;O690)+COUNTIFS($O$5:$O$1517,O690,$B$5:$B$1517,"&lt;"&amp;B690)+COUNTIFS($O$5:$O$1517,O690,$B$5:$B$1517,B690,$C$5:$C$1517,"&lt;"&amp;C690),"")</f>
        <v>1264</v>
      </c>
      <c r="U690" s="8" t="n">
        <f aca="false">IF($K690=1,COUNTIFS($L$5:$L$1517,"&gt;="&amp;L690,$K$5:$K$1517,1)/COUNTIF($L$5:$L$1517,"&gt;="&amp;L690),0)</f>
        <v>0</v>
      </c>
      <c r="V690" s="8" t="n">
        <f aca="false">IF($K690=1,COUNTIFS($M$5:$M$1517,"&gt;="&amp;M690,$K$5:$K$1517,1)/COUNTIF($M$5:$M$1517,"&gt;="&amp;M690),0)</f>
        <v>0</v>
      </c>
      <c r="W690" s="8" t="n">
        <f aca="false">IF($K690=1,COUNTIFS($N$5:$N$1517,"&gt;="&amp;N690,$K$5:$K$1517,1)/COUNTIF($N$5:$N$1517,"&gt;="&amp;N690),0)</f>
        <v>0</v>
      </c>
      <c r="X690" s="8" t="n">
        <f aca="false">IF($K690=1,COUNTIFS($O$5:$O$1517,"&gt;="&amp;O690,$K$5:$K$1517,1)/COUNTIF($O$5:$O$1517,"&gt;="&amp;O690),0)</f>
        <v>0</v>
      </c>
      <c r="Y690" s="8" t="n">
        <f aca="false">IF($K690=1,COUNTIFS($P$5:$P$1517,"&gt;="&amp;P690,$K$5:$K$1517,1)/COUNTIF($P$5:$P$1517,"&gt;="&amp;P690),0)</f>
        <v>0</v>
      </c>
      <c r="Z690" s="8" t="n">
        <f aca="false">(L690-$K690)^2</f>
        <v>0.325503339841</v>
      </c>
      <c r="AA690" s="8" t="n">
        <f aca="false">(M690-$K690)^2</f>
        <v>0.008475595969</v>
      </c>
      <c r="AB690" s="8" t="n">
        <f aca="false">(N690-$K690)^2</f>
        <v>0.010212315136</v>
      </c>
      <c r="AC690" s="8" t="n">
        <f aca="false">(O690-$K690)^2</f>
        <v>0.011274829489</v>
      </c>
      <c r="AD690" s="8" t="n">
        <f aca="false">(P690-$K690)^2</f>
        <v>0.011473623225</v>
      </c>
      <c r="AE690" s="8" t="n">
        <f aca="false">MIN(INT(ROUND(N690*1000000,0)/100000),9)</f>
        <v>1</v>
      </c>
      <c r="AF690" s="8" t="n">
        <f aca="false">MIN(INT(ROUND(P690*1000000,0)/100000),9)</f>
        <v>1</v>
      </c>
    </row>
    <row r="691" customFormat="false" ht="15" hidden="false" customHeight="false" outlineLevel="0" collapsed="false">
      <c r="A691" s="4" t="n">
        <v>687</v>
      </c>
      <c r="B691" s="4" t="n">
        <v>1520</v>
      </c>
      <c r="C691" s="4" t="n">
        <v>1</v>
      </c>
      <c r="D691" s="11" t="n">
        <v>46082</v>
      </c>
      <c r="E691" s="4" t="s">
        <v>204</v>
      </c>
      <c r="F691" s="4" t="s">
        <v>210</v>
      </c>
      <c r="G691" s="4" t="n">
        <v>2</v>
      </c>
      <c r="H691" s="4" t="n">
        <v>13</v>
      </c>
      <c r="I691" s="4" t="n">
        <v>0</v>
      </c>
      <c r="J691" s="4" t="n">
        <v>117</v>
      </c>
      <c r="K691" s="4" t="n">
        <v>1</v>
      </c>
      <c r="L691" s="12" t="n">
        <v>0.932931</v>
      </c>
      <c r="M691" s="12" t="n">
        <v>0.092063</v>
      </c>
      <c r="N691" s="12" t="n">
        <v>0.149783</v>
      </c>
      <c r="O691" s="12" t="n">
        <v>0.106183</v>
      </c>
      <c r="P691" s="12" t="n">
        <v>0.161116</v>
      </c>
      <c r="Q691" s="0" t="str">
        <f aca="false">IF(L691&gt;=Models!$G$5,1+COUNTIF($L$5:$L$1517,"&gt;"&amp;L691)+COUNTIFS($L$5:$L$1517,L691,$B$5:$B$1517,"&lt;"&amp;B691)+COUNTIFS($L$5:$L$1517,L691,$B$5:$B$1517,B691,$C$5:$C$1517,"&lt;"&amp;C691),"")</f>
        <v/>
      </c>
      <c r="R691" s="0" t="str">
        <f aca="false">IF(M691&gt;=Models!$G$6,1+COUNTIF($M$5:$M$1517,"&gt;"&amp;M691)+COUNTIFS($M$5:$M$1517,M691,$B$5:$B$1517,"&lt;"&amp;B691)+COUNTIFS($M$5:$M$1517,M691,$B$5:$B$1517,B691,$C$5:$C$1517,"&lt;"&amp;C691),"")</f>
        <v/>
      </c>
      <c r="S691" s="0" t="str">
        <f aca="false">IF(N691&gt;=Models!$G$7,1+COUNTIF($N$5:$N$1517,"&gt;"&amp;N691)+COUNTIFS($N$5:$N$1517,N691,$B$5:$B$1517,"&lt;"&amp;B691)+COUNTIFS($N$5:$N$1517,N691,$B$5:$B$1517,B691,$C$5:$C$1517,"&lt;"&amp;C691),"")</f>
        <v/>
      </c>
      <c r="T691" s="8" t="n">
        <f aca="false">IF(O691&gt;=Models!$G$8,1+COUNTIF($O$5:$O$1517,"&gt;"&amp;O691)+COUNTIFS($O$5:$O$1517,O691,$B$5:$B$1517,"&lt;"&amp;B691)+COUNTIFS($O$5:$O$1517,O691,$B$5:$B$1517,B691,$C$5:$C$1517,"&lt;"&amp;C691),"")</f>
        <v>1268</v>
      </c>
      <c r="U691" s="8" t="n">
        <f aca="false">IF($K691=1,COUNTIFS($L$5:$L$1517,"&gt;="&amp;L691,$K$5:$K$1517,1)/COUNTIF($L$5:$L$1517,"&gt;="&amp;L691),0)</f>
        <v>0.108910891089109</v>
      </c>
      <c r="V691" s="8" t="n">
        <f aca="false">IF($K691=1,COUNTIFS($M$5:$M$1517,"&gt;="&amp;M691,$K$5:$K$1517,1)/COUNTIF($M$5:$M$1517,"&gt;="&amp;M691),0)</f>
        <v>0.12491738268341</v>
      </c>
      <c r="W691" s="8" t="n">
        <f aca="false">IF($K691=1,COUNTIFS($N$5:$N$1517,"&gt;="&amp;N691,$K$5:$K$1517,1)/COUNTIF($N$5:$N$1517,"&gt;="&amp;N691),0)</f>
        <v>0.303738317757009</v>
      </c>
      <c r="X691" s="8" t="n">
        <f aca="false">IF($K691=1,COUNTIFS($O$5:$O$1517,"&gt;="&amp;O691,$K$5:$K$1517,1)/COUNTIF($O$5:$O$1517,"&gt;="&amp;O691),0)</f>
        <v>0.12491738268341</v>
      </c>
      <c r="Y691" s="8" t="n">
        <f aca="false">IF($K691=1,COUNTIFS($P$5:$P$1517,"&gt;="&amp;P691,$K$5:$K$1517,1)/COUNTIF($P$5:$P$1517,"&gt;="&amp;P691),0)</f>
        <v>0.303738317757009</v>
      </c>
      <c r="Z691" s="8" t="n">
        <f aca="false">(L691-$K691)^2</f>
        <v>0.00449825076100001</v>
      </c>
      <c r="AA691" s="8" t="n">
        <f aca="false">(M691-$K691)^2</f>
        <v>0.824349595969</v>
      </c>
      <c r="AB691" s="8" t="n">
        <f aca="false">(N691-$K691)^2</f>
        <v>0.722868947089</v>
      </c>
      <c r="AC691" s="8" t="n">
        <f aca="false">(O691-$K691)^2</f>
        <v>0.798908829489</v>
      </c>
      <c r="AD691" s="8" t="n">
        <f aca="false">(P691-$K691)^2</f>
        <v>0.703726365456</v>
      </c>
      <c r="AE691" s="8" t="n">
        <f aca="false">MIN(INT(ROUND(N691*1000000,0)/100000),9)</f>
        <v>1</v>
      </c>
      <c r="AF691" s="8" t="n">
        <f aca="false">MIN(INT(ROUND(P691*1000000,0)/100000),9)</f>
        <v>1</v>
      </c>
    </row>
    <row r="692" customFormat="false" ht="15" hidden="false" customHeight="false" outlineLevel="0" collapsed="false">
      <c r="A692" s="4" t="n">
        <v>688</v>
      </c>
      <c r="B692" s="4" t="n">
        <v>1526</v>
      </c>
      <c r="C692" s="4" t="n">
        <v>1</v>
      </c>
      <c r="D692" s="11" t="n">
        <v>46082</v>
      </c>
      <c r="E692" s="4" t="s">
        <v>202</v>
      </c>
      <c r="F692" s="4" t="s">
        <v>208</v>
      </c>
      <c r="G692" s="4" t="n">
        <v>5</v>
      </c>
      <c r="H692" s="4" t="n">
        <v>2</v>
      </c>
      <c r="I692" s="4" t="n">
        <v>0</v>
      </c>
      <c r="J692" s="4"/>
      <c r="K692" s="4" t="n">
        <v>0</v>
      </c>
      <c r="L692" s="12" t="n">
        <v>0.060167</v>
      </c>
      <c r="M692" s="12" t="n">
        <v>0.092063</v>
      </c>
      <c r="N692" s="12" t="n">
        <v>0.054868</v>
      </c>
      <c r="O692" s="12" t="n">
        <v>0.106183</v>
      </c>
      <c r="P692" s="12" t="n">
        <v>0.056634</v>
      </c>
      <c r="Q692" s="0" t="str">
        <f aca="false">IF(L692&gt;=Models!$G$5,1+COUNTIF($L$5:$L$1517,"&gt;"&amp;L692)+COUNTIFS($L$5:$L$1517,L692,$B$5:$B$1517,"&lt;"&amp;B692)+COUNTIFS($L$5:$L$1517,L692,$B$5:$B$1517,B692,$C$5:$C$1517,"&lt;"&amp;C692),"")</f>
        <v/>
      </c>
      <c r="R692" s="0" t="str">
        <f aca="false">IF(M692&gt;=Models!$G$6,1+COUNTIF($M$5:$M$1517,"&gt;"&amp;M692)+COUNTIFS($M$5:$M$1517,M692,$B$5:$B$1517,"&lt;"&amp;B692)+COUNTIFS($M$5:$M$1517,M692,$B$5:$B$1517,B692,$C$5:$C$1517,"&lt;"&amp;C692),"")</f>
        <v/>
      </c>
      <c r="S692" s="0" t="str">
        <f aca="false">IF(N692&gt;=Models!$G$7,1+COUNTIF($N$5:$N$1517,"&gt;"&amp;N692)+COUNTIFS($N$5:$N$1517,N692,$B$5:$B$1517,"&lt;"&amp;B692)+COUNTIFS($N$5:$N$1517,N692,$B$5:$B$1517,B692,$C$5:$C$1517,"&lt;"&amp;C692),"")</f>
        <v/>
      </c>
      <c r="T692" s="8" t="n">
        <f aca="false">IF(O692&gt;=Models!$G$8,1+COUNTIF($O$5:$O$1517,"&gt;"&amp;O692)+COUNTIFS($O$5:$O$1517,O692,$B$5:$B$1517,"&lt;"&amp;B692)+COUNTIFS($O$5:$O$1517,O692,$B$5:$B$1517,B692,$C$5:$C$1517,"&lt;"&amp;C692),"")</f>
        <v>1270</v>
      </c>
      <c r="U692" s="8" t="n">
        <f aca="false">IF($K692=1,COUNTIFS($L$5:$L$1517,"&gt;="&amp;L692,$K$5:$K$1517,1)/COUNTIF($L$5:$L$1517,"&gt;="&amp;L692),0)</f>
        <v>0</v>
      </c>
      <c r="V692" s="8" t="n">
        <f aca="false">IF($K692=1,COUNTIFS($M$5:$M$1517,"&gt;="&amp;M692,$K$5:$K$1517,1)/COUNTIF($M$5:$M$1517,"&gt;="&amp;M692),0)</f>
        <v>0</v>
      </c>
      <c r="W692" s="8" t="n">
        <f aca="false">IF($K692=1,COUNTIFS($N$5:$N$1517,"&gt;="&amp;N692,$K$5:$K$1517,1)/COUNTIF($N$5:$N$1517,"&gt;="&amp;N692),0)</f>
        <v>0</v>
      </c>
      <c r="X692" s="8" t="n">
        <f aca="false">IF($K692=1,COUNTIFS($O$5:$O$1517,"&gt;="&amp;O692,$K$5:$K$1517,1)/COUNTIF($O$5:$O$1517,"&gt;="&amp;O692),0)</f>
        <v>0</v>
      </c>
      <c r="Y692" s="8" t="n">
        <f aca="false">IF($K692=1,COUNTIFS($P$5:$P$1517,"&gt;="&amp;P692,$K$5:$K$1517,1)/COUNTIF($P$5:$P$1517,"&gt;="&amp;P692),0)</f>
        <v>0</v>
      </c>
      <c r="Z692" s="8" t="n">
        <f aca="false">(L692-$K692)^2</f>
        <v>0.003620067889</v>
      </c>
      <c r="AA692" s="8" t="n">
        <f aca="false">(M692-$K692)^2</f>
        <v>0.008475595969</v>
      </c>
      <c r="AB692" s="8" t="n">
        <f aca="false">(N692-$K692)^2</f>
        <v>0.003010497424</v>
      </c>
      <c r="AC692" s="8" t="n">
        <f aca="false">(O692-$K692)^2</f>
        <v>0.011274829489</v>
      </c>
      <c r="AD692" s="8" t="n">
        <f aca="false">(P692-$K692)^2</f>
        <v>0.003207409956</v>
      </c>
      <c r="AE692" s="8" t="n">
        <f aca="false">MIN(INT(ROUND(N692*1000000,0)/100000),9)</f>
        <v>0</v>
      </c>
      <c r="AF692" s="8" t="n">
        <f aca="false">MIN(INT(ROUND(P692*1000000,0)/100000),9)</f>
        <v>0</v>
      </c>
    </row>
    <row r="693" customFormat="false" ht="15" hidden="false" customHeight="false" outlineLevel="0" collapsed="false">
      <c r="A693" s="4" t="n">
        <v>689</v>
      </c>
      <c r="B693" s="4" t="n">
        <v>1527</v>
      </c>
      <c r="C693" s="4" t="n">
        <v>1</v>
      </c>
      <c r="D693" s="11" t="n">
        <v>46082</v>
      </c>
      <c r="E693" s="4" t="s">
        <v>202</v>
      </c>
      <c r="F693" s="4" t="s">
        <v>209</v>
      </c>
      <c r="G693" s="4" t="n">
        <v>2</v>
      </c>
      <c r="H693" s="4" t="n">
        <v>11</v>
      </c>
      <c r="I693" s="4" t="n">
        <v>0</v>
      </c>
      <c r="J693" s="4"/>
      <c r="K693" s="4" t="n">
        <v>0</v>
      </c>
      <c r="L693" s="12" t="n">
        <v>0.914152</v>
      </c>
      <c r="M693" s="12" t="n">
        <v>0.092063</v>
      </c>
      <c r="N693" s="12" t="n">
        <v>0.075672</v>
      </c>
      <c r="O693" s="12" t="n">
        <v>0.106183</v>
      </c>
      <c r="P693" s="12" t="n">
        <v>0.079237</v>
      </c>
      <c r="Q693" s="0" t="str">
        <f aca="false">IF(L693&gt;=Models!$G$5,1+COUNTIF($L$5:$L$1517,"&gt;"&amp;L693)+COUNTIFS($L$5:$L$1517,L693,$B$5:$B$1517,"&lt;"&amp;B693)+COUNTIFS($L$5:$L$1517,L693,$B$5:$B$1517,B693,$C$5:$C$1517,"&lt;"&amp;C693),"")</f>
        <v/>
      </c>
      <c r="R693" s="0" t="str">
        <f aca="false">IF(M693&gt;=Models!$G$6,1+COUNTIF($M$5:$M$1517,"&gt;"&amp;M693)+COUNTIFS($M$5:$M$1517,M693,$B$5:$B$1517,"&lt;"&amp;B693)+COUNTIFS($M$5:$M$1517,M693,$B$5:$B$1517,B693,$C$5:$C$1517,"&lt;"&amp;C693),"")</f>
        <v/>
      </c>
      <c r="S693" s="0" t="str">
        <f aca="false">IF(N693&gt;=Models!$G$7,1+COUNTIF($N$5:$N$1517,"&gt;"&amp;N693)+COUNTIFS($N$5:$N$1517,N693,$B$5:$B$1517,"&lt;"&amp;B693)+COUNTIFS($N$5:$N$1517,N693,$B$5:$B$1517,B693,$C$5:$C$1517,"&lt;"&amp;C693),"")</f>
        <v/>
      </c>
      <c r="T693" s="8" t="n">
        <f aca="false">IF(O693&gt;=Models!$G$8,1+COUNTIF($O$5:$O$1517,"&gt;"&amp;O693)+COUNTIFS($O$5:$O$1517,O693,$B$5:$B$1517,"&lt;"&amp;B693)+COUNTIFS($O$5:$O$1517,O693,$B$5:$B$1517,B693,$C$5:$C$1517,"&lt;"&amp;C693),"")</f>
        <v>1274</v>
      </c>
      <c r="U693" s="8" t="n">
        <f aca="false">IF($K693=1,COUNTIFS($L$5:$L$1517,"&gt;="&amp;L693,$K$5:$K$1517,1)/COUNTIF($L$5:$L$1517,"&gt;="&amp;L693),0)</f>
        <v>0</v>
      </c>
      <c r="V693" s="8" t="n">
        <f aca="false">IF($K693=1,COUNTIFS($M$5:$M$1517,"&gt;="&amp;M693,$K$5:$K$1517,1)/COUNTIF($M$5:$M$1517,"&gt;="&amp;M693),0)</f>
        <v>0</v>
      </c>
      <c r="W693" s="8" t="n">
        <f aca="false">IF($K693=1,COUNTIFS($N$5:$N$1517,"&gt;="&amp;N693,$K$5:$K$1517,1)/COUNTIF($N$5:$N$1517,"&gt;="&amp;N693),0)</f>
        <v>0</v>
      </c>
      <c r="X693" s="8" t="n">
        <f aca="false">IF($K693=1,COUNTIFS($O$5:$O$1517,"&gt;="&amp;O693,$K$5:$K$1517,1)/COUNTIF($O$5:$O$1517,"&gt;="&amp;O693),0)</f>
        <v>0</v>
      </c>
      <c r="Y693" s="8" t="n">
        <f aca="false">IF($K693=1,COUNTIFS($P$5:$P$1517,"&gt;="&amp;P693,$K$5:$K$1517,1)/COUNTIF($P$5:$P$1517,"&gt;="&amp;P693),0)</f>
        <v>0</v>
      </c>
      <c r="Z693" s="8" t="n">
        <f aca="false">(L693-$K693)^2</f>
        <v>0.835673879104</v>
      </c>
      <c r="AA693" s="8" t="n">
        <f aca="false">(M693-$K693)^2</f>
        <v>0.008475595969</v>
      </c>
      <c r="AB693" s="8" t="n">
        <f aca="false">(N693-$K693)^2</f>
        <v>0.005726251584</v>
      </c>
      <c r="AC693" s="8" t="n">
        <f aca="false">(O693-$K693)^2</f>
        <v>0.011274829489</v>
      </c>
      <c r="AD693" s="8" t="n">
        <f aca="false">(P693-$K693)^2</f>
        <v>0.006278502169</v>
      </c>
      <c r="AE693" s="8" t="n">
        <f aca="false">MIN(INT(ROUND(N693*1000000,0)/100000),9)</f>
        <v>0</v>
      </c>
      <c r="AF693" s="8" t="n">
        <f aca="false">MIN(INT(ROUND(P693*1000000,0)/100000),9)</f>
        <v>0</v>
      </c>
    </row>
    <row r="694" customFormat="false" ht="15" hidden="false" customHeight="false" outlineLevel="0" collapsed="false">
      <c r="A694" s="4" t="n">
        <v>690</v>
      </c>
      <c r="B694" s="4" t="n">
        <v>1529</v>
      </c>
      <c r="C694" s="4" t="n">
        <v>1</v>
      </c>
      <c r="D694" s="11" t="n">
        <v>46082</v>
      </c>
      <c r="E694" s="4" t="s">
        <v>202</v>
      </c>
      <c r="F694" s="4" t="s">
        <v>206</v>
      </c>
      <c r="G694" s="4" t="n">
        <v>16</v>
      </c>
      <c r="H694" s="4" t="n">
        <v>0</v>
      </c>
      <c r="I694" s="4" t="n">
        <v>0</v>
      </c>
      <c r="J694" s="4" t="n">
        <v>1419</v>
      </c>
      <c r="K694" s="4" t="n">
        <v>0</v>
      </c>
      <c r="L694" s="12" t="n">
        <v>0.895534</v>
      </c>
      <c r="M694" s="12" t="n">
        <v>0.092063</v>
      </c>
      <c r="N694" s="12" t="n">
        <v>0.03999</v>
      </c>
      <c r="O694" s="12" t="n">
        <v>0.106183</v>
      </c>
      <c r="P694" s="12" t="n">
        <v>0.040677</v>
      </c>
      <c r="Q694" s="0" t="str">
        <f aca="false">IF(L694&gt;=Models!$G$5,1+COUNTIF($L$5:$L$1517,"&gt;"&amp;L694)+COUNTIFS($L$5:$L$1517,L694,$B$5:$B$1517,"&lt;"&amp;B694)+COUNTIFS($L$5:$L$1517,L694,$B$5:$B$1517,B694,$C$5:$C$1517,"&lt;"&amp;C694),"")</f>
        <v/>
      </c>
      <c r="R694" s="0" t="str">
        <f aca="false">IF(M694&gt;=Models!$G$6,1+COUNTIF($M$5:$M$1517,"&gt;"&amp;M694)+COUNTIFS($M$5:$M$1517,M694,$B$5:$B$1517,"&lt;"&amp;B694)+COUNTIFS($M$5:$M$1517,M694,$B$5:$B$1517,B694,$C$5:$C$1517,"&lt;"&amp;C694),"")</f>
        <v/>
      </c>
      <c r="S694" s="0" t="str">
        <f aca="false">IF(N694&gt;=Models!$G$7,1+COUNTIF($N$5:$N$1517,"&gt;"&amp;N694)+COUNTIFS($N$5:$N$1517,N694,$B$5:$B$1517,"&lt;"&amp;B694)+COUNTIFS($N$5:$N$1517,N694,$B$5:$B$1517,B694,$C$5:$C$1517,"&lt;"&amp;C694),"")</f>
        <v/>
      </c>
      <c r="T694" s="8" t="n">
        <f aca="false">IF(O694&gt;=Models!$G$8,1+COUNTIF($O$5:$O$1517,"&gt;"&amp;O694)+COUNTIFS($O$5:$O$1517,O694,$B$5:$B$1517,"&lt;"&amp;B694)+COUNTIFS($O$5:$O$1517,O694,$B$5:$B$1517,B694,$C$5:$C$1517,"&lt;"&amp;C694),"")</f>
        <v>1278</v>
      </c>
      <c r="U694" s="8" t="n">
        <f aca="false">IF($K694=1,COUNTIFS($L$5:$L$1517,"&gt;="&amp;L694,$K$5:$K$1517,1)/COUNTIF($L$5:$L$1517,"&gt;="&amp;L694),0)</f>
        <v>0</v>
      </c>
      <c r="V694" s="8" t="n">
        <f aca="false">IF($K694=1,COUNTIFS($M$5:$M$1517,"&gt;="&amp;M694,$K$5:$K$1517,1)/COUNTIF($M$5:$M$1517,"&gt;="&amp;M694),0)</f>
        <v>0</v>
      </c>
      <c r="W694" s="8" t="n">
        <f aca="false">IF($K694=1,COUNTIFS($N$5:$N$1517,"&gt;="&amp;N694,$K$5:$K$1517,1)/COUNTIF($N$5:$N$1517,"&gt;="&amp;N694),0)</f>
        <v>0</v>
      </c>
      <c r="X694" s="8" t="n">
        <f aca="false">IF($K694=1,COUNTIFS($O$5:$O$1517,"&gt;="&amp;O694,$K$5:$K$1517,1)/COUNTIF($O$5:$O$1517,"&gt;="&amp;O694),0)</f>
        <v>0</v>
      </c>
      <c r="Y694" s="8" t="n">
        <f aca="false">IF($K694=1,COUNTIFS($P$5:$P$1517,"&gt;="&amp;P694,$K$5:$K$1517,1)/COUNTIF($P$5:$P$1517,"&gt;="&amp;P694),0)</f>
        <v>0</v>
      </c>
      <c r="Z694" s="8" t="n">
        <f aca="false">(L694-$K694)^2</f>
        <v>0.801981145156</v>
      </c>
      <c r="AA694" s="8" t="n">
        <f aca="false">(M694-$K694)^2</f>
        <v>0.008475595969</v>
      </c>
      <c r="AB694" s="8" t="n">
        <f aca="false">(N694-$K694)^2</f>
        <v>0.0015992001</v>
      </c>
      <c r="AC694" s="8" t="n">
        <f aca="false">(O694-$K694)^2</f>
        <v>0.011274829489</v>
      </c>
      <c r="AD694" s="8" t="n">
        <f aca="false">(P694-$K694)^2</f>
        <v>0.001654618329</v>
      </c>
      <c r="AE694" s="8" t="n">
        <f aca="false">MIN(INT(ROUND(N694*1000000,0)/100000),9)</f>
        <v>0</v>
      </c>
      <c r="AF694" s="8" t="n">
        <f aca="false">MIN(INT(ROUND(P694*1000000,0)/100000),9)</f>
        <v>0</v>
      </c>
    </row>
    <row r="695" customFormat="false" ht="15" hidden="false" customHeight="false" outlineLevel="0" collapsed="false">
      <c r="A695" s="4" t="n">
        <v>691</v>
      </c>
      <c r="B695" s="4" t="n">
        <v>1532</v>
      </c>
      <c r="C695" s="4" t="n">
        <v>1</v>
      </c>
      <c r="D695" s="11" t="n">
        <v>46082</v>
      </c>
      <c r="E695" s="4" t="s">
        <v>203</v>
      </c>
      <c r="F695" s="4" t="s">
        <v>206</v>
      </c>
      <c r="G695" s="4" t="n">
        <v>2</v>
      </c>
      <c r="H695" s="4" t="n">
        <v>3</v>
      </c>
      <c r="I695" s="4" t="n">
        <v>0</v>
      </c>
      <c r="J695" s="4" t="n">
        <v>291</v>
      </c>
      <c r="K695" s="4" t="n">
        <v>0</v>
      </c>
      <c r="L695" s="12" t="n">
        <v>0.669004</v>
      </c>
      <c r="M695" s="12" t="n">
        <v>0.092063</v>
      </c>
      <c r="N695" s="12" t="n">
        <v>0.138434</v>
      </c>
      <c r="O695" s="12" t="n">
        <v>0.106183</v>
      </c>
      <c r="P695" s="12" t="n">
        <v>0.148505</v>
      </c>
      <c r="Q695" s="0" t="str">
        <f aca="false">IF(L695&gt;=Models!$G$5,1+COUNTIF($L$5:$L$1517,"&gt;"&amp;L695)+COUNTIFS($L$5:$L$1517,L695,$B$5:$B$1517,"&lt;"&amp;B695)+COUNTIFS($L$5:$L$1517,L695,$B$5:$B$1517,B695,$C$5:$C$1517,"&lt;"&amp;C695),"")</f>
        <v/>
      </c>
      <c r="R695" s="0" t="str">
        <f aca="false">IF(M695&gt;=Models!$G$6,1+COUNTIF($M$5:$M$1517,"&gt;"&amp;M695)+COUNTIFS($M$5:$M$1517,M695,$B$5:$B$1517,"&lt;"&amp;B695)+COUNTIFS($M$5:$M$1517,M695,$B$5:$B$1517,B695,$C$5:$C$1517,"&lt;"&amp;C695),"")</f>
        <v/>
      </c>
      <c r="S695" s="0" t="str">
        <f aca="false">IF(N695&gt;=Models!$G$7,1+COUNTIF($N$5:$N$1517,"&gt;"&amp;N695)+COUNTIFS($N$5:$N$1517,N695,$B$5:$B$1517,"&lt;"&amp;B695)+COUNTIFS($N$5:$N$1517,N695,$B$5:$B$1517,B695,$C$5:$C$1517,"&lt;"&amp;C695),"")</f>
        <v/>
      </c>
      <c r="T695" s="8" t="n">
        <f aca="false">IF(O695&gt;=Models!$G$8,1+COUNTIF($O$5:$O$1517,"&gt;"&amp;O695)+COUNTIFS($O$5:$O$1517,O695,$B$5:$B$1517,"&lt;"&amp;B695)+COUNTIFS($O$5:$O$1517,O695,$B$5:$B$1517,B695,$C$5:$C$1517,"&lt;"&amp;C695),"")</f>
        <v>1283</v>
      </c>
      <c r="U695" s="8" t="n">
        <f aca="false">IF($K695=1,COUNTIFS($L$5:$L$1517,"&gt;="&amp;L695,$K$5:$K$1517,1)/COUNTIF($L$5:$L$1517,"&gt;="&amp;L695),0)</f>
        <v>0</v>
      </c>
      <c r="V695" s="8" t="n">
        <f aca="false">IF($K695=1,COUNTIFS($M$5:$M$1517,"&gt;="&amp;M695,$K$5:$K$1517,1)/COUNTIF($M$5:$M$1517,"&gt;="&amp;M695),0)</f>
        <v>0</v>
      </c>
      <c r="W695" s="8" t="n">
        <f aca="false">IF($K695=1,COUNTIFS($N$5:$N$1517,"&gt;="&amp;N695,$K$5:$K$1517,1)/COUNTIF($N$5:$N$1517,"&gt;="&amp;N695),0)</f>
        <v>0</v>
      </c>
      <c r="X695" s="8" t="n">
        <f aca="false">IF($K695=1,COUNTIFS($O$5:$O$1517,"&gt;="&amp;O695,$K$5:$K$1517,1)/COUNTIF($O$5:$O$1517,"&gt;="&amp;O695),0)</f>
        <v>0</v>
      </c>
      <c r="Y695" s="8" t="n">
        <f aca="false">IF($K695=1,COUNTIFS($P$5:$P$1517,"&gt;="&amp;P695,$K$5:$K$1517,1)/COUNTIF($P$5:$P$1517,"&gt;="&amp;P695),0)</f>
        <v>0</v>
      </c>
      <c r="Z695" s="8" t="n">
        <f aca="false">(L695-$K695)^2</f>
        <v>0.447566352016</v>
      </c>
      <c r="AA695" s="8" t="n">
        <f aca="false">(M695-$K695)^2</f>
        <v>0.008475595969</v>
      </c>
      <c r="AB695" s="8" t="n">
        <f aca="false">(N695-$K695)^2</f>
        <v>0.019163972356</v>
      </c>
      <c r="AC695" s="8" t="n">
        <f aca="false">(O695-$K695)^2</f>
        <v>0.011274829489</v>
      </c>
      <c r="AD695" s="8" t="n">
        <f aca="false">(P695-$K695)^2</f>
        <v>0.022053735025</v>
      </c>
      <c r="AE695" s="8" t="n">
        <f aca="false">MIN(INT(ROUND(N695*1000000,0)/100000),9)</f>
        <v>1</v>
      </c>
      <c r="AF695" s="8" t="n">
        <f aca="false">MIN(INT(ROUND(P695*1000000,0)/100000),9)</f>
        <v>1</v>
      </c>
    </row>
    <row r="696" customFormat="false" ht="15" hidden="false" customHeight="false" outlineLevel="0" collapsed="false">
      <c r="A696" s="4" t="n">
        <v>692</v>
      </c>
      <c r="B696" s="4" t="n">
        <v>1534</v>
      </c>
      <c r="C696" s="4" t="n">
        <v>1</v>
      </c>
      <c r="D696" s="11" t="n">
        <v>46082</v>
      </c>
      <c r="E696" s="4" t="s">
        <v>204</v>
      </c>
      <c r="F696" s="4" t="s">
        <v>206</v>
      </c>
      <c r="G696" s="4" t="n">
        <v>4</v>
      </c>
      <c r="H696" s="4" t="n">
        <v>7</v>
      </c>
      <c r="I696" s="4" t="n">
        <v>0</v>
      </c>
      <c r="J696" s="4" t="n">
        <v>75</v>
      </c>
      <c r="K696" s="4" t="n">
        <v>0</v>
      </c>
      <c r="L696" s="12" t="n">
        <v>0.699464</v>
      </c>
      <c r="M696" s="12" t="n">
        <v>0.092063</v>
      </c>
      <c r="N696" s="12" t="n">
        <v>0.123141</v>
      </c>
      <c r="O696" s="12" t="n">
        <v>0.106183</v>
      </c>
      <c r="P696" s="12" t="n">
        <v>0.131536</v>
      </c>
      <c r="Q696" s="0" t="str">
        <f aca="false">IF(L696&gt;=Models!$G$5,1+COUNTIF($L$5:$L$1517,"&gt;"&amp;L696)+COUNTIFS($L$5:$L$1517,L696,$B$5:$B$1517,"&lt;"&amp;B696)+COUNTIFS($L$5:$L$1517,L696,$B$5:$B$1517,B696,$C$5:$C$1517,"&lt;"&amp;C696),"")</f>
        <v/>
      </c>
      <c r="R696" s="0" t="str">
        <f aca="false">IF(M696&gt;=Models!$G$6,1+COUNTIF($M$5:$M$1517,"&gt;"&amp;M696)+COUNTIFS($M$5:$M$1517,M696,$B$5:$B$1517,"&lt;"&amp;B696)+COUNTIFS($M$5:$M$1517,M696,$B$5:$B$1517,B696,$C$5:$C$1517,"&lt;"&amp;C696),"")</f>
        <v/>
      </c>
      <c r="S696" s="0" t="str">
        <f aca="false">IF(N696&gt;=Models!$G$7,1+COUNTIF($N$5:$N$1517,"&gt;"&amp;N696)+COUNTIFS($N$5:$N$1517,N696,$B$5:$B$1517,"&lt;"&amp;B696)+COUNTIFS($N$5:$N$1517,N696,$B$5:$B$1517,B696,$C$5:$C$1517,"&lt;"&amp;C696),"")</f>
        <v/>
      </c>
      <c r="T696" s="8" t="n">
        <f aca="false">IF(O696&gt;=Models!$G$8,1+COUNTIF($O$5:$O$1517,"&gt;"&amp;O696)+COUNTIFS($O$5:$O$1517,O696,$B$5:$B$1517,"&lt;"&amp;B696)+COUNTIFS($O$5:$O$1517,O696,$B$5:$B$1517,B696,$C$5:$C$1517,"&lt;"&amp;C696),"")</f>
        <v>1287</v>
      </c>
      <c r="U696" s="8" t="n">
        <f aca="false">IF($K696=1,COUNTIFS($L$5:$L$1517,"&gt;="&amp;L696,$K$5:$K$1517,1)/COUNTIF($L$5:$L$1517,"&gt;="&amp;L696),0)</f>
        <v>0</v>
      </c>
      <c r="V696" s="8" t="n">
        <f aca="false">IF($K696=1,COUNTIFS($M$5:$M$1517,"&gt;="&amp;M696,$K$5:$K$1517,1)/COUNTIF($M$5:$M$1517,"&gt;="&amp;M696),0)</f>
        <v>0</v>
      </c>
      <c r="W696" s="8" t="n">
        <f aca="false">IF($K696=1,COUNTIFS($N$5:$N$1517,"&gt;="&amp;N696,$K$5:$K$1517,1)/COUNTIF($N$5:$N$1517,"&gt;="&amp;N696),0)</f>
        <v>0</v>
      </c>
      <c r="X696" s="8" t="n">
        <f aca="false">IF($K696=1,COUNTIFS($O$5:$O$1517,"&gt;="&amp;O696,$K$5:$K$1517,1)/COUNTIF($O$5:$O$1517,"&gt;="&amp;O696),0)</f>
        <v>0</v>
      </c>
      <c r="Y696" s="8" t="n">
        <f aca="false">IF($K696=1,COUNTIFS($P$5:$P$1517,"&gt;="&amp;P696,$K$5:$K$1517,1)/COUNTIF($P$5:$P$1517,"&gt;="&amp;P696),0)</f>
        <v>0</v>
      </c>
      <c r="Z696" s="8" t="n">
        <f aca="false">(L696-$K696)^2</f>
        <v>0.489249887296</v>
      </c>
      <c r="AA696" s="8" t="n">
        <f aca="false">(M696-$K696)^2</f>
        <v>0.008475595969</v>
      </c>
      <c r="AB696" s="8" t="n">
        <f aca="false">(N696-$K696)^2</f>
        <v>0.015163705881</v>
      </c>
      <c r="AC696" s="8" t="n">
        <f aca="false">(O696-$K696)^2</f>
        <v>0.011274829489</v>
      </c>
      <c r="AD696" s="8" t="n">
        <f aca="false">(P696-$K696)^2</f>
        <v>0.017301719296</v>
      </c>
      <c r="AE696" s="8" t="n">
        <f aca="false">MIN(INT(ROUND(N696*1000000,0)/100000),9)</f>
        <v>1</v>
      </c>
      <c r="AF696" s="8" t="n">
        <f aca="false">MIN(INT(ROUND(P696*1000000,0)/100000),9)</f>
        <v>1</v>
      </c>
    </row>
    <row r="697" customFormat="false" ht="15" hidden="false" customHeight="false" outlineLevel="0" collapsed="false">
      <c r="A697" s="4" t="n">
        <v>693</v>
      </c>
      <c r="B697" s="4" t="n">
        <v>1538</v>
      </c>
      <c r="C697" s="4" t="n">
        <v>1</v>
      </c>
      <c r="D697" s="11" t="n">
        <v>46082</v>
      </c>
      <c r="E697" s="4" t="s">
        <v>201</v>
      </c>
      <c r="F697" s="4" t="s">
        <v>208</v>
      </c>
      <c r="G697" s="4" t="n">
        <v>15</v>
      </c>
      <c r="H697" s="4" t="n">
        <v>2</v>
      </c>
      <c r="I697" s="4" t="n">
        <v>0</v>
      </c>
      <c r="J697" s="4"/>
      <c r="K697" s="4" t="n">
        <v>0</v>
      </c>
      <c r="L697" s="12" t="n">
        <v>0.66247</v>
      </c>
      <c r="M697" s="12" t="n">
        <v>0.092063</v>
      </c>
      <c r="N697" s="12" t="n">
        <v>0.023061</v>
      </c>
      <c r="O697" s="12" t="n">
        <v>0.106183</v>
      </c>
      <c r="P697" s="12" t="n">
        <v>0.022853</v>
      </c>
      <c r="Q697" s="0" t="str">
        <f aca="false">IF(L697&gt;=Models!$G$5,1+COUNTIF($L$5:$L$1517,"&gt;"&amp;L697)+COUNTIFS($L$5:$L$1517,L697,$B$5:$B$1517,"&lt;"&amp;B697)+COUNTIFS($L$5:$L$1517,L697,$B$5:$B$1517,B697,$C$5:$C$1517,"&lt;"&amp;C697),"")</f>
        <v/>
      </c>
      <c r="R697" s="0" t="str">
        <f aca="false">IF(M697&gt;=Models!$G$6,1+COUNTIF($M$5:$M$1517,"&gt;"&amp;M697)+COUNTIFS($M$5:$M$1517,M697,$B$5:$B$1517,"&lt;"&amp;B697)+COUNTIFS($M$5:$M$1517,M697,$B$5:$B$1517,B697,$C$5:$C$1517,"&lt;"&amp;C697),"")</f>
        <v/>
      </c>
      <c r="S697" s="0" t="str">
        <f aca="false">IF(N697&gt;=Models!$G$7,1+COUNTIF($N$5:$N$1517,"&gt;"&amp;N697)+COUNTIFS($N$5:$N$1517,N697,$B$5:$B$1517,"&lt;"&amp;B697)+COUNTIFS($N$5:$N$1517,N697,$B$5:$B$1517,B697,$C$5:$C$1517,"&lt;"&amp;C697),"")</f>
        <v/>
      </c>
      <c r="T697" s="8" t="n">
        <f aca="false">IF(O697&gt;=Models!$G$8,1+COUNTIF($O$5:$O$1517,"&gt;"&amp;O697)+COUNTIFS($O$5:$O$1517,O697,$B$5:$B$1517,"&lt;"&amp;B697)+COUNTIFS($O$5:$O$1517,O697,$B$5:$B$1517,B697,$C$5:$C$1517,"&lt;"&amp;C697),"")</f>
        <v>1291</v>
      </c>
      <c r="U697" s="8" t="n">
        <f aca="false">IF($K697=1,COUNTIFS($L$5:$L$1517,"&gt;="&amp;L697,$K$5:$K$1517,1)/COUNTIF($L$5:$L$1517,"&gt;="&amp;L697),0)</f>
        <v>0</v>
      </c>
      <c r="V697" s="8" t="n">
        <f aca="false">IF($K697=1,COUNTIFS($M$5:$M$1517,"&gt;="&amp;M697,$K$5:$K$1517,1)/COUNTIF($M$5:$M$1517,"&gt;="&amp;M697),0)</f>
        <v>0</v>
      </c>
      <c r="W697" s="8" t="n">
        <f aca="false">IF($K697=1,COUNTIFS($N$5:$N$1517,"&gt;="&amp;N697,$K$5:$K$1517,1)/COUNTIF($N$5:$N$1517,"&gt;="&amp;N697),0)</f>
        <v>0</v>
      </c>
      <c r="X697" s="8" t="n">
        <f aca="false">IF($K697=1,COUNTIFS($O$5:$O$1517,"&gt;="&amp;O697,$K$5:$K$1517,1)/COUNTIF($O$5:$O$1517,"&gt;="&amp;O697),0)</f>
        <v>0</v>
      </c>
      <c r="Y697" s="8" t="n">
        <f aca="false">IF($K697=1,COUNTIFS($P$5:$P$1517,"&gt;="&amp;P697,$K$5:$K$1517,1)/COUNTIF($P$5:$P$1517,"&gt;="&amp;P697),0)</f>
        <v>0</v>
      </c>
      <c r="Z697" s="8" t="n">
        <f aca="false">(L697-$K697)^2</f>
        <v>0.4388665009</v>
      </c>
      <c r="AA697" s="8" t="n">
        <f aca="false">(M697-$K697)^2</f>
        <v>0.008475595969</v>
      </c>
      <c r="AB697" s="8" t="n">
        <f aca="false">(N697-$K697)^2</f>
        <v>0.000531809721</v>
      </c>
      <c r="AC697" s="8" t="n">
        <f aca="false">(O697-$K697)^2</f>
        <v>0.011274829489</v>
      </c>
      <c r="AD697" s="8" t="n">
        <f aca="false">(P697-$K697)^2</f>
        <v>0.000522259609</v>
      </c>
      <c r="AE697" s="8" t="n">
        <f aca="false">MIN(INT(ROUND(N697*1000000,0)/100000),9)</f>
        <v>0</v>
      </c>
      <c r="AF697" s="8" t="n">
        <f aca="false">MIN(INT(ROUND(P697*1000000,0)/100000),9)</f>
        <v>0</v>
      </c>
    </row>
    <row r="698" customFormat="false" ht="15" hidden="false" customHeight="false" outlineLevel="0" collapsed="false">
      <c r="A698" s="4" t="n">
        <v>694</v>
      </c>
      <c r="B698" s="4" t="n">
        <v>1539</v>
      </c>
      <c r="C698" s="4" t="n">
        <v>1</v>
      </c>
      <c r="D698" s="11" t="n">
        <v>46082</v>
      </c>
      <c r="E698" s="4" t="s">
        <v>204</v>
      </c>
      <c r="F698" s="4" t="s">
        <v>209</v>
      </c>
      <c r="G698" s="4" t="n">
        <v>3</v>
      </c>
      <c r="H698" s="4" t="n">
        <v>11</v>
      </c>
      <c r="I698" s="4" t="n">
        <v>0</v>
      </c>
      <c r="J698" s="4" t="n">
        <v>93</v>
      </c>
      <c r="K698" s="4" t="n">
        <v>0</v>
      </c>
      <c r="L698" s="12" t="n">
        <v>0.962436</v>
      </c>
      <c r="M698" s="12" t="n">
        <v>0.092063</v>
      </c>
      <c r="N698" s="12" t="n">
        <v>0.136898</v>
      </c>
      <c r="O698" s="12" t="n">
        <v>0.106183</v>
      </c>
      <c r="P698" s="12" t="n">
        <v>0.146799</v>
      </c>
      <c r="Q698" s="0" t="str">
        <f aca="false">IF(L698&gt;=Models!$G$5,1+COUNTIF($L$5:$L$1517,"&gt;"&amp;L698)+COUNTIFS($L$5:$L$1517,L698,$B$5:$B$1517,"&lt;"&amp;B698)+COUNTIFS($L$5:$L$1517,L698,$B$5:$B$1517,B698,$C$5:$C$1517,"&lt;"&amp;C698),"")</f>
        <v/>
      </c>
      <c r="R698" s="0" t="str">
        <f aca="false">IF(M698&gt;=Models!$G$6,1+COUNTIF($M$5:$M$1517,"&gt;"&amp;M698)+COUNTIFS($M$5:$M$1517,M698,$B$5:$B$1517,"&lt;"&amp;B698)+COUNTIFS($M$5:$M$1517,M698,$B$5:$B$1517,B698,$C$5:$C$1517,"&lt;"&amp;C698),"")</f>
        <v/>
      </c>
      <c r="S698" s="0" t="str">
        <f aca="false">IF(N698&gt;=Models!$G$7,1+COUNTIF($N$5:$N$1517,"&gt;"&amp;N698)+COUNTIFS($N$5:$N$1517,N698,$B$5:$B$1517,"&lt;"&amp;B698)+COUNTIFS($N$5:$N$1517,N698,$B$5:$B$1517,B698,$C$5:$C$1517,"&lt;"&amp;C698),"")</f>
        <v/>
      </c>
      <c r="T698" s="8" t="n">
        <f aca="false">IF(O698&gt;=Models!$G$8,1+COUNTIF($O$5:$O$1517,"&gt;"&amp;O698)+COUNTIFS($O$5:$O$1517,O698,$B$5:$B$1517,"&lt;"&amp;B698)+COUNTIFS($O$5:$O$1517,O698,$B$5:$B$1517,B698,$C$5:$C$1517,"&lt;"&amp;C698),"")</f>
        <v>1295</v>
      </c>
      <c r="U698" s="8" t="n">
        <f aca="false">IF($K698=1,COUNTIFS($L$5:$L$1517,"&gt;="&amp;L698,$K$5:$K$1517,1)/COUNTIF($L$5:$L$1517,"&gt;="&amp;L698),0)</f>
        <v>0</v>
      </c>
      <c r="V698" s="8" t="n">
        <f aca="false">IF($K698=1,COUNTIFS($M$5:$M$1517,"&gt;="&amp;M698,$K$5:$K$1517,1)/COUNTIF($M$5:$M$1517,"&gt;="&amp;M698),0)</f>
        <v>0</v>
      </c>
      <c r="W698" s="8" t="n">
        <f aca="false">IF($K698=1,COUNTIFS($N$5:$N$1517,"&gt;="&amp;N698,$K$5:$K$1517,1)/COUNTIF($N$5:$N$1517,"&gt;="&amp;N698),0)</f>
        <v>0</v>
      </c>
      <c r="X698" s="8" t="n">
        <f aca="false">IF($K698=1,COUNTIFS($O$5:$O$1517,"&gt;="&amp;O698,$K$5:$K$1517,1)/COUNTIF($O$5:$O$1517,"&gt;="&amp;O698),0)</f>
        <v>0</v>
      </c>
      <c r="Y698" s="8" t="n">
        <f aca="false">IF($K698=1,COUNTIFS($P$5:$P$1517,"&gt;="&amp;P698,$K$5:$K$1517,1)/COUNTIF($P$5:$P$1517,"&gt;="&amp;P698),0)</f>
        <v>0</v>
      </c>
      <c r="Z698" s="8" t="n">
        <f aca="false">(L698-$K698)^2</f>
        <v>0.926283054096</v>
      </c>
      <c r="AA698" s="8" t="n">
        <f aca="false">(M698-$K698)^2</f>
        <v>0.008475595969</v>
      </c>
      <c r="AB698" s="8" t="n">
        <f aca="false">(N698-$K698)^2</f>
        <v>0.018741062404</v>
      </c>
      <c r="AC698" s="8" t="n">
        <f aca="false">(O698-$K698)^2</f>
        <v>0.011274829489</v>
      </c>
      <c r="AD698" s="8" t="n">
        <f aca="false">(P698-$K698)^2</f>
        <v>0.021549946401</v>
      </c>
      <c r="AE698" s="8" t="n">
        <f aca="false">MIN(INT(ROUND(N698*1000000,0)/100000),9)</f>
        <v>1</v>
      </c>
      <c r="AF698" s="8" t="n">
        <f aca="false">MIN(INT(ROUND(P698*1000000,0)/100000),9)</f>
        <v>1</v>
      </c>
    </row>
    <row r="699" customFormat="false" ht="15" hidden="false" customHeight="false" outlineLevel="0" collapsed="false">
      <c r="A699" s="4" t="n">
        <v>695</v>
      </c>
      <c r="B699" s="4" t="n">
        <v>1540</v>
      </c>
      <c r="C699" s="4" t="n">
        <v>1</v>
      </c>
      <c r="D699" s="11" t="n">
        <v>46082</v>
      </c>
      <c r="E699" s="4" t="s">
        <v>203</v>
      </c>
      <c r="F699" s="4" t="s">
        <v>206</v>
      </c>
      <c r="G699" s="4" t="n">
        <v>2</v>
      </c>
      <c r="H699" s="4" t="n">
        <v>11</v>
      </c>
      <c r="I699" s="4" t="n">
        <v>0</v>
      </c>
      <c r="J699" s="4"/>
      <c r="K699" s="4" t="n">
        <v>0</v>
      </c>
      <c r="L699" s="12" t="n">
        <v>0.140213</v>
      </c>
      <c r="M699" s="12" t="n">
        <v>0.092063</v>
      </c>
      <c r="N699" s="12" t="n">
        <v>0.075672</v>
      </c>
      <c r="O699" s="12" t="n">
        <v>0.106183</v>
      </c>
      <c r="P699" s="12" t="n">
        <v>0.079237</v>
      </c>
      <c r="Q699" s="0" t="str">
        <f aca="false">IF(L699&gt;=Models!$G$5,1+COUNTIF($L$5:$L$1517,"&gt;"&amp;L699)+COUNTIFS($L$5:$L$1517,L699,$B$5:$B$1517,"&lt;"&amp;B699)+COUNTIFS($L$5:$L$1517,L699,$B$5:$B$1517,B699,$C$5:$C$1517,"&lt;"&amp;C699),"")</f>
        <v/>
      </c>
      <c r="R699" s="0" t="str">
        <f aca="false">IF(M699&gt;=Models!$G$6,1+COUNTIF($M$5:$M$1517,"&gt;"&amp;M699)+COUNTIFS($M$5:$M$1517,M699,$B$5:$B$1517,"&lt;"&amp;B699)+COUNTIFS($M$5:$M$1517,M699,$B$5:$B$1517,B699,$C$5:$C$1517,"&lt;"&amp;C699),"")</f>
        <v/>
      </c>
      <c r="S699" s="0" t="str">
        <f aca="false">IF(N699&gt;=Models!$G$7,1+COUNTIF($N$5:$N$1517,"&gt;"&amp;N699)+COUNTIFS($N$5:$N$1517,N699,$B$5:$B$1517,"&lt;"&amp;B699)+COUNTIFS($N$5:$N$1517,N699,$B$5:$B$1517,B699,$C$5:$C$1517,"&lt;"&amp;C699),"")</f>
        <v/>
      </c>
      <c r="T699" s="8" t="n">
        <f aca="false">IF(O699&gt;=Models!$G$8,1+COUNTIF($O$5:$O$1517,"&gt;"&amp;O699)+COUNTIFS($O$5:$O$1517,O699,$B$5:$B$1517,"&lt;"&amp;B699)+COUNTIFS($O$5:$O$1517,O699,$B$5:$B$1517,B699,$C$5:$C$1517,"&lt;"&amp;C699),"")</f>
        <v>1299</v>
      </c>
      <c r="U699" s="8" t="n">
        <f aca="false">IF($K699=1,COUNTIFS($L$5:$L$1517,"&gt;="&amp;L699,$K$5:$K$1517,1)/COUNTIF($L$5:$L$1517,"&gt;="&amp;L699),0)</f>
        <v>0</v>
      </c>
      <c r="V699" s="8" t="n">
        <f aca="false">IF($K699=1,COUNTIFS($M$5:$M$1517,"&gt;="&amp;M699,$K$5:$K$1517,1)/COUNTIF($M$5:$M$1517,"&gt;="&amp;M699),0)</f>
        <v>0</v>
      </c>
      <c r="W699" s="8" t="n">
        <f aca="false">IF($K699=1,COUNTIFS($N$5:$N$1517,"&gt;="&amp;N699,$K$5:$K$1517,1)/COUNTIF($N$5:$N$1517,"&gt;="&amp;N699),0)</f>
        <v>0</v>
      </c>
      <c r="X699" s="8" t="n">
        <f aca="false">IF($K699=1,COUNTIFS($O$5:$O$1517,"&gt;="&amp;O699,$K$5:$K$1517,1)/COUNTIF($O$5:$O$1517,"&gt;="&amp;O699),0)</f>
        <v>0</v>
      </c>
      <c r="Y699" s="8" t="n">
        <f aca="false">IF($K699=1,COUNTIFS($P$5:$P$1517,"&gt;="&amp;P699,$K$5:$K$1517,1)/COUNTIF($P$5:$P$1517,"&gt;="&amp;P699),0)</f>
        <v>0</v>
      </c>
      <c r="Z699" s="8" t="n">
        <f aca="false">(L699-$K699)^2</f>
        <v>0.019659685369</v>
      </c>
      <c r="AA699" s="8" t="n">
        <f aca="false">(M699-$K699)^2</f>
        <v>0.008475595969</v>
      </c>
      <c r="AB699" s="8" t="n">
        <f aca="false">(N699-$K699)^2</f>
        <v>0.005726251584</v>
      </c>
      <c r="AC699" s="8" t="n">
        <f aca="false">(O699-$K699)^2</f>
        <v>0.011274829489</v>
      </c>
      <c r="AD699" s="8" t="n">
        <f aca="false">(P699-$K699)^2</f>
        <v>0.006278502169</v>
      </c>
      <c r="AE699" s="8" t="n">
        <f aca="false">MIN(INT(ROUND(N699*1000000,0)/100000),9)</f>
        <v>0</v>
      </c>
      <c r="AF699" s="8" t="n">
        <f aca="false">MIN(INT(ROUND(P699*1000000,0)/100000),9)</f>
        <v>0</v>
      </c>
    </row>
    <row r="700" customFormat="false" ht="15" hidden="false" customHeight="false" outlineLevel="0" collapsed="false">
      <c r="A700" s="4" t="n">
        <v>696</v>
      </c>
      <c r="B700" s="4" t="n">
        <v>1544</v>
      </c>
      <c r="C700" s="4" t="n">
        <v>1</v>
      </c>
      <c r="D700" s="11" t="n">
        <v>46082</v>
      </c>
      <c r="E700" s="4" t="s">
        <v>203</v>
      </c>
      <c r="F700" s="4" t="s">
        <v>206</v>
      </c>
      <c r="G700" s="4" t="n">
        <v>4</v>
      </c>
      <c r="H700" s="4" t="n">
        <v>5</v>
      </c>
      <c r="I700" s="4" t="n">
        <v>0</v>
      </c>
      <c r="J700" s="4" t="n">
        <v>402</v>
      </c>
      <c r="K700" s="4" t="n">
        <v>0</v>
      </c>
      <c r="L700" s="12" t="n">
        <v>0.830222</v>
      </c>
      <c r="M700" s="12" t="n">
        <v>0.092063</v>
      </c>
      <c r="N700" s="12" t="n">
        <v>0.119371</v>
      </c>
      <c r="O700" s="12" t="n">
        <v>0.106183</v>
      </c>
      <c r="P700" s="12" t="n">
        <v>0.12736</v>
      </c>
      <c r="Q700" s="0" t="str">
        <f aca="false">IF(L700&gt;=Models!$G$5,1+COUNTIF($L$5:$L$1517,"&gt;"&amp;L700)+COUNTIFS($L$5:$L$1517,L700,$B$5:$B$1517,"&lt;"&amp;B700)+COUNTIFS($L$5:$L$1517,L700,$B$5:$B$1517,B700,$C$5:$C$1517,"&lt;"&amp;C700),"")</f>
        <v/>
      </c>
      <c r="R700" s="0" t="str">
        <f aca="false">IF(M700&gt;=Models!$G$6,1+COUNTIF($M$5:$M$1517,"&gt;"&amp;M700)+COUNTIFS($M$5:$M$1517,M700,$B$5:$B$1517,"&lt;"&amp;B700)+COUNTIFS($M$5:$M$1517,M700,$B$5:$B$1517,B700,$C$5:$C$1517,"&lt;"&amp;C700),"")</f>
        <v/>
      </c>
      <c r="S700" s="0" t="str">
        <f aca="false">IF(N700&gt;=Models!$G$7,1+COUNTIF($N$5:$N$1517,"&gt;"&amp;N700)+COUNTIFS($N$5:$N$1517,N700,$B$5:$B$1517,"&lt;"&amp;B700)+COUNTIFS($N$5:$N$1517,N700,$B$5:$B$1517,B700,$C$5:$C$1517,"&lt;"&amp;C700),"")</f>
        <v/>
      </c>
      <c r="T700" s="8" t="n">
        <f aca="false">IF(O700&gt;=Models!$G$8,1+COUNTIF($O$5:$O$1517,"&gt;"&amp;O700)+COUNTIFS($O$5:$O$1517,O700,$B$5:$B$1517,"&lt;"&amp;B700)+COUNTIFS($O$5:$O$1517,O700,$B$5:$B$1517,B700,$C$5:$C$1517,"&lt;"&amp;C700),"")</f>
        <v>1303</v>
      </c>
      <c r="U700" s="8" t="n">
        <f aca="false">IF($K700=1,COUNTIFS($L$5:$L$1517,"&gt;="&amp;L700,$K$5:$K$1517,1)/COUNTIF($L$5:$L$1517,"&gt;="&amp;L700),0)</f>
        <v>0</v>
      </c>
      <c r="V700" s="8" t="n">
        <f aca="false">IF($K700=1,COUNTIFS($M$5:$M$1517,"&gt;="&amp;M700,$K$5:$K$1517,1)/COUNTIF($M$5:$M$1517,"&gt;="&amp;M700),0)</f>
        <v>0</v>
      </c>
      <c r="W700" s="8" t="n">
        <f aca="false">IF($K700=1,COUNTIFS($N$5:$N$1517,"&gt;="&amp;N700,$K$5:$K$1517,1)/COUNTIF($N$5:$N$1517,"&gt;="&amp;N700),0)</f>
        <v>0</v>
      </c>
      <c r="X700" s="8" t="n">
        <f aca="false">IF($K700=1,COUNTIFS($O$5:$O$1517,"&gt;="&amp;O700,$K$5:$K$1517,1)/COUNTIF($O$5:$O$1517,"&gt;="&amp;O700),0)</f>
        <v>0</v>
      </c>
      <c r="Y700" s="8" t="n">
        <f aca="false">IF($K700=1,COUNTIFS($P$5:$P$1517,"&gt;="&amp;P700,$K$5:$K$1517,1)/COUNTIF($P$5:$P$1517,"&gt;="&amp;P700),0)</f>
        <v>0</v>
      </c>
      <c r="Z700" s="8" t="n">
        <f aca="false">(L700-$K700)^2</f>
        <v>0.689268569284</v>
      </c>
      <c r="AA700" s="8" t="n">
        <f aca="false">(M700-$K700)^2</f>
        <v>0.008475595969</v>
      </c>
      <c r="AB700" s="8" t="n">
        <f aca="false">(N700-$K700)^2</f>
        <v>0.014249435641</v>
      </c>
      <c r="AC700" s="8" t="n">
        <f aca="false">(O700-$K700)^2</f>
        <v>0.011274829489</v>
      </c>
      <c r="AD700" s="8" t="n">
        <f aca="false">(P700-$K700)^2</f>
        <v>0.0162205696</v>
      </c>
      <c r="AE700" s="8" t="n">
        <f aca="false">MIN(INT(ROUND(N700*1000000,0)/100000),9)</f>
        <v>1</v>
      </c>
      <c r="AF700" s="8" t="n">
        <f aca="false">MIN(INT(ROUND(P700*1000000,0)/100000),9)</f>
        <v>1</v>
      </c>
    </row>
    <row r="701" customFormat="false" ht="15" hidden="false" customHeight="false" outlineLevel="0" collapsed="false">
      <c r="A701" s="4" t="n">
        <v>697</v>
      </c>
      <c r="B701" s="4" t="n">
        <v>1545</v>
      </c>
      <c r="C701" s="4" t="n">
        <v>1</v>
      </c>
      <c r="D701" s="11" t="n">
        <v>46082</v>
      </c>
      <c r="E701" s="4" t="s">
        <v>202</v>
      </c>
      <c r="F701" s="4" t="s">
        <v>206</v>
      </c>
      <c r="G701" s="4" t="n">
        <v>16</v>
      </c>
      <c r="H701" s="4" t="n">
        <v>3</v>
      </c>
      <c r="I701" s="4" t="n">
        <v>0</v>
      </c>
      <c r="J701" s="4" t="n">
        <v>1443</v>
      </c>
      <c r="K701" s="4" t="n">
        <v>0</v>
      </c>
      <c r="L701" s="12" t="n">
        <v>0.888786</v>
      </c>
      <c r="M701" s="12" t="n">
        <v>0.092063</v>
      </c>
      <c r="N701" s="12" t="n">
        <v>0.040889</v>
      </c>
      <c r="O701" s="12" t="n">
        <v>0.106183</v>
      </c>
      <c r="P701" s="12" t="n">
        <v>0.041635</v>
      </c>
      <c r="Q701" s="0" t="str">
        <f aca="false">IF(L701&gt;=Models!$G$5,1+COUNTIF($L$5:$L$1517,"&gt;"&amp;L701)+COUNTIFS($L$5:$L$1517,L701,$B$5:$B$1517,"&lt;"&amp;B701)+COUNTIFS($L$5:$L$1517,L701,$B$5:$B$1517,B701,$C$5:$C$1517,"&lt;"&amp;C701),"")</f>
        <v/>
      </c>
      <c r="R701" s="0" t="str">
        <f aca="false">IF(M701&gt;=Models!$G$6,1+COUNTIF($M$5:$M$1517,"&gt;"&amp;M701)+COUNTIFS($M$5:$M$1517,M701,$B$5:$B$1517,"&lt;"&amp;B701)+COUNTIFS($M$5:$M$1517,M701,$B$5:$B$1517,B701,$C$5:$C$1517,"&lt;"&amp;C701),"")</f>
        <v/>
      </c>
      <c r="S701" s="0" t="str">
        <f aca="false">IF(N701&gt;=Models!$G$7,1+COUNTIF($N$5:$N$1517,"&gt;"&amp;N701)+COUNTIFS($N$5:$N$1517,N701,$B$5:$B$1517,"&lt;"&amp;B701)+COUNTIFS($N$5:$N$1517,N701,$B$5:$B$1517,B701,$C$5:$C$1517,"&lt;"&amp;C701),"")</f>
        <v/>
      </c>
      <c r="T701" s="8" t="n">
        <f aca="false">IF(O701&gt;=Models!$G$8,1+COUNTIF($O$5:$O$1517,"&gt;"&amp;O701)+COUNTIFS($O$5:$O$1517,O701,$B$5:$B$1517,"&lt;"&amp;B701)+COUNTIFS($O$5:$O$1517,O701,$B$5:$B$1517,B701,$C$5:$C$1517,"&lt;"&amp;C701),"")</f>
        <v>1307</v>
      </c>
      <c r="U701" s="8" t="n">
        <f aca="false">IF($K701=1,COUNTIFS($L$5:$L$1517,"&gt;="&amp;L701,$K$5:$K$1517,1)/COUNTIF($L$5:$L$1517,"&gt;="&amp;L701),0)</f>
        <v>0</v>
      </c>
      <c r="V701" s="8" t="n">
        <f aca="false">IF($K701=1,COUNTIFS($M$5:$M$1517,"&gt;="&amp;M701,$K$5:$K$1517,1)/COUNTIF($M$5:$M$1517,"&gt;="&amp;M701),0)</f>
        <v>0</v>
      </c>
      <c r="W701" s="8" t="n">
        <f aca="false">IF($K701=1,COUNTIFS($N$5:$N$1517,"&gt;="&amp;N701,$K$5:$K$1517,1)/COUNTIF($N$5:$N$1517,"&gt;="&amp;N701),0)</f>
        <v>0</v>
      </c>
      <c r="X701" s="8" t="n">
        <f aca="false">IF($K701=1,COUNTIFS($O$5:$O$1517,"&gt;="&amp;O701,$K$5:$K$1517,1)/COUNTIF($O$5:$O$1517,"&gt;="&amp;O701),0)</f>
        <v>0</v>
      </c>
      <c r="Y701" s="8" t="n">
        <f aca="false">IF($K701=1,COUNTIFS($P$5:$P$1517,"&gt;="&amp;P701,$K$5:$K$1517,1)/COUNTIF($P$5:$P$1517,"&gt;="&amp;P701),0)</f>
        <v>0</v>
      </c>
      <c r="Z701" s="8" t="n">
        <f aca="false">(L701-$K701)^2</f>
        <v>0.789940553796</v>
      </c>
      <c r="AA701" s="8" t="n">
        <f aca="false">(M701-$K701)^2</f>
        <v>0.008475595969</v>
      </c>
      <c r="AB701" s="8" t="n">
        <f aca="false">(N701-$K701)^2</f>
        <v>0.001671910321</v>
      </c>
      <c r="AC701" s="8" t="n">
        <f aca="false">(O701-$K701)^2</f>
        <v>0.011274829489</v>
      </c>
      <c r="AD701" s="8" t="n">
        <f aca="false">(P701-$K701)^2</f>
        <v>0.001733473225</v>
      </c>
      <c r="AE701" s="8" t="n">
        <f aca="false">MIN(INT(ROUND(N701*1000000,0)/100000),9)</f>
        <v>0</v>
      </c>
      <c r="AF701" s="8" t="n">
        <f aca="false">MIN(INT(ROUND(P701*1000000,0)/100000),9)</f>
        <v>0</v>
      </c>
    </row>
    <row r="702" customFormat="false" ht="15" hidden="false" customHeight="false" outlineLevel="0" collapsed="false">
      <c r="A702" s="4" t="n">
        <v>698</v>
      </c>
      <c r="B702" s="4" t="n">
        <v>1548</v>
      </c>
      <c r="C702" s="4" t="n">
        <v>1</v>
      </c>
      <c r="D702" s="11" t="n">
        <v>46082</v>
      </c>
      <c r="E702" s="4" t="s">
        <v>202</v>
      </c>
      <c r="F702" s="4" t="s">
        <v>208</v>
      </c>
      <c r="G702" s="4" t="n">
        <v>5</v>
      </c>
      <c r="H702" s="4" t="n">
        <v>6</v>
      </c>
      <c r="I702" s="4" t="n">
        <v>0</v>
      </c>
      <c r="J702" s="4" t="n">
        <v>1614</v>
      </c>
      <c r="K702" s="4" t="n">
        <v>0</v>
      </c>
      <c r="L702" s="12" t="n">
        <v>0.521564</v>
      </c>
      <c r="M702" s="12" t="n">
        <v>0.092063</v>
      </c>
      <c r="N702" s="12" t="n">
        <v>0.104277</v>
      </c>
      <c r="O702" s="12" t="n">
        <v>0.106183</v>
      </c>
      <c r="P702" s="12" t="n">
        <v>0.110669</v>
      </c>
      <c r="Q702" s="0" t="str">
        <f aca="false">IF(L702&gt;=Models!$G$5,1+COUNTIF($L$5:$L$1517,"&gt;"&amp;L702)+COUNTIFS($L$5:$L$1517,L702,$B$5:$B$1517,"&lt;"&amp;B702)+COUNTIFS($L$5:$L$1517,L702,$B$5:$B$1517,B702,$C$5:$C$1517,"&lt;"&amp;C702),"")</f>
        <v/>
      </c>
      <c r="R702" s="0" t="str">
        <f aca="false">IF(M702&gt;=Models!$G$6,1+COUNTIF($M$5:$M$1517,"&gt;"&amp;M702)+COUNTIFS($M$5:$M$1517,M702,$B$5:$B$1517,"&lt;"&amp;B702)+COUNTIFS($M$5:$M$1517,M702,$B$5:$B$1517,B702,$C$5:$C$1517,"&lt;"&amp;C702),"")</f>
        <v/>
      </c>
      <c r="S702" s="0" t="str">
        <f aca="false">IF(N702&gt;=Models!$G$7,1+COUNTIF($N$5:$N$1517,"&gt;"&amp;N702)+COUNTIFS($N$5:$N$1517,N702,$B$5:$B$1517,"&lt;"&amp;B702)+COUNTIFS($N$5:$N$1517,N702,$B$5:$B$1517,B702,$C$5:$C$1517,"&lt;"&amp;C702),"")</f>
        <v/>
      </c>
      <c r="T702" s="8" t="n">
        <f aca="false">IF(O702&gt;=Models!$G$8,1+COUNTIF($O$5:$O$1517,"&gt;"&amp;O702)+COUNTIFS($O$5:$O$1517,O702,$B$5:$B$1517,"&lt;"&amp;B702)+COUNTIFS($O$5:$O$1517,O702,$B$5:$B$1517,B702,$C$5:$C$1517,"&lt;"&amp;C702),"")</f>
        <v>1311</v>
      </c>
      <c r="U702" s="8" t="n">
        <f aca="false">IF($K702=1,COUNTIFS($L$5:$L$1517,"&gt;="&amp;L702,$K$5:$K$1517,1)/COUNTIF($L$5:$L$1517,"&gt;="&amp;L702),0)</f>
        <v>0</v>
      </c>
      <c r="V702" s="8" t="n">
        <f aca="false">IF($K702=1,COUNTIFS($M$5:$M$1517,"&gt;="&amp;M702,$K$5:$K$1517,1)/COUNTIF($M$5:$M$1517,"&gt;="&amp;M702),0)</f>
        <v>0</v>
      </c>
      <c r="W702" s="8" t="n">
        <f aca="false">IF($K702=1,COUNTIFS($N$5:$N$1517,"&gt;="&amp;N702,$K$5:$K$1517,1)/COUNTIF($N$5:$N$1517,"&gt;="&amp;N702),0)</f>
        <v>0</v>
      </c>
      <c r="X702" s="8" t="n">
        <f aca="false">IF($K702=1,COUNTIFS($O$5:$O$1517,"&gt;="&amp;O702,$K$5:$K$1517,1)/COUNTIF($O$5:$O$1517,"&gt;="&amp;O702),0)</f>
        <v>0</v>
      </c>
      <c r="Y702" s="8" t="n">
        <f aca="false">IF($K702=1,COUNTIFS($P$5:$P$1517,"&gt;="&amp;P702,$K$5:$K$1517,1)/COUNTIF($P$5:$P$1517,"&gt;="&amp;P702),0)</f>
        <v>0</v>
      </c>
      <c r="Z702" s="8" t="n">
        <f aca="false">(L702-$K702)^2</f>
        <v>0.272029006096</v>
      </c>
      <c r="AA702" s="8" t="n">
        <f aca="false">(M702-$K702)^2</f>
        <v>0.008475595969</v>
      </c>
      <c r="AB702" s="8" t="n">
        <f aca="false">(N702-$K702)^2</f>
        <v>0.010873692729</v>
      </c>
      <c r="AC702" s="8" t="n">
        <f aca="false">(O702-$K702)^2</f>
        <v>0.011274829489</v>
      </c>
      <c r="AD702" s="8" t="n">
        <f aca="false">(P702-$K702)^2</f>
        <v>0.012247627561</v>
      </c>
      <c r="AE702" s="8" t="n">
        <f aca="false">MIN(INT(ROUND(N702*1000000,0)/100000),9)</f>
        <v>1</v>
      </c>
      <c r="AF702" s="8" t="n">
        <f aca="false">MIN(INT(ROUND(P702*1000000,0)/100000),9)</f>
        <v>1</v>
      </c>
    </row>
    <row r="703" customFormat="false" ht="15" hidden="false" customHeight="false" outlineLevel="0" collapsed="false">
      <c r="A703" s="4" t="n">
        <v>699</v>
      </c>
      <c r="B703" s="4" t="n">
        <v>1552</v>
      </c>
      <c r="C703" s="4" t="n">
        <v>1</v>
      </c>
      <c r="D703" s="11" t="n">
        <v>46082</v>
      </c>
      <c r="E703" s="4" t="s">
        <v>202</v>
      </c>
      <c r="F703" s="4" t="s">
        <v>206</v>
      </c>
      <c r="G703" s="4" t="n">
        <v>3</v>
      </c>
      <c r="H703" s="4" t="n">
        <v>3</v>
      </c>
      <c r="I703" s="4" t="n">
        <v>0</v>
      </c>
      <c r="J703" s="4" t="n">
        <v>1197</v>
      </c>
      <c r="K703" s="4" t="n">
        <v>0</v>
      </c>
      <c r="L703" s="12" t="n">
        <v>0.420619</v>
      </c>
      <c r="M703" s="12" t="n">
        <v>0.092063</v>
      </c>
      <c r="N703" s="12" t="n">
        <v>0.122286</v>
      </c>
      <c r="O703" s="12" t="n">
        <v>0.106183</v>
      </c>
      <c r="P703" s="12" t="n">
        <v>0.130589</v>
      </c>
      <c r="Q703" s="0" t="str">
        <f aca="false">IF(L703&gt;=Models!$G$5,1+COUNTIF($L$5:$L$1517,"&gt;"&amp;L703)+COUNTIFS($L$5:$L$1517,L703,$B$5:$B$1517,"&lt;"&amp;B703)+COUNTIFS($L$5:$L$1517,L703,$B$5:$B$1517,B703,$C$5:$C$1517,"&lt;"&amp;C703),"")</f>
        <v/>
      </c>
      <c r="R703" s="0" t="str">
        <f aca="false">IF(M703&gt;=Models!$G$6,1+COUNTIF($M$5:$M$1517,"&gt;"&amp;M703)+COUNTIFS($M$5:$M$1517,M703,$B$5:$B$1517,"&lt;"&amp;B703)+COUNTIFS($M$5:$M$1517,M703,$B$5:$B$1517,B703,$C$5:$C$1517,"&lt;"&amp;C703),"")</f>
        <v/>
      </c>
      <c r="S703" s="0" t="str">
        <f aca="false">IF(N703&gt;=Models!$G$7,1+COUNTIF($N$5:$N$1517,"&gt;"&amp;N703)+COUNTIFS($N$5:$N$1517,N703,$B$5:$B$1517,"&lt;"&amp;B703)+COUNTIFS($N$5:$N$1517,N703,$B$5:$B$1517,B703,$C$5:$C$1517,"&lt;"&amp;C703),"")</f>
        <v/>
      </c>
      <c r="T703" s="8" t="n">
        <f aca="false">IF(O703&gt;=Models!$G$8,1+COUNTIF($O$5:$O$1517,"&gt;"&amp;O703)+COUNTIFS($O$5:$O$1517,O703,$B$5:$B$1517,"&lt;"&amp;B703)+COUNTIFS($O$5:$O$1517,O703,$B$5:$B$1517,B703,$C$5:$C$1517,"&lt;"&amp;C703),"")</f>
        <v>1315</v>
      </c>
      <c r="U703" s="8" t="n">
        <f aca="false">IF($K703=1,COUNTIFS($L$5:$L$1517,"&gt;="&amp;L703,$K$5:$K$1517,1)/COUNTIF($L$5:$L$1517,"&gt;="&amp;L703),0)</f>
        <v>0</v>
      </c>
      <c r="V703" s="8" t="n">
        <f aca="false">IF($K703=1,COUNTIFS($M$5:$M$1517,"&gt;="&amp;M703,$K$5:$K$1517,1)/COUNTIF($M$5:$M$1517,"&gt;="&amp;M703),0)</f>
        <v>0</v>
      </c>
      <c r="W703" s="8" t="n">
        <f aca="false">IF($K703=1,COUNTIFS($N$5:$N$1517,"&gt;="&amp;N703,$K$5:$K$1517,1)/COUNTIF($N$5:$N$1517,"&gt;="&amp;N703),0)</f>
        <v>0</v>
      </c>
      <c r="X703" s="8" t="n">
        <f aca="false">IF($K703=1,COUNTIFS($O$5:$O$1517,"&gt;="&amp;O703,$K$5:$K$1517,1)/COUNTIF($O$5:$O$1517,"&gt;="&amp;O703),0)</f>
        <v>0</v>
      </c>
      <c r="Y703" s="8" t="n">
        <f aca="false">IF($K703=1,COUNTIFS($P$5:$P$1517,"&gt;="&amp;P703,$K$5:$K$1517,1)/COUNTIF($P$5:$P$1517,"&gt;="&amp;P703),0)</f>
        <v>0</v>
      </c>
      <c r="Z703" s="8" t="n">
        <f aca="false">(L703-$K703)^2</f>
        <v>0.176920343161</v>
      </c>
      <c r="AA703" s="8" t="n">
        <f aca="false">(M703-$K703)^2</f>
        <v>0.008475595969</v>
      </c>
      <c r="AB703" s="8" t="n">
        <f aca="false">(N703-$K703)^2</f>
        <v>0.014953865796</v>
      </c>
      <c r="AC703" s="8" t="n">
        <f aca="false">(O703-$K703)^2</f>
        <v>0.011274829489</v>
      </c>
      <c r="AD703" s="8" t="n">
        <f aca="false">(P703-$K703)^2</f>
        <v>0.017053486921</v>
      </c>
      <c r="AE703" s="8" t="n">
        <f aca="false">MIN(INT(ROUND(N703*1000000,0)/100000),9)</f>
        <v>1</v>
      </c>
      <c r="AF703" s="8" t="n">
        <f aca="false">MIN(INT(ROUND(P703*1000000,0)/100000),9)</f>
        <v>1</v>
      </c>
    </row>
    <row r="704" customFormat="false" ht="15" hidden="false" customHeight="false" outlineLevel="0" collapsed="false">
      <c r="A704" s="4" t="n">
        <v>700</v>
      </c>
      <c r="B704" s="4" t="n">
        <v>1553</v>
      </c>
      <c r="C704" s="4" t="n">
        <v>1</v>
      </c>
      <c r="D704" s="11" t="n">
        <v>46082</v>
      </c>
      <c r="E704" s="4" t="s">
        <v>202</v>
      </c>
      <c r="F704" s="4" t="s">
        <v>206</v>
      </c>
      <c r="G704" s="4" t="n">
        <v>13</v>
      </c>
      <c r="H704" s="4" t="n">
        <v>10</v>
      </c>
      <c r="I704" s="4" t="n">
        <v>0</v>
      </c>
      <c r="J704" s="4"/>
      <c r="K704" s="4" t="n">
        <v>0</v>
      </c>
      <c r="L704" s="12" t="n">
        <v>0.04025</v>
      </c>
      <c r="M704" s="12" t="n">
        <v>0.092063</v>
      </c>
      <c r="N704" s="12" t="n">
        <v>0.02929</v>
      </c>
      <c r="O704" s="12" t="n">
        <v>0.106183</v>
      </c>
      <c r="P704" s="12" t="n">
        <v>0.029359</v>
      </c>
      <c r="Q704" s="0" t="str">
        <f aca="false">IF(L704&gt;=Models!$G$5,1+COUNTIF($L$5:$L$1517,"&gt;"&amp;L704)+COUNTIFS($L$5:$L$1517,L704,$B$5:$B$1517,"&lt;"&amp;B704)+COUNTIFS($L$5:$L$1517,L704,$B$5:$B$1517,B704,$C$5:$C$1517,"&lt;"&amp;C704),"")</f>
        <v/>
      </c>
      <c r="R704" s="0" t="str">
        <f aca="false">IF(M704&gt;=Models!$G$6,1+COUNTIF($M$5:$M$1517,"&gt;"&amp;M704)+COUNTIFS($M$5:$M$1517,M704,$B$5:$B$1517,"&lt;"&amp;B704)+COUNTIFS($M$5:$M$1517,M704,$B$5:$B$1517,B704,$C$5:$C$1517,"&lt;"&amp;C704),"")</f>
        <v/>
      </c>
      <c r="S704" s="0" t="str">
        <f aca="false">IF(N704&gt;=Models!$G$7,1+COUNTIF($N$5:$N$1517,"&gt;"&amp;N704)+COUNTIFS($N$5:$N$1517,N704,$B$5:$B$1517,"&lt;"&amp;B704)+COUNTIFS($N$5:$N$1517,N704,$B$5:$B$1517,B704,$C$5:$C$1517,"&lt;"&amp;C704),"")</f>
        <v/>
      </c>
      <c r="T704" s="8" t="n">
        <f aca="false">IF(O704&gt;=Models!$G$8,1+COUNTIF($O$5:$O$1517,"&gt;"&amp;O704)+COUNTIFS($O$5:$O$1517,O704,$B$5:$B$1517,"&lt;"&amp;B704)+COUNTIFS($O$5:$O$1517,O704,$B$5:$B$1517,B704,$C$5:$C$1517,"&lt;"&amp;C704),"")</f>
        <v>1319</v>
      </c>
      <c r="U704" s="8" t="n">
        <f aca="false">IF($K704=1,COUNTIFS($L$5:$L$1517,"&gt;="&amp;L704,$K$5:$K$1517,1)/COUNTIF($L$5:$L$1517,"&gt;="&amp;L704),0)</f>
        <v>0</v>
      </c>
      <c r="V704" s="8" t="n">
        <f aca="false">IF($K704=1,COUNTIFS($M$5:$M$1517,"&gt;="&amp;M704,$K$5:$K$1517,1)/COUNTIF($M$5:$M$1517,"&gt;="&amp;M704),0)</f>
        <v>0</v>
      </c>
      <c r="W704" s="8" t="n">
        <f aca="false">IF($K704=1,COUNTIFS($N$5:$N$1517,"&gt;="&amp;N704,$K$5:$K$1517,1)/COUNTIF($N$5:$N$1517,"&gt;="&amp;N704),0)</f>
        <v>0</v>
      </c>
      <c r="X704" s="8" t="n">
        <f aca="false">IF($K704=1,COUNTIFS($O$5:$O$1517,"&gt;="&amp;O704,$K$5:$K$1517,1)/COUNTIF($O$5:$O$1517,"&gt;="&amp;O704),0)</f>
        <v>0</v>
      </c>
      <c r="Y704" s="8" t="n">
        <f aca="false">IF($K704=1,COUNTIFS($P$5:$P$1517,"&gt;="&amp;P704,$K$5:$K$1517,1)/COUNTIF($P$5:$P$1517,"&gt;="&amp;P704),0)</f>
        <v>0</v>
      </c>
      <c r="Z704" s="8" t="n">
        <f aca="false">(L704-$K704)^2</f>
        <v>0.0016200625</v>
      </c>
      <c r="AA704" s="8" t="n">
        <f aca="false">(M704-$K704)^2</f>
        <v>0.008475595969</v>
      </c>
      <c r="AB704" s="8" t="n">
        <f aca="false">(N704-$K704)^2</f>
        <v>0.0008579041</v>
      </c>
      <c r="AC704" s="8" t="n">
        <f aca="false">(O704-$K704)^2</f>
        <v>0.011274829489</v>
      </c>
      <c r="AD704" s="8" t="n">
        <f aca="false">(P704-$K704)^2</f>
        <v>0.000861950881</v>
      </c>
      <c r="AE704" s="8" t="n">
        <f aca="false">MIN(INT(ROUND(N704*1000000,0)/100000),9)</f>
        <v>0</v>
      </c>
      <c r="AF704" s="8" t="n">
        <f aca="false">MIN(INT(ROUND(P704*1000000,0)/100000),9)</f>
        <v>0</v>
      </c>
    </row>
    <row r="705" customFormat="false" ht="15" hidden="false" customHeight="false" outlineLevel="0" collapsed="false">
      <c r="A705" s="4" t="n">
        <v>701</v>
      </c>
      <c r="B705" s="4" t="n">
        <v>1556</v>
      </c>
      <c r="C705" s="4" t="n">
        <v>1</v>
      </c>
      <c r="D705" s="11" t="n">
        <v>46082</v>
      </c>
      <c r="E705" s="4" t="s">
        <v>202</v>
      </c>
      <c r="F705" s="4" t="s">
        <v>209</v>
      </c>
      <c r="G705" s="4" t="n">
        <v>4</v>
      </c>
      <c r="H705" s="4" t="n">
        <v>1</v>
      </c>
      <c r="I705" s="4" t="n">
        <v>2</v>
      </c>
      <c r="J705" s="4" t="n">
        <v>1455</v>
      </c>
      <c r="K705" s="4" t="n">
        <v>0</v>
      </c>
      <c r="L705" s="12" t="n">
        <v>0.402585</v>
      </c>
      <c r="M705" s="12" t="n">
        <v>0.184211</v>
      </c>
      <c r="N705" s="12" t="n">
        <v>0.288999</v>
      </c>
      <c r="O705" s="12" t="n">
        <v>0.106183</v>
      </c>
      <c r="P705" s="12" t="n">
        <v>0.315589</v>
      </c>
      <c r="Q705" s="0" t="str">
        <f aca="false">IF(L705&gt;=Models!$G$5,1+COUNTIF($L$5:$L$1517,"&gt;"&amp;L705)+COUNTIFS($L$5:$L$1517,L705,$B$5:$B$1517,"&lt;"&amp;B705)+COUNTIFS($L$5:$L$1517,L705,$B$5:$B$1517,B705,$C$5:$C$1517,"&lt;"&amp;C705),"")</f>
        <v/>
      </c>
      <c r="R705" s="8" t="n">
        <f aca="false">IF(M705&gt;=Models!$G$6,1+COUNTIF($M$5:$M$1517,"&gt;"&amp;M705)+COUNTIFS($M$5:$M$1517,M705,$B$5:$B$1517,"&lt;"&amp;B705)+COUNTIFS($M$5:$M$1517,M705,$B$5:$B$1517,B705,$C$5:$C$1517,"&lt;"&amp;C705),"")</f>
        <v>164</v>
      </c>
      <c r="S705" s="8" t="n">
        <f aca="false">IF(N705&gt;=Models!$G$7,1+COUNTIF($N$5:$N$1517,"&gt;"&amp;N705)+COUNTIFS($N$5:$N$1517,N705,$B$5:$B$1517,"&lt;"&amp;B705)+COUNTIFS($N$5:$N$1517,N705,$B$5:$B$1517,B705,$C$5:$C$1517,"&lt;"&amp;C705),"")</f>
        <v>9</v>
      </c>
      <c r="T705" s="8" t="n">
        <f aca="false">IF(O705&gt;=Models!$G$8,1+COUNTIF($O$5:$O$1517,"&gt;"&amp;O705)+COUNTIFS($O$5:$O$1517,O705,$B$5:$B$1517,"&lt;"&amp;B705)+COUNTIFS($O$5:$O$1517,O705,$B$5:$B$1517,B705,$C$5:$C$1517,"&lt;"&amp;C705),"")</f>
        <v>1323</v>
      </c>
      <c r="U705" s="8" t="n">
        <f aca="false">IF($K705=1,COUNTIFS($L$5:$L$1517,"&gt;="&amp;L705,$K$5:$K$1517,1)/COUNTIF($L$5:$L$1517,"&gt;="&amp;L705),0)</f>
        <v>0</v>
      </c>
      <c r="V705" s="8" t="n">
        <f aca="false">IF($K705=1,COUNTIFS($M$5:$M$1517,"&gt;="&amp;M705,$K$5:$K$1517,1)/COUNTIF($M$5:$M$1517,"&gt;="&amp;M705),0)</f>
        <v>0</v>
      </c>
      <c r="W705" s="8" t="n">
        <f aca="false">IF($K705=1,COUNTIFS($N$5:$N$1517,"&gt;="&amp;N705,$K$5:$K$1517,1)/COUNTIF($N$5:$N$1517,"&gt;="&amp;N705),0)</f>
        <v>0</v>
      </c>
      <c r="X705" s="8" t="n">
        <f aca="false">IF($K705=1,COUNTIFS($O$5:$O$1517,"&gt;="&amp;O705,$K$5:$K$1517,1)/COUNTIF($O$5:$O$1517,"&gt;="&amp;O705),0)</f>
        <v>0</v>
      </c>
      <c r="Y705" s="8" t="n">
        <f aca="false">IF($K705=1,COUNTIFS($P$5:$P$1517,"&gt;="&amp;P705,$K$5:$K$1517,1)/COUNTIF($P$5:$P$1517,"&gt;="&amp;P705),0)</f>
        <v>0</v>
      </c>
      <c r="Z705" s="8" t="n">
        <f aca="false">(L705-$K705)^2</f>
        <v>0.162074682225</v>
      </c>
      <c r="AA705" s="8" t="n">
        <f aca="false">(M705-$K705)^2</f>
        <v>0.033933692521</v>
      </c>
      <c r="AB705" s="8" t="n">
        <f aca="false">(N705-$K705)^2</f>
        <v>0.083520422001</v>
      </c>
      <c r="AC705" s="8" t="n">
        <f aca="false">(O705-$K705)^2</f>
        <v>0.011274829489</v>
      </c>
      <c r="AD705" s="8" t="n">
        <f aca="false">(P705-$K705)^2</f>
        <v>0.099596416921</v>
      </c>
      <c r="AE705" s="8" t="n">
        <f aca="false">MIN(INT(ROUND(N705*1000000,0)/100000),9)</f>
        <v>2</v>
      </c>
      <c r="AF705" s="8" t="n">
        <f aca="false">MIN(INT(ROUND(P705*1000000,0)/100000),9)</f>
        <v>3</v>
      </c>
    </row>
    <row r="706" customFormat="false" ht="15" hidden="false" customHeight="false" outlineLevel="0" collapsed="false">
      <c r="A706" s="4" t="n">
        <v>702</v>
      </c>
      <c r="B706" s="4" t="n">
        <v>1558</v>
      </c>
      <c r="C706" s="4" t="n">
        <v>1</v>
      </c>
      <c r="D706" s="11" t="n">
        <v>46082</v>
      </c>
      <c r="E706" s="4" t="s">
        <v>203</v>
      </c>
      <c r="F706" s="4" t="s">
        <v>208</v>
      </c>
      <c r="G706" s="4" t="n">
        <v>1</v>
      </c>
      <c r="H706" s="4" t="n">
        <v>27</v>
      </c>
      <c r="I706" s="4" t="n">
        <v>0</v>
      </c>
      <c r="J706" s="4"/>
      <c r="K706" s="4" t="n">
        <v>0</v>
      </c>
      <c r="L706" s="12" t="n">
        <v>0.406521</v>
      </c>
      <c r="M706" s="12" t="n">
        <v>0.092063</v>
      </c>
      <c r="N706" s="12" t="n">
        <v>0.092663</v>
      </c>
      <c r="O706" s="12" t="n">
        <v>0.106183</v>
      </c>
      <c r="P706" s="12" t="n">
        <v>0.097869</v>
      </c>
      <c r="Q706" s="0" t="str">
        <f aca="false">IF(L706&gt;=Models!$G$5,1+COUNTIF($L$5:$L$1517,"&gt;"&amp;L706)+COUNTIFS($L$5:$L$1517,L706,$B$5:$B$1517,"&lt;"&amp;B706)+COUNTIFS($L$5:$L$1517,L706,$B$5:$B$1517,B706,$C$5:$C$1517,"&lt;"&amp;C706),"")</f>
        <v/>
      </c>
      <c r="R706" s="0" t="str">
        <f aca="false">IF(M706&gt;=Models!$G$6,1+COUNTIF($M$5:$M$1517,"&gt;"&amp;M706)+COUNTIFS($M$5:$M$1517,M706,$B$5:$B$1517,"&lt;"&amp;B706)+COUNTIFS($M$5:$M$1517,M706,$B$5:$B$1517,B706,$C$5:$C$1517,"&lt;"&amp;C706),"")</f>
        <v/>
      </c>
      <c r="S706" s="0" t="str">
        <f aca="false">IF(N706&gt;=Models!$G$7,1+COUNTIF($N$5:$N$1517,"&gt;"&amp;N706)+COUNTIFS($N$5:$N$1517,N706,$B$5:$B$1517,"&lt;"&amp;B706)+COUNTIFS($N$5:$N$1517,N706,$B$5:$B$1517,B706,$C$5:$C$1517,"&lt;"&amp;C706),"")</f>
        <v/>
      </c>
      <c r="T706" s="8" t="n">
        <f aca="false">IF(O706&gt;=Models!$G$8,1+COUNTIF($O$5:$O$1517,"&gt;"&amp;O706)+COUNTIFS($O$5:$O$1517,O706,$B$5:$B$1517,"&lt;"&amp;B706)+COUNTIFS($O$5:$O$1517,O706,$B$5:$B$1517,B706,$C$5:$C$1517,"&lt;"&amp;C706),"")</f>
        <v>1327</v>
      </c>
      <c r="U706" s="8" t="n">
        <f aca="false">IF($K706=1,COUNTIFS($L$5:$L$1517,"&gt;="&amp;L706,$K$5:$K$1517,1)/COUNTIF($L$5:$L$1517,"&gt;="&amp;L706),0)</f>
        <v>0</v>
      </c>
      <c r="V706" s="8" t="n">
        <f aca="false">IF($K706=1,COUNTIFS($M$5:$M$1517,"&gt;="&amp;M706,$K$5:$K$1517,1)/COUNTIF($M$5:$M$1517,"&gt;="&amp;M706),0)</f>
        <v>0</v>
      </c>
      <c r="W706" s="8" t="n">
        <f aca="false">IF($K706=1,COUNTIFS($N$5:$N$1517,"&gt;="&amp;N706,$K$5:$K$1517,1)/COUNTIF($N$5:$N$1517,"&gt;="&amp;N706),0)</f>
        <v>0</v>
      </c>
      <c r="X706" s="8" t="n">
        <f aca="false">IF($K706=1,COUNTIFS($O$5:$O$1517,"&gt;="&amp;O706,$K$5:$K$1517,1)/COUNTIF($O$5:$O$1517,"&gt;="&amp;O706),0)</f>
        <v>0</v>
      </c>
      <c r="Y706" s="8" t="n">
        <f aca="false">IF($K706=1,COUNTIFS($P$5:$P$1517,"&gt;="&amp;P706,$K$5:$K$1517,1)/COUNTIF($P$5:$P$1517,"&gt;="&amp;P706),0)</f>
        <v>0</v>
      </c>
      <c r="Z706" s="8" t="n">
        <f aca="false">(L706-$K706)^2</f>
        <v>0.165259323441</v>
      </c>
      <c r="AA706" s="8" t="n">
        <f aca="false">(M706-$K706)^2</f>
        <v>0.008475595969</v>
      </c>
      <c r="AB706" s="8" t="n">
        <f aca="false">(N706-$K706)^2</f>
        <v>0.008586431569</v>
      </c>
      <c r="AC706" s="8" t="n">
        <f aca="false">(O706-$K706)^2</f>
        <v>0.011274829489</v>
      </c>
      <c r="AD706" s="8" t="n">
        <f aca="false">(P706-$K706)^2</f>
        <v>0.009578341161</v>
      </c>
      <c r="AE706" s="8" t="n">
        <f aca="false">MIN(INT(ROUND(N706*1000000,0)/100000),9)</f>
        <v>0</v>
      </c>
      <c r="AF706" s="8" t="n">
        <f aca="false">MIN(INT(ROUND(P706*1000000,0)/100000),9)</f>
        <v>0</v>
      </c>
    </row>
    <row r="707" customFormat="false" ht="15" hidden="false" customHeight="false" outlineLevel="0" collapsed="false">
      <c r="A707" s="4" t="n">
        <v>703</v>
      </c>
      <c r="B707" s="4" t="n">
        <v>1563</v>
      </c>
      <c r="C707" s="4" t="n">
        <v>1</v>
      </c>
      <c r="D707" s="11" t="n">
        <v>46082</v>
      </c>
      <c r="E707" s="4" t="s">
        <v>204</v>
      </c>
      <c r="F707" s="4" t="s">
        <v>206</v>
      </c>
      <c r="G707" s="4" t="n">
        <v>0</v>
      </c>
      <c r="H707" s="4" t="n">
        <v>34</v>
      </c>
      <c r="I707" s="4" t="n">
        <v>0</v>
      </c>
      <c r="J707" s="4" t="n">
        <v>108</v>
      </c>
      <c r="K707" s="4" t="n">
        <v>1</v>
      </c>
      <c r="L707" s="12" t="n">
        <v>0.02631</v>
      </c>
      <c r="M707" s="12" t="n">
        <v>0.184211</v>
      </c>
      <c r="N707" s="12" t="n">
        <v>0.200414</v>
      </c>
      <c r="O707" s="12" t="n">
        <v>0.106183</v>
      </c>
      <c r="P707" s="12" t="n">
        <v>0.217452</v>
      </c>
      <c r="Q707" s="0" t="str">
        <f aca="false">IF(L707&gt;=Models!$G$5,1+COUNTIF($L$5:$L$1517,"&gt;"&amp;L707)+COUNTIFS($L$5:$L$1517,L707,$B$5:$B$1517,"&lt;"&amp;B707)+COUNTIFS($L$5:$L$1517,L707,$B$5:$B$1517,B707,$C$5:$C$1517,"&lt;"&amp;C707),"")</f>
        <v/>
      </c>
      <c r="R707" s="8" t="n">
        <f aca="false">IF(M707&gt;=Models!$G$6,1+COUNTIF($M$5:$M$1517,"&gt;"&amp;M707)+COUNTIFS($M$5:$M$1517,M707,$B$5:$B$1517,"&lt;"&amp;B707)+COUNTIFS($M$5:$M$1517,M707,$B$5:$B$1517,B707,$C$5:$C$1517,"&lt;"&amp;C707),"")</f>
        <v>166</v>
      </c>
      <c r="S707" s="0" t="str">
        <f aca="false">IF(N707&gt;=Models!$G$7,1+COUNTIF($N$5:$N$1517,"&gt;"&amp;N707)+COUNTIFS($N$5:$N$1517,N707,$B$5:$B$1517,"&lt;"&amp;B707)+COUNTIFS($N$5:$N$1517,N707,$B$5:$B$1517,B707,$C$5:$C$1517,"&lt;"&amp;C707),"")</f>
        <v/>
      </c>
      <c r="T707" s="8" t="n">
        <f aca="false">IF(O707&gt;=Models!$G$8,1+COUNTIF($O$5:$O$1517,"&gt;"&amp;O707)+COUNTIFS($O$5:$O$1517,O707,$B$5:$B$1517,"&lt;"&amp;B707)+COUNTIFS($O$5:$O$1517,O707,$B$5:$B$1517,B707,$C$5:$C$1517,"&lt;"&amp;C707),"")</f>
        <v>1331</v>
      </c>
      <c r="U707" s="8" t="n">
        <f aca="false">IF($K707=1,COUNTIFS($L$5:$L$1517,"&gt;="&amp;L707,$K$5:$K$1517,1)/COUNTIF($L$5:$L$1517,"&gt;="&amp;L707),0)</f>
        <v>0.125597269624573</v>
      </c>
      <c r="V707" s="8" t="n">
        <f aca="false">IF($K707=1,COUNTIFS($M$5:$M$1517,"&gt;="&amp;M707,$K$5:$K$1517,1)/COUNTIF($M$5:$M$1517,"&gt;="&amp;M707),0)</f>
        <v>0.186528497409326</v>
      </c>
      <c r="W707" s="8" t="n">
        <f aca="false">IF($K707=1,COUNTIFS($N$5:$N$1517,"&gt;="&amp;N707,$K$5:$K$1517,1)/COUNTIF($N$5:$N$1517,"&gt;="&amp;N707),0)</f>
        <v>0.280701754385965</v>
      </c>
      <c r="X707" s="8" t="n">
        <f aca="false">IF($K707=1,COUNTIFS($O$5:$O$1517,"&gt;="&amp;O707,$K$5:$K$1517,1)/COUNTIF($O$5:$O$1517,"&gt;="&amp;O707),0)</f>
        <v>0.12491738268341</v>
      </c>
      <c r="Y707" s="8" t="n">
        <f aca="false">IF($K707=1,COUNTIFS($P$5:$P$1517,"&gt;="&amp;P707,$K$5:$K$1517,1)/COUNTIF($P$5:$P$1517,"&gt;="&amp;P707),0)</f>
        <v>0.280701754385965</v>
      </c>
      <c r="Z707" s="8" t="n">
        <f aca="false">(L707-$K707)^2</f>
        <v>0.9480722161</v>
      </c>
      <c r="AA707" s="8" t="n">
        <f aca="false">(M707-$K707)^2</f>
        <v>0.665511692521</v>
      </c>
      <c r="AB707" s="8" t="n">
        <f aca="false">(N707-$K707)^2</f>
        <v>0.639337771396</v>
      </c>
      <c r="AC707" s="8" t="n">
        <f aca="false">(O707-$K707)^2</f>
        <v>0.798908829489</v>
      </c>
      <c r="AD707" s="8" t="n">
        <f aca="false">(P707-$K707)^2</f>
        <v>0.612381372304</v>
      </c>
      <c r="AE707" s="8" t="n">
        <f aca="false">MIN(INT(ROUND(N707*1000000,0)/100000),9)</f>
        <v>2</v>
      </c>
      <c r="AF707" s="8" t="n">
        <f aca="false">MIN(INT(ROUND(P707*1000000,0)/100000),9)</f>
        <v>2</v>
      </c>
    </row>
    <row r="708" customFormat="false" ht="15" hidden="false" customHeight="false" outlineLevel="0" collapsed="false">
      <c r="A708" s="4" t="n">
        <v>704</v>
      </c>
      <c r="B708" s="4" t="n">
        <v>1564</v>
      </c>
      <c r="C708" s="4" t="n">
        <v>1</v>
      </c>
      <c r="D708" s="11" t="n">
        <v>46082</v>
      </c>
      <c r="E708" s="4" t="s">
        <v>203</v>
      </c>
      <c r="F708" s="4" t="s">
        <v>206</v>
      </c>
      <c r="G708" s="4" t="n">
        <v>5</v>
      </c>
      <c r="H708" s="4" t="n">
        <v>0</v>
      </c>
      <c r="I708" s="4" t="n">
        <v>1</v>
      </c>
      <c r="J708" s="4"/>
      <c r="K708" s="4" t="n">
        <v>0</v>
      </c>
      <c r="L708" s="12" t="n">
        <v>0.206883</v>
      </c>
      <c r="M708" s="12" t="n">
        <v>0.184211</v>
      </c>
      <c r="N708" s="12" t="n">
        <v>0.093916</v>
      </c>
      <c r="O708" s="12" t="n">
        <v>0.106183</v>
      </c>
      <c r="P708" s="12" t="n">
        <v>0.099248</v>
      </c>
      <c r="Q708" s="0" t="str">
        <f aca="false">IF(L708&gt;=Models!$G$5,1+COUNTIF($L$5:$L$1517,"&gt;"&amp;L708)+COUNTIFS($L$5:$L$1517,L708,$B$5:$B$1517,"&lt;"&amp;B708)+COUNTIFS($L$5:$L$1517,L708,$B$5:$B$1517,B708,$C$5:$C$1517,"&lt;"&amp;C708),"")</f>
        <v/>
      </c>
      <c r="R708" s="8" t="n">
        <f aca="false">IF(M708&gt;=Models!$G$6,1+COUNTIF($M$5:$M$1517,"&gt;"&amp;M708)+COUNTIFS($M$5:$M$1517,M708,$B$5:$B$1517,"&lt;"&amp;B708)+COUNTIFS($M$5:$M$1517,M708,$B$5:$B$1517,B708,$C$5:$C$1517,"&lt;"&amp;C708),"")</f>
        <v>169</v>
      </c>
      <c r="S708" s="0" t="str">
        <f aca="false">IF(N708&gt;=Models!$G$7,1+COUNTIF($N$5:$N$1517,"&gt;"&amp;N708)+COUNTIFS($N$5:$N$1517,N708,$B$5:$B$1517,"&lt;"&amp;B708)+COUNTIFS($N$5:$N$1517,N708,$B$5:$B$1517,B708,$C$5:$C$1517,"&lt;"&amp;C708),"")</f>
        <v/>
      </c>
      <c r="T708" s="8" t="n">
        <f aca="false">IF(O708&gt;=Models!$G$8,1+COUNTIF($O$5:$O$1517,"&gt;"&amp;O708)+COUNTIFS($O$5:$O$1517,O708,$B$5:$B$1517,"&lt;"&amp;B708)+COUNTIFS($O$5:$O$1517,O708,$B$5:$B$1517,B708,$C$5:$C$1517,"&lt;"&amp;C708),"")</f>
        <v>1335</v>
      </c>
      <c r="U708" s="8" t="n">
        <f aca="false">IF($K708=1,COUNTIFS($L$5:$L$1517,"&gt;="&amp;L708,$K$5:$K$1517,1)/COUNTIF($L$5:$L$1517,"&gt;="&amp;L708),0)</f>
        <v>0</v>
      </c>
      <c r="V708" s="8" t="n">
        <f aca="false">IF($K708=1,COUNTIFS($M$5:$M$1517,"&gt;="&amp;M708,$K$5:$K$1517,1)/COUNTIF($M$5:$M$1517,"&gt;="&amp;M708),0)</f>
        <v>0</v>
      </c>
      <c r="W708" s="8" t="n">
        <f aca="false">IF($K708=1,COUNTIFS($N$5:$N$1517,"&gt;="&amp;N708,$K$5:$K$1517,1)/COUNTIF($N$5:$N$1517,"&gt;="&amp;N708),0)</f>
        <v>0</v>
      </c>
      <c r="X708" s="8" t="n">
        <f aca="false">IF($K708=1,COUNTIFS($O$5:$O$1517,"&gt;="&amp;O708,$K$5:$K$1517,1)/COUNTIF($O$5:$O$1517,"&gt;="&amp;O708),0)</f>
        <v>0</v>
      </c>
      <c r="Y708" s="8" t="n">
        <f aca="false">IF($K708=1,COUNTIFS($P$5:$P$1517,"&gt;="&amp;P708,$K$5:$K$1517,1)/COUNTIF($P$5:$P$1517,"&gt;="&amp;P708),0)</f>
        <v>0</v>
      </c>
      <c r="Z708" s="8" t="n">
        <f aca="false">(L708-$K708)^2</f>
        <v>0.042800575689</v>
      </c>
      <c r="AA708" s="8" t="n">
        <f aca="false">(M708-$K708)^2</f>
        <v>0.033933692521</v>
      </c>
      <c r="AB708" s="8" t="n">
        <f aca="false">(N708-$K708)^2</f>
        <v>0.008820215056</v>
      </c>
      <c r="AC708" s="8" t="n">
        <f aca="false">(O708-$K708)^2</f>
        <v>0.011274829489</v>
      </c>
      <c r="AD708" s="8" t="n">
        <f aca="false">(P708-$K708)^2</f>
        <v>0.009850165504</v>
      </c>
      <c r="AE708" s="8" t="n">
        <f aca="false">MIN(INT(ROUND(N708*1000000,0)/100000),9)</f>
        <v>0</v>
      </c>
      <c r="AF708" s="8" t="n">
        <f aca="false">MIN(INT(ROUND(P708*1000000,0)/100000),9)</f>
        <v>0</v>
      </c>
    </row>
    <row r="709" customFormat="false" ht="15" hidden="false" customHeight="false" outlineLevel="0" collapsed="false">
      <c r="A709" s="4" t="n">
        <v>705</v>
      </c>
      <c r="B709" s="4" t="n">
        <v>1567</v>
      </c>
      <c r="C709" s="4" t="n">
        <v>1</v>
      </c>
      <c r="D709" s="11" t="n">
        <v>46082</v>
      </c>
      <c r="E709" s="4" t="s">
        <v>202</v>
      </c>
      <c r="F709" s="4" t="s">
        <v>210</v>
      </c>
      <c r="G709" s="4" t="n">
        <v>6</v>
      </c>
      <c r="H709" s="4" t="n">
        <v>1</v>
      </c>
      <c r="I709" s="4" t="n">
        <v>0</v>
      </c>
      <c r="J709" s="4"/>
      <c r="K709" s="4" t="n">
        <v>0</v>
      </c>
      <c r="L709" s="12" t="n">
        <v>0.853999</v>
      </c>
      <c r="M709" s="12" t="n">
        <v>0.092063</v>
      </c>
      <c r="N709" s="12" t="n">
        <v>0.049993</v>
      </c>
      <c r="O709" s="12" t="n">
        <v>0.106183</v>
      </c>
      <c r="P709" s="12" t="n">
        <v>0.051383</v>
      </c>
      <c r="Q709" s="0" t="str">
        <f aca="false">IF(L709&gt;=Models!$G$5,1+COUNTIF($L$5:$L$1517,"&gt;"&amp;L709)+COUNTIFS($L$5:$L$1517,L709,$B$5:$B$1517,"&lt;"&amp;B709)+COUNTIFS($L$5:$L$1517,L709,$B$5:$B$1517,B709,$C$5:$C$1517,"&lt;"&amp;C709),"")</f>
        <v/>
      </c>
      <c r="R709" s="0" t="str">
        <f aca="false">IF(M709&gt;=Models!$G$6,1+COUNTIF($M$5:$M$1517,"&gt;"&amp;M709)+COUNTIFS($M$5:$M$1517,M709,$B$5:$B$1517,"&lt;"&amp;B709)+COUNTIFS($M$5:$M$1517,M709,$B$5:$B$1517,B709,$C$5:$C$1517,"&lt;"&amp;C709),"")</f>
        <v/>
      </c>
      <c r="S709" s="0" t="str">
        <f aca="false">IF(N709&gt;=Models!$G$7,1+COUNTIF($N$5:$N$1517,"&gt;"&amp;N709)+COUNTIFS($N$5:$N$1517,N709,$B$5:$B$1517,"&lt;"&amp;B709)+COUNTIFS($N$5:$N$1517,N709,$B$5:$B$1517,B709,$C$5:$C$1517,"&lt;"&amp;C709),"")</f>
        <v/>
      </c>
      <c r="T709" s="8" t="n">
        <f aca="false">IF(O709&gt;=Models!$G$8,1+COUNTIF($O$5:$O$1517,"&gt;"&amp;O709)+COUNTIFS($O$5:$O$1517,O709,$B$5:$B$1517,"&lt;"&amp;B709)+COUNTIFS($O$5:$O$1517,O709,$B$5:$B$1517,B709,$C$5:$C$1517,"&lt;"&amp;C709),"")</f>
        <v>1339</v>
      </c>
      <c r="U709" s="8" t="n">
        <f aca="false">IF($K709=1,COUNTIFS($L$5:$L$1517,"&gt;="&amp;L709,$K$5:$K$1517,1)/COUNTIF($L$5:$L$1517,"&gt;="&amp;L709),0)</f>
        <v>0</v>
      </c>
      <c r="V709" s="8" t="n">
        <f aca="false">IF($K709=1,COUNTIFS($M$5:$M$1517,"&gt;="&amp;M709,$K$5:$K$1517,1)/COUNTIF($M$5:$M$1517,"&gt;="&amp;M709),0)</f>
        <v>0</v>
      </c>
      <c r="W709" s="8" t="n">
        <f aca="false">IF($K709=1,COUNTIFS($N$5:$N$1517,"&gt;="&amp;N709,$K$5:$K$1517,1)/COUNTIF($N$5:$N$1517,"&gt;="&amp;N709),0)</f>
        <v>0</v>
      </c>
      <c r="X709" s="8" t="n">
        <f aca="false">IF($K709=1,COUNTIFS($O$5:$O$1517,"&gt;="&amp;O709,$K$5:$K$1517,1)/COUNTIF($O$5:$O$1517,"&gt;="&amp;O709),0)</f>
        <v>0</v>
      </c>
      <c r="Y709" s="8" t="n">
        <f aca="false">IF($K709=1,COUNTIFS($P$5:$P$1517,"&gt;="&amp;P709,$K$5:$K$1517,1)/COUNTIF($P$5:$P$1517,"&gt;="&amp;P709),0)</f>
        <v>0</v>
      </c>
      <c r="Z709" s="8" t="n">
        <f aca="false">(L709-$K709)^2</f>
        <v>0.729314292001</v>
      </c>
      <c r="AA709" s="8" t="n">
        <f aca="false">(M709-$K709)^2</f>
        <v>0.008475595969</v>
      </c>
      <c r="AB709" s="8" t="n">
        <f aca="false">(N709-$K709)^2</f>
        <v>0.002499300049</v>
      </c>
      <c r="AC709" s="8" t="n">
        <f aca="false">(O709-$K709)^2</f>
        <v>0.011274829489</v>
      </c>
      <c r="AD709" s="8" t="n">
        <f aca="false">(P709-$K709)^2</f>
        <v>0.002640212689</v>
      </c>
      <c r="AE709" s="8" t="n">
        <f aca="false">MIN(INT(ROUND(N709*1000000,0)/100000),9)</f>
        <v>0</v>
      </c>
      <c r="AF709" s="8" t="n">
        <f aca="false">MIN(INT(ROUND(P709*1000000,0)/100000),9)</f>
        <v>0</v>
      </c>
    </row>
    <row r="710" customFormat="false" ht="15" hidden="false" customHeight="false" outlineLevel="0" collapsed="false">
      <c r="A710" s="4" t="n">
        <v>706</v>
      </c>
      <c r="B710" s="4" t="n">
        <v>1568</v>
      </c>
      <c r="C710" s="4" t="n">
        <v>1</v>
      </c>
      <c r="D710" s="11" t="n">
        <v>46082</v>
      </c>
      <c r="E710" s="4" t="s">
        <v>204</v>
      </c>
      <c r="F710" s="4" t="s">
        <v>209</v>
      </c>
      <c r="G710" s="4" t="n">
        <v>2</v>
      </c>
      <c r="H710" s="4" t="n">
        <v>1</v>
      </c>
      <c r="I710" s="4" t="n">
        <v>0</v>
      </c>
      <c r="J710" s="4" t="n">
        <v>63</v>
      </c>
      <c r="K710" s="4" t="n">
        <v>0</v>
      </c>
      <c r="L710" s="12" t="n">
        <v>0.656625</v>
      </c>
      <c r="M710" s="12" t="n">
        <v>0.092063</v>
      </c>
      <c r="N710" s="12" t="n">
        <v>0.138059</v>
      </c>
      <c r="O710" s="12" t="n">
        <v>0.106183</v>
      </c>
      <c r="P710" s="12" t="n">
        <v>0.148088</v>
      </c>
      <c r="Q710" s="0" t="str">
        <f aca="false">IF(L710&gt;=Models!$G$5,1+COUNTIF($L$5:$L$1517,"&gt;"&amp;L710)+COUNTIFS($L$5:$L$1517,L710,$B$5:$B$1517,"&lt;"&amp;B710)+COUNTIFS($L$5:$L$1517,L710,$B$5:$B$1517,B710,$C$5:$C$1517,"&lt;"&amp;C710),"")</f>
        <v/>
      </c>
      <c r="R710" s="0" t="str">
        <f aca="false">IF(M710&gt;=Models!$G$6,1+COUNTIF($M$5:$M$1517,"&gt;"&amp;M710)+COUNTIFS($M$5:$M$1517,M710,$B$5:$B$1517,"&lt;"&amp;B710)+COUNTIFS($M$5:$M$1517,M710,$B$5:$B$1517,B710,$C$5:$C$1517,"&lt;"&amp;C710),"")</f>
        <v/>
      </c>
      <c r="S710" s="0" t="str">
        <f aca="false">IF(N710&gt;=Models!$G$7,1+COUNTIF($N$5:$N$1517,"&gt;"&amp;N710)+COUNTIFS($N$5:$N$1517,N710,$B$5:$B$1517,"&lt;"&amp;B710)+COUNTIFS($N$5:$N$1517,N710,$B$5:$B$1517,B710,$C$5:$C$1517,"&lt;"&amp;C710),"")</f>
        <v/>
      </c>
      <c r="T710" s="8" t="n">
        <f aca="false">IF(O710&gt;=Models!$G$8,1+COUNTIF($O$5:$O$1517,"&gt;"&amp;O710)+COUNTIFS($O$5:$O$1517,O710,$B$5:$B$1517,"&lt;"&amp;B710)+COUNTIFS($O$5:$O$1517,O710,$B$5:$B$1517,B710,$C$5:$C$1517,"&lt;"&amp;C710),"")</f>
        <v>1343</v>
      </c>
      <c r="U710" s="8" t="n">
        <f aca="false">IF($K710=1,COUNTIFS($L$5:$L$1517,"&gt;="&amp;L710,$K$5:$K$1517,1)/COUNTIF($L$5:$L$1517,"&gt;="&amp;L710),0)</f>
        <v>0</v>
      </c>
      <c r="V710" s="8" t="n">
        <f aca="false">IF($K710=1,COUNTIFS($M$5:$M$1517,"&gt;="&amp;M710,$K$5:$K$1517,1)/COUNTIF($M$5:$M$1517,"&gt;="&amp;M710),0)</f>
        <v>0</v>
      </c>
      <c r="W710" s="8" t="n">
        <f aca="false">IF($K710=1,COUNTIFS($N$5:$N$1517,"&gt;="&amp;N710,$K$5:$K$1517,1)/COUNTIF($N$5:$N$1517,"&gt;="&amp;N710),0)</f>
        <v>0</v>
      </c>
      <c r="X710" s="8" t="n">
        <f aca="false">IF($K710=1,COUNTIFS($O$5:$O$1517,"&gt;="&amp;O710,$K$5:$K$1517,1)/COUNTIF($O$5:$O$1517,"&gt;="&amp;O710),0)</f>
        <v>0</v>
      </c>
      <c r="Y710" s="8" t="n">
        <f aca="false">IF($K710=1,COUNTIFS($P$5:$P$1517,"&gt;="&amp;P710,$K$5:$K$1517,1)/COUNTIF($P$5:$P$1517,"&gt;="&amp;P710),0)</f>
        <v>0</v>
      </c>
      <c r="Z710" s="8" t="n">
        <f aca="false">(L710-$K710)^2</f>
        <v>0.431156390625</v>
      </c>
      <c r="AA710" s="8" t="n">
        <f aca="false">(M710-$K710)^2</f>
        <v>0.008475595969</v>
      </c>
      <c r="AB710" s="8" t="n">
        <f aca="false">(N710-$K710)^2</f>
        <v>0.019060287481</v>
      </c>
      <c r="AC710" s="8" t="n">
        <f aca="false">(O710-$K710)^2</f>
        <v>0.011274829489</v>
      </c>
      <c r="AD710" s="8" t="n">
        <f aca="false">(P710-$K710)^2</f>
        <v>0.021930055744</v>
      </c>
      <c r="AE710" s="8" t="n">
        <f aca="false">MIN(INT(ROUND(N710*1000000,0)/100000),9)</f>
        <v>1</v>
      </c>
      <c r="AF710" s="8" t="n">
        <f aca="false">MIN(INT(ROUND(P710*1000000,0)/100000),9)</f>
        <v>1</v>
      </c>
    </row>
    <row r="711" customFormat="false" ht="15" hidden="false" customHeight="false" outlineLevel="0" collapsed="false">
      <c r="A711" s="4" t="n">
        <v>707</v>
      </c>
      <c r="B711" s="4" t="n">
        <v>1570</v>
      </c>
      <c r="C711" s="4" t="n">
        <v>1</v>
      </c>
      <c r="D711" s="11" t="n">
        <v>46082</v>
      </c>
      <c r="E711" s="4" t="s">
        <v>204</v>
      </c>
      <c r="F711" s="4" t="s">
        <v>210</v>
      </c>
      <c r="G711" s="4" t="n">
        <v>1</v>
      </c>
      <c r="H711" s="4" t="n">
        <v>14</v>
      </c>
      <c r="I711" s="4" t="n">
        <v>0</v>
      </c>
      <c r="J711" s="4" t="n">
        <v>99</v>
      </c>
      <c r="K711" s="4" t="n">
        <v>1</v>
      </c>
      <c r="L711" s="12" t="n">
        <v>0.349262</v>
      </c>
      <c r="M711" s="12" t="n">
        <v>0.092063</v>
      </c>
      <c r="N711" s="12" t="n">
        <v>0.162863</v>
      </c>
      <c r="O711" s="12" t="n">
        <v>0.106183</v>
      </c>
      <c r="P711" s="12" t="n">
        <v>0.175665</v>
      </c>
      <c r="Q711" s="0" t="str">
        <f aca="false">IF(L711&gt;=Models!$G$5,1+COUNTIF($L$5:$L$1517,"&gt;"&amp;L711)+COUNTIFS($L$5:$L$1517,L711,$B$5:$B$1517,"&lt;"&amp;B711)+COUNTIFS($L$5:$L$1517,L711,$B$5:$B$1517,B711,$C$5:$C$1517,"&lt;"&amp;C711),"")</f>
        <v/>
      </c>
      <c r="R711" s="0" t="str">
        <f aca="false">IF(M711&gt;=Models!$G$6,1+COUNTIF($M$5:$M$1517,"&gt;"&amp;M711)+COUNTIFS($M$5:$M$1517,M711,$B$5:$B$1517,"&lt;"&amp;B711)+COUNTIFS($M$5:$M$1517,M711,$B$5:$B$1517,B711,$C$5:$C$1517,"&lt;"&amp;C711),"")</f>
        <v/>
      </c>
      <c r="S711" s="0" t="str">
        <f aca="false">IF(N711&gt;=Models!$G$7,1+COUNTIF($N$5:$N$1517,"&gt;"&amp;N711)+COUNTIFS($N$5:$N$1517,N711,$B$5:$B$1517,"&lt;"&amp;B711)+COUNTIFS($N$5:$N$1517,N711,$B$5:$B$1517,B711,$C$5:$C$1517,"&lt;"&amp;C711),"")</f>
        <v/>
      </c>
      <c r="T711" s="8" t="n">
        <f aca="false">IF(O711&gt;=Models!$G$8,1+COUNTIF($O$5:$O$1517,"&gt;"&amp;O711)+COUNTIFS($O$5:$O$1517,O711,$B$5:$B$1517,"&lt;"&amp;B711)+COUNTIFS($O$5:$O$1517,O711,$B$5:$B$1517,B711,$C$5:$C$1517,"&lt;"&amp;C711),"")</f>
        <v>1347</v>
      </c>
      <c r="U711" s="8" t="n">
        <f aca="false">IF($K711=1,COUNTIFS($L$5:$L$1517,"&gt;="&amp;L711,$K$5:$K$1517,1)/COUNTIF($L$5:$L$1517,"&gt;="&amp;L711),0)</f>
        <v>0.130030959752322</v>
      </c>
      <c r="V711" s="8" t="n">
        <f aca="false">IF($K711=1,COUNTIFS($M$5:$M$1517,"&gt;="&amp;M711,$K$5:$K$1517,1)/COUNTIF($M$5:$M$1517,"&gt;="&amp;M711),0)</f>
        <v>0.12491738268341</v>
      </c>
      <c r="W711" s="8" t="n">
        <f aca="false">IF($K711=1,COUNTIFS($N$5:$N$1517,"&gt;="&amp;N711,$K$5:$K$1517,1)/COUNTIF($N$5:$N$1517,"&gt;="&amp;N711),0)</f>
        <v>0.312925170068027</v>
      </c>
      <c r="X711" s="8" t="n">
        <f aca="false">IF($K711=1,COUNTIFS($O$5:$O$1517,"&gt;="&amp;O711,$K$5:$K$1517,1)/COUNTIF($O$5:$O$1517,"&gt;="&amp;O711),0)</f>
        <v>0.12491738268341</v>
      </c>
      <c r="Y711" s="8" t="n">
        <f aca="false">IF($K711=1,COUNTIFS($P$5:$P$1517,"&gt;="&amp;P711,$K$5:$K$1517,1)/COUNTIF($P$5:$P$1517,"&gt;="&amp;P711),0)</f>
        <v>0.312925170068027</v>
      </c>
      <c r="Z711" s="8" t="n">
        <f aca="false">(L711-$K711)^2</f>
        <v>0.423459944644</v>
      </c>
      <c r="AA711" s="8" t="n">
        <f aca="false">(M711-$K711)^2</f>
        <v>0.824349595969</v>
      </c>
      <c r="AB711" s="8" t="n">
        <f aca="false">(N711-$K711)^2</f>
        <v>0.700798356769</v>
      </c>
      <c r="AC711" s="8" t="n">
        <f aca="false">(O711-$K711)^2</f>
        <v>0.798908829489</v>
      </c>
      <c r="AD711" s="8" t="n">
        <f aca="false">(P711-$K711)^2</f>
        <v>0.679528192225</v>
      </c>
      <c r="AE711" s="8" t="n">
        <f aca="false">MIN(INT(ROUND(N711*1000000,0)/100000),9)</f>
        <v>1</v>
      </c>
      <c r="AF711" s="8" t="n">
        <f aca="false">MIN(INT(ROUND(P711*1000000,0)/100000),9)</f>
        <v>1</v>
      </c>
    </row>
    <row r="712" customFormat="false" ht="15" hidden="false" customHeight="false" outlineLevel="0" collapsed="false">
      <c r="A712" s="4" t="n">
        <v>708</v>
      </c>
      <c r="B712" s="4" t="n">
        <v>1572</v>
      </c>
      <c r="C712" s="4" t="n">
        <v>1</v>
      </c>
      <c r="D712" s="11" t="n">
        <v>46082</v>
      </c>
      <c r="E712" s="4" t="s">
        <v>203</v>
      </c>
      <c r="F712" s="4" t="s">
        <v>209</v>
      </c>
      <c r="G712" s="4" t="n">
        <v>3</v>
      </c>
      <c r="H712" s="4" t="n">
        <v>1</v>
      </c>
      <c r="I712" s="4" t="n">
        <v>0</v>
      </c>
      <c r="J712" s="4"/>
      <c r="K712" s="4" t="n">
        <v>1</v>
      </c>
      <c r="L712" s="12" t="n">
        <v>0.807623</v>
      </c>
      <c r="M712" s="12" t="n">
        <v>0.092063</v>
      </c>
      <c r="N712" s="12" t="n">
        <v>0.064489</v>
      </c>
      <c r="O712" s="12" t="n">
        <v>0.106183</v>
      </c>
      <c r="P712" s="12" t="n">
        <v>0.067052</v>
      </c>
      <c r="Q712" s="0" t="str">
        <f aca="false">IF(L712&gt;=Models!$G$5,1+COUNTIF($L$5:$L$1517,"&gt;"&amp;L712)+COUNTIFS($L$5:$L$1517,L712,$B$5:$B$1517,"&lt;"&amp;B712)+COUNTIFS($L$5:$L$1517,L712,$B$5:$B$1517,B712,$C$5:$C$1517,"&lt;"&amp;C712),"")</f>
        <v/>
      </c>
      <c r="R712" s="0" t="str">
        <f aca="false">IF(M712&gt;=Models!$G$6,1+COUNTIF($M$5:$M$1517,"&gt;"&amp;M712)+COUNTIFS($M$5:$M$1517,M712,$B$5:$B$1517,"&lt;"&amp;B712)+COUNTIFS($M$5:$M$1517,M712,$B$5:$B$1517,B712,$C$5:$C$1517,"&lt;"&amp;C712),"")</f>
        <v/>
      </c>
      <c r="S712" s="0" t="str">
        <f aca="false">IF(N712&gt;=Models!$G$7,1+COUNTIF($N$5:$N$1517,"&gt;"&amp;N712)+COUNTIFS($N$5:$N$1517,N712,$B$5:$B$1517,"&lt;"&amp;B712)+COUNTIFS($N$5:$N$1517,N712,$B$5:$B$1517,B712,$C$5:$C$1517,"&lt;"&amp;C712),"")</f>
        <v/>
      </c>
      <c r="T712" s="8" t="n">
        <f aca="false">IF(O712&gt;=Models!$G$8,1+COUNTIF($O$5:$O$1517,"&gt;"&amp;O712)+COUNTIFS($O$5:$O$1517,O712,$B$5:$B$1517,"&lt;"&amp;B712)+COUNTIFS($O$5:$O$1517,O712,$B$5:$B$1517,B712,$C$5:$C$1517,"&lt;"&amp;C712),"")</f>
        <v>1350</v>
      </c>
      <c r="U712" s="8" t="n">
        <f aca="false">IF($K712=1,COUNTIFS($L$5:$L$1517,"&gt;="&amp;L712,$K$5:$K$1517,1)/COUNTIF($L$5:$L$1517,"&gt;="&amp;L712),0)</f>
        <v>0.137184115523466</v>
      </c>
      <c r="V712" s="8" t="n">
        <f aca="false">IF($K712=1,COUNTIFS($M$5:$M$1517,"&gt;="&amp;M712,$K$5:$K$1517,1)/COUNTIF($M$5:$M$1517,"&gt;="&amp;M712),0)</f>
        <v>0.12491738268341</v>
      </c>
      <c r="W712" s="8" t="n">
        <f aca="false">IF($K712=1,COUNTIFS($N$5:$N$1517,"&gt;="&amp;N712,$K$5:$K$1517,1)/COUNTIF($N$5:$N$1517,"&gt;="&amp;N712),0)</f>
        <v>0.158667972575906</v>
      </c>
      <c r="X712" s="8" t="n">
        <f aca="false">IF($K712=1,COUNTIFS($O$5:$O$1517,"&gt;="&amp;O712,$K$5:$K$1517,1)/COUNTIF($O$5:$O$1517,"&gt;="&amp;O712),0)</f>
        <v>0.12491738268341</v>
      </c>
      <c r="Y712" s="8" t="n">
        <f aca="false">IF($K712=1,COUNTIFS($P$5:$P$1517,"&gt;="&amp;P712,$K$5:$K$1517,1)/COUNTIF($P$5:$P$1517,"&gt;="&amp;P712),0)</f>
        <v>0.158667972575906</v>
      </c>
      <c r="Z712" s="8" t="n">
        <f aca="false">(L712-$K712)^2</f>
        <v>0.037008910129</v>
      </c>
      <c r="AA712" s="8" t="n">
        <f aca="false">(M712-$K712)^2</f>
        <v>0.824349595969</v>
      </c>
      <c r="AB712" s="8" t="n">
        <f aca="false">(N712-$K712)^2</f>
        <v>0.875180831121</v>
      </c>
      <c r="AC712" s="8" t="n">
        <f aca="false">(O712-$K712)^2</f>
        <v>0.798908829489</v>
      </c>
      <c r="AD712" s="8" t="n">
        <f aca="false">(P712-$K712)^2</f>
        <v>0.870391970704</v>
      </c>
      <c r="AE712" s="8" t="n">
        <f aca="false">MIN(INT(ROUND(N712*1000000,0)/100000),9)</f>
        <v>0</v>
      </c>
      <c r="AF712" s="8" t="n">
        <f aca="false">MIN(INT(ROUND(P712*1000000,0)/100000),9)</f>
        <v>0</v>
      </c>
    </row>
    <row r="713" customFormat="false" ht="15" hidden="false" customHeight="false" outlineLevel="0" collapsed="false">
      <c r="A713" s="4" t="n">
        <v>709</v>
      </c>
      <c r="B713" s="4" t="n">
        <v>1575</v>
      </c>
      <c r="C713" s="4" t="n">
        <v>1</v>
      </c>
      <c r="D713" s="11" t="n">
        <v>46082</v>
      </c>
      <c r="E713" s="4" t="s">
        <v>203</v>
      </c>
      <c r="F713" s="4" t="s">
        <v>208</v>
      </c>
      <c r="G713" s="4" t="n">
        <v>8</v>
      </c>
      <c r="H713" s="4" t="n">
        <v>0</v>
      </c>
      <c r="I713" s="4" t="n">
        <v>0</v>
      </c>
      <c r="J713" s="4" t="n">
        <v>267</v>
      </c>
      <c r="K713" s="4" t="n">
        <v>1</v>
      </c>
      <c r="L713" s="12" t="n">
        <v>0.691685</v>
      </c>
      <c r="M713" s="12" t="n">
        <v>0.092063</v>
      </c>
      <c r="N713" s="12" t="n">
        <v>0.083823</v>
      </c>
      <c r="O713" s="12" t="n">
        <v>0.106183</v>
      </c>
      <c r="P713" s="12" t="n">
        <v>0.08816</v>
      </c>
      <c r="Q713" s="0" t="str">
        <f aca="false">IF(L713&gt;=Models!$G$5,1+COUNTIF($L$5:$L$1517,"&gt;"&amp;L713)+COUNTIFS($L$5:$L$1517,L713,$B$5:$B$1517,"&lt;"&amp;B713)+COUNTIFS($L$5:$L$1517,L713,$B$5:$B$1517,B713,$C$5:$C$1517,"&lt;"&amp;C713),"")</f>
        <v/>
      </c>
      <c r="R713" s="0" t="str">
        <f aca="false">IF(M713&gt;=Models!$G$6,1+COUNTIF($M$5:$M$1517,"&gt;"&amp;M713)+COUNTIFS($M$5:$M$1517,M713,$B$5:$B$1517,"&lt;"&amp;B713)+COUNTIFS($M$5:$M$1517,M713,$B$5:$B$1517,B713,$C$5:$C$1517,"&lt;"&amp;C713),"")</f>
        <v/>
      </c>
      <c r="S713" s="0" t="str">
        <f aca="false">IF(N713&gt;=Models!$G$7,1+COUNTIF($N$5:$N$1517,"&gt;"&amp;N713)+COUNTIFS($N$5:$N$1517,N713,$B$5:$B$1517,"&lt;"&amp;B713)+COUNTIFS($N$5:$N$1517,N713,$B$5:$B$1517,B713,$C$5:$C$1517,"&lt;"&amp;C713),"")</f>
        <v/>
      </c>
      <c r="T713" s="8" t="n">
        <f aca="false">IF(O713&gt;=Models!$G$8,1+COUNTIF($O$5:$O$1517,"&gt;"&amp;O713)+COUNTIFS($O$5:$O$1517,O713,$B$5:$B$1517,"&lt;"&amp;B713)+COUNTIFS($O$5:$O$1517,O713,$B$5:$B$1517,B713,$C$5:$C$1517,"&lt;"&amp;C713),"")</f>
        <v>1352</v>
      </c>
      <c r="U713" s="8" t="n">
        <f aca="false">IF($K713=1,COUNTIFS($L$5:$L$1517,"&gt;="&amp;L713,$K$5:$K$1517,1)/COUNTIF($L$5:$L$1517,"&gt;="&amp;L713),0)</f>
        <v>0.12860310421286</v>
      </c>
      <c r="V713" s="8" t="n">
        <f aca="false">IF($K713=1,COUNTIFS($M$5:$M$1517,"&gt;="&amp;M713,$K$5:$K$1517,1)/COUNTIF($M$5:$M$1517,"&gt;="&amp;M713),0)</f>
        <v>0.12491738268341</v>
      </c>
      <c r="W713" s="8" t="n">
        <f aca="false">IF($K713=1,COUNTIFS($N$5:$N$1517,"&gt;="&amp;N713,$K$5:$K$1517,1)/COUNTIF($N$5:$N$1517,"&gt;="&amp;N713),0)</f>
        <v>0.175980975029727</v>
      </c>
      <c r="X713" s="8" t="n">
        <f aca="false">IF($K713=1,COUNTIFS($O$5:$O$1517,"&gt;="&amp;O713,$K$5:$K$1517,1)/COUNTIF($O$5:$O$1517,"&gt;="&amp;O713),0)</f>
        <v>0.12491738268341</v>
      </c>
      <c r="Y713" s="8" t="n">
        <f aca="false">IF($K713=1,COUNTIFS($P$5:$P$1517,"&gt;="&amp;P713,$K$5:$K$1517,1)/COUNTIF($P$5:$P$1517,"&gt;="&amp;P713),0)</f>
        <v>0.175980975029727</v>
      </c>
      <c r="Z713" s="8" t="n">
        <f aca="false">(L713-$K713)^2</f>
        <v>0.095058139225</v>
      </c>
      <c r="AA713" s="8" t="n">
        <f aca="false">(M713-$K713)^2</f>
        <v>0.824349595969</v>
      </c>
      <c r="AB713" s="8" t="n">
        <f aca="false">(N713-$K713)^2</f>
        <v>0.839380295329</v>
      </c>
      <c r="AC713" s="8" t="n">
        <f aca="false">(O713-$K713)^2</f>
        <v>0.798908829489</v>
      </c>
      <c r="AD713" s="8" t="n">
        <f aca="false">(P713-$K713)^2</f>
        <v>0.8314521856</v>
      </c>
      <c r="AE713" s="8" t="n">
        <f aca="false">MIN(INT(ROUND(N713*1000000,0)/100000),9)</f>
        <v>0</v>
      </c>
      <c r="AF713" s="8" t="n">
        <f aca="false">MIN(INT(ROUND(P713*1000000,0)/100000),9)</f>
        <v>0</v>
      </c>
    </row>
    <row r="714" customFormat="false" ht="15" hidden="false" customHeight="false" outlineLevel="0" collapsed="false">
      <c r="A714" s="4" t="n">
        <v>710</v>
      </c>
      <c r="B714" s="4" t="n">
        <v>1576</v>
      </c>
      <c r="C714" s="4" t="n">
        <v>1</v>
      </c>
      <c r="D714" s="11" t="n">
        <v>46082</v>
      </c>
      <c r="E714" s="4" t="s">
        <v>203</v>
      </c>
      <c r="F714" s="4" t="s">
        <v>206</v>
      </c>
      <c r="G714" s="4" t="n">
        <v>4</v>
      </c>
      <c r="H714" s="4" t="n">
        <v>0</v>
      </c>
      <c r="I714" s="4" t="n">
        <v>0</v>
      </c>
      <c r="J714" s="4" t="n">
        <v>237</v>
      </c>
      <c r="K714" s="4" t="n">
        <v>0</v>
      </c>
      <c r="L714" s="12" t="n">
        <v>0.013539</v>
      </c>
      <c r="M714" s="12" t="n">
        <v>0.092063</v>
      </c>
      <c r="N714" s="12" t="n">
        <v>0.11611</v>
      </c>
      <c r="O714" s="12" t="n">
        <v>0.106183</v>
      </c>
      <c r="P714" s="12" t="n">
        <v>0.123749</v>
      </c>
      <c r="Q714" s="0" t="str">
        <f aca="false">IF(L714&gt;=Models!$G$5,1+COUNTIF($L$5:$L$1517,"&gt;"&amp;L714)+COUNTIFS($L$5:$L$1517,L714,$B$5:$B$1517,"&lt;"&amp;B714)+COUNTIFS($L$5:$L$1517,L714,$B$5:$B$1517,B714,$C$5:$C$1517,"&lt;"&amp;C714),"")</f>
        <v/>
      </c>
      <c r="R714" s="0" t="str">
        <f aca="false">IF(M714&gt;=Models!$G$6,1+COUNTIF($M$5:$M$1517,"&gt;"&amp;M714)+COUNTIFS($M$5:$M$1517,M714,$B$5:$B$1517,"&lt;"&amp;B714)+COUNTIFS($M$5:$M$1517,M714,$B$5:$B$1517,B714,$C$5:$C$1517,"&lt;"&amp;C714),"")</f>
        <v/>
      </c>
      <c r="S714" s="0" t="str">
        <f aca="false">IF(N714&gt;=Models!$G$7,1+COUNTIF($N$5:$N$1517,"&gt;"&amp;N714)+COUNTIFS($N$5:$N$1517,N714,$B$5:$B$1517,"&lt;"&amp;B714)+COUNTIFS($N$5:$N$1517,N714,$B$5:$B$1517,B714,$C$5:$C$1517,"&lt;"&amp;C714),"")</f>
        <v/>
      </c>
      <c r="T714" s="8" t="n">
        <f aca="false">IF(O714&gt;=Models!$G$8,1+COUNTIF($O$5:$O$1517,"&gt;"&amp;O714)+COUNTIFS($O$5:$O$1517,O714,$B$5:$B$1517,"&lt;"&amp;B714)+COUNTIFS($O$5:$O$1517,O714,$B$5:$B$1517,B714,$C$5:$C$1517,"&lt;"&amp;C714),"")</f>
        <v>1355</v>
      </c>
      <c r="U714" s="8" t="n">
        <f aca="false">IF($K714=1,COUNTIFS($L$5:$L$1517,"&gt;="&amp;L714,$K$5:$K$1517,1)/COUNTIF($L$5:$L$1517,"&gt;="&amp;L714),0)</f>
        <v>0</v>
      </c>
      <c r="V714" s="8" t="n">
        <f aca="false">IF($K714=1,COUNTIFS($M$5:$M$1517,"&gt;="&amp;M714,$K$5:$K$1517,1)/COUNTIF($M$5:$M$1517,"&gt;="&amp;M714),0)</f>
        <v>0</v>
      </c>
      <c r="W714" s="8" t="n">
        <f aca="false">IF($K714=1,COUNTIFS($N$5:$N$1517,"&gt;="&amp;N714,$K$5:$K$1517,1)/COUNTIF($N$5:$N$1517,"&gt;="&amp;N714),0)</f>
        <v>0</v>
      </c>
      <c r="X714" s="8" t="n">
        <f aca="false">IF($K714=1,COUNTIFS($O$5:$O$1517,"&gt;="&amp;O714,$K$5:$K$1517,1)/COUNTIF($O$5:$O$1517,"&gt;="&amp;O714),0)</f>
        <v>0</v>
      </c>
      <c r="Y714" s="8" t="n">
        <f aca="false">IF($K714=1,COUNTIFS($P$5:$P$1517,"&gt;="&amp;P714,$K$5:$K$1517,1)/COUNTIF($P$5:$P$1517,"&gt;="&amp;P714),0)</f>
        <v>0</v>
      </c>
      <c r="Z714" s="8" t="n">
        <f aca="false">(L714-$K714)^2</f>
        <v>0.000183304521</v>
      </c>
      <c r="AA714" s="8" t="n">
        <f aca="false">(M714-$K714)^2</f>
        <v>0.008475595969</v>
      </c>
      <c r="AB714" s="8" t="n">
        <f aca="false">(N714-$K714)^2</f>
        <v>0.0134815321</v>
      </c>
      <c r="AC714" s="8" t="n">
        <f aca="false">(O714-$K714)^2</f>
        <v>0.011274829489</v>
      </c>
      <c r="AD714" s="8" t="n">
        <f aca="false">(P714-$K714)^2</f>
        <v>0.015313815001</v>
      </c>
      <c r="AE714" s="8" t="n">
        <f aca="false">MIN(INT(ROUND(N714*1000000,0)/100000),9)</f>
        <v>1</v>
      </c>
      <c r="AF714" s="8" t="n">
        <f aca="false">MIN(INT(ROUND(P714*1000000,0)/100000),9)</f>
        <v>1</v>
      </c>
    </row>
    <row r="715" customFormat="false" ht="15" hidden="false" customHeight="false" outlineLevel="0" collapsed="false">
      <c r="A715" s="4" t="n">
        <v>711</v>
      </c>
      <c r="B715" s="4" t="n">
        <v>1577</v>
      </c>
      <c r="C715" s="4" t="n">
        <v>1</v>
      </c>
      <c r="D715" s="11" t="n">
        <v>46082</v>
      </c>
      <c r="E715" s="4" t="s">
        <v>203</v>
      </c>
      <c r="F715" s="4" t="s">
        <v>208</v>
      </c>
      <c r="G715" s="4" t="n">
        <v>4</v>
      </c>
      <c r="H715" s="4" t="n">
        <v>8</v>
      </c>
      <c r="I715" s="4" t="n">
        <v>0</v>
      </c>
      <c r="J715" s="4" t="n">
        <v>447</v>
      </c>
      <c r="K715" s="4" t="n">
        <v>1</v>
      </c>
      <c r="L715" s="12" t="n">
        <v>0.066462</v>
      </c>
      <c r="M715" s="12" t="n">
        <v>0.092063</v>
      </c>
      <c r="N715" s="12" t="n">
        <v>0.1217</v>
      </c>
      <c r="O715" s="12" t="n">
        <v>0.106183</v>
      </c>
      <c r="P715" s="12" t="n">
        <v>0.12994</v>
      </c>
      <c r="Q715" s="0" t="str">
        <f aca="false">IF(L715&gt;=Models!$G$5,1+COUNTIF($L$5:$L$1517,"&gt;"&amp;L715)+COUNTIFS($L$5:$L$1517,L715,$B$5:$B$1517,"&lt;"&amp;B715)+COUNTIFS($L$5:$L$1517,L715,$B$5:$B$1517,B715,$C$5:$C$1517,"&lt;"&amp;C715),"")</f>
        <v/>
      </c>
      <c r="R715" s="0" t="str">
        <f aca="false">IF(M715&gt;=Models!$G$6,1+COUNTIF($M$5:$M$1517,"&gt;"&amp;M715)+COUNTIFS($M$5:$M$1517,M715,$B$5:$B$1517,"&lt;"&amp;B715)+COUNTIFS($M$5:$M$1517,M715,$B$5:$B$1517,B715,$C$5:$C$1517,"&lt;"&amp;C715),"")</f>
        <v/>
      </c>
      <c r="S715" s="0" t="str">
        <f aca="false">IF(N715&gt;=Models!$G$7,1+COUNTIF($N$5:$N$1517,"&gt;"&amp;N715)+COUNTIFS($N$5:$N$1517,N715,$B$5:$B$1517,"&lt;"&amp;B715)+COUNTIFS($N$5:$N$1517,N715,$B$5:$B$1517,B715,$C$5:$C$1517,"&lt;"&amp;C715),"")</f>
        <v/>
      </c>
      <c r="T715" s="8" t="n">
        <f aca="false">IF(O715&gt;=Models!$G$8,1+COUNTIF($O$5:$O$1517,"&gt;"&amp;O715)+COUNTIFS($O$5:$O$1517,O715,$B$5:$B$1517,"&lt;"&amp;B715)+COUNTIFS($O$5:$O$1517,O715,$B$5:$B$1517,B715,$C$5:$C$1517,"&lt;"&amp;C715),"")</f>
        <v>1359</v>
      </c>
      <c r="U715" s="8" t="n">
        <f aca="false">IF($K715=1,COUNTIFS($L$5:$L$1517,"&gt;="&amp;L715,$K$5:$K$1517,1)/COUNTIF($L$5:$L$1517,"&gt;="&amp;L715),0)</f>
        <v>0.124732715609408</v>
      </c>
      <c r="V715" s="8" t="n">
        <f aca="false">IF($K715=1,COUNTIFS($M$5:$M$1517,"&gt;="&amp;M715,$K$5:$K$1517,1)/COUNTIF($M$5:$M$1517,"&gt;="&amp;M715),0)</f>
        <v>0.12491738268341</v>
      </c>
      <c r="W715" s="8" t="n">
        <f aca="false">IF($K715=1,COUNTIFS($N$5:$N$1517,"&gt;="&amp;N715,$K$5:$K$1517,1)/COUNTIF($N$5:$N$1517,"&gt;="&amp;N715),0)</f>
        <v>0.234234234234234</v>
      </c>
      <c r="X715" s="8" t="n">
        <f aca="false">IF($K715=1,COUNTIFS($O$5:$O$1517,"&gt;="&amp;O715,$K$5:$K$1517,1)/COUNTIF($O$5:$O$1517,"&gt;="&amp;O715),0)</f>
        <v>0.12491738268341</v>
      </c>
      <c r="Y715" s="8" t="n">
        <f aca="false">IF($K715=1,COUNTIFS($P$5:$P$1517,"&gt;="&amp;P715,$K$5:$K$1517,1)/COUNTIF($P$5:$P$1517,"&gt;="&amp;P715),0)</f>
        <v>0.234234234234234</v>
      </c>
      <c r="Z715" s="8" t="n">
        <f aca="false">(L715-$K715)^2</f>
        <v>0.871493197444</v>
      </c>
      <c r="AA715" s="8" t="n">
        <f aca="false">(M715-$K715)^2</f>
        <v>0.824349595969</v>
      </c>
      <c r="AB715" s="8" t="n">
        <f aca="false">(N715-$K715)^2</f>
        <v>0.77141089</v>
      </c>
      <c r="AC715" s="8" t="n">
        <f aca="false">(O715-$K715)^2</f>
        <v>0.798908829489</v>
      </c>
      <c r="AD715" s="8" t="n">
        <f aca="false">(P715-$K715)^2</f>
        <v>0.7570044036</v>
      </c>
      <c r="AE715" s="8" t="n">
        <f aca="false">MIN(INT(ROUND(N715*1000000,0)/100000),9)</f>
        <v>1</v>
      </c>
      <c r="AF715" s="8" t="n">
        <f aca="false">MIN(INT(ROUND(P715*1000000,0)/100000),9)</f>
        <v>1</v>
      </c>
    </row>
    <row r="716" customFormat="false" ht="15" hidden="false" customHeight="false" outlineLevel="0" collapsed="false">
      <c r="A716" s="4" t="n">
        <v>712</v>
      </c>
      <c r="B716" s="4" t="n">
        <v>1582</v>
      </c>
      <c r="C716" s="4" t="n">
        <v>1</v>
      </c>
      <c r="D716" s="11" t="n">
        <v>46082</v>
      </c>
      <c r="E716" s="4" t="s">
        <v>204</v>
      </c>
      <c r="F716" s="4" t="s">
        <v>209</v>
      </c>
      <c r="G716" s="4" t="n">
        <v>3</v>
      </c>
      <c r="H716" s="4" t="n">
        <v>1</v>
      </c>
      <c r="I716" s="4" t="n">
        <v>0</v>
      </c>
      <c r="J716" s="4" t="n">
        <v>57</v>
      </c>
      <c r="K716" s="4" t="n">
        <v>1</v>
      </c>
      <c r="L716" s="12" t="n">
        <v>0.305049</v>
      </c>
      <c r="M716" s="12" t="n">
        <v>0.092063</v>
      </c>
      <c r="N716" s="12" t="n">
        <v>0.127734</v>
      </c>
      <c r="O716" s="12" t="n">
        <v>0.106183</v>
      </c>
      <c r="P716" s="12" t="n">
        <v>0.136628</v>
      </c>
      <c r="Q716" s="0" t="str">
        <f aca="false">IF(L716&gt;=Models!$G$5,1+COUNTIF($L$5:$L$1517,"&gt;"&amp;L716)+COUNTIFS($L$5:$L$1517,L716,$B$5:$B$1517,"&lt;"&amp;B716)+COUNTIFS($L$5:$L$1517,L716,$B$5:$B$1517,B716,$C$5:$C$1517,"&lt;"&amp;C716),"")</f>
        <v/>
      </c>
      <c r="R716" s="0" t="str">
        <f aca="false">IF(M716&gt;=Models!$G$6,1+COUNTIF($M$5:$M$1517,"&gt;"&amp;M716)+COUNTIFS($M$5:$M$1517,M716,$B$5:$B$1517,"&lt;"&amp;B716)+COUNTIFS($M$5:$M$1517,M716,$B$5:$B$1517,B716,$C$5:$C$1517,"&lt;"&amp;C716),"")</f>
        <v/>
      </c>
      <c r="S716" s="0" t="str">
        <f aca="false">IF(N716&gt;=Models!$G$7,1+COUNTIF($N$5:$N$1517,"&gt;"&amp;N716)+COUNTIFS($N$5:$N$1517,N716,$B$5:$B$1517,"&lt;"&amp;B716)+COUNTIFS($N$5:$N$1517,N716,$B$5:$B$1517,B716,$C$5:$C$1517,"&lt;"&amp;C716),"")</f>
        <v/>
      </c>
      <c r="T716" s="8" t="n">
        <f aca="false">IF(O716&gt;=Models!$G$8,1+COUNTIF($O$5:$O$1517,"&gt;"&amp;O716)+COUNTIFS($O$5:$O$1517,O716,$B$5:$B$1517,"&lt;"&amp;B716)+COUNTIFS($O$5:$O$1517,O716,$B$5:$B$1517,B716,$C$5:$C$1517,"&lt;"&amp;C716),"")</f>
        <v>1362</v>
      </c>
      <c r="U716" s="8" t="n">
        <f aca="false">IF($K716=1,COUNTIFS($L$5:$L$1517,"&gt;="&amp;L716,$K$5:$K$1517,1)/COUNTIF($L$5:$L$1517,"&gt;="&amp;L716),0)</f>
        <v>0.129126213592233</v>
      </c>
      <c r="V716" s="8" t="n">
        <f aca="false">IF($K716=1,COUNTIFS($M$5:$M$1517,"&gt;="&amp;M716,$K$5:$K$1517,1)/COUNTIF($M$5:$M$1517,"&gt;="&amp;M716),0)</f>
        <v>0.12491738268341</v>
      </c>
      <c r="W716" s="8" t="n">
        <f aca="false">IF($K716=1,COUNTIFS($N$5:$N$1517,"&gt;="&amp;N716,$K$5:$K$1517,1)/COUNTIF($N$5:$N$1517,"&gt;="&amp;N716),0)</f>
        <v>0.233595800524934</v>
      </c>
      <c r="X716" s="8" t="n">
        <f aca="false">IF($K716=1,COUNTIFS($O$5:$O$1517,"&gt;="&amp;O716,$K$5:$K$1517,1)/COUNTIF($O$5:$O$1517,"&gt;="&amp;O716),0)</f>
        <v>0.12491738268341</v>
      </c>
      <c r="Y716" s="8" t="n">
        <f aca="false">IF($K716=1,COUNTIFS($P$5:$P$1517,"&gt;="&amp;P716,$K$5:$K$1517,1)/COUNTIF($P$5:$P$1517,"&gt;="&amp;P716),0)</f>
        <v>0.233595800524934</v>
      </c>
      <c r="Z716" s="8" t="n">
        <f aca="false">(L716-$K716)^2</f>
        <v>0.482956892401</v>
      </c>
      <c r="AA716" s="8" t="n">
        <f aca="false">(M716-$K716)^2</f>
        <v>0.824349595969</v>
      </c>
      <c r="AB716" s="8" t="n">
        <f aca="false">(N716-$K716)^2</f>
        <v>0.760847974756</v>
      </c>
      <c r="AC716" s="8" t="n">
        <f aca="false">(O716-$K716)^2</f>
        <v>0.798908829489</v>
      </c>
      <c r="AD716" s="8" t="n">
        <f aca="false">(P716-$K716)^2</f>
        <v>0.745411210384</v>
      </c>
      <c r="AE716" s="8" t="n">
        <f aca="false">MIN(INT(ROUND(N716*1000000,0)/100000),9)</f>
        <v>1</v>
      </c>
      <c r="AF716" s="8" t="n">
        <f aca="false">MIN(INT(ROUND(P716*1000000,0)/100000),9)</f>
        <v>1</v>
      </c>
    </row>
    <row r="717" customFormat="false" ht="15" hidden="false" customHeight="false" outlineLevel="0" collapsed="false">
      <c r="A717" s="4" t="n">
        <v>713</v>
      </c>
      <c r="B717" s="4" t="n">
        <v>1583</v>
      </c>
      <c r="C717" s="4" t="n">
        <v>1</v>
      </c>
      <c r="D717" s="11" t="n">
        <v>46082</v>
      </c>
      <c r="E717" s="4" t="s">
        <v>202</v>
      </c>
      <c r="F717" s="4" t="s">
        <v>206</v>
      </c>
      <c r="G717" s="4" t="n">
        <v>12</v>
      </c>
      <c r="H717" s="4" t="n">
        <v>1</v>
      </c>
      <c r="I717" s="4" t="n">
        <v>0</v>
      </c>
      <c r="J717" s="4" t="n">
        <v>794</v>
      </c>
      <c r="K717" s="4" t="n">
        <v>0</v>
      </c>
      <c r="L717" s="12" t="n">
        <v>0.966233</v>
      </c>
      <c r="M717" s="12" t="n">
        <v>0.092063</v>
      </c>
      <c r="N717" s="12" t="n">
        <v>0.058752</v>
      </c>
      <c r="O717" s="12" t="n">
        <v>0.106183</v>
      </c>
      <c r="P717" s="12" t="n">
        <v>0.060832</v>
      </c>
      <c r="Q717" s="0" t="str">
        <f aca="false">IF(L717&gt;=Models!$G$5,1+COUNTIF($L$5:$L$1517,"&gt;"&amp;L717)+COUNTIFS($L$5:$L$1517,L717,$B$5:$B$1517,"&lt;"&amp;B717)+COUNTIFS($L$5:$L$1517,L717,$B$5:$B$1517,B717,$C$5:$C$1517,"&lt;"&amp;C717),"")</f>
        <v/>
      </c>
      <c r="R717" s="0" t="str">
        <f aca="false">IF(M717&gt;=Models!$G$6,1+COUNTIF($M$5:$M$1517,"&gt;"&amp;M717)+COUNTIFS($M$5:$M$1517,M717,$B$5:$B$1517,"&lt;"&amp;B717)+COUNTIFS($M$5:$M$1517,M717,$B$5:$B$1517,B717,$C$5:$C$1517,"&lt;"&amp;C717),"")</f>
        <v/>
      </c>
      <c r="S717" s="0" t="str">
        <f aca="false">IF(N717&gt;=Models!$G$7,1+COUNTIF($N$5:$N$1517,"&gt;"&amp;N717)+COUNTIFS($N$5:$N$1517,N717,$B$5:$B$1517,"&lt;"&amp;B717)+COUNTIFS($N$5:$N$1517,N717,$B$5:$B$1517,B717,$C$5:$C$1517,"&lt;"&amp;C717),"")</f>
        <v/>
      </c>
      <c r="T717" s="8" t="n">
        <f aca="false">IF(O717&gt;=Models!$G$8,1+COUNTIF($O$5:$O$1517,"&gt;"&amp;O717)+COUNTIFS($O$5:$O$1517,O717,$B$5:$B$1517,"&lt;"&amp;B717)+COUNTIFS($O$5:$O$1517,O717,$B$5:$B$1517,B717,$C$5:$C$1517,"&lt;"&amp;C717),"")</f>
        <v>1366</v>
      </c>
      <c r="U717" s="8" t="n">
        <f aca="false">IF($K717=1,COUNTIFS($L$5:$L$1517,"&gt;="&amp;L717,$K$5:$K$1517,1)/COUNTIF($L$5:$L$1517,"&gt;="&amp;L717),0)</f>
        <v>0</v>
      </c>
      <c r="V717" s="8" t="n">
        <f aca="false">IF($K717=1,COUNTIFS($M$5:$M$1517,"&gt;="&amp;M717,$K$5:$K$1517,1)/COUNTIF($M$5:$M$1517,"&gt;="&amp;M717),0)</f>
        <v>0</v>
      </c>
      <c r="W717" s="8" t="n">
        <f aca="false">IF($K717=1,COUNTIFS($N$5:$N$1517,"&gt;="&amp;N717,$K$5:$K$1517,1)/COUNTIF($N$5:$N$1517,"&gt;="&amp;N717),0)</f>
        <v>0</v>
      </c>
      <c r="X717" s="8" t="n">
        <f aca="false">IF($K717=1,COUNTIFS($O$5:$O$1517,"&gt;="&amp;O717,$K$5:$K$1517,1)/COUNTIF($O$5:$O$1517,"&gt;="&amp;O717),0)</f>
        <v>0</v>
      </c>
      <c r="Y717" s="8" t="n">
        <f aca="false">IF($K717=1,COUNTIFS($P$5:$P$1517,"&gt;="&amp;P717,$K$5:$K$1517,1)/COUNTIF($P$5:$P$1517,"&gt;="&amp;P717),0)</f>
        <v>0</v>
      </c>
      <c r="Z717" s="8" t="n">
        <f aca="false">(L717-$K717)^2</f>
        <v>0.933606210289</v>
      </c>
      <c r="AA717" s="8" t="n">
        <f aca="false">(M717-$K717)^2</f>
        <v>0.008475595969</v>
      </c>
      <c r="AB717" s="8" t="n">
        <f aca="false">(N717-$K717)^2</f>
        <v>0.003451797504</v>
      </c>
      <c r="AC717" s="8" t="n">
        <f aca="false">(O717-$K717)^2</f>
        <v>0.011274829489</v>
      </c>
      <c r="AD717" s="8" t="n">
        <f aca="false">(P717-$K717)^2</f>
        <v>0.003700532224</v>
      </c>
      <c r="AE717" s="8" t="n">
        <f aca="false">MIN(INT(ROUND(N717*1000000,0)/100000),9)</f>
        <v>0</v>
      </c>
      <c r="AF717" s="8" t="n">
        <f aca="false">MIN(INT(ROUND(P717*1000000,0)/100000),9)</f>
        <v>0</v>
      </c>
    </row>
    <row r="718" customFormat="false" ht="15" hidden="false" customHeight="false" outlineLevel="0" collapsed="false">
      <c r="A718" s="4" t="n">
        <v>714</v>
      </c>
      <c r="B718" s="4" t="n">
        <v>1590</v>
      </c>
      <c r="C718" s="4" t="n">
        <v>1</v>
      </c>
      <c r="D718" s="11" t="n">
        <v>46082</v>
      </c>
      <c r="E718" s="4" t="s">
        <v>204</v>
      </c>
      <c r="F718" s="4" t="s">
        <v>206</v>
      </c>
      <c r="G718" s="4" t="n">
        <v>2</v>
      </c>
      <c r="H718" s="4" t="n">
        <v>3</v>
      </c>
      <c r="I718" s="4" t="n">
        <v>2</v>
      </c>
      <c r="J718" s="4" t="n">
        <v>59.4</v>
      </c>
      <c r="K718" s="4" t="n">
        <v>0</v>
      </c>
      <c r="L718" s="12" t="n">
        <v>0.71847</v>
      </c>
      <c r="M718" s="12" t="n">
        <v>0.184211</v>
      </c>
      <c r="N718" s="12" t="n">
        <v>0.349137</v>
      </c>
      <c r="O718" s="12" t="n">
        <v>0.106183</v>
      </c>
      <c r="P718" s="12" t="n">
        <v>0.381425</v>
      </c>
      <c r="Q718" s="0" t="str">
        <f aca="false">IF(L718&gt;=Models!$G$5,1+COUNTIF($L$5:$L$1517,"&gt;"&amp;L718)+COUNTIFS($L$5:$L$1517,L718,$B$5:$B$1517,"&lt;"&amp;B718)+COUNTIFS($L$5:$L$1517,L718,$B$5:$B$1517,B718,$C$5:$C$1517,"&lt;"&amp;C718),"")</f>
        <v/>
      </c>
      <c r="R718" s="8" t="n">
        <f aca="false">IF(M718&gt;=Models!$G$6,1+COUNTIF($M$5:$M$1517,"&gt;"&amp;M718)+COUNTIFS($M$5:$M$1517,M718,$B$5:$B$1517,"&lt;"&amp;B718)+COUNTIFS($M$5:$M$1517,M718,$B$5:$B$1517,B718,$C$5:$C$1517,"&lt;"&amp;C718),"")</f>
        <v>173</v>
      </c>
      <c r="S718" s="8" t="n">
        <f aca="false">IF(N718&gt;=Models!$G$7,1+COUNTIF($N$5:$N$1517,"&gt;"&amp;N718)+COUNTIFS($N$5:$N$1517,N718,$B$5:$B$1517,"&lt;"&amp;B718)+COUNTIFS($N$5:$N$1517,N718,$B$5:$B$1517,B718,$C$5:$C$1517,"&lt;"&amp;C718),"")</f>
        <v>4</v>
      </c>
      <c r="T718" s="8" t="n">
        <f aca="false">IF(O718&gt;=Models!$G$8,1+COUNTIF($O$5:$O$1517,"&gt;"&amp;O718)+COUNTIFS($O$5:$O$1517,O718,$B$5:$B$1517,"&lt;"&amp;B718)+COUNTIFS($O$5:$O$1517,O718,$B$5:$B$1517,B718,$C$5:$C$1517,"&lt;"&amp;C718),"")</f>
        <v>1369</v>
      </c>
      <c r="U718" s="8" t="n">
        <f aca="false">IF($K718=1,COUNTIFS($L$5:$L$1517,"&gt;="&amp;L718,$K$5:$K$1517,1)/COUNTIF($L$5:$L$1517,"&gt;="&amp;L718),0)</f>
        <v>0</v>
      </c>
      <c r="V718" s="8" t="n">
        <f aca="false">IF($K718=1,COUNTIFS($M$5:$M$1517,"&gt;="&amp;M718,$K$5:$K$1517,1)/COUNTIF($M$5:$M$1517,"&gt;="&amp;M718),0)</f>
        <v>0</v>
      </c>
      <c r="W718" s="8" t="n">
        <f aca="false">IF($K718=1,COUNTIFS($N$5:$N$1517,"&gt;="&amp;N718,$K$5:$K$1517,1)/COUNTIF($N$5:$N$1517,"&gt;="&amp;N718),0)</f>
        <v>0</v>
      </c>
      <c r="X718" s="8" t="n">
        <f aca="false">IF($K718=1,COUNTIFS($O$5:$O$1517,"&gt;="&amp;O718,$K$5:$K$1517,1)/COUNTIF($O$5:$O$1517,"&gt;="&amp;O718),0)</f>
        <v>0</v>
      </c>
      <c r="Y718" s="8" t="n">
        <f aca="false">IF($K718=1,COUNTIFS($P$5:$P$1517,"&gt;="&amp;P718,$K$5:$K$1517,1)/COUNTIF($P$5:$P$1517,"&gt;="&amp;P718),0)</f>
        <v>0</v>
      </c>
      <c r="Z718" s="8" t="n">
        <f aca="false">(L718-$K718)^2</f>
        <v>0.5161991409</v>
      </c>
      <c r="AA718" s="8" t="n">
        <f aca="false">(M718-$K718)^2</f>
        <v>0.033933692521</v>
      </c>
      <c r="AB718" s="8" t="n">
        <f aca="false">(N718-$K718)^2</f>
        <v>0.121896644769</v>
      </c>
      <c r="AC718" s="8" t="n">
        <f aca="false">(O718-$K718)^2</f>
        <v>0.011274829489</v>
      </c>
      <c r="AD718" s="8" t="n">
        <f aca="false">(P718-$K718)^2</f>
        <v>0.145485030625</v>
      </c>
      <c r="AE718" s="8" t="n">
        <f aca="false">MIN(INT(ROUND(N718*1000000,0)/100000),9)</f>
        <v>3</v>
      </c>
      <c r="AF718" s="8" t="n">
        <f aca="false">MIN(INT(ROUND(P718*1000000,0)/100000),9)</f>
        <v>3</v>
      </c>
    </row>
    <row r="719" customFormat="false" ht="15" hidden="false" customHeight="false" outlineLevel="0" collapsed="false">
      <c r="A719" s="4" t="n">
        <v>715</v>
      </c>
      <c r="B719" s="4" t="n">
        <v>1603</v>
      </c>
      <c r="C719" s="4" t="n">
        <v>1</v>
      </c>
      <c r="D719" s="11" t="n">
        <v>46082</v>
      </c>
      <c r="E719" s="4" t="s">
        <v>203</v>
      </c>
      <c r="F719" s="4" t="s">
        <v>210</v>
      </c>
      <c r="G719" s="4" t="n">
        <v>6</v>
      </c>
      <c r="H719" s="4" t="n">
        <v>6</v>
      </c>
      <c r="I719" s="4" t="n">
        <v>0</v>
      </c>
      <c r="J719" s="4" t="n">
        <v>444</v>
      </c>
      <c r="K719" s="4" t="n">
        <v>0</v>
      </c>
      <c r="L719" s="12" t="n">
        <v>0.569591</v>
      </c>
      <c r="M719" s="12" t="n">
        <v>0.092063</v>
      </c>
      <c r="N719" s="12" t="n">
        <v>0.102236</v>
      </c>
      <c r="O719" s="12" t="n">
        <v>0.106183</v>
      </c>
      <c r="P719" s="12" t="n">
        <v>0.108416</v>
      </c>
      <c r="Q719" s="0" t="str">
        <f aca="false">IF(L719&gt;=Models!$G$5,1+COUNTIF($L$5:$L$1517,"&gt;"&amp;L719)+COUNTIFS($L$5:$L$1517,L719,$B$5:$B$1517,"&lt;"&amp;B719)+COUNTIFS($L$5:$L$1517,L719,$B$5:$B$1517,B719,$C$5:$C$1517,"&lt;"&amp;C719),"")</f>
        <v/>
      </c>
      <c r="R719" s="0" t="str">
        <f aca="false">IF(M719&gt;=Models!$G$6,1+COUNTIF($M$5:$M$1517,"&gt;"&amp;M719)+COUNTIFS($M$5:$M$1517,M719,$B$5:$B$1517,"&lt;"&amp;B719)+COUNTIFS($M$5:$M$1517,M719,$B$5:$B$1517,B719,$C$5:$C$1517,"&lt;"&amp;C719),"")</f>
        <v/>
      </c>
      <c r="S719" s="0" t="str">
        <f aca="false">IF(N719&gt;=Models!$G$7,1+COUNTIF($N$5:$N$1517,"&gt;"&amp;N719)+COUNTIFS($N$5:$N$1517,N719,$B$5:$B$1517,"&lt;"&amp;B719)+COUNTIFS($N$5:$N$1517,N719,$B$5:$B$1517,B719,$C$5:$C$1517,"&lt;"&amp;C719),"")</f>
        <v/>
      </c>
      <c r="T719" s="8" t="n">
        <f aca="false">IF(O719&gt;=Models!$G$8,1+COUNTIF($O$5:$O$1517,"&gt;"&amp;O719)+COUNTIFS($O$5:$O$1517,O719,$B$5:$B$1517,"&lt;"&amp;B719)+COUNTIFS($O$5:$O$1517,O719,$B$5:$B$1517,B719,$C$5:$C$1517,"&lt;"&amp;C719),"")</f>
        <v>1372</v>
      </c>
      <c r="U719" s="8" t="n">
        <f aca="false">IF($K719=1,COUNTIFS($L$5:$L$1517,"&gt;="&amp;L719,$K$5:$K$1517,1)/COUNTIF($L$5:$L$1517,"&gt;="&amp;L719),0)</f>
        <v>0</v>
      </c>
      <c r="V719" s="8" t="n">
        <f aca="false">IF($K719=1,COUNTIFS($M$5:$M$1517,"&gt;="&amp;M719,$K$5:$K$1517,1)/COUNTIF($M$5:$M$1517,"&gt;="&amp;M719),0)</f>
        <v>0</v>
      </c>
      <c r="W719" s="8" t="n">
        <f aca="false">IF($K719=1,COUNTIFS($N$5:$N$1517,"&gt;="&amp;N719,$K$5:$K$1517,1)/COUNTIF($N$5:$N$1517,"&gt;="&amp;N719),0)</f>
        <v>0</v>
      </c>
      <c r="X719" s="8" t="n">
        <f aca="false">IF($K719=1,COUNTIFS($O$5:$O$1517,"&gt;="&amp;O719,$K$5:$K$1517,1)/COUNTIF($O$5:$O$1517,"&gt;="&amp;O719),0)</f>
        <v>0</v>
      </c>
      <c r="Y719" s="8" t="n">
        <f aca="false">IF($K719=1,COUNTIFS($P$5:$P$1517,"&gt;="&amp;P719,$K$5:$K$1517,1)/COUNTIF($P$5:$P$1517,"&gt;="&amp;P719),0)</f>
        <v>0</v>
      </c>
      <c r="Z719" s="8" t="n">
        <f aca="false">(L719-$K719)^2</f>
        <v>0.324433907281</v>
      </c>
      <c r="AA719" s="8" t="n">
        <f aca="false">(M719-$K719)^2</f>
        <v>0.008475595969</v>
      </c>
      <c r="AB719" s="8" t="n">
        <f aca="false">(N719-$K719)^2</f>
        <v>0.010452199696</v>
      </c>
      <c r="AC719" s="8" t="n">
        <f aca="false">(O719-$K719)^2</f>
        <v>0.011274829489</v>
      </c>
      <c r="AD719" s="8" t="n">
        <f aca="false">(P719-$K719)^2</f>
        <v>0.011754029056</v>
      </c>
      <c r="AE719" s="8" t="n">
        <f aca="false">MIN(INT(ROUND(N719*1000000,0)/100000),9)</f>
        <v>1</v>
      </c>
      <c r="AF719" s="8" t="n">
        <f aca="false">MIN(INT(ROUND(P719*1000000,0)/100000),9)</f>
        <v>1</v>
      </c>
    </row>
    <row r="720" customFormat="false" ht="15" hidden="false" customHeight="false" outlineLevel="0" collapsed="false">
      <c r="A720" s="4" t="n">
        <v>716</v>
      </c>
      <c r="B720" s="4" t="n">
        <v>1608</v>
      </c>
      <c r="C720" s="4" t="n">
        <v>1</v>
      </c>
      <c r="D720" s="11" t="n">
        <v>46082</v>
      </c>
      <c r="E720" s="4" t="s">
        <v>202</v>
      </c>
      <c r="F720" s="4" t="s">
        <v>206</v>
      </c>
      <c r="G720" s="4" t="n">
        <v>17</v>
      </c>
      <c r="H720" s="4" t="n">
        <v>0</v>
      </c>
      <c r="I720" s="4" t="n">
        <v>1</v>
      </c>
      <c r="J720" s="4" t="n">
        <v>1143</v>
      </c>
      <c r="K720" s="4" t="n">
        <v>0</v>
      </c>
      <c r="L720" s="12" t="n">
        <v>0.532176</v>
      </c>
      <c r="M720" s="12" t="n">
        <v>0.184211</v>
      </c>
      <c r="N720" s="12" t="n">
        <v>0.065604</v>
      </c>
      <c r="O720" s="12" t="n">
        <v>0.106183</v>
      </c>
      <c r="P720" s="12" t="n">
        <v>0.068264</v>
      </c>
      <c r="Q720" s="0" t="str">
        <f aca="false">IF(L720&gt;=Models!$G$5,1+COUNTIF($L$5:$L$1517,"&gt;"&amp;L720)+COUNTIFS($L$5:$L$1517,L720,$B$5:$B$1517,"&lt;"&amp;B720)+COUNTIFS($L$5:$L$1517,L720,$B$5:$B$1517,B720,$C$5:$C$1517,"&lt;"&amp;C720),"")</f>
        <v/>
      </c>
      <c r="R720" s="8" t="n">
        <f aca="false">IF(M720&gt;=Models!$G$6,1+COUNTIF($M$5:$M$1517,"&gt;"&amp;M720)+COUNTIFS($M$5:$M$1517,M720,$B$5:$B$1517,"&lt;"&amp;B720)+COUNTIFS($M$5:$M$1517,M720,$B$5:$B$1517,B720,$C$5:$C$1517,"&lt;"&amp;C720),"")</f>
        <v>176</v>
      </c>
      <c r="S720" s="0" t="str">
        <f aca="false">IF(N720&gt;=Models!$G$7,1+COUNTIF($N$5:$N$1517,"&gt;"&amp;N720)+COUNTIFS($N$5:$N$1517,N720,$B$5:$B$1517,"&lt;"&amp;B720)+COUNTIFS($N$5:$N$1517,N720,$B$5:$B$1517,B720,$C$5:$C$1517,"&lt;"&amp;C720),"")</f>
        <v/>
      </c>
      <c r="T720" s="8" t="n">
        <f aca="false">IF(O720&gt;=Models!$G$8,1+COUNTIF($O$5:$O$1517,"&gt;"&amp;O720)+COUNTIFS($O$5:$O$1517,O720,$B$5:$B$1517,"&lt;"&amp;B720)+COUNTIFS($O$5:$O$1517,O720,$B$5:$B$1517,B720,$C$5:$C$1517,"&lt;"&amp;C720),"")</f>
        <v>1375</v>
      </c>
      <c r="U720" s="8" t="n">
        <f aca="false">IF($K720=1,COUNTIFS($L$5:$L$1517,"&gt;="&amp;L720,$K$5:$K$1517,1)/COUNTIF($L$5:$L$1517,"&gt;="&amp;L720),0)</f>
        <v>0</v>
      </c>
      <c r="V720" s="8" t="n">
        <f aca="false">IF($K720=1,COUNTIFS($M$5:$M$1517,"&gt;="&amp;M720,$K$5:$K$1517,1)/COUNTIF($M$5:$M$1517,"&gt;="&amp;M720),0)</f>
        <v>0</v>
      </c>
      <c r="W720" s="8" t="n">
        <f aca="false">IF($K720=1,COUNTIFS($N$5:$N$1517,"&gt;="&amp;N720,$K$5:$K$1517,1)/COUNTIF($N$5:$N$1517,"&gt;="&amp;N720),0)</f>
        <v>0</v>
      </c>
      <c r="X720" s="8" t="n">
        <f aca="false">IF($K720=1,COUNTIFS($O$5:$O$1517,"&gt;="&amp;O720,$K$5:$K$1517,1)/COUNTIF($O$5:$O$1517,"&gt;="&amp;O720),0)</f>
        <v>0</v>
      </c>
      <c r="Y720" s="8" t="n">
        <f aca="false">IF($K720=1,COUNTIFS($P$5:$P$1517,"&gt;="&amp;P720,$K$5:$K$1517,1)/COUNTIF($P$5:$P$1517,"&gt;="&amp;P720),0)</f>
        <v>0</v>
      </c>
      <c r="Z720" s="8" t="n">
        <f aca="false">(L720-$K720)^2</f>
        <v>0.283211294976</v>
      </c>
      <c r="AA720" s="8" t="n">
        <f aca="false">(M720-$K720)^2</f>
        <v>0.033933692521</v>
      </c>
      <c r="AB720" s="8" t="n">
        <f aca="false">(N720-$K720)^2</f>
        <v>0.004303884816</v>
      </c>
      <c r="AC720" s="8" t="n">
        <f aca="false">(O720-$K720)^2</f>
        <v>0.011274829489</v>
      </c>
      <c r="AD720" s="8" t="n">
        <f aca="false">(P720-$K720)^2</f>
        <v>0.004659973696</v>
      </c>
      <c r="AE720" s="8" t="n">
        <f aca="false">MIN(INT(ROUND(N720*1000000,0)/100000),9)</f>
        <v>0</v>
      </c>
      <c r="AF720" s="8" t="n">
        <f aca="false">MIN(INT(ROUND(P720*1000000,0)/100000),9)</f>
        <v>0</v>
      </c>
    </row>
    <row r="721" customFormat="false" ht="15" hidden="false" customHeight="false" outlineLevel="0" collapsed="false">
      <c r="A721" s="4" t="n">
        <v>717</v>
      </c>
      <c r="B721" s="4" t="n">
        <v>1610</v>
      </c>
      <c r="C721" s="4" t="n">
        <v>1</v>
      </c>
      <c r="D721" s="11" t="n">
        <v>46082</v>
      </c>
      <c r="E721" s="4" t="s">
        <v>204</v>
      </c>
      <c r="F721" s="4" t="s">
        <v>208</v>
      </c>
      <c r="G721" s="4" t="n">
        <v>1</v>
      </c>
      <c r="H721" s="4" t="n">
        <v>23</v>
      </c>
      <c r="I721" s="4" t="n">
        <v>0</v>
      </c>
      <c r="J721" s="4" t="n">
        <v>90</v>
      </c>
      <c r="K721" s="4" t="n">
        <v>1</v>
      </c>
      <c r="L721" s="12" t="n">
        <v>0.318682</v>
      </c>
      <c r="M721" s="12" t="n">
        <v>0.092063</v>
      </c>
      <c r="N721" s="12" t="n">
        <v>0.173245</v>
      </c>
      <c r="O721" s="12" t="n">
        <v>0.106183</v>
      </c>
      <c r="P721" s="12" t="n">
        <v>0.187218</v>
      </c>
      <c r="Q721" s="0" t="str">
        <f aca="false">IF(L721&gt;=Models!$G$5,1+COUNTIF($L$5:$L$1517,"&gt;"&amp;L721)+COUNTIFS($L$5:$L$1517,L721,$B$5:$B$1517,"&lt;"&amp;B721)+COUNTIFS($L$5:$L$1517,L721,$B$5:$B$1517,B721,$C$5:$C$1517,"&lt;"&amp;C721),"")</f>
        <v/>
      </c>
      <c r="R721" s="0" t="str">
        <f aca="false">IF(M721&gt;=Models!$G$6,1+COUNTIF($M$5:$M$1517,"&gt;"&amp;M721)+COUNTIFS($M$5:$M$1517,M721,$B$5:$B$1517,"&lt;"&amp;B721)+COUNTIFS($M$5:$M$1517,M721,$B$5:$B$1517,B721,$C$5:$C$1517,"&lt;"&amp;C721),"")</f>
        <v/>
      </c>
      <c r="S721" s="0" t="str">
        <f aca="false">IF(N721&gt;=Models!$G$7,1+COUNTIF($N$5:$N$1517,"&gt;"&amp;N721)+COUNTIFS($N$5:$N$1517,N721,$B$5:$B$1517,"&lt;"&amp;B721)+COUNTIFS($N$5:$N$1517,N721,$B$5:$B$1517,B721,$C$5:$C$1517,"&lt;"&amp;C721),"")</f>
        <v/>
      </c>
      <c r="T721" s="8" t="n">
        <f aca="false">IF(O721&gt;=Models!$G$8,1+COUNTIF($O$5:$O$1517,"&gt;"&amp;O721)+COUNTIFS($O$5:$O$1517,O721,$B$5:$B$1517,"&lt;"&amp;B721)+COUNTIFS($O$5:$O$1517,O721,$B$5:$B$1517,B721,$C$5:$C$1517,"&lt;"&amp;C721),"")</f>
        <v>1378</v>
      </c>
      <c r="U721" s="8" t="n">
        <f aca="false">IF($K721=1,COUNTIFS($L$5:$L$1517,"&gt;="&amp;L721,$K$5:$K$1517,1)/COUNTIF($L$5:$L$1517,"&gt;="&amp;L721),0)</f>
        <v>0.127344521224087</v>
      </c>
      <c r="V721" s="8" t="n">
        <f aca="false">IF($K721=1,COUNTIFS($M$5:$M$1517,"&gt;="&amp;M721,$K$5:$K$1517,1)/COUNTIF($M$5:$M$1517,"&gt;="&amp;M721),0)</f>
        <v>0.12491738268341</v>
      </c>
      <c r="W721" s="8" t="n">
        <f aca="false">IF($K721=1,COUNTIFS($N$5:$N$1517,"&gt;="&amp;N721,$K$5:$K$1517,1)/COUNTIF($N$5:$N$1517,"&gt;="&amp;N721),0)</f>
        <v>0.342592592592593</v>
      </c>
      <c r="X721" s="8" t="n">
        <f aca="false">IF($K721=1,COUNTIFS($O$5:$O$1517,"&gt;="&amp;O721,$K$5:$K$1517,1)/COUNTIF($O$5:$O$1517,"&gt;="&amp;O721),0)</f>
        <v>0.12491738268341</v>
      </c>
      <c r="Y721" s="8" t="n">
        <f aca="false">IF($K721=1,COUNTIFS($P$5:$P$1517,"&gt;="&amp;P721,$K$5:$K$1517,1)/COUNTIF($P$5:$P$1517,"&gt;="&amp;P721),0)</f>
        <v>0.342592592592593</v>
      </c>
      <c r="Z721" s="8" t="n">
        <f aca="false">(L721-$K721)^2</f>
        <v>0.464194217124</v>
      </c>
      <c r="AA721" s="8" t="n">
        <f aca="false">(M721-$K721)^2</f>
        <v>0.824349595969</v>
      </c>
      <c r="AB721" s="8" t="n">
        <f aca="false">(N721-$K721)^2</f>
        <v>0.683523830025</v>
      </c>
      <c r="AC721" s="8" t="n">
        <f aca="false">(O721-$K721)^2</f>
        <v>0.798908829489</v>
      </c>
      <c r="AD721" s="8" t="n">
        <f aca="false">(P721-$K721)^2</f>
        <v>0.660614579524</v>
      </c>
      <c r="AE721" s="8" t="n">
        <f aca="false">MIN(INT(ROUND(N721*1000000,0)/100000),9)</f>
        <v>1</v>
      </c>
      <c r="AF721" s="8" t="n">
        <f aca="false">MIN(INT(ROUND(P721*1000000,0)/100000),9)</f>
        <v>1</v>
      </c>
    </row>
    <row r="722" customFormat="false" ht="15" hidden="false" customHeight="false" outlineLevel="0" collapsed="false">
      <c r="A722" s="4" t="n">
        <v>718</v>
      </c>
      <c r="B722" s="4" t="n">
        <v>1611</v>
      </c>
      <c r="C722" s="4" t="n">
        <v>1</v>
      </c>
      <c r="D722" s="11" t="n">
        <v>46082</v>
      </c>
      <c r="E722" s="4" t="s">
        <v>204</v>
      </c>
      <c r="F722" s="4" t="s">
        <v>208</v>
      </c>
      <c r="G722" s="4" t="n">
        <v>2</v>
      </c>
      <c r="H722" s="4" t="n">
        <v>0</v>
      </c>
      <c r="I722" s="4" t="n">
        <v>0</v>
      </c>
      <c r="J722" s="4" t="n">
        <v>108</v>
      </c>
      <c r="K722" s="4" t="n">
        <v>0</v>
      </c>
      <c r="L722" s="12" t="n">
        <v>0.328836</v>
      </c>
      <c r="M722" s="12" t="n">
        <v>0.092063</v>
      </c>
      <c r="N722" s="12" t="n">
        <v>0.136778</v>
      </c>
      <c r="O722" s="12" t="n">
        <v>0.106183</v>
      </c>
      <c r="P722" s="12" t="n">
        <v>0.146665</v>
      </c>
      <c r="Q722" s="0" t="str">
        <f aca="false">IF(L722&gt;=Models!$G$5,1+COUNTIF($L$5:$L$1517,"&gt;"&amp;L722)+COUNTIFS($L$5:$L$1517,L722,$B$5:$B$1517,"&lt;"&amp;B722)+COUNTIFS($L$5:$L$1517,L722,$B$5:$B$1517,B722,$C$5:$C$1517,"&lt;"&amp;C722),"")</f>
        <v/>
      </c>
      <c r="R722" s="0" t="str">
        <f aca="false">IF(M722&gt;=Models!$G$6,1+COUNTIF($M$5:$M$1517,"&gt;"&amp;M722)+COUNTIFS($M$5:$M$1517,M722,$B$5:$B$1517,"&lt;"&amp;B722)+COUNTIFS($M$5:$M$1517,M722,$B$5:$B$1517,B722,$C$5:$C$1517,"&lt;"&amp;C722),"")</f>
        <v/>
      </c>
      <c r="S722" s="0" t="str">
        <f aca="false">IF(N722&gt;=Models!$G$7,1+COUNTIF($N$5:$N$1517,"&gt;"&amp;N722)+COUNTIFS($N$5:$N$1517,N722,$B$5:$B$1517,"&lt;"&amp;B722)+COUNTIFS($N$5:$N$1517,N722,$B$5:$B$1517,B722,$C$5:$C$1517,"&lt;"&amp;C722),"")</f>
        <v/>
      </c>
      <c r="T722" s="8" t="n">
        <f aca="false">IF(O722&gt;=Models!$G$8,1+COUNTIF($O$5:$O$1517,"&gt;"&amp;O722)+COUNTIFS($O$5:$O$1517,O722,$B$5:$B$1517,"&lt;"&amp;B722)+COUNTIFS($O$5:$O$1517,O722,$B$5:$B$1517,B722,$C$5:$C$1517,"&lt;"&amp;C722),"")</f>
        <v>1380</v>
      </c>
      <c r="U722" s="8" t="n">
        <f aca="false">IF($K722=1,COUNTIFS($L$5:$L$1517,"&gt;="&amp;L722,$K$5:$K$1517,1)/COUNTIF($L$5:$L$1517,"&gt;="&amp;L722),0)</f>
        <v>0</v>
      </c>
      <c r="V722" s="8" t="n">
        <f aca="false">IF($K722=1,COUNTIFS($M$5:$M$1517,"&gt;="&amp;M722,$K$5:$K$1517,1)/COUNTIF($M$5:$M$1517,"&gt;="&amp;M722),0)</f>
        <v>0</v>
      </c>
      <c r="W722" s="8" t="n">
        <f aca="false">IF($K722=1,COUNTIFS($N$5:$N$1517,"&gt;="&amp;N722,$K$5:$K$1517,1)/COUNTIF($N$5:$N$1517,"&gt;="&amp;N722),0)</f>
        <v>0</v>
      </c>
      <c r="X722" s="8" t="n">
        <f aca="false">IF($K722=1,COUNTIFS($O$5:$O$1517,"&gt;="&amp;O722,$K$5:$K$1517,1)/COUNTIF($O$5:$O$1517,"&gt;="&amp;O722),0)</f>
        <v>0</v>
      </c>
      <c r="Y722" s="8" t="n">
        <f aca="false">IF($K722=1,COUNTIFS($P$5:$P$1517,"&gt;="&amp;P722,$K$5:$K$1517,1)/COUNTIF($P$5:$P$1517,"&gt;="&amp;P722),0)</f>
        <v>0</v>
      </c>
      <c r="Z722" s="8" t="n">
        <f aca="false">(L722-$K722)^2</f>
        <v>0.108133114896</v>
      </c>
      <c r="AA722" s="8" t="n">
        <f aca="false">(M722-$K722)^2</f>
        <v>0.008475595969</v>
      </c>
      <c r="AB722" s="8" t="n">
        <f aca="false">(N722-$K722)^2</f>
        <v>0.018708221284</v>
      </c>
      <c r="AC722" s="8" t="n">
        <f aca="false">(O722-$K722)^2</f>
        <v>0.011274829489</v>
      </c>
      <c r="AD722" s="8" t="n">
        <f aca="false">(P722-$K722)^2</f>
        <v>0.021510622225</v>
      </c>
      <c r="AE722" s="8" t="n">
        <f aca="false">MIN(INT(ROUND(N722*1000000,0)/100000),9)</f>
        <v>1</v>
      </c>
      <c r="AF722" s="8" t="n">
        <f aca="false">MIN(INT(ROUND(P722*1000000,0)/100000),9)</f>
        <v>1</v>
      </c>
    </row>
    <row r="723" customFormat="false" ht="15" hidden="false" customHeight="false" outlineLevel="0" collapsed="false">
      <c r="A723" s="4" t="n">
        <v>719</v>
      </c>
      <c r="B723" s="4" t="n">
        <v>1613</v>
      </c>
      <c r="C723" s="4" t="n">
        <v>1</v>
      </c>
      <c r="D723" s="11" t="n">
        <v>46082</v>
      </c>
      <c r="E723" s="4" t="s">
        <v>201</v>
      </c>
      <c r="F723" s="4" t="s">
        <v>209</v>
      </c>
      <c r="G723" s="4" t="n">
        <v>12</v>
      </c>
      <c r="H723" s="4" t="n">
        <v>0</v>
      </c>
      <c r="I723" s="4" t="n">
        <v>0</v>
      </c>
      <c r="J723" s="4"/>
      <c r="K723" s="4" t="n">
        <v>0</v>
      </c>
      <c r="L723" s="12" t="n">
        <v>0.234425</v>
      </c>
      <c r="M723" s="12" t="n">
        <v>0.092063</v>
      </c>
      <c r="N723" s="12" t="n">
        <v>0.02952</v>
      </c>
      <c r="O723" s="12" t="n">
        <v>0.106183</v>
      </c>
      <c r="P723" s="12" t="n">
        <v>0.0296</v>
      </c>
      <c r="Q723" s="0" t="str">
        <f aca="false">IF(L723&gt;=Models!$G$5,1+COUNTIF($L$5:$L$1517,"&gt;"&amp;L723)+COUNTIFS($L$5:$L$1517,L723,$B$5:$B$1517,"&lt;"&amp;B723)+COUNTIFS($L$5:$L$1517,L723,$B$5:$B$1517,B723,$C$5:$C$1517,"&lt;"&amp;C723),"")</f>
        <v/>
      </c>
      <c r="R723" s="0" t="str">
        <f aca="false">IF(M723&gt;=Models!$G$6,1+COUNTIF($M$5:$M$1517,"&gt;"&amp;M723)+COUNTIFS($M$5:$M$1517,M723,$B$5:$B$1517,"&lt;"&amp;B723)+COUNTIFS($M$5:$M$1517,M723,$B$5:$B$1517,B723,$C$5:$C$1517,"&lt;"&amp;C723),"")</f>
        <v/>
      </c>
      <c r="S723" s="0" t="str">
        <f aca="false">IF(N723&gt;=Models!$G$7,1+COUNTIF($N$5:$N$1517,"&gt;"&amp;N723)+COUNTIFS($N$5:$N$1517,N723,$B$5:$B$1517,"&lt;"&amp;B723)+COUNTIFS($N$5:$N$1517,N723,$B$5:$B$1517,B723,$C$5:$C$1517,"&lt;"&amp;C723),"")</f>
        <v/>
      </c>
      <c r="T723" s="8" t="n">
        <f aca="false">IF(O723&gt;=Models!$G$8,1+COUNTIF($O$5:$O$1517,"&gt;"&amp;O723)+COUNTIFS($O$5:$O$1517,O723,$B$5:$B$1517,"&lt;"&amp;B723)+COUNTIFS($O$5:$O$1517,O723,$B$5:$B$1517,B723,$C$5:$C$1517,"&lt;"&amp;C723),"")</f>
        <v>1383</v>
      </c>
      <c r="U723" s="8" t="n">
        <f aca="false">IF($K723=1,COUNTIFS($L$5:$L$1517,"&gt;="&amp;L723,$K$5:$K$1517,1)/COUNTIF($L$5:$L$1517,"&gt;="&amp;L723),0)</f>
        <v>0</v>
      </c>
      <c r="V723" s="8" t="n">
        <f aca="false">IF($K723=1,COUNTIFS($M$5:$M$1517,"&gt;="&amp;M723,$K$5:$K$1517,1)/COUNTIF($M$5:$M$1517,"&gt;="&amp;M723),0)</f>
        <v>0</v>
      </c>
      <c r="W723" s="8" t="n">
        <f aca="false">IF($K723=1,COUNTIFS($N$5:$N$1517,"&gt;="&amp;N723,$K$5:$K$1517,1)/COUNTIF($N$5:$N$1517,"&gt;="&amp;N723),0)</f>
        <v>0</v>
      </c>
      <c r="X723" s="8" t="n">
        <f aca="false">IF($K723=1,COUNTIFS($O$5:$O$1517,"&gt;="&amp;O723,$K$5:$K$1517,1)/COUNTIF($O$5:$O$1517,"&gt;="&amp;O723),0)</f>
        <v>0</v>
      </c>
      <c r="Y723" s="8" t="n">
        <f aca="false">IF($K723=1,COUNTIFS($P$5:$P$1517,"&gt;="&amp;P723,$K$5:$K$1517,1)/COUNTIF($P$5:$P$1517,"&gt;="&amp;P723),0)</f>
        <v>0</v>
      </c>
      <c r="Z723" s="8" t="n">
        <f aca="false">(L723-$K723)^2</f>
        <v>0.054955080625</v>
      </c>
      <c r="AA723" s="8" t="n">
        <f aca="false">(M723-$K723)^2</f>
        <v>0.008475595969</v>
      </c>
      <c r="AB723" s="8" t="n">
        <f aca="false">(N723-$K723)^2</f>
        <v>0.0008714304</v>
      </c>
      <c r="AC723" s="8" t="n">
        <f aca="false">(O723-$K723)^2</f>
        <v>0.011274829489</v>
      </c>
      <c r="AD723" s="8" t="n">
        <f aca="false">(P723-$K723)^2</f>
        <v>0.00087616</v>
      </c>
      <c r="AE723" s="8" t="n">
        <f aca="false">MIN(INT(ROUND(N723*1000000,0)/100000),9)</f>
        <v>0</v>
      </c>
      <c r="AF723" s="8" t="n">
        <f aca="false">MIN(INT(ROUND(P723*1000000,0)/100000),9)</f>
        <v>0</v>
      </c>
    </row>
    <row r="724" customFormat="false" ht="15" hidden="false" customHeight="false" outlineLevel="0" collapsed="false">
      <c r="A724" s="4" t="n">
        <v>720</v>
      </c>
      <c r="B724" s="4" t="n">
        <v>1616</v>
      </c>
      <c r="C724" s="4" t="n">
        <v>1</v>
      </c>
      <c r="D724" s="11" t="n">
        <v>46082</v>
      </c>
      <c r="E724" s="4" t="s">
        <v>201</v>
      </c>
      <c r="F724" s="4" t="s">
        <v>209</v>
      </c>
      <c r="G724" s="4" t="n">
        <v>11</v>
      </c>
      <c r="H724" s="4" t="n">
        <v>2</v>
      </c>
      <c r="I724" s="4" t="n">
        <v>1</v>
      </c>
      <c r="J724" s="4"/>
      <c r="K724" s="4" t="n">
        <v>0</v>
      </c>
      <c r="L724" s="12" t="n">
        <v>0.181003</v>
      </c>
      <c r="M724" s="12" t="n">
        <v>0.184211</v>
      </c>
      <c r="N724" s="12" t="n">
        <v>0.05785</v>
      </c>
      <c r="O724" s="12" t="n">
        <v>0.106183</v>
      </c>
      <c r="P724" s="12" t="n">
        <v>0.059856</v>
      </c>
      <c r="Q724" s="0" t="str">
        <f aca="false">IF(L724&gt;=Models!$G$5,1+COUNTIF($L$5:$L$1517,"&gt;"&amp;L724)+COUNTIFS($L$5:$L$1517,L724,$B$5:$B$1517,"&lt;"&amp;B724)+COUNTIFS($L$5:$L$1517,L724,$B$5:$B$1517,B724,$C$5:$C$1517,"&lt;"&amp;C724),"")</f>
        <v/>
      </c>
      <c r="R724" s="8" t="n">
        <f aca="false">IF(M724&gt;=Models!$G$6,1+COUNTIF($M$5:$M$1517,"&gt;"&amp;M724)+COUNTIFS($M$5:$M$1517,M724,$B$5:$B$1517,"&lt;"&amp;B724)+COUNTIFS($M$5:$M$1517,M724,$B$5:$B$1517,B724,$C$5:$C$1517,"&lt;"&amp;C724),"")</f>
        <v>177</v>
      </c>
      <c r="S724" s="0" t="str">
        <f aca="false">IF(N724&gt;=Models!$G$7,1+COUNTIF($N$5:$N$1517,"&gt;"&amp;N724)+COUNTIFS($N$5:$N$1517,N724,$B$5:$B$1517,"&lt;"&amp;B724)+COUNTIFS($N$5:$N$1517,N724,$B$5:$B$1517,B724,$C$5:$C$1517,"&lt;"&amp;C724),"")</f>
        <v/>
      </c>
      <c r="T724" s="8" t="n">
        <f aca="false">IF(O724&gt;=Models!$G$8,1+COUNTIF($O$5:$O$1517,"&gt;"&amp;O724)+COUNTIFS($O$5:$O$1517,O724,$B$5:$B$1517,"&lt;"&amp;B724)+COUNTIFS($O$5:$O$1517,O724,$B$5:$B$1517,B724,$C$5:$C$1517,"&lt;"&amp;C724),"")</f>
        <v>1386</v>
      </c>
      <c r="U724" s="8" t="n">
        <f aca="false">IF($K724=1,COUNTIFS($L$5:$L$1517,"&gt;="&amp;L724,$K$5:$K$1517,1)/COUNTIF($L$5:$L$1517,"&gt;="&amp;L724),0)</f>
        <v>0</v>
      </c>
      <c r="V724" s="8" t="n">
        <f aca="false">IF($K724=1,COUNTIFS($M$5:$M$1517,"&gt;="&amp;M724,$K$5:$K$1517,1)/COUNTIF($M$5:$M$1517,"&gt;="&amp;M724),0)</f>
        <v>0</v>
      </c>
      <c r="W724" s="8" t="n">
        <f aca="false">IF($K724=1,COUNTIFS($N$5:$N$1517,"&gt;="&amp;N724,$K$5:$K$1517,1)/COUNTIF($N$5:$N$1517,"&gt;="&amp;N724),0)</f>
        <v>0</v>
      </c>
      <c r="X724" s="8" t="n">
        <f aca="false">IF($K724=1,COUNTIFS($O$5:$O$1517,"&gt;="&amp;O724,$K$5:$K$1517,1)/COUNTIF($O$5:$O$1517,"&gt;="&amp;O724),0)</f>
        <v>0</v>
      </c>
      <c r="Y724" s="8" t="n">
        <f aca="false">IF($K724=1,COUNTIFS($P$5:$P$1517,"&gt;="&amp;P724,$K$5:$K$1517,1)/COUNTIF($P$5:$P$1517,"&gt;="&amp;P724),0)</f>
        <v>0</v>
      </c>
      <c r="Z724" s="8" t="n">
        <f aca="false">(L724-$K724)^2</f>
        <v>0.032762086009</v>
      </c>
      <c r="AA724" s="8" t="n">
        <f aca="false">(M724-$K724)^2</f>
        <v>0.033933692521</v>
      </c>
      <c r="AB724" s="8" t="n">
        <f aca="false">(N724-$K724)^2</f>
        <v>0.0033466225</v>
      </c>
      <c r="AC724" s="8" t="n">
        <f aca="false">(O724-$K724)^2</f>
        <v>0.011274829489</v>
      </c>
      <c r="AD724" s="8" t="n">
        <f aca="false">(P724-$K724)^2</f>
        <v>0.003582740736</v>
      </c>
      <c r="AE724" s="8" t="n">
        <f aca="false">MIN(INT(ROUND(N724*1000000,0)/100000),9)</f>
        <v>0</v>
      </c>
      <c r="AF724" s="8" t="n">
        <f aca="false">MIN(INT(ROUND(P724*1000000,0)/100000),9)</f>
        <v>0</v>
      </c>
    </row>
    <row r="725" customFormat="false" ht="15" hidden="false" customHeight="false" outlineLevel="0" collapsed="false">
      <c r="A725" s="4" t="n">
        <v>721</v>
      </c>
      <c r="B725" s="4" t="n">
        <v>1624</v>
      </c>
      <c r="C725" s="4" t="n">
        <v>1</v>
      </c>
      <c r="D725" s="11" t="n">
        <v>46082</v>
      </c>
      <c r="E725" s="4" t="s">
        <v>203</v>
      </c>
      <c r="F725" s="4" t="s">
        <v>206</v>
      </c>
      <c r="G725" s="4" t="n">
        <v>5</v>
      </c>
      <c r="H725" s="4" t="n">
        <v>4</v>
      </c>
      <c r="I725" s="4" t="n">
        <v>0</v>
      </c>
      <c r="J725" s="4"/>
      <c r="K725" s="4" t="n">
        <v>0</v>
      </c>
      <c r="L725" s="12" t="n">
        <v>0.699866</v>
      </c>
      <c r="M725" s="12" t="n">
        <v>0.092063</v>
      </c>
      <c r="N725" s="12" t="n">
        <v>0.055725</v>
      </c>
      <c r="O725" s="12" t="n">
        <v>0.106183</v>
      </c>
      <c r="P725" s="12" t="n">
        <v>0.057559</v>
      </c>
      <c r="Q725" s="0" t="str">
        <f aca="false">IF(L725&gt;=Models!$G$5,1+COUNTIF($L$5:$L$1517,"&gt;"&amp;L725)+COUNTIFS($L$5:$L$1517,L725,$B$5:$B$1517,"&lt;"&amp;B725)+COUNTIFS($L$5:$L$1517,L725,$B$5:$B$1517,B725,$C$5:$C$1517,"&lt;"&amp;C725),"")</f>
        <v/>
      </c>
      <c r="R725" s="0" t="str">
        <f aca="false">IF(M725&gt;=Models!$G$6,1+COUNTIF($M$5:$M$1517,"&gt;"&amp;M725)+COUNTIFS($M$5:$M$1517,M725,$B$5:$B$1517,"&lt;"&amp;B725)+COUNTIFS($M$5:$M$1517,M725,$B$5:$B$1517,B725,$C$5:$C$1517,"&lt;"&amp;C725),"")</f>
        <v/>
      </c>
      <c r="S725" s="0" t="str">
        <f aca="false">IF(N725&gt;=Models!$G$7,1+COUNTIF($N$5:$N$1517,"&gt;"&amp;N725)+COUNTIFS($N$5:$N$1517,N725,$B$5:$B$1517,"&lt;"&amp;B725)+COUNTIFS($N$5:$N$1517,N725,$B$5:$B$1517,B725,$C$5:$C$1517,"&lt;"&amp;C725),"")</f>
        <v/>
      </c>
      <c r="T725" s="8" t="n">
        <f aca="false">IF(O725&gt;=Models!$G$8,1+COUNTIF($O$5:$O$1517,"&gt;"&amp;O725)+COUNTIFS($O$5:$O$1517,O725,$B$5:$B$1517,"&lt;"&amp;B725)+COUNTIFS($O$5:$O$1517,O725,$B$5:$B$1517,B725,$C$5:$C$1517,"&lt;"&amp;C725),"")</f>
        <v>1389</v>
      </c>
      <c r="U725" s="8" t="n">
        <f aca="false">IF($K725=1,COUNTIFS($L$5:$L$1517,"&gt;="&amp;L725,$K$5:$K$1517,1)/COUNTIF($L$5:$L$1517,"&gt;="&amp;L725),0)</f>
        <v>0</v>
      </c>
      <c r="V725" s="8" t="n">
        <f aca="false">IF($K725=1,COUNTIFS($M$5:$M$1517,"&gt;="&amp;M725,$K$5:$K$1517,1)/COUNTIF($M$5:$M$1517,"&gt;="&amp;M725),0)</f>
        <v>0</v>
      </c>
      <c r="W725" s="8" t="n">
        <f aca="false">IF($K725=1,COUNTIFS($N$5:$N$1517,"&gt;="&amp;N725,$K$5:$K$1517,1)/COUNTIF($N$5:$N$1517,"&gt;="&amp;N725),0)</f>
        <v>0</v>
      </c>
      <c r="X725" s="8" t="n">
        <f aca="false">IF($K725=1,COUNTIFS($O$5:$O$1517,"&gt;="&amp;O725,$K$5:$K$1517,1)/COUNTIF($O$5:$O$1517,"&gt;="&amp;O725),0)</f>
        <v>0</v>
      </c>
      <c r="Y725" s="8" t="n">
        <f aca="false">IF($K725=1,COUNTIFS($P$5:$P$1517,"&gt;="&amp;P725,$K$5:$K$1517,1)/COUNTIF($P$5:$P$1517,"&gt;="&amp;P725),0)</f>
        <v>0</v>
      </c>
      <c r="Z725" s="8" t="n">
        <f aca="false">(L725-$K725)^2</f>
        <v>0.489812417956</v>
      </c>
      <c r="AA725" s="8" t="n">
        <f aca="false">(M725-$K725)^2</f>
        <v>0.008475595969</v>
      </c>
      <c r="AB725" s="8" t="n">
        <f aca="false">(N725-$K725)^2</f>
        <v>0.003105275625</v>
      </c>
      <c r="AC725" s="8" t="n">
        <f aca="false">(O725-$K725)^2</f>
        <v>0.011274829489</v>
      </c>
      <c r="AD725" s="8" t="n">
        <f aca="false">(P725-$K725)^2</f>
        <v>0.003313038481</v>
      </c>
      <c r="AE725" s="8" t="n">
        <f aca="false">MIN(INT(ROUND(N725*1000000,0)/100000),9)</f>
        <v>0</v>
      </c>
      <c r="AF725" s="8" t="n">
        <f aca="false">MIN(INT(ROUND(P725*1000000,0)/100000),9)</f>
        <v>0</v>
      </c>
    </row>
    <row r="726" customFormat="false" ht="15" hidden="false" customHeight="false" outlineLevel="0" collapsed="false">
      <c r="A726" s="4" t="n">
        <v>722</v>
      </c>
      <c r="B726" s="4" t="n">
        <v>1625</v>
      </c>
      <c r="C726" s="4" t="n">
        <v>1</v>
      </c>
      <c r="D726" s="11" t="n">
        <v>46082</v>
      </c>
      <c r="E726" s="4" t="s">
        <v>204</v>
      </c>
      <c r="F726" s="4" t="s">
        <v>209</v>
      </c>
      <c r="G726" s="4" t="n">
        <v>1</v>
      </c>
      <c r="H726" s="4" t="n">
        <v>14</v>
      </c>
      <c r="I726" s="4" t="n">
        <v>0</v>
      </c>
      <c r="J726" s="4" t="n">
        <v>108</v>
      </c>
      <c r="K726" s="4" t="n">
        <v>1</v>
      </c>
      <c r="L726" s="12" t="n">
        <v>0.483511</v>
      </c>
      <c r="M726" s="12" t="n">
        <v>0.092063</v>
      </c>
      <c r="N726" s="12" t="n">
        <v>0.162792</v>
      </c>
      <c r="O726" s="12" t="n">
        <v>0.106183</v>
      </c>
      <c r="P726" s="12" t="n">
        <v>0.175586</v>
      </c>
      <c r="Q726" s="0" t="str">
        <f aca="false">IF(L726&gt;=Models!$G$5,1+COUNTIF($L$5:$L$1517,"&gt;"&amp;L726)+COUNTIFS($L$5:$L$1517,L726,$B$5:$B$1517,"&lt;"&amp;B726)+COUNTIFS($L$5:$L$1517,L726,$B$5:$B$1517,B726,$C$5:$C$1517,"&lt;"&amp;C726),"")</f>
        <v/>
      </c>
      <c r="R726" s="0" t="str">
        <f aca="false">IF(M726&gt;=Models!$G$6,1+COUNTIF($M$5:$M$1517,"&gt;"&amp;M726)+COUNTIFS($M$5:$M$1517,M726,$B$5:$B$1517,"&lt;"&amp;B726)+COUNTIFS($M$5:$M$1517,M726,$B$5:$B$1517,B726,$C$5:$C$1517,"&lt;"&amp;C726),"")</f>
        <v/>
      </c>
      <c r="S726" s="0" t="str">
        <f aca="false">IF(N726&gt;=Models!$G$7,1+COUNTIF($N$5:$N$1517,"&gt;"&amp;N726)+COUNTIFS($N$5:$N$1517,N726,$B$5:$B$1517,"&lt;"&amp;B726)+COUNTIFS($N$5:$N$1517,N726,$B$5:$B$1517,B726,$C$5:$C$1517,"&lt;"&amp;C726),"")</f>
        <v/>
      </c>
      <c r="T726" s="8" t="n">
        <f aca="false">IF(O726&gt;=Models!$G$8,1+COUNTIF($O$5:$O$1517,"&gt;"&amp;O726)+COUNTIFS($O$5:$O$1517,O726,$B$5:$B$1517,"&lt;"&amp;B726)+COUNTIFS($O$5:$O$1517,O726,$B$5:$B$1517,B726,$C$5:$C$1517,"&lt;"&amp;C726),"")</f>
        <v>1392</v>
      </c>
      <c r="U726" s="8" t="n">
        <f aca="false">IF($K726=1,COUNTIFS($L$5:$L$1517,"&gt;="&amp;L726,$K$5:$K$1517,1)/COUNTIF($L$5:$L$1517,"&gt;="&amp;L726),0)</f>
        <v>0.118863049095607</v>
      </c>
      <c r="V726" s="8" t="n">
        <f aca="false">IF($K726=1,COUNTIFS($M$5:$M$1517,"&gt;="&amp;M726,$K$5:$K$1517,1)/COUNTIF($M$5:$M$1517,"&gt;="&amp;M726),0)</f>
        <v>0.12491738268341</v>
      </c>
      <c r="W726" s="8" t="n">
        <f aca="false">IF($K726=1,COUNTIFS($N$5:$N$1517,"&gt;="&amp;N726,$K$5:$K$1517,1)/COUNTIF($N$5:$N$1517,"&gt;="&amp;N726),0)</f>
        <v>0.317567567567568</v>
      </c>
      <c r="X726" s="8" t="n">
        <f aca="false">IF($K726=1,COUNTIFS($O$5:$O$1517,"&gt;="&amp;O726,$K$5:$K$1517,1)/COUNTIF($O$5:$O$1517,"&gt;="&amp;O726),0)</f>
        <v>0.12491738268341</v>
      </c>
      <c r="Y726" s="8" t="n">
        <f aca="false">IF($K726=1,COUNTIFS($P$5:$P$1517,"&gt;="&amp;P726,$K$5:$K$1517,1)/COUNTIF($P$5:$P$1517,"&gt;="&amp;P726),0)</f>
        <v>0.317567567567568</v>
      </c>
      <c r="Z726" s="8" t="n">
        <f aca="false">(L726-$K726)^2</f>
        <v>0.266760887121</v>
      </c>
      <c r="AA726" s="8" t="n">
        <f aca="false">(M726-$K726)^2</f>
        <v>0.824349595969</v>
      </c>
      <c r="AB726" s="8" t="n">
        <f aca="false">(N726-$K726)^2</f>
        <v>0.700917235264</v>
      </c>
      <c r="AC726" s="8" t="n">
        <f aca="false">(O726-$K726)^2</f>
        <v>0.798908829489</v>
      </c>
      <c r="AD726" s="8" t="n">
        <f aca="false">(P726-$K726)^2</f>
        <v>0.679658443396</v>
      </c>
      <c r="AE726" s="8" t="n">
        <f aca="false">MIN(INT(ROUND(N726*1000000,0)/100000),9)</f>
        <v>1</v>
      </c>
      <c r="AF726" s="8" t="n">
        <f aca="false">MIN(INT(ROUND(P726*1000000,0)/100000),9)</f>
        <v>1</v>
      </c>
    </row>
    <row r="727" customFormat="false" ht="15" hidden="false" customHeight="false" outlineLevel="0" collapsed="false">
      <c r="A727" s="4" t="n">
        <v>723</v>
      </c>
      <c r="B727" s="4" t="n">
        <v>1626</v>
      </c>
      <c r="C727" s="4" t="n">
        <v>1</v>
      </c>
      <c r="D727" s="11" t="n">
        <v>46082</v>
      </c>
      <c r="E727" s="4" t="s">
        <v>201</v>
      </c>
      <c r="F727" s="4" t="s">
        <v>209</v>
      </c>
      <c r="G727" s="4" t="n">
        <v>13</v>
      </c>
      <c r="H727" s="4" t="n">
        <v>1</v>
      </c>
      <c r="I727" s="4" t="n">
        <v>0</v>
      </c>
      <c r="J727" s="4"/>
      <c r="K727" s="4" t="n">
        <v>0</v>
      </c>
      <c r="L727" s="12" t="n">
        <v>0.535309</v>
      </c>
      <c r="M727" s="12" t="n">
        <v>0.092063</v>
      </c>
      <c r="N727" s="12" t="n">
        <v>0.027265</v>
      </c>
      <c r="O727" s="12" t="n">
        <v>0.106183</v>
      </c>
      <c r="P727" s="12" t="n">
        <v>0.027236</v>
      </c>
      <c r="Q727" s="0" t="str">
        <f aca="false">IF(L727&gt;=Models!$G$5,1+COUNTIF($L$5:$L$1517,"&gt;"&amp;L727)+COUNTIFS($L$5:$L$1517,L727,$B$5:$B$1517,"&lt;"&amp;B727)+COUNTIFS($L$5:$L$1517,L727,$B$5:$B$1517,B727,$C$5:$C$1517,"&lt;"&amp;C727),"")</f>
        <v/>
      </c>
      <c r="R727" s="0" t="str">
        <f aca="false">IF(M727&gt;=Models!$G$6,1+COUNTIF($M$5:$M$1517,"&gt;"&amp;M727)+COUNTIFS($M$5:$M$1517,M727,$B$5:$B$1517,"&lt;"&amp;B727)+COUNTIFS($M$5:$M$1517,M727,$B$5:$B$1517,B727,$C$5:$C$1517,"&lt;"&amp;C727),"")</f>
        <v/>
      </c>
      <c r="S727" s="0" t="str">
        <f aca="false">IF(N727&gt;=Models!$G$7,1+COUNTIF($N$5:$N$1517,"&gt;"&amp;N727)+COUNTIFS($N$5:$N$1517,N727,$B$5:$B$1517,"&lt;"&amp;B727)+COUNTIFS($N$5:$N$1517,N727,$B$5:$B$1517,B727,$C$5:$C$1517,"&lt;"&amp;C727),"")</f>
        <v/>
      </c>
      <c r="T727" s="8" t="n">
        <f aca="false">IF(O727&gt;=Models!$G$8,1+COUNTIF($O$5:$O$1517,"&gt;"&amp;O727)+COUNTIFS($O$5:$O$1517,O727,$B$5:$B$1517,"&lt;"&amp;B727)+COUNTIFS($O$5:$O$1517,O727,$B$5:$B$1517,B727,$C$5:$C$1517,"&lt;"&amp;C727),"")</f>
        <v>1394</v>
      </c>
      <c r="U727" s="8" t="n">
        <f aca="false">IF($K727=1,COUNTIFS($L$5:$L$1517,"&gt;="&amp;L727,$K$5:$K$1517,1)/COUNTIF($L$5:$L$1517,"&gt;="&amp;L727),0)</f>
        <v>0</v>
      </c>
      <c r="V727" s="8" t="n">
        <f aca="false">IF($K727=1,COUNTIFS($M$5:$M$1517,"&gt;="&amp;M727,$K$5:$K$1517,1)/COUNTIF($M$5:$M$1517,"&gt;="&amp;M727),0)</f>
        <v>0</v>
      </c>
      <c r="W727" s="8" t="n">
        <f aca="false">IF($K727=1,COUNTIFS($N$5:$N$1517,"&gt;="&amp;N727,$K$5:$K$1517,1)/COUNTIF($N$5:$N$1517,"&gt;="&amp;N727),0)</f>
        <v>0</v>
      </c>
      <c r="X727" s="8" t="n">
        <f aca="false">IF($K727=1,COUNTIFS($O$5:$O$1517,"&gt;="&amp;O727,$K$5:$K$1517,1)/COUNTIF($O$5:$O$1517,"&gt;="&amp;O727),0)</f>
        <v>0</v>
      </c>
      <c r="Y727" s="8" t="n">
        <f aca="false">IF($K727=1,COUNTIFS($P$5:$P$1517,"&gt;="&amp;P727,$K$5:$K$1517,1)/COUNTIF($P$5:$P$1517,"&gt;="&amp;P727),0)</f>
        <v>0</v>
      </c>
      <c r="Z727" s="8" t="n">
        <f aca="false">(L727-$K727)^2</f>
        <v>0.286555725481</v>
      </c>
      <c r="AA727" s="8" t="n">
        <f aca="false">(M727-$K727)^2</f>
        <v>0.008475595969</v>
      </c>
      <c r="AB727" s="8" t="n">
        <f aca="false">(N727-$K727)^2</f>
        <v>0.000743380225</v>
      </c>
      <c r="AC727" s="8" t="n">
        <f aca="false">(O727-$K727)^2</f>
        <v>0.011274829489</v>
      </c>
      <c r="AD727" s="8" t="n">
        <f aca="false">(P727-$K727)^2</f>
        <v>0.000741799696</v>
      </c>
      <c r="AE727" s="8" t="n">
        <f aca="false">MIN(INT(ROUND(N727*1000000,0)/100000),9)</f>
        <v>0</v>
      </c>
      <c r="AF727" s="8" t="n">
        <f aca="false">MIN(INT(ROUND(P727*1000000,0)/100000),9)</f>
        <v>0</v>
      </c>
    </row>
    <row r="728" customFormat="false" ht="15" hidden="false" customHeight="false" outlineLevel="0" collapsed="false">
      <c r="A728" s="4" t="n">
        <v>724</v>
      </c>
      <c r="B728" s="4" t="n">
        <v>1628</v>
      </c>
      <c r="C728" s="4" t="n">
        <v>1</v>
      </c>
      <c r="D728" s="11" t="n">
        <v>46082</v>
      </c>
      <c r="E728" s="4" t="s">
        <v>202</v>
      </c>
      <c r="F728" s="4" t="s">
        <v>210</v>
      </c>
      <c r="G728" s="4" t="n">
        <v>4</v>
      </c>
      <c r="H728" s="4" t="n">
        <v>8</v>
      </c>
      <c r="I728" s="4" t="n">
        <v>0</v>
      </c>
      <c r="J728" s="4"/>
      <c r="K728" s="4" t="n">
        <v>0</v>
      </c>
      <c r="L728" s="12" t="n">
        <v>0.768209</v>
      </c>
      <c r="M728" s="12" t="n">
        <v>0.092063</v>
      </c>
      <c r="N728" s="12" t="n">
        <v>0.062549</v>
      </c>
      <c r="O728" s="12" t="n">
        <v>0.106183</v>
      </c>
      <c r="P728" s="12" t="n">
        <v>0.064946</v>
      </c>
      <c r="Q728" s="0" t="str">
        <f aca="false">IF(L728&gt;=Models!$G$5,1+COUNTIF($L$5:$L$1517,"&gt;"&amp;L728)+COUNTIFS($L$5:$L$1517,L728,$B$5:$B$1517,"&lt;"&amp;B728)+COUNTIFS($L$5:$L$1517,L728,$B$5:$B$1517,B728,$C$5:$C$1517,"&lt;"&amp;C728),"")</f>
        <v/>
      </c>
      <c r="R728" s="0" t="str">
        <f aca="false">IF(M728&gt;=Models!$G$6,1+COUNTIF($M$5:$M$1517,"&gt;"&amp;M728)+COUNTIFS($M$5:$M$1517,M728,$B$5:$B$1517,"&lt;"&amp;B728)+COUNTIFS($M$5:$M$1517,M728,$B$5:$B$1517,B728,$C$5:$C$1517,"&lt;"&amp;C728),"")</f>
        <v/>
      </c>
      <c r="S728" s="0" t="str">
        <f aca="false">IF(N728&gt;=Models!$G$7,1+COUNTIF($N$5:$N$1517,"&gt;"&amp;N728)+COUNTIFS($N$5:$N$1517,N728,$B$5:$B$1517,"&lt;"&amp;B728)+COUNTIFS($N$5:$N$1517,N728,$B$5:$B$1517,B728,$C$5:$C$1517,"&lt;"&amp;C728),"")</f>
        <v/>
      </c>
      <c r="T728" s="8" t="n">
        <f aca="false">IF(O728&gt;=Models!$G$8,1+COUNTIF($O$5:$O$1517,"&gt;"&amp;O728)+COUNTIFS($O$5:$O$1517,O728,$B$5:$B$1517,"&lt;"&amp;B728)+COUNTIFS($O$5:$O$1517,O728,$B$5:$B$1517,B728,$C$5:$C$1517,"&lt;"&amp;C728),"")</f>
        <v>1397</v>
      </c>
      <c r="U728" s="8" t="n">
        <f aca="false">IF($K728=1,COUNTIFS($L$5:$L$1517,"&gt;="&amp;L728,$K$5:$K$1517,1)/COUNTIF($L$5:$L$1517,"&gt;="&amp;L728),0)</f>
        <v>0</v>
      </c>
      <c r="V728" s="8" t="n">
        <f aca="false">IF($K728=1,COUNTIFS($M$5:$M$1517,"&gt;="&amp;M728,$K$5:$K$1517,1)/COUNTIF($M$5:$M$1517,"&gt;="&amp;M728),0)</f>
        <v>0</v>
      </c>
      <c r="W728" s="8" t="n">
        <f aca="false">IF($K728=1,COUNTIFS($N$5:$N$1517,"&gt;="&amp;N728,$K$5:$K$1517,1)/COUNTIF($N$5:$N$1517,"&gt;="&amp;N728),0)</f>
        <v>0</v>
      </c>
      <c r="X728" s="8" t="n">
        <f aca="false">IF($K728=1,COUNTIFS($O$5:$O$1517,"&gt;="&amp;O728,$K$5:$K$1517,1)/COUNTIF($O$5:$O$1517,"&gt;="&amp;O728),0)</f>
        <v>0</v>
      </c>
      <c r="Y728" s="8" t="n">
        <f aca="false">IF($K728=1,COUNTIFS($P$5:$P$1517,"&gt;="&amp;P728,$K$5:$K$1517,1)/COUNTIF($P$5:$P$1517,"&gt;="&amp;P728),0)</f>
        <v>0</v>
      </c>
      <c r="Z728" s="8" t="n">
        <f aca="false">(L728-$K728)^2</f>
        <v>0.590145067681</v>
      </c>
      <c r="AA728" s="8" t="n">
        <f aca="false">(M728-$K728)^2</f>
        <v>0.008475595969</v>
      </c>
      <c r="AB728" s="8" t="n">
        <f aca="false">(N728-$K728)^2</f>
        <v>0.003912377401</v>
      </c>
      <c r="AC728" s="8" t="n">
        <f aca="false">(O728-$K728)^2</f>
        <v>0.011274829489</v>
      </c>
      <c r="AD728" s="8" t="n">
        <f aca="false">(P728-$K728)^2</f>
        <v>0.004217982916</v>
      </c>
      <c r="AE728" s="8" t="n">
        <f aca="false">MIN(INT(ROUND(N728*1000000,0)/100000),9)</f>
        <v>0</v>
      </c>
      <c r="AF728" s="8" t="n">
        <f aca="false">MIN(INT(ROUND(P728*1000000,0)/100000),9)</f>
        <v>0</v>
      </c>
    </row>
    <row r="729" customFormat="false" ht="15" hidden="false" customHeight="false" outlineLevel="0" collapsed="false">
      <c r="A729" s="4" t="n">
        <v>725</v>
      </c>
      <c r="B729" s="4" t="n">
        <v>1632</v>
      </c>
      <c r="C729" s="4" t="n">
        <v>1</v>
      </c>
      <c r="D729" s="11" t="n">
        <v>46082</v>
      </c>
      <c r="E729" s="4" t="s">
        <v>204</v>
      </c>
      <c r="F729" s="4" t="s">
        <v>208</v>
      </c>
      <c r="G729" s="4" t="n">
        <v>1</v>
      </c>
      <c r="H729" s="4" t="n">
        <v>28</v>
      </c>
      <c r="I729" s="4" t="n">
        <v>0</v>
      </c>
      <c r="J729" s="4" t="n">
        <v>114</v>
      </c>
      <c r="K729" s="4" t="n">
        <v>1</v>
      </c>
      <c r="L729" s="12" t="n">
        <v>0.697597</v>
      </c>
      <c r="M729" s="12" t="n">
        <v>0.092063</v>
      </c>
      <c r="N729" s="12" t="n">
        <v>0.178988</v>
      </c>
      <c r="O729" s="12" t="n">
        <v>0.106183</v>
      </c>
      <c r="P729" s="12" t="n">
        <v>0.19361</v>
      </c>
      <c r="Q729" s="0" t="str">
        <f aca="false">IF(L729&gt;=Models!$G$5,1+COUNTIF($L$5:$L$1517,"&gt;"&amp;L729)+COUNTIFS($L$5:$L$1517,L729,$B$5:$B$1517,"&lt;"&amp;B729)+COUNTIFS($L$5:$L$1517,L729,$B$5:$B$1517,B729,$C$5:$C$1517,"&lt;"&amp;C729),"")</f>
        <v/>
      </c>
      <c r="R729" s="0" t="str">
        <f aca="false">IF(M729&gt;=Models!$G$6,1+COUNTIF($M$5:$M$1517,"&gt;"&amp;M729)+COUNTIFS($M$5:$M$1517,M729,$B$5:$B$1517,"&lt;"&amp;B729)+COUNTIFS($M$5:$M$1517,M729,$B$5:$B$1517,B729,$C$5:$C$1517,"&lt;"&amp;C729),"")</f>
        <v/>
      </c>
      <c r="S729" s="0" t="str">
        <f aca="false">IF(N729&gt;=Models!$G$7,1+COUNTIF($N$5:$N$1517,"&gt;"&amp;N729)+COUNTIFS($N$5:$N$1517,N729,$B$5:$B$1517,"&lt;"&amp;B729)+COUNTIFS($N$5:$N$1517,N729,$B$5:$B$1517,B729,$C$5:$C$1517,"&lt;"&amp;C729),"")</f>
        <v/>
      </c>
      <c r="T729" s="8" t="n">
        <f aca="false">IF(O729&gt;=Models!$G$8,1+COUNTIF($O$5:$O$1517,"&gt;"&amp;O729)+COUNTIFS($O$5:$O$1517,O729,$B$5:$B$1517,"&lt;"&amp;B729)+COUNTIFS($O$5:$O$1517,O729,$B$5:$B$1517,B729,$C$5:$C$1517,"&lt;"&amp;C729),"")</f>
        <v>1400</v>
      </c>
      <c r="U729" s="8" t="n">
        <f aca="false">IF($K729=1,COUNTIFS($L$5:$L$1517,"&gt;="&amp;L729,$K$5:$K$1517,1)/COUNTIF($L$5:$L$1517,"&gt;="&amp;L729),0)</f>
        <v>0.125842696629214</v>
      </c>
      <c r="V729" s="8" t="n">
        <f aca="false">IF($K729=1,COUNTIFS($M$5:$M$1517,"&gt;="&amp;M729,$K$5:$K$1517,1)/COUNTIF($M$5:$M$1517,"&gt;="&amp;M729),0)</f>
        <v>0.12491738268341</v>
      </c>
      <c r="W729" s="8" t="n">
        <f aca="false">IF($K729=1,COUNTIFS($N$5:$N$1517,"&gt;="&amp;N729,$K$5:$K$1517,1)/COUNTIF($N$5:$N$1517,"&gt;="&amp;N729),0)</f>
        <v>0.315789473684211</v>
      </c>
      <c r="X729" s="8" t="n">
        <f aca="false">IF($K729=1,COUNTIFS($O$5:$O$1517,"&gt;="&amp;O729,$K$5:$K$1517,1)/COUNTIF($O$5:$O$1517,"&gt;="&amp;O729),0)</f>
        <v>0.12491738268341</v>
      </c>
      <c r="Y729" s="8" t="n">
        <f aca="false">IF($K729=1,COUNTIFS($P$5:$P$1517,"&gt;="&amp;P729,$K$5:$K$1517,1)/COUNTIF($P$5:$P$1517,"&gt;="&amp;P729),0)</f>
        <v>0.315789473684211</v>
      </c>
      <c r="Z729" s="8" t="n">
        <f aca="false">(L729-$K729)^2</f>
        <v>0.091447574409</v>
      </c>
      <c r="AA729" s="8" t="n">
        <f aca="false">(M729-$K729)^2</f>
        <v>0.824349595969</v>
      </c>
      <c r="AB729" s="8" t="n">
        <f aca="false">(N729-$K729)^2</f>
        <v>0.674060704144</v>
      </c>
      <c r="AC729" s="8" t="n">
        <f aca="false">(O729-$K729)^2</f>
        <v>0.798908829489</v>
      </c>
      <c r="AD729" s="8" t="n">
        <f aca="false">(P729-$K729)^2</f>
        <v>0.6502648321</v>
      </c>
      <c r="AE729" s="8" t="n">
        <f aca="false">MIN(INT(ROUND(N729*1000000,0)/100000),9)</f>
        <v>1</v>
      </c>
      <c r="AF729" s="8" t="n">
        <f aca="false">MIN(INT(ROUND(P729*1000000,0)/100000),9)</f>
        <v>1</v>
      </c>
    </row>
    <row r="730" customFormat="false" ht="15" hidden="false" customHeight="false" outlineLevel="0" collapsed="false">
      <c r="A730" s="4" t="n">
        <v>726</v>
      </c>
      <c r="B730" s="4" t="n">
        <v>1634</v>
      </c>
      <c r="C730" s="4" t="n">
        <v>1</v>
      </c>
      <c r="D730" s="11" t="n">
        <v>46082</v>
      </c>
      <c r="E730" s="4" t="s">
        <v>203</v>
      </c>
      <c r="F730" s="4" t="s">
        <v>207</v>
      </c>
      <c r="G730" s="4" t="n">
        <v>6</v>
      </c>
      <c r="H730" s="4" t="n">
        <v>0</v>
      </c>
      <c r="I730" s="4" t="n">
        <v>0</v>
      </c>
      <c r="J730" s="4"/>
      <c r="K730" s="4" t="n">
        <v>0</v>
      </c>
      <c r="L730" s="12" t="n">
        <v>0.818329</v>
      </c>
      <c r="M730" s="12" t="n">
        <v>0.092063</v>
      </c>
      <c r="N730" s="12" t="n">
        <v>0.049606</v>
      </c>
      <c r="O730" s="12" t="n">
        <v>0.106183</v>
      </c>
      <c r="P730" s="12" t="n">
        <v>0.050966</v>
      </c>
      <c r="Q730" s="0" t="str">
        <f aca="false">IF(L730&gt;=Models!$G$5,1+COUNTIF($L$5:$L$1517,"&gt;"&amp;L730)+COUNTIFS($L$5:$L$1517,L730,$B$5:$B$1517,"&lt;"&amp;B730)+COUNTIFS($L$5:$L$1517,L730,$B$5:$B$1517,B730,$C$5:$C$1517,"&lt;"&amp;C730),"")</f>
        <v/>
      </c>
      <c r="R730" s="0" t="str">
        <f aca="false">IF(M730&gt;=Models!$G$6,1+COUNTIF($M$5:$M$1517,"&gt;"&amp;M730)+COUNTIFS($M$5:$M$1517,M730,$B$5:$B$1517,"&lt;"&amp;B730)+COUNTIFS($M$5:$M$1517,M730,$B$5:$B$1517,B730,$C$5:$C$1517,"&lt;"&amp;C730),"")</f>
        <v/>
      </c>
      <c r="S730" s="0" t="str">
        <f aca="false">IF(N730&gt;=Models!$G$7,1+COUNTIF($N$5:$N$1517,"&gt;"&amp;N730)+COUNTIFS($N$5:$N$1517,N730,$B$5:$B$1517,"&lt;"&amp;B730)+COUNTIFS($N$5:$N$1517,N730,$B$5:$B$1517,B730,$C$5:$C$1517,"&lt;"&amp;C730),"")</f>
        <v/>
      </c>
      <c r="T730" s="8" t="n">
        <f aca="false">IF(O730&gt;=Models!$G$8,1+COUNTIF($O$5:$O$1517,"&gt;"&amp;O730)+COUNTIFS($O$5:$O$1517,O730,$B$5:$B$1517,"&lt;"&amp;B730)+COUNTIFS($O$5:$O$1517,O730,$B$5:$B$1517,B730,$C$5:$C$1517,"&lt;"&amp;C730),"")</f>
        <v>1401</v>
      </c>
      <c r="U730" s="8" t="n">
        <f aca="false">IF($K730=1,COUNTIFS($L$5:$L$1517,"&gt;="&amp;L730,$K$5:$K$1517,1)/COUNTIF($L$5:$L$1517,"&gt;="&amp;L730),0)</f>
        <v>0</v>
      </c>
      <c r="V730" s="8" t="n">
        <f aca="false">IF($K730=1,COUNTIFS($M$5:$M$1517,"&gt;="&amp;M730,$K$5:$K$1517,1)/COUNTIF($M$5:$M$1517,"&gt;="&amp;M730),0)</f>
        <v>0</v>
      </c>
      <c r="W730" s="8" t="n">
        <f aca="false">IF($K730=1,COUNTIFS($N$5:$N$1517,"&gt;="&amp;N730,$K$5:$K$1517,1)/COUNTIF($N$5:$N$1517,"&gt;="&amp;N730),0)</f>
        <v>0</v>
      </c>
      <c r="X730" s="8" t="n">
        <f aca="false">IF($K730=1,COUNTIFS($O$5:$O$1517,"&gt;="&amp;O730,$K$5:$K$1517,1)/COUNTIF($O$5:$O$1517,"&gt;="&amp;O730),0)</f>
        <v>0</v>
      </c>
      <c r="Y730" s="8" t="n">
        <f aca="false">IF($K730=1,COUNTIFS($P$5:$P$1517,"&gt;="&amp;P730,$K$5:$K$1517,1)/COUNTIF($P$5:$P$1517,"&gt;="&amp;P730),0)</f>
        <v>0</v>
      </c>
      <c r="Z730" s="8" t="n">
        <f aca="false">(L730-$K730)^2</f>
        <v>0.669662352241</v>
      </c>
      <c r="AA730" s="8" t="n">
        <f aca="false">(M730-$K730)^2</f>
        <v>0.008475595969</v>
      </c>
      <c r="AB730" s="8" t="n">
        <f aca="false">(N730-$K730)^2</f>
        <v>0.002460755236</v>
      </c>
      <c r="AC730" s="8" t="n">
        <f aca="false">(O730-$K730)^2</f>
        <v>0.011274829489</v>
      </c>
      <c r="AD730" s="8" t="n">
        <f aca="false">(P730-$K730)^2</f>
        <v>0.002597533156</v>
      </c>
      <c r="AE730" s="8" t="n">
        <f aca="false">MIN(INT(ROUND(N730*1000000,0)/100000),9)</f>
        <v>0</v>
      </c>
      <c r="AF730" s="8" t="n">
        <f aca="false">MIN(INT(ROUND(P730*1000000,0)/100000),9)</f>
        <v>0</v>
      </c>
    </row>
    <row r="731" customFormat="false" ht="15" hidden="false" customHeight="false" outlineLevel="0" collapsed="false">
      <c r="A731" s="4" t="n">
        <v>727</v>
      </c>
      <c r="B731" s="4" t="n">
        <v>1635</v>
      </c>
      <c r="C731" s="4" t="n">
        <v>1</v>
      </c>
      <c r="D731" s="11" t="n">
        <v>46082</v>
      </c>
      <c r="E731" s="4" t="s">
        <v>203</v>
      </c>
      <c r="F731" s="4" t="s">
        <v>209</v>
      </c>
      <c r="G731" s="4" t="n">
        <v>4</v>
      </c>
      <c r="H731" s="4" t="n">
        <v>11</v>
      </c>
      <c r="I731" s="4" t="n">
        <v>0</v>
      </c>
      <c r="J731" s="4" t="n">
        <v>264</v>
      </c>
      <c r="K731" s="4" t="n">
        <v>0</v>
      </c>
      <c r="L731" s="12" t="n">
        <v>0.01216</v>
      </c>
      <c r="M731" s="12" t="n">
        <v>0.092063</v>
      </c>
      <c r="N731" s="12" t="n">
        <v>0.125514</v>
      </c>
      <c r="O731" s="12" t="n">
        <v>0.106183</v>
      </c>
      <c r="P731" s="12" t="n">
        <v>0.134167</v>
      </c>
      <c r="Q731" s="0" t="str">
        <f aca="false">IF(L731&gt;=Models!$G$5,1+COUNTIF($L$5:$L$1517,"&gt;"&amp;L731)+COUNTIFS($L$5:$L$1517,L731,$B$5:$B$1517,"&lt;"&amp;B731)+COUNTIFS($L$5:$L$1517,L731,$B$5:$B$1517,B731,$C$5:$C$1517,"&lt;"&amp;C731),"")</f>
        <v/>
      </c>
      <c r="R731" s="0" t="str">
        <f aca="false">IF(M731&gt;=Models!$G$6,1+COUNTIF($M$5:$M$1517,"&gt;"&amp;M731)+COUNTIFS($M$5:$M$1517,M731,$B$5:$B$1517,"&lt;"&amp;B731)+COUNTIFS($M$5:$M$1517,M731,$B$5:$B$1517,B731,$C$5:$C$1517,"&lt;"&amp;C731),"")</f>
        <v/>
      </c>
      <c r="S731" s="0" t="str">
        <f aca="false">IF(N731&gt;=Models!$G$7,1+COUNTIF($N$5:$N$1517,"&gt;"&amp;N731)+COUNTIFS($N$5:$N$1517,N731,$B$5:$B$1517,"&lt;"&amp;B731)+COUNTIFS($N$5:$N$1517,N731,$B$5:$B$1517,B731,$C$5:$C$1517,"&lt;"&amp;C731),"")</f>
        <v/>
      </c>
      <c r="T731" s="8" t="n">
        <f aca="false">IF(O731&gt;=Models!$G$8,1+COUNTIF($O$5:$O$1517,"&gt;"&amp;O731)+COUNTIFS($O$5:$O$1517,O731,$B$5:$B$1517,"&lt;"&amp;B731)+COUNTIFS($O$5:$O$1517,O731,$B$5:$B$1517,B731,$C$5:$C$1517,"&lt;"&amp;C731),"")</f>
        <v>1404</v>
      </c>
      <c r="U731" s="8" t="n">
        <f aca="false">IF($K731=1,COUNTIFS($L$5:$L$1517,"&gt;="&amp;L731,$K$5:$K$1517,1)/COUNTIF($L$5:$L$1517,"&gt;="&amp;L731),0)</f>
        <v>0</v>
      </c>
      <c r="V731" s="8" t="n">
        <f aca="false">IF($K731=1,COUNTIFS($M$5:$M$1517,"&gt;="&amp;M731,$K$5:$K$1517,1)/COUNTIF($M$5:$M$1517,"&gt;="&amp;M731),0)</f>
        <v>0</v>
      </c>
      <c r="W731" s="8" t="n">
        <f aca="false">IF($K731=1,COUNTIFS($N$5:$N$1517,"&gt;="&amp;N731,$K$5:$K$1517,1)/COUNTIF($N$5:$N$1517,"&gt;="&amp;N731),0)</f>
        <v>0</v>
      </c>
      <c r="X731" s="8" t="n">
        <f aca="false">IF($K731=1,COUNTIFS($O$5:$O$1517,"&gt;="&amp;O731,$K$5:$K$1517,1)/COUNTIF($O$5:$O$1517,"&gt;="&amp;O731),0)</f>
        <v>0</v>
      </c>
      <c r="Y731" s="8" t="n">
        <f aca="false">IF($K731=1,COUNTIFS($P$5:$P$1517,"&gt;="&amp;P731,$K$5:$K$1517,1)/COUNTIF($P$5:$P$1517,"&gt;="&amp;P731),0)</f>
        <v>0</v>
      </c>
      <c r="Z731" s="8" t="n">
        <f aca="false">(L731-$K731)^2</f>
        <v>0.0001478656</v>
      </c>
      <c r="AA731" s="8" t="n">
        <f aca="false">(M731-$K731)^2</f>
        <v>0.008475595969</v>
      </c>
      <c r="AB731" s="8" t="n">
        <f aca="false">(N731-$K731)^2</f>
        <v>0.015753764196</v>
      </c>
      <c r="AC731" s="8" t="n">
        <f aca="false">(O731-$K731)^2</f>
        <v>0.011274829489</v>
      </c>
      <c r="AD731" s="8" t="n">
        <f aca="false">(P731-$K731)^2</f>
        <v>0.018000783889</v>
      </c>
      <c r="AE731" s="8" t="n">
        <f aca="false">MIN(INT(ROUND(N731*1000000,0)/100000),9)</f>
        <v>1</v>
      </c>
      <c r="AF731" s="8" t="n">
        <f aca="false">MIN(INT(ROUND(P731*1000000,0)/100000),9)</f>
        <v>1</v>
      </c>
    </row>
    <row r="732" customFormat="false" ht="15" hidden="false" customHeight="false" outlineLevel="0" collapsed="false">
      <c r="A732" s="4" t="n">
        <v>728</v>
      </c>
      <c r="B732" s="4" t="n">
        <v>1637</v>
      </c>
      <c r="C732" s="4" t="n">
        <v>1</v>
      </c>
      <c r="D732" s="11" t="n">
        <v>46082</v>
      </c>
      <c r="E732" s="4" t="s">
        <v>203</v>
      </c>
      <c r="F732" s="4" t="s">
        <v>206</v>
      </c>
      <c r="G732" s="4" t="n">
        <v>5</v>
      </c>
      <c r="H732" s="4" t="n">
        <v>10</v>
      </c>
      <c r="I732" s="4" t="n">
        <v>0</v>
      </c>
      <c r="J732" s="4" t="n">
        <v>240</v>
      </c>
      <c r="K732" s="4" t="n">
        <v>0</v>
      </c>
      <c r="L732" s="12" t="n">
        <v>0.975938</v>
      </c>
      <c r="M732" s="12" t="n">
        <v>0.092063</v>
      </c>
      <c r="N732" s="12" t="n">
        <v>0.11527</v>
      </c>
      <c r="O732" s="12" t="n">
        <v>0.106183</v>
      </c>
      <c r="P732" s="12" t="n">
        <v>0.122819</v>
      </c>
      <c r="Q732" s="0" t="str">
        <f aca="false">IF(L732&gt;=Models!$G$5,1+COUNTIF($L$5:$L$1517,"&gt;"&amp;L732)+COUNTIFS($L$5:$L$1517,L732,$B$5:$B$1517,"&lt;"&amp;B732)+COUNTIFS($L$5:$L$1517,L732,$B$5:$B$1517,B732,$C$5:$C$1517,"&lt;"&amp;C732),"")</f>
        <v/>
      </c>
      <c r="R732" s="0" t="str">
        <f aca="false">IF(M732&gt;=Models!$G$6,1+COUNTIF($M$5:$M$1517,"&gt;"&amp;M732)+COUNTIFS($M$5:$M$1517,M732,$B$5:$B$1517,"&lt;"&amp;B732)+COUNTIFS($M$5:$M$1517,M732,$B$5:$B$1517,B732,$C$5:$C$1517,"&lt;"&amp;C732),"")</f>
        <v/>
      </c>
      <c r="S732" s="0" t="str">
        <f aca="false">IF(N732&gt;=Models!$G$7,1+COUNTIF($N$5:$N$1517,"&gt;"&amp;N732)+COUNTIFS($N$5:$N$1517,N732,$B$5:$B$1517,"&lt;"&amp;B732)+COUNTIFS($N$5:$N$1517,N732,$B$5:$B$1517,B732,$C$5:$C$1517,"&lt;"&amp;C732),"")</f>
        <v/>
      </c>
      <c r="T732" s="8" t="n">
        <f aca="false">IF(O732&gt;=Models!$G$8,1+COUNTIF($O$5:$O$1517,"&gt;"&amp;O732)+COUNTIFS($O$5:$O$1517,O732,$B$5:$B$1517,"&lt;"&amp;B732)+COUNTIFS($O$5:$O$1517,O732,$B$5:$B$1517,B732,$C$5:$C$1517,"&lt;"&amp;C732),"")</f>
        <v>1407</v>
      </c>
      <c r="U732" s="8" t="n">
        <f aca="false">IF($K732=1,COUNTIFS($L$5:$L$1517,"&gt;="&amp;L732,$K$5:$K$1517,1)/COUNTIF($L$5:$L$1517,"&gt;="&amp;L732),0)</f>
        <v>0</v>
      </c>
      <c r="V732" s="8" t="n">
        <f aca="false">IF($K732=1,COUNTIFS($M$5:$M$1517,"&gt;="&amp;M732,$K$5:$K$1517,1)/COUNTIF($M$5:$M$1517,"&gt;="&amp;M732),0)</f>
        <v>0</v>
      </c>
      <c r="W732" s="8" t="n">
        <f aca="false">IF($K732=1,COUNTIFS($N$5:$N$1517,"&gt;="&amp;N732,$K$5:$K$1517,1)/COUNTIF($N$5:$N$1517,"&gt;="&amp;N732),0)</f>
        <v>0</v>
      </c>
      <c r="X732" s="8" t="n">
        <f aca="false">IF($K732=1,COUNTIFS($O$5:$O$1517,"&gt;="&amp;O732,$K$5:$K$1517,1)/COUNTIF($O$5:$O$1517,"&gt;="&amp;O732),0)</f>
        <v>0</v>
      </c>
      <c r="Y732" s="8" t="n">
        <f aca="false">IF($K732=1,COUNTIFS($P$5:$P$1517,"&gt;="&amp;P732,$K$5:$K$1517,1)/COUNTIF($P$5:$P$1517,"&gt;="&amp;P732),0)</f>
        <v>0</v>
      </c>
      <c r="Z732" s="8" t="n">
        <f aca="false">(L732-$K732)^2</f>
        <v>0.952454979844</v>
      </c>
      <c r="AA732" s="8" t="n">
        <f aca="false">(M732-$K732)^2</f>
        <v>0.008475595969</v>
      </c>
      <c r="AB732" s="8" t="n">
        <f aca="false">(N732-$K732)^2</f>
        <v>0.0132871729</v>
      </c>
      <c r="AC732" s="8" t="n">
        <f aca="false">(O732-$K732)^2</f>
        <v>0.011274829489</v>
      </c>
      <c r="AD732" s="8" t="n">
        <f aca="false">(P732-$K732)^2</f>
        <v>0.015084506761</v>
      </c>
      <c r="AE732" s="8" t="n">
        <f aca="false">MIN(INT(ROUND(N732*1000000,0)/100000),9)</f>
        <v>1</v>
      </c>
      <c r="AF732" s="8" t="n">
        <f aca="false">MIN(INT(ROUND(P732*1000000,0)/100000),9)</f>
        <v>1</v>
      </c>
    </row>
    <row r="733" customFormat="false" ht="15" hidden="false" customHeight="false" outlineLevel="0" collapsed="false">
      <c r="A733" s="4" t="n">
        <v>729</v>
      </c>
      <c r="B733" s="4" t="n">
        <v>1638</v>
      </c>
      <c r="C733" s="4" t="n">
        <v>1</v>
      </c>
      <c r="D733" s="11" t="n">
        <v>46082</v>
      </c>
      <c r="E733" s="4" t="s">
        <v>203</v>
      </c>
      <c r="F733" s="4" t="s">
        <v>209</v>
      </c>
      <c r="G733" s="4" t="n">
        <v>10</v>
      </c>
      <c r="H733" s="4" t="n">
        <v>4</v>
      </c>
      <c r="I733" s="4" t="n">
        <v>0</v>
      </c>
      <c r="J733" s="4" t="n">
        <v>342</v>
      </c>
      <c r="K733" s="4" t="n">
        <v>0</v>
      </c>
      <c r="L733" s="12" t="n">
        <v>0.216704</v>
      </c>
      <c r="M733" s="12" t="n">
        <v>0.092063</v>
      </c>
      <c r="N733" s="12" t="n">
        <v>0.072894</v>
      </c>
      <c r="O733" s="12" t="n">
        <v>0.106183</v>
      </c>
      <c r="P733" s="12" t="n">
        <v>0.076204</v>
      </c>
      <c r="Q733" s="0" t="str">
        <f aca="false">IF(L733&gt;=Models!$G$5,1+COUNTIF($L$5:$L$1517,"&gt;"&amp;L733)+COUNTIFS($L$5:$L$1517,L733,$B$5:$B$1517,"&lt;"&amp;B733)+COUNTIFS($L$5:$L$1517,L733,$B$5:$B$1517,B733,$C$5:$C$1517,"&lt;"&amp;C733),"")</f>
        <v/>
      </c>
      <c r="R733" s="0" t="str">
        <f aca="false">IF(M733&gt;=Models!$G$6,1+COUNTIF($M$5:$M$1517,"&gt;"&amp;M733)+COUNTIFS($M$5:$M$1517,M733,$B$5:$B$1517,"&lt;"&amp;B733)+COUNTIFS($M$5:$M$1517,M733,$B$5:$B$1517,B733,$C$5:$C$1517,"&lt;"&amp;C733),"")</f>
        <v/>
      </c>
      <c r="S733" s="0" t="str">
        <f aca="false">IF(N733&gt;=Models!$G$7,1+COUNTIF($N$5:$N$1517,"&gt;"&amp;N733)+COUNTIFS($N$5:$N$1517,N733,$B$5:$B$1517,"&lt;"&amp;B733)+COUNTIFS($N$5:$N$1517,N733,$B$5:$B$1517,B733,$C$5:$C$1517,"&lt;"&amp;C733),"")</f>
        <v/>
      </c>
      <c r="T733" s="8" t="n">
        <f aca="false">IF(O733&gt;=Models!$G$8,1+COUNTIF($O$5:$O$1517,"&gt;"&amp;O733)+COUNTIFS($O$5:$O$1517,O733,$B$5:$B$1517,"&lt;"&amp;B733)+COUNTIFS($O$5:$O$1517,O733,$B$5:$B$1517,B733,$C$5:$C$1517,"&lt;"&amp;C733),"")</f>
        <v>1410</v>
      </c>
      <c r="U733" s="8" t="n">
        <f aca="false">IF($K733=1,COUNTIFS($L$5:$L$1517,"&gt;="&amp;L733,$K$5:$K$1517,1)/COUNTIF($L$5:$L$1517,"&gt;="&amp;L733),0)</f>
        <v>0</v>
      </c>
      <c r="V733" s="8" t="n">
        <f aca="false">IF($K733=1,COUNTIFS($M$5:$M$1517,"&gt;="&amp;M733,$K$5:$K$1517,1)/COUNTIF($M$5:$M$1517,"&gt;="&amp;M733),0)</f>
        <v>0</v>
      </c>
      <c r="W733" s="8" t="n">
        <f aca="false">IF($K733=1,COUNTIFS($N$5:$N$1517,"&gt;="&amp;N733,$K$5:$K$1517,1)/COUNTIF($N$5:$N$1517,"&gt;="&amp;N733),0)</f>
        <v>0</v>
      </c>
      <c r="X733" s="8" t="n">
        <f aca="false">IF($K733=1,COUNTIFS($O$5:$O$1517,"&gt;="&amp;O733,$K$5:$K$1517,1)/COUNTIF($O$5:$O$1517,"&gt;="&amp;O733),0)</f>
        <v>0</v>
      </c>
      <c r="Y733" s="8" t="n">
        <f aca="false">IF($K733=1,COUNTIFS($P$5:$P$1517,"&gt;="&amp;P733,$K$5:$K$1517,1)/COUNTIF($P$5:$P$1517,"&gt;="&amp;P733),0)</f>
        <v>0</v>
      </c>
      <c r="Z733" s="8" t="n">
        <f aca="false">(L733-$K733)^2</f>
        <v>0.046960623616</v>
      </c>
      <c r="AA733" s="8" t="n">
        <f aca="false">(M733-$K733)^2</f>
        <v>0.008475595969</v>
      </c>
      <c r="AB733" s="8" t="n">
        <f aca="false">(N733-$K733)^2</f>
        <v>0.005313535236</v>
      </c>
      <c r="AC733" s="8" t="n">
        <f aca="false">(O733-$K733)^2</f>
        <v>0.011274829489</v>
      </c>
      <c r="AD733" s="8" t="n">
        <f aca="false">(P733-$K733)^2</f>
        <v>0.005807049616</v>
      </c>
      <c r="AE733" s="8" t="n">
        <f aca="false">MIN(INT(ROUND(N733*1000000,0)/100000),9)</f>
        <v>0</v>
      </c>
      <c r="AF733" s="8" t="n">
        <f aca="false">MIN(INT(ROUND(P733*1000000,0)/100000),9)</f>
        <v>0</v>
      </c>
    </row>
    <row r="734" customFormat="false" ht="15" hidden="false" customHeight="false" outlineLevel="0" collapsed="false">
      <c r="A734" s="4" t="n">
        <v>730</v>
      </c>
      <c r="B734" s="4" t="n">
        <v>1639</v>
      </c>
      <c r="C734" s="4" t="n">
        <v>1</v>
      </c>
      <c r="D734" s="11" t="n">
        <v>46082</v>
      </c>
      <c r="E734" s="4" t="s">
        <v>202</v>
      </c>
      <c r="F734" s="4" t="s">
        <v>209</v>
      </c>
      <c r="G734" s="4" t="n">
        <v>17</v>
      </c>
      <c r="H734" s="4" t="n">
        <v>0</v>
      </c>
      <c r="I734" s="4" t="n">
        <v>1</v>
      </c>
      <c r="J734" s="4" t="n">
        <v>1146</v>
      </c>
      <c r="K734" s="4" t="n">
        <v>0</v>
      </c>
      <c r="L734" s="12" t="n">
        <v>0.189019</v>
      </c>
      <c r="M734" s="12" t="n">
        <v>0.184211</v>
      </c>
      <c r="N734" s="12" t="n">
        <v>0.065593</v>
      </c>
      <c r="O734" s="12" t="n">
        <v>0.106183</v>
      </c>
      <c r="P734" s="12" t="n">
        <v>0.068252</v>
      </c>
      <c r="Q734" s="0" t="str">
        <f aca="false">IF(L734&gt;=Models!$G$5,1+COUNTIF($L$5:$L$1517,"&gt;"&amp;L734)+COUNTIFS($L$5:$L$1517,L734,$B$5:$B$1517,"&lt;"&amp;B734)+COUNTIFS($L$5:$L$1517,L734,$B$5:$B$1517,B734,$C$5:$C$1517,"&lt;"&amp;C734),"")</f>
        <v/>
      </c>
      <c r="R734" s="8" t="n">
        <f aca="false">IF(M734&gt;=Models!$G$6,1+COUNTIF($M$5:$M$1517,"&gt;"&amp;M734)+COUNTIFS($M$5:$M$1517,M734,$B$5:$B$1517,"&lt;"&amp;B734)+COUNTIFS($M$5:$M$1517,M734,$B$5:$B$1517,B734,$C$5:$C$1517,"&lt;"&amp;C734),"")</f>
        <v>181</v>
      </c>
      <c r="S734" s="0" t="str">
        <f aca="false">IF(N734&gt;=Models!$G$7,1+COUNTIF($N$5:$N$1517,"&gt;"&amp;N734)+COUNTIFS($N$5:$N$1517,N734,$B$5:$B$1517,"&lt;"&amp;B734)+COUNTIFS($N$5:$N$1517,N734,$B$5:$B$1517,B734,$C$5:$C$1517,"&lt;"&amp;C734),"")</f>
        <v/>
      </c>
      <c r="T734" s="8" t="n">
        <f aca="false">IF(O734&gt;=Models!$G$8,1+COUNTIF($O$5:$O$1517,"&gt;"&amp;O734)+COUNTIFS($O$5:$O$1517,O734,$B$5:$B$1517,"&lt;"&amp;B734)+COUNTIFS($O$5:$O$1517,O734,$B$5:$B$1517,B734,$C$5:$C$1517,"&lt;"&amp;C734),"")</f>
        <v>1413</v>
      </c>
      <c r="U734" s="8" t="n">
        <f aca="false">IF($K734=1,COUNTIFS($L$5:$L$1517,"&gt;="&amp;L734,$K$5:$K$1517,1)/COUNTIF($L$5:$L$1517,"&gt;="&amp;L734),0)</f>
        <v>0</v>
      </c>
      <c r="V734" s="8" t="n">
        <f aca="false">IF($K734=1,COUNTIFS($M$5:$M$1517,"&gt;="&amp;M734,$K$5:$K$1517,1)/COUNTIF($M$5:$M$1517,"&gt;="&amp;M734),0)</f>
        <v>0</v>
      </c>
      <c r="W734" s="8" t="n">
        <f aca="false">IF($K734=1,COUNTIFS($N$5:$N$1517,"&gt;="&amp;N734,$K$5:$K$1517,1)/COUNTIF($N$5:$N$1517,"&gt;="&amp;N734),0)</f>
        <v>0</v>
      </c>
      <c r="X734" s="8" t="n">
        <f aca="false">IF($K734=1,COUNTIFS($O$5:$O$1517,"&gt;="&amp;O734,$K$5:$K$1517,1)/COUNTIF($O$5:$O$1517,"&gt;="&amp;O734),0)</f>
        <v>0</v>
      </c>
      <c r="Y734" s="8" t="n">
        <f aca="false">IF($K734=1,COUNTIFS($P$5:$P$1517,"&gt;="&amp;P734,$K$5:$K$1517,1)/COUNTIF($P$5:$P$1517,"&gt;="&amp;P734),0)</f>
        <v>0</v>
      </c>
      <c r="Z734" s="8" t="n">
        <f aca="false">(L734-$K734)^2</f>
        <v>0.035728182361</v>
      </c>
      <c r="AA734" s="8" t="n">
        <f aca="false">(M734-$K734)^2</f>
        <v>0.033933692521</v>
      </c>
      <c r="AB734" s="8" t="n">
        <f aca="false">(N734-$K734)^2</f>
        <v>0.004302441649</v>
      </c>
      <c r="AC734" s="8" t="n">
        <f aca="false">(O734-$K734)^2</f>
        <v>0.011274829489</v>
      </c>
      <c r="AD734" s="8" t="n">
        <f aca="false">(P734-$K734)^2</f>
        <v>0.004658335504</v>
      </c>
      <c r="AE734" s="8" t="n">
        <f aca="false">MIN(INT(ROUND(N734*1000000,0)/100000),9)</f>
        <v>0</v>
      </c>
      <c r="AF734" s="8" t="n">
        <f aca="false">MIN(INT(ROUND(P734*1000000,0)/100000),9)</f>
        <v>0</v>
      </c>
    </row>
    <row r="735" customFormat="false" ht="15" hidden="false" customHeight="false" outlineLevel="0" collapsed="false">
      <c r="A735" s="4" t="n">
        <v>731</v>
      </c>
      <c r="B735" s="4" t="n">
        <v>1653</v>
      </c>
      <c r="C735" s="4" t="n">
        <v>1</v>
      </c>
      <c r="D735" s="11" t="n">
        <v>46082</v>
      </c>
      <c r="E735" s="4" t="s">
        <v>201</v>
      </c>
      <c r="F735" s="4" t="s">
        <v>209</v>
      </c>
      <c r="G735" s="4" t="n">
        <v>10</v>
      </c>
      <c r="H735" s="4" t="n">
        <v>3</v>
      </c>
      <c r="I735" s="4" t="n">
        <v>0</v>
      </c>
      <c r="J735" s="4" t="n">
        <v>4926</v>
      </c>
      <c r="K735" s="4" t="n">
        <v>0</v>
      </c>
      <c r="L735" s="12" t="n">
        <v>0.723175</v>
      </c>
      <c r="M735" s="12" t="n">
        <v>0.092063</v>
      </c>
      <c r="N735" s="12" t="n">
        <v>0.056389</v>
      </c>
      <c r="O735" s="12" t="n">
        <v>0.106183</v>
      </c>
      <c r="P735" s="12" t="n">
        <v>0.058276</v>
      </c>
      <c r="Q735" s="0" t="str">
        <f aca="false">IF(L735&gt;=Models!$G$5,1+COUNTIF($L$5:$L$1517,"&gt;"&amp;L735)+COUNTIFS($L$5:$L$1517,L735,$B$5:$B$1517,"&lt;"&amp;B735)+COUNTIFS($L$5:$L$1517,L735,$B$5:$B$1517,B735,$C$5:$C$1517,"&lt;"&amp;C735),"")</f>
        <v/>
      </c>
      <c r="R735" s="0" t="str">
        <f aca="false">IF(M735&gt;=Models!$G$6,1+COUNTIF($M$5:$M$1517,"&gt;"&amp;M735)+COUNTIFS($M$5:$M$1517,M735,$B$5:$B$1517,"&lt;"&amp;B735)+COUNTIFS($M$5:$M$1517,M735,$B$5:$B$1517,B735,$C$5:$C$1517,"&lt;"&amp;C735),"")</f>
        <v/>
      </c>
      <c r="S735" s="0" t="str">
        <f aca="false">IF(N735&gt;=Models!$G$7,1+COUNTIF($N$5:$N$1517,"&gt;"&amp;N735)+COUNTIFS($N$5:$N$1517,N735,$B$5:$B$1517,"&lt;"&amp;B735)+COUNTIFS($N$5:$N$1517,N735,$B$5:$B$1517,B735,$C$5:$C$1517,"&lt;"&amp;C735),"")</f>
        <v/>
      </c>
      <c r="T735" s="8" t="n">
        <f aca="false">IF(O735&gt;=Models!$G$8,1+COUNTIF($O$5:$O$1517,"&gt;"&amp;O735)+COUNTIFS($O$5:$O$1517,O735,$B$5:$B$1517,"&lt;"&amp;B735)+COUNTIFS($O$5:$O$1517,O735,$B$5:$B$1517,B735,$C$5:$C$1517,"&lt;"&amp;C735),"")</f>
        <v>1416</v>
      </c>
      <c r="U735" s="8" t="n">
        <f aca="false">IF($K735=1,COUNTIFS($L$5:$L$1517,"&gt;="&amp;L735,$K$5:$K$1517,1)/COUNTIF($L$5:$L$1517,"&gt;="&amp;L735),0)</f>
        <v>0</v>
      </c>
      <c r="V735" s="8" t="n">
        <f aca="false">IF($K735=1,COUNTIFS($M$5:$M$1517,"&gt;="&amp;M735,$K$5:$K$1517,1)/COUNTIF($M$5:$M$1517,"&gt;="&amp;M735),0)</f>
        <v>0</v>
      </c>
      <c r="W735" s="8" t="n">
        <f aca="false">IF($K735=1,COUNTIFS($N$5:$N$1517,"&gt;="&amp;N735,$K$5:$K$1517,1)/COUNTIF($N$5:$N$1517,"&gt;="&amp;N735),0)</f>
        <v>0</v>
      </c>
      <c r="X735" s="8" t="n">
        <f aca="false">IF($K735=1,COUNTIFS($O$5:$O$1517,"&gt;="&amp;O735,$K$5:$K$1517,1)/COUNTIF($O$5:$O$1517,"&gt;="&amp;O735),0)</f>
        <v>0</v>
      </c>
      <c r="Y735" s="8" t="n">
        <f aca="false">IF($K735=1,COUNTIFS($P$5:$P$1517,"&gt;="&amp;P735,$K$5:$K$1517,1)/COUNTIF($P$5:$P$1517,"&gt;="&amp;P735),0)</f>
        <v>0</v>
      </c>
      <c r="Z735" s="8" t="n">
        <f aca="false">(L735-$K735)^2</f>
        <v>0.522982080625</v>
      </c>
      <c r="AA735" s="8" t="n">
        <f aca="false">(M735-$K735)^2</f>
        <v>0.008475595969</v>
      </c>
      <c r="AB735" s="8" t="n">
        <f aca="false">(N735-$K735)^2</f>
        <v>0.003179719321</v>
      </c>
      <c r="AC735" s="8" t="n">
        <f aca="false">(O735-$K735)^2</f>
        <v>0.011274829489</v>
      </c>
      <c r="AD735" s="8" t="n">
        <f aca="false">(P735-$K735)^2</f>
        <v>0.003396092176</v>
      </c>
      <c r="AE735" s="8" t="n">
        <f aca="false">MIN(INT(ROUND(N735*1000000,0)/100000),9)</f>
        <v>0</v>
      </c>
      <c r="AF735" s="8" t="n">
        <f aca="false">MIN(INT(ROUND(P735*1000000,0)/100000),9)</f>
        <v>0</v>
      </c>
    </row>
    <row r="736" customFormat="false" ht="15" hidden="false" customHeight="false" outlineLevel="0" collapsed="false">
      <c r="A736" s="4" t="n">
        <v>732</v>
      </c>
      <c r="B736" s="4" t="n">
        <v>1661</v>
      </c>
      <c r="C736" s="4" t="n">
        <v>1</v>
      </c>
      <c r="D736" s="11" t="n">
        <v>46082</v>
      </c>
      <c r="E736" s="4" t="s">
        <v>204</v>
      </c>
      <c r="F736" s="4" t="s">
        <v>209</v>
      </c>
      <c r="G736" s="4" t="n">
        <v>3</v>
      </c>
      <c r="H736" s="4" t="n">
        <v>6</v>
      </c>
      <c r="I736" s="4" t="n">
        <v>0</v>
      </c>
      <c r="J736" s="4"/>
      <c r="K736" s="4" t="n">
        <v>0</v>
      </c>
      <c r="L736" s="12" t="n">
        <v>0.652429</v>
      </c>
      <c r="M736" s="12" t="n">
        <v>0.092063</v>
      </c>
      <c r="N736" s="12" t="n">
        <v>0.067006</v>
      </c>
      <c r="O736" s="12" t="n">
        <v>0.106183</v>
      </c>
      <c r="P736" s="12" t="n">
        <v>0.069788</v>
      </c>
      <c r="Q736" s="0" t="str">
        <f aca="false">IF(L736&gt;=Models!$G$5,1+COUNTIF($L$5:$L$1517,"&gt;"&amp;L736)+COUNTIFS($L$5:$L$1517,L736,$B$5:$B$1517,"&lt;"&amp;B736)+COUNTIFS($L$5:$L$1517,L736,$B$5:$B$1517,B736,$C$5:$C$1517,"&lt;"&amp;C736),"")</f>
        <v/>
      </c>
      <c r="R736" s="0" t="str">
        <f aca="false">IF(M736&gt;=Models!$G$6,1+COUNTIF($M$5:$M$1517,"&gt;"&amp;M736)+COUNTIFS($M$5:$M$1517,M736,$B$5:$B$1517,"&lt;"&amp;B736)+COUNTIFS($M$5:$M$1517,M736,$B$5:$B$1517,B736,$C$5:$C$1517,"&lt;"&amp;C736),"")</f>
        <v/>
      </c>
      <c r="S736" s="0" t="str">
        <f aca="false">IF(N736&gt;=Models!$G$7,1+COUNTIF($N$5:$N$1517,"&gt;"&amp;N736)+COUNTIFS($N$5:$N$1517,N736,$B$5:$B$1517,"&lt;"&amp;B736)+COUNTIFS($N$5:$N$1517,N736,$B$5:$B$1517,B736,$C$5:$C$1517,"&lt;"&amp;C736),"")</f>
        <v/>
      </c>
      <c r="T736" s="8" t="n">
        <f aca="false">IF(O736&gt;=Models!$G$8,1+COUNTIF($O$5:$O$1517,"&gt;"&amp;O736)+COUNTIFS($O$5:$O$1517,O736,$B$5:$B$1517,"&lt;"&amp;B736)+COUNTIFS($O$5:$O$1517,O736,$B$5:$B$1517,B736,$C$5:$C$1517,"&lt;"&amp;C736),"")</f>
        <v>1419</v>
      </c>
      <c r="U736" s="8" t="n">
        <f aca="false">IF($K736=1,COUNTIFS($L$5:$L$1517,"&gt;="&amp;L736,$K$5:$K$1517,1)/COUNTIF($L$5:$L$1517,"&gt;="&amp;L736),0)</f>
        <v>0</v>
      </c>
      <c r="V736" s="8" t="n">
        <f aca="false">IF($K736=1,COUNTIFS($M$5:$M$1517,"&gt;="&amp;M736,$K$5:$K$1517,1)/COUNTIF($M$5:$M$1517,"&gt;="&amp;M736),0)</f>
        <v>0</v>
      </c>
      <c r="W736" s="8" t="n">
        <f aca="false">IF($K736=1,COUNTIFS($N$5:$N$1517,"&gt;="&amp;N736,$K$5:$K$1517,1)/COUNTIF($N$5:$N$1517,"&gt;="&amp;N736),0)</f>
        <v>0</v>
      </c>
      <c r="X736" s="8" t="n">
        <f aca="false">IF($K736=1,COUNTIFS($O$5:$O$1517,"&gt;="&amp;O736,$K$5:$K$1517,1)/COUNTIF($O$5:$O$1517,"&gt;="&amp;O736),0)</f>
        <v>0</v>
      </c>
      <c r="Y736" s="8" t="n">
        <f aca="false">IF($K736=1,COUNTIFS($P$5:$P$1517,"&gt;="&amp;P736,$K$5:$K$1517,1)/COUNTIF($P$5:$P$1517,"&gt;="&amp;P736),0)</f>
        <v>0</v>
      </c>
      <c r="Z736" s="8" t="n">
        <f aca="false">(L736-$K736)^2</f>
        <v>0.425663600041</v>
      </c>
      <c r="AA736" s="8" t="n">
        <f aca="false">(M736-$K736)^2</f>
        <v>0.008475595969</v>
      </c>
      <c r="AB736" s="8" t="n">
        <f aca="false">(N736-$K736)^2</f>
        <v>0.004489804036</v>
      </c>
      <c r="AC736" s="8" t="n">
        <f aca="false">(O736-$K736)^2</f>
        <v>0.011274829489</v>
      </c>
      <c r="AD736" s="8" t="n">
        <f aca="false">(P736-$K736)^2</f>
        <v>0.004870364944</v>
      </c>
      <c r="AE736" s="8" t="n">
        <f aca="false">MIN(INT(ROUND(N736*1000000,0)/100000),9)</f>
        <v>0</v>
      </c>
      <c r="AF736" s="8" t="n">
        <f aca="false">MIN(INT(ROUND(P736*1000000,0)/100000),9)</f>
        <v>0</v>
      </c>
    </row>
    <row r="737" customFormat="false" ht="15" hidden="false" customHeight="false" outlineLevel="0" collapsed="false">
      <c r="A737" s="4" t="n">
        <v>733</v>
      </c>
      <c r="B737" s="4" t="n">
        <v>1664</v>
      </c>
      <c r="C737" s="4" t="n">
        <v>1</v>
      </c>
      <c r="D737" s="11" t="n">
        <v>46082</v>
      </c>
      <c r="E737" s="4" t="s">
        <v>204</v>
      </c>
      <c r="F737" s="4" t="s">
        <v>210</v>
      </c>
      <c r="G737" s="4" t="n">
        <v>2</v>
      </c>
      <c r="H737" s="4" t="n">
        <v>0</v>
      </c>
      <c r="I737" s="4" t="n">
        <v>1</v>
      </c>
      <c r="J737" s="4" t="n">
        <v>96</v>
      </c>
      <c r="K737" s="4" t="n">
        <v>0</v>
      </c>
      <c r="L737" s="12" t="n">
        <v>0.68218</v>
      </c>
      <c r="M737" s="12" t="n">
        <v>0.184211</v>
      </c>
      <c r="N737" s="12" t="n">
        <v>0.223466</v>
      </c>
      <c r="O737" s="12" t="n">
        <v>0.106183</v>
      </c>
      <c r="P737" s="12" t="n">
        <v>0.243078</v>
      </c>
      <c r="Q737" s="0" t="str">
        <f aca="false">IF(L737&gt;=Models!$G$5,1+COUNTIF($L$5:$L$1517,"&gt;"&amp;L737)+COUNTIFS($L$5:$L$1517,L737,$B$5:$B$1517,"&lt;"&amp;B737)+COUNTIFS($L$5:$L$1517,L737,$B$5:$B$1517,B737,$C$5:$C$1517,"&lt;"&amp;C737),"")</f>
        <v/>
      </c>
      <c r="R737" s="8" t="n">
        <f aca="false">IF(M737&gt;=Models!$G$6,1+COUNTIF($M$5:$M$1517,"&gt;"&amp;M737)+COUNTIFS($M$5:$M$1517,M737,$B$5:$B$1517,"&lt;"&amp;B737)+COUNTIFS($M$5:$M$1517,M737,$B$5:$B$1517,B737,$C$5:$C$1517,"&lt;"&amp;C737),"")</f>
        <v>182</v>
      </c>
      <c r="S737" s="0" t="str">
        <f aca="false">IF(N737&gt;=Models!$G$7,1+COUNTIF($N$5:$N$1517,"&gt;"&amp;N737)+COUNTIFS($N$5:$N$1517,N737,$B$5:$B$1517,"&lt;"&amp;B737)+COUNTIFS($N$5:$N$1517,N737,$B$5:$B$1517,B737,$C$5:$C$1517,"&lt;"&amp;C737),"")</f>
        <v/>
      </c>
      <c r="T737" s="8" t="n">
        <f aca="false">IF(O737&gt;=Models!$G$8,1+COUNTIF($O$5:$O$1517,"&gt;"&amp;O737)+COUNTIFS($O$5:$O$1517,O737,$B$5:$B$1517,"&lt;"&amp;B737)+COUNTIFS($O$5:$O$1517,O737,$B$5:$B$1517,B737,$C$5:$C$1517,"&lt;"&amp;C737),"")</f>
        <v>1422</v>
      </c>
      <c r="U737" s="8" t="n">
        <f aca="false">IF($K737=1,COUNTIFS($L$5:$L$1517,"&gt;="&amp;L737,$K$5:$K$1517,1)/COUNTIF($L$5:$L$1517,"&gt;="&amp;L737),0)</f>
        <v>0</v>
      </c>
      <c r="V737" s="8" t="n">
        <f aca="false">IF($K737=1,COUNTIFS($M$5:$M$1517,"&gt;="&amp;M737,$K$5:$K$1517,1)/COUNTIF($M$5:$M$1517,"&gt;="&amp;M737),0)</f>
        <v>0</v>
      </c>
      <c r="W737" s="8" t="n">
        <f aca="false">IF($K737=1,COUNTIFS($N$5:$N$1517,"&gt;="&amp;N737,$K$5:$K$1517,1)/COUNTIF($N$5:$N$1517,"&gt;="&amp;N737),0)</f>
        <v>0</v>
      </c>
      <c r="X737" s="8" t="n">
        <f aca="false">IF($K737=1,COUNTIFS($O$5:$O$1517,"&gt;="&amp;O737,$K$5:$K$1517,1)/COUNTIF($O$5:$O$1517,"&gt;="&amp;O737),0)</f>
        <v>0</v>
      </c>
      <c r="Y737" s="8" t="n">
        <f aca="false">IF($K737=1,COUNTIFS($P$5:$P$1517,"&gt;="&amp;P737,$K$5:$K$1517,1)/COUNTIF($P$5:$P$1517,"&gt;="&amp;P737),0)</f>
        <v>0</v>
      </c>
      <c r="Z737" s="8" t="n">
        <f aca="false">(L737-$K737)^2</f>
        <v>0.4653695524</v>
      </c>
      <c r="AA737" s="8" t="n">
        <f aca="false">(M737-$K737)^2</f>
        <v>0.033933692521</v>
      </c>
      <c r="AB737" s="8" t="n">
        <f aca="false">(N737-$K737)^2</f>
        <v>0.049937053156</v>
      </c>
      <c r="AC737" s="8" t="n">
        <f aca="false">(O737-$K737)^2</f>
        <v>0.011274829489</v>
      </c>
      <c r="AD737" s="8" t="n">
        <f aca="false">(P737-$K737)^2</f>
        <v>0.059086914084</v>
      </c>
      <c r="AE737" s="8" t="n">
        <f aca="false">MIN(INT(ROUND(N737*1000000,0)/100000),9)</f>
        <v>2</v>
      </c>
      <c r="AF737" s="8" t="n">
        <f aca="false">MIN(INT(ROUND(P737*1000000,0)/100000),9)</f>
        <v>2</v>
      </c>
    </row>
    <row r="738" customFormat="false" ht="15" hidden="false" customHeight="false" outlineLevel="0" collapsed="false">
      <c r="A738" s="4" t="n">
        <v>734</v>
      </c>
      <c r="B738" s="4" t="n">
        <v>1665</v>
      </c>
      <c r="C738" s="4" t="n">
        <v>1</v>
      </c>
      <c r="D738" s="11" t="n">
        <v>46082</v>
      </c>
      <c r="E738" s="4" t="s">
        <v>203</v>
      </c>
      <c r="F738" s="4" t="s">
        <v>210</v>
      </c>
      <c r="G738" s="4" t="n">
        <v>5</v>
      </c>
      <c r="H738" s="4" t="n">
        <v>2</v>
      </c>
      <c r="I738" s="4" t="n">
        <v>0</v>
      </c>
      <c r="J738" s="4" t="n">
        <v>348</v>
      </c>
      <c r="K738" s="4" t="n">
        <v>0</v>
      </c>
      <c r="L738" s="12" t="n">
        <v>0.879054</v>
      </c>
      <c r="M738" s="12" t="n">
        <v>0.092063</v>
      </c>
      <c r="N738" s="12" t="n">
        <v>0.108145</v>
      </c>
      <c r="O738" s="12" t="n">
        <v>0.106183</v>
      </c>
      <c r="P738" s="12" t="n">
        <v>0.11494</v>
      </c>
      <c r="Q738" s="0" t="str">
        <f aca="false">IF(L738&gt;=Models!$G$5,1+COUNTIF($L$5:$L$1517,"&gt;"&amp;L738)+COUNTIFS($L$5:$L$1517,L738,$B$5:$B$1517,"&lt;"&amp;B738)+COUNTIFS($L$5:$L$1517,L738,$B$5:$B$1517,B738,$C$5:$C$1517,"&lt;"&amp;C738),"")</f>
        <v/>
      </c>
      <c r="R738" s="0" t="str">
        <f aca="false">IF(M738&gt;=Models!$G$6,1+COUNTIF($M$5:$M$1517,"&gt;"&amp;M738)+COUNTIFS($M$5:$M$1517,M738,$B$5:$B$1517,"&lt;"&amp;B738)+COUNTIFS($M$5:$M$1517,M738,$B$5:$B$1517,B738,$C$5:$C$1517,"&lt;"&amp;C738),"")</f>
        <v/>
      </c>
      <c r="S738" s="0" t="str">
        <f aca="false">IF(N738&gt;=Models!$G$7,1+COUNTIF($N$5:$N$1517,"&gt;"&amp;N738)+COUNTIFS($N$5:$N$1517,N738,$B$5:$B$1517,"&lt;"&amp;B738)+COUNTIFS($N$5:$N$1517,N738,$B$5:$B$1517,B738,$C$5:$C$1517,"&lt;"&amp;C738),"")</f>
        <v/>
      </c>
      <c r="T738" s="8" t="n">
        <f aca="false">IF(O738&gt;=Models!$G$8,1+COUNTIF($O$5:$O$1517,"&gt;"&amp;O738)+COUNTIFS($O$5:$O$1517,O738,$B$5:$B$1517,"&lt;"&amp;B738)+COUNTIFS($O$5:$O$1517,O738,$B$5:$B$1517,B738,$C$5:$C$1517,"&lt;"&amp;C738),"")</f>
        <v>1425</v>
      </c>
      <c r="U738" s="8" t="n">
        <f aca="false">IF($K738=1,COUNTIFS($L$5:$L$1517,"&gt;="&amp;L738,$K$5:$K$1517,1)/COUNTIF($L$5:$L$1517,"&gt;="&amp;L738),0)</f>
        <v>0</v>
      </c>
      <c r="V738" s="8" t="n">
        <f aca="false">IF($K738=1,COUNTIFS($M$5:$M$1517,"&gt;="&amp;M738,$K$5:$K$1517,1)/COUNTIF($M$5:$M$1517,"&gt;="&amp;M738),0)</f>
        <v>0</v>
      </c>
      <c r="W738" s="8" t="n">
        <f aca="false">IF($K738=1,COUNTIFS($N$5:$N$1517,"&gt;="&amp;N738,$K$5:$K$1517,1)/COUNTIF($N$5:$N$1517,"&gt;="&amp;N738),0)</f>
        <v>0</v>
      </c>
      <c r="X738" s="8" t="n">
        <f aca="false">IF($K738=1,COUNTIFS($O$5:$O$1517,"&gt;="&amp;O738,$K$5:$K$1517,1)/COUNTIF($O$5:$O$1517,"&gt;="&amp;O738),0)</f>
        <v>0</v>
      </c>
      <c r="Y738" s="8" t="n">
        <f aca="false">IF($K738=1,COUNTIFS($P$5:$P$1517,"&gt;="&amp;P738,$K$5:$K$1517,1)/COUNTIF($P$5:$P$1517,"&gt;="&amp;P738),0)</f>
        <v>0</v>
      </c>
      <c r="Z738" s="8" t="n">
        <f aca="false">(L738-$K738)^2</f>
        <v>0.772735934916</v>
      </c>
      <c r="AA738" s="8" t="n">
        <f aca="false">(M738-$K738)^2</f>
        <v>0.008475595969</v>
      </c>
      <c r="AB738" s="8" t="n">
        <f aca="false">(N738-$K738)^2</f>
        <v>0.011695341025</v>
      </c>
      <c r="AC738" s="8" t="n">
        <f aca="false">(O738-$K738)^2</f>
        <v>0.011274829489</v>
      </c>
      <c r="AD738" s="8" t="n">
        <f aca="false">(P738-$K738)^2</f>
        <v>0.0132112036</v>
      </c>
      <c r="AE738" s="8" t="n">
        <f aca="false">MIN(INT(ROUND(N738*1000000,0)/100000),9)</f>
        <v>1</v>
      </c>
      <c r="AF738" s="8" t="n">
        <f aca="false">MIN(INT(ROUND(P738*1000000,0)/100000),9)</f>
        <v>1</v>
      </c>
    </row>
    <row r="739" customFormat="false" ht="15" hidden="false" customHeight="false" outlineLevel="0" collapsed="false">
      <c r="A739" s="4" t="n">
        <v>735</v>
      </c>
      <c r="B739" s="4" t="n">
        <v>1671</v>
      </c>
      <c r="C739" s="4" t="n">
        <v>1</v>
      </c>
      <c r="D739" s="11" t="n">
        <v>46082</v>
      </c>
      <c r="E739" s="4" t="s">
        <v>201</v>
      </c>
      <c r="F739" s="4" t="s">
        <v>209</v>
      </c>
      <c r="G739" s="4" t="n">
        <v>12</v>
      </c>
      <c r="H739" s="4" t="n">
        <v>1</v>
      </c>
      <c r="I739" s="4" t="n">
        <v>0</v>
      </c>
      <c r="J739" s="4"/>
      <c r="K739" s="4" t="n">
        <v>0</v>
      </c>
      <c r="L739" s="12" t="n">
        <v>0.366907</v>
      </c>
      <c r="M739" s="12" t="n">
        <v>0.092063</v>
      </c>
      <c r="N739" s="12" t="n">
        <v>0.029756</v>
      </c>
      <c r="O739" s="12" t="n">
        <v>0.106183</v>
      </c>
      <c r="P739" s="12" t="n">
        <v>0.029848</v>
      </c>
      <c r="Q739" s="0" t="str">
        <f aca="false">IF(L739&gt;=Models!$G$5,1+COUNTIF($L$5:$L$1517,"&gt;"&amp;L739)+COUNTIFS($L$5:$L$1517,L739,$B$5:$B$1517,"&lt;"&amp;B739)+COUNTIFS($L$5:$L$1517,L739,$B$5:$B$1517,B739,$C$5:$C$1517,"&lt;"&amp;C739),"")</f>
        <v/>
      </c>
      <c r="R739" s="0" t="str">
        <f aca="false">IF(M739&gt;=Models!$G$6,1+COUNTIF($M$5:$M$1517,"&gt;"&amp;M739)+COUNTIFS($M$5:$M$1517,M739,$B$5:$B$1517,"&lt;"&amp;B739)+COUNTIFS($M$5:$M$1517,M739,$B$5:$B$1517,B739,$C$5:$C$1517,"&lt;"&amp;C739),"")</f>
        <v/>
      </c>
      <c r="S739" s="0" t="str">
        <f aca="false">IF(N739&gt;=Models!$G$7,1+COUNTIF($N$5:$N$1517,"&gt;"&amp;N739)+COUNTIFS($N$5:$N$1517,N739,$B$5:$B$1517,"&lt;"&amp;B739)+COUNTIFS($N$5:$N$1517,N739,$B$5:$B$1517,B739,$C$5:$C$1517,"&lt;"&amp;C739),"")</f>
        <v/>
      </c>
      <c r="T739" s="8" t="n">
        <f aca="false">IF(O739&gt;=Models!$G$8,1+COUNTIF($O$5:$O$1517,"&gt;"&amp;O739)+COUNTIFS($O$5:$O$1517,O739,$B$5:$B$1517,"&lt;"&amp;B739)+COUNTIFS($O$5:$O$1517,O739,$B$5:$B$1517,B739,$C$5:$C$1517,"&lt;"&amp;C739),"")</f>
        <v>1428</v>
      </c>
      <c r="U739" s="8" t="n">
        <f aca="false">IF($K739=1,COUNTIFS($L$5:$L$1517,"&gt;="&amp;L739,$K$5:$K$1517,1)/COUNTIF($L$5:$L$1517,"&gt;="&amp;L739),0)</f>
        <v>0</v>
      </c>
      <c r="V739" s="8" t="n">
        <f aca="false">IF($K739=1,COUNTIFS($M$5:$M$1517,"&gt;="&amp;M739,$K$5:$K$1517,1)/COUNTIF($M$5:$M$1517,"&gt;="&amp;M739),0)</f>
        <v>0</v>
      </c>
      <c r="W739" s="8" t="n">
        <f aca="false">IF($K739=1,COUNTIFS($N$5:$N$1517,"&gt;="&amp;N739,$K$5:$K$1517,1)/COUNTIF($N$5:$N$1517,"&gt;="&amp;N739),0)</f>
        <v>0</v>
      </c>
      <c r="X739" s="8" t="n">
        <f aca="false">IF($K739=1,COUNTIFS($O$5:$O$1517,"&gt;="&amp;O739,$K$5:$K$1517,1)/COUNTIF($O$5:$O$1517,"&gt;="&amp;O739),0)</f>
        <v>0</v>
      </c>
      <c r="Y739" s="8" t="n">
        <f aca="false">IF($K739=1,COUNTIFS($P$5:$P$1517,"&gt;="&amp;P739,$K$5:$K$1517,1)/COUNTIF($P$5:$P$1517,"&gt;="&amp;P739),0)</f>
        <v>0</v>
      </c>
      <c r="Z739" s="8" t="n">
        <f aca="false">(L739-$K739)^2</f>
        <v>0.134620746649</v>
      </c>
      <c r="AA739" s="8" t="n">
        <f aca="false">(M739-$K739)^2</f>
        <v>0.008475595969</v>
      </c>
      <c r="AB739" s="8" t="n">
        <f aca="false">(N739-$K739)^2</f>
        <v>0.000885419536</v>
      </c>
      <c r="AC739" s="8" t="n">
        <f aca="false">(O739-$K739)^2</f>
        <v>0.011274829489</v>
      </c>
      <c r="AD739" s="8" t="n">
        <f aca="false">(P739-$K739)^2</f>
        <v>0.000890903104</v>
      </c>
      <c r="AE739" s="8" t="n">
        <f aca="false">MIN(INT(ROUND(N739*1000000,0)/100000),9)</f>
        <v>0</v>
      </c>
      <c r="AF739" s="8" t="n">
        <f aca="false">MIN(INT(ROUND(P739*1000000,0)/100000),9)</f>
        <v>0</v>
      </c>
    </row>
    <row r="740" customFormat="false" ht="15" hidden="false" customHeight="false" outlineLevel="0" collapsed="false">
      <c r="A740" s="4" t="n">
        <v>736</v>
      </c>
      <c r="B740" s="4" t="n">
        <v>1676</v>
      </c>
      <c r="C740" s="4" t="n">
        <v>1</v>
      </c>
      <c r="D740" s="11" t="n">
        <v>46082</v>
      </c>
      <c r="E740" s="4" t="s">
        <v>204</v>
      </c>
      <c r="F740" s="4" t="s">
        <v>206</v>
      </c>
      <c r="G740" s="4" t="n">
        <v>4</v>
      </c>
      <c r="H740" s="4" t="n">
        <v>5</v>
      </c>
      <c r="I740" s="4" t="n">
        <v>0</v>
      </c>
      <c r="J740" s="4" t="n">
        <v>96</v>
      </c>
      <c r="K740" s="4" t="n">
        <v>0</v>
      </c>
      <c r="L740" s="12" t="n">
        <v>0.746296</v>
      </c>
      <c r="M740" s="12" t="n">
        <v>0.092063</v>
      </c>
      <c r="N740" s="12" t="n">
        <v>0.121252</v>
      </c>
      <c r="O740" s="12" t="n">
        <v>0.106183</v>
      </c>
      <c r="P740" s="12" t="n">
        <v>0.129443</v>
      </c>
      <c r="Q740" s="0" t="str">
        <f aca="false">IF(L740&gt;=Models!$G$5,1+COUNTIF($L$5:$L$1517,"&gt;"&amp;L740)+COUNTIFS($L$5:$L$1517,L740,$B$5:$B$1517,"&lt;"&amp;B740)+COUNTIFS($L$5:$L$1517,L740,$B$5:$B$1517,B740,$C$5:$C$1517,"&lt;"&amp;C740),"")</f>
        <v/>
      </c>
      <c r="R740" s="0" t="str">
        <f aca="false">IF(M740&gt;=Models!$G$6,1+COUNTIF($M$5:$M$1517,"&gt;"&amp;M740)+COUNTIFS($M$5:$M$1517,M740,$B$5:$B$1517,"&lt;"&amp;B740)+COUNTIFS($M$5:$M$1517,M740,$B$5:$B$1517,B740,$C$5:$C$1517,"&lt;"&amp;C740),"")</f>
        <v/>
      </c>
      <c r="S740" s="0" t="str">
        <f aca="false">IF(N740&gt;=Models!$G$7,1+COUNTIF($N$5:$N$1517,"&gt;"&amp;N740)+COUNTIFS($N$5:$N$1517,N740,$B$5:$B$1517,"&lt;"&amp;B740)+COUNTIFS($N$5:$N$1517,N740,$B$5:$B$1517,B740,$C$5:$C$1517,"&lt;"&amp;C740),"")</f>
        <v/>
      </c>
      <c r="T740" s="8" t="n">
        <f aca="false">IF(O740&gt;=Models!$G$8,1+COUNTIF($O$5:$O$1517,"&gt;"&amp;O740)+COUNTIFS($O$5:$O$1517,O740,$B$5:$B$1517,"&lt;"&amp;B740)+COUNTIFS($O$5:$O$1517,O740,$B$5:$B$1517,B740,$C$5:$C$1517,"&lt;"&amp;C740),"")</f>
        <v>1431</v>
      </c>
      <c r="U740" s="8" t="n">
        <f aca="false">IF($K740=1,COUNTIFS($L$5:$L$1517,"&gt;="&amp;L740,$K$5:$K$1517,1)/COUNTIF($L$5:$L$1517,"&gt;="&amp;L740),0)</f>
        <v>0</v>
      </c>
      <c r="V740" s="8" t="n">
        <f aca="false">IF($K740=1,COUNTIFS($M$5:$M$1517,"&gt;="&amp;M740,$K$5:$K$1517,1)/COUNTIF($M$5:$M$1517,"&gt;="&amp;M740),0)</f>
        <v>0</v>
      </c>
      <c r="W740" s="8" t="n">
        <f aca="false">IF($K740=1,COUNTIFS($N$5:$N$1517,"&gt;="&amp;N740,$K$5:$K$1517,1)/COUNTIF($N$5:$N$1517,"&gt;="&amp;N740),0)</f>
        <v>0</v>
      </c>
      <c r="X740" s="8" t="n">
        <f aca="false">IF($K740=1,COUNTIFS($O$5:$O$1517,"&gt;="&amp;O740,$K$5:$K$1517,1)/COUNTIF($O$5:$O$1517,"&gt;="&amp;O740),0)</f>
        <v>0</v>
      </c>
      <c r="Y740" s="8" t="n">
        <f aca="false">IF($K740=1,COUNTIFS($P$5:$P$1517,"&gt;="&amp;P740,$K$5:$K$1517,1)/COUNTIF($P$5:$P$1517,"&gt;="&amp;P740),0)</f>
        <v>0</v>
      </c>
      <c r="Z740" s="8" t="n">
        <f aca="false">(L740-$K740)^2</f>
        <v>0.556957719616</v>
      </c>
      <c r="AA740" s="8" t="n">
        <f aca="false">(M740-$K740)^2</f>
        <v>0.008475595969</v>
      </c>
      <c r="AB740" s="8" t="n">
        <f aca="false">(N740-$K740)^2</f>
        <v>0.014702047504</v>
      </c>
      <c r="AC740" s="8" t="n">
        <f aca="false">(O740-$K740)^2</f>
        <v>0.011274829489</v>
      </c>
      <c r="AD740" s="8" t="n">
        <f aca="false">(P740-$K740)^2</f>
        <v>0.016755490249</v>
      </c>
      <c r="AE740" s="8" t="n">
        <f aca="false">MIN(INT(ROUND(N740*1000000,0)/100000),9)</f>
        <v>1</v>
      </c>
      <c r="AF740" s="8" t="n">
        <f aca="false">MIN(INT(ROUND(P740*1000000,0)/100000),9)</f>
        <v>1</v>
      </c>
    </row>
    <row r="741" customFormat="false" ht="15" hidden="false" customHeight="false" outlineLevel="0" collapsed="false">
      <c r="A741" s="4" t="n">
        <v>737</v>
      </c>
      <c r="B741" s="4" t="n">
        <v>10</v>
      </c>
      <c r="C741" s="4" t="n">
        <v>2</v>
      </c>
      <c r="D741" s="11" t="n">
        <v>46113</v>
      </c>
      <c r="E741" s="4" t="s">
        <v>204</v>
      </c>
      <c r="F741" s="4" t="s">
        <v>208</v>
      </c>
      <c r="G741" s="4" t="n">
        <v>9</v>
      </c>
      <c r="H741" s="4" t="n">
        <v>0</v>
      </c>
      <c r="I741" s="4" t="n">
        <v>0</v>
      </c>
      <c r="J741" s="4" t="n">
        <v>84</v>
      </c>
      <c r="K741" s="4" t="n">
        <v>0</v>
      </c>
      <c r="L741" s="12" t="n">
        <v>0.576991</v>
      </c>
      <c r="M741" s="12" t="n">
        <v>0.092063</v>
      </c>
      <c r="N741" s="12" t="n">
        <v>0.077926</v>
      </c>
      <c r="O741" s="12" t="n">
        <v>0.106183</v>
      </c>
      <c r="P741" s="12" t="n">
        <v>0.081701</v>
      </c>
      <c r="Q741" s="0" t="str">
        <f aca="false">IF(L741&gt;=Models!$G$5,1+COUNTIF($L$5:$L$1517,"&gt;"&amp;L741)+COUNTIFS($L$5:$L$1517,L741,$B$5:$B$1517,"&lt;"&amp;B741)+COUNTIFS($L$5:$L$1517,L741,$B$5:$B$1517,B741,$C$5:$C$1517,"&lt;"&amp;C741),"")</f>
        <v/>
      </c>
      <c r="R741" s="0" t="str">
        <f aca="false">IF(M741&gt;=Models!$G$6,1+COUNTIF($M$5:$M$1517,"&gt;"&amp;M741)+COUNTIFS($M$5:$M$1517,M741,$B$5:$B$1517,"&lt;"&amp;B741)+COUNTIFS($M$5:$M$1517,M741,$B$5:$B$1517,B741,$C$5:$C$1517,"&lt;"&amp;C741),"")</f>
        <v/>
      </c>
      <c r="S741" s="0" t="str">
        <f aca="false">IF(N741&gt;=Models!$G$7,1+COUNTIF($N$5:$N$1517,"&gt;"&amp;N741)+COUNTIFS($N$5:$N$1517,N741,$B$5:$B$1517,"&lt;"&amp;B741)+COUNTIFS($N$5:$N$1517,N741,$B$5:$B$1517,B741,$C$5:$C$1517,"&lt;"&amp;C741),"")</f>
        <v/>
      </c>
      <c r="T741" s="8" t="n">
        <f aca="false">IF(O741&gt;=Models!$G$8,1+COUNTIF($O$5:$O$1517,"&gt;"&amp;O741)+COUNTIFS($O$5:$O$1517,O741,$B$5:$B$1517,"&lt;"&amp;B741)+COUNTIFS($O$5:$O$1517,O741,$B$5:$B$1517,B741,$C$5:$C$1517,"&lt;"&amp;C741),"")</f>
        <v>3</v>
      </c>
      <c r="U741" s="8" t="n">
        <f aca="false">IF($K741=1,COUNTIFS($L$5:$L$1517,"&gt;="&amp;L741,$K$5:$K$1517,1)/COUNTIF($L$5:$L$1517,"&gt;="&amp;L741),0)</f>
        <v>0</v>
      </c>
      <c r="V741" s="8" t="n">
        <f aca="false">IF($K741=1,COUNTIFS($M$5:$M$1517,"&gt;="&amp;M741,$K$5:$K$1517,1)/COUNTIF($M$5:$M$1517,"&gt;="&amp;M741),0)</f>
        <v>0</v>
      </c>
      <c r="W741" s="8" t="n">
        <f aca="false">IF($K741=1,COUNTIFS($N$5:$N$1517,"&gt;="&amp;N741,$K$5:$K$1517,1)/COUNTIF($N$5:$N$1517,"&gt;="&amp;N741),0)</f>
        <v>0</v>
      </c>
      <c r="X741" s="8" t="n">
        <f aca="false">IF($K741=1,COUNTIFS($O$5:$O$1517,"&gt;="&amp;O741,$K$5:$K$1517,1)/COUNTIF($O$5:$O$1517,"&gt;="&amp;O741),0)</f>
        <v>0</v>
      </c>
      <c r="Y741" s="8" t="n">
        <f aca="false">IF($K741=1,COUNTIFS($P$5:$P$1517,"&gt;="&amp;P741,$K$5:$K$1517,1)/COUNTIF($P$5:$P$1517,"&gt;="&amp;P741),0)</f>
        <v>0</v>
      </c>
      <c r="Z741" s="8" t="n">
        <f aca="false">(L741-$K741)^2</f>
        <v>0.332918614081</v>
      </c>
      <c r="AA741" s="8" t="n">
        <f aca="false">(M741-$K741)^2</f>
        <v>0.008475595969</v>
      </c>
      <c r="AB741" s="8" t="n">
        <f aca="false">(N741-$K741)^2</f>
        <v>0.006072461476</v>
      </c>
      <c r="AC741" s="8" t="n">
        <f aca="false">(O741-$K741)^2</f>
        <v>0.011274829489</v>
      </c>
      <c r="AD741" s="8" t="n">
        <f aca="false">(P741-$K741)^2</f>
        <v>0.006675053401</v>
      </c>
      <c r="AE741" s="8" t="n">
        <f aca="false">MIN(INT(ROUND(N741*1000000,0)/100000),9)</f>
        <v>0</v>
      </c>
      <c r="AF741" s="8" t="n">
        <f aca="false">MIN(INT(ROUND(P741*1000000,0)/100000),9)</f>
        <v>0</v>
      </c>
    </row>
    <row r="742" customFormat="false" ht="15" hidden="false" customHeight="false" outlineLevel="0" collapsed="false">
      <c r="A742" s="4" t="n">
        <v>738</v>
      </c>
      <c r="B742" s="4" t="n">
        <v>11</v>
      </c>
      <c r="C742" s="4" t="n">
        <v>2</v>
      </c>
      <c r="D742" s="11" t="n">
        <v>46113</v>
      </c>
      <c r="E742" s="4" t="s">
        <v>204</v>
      </c>
      <c r="F742" s="4" t="s">
        <v>206</v>
      </c>
      <c r="G742" s="4" t="n">
        <v>1</v>
      </c>
      <c r="H742" s="4" t="n">
        <v>8</v>
      </c>
      <c r="I742" s="4" t="n">
        <v>0</v>
      </c>
      <c r="J742" s="4" t="n">
        <v>42</v>
      </c>
      <c r="K742" s="4" t="n">
        <v>0</v>
      </c>
      <c r="L742" s="12" t="n">
        <v>0.874203</v>
      </c>
      <c r="M742" s="12" t="n">
        <v>0.092063</v>
      </c>
      <c r="N742" s="12" t="n">
        <v>0.156708</v>
      </c>
      <c r="O742" s="12" t="n">
        <v>0.106183</v>
      </c>
      <c r="P742" s="12" t="n">
        <v>0.168817</v>
      </c>
      <c r="Q742" s="0" t="str">
        <f aca="false">IF(L742&gt;=Models!$G$5,1+COUNTIF($L$5:$L$1517,"&gt;"&amp;L742)+COUNTIFS($L$5:$L$1517,L742,$B$5:$B$1517,"&lt;"&amp;B742)+COUNTIFS($L$5:$L$1517,L742,$B$5:$B$1517,B742,$C$5:$C$1517,"&lt;"&amp;C742),"")</f>
        <v/>
      </c>
      <c r="R742" s="0" t="str">
        <f aca="false">IF(M742&gt;=Models!$G$6,1+COUNTIF($M$5:$M$1517,"&gt;"&amp;M742)+COUNTIFS($M$5:$M$1517,M742,$B$5:$B$1517,"&lt;"&amp;B742)+COUNTIFS($M$5:$M$1517,M742,$B$5:$B$1517,B742,$C$5:$C$1517,"&lt;"&amp;C742),"")</f>
        <v/>
      </c>
      <c r="S742" s="0" t="str">
        <f aca="false">IF(N742&gt;=Models!$G$7,1+COUNTIF($N$5:$N$1517,"&gt;"&amp;N742)+COUNTIFS($N$5:$N$1517,N742,$B$5:$B$1517,"&lt;"&amp;B742)+COUNTIFS($N$5:$N$1517,N742,$B$5:$B$1517,B742,$C$5:$C$1517,"&lt;"&amp;C742),"")</f>
        <v/>
      </c>
      <c r="T742" s="8" t="n">
        <f aca="false">IF(O742&gt;=Models!$G$8,1+COUNTIF($O$5:$O$1517,"&gt;"&amp;O742)+COUNTIFS($O$5:$O$1517,O742,$B$5:$B$1517,"&lt;"&amp;B742)+COUNTIFS($O$5:$O$1517,O742,$B$5:$B$1517,B742,$C$5:$C$1517,"&lt;"&amp;C742),"")</f>
        <v>7</v>
      </c>
      <c r="U742" s="8" t="n">
        <f aca="false">IF($K742=1,COUNTIFS($L$5:$L$1517,"&gt;="&amp;L742,$K$5:$K$1517,1)/COUNTIF($L$5:$L$1517,"&gt;="&amp;L742),0)</f>
        <v>0</v>
      </c>
      <c r="V742" s="8" t="n">
        <f aca="false">IF($K742=1,COUNTIFS($M$5:$M$1517,"&gt;="&amp;M742,$K$5:$K$1517,1)/COUNTIF($M$5:$M$1517,"&gt;="&amp;M742),0)</f>
        <v>0</v>
      </c>
      <c r="W742" s="8" t="n">
        <f aca="false">IF($K742=1,COUNTIFS($N$5:$N$1517,"&gt;="&amp;N742,$K$5:$K$1517,1)/COUNTIF($N$5:$N$1517,"&gt;="&amp;N742),0)</f>
        <v>0</v>
      </c>
      <c r="X742" s="8" t="n">
        <f aca="false">IF($K742=1,COUNTIFS($O$5:$O$1517,"&gt;="&amp;O742,$K$5:$K$1517,1)/COUNTIF($O$5:$O$1517,"&gt;="&amp;O742),0)</f>
        <v>0</v>
      </c>
      <c r="Y742" s="8" t="n">
        <f aca="false">IF($K742=1,COUNTIFS($P$5:$P$1517,"&gt;="&amp;P742,$K$5:$K$1517,1)/COUNTIF($P$5:$P$1517,"&gt;="&amp;P742),0)</f>
        <v>0</v>
      </c>
      <c r="Z742" s="8" t="n">
        <f aca="false">(L742-$K742)^2</f>
        <v>0.764230885209</v>
      </c>
      <c r="AA742" s="8" t="n">
        <f aca="false">(M742-$K742)^2</f>
        <v>0.008475595969</v>
      </c>
      <c r="AB742" s="8" t="n">
        <f aca="false">(N742-$K742)^2</f>
        <v>0.024557397264</v>
      </c>
      <c r="AC742" s="8" t="n">
        <f aca="false">(O742-$K742)^2</f>
        <v>0.011274829489</v>
      </c>
      <c r="AD742" s="8" t="n">
        <f aca="false">(P742-$K742)^2</f>
        <v>0.028499179489</v>
      </c>
      <c r="AE742" s="8" t="n">
        <f aca="false">MIN(INT(ROUND(N742*1000000,0)/100000),9)</f>
        <v>1</v>
      </c>
      <c r="AF742" s="8" t="n">
        <f aca="false">MIN(INT(ROUND(P742*1000000,0)/100000),9)</f>
        <v>1</v>
      </c>
    </row>
    <row r="743" customFormat="false" ht="15" hidden="false" customHeight="false" outlineLevel="0" collapsed="false">
      <c r="A743" s="4" t="n">
        <v>739</v>
      </c>
      <c r="B743" s="4" t="n">
        <v>20</v>
      </c>
      <c r="C743" s="4" t="n">
        <v>2</v>
      </c>
      <c r="D743" s="11" t="n">
        <v>46113</v>
      </c>
      <c r="E743" s="4" t="s">
        <v>204</v>
      </c>
      <c r="F743" s="4" t="s">
        <v>210</v>
      </c>
      <c r="G743" s="4" t="n">
        <v>8</v>
      </c>
      <c r="H743" s="4" t="n">
        <v>1</v>
      </c>
      <c r="I743" s="4" t="n">
        <v>0</v>
      </c>
      <c r="J743" s="4" t="n">
        <v>105</v>
      </c>
      <c r="K743" s="4" t="n">
        <v>0</v>
      </c>
      <c r="L743" s="12" t="n">
        <v>0.112006</v>
      </c>
      <c r="M743" s="12" t="n">
        <v>0.092063</v>
      </c>
      <c r="N743" s="12" t="n">
        <v>0.085185</v>
      </c>
      <c r="O743" s="12" t="n">
        <v>0.106183</v>
      </c>
      <c r="P743" s="12" t="n">
        <v>0.089654</v>
      </c>
      <c r="Q743" s="0" t="str">
        <f aca="false">IF(L743&gt;=Models!$G$5,1+COUNTIF($L$5:$L$1517,"&gt;"&amp;L743)+COUNTIFS($L$5:$L$1517,L743,$B$5:$B$1517,"&lt;"&amp;B743)+COUNTIFS($L$5:$L$1517,L743,$B$5:$B$1517,B743,$C$5:$C$1517,"&lt;"&amp;C743),"")</f>
        <v/>
      </c>
      <c r="R743" s="0" t="str">
        <f aca="false">IF(M743&gt;=Models!$G$6,1+COUNTIF($M$5:$M$1517,"&gt;"&amp;M743)+COUNTIFS($M$5:$M$1517,M743,$B$5:$B$1517,"&lt;"&amp;B743)+COUNTIFS($M$5:$M$1517,M743,$B$5:$B$1517,B743,$C$5:$C$1517,"&lt;"&amp;C743),"")</f>
        <v/>
      </c>
      <c r="S743" s="0" t="str">
        <f aca="false">IF(N743&gt;=Models!$G$7,1+COUNTIF($N$5:$N$1517,"&gt;"&amp;N743)+COUNTIFS($N$5:$N$1517,N743,$B$5:$B$1517,"&lt;"&amp;B743)+COUNTIFS($N$5:$N$1517,N743,$B$5:$B$1517,B743,$C$5:$C$1517,"&lt;"&amp;C743),"")</f>
        <v/>
      </c>
      <c r="T743" s="8" t="n">
        <f aca="false">IF(O743&gt;=Models!$G$8,1+COUNTIF($O$5:$O$1517,"&gt;"&amp;O743)+COUNTIFS($O$5:$O$1517,O743,$B$5:$B$1517,"&lt;"&amp;B743)+COUNTIFS($O$5:$O$1517,O743,$B$5:$B$1517,B743,$C$5:$C$1517,"&lt;"&amp;C743),"")</f>
        <v>11</v>
      </c>
      <c r="U743" s="8" t="n">
        <f aca="false">IF($K743=1,COUNTIFS($L$5:$L$1517,"&gt;="&amp;L743,$K$5:$K$1517,1)/COUNTIF($L$5:$L$1517,"&gt;="&amp;L743),0)</f>
        <v>0</v>
      </c>
      <c r="V743" s="8" t="n">
        <f aca="false">IF($K743=1,COUNTIFS($M$5:$M$1517,"&gt;="&amp;M743,$K$5:$K$1517,1)/COUNTIF($M$5:$M$1517,"&gt;="&amp;M743),0)</f>
        <v>0</v>
      </c>
      <c r="W743" s="8" t="n">
        <f aca="false">IF($K743=1,COUNTIFS($N$5:$N$1517,"&gt;="&amp;N743,$K$5:$K$1517,1)/COUNTIF($N$5:$N$1517,"&gt;="&amp;N743),0)</f>
        <v>0</v>
      </c>
      <c r="X743" s="8" t="n">
        <f aca="false">IF($K743=1,COUNTIFS($O$5:$O$1517,"&gt;="&amp;O743,$K$5:$K$1517,1)/COUNTIF($O$5:$O$1517,"&gt;="&amp;O743),0)</f>
        <v>0</v>
      </c>
      <c r="Y743" s="8" t="n">
        <f aca="false">IF($K743=1,COUNTIFS($P$5:$P$1517,"&gt;="&amp;P743,$K$5:$K$1517,1)/COUNTIF($P$5:$P$1517,"&gt;="&amp;P743),0)</f>
        <v>0</v>
      </c>
      <c r="Z743" s="8" t="n">
        <f aca="false">(L743-$K743)^2</f>
        <v>0.012545344036</v>
      </c>
      <c r="AA743" s="8" t="n">
        <f aca="false">(M743-$K743)^2</f>
        <v>0.008475595969</v>
      </c>
      <c r="AB743" s="8" t="n">
        <f aca="false">(N743-$K743)^2</f>
        <v>0.007256484225</v>
      </c>
      <c r="AC743" s="8" t="n">
        <f aca="false">(O743-$K743)^2</f>
        <v>0.011274829489</v>
      </c>
      <c r="AD743" s="8" t="n">
        <f aca="false">(P743-$K743)^2</f>
        <v>0.008037839716</v>
      </c>
      <c r="AE743" s="8" t="n">
        <f aca="false">MIN(INT(ROUND(N743*1000000,0)/100000),9)</f>
        <v>0</v>
      </c>
      <c r="AF743" s="8" t="n">
        <f aca="false">MIN(INT(ROUND(P743*1000000,0)/100000),9)</f>
        <v>0</v>
      </c>
    </row>
    <row r="744" customFormat="false" ht="15" hidden="false" customHeight="false" outlineLevel="0" collapsed="false">
      <c r="A744" s="4" t="n">
        <v>740</v>
      </c>
      <c r="B744" s="4" t="n">
        <v>26</v>
      </c>
      <c r="C744" s="4" t="n">
        <v>2</v>
      </c>
      <c r="D744" s="11" t="n">
        <v>46113</v>
      </c>
      <c r="E744" s="4" t="s">
        <v>204</v>
      </c>
      <c r="F744" s="4" t="s">
        <v>206</v>
      </c>
      <c r="G744" s="4" t="n">
        <v>1</v>
      </c>
      <c r="H744" s="4" t="n">
        <v>15</v>
      </c>
      <c r="I744" s="4" t="n">
        <v>0</v>
      </c>
      <c r="J744" s="4" t="n">
        <v>73.5</v>
      </c>
      <c r="K744" s="4" t="n">
        <v>0</v>
      </c>
      <c r="L744" s="12" t="n">
        <v>0.724995</v>
      </c>
      <c r="M744" s="12" t="n">
        <v>0.092063</v>
      </c>
      <c r="N744" s="12" t="n">
        <v>0.164187</v>
      </c>
      <c r="O744" s="12" t="n">
        <v>0.106183</v>
      </c>
      <c r="P744" s="12" t="n">
        <v>0.177138</v>
      </c>
      <c r="Q744" s="0" t="str">
        <f aca="false">IF(L744&gt;=Models!$G$5,1+COUNTIF($L$5:$L$1517,"&gt;"&amp;L744)+COUNTIFS($L$5:$L$1517,L744,$B$5:$B$1517,"&lt;"&amp;B744)+COUNTIFS($L$5:$L$1517,L744,$B$5:$B$1517,B744,$C$5:$C$1517,"&lt;"&amp;C744),"")</f>
        <v/>
      </c>
      <c r="R744" s="0" t="str">
        <f aca="false">IF(M744&gt;=Models!$G$6,1+COUNTIF($M$5:$M$1517,"&gt;"&amp;M744)+COUNTIFS($M$5:$M$1517,M744,$B$5:$B$1517,"&lt;"&amp;B744)+COUNTIFS($M$5:$M$1517,M744,$B$5:$B$1517,B744,$C$5:$C$1517,"&lt;"&amp;C744),"")</f>
        <v/>
      </c>
      <c r="S744" s="0" t="str">
        <f aca="false">IF(N744&gt;=Models!$G$7,1+COUNTIF($N$5:$N$1517,"&gt;"&amp;N744)+COUNTIFS($N$5:$N$1517,N744,$B$5:$B$1517,"&lt;"&amp;B744)+COUNTIFS($N$5:$N$1517,N744,$B$5:$B$1517,B744,$C$5:$C$1517,"&lt;"&amp;C744),"")</f>
        <v/>
      </c>
      <c r="T744" s="8" t="n">
        <f aca="false">IF(O744&gt;=Models!$G$8,1+COUNTIF($O$5:$O$1517,"&gt;"&amp;O744)+COUNTIFS($O$5:$O$1517,O744,$B$5:$B$1517,"&lt;"&amp;B744)+COUNTIFS($O$5:$O$1517,O744,$B$5:$B$1517,B744,$C$5:$C$1517,"&lt;"&amp;C744),"")</f>
        <v>15</v>
      </c>
      <c r="U744" s="8" t="n">
        <f aca="false">IF($K744=1,COUNTIFS($L$5:$L$1517,"&gt;="&amp;L744,$K$5:$K$1517,1)/COUNTIF($L$5:$L$1517,"&gt;="&amp;L744),0)</f>
        <v>0</v>
      </c>
      <c r="V744" s="8" t="n">
        <f aca="false">IF($K744=1,COUNTIFS($M$5:$M$1517,"&gt;="&amp;M744,$K$5:$K$1517,1)/COUNTIF($M$5:$M$1517,"&gt;="&amp;M744),0)</f>
        <v>0</v>
      </c>
      <c r="W744" s="8" t="n">
        <f aca="false">IF($K744=1,COUNTIFS($N$5:$N$1517,"&gt;="&amp;N744,$K$5:$K$1517,1)/COUNTIF($N$5:$N$1517,"&gt;="&amp;N744),0)</f>
        <v>0</v>
      </c>
      <c r="X744" s="8" t="n">
        <f aca="false">IF($K744=1,COUNTIFS($O$5:$O$1517,"&gt;="&amp;O744,$K$5:$K$1517,1)/COUNTIF($O$5:$O$1517,"&gt;="&amp;O744),0)</f>
        <v>0</v>
      </c>
      <c r="Y744" s="8" t="n">
        <f aca="false">IF($K744=1,COUNTIFS($P$5:$P$1517,"&gt;="&amp;P744,$K$5:$K$1517,1)/COUNTIF($P$5:$P$1517,"&gt;="&amp;P744),0)</f>
        <v>0</v>
      </c>
      <c r="Z744" s="8" t="n">
        <f aca="false">(L744-$K744)^2</f>
        <v>0.525617750025</v>
      </c>
      <c r="AA744" s="8" t="n">
        <f aca="false">(M744-$K744)^2</f>
        <v>0.008475595969</v>
      </c>
      <c r="AB744" s="8" t="n">
        <f aca="false">(N744-$K744)^2</f>
        <v>0.026957370969</v>
      </c>
      <c r="AC744" s="8" t="n">
        <f aca="false">(O744-$K744)^2</f>
        <v>0.011274829489</v>
      </c>
      <c r="AD744" s="8" t="n">
        <f aca="false">(P744-$K744)^2</f>
        <v>0.031377871044</v>
      </c>
      <c r="AE744" s="8" t="n">
        <f aca="false">MIN(INT(ROUND(N744*1000000,0)/100000),9)</f>
        <v>1</v>
      </c>
      <c r="AF744" s="8" t="n">
        <f aca="false">MIN(INT(ROUND(P744*1000000,0)/100000),9)</f>
        <v>1</v>
      </c>
    </row>
    <row r="745" customFormat="false" ht="15" hidden="false" customHeight="false" outlineLevel="0" collapsed="false">
      <c r="A745" s="4" t="n">
        <v>741</v>
      </c>
      <c r="B745" s="4" t="n">
        <v>30</v>
      </c>
      <c r="C745" s="4" t="n">
        <v>2</v>
      </c>
      <c r="D745" s="11" t="n">
        <v>46113</v>
      </c>
      <c r="E745" s="4" t="s">
        <v>203</v>
      </c>
      <c r="F745" s="4" t="s">
        <v>209</v>
      </c>
      <c r="G745" s="4" t="n">
        <v>6</v>
      </c>
      <c r="H745" s="4" t="n">
        <v>3</v>
      </c>
      <c r="I745" s="4" t="n">
        <v>0</v>
      </c>
      <c r="J745" s="4" t="n">
        <v>1438.2</v>
      </c>
      <c r="K745" s="4" t="n">
        <v>0</v>
      </c>
      <c r="L745" s="12" t="n">
        <v>0.795879</v>
      </c>
      <c r="M745" s="12" t="n">
        <v>0.092063</v>
      </c>
      <c r="N745" s="12" t="n">
        <v>0.094924</v>
      </c>
      <c r="O745" s="12" t="n">
        <v>0.106183</v>
      </c>
      <c r="P745" s="12" t="n">
        <v>0.100358</v>
      </c>
      <c r="Q745" s="0" t="str">
        <f aca="false">IF(L745&gt;=Models!$G$5,1+COUNTIF($L$5:$L$1517,"&gt;"&amp;L745)+COUNTIFS($L$5:$L$1517,L745,$B$5:$B$1517,"&lt;"&amp;B745)+COUNTIFS($L$5:$L$1517,L745,$B$5:$B$1517,B745,$C$5:$C$1517,"&lt;"&amp;C745),"")</f>
        <v/>
      </c>
      <c r="R745" s="0" t="str">
        <f aca="false">IF(M745&gt;=Models!$G$6,1+COUNTIF($M$5:$M$1517,"&gt;"&amp;M745)+COUNTIFS($M$5:$M$1517,M745,$B$5:$B$1517,"&lt;"&amp;B745)+COUNTIFS($M$5:$M$1517,M745,$B$5:$B$1517,B745,$C$5:$C$1517,"&lt;"&amp;C745),"")</f>
        <v/>
      </c>
      <c r="S745" s="0" t="str">
        <f aca="false">IF(N745&gt;=Models!$G$7,1+COUNTIF($N$5:$N$1517,"&gt;"&amp;N745)+COUNTIFS($N$5:$N$1517,N745,$B$5:$B$1517,"&lt;"&amp;B745)+COUNTIFS($N$5:$N$1517,N745,$B$5:$B$1517,B745,$C$5:$C$1517,"&lt;"&amp;C745),"")</f>
        <v/>
      </c>
      <c r="T745" s="8" t="n">
        <f aca="false">IF(O745&gt;=Models!$G$8,1+COUNTIF($O$5:$O$1517,"&gt;"&amp;O745)+COUNTIFS($O$5:$O$1517,O745,$B$5:$B$1517,"&lt;"&amp;B745)+COUNTIFS($O$5:$O$1517,O745,$B$5:$B$1517,B745,$C$5:$C$1517,"&lt;"&amp;C745),"")</f>
        <v>19</v>
      </c>
      <c r="U745" s="8" t="n">
        <f aca="false">IF($K745=1,COUNTIFS($L$5:$L$1517,"&gt;="&amp;L745,$K$5:$K$1517,1)/COUNTIF($L$5:$L$1517,"&gt;="&amp;L745),0)</f>
        <v>0</v>
      </c>
      <c r="V745" s="8" t="n">
        <f aca="false">IF($K745=1,COUNTIFS($M$5:$M$1517,"&gt;="&amp;M745,$K$5:$K$1517,1)/COUNTIF($M$5:$M$1517,"&gt;="&amp;M745),0)</f>
        <v>0</v>
      </c>
      <c r="W745" s="8" t="n">
        <f aca="false">IF($K745=1,COUNTIFS($N$5:$N$1517,"&gt;="&amp;N745,$K$5:$K$1517,1)/COUNTIF($N$5:$N$1517,"&gt;="&amp;N745),0)</f>
        <v>0</v>
      </c>
      <c r="X745" s="8" t="n">
        <f aca="false">IF($K745=1,COUNTIFS($O$5:$O$1517,"&gt;="&amp;O745,$K$5:$K$1517,1)/COUNTIF($O$5:$O$1517,"&gt;="&amp;O745),0)</f>
        <v>0</v>
      </c>
      <c r="Y745" s="8" t="n">
        <f aca="false">IF($K745=1,COUNTIFS($P$5:$P$1517,"&gt;="&amp;P745,$K$5:$K$1517,1)/COUNTIF($P$5:$P$1517,"&gt;="&amp;P745),0)</f>
        <v>0</v>
      </c>
      <c r="Z745" s="8" t="n">
        <f aca="false">(L745-$K745)^2</f>
        <v>0.633423382641</v>
      </c>
      <c r="AA745" s="8" t="n">
        <f aca="false">(M745-$K745)^2</f>
        <v>0.008475595969</v>
      </c>
      <c r="AB745" s="8" t="n">
        <f aca="false">(N745-$K745)^2</f>
        <v>0.009010565776</v>
      </c>
      <c r="AC745" s="8" t="n">
        <f aca="false">(O745-$K745)^2</f>
        <v>0.011274829489</v>
      </c>
      <c r="AD745" s="8" t="n">
        <f aca="false">(P745-$K745)^2</f>
        <v>0.010071728164</v>
      </c>
      <c r="AE745" s="8" t="n">
        <f aca="false">MIN(INT(ROUND(N745*1000000,0)/100000),9)</f>
        <v>0</v>
      </c>
      <c r="AF745" s="8" t="n">
        <f aca="false">MIN(INT(ROUND(P745*1000000,0)/100000),9)</f>
        <v>1</v>
      </c>
    </row>
    <row r="746" customFormat="false" ht="15" hidden="false" customHeight="false" outlineLevel="0" collapsed="false">
      <c r="A746" s="4" t="n">
        <v>742</v>
      </c>
      <c r="B746" s="4" t="n">
        <v>31</v>
      </c>
      <c r="C746" s="4" t="n">
        <v>2</v>
      </c>
      <c r="D746" s="11" t="n">
        <v>46113</v>
      </c>
      <c r="E746" s="4" t="s">
        <v>202</v>
      </c>
      <c r="F746" s="4" t="s">
        <v>206</v>
      </c>
      <c r="G746" s="4" t="n">
        <v>9</v>
      </c>
      <c r="H746" s="4" t="n">
        <v>5</v>
      </c>
      <c r="I746" s="4" t="n">
        <v>0</v>
      </c>
      <c r="J746" s="4" t="n">
        <v>730.8</v>
      </c>
      <c r="K746" s="4" t="n">
        <v>0</v>
      </c>
      <c r="L746" s="12" t="n">
        <v>0.283465</v>
      </c>
      <c r="M746" s="12" t="n">
        <v>0.092063</v>
      </c>
      <c r="N746" s="12" t="n">
        <v>0.078172</v>
      </c>
      <c r="O746" s="12" t="n">
        <v>0.106183</v>
      </c>
      <c r="P746" s="12" t="n">
        <v>0.08197</v>
      </c>
      <c r="Q746" s="0" t="str">
        <f aca="false">IF(L746&gt;=Models!$G$5,1+COUNTIF($L$5:$L$1517,"&gt;"&amp;L746)+COUNTIFS($L$5:$L$1517,L746,$B$5:$B$1517,"&lt;"&amp;B746)+COUNTIFS($L$5:$L$1517,L746,$B$5:$B$1517,B746,$C$5:$C$1517,"&lt;"&amp;C746),"")</f>
        <v/>
      </c>
      <c r="R746" s="0" t="str">
        <f aca="false">IF(M746&gt;=Models!$G$6,1+COUNTIF($M$5:$M$1517,"&gt;"&amp;M746)+COUNTIFS($M$5:$M$1517,M746,$B$5:$B$1517,"&lt;"&amp;B746)+COUNTIFS($M$5:$M$1517,M746,$B$5:$B$1517,B746,$C$5:$C$1517,"&lt;"&amp;C746),"")</f>
        <v/>
      </c>
      <c r="S746" s="0" t="str">
        <f aca="false">IF(N746&gt;=Models!$G$7,1+COUNTIF($N$5:$N$1517,"&gt;"&amp;N746)+COUNTIFS($N$5:$N$1517,N746,$B$5:$B$1517,"&lt;"&amp;B746)+COUNTIFS($N$5:$N$1517,N746,$B$5:$B$1517,B746,$C$5:$C$1517,"&lt;"&amp;C746),"")</f>
        <v/>
      </c>
      <c r="T746" s="8" t="n">
        <f aca="false">IF(O746&gt;=Models!$G$8,1+COUNTIF($O$5:$O$1517,"&gt;"&amp;O746)+COUNTIFS($O$5:$O$1517,O746,$B$5:$B$1517,"&lt;"&amp;B746)+COUNTIFS($O$5:$O$1517,O746,$B$5:$B$1517,B746,$C$5:$C$1517,"&lt;"&amp;C746),"")</f>
        <v>23</v>
      </c>
      <c r="U746" s="8" t="n">
        <f aca="false">IF($K746=1,COUNTIFS($L$5:$L$1517,"&gt;="&amp;L746,$K$5:$K$1517,1)/COUNTIF($L$5:$L$1517,"&gt;="&amp;L746),0)</f>
        <v>0</v>
      </c>
      <c r="V746" s="8" t="n">
        <f aca="false">IF($K746=1,COUNTIFS($M$5:$M$1517,"&gt;="&amp;M746,$K$5:$K$1517,1)/COUNTIF($M$5:$M$1517,"&gt;="&amp;M746),0)</f>
        <v>0</v>
      </c>
      <c r="W746" s="8" t="n">
        <f aca="false">IF($K746=1,COUNTIFS($N$5:$N$1517,"&gt;="&amp;N746,$K$5:$K$1517,1)/COUNTIF($N$5:$N$1517,"&gt;="&amp;N746),0)</f>
        <v>0</v>
      </c>
      <c r="X746" s="8" t="n">
        <f aca="false">IF($K746=1,COUNTIFS($O$5:$O$1517,"&gt;="&amp;O746,$K$5:$K$1517,1)/COUNTIF($O$5:$O$1517,"&gt;="&amp;O746),0)</f>
        <v>0</v>
      </c>
      <c r="Y746" s="8" t="n">
        <f aca="false">IF($K746=1,COUNTIFS($P$5:$P$1517,"&gt;="&amp;P746,$K$5:$K$1517,1)/COUNTIF($P$5:$P$1517,"&gt;="&amp;P746),0)</f>
        <v>0</v>
      </c>
      <c r="Z746" s="8" t="n">
        <f aca="false">(L746-$K746)^2</f>
        <v>0.080352406225</v>
      </c>
      <c r="AA746" s="8" t="n">
        <f aca="false">(M746-$K746)^2</f>
        <v>0.008475595969</v>
      </c>
      <c r="AB746" s="8" t="n">
        <f aca="false">(N746-$K746)^2</f>
        <v>0.006110861584</v>
      </c>
      <c r="AC746" s="8" t="n">
        <f aca="false">(O746-$K746)^2</f>
        <v>0.011274829489</v>
      </c>
      <c r="AD746" s="8" t="n">
        <f aca="false">(P746-$K746)^2</f>
        <v>0.0067190809</v>
      </c>
      <c r="AE746" s="8" t="n">
        <f aca="false">MIN(INT(ROUND(N746*1000000,0)/100000),9)</f>
        <v>0</v>
      </c>
      <c r="AF746" s="8" t="n">
        <f aca="false">MIN(INT(ROUND(P746*1000000,0)/100000),9)</f>
        <v>0</v>
      </c>
    </row>
    <row r="747" customFormat="false" ht="15" hidden="false" customHeight="false" outlineLevel="0" collapsed="false">
      <c r="A747" s="4" t="n">
        <v>743</v>
      </c>
      <c r="B747" s="4" t="n">
        <v>33</v>
      </c>
      <c r="C747" s="4" t="n">
        <v>2</v>
      </c>
      <c r="D747" s="11" t="n">
        <v>46113</v>
      </c>
      <c r="E747" s="4" t="s">
        <v>202</v>
      </c>
      <c r="F747" s="4" t="s">
        <v>208</v>
      </c>
      <c r="G747" s="4" t="n">
        <v>18</v>
      </c>
      <c r="H747" s="4" t="n">
        <v>2</v>
      </c>
      <c r="I747" s="4" t="n">
        <v>0</v>
      </c>
      <c r="J747" s="4" t="n">
        <v>1023</v>
      </c>
      <c r="K747" s="4" t="n">
        <v>0</v>
      </c>
      <c r="L747" s="12" t="n">
        <v>0.644367</v>
      </c>
      <c r="M747" s="12" t="n">
        <v>0.092063</v>
      </c>
      <c r="N747" s="12" t="n">
        <v>0.034927</v>
      </c>
      <c r="O747" s="12" t="n">
        <v>0.106183</v>
      </c>
      <c r="P747" s="12" t="n">
        <v>0.035302</v>
      </c>
      <c r="Q747" s="0" t="str">
        <f aca="false">IF(L747&gt;=Models!$G$5,1+COUNTIF($L$5:$L$1517,"&gt;"&amp;L747)+COUNTIFS($L$5:$L$1517,L747,$B$5:$B$1517,"&lt;"&amp;B747)+COUNTIFS($L$5:$L$1517,L747,$B$5:$B$1517,B747,$C$5:$C$1517,"&lt;"&amp;C747),"")</f>
        <v/>
      </c>
      <c r="R747" s="0" t="str">
        <f aca="false">IF(M747&gt;=Models!$G$6,1+COUNTIF($M$5:$M$1517,"&gt;"&amp;M747)+COUNTIFS($M$5:$M$1517,M747,$B$5:$B$1517,"&lt;"&amp;B747)+COUNTIFS($M$5:$M$1517,M747,$B$5:$B$1517,B747,$C$5:$C$1517,"&lt;"&amp;C747),"")</f>
        <v/>
      </c>
      <c r="S747" s="0" t="str">
        <f aca="false">IF(N747&gt;=Models!$G$7,1+COUNTIF($N$5:$N$1517,"&gt;"&amp;N747)+COUNTIFS($N$5:$N$1517,N747,$B$5:$B$1517,"&lt;"&amp;B747)+COUNTIFS($N$5:$N$1517,N747,$B$5:$B$1517,B747,$C$5:$C$1517,"&lt;"&amp;C747),"")</f>
        <v/>
      </c>
      <c r="T747" s="8" t="n">
        <f aca="false">IF(O747&gt;=Models!$G$8,1+COUNTIF($O$5:$O$1517,"&gt;"&amp;O747)+COUNTIFS($O$5:$O$1517,O747,$B$5:$B$1517,"&lt;"&amp;B747)+COUNTIFS($O$5:$O$1517,O747,$B$5:$B$1517,B747,$C$5:$C$1517,"&lt;"&amp;C747),"")</f>
        <v>27</v>
      </c>
      <c r="U747" s="8" t="n">
        <f aca="false">IF($K747=1,COUNTIFS($L$5:$L$1517,"&gt;="&amp;L747,$K$5:$K$1517,1)/COUNTIF($L$5:$L$1517,"&gt;="&amp;L747),0)</f>
        <v>0</v>
      </c>
      <c r="V747" s="8" t="n">
        <f aca="false">IF($K747=1,COUNTIFS($M$5:$M$1517,"&gt;="&amp;M747,$K$5:$K$1517,1)/COUNTIF($M$5:$M$1517,"&gt;="&amp;M747),0)</f>
        <v>0</v>
      </c>
      <c r="W747" s="8" t="n">
        <f aca="false">IF($K747=1,COUNTIFS($N$5:$N$1517,"&gt;="&amp;N747,$K$5:$K$1517,1)/COUNTIF($N$5:$N$1517,"&gt;="&amp;N747),0)</f>
        <v>0</v>
      </c>
      <c r="X747" s="8" t="n">
        <f aca="false">IF($K747=1,COUNTIFS($O$5:$O$1517,"&gt;="&amp;O747,$K$5:$K$1517,1)/COUNTIF($O$5:$O$1517,"&gt;="&amp;O747),0)</f>
        <v>0</v>
      </c>
      <c r="Y747" s="8" t="n">
        <f aca="false">IF($K747=1,COUNTIFS($P$5:$P$1517,"&gt;="&amp;P747,$K$5:$K$1517,1)/COUNTIF($P$5:$P$1517,"&gt;="&amp;P747),0)</f>
        <v>0</v>
      </c>
      <c r="Z747" s="8" t="n">
        <f aca="false">(L747-$K747)^2</f>
        <v>0.415208830689</v>
      </c>
      <c r="AA747" s="8" t="n">
        <f aca="false">(M747-$K747)^2</f>
        <v>0.008475595969</v>
      </c>
      <c r="AB747" s="8" t="n">
        <f aca="false">(N747-$K747)^2</f>
        <v>0.001219895329</v>
      </c>
      <c r="AC747" s="8" t="n">
        <f aca="false">(O747-$K747)^2</f>
        <v>0.011274829489</v>
      </c>
      <c r="AD747" s="8" t="n">
        <f aca="false">(P747-$K747)^2</f>
        <v>0.001246231204</v>
      </c>
      <c r="AE747" s="8" t="n">
        <f aca="false">MIN(INT(ROUND(N747*1000000,0)/100000),9)</f>
        <v>0</v>
      </c>
      <c r="AF747" s="8" t="n">
        <f aca="false">MIN(INT(ROUND(P747*1000000,0)/100000),9)</f>
        <v>0</v>
      </c>
    </row>
    <row r="748" customFormat="false" ht="15" hidden="false" customHeight="false" outlineLevel="0" collapsed="false">
      <c r="A748" s="4" t="n">
        <v>744</v>
      </c>
      <c r="B748" s="4" t="n">
        <v>37</v>
      </c>
      <c r="C748" s="4" t="n">
        <v>2</v>
      </c>
      <c r="D748" s="11" t="n">
        <v>46113</v>
      </c>
      <c r="E748" s="4" t="s">
        <v>202</v>
      </c>
      <c r="F748" s="4" t="s">
        <v>209</v>
      </c>
      <c r="G748" s="4" t="n">
        <v>8</v>
      </c>
      <c r="H748" s="4" t="n">
        <v>5</v>
      </c>
      <c r="I748" s="4" t="n">
        <v>0</v>
      </c>
      <c r="J748" s="4" t="n">
        <v>2723.4</v>
      </c>
      <c r="K748" s="4" t="n">
        <v>0</v>
      </c>
      <c r="L748" s="12" t="n">
        <v>0.330601</v>
      </c>
      <c r="M748" s="12" t="n">
        <v>0.092063</v>
      </c>
      <c r="N748" s="12" t="n">
        <v>0.076339</v>
      </c>
      <c r="O748" s="12" t="n">
        <v>0.106183</v>
      </c>
      <c r="P748" s="12" t="n">
        <v>0.079966</v>
      </c>
      <c r="Q748" s="0" t="str">
        <f aca="false">IF(L748&gt;=Models!$G$5,1+COUNTIF($L$5:$L$1517,"&gt;"&amp;L748)+COUNTIFS($L$5:$L$1517,L748,$B$5:$B$1517,"&lt;"&amp;B748)+COUNTIFS($L$5:$L$1517,L748,$B$5:$B$1517,B748,$C$5:$C$1517,"&lt;"&amp;C748),"")</f>
        <v/>
      </c>
      <c r="R748" s="0" t="str">
        <f aca="false">IF(M748&gt;=Models!$G$6,1+COUNTIF($M$5:$M$1517,"&gt;"&amp;M748)+COUNTIFS($M$5:$M$1517,M748,$B$5:$B$1517,"&lt;"&amp;B748)+COUNTIFS($M$5:$M$1517,M748,$B$5:$B$1517,B748,$C$5:$C$1517,"&lt;"&amp;C748),"")</f>
        <v/>
      </c>
      <c r="S748" s="0" t="str">
        <f aca="false">IF(N748&gt;=Models!$G$7,1+COUNTIF($N$5:$N$1517,"&gt;"&amp;N748)+COUNTIFS($N$5:$N$1517,N748,$B$5:$B$1517,"&lt;"&amp;B748)+COUNTIFS($N$5:$N$1517,N748,$B$5:$B$1517,B748,$C$5:$C$1517,"&lt;"&amp;C748),"")</f>
        <v/>
      </c>
      <c r="T748" s="8" t="n">
        <f aca="false">IF(O748&gt;=Models!$G$8,1+COUNTIF($O$5:$O$1517,"&gt;"&amp;O748)+COUNTIFS($O$5:$O$1517,O748,$B$5:$B$1517,"&lt;"&amp;B748)+COUNTIFS($O$5:$O$1517,O748,$B$5:$B$1517,B748,$C$5:$C$1517,"&lt;"&amp;C748),"")</f>
        <v>31</v>
      </c>
      <c r="U748" s="8" t="n">
        <f aca="false">IF($K748=1,COUNTIFS($L$5:$L$1517,"&gt;="&amp;L748,$K$5:$K$1517,1)/COUNTIF($L$5:$L$1517,"&gt;="&amp;L748),0)</f>
        <v>0</v>
      </c>
      <c r="V748" s="8" t="n">
        <f aca="false">IF($K748=1,COUNTIFS($M$5:$M$1517,"&gt;="&amp;M748,$K$5:$K$1517,1)/COUNTIF($M$5:$M$1517,"&gt;="&amp;M748),0)</f>
        <v>0</v>
      </c>
      <c r="W748" s="8" t="n">
        <f aca="false">IF($K748=1,COUNTIFS($N$5:$N$1517,"&gt;="&amp;N748,$K$5:$K$1517,1)/COUNTIF($N$5:$N$1517,"&gt;="&amp;N748),0)</f>
        <v>0</v>
      </c>
      <c r="X748" s="8" t="n">
        <f aca="false">IF($K748=1,COUNTIFS($O$5:$O$1517,"&gt;="&amp;O748,$K$5:$K$1517,1)/COUNTIF($O$5:$O$1517,"&gt;="&amp;O748),0)</f>
        <v>0</v>
      </c>
      <c r="Y748" s="8" t="n">
        <f aca="false">IF($K748=1,COUNTIFS($P$5:$P$1517,"&gt;="&amp;P748,$K$5:$K$1517,1)/COUNTIF($P$5:$P$1517,"&gt;="&amp;P748),0)</f>
        <v>0</v>
      </c>
      <c r="Z748" s="8" t="n">
        <f aca="false">(L748-$K748)^2</f>
        <v>0.109297021201</v>
      </c>
      <c r="AA748" s="8" t="n">
        <f aca="false">(M748-$K748)^2</f>
        <v>0.008475595969</v>
      </c>
      <c r="AB748" s="8" t="n">
        <f aca="false">(N748-$K748)^2</f>
        <v>0.005827642921</v>
      </c>
      <c r="AC748" s="8" t="n">
        <f aca="false">(O748-$K748)^2</f>
        <v>0.011274829489</v>
      </c>
      <c r="AD748" s="8" t="n">
        <f aca="false">(P748-$K748)^2</f>
        <v>0.006394561156</v>
      </c>
      <c r="AE748" s="8" t="n">
        <f aca="false">MIN(INT(ROUND(N748*1000000,0)/100000),9)</f>
        <v>0</v>
      </c>
      <c r="AF748" s="8" t="n">
        <f aca="false">MIN(INT(ROUND(P748*1000000,0)/100000),9)</f>
        <v>0</v>
      </c>
    </row>
    <row r="749" customFormat="false" ht="15" hidden="false" customHeight="false" outlineLevel="0" collapsed="false">
      <c r="A749" s="4" t="n">
        <v>745</v>
      </c>
      <c r="B749" s="4" t="n">
        <v>44</v>
      </c>
      <c r="C749" s="4" t="n">
        <v>2</v>
      </c>
      <c r="D749" s="11" t="n">
        <v>46113</v>
      </c>
      <c r="E749" s="4" t="s">
        <v>202</v>
      </c>
      <c r="F749" s="4" t="s">
        <v>206</v>
      </c>
      <c r="G749" s="4" t="n">
        <v>12</v>
      </c>
      <c r="H749" s="4" t="n">
        <v>1</v>
      </c>
      <c r="I749" s="4" t="n">
        <v>0</v>
      </c>
      <c r="J749" s="4" t="n">
        <v>1016.4</v>
      </c>
      <c r="K749" s="4" t="n">
        <v>0</v>
      </c>
      <c r="L749" s="12" t="n">
        <v>0.48935</v>
      </c>
      <c r="M749" s="12" t="n">
        <v>0.092063</v>
      </c>
      <c r="N749" s="12" t="n">
        <v>0.058042</v>
      </c>
      <c r="O749" s="12" t="n">
        <v>0.106183</v>
      </c>
      <c r="P749" s="12" t="n">
        <v>0.060064</v>
      </c>
      <c r="Q749" s="0" t="str">
        <f aca="false">IF(L749&gt;=Models!$G$5,1+COUNTIF($L$5:$L$1517,"&gt;"&amp;L749)+COUNTIFS($L$5:$L$1517,L749,$B$5:$B$1517,"&lt;"&amp;B749)+COUNTIFS($L$5:$L$1517,L749,$B$5:$B$1517,B749,$C$5:$C$1517,"&lt;"&amp;C749),"")</f>
        <v/>
      </c>
      <c r="R749" s="0" t="str">
        <f aca="false">IF(M749&gt;=Models!$G$6,1+COUNTIF($M$5:$M$1517,"&gt;"&amp;M749)+COUNTIFS($M$5:$M$1517,M749,$B$5:$B$1517,"&lt;"&amp;B749)+COUNTIFS($M$5:$M$1517,M749,$B$5:$B$1517,B749,$C$5:$C$1517,"&lt;"&amp;C749),"")</f>
        <v/>
      </c>
      <c r="S749" s="0" t="str">
        <f aca="false">IF(N749&gt;=Models!$G$7,1+COUNTIF($N$5:$N$1517,"&gt;"&amp;N749)+COUNTIFS($N$5:$N$1517,N749,$B$5:$B$1517,"&lt;"&amp;B749)+COUNTIFS($N$5:$N$1517,N749,$B$5:$B$1517,B749,$C$5:$C$1517,"&lt;"&amp;C749),"")</f>
        <v/>
      </c>
      <c r="T749" s="8" t="n">
        <f aca="false">IF(O749&gt;=Models!$G$8,1+COUNTIF($O$5:$O$1517,"&gt;"&amp;O749)+COUNTIFS($O$5:$O$1517,O749,$B$5:$B$1517,"&lt;"&amp;B749)+COUNTIFS($O$5:$O$1517,O749,$B$5:$B$1517,B749,$C$5:$C$1517,"&lt;"&amp;C749),"")</f>
        <v>35</v>
      </c>
      <c r="U749" s="8" t="n">
        <f aca="false">IF($K749=1,COUNTIFS($L$5:$L$1517,"&gt;="&amp;L749,$K$5:$K$1517,1)/COUNTIF($L$5:$L$1517,"&gt;="&amp;L749),0)</f>
        <v>0</v>
      </c>
      <c r="V749" s="8" t="n">
        <f aca="false">IF($K749=1,COUNTIFS($M$5:$M$1517,"&gt;="&amp;M749,$K$5:$K$1517,1)/COUNTIF($M$5:$M$1517,"&gt;="&amp;M749),0)</f>
        <v>0</v>
      </c>
      <c r="W749" s="8" t="n">
        <f aca="false">IF($K749=1,COUNTIFS($N$5:$N$1517,"&gt;="&amp;N749,$K$5:$K$1517,1)/COUNTIF($N$5:$N$1517,"&gt;="&amp;N749),0)</f>
        <v>0</v>
      </c>
      <c r="X749" s="8" t="n">
        <f aca="false">IF($K749=1,COUNTIFS($O$5:$O$1517,"&gt;="&amp;O749,$K$5:$K$1517,1)/COUNTIF($O$5:$O$1517,"&gt;="&amp;O749),0)</f>
        <v>0</v>
      </c>
      <c r="Y749" s="8" t="n">
        <f aca="false">IF($K749=1,COUNTIFS($P$5:$P$1517,"&gt;="&amp;P749,$K$5:$K$1517,1)/COUNTIF($P$5:$P$1517,"&gt;="&amp;P749),0)</f>
        <v>0</v>
      </c>
      <c r="Z749" s="8" t="n">
        <f aca="false">(L749-$K749)^2</f>
        <v>0.2394634225</v>
      </c>
      <c r="AA749" s="8" t="n">
        <f aca="false">(M749-$K749)^2</f>
        <v>0.008475595969</v>
      </c>
      <c r="AB749" s="8" t="n">
        <f aca="false">(N749-$K749)^2</f>
        <v>0.003368873764</v>
      </c>
      <c r="AC749" s="8" t="n">
        <f aca="false">(O749-$K749)^2</f>
        <v>0.011274829489</v>
      </c>
      <c r="AD749" s="8" t="n">
        <f aca="false">(P749-$K749)^2</f>
        <v>0.003607684096</v>
      </c>
      <c r="AE749" s="8" t="n">
        <f aca="false">MIN(INT(ROUND(N749*1000000,0)/100000),9)</f>
        <v>0</v>
      </c>
      <c r="AF749" s="8" t="n">
        <f aca="false">MIN(INT(ROUND(P749*1000000,0)/100000),9)</f>
        <v>0</v>
      </c>
    </row>
    <row r="750" customFormat="false" ht="15" hidden="false" customHeight="false" outlineLevel="0" collapsed="false">
      <c r="A750" s="4" t="n">
        <v>746</v>
      </c>
      <c r="B750" s="4" t="n">
        <v>50</v>
      </c>
      <c r="C750" s="4" t="n">
        <v>2</v>
      </c>
      <c r="D750" s="11" t="n">
        <v>46113</v>
      </c>
      <c r="E750" s="4" t="s">
        <v>203</v>
      </c>
      <c r="F750" s="4" t="s">
        <v>208</v>
      </c>
      <c r="G750" s="4" t="n">
        <v>6</v>
      </c>
      <c r="H750" s="4" t="n">
        <v>7</v>
      </c>
      <c r="I750" s="4" t="n">
        <v>0</v>
      </c>
      <c r="J750" s="4" t="n">
        <v>318</v>
      </c>
      <c r="K750" s="4" t="n">
        <v>0</v>
      </c>
      <c r="L750" s="12" t="n">
        <v>0.496197</v>
      </c>
      <c r="M750" s="12" t="n">
        <v>0.092063</v>
      </c>
      <c r="N750" s="12" t="n">
        <v>0.103669</v>
      </c>
      <c r="O750" s="12" t="n">
        <v>0.106183</v>
      </c>
      <c r="P750" s="12" t="n">
        <v>0.109997</v>
      </c>
      <c r="Q750" s="0" t="str">
        <f aca="false">IF(L750&gt;=Models!$G$5,1+COUNTIF($L$5:$L$1517,"&gt;"&amp;L750)+COUNTIFS($L$5:$L$1517,L750,$B$5:$B$1517,"&lt;"&amp;B750)+COUNTIFS($L$5:$L$1517,L750,$B$5:$B$1517,B750,$C$5:$C$1517,"&lt;"&amp;C750),"")</f>
        <v/>
      </c>
      <c r="R750" s="0" t="str">
        <f aca="false">IF(M750&gt;=Models!$G$6,1+COUNTIF($M$5:$M$1517,"&gt;"&amp;M750)+COUNTIFS($M$5:$M$1517,M750,$B$5:$B$1517,"&lt;"&amp;B750)+COUNTIFS($M$5:$M$1517,M750,$B$5:$B$1517,B750,$C$5:$C$1517,"&lt;"&amp;C750),"")</f>
        <v/>
      </c>
      <c r="S750" s="0" t="str">
        <f aca="false">IF(N750&gt;=Models!$G$7,1+COUNTIF($N$5:$N$1517,"&gt;"&amp;N750)+COUNTIFS($N$5:$N$1517,N750,$B$5:$B$1517,"&lt;"&amp;B750)+COUNTIFS($N$5:$N$1517,N750,$B$5:$B$1517,B750,$C$5:$C$1517,"&lt;"&amp;C750),"")</f>
        <v/>
      </c>
      <c r="T750" s="8" t="n">
        <f aca="false">IF(O750&gt;=Models!$G$8,1+COUNTIF($O$5:$O$1517,"&gt;"&amp;O750)+COUNTIFS($O$5:$O$1517,O750,$B$5:$B$1517,"&lt;"&amp;B750)+COUNTIFS($O$5:$O$1517,O750,$B$5:$B$1517,B750,$C$5:$C$1517,"&lt;"&amp;C750),"")</f>
        <v>39</v>
      </c>
      <c r="U750" s="8" t="n">
        <f aca="false">IF($K750=1,COUNTIFS($L$5:$L$1517,"&gt;="&amp;L750,$K$5:$K$1517,1)/COUNTIF($L$5:$L$1517,"&gt;="&amp;L750),0)</f>
        <v>0</v>
      </c>
      <c r="V750" s="8" t="n">
        <f aca="false">IF($K750=1,COUNTIFS($M$5:$M$1517,"&gt;="&amp;M750,$K$5:$K$1517,1)/COUNTIF($M$5:$M$1517,"&gt;="&amp;M750),0)</f>
        <v>0</v>
      </c>
      <c r="W750" s="8" t="n">
        <f aca="false">IF($K750=1,COUNTIFS($N$5:$N$1517,"&gt;="&amp;N750,$K$5:$K$1517,1)/COUNTIF($N$5:$N$1517,"&gt;="&amp;N750),0)</f>
        <v>0</v>
      </c>
      <c r="X750" s="8" t="n">
        <f aca="false">IF($K750=1,COUNTIFS($O$5:$O$1517,"&gt;="&amp;O750,$K$5:$K$1517,1)/COUNTIF($O$5:$O$1517,"&gt;="&amp;O750),0)</f>
        <v>0</v>
      </c>
      <c r="Y750" s="8" t="n">
        <f aca="false">IF($K750=1,COUNTIFS($P$5:$P$1517,"&gt;="&amp;P750,$K$5:$K$1517,1)/COUNTIF($P$5:$P$1517,"&gt;="&amp;P750),0)</f>
        <v>0</v>
      </c>
      <c r="Z750" s="8" t="n">
        <f aca="false">(L750-$K750)^2</f>
        <v>0.246211462809</v>
      </c>
      <c r="AA750" s="8" t="n">
        <f aca="false">(M750-$K750)^2</f>
        <v>0.008475595969</v>
      </c>
      <c r="AB750" s="8" t="n">
        <f aca="false">(N750-$K750)^2</f>
        <v>0.010747261561</v>
      </c>
      <c r="AC750" s="8" t="n">
        <f aca="false">(O750-$K750)^2</f>
        <v>0.011274829489</v>
      </c>
      <c r="AD750" s="8" t="n">
        <f aca="false">(P750-$K750)^2</f>
        <v>0.012099340009</v>
      </c>
      <c r="AE750" s="8" t="n">
        <f aca="false">MIN(INT(ROUND(N750*1000000,0)/100000),9)</f>
        <v>1</v>
      </c>
      <c r="AF750" s="8" t="n">
        <f aca="false">MIN(INT(ROUND(P750*1000000,0)/100000),9)</f>
        <v>1</v>
      </c>
    </row>
    <row r="751" customFormat="false" ht="15" hidden="false" customHeight="false" outlineLevel="0" collapsed="false">
      <c r="A751" s="4" t="n">
        <v>747</v>
      </c>
      <c r="B751" s="4" t="n">
        <v>56</v>
      </c>
      <c r="C751" s="4" t="n">
        <v>2</v>
      </c>
      <c r="D751" s="11" t="n">
        <v>46113</v>
      </c>
      <c r="E751" s="4" t="s">
        <v>203</v>
      </c>
      <c r="F751" s="4" t="s">
        <v>208</v>
      </c>
      <c r="G751" s="4" t="n">
        <v>8</v>
      </c>
      <c r="H751" s="4" t="n">
        <v>3</v>
      </c>
      <c r="I751" s="4" t="n">
        <v>0</v>
      </c>
      <c r="J751" s="4" t="n">
        <v>291.9</v>
      </c>
      <c r="K751" s="4" t="n">
        <v>0</v>
      </c>
      <c r="L751" s="12" t="n">
        <v>0.724408</v>
      </c>
      <c r="M751" s="12" t="n">
        <v>0.092063</v>
      </c>
      <c r="N751" s="12" t="n">
        <v>0.085617</v>
      </c>
      <c r="O751" s="12" t="n">
        <v>0.106183</v>
      </c>
      <c r="P751" s="12" t="n">
        <v>0.090128</v>
      </c>
      <c r="Q751" s="0" t="str">
        <f aca="false">IF(L751&gt;=Models!$G$5,1+COUNTIF($L$5:$L$1517,"&gt;"&amp;L751)+COUNTIFS($L$5:$L$1517,L751,$B$5:$B$1517,"&lt;"&amp;B751)+COUNTIFS($L$5:$L$1517,L751,$B$5:$B$1517,B751,$C$5:$C$1517,"&lt;"&amp;C751),"")</f>
        <v/>
      </c>
      <c r="R751" s="0" t="str">
        <f aca="false">IF(M751&gt;=Models!$G$6,1+COUNTIF($M$5:$M$1517,"&gt;"&amp;M751)+COUNTIFS($M$5:$M$1517,M751,$B$5:$B$1517,"&lt;"&amp;B751)+COUNTIFS($M$5:$M$1517,M751,$B$5:$B$1517,B751,$C$5:$C$1517,"&lt;"&amp;C751),"")</f>
        <v/>
      </c>
      <c r="S751" s="0" t="str">
        <f aca="false">IF(N751&gt;=Models!$G$7,1+COUNTIF($N$5:$N$1517,"&gt;"&amp;N751)+COUNTIFS($N$5:$N$1517,N751,$B$5:$B$1517,"&lt;"&amp;B751)+COUNTIFS($N$5:$N$1517,N751,$B$5:$B$1517,B751,$C$5:$C$1517,"&lt;"&amp;C751),"")</f>
        <v/>
      </c>
      <c r="T751" s="8" t="n">
        <f aca="false">IF(O751&gt;=Models!$G$8,1+COUNTIF($O$5:$O$1517,"&gt;"&amp;O751)+COUNTIFS($O$5:$O$1517,O751,$B$5:$B$1517,"&lt;"&amp;B751)+COUNTIFS($O$5:$O$1517,O751,$B$5:$B$1517,B751,$C$5:$C$1517,"&lt;"&amp;C751),"")</f>
        <v>43</v>
      </c>
      <c r="U751" s="8" t="n">
        <f aca="false">IF($K751=1,COUNTIFS($L$5:$L$1517,"&gt;="&amp;L751,$K$5:$K$1517,1)/COUNTIF($L$5:$L$1517,"&gt;="&amp;L751),0)</f>
        <v>0</v>
      </c>
      <c r="V751" s="8" t="n">
        <f aca="false">IF($K751=1,COUNTIFS($M$5:$M$1517,"&gt;="&amp;M751,$K$5:$K$1517,1)/COUNTIF($M$5:$M$1517,"&gt;="&amp;M751),0)</f>
        <v>0</v>
      </c>
      <c r="W751" s="8" t="n">
        <f aca="false">IF($K751=1,COUNTIFS($N$5:$N$1517,"&gt;="&amp;N751,$K$5:$K$1517,1)/COUNTIF($N$5:$N$1517,"&gt;="&amp;N751),0)</f>
        <v>0</v>
      </c>
      <c r="X751" s="8" t="n">
        <f aca="false">IF($K751=1,COUNTIFS($O$5:$O$1517,"&gt;="&amp;O751,$K$5:$K$1517,1)/COUNTIF($O$5:$O$1517,"&gt;="&amp;O751),0)</f>
        <v>0</v>
      </c>
      <c r="Y751" s="8" t="n">
        <f aca="false">IF($K751=1,COUNTIFS($P$5:$P$1517,"&gt;="&amp;P751,$K$5:$K$1517,1)/COUNTIF($P$5:$P$1517,"&gt;="&amp;P751),0)</f>
        <v>0</v>
      </c>
      <c r="Z751" s="8" t="n">
        <f aca="false">(L751-$K751)^2</f>
        <v>0.524766950464</v>
      </c>
      <c r="AA751" s="8" t="n">
        <f aca="false">(M751-$K751)^2</f>
        <v>0.008475595969</v>
      </c>
      <c r="AB751" s="8" t="n">
        <f aca="false">(N751-$K751)^2</f>
        <v>0.007330270689</v>
      </c>
      <c r="AC751" s="8" t="n">
        <f aca="false">(O751-$K751)^2</f>
        <v>0.011274829489</v>
      </c>
      <c r="AD751" s="8" t="n">
        <f aca="false">(P751-$K751)^2</f>
        <v>0.008123056384</v>
      </c>
      <c r="AE751" s="8" t="n">
        <f aca="false">MIN(INT(ROUND(N751*1000000,0)/100000),9)</f>
        <v>0</v>
      </c>
      <c r="AF751" s="8" t="n">
        <f aca="false">MIN(INT(ROUND(P751*1000000,0)/100000),9)</f>
        <v>0</v>
      </c>
    </row>
    <row r="752" customFormat="false" ht="15" hidden="false" customHeight="false" outlineLevel="0" collapsed="false">
      <c r="A752" s="4" t="n">
        <v>748</v>
      </c>
      <c r="B752" s="4" t="n">
        <v>60</v>
      </c>
      <c r="C752" s="4" t="n">
        <v>2</v>
      </c>
      <c r="D752" s="11" t="n">
        <v>46113</v>
      </c>
      <c r="E752" s="4" t="s">
        <v>203</v>
      </c>
      <c r="F752" s="4" t="s">
        <v>209</v>
      </c>
      <c r="G752" s="4" t="n">
        <v>7</v>
      </c>
      <c r="H752" s="4" t="n">
        <v>1</v>
      </c>
      <c r="I752" s="4" t="n">
        <v>0</v>
      </c>
      <c r="J752" s="4" t="n">
        <v>411</v>
      </c>
      <c r="K752" s="4" t="n">
        <v>1</v>
      </c>
      <c r="L752" s="12" t="n">
        <v>0.225934</v>
      </c>
      <c r="M752" s="12" t="n">
        <v>0.092063</v>
      </c>
      <c r="N752" s="12" t="n">
        <v>0.090984</v>
      </c>
      <c r="O752" s="12" t="n">
        <v>0.106183</v>
      </c>
      <c r="P752" s="12" t="n">
        <v>0.096023</v>
      </c>
      <c r="Q752" s="0" t="str">
        <f aca="false">IF(L752&gt;=Models!$G$5,1+COUNTIF($L$5:$L$1517,"&gt;"&amp;L752)+COUNTIFS($L$5:$L$1517,L752,$B$5:$B$1517,"&lt;"&amp;B752)+COUNTIFS($L$5:$L$1517,L752,$B$5:$B$1517,B752,$C$5:$C$1517,"&lt;"&amp;C752),"")</f>
        <v/>
      </c>
      <c r="R752" s="0" t="str">
        <f aca="false">IF(M752&gt;=Models!$G$6,1+COUNTIF($M$5:$M$1517,"&gt;"&amp;M752)+COUNTIFS($M$5:$M$1517,M752,$B$5:$B$1517,"&lt;"&amp;B752)+COUNTIFS($M$5:$M$1517,M752,$B$5:$B$1517,B752,$C$5:$C$1517,"&lt;"&amp;C752),"")</f>
        <v/>
      </c>
      <c r="S752" s="0" t="str">
        <f aca="false">IF(N752&gt;=Models!$G$7,1+COUNTIF($N$5:$N$1517,"&gt;"&amp;N752)+COUNTIFS($N$5:$N$1517,N752,$B$5:$B$1517,"&lt;"&amp;B752)+COUNTIFS($N$5:$N$1517,N752,$B$5:$B$1517,B752,$C$5:$C$1517,"&lt;"&amp;C752),"")</f>
        <v/>
      </c>
      <c r="T752" s="8" t="n">
        <f aca="false">IF(O752&gt;=Models!$G$8,1+COUNTIF($O$5:$O$1517,"&gt;"&amp;O752)+COUNTIFS($O$5:$O$1517,O752,$B$5:$B$1517,"&lt;"&amp;B752)+COUNTIFS($O$5:$O$1517,O752,$B$5:$B$1517,B752,$C$5:$C$1517,"&lt;"&amp;C752),"")</f>
        <v>47</v>
      </c>
      <c r="U752" s="8" t="n">
        <f aca="false">IF($K752=1,COUNTIFS($L$5:$L$1517,"&gt;="&amp;L752,$K$5:$K$1517,1)/COUNTIF($L$5:$L$1517,"&gt;="&amp;L752),0)</f>
        <v>0.130397236614853</v>
      </c>
      <c r="V752" s="8" t="n">
        <f aca="false">IF($K752=1,COUNTIFS($M$5:$M$1517,"&gt;="&amp;M752,$K$5:$K$1517,1)/COUNTIF($M$5:$M$1517,"&gt;="&amp;M752),0)</f>
        <v>0.12491738268341</v>
      </c>
      <c r="W752" s="8" t="n">
        <f aca="false">IF($K752=1,COUNTIFS($N$5:$N$1517,"&gt;="&amp;N752,$K$5:$K$1517,1)/COUNTIF($N$5:$N$1517,"&gt;="&amp;N752),0)</f>
        <v>0.18018018018018</v>
      </c>
      <c r="X752" s="8" t="n">
        <f aca="false">IF($K752=1,COUNTIFS($O$5:$O$1517,"&gt;="&amp;O752,$K$5:$K$1517,1)/COUNTIF($O$5:$O$1517,"&gt;="&amp;O752),0)</f>
        <v>0.12491738268341</v>
      </c>
      <c r="Y752" s="8" t="n">
        <f aca="false">IF($K752=1,COUNTIFS($P$5:$P$1517,"&gt;="&amp;P752,$K$5:$K$1517,1)/COUNTIF($P$5:$P$1517,"&gt;="&amp;P752),0)</f>
        <v>0.18018018018018</v>
      </c>
      <c r="Z752" s="8" t="n">
        <f aca="false">(L752-$K752)^2</f>
        <v>0.599178172356</v>
      </c>
      <c r="AA752" s="8" t="n">
        <f aca="false">(M752-$K752)^2</f>
        <v>0.824349595969</v>
      </c>
      <c r="AB752" s="8" t="n">
        <f aca="false">(N752-$K752)^2</f>
        <v>0.826310088256</v>
      </c>
      <c r="AC752" s="8" t="n">
        <f aca="false">(O752-$K752)^2</f>
        <v>0.798908829489</v>
      </c>
      <c r="AD752" s="8" t="n">
        <f aca="false">(P752-$K752)^2</f>
        <v>0.817174416529</v>
      </c>
      <c r="AE752" s="8" t="n">
        <f aca="false">MIN(INT(ROUND(N752*1000000,0)/100000),9)</f>
        <v>0</v>
      </c>
      <c r="AF752" s="8" t="n">
        <f aca="false">MIN(INT(ROUND(P752*1000000,0)/100000),9)</f>
        <v>0</v>
      </c>
    </row>
    <row r="753" customFormat="false" ht="15" hidden="false" customHeight="false" outlineLevel="0" collapsed="false">
      <c r="A753" s="4" t="n">
        <v>749</v>
      </c>
      <c r="B753" s="4" t="n">
        <v>61</v>
      </c>
      <c r="C753" s="4" t="n">
        <v>2</v>
      </c>
      <c r="D753" s="11" t="n">
        <v>46113</v>
      </c>
      <c r="E753" s="4" t="s">
        <v>203</v>
      </c>
      <c r="F753" s="4" t="s">
        <v>207</v>
      </c>
      <c r="G753" s="4" t="n">
        <v>6</v>
      </c>
      <c r="H753" s="4" t="n">
        <v>2</v>
      </c>
      <c r="I753" s="4" t="n">
        <v>0</v>
      </c>
      <c r="J753" s="4" t="n">
        <v>354</v>
      </c>
      <c r="K753" s="4" t="n">
        <v>0</v>
      </c>
      <c r="L753" s="12" t="n">
        <v>0.632886</v>
      </c>
      <c r="M753" s="12" t="n">
        <v>0.092063</v>
      </c>
      <c r="N753" s="12" t="n">
        <v>0.099734</v>
      </c>
      <c r="O753" s="12" t="n">
        <v>0.106183</v>
      </c>
      <c r="P753" s="12" t="n">
        <v>0.105657</v>
      </c>
      <c r="Q753" s="0" t="str">
        <f aca="false">IF(L753&gt;=Models!$G$5,1+COUNTIF($L$5:$L$1517,"&gt;"&amp;L753)+COUNTIFS($L$5:$L$1517,L753,$B$5:$B$1517,"&lt;"&amp;B753)+COUNTIFS($L$5:$L$1517,L753,$B$5:$B$1517,B753,$C$5:$C$1517,"&lt;"&amp;C753),"")</f>
        <v/>
      </c>
      <c r="R753" s="0" t="str">
        <f aca="false">IF(M753&gt;=Models!$G$6,1+COUNTIF($M$5:$M$1517,"&gt;"&amp;M753)+COUNTIFS($M$5:$M$1517,M753,$B$5:$B$1517,"&lt;"&amp;B753)+COUNTIFS($M$5:$M$1517,M753,$B$5:$B$1517,B753,$C$5:$C$1517,"&lt;"&amp;C753),"")</f>
        <v/>
      </c>
      <c r="S753" s="0" t="str">
        <f aca="false">IF(N753&gt;=Models!$G$7,1+COUNTIF($N$5:$N$1517,"&gt;"&amp;N753)+COUNTIFS($N$5:$N$1517,N753,$B$5:$B$1517,"&lt;"&amp;B753)+COUNTIFS($N$5:$N$1517,N753,$B$5:$B$1517,B753,$C$5:$C$1517,"&lt;"&amp;C753),"")</f>
        <v/>
      </c>
      <c r="T753" s="8" t="n">
        <f aca="false">IF(O753&gt;=Models!$G$8,1+COUNTIF($O$5:$O$1517,"&gt;"&amp;O753)+COUNTIFS($O$5:$O$1517,O753,$B$5:$B$1517,"&lt;"&amp;B753)+COUNTIFS($O$5:$O$1517,O753,$B$5:$B$1517,B753,$C$5:$C$1517,"&lt;"&amp;C753),"")</f>
        <v>50</v>
      </c>
      <c r="U753" s="8" t="n">
        <f aca="false">IF($K753=1,COUNTIFS($L$5:$L$1517,"&gt;="&amp;L753,$K$5:$K$1517,1)/COUNTIF($L$5:$L$1517,"&gt;="&amp;L753),0)</f>
        <v>0</v>
      </c>
      <c r="V753" s="8" t="n">
        <f aca="false">IF($K753=1,COUNTIFS($M$5:$M$1517,"&gt;="&amp;M753,$K$5:$K$1517,1)/COUNTIF($M$5:$M$1517,"&gt;="&amp;M753),0)</f>
        <v>0</v>
      </c>
      <c r="W753" s="8" t="n">
        <f aca="false">IF($K753=1,COUNTIFS($N$5:$N$1517,"&gt;="&amp;N753,$K$5:$K$1517,1)/COUNTIF($N$5:$N$1517,"&gt;="&amp;N753),0)</f>
        <v>0</v>
      </c>
      <c r="X753" s="8" t="n">
        <f aca="false">IF($K753=1,COUNTIFS($O$5:$O$1517,"&gt;="&amp;O753,$K$5:$K$1517,1)/COUNTIF($O$5:$O$1517,"&gt;="&amp;O753),0)</f>
        <v>0</v>
      </c>
      <c r="Y753" s="8" t="n">
        <f aca="false">IF($K753=1,COUNTIFS($P$5:$P$1517,"&gt;="&amp;P753,$K$5:$K$1517,1)/COUNTIF($P$5:$P$1517,"&gt;="&amp;P753),0)</f>
        <v>0</v>
      </c>
      <c r="Z753" s="8" t="n">
        <f aca="false">(L753-$K753)^2</f>
        <v>0.400544688996</v>
      </c>
      <c r="AA753" s="8" t="n">
        <f aca="false">(M753-$K753)^2</f>
        <v>0.008475595969</v>
      </c>
      <c r="AB753" s="8" t="n">
        <f aca="false">(N753-$K753)^2</f>
        <v>0.009946870756</v>
      </c>
      <c r="AC753" s="8" t="n">
        <f aca="false">(O753-$K753)^2</f>
        <v>0.011274829489</v>
      </c>
      <c r="AD753" s="8" t="n">
        <f aca="false">(P753-$K753)^2</f>
        <v>0.011163401649</v>
      </c>
      <c r="AE753" s="8" t="n">
        <f aca="false">MIN(INT(ROUND(N753*1000000,0)/100000),9)</f>
        <v>0</v>
      </c>
      <c r="AF753" s="8" t="n">
        <f aca="false">MIN(INT(ROUND(P753*1000000,0)/100000),9)</f>
        <v>1</v>
      </c>
    </row>
    <row r="754" customFormat="false" ht="15" hidden="false" customHeight="false" outlineLevel="0" collapsed="false">
      <c r="A754" s="4" t="n">
        <v>750</v>
      </c>
      <c r="B754" s="4" t="n">
        <v>62</v>
      </c>
      <c r="C754" s="4" t="n">
        <v>2</v>
      </c>
      <c r="D754" s="11" t="n">
        <v>46113</v>
      </c>
      <c r="E754" s="4" t="s">
        <v>204</v>
      </c>
      <c r="F754" s="4" t="s">
        <v>209</v>
      </c>
      <c r="G754" s="4" t="n">
        <v>4</v>
      </c>
      <c r="H754" s="4" t="n">
        <v>6</v>
      </c>
      <c r="I754" s="4" t="n">
        <v>0</v>
      </c>
      <c r="J754" s="4" t="n">
        <v>69</v>
      </c>
      <c r="K754" s="4" t="n">
        <v>0</v>
      </c>
      <c r="L754" s="12" t="n">
        <v>0.967746</v>
      </c>
      <c r="M754" s="12" t="n">
        <v>0.092063</v>
      </c>
      <c r="N754" s="12" t="n">
        <v>0.122296</v>
      </c>
      <c r="O754" s="12" t="n">
        <v>0.106183</v>
      </c>
      <c r="P754" s="12" t="n">
        <v>0.1306</v>
      </c>
      <c r="Q754" s="0" t="str">
        <f aca="false">IF(L754&gt;=Models!$G$5,1+COUNTIF($L$5:$L$1517,"&gt;"&amp;L754)+COUNTIFS($L$5:$L$1517,L754,$B$5:$B$1517,"&lt;"&amp;B754)+COUNTIFS($L$5:$L$1517,L754,$B$5:$B$1517,B754,$C$5:$C$1517,"&lt;"&amp;C754),"")</f>
        <v/>
      </c>
      <c r="R754" s="0" t="str">
        <f aca="false">IF(M754&gt;=Models!$G$6,1+COUNTIF($M$5:$M$1517,"&gt;"&amp;M754)+COUNTIFS($M$5:$M$1517,M754,$B$5:$B$1517,"&lt;"&amp;B754)+COUNTIFS($M$5:$M$1517,M754,$B$5:$B$1517,B754,$C$5:$C$1517,"&lt;"&amp;C754),"")</f>
        <v/>
      </c>
      <c r="S754" s="0" t="str">
        <f aca="false">IF(N754&gt;=Models!$G$7,1+COUNTIF($N$5:$N$1517,"&gt;"&amp;N754)+COUNTIFS($N$5:$N$1517,N754,$B$5:$B$1517,"&lt;"&amp;B754)+COUNTIFS($N$5:$N$1517,N754,$B$5:$B$1517,B754,$C$5:$C$1517,"&lt;"&amp;C754),"")</f>
        <v/>
      </c>
      <c r="T754" s="8" t="n">
        <f aca="false">IF(O754&gt;=Models!$G$8,1+COUNTIF($O$5:$O$1517,"&gt;"&amp;O754)+COUNTIFS($O$5:$O$1517,O754,$B$5:$B$1517,"&lt;"&amp;B754)+COUNTIFS($O$5:$O$1517,O754,$B$5:$B$1517,B754,$C$5:$C$1517,"&lt;"&amp;C754),"")</f>
        <v>54</v>
      </c>
      <c r="U754" s="8" t="n">
        <f aca="false">IF($K754=1,COUNTIFS($L$5:$L$1517,"&gt;="&amp;L754,$K$5:$K$1517,1)/COUNTIF($L$5:$L$1517,"&gt;="&amp;L754),0)</f>
        <v>0</v>
      </c>
      <c r="V754" s="8" t="n">
        <f aca="false">IF($K754=1,COUNTIFS($M$5:$M$1517,"&gt;="&amp;M754,$K$5:$K$1517,1)/COUNTIF($M$5:$M$1517,"&gt;="&amp;M754),0)</f>
        <v>0</v>
      </c>
      <c r="W754" s="8" t="n">
        <f aca="false">IF($K754=1,COUNTIFS($N$5:$N$1517,"&gt;="&amp;N754,$K$5:$K$1517,1)/COUNTIF($N$5:$N$1517,"&gt;="&amp;N754),0)</f>
        <v>0</v>
      </c>
      <c r="X754" s="8" t="n">
        <f aca="false">IF($K754=1,COUNTIFS($O$5:$O$1517,"&gt;="&amp;O754,$K$5:$K$1517,1)/COUNTIF($O$5:$O$1517,"&gt;="&amp;O754),0)</f>
        <v>0</v>
      </c>
      <c r="Y754" s="8" t="n">
        <f aca="false">IF($K754=1,COUNTIFS($P$5:$P$1517,"&gt;="&amp;P754,$K$5:$K$1517,1)/COUNTIF($P$5:$P$1517,"&gt;="&amp;P754),0)</f>
        <v>0</v>
      </c>
      <c r="Z754" s="8" t="n">
        <f aca="false">(L754-$K754)^2</f>
        <v>0.936532320516</v>
      </c>
      <c r="AA754" s="8" t="n">
        <f aca="false">(M754-$K754)^2</f>
        <v>0.008475595969</v>
      </c>
      <c r="AB754" s="8" t="n">
        <f aca="false">(N754-$K754)^2</f>
        <v>0.014956311616</v>
      </c>
      <c r="AC754" s="8" t="n">
        <f aca="false">(O754-$K754)^2</f>
        <v>0.011274829489</v>
      </c>
      <c r="AD754" s="8" t="n">
        <f aca="false">(P754-$K754)^2</f>
        <v>0.01705636</v>
      </c>
      <c r="AE754" s="8" t="n">
        <f aca="false">MIN(INT(ROUND(N754*1000000,0)/100000),9)</f>
        <v>1</v>
      </c>
      <c r="AF754" s="8" t="n">
        <f aca="false">MIN(INT(ROUND(P754*1000000,0)/100000),9)</f>
        <v>1</v>
      </c>
    </row>
    <row r="755" customFormat="false" ht="15" hidden="false" customHeight="false" outlineLevel="0" collapsed="false">
      <c r="A755" s="4" t="n">
        <v>751</v>
      </c>
      <c r="B755" s="4" t="n">
        <v>70</v>
      </c>
      <c r="C755" s="4" t="n">
        <v>2</v>
      </c>
      <c r="D755" s="11" t="n">
        <v>46113</v>
      </c>
      <c r="E755" s="4" t="s">
        <v>203</v>
      </c>
      <c r="F755" s="4" t="s">
        <v>207</v>
      </c>
      <c r="G755" s="4" t="n">
        <v>5</v>
      </c>
      <c r="H755" s="4" t="n">
        <v>1</v>
      </c>
      <c r="I755" s="4" t="n">
        <v>0</v>
      </c>
      <c r="J755" s="4" t="n">
        <v>390</v>
      </c>
      <c r="K755" s="4" t="n">
        <v>0</v>
      </c>
      <c r="L755" s="12" t="n">
        <v>0.506777</v>
      </c>
      <c r="M755" s="12" t="n">
        <v>0.092063</v>
      </c>
      <c r="N755" s="12" t="n">
        <v>0.107123</v>
      </c>
      <c r="O755" s="12" t="n">
        <v>0.106183</v>
      </c>
      <c r="P755" s="12" t="n">
        <v>0.113811</v>
      </c>
      <c r="Q755" s="0" t="str">
        <f aca="false">IF(L755&gt;=Models!$G$5,1+COUNTIF($L$5:$L$1517,"&gt;"&amp;L755)+COUNTIFS($L$5:$L$1517,L755,$B$5:$B$1517,"&lt;"&amp;B755)+COUNTIFS($L$5:$L$1517,L755,$B$5:$B$1517,B755,$C$5:$C$1517,"&lt;"&amp;C755),"")</f>
        <v/>
      </c>
      <c r="R755" s="0" t="str">
        <f aca="false">IF(M755&gt;=Models!$G$6,1+COUNTIF($M$5:$M$1517,"&gt;"&amp;M755)+COUNTIFS($M$5:$M$1517,M755,$B$5:$B$1517,"&lt;"&amp;B755)+COUNTIFS($M$5:$M$1517,M755,$B$5:$B$1517,B755,$C$5:$C$1517,"&lt;"&amp;C755),"")</f>
        <v/>
      </c>
      <c r="S755" s="0" t="str">
        <f aca="false">IF(N755&gt;=Models!$G$7,1+COUNTIF($N$5:$N$1517,"&gt;"&amp;N755)+COUNTIFS($N$5:$N$1517,N755,$B$5:$B$1517,"&lt;"&amp;B755)+COUNTIFS($N$5:$N$1517,N755,$B$5:$B$1517,B755,$C$5:$C$1517,"&lt;"&amp;C755),"")</f>
        <v/>
      </c>
      <c r="T755" s="8" t="n">
        <f aca="false">IF(O755&gt;=Models!$G$8,1+COUNTIF($O$5:$O$1517,"&gt;"&amp;O755)+COUNTIFS($O$5:$O$1517,O755,$B$5:$B$1517,"&lt;"&amp;B755)+COUNTIFS($O$5:$O$1517,O755,$B$5:$B$1517,B755,$C$5:$C$1517,"&lt;"&amp;C755),"")</f>
        <v>58</v>
      </c>
      <c r="U755" s="8" t="n">
        <f aca="false">IF($K755=1,COUNTIFS($L$5:$L$1517,"&gt;="&amp;L755,$K$5:$K$1517,1)/COUNTIF($L$5:$L$1517,"&gt;="&amp;L755),0)</f>
        <v>0</v>
      </c>
      <c r="V755" s="8" t="n">
        <f aca="false">IF($K755=1,COUNTIFS($M$5:$M$1517,"&gt;="&amp;M755,$K$5:$K$1517,1)/COUNTIF($M$5:$M$1517,"&gt;="&amp;M755),0)</f>
        <v>0</v>
      </c>
      <c r="W755" s="8" t="n">
        <f aca="false">IF($K755=1,COUNTIFS($N$5:$N$1517,"&gt;="&amp;N755,$K$5:$K$1517,1)/COUNTIF($N$5:$N$1517,"&gt;="&amp;N755),0)</f>
        <v>0</v>
      </c>
      <c r="X755" s="8" t="n">
        <f aca="false">IF($K755=1,COUNTIFS($O$5:$O$1517,"&gt;="&amp;O755,$K$5:$K$1517,1)/COUNTIF($O$5:$O$1517,"&gt;="&amp;O755),0)</f>
        <v>0</v>
      </c>
      <c r="Y755" s="8" t="n">
        <f aca="false">IF($K755=1,COUNTIFS($P$5:$P$1517,"&gt;="&amp;P755,$K$5:$K$1517,1)/COUNTIF($P$5:$P$1517,"&gt;="&amp;P755),0)</f>
        <v>0</v>
      </c>
      <c r="Z755" s="8" t="n">
        <f aca="false">(L755-$K755)^2</f>
        <v>0.256822927729</v>
      </c>
      <c r="AA755" s="8" t="n">
        <f aca="false">(M755-$K755)^2</f>
        <v>0.008475595969</v>
      </c>
      <c r="AB755" s="8" t="n">
        <f aca="false">(N755-$K755)^2</f>
        <v>0.011475337129</v>
      </c>
      <c r="AC755" s="8" t="n">
        <f aca="false">(O755-$K755)^2</f>
        <v>0.011274829489</v>
      </c>
      <c r="AD755" s="8" t="n">
        <f aca="false">(P755-$K755)^2</f>
        <v>0.012952943721</v>
      </c>
      <c r="AE755" s="8" t="n">
        <f aca="false">MIN(INT(ROUND(N755*1000000,0)/100000),9)</f>
        <v>1</v>
      </c>
      <c r="AF755" s="8" t="n">
        <f aca="false">MIN(INT(ROUND(P755*1000000,0)/100000),9)</f>
        <v>1</v>
      </c>
    </row>
    <row r="756" customFormat="false" ht="15" hidden="false" customHeight="false" outlineLevel="0" collapsed="false">
      <c r="A756" s="4" t="n">
        <v>752</v>
      </c>
      <c r="B756" s="4" t="n">
        <v>80</v>
      </c>
      <c r="C756" s="4" t="n">
        <v>2</v>
      </c>
      <c r="D756" s="11" t="n">
        <v>46113</v>
      </c>
      <c r="E756" s="4" t="s">
        <v>203</v>
      </c>
      <c r="F756" s="4" t="s">
        <v>208</v>
      </c>
      <c r="G756" s="4" t="n">
        <v>1</v>
      </c>
      <c r="H756" s="4" t="n">
        <v>3</v>
      </c>
      <c r="I756" s="4" t="n">
        <v>0</v>
      </c>
      <c r="J756" s="4" t="n">
        <v>277.2</v>
      </c>
      <c r="K756" s="4" t="n">
        <v>0</v>
      </c>
      <c r="L756" s="12" t="n">
        <v>0.742205</v>
      </c>
      <c r="M756" s="12" t="n">
        <v>0.092063</v>
      </c>
      <c r="N756" s="12" t="n">
        <v>0.149623</v>
      </c>
      <c r="O756" s="12" t="n">
        <v>0.106183</v>
      </c>
      <c r="P756" s="12" t="n">
        <v>0.160938</v>
      </c>
      <c r="Q756" s="0" t="str">
        <f aca="false">IF(L756&gt;=Models!$G$5,1+COUNTIF($L$5:$L$1517,"&gt;"&amp;L756)+COUNTIFS($L$5:$L$1517,L756,$B$5:$B$1517,"&lt;"&amp;B756)+COUNTIFS($L$5:$L$1517,L756,$B$5:$B$1517,B756,$C$5:$C$1517,"&lt;"&amp;C756),"")</f>
        <v/>
      </c>
      <c r="R756" s="0" t="str">
        <f aca="false">IF(M756&gt;=Models!$G$6,1+COUNTIF($M$5:$M$1517,"&gt;"&amp;M756)+COUNTIFS($M$5:$M$1517,M756,$B$5:$B$1517,"&lt;"&amp;B756)+COUNTIFS($M$5:$M$1517,M756,$B$5:$B$1517,B756,$C$5:$C$1517,"&lt;"&amp;C756),"")</f>
        <v/>
      </c>
      <c r="S756" s="0" t="str">
        <f aca="false">IF(N756&gt;=Models!$G$7,1+COUNTIF($N$5:$N$1517,"&gt;"&amp;N756)+COUNTIFS($N$5:$N$1517,N756,$B$5:$B$1517,"&lt;"&amp;B756)+COUNTIFS($N$5:$N$1517,N756,$B$5:$B$1517,B756,$C$5:$C$1517,"&lt;"&amp;C756),"")</f>
        <v/>
      </c>
      <c r="T756" s="8" t="n">
        <f aca="false">IF(O756&gt;=Models!$G$8,1+COUNTIF($O$5:$O$1517,"&gt;"&amp;O756)+COUNTIFS($O$5:$O$1517,O756,$B$5:$B$1517,"&lt;"&amp;B756)+COUNTIFS($O$5:$O$1517,O756,$B$5:$B$1517,B756,$C$5:$C$1517,"&lt;"&amp;C756),"")</f>
        <v>62</v>
      </c>
      <c r="U756" s="8" t="n">
        <f aca="false">IF($K756=1,COUNTIFS($L$5:$L$1517,"&gt;="&amp;L756,$K$5:$K$1517,1)/COUNTIF($L$5:$L$1517,"&gt;="&amp;L756),0)</f>
        <v>0</v>
      </c>
      <c r="V756" s="8" t="n">
        <f aca="false">IF($K756=1,COUNTIFS($M$5:$M$1517,"&gt;="&amp;M756,$K$5:$K$1517,1)/COUNTIF($M$5:$M$1517,"&gt;="&amp;M756),0)</f>
        <v>0</v>
      </c>
      <c r="W756" s="8" t="n">
        <f aca="false">IF($K756=1,COUNTIFS($N$5:$N$1517,"&gt;="&amp;N756,$K$5:$K$1517,1)/COUNTIF($N$5:$N$1517,"&gt;="&amp;N756),0)</f>
        <v>0</v>
      </c>
      <c r="X756" s="8" t="n">
        <f aca="false">IF($K756=1,COUNTIFS($O$5:$O$1517,"&gt;="&amp;O756,$K$5:$K$1517,1)/COUNTIF($O$5:$O$1517,"&gt;="&amp;O756),0)</f>
        <v>0</v>
      </c>
      <c r="Y756" s="8" t="n">
        <f aca="false">IF($K756=1,COUNTIFS($P$5:$P$1517,"&gt;="&amp;P756,$K$5:$K$1517,1)/COUNTIF($P$5:$P$1517,"&gt;="&amp;P756),0)</f>
        <v>0</v>
      </c>
      <c r="Z756" s="8" t="n">
        <f aca="false">(L756-$K756)^2</f>
        <v>0.550868262025</v>
      </c>
      <c r="AA756" s="8" t="n">
        <f aca="false">(M756-$K756)^2</f>
        <v>0.008475595969</v>
      </c>
      <c r="AB756" s="8" t="n">
        <f aca="false">(N756-$K756)^2</f>
        <v>0.022387042129</v>
      </c>
      <c r="AC756" s="8" t="n">
        <f aca="false">(O756-$K756)^2</f>
        <v>0.011274829489</v>
      </c>
      <c r="AD756" s="8" t="n">
        <f aca="false">(P756-$K756)^2</f>
        <v>0.025901039844</v>
      </c>
      <c r="AE756" s="8" t="n">
        <f aca="false">MIN(INT(ROUND(N756*1000000,0)/100000),9)</f>
        <v>1</v>
      </c>
      <c r="AF756" s="8" t="n">
        <f aca="false">MIN(INT(ROUND(P756*1000000,0)/100000),9)</f>
        <v>1</v>
      </c>
    </row>
    <row r="757" customFormat="false" ht="15" hidden="false" customHeight="false" outlineLevel="0" collapsed="false">
      <c r="A757" s="4" t="n">
        <v>753</v>
      </c>
      <c r="B757" s="4" t="n">
        <v>86</v>
      </c>
      <c r="C757" s="4" t="n">
        <v>2</v>
      </c>
      <c r="D757" s="11" t="n">
        <v>46113</v>
      </c>
      <c r="E757" s="4" t="s">
        <v>201</v>
      </c>
      <c r="F757" s="4" t="s">
        <v>206</v>
      </c>
      <c r="G757" s="4" t="n">
        <v>14</v>
      </c>
      <c r="H757" s="4" t="n">
        <v>1</v>
      </c>
      <c r="I757" s="4" t="n">
        <v>0</v>
      </c>
      <c r="J757" s="4" t="n">
        <v>21440.4</v>
      </c>
      <c r="K757" s="4" t="n">
        <v>0</v>
      </c>
      <c r="L757" s="12" t="n">
        <v>0.15911</v>
      </c>
      <c r="M757" s="12" t="n">
        <v>0.092063</v>
      </c>
      <c r="N757" s="12" t="n">
        <v>0.015478</v>
      </c>
      <c r="O757" s="12" t="n">
        <v>0.106183</v>
      </c>
      <c r="P757" s="12" t="n">
        <v>0.015048</v>
      </c>
      <c r="Q757" s="0" t="str">
        <f aca="false">IF(L757&gt;=Models!$G$5,1+COUNTIF($L$5:$L$1517,"&gt;"&amp;L757)+COUNTIFS($L$5:$L$1517,L757,$B$5:$B$1517,"&lt;"&amp;B757)+COUNTIFS($L$5:$L$1517,L757,$B$5:$B$1517,B757,$C$5:$C$1517,"&lt;"&amp;C757),"")</f>
        <v/>
      </c>
      <c r="R757" s="0" t="str">
        <f aca="false">IF(M757&gt;=Models!$G$6,1+COUNTIF($M$5:$M$1517,"&gt;"&amp;M757)+COUNTIFS($M$5:$M$1517,M757,$B$5:$B$1517,"&lt;"&amp;B757)+COUNTIFS($M$5:$M$1517,M757,$B$5:$B$1517,B757,$C$5:$C$1517,"&lt;"&amp;C757),"")</f>
        <v/>
      </c>
      <c r="S757" s="0" t="str">
        <f aca="false">IF(N757&gt;=Models!$G$7,1+COUNTIF($N$5:$N$1517,"&gt;"&amp;N757)+COUNTIFS($N$5:$N$1517,N757,$B$5:$B$1517,"&lt;"&amp;B757)+COUNTIFS($N$5:$N$1517,N757,$B$5:$B$1517,B757,$C$5:$C$1517,"&lt;"&amp;C757),"")</f>
        <v/>
      </c>
      <c r="T757" s="8" t="n">
        <f aca="false">IF(O757&gt;=Models!$G$8,1+COUNTIF($O$5:$O$1517,"&gt;"&amp;O757)+COUNTIFS($O$5:$O$1517,O757,$B$5:$B$1517,"&lt;"&amp;B757)+COUNTIFS($O$5:$O$1517,O757,$B$5:$B$1517,B757,$C$5:$C$1517,"&lt;"&amp;C757),"")</f>
        <v>66</v>
      </c>
      <c r="U757" s="8" t="n">
        <f aca="false">IF($K757=1,COUNTIFS($L$5:$L$1517,"&gt;="&amp;L757,$K$5:$K$1517,1)/COUNTIF($L$5:$L$1517,"&gt;="&amp;L757),0)</f>
        <v>0</v>
      </c>
      <c r="V757" s="8" t="n">
        <f aca="false">IF($K757=1,COUNTIFS($M$5:$M$1517,"&gt;="&amp;M757,$K$5:$K$1517,1)/COUNTIF($M$5:$M$1517,"&gt;="&amp;M757),0)</f>
        <v>0</v>
      </c>
      <c r="W757" s="8" t="n">
        <f aca="false">IF($K757=1,COUNTIFS($N$5:$N$1517,"&gt;="&amp;N757,$K$5:$K$1517,1)/COUNTIF($N$5:$N$1517,"&gt;="&amp;N757),0)</f>
        <v>0</v>
      </c>
      <c r="X757" s="8" t="n">
        <f aca="false">IF($K757=1,COUNTIFS($O$5:$O$1517,"&gt;="&amp;O757,$K$5:$K$1517,1)/COUNTIF($O$5:$O$1517,"&gt;="&amp;O757),0)</f>
        <v>0</v>
      </c>
      <c r="Y757" s="8" t="n">
        <f aca="false">IF($K757=1,COUNTIFS($P$5:$P$1517,"&gt;="&amp;P757,$K$5:$K$1517,1)/COUNTIF($P$5:$P$1517,"&gt;="&amp;P757),0)</f>
        <v>0</v>
      </c>
      <c r="Z757" s="8" t="n">
        <f aca="false">(L757-$K757)^2</f>
        <v>0.0253159921</v>
      </c>
      <c r="AA757" s="8" t="n">
        <f aca="false">(M757-$K757)^2</f>
        <v>0.008475595969</v>
      </c>
      <c r="AB757" s="8" t="n">
        <f aca="false">(N757-$K757)^2</f>
        <v>0.000239568484</v>
      </c>
      <c r="AC757" s="8" t="n">
        <f aca="false">(O757-$K757)^2</f>
        <v>0.011274829489</v>
      </c>
      <c r="AD757" s="8" t="n">
        <f aca="false">(P757-$K757)^2</f>
        <v>0.000226442304</v>
      </c>
      <c r="AE757" s="8" t="n">
        <f aca="false">MIN(INT(ROUND(N757*1000000,0)/100000),9)</f>
        <v>0</v>
      </c>
      <c r="AF757" s="8" t="n">
        <f aca="false">MIN(INT(ROUND(P757*1000000,0)/100000),9)</f>
        <v>0</v>
      </c>
    </row>
    <row r="758" customFormat="false" ht="15" hidden="false" customHeight="false" outlineLevel="0" collapsed="false">
      <c r="A758" s="4" t="n">
        <v>754</v>
      </c>
      <c r="B758" s="4" t="n">
        <v>87</v>
      </c>
      <c r="C758" s="4" t="n">
        <v>2</v>
      </c>
      <c r="D758" s="11" t="n">
        <v>46113</v>
      </c>
      <c r="E758" s="4" t="s">
        <v>202</v>
      </c>
      <c r="F758" s="4" t="s">
        <v>206</v>
      </c>
      <c r="G758" s="4" t="n">
        <v>7</v>
      </c>
      <c r="H758" s="4" t="n">
        <v>3</v>
      </c>
      <c r="I758" s="4" t="n">
        <v>0</v>
      </c>
      <c r="J758" s="4" t="n">
        <v>4773.6</v>
      </c>
      <c r="K758" s="4" t="n">
        <v>0</v>
      </c>
      <c r="L758" s="12" t="n">
        <v>0.73484</v>
      </c>
      <c r="M758" s="12" t="n">
        <v>0.092063</v>
      </c>
      <c r="N758" s="12" t="n">
        <v>0.073195</v>
      </c>
      <c r="O758" s="12" t="n">
        <v>0.106183</v>
      </c>
      <c r="P758" s="12" t="n">
        <v>0.076532</v>
      </c>
      <c r="Q758" s="0" t="str">
        <f aca="false">IF(L758&gt;=Models!$G$5,1+COUNTIF($L$5:$L$1517,"&gt;"&amp;L758)+COUNTIFS($L$5:$L$1517,L758,$B$5:$B$1517,"&lt;"&amp;B758)+COUNTIFS($L$5:$L$1517,L758,$B$5:$B$1517,B758,$C$5:$C$1517,"&lt;"&amp;C758),"")</f>
        <v/>
      </c>
      <c r="R758" s="0" t="str">
        <f aca="false">IF(M758&gt;=Models!$G$6,1+COUNTIF($M$5:$M$1517,"&gt;"&amp;M758)+COUNTIFS($M$5:$M$1517,M758,$B$5:$B$1517,"&lt;"&amp;B758)+COUNTIFS($M$5:$M$1517,M758,$B$5:$B$1517,B758,$C$5:$C$1517,"&lt;"&amp;C758),"")</f>
        <v/>
      </c>
      <c r="S758" s="0" t="str">
        <f aca="false">IF(N758&gt;=Models!$G$7,1+COUNTIF($N$5:$N$1517,"&gt;"&amp;N758)+COUNTIFS($N$5:$N$1517,N758,$B$5:$B$1517,"&lt;"&amp;B758)+COUNTIFS($N$5:$N$1517,N758,$B$5:$B$1517,B758,$C$5:$C$1517,"&lt;"&amp;C758),"")</f>
        <v/>
      </c>
      <c r="T758" s="8" t="n">
        <f aca="false">IF(O758&gt;=Models!$G$8,1+COUNTIF($O$5:$O$1517,"&gt;"&amp;O758)+COUNTIFS($O$5:$O$1517,O758,$B$5:$B$1517,"&lt;"&amp;B758)+COUNTIFS($O$5:$O$1517,O758,$B$5:$B$1517,B758,$C$5:$C$1517,"&lt;"&amp;C758),"")</f>
        <v>70</v>
      </c>
      <c r="U758" s="8" t="n">
        <f aca="false">IF($K758=1,COUNTIFS($L$5:$L$1517,"&gt;="&amp;L758,$K$5:$K$1517,1)/COUNTIF($L$5:$L$1517,"&gt;="&amp;L758),0)</f>
        <v>0</v>
      </c>
      <c r="V758" s="8" t="n">
        <f aca="false">IF($K758=1,COUNTIFS($M$5:$M$1517,"&gt;="&amp;M758,$K$5:$K$1517,1)/COUNTIF($M$5:$M$1517,"&gt;="&amp;M758),0)</f>
        <v>0</v>
      </c>
      <c r="W758" s="8" t="n">
        <f aca="false">IF($K758=1,COUNTIFS($N$5:$N$1517,"&gt;="&amp;N758,$K$5:$K$1517,1)/COUNTIF($N$5:$N$1517,"&gt;="&amp;N758),0)</f>
        <v>0</v>
      </c>
      <c r="X758" s="8" t="n">
        <f aca="false">IF($K758=1,COUNTIFS($O$5:$O$1517,"&gt;="&amp;O758,$K$5:$K$1517,1)/COUNTIF($O$5:$O$1517,"&gt;="&amp;O758),0)</f>
        <v>0</v>
      </c>
      <c r="Y758" s="8" t="n">
        <f aca="false">IF($K758=1,COUNTIFS($P$5:$P$1517,"&gt;="&amp;P758,$K$5:$K$1517,1)/COUNTIF($P$5:$P$1517,"&gt;="&amp;P758),0)</f>
        <v>0</v>
      </c>
      <c r="Z758" s="8" t="n">
        <f aca="false">(L758-$K758)^2</f>
        <v>0.5399898256</v>
      </c>
      <c r="AA758" s="8" t="n">
        <f aca="false">(M758-$K758)^2</f>
        <v>0.008475595969</v>
      </c>
      <c r="AB758" s="8" t="n">
        <f aca="false">(N758-$K758)^2</f>
        <v>0.005357508025</v>
      </c>
      <c r="AC758" s="8" t="n">
        <f aca="false">(O758-$K758)^2</f>
        <v>0.011274829489</v>
      </c>
      <c r="AD758" s="8" t="n">
        <f aca="false">(P758-$K758)^2</f>
        <v>0.005857147024</v>
      </c>
      <c r="AE758" s="8" t="n">
        <f aca="false">MIN(INT(ROUND(N758*1000000,0)/100000),9)</f>
        <v>0</v>
      </c>
      <c r="AF758" s="8" t="n">
        <f aca="false">MIN(INT(ROUND(P758*1000000,0)/100000),9)</f>
        <v>0</v>
      </c>
    </row>
    <row r="759" customFormat="false" ht="15" hidden="false" customHeight="false" outlineLevel="0" collapsed="false">
      <c r="A759" s="4" t="n">
        <v>755</v>
      </c>
      <c r="B759" s="4" t="n">
        <v>90</v>
      </c>
      <c r="C759" s="4" t="n">
        <v>2</v>
      </c>
      <c r="D759" s="11" t="n">
        <v>46113</v>
      </c>
      <c r="E759" s="4" t="s">
        <v>204</v>
      </c>
      <c r="F759" s="4" t="s">
        <v>206</v>
      </c>
      <c r="G759" s="4" t="n">
        <v>0</v>
      </c>
      <c r="H759" s="4" t="n">
        <v>38</v>
      </c>
      <c r="I759" s="4" t="n">
        <v>0</v>
      </c>
      <c r="J759" s="4" t="n">
        <v>62.1</v>
      </c>
      <c r="K759" s="4" t="n">
        <v>1</v>
      </c>
      <c r="L759" s="12" t="n">
        <v>0.912774</v>
      </c>
      <c r="M759" s="12" t="n">
        <v>0.184211</v>
      </c>
      <c r="N759" s="12" t="n">
        <v>0.206154</v>
      </c>
      <c r="O759" s="12" t="n">
        <v>0.106183</v>
      </c>
      <c r="P759" s="12" t="n">
        <v>0.223836</v>
      </c>
      <c r="Q759" s="0" t="str">
        <f aca="false">IF(L759&gt;=Models!$G$5,1+COUNTIF($L$5:$L$1517,"&gt;"&amp;L759)+COUNTIFS($L$5:$L$1517,L759,$B$5:$B$1517,"&lt;"&amp;B759)+COUNTIFS($L$5:$L$1517,L759,$B$5:$B$1517,B759,$C$5:$C$1517,"&lt;"&amp;C759),"")</f>
        <v/>
      </c>
      <c r="R759" s="8" t="n">
        <f aca="false">IF(M759&gt;=Models!$G$6,1+COUNTIF($M$5:$M$1517,"&gt;"&amp;M759)+COUNTIFS($M$5:$M$1517,M759,$B$5:$B$1517,"&lt;"&amp;B759)+COUNTIFS($M$5:$M$1517,M759,$B$5:$B$1517,B759,$C$5:$C$1517,"&lt;"&amp;C759),"")</f>
        <v>6</v>
      </c>
      <c r="S759" s="0" t="str">
        <f aca="false">IF(N759&gt;=Models!$G$7,1+COUNTIF($N$5:$N$1517,"&gt;"&amp;N759)+COUNTIFS($N$5:$N$1517,N759,$B$5:$B$1517,"&lt;"&amp;B759)+COUNTIFS($N$5:$N$1517,N759,$B$5:$B$1517,B759,$C$5:$C$1517,"&lt;"&amp;C759),"")</f>
        <v/>
      </c>
      <c r="T759" s="8" t="n">
        <f aca="false">IF(O759&gt;=Models!$G$8,1+COUNTIF($O$5:$O$1517,"&gt;"&amp;O759)+COUNTIFS($O$5:$O$1517,O759,$B$5:$B$1517,"&lt;"&amp;B759)+COUNTIFS($O$5:$O$1517,O759,$B$5:$B$1517,B759,$C$5:$C$1517,"&lt;"&amp;C759),"")</f>
        <v>74</v>
      </c>
      <c r="U759" s="8" t="n">
        <f aca="false">IF($K759=1,COUNTIFS($L$5:$L$1517,"&gt;="&amp;L759,$K$5:$K$1517,1)/COUNTIF($L$5:$L$1517,"&gt;="&amp;L759),0)</f>
        <v>0.143939393939394</v>
      </c>
      <c r="V759" s="8" t="n">
        <f aca="false">IF($K759=1,COUNTIFS($M$5:$M$1517,"&gt;="&amp;M759,$K$5:$K$1517,1)/COUNTIF($M$5:$M$1517,"&gt;="&amp;M759),0)</f>
        <v>0.186528497409326</v>
      </c>
      <c r="W759" s="8" t="n">
        <f aca="false">IF($K759=1,COUNTIFS($N$5:$N$1517,"&gt;="&amp;N759,$K$5:$K$1517,1)/COUNTIF($N$5:$N$1517,"&gt;="&amp;N759),0)</f>
        <v>0.3</v>
      </c>
      <c r="X759" s="8" t="n">
        <f aca="false">IF($K759=1,COUNTIFS($O$5:$O$1517,"&gt;="&amp;O759,$K$5:$K$1517,1)/COUNTIF($O$5:$O$1517,"&gt;="&amp;O759),0)</f>
        <v>0.12491738268341</v>
      </c>
      <c r="Y759" s="8" t="n">
        <f aca="false">IF($K759=1,COUNTIFS($P$5:$P$1517,"&gt;="&amp;P759,$K$5:$K$1517,1)/COUNTIF($P$5:$P$1517,"&gt;="&amp;P759),0)</f>
        <v>0.3</v>
      </c>
      <c r="Z759" s="8" t="n">
        <f aca="false">(L759-$K759)^2</f>
        <v>0.00760837507600001</v>
      </c>
      <c r="AA759" s="8" t="n">
        <f aca="false">(M759-$K759)^2</f>
        <v>0.665511692521</v>
      </c>
      <c r="AB759" s="8" t="n">
        <f aca="false">(N759-$K759)^2</f>
        <v>0.630191471716</v>
      </c>
      <c r="AC759" s="8" t="n">
        <f aca="false">(O759-$K759)^2</f>
        <v>0.798908829489</v>
      </c>
      <c r="AD759" s="8" t="n">
        <f aca="false">(P759-$K759)^2</f>
        <v>0.602430554896</v>
      </c>
      <c r="AE759" s="8" t="n">
        <f aca="false">MIN(INT(ROUND(N759*1000000,0)/100000),9)</f>
        <v>2</v>
      </c>
      <c r="AF759" s="8" t="n">
        <f aca="false">MIN(INT(ROUND(P759*1000000,0)/100000),9)</f>
        <v>2</v>
      </c>
    </row>
    <row r="760" customFormat="false" ht="15" hidden="false" customHeight="false" outlineLevel="0" collapsed="false">
      <c r="A760" s="4" t="n">
        <v>756</v>
      </c>
      <c r="B760" s="4" t="n">
        <v>95</v>
      </c>
      <c r="C760" s="4" t="n">
        <v>2</v>
      </c>
      <c r="D760" s="11" t="n">
        <v>46113</v>
      </c>
      <c r="E760" s="4" t="s">
        <v>203</v>
      </c>
      <c r="F760" s="4" t="s">
        <v>209</v>
      </c>
      <c r="G760" s="4" t="n">
        <v>6</v>
      </c>
      <c r="H760" s="4" t="n">
        <v>5</v>
      </c>
      <c r="I760" s="4" t="n">
        <v>1</v>
      </c>
      <c r="J760" s="4" t="n">
        <v>1356.6</v>
      </c>
      <c r="K760" s="4" t="n">
        <v>0</v>
      </c>
      <c r="L760" s="12" t="n">
        <v>0.425951</v>
      </c>
      <c r="M760" s="12" t="n">
        <v>0.184211</v>
      </c>
      <c r="N760" s="12" t="n">
        <v>0.162768</v>
      </c>
      <c r="O760" s="12" t="n">
        <v>0.106183</v>
      </c>
      <c r="P760" s="12" t="n">
        <v>0.175559</v>
      </c>
      <c r="Q760" s="0" t="str">
        <f aca="false">IF(L760&gt;=Models!$G$5,1+COUNTIF($L$5:$L$1517,"&gt;"&amp;L760)+COUNTIFS($L$5:$L$1517,L760,$B$5:$B$1517,"&lt;"&amp;B760)+COUNTIFS($L$5:$L$1517,L760,$B$5:$B$1517,B760,$C$5:$C$1517,"&lt;"&amp;C760),"")</f>
        <v/>
      </c>
      <c r="R760" s="8" t="n">
        <f aca="false">IF(M760&gt;=Models!$G$6,1+COUNTIF($M$5:$M$1517,"&gt;"&amp;M760)+COUNTIFS($M$5:$M$1517,M760,$B$5:$B$1517,"&lt;"&amp;B760)+COUNTIFS($M$5:$M$1517,M760,$B$5:$B$1517,B760,$C$5:$C$1517,"&lt;"&amp;C760),"")</f>
        <v>8</v>
      </c>
      <c r="S760" s="0" t="str">
        <f aca="false">IF(N760&gt;=Models!$G$7,1+COUNTIF($N$5:$N$1517,"&gt;"&amp;N760)+COUNTIFS($N$5:$N$1517,N760,$B$5:$B$1517,"&lt;"&amp;B760)+COUNTIFS($N$5:$N$1517,N760,$B$5:$B$1517,B760,$C$5:$C$1517,"&lt;"&amp;C760),"")</f>
        <v/>
      </c>
      <c r="T760" s="8" t="n">
        <f aca="false">IF(O760&gt;=Models!$G$8,1+COUNTIF($O$5:$O$1517,"&gt;"&amp;O760)+COUNTIFS($O$5:$O$1517,O760,$B$5:$B$1517,"&lt;"&amp;B760)+COUNTIFS($O$5:$O$1517,O760,$B$5:$B$1517,B760,$C$5:$C$1517,"&lt;"&amp;C760),"")</f>
        <v>77</v>
      </c>
      <c r="U760" s="8" t="n">
        <f aca="false">IF($K760=1,COUNTIFS($L$5:$L$1517,"&gt;="&amp;L760,$K$5:$K$1517,1)/COUNTIF($L$5:$L$1517,"&gt;="&amp;L760),0)</f>
        <v>0</v>
      </c>
      <c r="V760" s="8" t="n">
        <f aca="false">IF($K760=1,COUNTIFS($M$5:$M$1517,"&gt;="&amp;M760,$K$5:$K$1517,1)/COUNTIF($M$5:$M$1517,"&gt;="&amp;M760),0)</f>
        <v>0</v>
      </c>
      <c r="W760" s="8" t="n">
        <f aca="false">IF($K760=1,COUNTIFS($N$5:$N$1517,"&gt;="&amp;N760,$K$5:$K$1517,1)/COUNTIF($N$5:$N$1517,"&gt;="&amp;N760),0)</f>
        <v>0</v>
      </c>
      <c r="X760" s="8" t="n">
        <f aca="false">IF($K760=1,COUNTIFS($O$5:$O$1517,"&gt;="&amp;O760,$K$5:$K$1517,1)/COUNTIF($O$5:$O$1517,"&gt;="&amp;O760),0)</f>
        <v>0</v>
      </c>
      <c r="Y760" s="8" t="n">
        <f aca="false">IF($K760=1,COUNTIFS($P$5:$P$1517,"&gt;="&amp;P760,$K$5:$K$1517,1)/COUNTIF($P$5:$P$1517,"&gt;="&amp;P760),0)</f>
        <v>0</v>
      </c>
      <c r="Z760" s="8" t="n">
        <f aca="false">(L760-$K760)^2</f>
        <v>0.181434254401</v>
      </c>
      <c r="AA760" s="8" t="n">
        <f aca="false">(M760-$K760)^2</f>
        <v>0.033933692521</v>
      </c>
      <c r="AB760" s="8" t="n">
        <f aca="false">(N760-$K760)^2</f>
        <v>0.026493421824</v>
      </c>
      <c r="AC760" s="8" t="n">
        <f aca="false">(O760-$K760)^2</f>
        <v>0.011274829489</v>
      </c>
      <c r="AD760" s="8" t="n">
        <f aca="false">(P760-$K760)^2</f>
        <v>0.030820962481</v>
      </c>
      <c r="AE760" s="8" t="n">
        <f aca="false">MIN(INT(ROUND(N760*1000000,0)/100000),9)</f>
        <v>1</v>
      </c>
      <c r="AF760" s="8" t="n">
        <f aca="false">MIN(INT(ROUND(P760*1000000,0)/100000),9)</f>
        <v>1</v>
      </c>
    </row>
    <row r="761" customFormat="false" ht="15" hidden="false" customHeight="false" outlineLevel="0" collapsed="false">
      <c r="A761" s="4" t="n">
        <v>757</v>
      </c>
      <c r="B761" s="4" t="n">
        <v>98</v>
      </c>
      <c r="C761" s="4" t="n">
        <v>2</v>
      </c>
      <c r="D761" s="11" t="n">
        <v>46113</v>
      </c>
      <c r="E761" s="4" t="s">
        <v>202</v>
      </c>
      <c r="F761" s="4" t="s">
        <v>206</v>
      </c>
      <c r="G761" s="4" t="n">
        <v>7</v>
      </c>
      <c r="H761" s="4" t="n">
        <v>7</v>
      </c>
      <c r="I761" s="4" t="n">
        <v>0</v>
      </c>
      <c r="J761" s="4" t="n">
        <v>1479</v>
      </c>
      <c r="K761" s="4" t="n">
        <v>0</v>
      </c>
      <c r="L761" s="12" t="n">
        <v>0.217605</v>
      </c>
      <c r="M761" s="12" t="n">
        <v>0.092063</v>
      </c>
      <c r="N761" s="12" t="n">
        <v>0.089927</v>
      </c>
      <c r="O761" s="12" t="n">
        <v>0.106183</v>
      </c>
      <c r="P761" s="12" t="n">
        <v>0.094861</v>
      </c>
      <c r="Q761" s="0" t="str">
        <f aca="false">IF(L761&gt;=Models!$G$5,1+COUNTIF($L$5:$L$1517,"&gt;"&amp;L761)+COUNTIFS($L$5:$L$1517,L761,$B$5:$B$1517,"&lt;"&amp;B761)+COUNTIFS($L$5:$L$1517,L761,$B$5:$B$1517,B761,$C$5:$C$1517,"&lt;"&amp;C761),"")</f>
        <v/>
      </c>
      <c r="R761" s="0" t="str">
        <f aca="false">IF(M761&gt;=Models!$G$6,1+COUNTIF($M$5:$M$1517,"&gt;"&amp;M761)+COUNTIFS($M$5:$M$1517,M761,$B$5:$B$1517,"&lt;"&amp;B761)+COUNTIFS($M$5:$M$1517,M761,$B$5:$B$1517,B761,$C$5:$C$1517,"&lt;"&amp;C761),"")</f>
        <v/>
      </c>
      <c r="S761" s="0" t="str">
        <f aca="false">IF(N761&gt;=Models!$G$7,1+COUNTIF($N$5:$N$1517,"&gt;"&amp;N761)+COUNTIFS($N$5:$N$1517,N761,$B$5:$B$1517,"&lt;"&amp;B761)+COUNTIFS($N$5:$N$1517,N761,$B$5:$B$1517,B761,$C$5:$C$1517,"&lt;"&amp;C761),"")</f>
        <v/>
      </c>
      <c r="T761" s="8" t="n">
        <f aca="false">IF(O761&gt;=Models!$G$8,1+COUNTIF($O$5:$O$1517,"&gt;"&amp;O761)+COUNTIFS($O$5:$O$1517,O761,$B$5:$B$1517,"&lt;"&amp;B761)+COUNTIFS($O$5:$O$1517,O761,$B$5:$B$1517,B761,$C$5:$C$1517,"&lt;"&amp;C761),"")</f>
        <v>81</v>
      </c>
      <c r="U761" s="8" t="n">
        <f aca="false">IF($K761=1,COUNTIFS($L$5:$L$1517,"&gt;="&amp;L761,$K$5:$K$1517,1)/COUNTIF($L$5:$L$1517,"&gt;="&amp;L761),0)</f>
        <v>0</v>
      </c>
      <c r="V761" s="8" t="n">
        <f aca="false">IF($K761=1,COUNTIFS($M$5:$M$1517,"&gt;="&amp;M761,$K$5:$K$1517,1)/COUNTIF($M$5:$M$1517,"&gt;="&amp;M761),0)</f>
        <v>0</v>
      </c>
      <c r="W761" s="8" t="n">
        <f aca="false">IF($K761=1,COUNTIFS($N$5:$N$1517,"&gt;="&amp;N761,$K$5:$K$1517,1)/COUNTIF($N$5:$N$1517,"&gt;="&amp;N761),0)</f>
        <v>0</v>
      </c>
      <c r="X761" s="8" t="n">
        <f aca="false">IF($K761=1,COUNTIFS($O$5:$O$1517,"&gt;="&amp;O761,$K$5:$K$1517,1)/COUNTIF($O$5:$O$1517,"&gt;="&amp;O761),0)</f>
        <v>0</v>
      </c>
      <c r="Y761" s="8" t="n">
        <f aca="false">IF($K761=1,COUNTIFS($P$5:$P$1517,"&gt;="&amp;P761,$K$5:$K$1517,1)/COUNTIF($P$5:$P$1517,"&gt;="&amp;P761),0)</f>
        <v>0</v>
      </c>
      <c r="Z761" s="8" t="n">
        <f aca="false">(L761-$K761)^2</f>
        <v>0.047351936025</v>
      </c>
      <c r="AA761" s="8" t="n">
        <f aca="false">(M761-$K761)^2</f>
        <v>0.008475595969</v>
      </c>
      <c r="AB761" s="8" t="n">
        <f aca="false">(N761-$K761)^2</f>
        <v>0.008086865329</v>
      </c>
      <c r="AC761" s="8" t="n">
        <f aca="false">(O761-$K761)^2</f>
        <v>0.011274829489</v>
      </c>
      <c r="AD761" s="8" t="n">
        <f aca="false">(P761-$K761)^2</f>
        <v>0.008998609321</v>
      </c>
      <c r="AE761" s="8" t="n">
        <f aca="false">MIN(INT(ROUND(N761*1000000,0)/100000),9)</f>
        <v>0</v>
      </c>
      <c r="AF761" s="8" t="n">
        <f aca="false">MIN(INT(ROUND(P761*1000000,0)/100000),9)</f>
        <v>0</v>
      </c>
    </row>
    <row r="762" customFormat="false" ht="15" hidden="false" customHeight="false" outlineLevel="0" collapsed="false">
      <c r="A762" s="4" t="n">
        <v>758</v>
      </c>
      <c r="B762" s="4" t="n">
        <v>99</v>
      </c>
      <c r="C762" s="4" t="n">
        <v>2</v>
      </c>
      <c r="D762" s="11" t="n">
        <v>46113</v>
      </c>
      <c r="E762" s="4" t="s">
        <v>203</v>
      </c>
      <c r="F762" s="4" t="s">
        <v>208</v>
      </c>
      <c r="G762" s="4" t="n">
        <v>5</v>
      </c>
      <c r="H762" s="4" t="n">
        <v>1</v>
      </c>
      <c r="I762" s="4" t="n">
        <v>0</v>
      </c>
      <c r="J762" s="4" t="n">
        <v>1438.2</v>
      </c>
      <c r="K762" s="4" t="n">
        <v>0</v>
      </c>
      <c r="L762" s="12" t="n">
        <v>0.087014</v>
      </c>
      <c r="M762" s="12" t="n">
        <v>0.092063</v>
      </c>
      <c r="N762" s="12" t="n">
        <v>0.101439</v>
      </c>
      <c r="O762" s="12" t="n">
        <v>0.106183</v>
      </c>
      <c r="P762" s="12" t="n">
        <v>0.107537</v>
      </c>
      <c r="Q762" s="0" t="str">
        <f aca="false">IF(L762&gt;=Models!$G$5,1+COUNTIF($L$5:$L$1517,"&gt;"&amp;L762)+COUNTIFS($L$5:$L$1517,L762,$B$5:$B$1517,"&lt;"&amp;B762)+COUNTIFS($L$5:$L$1517,L762,$B$5:$B$1517,B762,$C$5:$C$1517,"&lt;"&amp;C762),"")</f>
        <v/>
      </c>
      <c r="R762" s="0" t="str">
        <f aca="false">IF(M762&gt;=Models!$G$6,1+COUNTIF($M$5:$M$1517,"&gt;"&amp;M762)+COUNTIFS($M$5:$M$1517,M762,$B$5:$B$1517,"&lt;"&amp;B762)+COUNTIFS($M$5:$M$1517,M762,$B$5:$B$1517,B762,$C$5:$C$1517,"&lt;"&amp;C762),"")</f>
        <v/>
      </c>
      <c r="S762" s="0" t="str">
        <f aca="false">IF(N762&gt;=Models!$G$7,1+COUNTIF($N$5:$N$1517,"&gt;"&amp;N762)+COUNTIFS($N$5:$N$1517,N762,$B$5:$B$1517,"&lt;"&amp;B762)+COUNTIFS($N$5:$N$1517,N762,$B$5:$B$1517,B762,$C$5:$C$1517,"&lt;"&amp;C762),"")</f>
        <v/>
      </c>
      <c r="T762" s="8" t="n">
        <f aca="false">IF(O762&gt;=Models!$G$8,1+COUNTIF($O$5:$O$1517,"&gt;"&amp;O762)+COUNTIFS($O$5:$O$1517,O762,$B$5:$B$1517,"&lt;"&amp;B762)+COUNTIFS($O$5:$O$1517,O762,$B$5:$B$1517,B762,$C$5:$C$1517,"&lt;"&amp;C762),"")</f>
        <v>85</v>
      </c>
      <c r="U762" s="8" t="n">
        <f aca="false">IF($K762=1,COUNTIFS($L$5:$L$1517,"&gt;="&amp;L762,$K$5:$K$1517,1)/COUNTIF($L$5:$L$1517,"&gt;="&amp;L762),0)</f>
        <v>0</v>
      </c>
      <c r="V762" s="8" t="n">
        <f aca="false">IF($K762=1,COUNTIFS($M$5:$M$1517,"&gt;="&amp;M762,$K$5:$K$1517,1)/COUNTIF($M$5:$M$1517,"&gt;="&amp;M762),0)</f>
        <v>0</v>
      </c>
      <c r="W762" s="8" t="n">
        <f aca="false">IF($K762=1,COUNTIFS($N$5:$N$1517,"&gt;="&amp;N762,$K$5:$K$1517,1)/COUNTIF($N$5:$N$1517,"&gt;="&amp;N762),0)</f>
        <v>0</v>
      </c>
      <c r="X762" s="8" t="n">
        <f aca="false">IF($K762=1,COUNTIFS($O$5:$O$1517,"&gt;="&amp;O762,$K$5:$K$1517,1)/COUNTIF($O$5:$O$1517,"&gt;="&amp;O762),0)</f>
        <v>0</v>
      </c>
      <c r="Y762" s="8" t="n">
        <f aca="false">IF($K762=1,COUNTIFS($P$5:$P$1517,"&gt;="&amp;P762,$K$5:$K$1517,1)/COUNTIF($P$5:$P$1517,"&gt;="&amp;P762),0)</f>
        <v>0</v>
      </c>
      <c r="Z762" s="8" t="n">
        <f aca="false">(L762-$K762)^2</f>
        <v>0.007571436196</v>
      </c>
      <c r="AA762" s="8" t="n">
        <f aca="false">(M762-$K762)^2</f>
        <v>0.008475595969</v>
      </c>
      <c r="AB762" s="8" t="n">
        <f aca="false">(N762-$K762)^2</f>
        <v>0.010289870721</v>
      </c>
      <c r="AC762" s="8" t="n">
        <f aca="false">(O762-$K762)^2</f>
        <v>0.011274829489</v>
      </c>
      <c r="AD762" s="8" t="n">
        <f aca="false">(P762-$K762)^2</f>
        <v>0.011564206369</v>
      </c>
      <c r="AE762" s="8" t="n">
        <f aca="false">MIN(INT(ROUND(N762*1000000,0)/100000),9)</f>
        <v>1</v>
      </c>
      <c r="AF762" s="8" t="n">
        <f aca="false">MIN(INT(ROUND(P762*1000000,0)/100000),9)</f>
        <v>1</v>
      </c>
    </row>
    <row r="763" customFormat="false" ht="15" hidden="false" customHeight="false" outlineLevel="0" collapsed="false">
      <c r="A763" s="4" t="n">
        <v>759</v>
      </c>
      <c r="B763" s="4" t="n">
        <v>113</v>
      </c>
      <c r="C763" s="4" t="n">
        <v>2</v>
      </c>
      <c r="D763" s="11" t="n">
        <v>46113</v>
      </c>
      <c r="E763" s="4" t="s">
        <v>202</v>
      </c>
      <c r="F763" s="4" t="s">
        <v>210</v>
      </c>
      <c r="G763" s="4" t="n">
        <v>8</v>
      </c>
      <c r="H763" s="4" t="n">
        <v>2</v>
      </c>
      <c r="I763" s="4" t="n">
        <v>0</v>
      </c>
      <c r="J763" s="4" t="n">
        <v>1371</v>
      </c>
      <c r="K763" s="4" t="n">
        <v>0</v>
      </c>
      <c r="L763" s="12" t="n">
        <v>0.790537</v>
      </c>
      <c r="M763" s="12" t="n">
        <v>0.092063</v>
      </c>
      <c r="N763" s="12" t="n">
        <v>0.08023</v>
      </c>
      <c r="O763" s="12" t="n">
        <v>0.106183</v>
      </c>
      <c r="P763" s="12" t="n">
        <v>0.084223</v>
      </c>
      <c r="Q763" s="0" t="str">
        <f aca="false">IF(L763&gt;=Models!$G$5,1+COUNTIF($L$5:$L$1517,"&gt;"&amp;L763)+COUNTIFS($L$5:$L$1517,L763,$B$5:$B$1517,"&lt;"&amp;B763)+COUNTIFS($L$5:$L$1517,L763,$B$5:$B$1517,B763,$C$5:$C$1517,"&lt;"&amp;C763),"")</f>
        <v/>
      </c>
      <c r="R763" s="0" t="str">
        <f aca="false">IF(M763&gt;=Models!$G$6,1+COUNTIF($M$5:$M$1517,"&gt;"&amp;M763)+COUNTIFS($M$5:$M$1517,M763,$B$5:$B$1517,"&lt;"&amp;B763)+COUNTIFS($M$5:$M$1517,M763,$B$5:$B$1517,B763,$C$5:$C$1517,"&lt;"&amp;C763),"")</f>
        <v/>
      </c>
      <c r="S763" s="0" t="str">
        <f aca="false">IF(N763&gt;=Models!$G$7,1+COUNTIF($N$5:$N$1517,"&gt;"&amp;N763)+COUNTIFS($N$5:$N$1517,N763,$B$5:$B$1517,"&lt;"&amp;B763)+COUNTIFS($N$5:$N$1517,N763,$B$5:$B$1517,B763,$C$5:$C$1517,"&lt;"&amp;C763),"")</f>
        <v/>
      </c>
      <c r="T763" s="8" t="n">
        <f aca="false">IF(O763&gt;=Models!$G$8,1+COUNTIF($O$5:$O$1517,"&gt;"&amp;O763)+COUNTIFS($O$5:$O$1517,O763,$B$5:$B$1517,"&lt;"&amp;B763)+COUNTIFS($O$5:$O$1517,O763,$B$5:$B$1517,B763,$C$5:$C$1517,"&lt;"&amp;C763),"")</f>
        <v>89</v>
      </c>
      <c r="U763" s="8" t="n">
        <f aca="false">IF($K763=1,COUNTIFS($L$5:$L$1517,"&gt;="&amp;L763,$K$5:$K$1517,1)/COUNTIF($L$5:$L$1517,"&gt;="&amp;L763),0)</f>
        <v>0</v>
      </c>
      <c r="V763" s="8" t="n">
        <f aca="false">IF($K763=1,COUNTIFS($M$5:$M$1517,"&gt;="&amp;M763,$K$5:$K$1517,1)/COUNTIF($M$5:$M$1517,"&gt;="&amp;M763),0)</f>
        <v>0</v>
      </c>
      <c r="W763" s="8" t="n">
        <f aca="false">IF($K763=1,COUNTIFS($N$5:$N$1517,"&gt;="&amp;N763,$K$5:$K$1517,1)/COUNTIF($N$5:$N$1517,"&gt;="&amp;N763),0)</f>
        <v>0</v>
      </c>
      <c r="X763" s="8" t="n">
        <f aca="false">IF($K763=1,COUNTIFS($O$5:$O$1517,"&gt;="&amp;O763,$K$5:$K$1517,1)/COUNTIF($O$5:$O$1517,"&gt;="&amp;O763),0)</f>
        <v>0</v>
      </c>
      <c r="Y763" s="8" t="n">
        <f aca="false">IF($K763=1,COUNTIFS($P$5:$P$1517,"&gt;="&amp;P763,$K$5:$K$1517,1)/COUNTIF($P$5:$P$1517,"&gt;="&amp;P763),0)</f>
        <v>0</v>
      </c>
      <c r="Z763" s="8" t="n">
        <f aca="false">(L763-$K763)^2</f>
        <v>0.624948748369</v>
      </c>
      <c r="AA763" s="8" t="n">
        <f aca="false">(M763-$K763)^2</f>
        <v>0.008475595969</v>
      </c>
      <c r="AB763" s="8" t="n">
        <f aca="false">(N763-$K763)^2</f>
        <v>0.0064368529</v>
      </c>
      <c r="AC763" s="8" t="n">
        <f aca="false">(O763-$K763)^2</f>
        <v>0.011274829489</v>
      </c>
      <c r="AD763" s="8" t="n">
        <f aca="false">(P763-$K763)^2</f>
        <v>0.007093513729</v>
      </c>
      <c r="AE763" s="8" t="n">
        <f aca="false">MIN(INT(ROUND(N763*1000000,0)/100000),9)</f>
        <v>0</v>
      </c>
      <c r="AF763" s="8" t="n">
        <f aca="false">MIN(INT(ROUND(P763*1000000,0)/100000),9)</f>
        <v>0</v>
      </c>
    </row>
    <row r="764" customFormat="false" ht="15" hidden="false" customHeight="false" outlineLevel="0" collapsed="false">
      <c r="A764" s="4" t="n">
        <v>760</v>
      </c>
      <c r="B764" s="4" t="n">
        <v>114</v>
      </c>
      <c r="C764" s="4" t="n">
        <v>2</v>
      </c>
      <c r="D764" s="11" t="n">
        <v>46113</v>
      </c>
      <c r="E764" s="4" t="s">
        <v>202</v>
      </c>
      <c r="F764" s="4" t="s">
        <v>206</v>
      </c>
      <c r="G764" s="4" t="n">
        <v>10</v>
      </c>
      <c r="H764" s="4" t="n">
        <v>2</v>
      </c>
      <c r="I764" s="4" t="n">
        <v>0</v>
      </c>
      <c r="J764" s="4" t="n">
        <v>2621.4</v>
      </c>
      <c r="K764" s="4" t="n">
        <v>0</v>
      </c>
      <c r="L764" s="12" t="n">
        <v>0.777246</v>
      </c>
      <c r="M764" s="12" t="n">
        <v>0.092063</v>
      </c>
      <c r="N764" s="12" t="n">
        <v>0.063458</v>
      </c>
      <c r="O764" s="12" t="n">
        <v>0.106183</v>
      </c>
      <c r="P764" s="12" t="n">
        <v>0.065933</v>
      </c>
      <c r="Q764" s="0" t="str">
        <f aca="false">IF(L764&gt;=Models!$G$5,1+COUNTIF($L$5:$L$1517,"&gt;"&amp;L764)+COUNTIFS($L$5:$L$1517,L764,$B$5:$B$1517,"&lt;"&amp;B764)+COUNTIFS($L$5:$L$1517,L764,$B$5:$B$1517,B764,$C$5:$C$1517,"&lt;"&amp;C764),"")</f>
        <v/>
      </c>
      <c r="R764" s="0" t="str">
        <f aca="false">IF(M764&gt;=Models!$G$6,1+COUNTIF($M$5:$M$1517,"&gt;"&amp;M764)+COUNTIFS($M$5:$M$1517,M764,$B$5:$B$1517,"&lt;"&amp;B764)+COUNTIFS($M$5:$M$1517,M764,$B$5:$B$1517,B764,$C$5:$C$1517,"&lt;"&amp;C764),"")</f>
        <v/>
      </c>
      <c r="S764" s="0" t="str">
        <f aca="false">IF(N764&gt;=Models!$G$7,1+COUNTIF($N$5:$N$1517,"&gt;"&amp;N764)+COUNTIFS($N$5:$N$1517,N764,$B$5:$B$1517,"&lt;"&amp;B764)+COUNTIFS($N$5:$N$1517,N764,$B$5:$B$1517,B764,$C$5:$C$1517,"&lt;"&amp;C764),"")</f>
        <v/>
      </c>
      <c r="T764" s="8" t="n">
        <f aca="false">IF(O764&gt;=Models!$G$8,1+COUNTIF($O$5:$O$1517,"&gt;"&amp;O764)+COUNTIFS($O$5:$O$1517,O764,$B$5:$B$1517,"&lt;"&amp;B764)+COUNTIFS($O$5:$O$1517,O764,$B$5:$B$1517,B764,$C$5:$C$1517,"&lt;"&amp;C764),"")</f>
        <v>93</v>
      </c>
      <c r="U764" s="8" t="n">
        <f aca="false">IF($K764=1,COUNTIFS($L$5:$L$1517,"&gt;="&amp;L764,$K$5:$K$1517,1)/COUNTIF($L$5:$L$1517,"&gt;="&amp;L764),0)</f>
        <v>0</v>
      </c>
      <c r="V764" s="8" t="n">
        <f aca="false">IF($K764=1,COUNTIFS($M$5:$M$1517,"&gt;="&amp;M764,$K$5:$K$1517,1)/COUNTIF($M$5:$M$1517,"&gt;="&amp;M764),0)</f>
        <v>0</v>
      </c>
      <c r="W764" s="8" t="n">
        <f aca="false">IF($K764=1,COUNTIFS($N$5:$N$1517,"&gt;="&amp;N764,$K$5:$K$1517,1)/COUNTIF($N$5:$N$1517,"&gt;="&amp;N764),0)</f>
        <v>0</v>
      </c>
      <c r="X764" s="8" t="n">
        <f aca="false">IF($K764=1,COUNTIFS($O$5:$O$1517,"&gt;="&amp;O764,$K$5:$K$1517,1)/COUNTIF($O$5:$O$1517,"&gt;="&amp;O764),0)</f>
        <v>0</v>
      </c>
      <c r="Y764" s="8" t="n">
        <f aca="false">IF($K764=1,COUNTIFS($P$5:$P$1517,"&gt;="&amp;P764,$K$5:$K$1517,1)/COUNTIF($P$5:$P$1517,"&gt;="&amp;P764),0)</f>
        <v>0</v>
      </c>
      <c r="Z764" s="8" t="n">
        <f aca="false">(L764-$K764)^2</f>
        <v>0.604111344516</v>
      </c>
      <c r="AA764" s="8" t="n">
        <f aca="false">(M764-$K764)^2</f>
        <v>0.008475595969</v>
      </c>
      <c r="AB764" s="8" t="n">
        <f aca="false">(N764-$K764)^2</f>
        <v>0.004026917764</v>
      </c>
      <c r="AC764" s="8" t="n">
        <f aca="false">(O764-$K764)^2</f>
        <v>0.011274829489</v>
      </c>
      <c r="AD764" s="8" t="n">
        <f aca="false">(P764-$K764)^2</f>
        <v>0.004347160489</v>
      </c>
      <c r="AE764" s="8" t="n">
        <f aca="false">MIN(INT(ROUND(N764*1000000,0)/100000),9)</f>
        <v>0</v>
      </c>
      <c r="AF764" s="8" t="n">
        <f aca="false">MIN(INT(ROUND(P764*1000000,0)/100000),9)</f>
        <v>0</v>
      </c>
    </row>
    <row r="765" customFormat="false" ht="15" hidden="false" customHeight="false" outlineLevel="0" collapsed="false">
      <c r="A765" s="4" t="n">
        <v>761</v>
      </c>
      <c r="B765" s="4" t="n">
        <v>146</v>
      </c>
      <c r="C765" s="4" t="n">
        <v>2</v>
      </c>
      <c r="D765" s="11" t="n">
        <v>46113</v>
      </c>
      <c r="E765" s="4" t="s">
        <v>202</v>
      </c>
      <c r="F765" s="4" t="s">
        <v>206</v>
      </c>
      <c r="G765" s="4" t="n">
        <v>10</v>
      </c>
      <c r="H765" s="4" t="n">
        <v>6</v>
      </c>
      <c r="I765" s="4" t="n">
        <v>0</v>
      </c>
      <c r="J765" s="4" t="n">
        <v>5548.8</v>
      </c>
      <c r="K765" s="4" t="n">
        <v>0</v>
      </c>
      <c r="L765" s="12" t="n">
        <v>0.85907</v>
      </c>
      <c r="M765" s="12" t="n">
        <v>0.092063</v>
      </c>
      <c r="N765" s="12" t="n">
        <v>0.055776</v>
      </c>
      <c r="O765" s="12" t="n">
        <v>0.106183</v>
      </c>
      <c r="P765" s="12" t="n">
        <v>0.057614</v>
      </c>
      <c r="Q765" s="0" t="str">
        <f aca="false">IF(L765&gt;=Models!$G$5,1+COUNTIF($L$5:$L$1517,"&gt;"&amp;L765)+COUNTIFS($L$5:$L$1517,L765,$B$5:$B$1517,"&lt;"&amp;B765)+COUNTIFS($L$5:$L$1517,L765,$B$5:$B$1517,B765,$C$5:$C$1517,"&lt;"&amp;C765),"")</f>
        <v/>
      </c>
      <c r="R765" s="0" t="str">
        <f aca="false">IF(M765&gt;=Models!$G$6,1+COUNTIF($M$5:$M$1517,"&gt;"&amp;M765)+COUNTIFS($M$5:$M$1517,M765,$B$5:$B$1517,"&lt;"&amp;B765)+COUNTIFS($M$5:$M$1517,M765,$B$5:$B$1517,B765,$C$5:$C$1517,"&lt;"&amp;C765),"")</f>
        <v/>
      </c>
      <c r="S765" s="0" t="str">
        <f aca="false">IF(N765&gt;=Models!$G$7,1+COUNTIF($N$5:$N$1517,"&gt;"&amp;N765)+COUNTIFS($N$5:$N$1517,N765,$B$5:$B$1517,"&lt;"&amp;B765)+COUNTIFS($N$5:$N$1517,N765,$B$5:$B$1517,B765,$C$5:$C$1517,"&lt;"&amp;C765),"")</f>
        <v/>
      </c>
      <c r="T765" s="8" t="n">
        <f aca="false">IF(O765&gt;=Models!$G$8,1+COUNTIF($O$5:$O$1517,"&gt;"&amp;O765)+COUNTIFS($O$5:$O$1517,O765,$B$5:$B$1517,"&lt;"&amp;B765)+COUNTIFS($O$5:$O$1517,O765,$B$5:$B$1517,B765,$C$5:$C$1517,"&lt;"&amp;C765),"")</f>
        <v>97</v>
      </c>
      <c r="U765" s="8" t="n">
        <f aca="false">IF($K765=1,COUNTIFS($L$5:$L$1517,"&gt;="&amp;L765,$K$5:$K$1517,1)/COUNTIF($L$5:$L$1517,"&gt;="&amp;L765),0)</f>
        <v>0</v>
      </c>
      <c r="V765" s="8" t="n">
        <f aca="false">IF($K765=1,COUNTIFS($M$5:$M$1517,"&gt;="&amp;M765,$K$5:$K$1517,1)/COUNTIF($M$5:$M$1517,"&gt;="&amp;M765),0)</f>
        <v>0</v>
      </c>
      <c r="W765" s="8" t="n">
        <f aca="false">IF($K765=1,COUNTIFS($N$5:$N$1517,"&gt;="&amp;N765,$K$5:$K$1517,1)/COUNTIF($N$5:$N$1517,"&gt;="&amp;N765),0)</f>
        <v>0</v>
      </c>
      <c r="X765" s="8" t="n">
        <f aca="false">IF($K765=1,COUNTIFS($O$5:$O$1517,"&gt;="&amp;O765,$K$5:$K$1517,1)/COUNTIF($O$5:$O$1517,"&gt;="&amp;O765),0)</f>
        <v>0</v>
      </c>
      <c r="Y765" s="8" t="n">
        <f aca="false">IF($K765=1,COUNTIFS($P$5:$P$1517,"&gt;="&amp;P765,$K$5:$K$1517,1)/COUNTIF($P$5:$P$1517,"&gt;="&amp;P765),0)</f>
        <v>0</v>
      </c>
      <c r="Z765" s="8" t="n">
        <f aca="false">(L765-$K765)^2</f>
        <v>0.7380012649</v>
      </c>
      <c r="AA765" s="8" t="n">
        <f aca="false">(M765-$K765)^2</f>
        <v>0.008475595969</v>
      </c>
      <c r="AB765" s="8" t="n">
        <f aca="false">(N765-$K765)^2</f>
        <v>0.003110962176</v>
      </c>
      <c r="AC765" s="8" t="n">
        <f aca="false">(O765-$K765)^2</f>
        <v>0.011274829489</v>
      </c>
      <c r="AD765" s="8" t="n">
        <f aca="false">(P765-$K765)^2</f>
        <v>0.003319372996</v>
      </c>
      <c r="AE765" s="8" t="n">
        <f aca="false">MIN(INT(ROUND(N765*1000000,0)/100000),9)</f>
        <v>0</v>
      </c>
      <c r="AF765" s="8" t="n">
        <f aca="false">MIN(INT(ROUND(P765*1000000,0)/100000),9)</f>
        <v>0</v>
      </c>
    </row>
    <row r="766" customFormat="false" ht="15" hidden="false" customHeight="false" outlineLevel="0" collapsed="false">
      <c r="A766" s="4" t="n">
        <v>762</v>
      </c>
      <c r="B766" s="4" t="n">
        <v>147</v>
      </c>
      <c r="C766" s="4" t="n">
        <v>2</v>
      </c>
      <c r="D766" s="11" t="n">
        <v>46113</v>
      </c>
      <c r="E766" s="4" t="s">
        <v>202</v>
      </c>
      <c r="F766" s="4" t="s">
        <v>206</v>
      </c>
      <c r="G766" s="4" t="n">
        <v>6</v>
      </c>
      <c r="H766" s="4" t="n">
        <v>1</v>
      </c>
      <c r="I766" s="4" t="n">
        <v>0</v>
      </c>
      <c r="J766" s="4" t="n">
        <v>4171.8</v>
      </c>
      <c r="K766" s="4" t="n">
        <v>0</v>
      </c>
      <c r="L766" s="12" t="n">
        <v>0.781033</v>
      </c>
      <c r="M766" s="12" t="n">
        <v>0.092063</v>
      </c>
      <c r="N766" s="12" t="n">
        <v>0.080909</v>
      </c>
      <c r="O766" s="12" t="n">
        <v>0.106183</v>
      </c>
      <c r="P766" s="12" t="n">
        <v>0.084966</v>
      </c>
      <c r="Q766" s="0" t="str">
        <f aca="false">IF(L766&gt;=Models!$G$5,1+COUNTIF($L$5:$L$1517,"&gt;"&amp;L766)+COUNTIFS($L$5:$L$1517,L766,$B$5:$B$1517,"&lt;"&amp;B766)+COUNTIFS($L$5:$L$1517,L766,$B$5:$B$1517,B766,$C$5:$C$1517,"&lt;"&amp;C766),"")</f>
        <v/>
      </c>
      <c r="R766" s="0" t="str">
        <f aca="false">IF(M766&gt;=Models!$G$6,1+COUNTIF($M$5:$M$1517,"&gt;"&amp;M766)+COUNTIFS($M$5:$M$1517,M766,$B$5:$B$1517,"&lt;"&amp;B766)+COUNTIFS($M$5:$M$1517,M766,$B$5:$B$1517,B766,$C$5:$C$1517,"&lt;"&amp;C766),"")</f>
        <v/>
      </c>
      <c r="S766" s="0" t="str">
        <f aca="false">IF(N766&gt;=Models!$G$7,1+COUNTIF($N$5:$N$1517,"&gt;"&amp;N766)+COUNTIFS($N$5:$N$1517,N766,$B$5:$B$1517,"&lt;"&amp;B766)+COUNTIFS($N$5:$N$1517,N766,$B$5:$B$1517,B766,$C$5:$C$1517,"&lt;"&amp;C766),"")</f>
        <v/>
      </c>
      <c r="T766" s="8" t="n">
        <f aca="false">IF(O766&gt;=Models!$G$8,1+COUNTIF($O$5:$O$1517,"&gt;"&amp;O766)+COUNTIFS($O$5:$O$1517,O766,$B$5:$B$1517,"&lt;"&amp;B766)+COUNTIFS($O$5:$O$1517,O766,$B$5:$B$1517,B766,$C$5:$C$1517,"&lt;"&amp;C766),"")</f>
        <v>101</v>
      </c>
      <c r="U766" s="8" t="n">
        <f aca="false">IF($K766=1,COUNTIFS($L$5:$L$1517,"&gt;="&amp;L766,$K$5:$K$1517,1)/COUNTIF($L$5:$L$1517,"&gt;="&amp;L766),0)</f>
        <v>0</v>
      </c>
      <c r="V766" s="8" t="n">
        <f aca="false">IF($K766=1,COUNTIFS($M$5:$M$1517,"&gt;="&amp;M766,$K$5:$K$1517,1)/COUNTIF($M$5:$M$1517,"&gt;="&amp;M766),0)</f>
        <v>0</v>
      </c>
      <c r="W766" s="8" t="n">
        <f aca="false">IF($K766=1,COUNTIFS($N$5:$N$1517,"&gt;="&amp;N766,$K$5:$K$1517,1)/COUNTIF($N$5:$N$1517,"&gt;="&amp;N766),0)</f>
        <v>0</v>
      </c>
      <c r="X766" s="8" t="n">
        <f aca="false">IF($K766=1,COUNTIFS($O$5:$O$1517,"&gt;="&amp;O766,$K$5:$K$1517,1)/COUNTIF($O$5:$O$1517,"&gt;="&amp;O766),0)</f>
        <v>0</v>
      </c>
      <c r="Y766" s="8" t="n">
        <f aca="false">IF($K766=1,COUNTIFS($P$5:$P$1517,"&gt;="&amp;P766,$K$5:$K$1517,1)/COUNTIF($P$5:$P$1517,"&gt;="&amp;P766),0)</f>
        <v>0</v>
      </c>
      <c r="Z766" s="8" t="n">
        <f aca="false">(L766-$K766)^2</f>
        <v>0.610012547089</v>
      </c>
      <c r="AA766" s="8" t="n">
        <f aca="false">(M766-$K766)^2</f>
        <v>0.008475595969</v>
      </c>
      <c r="AB766" s="8" t="n">
        <f aca="false">(N766-$K766)^2</f>
        <v>0.006546266281</v>
      </c>
      <c r="AC766" s="8" t="n">
        <f aca="false">(O766-$K766)^2</f>
        <v>0.011274829489</v>
      </c>
      <c r="AD766" s="8" t="n">
        <f aca="false">(P766-$K766)^2</f>
        <v>0.007219221156</v>
      </c>
      <c r="AE766" s="8" t="n">
        <f aca="false">MIN(INT(ROUND(N766*1000000,0)/100000),9)</f>
        <v>0</v>
      </c>
      <c r="AF766" s="8" t="n">
        <f aca="false">MIN(INT(ROUND(P766*1000000,0)/100000),9)</f>
        <v>0</v>
      </c>
    </row>
    <row r="767" customFormat="false" ht="15" hidden="false" customHeight="false" outlineLevel="0" collapsed="false">
      <c r="A767" s="4" t="n">
        <v>763</v>
      </c>
      <c r="B767" s="4" t="n">
        <v>148</v>
      </c>
      <c r="C767" s="4" t="n">
        <v>2</v>
      </c>
      <c r="D767" s="11" t="n">
        <v>46113</v>
      </c>
      <c r="E767" s="4" t="s">
        <v>204</v>
      </c>
      <c r="F767" s="4" t="s">
        <v>206</v>
      </c>
      <c r="G767" s="4" t="n">
        <v>3</v>
      </c>
      <c r="H767" s="4" t="n">
        <v>1</v>
      </c>
      <c r="I767" s="4" t="n">
        <v>0</v>
      </c>
      <c r="J767" s="4" t="n">
        <v>117</v>
      </c>
      <c r="K767" s="4" t="n">
        <v>0</v>
      </c>
      <c r="L767" s="12" t="n">
        <v>0.64896</v>
      </c>
      <c r="M767" s="12" t="n">
        <v>0.092063</v>
      </c>
      <c r="N767" s="12" t="n">
        <v>0.127346</v>
      </c>
      <c r="O767" s="12" t="n">
        <v>0.106183</v>
      </c>
      <c r="P767" s="12" t="n">
        <v>0.136198</v>
      </c>
      <c r="Q767" s="0" t="str">
        <f aca="false">IF(L767&gt;=Models!$G$5,1+COUNTIF($L$5:$L$1517,"&gt;"&amp;L767)+COUNTIFS($L$5:$L$1517,L767,$B$5:$B$1517,"&lt;"&amp;B767)+COUNTIFS($L$5:$L$1517,L767,$B$5:$B$1517,B767,$C$5:$C$1517,"&lt;"&amp;C767),"")</f>
        <v/>
      </c>
      <c r="R767" s="0" t="str">
        <f aca="false">IF(M767&gt;=Models!$G$6,1+COUNTIF($M$5:$M$1517,"&gt;"&amp;M767)+COUNTIFS($M$5:$M$1517,M767,$B$5:$B$1517,"&lt;"&amp;B767)+COUNTIFS($M$5:$M$1517,M767,$B$5:$B$1517,B767,$C$5:$C$1517,"&lt;"&amp;C767),"")</f>
        <v/>
      </c>
      <c r="S767" s="0" t="str">
        <f aca="false">IF(N767&gt;=Models!$G$7,1+COUNTIF($N$5:$N$1517,"&gt;"&amp;N767)+COUNTIFS($N$5:$N$1517,N767,$B$5:$B$1517,"&lt;"&amp;B767)+COUNTIFS($N$5:$N$1517,N767,$B$5:$B$1517,B767,$C$5:$C$1517,"&lt;"&amp;C767),"")</f>
        <v/>
      </c>
      <c r="T767" s="8" t="n">
        <f aca="false">IF(O767&gt;=Models!$G$8,1+COUNTIF($O$5:$O$1517,"&gt;"&amp;O767)+COUNTIFS($O$5:$O$1517,O767,$B$5:$B$1517,"&lt;"&amp;B767)+COUNTIFS($O$5:$O$1517,O767,$B$5:$B$1517,B767,$C$5:$C$1517,"&lt;"&amp;C767),"")</f>
        <v>105</v>
      </c>
      <c r="U767" s="8" t="n">
        <f aca="false">IF($K767=1,COUNTIFS($L$5:$L$1517,"&gt;="&amp;L767,$K$5:$K$1517,1)/COUNTIF($L$5:$L$1517,"&gt;="&amp;L767),0)</f>
        <v>0</v>
      </c>
      <c r="V767" s="8" t="n">
        <f aca="false">IF($K767=1,COUNTIFS($M$5:$M$1517,"&gt;="&amp;M767,$K$5:$K$1517,1)/COUNTIF($M$5:$M$1517,"&gt;="&amp;M767),0)</f>
        <v>0</v>
      </c>
      <c r="W767" s="8" t="n">
        <f aca="false">IF($K767=1,COUNTIFS($N$5:$N$1517,"&gt;="&amp;N767,$K$5:$K$1517,1)/COUNTIF($N$5:$N$1517,"&gt;="&amp;N767),0)</f>
        <v>0</v>
      </c>
      <c r="X767" s="8" t="n">
        <f aca="false">IF($K767=1,COUNTIFS($O$5:$O$1517,"&gt;="&amp;O767,$K$5:$K$1517,1)/COUNTIF($O$5:$O$1517,"&gt;="&amp;O767),0)</f>
        <v>0</v>
      </c>
      <c r="Y767" s="8" t="n">
        <f aca="false">IF($K767=1,COUNTIFS($P$5:$P$1517,"&gt;="&amp;P767,$K$5:$K$1517,1)/COUNTIF($P$5:$P$1517,"&gt;="&amp;P767),0)</f>
        <v>0</v>
      </c>
      <c r="Z767" s="8" t="n">
        <f aca="false">(L767-$K767)^2</f>
        <v>0.4211490816</v>
      </c>
      <c r="AA767" s="8" t="n">
        <f aca="false">(M767-$K767)^2</f>
        <v>0.008475595969</v>
      </c>
      <c r="AB767" s="8" t="n">
        <f aca="false">(N767-$K767)^2</f>
        <v>0.016217003716</v>
      </c>
      <c r="AC767" s="8" t="n">
        <f aca="false">(O767-$K767)^2</f>
        <v>0.011274829489</v>
      </c>
      <c r="AD767" s="8" t="n">
        <f aca="false">(P767-$K767)^2</f>
        <v>0.018549895204</v>
      </c>
      <c r="AE767" s="8" t="n">
        <f aca="false">MIN(INT(ROUND(N767*1000000,0)/100000),9)</f>
        <v>1</v>
      </c>
      <c r="AF767" s="8" t="n">
        <f aca="false">MIN(INT(ROUND(P767*1000000,0)/100000),9)</f>
        <v>1</v>
      </c>
    </row>
    <row r="768" customFormat="false" ht="15" hidden="false" customHeight="false" outlineLevel="0" collapsed="false">
      <c r="A768" s="4" t="n">
        <v>764</v>
      </c>
      <c r="B768" s="4" t="n">
        <v>159</v>
      </c>
      <c r="C768" s="4" t="n">
        <v>2</v>
      </c>
      <c r="D768" s="11" t="n">
        <v>46113</v>
      </c>
      <c r="E768" s="4" t="s">
        <v>203</v>
      </c>
      <c r="F768" s="4" t="s">
        <v>210</v>
      </c>
      <c r="G768" s="4" t="n">
        <v>7</v>
      </c>
      <c r="H768" s="4" t="n">
        <v>6</v>
      </c>
      <c r="I768" s="4" t="n">
        <v>1</v>
      </c>
      <c r="J768" s="4" t="n">
        <v>1040.4</v>
      </c>
      <c r="K768" s="4" t="n">
        <v>0</v>
      </c>
      <c r="L768" s="12" t="n">
        <v>0.352296</v>
      </c>
      <c r="M768" s="12" t="n">
        <v>0.184211</v>
      </c>
      <c r="N768" s="12" t="n">
        <v>0.154307</v>
      </c>
      <c r="O768" s="12" t="n">
        <v>0.106183</v>
      </c>
      <c r="P768" s="12" t="n">
        <v>0.166147</v>
      </c>
      <c r="Q768" s="0" t="str">
        <f aca="false">IF(L768&gt;=Models!$G$5,1+COUNTIF($L$5:$L$1517,"&gt;"&amp;L768)+COUNTIFS($L$5:$L$1517,L768,$B$5:$B$1517,"&lt;"&amp;B768)+COUNTIFS($L$5:$L$1517,L768,$B$5:$B$1517,B768,$C$5:$C$1517,"&lt;"&amp;C768),"")</f>
        <v/>
      </c>
      <c r="R768" s="8" t="n">
        <f aca="false">IF(M768&gt;=Models!$G$6,1+COUNTIF($M$5:$M$1517,"&gt;"&amp;M768)+COUNTIFS($M$5:$M$1517,M768,$B$5:$B$1517,"&lt;"&amp;B768)+COUNTIFS($M$5:$M$1517,M768,$B$5:$B$1517,B768,$C$5:$C$1517,"&lt;"&amp;C768),"")</f>
        <v>11</v>
      </c>
      <c r="S768" s="0" t="str">
        <f aca="false">IF(N768&gt;=Models!$G$7,1+COUNTIF($N$5:$N$1517,"&gt;"&amp;N768)+COUNTIFS($N$5:$N$1517,N768,$B$5:$B$1517,"&lt;"&amp;B768)+COUNTIFS($N$5:$N$1517,N768,$B$5:$B$1517,B768,$C$5:$C$1517,"&lt;"&amp;C768),"")</f>
        <v/>
      </c>
      <c r="T768" s="8" t="n">
        <f aca="false">IF(O768&gt;=Models!$G$8,1+COUNTIF($O$5:$O$1517,"&gt;"&amp;O768)+COUNTIFS($O$5:$O$1517,O768,$B$5:$B$1517,"&lt;"&amp;B768)+COUNTIFS($O$5:$O$1517,O768,$B$5:$B$1517,B768,$C$5:$C$1517,"&lt;"&amp;C768),"")</f>
        <v>109</v>
      </c>
      <c r="U768" s="8" t="n">
        <f aca="false">IF($K768=1,COUNTIFS($L$5:$L$1517,"&gt;="&amp;L768,$K$5:$K$1517,1)/COUNTIF($L$5:$L$1517,"&gt;="&amp;L768),0)</f>
        <v>0</v>
      </c>
      <c r="V768" s="8" t="n">
        <f aca="false">IF($K768=1,COUNTIFS($M$5:$M$1517,"&gt;="&amp;M768,$K$5:$K$1517,1)/COUNTIF($M$5:$M$1517,"&gt;="&amp;M768),0)</f>
        <v>0</v>
      </c>
      <c r="W768" s="8" t="n">
        <f aca="false">IF($K768=1,COUNTIFS($N$5:$N$1517,"&gt;="&amp;N768,$K$5:$K$1517,1)/COUNTIF($N$5:$N$1517,"&gt;="&amp;N768),0)</f>
        <v>0</v>
      </c>
      <c r="X768" s="8" t="n">
        <f aca="false">IF($K768=1,COUNTIFS($O$5:$O$1517,"&gt;="&amp;O768,$K$5:$K$1517,1)/COUNTIF($O$5:$O$1517,"&gt;="&amp;O768),0)</f>
        <v>0</v>
      </c>
      <c r="Y768" s="8" t="n">
        <f aca="false">IF($K768=1,COUNTIFS($P$5:$P$1517,"&gt;="&amp;P768,$K$5:$K$1517,1)/COUNTIF($P$5:$P$1517,"&gt;="&amp;P768),0)</f>
        <v>0</v>
      </c>
      <c r="Z768" s="8" t="n">
        <f aca="false">(L768-$K768)^2</f>
        <v>0.124112471616</v>
      </c>
      <c r="AA768" s="8" t="n">
        <f aca="false">(M768-$K768)^2</f>
        <v>0.033933692521</v>
      </c>
      <c r="AB768" s="8" t="n">
        <f aca="false">(N768-$K768)^2</f>
        <v>0.023810650249</v>
      </c>
      <c r="AC768" s="8" t="n">
        <f aca="false">(O768-$K768)^2</f>
        <v>0.011274829489</v>
      </c>
      <c r="AD768" s="8" t="n">
        <f aca="false">(P768-$K768)^2</f>
        <v>0.027604825609</v>
      </c>
      <c r="AE768" s="8" t="n">
        <f aca="false">MIN(INT(ROUND(N768*1000000,0)/100000),9)</f>
        <v>1</v>
      </c>
      <c r="AF768" s="8" t="n">
        <f aca="false">MIN(INT(ROUND(P768*1000000,0)/100000),9)</f>
        <v>1</v>
      </c>
    </row>
    <row r="769" customFormat="false" ht="15" hidden="false" customHeight="false" outlineLevel="0" collapsed="false">
      <c r="A769" s="4" t="n">
        <v>765</v>
      </c>
      <c r="B769" s="4" t="n">
        <v>160</v>
      </c>
      <c r="C769" s="4" t="n">
        <v>2</v>
      </c>
      <c r="D769" s="11" t="n">
        <v>46113</v>
      </c>
      <c r="E769" s="4" t="s">
        <v>203</v>
      </c>
      <c r="F769" s="4" t="s">
        <v>206</v>
      </c>
      <c r="G769" s="4" t="n">
        <v>8</v>
      </c>
      <c r="H769" s="4" t="n">
        <v>3</v>
      </c>
      <c r="I769" s="4" t="n">
        <v>0</v>
      </c>
      <c r="J769" s="4"/>
      <c r="K769" s="4" t="n">
        <v>0</v>
      </c>
      <c r="L769" s="12" t="n">
        <v>0.076452</v>
      </c>
      <c r="M769" s="12" t="n">
        <v>0.092063</v>
      </c>
      <c r="N769" s="12" t="n">
        <v>0.042772</v>
      </c>
      <c r="O769" s="12" t="n">
        <v>0.106183</v>
      </c>
      <c r="P769" s="12" t="n">
        <v>0.043644</v>
      </c>
      <c r="Q769" s="0" t="str">
        <f aca="false">IF(L769&gt;=Models!$G$5,1+COUNTIF($L$5:$L$1517,"&gt;"&amp;L769)+COUNTIFS($L$5:$L$1517,L769,$B$5:$B$1517,"&lt;"&amp;B769)+COUNTIFS($L$5:$L$1517,L769,$B$5:$B$1517,B769,$C$5:$C$1517,"&lt;"&amp;C769),"")</f>
        <v/>
      </c>
      <c r="R769" s="0" t="str">
        <f aca="false">IF(M769&gt;=Models!$G$6,1+COUNTIF($M$5:$M$1517,"&gt;"&amp;M769)+COUNTIFS($M$5:$M$1517,M769,$B$5:$B$1517,"&lt;"&amp;B769)+COUNTIFS($M$5:$M$1517,M769,$B$5:$B$1517,B769,$C$5:$C$1517,"&lt;"&amp;C769),"")</f>
        <v/>
      </c>
      <c r="S769" s="0" t="str">
        <f aca="false">IF(N769&gt;=Models!$G$7,1+COUNTIF($N$5:$N$1517,"&gt;"&amp;N769)+COUNTIFS($N$5:$N$1517,N769,$B$5:$B$1517,"&lt;"&amp;B769)+COUNTIFS($N$5:$N$1517,N769,$B$5:$B$1517,B769,$C$5:$C$1517,"&lt;"&amp;C769),"")</f>
        <v/>
      </c>
      <c r="T769" s="8" t="n">
        <f aca="false">IF(O769&gt;=Models!$G$8,1+COUNTIF($O$5:$O$1517,"&gt;"&amp;O769)+COUNTIFS($O$5:$O$1517,O769,$B$5:$B$1517,"&lt;"&amp;B769)+COUNTIFS($O$5:$O$1517,O769,$B$5:$B$1517,B769,$C$5:$C$1517,"&lt;"&amp;C769),"")</f>
        <v>113</v>
      </c>
      <c r="U769" s="8" t="n">
        <f aca="false">IF($K769=1,COUNTIFS($L$5:$L$1517,"&gt;="&amp;L769,$K$5:$K$1517,1)/COUNTIF($L$5:$L$1517,"&gt;="&amp;L769),0)</f>
        <v>0</v>
      </c>
      <c r="V769" s="8" t="n">
        <f aca="false">IF($K769=1,COUNTIFS($M$5:$M$1517,"&gt;="&amp;M769,$K$5:$K$1517,1)/COUNTIF($M$5:$M$1517,"&gt;="&amp;M769),0)</f>
        <v>0</v>
      </c>
      <c r="W769" s="8" t="n">
        <f aca="false">IF($K769=1,COUNTIFS($N$5:$N$1517,"&gt;="&amp;N769,$K$5:$K$1517,1)/COUNTIF($N$5:$N$1517,"&gt;="&amp;N769),0)</f>
        <v>0</v>
      </c>
      <c r="X769" s="8" t="n">
        <f aca="false">IF($K769=1,COUNTIFS($O$5:$O$1517,"&gt;="&amp;O769,$K$5:$K$1517,1)/COUNTIF($O$5:$O$1517,"&gt;="&amp;O769),0)</f>
        <v>0</v>
      </c>
      <c r="Y769" s="8" t="n">
        <f aca="false">IF($K769=1,COUNTIFS($P$5:$P$1517,"&gt;="&amp;P769,$K$5:$K$1517,1)/COUNTIF($P$5:$P$1517,"&gt;="&amp;P769),0)</f>
        <v>0</v>
      </c>
      <c r="Z769" s="8" t="n">
        <f aca="false">(L769-$K769)^2</f>
        <v>0.005844908304</v>
      </c>
      <c r="AA769" s="8" t="n">
        <f aca="false">(M769-$K769)^2</f>
        <v>0.008475595969</v>
      </c>
      <c r="AB769" s="8" t="n">
        <f aca="false">(N769-$K769)^2</f>
        <v>0.001829443984</v>
      </c>
      <c r="AC769" s="8" t="n">
        <f aca="false">(O769-$K769)^2</f>
        <v>0.011274829489</v>
      </c>
      <c r="AD769" s="8" t="n">
        <f aca="false">(P769-$K769)^2</f>
        <v>0.001904798736</v>
      </c>
      <c r="AE769" s="8" t="n">
        <f aca="false">MIN(INT(ROUND(N769*1000000,0)/100000),9)</f>
        <v>0</v>
      </c>
      <c r="AF769" s="8" t="n">
        <f aca="false">MIN(INT(ROUND(P769*1000000,0)/100000),9)</f>
        <v>0</v>
      </c>
    </row>
    <row r="770" customFormat="false" ht="15" hidden="false" customHeight="false" outlineLevel="0" collapsed="false">
      <c r="A770" s="4" t="n">
        <v>766</v>
      </c>
      <c r="B770" s="4" t="n">
        <v>167</v>
      </c>
      <c r="C770" s="4" t="n">
        <v>2</v>
      </c>
      <c r="D770" s="11" t="n">
        <v>46113</v>
      </c>
      <c r="E770" s="4" t="s">
        <v>204</v>
      </c>
      <c r="F770" s="4" t="s">
        <v>209</v>
      </c>
      <c r="G770" s="4" t="n">
        <v>2</v>
      </c>
      <c r="H770" s="4" t="n">
        <v>20</v>
      </c>
      <c r="I770" s="4" t="n">
        <v>0</v>
      </c>
      <c r="J770" s="4"/>
      <c r="K770" s="4" t="n">
        <v>0</v>
      </c>
      <c r="L770" s="12" t="n">
        <v>0.384106</v>
      </c>
      <c r="M770" s="12" t="n">
        <v>0.092063</v>
      </c>
      <c r="N770" s="12" t="n">
        <v>0.080995</v>
      </c>
      <c r="O770" s="12" t="n">
        <v>0.106183</v>
      </c>
      <c r="P770" s="12" t="n">
        <v>0.085061</v>
      </c>
      <c r="Q770" s="0" t="str">
        <f aca="false">IF(L770&gt;=Models!$G$5,1+COUNTIF($L$5:$L$1517,"&gt;"&amp;L770)+COUNTIFS($L$5:$L$1517,L770,$B$5:$B$1517,"&lt;"&amp;B770)+COUNTIFS($L$5:$L$1517,L770,$B$5:$B$1517,B770,$C$5:$C$1517,"&lt;"&amp;C770),"")</f>
        <v/>
      </c>
      <c r="R770" s="0" t="str">
        <f aca="false">IF(M770&gt;=Models!$G$6,1+COUNTIF($M$5:$M$1517,"&gt;"&amp;M770)+COUNTIFS($M$5:$M$1517,M770,$B$5:$B$1517,"&lt;"&amp;B770)+COUNTIFS($M$5:$M$1517,M770,$B$5:$B$1517,B770,$C$5:$C$1517,"&lt;"&amp;C770),"")</f>
        <v/>
      </c>
      <c r="S770" s="0" t="str">
        <f aca="false">IF(N770&gt;=Models!$G$7,1+COUNTIF($N$5:$N$1517,"&gt;"&amp;N770)+COUNTIFS($N$5:$N$1517,N770,$B$5:$B$1517,"&lt;"&amp;B770)+COUNTIFS($N$5:$N$1517,N770,$B$5:$B$1517,B770,$C$5:$C$1517,"&lt;"&amp;C770),"")</f>
        <v/>
      </c>
      <c r="T770" s="8" t="n">
        <f aca="false">IF(O770&gt;=Models!$G$8,1+COUNTIF($O$5:$O$1517,"&gt;"&amp;O770)+COUNTIFS($O$5:$O$1517,O770,$B$5:$B$1517,"&lt;"&amp;B770)+COUNTIFS($O$5:$O$1517,O770,$B$5:$B$1517,B770,$C$5:$C$1517,"&lt;"&amp;C770),"")</f>
        <v>117</v>
      </c>
      <c r="U770" s="8" t="n">
        <f aca="false">IF($K770=1,COUNTIFS($L$5:$L$1517,"&gt;="&amp;L770,$K$5:$K$1517,1)/COUNTIF($L$5:$L$1517,"&gt;="&amp;L770),0)</f>
        <v>0</v>
      </c>
      <c r="V770" s="8" t="n">
        <f aca="false">IF($K770=1,COUNTIFS($M$5:$M$1517,"&gt;="&amp;M770,$K$5:$K$1517,1)/COUNTIF($M$5:$M$1517,"&gt;="&amp;M770),0)</f>
        <v>0</v>
      </c>
      <c r="W770" s="8" t="n">
        <f aca="false">IF($K770=1,COUNTIFS($N$5:$N$1517,"&gt;="&amp;N770,$K$5:$K$1517,1)/COUNTIF($N$5:$N$1517,"&gt;="&amp;N770),0)</f>
        <v>0</v>
      </c>
      <c r="X770" s="8" t="n">
        <f aca="false">IF($K770=1,COUNTIFS($O$5:$O$1517,"&gt;="&amp;O770,$K$5:$K$1517,1)/COUNTIF($O$5:$O$1517,"&gt;="&amp;O770),0)</f>
        <v>0</v>
      </c>
      <c r="Y770" s="8" t="n">
        <f aca="false">IF($K770=1,COUNTIFS($P$5:$P$1517,"&gt;="&amp;P770,$K$5:$K$1517,1)/COUNTIF($P$5:$P$1517,"&gt;="&amp;P770),0)</f>
        <v>0</v>
      </c>
      <c r="Z770" s="8" t="n">
        <f aca="false">(L770-$K770)^2</f>
        <v>0.147537419236</v>
      </c>
      <c r="AA770" s="8" t="n">
        <f aca="false">(M770-$K770)^2</f>
        <v>0.008475595969</v>
      </c>
      <c r="AB770" s="8" t="n">
        <f aca="false">(N770-$K770)^2</f>
        <v>0.006560190025</v>
      </c>
      <c r="AC770" s="8" t="n">
        <f aca="false">(O770-$K770)^2</f>
        <v>0.011274829489</v>
      </c>
      <c r="AD770" s="8" t="n">
        <f aca="false">(P770-$K770)^2</f>
        <v>0.007235373721</v>
      </c>
      <c r="AE770" s="8" t="n">
        <f aca="false">MIN(INT(ROUND(N770*1000000,0)/100000),9)</f>
        <v>0</v>
      </c>
      <c r="AF770" s="8" t="n">
        <f aca="false">MIN(INT(ROUND(P770*1000000,0)/100000),9)</f>
        <v>0</v>
      </c>
    </row>
    <row r="771" customFormat="false" ht="15" hidden="false" customHeight="false" outlineLevel="0" collapsed="false">
      <c r="A771" s="4" t="n">
        <v>767</v>
      </c>
      <c r="B771" s="4" t="n">
        <v>171</v>
      </c>
      <c r="C771" s="4" t="n">
        <v>2</v>
      </c>
      <c r="D771" s="11" t="n">
        <v>46113</v>
      </c>
      <c r="E771" s="4" t="s">
        <v>204</v>
      </c>
      <c r="F771" s="4" t="s">
        <v>209</v>
      </c>
      <c r="G771" s="4" t="n">
        <v>5</v>
      </c>
      <c r="H771" s="4" t="n">
        <v>11</v>
      </c>
      <c r="I771" s="4" t="n">
        <v>0</v>
      </c>
      <c r="J771" s="4" t="n">
        <v>76</v>
      </c>
      <c r="K771" s="4" t="n">
        <v>0</v>
      </c>
      <c r="L771" s="12" t="n">
        <v>0.988381</v>
      </c>
      <c r="M771" s="12" t="n">
        <v>0.092063</v>
      </c>
      <c r="N771" s="12" t="n">
        <v>0.117088</v>
      </c>
      <c r="O771" s="12" t="n">
        <v>0.106183</v>
      </c>
      <c r="P771" s="12" t="n">
        <v>0.124832</v>
      </c>
      <c r="Q771" s="8" t="n">
        <f aca="false">IF(L771&gt;=Models!$G$5,1+COUNTIF($L$5:$L$1517,"&gt;"&amp;L771)+COUNTIFS($L$5:$L$1517,L771,$B$5:$B$1517,"&lt;"&amp;B771)+COUNTIFS($L$5:$L$1517,L771,$B$5:$B$1517,B771,$C$5:$C$1517,"&lt;"&amp;C771),"")</f>
        <v>16</v>
      </c>
      <c r="R771" s="0" t="str">
        <f aca="false">IF(M771&gt;=Models!$G$6,1+COUNTIF($M$5:$M$1517,"&gt;"&amp;M771)+COUNTIFS($M$5:$M$1517,M771,$B$5:$B$1517,"&lt;"&amp;B771)+COUNTIFS($M$5:$M$1517,M771,$B$5:$B$1517,B771,$C$5:$C$1517,"&lt;"&amp;C771),"")</f>
        <v/>
      </c>
      <c r="S771" s="0" t="str">
        <f aca="false">IF(N771&gt;=Models!$G$7,1+COUNTIF($N$5:$N$1517,"&gt;"&amp;N771)+COUNTIFS($N$5:$N$1517,N771,$B$5:$B$1517,"&lt;"&amp;B771)+COUNTIFS($N$5:$N$1517,N771,$B$5:$B$1517,B771,$C$5:$C$1517,"&lt;"&amp;C771),"")</f>
        <v/>
      </c>
      <c r="T771" s="8" t="n">
        <f aca="false">IF(O771&gt;=Models!$G$8,1+COUNTIF($O$5:$O$1517,"&gt;"&amp;O771)+COUNTIFS($O$5:$O$1517,O771,$B$5:$B$1517,"&lt;"&amp;B771)+COUNTIFS($O$5:$O$1517,O771,$B$5:$B$1517,B771,$C$5:$C$1517,"&lt;"&amp;C771),"")</f>
        <v>121</v>
      </c>
      <c r="U771" s="8" t="n">
        <f aca="false">IF($K771=1,COUNTIFS($L$5:$L$1517,"&gt;="&amp;L771,$K$5:$K$1517,1)/COUNTIF($L$5:$L$1517,"&gt;="&amp;L771),0)</f>
        <v>0</v>
      </c>
      <c r="V771" s="8" t="n">
        <f aca="false">IF($K771=1,COUNTIFS($M$5:$M$1517,"&gt;="&amp;M771,$K$5:$K$1517,1)/COUNTIF($M$5:$M$1517,"&gt;="&amp;M771),0)</f>
        <v>0</v>
      </c>
      <c r="W771" s="8" t="n">
        <f aca="false">IF($K771=1,COUNTIFS($N$5:$N$1517,"&gt;="&amp;N771,$K$5:$K$1517,1)/COUNTIF($N$5:$N$1517,"&gt;="&amp;N771),0)</f>
        <v>0</v>
      </c>
      <c r="X771" s="8" t="n">
        <f aca="false">IF($K771=1,COUNTIFS($O$5:$O$1517,"&gt;="&amp;O771,$K$5:$K$1517,1)/COUNTIF($O$5:$O$1517,"&gt;="&amp;O771),0)</f>
        <v>0</v>
      </c>
      <c r="Y771" s="8" t="n">
        <f aca="false">IF($K771=1,COUNTIFS($P$5:$P$1517,"&gt;="&amp;P771,$K$5:$K$1517,1)/COUNTIF($P$5:$P$1517,"&gt;="&amp;P771),0)</f>
        <v>0</v>
      </c>
      <c r="Z771" s="8" t="n">
        <f aca="false">(L771-$K771)^2</f>
        <v>0.976897001161</v>
      </c>
      <c r="AA771" s="8" t="n">
        <f aca="false">(M771-$K771)^2</f>
        <v>0.008475595969</v>
      </c>
      <c r="AB771" s="8" t="n">
        <f aca="false">(N771-$K771)^2</f>
        <v>0.013709599744</v>
      </c>
      <c r="AC771" s="8" t="n">
        <f aca="false">(O771-$K771)^2</f>
        <v>0.011274829489</v>
      </c>
      <c r="AD771" s="8" t="n">
        <f aca="false">(P771-$K771)^2</f>
        <v>0.015583028224</v>
      </c>
      <c r="AE771" s="8" t="n">
        <f aca="false">MIN(INT(ROUND(N771*1000000,0)/100000),9)</f>
        <v>1</v>
      </c>
      <c r="AF771" s="8" t="n">
        <f aca="false">MIN(INT(ROUND(P771*1000000,0)/100000),9)</f>
        <v>1</v>
      </c>
    </row>
    <row r="772" customFormat="false" ht="15" hidden="false" customHeight="false" outlineLevel="0" collapsed="false">
      <c r="A772" s="4" t="n">
        <v>768</v>
      </c>
      <c r="B772" s="4" t="n">
        <v>176</v>
      </c>
      <c r="C772" s="4" t="n">
        <v>2</v>
      </c>
      <c r="D772" s="11" t="n">
        <v>46113</v>
      </c>
      <c r="E772" s="4" t="s">
        <v>201</v>
      </c>
      <c r="F772" s="4" t="s">
        <v>206</v>
      </c>
      <c r="G772" s="4" t="n">
        <v>14</v>
      </c>
      <c r="H772" s="4" t="n">
        <v>3</v>
      </c>
      <c r="I772" s="4" t="n">
        <v>1</v>
      </c>
      <c r="J772" s="4"/>
      <c r="K772" s="4" t="n">
        <v>0</v>
      </c>
      <c r="L772" s="12" t="n">
        <v>0.333425</v>
      </c>
      <c r="M772" s="12" t="n">
        <v>0.184211</v>
      </c>
      <c r="N772" s="12" t="n">
        <v>0.045128</v>
      </c>
      <c r="O772" s="12" t="n">
        <v>0.106183</v>
      </c>
      <c r="P772" s="12" t="n">
        <v>0.046163</v>
      </c>
      <c r="Q772" s="0" t="str">
        <f aca="false">IF(L772&gt;=Models!$G$5,1+COUNTIF($L$5:$L$1517,"&gt;"&amp;L772)+COUNTIFS($L$5:$L$1517,L772,$B$5:$B$1517,"&lt;"&amp;B772)+COUNTIFS($L$5:$L$1517,L772,$B$5:$B$1517,B772,$C$5:$C$1517,"&lt;"&amp;C772),"")</f>
        <v/>
      </c>
      <c r="R772" s="8" t="n">
        <f aca="false">IF(M772&gt;=Models!$G$6,1+COUNTIF($M$5:$M$1517,"&gt;"&amp;M772)+COUNTIFS($M$5:$M$1517,M772,$B$5:$B$1517,"&lt;"&amp;B772)+COUNTIFS($M$5:$M$1517,M772,$B$5:$B$1517,B772,$C$5:$C$1517,"&lt;"&amp;C772),"")</f>
        <v>16</v>
      </c>
      <c r="S772" s="0" t="str">
        <f aca="false">IF(N772&gt;=Models!$G$7,1+COUNTIF($N$5:$N$1517,"&gt;"&amp;N772)+COUNTIFS($N$5:$N$1517,N772,$B$5:$B$1517,"&lt;"&amp;B772)+COUNTIFS($N$5:$N$1517,N772,$B$5:$B$1517,B772,$C$5:$C$1517,"&lt;"&amp;C772),"")</f>
        <v/>
      </c>
      <c r="T772" s="8" t="n">
        <f aca="false">IF(O772&gt;=Models!$G$8,1+COUNTIF($O$5:$O$1517,"&gt;"&amp;O772)+COUNTIFS($O$5:$O$1517,O772,$B$5:$B$1517,"&lt;"&amp;B772)+COUNTIFS($O$5:$O$1517,O772,$B$5:$B$1517,B772,$C$5:$C$1517,"&lt;"&amp;C772),"")</f>
        <v>125</v>
      </c>
      <c r="U772" s="8" t="n">
        <f aca="false">IF($K772=1,COUNTIFS($L$5:$L$1517,"&gt;="&amp;L772,$K$5:$K$1517,1)/COUNTIF($L$5:$L$1517,"&gt;="&amp;L772),0)</f>
        <v>0</v>
      </c>
      <c r="V772" s="8" t="n">
        <f aca="false">IF($K772=1,COUNTIFS($M$5:$M$1517,"&gt;="&amp;M772,$K$5:$K$1517,1)/COUNTIF($M$5:$M$1517,"&gt;="&amp;M772),0)</f>
        <v>0</v>
      </c>
      <c r="W772" s="8" t="n">
        <f aca="false">IF($K772=1,COUNTIFS($N$5:$N$1517,"&gt;="&amp;N772,$K$5:$K$1517,1)/COUNTIF($N$5:$N$1517,"&gt;="&amp;N772),0)</f>
        <v>0</v>
      </c>
      <c r="X772" s="8" t="n">
        <f aca="false">IF($K772=1,COUNTIFS($O$5:$O$1517,"&gt;="&amp;O772,$K$5:$K$1517,1)/COUNTIF($O$5:$O$1517,"&gt;="&amp;O772),0)</f>
        <v>0</v>
      </c>
      <c r="Y772" s="8" t="n">
        <f aca="false">IF($K772=1,COUNTIFS($P$5:$P$1517,"&gt;="&amp;P772,$K$5:$K$1517,1)/COUNTIF($P$5:$P$1517,"&gt;="&amp;P772),0)</f>
        <v>0</v>
      </c>
      <c r="Z772" s="8" t="n">
        <f aca="false">(L772-$K772)^2</f>
        <v>0.111172230625</v>
      </c>
      <c r="AA772" s="8" t="n">
        <f aca="false">(M772-$K772)^2</f>
        <v>0.033933692521</v>
      </c>
      <c r="AB772" s="8" t="n">
        <f aca="false">(N772-$K772)^2</f>
        <v>0.002036536384</v>
      </c>
      <c r="AC772" s="8" t="n">
        <f aca="false">(O772-$K772)^2</f>
        <v>0.011274829489</v>
      </c>
      <c r="AD772" s="8" t="n">
        <f aca="false">(P772-$K772)^2</f>
        <v>0.002131022569</v>
      </c>
      <c r="AE772" s="8" t="n">
        <f aca="false">MIN(INT(ROUND(N772*1000000,0)/100000),9)</f>
        <v>0</v>
      </c>
      <c r="AF772" s="8" t="n">
        <f aca="false">MIN(INT(ROUND(P772*1000000,0)/100000),9)</f>
        <v>0</v>
      </c>
    </row>
    <row r="773" customFormat="false" ht="15" hidden="false" customHeight="false" outlineLevel="0" collapsed="false">
      <c r="A773" s="4" t="n">
        <v>769</v>
      </c>
      <c r="B773" s="4" t="n">
        <v>177</v>
      </c>
      <c r="C773" s="4" t="n">
        <v>2</v>
      </c>
      <c r="D773" s="11" t="n">
        <v>46113</v>
      </c>
      <c r="E773" s="4" t="s">
        <v>203</v>
      </c>
      <c r="F773" s="4" t="s">
        <v>209</v>
      </c>
      <c r="G773" s="4" t="n">
        <v>3</v>
      </c>
      <c r="H773" s="4" t="n">
        <v>1</v>
      </c>
      <c r="I773" s="4" t="n">
        <v>0</v>
      </c>
      <c r="J773" s="4" t="n">
        <v>390</v>
      </c>
      <c r="K773" s="4" t="n">
        <v>0</v>
      </c>
      <c r="L773" s="12" t="n">
        <v>0.746839</v>
      </c>
      <c r="M773" s="12" t="n">
        <v>0.092063</v>
      </c>
      <c r="N773" s="12" t="n">
        <v>0.125594</v>
      </c>
      <c r="O773" s="12" t="n">
        <v>0.106183</v>
      </c>
      <c r="P773" s="12" t="n">
        <v>0.134256</v>
      </c>
      <c r="Q773" s="0" t="str">
        <f aca="false">IF(L773&gt;=Models!$G$5,1+COUNTIF($L$5:$L$1517,"&gt;"&amp;L773)+COUNTIFS($L$5:$L$1517,L773,$B$5:$B$1517,"&lt;"&amp;B773)+COUNTIFS($L$5:$L$1517,L773,$B$5:$B$1517,B773,$C$5:$C$1517,"&lt;"&amp;C773),"")</f>
        <v/>
      </c>
      <c r="R773" s="0" t="str">
        <f aca="false">IF(M773&gt;=Models!$G$6,1+COUNTIF($M$5:$M$1517,"&gt;"&amp;M773)+COUNTIFS($M$5:$M$1517,M773,$B$5:$B$1517,"&lt;"&amp;B773)+COUNTIFS($M$5:$M$1517,M773,$B$5:$B$1517,B773,$C$5:$C$1517,"&lt;"&amp;C773),"")</f>
        <v/>
      </c>
      <c r="S773" s="0" t="str">
        <f aca="false">IF(N773&gt;=Models!$G$7,1+COUNTIF($N$5:$N$1517,"&gt;"&amp;N773)+COUNTIFS($N$5:$N$1517,N773,$B$5:$B$1517,"&lt;"&amp;B773)+COUNTIFS($N$5:$N$1517,N773,$B$5:$B$1517,B773,$C$5:$C$1517,"&lt;"&amp;C773),"")</f>
        <v/>
      </c>
      <c r="T773" s="8" t="n">
        <f aca="false">IF(O773&gt;=Models!$G$8,1+COUNTIF($O$5:$O$1517,"&gt;"&amp;O773)+COUNTIFS($O$5:$O$1517,O773,$B$5:$B$1517,"&lt;"&amp;B773)+COUNTIFS($O$5:$O$1517,O773,$B$5:$B$1517,B773,$C$5:$C$1517,"&lt;"&amp;C773),"")</f>
        <v>129</v>
      </c>
      <c r="U773" s="8" t="n">
        <f aca="false">IF($K773=1,COUNTIFS($L$5:$L$1517,"&gt;="&amp;L773,$K$5:$K$1517,1)/COUNTIF($L$5:$L$1517,"&gt;="&amp;L773),0)</f>
        <v>0</v>
      </c>
      <c r="V773" s="8" t="n">
        <f aca="false">IF($K773=1,COUNTIFS($M$5:$M$1517,"&gt;="&amp;M773,$K$5:$K$1517,1)/COUNTIF($M$5:$M$1517,"&gt;="&amp;M773),0)</f>
        <v>0</v>
      </c>
      <c r="W773" s="8" t="n">
        <f aca="false">IF($K773=1,COUNTIFS($N$5:$N$1517,"&gt;="&amp;N773,$K$5:$K$1517,1)/COUNTIF($N$5:$N$1517,"&gt;="&amp;N773),0)</f>
        <v>0</v>
      </c>
      <c r="X773" s="8" t="n">
        <f aca="false">IF($K773=1,COUNTIFS($O$5:$O$1517,"&gt;="&amp;O773,$K$5:$K$1517,1)/COUNTIF($O$5:$O$1517,"&gt;="&amp;O773),0)</f>
        <v>0</v>
      </c>
      <c r="Y773" s="8" t="n">
        <f aca="false">IF($K773=1,COUNTIFS($P$5:$P$1517,"&gt;="&amp;P773,$K$5:$K$1517,1)/COUNTIF($P$5:$P$1517,"&gt;="&amp;P773),0)</f>
        <v>0</v>
      </c>
      <c r="Z773" s="8" t="n">
        <f aca="false">(L773-$K773)^2</f>
        <v>0.557768491921</v>
      </c>
      <c r="AA773" s="8" t="n">
        <f aca="false">(M773-$K773)^2</f>
        <v>0.008475595969</v>
      </c>
      <c r="AB773" s="8" t="n">
        <f aca="false">(N773-$K773)^2</f>
        <v>0.015773852836</v>
      </c>
      <c r="AC773" s="8" t="n">
        <f aca="false">(O773-$K773)^2</f>
        <v>0.011274829489</v>
      </c>
      <c r="AD773" s="8" t="n">
        <f aca="false">(P773-$K773)^2</f>
        <v>0.018024673536</v>
      </c>
      <c r="AE773" s="8" t="n">
        <f aca="false">MIN(INT(ROUND(N773*1000000,0)/100000),9)</f>
        <v>1</v>
      </c>
      <c r="AF773" s="8" t="n">
        <f aca="false">MIN(INT(ROUND(P773*1000000,0)/100000),9)</f>
        <v>1</v>
      </c>
    </row>
    <row r="774" customFormat="false" ht="15" hidden="false" customHeight="false" outlineLevel="0" collapsed="false">
      <c r="A774" s="4" t="n">
        <v>770</v>
      </c>
      <c r="B774" s="4" t="n">
        <v>183</v>
      </c>
      <c r="C774" s="4" t="n">
        <v>2</v>
      </c>
      <c r="D774" s="11" t="n">
        <v>46113</v>
      </c>
      <c r="E774" s="4" t="s">
        <v>203</v>
      </c>
      <c r="F774" s="4" t="s">
        <v>206</v>
      </c>
      <c r="G774" s="4" t="n">
        <v>12</v>
      </c>
      <c r="H774" s="4" t="n">
        <v>0</v>
      </c>
      <c r="I774" s="4" t="n">
        <v>0</v>
      </c>
      <c r="J774" s="4" t="n">
        <v>339</v>
      </c>
      <c r="K774" s="4" t="n">
        <v>0</v>
      </c>
      <c r="L774" s="12" t="n">
        <v>0.675022</v>
      </c>
      <c r="M774" s="12" t="n">
        <v>0.092063</v>
      </c>
      <c r="N774" s="12" t="n">
        <v>0.059768</v>
      </c>
      <c r="O774" s="12" t="n">
        <v>0.106183</v>
      </c>
      <c r="P774" s="12" t="n">
        <v>0.061932</v>
      </c>
      <c r="Q774" s="0" t="str">
        <f aca="false">IF(L774&gt;=Models!$G$5,1+COUNTIF($L$5:$L$1517,"&gt;"&amp;L774)+COUNTIFS($L$5:$L$1517,L774,$B$5:$B$1517,"&lt;"&amp;B774)+COUNTIFS($L$5:$L$1517,L774,$B$5:$B$1517,B774,$C$5:$C$1517,"&lt;"&amp;C774),"")</f>
        <v/>
      </c>
      <c r="R774" s="0" t="str">
        <f aca="false">IF(M774&gt;=Models!$G$6,1+COUNTIF($M$5:$M$1517,"&gt;"&amp;M774)+COUNTIFS($M$5:$M$1517,M774,$B$5:$B$1517,"&lt;"&amp;B774)+COUNTIFS($M$5:$M$1517,M774,$B$5:$B$1517,B774,$C$5:$C$1517,"&lt;"&amp;C774),"")</f>
        <v/>
      </c>
      <c r="S774" s="0" t="str">
        <f aca="false">IF(N774&gt;=Models!$G$7,1+COUNTIF($N$5:$N$1517,"&gt;"&amp;N774)+COUNTIFS($N$5:$N$1517,N774,$B$5:$B$1517,"&lt;"&amp;B774)+COUNTIFS($N$5:$N$1517,N774,$B$5:$B$1517,B774,$C$5:$C$1517,"&lt;"&amp;C774),"")</f>
        <v/>
      </c>
      <c r="T774" s="8" t="n">
        <f aca="false">IF(O774&gt;=Models!$G$8,1+COUNTIF($O$5:$O$1517,"&gt;"&amp;O774)+COUNTIFS($O$5:$O$1517,O774,$B$5:$B$1517,"&lt;"&amp;B774)+COUNTIFS($O$5:$O$1517,O774,$B$5:$B$1517,B774,$C$5:$C$1517,"&lt;"&amp;C774),"")</f>
        <v>133</v>
      </c>
      <c r="U774" s="8" t="n">
        <f aca="false">IF($K774=1,COUNTIFS($L$5:$L$1517,"&gt;="&amp;L774,$K$5:$K$1517,1)/COUNTIF($L$5:$L$1517,"&gt;="&amp;L774),0)</f>
        <v>0</v>
      </c>
      <c r="V774" s="8" t="n">
        <f aca="false">IF($K774=1,COUNTIFS($M$5:$M$1517,"&gt;="&amp;M774,$K$5:$K$1517,1)/COUNTIF($M$5:$M$1517,"&gt;="&amp;M774),0)</f>
        <v>0</v>
      </c>
      <c r="W774" s="8" t="n">
        <f aca="false">IF($K774=1,COUNTIFS($N$5:$N$1517,"&gt;="&amp;N774,$K$5:$K$1517,1)/COUNTIF($N$5:$N$1517,"&gt;="&amp;N774),0)</f>
        <v>0</v>
      </c>
      <c r="X774" s="8" t="n">
        <f aca="false">IF($K774=1,COUNTIFS($O$5:$O$1517,"&gt;="&amp;O774,$K$5:$K$1517,1)/COUNTIF($O$5:$O$1517,"&gt;="&amp;O774),0)</f>
        <v>0</v>
      </c>
      <c r="Y774" s="8" t="n">
        <f aca="false">IF($K774=1,COUNTIFS($P$5:$P$1517,"&gt;="&amp;P774,$K$5:$K$1517,1)/COUNTIF($P$5:$P$1517,"&gt;="&amp;P774),0)</f>
        <v>0</v>
      </c>
      <c r="Z774" s="8" t="n">
        <f aca="false">(L774-$K774)^2</f>
        <v>0.455654700484</v>
      </c>
      <c r="AA774" s="8" t="n">
        <f aca="false">(M774-$K774)^2</f>
        <v>0.008475595969</v>
      </c>
      <c r="AB774" s="8" t="n">
        <f aca="false">(N774-$K774)^2</f>
        <v>0.003572213824</v>
      </c>
      <c r="AC774" s="8" t="n">
        <f aca="false">(O774-$K774)^2</f>
        <v>0.011274829489</v>
      </c>
      <c r="AD774" s="8" t="n">
        <f aca="false">(P774-$K774)^2</f>
        <v>0.003835572624</v>
      </c>
      <c r="AE774" s="8" t="n">
        <f aca="false">MIN(INT(ROUND(N774*1000000,0)/100000),9)</f>
        <v>0</v>
      </c>
      <c r="AF774" s="8" t="n">
        <f aca="false">MIN(INT(ROUND(P774*1000000,0)/100000),9)</f>
        <v>0</v>
      </c>
    </row>
    <row r="775" customFormat="false" ht="15" hidden="false" customHeight="false" outlineLevel="0" collapsed="false">
      <c r="A775" s="4" t="n">
        <v>771</v>
      </c>
      <c r="B775" s="4" t="n">
        <v>184</v>
      </c>
      <c r="C775" s="4" t="n">
        <v>2</v>
      </c>
      <c r="D775" s="11" t="n">
        <v>46113</v>
      </c>
      <c r="E775" s="4" t="s">
        <v>204</v>
      </c>
      <c r="F775" s="4" t="s">
        <v>206</v>
      </c>
      <c r="G775" s="4" t="n">
        <v>1</v>
      </c>
      <c r="H775" s="4" t="n">
        <v>4</v>
      </c>
      <c r="I775" s="4" t="n">
        <v>0</v>
      </c>
      <c r="J775" s="4" t="n">
        <v>102</v>
      </c>
      <c r="K775" s="4" t="n">
        <v>0</v>
      </c>
      <c r="L775" s="12" t="n">
        <v>0.558047</v>
      </c>
      <c r="M775" s="12" t="n">
        <v>0.092063</v>
      </c>
      <c r="N775" s="12" t="n">
        <v>0.151974</v>
      </c>
      <c r="O775" s="12" t="n">
        <v>0.106183</v>
      </c>
      <c r="P775" s="12" t="n">
        <v>0.163553</v>
      </c>
      <c r="Q775" s="0" t="str">
        <f aca="false">IF(L775&gt;=Models!$G$5,1+COUNTIF($L$5:$L$1517,"&gt;"&amp;L775)+COUNTIFS($L$5:$L$1517,L775,$B$5:$B$1517,"&lt;"&amp;B775)+COUNTIFS($L$5:$L$1517,L775,$B$5:$B$1517,B775,$C$5:$C$1517,"&lt;"&amp;C775),"")</f>
        <v/>
      </c>
      <c r="R775" s="0" t="str">
        <f aca="false">IF(M775&gt;=Models!$G$6,1+COUNTIF($M$5:$M$1517,"&gt;"&amp;M775)+COUNTIFS($M$5:$M$1517,M775,$B$5:$B$1517,"&lt;"&amp;B775)+COUNTIFS($M$5:$M$1517,M775,$B$5:$B$1517,B775,$C$5:$C$1517,"&lt;"&amp;C775),"")</f>
        <v/>
      </c>
      <c r="S775" s="0" t="str">
        <f aca="false">IF(N775&gt;=Models!$G$7,1+COUNTIF($N$5:$N$1517,"&gt;"&amp;N775)+COUNTIFS($N$5:$N$1517,N775,$B$5:$B$1517,"&lt;"&amp;B775)+COUNTIFS($N$5:$N$1517,N775,$B$5:$B$1517,B775,$C$5:$C$1517,"&lt;"&amp;C775),"")</f>
        <v/>
      </c>
      <c r="T775" s="8" t="n">
        <f aca="false">IF(O775&gt;=Models!$G$8,1+COUNTIF($O$5:$O$1517,"&gt;"&amp;O775)+COUNTIFS($O$5:$O$1517,O775,$B$5:$B$1517,"&lt;"&amp;B775)+COUNTIFS($O$5:$O$1517,O775,$B$5:$B$1517,B775,$C$5:$C$1517,"&lt;"&amp;C775),"")</f>
        <v>137</v>
      </c>
      <c r="U775" s="8" t="n">
        <f aca="false">IF($K775=1,COUNTIFS($L$5:$L$1517,"&gt;="&amp;L775,$K$5:$K$1517,1)/COUNTIF($L$5:$L$1517,"&gt;="&amp;L775),0)</f>
        <v>0</v>
      </c>
      <c r="V775" s="8" t="n">
        <f aca="false">IF($K775=1,COUNTIFS($M$5:$M$1517,"&gt;="&amp;M775,$K$5:$K$1517,1)/COUNTIF($M$5:$M$1517,"&gt;="&amp;M775),0)</f>
        <v>0</v>
      </c>
      <c r="W775" s="8" t="n">
        <f aca="false">IF($K775=1,COUNTIFS($N$5:$N$1517,"&gt;="&amp;N775,$K$5:$K$1517,1)/COUNTIF($N$5:$N$1517,"&gt;="&amp;N775),0)</f>
        <v>0</v>
      </c>
      <c r="X775" s="8" t="n">
        <f aca="false">IF($K775=1,COUNTIFS($O$5:$O$1517,"&gt;="&amp;O775,$K$5:$K$1517,1)/COUNTIF($O$5:$O$1517,"&gt;="&amp;O775),0)</f>
        <v>0</v>
      </c>
      <c r="Y775" s="8" t="n">
        <f aca="false">IF($K775=1,COUNTIFS($P$5:$P$1517,"&gt;="&amp;P775,$K$5:$K$1517,1)/COUNTIF($P$5:$P$1517,"&gt;="&amp;P775),0)</f>
        <v>0</v>
      </c>
      <c r="Z775" s="8" t="n">
        <f aca="false">(L775-$K775)^2</f>
        <v>0.311416454209</v>
      </c>
      <c r="AA775" s="8" t="n">
        <f aca="false">(M775-$K775)^2</f>
        <v>0.008475595969</v>
      </c>
      <c r="AB775" s="8" t="n">
        <f aca="false">(N775-$K775)^2</f>
        <v>0.023096096676</v>
      </c>
      <c r="AC775" s="8" t="n">
        <f aca="false">(O775-$K775)^2</f>
        <v>0.011274829489</v>
      </c>
      <c r="AD775" s="8" t="n">
        <f aca="false">(P775-$K775)^2</f>
        <v>0.026749583809</v>
      </c>
      <c r="AE775" s="8" t="n">
        <f aca="false">MIN(INT(ROUND(N775*1000000,0)/100000),9)</f>
        <v>1</v>
      </c>
      <c r="AF775" s="8" t="n">
        <f aca="false">MIN(INT(ROUND(P775*1000000,0)/100000),9)</f>
        <v>1</v>
      </c>
    </row>
    <row r="776" customFormat="false" ht="15" hidden="false" customHeight="false" outlineLevel="0" collapsed="false">
      <c r="A776" s="4" t="n">
        <v>772</v>
      </c>
      <c r="B776" s="4" t="n">
        <v>204</v>
      </c>
      <c r="C776" s="4" t="n">
        <v>2</v>
      </c>
      <c r="D776" s="11" t="n">
        <v>46113</v>
      </c>
      <c r="E776" s="4" t="s">
        <v>203</v>
      </c>
      <c r="F776" s="4" t="s">
        <v>210</v>
      </c>
      <c r="G776" s="4" t="n">
        <v>5</v>
      </c>
      <c r="H776" s="4" t="n">
        <v>0</v>
      </c>
      <c r="I776" s="4" t="n">
        <v>0</v>
      </c>
      <c r="J776" s="4"/>
      <c r="K776" s="4" t="n">
        <v>0</v>
      </c>
      <c r="L776" s="12" t="n">
        <v>0.422877</v>
      </c>
      <c r="M776" s="12" t="n">
        <v>0.092063</v>
      </c>
      <c r="N776" s="12" t="n">
        <v>0.054025</v>
      </c>
      <c r="O776" s="12" t="n">
        <v>0.106183</v>
      </c>
      <c r="P776" s="12" t="n">
        <v>0.055724</v>
      </c>
      <c r="Q776" s="0" t="str">
        <f aca="false">IF(L776&gt;=Models!$G$5,1+COUNTIF($L$5:$L$1517,"&gt;"&amp;L776)+COUNTIFS($L$5:$L$1517,L776,$B$5:$B$1517,"&lt;"&amp;B776)+COUNTIFS($L$5:$L$1517,L776,$B$5:$B$1517,B776,$C$5:$C$1517,"&lt;"&amp;C776),"")</f>
        <v/>
      </c>
      <c r="R776" s="0" t="str">
        <f aca="false">IF(M776&gt;=Models!$G$6,1+COUNTIF($M$5:$M$1517,"&gt;"&amp;M776)+COUNTIFS($M$5:$M$1517,M776,$B$5:$B$1517,"&lt;"&amp;B776)+COUNTIFS($M$5:$M$1517,M776,$B$5:$B$1517,B776,$C$5:$C$1517,"&lt;"&amp;C776),"")</f>
        <v/>
      </c>
      <c r="S776" s="0" t="str">
        <f aca="false">IF(N776&gt;=Models!$G$7,1+COUNTIF($N$5:$N$1517,"&gt;"&amp;N776)+COUNTIFS($N$5:$N$1517,N776,$B$5:$B$1517,"&lt;"&amp;B776)+COUNTIFS($N$5:$N$1517,N776,$B$5:$B$1517,B776,$C$5:$C$1517,"&lt;"&amp;C776),"")</f>
        <v/>
      </c>
      <c r="T776" s="8" t="n">
        <f aca="false">IF(O776&gt;=Models!$G$8,1+COUNTIF($O$5:$O$1517,"&gt;"&amp;O776)+COUNTIFS($O$5:$O$1517,O776,$B$5:$B$1517,"&lt;"&amp;B776)+COUNTIFS($O$5:$O$1517,O776,$B$5:$B$1517,B776,$C$5:$C$1517,"&lt;"&amp;C776),"")</f>
        <v>141</v>
      </c>
      <c r="U776" s="8" t="n">
        <f aca="false">IF($K776=1,COUNTIFS($L$5:$L$1517,"&gt;="&amp;L776,$K$5:$K$1517,1)/COUNTIF($L$5:$L$1517,"&gt;="&amp;L776),0)</f>
        <v>0</v>
      </c>
      <c r="V776" s="8" t="n">
        <f aca="false">IF($K776=1,COUNTIFS($M$5:$M$1517,"&gt;="&amp;M776,$K$5:$K$1517,1)/COUNTIF($M$5:$M$1517,"&gt;="&amp;M776),0)</f>
        <v>0</v>
      </c>
      <c r="W776" s="8" t="n">
        <f aca="false">IF($K776=1,COUNTIFS($N$5:$N$1517,"&gt;="&amp;N776,$K$5:$K$1517,1)/COUNTIF($N$5:$N$1517,"&gt;="&amp;N776),0)</f>
        <v>0</v>
      </c>
      <c r="X776" s="8" t="n">
        <f aca="false">IF($K776=1,COUNTIFS($O$5:$O$1517,"&gt;="&amp;O776,$K$5:$K$1517,1)/COUNTIF($O$5:$O$1517,"&gt;="&amp;O776),0)</f>
        <v>0</v>
      </c>
      <c r="Y776" s="8" t="n">
        <f aca="false">IF($K776=1,COUNTIFS($P$5:$P$1517,"&gt;="&amp;P776,$K$5:$K$1517,1)/COUNTIF($P$5:$P$1517,"&gt;="&amp;P776),0)</f>
        <v>0</v>
      </c>
      <c r="Z776" s="8" t="n">
        <f aca="false">(L776-$K776)^2</f>
        <v>0.178824957129</v>
      </c>
      <c r="AA776" s="8" t="n">
        <f aca="false">(M776-$K776)^2</f>
        <v>0.008475595969</v>
      </c>
      <c r="AB776" s="8" t="n">
        <f aca="false">(N776-$K776)^2</f>
        <v>0.002918700625</v>
      </c>
      <c r="AC776" s="8" t="n">
        <f aca="false">(O776-$K776)^2</f>
        <v>0.011274829489</v>
      </c>
      <c r="AD776" s="8" t="n">
        <f aca="false">(P776-$K776)^2</f>
        <v>0.003105164176</v>
      </c>
      <c r="AE776" s="8" t="n">
        <f aca="false">MIN(INT(ROUND(N776*1000000,0)/100000),9)</f>
        <v>0</v>
      </c>
      <c r="AF776" s="8" t="n">
        <f aca="false">MIN(INT(ROUND(P776*1000000,0)/100000),9)</f>
        <v>0</v>
      </c>
    </row>
    <row r="777" customFormat="false" ht="15" hidden="false" customHeight="false" outlineLevel="0" collapsed="false">
      <c r="A777" s="4" t="n">
        <v>773</v>
      </c>
      <c r="B777" s="4" t="n">
        <v>220</v>
      </c>
      <c r="C777" s="4" t="n">
        <v>2</v>
      </c>
      <c r="D777" s="11" t="n">
        <v>46113</v>
      </c>
      <c r="E777" s="4" t="s">
        <v>203</v>
      </c>
      <c r="F777" s="4" t="s">
        <v>206</v>
      </c>
      <c r="G777" s="4" t="n">
        <v>4</v>
      </c>
      <c r="H777" s="4" t="n">
        <v>8</v>
      </c>
      <c r="I777" s="4" t="n">
        <v>0</v>
      </c>
      <c r="J777" s="4"/>
      <c r="K777" s="4" t="n">
        <v>0</v>
      </c>
      <c r="L777" s="12" t="n">
        <v>0.394047</v>
      </c>
      <c r="M777" s="12" t="n">
        <v>0.092063</v>
      </c>
      <c r="N777" s="12" t="n">
        <v>0.062549</v>
      </c>
      <c r="O777" s="12" t="n">
        <v>0.106183</v>
      </c>
      <c r="P777" s="12" t="n">
        <v>0.064946</v>
      </c>
      <c r="Q777" s="0" t="str">
        <f aca="false">IF(L777&gt;=Models!$G$5,1+COUNTIF($L$5:$L$1517,"&gt;"&amp;L777)+COUNTIFS($L$5:$L$1517,L777,$B$5:$B$1517,"&lt;"&amp;B777)+COUNTIFS($L$5:$L$1517,L777,$B$5:$B$1517,B777,$C$5:$C$1517,"&lt;"&amp;C777),"")</f>
        <v/>
      </c>
      <c r="R777" s="0" t="str">
        <f aca="false">IF(M777&gt;=Models!$G$6,1+COUNTIF($M$5:$M$1517,"&gt;"&amp;M777)+COUNTIFS($M$5:$M$1517,M777,$B$5:$B$1517,"&lt;"&amp;B777)+COUNTIFS($M$5:$M$1517,M777,$B$5:$B$1517,B777,$C$5:$C$1517,"&lt;"&amp;C777),"")</f>
        <v/>
      </c>
      <c r="S777" s="0" t="str">
        <f aca="false">IF(N777&gt;=Models!$G$7,1+COUNTIF($N$5:$N$1517,"&gt;"&amp;N777)+COUNTIFS($N$5:$N$1517,N777,$B$5:$B$1517,"&lt;"&amp;B777)+COUNTIFS($N$5:$N$1517,N777,$B$5:$B$1517,B777,$C$5:$C$1517,"&lt;"&amp;C777),"")</f>
        <v/>
      </c>
      <c r="T777" s="8" t="n">
        <f aca="false">IF(O777&gt;=Models!$G$8,1+COUNTIF($O$5:$O$1517,"&gt;"&amp;O777)+COUNTIFS($O$5:$O$1517,O777,$B$5:$B$1517,"&lt;"&amp;B777)+COUNTIFS($O$5:$O$1517,O777,$B$5:$B$1517,B777,$C$5:$C$1517,"&lt;"&amp;C777),"")</f>
        <v>145</v>
      </c>
      <c r="U777" s="8" t="n">
        <f aca="false">IF($K777=1,COUNTIFS($L$5:$L$1517,"&gt;="&amp;L777,$K$5:$K$1517,1)/COUNTIF($L$5:$L$1517,"&gt;="&amp;L777),0)</f>
        <v>0</v>
      </c>
      <c r="V777" s="8" t="n">
        <f aca="false">IF($K777=1,COUNTIFS($M$5:$M$1517,"&gt;="&amp;M777,$K$5:$K$1517,1)/COUNTIF($M$5:$M$1517,"&gt;="&amp;M777),0)</f>
        <v>0</v>
      </c>
      <c r="W777" s="8" t="n">
        <f aca="false">IF($K777=1,COUNTIFS($N$5:$N$1517,"&gt;="&amp;N777,$K$5:$K$1517,1)/COUNTIF($N$5:$N$1517,"&gt;="&amp;N777),0)</f>
        <v>0</v>
      </c>
      <c r="X777" s="8" t="n">
        <f aca="false">IF($K777=1,COUNTIFS($O$5:$O$1517,"&gt;="&amp;O777,$K$5:$K$1517,1)/COUNTIF($O$5:$O$1517,"&gt;="&amp;O777),0)</f>
        <v>0</v>
      </c>
      <c r="Y777" s="8" t="n">
        <f aca="false">IF($K777=1,COUNTIFS($P$5:$P$1517,"&gt;="&amp;P777,$K$5:$K$1517,1)/COUNTIF($P$5:$P$1517,"&gt;="&amp;P777),0)</f>
        <v>0</v>
      </c>
      <c r="Z777" s="8" t="n">
        <f aca="false">(L777-$K777)^2</f>
        <v>0.155273038209</v>
      </c>
      <c r="AA777" s="8" t="n">
        <f aca="false">(M777-$K777)^2</f>
        <v>0.008475595969</v>
      </c>
      <c r="AB777" s="8" t="n">
        <f aca="false">(N777-$K777)^2</f>
        <v>0.003912377401</v>
      </c>
      <c r="AC777" s="8" t="n">
        <f aca="false">(O777-$K777)^2</f>
        <v>0.011274829489</v>
      </c>
      <c r="AD777" s="8" t="n">
        <f aca="false">(P777-$K777)^2</f>
        <v>0.004217982916</v>
      </c>
      <c r="AE777" s="8" t="n">
        <f aca="false">MIN(INT(ROUND(N777*1000000,0)/100000),9)</f>
        <v>0</v>
      </c>
      <c r="AF777" s="8" t="n">
        <f aca="false">MIN(INT(ROUND(P777*1000000,0)/100000),9)</f>
        <v>0</v>
      </c>
    </row>
    <row r="778" customFormat="false" ht="15" hidden="false" customHeight="false" outlineLevel="0" collapsed="false">
      <c r="A778" s="4" t="n">
        <v>774</v>
      </c>
      <c r="B778" s="4" t="n">
        <v>228</v>
      </c>
      <c r="C778" s="4" t="n">
        <v>2</v>
      </c>
      <c r="D778" s="11" t="n">
        <v>46113</v>
      </c>
      <c r="E778" s="4" t="s">
        <v>204</v>
      </c>
      <c r="F778" s="4" t="s">
        <v>206</v>
      </c>
      <c r="G778" s="4" t="n">
        <v>2</v>
      </c>
      <c r="H778" s="4" t="n">
        <v>2</v>
      </c>
      <c r="I778" s="4" t="n">
        <v>0</v>
      </c>
      <c r="J778" s="4"/>
      <c r="K778" s="4" t="n">
        <v>0</v>
      </c>
      <c r="L778" s="12" t="n">
        <v>0.44584</v>
      </c>
      <c r="M778" s="12" t="n">
        <v>0.092063</v>
      </c>
      <c r="N778" s="12" t="n">
        <v>0.070672</v>
      </c>
      <c r="O778" s="12" t="n">
        <v>0.106183</v>
      </c>
      <c r="P778" s="12" t="n">
        <v>0.07378</v>
      </c>
      <c r="Q778" s="0" t="str">
        <f aca="false">IF(L778&gt;=Models!$G$5,1+COUNTIF($L$5:$L$1517,"&gt;"&amp;L778)+COUNTIFS($L$5:$L$1517,L778,$B$5:$B$1517,"&lt;"&amp;B778)+COUNTIFS($L$5:$L$1517,L778,$B$5:$B$1517,B778,$C$5:$C$1517,"&lt;"&amp;C778),"")</f>
        <v/>
      </c>
      <c r="R778" s="0" t="str">
        <f aca="false">IF(M778&gt;=Models!$G$6,1+COUNTIF($M$5:$M$1517,"&gt;"&amp;M778)+COUNTIFS($M$5:$M$1517,M778,$B$5:$B$1517,"&lt;"&amp;B778)+COUNTIFS($M$5:$M$1517,M778,$B$5:$B$1517,B778,$C$5:$C$1517,"&lt;"&amp;C778),"")</f>
        <v/>
      </c>
      <c r="S778" s="0" t="str">
        <f aca="false">IF(N778&gt;=Models!$G$7,1+COUNTIF($N$5:$N$1517,"&gt;"&amp;N778)+COUNTIFS($N$5:$N$1517,N778,$B$5:$B$1517,"&lt;"&amp;B778)+COUNTIFS($N$5:$N$1517,N778,$B$5:$B$1517,B778,$C$5:$C$1517,"&lt;"&amp;C778),"")</f>
        <v/>
      </c>
      <c r="T778" s="8" t="n">
        <f aca="false">IF(O778&gt;=Models!$G$8,1+COUNTIF($O$5:$O$1517,"&gt;"&amp;O778)+COUNTIFS($O$5:$O$1517,O778,$B$5:$B$1517,"&lt;"&amp;B778)+COUNTIFS($O$5:$O$1517,O778,$B$5:$B$1517,B778,$C$5:$C$1517,"&lt;"&amp;C778),"")</f>
        <v>149</v>
      </c>
      <c r="U778" s="8" t="n">
        <f aca="false">IF($K778=1,COUNTIFS($L$5:$L$1517,"&gt;="&amp;L778,$K$5:$K$1517,1)/COUNTIF($L$5:$L$1517,"&gt;="&amp;L778),0)</f>
        <v>0</v>
      </c>
      <c r="V778" s="8" t="n">
        <f aca="false">IF($K778=1,COUNTIFS($M$5:$M$1517,"&gt;="&amp;M778,$K$5:$K$1517,1)/COUNTIF($M$5:$M$1517,"&gt;="&amp;M778),0)</f>
        <v>0</v>
      </c>
      <c r="W778" s="8" t="n">
        <f aca="false">IF($K778=1,COUNTIFS($N$5:$N$1517,"&gt;="&amp;N778,$K$5:$K$1517,1)/COUNTIF($N$5:$N$1517,"&gt;="&amp;N778),0)</f>
        <v>0</v>
      </c>
      <c r="X778" s="8" t="n">
        <f aca="false">IF($K778=1,COUNTIFS($O$5:$O$1517,"&gt;="&amp;O778,$K$5:$K$1517,1)/COUNTIF($O$5:$O$1517,"&gt;="&amp;O778),0)</f>
        <v>0</v>
      </c>
      <c r="Y778" s="8" t="n">
        <f aca="false">IF($K778=1,COUNTIFS($P$5:$P$1517,"&gt;="&amp;P778,$K$5:$K$1517,1)/COUNTIF($P$5:$P$1517,"&gt;="&amp;P778),0)</f>
        <v>0</v>
      </c>
      <c r="Z778" s="8" t="n">
        <f aca="false">(L778-$K778)^2</f>
        <v>0.1987733056</v>
      </c>
      <c r="AA778" s="8" t="n">
        <f aca="false">(M778-$K778)^2</f>
        <v>0.008475595969</v>
      </c>
      <c r="AB778" s="8" t="n">
        <f aca="false">(N778-$K778)^2</f>
        <v>0.004994531584</v>
      </c>
      <c r="AC778" s="8" t="n">
        <f aca="false">(O778-$K778)^2</f>
        <v>0.011274829489</v>
      </c>
      <c r="AD778" s="8" t="n">
        <f aca="false">(P778-$K778)^2</f>
        <v>0.0054434884</v>
      </c>
      <c r="AE778" s="8" t="n">
        <f aca="false">MIN(INT(ROUND(N778*1000000,0)/100000),9)</f>
        <v>0</v>
      </c>
      <c r="AF778" s="8" t="n">
        <f aca="false">MIN(INT(ROUND(P778*1000000,0)/100000),9)</f>
        <v>0</v>
      </c>
    </row>
    <row r="779" customFormat="false" ht="15" hidden="false" customHeight="false" outlineLevel="0" collapsed="false">
      <c r="A779" s="4" t="n">
        <v>775</v>
      </c>
      <c r="B779" s="4" t="n">
        <v>229</v>
      </c>
      <c r="C779" s="4" t="n">
        <v>2</v>
      </c>
      <c r="D779" s="11" t="n">
        <v>46113</v>
      </c>
      <c r="E779" s="4" t="s">
        <v>204</v>
      </c>
      <c r="F779" s="4" t="s">
        <v>206</v>
      </c>
      <c r="G779" s="4" t="n">
        <v>7</v>
      </c>
      <c r="H779" s="4" t="n">
        <v>3</v>
      </c>
      <c r="I779" s="4" t="n">
        <v>0</v>
      </c>
      <c r="J779" s="4"/>
      <c r="K779" s="4" t="n">
        <v>0</v>
      </c>
      <c r="L779" s="12" t="n">
        <v>0.467035</v>
      </c>
      <c r="M779" s="12" t="n">
        <v>0.092063</v>
      </c>
      <c r="N779" s="12" t="n">
        <v>0.046611</v>
      </c>
      <c r="O779" s="12" t="n">
        <v>0.106183</v>
      </c>
      <c r="P779" s="12" t="n">
        <v>0.047752</v>
      </c>
      <c r="Q779" s="0" t="str">
        <f aca="false">IF(L779&gt;=Models!$G$5,1+COUNTIF($L$5:$L$1517,"&gt;"&amp;L779)+COUNTIFS($L$5:$L$1517,L779,$B$5:$B$1517,"&lt;"&amp;B779)+COUNTIFS($L$5:$L$1517,L779,$B$5:$B$1517,B779,$C$5:$C$1517,"&lt;"&amp;C779),"")</f>
        <v/>
      </c>
      <c r="R779" s="0" t="str">
        <f aca="false">IF(M779&gt;=Models!$G$6,1+COUNTIF($M$5:$M$1517,"&gt;"&amp;M779)+COUNTIFS($M$5:$M$1517,M779,$B$5:$B$1517,"&lt;"&amp;B779)+COUNTIFS($M$5:$M$1517,M779,$B$5:$B$1517,B779,$C$5:$C$1517,"&lt;"&amp;C779),"")</f>
        <v/>
      </c>
      <c r="S779" s="0" t="str">
        <f aca="false">IF(N779&gt;=Models!$G$7,1+COUNTIF($N$5:$N$1517,"&gt;"&amp;N779)+COUNTIFS($N$5:$N$1517,N779,$B$5:$B$1517,"&lt;"&amp;B779)+COUNTIFS($N$5:$N$1517,N779,$B$5:$B$1517,B779,$C$5:$C$1517,"&lt;"&amp;C779),"")</f>
        <v/>
      </c>
      <c r="T779" s="8" t="n">
        <f aca="false">IF(O779&gt;=Models!$G$8,1+COUNTIF($O$5:$O$1517,"&gt;"&amp;O779)+COUNTIFS($O$5:$O$1517,O779,$B$5:$B$1517,"&lt;"&amp;B779)+COUNTIFS($O$5:$O$1517,O779,$B$5:$B$1517,B779,$C$5:$C$1517,"&lt;"&amp;C779),"")</f>
        <v>153</v>
      </c>
      <c r="U779" s="8" t="n">
        <f aca="false">IF($K779=1,COUNTIFS($L$5:$L$1517,"&gt;="&amp;L779,$K$5:$K$1517,1)/COUNTIF($L$5:$L$1517,"&gt;="&amp;L779),0)</f>
        <v>0</v>
      </c>
      <c r="V779" s="8" t="n">
        <f aca="false">IF($K779=1,COUNTIFS($M$5:$M$1517,"&gt;="&amp;M779,$K$5:$K$1517,1)/COUNTIF($M$5:$M$1517,"&gt;="&amp;M779),0)</f>
        <v>0</v>
      </c>
      <c r="W779" s="8" t="n">
        <f aca="false">IF($K779=1,COUNTIFS($N$5:$N$1517,"&gt;="&amp;N779,$K$5:$K$1517,1)/COUNTIF($N$5:$N$1517,"&gt;="&amp;N779),0)</f>
        <v>0</v>
      </c>
      <c r="X779" s="8" t="n">
        <f aca="false">IF($K779=1,COUNTIFS($O$5:$O$1517,"&gt;="&amp;O779,$K$5:$K$1517,1)/COUNTIF($O$5:$O$1517,"&gt;="&amp;O779),0)</f>
        <v>0</v>
      </c>
      <c r="Y779" s="8" t="n">
        <f aca="false">IF($K779=1,COUNTIFS($P$5:$P$1517,"&gt;="&amp;P779,$K$5:$K$1517,1)/COUNTIF($P$5:$P$1517,"&gt;="&amp;P779),0)</f>
        <v>0</v>
      </c>
      <c r="Z779" s="8" t="n">
        <f aca="false">(L779-$K779)^2</f>
        <v>0.218121691225</v>
      </c>
      <c r="AA779" s="8" t="n">
        <f aca="false">(M779-$K779)^2</f>
        <v>0.008475595969</v>
      </c>
      <c r="AB779" s="8" t="n">
        <f aca="false">(N779-$K779)^2</f>
        <v>0.002172585321</v>
      </c>
      <c r="AC779" s="8" t="n">
        <f aca="false">(O779-$K779)^2</f>
        <v>0.011274829489</v>
      </c>
      <c r="AD779" s="8" t="n">
        <f aca="false">(P779-$K779)^2</f>
        <v>0.002280253504</v>
      </c>
      <c r="AE779" s="8" t="n">
        <f aca="false">MIN(INT(ROUND(N779*1000000,0)/100000),9)</f>
        <v>0</v>
      </c>
      <c r="AF779" s="8" t="n">
        <f aca="false">MIN(INT(ROUND(P779*1000000,0)/100000),9)</f>
        <v>0</v>
      </c>
    </row>
    <row r="780" customFormat="false" ht="15" hidden="false" customHeight="false" outlineLevel="0" collapsed="false">
      <c r="A780" s="4" t="n">
        <v>776</v>
      </c>
      <c r="B780" s="4" t="n">
        <v>231</v>
      </c>
      <c r="C780" s="4" t="n">
        <v>2</v>
      </c>
      <c r="D780" s="11" t="n">
        <v>46113</v>
      </c>
      <c r="E780" s="4" t="s">
        <v>204</v>
      </c>
      <c r="F780" s="4" t="s">
        <v>209</v>
      </c>
      <c r="G780" s="4" t="n">
        <v>3</v>
      </c>
      <c r="H780" s="4" t="n">
        <v>19</v>
      </c>
      <c r="I780" s="4" t="n">
        <v>0</v>
      </c>
      <c r="J780" s="4" t="n">
        <v>68</v>
      </c>
      <c r="K780" s="4" t="n">
        <v>1</v>
      </c>
      <c r="L780" s="12" t="n">
        <v>0.30571</v>
      </c>
      <c r="M780" s="12" t="n">
        <v>0.092063</v>
      </c>
      <c r="N780" s="12" t="n">
        <v>0.14501</v>
      </c>
      <c r="O780" s="12" t="n">
        <v>0.106183</v>
      </c>
      <c r="P780" s="12" t="n">
        <v>0.155811</v>
      </c>
      <c r="Q780" s="0" t="str">
        <f aca="false">IF(L780&gt;=Models!$G$5,1+COUNTIF($L$5:$L$1517,"&gt;"&amp;L780)+COUNTIFS($L$5:$L$1517,L780,$B$5:$B$1517,"&lt;"&amp;B780)+COUNTIFS($L$5:$L$1517,L780,$B$5:$B$1517,B780,$C$5:$C$1517,"&lt;"&amp;C780),"")</f>
        <v/>
      </c>
      <c r="R780" s="0" t="str">
        <f aca="false">IF(M780&gt;=Models!$G$6,1+COUNTIF($M$5:$M$1517,"&gt;"&amp;M780)+COUNTIFS($M$5:$M$1517,M780,$B$5:$B$1517,"&lt;"&amp;B780)+COUNTIFS($M$5:$M$1517,M780,$B$5:$B$1517,B780,$C$5:$C$1517,"&lt;"&amp;C780),"")</f>
        <v/>
      </c>
      <c r="S780" s="0" t="str">
        <f aca="false">IF(N780&gt;=Models!$G$7,1+COUNTIF($N$5:$N$1517,"&gt;"&amp;N780)+COUNTIFS($N$5:$N$1517,N780,$B$5:$B$1517,"&lt;"&amp;B780)+COUNTIFS($N$5:$N$1517,N780,$B$5:$B$1517,B780,$C$5:$C$1517,"&lt;"&amp;C780),"")</f>
        <v/>
      </c>
      <c r="T780" s="8" t="n">
        <f aca="false">IF(O780&gt;=Models!$G$8,1+COUNTIF($O$5:$O$1517,"&gt;"&amp;O780)+COUNTIFS($O$5:$O$1517,O780,$B$5:$B$1517,"&lt;"&amp;B780)+COUNTIFS($O$5:$O$1517,O780,$B$5:$B$1517,B780,$C$5:$C$1517,"&lt;"&amp;C780),"")</f>
        <v>157</v>
      </c>
      <c r="U780" s="8" t="n">
        <f aca="false">IF($K780=1,COUNTIFS($L$5:$L$1517,"&gt;="&amp;L780,$K$5:$K$1517,1)/COUNTIF($L$5:$L$1517,"&gt;="&amp;L780),0)</f>
        <v>0.128279883381924</v>
      </c>
      <c r="V780" s="8" t="n">
        <f aca="false">IF($K780=1,COUNTIFS($M$5:$M$1517,"&gt;="&amp;M780,$K$5:$K$1517,1)/COUNTIF($M$5:$M$1517,"&gt;="&amp;M780),0)</f>
        <v>0.12491738268341</v>
      </c>
      <c r="W780" s="8" t="n">
        <f aca="false">IF($K780=1,COUNTIFS($N$5:$N$1517,"&gt;="&amp;N780,$K$5:$K$1517,1)/COUNTIF($N$5:$N$1517,"&gt;="&amp;N780),0)</f>
        <v>0.301255230125523</v>
      </c>
      <c r="X780" s="8" t="n">
        <f aca="false">IF($K780=1,COUNTIFS($O$5:$O$1517,"&gt;="&amp;O780,$K$5:$K$1517,1)/COUNTIF($O$5:$O$1517,"&gt;="&amp;O780),0)</f>
        <v>0.12491738268341</v>
      </c>
      <c r="Y780" s="8" t="n">
        <f aca="false">IF($K780=1,COUNTIFS($P$5:$P$1517,"&gt;="&amp;P780,$K$5:$K$1517,1)/COUNTIF($P$5:$P$1517,"&gt;="&amp;P780),0)</f>
        <v>0.301255230125523</v>
      </c>
      <c r="Z780" s="8" t="n">
        <f aca="false">(L780-$K780)^2</f>
        <v>0.4820386041</v>
      </c>
      <c r="AA780" s="8" t="n">
        <f aca="false">(M780-$K780)^2</f>
        <v>0.824349595969</v>
      </c>
      <c r="AB780" s="8" t="n">
        <f aca="false">(N780-$K780)^2</f>
        <v>0.7310079001</v>
      </c>
      <c r="AC780" s="8" t="n">
        <f aca="false">(O780-$K780)^2</f>
        <v>0.798908829489</v>
      </c>
      <c r="AD780" s="8" t="n">
        <f aca="false">(P780-$K780)^2</f>
        <v>0.712655067721</v>
      </c>
      <c r="AE780" s="8" t="n">
        <f aca="false">MIN(INT(ROUND(N780*1000000,0)/100000),9)</f>
        <v>1</v>
      </c>
      <c r="AF780" s="8" t="n">
        <f aca="false">MIN(INT(ROUND(P780*1000000,0)/100000),9)</f>
        <v>1</v>
      </c>
    </row>
    <row r="781" customFormat="false" ht="15" hidden="false" customHeight="false" outlineLevel="0" collapsed="false">
      <c r="A781" s="4" t="n">
        <v>777</v>
      </c>
      <c r="B781" s="4" t="n">
        <v>232</v>
      </c>
      <c r="C781" s="4" t="n">
        <v>2</v>
      </c>
      <c r="D781" s="11" t="n">
        <v>46113</v>
      </c>
      <c r="E781" s="4" t="s">
        <v>202</v>
      </c>
      <c r="F781" s="4" t="s">
        <v>206</v>
      </c>
      <c r="G781" s="4" t="n">
        <v>3</v>
      </c>
      <c r="H781" s="4" t="n">
        <v>19</v>
      </c>
      <c r="I781" s="4" t="n">
        <v>0</v>
      </c>
      <c r="J781" s="4"/>
      <c r="K781" s="4" t="n">
        <v>0</v>
      </c>
      <c r="L781" s="12" t="n">
        <v>0.14438</v>
      </c>
      <c r="M781" s="12" t="n">
        <v>0.092063</v>
      </c>
      <c r="N781" s="12" t="n">
        <v>0.073981</v>
      </c>
      <c r="O781" s="12" t="n">
        <v>0.106183</v>
      </c>
      <c r="P781" s="12" t="n">
        <v>0.07739</v>
      </c>
      <c r="Q781" s="0" t="str">
        <f aca="false">IF(L781&gt;=Models!$G$5,1+COUNTIF($L$5:$L$1517,"&gt;"&amp;L781)+COUNTIFS($L$5:$L$1517,L781,$B$5:$B$1517,"&lt;"&amp;B781)+COUNTIFS($L$5:$L$1517,L781,$B$5:$B$1517,B781,$C$5:$C$1517,"&lt;"&amp;C781),"")</f>
        <v/>
      </c>
      <c r="R781" s="0" t="str">
        <f aca="false">IF(M781&gt;=Models!$G$6,1+COUNTIF($M$5:$M$1517,"&gt;"&amp;M781)+COUNTIFS($M$5:$M$1517,M781,$B$5:$B$1517,"&lt;"&amp;B781)+COUNTIFS($M$5:$M$1517,M781,$B$5:$B$1517,B781,$C$5:$C$1517,"&lt;"&amp;C781),"")</f>
        <v/>
      </c>
      <c r="S781" s="0" t="str">
        <f aca="false">IF(N781&gt;=Models!$G$7,1+COUNTIF($N$5:$N$1517,"&gt;"&amp;N781)+COUNTIFS($N$5:$N$1517,N781,$B$5:$B$1517,"&lt;"&amp;B781)+COUNTIFS($N$5:$N$1517,N781,$B$5:$B$1517,B781,$C$5:$C$1517,"&lt;"&amp;C781),"")</f>
        <v/>
      </c>
      <c r="T781" s="8" t="n">
        <f aca="false">IF(O781&gt;=Models!$G$8,1+COUNTIF($O$5:$O$1517,"&gt;"&amp;O781)+COUNTIFS($O$5:$O$1517,O781,$B$5:$B$1517,"&lt;"&amp;B781)+COUNTIFS($O$5:$O$1517,O781,$B$5:$B$1517,B781,$C$5:$C$1517,"&lt;"&amp;C781),"")</f>
        <v>160</v>
      </c>
      <c r="U781" s="8" t="n">
        <f aca="false">IF($K781=1,COUNTIFS($L$5:$L$1517,"&gt;="&amp;L781,$K$5:$K$1517,1)/COUNTIF($L$5:$L$1517,"&gt;="&amp;L781),0)</f>
        <v>0</v>
      </c>
      <c r="V781" s="8" t="n">
        <f aca="false">IF($K781=1,COUNTIFS($M$5:$M$1517,"&gt;="&amp;M781,$K$5:$K$1517,1)/COUNTIF($M$5:$M$1517,"&gt;="&amp;M781),0)</f>
        <v>0</v>
      </c>
      <c r="W781" s="8" t="n">
        <f aca="false">IF($K781=1,COUNTIFS($N$5:$N$1517,"&gt;="&amp;N781,$K$5:$K$1517,1)/COUNTIF($N$5:$N$1517,"&gt;="&amp;N781),0)</f>
        <v>0</v>
      </c>
      <c r="X781" s="8" t="n">
        <f aca="false">IF($K781=1,COUNTIFS($O$5:$O$1517,"&gt;="&amp;O781,$K$5:$K$1517,1)/COUNTIF($O$5:$O$1517,"&gt;="&amp;O781),0)</f>
        <v>0</v>
      </c>
      <c r="Y781" s="8" t="n">
        <f aca="false">IF($K781=1,COUNTIFS($P$5:$P$1517,"&gt;="&amp;P781,$K$5:$K$1517,1)/COUNTIF($P$5:$P$1517,"&gt;="&amp;P781),0)</f>
        <v>0</v>
      </c>
      <c r="Z781" s="8" t="n">
        <f aca="false">(L781-$K781)^2</f>
        <v>0.0208455844</v>
      </c>
      <c r="AA781" s="8" t="n">
        <f aca="false">(M781-$K781)^2</f>
        <v>0.008475595969</v>
      </c>
      <c r="AB781" s="8" t="n">
        <f aca="false">(N781-$K781)^2</f>
        <v>0.005473188361</v>
      </c>
      <c r="AC781" s="8" t="n">
        <f aca="false">(O781-$K781)^2</f>
        <v>0.011274829489</v>
      </c>
      <c r="AD781" s="8" t="n">
        <f aca="false">(P781-$K781)^2</f>
        <v>0.0059892121</v>
      </c>
      <c r="AE781" s="8" t="n">
        <f aca="false">MIN(INT(ROUND(N781*1000000,0)/100000),9)</f>
        <v>0</v>
      </c>
      <c r="AF781" s="8" t="n">
        <f aca="false">MIN(INT(ROUND(P781*1000000,0)/100000),9)</f>
        <v>0</v>
      </c>
    </row>
    <row r="782" customFormat="false" ht="15" hidden="false" customHeight="false" outlineLevel="0" collapsed="false">
      <c r="A782" s="4" t="n">
        <v>778</v>
      </c>
      <c r="B782" s="4" t="n">
        <v>236</v>
      </c>
      <c r="C782" s="4" t="n">
        <v>2</v>
      </c>
      <c r="D782" s="11" t="n">
        <v>46113</v>
      </c>
      <c r="E782" s="4" t="s">
        <v>201</v>
      </c>
      <c r="F782" s="4" t="s">
        <v>210</v>
      </c>
      <c r="G782" s="4" t="n">
        <v>11</v>
      </c>
      <c r="H782" s="4" t="n">
        <v>3</v>
      </c>
      <c r="I782" s="4" t="n">
        <v>0</v>
      </c>
      <c r="J782" s="4" t="n">
        <v>8850</v>
      </c>
      <c r="K782" s="4" t="n">
        <v>0</v>
      </c>
      <c r="L782" s="12" t="n">
        <v>0.75732</v>
      </c>
      <c r="M782" s="12" t="n">
        <v>0.092063</v>
      </c>
      <c r="N782" s="12" t="n">
        <v>0.041675</v>
      </c>
      <c r="O782" s="12" t="n">
        <v>0.106183</v>
      </c>
      <c r="P782" s="12" t="n">
        <v>0.042473</v>
      </c>
      <c r="Q782" s="0" t="str">
        <f aca="false">IF(L782&gt;=Models!$G$5,1+COUNTIF($L$5:$L$1517,"&gt;"&amp;L782)+COUNTIFS($L$5:$L$1517,L782,$B$5:$B$1517,"&lt;"&amp;B782)+COUNTIFS($L$5:$L$1517,L782,$B$5:$B$1517,B782,$C$5:$C$1517,"&lt;"&amp;C782),"")</f>
        <v/>
      </c>
      <c r="R782" s="0" t="str">
        <f aca="false">IF(M782&gt;=Models!$G$6,1+COUNTIF($M$5:$M$1517,"&gt;"&amp;M782)+COUNTIFS($M$5:$M$1517,M782,$B$5:$B$1517,"&lt;"&amp;B782)+COUNTIFS($M$5:$M$1517,M782,$B$5:$B$1517,B782,$C$5:$C$1517,"&lt;"&amp;C782),"")</f>
        <v/>
      </c>
      <c r="S782" s="0" t="str">
        <f aca="false">IF(N782&gt;=Models!$G$7,1+COUNTIF($N$5:$N$1517,"&gt;"&amp;N782)+COUNTIFS($N$5:$N$1517,N782,$B$5:$B$1517,"&lt;"&amp;B782)+COUNTIFS($N$5:$N$1517,N782,$B$5:$B$1517,B782,$C$5:$C$1517,"&lt;"&amp;C782),"")</f>
        <v/>
      </c>
      <c r="T782" s="8" t="n">
        <f aca="false">IF(O782&gt;=Models!$G$8,1+COUNTIF($O$5:$O$1517,"&gt;"&amp;O782)+COUNTIFS($O$5:$O$1517,O782,$B$5:$B$1517,"&lt;"&amp;B782)+COUNTIFS($O$5:$O$1517,O782,$B$5:$B$1517,B782,$C$5:$C$1517,"&lt;"&amp;C782),"")</f>
        <v>164</v>
      </c>
      <c r="U782" s="8" t="n">
        <f aca="false">IF($K782=1,COUNTIFS($L$5:$L$1517,"&gt;="&amp;L782,$K$5:$K$1517,1)/COUNTIF($L$5:$L$1517,"&gt;="&amp;L782),0)</f>
        <v>0</v>
      </c>
      <c r="V782" s="8" t="n">
        <f aca="false">IF($K782=1,COUNTIFS($M$5:$M$1517,"&gt;="&amp;M782,$K$5:$K$1517,1)/COUNTIF($M$5:$M$1517,"&gt;="&amp;M782),0)</f>
        <v>0</v>
      </c>
      <c r="W782" s="8" t="n">
        <f aca="false">IF($K782=1,COUNTIFS($N$5:$N$1517,"&gt;="&amp;N782,$K$5:$K$1517,1)/COUNTIF($N$5:$N$1517,"&gt;="&amp;N782),0)</f>
        <v>0</v>
      </c>
      <c r="X782" s="8" t="n">
        <f aca="false">IF($K782=1,COUNTIFS($O$5:$O$1517,"&gt;="&amp;O782,$K$5:$K$1517,1)/COUNTIF($O$5:$O$1517,"&gt;="&amp;O782),0)</f>
        <v>0</v>
      </c>
      <c r="Y782" s="8" t="n">
        <f aca="false">IF($K782=1,COUNTIFS($P$5:$P$1517,"&gt;="&amp;P782,$K$5:$K$1517,1)/COUNTIF($P$5:$P$1517,"&gt;="&amp;P782),0)</f>
        <v>0</v>
      </c>
      <c r="Z782" s="8" t="n">
        <f aca="false">(L782-$K782)^2</f>
        <v>0.5735335824</v>
      </c>
      <c r="AA782" s="8" t="n">
        <f aca="false">(M782-$K782)^2</f>
        <v>0.008475595969</v>
      </c>
      <c r="AB782" s="8" t="n">
        <f aca="false">(N782-$K782)^2</f>
        <v>0.001736805625</v>
      </c>
      <c r="AC782" s="8" t="n">
        <f aca="false">(O782-$K782)^2</f>
        <v>0.011274829489</v>
      </c>
      <c r="AD782" s="8" t="n">
        <f aca="false">(P782-$K782)^2</f>
        <v>0.001803955729</v>
      </c>
      <c r="AE782" s="8" t="n">
        <f aca="false">MIN(INT(ROUND(N782*1000000,0)/100000),9)</f>
        <v>0</v>
      </c>
      <c r="AF782" s="8" t="n">
        <f aca="false">MIN(INT(ROUND(P782*1000000,0)/100000),9)</f>
        <v>0</v>
      </c>
    </row>
    <row r="783" customFormat="false" ht="15" hidden="false" customHeight="false" outlineLevel="0" collapsed="false">
      <c r="A783" s="4" t="n">
        <v>779</v>
      </c>
      <c r="B783" s="4" t="n">
        <v>237</v>
      </c>
      <c r="C783" s="4" t="n">
        <v>2</v>
      </c>
      <c r="D783" s="11" t="n">
        <v>46113</v>
      </c>
      <c r="E783" s="4" t="s">
        <v>202</v>
      </c>
      <c r="F783" s="4" t="s">
        <v>206</v>
      </c>
      <c r="G783" s="4" t="n">
        <v>10</v>
      </c>
      <c r="H783" s="4" t="n">
        <v>0</v>
      </c>
      <c r="I783" s="4" t="n">
        <v>0</v>
      </c>
      <c r="J783" s="4"/>
      <c r="K783" s="4" t="n">
        <v>0</v>
      </c>
      <c r="L783" s="12" t="n">
        <v>0.332962</v>
      </c>
      <c r="M783" s="12" t="n">
        <v>0.092063</v>
      </c>
      <c r="N783" s="12" t="n">
        <v>0.035137</v>
      </c>
      <c r="O783" s="12" t="n">
        <v>0.106183</v>
      </c>
      <c r="P783" s="12" t="n">
        <v>0.035524</v>
      </c>
      <c r="Q783" s="0" t="str">
        <f aca="false">IF(L783&gt;=Models!$G$5,1+COUNTIF($L$5:$L$1517,"&gt;"&amp;L783)+COUNTIFS($L$5:$L$1517,L783,$B$5:$B$1517,"&lt;"&amp;B783)+COUNTIFS($L$5:$L$1517,L783,$B$5:$B$1517,B783,$C$5:$C$1517,"&lt;"&amp;C783),"")</f>
        <v/>
      </c>
      <c r="R783" s="0" t="str">
        <f aca="false">IF(M783&gt;=Models!$G$6,1+COUNTIF($M$5:$M$1517,"&gt;"&amp;M783)+COUNTIFS($M$5:$M$1517,M783,$B$5:$B$1517,"&lt;"&amp;B783)+COUNTIFS($M$5:$M$1517,M783,$B$5:$B$1517,B783,$C$5:$C$1517,"&lt;"&amp;C783),"")</f>
        <v/>
      </c>
      <c r="S783" s="0" t="str">
        <f aca="false">IF(N783&gt;=Models!$G$7,1+COUNTIF($N$5:$N$1517,"&gt;"&amp;N783)+COUNTIFS($N$5:$N$1517,N783,$B$5:$B$1517,"&lt;"&amp;B783)+COUNTIFS($N$5:$N$1517,N783,$B$5:$B$1517,B783,$C$5:$C$1517,"&lt;"&amp;C783),"")</f>
        <v/>
      </c>
      <c r="T783" s="8" t="n">
        <f aca="false">IF(O783&gt;=Models!$G$8,1+COUNTIF($O$5:$O$1517,"&gt;"&amp;O783)+COUNTIFS($O$5:$O$1517,O783,$B$5:$B$1517,"&lt;"&amp;B783)+COUNTIFS($O$5:$O$1517,O783,$B$5:$B$1517,B783,$C$5:$C$1517,"&lt;"&amp;C783),"")</f>
        <v>168</v>
      </c>
      <c r="U783" s="8" t="n">
        <f aca="false">IF($K783=1,COUNTIFS($L$5:$L$1517,"&gt;="&amp;L783,$K$5:$K$1517,1)/COUNTIF($L$5:$L$1517,"&gt;="&amp;L783),0)</f>
        <v>0</v>
      </c>
      <c r="V783" s="8" t="n">
        <f aca="false">IF($K783=1,COUNTIFS($M$5:$M$1517,"&gt;="&amp;M783,$K$5:$K$1517,1)/COUNTIF($M$5:$M$1517,"&gt;="&amp;M783),0)</f>
        <v>0</v>
      </c>
      <c r="W783" s="8" t="n">
        <f aca="false">IF($K783=1,COUNTIFS($N$5:$N$1517,"&gt;="&amp;N783,$K$5:$K$1517,1)/COUNTIF($N$5:$N$1517,"&gt;="&amp;N783),0)</f>
        <v>0</v>
      </c>
      <c r="X783" s="8" t="n">
        <f aca="false">IF($K783=1,COUNTIFS($O$5:$O$1517,"&gt;="&amp;O783,$K$5:$K$1517,1)/COUNTIF($O$5:$O$1517,"&gt;="&amp;O783),0)</f>
        <v>0</v>
      </c>
      <c r="Y783" s="8" t="n">
        <f aca="false">IF($K783=1,COUNTIFS($P$5:$P$1517,"&gt;="&amp;P783,$K$5:$K$1517,1)/COUNTIF($P$5:$P$1517,"&gt;="&amp;P783),0)</f>
        <v>0</v>
      </c>
      <c r="Z783" s="8" t="n">
        <f aca="false">(L783-$K783)^2</f>
        <v>0.110863693444</v>
      </c>
      <c r="AA783" s="8" t="n">
        <f aca="false">(M783-$K783)^2</f>
        <v>0.008475595969</v>
      </c>
      <c r="AB783" s="8" t="n">
        <f aca="false">(N783-$K783)^2</f>
        <v>0.001234608769</v>
      </c>
      <c r="AC783" s="8" t="n">
        <f aca="false">(O783-$K783)^2</f>
        <v>0.011274829489</v>
      </c>
      <c r="AD783" s="8" t="n">
        <f aca="false">(P783-$K783)^2</f>
        <v>0.001261954576</v>
      </c>
      <c r="AE783" s="8" t="n">
        <f aca="false">MIN(INT(ROUND(N783*1000000,0)/100000),9)</f>
        <v>0</v>
      </c>
      <c r="AF783" s="8" t="n">
        <f aca="false">MIN(INT(ROUND(P783*1000000,0)/100000),9)</f>
        <v>0</v>
      </c>
    </row>
    <row r="784" customFormat="false" ht="15" hidden="false" customHeight="false" outlineLevel="0" collapsed="false">
      <c r="A784" s="4" t="n">
        <v>780</v>
      </c>
      <c r="B784" s="4" t="n">
        <v>249</v>
      </c>
      <c r="C784" s="4" t="n">
        <v>2</v>
      </c>
      <c r="D784" s="11" t="n">
        <v>46113</v>
      </c>
      <c r="E784" s="4" t="s">
        <v>203</v>
      </c>
      <c r="F784" s="4" t="s">
        <v>206</v>
      </c>
      <c r="G784" s="4" t="n">
        <v>3</v>
      </c>
      <c r="H784" s="4" t="n">
        <v>13</v>
      </c>
      <c r="I784" s="4" t="n">
        <v>0</v>
      </c>
      <c r="J784" s="4" t="n">
        <v>315</v>
      </c>
      <c r="K784" s="4" t="n">
        <v>0</v>
      </c>
      <c r="L784" s="12" t="n">
        <v>0.792539</v>
      </c>
      <c r="M784" s="12" t="n">
        <v>0.092063</v>
      </c>
      <c r="N784" s="12" t="n">
        <v>0.137312</v>
      </c>
      <c r="O784" s="12" t="n">
        <v>0.106183</v>
      </c>
      <c r="P784" s="12" t="n">
        <v>0.147259</v>
      </c>
      <c r="Q784" s="0" t="str">
        <f aca="false">IF(L784&gt;=Models!$G$5,1+COUNTIF($L$5:$L$1517,"&gt;"&amp;L784)+COUNTIFS($L$5:$L$1517,L784,$B$5:$B$1517,"&lt;"&amp;B784)+COUNTIFS($L$5:$L$1517,L784,$B$5:$B$1517,B784,$C$5:$C$1517,"&lt;"&amp;C784),"")</f>
        <v/>
      </c>
      <c r="R784" s="0" t="str">
        <f aca="false">IF(M784&gt;=Models!$G$6,1+COUNTIF($M$5:$M$1517,"&gt;"&amp;M784)+COUNTIFS($M$5:$M$1517,M784,$B$5:$B$1517,"&lt;"&amp;B784)+COUNTIFS($M$5:$M$1517,M784,$B$5:$B$1517,B784,$C$5:$C$1517,"&lt;"&amp;C784),"")</f>
        <v/>
      </c>
      <c r="S784" s="0" t="str">
        <f aca="false">IF(N784&gt;=Models!$G$7,1+COUNTIF($N$5:$N$1517,"&gt;"&amp;N784)+COUNTIFS($N$5:$N$1517,N784,$B$5:$B$1517,"&lt;"&amp;B784)+COUNTIFS($N$5:$N$1517,N784,$B$5:$B$1517,B784,$C$5:$C$1517,"&lt;"&amp;C784),"")</f>
        <v/>
      </c>
      <c r="T784" s="8" t="n">
        <f aca="false">IF(O784&gt;=Models!$G$8,1+COUNTIF($O$5:$O$1517,"&gt;"&amp;O784)+COUNTIFS($O$5:$O$1517,O784,$B$5:$B$1517,"&lt;"&amp;B784)+COUNTIFS($O$5:$O$1517,O784,$B$5:$B$1517,B784,$C$5:$C$1517,"&lt;"&amp;C784),"")</f>
        <v>172</v>
      </c>
      <c r="U784" s="8" t="n">
        <f aca="false">IF($K784=1,COUNTIFS($L$5:$L$1517,"&gt;="&amp;L784,$K$5:$K$1517,1)/COUNTIF($L$5:$L$1517,"&gt;="&amp;L784),0)</f>
        <v>0</v>
      </c>
      <c r="V784" s="8" t="n">
        <f aca="false">IF($K784=1,COUNTIFS($M$5:$M$1517,"&gt;="&amp;M784,$K$5:$K$1517,1)/COUNTIF($M$5:$M$1517,"&gt;="&amp;M784),0)</f>
        <v>0</v>
      </c>
      <c r="W784" s="8" t="n">
        <f aca="false">IF($K784=1,COUNTIFS($N$5:$N$1517,"&gt;="&amp;N784,$K$5:$K$1517,1)/COUNTIF($N$5:$N$1517,"&gt;="&amp;N784),0)</f>
        <v>0</v>
      </c>
      <c r="X784" s="8" t="n">
        <f aca="false">IF($K784=1,COUNTIFS($O$5:$O$1517,"&gt;="&amp;O784,$K$5:$K$1517,1)/COUNTIF($O$5:$O$1517,"&gt;="&amp;O784),0)</f>
        <v>0</v>
      </c>
      <c r="Y784" s="8" t="n">
        <f aca="false">IF($K784=1,COUNTIFS($P$5:$P$1517,"&gt;="&amp;P784,$K$5:$K$1517,1)/COUNTIF($P$5:$P$1517,"&gt;="&amp;P784),0)</f>
        <v>0</v>
      </c>
      <c r="Z784" s="8" t="n">
        <f aca="false">(L784-$K784)^2</f>
        <v>0.628118066521</v>
      </c>
      <c r="AA784" s="8" t="n">
        <f aca="false">(M784-$K784)^2</f>
        <v>0.008475595969</v>
      </c>
      <c r="AB784" s="8" t="n">
        <f aca="false">(N784-$K784)^2</f>
        <v>0.018854585344</v>
      </c>
      <c r="AC784" s="8" t="n">
        <f aca="false">(O784-$K784)^2</f>
        <v>0.011274829489</v>
      </c>
      <c r="AD784" s="8" t="n">
        <f aca="false">(P784-$K784)^2</f>
        <v>0.021685213081</v>
      </c>
      <c r="AE784" s="8" t="n">
        <f aca="false">MIN(INT(ROUND(N784*1000000,0)/100000),9)</f>
        <v>1</v>
      </c>
      <c r="AF784" s="8" t="n">
        <f aca="false">MIN(INT(ROUND(P784*1000000,0)/100000),9)</f>
        <v>1</v>
      </c>
    </row>
    <row r="785" customFormat="false" ht="15" hidden="false" customHeight="false" outlineLevel="0" collapsed="false">
      <c r="A785" s="4" t="n">
        <v>781</v>
      </c>
      <c r="B785" s="4" t="n">
        <v>253</v>
      </c>
      <c r="C785" s="4" t="n">
        <v>2</v>
      </c>
      <c r="D785" s="11" t="n">
        <v>46113</v>
      </c>
      <c r="E785" s="4" t="s">
        <v>201</v>
      </c>
      <c r="F785" s="4" t="s">
        <v>206</v>
      </c>
      <c r="G785" s="4" t="n">
        <v>18</v>
      </c>
      <c r="H785" s="4" t="n">
        <v>3</v>
      </c>
      <c r="I785" s="4" t="n">
        <v>1</v>
      </c>
      <c r="J785" s="4"/>
      <c r="K785" s="4" t="n">
        <v>0</v>
      </c>
      <c r="L785" s="12" t="n">
        <v>0.273425</v>
      </c>
      <c r="M785" s="12" t="n">
        <v>0.184211</v>
      </c>
      <c r="N785" s="12" t="n">
        <v>0.031921</v>
      </c>
      <c r="O785" s="12" t="n">
        <v>0.106183</v>
      </c>
      <c r="P785" s="12" t="n">
        <v>0.032127</v>
      </c>
      <c r="Q785" s="0" t="str">
        <f aca="false">IF(L785&gt;=Models!$G$5,1+COUNTIF($L$5:$L$1517,"&gt;"&amp;L785)+COUNTIFS($L$5:$L$1517,L785,$B$5:$B$1517,"&lt;"&amp;B785)+COUNTIFS($L$5:$L$1517,L785,$B$5:$B$1517,B785,$C$5:$C$1517,"&lt;"&amp;C785),"")</f>
        <v/>
      </c>
      <c r="R785" s="8" t="n">
        <f aca="false">IF(M785&gt;=Models!$G$6,1+COUNTIF($M$5:$M$1517,"&gt;"&amp;M785)+COUNTIFS($M$5:$M$1517,M785,$B$5:$B$1517,"&lt;"&amp;B785)+COUNTIFS($M$5:$M$1517,M785,$B$5:$B$1517,B785,$C$5:$C$1517,"&lt;"&amp;C785),"")</f>
        <v>21</v>
      </c>
      <c r="S785" s="0" t="str">
        <f aca="false">IF(N785&gt;=Models!$G$7,1+COUNTIF($N$5:$N$1517,"&gt;"&amp;N785)+COUNTIFS($N$5:$N$1517,N785,$B$5:$B$1517,"&lt;"&amp;B785)+COUNTIFS($N$5:$N$1517,N785,$B$5:$B$1517,B785,$C$5:$C$1517,"&lt;"&amp;C785),"")</f>
        <v/>
      </c>
      <c r="T785" s="8" t="n">
        <f aca="false">IF(O785&gt;=Models!$G$8,1+COUNTIF($O$5:$O$1517,"&gt;"&amp;O785)+COUNTIFS($O$5:$O$1517,O785,$B$5:$B$1517,"&lt;"&amp;B785)+COUNTIFS($O$5:$O$1517,O785,$B$5:$B$1517,B785,$C$5:$C$1517,"&lt;"&amp;C785),"")</f>
        <v>176</v>
      </c>
      <c r="U785" s="8" t="n">
        <f aca="false">IF($K785=1,COUNTIFS($L$5:$L$1517,"&gt;="&amp;L785,$K$5:$K$1517,1)/COUNTIF($L$5:$L$1517,"&gt;="&amp;L785),0)</f>
        <v>0</v>
      </c>
      <c r="V785" s="8" t="n">
        <f aca="false">IF($K785=1,COUNTIFS($M$5:$M$1517,"&gt;="&amp;M785,$K$5:$K$1517,1)/COUNTIF($M$5:$M$1517,"&gt;="&amp;M785),0)</f>
        <v>0</v>
      </c>
      <c r="W785" s="8" t="n">
        <f aca="false">IF($K785=1,COUNTIFS($N$5:$N$1517,"&gt;="&amp;N785,$K$5:$K$1517,1)/COUNTIF($N$5:$N$1517,"&gt;="&amp;N785),0)</f>
        <v>0</v>
      </c>
      <c r="X785" s="8" t="n">
        <f aca="false">IF($K785=1,COUNTIFS($O$5:$O$1517,"&gt;="&amp;O785,$K$5:$K$1517,1)/COUNTIF($O$5:$O$1517,"&gt;="&amp;O785),0)</f>
        <v>0</v>
      </c>
      <c r="Y785" s="8" t="n">
        <f aca="false">IF($K785=1,COUNTIFS($P$5:$P$1517,"&gt;="&amp;P785,$K$5:$K$1517,1)/COUNTIF($P$5:$P$1517,"&gt;="&amp;P785),0)</f>
        <v>0</v>
      </c>
      <c r="Z785" s="8" t="n">
        <f aca="false">(L785-$K785)^2</f>
        <v>0.074761230625</v>
      </c>
      <c r="AA785" s="8" t="n">
        <f aca="false">(M785-$K785)^2</f>
        <v>0.033933692521</v>
      </c>
      <c r="AB785" s="8" t="n">
        <f aca="false">(N785-$K785)^2</f>
        <v>0.001018950241</v>
      </c>
      <c r="AC785" s="8" t="n">
        <f aca="false">(O785-$K785)^2</f>
        <v>0.011274829489</v>
      </c>
      <c r="AD785" s="8" t="n">
        <f aca="false">(P785-$K785)^2</f>
        <v>0.001032144129</v>
      </c>
      <c r="AE785" s="8" t="n">
        <f aca="false">MIN(INT(ROUND(N785*1000000,0)/100000),9)</f>
        <v>0</v>
      </c>
      <c r="AF785" s="8" t="n">
        <f aca="false">MIN(INT(ROUND(P785*1000000,0)/100000),9)</f>
        <v>0</v>
      </c>
    </row>
    <row r="786" customFormat="false" ht="15" hidden="false" customHeight="false" outlineLevel="0" collapsed="false">
      <c r="A786" s="4" t="n">
        <v>782</v>
      </c>
      <c r="B786" s="4" t="n">
        <v>265</v>
      </c>
      <c r="C786" s="4" t="n">
        <v>2</v>
      </c>
      <c r="D786" s="11" t="n">
        <v>46113</v>
      </c>
      <c r="E786" s="4" t="s">
        <v>203</v>
      </c>
      <c r="F786" s="4" t="s">
        <v>206</v>
      </c>
      <c r="G786" s="4" t="n">
        <v>3</v>
      </c>
      <c r="H786" s="4" t="n">
        <v>5</v>
      </c>
      <c r="I786" s="4" t="n">
        <v>0</v>
      </c>
      <c r="J786" s="4" t="n">
        <v>321</v>
      </c>
      <c r="K786" s="4" t="n">
        <v>0</v>
      </c>
      <c r="L786" s="12" t="n">
        <v>0.203909</v>
      </c>
      <c r="M786" s="12" t="n">
        <v>0.092063</v>
      </c>
      <c r="N786" s="12" t="n">
        <v>0.12969</v>
      </c>
      <c r="O786" s="12" t="n">
        <v>0.106183</v>
      </c>
      <c r="P786" s="12" t="n">
        <v>0.138798</v>
      </c>
      <c r="Q786" s="0" t="str">
        <f aca="false">IF(L786&gt;=Models!$G$5,1+COUNTIF($L$5:$L$1517,"&gt;"&amp;L786)+COUNTIFS($L$5:$L$1517,L786,$B$5:$B$1517,"&lt;"&amp;B786)+COUNTIFS($L$5:$L$1517,L786,$B$5:$B$1517,B786,$C$5:$C$1517,"&lt;"&amp;C786),"")</f>
        <v/>
      </c>
      <c r="R786" s="0" t="str">
        <f aca="false">IF(M786&gt;=Models!$G$6,1+COUNTIF($M$5:$M$1517,"&gt;"&amp;M786)+COUNTIFS($M$5:$M$1517,M786,$B$5:$B$1517,"&lt;"&amp;B786)+COUNTIFS($M$5:$M$1517,M786,$B$5:$B$1517,B786,$C$5:$C$1517,"&lt;"&amp;C786),"")</f>
        <v/>
      </c>
      <c r="S786" s="0" t="str">
        <f aca="false">IF(N786&gt;=Models!$G$7,1+COUNTIF($N$5:$N$1517,"&gt;"&amp;N786)+COUNTIFS($N$5:$N$1517,N786,$B$5:$B$1517,"&lt;"&amp;B786)+COUNTIFS($N$5:$N$1517,N786,$B$5:$B$1517,B786,$C$5:$C$1517,"&lt;"&amp;C786),"")</f>
        <v/>
      </c>
      <c r="T786" s="8" t="n">
        <f aca="false">IF(O786&gt;=Models!$G$8,1+COUNTIF($O$5:$O$1517,"&gt;"&amp;O786)+COUNTIFS($O$5:$O$1517,O786,$B$5:$B$1517,"&lt;"&amp;B786)+COUNTIFS($O$5:$O$1517,O786,$B$5:$B$1517,B786,$C$5:$C$1517,"&lt;"&amp;C786),"")</f>
        <v>182</v>
      </c>
      <c r="U786" s="8" t="n">
        <f aca="false">IF($K786=1,COUNTIFS($L$5:$L$1517,"&gt;="&amp;L786,$K$5:$K$1517,1)/COUNTIF($L$5:$L$1517,"&gt;="&amp;L786),0)</f>
        <v>0</v>
      </c>
      <c r="V786" s="8" t="n">
        <f aca="false">IF($K786=1,COUNTIFS($M$5:$M$1517,"&gt;="&amp;M786,$K$5:$K$1517,1)/COUNTIF($M$5:$M$1517,"&gt;="&amp;M786),0)</f>
        <v>0</v>
      </c>
      <c r="W786" s="8" t="n">
        <f aca="false">IF($K786=1,COUNTIFS($N$5:$N$1517,"&gt;="&amp;N786,$K$5:$K$1517,1)/COUNTIF($N$5:$N$1517,"&gt;="&amp;N786),0)</f>
        <v>0</v>
      </c>
      <c r="X786" s="8" t="n">
        <f aca="false">IF($K786=1,COUNTIFS($O$5:$O$1517,"&gt;="&amp;O786,$K$5:$K$1517,1)/COUNTIF($O$5:$O$1517,"&gt;="&amp;O786),0)</f>
        <v>0</v>
      </c>
      <c r="Y786" s="8" t="n">
        <f aca="false">IF($K786=1,COUNTIFS($P$5:$P$1517,"&gt;="&amp;P786,$K$5:$K$1517,1)/COUNTIF($P$5:$P$1517,"&gt;="&amp;P786),0)</f>
        <v>0</v>
      </c>
      <c r="Z786" s="8" t="n">
        <f aca="false">(L786-$K786)^2</f>
        <v>0.041578880281</v>
      </c>
      <c r="AA786" s="8" t="n">
        <f aca="false">(M786-$K786)^2</f>
        <v>0.008475595969</v>
      </c>
      <c r="AB786" s="8" t="n">
        <f aca="false">(N786-$K786)^2</f>
        <v>0.0168194961</v>
      </c>
      <c r="AC786" s="8" t="n">
        <f aca="false">(O786-$K786)^2</f>
        <v>0.011274829489</v>
      </c>
      <c r="AD786" s="8" t="n">
        <f aca="false">(P786-$K786)^2</f>
        <v>0.019264884804</v>
      </c>
      <c r="AE786" s="8" t="n">
        <f aca="false">MIN(INT(ROUND(N786*1000000,0)/100000),9)</f>
        <v>1</v>
      </c>
      <c r="AF786" s="8" t="n">
        <f aca="false">MIN(INT(ROUND(P786*1000000,0)/100000),9)</f>
        <v>1</v>
      </c>
    </row>
    <row r="787" customFormat="false" ht="15" hidden="false" customHeight="false" outlineLevel="0" collapsed="false">
      <c r="A787" s="4" t="n">
        <v>783</v>
      </c>
      <c r="B787" s="4" t="n">
        <v>266</v>
      </c>
      <c r="C787" s="4" t="n">
        <v>2</v>
      </c>
      <c r="D787" s="11" t="n">
        <v>46113</v>
      </c>
      <c r="E787" s="4" t="s">
        <v>203</v>
      </c>
      <c r="F787" s="4" t="s">
        <v>209</v>
      </c>
      <c r="G787" s="4" t="n">
        <v>4</v>
      </c>
      <c r="H787" s="4" t="n">
        <v>2</v>
      </c>
      <c r="I787" s="4" t="n">
        <v>0</v>
      </c>
      <c r="J787" s="4" t="n">
        <v>303</v>
      </c>
      <c r="K787" s="4" t="n">
        <v>0</v>
      </c>
      <c r="L787" s="12" t="n">
        <v>0.132935</v>
      </c>
      <c r="M787" s="12" t="n">
        <v>0.092063</v>
      </c>
      <c r="N787" s="12" t="n">
        <v>0.117405</v>
      </c>
      <c r="O787" s="12" t="n">
        <v>0.106183</v>
      </c>
      <c r="P787" s="12" t="n">
        <v>0.125183</v>
      </c>
      <c r="Q787" s="0" t="str">
        <f aca="false">IF(L787&gt;=Models!$G$5,1+COUNTIF($L$5:$L$1517,"&gt;"&amp;L787)+COUNTIFS($L$5:$L$1517,L787,$B$5:$B$1517,"&lt;"&amp;B787)+COUNTIFS($L$5:$L$1517,L787,$B$5:$B$1517,B787,$C$5:$C$1517,"&lt;"&amp;C787),"")</f>
        <v/>
      </c>
      <c r="R787" s="0" t="str">
        <f aca="false">IF(M787&gt;=Models!$G$6,1+COUNTIF($M$5:$M$1517,"&gt;"&amp;M787)+COUNTIFS($M$5:$M$1517,M787,$B$5:$B$1517,"&lt;"&amp;B787)+COUNTIFS($M$5:$M$1517,M787,$B$5:$B$1517,B787,$C$5:$C$1517,"&lt;"&amp;C787),"")</f>
        <v/>
      </c>
      <c r="S787" s="0" t="str">
        <f aca="false">IF(N787&gt;=Models!$G$7,1+COUNTIF($N$5:$N$1517,"&gt;"&amp;N787)+COUNTIFS($N$5:$N$1517,N787,$B$5:$B$1517,"&lt;"&amp;B787)+COUNTIFS($N$5:$N$1517,N787,$B$5:$B$1517,B787,$C$5:$C$1517,"&lt;"&amp;C787),"")</f>
        <v/>
      </c>
      <c r="T787" s="8" t="n">
        <f aca="false">IF(O787&gt;=Models!$G$8,1+COUNTIF($O$5:$O$1517,"&gt;"&amp;O787)+COUNTIFS($O$5:$O$1517,O787,$B$5:$B$1517,"&lt;"&amp;B787)+COUNTIFS($O$5:$O$1517,O787,$B$5:$B$1517,B787,$C$5:$C$1517,"&lt;"&amp;C787),"")</f>
        <v>186</v>
      </c>
      <c r="U787" s="8" t="n">
        <f aca="false">IF($K787=1,COUNTIFS($L$5:$L$1517,"&gt;="&amp;L787,$K$5:$K$1517,1)/COUNTIF($L$5:$L$1517,"&gt;="&amp;L787),0)</f>
        <v>0</v>
      </c>
      <c r="V787" s="8" t="n">
        <f aca="false">IF($K787=1,COUNTIFS($M$5:$M$1517,"&gt;="&amp;M787,$K$5:$K$1517,1)/COUNTIF($M$5:$M$1517,"&gt;="&amp;M787),0)</f>
        <v>0</v>
      </c>
      <c r="W787" s="8" t="n">
        <f aca="false">IF($K787=1,COUNTIFS($N$5:$N$1517,"&gt;="&amp;N787,$K$5:$K$1517,1)/COUNTIF($N$5:$N$1517,"&gt;="&amp;N787),0)</f>
        <v>0</v>
      </c>
      <c r="X787" s="8" t="n">
        <f aca="false">IF($K787=1,COUNTIFS($O$5:$O$1517,"&gt;="&amp;O787,$K$5:$K$1517,1)/COUNTIF($O$5:$O$1517,"&gt;="&amp;O787),0)</f>
        <v>0</v>
      </c>
      <c r="Y787" s="8" t="n">
        <f aca="false">IF($K787=1,COUNTIFS($P$5:$P$1517,"&gt;="&amp;P787,$K$5:$K$1517,1)/COUNTIF($P$5:$P$1517,"&gt;="&amp;P787),0)</f>
        <v>0</v>
      </c>
      <c r="Z787" s="8" t="n">
        <f aca="false">(L787-$K787)^2</f>
        <v>0.017671714225</v>
      </c>
      <c r="AA787" s="8" t="n">
        <f aca="false">(M787-$K787)^2</f>
        <v>0.008475595969</v>
      </c>
      <c r="AB787" s="8" t="n">
        <f aca="false">(N787-$K787)^2</f>
        <v>0.013783934025</v>
      </c>
      <c r="AC787" s="8" t="n">
        <f aca="false">(O787-$K787)^2</f>
        <v>0.011274829489</v>
      </c>
      <c r="AD787" s="8" t="n">
        <f aca="false">(P787-$K787)^2</f>
        <v>0.015670783489</v>
      </c>
      <c r="AE787" s="8" t="n">
        <f aca="false">MIN(INT(ROUND(N787*1000000,0)/100000),9)</f>
        <v>1</v>
      </c>
      <c r="AF787" s="8" t="n">
        <f aca="false">MIN(INT(ROUND(P787*1000000,0)/100000),9)</f>
        <v>1</v>
      </c>
    </row>
    <row r="788" customFormat="false" ht="15" hidden="false" customHeight="false" outlineLevel="0" collapsed="false">
      <c r="A788" s="4" t="n">
        <v>784</v>
      </c>
      <c r="B788" s="4" t="n">
        <v>270</v>
      </c>
      <c r="C788" s="4" t="n">
        <v>2</v>
      </c>
      <c r="D788" s="11" t="n">
        <v>46113</v>
      </c>
      <c r="E788" s="4" t="s">
        <v>203</v>
      </c>
      <c r="F788" s="4" t="s">
        <v>207</v>
      </c>
      <c r="G788" s="4" t="n">
        <v>2</v>
      </c>
      <c r="H788" s="4" t="n">
        <v>9</v>
      </c>
      <c r="I788" s="4" t="n">
        <v>0</v>
      </c>
      <c r="J788" s="4"/>
      <c r="K788" s="4" t="n">
        <v>0</v>
      </c>
      <c r="L788" s="12" t="n">
        <v>0.17492</v>
      </c>
      <c r="M788" s="12" t="n">
        <v>0.092063</v>
      </c>
      <c r="N788" s="12" t="n">
        <v>0.074534</v>
      </c>
      <c r="O788" s="12" t="n">
        <v>0.106183</v>
      </c>
      <c r="P788" s="12" t="n">
        <v>0.077994</v>
      </c>
      <c r="Q788" s="0" t="str">
        <f aca="false">IF(L788&gt;=Models!$G$5,1+COUNTIF($L$5:$L$1517,"&gt;"&amp;L788)+COUNTIFS($L$5:$L$1517,L788,$B$5:$B$1517,"&lt;"&amp;B788)+COUNTIFS($L$5:$L$1517,L788,$B$5:$B$1517,B788,$C$5:$C$1517,"&lt;"&amp;C788),"")</f>
        <v/>
      </c>
      <c r="R788" s="0" t="str">
        <f aca="false">IF(M788&gt;=Models!$G$6,1+COUNTIF($M$5:$M$1517,"&gt;"&amp;M788)+COUNTIFS($M$5:$M$1517,M788,$B$5:$B$1517,"&lt;"&amp;B788)+COUNTIFS($M$5:$M$1517,M788,$B$5:$B$1517,B788,$C$5:$C$1517,"&lt;"&amp;C788),"")</f>
        <v/>
      </c>
      <c r="S788" s="0" t="str">
        <f aca="false">IF(N788&gt;=Models!$G$7,1+COUNTIF($N$5:$N$1517,"&gt;"&amp;N788)+COUNTIFS($N$5:$N$1517,N788,$B$5:$B$1517,"&lt;"&amp;B788)+COUNTIFS($N$5:$N$1517,N788,$B$5:$B$1517,B788,$C$5:$C$1517,"&lt;"&amp;C788),"")</f>
        <v/>
      </c>
      <c r="T788" s="8" t="n">
        <f aca="false">IF(O788&gt;=Models!$G$8,1+COUNTIF($O$5:$O$1517,"&gt;"&amp;O788)+COUNTIFS($O$5:$O$1517,O788,$B$5:$B$1517,"&lt;"&amp;B788)+COUNTIFS($O$5:$O$1517,O788,$B$5:$B$1517,B788,$C$5:$C$1517,"&lt;"&amp;C788),"")</f>
        <v>190</v>
      </c>
      <c r="U788" s="8" t="n">
        <f aca="false">IF($K788=1,COUNTIFS($L$5:$L$1517,"&gt;="&amp;L788,$K$5:$K$1517,1)/COUNTIF($L$5:$L$1517,"&gt;="&amp;L788),0)</f>
        <v>0</v>
      </c>
      <c r="V788" s="8" t="n">
        <f aca="false">IF($K788=1,COUNTIFS($M$5:$M$1517,"&gt;="&amp;M788,$K$5:$K$1517,1)/COUNTIF($M$5:$M$1517,"&gt;="&amp;M788),0)</f>
        <v>0</v>
      </c>
      <c r="W788" s="8" t="n">
        <f aca="false">IF($K788=1,COUNTIFS($N$5:$N$1517,"&gt;="&amp;N788,$K$5:$K$1517,1)/COUNTIF($N$5:$N$1517,"&gt;="&amp;N788),0)</f>
        <v>0</v>
      </c>
      <c r="X788" s="8" t="n">
        <f aca="false">IF($K788=1,COUNTIFS($O$5:$O$1517,"&gt;="&amp;O788,$K$5:$K$1517,1)/COUNTIF($O$5:$O$1517,"&gt;="&amp;O788),0)</f>
        <v>0</v>
      </c>
      <c r="Y788" s="8" t="n">
        <f aca="false">IF($K788=1,COUNTIFS($P$5:$P$1517,"&gt;="&amp;P788,$K$5:$K$1517,1)/COUNTIF($P$5:$P$1517,"&gt;="&amp;P788),0)</f>
        <v>0</v>
      </c>
      <c r="Z788" s="8" t="n">
        <f aca="false">(L788-$K788)^2</f>
        <v>0.0305970064</v>
      </c>
      <c r="AA788" s="8" t="n">
        <f aca="false">(M788-$K788)^2</f>
        <v>0.008475595969</v>
      </c>
      <c r="AB788" s="8" t="n">
        <f aca="false">(N788-$K788)^2</f>
        <v>0.005555317156</v>
      </c>
      <c r="AC788" s="8" t="n">
        <f aca="false">(O788-$K788)^2</f>
        <v>0.011274829489</v>
      </c>
      <c r="AD788" s="8" t="n">
        <f aca="false">(P788-$K788)^2</f>
        <v>0.006083064036</v>
      </c>
      <c r="AE788" s="8" t="n">
        <f aca="false">MIN(INT(ROUND(N788*1000000,0)/100000),9)</f>
        <v>0</v>
      </c>
      <c r="AF788" s="8" t="n">
        <f aca="false">MIN(INT(ROUND(P788*1000000,0)/100000),9)</f>
        <v>0</v>
      </c>
    </row>
    <row r="789" customFormat="false" ht="15" hidden="false" customHeight="false" outlineLevel="0" collapsed="false">
      <c r="A789" s="4" t="n">
        <v>785</v>
      </c>
      <c r="B789" s="4" t="n">
        <v>271</v>
      </c>
      <c r="C789" s="4" t="n">
        <v>2</v>
      </c>
      <c r="D789" s="11" t="n">
        <v>46113</v>
      </c>
      <c r="E789" s="4" t="s">
        <v>202</v>
      </c>
      <c r="F789" s="4" t="s">
        <v>206</v>
      </c>
      <c r="G789" s="4" t="n">
        <v>7</v>
      </c>
      <c r="H789" s="4" t="n">
        <v>0</v>
      </c>
      <c r="I789" s="4" t="n">
        <v>0</v>
      </c>
      <c r="J789" s="4"/>
      <c r="K789" s="4" t="n">
        <v>0</v>
      </c>
      <c r="L789" s="12" t="n">
        <v>0.966083</v>
      </c>
      <c r="M789" s="12" t="n">
        <v>0.092063</v>
      </c>
      <c r="N789" s="12" t="n">
        <v>0.045531</v>
      </c>
      <c r="O789" s="12" t="n">
        <v>0.106183</v>
      </c>
      <c r="P789" s="12" t="n">
        <v>0.046595</v>
      </c>
      <c r="Q789" s="0" t="str">
        <f aca="false">IF(L789&gt;=Models!$G$5,1+COUNTIF($L$5:$L$1517,"&gt;"&amp;L789)+COUNTIFS($L$5:$L$1517,L789,$B$5:$B$1517,"&lt;"&amp;B789)+COUNTIFS($L$5:$L$1517,L789,$B$5:$B$1517,B789,$C$5:$C$1517,"&lt;"&amp;C789),"")</f>
        <v/>
      </c>
      <c r="R789" s="0" t="str">
        <f aca="false">IF(M789&gt;=Models!$G$6,1+COUNTIF($M$5:$M$1517,"&gt;"&amp;M789)+COUNTIFS($M$5:$M$1517,M789,$B$5:$B$1517,"&lt;"&amp;B789)+COUNTIFS($M$5:$M$1517,M789,$B$5:$B$1517,B789,$C$5:$C$1517,"&lt;"&amp;C789),"")</f>
        <v/>
      </c>
      <c r="S789" s="0" t="str">
        <f aca="false">IF(N789&gt;=Models!$G$7,1+COUNTIF($N$5:$N$1517,"&gt;"&amp;N789)+COUNTIFS($N$5:$N$1517,N789,$B$5:$B$1517,"&lt;"&amp;B789)+COUNTIFS($N$5:$N$1517,N789,$B$5:$B$1517,B789,$C$5:$C$1517,"&lt;"&amp;C789),"")</f>
        <v/>
      </c>
      <c r="T789" s="8" t="n">
        <f aca="false">IF(O789&gt;=Models!$G$8,1+COUNTIF($O$5:$O$1517,"&gt;"&amp;O789)+COUNTIFS($O$5:$O$1517,O789,$B$5:$B$1517,"&lt;"&amp;B789)+COUNTIFS($O$5:$O$1517,O789,$B$5:$B$1517,B789,$C$5:$C$1517,"&lt;"&amp;C789),"")</f>
        <v>194</v>
      </c>
      <c r="U789" s="8" t="n">
        <f aca="false">IF($K789=1,COUNTIFS($L$5:$L$1517,"&gt;="&amp;L789,$K$5:$K$1517,1)/COUNTIF($L$5:$L$1517,"&gt;="&amp;L789),0)</f>
        <v>0</v>
      </c>
      <c r="V789" s="8" t="n">
        <f aca="false">IF($K789=1,COUNTIFS($M$5:$M$1517,"&gt;="&amp;M789,$K$5:$K$1517,1)/COUNTIF($M$5:$M$1517,"&gt;="&amp;M789),0)</f>
        <v>0</v>
      </c>
      <c r="W789" s="8" t="n">
        <f aca="false">IF($K789=1,COUNTIFS($N$5:$N$1517,"&gt;="&amp;N789,$K$5:$K$1517,1)/COUNTIF($N$5:$N$1517,"&gt;="&amp;N789),0)</f>
        <v>0</v>
      </c>
      <c r="X789" s="8" t="n">
        <f aca="false">IF($K789=1,COUNTIFS($O$5:$O$1517,"&gt;="&amp;O789,$K$5:$K$1517,1)/COUNTIF($O$5:$O$1517,"&gt;="&amp;O789),0)</f>
        <v>0</v>
      </c>
      <c r="Y789" s="8" t="n">
        <f aca="false">IF($K789=1,COUNTIFS($P$5:$P$1517,"&gt;="&amp;P789,$K$5:$K$1517,1)/COUNTIF($P$5:$P$1517,"&gt;="&amp;P789),0)</f>
        <v>0</v>
      </c>
      <c r="Z789" s="8" t="n">
        <f aca="false">(L789-$K789)^2</f>
        <v>0.933316362889</v>
      </c>
      <c r="AA789" s="8" t="n">
        <f aca="false">(M789-$K789)^2</f>
        <v>0.008475595969</v>
      </c>
      <c r="AB789" s="8" t="n">
        <f aca="false">(N789-$K789)^2</f>
        <v>0.002073071961</v>
      </c>
      <c r="AC789" s="8" t="n">
        <f aca="false">(O789-$K789)^2</f>
        <v>0.011274829489</v>
      </c>
      <c r="AD789" s="8" t="n">
        <f aca="false">(P789-$K789)^2</f>
        <v>0.002171094025</v>
      </c>
      <c r="AE789" s="8" t="n">
        <f aca="false">MIN(INT(ROUND(N789*1000000,0)/100000),9)</f>
        <v>0</v>
      </c>
      <c r="AF789" s="8" t="n">
        <f aca="false">MIN(INT(ROUND(P789*1000000,0)/100000),9)</f>
        <v>0</v>
      </c>
    </row>
    <row r="790" customFormat="false" ht="15" hidden="false" customHeight="false" outlineLevel="0" collapsed="false">
      <c r="A790" s="4" t="n">
        <v>786</v>
      </c>
      <c r="B790" s="4" t="n">
        <v>277</v>
      </c>
      <c r="C790" s="4" t="n">
        <v>2</v>
      </c>
      <c r="D790" s="11" t="n">
        <v>46113</v>
      </c>
      <c r="E790" s="4" t="s">
        <v>203</v>
      </c>
      <c r="F790" s="4" t="s">
        <v>210</v>
      </c>
      <c r="G790" s="4" t="n">
        <v>4</v>
      </c>
      <c r="H790" s="4" t="n">
        <v>0</v>
      </c>
      <c r="I790" s="4" t="n">
        <v>0</v>
      </c>
      <c r="J790" s="4" t="n">
        <v>378</v>
      </c>
      <c r="K790" s="4" t="n">
        <v>1</v>
      </c>
      <c r="L790" s="12" t="n">
        <v>0.578092</v>
      </c>
      <c r="M790" s="12" t="n">
        <v>0.092063</v>
      </c>
      <c r="N790" s="12" t="n">
        <v>0.115272</v>
      </c>
      <c r="O790" s="12" t="n">
        <v>0.106183</v>
      </c>
      <c r="P790" s="12" t="n">
        <v>0.122822</v>
      </c>
      <c r="Q790" s="0" t="str">
        <f aca="false">IF(L790&gt;=Models!$G$5,1+COUNTIF($L$5:$L$1517,"&gt;"&amp;L790)+COUNTIFS($L$5:$L$1517,L790,$B$5:$B$1517,"&lt;"&amp;B790)+COUNTIFS($L$5:$L$1517,L790,$B$5:$B$1517,B790,$C$5:$C$1517,"&lt;"&amp;C790),"")</f>
        <v/>
      </c>
      <c r="R790" s="0" t="str">
        <f aca="false">IF(M790&gt;=Models!$G$6,1+COUNTIF($M$5:$M$1517,"&gt;"&amp;M790)+COUNTIFS($M$5:$M$1517,M790,$B$5:$B$1517,"&lt;"&amp;B790)+COUNTIFS($M$5:$M$1517,M790,$B$5:$B$1517,B790,$C$5:$C$1517,"&lt;"&amp;C790),"")</f>
        <v/>
      </c>
      <c r="S790" s="0" t="str">
        <f aca="false">IF(N790&gt;=Models!$G$7,1+COUNTIF($N$5:$N$1517,"&gt;"&amp;N790)+COUNTIFS($N$5:$N$1517,N790,$B$5:$B$1517,"&lt;"&amp;B790)+COUNTIFS($N$5:$N$1517,N790,$B$5:$B$1517,B790,$C$5:$C$1517,"&lt;"&amp;C790),"")</f>
        <v/>
      </c>
      <c r="T790" s="8" t="n">
        <f aca="false">IF(O790&gt;=Models!$G$8,1+COUNTIF($O$5:$O$1517,"&gt;"&amp;O790)+COUNTIFS($O$5:$O$1517,O790,$B$5:$B$1517,"&lt;"&amp;B790)+COUNTIFS($O$5:$O$1517,O790,$B$5:$B$1517,B790,$C$5:$C$1517,"&lt;"&amp;C790),"")</f>
        <v>198</v>
      </c>
      <c r="U790" s="8" t="n">
        <f aca="false">IF($K790=1,COUNTIFS($L$5:$L$1517,"&gt;="&amp;L790,$K$5:$K$1517,1)/COUNTIF($L$5:$L$1517,"&gt;="&amp;L790),0)</f>
        <v>0.123003194888179</v>
      </c>
      <c r="V790" s="8" t="n">
        <f aca="false">IF($K790=1,COUNTIFS($M$5:$M$1517,"&gt;="&amp;M790,$K$5:$K$1517,1)/COUNTIF($M$5:$M$1517,"&gt;="&amp;M790),0)</f>
        <v>0.12491738268341</v>
      </c>
      <c r="W790" s="8" t="n">
        <f aca="false">IF($K790=1,COUNTIFS($N$5:$N$1517,"&gt;="&amp;N790,$K$5:$K$1517,1)/COUNTIF($N$5:$N$1517,"&gt;="&amp;N790),0)</f>
        <v>0.214015151515152</v>
      </c>
      <c r="X790" s="8" t="n">
        <f aca="false">IF($K790=1,COUNTIFS($O$5:$O$1517,"&gt;="&amp;O790,$K$5:$K$1517,1)/COUNTIF($O$5:$O$1517,"&gt;="&amp;O790),0)</f>
        <v>0.12491738268341</v>
      </c>
      <c r="Y790" s="8" t="n">
        <f aca="false">IF($K790=1,COUNTIFS($P$5:$P$1517,"&gt;="&amp;P790,$K$5:$K$1517,1)/COUNTIF($P$5:$P$1517,"&gt;="&amp;P790),0)</f>
        <v>0.214015151515152</v>
      </c>
      <c r="Z790" s="8" t="n">
        <f aca="false">(L790-$K790)^2</f>
        <v>0.178006360464</v>
      </c>
      <c r="AA790" s="8" t="n">
        <f aca="false">(M790-$K790)^2</f>
        <v>0.824349595969</v>
      </c>
      <c r="AB790" s="8" t="n">
        <f aca="false">(N790-$K790)^2</f>
        <v>0.782743633984</v>
      </c>
      <c r="AC790" s="8" t="n">
        <f aca="false">(O790-$K790)^2</f>
        <v>0.798908829489</v>
      </c>
      <c r="AD790" s="8" t="n">
        <f aca="false">(P790-$K790)^2</f>
        <v>0.769441243684</v>
      </c>
      <c r="AE790" s="8" t="n">
        <f aca="false">MIN(INT(ROUND(N790*1000000,0)/100000),9)</f>
        <v>1</v>
      </c>
      <c r="AF790" s="8" t="n">
        <f aca="false">MIN(INT(ROUND(P790*1000000,0)/100000),9)</f>
        <v>1</v>
      </c>
    </row>
    <row r="791" customFormat="false" ht="15" hidden="false" customHeight="false" outlineLevel="0" collapsed="false">
      <c r="A791" s="4" t="n">
        <v>787</v>
      </c>
      <c r="B791" s="4" t="n">
        <v>289</v>
      </c>
      <c r="C791" s="4" t="n">
        <v>2</v>
      </c>
      <c r="D791" s="11" t="n">
        <v>46113</v>
      </c>
      <c r="E791" s="4" t="s">
        <v>201</v>
      </c>
      <c r="F791" s="4" t="s">
        <v>208</v>
      </c>
      <c r="G791" s="4" t="n">
        <v>24</v>
      </c>
      <c r="H791" s="4" t="n">
        <v>1</v>
      </c>
      <c r="I791" s="4" t="n">
        <v>0</v>
      </c>
      <c r="J791" s="4"/>
      <c r="K791" s="4" t="n">
        <v>0</v>
      </c>
      <c r="L791" s="12" t="n">
        <v>0.031059</v>
      </c>
      <c r="M791" s="12" t="n">
        <v>0.092063</v>
      </c>
      <c r="N791" s="12" t="n">
        <v>0.010308</v>
      </c>
      <c r="O791" s="12" t="n">
        <v>0.106183</v>
      </c>
      <c r="P791" s="12" t="n">
        <v>0.009828</v>
      </c>
      <c r="Q791" s="0" t="str">
        <f aca="false">IF(L791&gt;=Models!$G$5,1+COUNTIF($L$5:$L$1517,"&gt;"&amp;L791)+COUNTIFS($L$5:$L$1517,L791,$B$5:$B$1517,"&lt;"&amp;B791)+COUNTIFS($L$5:$L$1517,L791,$B$5:$B$1517,B791,$C$5:$C$1517,"&lt;"&amp;C791),"")</f>
        <v/>
      </c>
      <c r="R791" s="0" t="str">
        <f aca="false">IF(M791&gt;=Models!$G$6,1+COUNTIF($M$5:$M$1517,"&gt;"&amp;M791)+COUNTIFS($M$5:$M$1517,M791,$B$5:$B$1517,"&lt;"&amp;B791)+COUNTIFS($M$5:$M$1517,M791,$B$5:$B$1517,B791,$C$5:$C$1517,"&lt;"&amp;C791),"")</f>
        <v/>
      </c>
      <c r="S791" s="0" t="str">
        <f aca="false">IF(N791&gt;=Models!$G$7,1+COUNTIF($N$5:$N$1517,"&gt;"&amp;N791)+COUNTIFS($N$5:$N$1517,N791,$B$5:$B$1517,"&lt;"&amp;B791)+COUNTIFS($N$5:$N$1517,N791,$B$5:$B$1517,B791,$C$5:$C$1517,"&lt;"&amp;C791),"")</f>
        <v/>
      </c>
      <c r="T791" s="8" t="n">
        <f aca="false">IF(O791&gt;=Models!$G$8,1+COUNTIF($O$5:$O$1517,"&gt;"&amp;O791)+COUNTIFS($O$5:$O$1517,O791,$B$5:$B$1517,"&lt;"&amp;B791)+COUNTIFS($O$5:$O$1517,O791,$B$5:$B$1517,B791,$C$5:$C$1517,"&lt;"&amp;C791),"")</f>
        <v>204</v>
      </c>
      <c r="U791" s="8" t="n">
        <f aca="false">IF($K791=1,COUNTIFS($L$5:$L$1517,"&gt;="&amp;L791,$K$5:$K$1517,1)/COUNTIF($L$5:$L$1517,"&gt;="&amp;L791),0)</f>
        <v>0</v>
      </c>
      <c r="V791" s="8" t="n">
        <f aca="false">IF($K791=1,COUNTIFS($M$5:$M$1517,"&gt;="&amp;M791,$K$5:$K$1517,1)/COUNTIF($M$5:$M$1517,"&gt;="&amp;M791),0)</f>
        <v>0</v>
      </c>
      <c r="W791" s="8" t="n">
        <f aca="false">IF($K791=1,COUNTIFS($N$5:$N$1517,"&gt;="&amp;N791,$K$5:$K$1517,1)/COUNTIF($N$5:$N$1517,"&gt;="&amp;N791),0)</f>
        <v>0</v>
      </c>
      <c r="X791" s="8" t="n">
        <f aca="false">IF($K791=1,COUNTIFS($O$5:$O$1517,"&gt;="&amp;O791,$K$5:$K$1517,1)/COUNTIF($O$5:$O$1517,"&gt;="&amp;O791),0)</f>
        <v>0</v>
      </c>
      <c r="Y791" s="8" t="n">
        <f aca="false">IF($K791=1,COUNTIFS($P$5:$P$1517,"&gt;="&amp;P791,$K$5:$K$1517,1)/COUNTIF($P$5:$P$1517,"&gt;="&amp;P791),0)</f>
        <v>0</v>
      </c>
      <c r="Z791" s="8" t="n">
        <f aca="false">(L791-$K791)^2</f>
        <v>0.000964661481</v>
      </c>
      <c r="AA791" s="8" t="n">
        <f aca="false">(M791-$K791)^2</f>
        <v>0.008475595969</v>
      </c>
      <c r="AB791" s="8" t="n">
        <f aca="false">(N791-$K791)^2</f>
        <v>0.000106254864</v>
      </c>
      <c r="AC791" s="8" t="n">
        <f aca="false">(O791-$K791)^2</f>
        <v>0.011274829489</v>
      </c>
      <c r="AD791" s="8" t="n">
        <f aca="false">(P791-$K791)^2</f>
        <v>9.6589584E-005</v>
      </c>
      <c r="AE791" s="8" t="n">
        <f aca="false">MIN(INT(ROUND(N791*1000000,0)/100000),9)</f>
        <v>0</v>
      </c>
      <c r="AF791" s="8" t="n">
        <f aca="false">MIN(INT(ROUND(P791*1000000,0)/100000),9)</f>
        <v>0</v>
      </c>
    </row>
    <row r="792" customFormat="false" ht="15" hidden="false" customHeight="false" outlineLevel="0" collapsed="false">
      <c r="A792" s="4" t="n">
        <v>788</v>
      </c>
      <c r="B792" s="4" t="n">
        <v>293</v>
      </c>
      <c r="C792" s="4" t="n">
        <v>2</v>
      </c>
      <c r="D792" s="11" t="n">
        <v>46113</v>
      </c>
      <c r="E792" s="4" t="s">
        <v>204</v>
      </c>
      <c r="F792" s="4" t="s">
        <v>208</v>
      </c>
      <c r="G792" s="4" t="n">
        <v>3</v>
      </c>
      <c r="H792" s="4" t="n">
        <v>4</v>
      </c>
      <c r="I792" s="4" t="n">
        <v>0</v>
      </c>
      <c r="J792" s="4" t="n">
        <v>99</v>
      </c>
      <c r="K792" s="4" t="n">
        <v>0</v>
      </c>
      <c r="L792" s="12" t="n">
        <v>0.145714</v>
      </c>
      <c r="M792" s="12" t="n">
        <v>0.092063</v>
      </c>
      <c r="N792" s="12" t="n">
        <v>0.130221</v>
      </c>
      <c r="O792" s="12" t="n">
        <v>0.106183</v>
      </c>
      <c r="P792" s="12" t="n">
        <v>0.139387</v>
      </c>
      <c r="Q792" s="0" t="str">
        <f aca="false">IF(L792&gt;=Models!$G$5,1+COUNTIF($L$5:$L$1517,"&gt;"&amp;L792)+COUNTIFS($L$5:$L$1517,L792,$B$5:$B$1517,"&lt;"&amp;B792)+COUNTIFS($L$5:$L$1517,L792,$B$5:$B$1517,B792,$C$5:$C$1517,"&lt;"&amp;C792),"")</f>
        <v/>
      </c>
      <c r="R792" s="0" t="str">
        <f aca="false">IF(M792&gt;=Models!$G$6,1+COUNTIF($M$5:$M$1517,"&gt;"&amp;M792)+COUNTIFS($M$5:$M$1517,M792,$B$5:$B$1517,"&lt;"&amp;B792)+COUNTIFS($M$5:$M$1517,M792,$B$5:$B$1517,B792,$C$5:$C$1517,"&lt;"&amp;C792),"")</f>
        <v/>
      </c>
      <c r="S792" s="0" t="str">
        <f aca="false">IF(N792&gt;=Models!$G$7,1+COUNTIF($N$5:$N$1517,"&gt;"&amp;N792)+COUNTIFS($N$5:$N$1517,N792,$B$5:$B$1517,"&lt;"&amp;B792)+COUNTIFS($N$5:$N$1517,N792,$B$5:$B$1517,B792,$C$5:$C$1517,"&lt;"&amp;C792),"")</f>
        <v/>
      </c>
      <c r="T792" s="8" t="n">
        <f aca="false">IF(O792&gt;=Models!$G$8,1+COUNTIF($O$5:$O$1517,"&gt;"&amp;O792)+COUNTIFS($O$5:$O$1517,O792,$B$5:$B$1517,"&lt;"&amp;B792)+COUNTIFS($O$5:$O$1517,O792,$B$5:$B$1517,B792,$C$5:$C$1517,"&lt;"&amp;C792),"")</f>
        <v>208</v>
      </c>
      <c r="U792" s="8" t="n">
        <f aca="false">IF($K792=1,COUNTIFS($L$5:$L$1517,"&gt;="&amp;L792,$K$5:$K$1517,1)/COUNTIF($L$5:$L$1517,"&gt;="&amp;L792),0)</f>
        <v>0</v>
      </c>
      <c r="V792" s="8" t="n">
        <f aca="false">IF($K792=1,COUNTIFS($M$5:$M$1517,"&gt;="&amp;M792,$K$5:$K$1517,1)/COUNTIF($M$5:$M$1517,"&gt;="&amp;M792),0)</f>
        <v>0</v>
      </c>
      <c r="W792" s="8" t="n">
        <f aca="false">IF($K792=1,COUNTIFS($N$5:$N$1517,"&gt;="&amp;N792,$K$5:$K$1517,1)/COUNTIF($N$5:$N$1517,"&gt;="&amp;N792),0)</f>
        <v>0</v>
      </c>
      <c r="X792" s="8" t="n">
        <f aca="false">IF($K792=1,COUNTIFS($O$5:$O$1517,"&gt;="&amp;O792,$K$5:$K$1517,1)/COUNTIF($O$5:$O$1517,"&gt;="&amp;O792),0)</f>
        <v>0</v>
      </c>
      <c r="Y792" s="8" t="n">
        <f aca="false">IF($K792=1,COUNTIFS($P$5:$P$1517,"&gt;="&amp;P792,$K$5:$K$1517,1)/COUNTIF($P$5:$P$1517,"&gt;="&amp;P792),0)</f>
        <v>0</v>
      </c>
      <c r="Z792" s="8" t="n">
        <f aca="false">(L792-$K792)^2</f>
        <v>0.021232569796</v>
      </c>
      <c r="AA792" s="8" t="n">
        <f aca="false">(M792-$K792)^2</f>
        <v>0.008475595969</v>
      </c>
      <c r="AB792" s="8" t="n">
        <f aca="false">(N792-$K792)^2</f>
        <v>0.016957508841</v>
      </c>
      <c r="AC792" s="8" t="n">
        <f aca="false">(O792-$K792)^2</f>
        <v>0.011274829489</v>
      </c>
      <c r="AD792" s="8" t="n">
        <f aca="false">(P792-$K792)^2</f>
        <v>0.019428735769</v>
      </c>
      <c r="AE792" s="8" t="n">
        <f aca="false">MIN(INT(ROUND(N792*1000000,0)/100000),9)</f>
        <v>1</v>
      </c>
      <c r="AF792" s="8" t="n">
        <f aca="false">MIN(INT(ROUND(P792*1000000,0)/100000),9)</f>
        <v>1</v>
      </c>
    </row>
    <row r="793" customFormat="false" ht="15" hidden="false" customHeight="false" outlineLevel="0" collapsed="false">
      <c r="A793" s="4" t="n">
        <v>789</v>
      </c>
      <c r="B793" s="4" t="n">
        <v>304</v>
      </c>
      <c r="C793" s="4" t="n">
        <v>2</v>
      </c>
      <c r="D793" s="11" t="n">
        <v>46113</v>
      </c>
      <c r="E793" s="4" t="s">
        <v>204</v>
      </c>
      <c r="F793" s="4" t="s">
        <v>206</v>
      </c>
      <c r="G793" s="4" t="n">
        <v>4</v>
      </c>
      <c r="H793" s="4" t="n">
        <v>9</v>
      </c>
      <c r="I793" s="4" t="n">
        <v>0</v>
      </c>
      <c r="J793" s="4" t="n">
        <v>69</v>
      </c>
      <c r="K793" s="4" t="n">
        <v>0</v>
      </c>
      <c r="L793" s="12" t="n">
        <v>0.78895</v>
      </c>
      <c r="M793" s="12" t="n">
        <v>0.092063</v>
      </c>
      <c r="N793" s="12" t="n">
        <v>0.124959</v>
      </c>
      <c r="O793" s="12" t="n">
        <v>0.106183</v>
      </c>
      <c r="P793" s="12" t="n">
        <v>0.133552</v>
      </c>
      <c r="Q793" s="0" t="str">
        <f aca="false">IF(L793&gt;=Models!$G$5,1+COUNTIF($L$5:$L$1517,"&gt;"&amp;L793)+COUNTIFS($L$5:$L$1517,L793,$B$5:$B$1517,"&lt;"&amp;B793)+COUNTIFS($L$5:$L$1517,L793,$B$5:$B$1517,B793,$C$5:$C$1517,"&lt;"&amp;C793),"")</f>
        <v/>
      </c>
      <c r="R793" s="0" t="str">
        <f aca="false">IF(M793&gt;=Models!$G$6,1+COUNTIF($M$5:$M$1517,"&gt;"&amp;M793)+COUNTIFS($M$5:$M$1517,M793,$B$5:$B$1517,"&lt;"&amp;B793)+COUNTIFS($M$5:$M$1517,M793,$B$5:$B$1517,B793,$C$5:$C$1517,"&lt;"&amp;C793),"")</f>
        <v/>
      </c>
      <c r="S793" s="0" t="str">
        <f aca="false">IF(N793&gt;=Models!$G$7,1+COUNTIF($N$5:$N$1517,"&gt;"&amp;N793)+COUNTIFS($N$5:$N$1517,N793,$B$5:$B$1517,"&lt;"&amp;B793)+COUNTIFS($N$5:$N$1517,N793,$B$5:$B$1517,B793,$C$5:$C$1517,"&lt;"&amp;C793),"")</f>
        <v/>
      </c>
      <c r="T793" s="8" t="n">
        <f aca="false">IF(O793&gt;=Models!$G$8,1+COUNTIF($O$5:$O$1517,"&gt;"&amp;O793)+COUNTIFS($O$5:$O$1517,O793,$B$5:$B$1517,"&lt;"&amp;B793)+COUNTIFS($O$5:$O$1517,O793,$B$5:$B$1517,B793,$C$5:$C$1517,"&lt;"&amp;C793),"")</f>
        <v>212</v>
      </c>
      <c r="U793" s="8" t="n">
        <f aca="false">IF($K793=1,COUNTIFS($L$5:$L$1517,"&gt;="&amp;L793,$K$5:$K$1517,1)/COUNTIF($L$5:$L$1517,"&gt;="&amp;L793),0)</f>
        <v>0</v>
      </c>
      <c r="V793" s="8" t="n">
        <f aca="false">IF($K793=1,COUNTIFS($M$5:$M$1517,"&gt;="&amp;M793,$K$5:$K$1517,1)/COUNTIF($M$5:$M$1517,"&gt;="&amp;M793),0)</f>
        <v>0</v>
      </c>
      <c r="W793" s="8" t="n">
        <f aca="false">IF($K793=1,COUNTIFS($N$5:$N$1517,"&gt;="&amp;N793,$K$5:$K$1517,1)/COUNTIF($N$5:$N$1517,"&gt;="&amp;N793),0)</f>
        <v>0</v>
      </c>
      <c r="X793" s="8" t="n">
        <f aca="false">IF($K793=1,COUNTIFS($O$5:$O$1517,"&gt;="&amp;O793,$K$5:$K$1517,1)/COUNTIF($O$5:$O$1517,"&gt;="&amp;O793),0)</f>
        <v>0</v>
      </c>
      <c r="Y793" s="8" t="n">
        <f aca="false">IF($K793=1,COUNTIFS($P$5:$P$1517,"&gt;="&amp;P793,$K$5:$K$1517,1)/COUNTIF($P$5:$P$1517,"&gt;="&amp;P793),0)</f>
        <v>0</v>
      </c>
      <c r="Z793" s="8" t="n">
        <f aca="false">(L793-$K793)^2</f>
        <v>0.6224421025</v>
      </c>
      <c r="AA793" s="8" t="n">
        <f aca="false">(M793-$K793)^2</f>
        <v>0.008475595969</v>
      </c>
      <c r="AB793" s="8" t="n">
        <f aca="false">(N793-$K793)^2</f>
        <v>0.015614751681</v>
      </c>
      <c r="AC793" s="8" t="n">
        <f aca="false">(O793-$K793)^2</f>
        <v>0.011274829489</v>
      </c>
      <c r="AD793" s="8" t="n">
        <f aca="false">(P793-$K793)^2</f>
        <v>0.017836136704</v>
      </c>
      <c r="AE793" s="8" t="n">
        <f aca="false">MIN(INT(ROUND(N793*1000000,0)/100000),9)</f>
        <v>1</v>
      </c>
      <c r="AF793" s="8" t="n">
        <f aca="false">MIN(INT(ROUND(P793*1000000,0)/100000),9)</f>
        <v>1</v>
      </c>
    </row>
    <row r="794" customFormat="false" ht="15" hidden="false" customHeight="false" outlineLevel="0" collapsed="false">
      <c r="A794" s="4" t="n">
        <v>790</v>
      </c>
      <c r="B794" s="4" t="n">
        <v>317</v>
      </c>
      <c r="C794" s="4" t="n">
        <v>2</v>
      </c>
      <c r="D794" s="11" t="n">
        <v>46113</v>
      </c>
      <c r="E794" s="4" t="s">
        <v>204</v>
      </c>
      <c r="F794" s="4" t="s">
        <v>206</v>
      </c>
      <c r="G794" s="4" t="n">
        <v>9</v>
      </c>
      <c r="H794" s="4" t="n">
        <v>1</v>
      </c>
      <c r="I794" s="4" t="n">
        <v>0</v>
      </c>
      <c r="J794" s="4" t="n">
        <v>78</v>
      </c>
      <c r="K794" s="4" t="n">
        <v>0</v>
      </c>
      <c r="L794" s="12" t="n">
        <v>0.158952</v>
      </c>
      <c r="M794" s="12" t="n">
        <v>0.092063</v>
      </c>
      <c r="N794" s="12" t="n">
        <v>0.078542</v>
      </c>
      <c r="O794" s="12" t="n">
        <v>0.106183</v>
      </c>
      <c r="P794" s="12" t="n">
        <v>0.082375</v>
      </c>
      <c r="Q794" s="0" t="str">
        <f aca="false">IF(L794&gt;=Models!$G$5,1+COUNTIF($L$5:$L$1517,"&gt;"&amp;L794)+COUNTIFS($L$5:$L$1517,L794,$B$5:$B$1517,"&lt;"&amp;B794)+COUNTIFS($L$5:$L$1517,L794,$B$5:$B$1517,B794,$C$5:$C$1517,"&lt;"&amp;C794),"")</f>
        <v/>
      </c>
      <c r="R794" s="0" t="str">
        <f aca="false">IF(M794&gt;=Models!$G$6,1+COUNTIF($M$5:$M$1517,"&gt;"&amp;M794)+COUNTIFS($M$5:$M$1517,M794,$B$5:$B$1517,"&lt;"&amp;B794)+COUNTIFS($M$5:$M$1517,M794,$B$5:$B$1517,B794,$C$5:$C$1517,"&lt;"&amp;C794),"")</f>
        <v/>
      </c>
      <c r="S794" s="0" t="str">
        <f aca="false">IF(N794&gt;=Models!$G$7,1+COUNTIF($N$5:$N$1517,"&gt;"&amp;N794)+COUNTIFS($N$5:$N$1517,N794,$B$5:$B$1517,"&lt;"&amp;B794)+COUNTIFS($N$5:$N$1517,N794,$B$5:$B$1517,B794,$C$5:$C$1517,"&lt;"&amp;C794),"")</f>
        <v/>
      </c>
      <c r="T794" s="8" t="n">
        <f aca="false">IF(O794&gt;=Models!$G$8,1+COUNTIF($O$5:$O$1517,"&gt;"&amp;O794)+COUNTIFS($O$5:$O$1517,O794,$B$5:$B$1517,"&lt;"&amp;B794)+COUNTIFS($O$5:$O$1517,O794,$B$5:$B$1517,B794,$C$5:$C$1517,"&lt;"&amp;C794),"")</f>
        <v>216</v>
      </c>
      <c r="U794" s="8" t="n">
        <f aca="false">IF($K794=1,COUNTIFS($L$5:$L$1517,"&gt;="&amp;L794,$K$5:$K$1517,1)/COUNTIF($L$5:$L$1517,"&gt;="&amp;L794),0)</f>
        <v>0</v>
      </c>
      <c r="V794" s="8" t="n">
        <f aca="false">IF($K794=1,COUNTIFS($M$5:$M$1517,"&gt;="&amp;M794,$K$5:$K$1517,1)/COUNTIF($M$5:$M$1517,"&gt;="&amp;M794),0)</f>
        <v>0</v>
      </c>
      <c r="W794" s="8" t="n">
        <f aca="false">IF($K794=1,COUNTIFS($N$5:$N$1517,"&gt;="&amp;N794,$K$5:$K$1517,1)/COUNTIF($N$5:$N$1517,"&gt;="&amp;N794),0)</f>
        <v>0</v>
      </c>
      <c r="X794" s="8" t="n">
        <f aca="false">IF($K794=1,COUNTIFS($O$5:$O$1517,"&gt;="&amp;O794,$K$5:$K$1517,1)/COUNTIF($O$5:$O$1517,"&gt;="&amp;O794),0)</f>
        <v>0</v>
      </c>
      <c r="Y794" s="8" t="n">
        <f aca="false">IF($K794=1,COUNTIFS($P$5:$P$1517,"&gt;="&amp;P794,$K$5:$K$1517,1)/COUNTIF($P$5:$P$1517,"&gt;="&amp;P794),0)</f>
        <v>0</v>
      </c>
      <c r="Z794" s="8" t="n">
        <f aca="false">(L794-$K794)^2</f>
        <v>0.025265738304</v>
      </c>
      <c r="AA794" s="8" t="n">
        <f aca="false">(M794-$K794)^2</f>
        <v>0.008475595969</v>
      </c>
      <c r="AB794" s="8" t="n">
        <f aca="false">(N794-$K794)^2</f>
        <v>0.006168845764</v>
      </c>
      <c r="AC794" s="8" t="n">
        <f aca="false">(O794-$K794)^2</f>
        <v>0.011274829489</v>
      </c>
      <c r="AD794" s="8" t="n">
        <f aca="false">(P794-$K794)^2</f>
        <v>0.006785640625</v>
      </c>
      <c r="AE794" s="8" t="n">
        <f aca="false">MIN(INT(ROUND(N794*1000000,0)/100000),9)</f>
        <v>0</v>
      </c>
      <c r="AF794" s="8" t="n">
        <f aca="false">MIN(INT(ROUND(P794*1000000,0)/100000),9)</f>
        <v>0</v>
      </c>
    </row>
    <row r="795" customFormat="false" ht="15" hidden="false" customHeight="false" outlineLevel="0" collapsed="false">
      <c r="A795" s="4" t="n">
        <v>791</v>
      </c>
      <c r="B795" s="4" t="n">
        <v>319</v>
      </c>
      <c r="C795" s="4" t="n">
        <v>2</v>
      </c>
      <c r="D795" s="11" t="n">
        <v>46113</v>
      </c>
      <c r="E795" s="4" t="s">
        <v>203</v>
      </c>
      <c r="F795" s="4" t="s">
        <v>210</v>
      </c>
      <c r="G795" s="4" t="n">
        <v>5</v>
      </c>
      <c r="H795" s="4" t="n">
        <v>3</v>
      </c>
      <c r="I795" s="4" t="n">
        <v>0</v>
      </c>
      <c r="J795" s="4" t="n">
        <v>321</v>
      </c>
      <c r="K795" s="4" t="n">
        <v>0</v>
      </c>
      <c r="L795" s="12" t="n">
        <v>0.735975</v>
      </c>
      <c r="M795" s="12" t="n">
        <v>0.092063</v>
      </c>
      <c r="N795" s="12" t="n">
        <v>0.109089</v>
      </c>
      <c r="O795" s="12" t="n">
        <v>0.106183</v>
      </c>
      <c r="P795" s="12" t="n">
        <v>0.115984</v>
      </c>
      <c r="Q795" s="0" t="str">
        <f aca="false">IF(L795&gt;=Models!$G$5,1+COUNTIF($L$5:$L$1517,"&gt;"&amp;L795)+COUNTIFS($L$5:$L$1517,L795,$B$5:$B$1517,"&lt;"&amp;B795)+COUNTIFS($L$5:$L$1517,L795,$B$5:$B$1517,B795,$C$5:$C$1517,"&lt;"&amp;C795),"")</f>
        <v/>
      </c>
      <c r="R795" s="0" t="str">
        <f aca="false">IF(M795&gt;=Models!$G$6,1+COUNTIF($M$5:$M$1517,"&gt;"&amp;M795)+COUNTIFS($M$5:$M$1517,M795,$B$5:$B$1517,"&lt;"&amp;B795)+COUNTIFS($M$5:$M$1517,M795,$B$5:$B$1517,B795,$C$5:$C$1517,"&lt;"&amp;C795),"")</f>
        <v/>
      </c>
      <c r="S795" s="0" t="str">
        <f aca="false">IF(N795&gt;=Models!$G$7,1+COUNTIF($N$5:$N$1517,"&gt;"&amp;N795)+COUNTIFS($N$5:$N$1517,N795,$B$5:$B$1517,"&lt;"&amp;B795)+COUNTIFS($N$5:$N$1517,N795,$B$5:$B$1517,B795,$C$5:$C$1517,"&lt;"&amp;C795),"")</f>
        <v/>
      </c>
      <c r="T795" s="8" t="n">
        <f aca="false">IF(O795&gt;=Models!$G$8,1+COUNTIF($O$5:$O$1517,"&gt;"&amp;O795)+COUNTIFS($O$5:$O$1517,O795,$B$5:$B$1517,"&lt;"&amp;B795)+COUNTIFS($O$5:$O$1517,O795,$B$5:$B$1517,B795,$C$5:$C$1517,"&lt;"&amp;C795),"")</f>
        <v>222</v>
      </c>
      <c r="U795" s="8" t="n">
        <f aca="false">IF($K795=1,COUNTIFS($L$5:$L$1517,"&gt;="&amp;L795,$K$5:$K$1517,1)/COUNTIF($L$5:$L$1517,"&gt;="&amp;L795),0)</f>
        <v>0</v>
      </c>
      <c r="V795" s="8" t="n">
        <f aca="false">IF($K795=1,COUNTIFS($M$5:$M$1517,"&gt;="&amp;M795,$K$5:$K$1517,1)/COUNTIF($M$5:$M$1517,"&gt;="&amp;M795),0)</f>
        <v>0</v>
      </c>
      <c r="W795" s="8" t="n">
        <f aca="false">IF($K795=1,COUNTIFS($N$5:$N$1517,"&gt;="&amp;N795,$K$5:$K$1517,1)/COUNTIF($N$5:$N$1517,"&gt;="&amp;N795),0)</f>
        <v>0</v>
      </c>
      <c r="X795" s="8" t="n">
        <f aca="false">IF($K795=1,COUNTIFS($O$5:$O$1517,"&gt;="&amp;O795,$K$5:$K$1517,1)/COUNTIF($O$5:$O$1517,"&gt;="&amp;O795),0)</f>
        <v>0</v>
      </c>
      <c r="Y795" s="8" t="n">
        <f aca="false">IF($K795=1,COUNTIFS($P$5:$P$1517,"&gt;="&amp;P795,$K$5:$K$1517,1)/COUNTIF($P$5:$P$1517,"&gt;="&amp;P795),0)</f>
        <v>0</v>
      </c>
      <c r="Z795" s="8" t="n">
        <f aca="false">(L795-$K795)^2</f>
        <v>0.541659200625</v>
      </c>
      <c r="AA795" s="8" t="n">
        <f aca="false">(M795-$K795)^2</f>
        <v>0.008475595969</v>
      </c>
      <c r="AB795" s="8" t="n">
        <f aca="false">(N795-$K795)^2</f>
        <v>0.011900409921</v>
      </c>
      <c r="AC795" s="8" t="n">
        <f aca="false">(O795-$K795)^2</f>
        <v>0.011274829489</v>
      </c>
      <c r="AD795" s="8" t="n">
        <f aca="false">(P795-$K795)^2</f>
        <v>0.013452288256</v>
      </c>
      <c r="AE795" s="8" t="n">
        <f aca="false">MIN(INT(ROUND(N795*1000000,0)/100000),9)</f>
        <v>1</v>
      </c>
      <c r="AF795" s="8" t="n">
        <f aca="false">MIN(INT(ROUND(P795*1000000,0)/100000),9)</f>
        <v>1</v>
      </c>
    </row>
    <row r="796" customFormat="false" ht="15" hidden="false" customHeight="false" outlineLevel="0" collapsed="false">
      <c r="A796" s="4" t="n">
        <v>792</v>
      </c>
      <c r="B796" s="4" t="n">
        <v>324</v>
      </c>
      <c r="C796" s="4" t="n">
        <v>2</v>
      </c>
      <c r="D796" s="11" t="n">
        <v>46113</v>
      </c>
      <c r="E796" s="4" t="s">
        <v>202</v>
      </c>
      <c r="F796" s="4" t="s">
        <v>207</v>
      </c>
      <c r="G796" s="4" t="n">
        <v>15</v>
      </c>
      <c r="H796" s="4" t="n">
        <v>1</v>
      </c>
      <c r="I796" s="4" t="n">
        <v>0</v>
      </c>
      <c r="J796" s="4"/>
      <c r="K796" s="4" t="n">
        <v>0</v>
      </c>
      <c r="L796" s="12" t="n">
        <v>0.625392</v>
      </c>
      <c r="M796" s="12" t="n">
        <v>0.092063</v>
      </c>
      <c r="N796" s="12" t="n">
        <v>0.022877</v>
      </c>
      <c r="O796" s="12" t="n">
        <v>0.106183</v>
      </c>
      <c r="P796" s="12" t="n">
        <v>0.022662</v>
      </c>
      <c r="Q796" s="0" t="str">
        <f aca="false">IF(L796&gt;=Models!$G$5,1+COUNTIF($L$5:$L$1517,"&gt;"&amp;L796)+COUNTIFS($L$5:$L$1517,L796,$B$5:$B$1517,"&lt;"&amp;B796)+COUNTIFS($L$5:$L$1517,L796,$B$5:$B$1517,B796,$C$5:$C$1517,"&lt;"&amp;C796),"")</f>
        <v/>
      </c>
      <c r="R796" s="0" t="str">
        <f aca="false">IF(M796&gt;=Models!$G$6,1+COUNTIF($M$5:$M$1517,"&gt;"&amp;M796)+COUNTIFS($M$5:$M$1517,M796,$B$5:$B$1517,"&lt;"&amp;B796)+COUNTIFS($M$5:$M$1517,M796,$B$5:$B$1517,B796,$C$5:$C$1517,"&lt;"&amp;C796),"")</f>
        <v/>
      </c>
      <c r="S796" s="0" t="str">
        <f aca="false">IF(N796&gt;=Models!$G$7,1+COUNTIF($N$5:$N$1517,"&gt;"&amp;N796)+COUNTIFS($N$5:$N$1517,N796,$B$5:$B$1517,"&lt;"&amp;B796)+COUNTIFS($N$5:$N$1517,N796,$B$5:$B$1517,B796,$C$5:$C$1517,"&lt;"&amp;C796),"")</f>
        <v/>
      </c>
      <c r="T796" s="8" t="n">
        <f aca="false">IF(O796&gt;=Models!$G$8,1+COUNTIF($O$5:$O$1517,"&gt;"&amp;O796)+COUNTIFS($O$5:$O$1517,O796,$B$5:$B$1517,"&lt;"&amp;B796)+COUNTIFS($O$5:$O$1517,O796,$B$5:$B$1517,B796,$C$5:$C$1517,"&lt;"&amp;C796),"")</f>
        <v>226</v>
      </c>
      <c r="U796" s="8" t="n">
        <f aca="false">IF($K796=1,COUNTIFS($L$5:$L$1517,"&gt;="&amp;L796,$K$5:$K$1517,1)/COUNTIF($L$5:$L$1517,"&gt;="&amp;L796),0)</f>
        <v>0</v>
      </c>
      <c r="V796" s="8" t="n">
        <f aca="false">IF($K796=1,COUNTIFS($M$5:$M$1517,"&gt;="&amp;M796,$K$5:$K$1517,1)/COUNTIF($M$5:$M$1517,"&gt;="&amp;M796),0)</f>
        <v>0</v>
      </c>
      <c r="W796" s="8" t="n">
        <f aca="false">IF($K796=1,COUNTIFS($N$5:$N$1517,"&gt;="&amp;N796,$K$5:$K$1517,1)/COUNTIF($N$5:$N$1517,"&gt;="&amp;N796),0)</f>
        <v>0</v>
      </c>
      <c r="X796" s="8" t="n">
        <f aca="false">IF($K796=1,COUNTIFS($O$5:$O$1517,"&gt;="&amp;O796,$K$5:$K$1517,1)/COUNTIF($O$5:$O$1517,"&gt;="&amp;O796),0)</f>
        <v>0</v>
      </c>
      <c r="Y796" s="8" t="n">
        <f aca="false">IF($K796=1,COUNTIFS($P$5:$P$1517,"&gt;="&amp;P796,$K$5:$K$1517,1)/COUNTIF($P$5:$P$1517,"&gt;="&amp;P796),0)</f>
        <v>0</v>
      </c>
      <c r="Z796" s="8" t="n">
        <f aca="false">(L796-$K796)^2</f>
        <v>0.391115153664</v>
      </c>
      <c r="AA796" s="8" t="n">
        <f aca="false">(M796-$K796)^2</f>
        <v>0.008475595969</v>
      </c>
      <c r="AB796" s="8" t="n">
        <f aca="false">(N796-$K796)^2</f>
        <v>0.000523357129</v>
      </c>
      <c r="AC796" s="8" t="n">
        <f aca="false">(O796-$K796)^2</f>
        <v>0.011274829489</v>
      </c>
      <c r="AD796" s="8" t="n">
        <f aca="false">(P796-$K796)^2</f>
        <v>0.000513566244</v>
      </c>
      <c r="AE796" s="8" t="n">
        <f aca="false">MIN(INT(ROUND(N796*1000000,0)/100000),9)</f>
        <v>0</v>
      </c>
      <c r="AF796" s="8" t="n">
        <f aca="false">MIN(INT(ROUND(P796*1000000,0)/100000),9)</f>
        <v>0</v>
      </c>
    </row>
    <row r="797" customFormat="false" ht="15" hidden="false" customHeight="false" outlineLevel="0" collapsed="false">
      <c r="A797" s="4" t="n">
        <v>793</v>
      </c>
      <c r="B797" s="4" t="n">
        <v>325</v>
      </c>
      <c r="C797" s="4" t="n">
        <v>2</v>
      </c>
      <c r="D797" s="11" t="n">
        <v>46113</v>
      </c>
      <c r="E797" s="4" t="s">
        <v>202</v>
      </c>
      <c r="F797" s="4" t="s">
        <v>210</v>
      </c>
      <c r="G797" s="4" t="n">
        <v>6</v>
      </c>
      <c r="H797" s="4" t="n">
        <v>1</v>
      </c>
      <c r="I797" s="4" t="n">
        <v>0</v>
      </c>
      <c r="J797" s="4"/>
      <c r="K797" s="4" t="n">
        <v>1</v>
      </c>
      <c r="L797" s="12" t="n">
        <v>0.745643</v>
      </c>
      <c r="M797" s="12" t="n">
        <v>0.092063</v>
      </c>
      <c r="N797" s="12" t="n">
        <v>0.049993</v>
      </c>
      <c r="O797" s="12" t="n">
        <v>0.106183</v>
      </c>
      <c r="P797" s="12" t="n">
        <v>0.051383</v>
      </c>
      <c r="Q797" s="0" t="str">
        <f aca="false">IF(L797&gt;=Models!$G$5,1+COUNTIF($L$5:$L$1517,"&gt;"&amp;L797)+COUNTIFS($L$5:$L$1517,L797,$B$5:$B$1517,"&lt;"&amp;B797)+COUNTIFS($L$5:$L$1517,L797,$B$5:$B$1517,B797,$C$5:$C$1517,"&lt;"&amp;C797),"")</f>
        <v/>
      </c>
      <c r="R797" s="0" t="str">
        <f aca="false">IF(M797&gt;=Models!$G$6,1+COUNTIF($M$5:$M$1517,"&gt;"&amp;M797)+COUNTIFS($M$5:$M$1517,M797,$B$5:$B$1517,"&lt;"&amp;B797)+COUNTIFS($M$5:$M$1517,M797,$B$5:$B$1517,B797,$C$5:$C$1517,"&lt;"&amp;C797),"")</f>
        <v/>
      </c>
      <c r="S797" s="0" t="str">
        <f aca="false">IF(N797&gt;=Models!$G$7,1+COUNTIF($N$5:$N$1517,"&gt;"&amp;N797)+COUNTIFS($N$5:$N$1517,N797,$B$5:$B$1517,"&lt;"&amp;B797)+COUNTIFS($N$5:$N$1517,N797,$B$5:$B$1517,B797,$C$5:$C$1517,"&lt;"&amp;C797),"")</f>
        <v/>
      </c>
      <c r="T797" s="8" t="n">
        <f aca="false">IF(O797&gt;=Models!$G$8,1+COUNTIF($O$5:$O$1517,"&gt;"&amp;O797)+COUNTIFS($O$5:$O$1517,O797,$B$5:$B$1517,"&lt;"&amp;B797)+COUNTIFS($O$5:$O$1517,O797,$B$5:$B$1517,B797,$C$5:$C$1517,"&lt;"&amp;C797),"")</f>
        <v>230</v>
      </c>
      <c r="U797" s="8" t="n">
        <f aca="false">IF($K797=1,COUNTIFS($L$5:$L$1517,"&gt;="&amp;L797,$K$5:$K$1517,1)/COUNTIF($L$5:$L$1517,"&gt;="&amp;L797),0)</f>
        <v>0.141304347826087</v>
      </c>
      <c r="V797" s="8" t="n">
        <f aca="false">IF($K797=1,COUNTIFS($M$5:$M$1517,"&gt;="&amp;M797,$K$5:$K$1517,1)/COUNTIF($M$5:$M$1517,"&gt;="&amp;M797),0)</f>
        <v>0.12491738268341</v>
      </c>
      <c r="W797" s="8" t="n">
        <f aca="false">IF($K797=1,COUNTIFS($N$5:$N$1517,"&gt;="&amp;N797,$K$5:$K$1517,1)/COUNTIF($N$5:$N$1517,"&gt;="&amp;N797),0)</f>
        <v>0.149078726968174</v>
      </c>
      <c r="X797" s="8" t="n">
        <f aca="false">IF($K797=1,COUNTIFS($O$5:$O$1517,"&gt;="&amp;O797,$K$5:$K$1517,1)/COUNTIF($O$5:$O$1517,"&gt;="&amp;O797),0)</f>
        <v>0.12491738268341</v>
      </c>
      <c r="Y797" s="8" t="n">
        <f aca="false">IF($K797=1,COUNTIFS($P$5:$P$1517,"&gt;="&amp;P797,$K$5:$K$1517,1)/COUNTIF($P$5:$P$1517,"&gt;="&amp;P797),0)</f>
        <v>0.149078726968174</v>
      </c>
      <c r="Z797" s="8" t="n">
        <f aca="false">(L797-$K797)^2</f>
        <v>0.064697483449</v>
      </c>
      <c r="AA797" s="8" t="n">
        <f aca="false">(M797-$K797)^2</f>
        <v>0.824349595969</v>
      </c>
      <c r="AB797" s="8" t="n">
        <f aca="false">(N797-$K797)^2</f>
        <v>0.902513300049</v>
      </c>
      <c r="AC797" s="8" t="n">
        <f aca="false">(O797-$K797)^2</f>
        <v>0.798908829489</v>
      </c>
      <c r="AD797" s="8" t="n">
        <f aca="false">(P797-$K797)^2</f>
        <v>0.899874212689</v>
      </c>
      <c r="AE797" s="8" t="n">
        <f aca="false">MIN(INT(ROUND(N797*1000000,0)/100000),9)</f>
        <v>0</v>
      </c>
      <c r="AF797" s="8" t="n">
        <f aca="false">MIN(INT(ROUND(P797*1000000,0)/100000),9)</f>
        <v>0</v>
      </c>
    </row>
    <row r="798" customFormat="false" ht="15" hidden="false" customHeight="false" outlineLevel="0" collapsed="false">
      <c r="A798" s="4" t="n">
        <v>794</v>
      </c>
      <c r="B798" s="4" t="n">
        <v>335</v>
      </c>
      <c r="C798" s="4" t="n">
        <v>2</v>
      </c>
      <c r="D798" s="11" t="n">
        <v>46113</v>
      </c>
      <c r="E798" s="4" t="s">
        <v>203</v>
      </c>
      <c r="F798" s="4" t="s">
        <v>206</v>
      </c>
      <c r="G798" s="4" t="n">
        <v>6</v>
      </c>
      <c r="H798" s="4" t="n">
        <v>3</v>
      </c>
      <c r="I798" s="4" t="n">
        <v>0</v>
      </c>
      <c r="J798" s="4" t="n">
        <v>423</v>
      </c>
      <c r="K798" s="4" t="n">
        <v>0</v>
      </c>
      <c r="L798" s="12" t="n">
        <v>0.612904</v>
      </c>
      <c r="M798" s="12" t="n">
        <v>0.092063</v>
      </c>
      <c r="N798" s="12" t="n">
        <v>0.100111</v>
      </c>
      <c r="O798" s="12" t="n">
        <v>0.106183</v>
      </c>
      <c r="P798" s="12" t="n">
        <v>0.106073</v>
      </c>
      <c r="Q798" s="0" t="str">
        <f aca="false">IF(L798&gt;=Models!$G$5,1+COUNTIF($L$5:$L$1517,"&gt;"&amp;L798)+COUNTIFS($L$5:$L$1517,L798,$B$5:$B$1517,"&lt;"&amp;B798)+COUNTIFS($L$5:$L$1517,L798,$B$5:$B$1517,B798,$C$5:$C$1517,"&lt;"&amp;C798),"")</f>
        <v/>
      </c>
      <c r="R798" s="0" t="str">
        <f aca="false">IF(M798&gt;=Models!$G$6,1+COUNTIF($M$5:$M$1517,"&gt;"&amp;M798)+COUNTIFS($M$5:$M$1517,M798,$B$5:$B$1517,"&lt;"&amp;B798)+COUNTIFS($M$5:$M$1517,M798,$B$5:$B$1517,B798,$C$5:$C$1517,"&lt;"&amp;C798),"")</f>
        <v/>
      </c>
      <c r="S798" s="0" t="str">
        <f aca="false">IF(N798&gt;=Models!$G$7,1+COUNTIF($N$5:$N$1517,"&gt;"&amp;N798)+COUNTIFS($N$5:$N$1517,N798,$B$5:$B$1517,"&lt;"&amp;B798)+COUNTIFS($N$5:$N$1517,N798,$B$5:$B$1517,B798,$C$5:$C$1517,"&lt;"&amp;C798),"")</f>
        <v/>
      </c>
      <c r="T798" s="8" t="n">
        <f aca="false">IF(O798&gt;=Models!$G$8,1+COUNTIF($O$5:$O$1517,"&gt;"&amp;O798)+COUNTIFS($O$5:$O$1517,O798,$B$5:$B$1517,"&lt;"&amp;B798)+COUNTIFS($O$5:$O$1517,O798,$B$5:$B$1517,B798,$C$5:$C$1517,"&lt;"&amp;C798),"")</f>
        <v>234</v>
      </c>
      <c r="U798" s="8" t="n">
        <f aca="false">IF($K798=1,COUNTIFS($L$5:$L$1517,"&gt;="&amp;L798,$K$5:$K$1517,1)/COUNTIF($L$5:$L$1517,"&gt;="&amp;L798),0)</f>
        <v>0</v>
      </c>
      <c r="V798" s="8" t="n">
        <f aca="false">IF($K798=1,COUNTIFS($M$5:$M$1517,"&gt;="&amp;M798,$K$5:$K$1517,1)/COUNTIF($M$5:$M$1517,"&gt;="&amp;M798),0)</f>
        <v>0</v>
      </c>
      <c r="W798" s="8" t="n">
        <f aca="false">IF($K798=1,COUNTIFS($N$5:$N$1517,"&gt;="&amp;N798,$K$5:$K$1517,1)/COUNTIF($N$5:$N$1517,"&gt;="&amp;N798),0)</f>
        <v>0</v>
      </c>
      <c r="X798" s="8" t="n">
        <f aca="false">IF($K798=1,COUNTIFS($O$5:$O$1517,"&gt;="&amp;O798,$K$5:$K$1517,1)/COUNTIF($O$5:$O$1517,"&gt;="&amp;O798),0)</f>
        <v>0</v>
      </c>
      <c r="Y798" s="8" t="n">
        <f aca="false">IF($K798=1,COUNTIFS($P$5:$P$1517,"&gt;="&amp;P798,$K$5:$K$1517,1)/COUNTIF($P$5:$P$1517,"&gt;="&amp;P798),0)</f>
        <v>0</v>
      </c>
      <c r="Z798" s="8" t="n">
        <f aca="false">(L798-$K798)^2</f>
        <v>0.375651313216</v>
      </c>
      <c r="AA798" s="8" t="n">
        <f aca="false">(M798-$K798)^2</f>
        <v>0.008475595969</v>
      </c>
      <c r="AB798" s="8" t="n">
        <f aca="false">(N798-$K798)^2</f>
        <v>0.010022212321</v>
      </c>
      <c r="AC798" s="8" t="n">
        <f aca="false">(O798-$K798)^2</f>
        <v>0.011274829489</v>
      </c>
      <c r="AD798" s="8" t="n">
        <f aca="false">(P798-$K798)^2</f>
        <v>0.011251481329</v>
      </c>
      <c r="AE798" s="8" t="n">
        <f aca="false">MIN(INT(ROUND(N798*1000000,0)/100000),9)</f>
        <v>1</v>
      </c>
      <c r="AF798" s="8" t="n">
        <f aca="false">MIN(INT(ROUND(P798*1000000,0)/100000),9)</f>
        <v>1</v>
      </c>
    </row>
    <row r="799" customFormat="false" ht="15" hidden="false" customHeight="false" outlineLevel="0" collapsed="false">
      <c r="A799" s="4" t="n">
        <v>795</v>
      </c>
      <c r="B799" s="4" t="n">
        <v>336</v>
      </c>
      <c r="C799" s="4" t="n">
        <v>2</v>
      </c>
      <c r="D799" s="11" t="n">
        <v>46113</v>
      </c>
      <c r="E799" s="4" t="s">
        <v>202</v>
      </c>
      <c r="F799" s="4" t="s">
        <v>206</v>
      </c>
      <c r="G799" s="4" t="n">
        <v>15</v>
      </c>
      <c r="H799" s="4" t="n">
        <v>2</v>
      </c>
      <c r="I799" s="4" t="n">
        <v>0</v>
      </c>
      <c r="J799" s="4" t="n">
        <v>1176</v>
      </c>
      <c r="K799" s="4" t="n">
        <v>0</v>
      </c>
      <c r="L799" s="12" t="n">
        <v>0.727181</v>
      </c>
      <c r="M799" s="12" t="n">
        <v>0.092063</v>
      </c>
      <c r="N799" s="12" t="n">
        <v>0.04488</v>
      </c>
      <c r="O799" s="12" t="n">
        <v>0.106183</v>
      </c>
      <c r="P799" s="12" t="n">
        <v>0.045898</v>
      </c>
      <c r="Q799" s="0" t="str">
        <f aca="false">IF(L799&gt;=Models!$G$5,1+COUNTIF($L$5:$L$1517,"&gt;"&amp;L799)+COUNTIFS($L$5:$L$1517,L799,$B$5:$B$1517,"&lt;"&amp;B799)+COUNTIFS($L$5:$L$1517,L799,$B$5:$B$1517,B799,$C$5:$C$1517,"&lt;"&amp;C799),"")</f>
        <v/>
      </c>
      <c r="R799" s="0" t="str">
        <f aca="false">IF(M799&gt;=Models!$G$6,1+COUNTIF($M$5:$M$1517,"&gt;"&amp;M799)+COUNTIFS($M$5:$M$1517,M799,$B$5:$B$1517,"&lt;"&amp;B799)+COUNTIFS($M$5:$M$1517,M799,$B$5:$B$1517,B799,$C$5:$C$1517,"&lt;"&amp;C799),"")</f>
        <v/>
      </c>
      <c r="S799" s="0" t="str">
        <f aca="false">IF(N799&gt;=Models!$G$7,1+COUNTIF($N$5:$N$1517,"&gt;"&amp;N799)+COUNTIFS($N$5:$N$1517,N799,$B$5:$B$1517,"&lt;"&amp;B799)+COUNTIFS($N$5:$N$1517,N799,$B$5:$B$1517,B799,$C$5:$C$1517,"&lt;"&amp;C799),"")</f>
        <v/>
      </c>
      <c r="T799" s="8" t="n">
        <f aca="false">IF(O799&gt;=Models!$G$8,1+COUNTIF($O$5:$O$1517,"&gt;"&amp;O799)+COUNTIFS($O$5:$O$1517,O799,$B$5:$B$1517,"&lt;"&amp;B799)+COUNTIFS($O$5:$O$1517,O799,$B$5:$B$1517,B799,$C$5:$C$1517,"&lt;"&amp;C799),"")</f>
        <v>238</v>
      </c>
      <c r="U799" s="8" t="n">
        <f aca="false">IF($K799=1,COUNTIFS($L$5:$L$1517,"&gt;="&amp;L799,$K$5:$K$1517,1)/COUNTIF($L$5:$L$1517,"&gt;="&amp;L799),0)</f>
        <v>0</v>
      </c>
      <c r="V799" s="8" t="n">
        <f aca="false">IF($K799=1,COUNTIFS($M$5:$M$1517,"&gt;="&amp;M799,$K$5:$K$1517,1)/COUNTIF($M$5:$M$1517,"&gt;="&amp;M799),0)</f>
        <v>0</v>
      </c>
      <c r="W799" s="8" t="n">
        <f aca="false">IF($K799=1,COUNTIFS($N$5:$N$1517,"&gt;="&amp;N799,$K$5:$K$1517,1)/COUNTIF($N$5:$N$1517,"&gt;="&amp;N799),0)</f>
        <v>0</v>
      </c>
      <c r="X799" s="8" t="n">
        <f aca="false">IF($K799=1,COUNTIFS($O$5:$O$1517,"&gt;="&amp;O799,$K$5:$K$1517,1)/COUNTIF($O$5:$O$1517,"&gt;="&amp;O799),0)</f>
        <v>0</v>
      </c>
      <c r="Y799" s="8" t="n">
        <f aca="false">IF($K799=1,COUNTIFS($P$5:$P$1517,"&gt;="&amp;P799,$K$5:$K$1517,1)/COUNTIF($P$5:$P$1517,"&gt;="&amp;P799),0)</f>
        <v>0</v>
      </c>
      <c r="Z799" s="8" t="n">
        <f aca="false">(L799-$K799)^2</f>
        <v>0.528792206761</v>
      </c>
      <c r="AA799" s="8" t="n">
        <f aca="false">(M799-$K799)^2</f>
        <v>0.008475595969</v>
      </c>
      <c r="AB799" s="8" t="n">
        <f aca="false">(N799-$K799)^2</f>
        <v>0.0020142144</v>
      </c>
      <c r="AC799" s="8" t="n">
        <f aca="false">(O799-$K799)^2</f>
        <v>0.011274829489</v>
      </c>
      <c r="AD799" s="8" t="n">
        <f aca="false">(P799-$K799)^2</f>
        <v>0.002106626404</v>
      </c>
      <c r="AE799" s="8" t="n">
        <f aca="false">MIN(INT(ROUND(N799*1000000,0)/100000),9)</f>
        <v>0</v>
      </c>
      <c r="AF799" s="8" t="n">
        <f aca="false">MIN(INT(ROUND(P799*1000000,0)/100000),9)</f>
        <v>0</v>
      </c>
    </row>
    <row r="800" customFormat="false" ht="15" hidden="false" customHeight="false" outlineLevel="0" collapsed="false">
      <c r="A800" s="4" t="n">
        <v>796</v>
      </c>
      <c r="B800" s="4" t="n">
        <v>345</v>
      </c>
      <c r="C800" s="4" t="n">
        <v>2</v>
      </c>
      <c r="D800" s="11" t="n">
        <v>46113</v>
      </c>
      <c r="E800" s="4" t="s">
        <v>203</v>
      </c>
      <c r="F800" s="4" t="s">
        <v>207</v>
      </c>
      <c r="G800" s="4" t="n">
        <v>6</v>
      </c>
      <c r="H800" s="4" t="n">
        <v>14</v>
      </c>
      <c r="I800" s="4" t="n">
        <v>0</v>
      </c>
      <c r="J800" s="4" t="n">
        <v>264</v>
      </c>
      <c r="K800" s="4" t="n">
        <v>0</v>
      </c>
      <c r="L800" s="12" t="n">
        <v>0.17444</v>
      </c>
      <c r="M800" s="12" t="n">
        <v>0.092063</v>
      </c>
      <c r="N800" s="12" t="n">
        <v>0.109426</v>
      </c>
      <c r="O800" s="12" t="n">
        <v>0.106183</v>
      </c>
      <c r="P800" s="12" t="n">
        <v>0.116356</v>
      </c>
      <c r="Q800" s="0" t="str">
        <f aca="false">IF(L800&gt;=Models!$G$5,1+COUNTIF($L$5:$L$1517,"&gt;"&amp;L800)+COUNTIFS($L$5:$L$1517,L800,$B$5:$B$1517,"&lt;"&amp;B800)+COUNTIFS($L$5:$L$1517,L800,$B$5:$B$1517,B800,$C$5:$C$1517,"&lt;"&amp;C800),"")</f>
        <v/>
      </c>
      <c r="R800" s="0" t="str">
        <f aca="false">IF(M800&gt;=Models!$G$6,1+COUNTIF($M$5:$M$1517,"&gt;"&amp;M800)+COUNTIFS($M$5:$M$1517,M800,$B$5:$B$1517,"&lt;"&amp;B800)+COUNTIFS($M$5:$M$1517,M800,$B$5:$B$1517,B800,$C$5:$C$1517,"&lt;"&amp;C800),"")</f>
        <v/>
      </c>
      <c r="S800" s="0" t="str">
        <f aca="false">IF(N800&gt;=Models!$G$7,1+COUNTIF($N$5:$N$1517,"&gt;"&amp;N800)+COUNTIFS($N$5:$N$1517,N800,$B$5:$B$1517,"&lt;"&amp;B800)+COUNTIFS($N$5:$N$1517,N800,$B$5:$B$1517,B800,$C$5:$C$1517,"&lt;"&amp;C800),"")</f>
        <v/>
      </c>
      <c r="T800" s="8" t="n">
        <f aca="false">IF(O800&gt;=Models!$G$8,1+COUNTIF($O$5:$O$1517,"&gt;"&amp;O800)+COUNTIFS($O$5:$O$1517,O800,$B$5:$B$1517,"&lt;"&amp;B800)+COUNTIFS($O$5:$O$1517,O800,$B$5:$B$1517,B800,$C$5:$C$1517,"&lt;"&amp;C800),"")</f>
        <v>242</v>
      </c>
      <c r="U800" s="8" t="n">
        <f aca="false">IF($K800=1,COUNTIFS($L$5:$L$1517,"&gt;="&amp;L800,$K$5:$K$1517,1)/COUNTIF($L$5:$L$1517,"&gt;="&amp;L800),0)</f>
        <v>0</v>
      </c>
      <c r="V800" s="8" t="n">
        <f aca="false">IF($K800=1,COUNTIFS($M$5:$M$1517,"&gt;="&amp;M800,$K$5:$K$1517,1)/COUNTIF($M$5:$M$1517,"&gt;="&amp;M800),0)</f>
        <v>0</v>
      </c>
      <c r="W800" s="8" t="n">
        <f aca="false">IF($K800=1,COUNTIFS($N$5:$N$1517,"&gt;="&amp;N800,$K$5:$K$1517,1)/COUNTIF($N$5:$N$1517,"&gt;="&amp;N800),0)</f>
        <v>0</v>
      </c>
      <c r="X800" s="8" t="n">
        <f aca="false">IF($K800=1,COUNTIFS($O$5:$O$1517,"&gt;="&amp;O800,$K$5:$K$1517,1)/COUNTIF($O$5:$O$1517,"&gt;="&amp;O800),0)</f>
        <v>0</v>
      </c>
      <c r="Y800" s="8" t="n">
        <f aca="false">IF($K800=1,COUNTIFS($P$5:$P$1517,"&gt;="&amp;P800,$K$5:$K$1517,1)/COUNTIF($P$5:$P$1517,"&gt;="&amp;P800),0)</f>
        <v>0</v>
      </c>
      <c r="Z800" s="8" t="n">
        <f aca="false">(L800-$K800)^2</f>
        <v>0.0304293136</v>
      </c>
      <c r="AA800" s="8" t="n">
        <f aca="false">(M800-$K800)^2</f>
        <v>0.008475595969</v>
      </c>
      <c r="AB800" s="8" t="n">
        <f aca="false">(N800-$K800)^2</f>
        <v>0.011974049476</v>
      </c>
      <c r="AC800" s="8" t="n">
        <f aca="false">(O800-$K800)^2</f>
        <v>0.011274829489</v>
      </c>
      <c r="AD800" s="8" t="n">
        <f aca="false">(P800-$K800)^2</f>
        <v>0.013538718736</v>
      </c>
      <c r="AE800" s="8" t="n">
        <f aca="false">MIN(INT(ROUND(N800*1000000,0)/100000),9)</f>
        <v>1</v>
      </c>
      <c r="AF800" s="8" t="n">
        <f aca="false">MIN(INT(ROUND(P800*1000000,0)/100000),9)</f>
        <v>1</v>
      </c>
    </row>
    <row r="801" customFormat="false" ht="15" hidden="false" customHeight="false" outlineLevel="0" collapsed="false">
      <c r="A801" s="4" t="n">
        <v>797</v>
      </c>
      <c r="B801" s="4" t="n">
        <v>353</v>
      </c>
      <c r="C801" s="4" t="n">
        <v>2</v>
      </c>
      <c r="D801" s="11" t="n">
        <v>46113</v>
      </c>
      <c r="E801" s="4" t="s">
        <v>201</v>
      </c>
      <c r="F801" s="4" t="s">
        <v>210</v>
      </c>
      <c r="G801" s="4" t="n">
        <v>9</v>
      </c>
      <c r="H801" s="4" t="n">
        <v>0</v>
      </c>
      <c r="I801" s="4" t="n">
        <v>0</v>
      </c>
      <c r="J801" s="4"/>
      <c r="K801" s="4" t="n">
        <v>0</v>
      </c>
      <c r="L801" s="12" t="n">
        <v>0.80156</v>
      </c>
      <c r="M801" s="12" t="n">
        <v>0.092063</v>
      </c>
      <c r="N801" s="12" t="n">
        <v>0.038318</v>
      </c>
      <c r="O801" s="12" t="n">
        <v>0.106183</v>
      </c>
      <c r="P801" s="12" t="n">
        <v>0.038899</v>
      </c>
      <c r="Q801" s="0" t="str">
        <f aca="false">IF(L801&gt;=Models!$G$5,1+COUNTIF($L$5:$L$1517,"&gt;"&amp;L801)+COUNTIFS($L$5:$L$1517,L801,$B$5:$B$1517,"&lt;"&amp;B801)+COUNTIFS($L$5:$L$1517,L801,$B$5:$B$1517,B801,$C$5:$C$1517,"&lt;"&amp;C801),"")</f>
        <v/>
      </c>
      <c r="R801" s="0" t="str">
        <f aca="false">IF(M801&gt;=Models!$G$6,1+COUNTIF($M$5:$M$1517,"&gt;"&amp;M801)+COUNTIFS($M$5:$M$1517,M801,$B$5:$B$1517,"&lt;"&amp;B801)+COUNTIFS($M$5:$M$1517,M801,$B$5:$B$1517,B801,$C$5:$C$1517,"&lt;"&amp;C801),"")</f>
        <v/>
      </c>
      <c r="S801" s="0" t="str">
        <f aca="false">IF(N801&gt;=Models!$G$7,1+COUNTIF($N$5:$N$1517,"&gt;"&amp;N801)+COUNTIFS($N$5:$N$1517,N801,$B$5:$B$1517,"&lt;"&amp;B801)+COUNTIFS($N$5:$N$1517,N801,$B$5:$B$1517,B801,$C$5:$C$1517,"&lt;"&amp;C801),"")</f>
        <v/>
      </c>
      <c r="T801" s="8" t="n">
        <f aca="false">IF(O801&gt;=Models!$G$8,1+COUNTIF($O$5:$O$1517,"&gt;"&amp;O801)+COUNTIFS($O$5:$O$1517,O801,$B$5:$B$1517,"&lt;"&amp;B801)+COUNTIFS($O$5:$O$1517,O801,$B$5:$B$1517,B801,$C$5:$C$1517,"&lt;"&amp;C801),"")</f>
        <v>246</v>
      </c>
      <c r="U801" s="8" t="n">
        <f aca="false">IF($K801=1,COUNTIFS($L$5:$L$1517,"&gt;="&amp;L801,$K$5:$K$1517,1)/COUNTIF($L$5:$L$1517,"&gt;="&amp;L801),0)</f>
        <v>0</v>
      </c>
      <c r="V801" s="8" t="n">
        <f aca="false">IF($K801=1,COUNTIFS($M$5:$M$1517,"&gt;="&amp;M801,$K$5:$K$1517,1)/COUNTIF($M$5:$M$1517,"&gt;="&amp;M801),0)</f>
        <v>0</v>
      </c>
      <c r="W801" s="8" t="n">
        <f aca="false">IF($K801=1,COUNTIFS($N$5:$N$1517,"&gt;="&amp;N801,$K$5:$K$1517,1)/COUNTIF($N$5:$N$1517,"&gt;="&amp;N801),0)</f>
        <v>0</v>
      </c>
      <c r="X801" s="8" t="n">
        <f aca="false">IF($K801=1,COUNTIFS($O$5:$O$1517,"&gt;="&amp;O801,$K$5:$K$1517,1)/COUNTIF($O$5:$O$1517,"&gt;="&amp;O801),0)</f>
        <v>0</v>
      </c>
      <c r="Y801" s="8" t="n">
        <f aca="false">IF($K801=1,COUNTIFS($P$5:$P$1517,"&gt;="&amp;P801,$K$5:$K$1517,1)/COUNTIF($P$5:$P$1517,"&gt;="&amp;P801),0)</f>
        <v>0</v>
      </c>
      <c r="Z801" s="8" t="n">
        <f aca="false">(L801-$K801)^2</f>
        <v>0.6424984336</v>
      </c>
      <c r="AA801" s="8" t="n">
        <f aca="false">(M801-$K801)^2</f>
        <v>0.008475595969</v>
      </c>
      <c r="AB801" s="8" t="n">
        <f aca="false">(N801-$K801)^2</f>
        <v>0.001468269124</v>
      </c>
      <c r="AC801" s="8" t="n">
        <f aca="false">(O801-$K801)^2</f>
        <v>0.011274829489</v>
      </c>
      <c r="AD801" s="8" t="n">
        <f aca="false">(P801-$K801)^2</f>
        <v>0.001513132201</v>
      </c>
      <c r="AE801" s="8" t="n">
        <f aca="false">MIN(INT(ROUND(N801*1000000,0)/100000),9)</f>
        <v>0</v>
      </c>
      <c r="AF801" s="8" t="n">
        <f aca="false">MIN(INT(ROUND(P801*1000000,0)/100000),9)</f>
        <v>0</v>
      </c>
    </row>
    <row r="802" customFormat="false" ht="15" hidden="false" customHeight="false" outlineLevel="0" collapsed="false">
      <c r="A802" s="4" t="n">
        <v>798</v>
      </c>
      <c r="B802" s="4" t="n">
        <v>361</v>
      </c>
      <c r="C802" s="4" t="n">
        <v>2</v>
      </c>
      <c r="D802" s="11" t="n">
        <v>46113</v>
      </c>
      <c r="E802" s="4" t="s">
        <v>202</v>
      </c>
      <c r="F802" s="4" t="s">
        <v>209</v>
      </c>
      <c r="G802" s="4" t="n">
        <v>11</v>
      </c>
      <c r="H802" s="4" t="n">
        <v>0</v>
      </c>
      <c r="I802" s="4" t="n">
        <v>0</v>
      </c>
      <c r="J802" s="4" t="n">
        <v>1563</v>
      </c>
      <c r="K802" s="4" t="n">
        <v>0</v>
      </c>
      <c r="L802" s="12" t="n">
        <v>0.183091</v>
      </c>
      <c r="M802" s="12" t="n">
        <v>0.092063</v>
      </c>
      <c r="N802" s="12" t="n">
        <v>0.06084</v>
      </c>
      <c r="O802" s="12" t="n">
        <v>0.106183</v>
      </c>
      <c r="P802" s="12" t="n">
        <v>0.063093</v>
      </c>
      <c r="Q802" s="0" t="str">
        <f aca="false">IF(L802&gt;=Models!$G$5,1+COUNTIF($L$5:$L$1517,"&gt;"&amp;L802)+COUNTIFS($L$5:$L$1517,L802,$B$5:$B$1517,"&lt;"&amp;B802)+COUNTIFS($L$5:$L$1517,L802,$B$5:$B$1517,B802,$C$5:$C$1517,"&lt;"&amp;C802),"")</f>
        <v/>
      </c>
      <c r="R802" s="0" t="str">
        <f aca="false">IF(M802&gt;=Models!$G$6,1+COUNTIF($M$5:$M$1517,"&gt;"&amp;M802)+COUNTIFS($M$5:$M$1517,M802,$B$5:$B$1517,"&lt;"&amp;B802)+COUNTIFS($M$5:$M$1517,M802,$B$5:$B$1517,B802,$C$5:$C$1517,"&lt;"&amp;C802),"")</f>
        <v/>
      </c>
      <c r="S802" s="0" t="str">
        <f aca="false">IF(N802&gt;=Models!$G$7,1+COUNTIF($N$5:$N$1517,"&gt;"&amp;N802)+COUNTIFS($N$5:$N$1517,N802,$B$5:$B$1517,"&lt;"&amp;B802)+COUNTIFS($N$5:$N$1517,N802,$B$5:$B$1517,B802,$C$5:$C$1517,"&lt;"&amp;C802),"")</f>
        <v/>
      </c>
      <c r="T802" s="8" t="n">
        <f aca="false">IF(O802&gt;=Models!$G$8,1+COUNTIF($O$5:$O$1517,"&gt;"&amp;O802)+COUNTIFS($O$5:$O$1517,O802,$B$5:$B$1517,"&lt;"&amp;B802)+COUNTIFS($O$5:$O$1517,O802,$B$5:$B$1517,B802,$C$5:$C$1517,"&lt;"&amp;C802),"")</f>
        <v>250</v>
      </c>
      <c r="U802" s="8" t="n">
        <f aca="false">IF($K802=1,COUNTIFS($L$5:$L$1517,"&gt;="&amp;L802,$K$5:$K$1517,1)/COUNTIF($L$5:$L$1517,"&gt;="&amp;L802),0)</f>
        <v>0</v>
      </c>
      <c r="V802" s="8" t="n">
        <f aca="false">IF($K802=1,COUNTIFS($M$5:$M$1517,"&gt;="&amp;M802,$K$5:$K$1517,1)/COUNTIF($M$5:$M$1517,"&gt;="&amp;M802),0)</f>
        <v>0</v>
      </c>
      <c r="W802" s="8" t="n">
        <f aca="false">IF($K802=1,COUNTIFS($N$5:$N$1517,"&gt;="&amp;N802,$K$5:$K$1517,1)/COUNTIF($N$5:$N$1517,"&gt;="&amp;N802),0)</f>
        <v>0</v>
      </c>
      <c r="X802" s="8" t="n">
        <f aca="false">IF($K802=1,COUNTIFS($O$5:$O$1517,"&gt;="&amp;O802,$K$5:$K$1517,1)/COUNTIF($O$5:$O$1517,"&gt;="&amp;O802),0)</f>
        <v>0</v>
      </c>
      <c r="Y802" s="8" t="n">
        <f aca="false">IF($K802=1,COUNTIFS($P$5:$P$1517,"&gt;="&amp;P802,$K$5:$K$1517,1)/COUNTIF($P$5:$P$1517,"&gt;="&amp;P802),0)</f>
        <v>0</v>
      </c>
      <c r="Z802" s="8" t="n">
        <f aca="false">(L802-$K802)^2</f>
        <v>0.033522314281</v>
      </c>
      <c r="AA802" s="8" t="n">
        <f aca="false">(M802-$K802)^2</f>
        <v>0.008475595969</v>
      </c>
      <c r="AB802" s="8" t="n">
        <f aca="false">(N802-$K802)^2</f>
        <v>0.0037015056</v>
      </c>
      <c r="AC802" s="8" t="n">
        <f aca="false">(O802-$K802)^2</f>
        <v>0.011274829489</v>
      </c>
      <c r="AD802" s="8" t="n">
        <f aca="false">(P802-$K802)^2</f>
        <v>0.003980726649</v>
      </c>
      <c r="AE802" s="8" t="n">
        <f aca="false">MIN(INT(ROUND(N802*1000000,0)/100000),9)</f>
        <v>0</v>
      </c>
      <c r="AF802" s="8" t="n">
        <f aca="false">MIN(INT(ROUND(P802*1000000,0)/100000),9)</f>
        <v>0</v>
      </c>
    </row>
    <row r="803" customFormat="false" ht="15" hidden="false" customHeight="false" outlineLevel="0" collapsed="false">
      <c r="A803" s="4" t="n">
        <v>799</v>
      </c>
      <c r="B803" s="4" t="n">
        <v>381</v>
      </c>
      <c r="C803" s="4" t="n">
        <v>2</v>
      </c>
      <c r="D803" s="11" t="n">
        <v>46113</v>
      </c>
      <c r="E803" s="4" t="s">
        <v>202</v>
      </c>
      <c r="F803" s="4" t="s">
        <v>210</v>
      </c>
      <c r="G803" s="4" t="n">
        <v>4</v>
      </c>
      <c r="H803" s="4" t="n">
        <v>6</v>
      </c>
      <c r="I803" s="4" t="n">
        <v>0</v>
      </c>
      <c r="J803" s="4"/>
      <c r="K803" s="4" t="n">
        <v>0</v>
      </c>
      <c r="L803" s="12" t="n">
        <v>0.350308</v>
      </c>
      <c r="M803" s="12" t="n">
        <v>0.092063</v>
      </c>
      <c r="N803" s="12" t="n">
        <v>0.061595</v>
      </c>
      <c r="O803" s="12" t="n">
        <v>0.106183</v>
      </c>
      <c r="P803" s="12" t="n">
        <v>0.063911</v>
      </c>
      <c r="Q803" s="0" t="str">
        <f aca="false">IF(L803&gt;=Models!$G$5,1+COUNTIF($L$5:$L$1517,"&gt;"&amp;L803)+COUNTIFS($L$5:$L$1517,L803,$B$5:$B$1517,"&lt;"&amp;B803)+COUNTIFS($L$5:$L$1517,L803,$B$5:$B$1517,B803,$C$5:$C$1517,"&lt;"&amp;C803),"")</f>
        <v/>
      </c>
      <c r="R803" s="0" t="str">
        <f aca="false">IF(M803&gt;=Models!$G$6,1+COUNTIF($M$5:$M$1517,"&gt;"&amp;M803)+COUNTIFS($M$5:$M$1517,M803,$B$5:$B$1517,"&lt;"&amp;B803)+COUNTIFS($M$5:$M$1517,M803,$B$5:$B$1517,B803,$C$5:$C$1517,"&lt;"&amp;C803),"")</f>
        <v/>
      </c>
      <c r="S803" s="0" t="str">
        <f aca="false">IF(N803&gt;=Models!$G$7,1+COUNTIF($N$5:$N$1517,"&gt;"&amp;N803)+COUNTIFS($N$5:$N$1517,N803,$B$5:$B$1517,"&lt;"&amp;B803)+COUNTIFS($N$5:$N$1517,N803,$B$5:$B$1517,B803,$C$5:$C$1517,"&lt;"&amp;C803),"")</f>
        <v/>
      </c>
      <c r="T803" s="8" t="n">
        <f aca="false">IF(O803&gt;=Models!$G$8,1+COUNTIF($O$5:$O$1517,"&gt;"&amp;O803)+COUNTIFS($O$5:$O$1517,O803,$B$5:$B$1517,"&lt;"&amp;B803)+COUNTIFS($O$5:$O$1517,O803,$B$5:$B$1517,B803,$C$5:$C$1517,"&lt;"&amp;C803),"")</f>
        <v>256</v>
      </c>
      <c r="U803" s="8" t="n">
        <f aca="false">IF($K803=1,COUNTIFS($L$5:$L$1517,"&gt;="&amp;L803,$K$5:$K$1517,1)/COUNTIF($L$5:$L$1517,"&gt;="&amp;L803),0)</f>
        <v>0</v>
      </c>
      <c r="V803" s="8" t="n">
        <f aca="false">IF($K803=1,COUNTIFS($M$5:$M$1517,"&gt;="&amp;M803,$K$5:$K$1517,1)/COUNTIF($M$5:$M$1517,"&gt;="&amp;M803),0)</f>
        <v>0</v>
      </c>
      <c r="W803" s="8" t="n">
        <f aca="false">IF($K803=1,COUNTIFS($N$5:$N$1517,"&gt;="&amp;N803,$K$5:$K$1517,1)/COUNTIF($N$5:$N$1517,"&gt;="&amp;N803),0)</f>
        <v>0</v>
      </c>
      <c r="X803" s="8" t="n">
        <f aca="false">IF($K803=1,COUNTIFS($O$5:$O$1517,"&gt;="&amp;O803,$K$5:$K$1517,1)/COUNTIF($O$5:$O$1517,"&gt;="&amp;O803),0)</f>
        <v>0</v>
      </c>
      <c r="Y803" s="8" t="n">
        <f aca="false">IF($K803=1,COUNTIFS($P$5:$P$1517,"&gt;="&amp;P803,$K$5:$K$1517,1)/COUNTIF($P$5:$P$1517,"&gt;="&amp;P803),0)</f>
        <v>0</v>
      </c>
      <c r="Z803" s="8" t="n">
        <f aca="false">(L803-$K803)^2</f>
        <v>0.122715694864</v>
      </c>
      <c r="AA803" s="8" t="n">
        <f aca="false">(M803-$K803)^2</f>
        <v>0.008475595969</v>
      </c>
      <c r="AB803" s="8" t="n">
        <f aca="false">(N803-$K803)^2</f>
        <v>0.003793944025</v>
      </c>
      <c r="AC803" s="8" t="n">
        <f aca="false">(O803-$K803)^2</f>
        <v>0.011274829489</v>
      </c>
      <c r="AD803" s="8" t="n">
        <f aca="false">(P803-$K803)^2</f>
        <v>0.004084615921</v>
      </c>
      <c r="AE803" s="8" t="n">
        <f aca="false">MIN(INT(ROUND(N803*1000000,0)/100000),9)</f>
        <v>0</v>
      </c>
      <c r="AF803" s="8" t="n">
        <f aca="false">MIN(INT(ROUND(P803*1000000,0)/100000),9)</f>
        <v>0</v>
      </c>
    </row>
    <row r="804" customFormat="false" ht="15" hidden="false" customHeight="false" outlineLevel="0" collapsed="false">
      <c r="A804" s="4" t="n">
        <v>800</v>
      </c>
      <c r="B804" s="4" t="n">
        <v>383</v>
      </c>
      <c r="C804" s="4" t="n">
        <v>2</v>
      </c>
      <c r="D804" s="11" t="n">
        <v>46113</v>
      </c>
      <c r="E804" s="4" t="s">
        <v>203</v>
      </c>
      <c r="F804" s="4" t="s">
        <v>209</v>
      </c>
      <c r="G804" s="4" t="n">
        <v>8</v>
      </c>
      <c r="H804" s="4" t="n">
        <v>1</v>
      </c>
      <c r="I804" s="4" t="n">
        <v>0</v>
      </c>
      <c r="J804" s="4"/>
      <c r="K804" s="4" t="n">
        <v>0</v>
      </c>
      <c r="L804" s="12" t="n">
        <v>0.38128</v>
      </c>
      <c r="M804" s="12" t="n">
        <v>0.092063</v>
      </c>
      <c r="N804" s="12" t="n">
        <v>0.042106</v>
      </c>
      <c r="O804" s="12" t="n">
        <v>0.106183</v>
      </c>
      <c r="P804" s="12" t="n">
        <v>0.042933</v>
      </c>
      <c r="Q804" s="0" t="str">
        <f aca="false">IF(L804&gt;=Models!$G$5,1+COUNTIF($L$5:$L$1517,"&gt;"&amp;L804)+COUNTIFS($L$5:$L$1517,L804,$B$5:$B$1517,"&lt;"&amp;B804)+COUNTIFS($L$5:$L$1517,L804,$B$5:$B$1517,B804,$C$5:$C$1517,"&lt;"&amp;C804),"")</f>
        <v/>
      </c>
      <c r="R804" s="0" t="str">
        <f aca="false">IF(M804&gt;=Models!$G$6,1+COUNTIF($M$5:$M$1517,"&gt;"&amp;M804)+COUNTIFS($M$5:$M$1517,M804,$B$5:$B$1517,"&lt;"&amp;B804)+COUNTIFS($M$5:$M$1517,M804,$B$5:$B$1517,B804,$C$5:$C$1517,"&lt;"&amp;C804),"")</f>
        <v/>
      </c>
      <c r="S804" s="0" t="str">
        <f aca="false">IF(N804&gt;=Models!$G$7,1+COUNTIF($N$5:$N$1517,"&gt;"&amp;N804)+COUNTIFS($N$5:$N$1517,N804,$B$5:$B$1517,"&lt;"&amp;B804)+COUNTIFS($N$5:$N$1517,N804,$B$5:$B$1517,B804,$C$5:$C$1517,"&lt;"&amp;C804),"")</f>
        <v/>
      </c>
      <c r="T804" s="8" t="n">
        <f aca="false">IF(O804&gt;=Models!$G$8,1+COUNTIF($O$5:$O$1517,"&gt;"&amp;O804)+COUNTIFS($O$5:$O$1517,O804,$B$5:$B$1517,"&lt;"&amp;B804)+COUNTIFS($O$5:$O$1517,O804,$B$5:$B$1517,B804,$C$5:$C$1517,"&lt;"&amp;C804),"")</f>
        <v>260</v>
      </c>
      <c r="U804" s="8" t="n">
        <f aca="false">IF($K804=1,COUNTIFS($L$5:$L$1517,"&gt;="&amp;L804,$K$5:$K$1517,1)/COUNTIF($L$5:$L$1517,"&gt;="&amp;L804),0)</f>
        <v>0</v>
      </c>
      <c r="V804" s="8" t="n">
        <f aca="false">IF($K804=1,COUNTIFS($M$5:$M$1517,"&gt;="&amp;M804,$K$5:$K$1517,1)/COUNTIF($M$5:$M$1517,"&gt;="&amp;M804),0)</f>
        <v>0</v>
      </c>
      <c r="W804" s="8" t="n">
        <f aca="false">IF($K804=1,COUNTIFS($N$5:$N$1517,"&gt;="&amp;N804,$K$5:$K$1517,1)/COUNTIF($N$5:$N$1517,"&gt;="&amp;N804),0)</f>
        <v>0</v>
      </c>
      <c r="X804" s="8" t="n">
        <f aca="false">IF($K804=1,COUNTIFS($O$5:$O$1517,"&gt;="&amp;O804,$K$5:$K$1517,1)/COUNTIF($O$5:$O$1517,"&gt;="&amp;O804),0)</f>
        <v>0</v>
      </c>
      <c r="Y804" s="8" t="n">
        <f aca="false">IF($K804=1,COUNTIFS($P$5:$P$1517,"&gt;="&amp;P804,$K$5:$K$1517,1)/COUNTIF($P$5:$P$1517,"&gt;="&amp;P804),0)</f>
        <v>0</v>
      </c>
      <c r="Z804" s="8" t="n">
        <f aca="false">(L804-$K804)^2</f>
        <v>0.1453744384</v>
      </c>
      <c r="AA804" s="8" t="n">
        <f aca="false">(M804-$K804)^2</f>
        <v>0.008475595969</v>
      </c>
      <c r="AB804" s="8" t="n">
        <f aca="false">(N804-$K804)^2</f>
        <v>0.001772915236</v>
      </c>
      <c r="AC804" s="8" t="n">
        <f aca="false">(O804-$K804)^2</f>
        <v>0.011274829489</v>
      </c>
      <c r="AD804" s="8" t="n">
        <f aca="false">(P804-$K804)^2</f>
        <v>0.001843242489</v>
      </c>
      <c r="AE804" s="8" t="n">
        <f aca="false">MIN(INT(ROUND(N804*1000000,0)/100000),9)</f>
        <v>0</v>
      </c>
      <c r="AF804" s="8" t="n">
        <f aca="false">MIN(INT(ROUND(P804*1000000,0)/100000),9)</f>
        <v>0</v>
      </c>
    </row>
    <row r="805" customFormat="false" ht="15" hidden="false" customHeight="false" outlineLevel="0" collapsed="false">
      <c r="A805" s="4" t="n">
        <v>801</v>
      </c>
      <c r="B805" s="4" t="n">
        <v>385</v>
      </c>
      <c r="C805" s="4" t="n">
        <v>2</v>
      </c>
      <c r="D805" s="11" t="n">
        <v>46113</v>
      </c>
      <c r="E805" s="4" t="s">
        <v>203</v>
      </c>
      <c r="F805" s="4" t="s">
        <v>207</v>
      </c>
      <c r="G805" s="4" t="n">
        <v>2</v>
      </c>
      <c r="H805" s="4" t="n">
        <v>19</v>
      </c>
      <c r="I805" s="4" t="n">
        <v>1</v>
      </c>
      <c r="J805" s="4" t="n">
        <v>234.9</v>
      </c>
      <c r="K805" s="4" t="n">
        <v>0</v>
      </c>
      <c r="L805" s="12" t="n">
        <v>0.006902</v>
      </c>
      <c r="M805" s="12" t="n">
        <v>0.184211</v>
      </c>
      <c r="N805" s="12" t="n">
        <v>0.250125</v>
      </c>
      <c r="O805" s="12" t="n">
        <v>0.106183</v>
      </c>
      <c r="P805" s="12" t="n">
        <v>0.27265</v>
      </c>
      <c r="Q805" s="0" t="str">
        <f aca="false">IF(L805&gt;=Models!$G$5,1+COUNTIF($L$5:$L$1517,"&gt;"&amp;L805)+COUNTIFS($L$5:$L$1517,L805,$B$5:$B$1517,"&lt;"&amp;B805)+COUNTIFS($L$5:$L$1517,L805,$B$5:$B$1517,B805,$C$5:$C$1517,"&lt;"&amp;C805),"")</f>
        <v/>
      </c>
      <c r="R805" s="8" t="n">
        <f aca="false">IF(M805&gt;=Models!$G$6,1+COUNTIF($M$5:$M$1517,"&gt;"&amp;M805)+COUNTIFS($M$5:$M$1517,M805,$B$5:$B$1517,"&lt;"&amp;B805)+COUNTIFS($M$5:$M$1517,M805,$B$5:$B$1517,B805,$C$5:$C$1517,"&lt;"&amp;C805),"")</f>
        <v>28</v>
      </c>
      <c r="S805" s="8" t="n">
        <f aca="false">IF(N805&gt;=Models!$G$7,1+COUNTIF($N$5:$N$1517,"&gt;"&amp;N805)+COUNTIFS($N$5:$N$1517,N805,$B$5:$B$1517,"&lt;"&amp;B805)+COUNTIFS($N$5:$N$1517,N805,$B$5:$B$1517,B805,$C$5:$C$1517,"&lt;"&amp;C805),"")</f>
        <v>18</v>
      </c>
      <c r="T805" s="8" t="n">
        <f aca="false">IF(O805&gt;=Models!$G$8,1+COUNTIF($O$5:$O$1517,"&gt;"&amp;O805)+COUNTIFS($O$5:$O$1517,O805,$B$5:$B$1517,"&lt;"&amp;B805)+COUNTIFS($O$5:$O$1517,O805,$B$5:$B$1517,B805,$C$5:$C$1517,"&lt;"&amp;C805),"")</f>
        <v>264</v>
      </c>
      <c r="U805" s="8" t="n">
        <f aca="false">IF($K805=1,COUNTIFS($L$5:$L$1517,"&gt;="&amp;L805,$K$5:$K$1517,1)/COUNTIF($L$5:$L$1517,"&gt;="&amp;L805),0)</f>
        <v>0</v>
      </c>
      <c r="V805" s="8" t="n">
        <f aca="false">IF($K805=1,COUNTIFS($M$5:$M$1517,"&gt;="&amp;M805,$K$5:$K$1517,1)/COUNTIF($M$5:$M$1517,"&gt;="&amp;M805),0)</f>
        <v>0</v>
      </c>
      <c r="W805" s="8" t="n">
        <f aca="false">IF($K805=1,COUNTIFS($N$5:$N$1517,"&gt;="&amp;N805,$K$5:$K$1517,1)/COUNTIF($N$5:$N$1517,"&gt;="&amp;N805),0)</f>
        <v>0</v>
      </c>
      <c r="X805" s="8" t="n">
        <f aca="false">IF($K805=1,COUNTIFS($O$5:$O$1517,"&gt;="&amp;O805,$K$5:$K$1517,1)/COUNTIF($O$5:$O$1517,"&gt;="&amp;O805),0)</f>
        <v>0</v>
      </c>
      <c r="Y805" s="8" t="n">
        <f aca="false">IF($K805=1,COUNTIFS($P$5:$P$1517,"&gt;="&amp;P805,$K$5:$K$1517,1)/COUNTIF($P$5:$P$1517,"&gt;="&amp;P805),0)</f>
        <v>0</v>
      </c>
      <c r="Z805" s="8" t="n">
        <f aca="false">(L805-$K805)^2</f>
        <v>4.7637604E-005</v>
      </c>
      <c r="AA805" s="8" t="n">
        <f aca="false">(M805-$K805)^2</f>
        <v>0.033933692521</v>
      </c>
      <c r="AB805" s="8" t="n">
        <f aca="false">(N805-$K805)^2</f>
        <v>0.062562515625</v>
      </c>
      <c r="AC805" s="8" t="n">
        <f aca="false">(O805-$K805)^2</f>
        <v>0.011274829489</v>
      </c>
      <c r="AD805" s="8" t="n">
        <f aca="false">(P805-$K805)^2</f>
        <v>0.0743380225</v>
      </c>
      <c r="AE805" s="8" t="n">
        <f aca="false">MIN(INT(ROUND(N805*1000000,0)/100000),9)</f>
        <v>2</v>
      </c>
      <c r="AF805" s="8" t="n">
        <f aca="false">MIN(INT(ROUND(P805*1000000,0)/100000),9)</f>
        <v>2</v>
      </c>
    </row>
    <row r="806" customFormat="false" ht="15" hidden="false" customHeight="false" outlineLevel="0" collapsed="false">
      <c r="A806" s="4" t="n">
        <v>802</v>
      </c>
      <c r="B806" s="4" t="n">
        <v>401</v>
      </c>
      <c r="C806" s="4" t="n">
        <v>2</v>
      </c>
      <c r="D806" s="11" t="n">
        <v>46113</v>
      </c>
      <c r="E806" s="4" t="s">
        <v>202</v>
      </c>
      <c r="F806" s="4" t="s">
        <v>206</v>
      </c>
      <c r="G806" s="4" t="n">
        <v>17</v>
      </c>
      <c r="H806" s="4" t="n">
        <v>1</v>
      </c>
      <c r="I806" s="4" t="n">
        <v>0</v>
      </c>
      <c r="J806" s="4" t="n">
        <v>1500</v>
      </c>
      <c r="K806" s="4" t="n">
        <v>0</v>
      </c>
      <c r="L806" s="12" t="n">
        <v>0.806134</v>
      </c>
      <c r="M806" s="12" t="n">
        <v>0.092063</v>
      </c>
      <c r="N806" s="12" t="n">
        <v>0.036797</v>
      </c>
      <c r="O806" s="12" t="n">
        <v>0.106183</v>
      </c>
      <c r="P806" s="12" t="n">
        <v>0.037284</v>
      </c>
      <c r="Q806" s="0" t="str">
        <f aca="false">IF(L806&gt;=Models!$G$5,1+COUNTIF($L$5:$L$1517,"&gt;"&amp;L806)+COUNTIFS($L$5:$L$1517,L806,$B$5:$B$1517,"&lt;"&amp;B806)+COUNTIFS($L$5:$L$1517,L806,$B$5:$B$1517,B806,$C$5:$C$1517,"&lt;"&amp;C806),"")</f>
        <v/>
      </c>
      <c r="R806" s="0" t="str">
        <f aca="false">IF(M806&gt;=Models!$G$6,1+COUNTIF($M$5:$M$1517,"&gt;"&amp;M806)+COUNTIFS($M$5:$M$1517,M806,$B$5:$B$1517,"&lt;"&amp;B806)+COUNTIFS($M$5:$M$1517,M806,$B$5:$B$1517,B806,$C$5:$C$1517,"&lt;"&amp;C806),"")</f>
        <v/>
      </c>
      <c r="S806" s="0" t="str">
        <f aca="false">IF(N806&gt;=Models!$G$7,1+COUNTIF($N$5:$N$1517,"&gt;"&amp;N806)+COUNTIFS($N$5:$N$1517,N806,$B$5:$B$1517,"&lt;"&amp;B806)+COUNTIFS($N$5:$N$1517,N806,$B$5:$B$1517,B806,$C$5:$C$1517,"&lt;"&amp;C806),"")</f>
        <v/>
      </c>
      <c r="T806" s="8" t="n">
        <f aca="false">IF(O806&gt;=Models!$G$8,1+COUNTIF($O$5:$O$1517,"&gt;"&amp;O806)+COUNTIFS($O$5:$O$1517,O806,$B$5:$B$1517,"&lt;"&amp;B806)+COUNTIFS($O$5:$O$1517,O806,$B$5:$B$1517,B806,$C$5:$C$1517,"&lt;"&amp;C806),"")</f>
        <v>268</v>
      </c>
      <c r="U806" s="8" t="n">
        <f aca="false">IF($K806=1,COUNTIFS($L$5:$L$1517,"&gt;="&amp;L806,$K$5:$K$1517,1)/COUNTIF($L$5:$L$1517,"&gt;="&amp;L806),0)</f>
        <v>0</v>
      </c>
      <c r="V806" s="8" t="n">
        <f aca="false">IF($K806=1,COUNTIFS($M$5:$M$1517,"&gt;="&amp;M806,$K$5:$K$1517,1)/COUNTIF($M$5:$M$1517,"&gt;="&amp;M806),0)</f>
        <v>0</v>
      </c>
      <c r="W806" s="8" t="n">
        <f aca="false">IF($K806=1,COUNTIFS($N$5:$N$1517,"&gt;="&amp;N806,$K$5:$K$1517,1)/COUNTIF($N$5:$N$1517,"&gt;="&amp;N806),0)</f>
        <v>0</v>
      </c>
      <c r="X806" s="8" t="n">
        <f aca="false">IF($K806=1,COUNTIFS($O$5:$O$1517,"&gt;="&amp;O806,$K$5:$K$1517,1)/COUNTIF($O$5:$O$1517,"&gt;="&amp;O806),0)</f>
        <v>0</v>
      </c>
      <c r="Y806" s="8" t="n">
        <f aca="false">IF($K806=1,COUNTIFS($P$5:$P$1517,"&gt;="&amp;P806,$K$5:$K$1517,1)/COUNTIF($P$5:$P$1517,"&gt;="&amp;P806),0)</f>
        <v>0</v>
      </c>
      <c r="Z806" s="8" t="n">
        <f aca="false">(L806-$K806)^2</f>
        <v>0.649852025956</v>
      </c>
      <c r="AA806" s="8" t="n">
        <f aca="false">(M806-$K806)^2</f>
        <v>0.008475595969</v>
      </c>
      <c r="AB806" s="8" t="n">
        <f aca="false">(N806-$K806)^2</f>
        <v>0.001354019209</v>
      </c>
      <c r="AC806" s="8" t="n">
        <f aca="false">(O806-$K806)^2</f>
        <v>0.011274829489</v>
      </c>
      <c r="AD806" s="8" t="n">
        <f aca="false">(P806-$K806)^2</f>
        <v>0.001390096656</v>
      </c>
      <c r="AE806" s="8" t="n">
        <f aca="false">MIN(INT(ROUND(N806*1000000,0)/100000),9)</f>
        <v>0</v>
      </c>
      <c r="AF806" s="8" t="n">
        <f aca="false">MIN(INT(ROUND(P806*1000000,0)/100000),9)</f>
        <v>0</v>
      </c>
    </row>
    <row r="807" customFormat="false" ht="15" hidden="false" customHeight="false" outlineLevel="0" collapsed="false">
      <c r="A807" s="4" t="n">
        <v>803</v>
      </c>
      <c r="B807" s="4" t="n">
        <v>402</v>
      </c>
      <c r="C807" s="4" t="n">
        <v>2</v>
      </c>
      <c r="D807" s="11" t="n">
        <v>46113</v>
      </c>
      <c r="E807" s="4" t="s">
        <v>201</v>
      </c>
      <c r="F807" s="4" t="s">
        <v>206</v>
      </c>
      <c r="G807" s="4" t="n">
        <v>18</v>
      </c>
      <c r="H807" s="4" t="n">
        <v>0</v>
      </c>
      <c r="I807" s="4" t="n">
        <v>0</v>
      </c>
      <c r="J807" s="4"/>
      <c r="K807" s="4" t="n">
        <v>0</v>
      </c>
      <c r="L807" s="12" t="n">
        <v>0.178933</v>
      </c>
      <c r="M807" s="12" t="n">
        <v>0.092063</v>
      </c>
      <c r="N807" s="12" t="n">
        <v>0.017418</v>
      </c>
      <c r="O807" s="12" t="n">
        <v>0.106183</v>
      </c>
      <c r="P807" s="12" t="n">
        <v>0.017031</v>
      </c>
      <c r="Q807" s="0" t="str">
        <f aca="false">IF(L807&gt;=Models!$G$5,1+COUNTIF($L$5:$L$1517,"&gt;"&amp;L807)+COUNTIFS($L$5:$L$1517,L807,$B$5:$B$1517,"&lt;"&amp;B807)+COUNTIFS($L$5:$L$1517,L807,$B$5:$B$1517,B807,$C$5:$C$1517,"&lt;"&amp;C807),"")</f>
        <v/>
      </c>
      <c r="R807" s="0" t="str">
        <f aca="false">IF(M807&gt;=Models!$G$6,1+COUNTIF($M$5:$M$1517,"&gt;"&amp;M807)+COUNTIFS($M$5:$M$1517,M807,$B$5:$B$1517,"&lt;"&amp;B807)+COUNTIFS($M$5:$M$1517,M807,$B$5:$B$1517,B807,$C$5:$C$1517,"&lt;"&amp;C807),"")</f>
        <v/>
      </c>
      <c r="S807" s="0" t="str">
        <f aca="false">IF(N807&gt;=Models!$G$7,1+COUNTIF($N$5:$N$1517,"&gt;"&amp;N807)+COUNTIFS($N$5:$N$1517,N807,$B$5:$B$1517,"&lt;"&amp;B807)+COUNTIFS($N$5:$N$1517,N807,$B$5:$B$1517,B807,$C$5:$C$1517,"&lt;"&amp;C807),"")</f>
        <v/>
      </c>
      <c r="T807" s="8" t="n">
        <f aca="false">IF(O807&gt;=Models!$G$8,1+COUNTIF($O$5:$O$1517,"&gt;"&amp;O807)+COUNTIFS($O$5:$O$1517,O807,$B$5:$B$1517,"&lt;"&amp;B807)+COUNTIFS($O$5:$O$1517,O807,$B$5:$B$1517,B807,$C$5:$C$1517,"&lt;"&amp;C807),"")</f>
        <v>272</v>
      </c>
      <c r="U807" s="8" t="n">
        <f aca="false">IF($K807=1,COUNTIFS($L$5:$L$1517,"&gt;="&amp;L807,$K$5:$K$1517,1)/COUNTIF($L$5:$L$1517,"&gt;="&amp;L807),0)</f>
        <v>0</v>
      </c>
      <c r="V807" s="8" t="n">
        <f aca="false">IF($K807=1,COUNTIFS($M$5:$M$1517,"&gt;="&amp;M807,$K$5:$K$1517,1)/COUNTIF($M$5:$M$1517,"&gt;="&amp;M807),0)</f>
        <v>0</v>
      </c>
      <c r="W807" s="8" t="n">
        <f aca="false">IF($K807=1,COUNTIFS($N$5:$N$1517,"&gt;="&amp;N807,$K$5:$K$1517,1)/COUNTIF($N$5:$N$1517,"&gt;="&amp;N807),0)</f>
        <v>0</v>
      </c>
      <c r="X807" s="8" t="n">
        <f aca="false">IF($K807=1,COUNTIFS($O$5:$O$1517,"&gt;="&amp;O807,$K$5:$K$1517,1)/COUNTIF($O$5:$O$1517,"&gt;="&amp;O807),0)</f>
        <v>0</v>
      </c>
      <c r="Y807" s="8" t="n">
        <f aca="false">IF($K807=1,COUNTIFS($P$5:$P$1517,"&gt;="&amp;P807,$K$5:$K$1517,1)/COUNTIF($P$5:$P$1517,"&gt;="&amp;P807),0)</f>
        <v>0</v>
      </c>
      <c r="Z807" s="8" t="n">
        <f aca="false">(L807-$K807)^2</f>
        <v>0.032017018489</v>
      </c>
      <c r="AA807" s="8" t="n">
        <f aca="false">(M807-$K807)^2</f>
        <v>0.008475595969</v>
      </c>
      <c r="AB807" s="8" t="n">
        <f aca="false">(N807-$K807)^2</f>
        <v>0.000303386724</v>
      </c>
      <c r="AC807" s="8" t="n">
        <f aca="false">(O807-$K807)^2</f>
        <v>0.011274829489</v>
      </c>
      <c r="AD807" s="8" t="n">
        <f aca="false">(P807-$K807)^2</f>
        <v>0.000290054961</v>
      </c>
      <c r="AE807" s="8" t="n">
        <f aca="false">MIN(INT(ROUND(N807*1000000,0)/100000),9)</f>
        <v>0</v>
      </c>
      <c r="AF807" s="8" t="n">
        <f aca="false">MIN(INT(ROUND(P807*1000000,0)/100000),9)</f>
        <v>0</v>
      </c>
    </row>
    <row r="808" customFormat="false" ht="15" hidden="false" customHeight="false" outlineLevel="0" collapsed="false">
      <c r="A808" s="4" t="n">
        <v>804</v>
      </c>
      <c r="B808" s="4" t="n">
        <v>403</v>
      </c>
      <c r="C808" s="4" t="n">
        <v>2</v>
      </c>
      <c r="D808" s="11" t="n">
        <v>46113</v>
      </c>
      <c r="E808" s="4" t="s">
        <v>202</v>
      </c>
      <c r="F808" s="4" t="s">
        <v>208</v>
      </c>
      <c r="G808" s="4" t="n">
        <v>4</v>
      </c>
      <c r="H808" s="4" t="n">
        <v>8</v>
      </c>
      <c r="I808" s="4" t="n">
        <v>1</v>
      </c>
      <c r="J808" s="4"/>
      <c r="K808" s="4" t="n">
        <v>0</v>
      </c>
      <c r="L808" s="12" t="n">
        <v>0.434372</v>
      </c>
      <c r="M808" s="12" t="n">
        <v>0.184211</v>
      </c>
      <c r="N808" s="12" t="n">
        <v>0.108014</v>
      </c>
      <c r="O808" s="12" t="n">
        <v>0.106183</v>
      </c>
      <c r="P808" s="12" t="n">
        <v>0.114796</v>
      </c>
      <c r="Q808" s="0" t="str">
        <f aca="false">IF(L808&gt;=Models!$G$5,1+COUNTIF($L$5:$L$1517,"&gt;"&amp;L808)+COUNTIFS($L$5:$L$1517,L808,$B$5:$B$1517,"&lt;"&amp;B808)+COUNTIFS($L$5:$L$1517,L808,$B$5:$B$1517,B808,$C$5:$C$1517,"&lt;"&amp;C808),"")</f>
        <v/>
      </c>
      <c r="R808" s="8" t="n">
        <f aca="false">IF(M808&gt;=Models!$G$6,1+COUNTIF($M$5:$M$1517,"&gt;"&amp;M808)+COUNTIFS($M$5:$M$1517,M808,$B$5:$B$1517,"&lt;"&amp;B808)+COUNTIFS($M$5:$M$1517,M808,$B$5:$B$1517,B808,$C$5:$C$1517,"&lt;"&amp;C808),"")</f>
        <v>31</v>
      </c>
      <c r="S808" s="0" t="str">
        <f aca="false">IF(N808&gt;=Models!$G$7,1+COUNTIF($N$5:$N$1517,"&gt;"&amp;N808)+COUNTIFS($N$5:$N$1517,N808,$B$5:$B$1517,"&lt;"&amp;B808)+COUNTIFS($N$5:$N$1517,N808,$B$5:$B$1517,B808,$C$5:$C$1517,"&lt;"&amp;C808),"")</f>
        <v/>
      </c>
      <c r="T808" s="8" t="n">
        <f aca="false">IF(O808&gt;=Models!$G$8,1+COUNTIF($O$5:$O$1517,"&gt;"&amp;O808)+COUNTIFS($O$5:$O$1517,O808,$B$5:$B$1517,"&lt;"&amp;B808)+COUNTIFS($O$5:$O$1517,O808,$B$5:$B$1517,B808,$C$5:$C$1517,"&lt;"&amp;C808),"")</f>
        <v>276</v>
      </c>
      <c r="U808" s="8" t="n">
        <f aca="false">IF($K808=1,COUNTIFS($L$5:$L$1517,"&gt;="&amp;L808,$K$5:$K$1517,1)/COUNTIF($L$5:$L$1517,"&gt;="&amp;L808),0)</f>
        <v>0</v>
      </c>
      <c r="V808" s="8" t="n">
        <f aca="false">IF($K808=1,COUNTIFS($M$5:$M$1517,"&gt;="&amp;M808,$K$5:$K$1517,1)/COUNTIF($M$5:$M$1517,"&gt;="&amp;M808),0)</f>
        <v>0</v>
      </c>
      <c r="W808" s="8" t="n">
        <f aca="false">IF($K808=1,COUNTIFS($N$5:$N$1517,"&gt;="&amp;N808,$K$5:$K$1517,1)/COUNTIF($N$5:$N$1517,"&gt;="&amp;N808),0)</f>
        <v>0</v>
      </c>
      <c r="X808" s="8" t="n">
        <f aca="false">IF($K808=1,COUNTIFS($O$5:$O$1517,"&gt;="&amp;O808,$K$5:$K$1517,1)/COUNTIF($O$5:$O$1517,"&gt;="&amp;O808),0)</f>
        <v>0</v>
      </c>
      <c r="Y808" s="8" t="n">
        <f aca="false">IF($K808=1,COUNTIFS($P$5:$P$1517,"&gt;="&amp;P808,$K$5:$K$1517,1)/COUNTIF($P$5:$P$1517,"&gt;="&amp;P808),0)</f>
        <v>0</v>
      </c>
      <c r="Z808" s="8" t="n">
        <f aca="false">(L808-$K808)^2</f>
        <v>0.188679034384</v>
      </c>
      <c r="AA808" s="8" t="n">
        <f aca="false">(M808-$K808)^2</f>
        <v>0.033933692521</v>
      </c>
      <c r="AB808" s="8" t="n">
        <f aca="false">(N808-$K808)^2</f>
        <v>0.011667024196</v>
      </c>
      <c r="AC808" s="8" t="n">
        <f aca="false">(O808-$K808)^2</f>
        <v>0.011274829489</v>
      </c>
      <c r="AD808" s="8" t="n">
        <f aca="false">(P808-$K808)^2</f>
        <v>0.013178121616</v>
      </c>
      <c r="AE808" s="8" t="n">
        <f aca="false">MIN(INT(ROUND(N808*1000000,0)/100000),9)</f>
        <v>1</v>
      </c>
      <c r="AF808" s="8" t="n">
        <f aca="false">MIN(INT(ROUND(P808*1000000,0)/100000),9)</f>
        <v>1</v>
      </c>
    </row>
    <row r="809" customFormat="false" ht="15" hidden="false" customHeight="false" outlineLevel="0" collapsed="false">
      <c r="A809" s="4" t="n">
        <v>805</v>
      </c>
      <c r="B809" s="4" t="n">
        <v>406</v>
      </c>
      <c r="C809" s="4" t="n">
        <v>2</v>
      </c>
      <c r="D809" s="11" t="n">
        <v>46113</v>
      </c>
      <c r="E809" s="4" t="s">
        <v>204</v>
      </c>
      <c r="F809" s="4" t="s">
        <v>206</v>
      </c>
      <c r="G809" s="4" t="n">
        <v>1</v>
      </c>
      <c r="H809" s="4" t="n">
        <v>21</v>
      </c>
      <c r="I809" s="4" t="n">
        <v>0</v>
      </c>
      <c r="J809" s="4" t="n">
        <v>75</v>
      </c>
      <c r="K809" s="4" t="n">
        <v>0</v>
      </c>
      <c r="L809" s="12" t="n">
        <v>0.938615</v>
      </c>
      <c r="M809" s="12" t="n">
        <v>0.092063</v>
      </c>
      <c r="N809" s="12" t="n">
        <v>0.171034</v>
      </c>
      <c r="O809" s="12" t="n">
        <v>0.106183</v>
      </c>
      <c r="P809" s="12" t="n">
        <v>0.184757</v>
      </c>
      <c r="Q809" s="0" t="str">
        <f aca="false">IF(L809&gt;=Models!$G$5,1+COUNTIF($L$5:$L$1517,"&gt;"&amp;L809)+COUNTIFS($L$5:$L$1517,L809,$B$5:$B$1517,"&lt;"&amp;B809)+COUNTIFS($L$5:$L$1517,L809,$B$5:$B$1517,B809,$C$5:$C$1517,"&lt;"&amp;C809),"")</f>
        <v/>
      </c>
      <c r="R809" s="0" t="str">
        <f aca="false">IF(M809&gt;=Models!$G$6,1+COUNTIF($M$5:$M$1517,"&gt;"&amp;M809)+COUNTIFS($M$5:$M$1517,M809,$B$5:$B$1517,"&lt;"&amp;B809)+COUNTIFS($M$5:$M$1517,M809,$B$5:$B$1517,B809,$C$5:$C$1517,"&lt;"&amp;C809),"")</f>
        <v/>
      </c>
      <c r="S809" s="0" t="str">
        <f aca="false">IF(N809&gt;=Models!$G$7,1+COUNTIF($N$5:$N$1517,"&gt;"&amp;N809)+COUNTIFS($N$5:$N$1517,N809,$B$5:$B$1517,"&lt;"&amp;B809)+COUNTIFS($N$5:$N$1517,N809,$B$5:$B$1517,B809,$C$5:$C$1517,"&lt;"&amp;C809),"")</f>
        <v/>
      </c>
      <c r="T809" s="8" t="n">
        <f aca="false">IF(O809&gt;=Models!$G$8,1+COUNTIF($O$5:$O$1517,"&gt;"&amp;O809)+COUNTIFS($O$5:$O$1517,O809,$B$5:$B$1517,"&lt;"&amp;B809)+COUNTIFS($O$5:$O$1517,O809,$B$5:$B$1517,B809,$C$5:$C$1517,"&lt;"&amp;C809),"")</f>
        <v>280</v>
      </c>
      <c r="U809" s="8" t="n">
        <f aca="false">IF($K809=1,COUNTIFS($L$5:$L$1517,"&gt;="&amp;L809,$K$5:$K$1517,1)/COUNTIF($L$5:$L$1517,"&gt;="&amp;L809),0)</f>
        <v>0</v>
      </c>
      <c r="V809" s="8" t="n">
        <f aca="false">IF($K809=1,COUNTIFS($M$5:$M$1517,"&gt;="&amp;M809,$K$5:$K$1517,1)/COUNTIF($M$5:$M$1517,"&gt;="&amp;M809),0)</f>
        <v>0</v>
      </c>
      <c r="W809" s="8" t="n">
        <f aca="false">IF($K809=1,COUNTIFS($N$5:$N$1517,"&gt;="&amp;N809,$K$5:$K$1517,1)/COUNTIF($N$5:$N$1517,"&gt;="&amp;N809),0)</f>
        <v>0</v>
      </c>
      <c r="X809" s="8" t="n">
        <f aca="false">IF($K809=1,COUNTIFS($O$5:$O$1517,"&gt;="&amp;O809,$K$5:$K$1517,1)/COUNTIF($O$5:$O$1517,"&gt;="&amp;O809),0)</f>
        <v>0</v>
      </c>
      <c r="Y809" s="8" t="n">
        <f aca="false">IF($K809=1,COUNTIFS($P$5:$P$1517,"&gt;="&amp;P809,$K$5:$K$1517,1)/COUNTIF($P$5:$P$1517,"&gt;="&amp;P809),0)</f>
        <v>0</v>
      </c>
      <c r="Z809" s="8" t="n">
        <f aca="false">(L809-$K809)^2</f>
        <v>0.880998118225</v>
      </c>
      <c r="AA809" s="8" t="n">
        <f aca="false">(M809-$K809)^2</f>
        <v>0.008475595969</v>
      </c>
      <c r="AB809" s="8" t="n">
        <f aca="false">(N809-$K809)^2</f>
        <v>0.029252629156</v>
      </c>
      <c r="AC809" s="8" t="n">
        <f aca="false">(O809-$K809)^2</f>
        <v>0.011274829489</v>
      </c>
      <c r="AD809" s="8" t="n">
        <f aca="false">(P809-$K809)^2</f>
        <v>0.034135149049</v>
      </c>
      <c r="AE809" s="8" t="n">
        <f aca="false">MIN(INT(ROUND(N809*1000000,0)/100000),9)</f>
        <v>1</v>
      </c>
      <c r="AF809" s="8" t="n">
        <f aca="false">MIN(INT(ROUND(P809*1000000,0)/100000),9)</f>
        <v>1</v>
      </c>
    </row>
    <row r="810" customFormat="false" ht="15" hidden="false" customHeight="false" outlineLevel="0" collapsed="false">
      <c r="A810" s="4" t="n">
        <v>806</v>
      </c>
      <c r="B810" s="4" t="n">
        <v>415</v>
      </c>
      <c r="C810" s="4" t="n">
        <v>2</v>
      </c>
      <c r="D810" s="11" t="n">
        <v>46113</v>
      </c>
      <c r="E810" s="4" t="s">
        <v>204</v>
      </c>
      <c r="F810" s="4" t="s">
        <v>206</v>
      </c>
      <c r="G810" s="4" t="n">
        <v>5</v>
      </c>
      <c r="H810" s="4" t="n">
        <v>0</v>
      </c>
      <c r="I810" s="4" t="n">
        <v>0</v>
      </c>
      <c r="J810" s="4" t="n">
        <v>117</v>
      </c>
      <c r="K810" s="4" t="n">
        <v>0</v>
      </c>
      <c r="L810" s="12" t="n">
        <v>0.763834</v>
      </c>
      <c r="M810" s="12" t="n">
        <v>0.092063</v>
      </c>
      <c r="N810" s="12" t="n">
        <v>0.107858</v>
      </c>
      <c r="O810" s="12" t="n">
        <v>0.106183</v>
      </c>
      <c r="P810" s="12" t="n">
        <v>0.114623</v>
      </c>
      <c r="Q810" s="0" t="str">
        <f aca="false">IF(L810&gt;=Models!$G$5,1+COUNTIF($L$5:$L$1517,"&gt;"&amp;L810)+COUNTIFS($L$5:$L$1517,L810,$B$5:$B$1517,"&lt;"&amp;B810)+COUNTIFS($L$5:$L$1517,L810,$B$5:$B$1517,B810,$C$5:$C$1517,"&lt;"&amp;C810),"")</f>
        <v/>
      </c>
      <c r="R810" s="0" t="str">
        <f aca="false">IF(M810&gt;=Models!$G$6,1+COUNTIF($M$5:$M$1517,"&gt;"&amp;M810)+COUNTIFS($M$5:$M$1517,M810,$B$5:$B$1517,"&lt;"&amp;B810)+COUNTIFS($M$5:$M$1517,M810,$B$5:$B$1517,B810,$C$5:$C$1517,"&lt;"&amp;C810),"")</f>
        <v/>
      </c>
      <c r="S810" s="0" t="str">
        <f aca="false">IF(N810&gt;=Models!$G$7,1+COUNTIF($N$5:$N$1517,"&gt;"&amp;N810)+COUNTIFS($N$5:$N$1517,N810,$B$5:$B$1517,"&lt;"&amp;B810)+COUNTIFS($N$5:$N$1517,N810,$B$5:$B$1517,B810,$C$5:$C$1517,"&lt;"&amp;C810),"")</f>
        <v/>
      </c>
      <c r="T810" s="8" t="n">
        <f aca="false">IF(O810&gt;=Models!$G$8,1+COUNTIF($O$5:$O$1517,"&gt;"&amp;O810)+COUNTIFS($O$5:$O$1517,O810,$B$5:$B$1517,"&lt;"&amp;B810)+COUNTIFS($O$5:$O$1517,O810,$B$5:$B$1517,B810,$C$5:$C$1517,"&lt;"&amp;C810),"")</f>
        <v>285</v>
      </c>
      <c r="U810" s="8" t="n">
        <f aca="false">IF($K810=1,COUNTIFS($L$5:$L$1517,"&gt;="&amp;L810,$K$5:$K$1517,1)/COUNTIF($L$5:$L$1517,"&gt;="&amp;L810),0)</f>
        <v>0</v>
      </c>
      <c r="V810" s="8" t="n">
        <f aca="false">IF($K810=1,COUNTIFS($M$5:$M$1517,"&gt;="&amp;M810,$K$5:$K$1517,1)/COUNTIF($M$5:$M$1517,"&gt;="&amp;M810),0)</f>
        <v>0</v>
      </c>
      <c r="W810" s="8" t="n">
        <f aca="false">IF($K810=1,COUNTIFS($N$5:$N$1517,"&gt;="&amp;N810,$K$5:$K$1517,1)/COUNTIF($N$5:$N$1517,"&gt;="&amp;N810),0)</f>
        <v>0</v>
      </c>
      <c r="X810" s="8" t="n">
        <f aca="false">IF($K810=1,COUNTIFS($O$5:$O$1517,"&gt;="&amp;O810,$K$5:$K$1517,1)/COUNTIF($O$5:$O$1517,"&gt;="&amp;O810),0)</f>
        <v>0</v>
      </c>
      <c r="Y810" s="8" t="n">
        <f aca="false">IF($K810=1,COUNTIFS($P$5:$P$1517,"&gt;="&amp;P810,$K$5:$K$1517,1)/COUNTIF($P$5:$P$1517,"&gt;="&amp;P810),0)</f>
        <v>0</v>
      </c>
      <c r="Z810" s="8" t="n">
        <f aca="false">(L810-$K810)^2</f>
        <v>0.583442379556</v>
      </c>
      <c r="AA810" s="8" t="n">
        <f aca="false">(M810-$K810)^2</f>
        <v>0.008475595969</v>
      </c>
      <c r="AB810" s="8" t="n">
        <f aca="false">(N810-$K810)^2</f>
        <v>0.011633348164</v>
      </c>
      <c r="AC810" s="8" t="n">
        <f aca="false">(O810-$K810)^2</f>
        <v>0.011274829489</v>
      </c>
      <c r="AD810" s="8" t="n">
        <f aca="false">(P810-$K810)^2</f>
        <v>0.013138432129</v>
      </c>
      <c r="AE810" s="8" t="n">
        <f aca="false">MIN(INT(ROUND(N810*1000000,0)/100000),9)</f>
        <v>1</v>
      </c>
      <c r="AF810" s="8" t="n">
        <f aca="false">MIN(INT(ROUND(P810*1000000,0)/100000),9)</f>
        <v>1</v>
      </c>
    </row>
    <row r="811" customFormat="false" ht="15" hidden="false" customHeight="false" outlineLevel="0" collapsed="false">
      <c r="A811" s="4" t="n">
        <v>807</v>
      </c>
      <c r="B811" s="4" t="n">
        <v>418</v>
      </c>
      <c r="C811" s="4" t="n">
        <v>2</v>
      </c>
      <c r="D811" s="11" t="n">
        <v>46113</v>
      </c>
      <c r="E811" s="4" t="s">
        <v>204</v>
      </c>
      <c r="F811" s="4" t="s">
        <v>208</v>
      </c>
      <c r="G811" s="4" t="n">
        <v>1</v>
      </c>
      <c r="H811" s="4" t="n">
        <v>21</v>
      </c>
      <c r="I811" s="4" t="n">
        <v>0</v>
      </c>
      <c r="J811" s="4" t="n">
        <v>87</v>
      </c>
      <c r="K811" s="4" t="n">
        <v>0</v>
      </c>
      <c r="L811" s="12" t="n">
        <v>0.726347</v>
      </c>
      <c r="M811" s="12" t="n">
        <v>0.092063</v>
      </c>
      <c r="N811" s="12" t="n">
        <v>0.170935</v>
      </c>
      <c r="O811" s="12" t="n">
        <v>0.106183</v>
      </c>
      <c r="P811" s="12" t="n">
        <v>0.184647</v>
      </c>
      <c r="Q811" s="0" t="str">
        <f aca="false">IF(L811&gt;=Models!$G$5,1+COUNTIF($L$5:$L$1517,"&gt;"&amp;L811)+COUNTIFS($L$5:$L$1517,L811,$B$5:$B$1517,"&lt;"&amp;B811)+COUNTIFS($L$5:$L$1517,L811,$B$5:$B$1517,B811,$C$5:$C$1517,"&lt;"&amp;C811),"")</f>
        <v/>
      </c>
      <c r="R811" s="0" t="str">
        <f aca="false">IF(M811&gt;=Models!$G$6,1+COUNTIF($M$5:$M$1517,"&gt;"&amp;M811)+COUNTIFS($M$5:$M$1517,M811,$B$5:$B$1517,"&lt;"&amp;B811)+COUNTIFS($M$5:$M$1517,M811,$B$5:$B$1517,B811,$C$5:$C$1517,"&lt;"&amp;C811),"")</f>
        <v/>
      </c>
      <c r="S811" s="0" t="str">
        <f aca="false">IF(N811&gt;=Models!$G$7,1+COUNTIF($N$5:$N$1517,"&gt;"&amp;N811)+COUNTIFS($N$5:$N$1517,N811,$B$5:$B$1517,"&lt;"&amp;B811)+COUNTIFS($N$5:$N$1517,N811,$B$5:$B$1517,B811,$C$5:$C$1517,"&lt;"&amp;C811),"")</f>
        <v/>
      </c>
      <c r="T811" s="8" t="n">
        <f aca="false">IF(O811&gt;=Models!$G$8,1+COUNTIF($O$5:$O$1517,"&gt;"&amp;O811)+COUNTIFS($O$5:$O$1517,O811,$B$5:$B$1517,"&lt;"&amp;B811)+COUNTIFS($O$5:$O$1517,O811,$B$5:$B$1517,B811,$C$5:$C$1517,"&lt;"&amp;C811),"")</f>
        <v>289</v>
      </c>
      <c r="U811" s="8" t="n">
        <f aca="false">IF($K811=1,COUNTIFS($L$5:$L$1517,"&gt;="&amp;L811,$K$5:$K$1517,1)/COUNTIF($L$5:$L$1517,"&gt;="&amp;L811),0)</f>
        <v>0</v>
      </c>
      <c r="V811" s="8" t="n">
        <f aca="false">IF($K811=1,COUNTIFS($M$5:$M$1517,"&gt;="&amp;M811,$K$5:$K$1517,1)/COUNTIF($M$5:$M$1517,"&gt;="&amp;M811),0)</f>
        <v>0</v>
      </c>
      <c r="W811" s="8" t="n">
        <f aca="false">IF($K811=1,COUNTIFS($N$5:$N$1517,"&gt;="&amp;N811,$K$5:$K$1517,1)/COUNTIF($N$5:$N$1517,"&gt;="&amp;N811),0)</f>
        <v>0</v>
      </c>
      <c r="X811" s="8" t="n">
        <f aca="false">IF($K811=1,COUNTIFS($O$5:$O$1517,"&gt;="&amp;O811,$K$5:$K$1517,1)/COUNTIF($O$5:$O$1517,"&gt;="&amp;O811),0)</f>
        <v>0</v>
      </c>
      <c r="Y811" s="8" t="n">
        <f aca="false">IF($K811=1,COUNTIFS($P$5:$P$1517,"&gt;="&amp;P811,$K$5:$K$1517,1)/COUNTIF($P$5:$P$1517,"&gt;="&amp;P811),0)</f>
        <v>0</v>
      </c>
      <c r="Z811" s="8" t="n">
        <f aca="false">(L811-$K811)^2</f>
        <v>0.527579964409</v>
      </c>
      <c r="AA811" s="8" t="n">
        <f aca="false">(M811-$K811)^2</f>
        <v>0.008475595969</v>
      </c>
      <c r="AB811" s="8" t="n">
        <f aca="false">(N811-$K811)^2</f>
        <v>0.029218774225</v>
      </c>
      <c r="AC811" s="8" t="n">
        <f aca="false">(O811-$K811)^2</f>
        <v>0.011274829489</v>
      </c>
      <c r="AD811" s="8" t="n">
        <f aca="false">(P811-$K811)^2</f>
        <v>0.034094514609</v>
      </c>
      <c r="AE811" s="8" t="n">
        <f aca="false">MIN(INT(ROUND(N811*1000000,0)/100000),9)</f>
        <v>1</v>
      </c>
      <c r="AF811" s="8" t="n">
        <f aca="false">MIN(INT(ROUND(P811*1000000,0)/100000),9)</f>
        <v>1</v>
      </c>
    </row>
    <row r="812" customFormat="false" ht="15" hidden="false" customHeight="false" outlineLevel="0" collapsed="false">
      <c r="A812" s="4" t="n">
        <v>808</v>
      </c>
      <c r="B812" s="4" t="n">
        <v>420</v>
      </c>
      <c r="C812" s="4" t="n">
        <v>2</v>
      </c>
      <c r="D812" s="11" t="n">
        <v>46113</v>
      </c>
      <c r="E812" s="4" t="s">
        <v>203</v>
      </c>
      <c r="F812" s="4" t="s">
        <v>206</v>
      </c>
      <c r="G812" s="4" t="n">
        <v>8</v>
      </c>
      <c r="H812" s="4" t="n">
        <v>0</v>
      </c>
      <c r="I812" s="4" t="n">
        <v>0</v>
      </c>
      <c r="J812" s="4" t="n">
        <v>198</v>
      </c>
      <c r="K812" s="4" t="n">
        <v>0</v>
      </c>
      <c r="L812" s="12" t="n">
        <v>0.826176</v>
      </c>
      <c r="M812" s="12" t="n">
        <v>0.092063</v>
      </c>
      <c r="N812" s="12" t="n">
        <v>0.084131</v>
      </c>
      <c r="O812" s="12" t="n">
        <v>0.106183</v>
      </c>
      <c r="P812" s="12" t="n">
        <v>0.088498</v>
      </c>
      <c r="Q812" s="0" t="str">
        <f aca="false">IF(L812&gt;=Models!$G$5,1+COUNTIF($L$5:$L$1517,"&gt;"&amp;L812)+COUNTIFS($L$5:$L$1517,L812,$B$5:$B$1517,"&lt;"&amp;B812)+COUNTIFS($L$5:$L$1517,L812,$B$5:$B$1517,B812,$C$5:$C$1517,"&lt;"&amp;C812),"")</f>
        <v/>
      </c>
      <c r="R812" s="0" t="str">
        <f aca="false">IF(M812&gt;=Models!$G$6,1+COUNTIF($M$5:$M$1517,"&gt;"&amp;M812)+COUNTIFS($M$5:$M$1517,M812,$B$5:$B$1517,"&lt;"&amp;B812)+COUNTIFS($M$5:$M$1517,M812,$B$5:$B$1517,B812,$C$5:$C$1517,"&lt;"&amp;C812),"")</f>
        <v/>
      </c>
      <c r="S812" s="0" t="str">
        <f aca="false">IF(N812&gt;=Models!$G$7,1+COUNTIF($N$5:$N$1517,"&gt;"&amp;N812)+COUNTIFS($N$5:$N$1517,N812,$B$5:$B$1517,"&lt;"&amp;B812)+COUNTIFS($N$5:$N$1517,N812,$B$5:$B$1517,B812,$C$5:$C$1517,"&lt;"&amp;C812),"")</f>
        <v/>
      </c>
      <c r="T812" s="8" t="n">
        <f aca="false">IF(O812&gt;=Models!$G$8,1+COUNTIF($O$5:$O$1517,"&gt;"&amp;O812)+COUNTIFS($O$5:$O$1517,O812,$B$5:$B$1517,"&lt;"&amp;B812)+COUNTIFS($O$5:$O$1517,O812,$B$5:$B$1517,B812,$C$5:$C$1517,"&lt;"&amp;C812),"")</f>
        <v>293</v>
      </c>
      <c r="U812" s="8" t="n">
        <f aca="false">IF($K812=1,COUNTIFS($L$5:$L$1517,"&gt;="&amp;L812,$K$5:$K$1517,1)/COUNTIF($L$5:$L$1517,"&gt;="&amp;L812),0)</f>
        <v>0</v>
      </c>
      <c r="V812" s="8" t="n">
        <f aca="false">IF($K812=1,COUNTIFS($M$5:$M$1517,"&gt;="&amp;M812,$K$5:$K$1517,1)/COUNTIF($M$5:$M$1517,"&gt;="&amp;M812),0)</f>
        <v>0</v>
      </c>
      <c r="W812" s="8" t="n">
        <f aca="false">IF($K812=1,COUNTIFS($N$5:$N$1517,"&gt;="&amp;N812,$K$5:$K$1517,1)/COUNTIF($N$5:$N$1517,"&gt;="&amp;N812),0)</f>
        <v>0</v>
      </c>
      <c r="X812" s="8" t="n">
        <f aca="false">IF($K812=1,COUNTIFS($O$5:$O$1517,"&gt;="&amp;O812,$K$5:$K$1517,1)/COUNTIF($O$5:$O$1517,"&gt;="&amp;O812),0)</f>
        <v>0</v>
      </c>
      <c r="Y812" s="8" t="n">
        <f aca="false">IF($K812=1,COUNTIFS($P$5:$P$1517,"&gt;="&amp;P812,$K$5:$K$1517,1)/COUNTIF($P$5:$P$1517,"&gt;="&amp;P812),0)</f>
        <v>0</v>
      </c>
      <c r="Z812" s="8" t="n">
        <f aca="false">(L812-$K812)^2</f>
        <v>0.682566782976</v>
      </c>
      <c r="AA812" s="8" t="n">
        <f aca="false">(M812-$K812)^2</f>
        <v>0.008475595969</v>
      </c>
      <c r="AB812" s="8" t="n">
        <f aca="false">(N812-$K812)^2</f>
        <v>0.007078025161</v>
      </c>
      <c r="AC812" s="8" t="n">
        <f aca="false">(O812-$K812)^2</f>
        <v>0.011274829489</v>
      </c>
      <c r="AD812" s="8" t="n">
        <f aca="false">(P812-$K812)^2</f>
        <v>0.007831896004</v>
      </c>
      <c r="AE812" s="8" t="n">
        <f aca="false">MIN(INT(ROUND(N812*1000000,0)/100000),9)</f>
        <v>0</v>
      </c>
      <c r="AF812" s="8" t="n">
        <f aca="false">MIN(INT(ROUND(P812*1000000,0)/100000),9)</f>
        <v>0</v>
      </c>
    </row>
    <row r="813" customFormat="false" ht="15" hidden="false" customHeight="false" outlineLevel="0" collapsed="false">
      <c r="A813" s="4" t="n">
        <v>809</v>
      </c>
      <c r="B813" s="4" t="n">
        <v>430</v>
      </c>
      <c r="C813" s="4" t="n">
        <v>2</v>
      </c>
      <c r="D813" s="11" t="n">
        <v>46113</v>
      </c>
      <c r="E813" s="4" t="s">
        <v>204</v>
      </c>
      <c r="F813" s="4" t="s">
        <v>210</v>
      </c>
      <c r="G813" s="4" t="n">
        <v>2</v>
      </c>
      <c r="H813" s="4" t="n">
        <v>0</v>
      </c>
      <c r="I813" s="4" t="n">
        <v>0</v>
      </c>
      <c r="J813" s="4" t="n">
        <v>93</v>
      </c>
      <c r="K813" s="4" t="n">
        <v>0</v>
      </c>
      <c r="L813" s="12" t="n">
        <v>0.203045</v>
      </c>
      <c r="M813" s="12" t="n">
        <v>0.092063</v>
      </c>
      <c r="N813" s="12" t="n">
        <v>0.13688</v>
      </c>
      <c r="O813" s="12" t="n">
        <v>0.106183</v>
      </c>
      <c r="P813" s="12" t="n">
        <v>0.146779</v>
      </c>
      <c r="Q813" s="0" t="str">
        <f aca="false">IF(L813&gt;=Models!$G$5,1+COUNTIF($L$5:$L$1517,"&gt;"&amp;L813)+COUNTIFS($L$5:$L$1517,L813,$B$5:$B$1517,"&lt;"&amp;B813)+COUNTIFS($L$5:$L$1517,L813,$B$5:$B$1517,B813,$C$5:$C$1517,"&lt;"&amp;C813),"")</f>
        <v/>
      </c>
      <c r="R813" s="0" t="str">
        <f aca="false">IF(M813&gt;=Models!$G$6,1+COUNTIF($M$5:$M$1517,"&gt;"&amp;M813)+COUNTIFS($M$5:$M$1517,M813,$B$5:$B$1517,"&lt;"&amp;B813)+COUNTIFS($M$5:$M$1517,M813,$B$5:$B$1517,B813,$C$5:$C$1517,"&lt;"&amp;C813),"")</f>
        <v/>
      </c>
      <c r="S813" s="0" t="str">
        <f aca="false">IF(N813&gt;=Models!$G$7,1+COUNTIF($N$5:$N$1517,"&gt;"&amp;N813)+COUNTIFS($N$5:$N$1517,N813,$B$5:$B$1517,"&lt;"&amp;B813)+COUNTIFS($N$5:$N$1517,N813,$B$5:$B$1517,B813,$C$5:$C$1517,"&lt;"&amp;C813),"")</f>
        <v/>
      </c>
      <c r="T813" s="8" t="n">
        <f aca="false">IF(O813&gt;=Models!$G$8,1+COUNTIF($O$5:$O$1517,"&gt;"&amp;O813)+COUNTIFS($O$5:$O$1517,O813,$B$5:$B$1517,"&lt;"&amp;B813)+COUNTIFS($O$5:$O$1517,O813,$B$5:$B$1517,B813,$C$5:$C$1517,"&lt;"&amp;C813),"")</f>
        <v>299</v>
      </c>
      <c r="U813" s="8" t="n">
        <f aca="false">IF($K813=1,COUNTIFS($L$5:$L$1517,"&gt;="&amp;L813,$K$5:$K$1517,1)/COUNTIF($L$5:$L$1517,"&gt;="&amp;L813),0)</f>
        <v>0</v>
      </c>
      <c r="V813" s="8" t="n">
        <f aca="false">IF($K813=1,COUNTIFS($M$5:$M$1517,"&gt;="&amp;M813,$K$5:$K$1517,1)/COUNTIF($M$5:$M$1517,"&gt;="&amp;M813),0)</f>
        <v>0</v>
      </c>
      <c r="W813" s="8" t="n">
        <f aca="false">IF($K813=1,COUNTIFS($N$5:$N$1517,"&gt;="&amp;N813,$K$5:$K$1517,1)/COUNTIF($N$5:$N$1517,"&gt;="&amp;N813),0)</f>
        <v>0</v>
      </c>
      <c r="X813" s="8" t="n">
        <f aca="false">IF($K813=1,COUNTIFS($O$5:$O$1517,"&gt;="&amp;O813,$K$5:$K$1517,1)/COUNTIF($O$5:$O$1517,"&gt;="&amp;O813),0)</f>
        <v>0</v>
      </c>
      <c r="Y813" s="8" t="n">
        <f aca="false">IF($K813=1,COUNTIFS($P$5:$P$1517,"&gt;="&amp;P813,$K$5:$K$1517,1)/COUNTIF($P$5:$P$1517,"&gt;="&amp;P813),0)</f>
        <v>0</v>
      </c>
      <c r="Z813" s="8" t="n">
        <f aca="false">(L813-$K813)^2</f>
        <v>0.041227272025</v>
      </c>
      <c r="AA813" s="8" t="n">
        <f aca="false">(M813-$K813)^2</f>
        <v>0.008475595969</v>
      </c>
      <c r="AB813" s="8" t="n">
        <f aca="false">(N813-$K813)^2</f>
        <v>0.0187361344</v>
      </c>
      <c r="AC813" s="8" t="n">
        <f aca="false">(O813-$K813)^2</f>
        <v>0.011274829489</v>
      </c>
      <c r="AD813" s="8" t="n">
        <f aca="false">(P813-$K813)^2</f>
        <v>0.021544074841</v>
      </c>
      <c r="AE813" s="8" t="n">
        <f aca="false">MIN(INT(ROUND(N813*1000000,0)/100000),9)</f>
        <v>1</v>
      </c>
      <c r="AF813" s="8" t="n">
        <f aca="false">MIN(INT(ROUND(P813*1000000,0)/100000),9)</f>
        <v>1</v>
      </c>
    </row>
    <row r="814" customFormat="false" ht="15" hidden="false" customHeight="false" outlineLevel="0" collapsed="false">
      <c r="A814" s="4" t="n">
        <v>810</v>
      </c>
      <c r="B814" s="4" t="n">
        <v>431</v>
      </c>
      <c r="C814" s="4" t="n">
        <v>2</v>
      </c>
      <c r="D814" s="11" t="n">
        <v>46113</v>
      </c>
      <c r="E814" s="4" t="s">
        <v>203</v>
      </c>
      <c r="F814" s="4" t="s">
        <v>206</v>
      </c>
      <c r="G814" s="4" t="n">
        <v>4</v>
      </c>
      <c r="H814" s="4" t="n">
        <v>0</v>
      </c>
      <c r="I814" s="4" t="n">
        <v>0</v>
      </c>
      <c r="J814" s="4"/>
      <c r="K814" s="4" t="n">
        <v>0</v>
      </c>
      <c r="L814" s="12" t="n">
        <v>0.709955</v>
      </c>
      <c r="M814" s="12" t="n">
        <v>0.092063</v>
      </c>
      <c r="N814" s="12" t="n">
        <v>0.058812</v>
      </c>
      <c r="O814" s="12" t="n">
        <v>0.106183</v>
      </c>
      <c r="P814" s="12" t="n">
        <v>0.060897</v>
      </c>
      <c r="Q814" s="0" t="str">
        <f aca="false">IF(L814&gt;=Models!$G$5,1+COUNTIF($L$5:$L$1517,"&gt;"&amp;L814)+COUNTIFS($L$5:$L$1517,L814,$B$5:$B$1517,"&lt;"&amp;B814)+COUNTIFS($L$5:$L$1517,L814,$B$5:$B$1517,B814,$C$5:$C$1517,"&lt;"&amp;C814),"")</f>
        <v/>
      </c>
      <c r="R814" s="0" t="str">
        <f aca="false">IF(M814&gt;=Models!$G$6,1+COUNTIF($M$5:$M$1517,"&gt;"&amp;M814)+COUNTIFS($M$5:$M$1517,M814,$B$5:$B$1517,"&lt;"&amp;B814)+COUNTIFS($M$5:$M$1517,M814,$B$5:$B$1517,B814,$C$5:$C$1517,"&lt;"&amp;C814),"")</f>
        <v/>
      </c>
      <c r="S814" s="0" t="str">
        <f aca="false">IF(N814&gt;=Models!$G$7,1+COUNTIF($N$5:$N$1517,"&gt;"&amp;N814)+COUNTIFS($N$5:$N$1517,N814,$B$5:$B$1517,"&lt;"&amp;B814)+COUNTIFS($N$5:$N$1517,N814,$B$5:$B$1517,B814,$C$5:$C$1517,"&lt;"&amp;C814),"")</f>
        <v/>
      </c>
      <c r="T814" s="8" t="n">
        <f aca="false">IF(O814&gt;=Models!$G$8,1+COUNTIF($O$5:$O$1517,"&gt;"&amp;O814)+COUNTIFS($O$5:$O$1517,O814,$B$5:$B$1517,"&lt;"&amp;B814)+COUNTIFS($O$5:$O$1517,O814,$B$5:$B$1517,B814,$C$5:$C$1517,"&lt;"&amp;C814),"")</f>
        <v>303</v>
      </c>
      <c r="U814" s="8" t="n">
        <f aca="false">IF($K814=1,COUNTIFS($L$5:$L$1517,"&gt;="&amp;L814,$K$5:$K$1517,1)/COUNTIF($L$5:$L$1517,"&gt;="&amp;L814),0)</f>
        <v>0</v>
      </c>
      <c r="V814" s="8" t="n">
        <f aca="false">IF($K814=1,COUNTIFS($M$5:$M$1517,"&gt;="&amp;M814,$K$5:$K$1517,1)/COUNTIF($M$5:$M$1517,"&gt;="&amp;M814),0)</f>
        <v>0</v>
      </c>
      <c r="W814" s="8" t="n">
        <f aca="false">IF($K814=1,COUNTIFS($N$5:$N$1517,"&gt;="&amp;N814,$K$5:$K$1517,1)/COUNTIF($N$5:$N$1517,"&gt;="&amp;N814),0)</f>
        <v>0</v>
      </c>
      <c r="X814" s="8" t="n">
        <f aca="false">IF($K814=1,COUNTIFS($O$5:$O$1517,"&gt;="&amp;O814,$K$5:$K$1517,1)/COUNTIF($O$5:$O$1517,"&gt;="&amp;O814),0)</f>
        <v>0</v>
      </c>
      <c r="Y814" s="8" t="n">
        <f aca="false">IF($K814=1,COUNTIFS($P$5:$P$1517,"&gt;="&amp;P814,$K$5:$K$1517,1)/COUNTIF($P$5:$P$1517,"&gt;="&amp;P814),0)</f>
        <v>0</v>
      </c>
      <c r="Z814" s="8" t="n">
        <f aca="false">(L814-$K814)^2</f>
        <v>0.504036102025</v>
      </c>
      <c r="AA814" s="8" t="n">
        <f aca="false">(M814-$K814)^2</f>
        <v>0.008475595969</v>
      </c>
      <c r="AB814" s="8" t="n">
        <f aca="false">(N814-$K814)^2</f>
        <v>0.003458851344</v>
      </c>
      <c r="AC814" s="8" t="n">
        <f aca="false">(O814-$K814)^2</f>
        <v>0.011274829489</v>
      </c>
      <c r="AD814" s="8" t="n">
        <f aca="false">(P814-$K814)^2</f>
        <v>0.003708444609</v>
      </c>
      <c r="AE814" s="8" t="n">
        <f aca="false">MIN(INT(ROUND(N814*1000000,0)/100000),9)</f>
        <v>0</v>
      </c>
      <c r="AF814" s="8" t="n">
        <f aca="false">MIN(INT(ROUND(P814*1000000,0)/100000),9)</f>
        <v>0</v>
      </c>
    </row>
    <row r="815" customFormat="false" ht="15" hidden="false" customHeight="false" outlineLevel="0" collapsed="false">
      <c r="A815" s="4" t="n">
        <v>811</v>
      </c>
      <c r="B815" s="4" t="n">
        <v>432</v>
      </c>
      <c r="C815" s="4" t="n">
        <v>2</v>
      </c>
      <c r="D815" s="11" t="n">
        <v>46113</v>
      </c>
      <c r="E815" s="4" t="s">
        <v>202</v>
      </c>
      <c r="F815" s="4" t="s">
        <v>208</v>
      </c>
      <c r="G815" s="4" t="n">
        <v>8</v>
      </c>
      <c r="H815" s="4" t="n">
        <v>8</v>
      </c>
      <c r="I815" s="4" t="n">
        <v>0</v>
      </c>
      <c r="J815" s="4"/>
      <c r="K815" s="4" t="n">
        <v>0</v>
      </c>
      <c r="L815" s="12" t="n">
        <v>0.625102</v>
      </c>
      <c r="M815" s="12" t="n">
        <v>0.092063</v>
      </c>
      <c r="N815" s="12" t="n">
        <v>0.044481</v>
      </c>
      <c r="O815" s="12" t="n">
        <v>0.106183</v>
      </c>
      <c r="P815" s="12" t="n">
        <v>0.045471</v>
      </c>
      <c r="Q815" s="0" t="str">
        <f aca="false">IF(L815&gt;=Models!$G$5,1+COUNTIF($L$5:$L$1517,"&gt;"&amp;L815)+COUNTIFS($L$5:$L$1517,L815,$B$5:$B$1517,"&lt;"&amp;B815)+COUNTIFS($L$5:$L$1517,L815,$B$5:$B$1517,B815,$C$5:$C$1517,"&lt;"&amp;C815),"")</f>
        <v/>
      </c>
      <c r="R815" s="0" t="str">
        <f aca="false">IF(M815&gt;=Models!$G$6,1+COUNTIF($M$5:$M$1517,"&gt;"&amp;M815)+COUNTIFS($M$5:$M$1517,M815,$B$5:$B$1517,"&lt;"&amp;B815)+COUNTIFS($M$5:$M$1517,M815,$B$5:$B$1517,B815,$C$5:$C$1517,"&lt;"&amp;C815),"")</f>
        <v/>
      </c>
      <c r="S815" s="0" t="str">
        <f aca="false">IF(N815&gt;=Models!$G$7,1+COUNTIF($N$5:$N$1517,"&gt;"&amp;N815)+COUNTIFS($N$5:$N$1517,N815,$B$5:$B$1517,"&lt;"&amp;B815)+COUNTIFS($N$5:$N$1517,N815,$B$5:$B$1517,B815,$C$5:$C$1517,"&lt;"&amp;C815),"")</f>
        <v/>
      </c>
      <c r="T815" s="8" t="n">
        <f aca="false">IF(O815&gt;=Models!$G$8,1+COUNTIF($O$5:$O$1517,"&gt;"&amp;O815)+COUNTIFS($O$5:$O$1517,O815,$B$5:$B$1517,"&lt;"&amp;B815)+COUNTIFS($O$5:$O$1517,O815,$B$5:$B$1517,B815,$C$5:$C$1517,"&lt;"&amp;C815),"")</f>
        <v>307</v>
      </c>
      <c r="U815" s="8" t="n">
        <f aca="false">IF($K815=1,COUNTIFS($L$5:$L$1517,"&gt;="&amp;L815,$K$5:$K$1517,1)/COUNTIF($L$5:$L$1517,"&gt;="&amp;L815),0)</f>
        <v>0</v>
      </c>
      <c r="V815" s="8" t="n">
        <f aca="false">IF($K815=1,COUNTIFS($M$5:$M$1517,"&gt;="&amp;M815,$K$5:$K$1517,1)/COUNTIF($M$5:$M$1517,"&gt;="&amp;M815),0)</f>
        <v>0</v>
      </c>
      <c r="W815" s="8" t="n">
        <f aca="false">IF($K815=1,COUNTIFS($N$5:$N$1517,"&gt;="&amp;N815,$K$5:$K$1517,1)/COUNTIF($N$5:$N$1517,"&gt;="&amp;N815),0)</f>
        <v>0</v>
      </c>
      <c r="X815" s="8" t="n">
        <f aca="false">IF($K815=1,COUNTIFS($O$5:$O$1517,"&gt;="&amp;O815,$K$5:$K$1517,1)/COUNTIF($O$5:$O$1517,"&gt;="&amp;O815),0)</f>
        <v>0</v>
      </c>
      <c r="Y815" s="8" t="n">
        <f aca="false">IF($K815=1,COUNTIFS($P$5:$P$1517,"&gt;="&amp;P815,$K$5:$K$1517,1)/COUNTIF($P$5:$P$1517,"&gt;="&amp;P815),0)</f>
        <v>0</v>
      </c>
      <c r="Z815" s="8" t="n">
        <f aca="false">(L815-$K815)^2</f>
        <v>0.390752510404</v>
      </c>
      <c r="AA815" s="8" t="n">
        <f aca="false">(M815-$K815)^2</f>
        <v>0.008475595969</v>
      </c>
      <c r="AB815" s="8" t="n">
        <f aca="false">(N815-$K815)^2</f>
        <v>0.001978559361</v>
      </c>
      <c r="AC815" s="8" t="n">
        <f aca="false">(O815-$K815)^2</f>
        <v>0.011274829489</v>
      </c>
      <c r="AD815" s="8" t="n">
        <f aca="false">(P815-$K815)^2</f>
        <v>0.002067611841</v>
      </c>
      <c r="AE815" s="8" t="n">
        <f aca="false">MIN(INT(ROUND(N815*1000000,0)/100000),9)</f>
        <v>0</v>
      </c>
      <c r="AF815" s="8" t="n">
        <f aca="false">MIN(INT(ROUND(P815*1000000,0)/100000),9)</f>
        <v>0</v>
      </c>
    </row>
    <row r="816" customFormat="false" ht="15" hidden="false" customHeight="false" outlineLevel="0" collapsed="false">
      <c r="A816" s="4" t="n">
        <v>812</v>
      </c>
      <c r="B816" s="4" t="n">
        <v>438</v>
      </c>
      <c r="C816" s="4" t="n">
        <v>2</v>
      </c>
      <c r="D816" s="11" t="n">
        <v>46113</v>
      </c>
      <c r="E816" s="4" t="s">
        <v>204</v>
      </c>
      <c r="F816" s="4" t="s">
        <v>208</v>
      </c>
      <c r="G816" s="4" t="n">
        <v>1</v>
      </c>
      <c r="H816" s="4" t="n">
        <v>4</v>
      </c>
      <c r="I816" s="4" t="n">
        <v>1</v>
      </c>
      <c r="J816" s="4" t="n">
        <v>56.7</v>
      </c>
      <c r="K816" s="4" t="n">
        <v>1</v>
      </c>
      <c r="L816" s="12" t="n">
        <v>0.476835</v>
      </c>
      <c r="M816" s="12" t="n">
        <v>0.184211</v>
      </c>
      <c r="N816" s="12" t="n">
        <v>0.245913</v>
      </c>
      <c r="O816" s="12" t="n">
        <v>0.106183</v>
      </c>
      <c r="P816" s="12" t="n">
        <v>0.267984</v>
      </c>
      <c r="Q816" s="0" t="str">
        <f aca="false">IF(L816&gt;=Models!$G$5,1+COUNTIF($L$5:$L$1517,"&gt;"&amp;L816)+COUNTIFS($L$5:$L$1517,L816,$B$5:$B$1517,"&lt;"&amp;B816)+COUNTIFS($L$5:$L$1517,L816,$B$5:$B$1517,B816,$C$5:$C$1517,"&lt;"&amp;C816),"")</f>
        <v/>
      </c>
      <c r="R816" s="8" t="n">
        <f aca="false">IF(M816&gt;=Models!$G$6,1+COUNTIF($M$5:$M$1517,"&gt;"&amp;M816)+COUNTIFS($M$5:$M$1517,M816,$B$5:$B$1517,"&lt;"&amp;B816)+COUNTIFS($M$5:$M$1517,M816,$B$5:$B$1517,B816,$C$5:$C$1517,"&lt;"&amp;C816),"")</f>
        <v>38</v>
      </c>
      <c r="S816" s="8" t="n">
        <f aca="false">IF(N816&gt;=Models!$G$7,1+COUNTIF($N$5:$N$1517,"&gt;"&amp;N816)+COUNTIFS($N$5:$N$1517,N816,$B$5:$B$1517,"&lt;"&amp;B816)+COUNTIFS($N$5:$N$1517,N816,$B$5:$B$1517,B816,$C$5:$C$1517,"&lt;"&amp;C816),"")</f>
        <v>21</v>
      </c>
      <c r="T816" s="8" t="n">
        <f aca="false">IF(O816&gt;=Models!$G$8,1+COUNTIF($O$5:$O$1517,"&gt;"&amp;O816)+COUNTIFS($O$5:$O$1517,O816,$B$5:$B$1517,"&lt;"&amp;B816)+COUNTIFS($O$5:$O$1517,O816,$B$5:$B$1517,B816,$C$5:$C$1517,"&lt;"&amp;C816),"")</f>
        <v>311</v>
      </c>
      <c r="U816" s="8" t="n">
        <f aca="false">IF($K816=1,COUNTIFS($L$5:$L$1517,"&gt;="&amp;L816,$K$5:$K$1517,1)/COUNTIF($L$5:$L$1517,"&gt;="&amp;L816),0)</f>
        <v>0.119078104993598</v>
      </c>
      <c r="V816" s="8" t="n">
        <f aca="false">IF($K816=1,COUNTIFS($M$5:$M$1517,"&gt;="&amp;M816,$K$5:$K$1517,1)/COUNTIF($M$5:$M$1517,"&gt;="&amp;M816),0)</f>
        <v>0.186528497409326</v>
      </c>
      <c r="W816" s="8" t="n">
        <f aca="false">IF($K816=1,COUNTIFS($N$5:$N$1517,"&gt;="&amp;N816,$K$5:$K$1517,1)/COUNTIF($N$5:$N$1517,"&gt;="&amp;N816),0)</f>
        <v>0.285714285714286</v>
      </c>
      <c r="X816" s="8" t="n">
        <f aca="false">IF($K816=1,COUNTIFS($O$5:$O$1517,"&gt;="&amp;O816,$K$5:$K$1517,1)/COUNTIF($O$5:$O$1517,"&gt;="&amp;O816),0)</f>
        <v>0.12491738268341</v>
      </c>
      <c r="Y816" s="8" t="n">
        <f aca="false">IF($K816=1,COUNTIFS($P$5:$P$1517,"&gt;="&amp;P816,$K$5:$K$1517,1)/COUNTIF($P$5:$P$1517,"&gt;="&amp;P816),0)</f>
        <v>0.285714285714286</v>
      </c>
      <c r="Z816" s="8" t="n">
        <f aca="false">(L816-$K816)^2</f>
        <v>0.273701617225</v>
      </c>
      <c r="AA816" s="8" t="n">
        <f aca="false">(M816-$K816)^2</f>
        <v>0.665511692521</v>
      </c>
      <c r="AB816" s="8" t="n">
        <f aca="false">(N816-$K816)^2</f>
        <v>0.568647203569</v>
      </c>
      <c r="AC816" s="8" t="n">
        <f aca="false">(O816-$K816)^2</f>
        <v>0.798908829489</v>
      </c>
      <c r="AD816" s="8" t="n">
        <f aca="false">(P816-$K816)^2</f>
        <v>0.535847424256</v>
      </c>
      <c r="AE816" s="8" t="n">
        <f aca="false">MIN(INT(ROUND(N816*1000000,0)/100000),9)</f>
        <v>2</v>
      </c>
      <c r="AF816" s="8" t="n">
        <f aca="false">MIN(INT(ROUND(P816*1000000,0)/100000),9)</f>
        <v>2</v>
      </c>
    </row>
    <row r="817" customFormat="false" ht="15" hidden="false" customHeight="false" outlineLevel="0" collapsed="false">
      <c r="A817" s="4" t="n">
        <v>813</v>
      </c>
      <c r="B817" s="4" t="n">
        <v>440</v>
      </c>
      <c r="C817" s="4" t="n">
        <v>2</v>
      </c>
      <c r="D817" s="11" t="n">
        <v>46113</v>
      </c>
      <c r="E817" s="4" t="s">
        <v>202</v>
      </c>
      <c r="F817" s="4" t="s">
        <v>207</v>
      </c>
      <c r="G817" s="4" t="n">
        <v>15</v>
      </c>
      <c r="H817" s="4" t="n">
        <v>0</v>
      </c>
      <c r="I817" s="4" t="n">
        <v>0</v>
      </c>
      <c r="J817" s="4"/>
      <c r="K817" s="4" t="n">
        <v>0</v>
      </c>
      <c r="L817" s="12" t="n">
        <v>0.603237</v>
      </c>
      <c r="M817" s="12" t="n">
        <v>0.092063</v>
      </c>
      <c r="N817" s="12" t="n">
        <v>0.022694</v>
      </c>
      <c r="O817" s="12" t="n">
        <v>0.106183</v>
      </c>
      <c r="P817" s="12" t="n">
        <v>0.022472</v>
      </c>
      <c r="Q817" s="0" t="str">
        <f aca="false">IF(L817&gt;=Models!$G$5,1+COUNTIF($L$5:$L$1517,"&gt;"&amp;L817)+COUNTIFS($L$5:$L$1517,L817,$B$5:$B$1517,"&lt;"&amp;B817)+COUNTIFS($L$5:$L$1517,L817,$B$5:$B$1517,B817,$C$5:$C$1517,"&lt;"&amp;C817),"")</f>
        <v/>
      </c>
      <c r="R817" s="0" t="str">
        <f aca="false">IF(M817&gt;=Models!$G$6,1+COUNTIF($M$5:$M$1517,"&gt;"&amp;M817)+COUNTIFS($M$5:$M$1517,M817,$B$5:$B$1517,"&lt;"&amp;B817)+COUNTIFS($M$5:$M$1517,M817,$B$5:$B$1517,B817,$C$5:$C$1517,"&lt;"&amp;C817),"")</f>
        <v/>
      </c>
      <c r="S817" s="0" t="str">
        <f aca="false">IF(N817&gt;=Models!$G$7,1+COUNTIF($N$5:$N$1517,"&gt;"&amp;N817)+COUNTIFS($N$5:$N$1517,N817,$B$5:$B$1517,"&lt;"&amp;B817)+COUNTIFS($N$5:$N$1517,N817,$B$5:$B$1517,B817,$C$5:$C$1517,"&lt;"&amp;C817),"")</f>
        <v/>
      </c>
      <c r="T817" s="8" t="n">
        <f aca="false">IF(O817&gt;=Models!$G$8,1+COUNTIF($O$5:$O$1517,"&gt;"&amp;O817)+COUNTIFS($O$5:$O$1517,O817,$B$5:$B$1517,"&lt;"&amp;B817)+COUNTIFS($O$5:$O$1517,O817,$B$5:$B$1517,B817,$C$5:$C$1517,"&lt;"&amp;C817),"")</f>
        <v>314</v>
      </c>
      <c r="U817" s="8" t="n">
        <f aca="false">IF($K817=1,COUNTIFS($L$5:$L$1517,"&gt;="&amp;L817,$K$5:$K$1517,1)/COUNTIF($L$5:$L$1517,"&gt;="&amp;L817),0)</f>
        <v>0</v>
      </c>
      <c r="V817" s="8" t="n">
        <f aca="false">IF($K817=1,COUNTIFS($M$5:$M$1517,"&gt;="&amp;M817,$K$5:$K$1517,1)/COUNTIF($M$5:$M$1517,"&gt;="&amp;M817),0)</f>
        <v>0</v>
      </c>
      <c r="W817" s="8" t="n">
        <f aca="false">IF($K817=1,COUNTIFS($N$5:$N$1517,"&gt;="&amp;N817,$K$5:$K$1517,1)/COUNTIF($N$5:$N$1517,"&gt;="&amp;N817),0)</f>
        <v>0</v>
      </c>
      <c r="X817" s="8" t="n">
        <f aca="false">IF($K817=1,COUNTIFS($O$5:$O$1517,"&gt;="&amp;O817,$K$5:$K$1517,1)/COUNTIF($O$5:$O$1517,"&gt;="&amp;O817),0)</f>
        <v>0</v>
      </c>
      <c r="Y817" s="8" t="n">
        <f aca="false">IF($K817=1,COUNTIFS($P$5:$P$1517,"&gt;="&amp;P817,$K$5:$K$1517,1)/COUNTIF($P$5:$P$1517,"&gt;="&amp;P817),0)</f>
        <v>0</v>
      </c>
      <c r="Z817" s="8" t="n">
        <f aca="false">(L817-$K817)^2</f>
        <v>0.363894878169</v>
      </c>
      <c r="AA817" s="8" t="n">
        <f aca="false">(M817-$K817)^2</f>
        <v>0.008475595969</v>
      </c>
      <c r="AB817" s="8" t="n">
        <f aca="false">(N817-$K817)^2</f>
        <v>0.000515017636</v>
      </c>
      <c r="AC817" s="8" t="n">
        <f aca="false">(O817-$K817)^2</f>
        <v>0.011274829489</v>
      </c>
      <c r="AD817" s="8" t="n">
        <f aca="false">(P817-$K817)^2</f>
        <v>0.000504990784</v>
      </c>
      <c r="AE817" s="8" t="n">
        <f aca="false">MIN(INT(ROUND(N817*1000000,0)/100000),9)</f>
        <v>0</v>
      </c>
      <c r="AF817" s="8" t="n">
        <f aca="false">MIN(INT(ROUND(P817*1000000,0)/100000),9)</f>
        <v>0</v>
      </c>
    </row>
    <row r="818" customFormat="false" ht="15" hidden="false" customHeight="false" outlineLevel="0" collapsed="false">
      <c r="A818" s="4" t="n">
        <v>814</v>
      </c>
      <c r="B818" s="4" t="n">
        <v>441</v>
      </c>
      <c r="C818" s="4" t="n">
        <v>2</v>
      </c>
      <c r="D818" s="11" t="n">
        <v>46113</v>
      </c>
      <c r="E818" s="4" t="s">
        <v>204</v>
      </c>
      <c r="F818" s="4" t="s">
        <v>206</v>
      </c>
      <c r="G818" s="4" t="n">
        <v>2</v>
      </c>
      <c r="H818" s="4" t="n">
        <v>4</v>
      </c>
      <c r="I818" s="4" t="n">
        <v>0</v>
      </c>
      <c r="J818" s="4" t="n">
        <v>90</v>
      </c>
      <c r="K818" s="4" t="n">
        <v>1</v>
      </c>
      <c r="L818" s="12" t="n">
        <v>0.979142</v>
      </c>
      <c r="M818" s="12" t="n">
        <v>0.092063</v>
      </c>
      <c r="N818" s="12" t="n">
        <v>0.140821</v>
      </c>
      <c r="O818" s="12" t="n">
        <v>0.106183</v>
      </c>
      <c r="P818" s="12" t="n">
        <v>0.151156</v>
      </c>
      <c r="Q818" s="0" t="str">
        <f aca="false">IF(L818&gt;=Models!$G$5,1+COUNTIF($L$5:$L$1517,"&gt;"&amp;L818)+COUNTIFS($L$5:$L$1517,L818,$B$5:$B$1517,"&lt;"&amp;B818)+COUNTIFS($L$5:$L$1517,L818,$B$5:$B$1517,B818,$C$5:$C$1517,"&lt;"&amp;C818),"")</f>
        <v/>
      </c>
      <c r="R818" s="0" t="str">
        <f aca="false">IF(M818&gt;=Models!$G$6,1+COUNTIF($M$5:$M$1517,"&gt;"&amp;M818)+COUNTIFS($M$5:$M$1517,M818,$B$5:$B$1517,"&lt;"&amp;B818)+COUNTIFS($M$5:$M$1517,M818,$B$5:$B$1517,B818,$C$5:$C$1517,"&lt;"&amp;C818),"")</f>
        <v/>
      </c>
      <c r="S818" s="0" t="str">
        <f aca="false">IF(N818&gt;=Models!$G$7,1+COUNTIF($N$5:$N$1517,"&gt;"&amp;N818)+COUNTIFS($N$5:$N$1517,N818,$B$5:$B$1517,"&lt;"&amp;B818)+COUNTIFS($N$5:$N$1517,N818,$B$5:$B$1517,B818,$C$5:$C$1517,"&lt;"&amp;C818),"")</f>
        <v/>
      </c>
      <c r="T818" s="8" t="n">
        <f aca="false">IF(O818&gt;=Models!$G$8,1+COUNTIF($O$5:$O$1517,"&gt;"&amp;O818)+COUNTIFS($O$5:$O$1517,O818,$B$5:$B$1517,"&lt;"&amp;B818)+COUNTIFS($O$5:$O$1517,O818,$B$5:$B$1517,B818,$C$5:$C$1517,"&lt;"&amp;C818),"")</f>
        <v>318</v>
      </c>
      <c r="U818" s="8" t="n">
        <f aca="false">IF($K818=1,COUNTIFS($L$5:$L$1517,"&gt;="&amp;L818,$K$5:$K$1517,1)/COUNTIF($L$5:$L$1517,"&gt;="&amp;L818),0)</f>
        <v>0.0689655172413793</v>
      </c>
      <c r="V818" s="8" t="n">
        <f aca="false">IF($K818=1,COUNTIFS($M$5:$M$1517,"&gt;="&amp;M818,$K$5:$K$1517,1)/COUNTIF($M$5:$M$1517,"&gt;="&amp;M818),0)</f>
        <v>0.12491738268341</v>
      </c>
      <c r="W818" s="8" t="n">
        <f aca="false">IF($K818=1,COUNTIFS($N$5:$N$1517,"&gt;="&amp;N818,$K$5:$K$1517,1)/COUNTIF($N$5:$N$1517,"&gt;="&amp;N818),0)</f>
        <v>0.287822878228782</v>
      </c>
      <c r="X818" s="8" t="n">
        <f aca="false">IF($K818=1,COUNTIFS($O$5:$O$1517,"&gt;="&amp;O818,$K$5:$K$1517,1)/COUNTIF($O$5:$O$1517,"&gt;="&amp;O818),0)</f>
        <v>0.12491738268341</v>
      </c>
      <c r="Y818" s="8" t="n">
        <f aca="false">IF($K818=1,COUNTIFS($P$5:$P$1517,"&gt;="&amp;P818,$K$5:$K$1517,1)/COUNTIF($P$5:$P$1517,"&gt;="&amp;P818),0)</f>
        <v>0.287822878228782</v>
      </c>
      <c r="Z818" s="8" t="n">
        <f aca="false">(L818-$K818)^2</f>
        <v>0.000435056164000002</v>
      </c>
      <c r="AA818" s="8" t="n">
        <f aca="false">(M818-$K818)^2</f>
        <v>0.824349595969</v>
      </c>
      <c r="AB818" s="8" t="n">
        <f aca="false">(N818-$K818)^2</f>
        <v>0.738188554041</v>
      </c>
      <c r="AC818" s="8" t="n">
        <f aca="false">(O818-$K818)^2</f>
        <v>0.798908829489</v>
      </c>
      <c r="AD818" s="8" t="n">
        <f aca="false">(P818-$K818)^2</f>
        <v>0.720536136336</v>
      </c>
      <c r="AE818" s="8" t="n">
        <f aca="false">MIN(INT(ROUND(N818*1000000,0)/100000),9)</f>
        <v>1</v>
      </c>
      <c r="AF818" s="8" t="n">
        <f aca="false">MIN(INT(ROUND(P818*1000000,0)/100000),9)</f>
        <v>1</v>
      </c>
    </row>
    <row r="819" customFormat="false" ht="15" hidden="false" customHeight="false" outlineLevel="0" collapsed="false">
      <c r="A819" s="4" t="n">
        <v>815</v>
      </c>
      <c r="B819" s="4" t="n">
        <v>443</v>
      </c>
      <c r="C819" s="4" t="n">
        <v>2</v>
      </c>
      <c r="D819" s="11" t="n">
        <v>46113</v>
      </c>
      <c r="E819" s="4" t="s">
        <v>203</v>
      </c>
      <c r="F819" s="4" t="s">
        <v>209</v>
      </c>
      <c r="G819" s="4" t="n">
        <v>1</v>
      </c>
      <c r="H819" s="4" t="n">
        <v>29</v>
      </c>
      <c r="I819" s="4" t="n">
        <v>0</v>
      </c>
      <c r="J819" s="4" t="n">
        <v>224.7</v>
      </c>
      <c r="K819" s="4" t="n">
        <v>0</v>
      </c>
      <c r="L819" s="12" t="n">
        <v>0.733193</v>
      </c>
      <c r="M819" s="12" t="n">
        <v>0.092063</v>
      </c>
      <c r="N819" s="12" t="n">
        <v>0.179248</v>
      </c>
      <c r="O819" s="12" t="n">
        <v>0.106183</v>
      </c>
      <c r="P819" s="12" t="n">
        <v>0.193899</v>
      </c>
      <c r="Q819" s="0" t="str">
        <f aca="false">IF(L819&gt;=Models!$G$5,1+COUNTIF($L$5:$L$1517,"&gt;"&amp;L819)+COUNTIFS($L$5:$L$1517,L819,$B$5:$B$1517,"&lt;"&amp;B819)+COUNTIFS($L$5:$L$1517,L819,$B$5:$B$1517,B819,$C$5:$C$1517,"&lt;"&amp;C819),"")</f>
        <v/>
      </c>
      <c r="R819" s="0" t="str">
        <f aca="false">IF(M819&gt;=Models!$G$6,1+COUNTIF($M$5:$M$1517,"&gt;"&amp;M819)+COUNTIFS($M$5:$M$1517,M819,$B$5:$B$1517,"&lt;"&amp;B819)+COUNTIFS($M$5:$M$1517,M819,$B$5:$B$1517,B819,$C$5:$C$1517,"&lt;"&amp;C819),"")</f>
        <v/>
      </c>
      <c r="S819" s="0" t="str">
        <f aca="false">IF(N819&gt;=Models!$G$7,1+COUNTIF($N$5:$N$1517,"&gt;"&amp;N819)+COUNTIFS($N$5:$N$1517,N819,$B$5:$B$1517,"&lt;"&amp;B819)+COUNTIFS($N$5:$N$1517,N819,$B$5:$B$1517,B819,$C$5:$C$1517,"&lt;"&amp;C819),"")</f>
        <v/>
      </c>
      <c r="T819" s="8" t="n">
        <f aca="false">IF(O819&gt;=Models!$G$8,1+COUNTIF($O$5:$O$1517,"&gt;"&amp;O819)+COUNTIFS($O$5:$O$1517,O819,$B$5:$B$1517,"&lt;"&amp;B819)+COUNTIFS($O$5:$O$1517,O819,$B$5:$B$1517,B819,$C$5:$C$1517,"&lt;"&amp;C819),"")</f>
        <v>321</v>
      </c>
      <c r="U819" s="8" t="n">
        <f aca="false">IF($K819=1,COUNTIFS($L$5:$L$1517,"&gt;="&amp;L819,$K$5:$K$1517,1)/COUNTIF($L$5:$L$1517,"&gt;="&amp;L819),0)</f>
        <v>0</v>
      </c>
      <c r="V819" s="8" t="n">
        <f aca="false">IF($K819=1,COUNTIFS($M$5:$M$1517,"&gt;="&amp;M819,$K$5:$K$1517,1)/COUNTIF($M$5:$M$1517,"&gt;="&amp;M819),0)</f>
        <v>0</v>
      </c>
      <c r="W819" s="8" t="n">
        <f aca="false">IF($K819=1,COUNTIFS($N$5:$N$1517,"&gt;="&amp;N819,$K$5:$K$1517,1)/COUNTIF($N$5:$N$1517,"&gt;="&amp;N819),0)</f>
        <v>0</v>
      </c>
      <c r="X819" s="8" t="n">
        <f aca="false">IF($K819=1,COUNTIFS($O$5:$O$1517,"&gt;="&amp;O819,$K$5:$K$1517,1)/COUNTIF($O$5:$O$1517,"&gt;="&amp;O819),0)</f>
        <v>0</v>
      </c>
      <c r="Y819" s="8" t="n">
        <f aca="false">IF($K819=1,COUNTIFS($P$5:$P$1517,"&gt;="&amp;P819,$K$5:$K$1517,1)/COUNTIF($P$5:$P$1517,"&gt;="&amp;P819),0)</f>
        <v>0</v>
      </c>
      <c r="Z819" s="8" t="n">
        <f aca="false">(L819-$K819)^2</f>
        <v>0.537571975249</v>
      </c>
      <c r="AA819" s="8" t="n">
        <f aca="false">(M819-$K819)^2</f>
        <v>0.008475595969</v>
      </c>
      <c r="AB819" s="8" t="n">
        <f aca="false">(N819-$K819)^2</f>
        <v>0.032129845504</v>
      </c>
      <c r="AC819" s="8" t="n">
        <f aca="false">(O819-$K819)^2</f>
        <v>0.011274829489</v>
      </c>
      <c r="AD819" s="8" t="n">
        <f aca="false">(P819-$K819)^2</f>
        <v>0.037596822201</v>
      </c>
      <c r="AE819" s="8" t="n">
        <f aca="false">MIN(INT(ROUND(N819*1000000,0)/100000),9)</f>
        <v>1</v>
      </c>
      <c r="AF819" s="8" t="n">
        <f aca="false">MIN(INT(ROUND(P819*1000000,0)/100000),9)</f>
        <v>1</v>
      </c>
    </row>
    <row r="820" customFormat="false" ht="15" hidden="false" customHeight="false" outlineLevel="0" collapsed="false">
      <c r="A820" s="4" t="n">
        <v>816</v>
      </c>
      <c r="B820" s="4" t="n">
        <v>445</v>
      </c>
      <c r="C820" s="4" t="n">
        <v>2</v>
      </c>
      <c r="D820" s="11" t="n">
        <v>46113</v>
      </c>
      <c r="E820" s="4" t="s">
        <v>203</v>
      </c>
      <c r="F820" s="4" t="s">
        <v>207</v>
      </c>
      <c r="G820" s="4" t="n">
        <v>6</v>
      </c>
      <c r="H820" s="4" t="n">
        <v>0</v>
      </c>
      <c r="I820" s="4" t="n">
        <v>0</v>
      </c>
      <c r="J820" s="4"/>
      <c r="K820" s="4" t="n">
        <v>0</v>
      </c>
      <c r="L820" s="12" t="n">
        <v>0.8499</v>
      </c>
      <c r="M820" s="12" t="n">
        <v>0.092063</v>
      </c>
      <c r="N820" s="12" t="n">
        <v>0.049606</v>
      </c>
      <c r="O820" s="12" t="n">
        <v>0.106183</v>
      </c>
      <c r="P820" s="12" t="n">
        <v>0.050966</v>
      </c>
      <c r="Q820" s="0" t="str">
        <f aca="false">IF(L820&gt;=Models!$G$5,1+COUNTIF($L$5:$L$1517,"&gt;"&amp;L820)+COUNTIFS($L$5:$L$1517,L820,$B$5:$B$1517,"&lt;"&amp;B820)+COUNTIFS($L$5:$L$1517,L820,$B$5:$B$1517,B820,$C$5:$C$1517,"&lt;"&amp;C820),"")</f>
        <v/>
      </c>
      <c r="R820" s="0" t="str">
        <f aca="false">IF(M820&gt;=Models!$G$6,1+COUNTIF($M$5:$M$1517,"&gt;"&amp;M820)+COUNTIFS($M$5:$M$1517,M820,$B$5:$B$1517,"&lt;"&amp;B820)+COUNTIFS($M$5:$M$1517,M820,$B$5:$B$1517,B820,$C$5:$C$1517,"&lt;"&amp;C820),"")</f>
        <v/>
      </c>
      <c r="S820" s="0" t="str">
        <f aca="false">IF(N820&gt;=Models!$G$7,1+COUNTIF($N$5:$N$1517,"&gt;"&amp;N820)+COUNTIFS($N$5:$N$1517,N820,$B$5:$B$1517,"&lt;"&amp;B820)+COUNTIFS($N$5:$N$1517,N820,$B$5:$B$1517,B820,$C$5:$C$1517,"&lt;"&amp;C820),"")</f>
        <v/>
      </c>
      <c r="T820" s="8" t="n">
        <f aca="false">IF(O820&gt;=Models!$G$8,1+COUNTIF($O$5:$O$1517,"&gt;"&amp;O820)+COUNTIFS($O$5:$O$1517,O820,$B$5:$B$1517,"&lt;"&amp;B820)+COUNTIFS($O$5:$O$1517,O820,$B$5:$B$1517,B820,$C$5:$C$1517,"&lt;"&amp;C820),"")</f>
        <v>325</v>
      </c>
      <c r="U820" s="8" t="n">
        <f aca="false">IF($K820=1,COUNTIFS($L$5:$L$1517,"&gt;="&amp;L820,$K$5:$K$1517,1)/COUNTIF($L$5:$L$1517,"&gt;="&amp;L820),0)</f>
        <v>0</v>
      </c>
      <c r="V820" s="8" t="n">
        <f aca="false">IF($K820=1,COUNTIFS($M$5:$M$1517,"&gt;="&amp;M820,$K$5:$K$1517,1)/COUNTIF($M$5:$M$1517,"&gt;="&amp;M820),0)</f>
        <v>0</v>
      </c>
      <c r="W820" s="8" t="n">
        <f aca="false">IF($K820=1,COUNTIFS($N$5:$N$1517,"&gt;="&amp;N820,$K$5:$K$1517,1)/COUNTIF($N$5:$N$1517,"&gt;="&amp;N820),0)</f>
        <v>0</v>
      </c>
      <c r="X820" s="8" t="n">
        <f aca="false">IF($K820=1,COUNTIFS($O$5:$O$1517,"&gt;="&amp;O820,$K$5:$K$1517,1)/COUNTIF($O$5:$O$1517,"&gt;="&amp;O820),0)</f>
        <v>0</v>
      </c>
      <c r="Y820" s="8" t="n">
        <f aca="false">IF($K820=1,COUNTIFS($P$5:$P$1517,"&gt;="&amp;P820,$K$5:$K$1517,1)/COUNTIF($P$5:$P$1517,"&gt;="&amp;P820),0)</f>
        <v>0</v>
      </c>
      <c r="Z820" s="8" t="n">
        <f aca="false">(L820-$K820)^2</f>
        <v>0.72233001</v>
      </c>
      <c r="AA820" s="8" t="n">
        <f aca="false">(M820-$K820)^2</f>
        <v>0.008475595969</v>
      </c>
      <c r="AB820" s="8" t="n">
        <f aca="false">(N820-$K820)^2</f>
        <v>0.002460755236</v>
      </c>
      <c r="AC820" s="8" t="n">
        <f aca="false">(O820-$K820)^2</f>
        <v>0.011274829489</v>
      </c>
      <c r="AD820" s="8" t="n">
        <f aca="false">(P820-$K820)^2</f>
        <v>0.002597533156</v>
      </c>
      <c r="AE820" s="8" t="n">
        <f aca="false">MIN(INT(ROUND(N820*1000000,0)/100000),9)</f>
        <v>0</v>
      </c>
      <c r="AF820" s="8" t="n">
        <f aca="false">MIN(INT(ROUND(P820*1000000,0)/100000),9)</f>
        <v>0</v>
      </c>
    </row>
    <row r="821" customFormat="false" ht="15" hidden="false" customHeight="false" outlineLevel="0" collapsed="false">
      <c r="A821" s="4" t="n">
        <v>817</v>
      </c>
      <c r="B821" s="4" t="n">
        <v>450</v>
      </c>
      <c r="C821" s="4" t="n">
        <v>2</v>
      </c>
      <c r="D821" s="11" t="n">
        <v>46113</v>
      </c>
      <c r="E821" s="4" t="s">
        <v>203</v>
      </c>
      <c r="F821" s="4" t="s">
        <v>206</v>
      </c>
      <c r="G821" s="4" t="n">
        <v>7</v>
      </c>
      <c r="H821" s="4" t="n">
        <v>13</v>
      </c>
      <c r="I821" s="4" t="n">
        <v>0</v>
      </c>
      <c r="J821" s="4" t="n">
        <v>375</v>
      </c>
      <c r="K821" s="4" t="n">
        <v>0</v>
      </c>
      <c r="L821" s="12" t="n">
        <v>0.425701</v>
      </c>
      <c r="M821" s="12" t="n">
        <v>0.092063</v>
      </c>
      <c r="N821" s="12" t="n">
        <v>0.099638</v>
      </c>
      <c r="O821" s="12" t="n">
        <v>0.106183</v>
      </c>
      <c r="P821" s="12" t="n">
        <v>0.105551</v>
      </c>
      <c r="Q821" s="0" t="str">
        <f aca="false">IF(L821&gt;=Models!$G$5,1+COUNTIF($L$5:$L$1517,"&gt;"&amp;L821)+COUNTIFS($L$5:$L$1517,L821,$B$5:$B$1517,"&lt;"&amp;B821)+COUNTIFS($L$5:$L$1517,L821,$B$5:$B$1517,B821,$C$5:$C$1517,"&lt;"&amp;C821),"")</f>
        <v/>
      </c>
      <c r="R821" s="0" t="str">
        <f aca="false">IF(M821&gt;=Models!$G$6,1+COUNTIF($M$5:$M$1517,"&gt;"&amp;M821)+COUNTIFS($M$5:$M$1517,M821,$B$5:$B$1517,"&lt;"&amp;B821)+COUNTIFS($M$5:$M$1517,M821,$B$5:$B$1517,B821,$C$5:$C$1517,"&lt;"&amp;C821),"")</f>
        <v/>
      </c>
      <c r="S821" s="0" t="str">
        <f aca="false">IF(N821&gt;=Models!$G$7,1+COUNTIF($N$5:$N$1517,"&gt;"&amp;N821)+COUNTIFS($N$5:$N$1517,N821,$B$5:$B$1517,"&lt;"&amp;B821)+COUNTIFS($N$5:$N$1517,N821,$B$5:$B$1517,B821,$C$5:$C$1517,"&lt;"&amp;C821),"")</f>
        <v/>
      </c>
      <c r="T821" s="8" t="n">
        <f aca="false">IF(O821&gt;=Models!$G$8,1+COUNTIF($O$5:$O$1517,"&gt;"&amp;O821)+COUNTIFS($O$5:$O$1517,O821,$B$5:$B$1517,"&lt;"&amp;B821)+COUNTIFS($O$5:$O$1517,O821,$B$5:$B$1517,B821,$C$5:$C$1517,"&lt;"&amp;C821),"")</f>
        <v>329</v>
      </c>
      <c r="U821" s="8" t="n">
        <f aca="false">IF($K821=1,COUNTIFS($L$5:$L$1517,"&gt;="&amp;L821,$K$5:$K$1517,1)/COUNTIF($L$5:$L$1517,"&gt;="&amp;L821),0)</f>
        <v>0</v>
      </c>
      <c r="V821" s="8" t="n">
        <f aca="false">IF($K821=1,COUNTIFS($M$5:$M$1517,"&gt;="&amp;M821,$K$5:$K$1517,1)/COUNTIF($M$5:$M$1517,"&gt;="&amp;M821),0)</f>
        <v>0</v>
      </c>
      <c r="W821" s="8" t="n">
        <f aca="false">IF($K821=1,COUNTIFS($N$5:$N$1517,"&gt;="&amp;N821,$K$5:$K$1517,1)/COUNTIF($N$5:$N$1517,"&gt;="&amp;N821),0)</f>
        <v>0</v>
      </c>
      <c r="X821" s="8" t="n">
        <f aca="false">IF($K821=1,COUNTIFS($O$5:$O$1517,"&gt;="&amp;O821,$K$5:$K$1517,1)/COUNTIF($O$5:$O$1517,"&gt;="&amp;O821),0)</f>
        <v>0</v>
      </c>
      <c r="Y821" s="8" t="n">
        <f aca="false">IF($K821=1,COUNTIFS($P$5:$P$1517,"&gt;="&amp;P821,$K$5:$K$1517,1)/COUNTIF($P$5:$P$1517,"&gt;="&amp;P821),0)</f>
        <v>0</v>
      </c>
      <c r="Z821" s="8" t="n">
        <f aca="false">(L821-$K821)^2</f>
        <v>0.181221341401</v>
      </c>
      <c r="AA821" s="8" t="n">
        <f aca="false">(M821-$K821)^2</f>
        <v>0.008475595969</v>
      </c>
      <c r="AB821" s="8" t="n">
        <f aca="false">(N821-$K821)^2</f>
        <v>0.009927731044</v>
      </c>
      <c r="AC821" s="8" t="n">
        <f aca="false">(O821-$K821)^2</f>
        <v>0.011274829489</v>
      </c>
      <c r="AD821" s="8" t="n">
        <f aca="false">(P821-$K821)^2</f>
        <v>0.011141013601</v>
      </c>
      <c r="AE821" s="8" t="n">
        <f aca="false">MIN(INT(ROUND(N821*1000000,0)/100000),9)</f>
        <v>0</v>
      </c>
      <c r="AF821" s="8" t="n">
        <f aca="false">MIN(INT(ROUND(P821*1000000,0)/100000),9)</f>
        <v>1</v>
      </c>
    </row>
    <row r="822" customFormat="false" ht="15" hidden="false" customHeight="false" outlineLevel="0" collapsed="false">
      <c r="A822" s="4" t="n">
        <v>818</v>
      </c>
      <c r="B822" s="4" t="n">
        <v>461</v>
      </c>
      <c r="C822" s="4" t="n">
        <v>2</v>
      </c>
      <c r="D822" s="11" t="n">
        <v>46113</v>
      </c>
      <c r="E822" s="4" t="s">
        <v>204</v>
      </c>
      <c r="F822" s="4" t="s">
        <v>206</v>
      </c>
      <c r="G822" s="4" t="n">
        <v>9</v>
      </c>
      <c r="H822" s="4" t="n">
        <v>4</v>
      </c>
      <c r="I822" s="4" t="n">
        <v>0</v>
      </c>
      <c r="J822" s="4" t="n">
        <v>90</v>
      </c>
      <c r="K822" s="4" t="n">
        <v>0</v>
      </c>
      <c r="L822" s="12" t="n">
        <v>0.678589</v>
      </c>
      <c r="M822" s="12" t="n">
        <v>0.092063</v>
      </c>
      <c r="N822" s="12" t="n">
        <v>0.080289</v>
      </c>
      <c r="O822" s="12" t="n">
        <v>0.106183</v>
      </c>
      <c r="P822" s="12" t="n">
        <v>0.084287</v>
      </c>
      <c r="Q822" s="0" t="str">
        <f aca="false">IF(L822&gt;=Models!$G$5,1+COUNTIF($L$5:$L$1517,"&gt;"&amp;L822)+COUNTIFS($L$5:$L$1517,L822,$B$5:$B$1517,"&lt;"&amp;B822)+COUNTIFS($L$5:$L$1517,L822,$B$5:$B$1517,B822,$C$5:$C$1517,"&lt;"&amp;C822),"")</f>
        <v/>
      </c>
      <c r="R822" s="0" t="str">
        <f aca="false">IF(M822&gt;=Models!$G$6,1+COUNTIF($M$5:$M$1517,"&gt;"&amp;M822)+COUNTIFS($M$5:$M$1517,M822,$B$5:$B$1517,"&lt;"&amp;B822)+COUNTIFS($M$5:$M$1517,M822,$B$5:$B$1517,B822,$C$5:$C$1517,"&lt;"&amp;C822),"")</f>
        <v/>
      </c>
      <c r="S822" s="0" t="str">
        <f aca="false">IF(N822&gt;=Models!$G$7,1+COUNTIF($N$5:$N$1517,"&gt;"&amp;N822)+COUNTIFS($N$5:$N$1517,N822,$B$5:$B$1517,"&lt;"&amp;B822)+COUNTIFS($N$5:$N$1517,N822,$B$5:$B$1517,B822,$C$5:$C$1517,"&lt;"&amp;C822),"")</f>
        <v/>
      </c>
      <c r="T822" s="8" t="n">
        <f aca="false">IF(O822&gt;=Models!$G$8,1+COUNTIF($O$5:$O$1517,"&gt;"&amp;O822)+COUNTIFS($O$5:$O$1517,O822,$B$5:$B$1517,"&lt;"&amp;B822)+COUNTIFS($O$5:$O$1517,O822,$B$5:$B$1517,B822,$C$5:$C$1517,"&lt;"&amp;C822),"")</f>
        <v>333</v>
      </c>
      <c r="U822" s="8" t="n">
        <f aca="false">IF($K822=1,COUNTIFS($L$5:$L$1517,"&gt;="&amp;L822,$K$5:$K$1517,1)/COUNTIF($L$5:$L$1517,"&gt;="&amp;L822),0)</f>
        <v>0</v>
      </c>
      <c r="V822" s="8" t="n">
        <f aca="false">IF($K822=1,COUNTIFS($M$5:$M$1517,"&gt;="&amp;M822,$K$5:$K$1517,1)/COUNTIF($M$5:$M$1517,"&gt;="&amp;M822),0)</f>
        <v>0</v>
      </c>
      <c r="W822" s="8" t="n">
        <f aca="false">IF($K822=1,COUNTIFS($N$5:$N$1517,"&gt;="&amp;N822,$K$5:$K$1517,1)/COUNTIF($N$5:$N$1517,"&gt;="&amp;N822),0)</f>
        <v>0</v>
      </c>
      <c r="X822" s="8" t="n">
        <f aca="false">IF($K822=1,COUNTIFS($O$5:$O$1517,"&gt;="&amp;O822,$K$5:$K$1517,1)/COUNTIF($O$5:$O$1517,"&gt;="&amp;O822),0)</f>
        <v>0</v>
      </c>
      <c r="Y822" s="8" t="n">
        <f aca="false">IF($K822=1,COUNTIFS($P$5:$P$1517,"&gt;="&amp;P822,$K$5:$K$1517,1)/COUNTIF($P$5:$P$1517,"&gt;="&amp;P822),0)</f>
        <v>0</v>
      </c>
      <c r="Z822" s="8" t="n">
        <f aca="false">(L822-$K822)^2</f>
        <v>0.460483030921</v>
      </c>
      <c r="AA822" s="8" t="n">
        <f aca="false">(M822-$K822)^2</f>
        <v>0.008475595969</v>
      </c>
      <c r="AB822" s="8" t="n">
        <f aca="false">(N822-$K822)^2</f>
        <v>0.006446323521</v>
      </c>
      <c r="AC822" s="8" t="n">
        <f aca="false">(O822-$K822)^2</f>
        <v>0.011274829489</v>
      </c>
      <c r="AD822" s="8" t="n">
        <f aca="false">(P822-$K822)^2</f>
        <v>0.007104298369</v>
      </c>
      <c r="AE822" s="8" t="n">
        <f aca="false">MIN(INT(ROUND(N822*1000000,0)/100000),9)</f>
        <v>0</v>
      </c>
      <c r="AF822" s="8" t="n">
        <f aca="false">MIN(INT(ROUND(P822*1000000,0)/100000),9)</f>
        <v>0</v>
      </c>
    </row>
    <row r="823" customFormat="false" ht="15" hidden="false" customHeight="false" outlineLevel="0" collapsed="false">
      <c r="A823" s="4" t="n">
        <v>819</v>
      </c>
      <c r="B823" s="4" t="n">
        <v>462</v>
      </c>
      <c r="C823" s="4" t="n">
        <v>2</v>
      </c>
      <c r="D823" s="11" t="n">
        <v>46113</v>
      </c>
      <c r="E823" s="4" t="s">
        <v>203</v>
      </c>
      <c r="F823" s="4" t="s">
        <v>210</v>
      </c>
      <c r="G823" s="4" t="n">
        <v>4</v>
      </c>
      <c r="H823" s="4" t="n">
        <v>2</v>
      </c>
      <c r="I823" s="4" t="n">
        <v>0</v>
      </c>
      <c r="J823" s="4" t="n">
        <v>408</v>
      </c>
      <c r="K823" s="4" t="n">
        <v>0</v>
      </c>
      <c r="L823" s="12" t="n">
        <v>0.189698</v>
      </c>
      <c r="M823" s="12" t="n">
        <v>0.092063</v>
      </c>
      <c r="N823" s="12" t="n">
        <v>0.116775</v>
      </c>
      <c r="O823" s="12" t="n">
        <v>0.106183</v>
      </c>
      <c r="P823" s="12" t="n">
        <v>0.124485</v>
      </c>
      <c r="Q823" s="0" t="str">
        <f aca="false">IF(L823&gt;=Models!$G$5,1+COUNTIF($L$5:$L$1517,"&gt;"&amp;L823)+COUNTIFS($L$5:$L$1517,L823,$B$5:$B$1517,"&lt;"&amp;B823)+COUNTIFS($L$5:$L$1517,L823,$B$5:$B$1517,B823,$C$5:$C$1517,"&lt;"&amp;C823),"")</f>
        <v/>
      </c>
      <c r="R823" s="0" t="str">
        <f aca="false">IF(M823&gt;=Models!$G$6,1+COUNTIF($M$5:$M$1517,"&gt;"&amp;M823)+COUNTIFS($M$5:$M$1517,M823,$B$5:$B$1517,"&lt;"&amp;B823)+COUNTIFS($M$5:$M$1517,M823,$B$5:$B$1517,B823,$C$5:$C$1517,"&lt;"&amp;C823),"")</f>
        <v/>
      </c>
      <c r="S823" s="0" t="str">
        <f aca="false">IF(N823&gt;=Models!$G$7,1+COUNTIF($N$5:$N$1517,"&gt;"&amp;N823)+COUNTIFS($N$5:$N$1517,N823,$B$5:$B$1517,"&lt;"&amp;B823)+COUNTIFS($N$5:$N$1517,N823,$B$5:$B$1517,B823,$C$5:$C$1517,"&lt;"&amp;C823),"")</f>
        <v/>
      </c>
      <c r="T823" s="8" t="n">
        <f aca="false">IF(O823&gt;=Models!$G$8,1+COUNTIF($O$5:$O$1517,"&gt;"&amp;O823)+COUNTIFS($O$5:$O$1517,O823,$B$5:$B$1517,"&lt;"&amp;B823)+COUNTIFS($O$5:$O$1517,O823,$B$5:$B$1517,B823,$C$5:$C$1517,"&lt;"&amp;C823),"")</f>
        <v>337</v>
      </c>
      <c r="U823" s="8" t="n">
        <f aca="false">IF($K823=1,COUNTIFS($L$5:$L$1517,"&gt;="&amp;L823,$K$5:$K$1517,1)/COUNTIF($L$5:$L$1517,"&gt;="&amp;L823),0)</f>
        <v>0</v>
      </c>
      <c r="V823" s="8" t="n">
        <f aca="false">IF($K823=1,COUNTIFS($M$5:$M$1517,"&gt;="&amp;M823,$K$5:$K$1517,1)/COUNTIF($M$5:$M$1517,"&gt;="&amp;M823),0)</f>
        <v>0</v>
      </c>
      <c r="W823" s="8" t="n">
        <f aca="false">IF($K823=1,COUNTIFS($N$5:$N$1517,"&gt;="&amp;N823,$K$5:$K$1517,1)/COUNTIF($N$5:$N$1517,"&gt;="&amp;N823),0)</f>
        <v>0</v>
      </c>
      <c r="X823" s="8" t="n">
        <f aca="false">IF($K823=1,COUNTIFS($O$5:$O$1517,"&gt;="&amp;O823,$K$5:$K$1517,1)/COUNTIF($O$5:$O$1517,"&gt;="&amp;O823),0)</f>
        <v>0</v>
      </c>
      <c r="Y823" s="8" t="n">
        <f aca="false">IF($K823=1,COUNTIFS($P$5:$P$1517,"&gt;="&amp;P823,$K$5:$K$1517,1)/COUNTIF($P$5:$P$1517,"&gt;="&amp;P823),0)</f>
        <v>0</v>
      </c>
      <c r="Z823" s="8" t="n">
        <f aca="false">(L823-$K823)^2</f>
        <v>0.035985331204</v>
      </c>
      <c r="AA823" s="8" t="n">
        <f aca="false">(M823-$K823)^2</f>
        <v>0.008475595969</v>
      </c>
      <c r="AB823" s="8" t="n">
        <f aca="false">(N823-$K823)^2</f>
        <v>0.013636400625</v>
      </c>
      <c r="AC823" s="8" t="n">
        <f aca="false">(O823-$K823)^2</f>
        <v>0.011274829489</v>
      </c>
      <c r="AD823" s="8" t="n">
        <f aca="false">(P823-$K823)^2</f>
        <v>0.015496515225</v>
      </c>
      <c r="AE823" s="8" t="n">
        <f aca="false">MIN(INT(ROUND(N823*1000000,0)/100000),9)</f>
        <v>1</v>
      </c>
      <c r="AF823" s="8" t="n">
        <f aca="false">MIN(INT(ROUND(P823*1000000,0)/100000),9)</f>
        <v>1</v>
      </c>
    </row>
    <row r="824" customFormat="false" ht="15" hidden="false" customHeight="false" outlineLevel="0" collapsed="false">
      <c r="A824" s="4" t="n">
        <v>820</v>
      </c>
      <c r="B824" s="4" t="n">
        <v>463</v>
      </c>
      <c r="C824" s="4" t="n">
        <v>2</v>
      </c>
      <c r="D824" s="11" t="n">
        <v>46113</v>
      </c>
      <c r="E824" s="4" t="s">
        <v>204</v>
      </c>
      <c r="F824" s="4" t="s">
        <v>206</v>
      </c>
      <c r="G824" s="4" t="n">
        <v>5</v>
      </c>
      <c r="H824" s="4" t="n">
        <v>5</v>
      </c>
      <c r="I824" s="4" t="n">
        <v>0</v>
      </c>
      <c r="J824" s="4"/>
      <c r="K824" s="4" t="n">
        <v>0</v>
      </c>
      <c r="L824" s="12" t="n">
        <v>0.25341</v>
      </c>
      <c r="M824" s="12" t="n">
        <v>0.092063</v>
      </c>
      <c r="N824" s="12" t="n">
        <v>0.056157</v>
      </c>
      <c r="O824" s="12" t="n">
        <v>0.106183</v>
      </c>
      <c r="P824" s="12" t="n">
        <v>0.058026</v>
      </c>
      <c r="Q824" s="0" t="str">
        <f aca="false">IF(L824&gt;=Models!$G$5,1+COUNTIF($L$5:$L$1517,"&gt;"&amp;L824)+COUNTIFS($L$5:$L$1517,L824,$B$5:$B$1517,"&lt;"&amp;B824)+COUNTIFS($L$5:$L$1517,L824,$B$5:$B$1517,B824,$C$5:$C$1517,"&lt;"&amp;C824),"")</f>
        <v/>
      </c>
      <c r="R824" s="0" t="str">
        <f aca="false">IF(M824&gt;=Models!$G$6,1+COUNTIF($M$5:$M$1517,"&gt;"&amp;M824)+COUNTIFS($M$5:$M$1517,M824,$B$5:$B$1517,"&lt;"&amp;B824)+COUNTIFS($M$5:$M$1517,M824,$B$5:$B$1517,B824,$C$5:$C$1517,"&lt;"&amp;C824),"")</f>
        <v/>
      </c>
      <c r="S824" s="0" t="str">
        <f aca="false">IF(N824&gt;=Models!$G$7,1+COUNTIF($N$5:$N$1517,"&gt;"&amp;N824)+COUNTIFS($N$5:$N$1517,N824,$B$5:$B$1517,"&lt;"&amp;B824)+COUNTIFS($N$5:$N$1517,N824,$B$5:$B$1517,B824,$C$5:$C$1517,"&lt;"&amp;C824),"")</f>
        <v/>
      </c>
      <c r="T824" s="8" t="n">
        <f aca="false">IF(O824&gt;=Models!$G$8,1+COUNTIF($O$5:$O$1517,"&gt;"&amp;O824)+COUNTIFS($O$5:$O$1517,O824,$B$5:$B$1517,"&lt;"&amp;B824)+COUNTIFS($O$5:$O$1517,O824,$B$5:$B$1517,B824,$C$5:$C$1517,"&lt;"&amp;C824),"")</f>
        <v>341</v>
      </c>
      <c r="U824" s="8" t="n">
        <f aca="false">IF($K824=1,COUNTIFS($L$5:$L$1517,"&gt;="&amp;L824,$K$5:$K$1517,1)/COUNTIF($L$5:$L$1517,"&gt;="&amp;L824),0)</f>
        <v>0</v>
      </c>
      <c r="V824" s="8" t="n">
        <f aca="false">IF($K824=1,COUNTIFS($M$5:$M$1517,"&gt;="&amp;M824,$K$5:$K$1517,1)/COUNTIF($M$5:$M$1517,"&gt;="&amp;M824),0)</f>
        <v>0</v>
      </c>
      <c r="W824" s="8" t="n">
        <f aca="false">IF($K824=1,COUNTIFS($N$5:$N$1517,"&gt;="&amp;N824,$K$5:$K$1517,1)/COUNTIF($N$5:$N$1517,"&gt;="&amp;N824),0)</f>
        <v>0</v>
      </c>
      <c r="X824" s="8" t="n">
        <f aca="false">IF($K824=1,COUNTIFS($O$5:$O$1517,"&gt;="&amp;O824,$K$5:$K$1517,1)/COUNTIF($O$5:$O$1517,"&gt;="&amp;O824),0)</f>
        <v>0</v>
      </c>
      <c r="Y824" s="8" t="n">
        <f aca="false">IF($K824=1,COUNTIFS($P$5:$P$1517,"&gt;="&amp;P824,$K$5:$K$1517,1)/COUNTIF($P$5:$P$1517,"&gt;="&amp;P824),0)</f>
        <v>0</v>
      </c>
      <c r="Z824" s="8" t="n">
        <f aca="false">(L824-$K824)^2</f>
        <v>0.0642166281</v>
      </c>
      <c r="AA824" s="8" t="n">
        <f aca="false">(M824-$K824)^2</f>
        <v>0.008475595969</v>
      </c>
      <c r="AB824" s="8" t="n">
        <f aca="false">(N824-$K824)^2</f>
        <v>0.003153608649</v>
      </c>
      <c r="AC824" s="8" t="n">
        <f aca="false">(O824-$K824)^2</f>
        <v>0.011274829489</v>
      </c>
      <c r="AD824" s="8" t="n">
        <f aca="false">(P824-$K824)^2</f>
        <v>0.003367016676</v>
      </c>
      <c r="AE824" s="8" t="n">
        <f aca="false">MIN(INT(ROUND(N824*1000000,0)/100000),9)</f>
        <v>0</v>
      </c>
      <c r="AF824" s="8" t="n">
        <f aca="false">MIN(INT(ROUND(P824*1000000,0)/100000),9)</f>
        <v>0</v>
      </c>
    </row>
    <row r="825" customFormat="false" ht="15" hidden="false" customHeight="false" outlineLevel="0" collapsed="false">
      <c r="A825" s="4" t="n">
        <v>821</v>
      </c>
      <c r="B825" s="4" t="n">
        <v>466</v>
      </c>
      <c r="C825" s="4" t="n">
        <v>2</v>
      </c>
      <c r="D825" s="11" t="n">
        <v>46113</v>
      </c>
      <c r="E825" s="4" t="s">
        <v>202</v>
      </c>
      <c r="F825" s="4" t="s">
        <v>207</v>
      </c>
      <c r="G825" s="4" t="n">
        <v>14</v>
      </c>
      <c r="H825" s="4" t="n">
        <v>4</v>
      </c>
      <c r="I825" s="4" t="n">
        <v>0</v>
      </c>
      <c r="J825" s="4"/>
      <c r="K825" s="4" t="n">
        <v>0</v>
      </c>
      <c r="L825" s="12" t="n">
        <v>0.460276</v>
      </c>
      <c r="M825" s="12" t="n">
        <v>0.092063</v>
      </c>
      <c r="N825" s="12" t="n">
        <v>0.025583</v>
      </c>
      <c r="O825" s="12" t="n">
        <v>0.106183</v>
      </c>
      <c r="P825" s="12" t="n">
        <v>0.025478</v>
      </c>
      <c r="Q825" s="0" t="str">
        <f aca="false">IF(L825&gt;=Models!$G$5,1+COUNTIF($L$5:$L$1517,"&gt;"&amp;L825)+COUNTIFS($L$5:$L$1517,L825,$B$5:$B$1517,"&lt;"&amp;B825)+COUNTIFS($L$5:$L$1517,L825,$B$5:$B$1517,B825,$C$5:$C$1517,"&lt;"&amp;C825),"")</f>
        <v/>
      </c>
      <c r="R825" s="0" t="str">
        <f aca="false">IF(M825&gt;=Models!$G$6,1+COUNTIF($M$5:$M$1517,"&gt;"&amp;M825)+COUNTIFS($M$5:$M$1517,M825,$B$5:$B$1517,"&lt;"&amp;B825)+COUNTIFS($M$5:$M$1517,M825,$B$5:$B$1517,B825,$C$5:$C$1517,"&lt;"&amp;C825),"")</f>
        <v/>
      </c>
      <c r="S825" s="0" t="str">
        <f aca="false">IF(N825&gt;=Models!$G$7,1+COUNTIF($N$5:$N$1517,"&gt;"&amp;N825)+COUNTIFS($N$5:$N$1517,N825,$B$5:$B$1517,"&lt;"&amp;B825)+COUNTIFS($N$5:$N$1517,N825,$B$5:$B$1517,B825,$C$5:$C$1517,"&lt;"&amp;C825),"")</f>
        <v/>
      </c>
      <c r="T825" s="8" t="n">
        <f aca="false">IF(O825&gt;=Models!$G$8,1+COUNTIF($O$5:$O$1517,"&gt;"&amp;O825)+COUNTIFS($O$5:$O$1517,O825,$B$5:$B$1517,"&lt;"&amp;B825)+COUNTIFS($O$5:$O$1517,O825,$B$5:$B$1517,B825,$C$5:$C$1517,"&lt;"&amp;C825),"")</f>
        <v>345</v>
      </c>
      <c r="U825" s="8" t="n">
        <f aca="false">IF($K825=1,COUNTIFS($L$5:$L$1517,"&gt;="&amp;L825,$K$5:$K$1517,1)/COUNTIF($L$5:$L$1517,"&gt;="&amp;L825),0)</f>
        <v>0</v>
      </c>
      <c r="V825" s="8" t="n">
        <f aca="false">IF($K825=1,COUNTIFS($M$5:$M$1517,"&gt;="&amp;M825,$K$5:$K$1517,1)/COUNTIF($M$5:$M$1517,"&gt;="&amp;M825),0)</f>
        <v>0</v>
      </c>
      <c r="W825" s="8" t="n">
        <f aca="false">IF($K825=1,COUNTIFS($N$5:$N$1517,"&gt;="&amp;N825,$K$5:$K$1517,1)/COUNTIF($N$5:$N$1517,"&gt;="&amp;N825),0)</f>
        <v>0</v>
      </c>
      <c r="X825" s="8" t="n">
        <f aca="false">IF($K825=1,COUNTIFS($O$5:$O$1517,"&gt;="&amp;O825,$K$5:$K$1517,1)/COUNTIF($O$5:$O$1517,"&gt;="&amp;O825),0)</f>
        <v>0</v>
      </c>
      <c r="Y825" s="8" t="n">
        <f aca="false">IF($K825=1,COUNTIFS($P$5:$P$1517,"&gt;="&amp;P825,$K$5:$K$1517,1)/COUNTIF($P$5:$P$1517,"&gt;="&amp;P825),0)</f>
        <v>0</v>
      </c>
      <c r="Z825" s="8" t="n">
        <f aca="false">(L825-$K825)^2</f>
        <v>0.211853996176</v>
      </c>
      <c r="AA825" s="8" t="n">
        <f aca="false">(M825-$K825)^2</f>
        <v>0.008475595969</v>
      </c>
      <c r="AB825" s="8" t="n">
        <f aca="false">(N825-$K825)^2</f>
        <v>0.000654489889</v>
      </c>
      <c r="AC825" s="8" t="n">
        <f aca="false">(O825-$K825)^2</f>
        <v>0.011274829489</v>
      </c>
      <c r="AD825" s="8" t="n">
        <f aca="false">(P825-$K825)^2</f>
        <v>0.000649128484</v>
      </c>
      <c r="AE825" s="8" t="n">
        <f aca="false">MIN(INT(ROUND(N825*1000000,0)/100000),9)</f>
        <v>0</v>
      </c>
      <c r="AF825" s="8" t="n">
        <f aca="false">MIN(INT(ROUND(P825*1000000,0)/100000),9)</f>
        <v>0</v>
      </c>
    </row>
    <row r="826" customFormat="false" ht="15" hidden="false" customHeight="false" outlineLevel="0" collapsed="false">
      <c r="A826" s="4" t="n">
        <v>822</v>
      </c>
      <c r="B826" s="4" t="n">
        <v>477</v>
      </c>
      <c r="C826" s="4" t="n">
        <v>2</v>
      </c>
      <c r="D826" s="11" t="n">
        <v>46113</v>
      </c>
      <c r="E826" s="4" t="s">
        <v>204</v>
      </c>
      <c r="F826" s="4" t="s">
        <v>206</v>
      </c>
      <c r="G826" s="4" t="n">
        <v>1</v>
      </c>
      <c r="H826" s="4" t="n">
        <v>20</v>
      </c>
      <c r="I826" s="4" t="n">
        <v>0</v>
      </c>
      <c r="J826" s="4"/>
      <c r="K826" s="4" t="n">
        <v>0</v>
      </c>
      <c r="L826" s="12" t="n">
        <v>0.26079</v>
      </c>
      <c r="M826" s="12" t="n">
        <v>0.092063</v>
      </c>
      <c r="N826" s="12" t="n">
        <v>0.087951</v>
      </c>
      <c r="O826" s="12" t="n">
        <v>0.106183</v>
      </c>
      <c r="P826" s="12" t="n">
        <v>0.09269</v>
      </c>
      <c r="Q826" s="0" t="str">
        <f aca="false">IF(L826&gt;=Models!$G$5,1+COUNTIF($L$5:$L$1517,"&gt;"&amp;L826)+COUNTIFS($L$5:$L$1517,L826,$B$5:$B$1517,"&lt;"&amp;B826)+COUNTIFS($L$5:$L$1517,L826,$B$5:$B$1517,B826,$C$5:$C$1517,"&lt;"&amp;C826),"")</f>
        <v/>
      </c>
      <c r="R826" s="0" t="str">
        <f aca="false">IF(M826&gt;=Models!$G$6,1+COUNTIF($M$5:$M$1517,"&gt;"&amp;M826)+COUNTIFS($M$5:$M$1517,M826,$B$5:$B$1517,"&lt;"&amp;B826)+COUNTIFS($M$5:$M$1517,M826,$B$5:$B$1517,B826,$C$5:$C$1517,"&lt;"&amp;C826),"")</f>
        <v/>
      </c>
      <c r="S826" s="0" t="str">
        <f aca="false">IF(N826&gt;=Models!$G$7,1+COUNTIF($N$5:$N$1517,"&gt;"&amp;N826)+COUNTIFS($N$5:$N$1517,N826,$B$5:$B$1517,"&lt;"&amp;B826)+COUNTIFS($N$5:$N$1517,N826,$B$5:$B$1517,B826,$C$5:$C$1517,"&lt;"&amp;C826),"")</f>
        <v/>
      </c>
      <c r="T826" s="8" t="n">
        <f aca="false">IF(O826&gt;=Models!$G$8,1+COUNTIF($O$5:$O$1517,"&gt;"&amp;O826)+COUNTIFS($O$5:$O$1517,O826,$B$5:$B$1517,"&lt;"&amp;B826)+COUNTIFS($O$5:$O$1517,O826,$B$5:$B$1517,B826,$C$5:$C$1517,"&lt;"&amp;C826),"")</f>
        <v>349</v>
      </c>
      <c r="U826" s="8" t="n">
        <f aca="false">IF($K826=1,COUNTIFS($L$5:$L$1517,"&gt;="&amp;L826,$K$5:$K$1517,1)/COUNTIF($L$5:$L$1517,"&gt;="&amp;L826),0)</f>
        <v>0</v>
      </c>
      <c r="V826" s="8" t="n">
        <f aca="false">IF($K826=1,COUNTIFS($M$5:$M$1517,"&gt;="&amp;M826,$K$5:$K$1517,1)/COUNTIF($M$5:$M$1517,"&gt;="&amp;M826),0)</f>
        <v>0</v>
      </c>
      <c r="W826" s="8" t="n">
        <f aca="false">IF($K826=1,COUNTIFS($N$5:$N$1517,"&gt;="&amp;N826,$K$5:$K$1517,1)/COUNTIF($N$5:$N$1517,"&gt;="&amp;N826),0)</f>
        <v>0</v>
      </c>
      <c r="X826" s="8" t="n">
        <f aca="false">IF($K826=1,COUNTIFS($O$5:$O$1517,"&gt;="&amp;O826,$K$5:$K$1517,1)/COUNTIF($O$5:$O$1517,"&gt;="&amp;O826),0)</f>
        <v>0</v>
      </c>
      <c r="Y826" s="8" t="n">
        <f aca="false">IF($K826=1,COUNTIFS($P$5:$P$1517,"&gt;="&amp;P826,$K$5:$K$1517,1)/COUNTIF($P$5:$P$1517,"&gt;="&amp;P826),0)</f>
        <v>0</v>
      </c>
      <c r="Z826" s="8" t="n">
        <f aca="false">(L826-$K826)^2</f>
        <v>0.0680114241</v>
      </c>
      <c r="AA826" s="8" t="n">
        <f aca="false">(M826-$K826)^2</f>
        <v>0.008475595969</v>
      </c>
      <c r="AB826" s="8" t="n">
        <f aca="false">(N826-$K826)^2</f>
        <v>0.007735378401</v>
      </c>
      <c r="AC826" s="8" t="n">
        <f aca="false">(O826-$K826)^2</f>
        <v>0.011274829489</v>
      </c>
      <c r="AD826" s="8" t="n">
        <f aca="false">(P826-$K826)^2</f>
        <v>0.0085914361</v>
      </c>
      <c r="AE826" s="8" t="n">
        <f aca="false">MIN(INT(ROUND(N826*1000000,0)/100000),9)</f>
        <v>0</v>
      </c>
      <c r="AF826" s="8" t="n">
        <f aca="false">MIN(INT(ROUND(P826*1000000,0)/100000),9)</f>
        <v>0</v>
      </c>
    </row>
    <row r="827" customFormat="false" ht="15" hidden="false" customHeight="false" outlineLevel="0" collapsed="false">
      <c r="A827" s="4" t="n">
        <v>823</v>
      </c>
      <c r="B827" s="4" t="n">
        <v>493</v>
      </c>
      <c r="C827" s="4" t="n">
        <v>2</v>
      </c>
      <c r="D827" s="11" t="n">
        <v>46113</v>
      </c>
      <c r="E827" s="4" t="s">
        <v>204</v>
      </c>
      <c r="F827" s="4" t="s">
        <v>208</v>
      </c>
      <c r="G827" s="4" t="n">
        <v>3</v>
      </c>
      <c r="H827" s="4" t="n">
        <v>8</v>
      </c>
      <c r="I827" s="4" t="n">
        <v>0</v>
      </c>
      <c r="J827" s="4" t="n">
        <v>81</v>
      </c>
      <c r="K827" s="4" t="n">
        <v>1</v>
      </c>
      <c r="L827" s="12" t="n">
        <v>0.827776</v>
      </c>
      <c r="M827" s="12" t="n">
        <v>0.092063</v>
      </c>
      <c r="N827" s="12" t="n">
        <v>0.1341</v>
      </c>
      <c r="O827" s="12" t="n">
        <v>0.106183</v>
      </c>
      <c r="P827" s="12" t="n">
        <v>0.143692</v>
      </c>
      <c r="Q827" s="0" t="str">
        <f aca="false">IF(L827&gt;=Models!$G$5,1+COUNTIF($L$5:$L$1517,"&gt;"&amp;L827)+COUNTIFS($L$5:$L$1517,L827,$B$5:$B$1517,"&lt;"&amp;B827)+COUNTIFS($L$5:$L$1517,L827,$B$5:$B$1517,B827,$C$5:$C$1517,"&lt;"&amp;C827),"")</f>
        <v/>
      </c>
      <c r="R827" s="0" t="str">
        <f aca="false">IF(M827&gt;=Models!$G$6,1+COUNTIF($M$5:$M$1517,"&gt;"&amp;M827)+COUNTIFS($M$5:$M$1517,M827,$B$5:$B$1517,"&lt;"&amp;B827)+COUNTIFS($M$5:$M$1517,M827,$B$5:$B$1517,B827,$C$5:$C$1517,"&lt;"&amp;C827),"")</f>
        <v/>
      </c>
      <c r="S827" s="0" t="str">
        <f aca="false">IF(N827&gt;=Models!$G$7,1+COUNTIF($N$5:$N$1517,"&gt;"&amp;N827)+COUNTIFS($N$5:$N$1517,N827,$B$5:$B$1517,"&lt;"&amp;B827)+COUNTIFS($N$5:$N$1517,N827,$B$5:$B$1517,B827,$C$5:$C$1517,"&lt;"&amp;C827),"")</f>
        <v/>
      </c>
      <c r="T827" s="8" t="n">
        <f aca="false">IF(O827&gt;=Models!$G$8,1+COUNTIF($O$5:$O$1517,"&gt;"&amp;O827)+COUNTIFS($O$5:$O$1517,O827,$B$5:$B$1517,"&lt;"&amp;B827)+COUNTIFS($O$5:$O$1517,O827,$B$5:$B$1517,B827,$C$5:$C$1517,"&lt;"&amp;C827),"")</f>
        <v>353</v>
      </c>
      <c r="U827" s="8" t="n">
        <f aca="false">IF($K827=1,COUNTIFS($L$5:$L$1517,"&gt;="&amp;L827,$K$5:$K$1517,1)/COUNTIF($L$5:$L$1517,"&gt;="&amp;L827),0)</f>
        <v>0.136546184738956</v>
      </c>
      <c r="V827" s="8" t="n">
        <f aca="false">IF($K827=1,COUNTIFS($M$5:$M$1517,"&gt;="&amp;M827,$K$5:$K$1517,1)/COUNTIF($M$5:$M$1517,"&gt;="&amp;M827),0)</f>
        <v>0.12491738268341</v>
      </c>
      <c r="W827" s="8" t="n">
        <f aca="false">IF($K827=1,COUNTIFS($N$5:$N$1517,"&gt;="&amp;N827,$K$5:$K$1517,1)/COUNTIF($N$5:$N$1517,"&gt;="&amp;N827),0)</f>
        <v>0.250755287009063</v>
      </c>
      <c r="X827" s="8" t="n">
        <f aca="false">IF($K827=1,COUNTIFS($O$5:$O$1517,"&gt;="&amp;O827,$K$5:$K$1517,1)/COUNTIF($O$5:$O$1517,"&gt;="&amp;O827),0)</f>
        <v>0.12491738268341</v>
      </c>
      <c r="Y827" s="8" t="n">
        <f aca="false">IF($K827=1,COUNTIFS($P$5:$P$1517,"&gt;="&amp;P827,$K$5:$K$1517,1)/COUNTIF($P$5:$P$1517,"&gt;="&amp;P827),0)</f>
        <v>0.250755287009063</v>
      </c>
      <c r="Z827" s="8" t="n">
        <f aca="false">(L827-$K827)^2</f>
        <v>0.029661106176</v>
      </c>
      <c r="AA827" s="8" t="n">
        <f aca="false">(M827-$K827)^2</f>
        <v>0.824349595969</v>
      </c>
      <c r="AB827" s="8" t="n">
        <f aca="false">(N827-$K827)^2</f>
        <v>0.74978281</v>
      </c>
      <c r="AC827" s="8" t="n">
        <f aca="false">(O827-$K827)^2</f>
        <v>0.798908829489</v>
      </c>
      <c r="AD827" s="8" t="n">
        <f aca="false">(P827-$K827)^2</f>
        <v>0.733263390864</v>
      </c>
      <c r="AE827" s="8" t="n">
        <f aca="false">MIN(INT(ROUND(N827*1000000,0)/100000),9)</f>
        <v>1</v>
      </c>
      <c r="AF827" s="8" t="n">
        <f aca="false">MIN(INT(ROUND(P827*1000000,0)/100000),9)</f>
        <v>1</v>
      </c>
    </row>
    <row r="828" customFormat="false" ht="15" hidden="false" customHeight="false" outlineLevel="0" collapsed="false">
      <c r="A828" s="4" t="n">
        <v>824</v>
      </c>
      <c r="B828" s="4" t="n">
        <v>494</v>
      </c>
      <c r="C828" s="4" t="n">
        <v>2</v>
      </c>
      <c r="D828" s="11" t="n">
        <v>46113</v>
      </c>
      <c r="E828" s="4" t="s">
        <v>204</v>
      </c>
      <c r="F828" s="4" t="s">
        <v>206</v>
      </c>
      <c r="G828" s="4" t="n">
        <v>2</v>
      </c>
      <c r="H828" s="4" t="n">
        <v>5</v>
      </c>
      <c r="I828" s="4" t="n">
        <v>0</v>
      </c>
      <c r="J828" s="4" t="n">
        <v>90</v>
      </c>
      <c r="K828" s="4" t="n">
        <v>1</v>
      </c>
      <c r="L828" s="12" t="n">
        <v>0.020678</v>
      </c>
      <c r="M828" s="12" t="n">
        <v>0.092063</v>
      </c>
      <c r="N828" s="12" t="n">
        <v>0.141815</v>
      </c>
      <c r="O828" s="12" t="n">
        <v>0.106183</v>
      </c>
      <c r="P828" s="12" t="n">
        <v>0.15226</v>
      </c>
      <c r="Q828" s="0" t="str">
        <f aca="false">IF(L828&gt;=Models!$G$5,1+COUNTIF($L$5:$L$1517,"&gt;"&amp;L828)+COUNTIFS($L$5:$L$1517,L828,$B$5:$B$1517,"&lt;"&amp;B828)+COUNTIFS($L$5:$L$1517,L828,$B$5:$B$1517,B828,$C$5:$C$1517,"&lt;"&amp;C828),"")</f>
        <v/>
      </c>
      <c r="R828" s="0" t="str">
        <f aca="false">IF(M828&gt;=Models!$G$6,1+COUNTIF($M$5:$M$1517,"&gt;"&amp;M828)+COUNTIFS($M$5:$M$1517,M828,$B$5:$B$1517,"&lt;"&amp;B828)+COUNTIFS($M$5:$M$1517,M828,$B$5:$B$1517,B828,$C$5:$C$1517,"&lt;"&amp;C828),"")</f>
        <v/>
      </c>
      <c r="S828" s="0" t="str">
        <f aca="false">IF(N828&gt;=Models!$G$7,1+COUNTIF($N$5:$N$1517,"&gt;"&amp;N828)+COUNTIFS($N$5:$N$1517,N828,$B$5:$B$1517,"&lt;"&amp;B828)+COUNTIFS($N$5:$N$1517,N828,$B$5:$B$1517,B828,$C$5:$C$1517,"&lt;"&amp;C828),"")</f>
        <v/>
      </c>
      <c r="T828" s="8" t="n">
        <f aca="false">IF(O828&gt;=Models!$G$8,1+COUNTIF($O$5:$O$1517,"&gt;"&amp;O828)+COUNTIFS($O$5:$O$1517,O828,$B$5:$B$1517,"&lt;"&amp;B828)+COUNTIFS($O$5:$O$1517,O828,$B$5:$B$1517,B828,$C$5:$C$1517,"&lt;"&amp;C828),"")</f>
        <v>357</v>
      </c>
      <c r="U828" s="8" t="n">
        <f aca="false">IF($K828=1,COUNTIFS($L$5:$L$1517,"&gt;="&amp;L828,$K$5:$K$1517,1)/COUNTIF($L$5:$L$1517,"&gt;="&amp;L828),0)</f>
        <v>0.125845737483085</v>
      </c>
      <c r="V828" s="8" t="n">
        <f aca="false">IF($K828=1,COUNTIFS($M$5:$M$1517,"&gt;="&amp;M828,$K$5:$K$1517,1)/COUNTIF($M$5:$M$1517,"&gt;="&amp;M828),0)</f>
        <v>0.12491738268341</v>
      </c>
      <c r="W828" s="8" t="n">
        <f aca="false">IF($K828=1,COUNTIFS($N$5:$N$1517,"&gt;="&amp;N828,$K$5:$K$1517,1)/COUNTIF($N$5:$N$1517,"&gt;="&amp;N828),0)</f>
        <v>0.28957528957529</v>
      </c>
      <c r="X828" s="8" t="n">
        <f aca="false">IF($K828=1,COUNTIFS($O$5:$O$1517,"&gt;="&amp;O828,$K$5:$K$1517,1)/COUNTIF($O$5:$O$1517,"&gt;="&amp;O828),0)</f>
        <v>0.12491738268341</v>
      </c>
      <c r="Y828" s="8" t="n">
        <f aca="false">IF($K828=1,COUNTIFS($P$5:$P$1517,"&gt;="&amp;P828,$K$5:$K$1517,1)/COUNTIF($P$5:$P$1517,"&gt;="&amp;P828),0)</f>
        <v>0.28957528957529</v>
      </c>
      <c r="Z828" s="8" t="n">
        <f aca="false">(L828-$K828)^2</f>
        <v>0.959071579684</v>
      </c>
      <c r="AA828" s="8" t="n">
        <f aca="false">(M828-$K828)^2</f>
        <v>0.824349595969</v>
      </c>
      <c r="AB828" s="8" t="n">
        <f aca="false">(N828-$K828)^2</f>
        <v>0.736481494225</v>
      </c>
      <c r="AC828" s="8" t="n">
        <f aca="false">(O828-$K828)^2</f>
        <v>0.798908829489</v>
      </c>
      <c r="AD828" s="8" t="n">
        <f aca="false">(P828-$K828)^2</f>
        <v>0.7186631076</v>
      </c>
      <c r="AE828" s="8" t="n">
        <f aca="false">MIN(INT(ROUND(N828*1000000,0)/100000),9)</f>
        <v>1</v>
      </c>
      <c r="AF828" s="8" t="n">
        <f aca="false">MIN(INT(ROUND(P828*1000000,0)/100000),9)</f>
        <v>1</v>
      </c>
    </row>
    <row r="829" customFormat="false" ht="15" hidden="false" customHeight="false" outlineLevel="0" collapsed="false">
      <c r="A829" s="4" t="n">
        <v>825</v>
      </c>
      <c r="B829" s="4" t="n">
        <v>496</v>
      </c>
      <c r="C829" s="4" t="n">
        <v>2</v>
      </c>
      <c r="D829" s="11" t="n">
        <v>46113</v>
      </c>
      <c r="E829" s="4" t="s">
        <v>204</v>
      </c>
      <c r="F829" s="4" t="s">
        <v>206</v>
      </c>
      <c r="G829" s="4" t="n">
        <v>5</v>
      </c>
      <c r="H829" s="4" t="n">
        <v>19</v>
      </c>
      <c r="I829" s="4" t="n">
        <v>0</v>
      </c>
      <c r="J829" s="4" t="n">
        <v>63</v>
      </c>
      <c r="K829" s="4" t="n">
        <v>0</v>
      </c>
      <c r="L829" s="12" t="n">
        <v>0.677973</v>
      </c>
      <c r="M829" s="12" t="n">
        <v>0.092063</v>
      </c>
      <c r="N829" s="12" t="n">
        <v>0.124121</v>
      </c>
      <c r="O829" s="12" t="n">
        <v>0.106183</v>
      </c>
      <c r="P829" s="12" t="n">
        <v>0.132622</v>
      </c>
      <c r="Q829" s="0" t="str">
        <f aca="false">IF(L829&gt;=Models!$G$5,1+COUNTIF($L$5:$L$1517,"&gt;"&amp;L829)+COUNTIFS($L$5:$L$1517,L829,$B$5:$B$1517,"&lt;"&amp;B829)+COUNTIFS($L$5:$L$1517,L829,$B$5:$B$1517,B829,$C$5:$C$1517,"&lt;"&amp;C829),"")</f>
        <v/>
      </c>
      <c r="R829" s="0" t="str">
        <f aca="false">IF(M829&gt;=Models!$G$6,1+COUNTIF($M$5:$M$1517,"&gt;"&amp;M829)+COUNTIFS($M$5:$M$1517,M829,$B$5:$B$1517,"&lt;"&amp;B829)+COUNTIFS($M$5:$M$1517,M829,$B$5:$B$1517,B829,$C$5:$C$1517,"&lt;"&amp;C829),"")</f>
        <v/>
      </c>
      <c r="S829" s="0" t="str">
        <f aca="false">IF(N829&gt;=Models!$G$7,1+COUNTIF($N$5:$N$1517,"&gt;"&amp;N829)+COUNTIFS($N$5:$N$1517,N829,$B$5:$B$1517,"&lt;"&amp;B829)+COUNTIFS($N$5:$N$1517,N829,$B$5:$B$1517,B829,$C$5:$C$1517,"&lt;"&amp;C829),"")</f>
        <v/>
      </c>
      <c r="T829" s="8" t="n">
        <f aca="false">IF(O829&gt;=Models!$G$8,1+COUNTIF($O$5:$O$1517,"&gt;"&amp;O829)+COUNTIFS($O$5:$O$1517,O829,$B$5:$B$1517,"&lt;"&amp;B829)+COUNTIFS($O$5:$O$1517,O829,$B$5:$B$1517,B829,$C$5:$C$1517,"&lt;"&amp;C829),"")</f>
        <v>360</v>
      </c>
      <c r="U829" s="8" t="n">
        <f aca="false">IF($K829=1,COUNTIFS($L$5:$L$1517,"&gt;="&amp;L829,$K$5:$K$1517,1)/COUNTIF($L$5:$L$1517,"&gt;="&amp;L829),0)</f>
        <v>0</v>
      </c>
      <c r="V829" s="8" t="n">
        <f aca="false">IF($K829=1,COUNTIFS($M$5:$M$1517,"&gt;="&amp;M829,$K$5:$K$1517,1)/COUNTIF($M$5:$M$1517,"&gt;="&amp;M829),0)</f>
        <v>0</v>
      </c>
      <c r="W829" s="8" t="n">
        <f aca="false">IF($K829=1,COUNTIFS($N$5:$N$1517,"&gt;="&amp;N829,$K$5:$K$1517,1)/COUNTIF($N$5:$N$1517,"&gt;="&amp;N829),0)</f>
        <v>0</v>
      </c>
      <c r="X829" s="8" t="n">
        <f aca="false">IF($K829=1,COUNTIFS($O$5:$O$1517,"&gt;="&amp;O829,$K$5:$K$1517,1)/COUNTIF($O$5:$O$1517,"&gt;="&amp;O829),0)</f>
        <v>0</v>
      </c>
      <c r="Y829" s="8" t="n">
        <f aca="false">IF($K829=1,COUNTIFS($P$5:$P$1517,"&gt;="&amp;P829,$K$5:$K$1517,1)/COUNTIF($P$5:$P$1517,"&gt;="&amp;P829),0)</f>
        <v>0</v>
      </c>
      <c r="Z829" s="8" t="n">
        <f aca="false">(L829-$K829)^2</f>
        <v>0.459647388729</v>
      </c>
      <c r="AA829" s="8" t="n">
        <f aca="false">(M829-$K829)^2</f>
        <v>0.008475595969</v>
      </c>
      <c r="AB829" s="8" t="n">
        <f aca="false">(N829-$K829)^2</f>
        <v>0.015406022641</v>
      </c>
      <c r="AC829" s="8" t="n">
        <f aca="false">(O829-$K829)^2</f>
        <v>0.011274829489</v>
      </c>
      <c r="AD829" s="8" t="n">
        <f aca="false">(P829-$K829)^2</f>
        <v>0.017588594884</v>
      </c>
      <c r="AE829" s="8" t="n">
        <f aca="false">MIN(INT(ROUND(N829*1000000,0)/100000),9)</f>
        <v>1</v>
      </c>
      <c r="AF829" s="8" t="n">
        <f aca="false">MIN(INT(ROUND(P829*1000000,0)/100000),9)</f>
        <v>1</v>
      </c>
    </row>
    <row r="830" customFormat="false" ht="15" hidden="false" customHeight="false" outlineLevel="0" collapsed="false">
      <c r="A830" s="4" t="n">
        <v>826</v>
      </c>
      <c r="B830" s="4" t="n">
        <v>497</v>
      </c>
      <c r="C830" s="4" t="n">
        <v>2</v>
      </c>
      <c r="D830" s="11" t="n">
        <v>46113</v>
      </c>
      <c r="E830" s="4" t="s">
        <v>203</v>
      </c>
      <c r="F830" s="4" t="s">
        <v>206</v>
      </c>
      <c r="G830" s="4" t="n">
        <v>3</v>
      </c>
      <c r="H830" s="4" t="n">
        <v>9</v>
      </c>
      <c r="I830" s="4" t="n">
        <v>0</v>
      </c>
      <c r="J830" s="4" t="n">
        <v>369</v>
      </c>
      <c r="K830" s="4" t="n">
        <v>0</v>
      </c>
      <c r="L830" s="12" t="n">
        <v>0.272032</v>
      </c>
      <c r="M830" s="12" t="n">
        <v>0.092063</v>
      </c>
      <c r="N830" s="12" t="n">
        <v>0.133113</v>
      </c>
      <c r="O830" s="12" t="n">
        <v>0.106183</v>
      </c>
      <c r="P830" s="12" t="n">
        <v>0.142597</v>
      </c>
      <c r="Q830" s="0" t="str">
        <f aca="false">IF(L830&gt;=Models!$G$5,1+COUNTIF($L$5:$L$1517,"&gt;"&amp;L830)+COUNTIFS($L$5:$L$1517,L830,$B$5:$B$1517,"&lt;"&amp;B830)+COUNTIFS($L$5:$L$1517,L830,$B$5:$B$1517,B830,$C$5:$C$1517,"&lt;"&amp;C830),"")</f>
        <v/>
      </c>
      <c r="R830" s="0" t="str">
        <f aca="false">IF(M830&gt;=Models!$G$6,1+COUNTIF($M$5:$M$1517,"&gt;"&amp;M830)+COUNTIFS($M$5:$M$1517,M830,$B$5:$B$1517,"&lt;"&amp;B830)+COUNTIFS($M$5:$M$1517,M830,$B$5:$B$1517,B830,$C$5:$C$1517,"&lt;"&amp;C830),"")</f>
        <v/>
      </c>
      <c r="S830" s="0" t="str">
        <f aca="false">IF(N830&gt;=Models!$G$7,1+COUNTIF($N$5:$N$1517,"&gt;"&amp;N830)+COUNTIFS($N$5:$N$1517,N830,$B$5:$B$1517,"&lt;"&amp;B830)+COUNTIFS($N$5:$N$1517,N830,$B$5:$B$1517,B830,$C$5:$C$1517,"&lt;"&amp;C830),"")</f>
        <v/>
      </c>
      <c r="T830" s="8" t="n">
        <f aca="false">IF(O830&gt;=Models!$G$8,1+COUNTIF($O$5:$O$1517,"&gt;"&amp;O830)+COUNTIFS($O$5:$O$1517,O830,$B$5:$B$1517,"&lt;"&amp;B830)+COUNTIFS($O$5:$O$1517,O830,$B$5:$B$1517,B830,$C$5:$C$1517,"&lt;"&amp;C830),"")</f>
        <v>364</v>
      </c>
      <c r="U830" s="8" t="n">
        <f aca="false">IF($K830=1,COUNTIFS($L$5:$L$1517,"&gt;="&amp;L830,$K$5:$K$1517,1)/COUNTIF($L$5:$L$1517,"&gt;="&amp;L830),0)</f>
        <v>0</v>
      </c>
      <c r="V830" s="8" t="n">
        <f aca="false">IF($K830=1,COUNTIFS($M$5:$M$1517,"&gt;="&amp;M830,$K$5:$K$1517,1)/COUNTIF($M$5:$M$1517,"&gt;="&amp;M830),0)</f>
        <v>0</v>
      </c>
      <c r="W830" s="8" t="n">
        <f aca="false">IF($K830=1,COUNTIFS($N$5:$N$1517,"&gt;="&amp;N830,$K$5:$K$1517,1)/COUNTIF($N$5:$N$1517,"&gt;="&amp;N830),0)</f>
        <v>0</v>
      </c>
      <c r="X830" s="8" t="n">
        <f aca="false">IF($K830=1,COUNTIFS($O$5:$O$1517,"&gt;="&amp;O830,$K$5:$K$1517,1)/COUNTIF($O$5:$O$1517,"&gt;="&amp;O830),0)</f>
        <v>0</v>
      </c>
      <c r="Y830" s="8" t="n">
        <f aca="false">IF($K830=1,COUNTIFS($P$5:$P$1517,"&gt;="&amp;P830,$K$5:$K$1517,1)/COUNTIF($P$5:$P$1517,"&gt;="&amp;P830),0)</f>
        <v>0</v>
      </c>
      <c r="Z830" s="8" t="n">
        <f aca="false">(L830-$K830)^2</f>
        <v>0.074001409024</v>
      </c>
      <c r="AA830" s="8" t="n">
        <f aca="false">(M830-$K830)^2</f>
        <v>0.008475595969</v>
      </c>
      <c r="AB830" s="8" t="n">
        <f aca="false">(N830-$K830)^2</f>
        <v>0.017719070769</v>
      </c>
      <c r="AC830" s="8" t="n">
        <f aca="false">(O830-$K830)^2</f>
        <v>0.011274829489</v>
      </c>
      <c r="AD830" s="8" t="n">
        <f aca="false">(P830-$K830)^2</f>
        <v>0.020333904409</v>
      </c>
      <c r="AE830" s="8" t="n">
        <f aca="false">MIN(INT(ROUND(N830*1000000,0)/100000),9)</f>
        <v>1</v>
      </c>
      <c r="AF830" s="8" t="n">
        <f aca="false">MIN(INT(ROUND(P830*1000000,0)/100000),9)</f>
        <v>1</v>
      </c>
    </row>
    <row r="831" customFormat="false" ht="15" hidden="false" customHeight="false" outlineLevel="0" collapsed="false">
      <c r="A831" s="4" t="n">
        <v>827</v>
      </c>
      <c r="B831" s="4" t="n">
        <v>499</v>
      </c>
      <c r="C831" s="4" t="n">
        <v>2</v>
      </c>
      <c r="D831" s="11" t="n">
        <v>46113</v>
      </c>
      <c r="E831" s="4" t="s">
        <v>201</v>
      </c>
      <c r="F831" s="4" t="s">
        <v>208</v>
      </c>
      <c r="G831" s="4" t="n">
        <v>14</v>
      </c>
      <c r="H831" s="4" t="n">
        <v>2</v>
      </c>
      <c r="I831" s="4" t="n">
        <v>0</v>
      </c>
      <c r="J831" s="4"/>
      <c r="K831" s="4" t="n">
        <v>0</v>
      </c>
      <c r="L831" s="12" t="n">
        <v>0.886538</v>
      </c>
      <c r="M831" s="12" t="n">
        <v>0.092063</v>
      </c>
      <c r="N831" s="12" t="n">
        <v>0.025177</v>
      </c>
      <c r="O831" s="12" t="n">
        <v>0.106183</v>
      </c>
      <c r="P831" s="12" t="n">
        <v>0.025055</v>
      </c>
      <c r="Q831" s="0" t="str">
        <f aca="false">IF(L831&gt;=Models!$G$5,1+COUNTIF($L$5:$L$1517,"&gt;"&amp;L831)+COUNTIFS($L$5:$L$1517,L831,$B$5:$B$1517,"&lt;"&amp;B831)+COUNTIFS($L$5:$L$1517,L831,$B$5:$B$1517,B831,$C$5:$C$1517,"&lt;"&amp;C831),"")</f>
        <v/>
      </c>
      <c r="R831" s="0" t="str">
        <f aca="false">IF(M831&gt;=Models!$G$6,1+COUNTIF($M$5:$M$1517,"&gt;"&amp;M831)+COUNTIFS($M$5:$M$1517,M831,$B$5:$B$1517,"&lt;"&amp;B831)+COUNTIFS($M$5:$M$1517,M831,$B$5:$B$1517,B831,$C$5:$C$1517,"&lt;"&amp;C831),"")</f>
        <v/>
      </c>
      <c r="S831" s="0" t="str">
        <f aca="false">IF(N831&gt;=Models!$G$7,1+COUNTIF($N$5:$N$1517,"&gt;"&amp;N831)+COUNTIFS($N$5:$N$1517,N831,$B$5:$B$1517,"&lt;"&amp;B831)+COUNTIFS($N$5:$N$1517,N831,$B$5:$B$1517,B831,$C$5:$C$1517,"&lt;"&amp;C831),"")</f>
        <v/>
      </c>
      <c r="T831" s="8" t="n">
        <f aca="false">IF(O831&gt;=Models!$G$8,1+COUNTIF($O$5:$O$1517,"&gt;"&amp;O831)+COUNTIFS($O$5:$O$1517,O831,$B$5:$B$1517,"&lt;"&amp;B831)+COUNTIFS($O$5:$O$1517,O831,$B$5:$B$1517,B831,$C$5:$C$1517,"&lt;"&amp;C831),"")</f>
        <v>368</v>
      </c>
      <c r="U831" s="8" t="n">
        <f aca="false">IF($K831=1,COUNTIFS($L$5:$L$1517,"&gt;="&amp;L831,$K$5:$K$1517,1)/COUNTIF($L$5:$L$1517,"&gt;="&amp;L831),0)</f>
        <v>0</v>
      </c>
      <c r="V831" s="8" t="n">
        <f aca="false">IF($K831=1,COUNTIFS($M$5:$M$1517,"&gt;="&amp;M831,$K$5:$K$1517,1)/COUNTIF($M$5:$M$1517,"&gt;="&amp;M831),0)</f>
        <v>0</v>
      </c>
      <c r="W831" s="8" t="n">
        <f aca="false">IF($K831=1,COUNTIFS($N$5:$N$1517,"&gt;="&amp;N831,$K$5:$K$1517,1)/COUNTIF($N$5:$N$1517,"&gt;="&amp;N831),0)</f>
        <v>0</v>
      </c>
      <c r="X831" s="8" t="n">
        <f aca="false">IF($K831=1,COUNTIFS($O$5:$O$1517,"&gt;="&amp;O831,$K$5:$K$1517,1)/COUNTIF($O$5:$O$1517,"&gt;="&amp;O831),0)</f>
        <v>0</v>
      </c>
      <c r="Y831" s="8" t="n">
        <f aca="false">IF($K831=1,COUNTIFS($P$5:$P$1517,"&gt;="&amp;P831,$K$5:$K$1517,1)/COUNTIF($P$5:$P$1517,"&gt;="&amp;P831),0)</f>
        <v>0</v>
      </c>
      <c r="Z831" s="8" t="n">
        <f aca="false">(L831-$K831)^2</f>
        <v>0.785949625444</v>
      </c>
      <c r="AA831" s="8" t="n">
        <f aca="false">(M831-$K831)^2</f>
        <v>0.008475595969</v>
      </c>
      <c r="AB831" s="8" t="n">
        <f aca="false">(N831-$K831)^2</f>
        <v>0.000633881329</v>
      </c>
      <c r="AC831" s="8" t="n">
        <f aca="false">(O831-$K831)^2</f>
        <v>0.011274829489</v>
      </c>
      <c r="AD831" s="8" t="n">
        <f aca="false">(P831-$K831)^2</f>
        <v>0.000627753025</v>
      </c>
      <c r="AE831" s="8" t="n">
        <f aca="false">MIN(INT(ROUND(N831*1000000,0)/100000),9)</f>
        <v>0</v>
      </c>
      <c r="AF831" s="8" t="n">
        <f aca="false">MIN(INT(ROUND(P831*1000000,0)/100000),9)</f>
        <v>0</v>
      </c>
    </row>
    <row r="832" customFormat="false" ht="15" hidden="false" customHeight="false" outlineLevel="0" collapsed="false">
      <c r="A832" s="4" t="n">
        <v>828</v>
      </c>
      <c r="B832" s="4" t="n">
        <v>500</v>
      </c>
      <c r="C832" s="4" t="n">
        <v>2</v>
      </c>
      <c r="D832" s="11" t="n">
        <v>46113</v>
      </c>
      <c r="E832" s="4" t="s">
        <v>204</v>
      </c>
      <c r="F832" s="4" t="s">
        <v>206</v>
      </c>
      <c r="G832" s="4" t="n">
        <v>1</v>
      </c>
      <c r="H832" s="4" t="n">
        <v>13</v>
      </c>
      <c r="I832" s="4" t="n">
        <v>0</v>
      </c>
      <c r="J832" s="4" t="n">
        <v>78</v>
      </c>
      <c r="K832" s="4" t="n">
        <v>0</v>
      </c>
      <c r="L832" s="12" t="n">
        <v>0.543024</v>
      </c>
      <c r="M832" s="12" t="n">
        <v>0.092063</v>
      </c>
      <c r="N832" s="12" t="n">
        <v>0.161915</v>
      </c>
      <c r="O832" s="12" t="n">
        <v>0.106183</v>
      </c>
      <c r="P832" s="12" t="n">
        <v>0.17461</v>
      </c>
      <c r="Q832" s="0" t="str">
        <f aca="false">IF(L832&gt;=Models!$G$5,1+COUNTIF($L$5:$L$1517,"&gt;"&amp;L832)+COUNTIFS($L$5:$L$1517,L832,$B$5:$B$1517,"&lt;"&amp;B832)+COUNTIFS($L$5:$L$1517,L832,$B$5:$B$1517,B832,$C$5:$C$1517,"&lt;"&amp;C832),"")</f>
        <v/>
      </c>
      <c r="R832" s="0" t="str">
        <f aca="false">IF(M832&gt;=Models!$G$6,1+COUNTIF($M$5:$M$1517,"&gt;"&amp;M832)+COUNTIFS($M$5:$M$1517,M832,$B$5:$B$1517,"&lt;"&amp;B832)+COUNTIFS($M$5:$M$1517,M832,$B$5:$B$1517,B832,$C$5:$C$1517,"&lt;"&amp;C832),"")</f>
        <v/>
      </c>
      <c r="S832" s="0" t="str">
        <f aca="false">IF(N832&gt;=Models!$G$7,1+COUNTIF($N$5:$N$1517,"&gt;"&amp;N832)+COUNTIFS($N$5:$N$1517,N832,$B$5:$B$1517,"&lt;"&amp;B832)+COUNTIFS($N$5:$N$1517,N832,$B$5:$B$1517,B832,$C$5:$C$1517,"&lt;"&amp;C832),"")</f>
        <v/>
      </c>
      <c r="T832" s="8" t="n">
        <f aca="false">IF(O832&gt;=Models!$G$8,1+COUNTIF($O$5:$O$1517,"&gt;"&amp;O832)+COUNTIFS($O$5:$O$1517,O832,$B$5:$B$1517,"&lt;"&amp;B832)+COUNTIFS($O$5:$O$1517,O832,$B$5:$B$1517,B832,$C$5:$C$1517,"&lt;"&amp;C832),"")</f>
        <v>372</v>
      </c>
      <c r="U832" s="8" t="n">
        <f aca="false">IF($K832=1,COUNTIFS($L$5:$L$1517,"&gt;="&amp;L832,$K$5:$K$1517,1)/COUNTIF($L$5:$L$1517,"&gt;="&amp;L832),0)</f>
        <v>0</v>
      </c>
      <c r="V832" s="8" t="n">
        <f aca="false">IF($K832=1,COUNTIFS($M$5:$M$1517,"&gt;="&amp;M832,$K$5:$K$1517,1)/COUNTIF($M$5:$M$1517,"&gt;="&amp;M832),0)</f>
        <v>0</v>
      </c>
      <c r="W832" s="8" t="n">
        <f aca="false">IF($K832=1,COUNTIFS($N$5:$N$1517,"&gt;="&amp;N832,$K$5:$K$1517,1)/COUNTIF($N$5:$N$1517,"&gt;="&amp;N832),0)</f>
        <v>0</v>
      </c>
      <c r="X832" s="8" t="n">
        <f aca="false">IF($K832=1,COUNTIFS($O$5:$O$1517,"&gt;="&amp;O832,$K$5:$K$1517,1)/COUNTIF($O$5:$O$1517,"&gt;="&amp;O832),0)</f>
        <v>0</v>
      </c>
      <c r="Y832" s="8" t="n">
        <f aca="false">IF($K832=1,COUNTIFS($P$5:$P$1517,"&gt;="&amp;P832,$K$5:$K$1517,1)/COUNTIF($P$5:$P$1517,"&gt;="&amp;P832),0)</f>
        <v>0</v>
      </c>
      <c r="Z832" s="8" t="n">
        <f aca="false">(L832-$K832)^2</f>
        <v>0.294875064576</v>
      </c>
      <c r="AA832" s="8" t="n">
        <f aca="false">(M832-$K832)^2</f>
        <v>0.008475595969</v>
      </c>
      <c r="AB832" s="8" t="n">
        <f aca="false">(N832-$K832)^2</f>
        <v>0.026216467225</v>
      </c>
      <c r="AC832" s="8" t="n">
        <f aca="false">(O832-$K832)^2</f>
        <v>0.011274829489</v>
      </c>
      <c r="AD832" s="8" t="n">
        <f aca="false">(P832-$K832)^2</f>
        <v>0.0304886521</v>
      </c>
      <c r="AE832" s="8" t="n">
        <f aca="false">MIN(INT(ROUND(N832*1000000,0)/100000),9)</f>
        <v>1</v>
      </c>
      <c r="AF832" s="8" t="n">
        <f aca="false">MIN(INT(ROUND(P832*1000000,0)/100000),9)</f>
        <v>1</v>
      </c>
    </row>
    <row r="833" customFormat="false" ht="15" hidden="false" customHeight="false" outlineLevel="0" collapsed="false">
      <c r="A833" s="4" t="n">
        <v>829</v>
      </c>
      <c r="B833" s="4" t="n">
        <v>508</v>
      </c>
      <c r="C833" s="4" t="n">
        <v>2</v>
      </c>
      <c r="D833" s="11" t="n">
        <v>46113</v>
      </c>
      <c r="E833" s="4" t="s">
        <v>204</v>
      </c>
      <c r="F833" s="4" t="s">
        <v>209</v>
      </c>
      <c r="G833" s="4" t="n">
        <v>3</v>
      </c>
      <c r="H833" s="4" t="n">
        <v>6</v>
      </c>
      <c r="I833" s="4" t="n">
        <v>0</v>
      </c>
      <c r="J833" s="4" t="n">
        <v>75</v>
      </c>
      <c r="K833" s="4" t="n">
        <v>0</v>
      </c>
      <c r="L833" s="12" t="n">
        <v>0.391804</v>
      </c>
      <c r="M833" s="12" t="n">
        <v>0.092063</v>
      </c>
      <c r="N833" s="12" t="n">
        <v>0.132248</v>
      </c>
      <c r="O833" s="12" t="n">
        <v>0.106183</v>
      </c>
      <c r="P833" s="12" t="n">
        <v>0.141637</v>
      </c>
      <c r="Q833" s="0" t="str">
        <f aca="false">IF(L833&gt;=Models!$G$5,1+COUNTIF($L$5:$L$1517,"&gt;"&amp;L833)+COUNTIFS($L$5:$L$1517,L833,$B$5:$B$1517,"&lt;"&amp;B833)+COUNTIFS($L$5:$L$1517,L833,$B$5:$B$1517,B833,$C$5:$C$1517,"&lt;"&amp;C833),"")</f>
        <v/>
      </c>
      <c r="R833" s="0" t="str">
        <f aca="false">IF(M833&gt;=Models!$G$6,1+COUNTIF($M$5:$M$1517,"&gt;"&amp;M833)+COUNTIFS($M$5:$M$1517,M833,$B$5:$B$1517,"&lt;"&amp;B833)+COUNTIFS($M$5:$M$1517,M833,$B$5:$B$1517,B833,$C$5:$C$1517,"&lt;"&amp;C833),"")</f>
        <v/>
      </c>
      <c r="S833" s="0" t="str">
        <f aca="false">IF(N833&gt;=Models!$G$7,1+COUNTIF($N$5:$N$1517,"&gt;"&amp;N833)+COUNTIFS($N$5:$N$1517,N833,$B$5:$B$1517,"&lt;"&amp;B833)+COUNTIFS($N$5:$N$1517,N833,$B$5:$B$1517,B833,$C$5:$C$1517,"&lt;"&amp;C833),"")</f>
        <v/>
      </c>
      <c r="T833" s="8" t="n">
        <f aca="false">IF(O833&gt;=Models!$G$8,1+COUNTIF($O$5:$O$1517,"&gt;"&amp;O833)+COUNTIFS($O$5:$O$1517,O833,$B$5:$B$1517,"&lt;"&amp;B833)+COUNTIFS($O$5:$O$1517,O833,$B$5:$B$1517,B833,$C$5:$C$1517,"&lt;"&amp;C833),"")</f>
        <v>376</v>
      </c>
      <c r="U833" s="8" t="n">
        <f aca="false">IF($K833=1,COUNTIFS($L$5:$L$1517,"&gt;="&amp;L833,$K$5:$K$1517,1)/COUNTIF($L$5:$L$1517,"&gt;="&amp;L833),0)</f>
        <v>0</v>
      </c>
      <c r="V833" s="8" t="n">
        <f aca="false">IF($K833=1,COUNTIFS($M$5:$M$1517,"&gt;="&amp;M833,$K$5:$K$1517,1)/COUNTIF($M$5:$M$1517,"&gt;="&amp;M833),0)</f>
        <v>0</v>
      </c>
      <c r="W833" s="8" t="n">
        <f aca="false">IF($K833=1,COUNTIFS($N$5:$N$1517,"&gt;="&amp;N833,$K$5:$K$1517,1)/COUNTIF($N$5:$N$1517,"&gt;="&amp;N833),0)</f>
        <v>0</v>
      </c>
      <c r="X833" s="8" t="n">
        <f aca="false">IF($K833=1,COUNTIFS($O$5:$O$1517,"&gt;="&amp;O833,$K$5:$K$1517,1)/COUNTIF($O$5:$O$1517,"&gt;="&amp;O833),0)</f>
        <v>0</v>
      </c>
      <c r="Y833" s="8" t="n">
        <f aca="false">IF($K833=1,COUNTIFS($P$5:$P$1517,"&gt;="&amp;P833,$K$5:$K$1517,1)/COUNTIF($P$5:$P$1517,"&gt;="&amp;P833),0)</f>
        <v>0</v>
      </c>
      <c r="Z833" s="8" t="n">
        <f aca="false">(L833-$K833)^2</f>
        <v>0.153510374416</v>
      </c>
      <c r="AA833" s="8" t="n">
        <f aca="false">(M833-$K833)^2</f>
        <v>0.008475595969</v>
      </c>
      <c r="AB833" s="8" t="n">
        <f aca="false">(N833-$K833)^2</f>
        <v>0.017489533504</v>
      </c>
      <c r="AC833" s="8" t="n">
        <f aca="false">(O833-$K833)^2</f>
        <v>0.011274829489</v>
      </c>
      <c r="AD833" s="8" t="n">
        <f aca="false">(P833-$K833)^2</f>
        <v>0.020061039769</v>
      </c>
      <c r="AE833" s="8" t="n">
        <f aca="false">MIN(INT(ROUND(N833*1000000,0)/100000),9)</f>
        <v>1</v>
      </c>
      <c r="AF833" s="8" t="n">
        <f aca="false">MIN(INT(ROUND(P833*1000000,0)/100000),9)</f>
        <v>1</v>
      </c>
    </row>
    <row r="834" customFormat="false" ht="15" hidden="false" customHeight="false" outlineLevel="0" collapsed="false">
      <c r="A834" s="4" t="n">
        <v>830</v>
      </c>
      <c r="B834" s="4" t="n">
        <v>510</v>
      </c>
      <c r="C834" s="4" t="n">
        <v>2</v>
      </c>
      <c r="D834" s="11" t="n">
        <v>46113</v>
      </c>
      <c r="E834" s="4" t="s">
        <v>204</v>
      </c>
      <c r="F834" s="4" t="s">
        <v>210</v>
      </c>
      <c r="G834" s="4" t="n">
        <v>0</v>
      </c>
      <c r="H834" s="4" t="n">
        <v>45</v>
      </c>
      <c r="I834" s="4" t="n">
        <v>0</v>
      </c>
      <c r="J834" s="4" t="n">
        <v>71.4</v>
      </c>
      <c r="K834" s="4" t="n">
        <v>1</v>
      </c>
      <c r="L834" s="12" t="n">
        <v>0.252804</v>
      </c>
      <c r="M834" s="12" t="n">
        <v>0.184211</v>
      </c>
      <c r="N834" s="12" t="n">
        <v>0.215609</v>
      </c>
      <c r="O834" s="12" t="n">
        <v>0.106183</v>
      </c>
      <c r="P834" s="12" t="n">
        <v>0.234348</v>
      </c>
      <c r="Q834" s="0" t="str">
        <f aca="false">IF(L834&gt;=Models!$G$5,1+COUNTIF($L$5:$L$1517,"&gt;"&amp;L834)+COUNTIFS($L$5:$L$1517,L834,$B$5:$B$1517,"&lt;"&amp;B834)+COUNTIFS($L$5:$L$1517,L834,$B$5:$B$1517,B834,$C$5:$C$1517,"&lt;"&amp;C834),"")</f>
        <v/>
      </c>
      <c r="R834" s="8" t="n">
        <f aca="false">IF(M834&gt;=Models!$G$6,1+COUNTIF($M$5:$M$1517,"&gt;"&amp;M834)+COUNTIFS($M$5:$M$1517,M834,$B$5:$B$1517,"&lt;"&amp;B834)+COUNTIFS($M$5:$M$1517,M834,$B$5:$B$1517,B834,$C$5:$C$1517,"&lt;"&amp;C834),"")</f>
        <v>41</v>
      </c>
      <c r="S834" s="0" t="str">
        <f aca="false">IF(N834&gt;=Models!$G$7,1+COUNTIF($N$5:$N$1517,"&gt;"&amp;N834)+COUNTIFS($N$5:$N$1517,N834,$B$5:$B$1517,"&lt;"&amp;B834)+COUNTIFS($N$5:$N$1517,N834,$B$5:$B$1517,B834,$C$5:$C$1517,"&lt;"&amp;C834),"")</f>
        <v/>
      </c>
      <c r="T834" s="8" t="n">
        <f aca="false">IF(O834&gt;=Models!$G$8,1+COUNTIF($O$5:$O$1517,"&gt;"&amp;O834)+COUNTIFS($O$5:$O$1517,O834,$B$5:$B$1517,"&lt;"&amp;B834)+COUNTIFS($O$5:$O$1517,O834,$B$5:$B$1517,B834,$C$5:$C$1517,"&lt;"&amp;C834),"")</f>
        <v>380</v>
      </c>
      <c r="U834" s="8" t="n">
        <f aca="false">IF($K834=1,COUNTIFS($L$5:$L$1517,"&gt;="&amp;L834,$K$5:$K$1517,1)/COUNTIF($L$5:$L$1517,"&gt;="&amp;L834),0)</f>
        <v>0.128366247755835</v>
      </c>
      <c r="V834" s="8" t="n">
        <f aca="false">IF($K834=1,COUNTIFS($M$5:$M$1517,"&gt;="&amp;M834,$K$5:$K$1517,1)/COUNTIF($M$5:$M$1517,"&gt;="&amp;M834),0)</f>
        <v>0.186528497409326</v>
      </c>
      <c r="W834" s="8" t="n">
        <f aca="false">IF($K834=1,COUNTIFS($N$5:$N$1517,"&gt;="&amp;N834,$K$5:$K$1517,1)/COUNTIF($N$5:$N$1517,"&gt;="&amp;N834),0)</f>
        <v>0.317073170731707</v>
      </c>
      <c r="X834" s="8" t="n">
        <f aca="false">IF($K834=1,COUNTIFS($O$5:$O$1517,"&gt;="&amp;O834,$K$5:$K$1517,1)/COUNTIF($O$5:$O$1517,"&gt;="&amp;O834),0)</f>
        <v>0.12491738268341</v>
      </c>
      <c r="Y834" s="8" t="n">
        <f aca="false">IF($K834=1,COUNTIFS($P$5:$P$1517,"&gt;="&amp;P834,$K$5:$K$1517,1)/COUNTIF($P$5:$P$1517,"&gt;="&amp;P834),0)</f>
        <v>0.317073170731707</v>
      </c>
      <c r="Z834" s="8" t="n">
        <f aca="false">(L834-$K834)^2</f>
        <v>0.558301862416</v>
      </c>
      <c r="AA834" s="8" t="n">
        <f aca="false">(M834-$K834)^2</f>
        <v>0.665511692521</v>
      </c>
      <c r="AB834" s="8" t="n">
        <f aca="false">(N834-$K834)^2</f>
        <v>0.615269240881</v>
      </c>
      <c r="AC834" s="8" t="n">
        <f aca="false">(O834-$K834)^2</f>
        <v>0.798908829489</v>
      </c>
      <c r="AD834" s="8" t="n">
        <f aca="false">(P834-$K834)^2</f>
        <v>0.586222985104</v>
      </c>
      <c r="AE834" s="8" t="n">
        <f aca="false">MIN(INT(ROUND(N834*1000000,0)/100000),9)</f>
        <v>2</v>
      </c>
      <c r="AF834" s="8" t="n">
        <f aca="false">MIN(INT(ROUND(P834*1000000,0)/100000),9)</f>
        <v>2</v>
      </c>
    </row>
    <row r="835" customFormat="false" ht="15" hidden="false" customHeight="false" outlineLevel="0" collapsed="false">
      <c r="A835" s="4" t="n">
        <v>831</v>
      </c>
      <c r="B835" s="4" t="n">
        <v>512</v>
      </c>
      <c r="C835" s="4" t="n">
        <v>2</v>
      </c>
      <c r="D835" s="11" t="n">
        <v>46113</v>
      </c>
      <c r="E835" s="4" t="s">
        <v>201</v>
      </c>
      <c r="F835" s="4" t="s">
        <v>208</v>
      </c>
      <c r="G835" s="4" t="n">
        <v>7</v>
      </c>
      <c r="H835" s="4" t="n">
        <v>4</v>
      </c>
      <c r="I835" s="4" t="n">
        <v>0</v>
      </c>
      <c r="J835" s="4" t="n">
        <v>4344</v>
      </c>
      <c r="K835" s="4" t="n">
        <v>1</v>
      </c>
      <c r="L835" s="12" t="n">
        <v>0.822978</v>
      </c>
      <c r="M835" s="12" t="n">
        <v>0.092063</v>
      </c>
      <c r="N835" s="12" t="n">
        <v>0.075475</v>
      </c>
      <c r="O835" s="12" t="n">
        <v>0.106183</v>
      </c>
      <c r="P835" s="12" t="n">
        <v>0.079022</v>
      </c>
      <c r="Q835" s="0" t="str">
        <f aca="false">IF(L835&gt;=Models!$G$5,1+COUNTIF($L$5:$L$1517,"&gt;"&amp;L835)+COUNTIFS($L$5:$L$1517,L835,$B$5:$B$1517,"&lt;"&amp;B835)+COUNTIFS($L$5:$L$1517,L835,$B$5:$B$1517,B835,$C$5:$C$1517,"&lt;"&amp;C835),"")</f>
        <v/>
      </c>
      <c r="R835" s="0" t="str">
        <f aca="false">IF(M835&gt;=Models!$G$6,1+COUNTIF($M$5:$M$1517,"&gt;"&amp;M835)+COUNTIFS($M$5:$M$1517,M835,$B$5:$B$1517,"&lt;"&amp;B835)+COUNTIFS($M$5:$M$1517,M835,$B$5:$B$1517,B835,$C$5:$C$1517,"&lt;"&amp;C835),"")</f>
        <v/>
      </c>
      <c r="S835" s="0" t="str">
        <f aca="false">IF(N835&gt;=Models!$G$7,1+COUNTIF($N$5:$N$1517,"&gt;"&amp;N835)+COUNTIFS($N$5:$N$1517,N835,$B$5:$B$1517,"&lt;"&amp;B835)+COUNTIFS($N$5:$N$1517,N835,$B$5:$B$1517,B835,$C$5:$C$1517,"&lt;"&amp;C835),"")</f>
        <v/>
      </c>
      <c r="T835" s="8" t="n">
        <f aca="false">IF(O835&gt;=Models!$G$8,1+COUNTIF($O$5:$O$1517,"&gt;"&amp;O835)+COUNTIFS($O$5:$O$1517,O835,$B$5:$B$1517,"&lt;"&amp;B835)+COUNTIFS($O$5:$O$1517,O835,$B$5:$B$1517,B835,$C$5:$C$1517,"&lt;"&amp;C835),"")</f>
        <v>384</v>
      </c>
      <c r="U835" s="8" t="n">
        <f aca="false">IF($K835=1,COUNTIFS($L$5:$L$1517,"&gt;="&amp;L835,$K$5:$K$1517,1)/COUNTIF($L$5:$L$1517,"&gt;="&amp;L835),0)</f>
        <v>0.13671875</v>
      </c>
      <c r="V835" s="8" t="n">
        <f aca="false">IF($K835=1,COUNTIFS($M$5:$M$1517,"&gt;="&amp;M835,$K$5:$K$1517,1)/COUNTIF($M$5:$M$1517,"&gt;="&amp;M835),0)</f>
        <v>0.12491738268341</v>
      </c>
      <c r="W835" s="8" t="n">
        <f aca="false">IF($K835=1,COUNTIFS($N$5:$N$1517,"&gt;="&amp;N835,$K$5:$K$1517,1)/COUNTIF($N$5:$N$1517,"&gt;="&amp;N835),0)</f>
        <v>0.16793893129771</v>
      </c>
      <c r="X835" s="8" t="n">
        <f aca="false">IF($K835=1,COUNTIFS($O$5:$O$1517,"&gt;="&amp;O835,$K$5:$K$1517,1)/COUNTIF($O$5:$O$1517,"&gt;="&amp;O835),0)</f>
        <v>0.12491738268341</v>
      </c>
      <c r="Y835" s="8" t="n">
        <f aca="false">IF($K835=1,COUNTIFS($P$5:$P$1517,"&gt;="&amp;P835,$K$5:$K$1517,1)/COUNTIF($P$5:$P$1517,"&gt;="&amp;P835),0)</f>
        <v>0.16793893129771</v>
      </c>
      <c r="Z835" s="8" t="n">
        <f aca="false">(L835-$K835)^2</f>
        <v>0.031336788484</v>
      </c>
      <c r="AA835" s="8" t="n">
        <f aca="false">(M835-$K835)^2</f>
        <v>0.824349595969</v>
      </c>
      <c r="AB835" s="8" t="n">
        <f aca="false">(N835-$K835)^2</f>
        <v>0.854746475625</v>
      </c>
      <c r="AC835" s="8" t="n">
        <f aca="false">(O835-$K835)^2</f>
        <v>0.798908829489</v>
      </c>
      <c r="AD835" s="8" t="n">
        <f aca="false">(P835-$K835)^2</f>
        <v>0.848200476484</v>
      </c>
      <c r="AE835" s="8" t="n">
        <f aca="false">MIN(INT(ROUND(N835*1000000,0)/100000),9)</f>
        <v>0</v>
      </c>
      <c r="AF835" s="8" t="n">
        <f aca="false">MIN(INT(ROUND(P835*1000000,0)/100000),9)</f>
        <v>0</v>
      </c>
    </row>
    <row r="836" customFormat="false" ht="15" hidden="false" customHeight="false" outlineLevel="0" collapsed="false">
      <c r="A836" s="4" t="n">
        <v>832</v>
      </c>
      <c r="B836" s="4" t="n">
        <v>513</v>
      </c>
      <c r="C836" s="4" t="n">
        <v>2</v>
      </c>
      <c r="D836" s="11" t="n">
        <v>46113</v>
      </c>
      <c r="E836" s="4" t="s">
        <v>204</v>
      </c>
      <c r="F836" s="4" t="s">
        <v>206</v>
      </c>
      <c r="G836" s="4" t="n">
        <v>3</v>
      </c>
      <c r="H836" s="4" t="n">
        <v>3</v>
      </c>
      <c r="I836" s="4" t="n">
        <v>0</v>
      </c>
      <c r="J836" s="4" t="n">
        <v>117</v>
      </c>
      <c r="K836" s="4" t="n">
        <v>0</v>
      </c>
      <c r="L836" s="12" t="n">
        <v>0.589068</v>
      </c>
      <c r="M836" s="12" t="n">
        <v>0.092063</v>
      </c>
      <c r="N836" s="12" t="n">
        <v>0.129178</v>
      </c>
      <c r="O836" s="12" t="n">
        <v>0.106183</v>
      </c>
      <c r="P836" s="12" t="n">
        <v>0.13823</v>
      </c>
      <c r="Q836" s="0" t="str">
        <f aca="false">IF(L836&gt;=Models!$G$5,1+COUNTIF($L$5:$L$1517,"&gt;"&amp;L836)+COUNTIFS($L$5:$L$1517,L836,$B$5:$B$1517,"&lt;"&amp;B836)+COUNTIFS($L$5:$L$1517,L836,$B$5:$B$1517,B836,$C$5:$C$1517,"&lt;"&amp;C836),"")</f>
        <v/>
      </c>
      <c r="R836" s="0" t="str">
        <f aca="false">IF(M836&gt;=Models!$G$6,1+COUNTIF($M$5:$M$1517,"&gt;"&amp;M836)+COUNTIFS($M$5:$M$1517,M836,$B$5:$B$1517,"&lt;"&amp;B836)+COUNTIFS($M$5:$M$1517,M836,$B$5:$B$1517,B836,$C$5:$C$1517,"&lt;"&amp;C836),"")</f>
        <v/>
      </c>
      <c r="S836" s="0" t="str">
        <f aca="false">IF(N836&gt;=Models!$G$7,1+COUNTIF($N$5:$N$1517,"&gt;"&amp;N836)+COUNTIFS($N$5:$N$1517,N836,$B$5:$B$1517,"&lt;"&amp;B836)+COUNTIFS($N$5:$N$1517,N836,$B$5:$B$1517,B836,$C$5:$C$1517,"&lt;"&amp;C836),"")</f>
        <v/>
      </c>
      <c r="T836" s="8" t="n">
        <f aca="false">IF(O836&gt;=Models!$G$8,1+COUNTIF($O$5:$O$1517,"&gt;"&amp;O836)+COUNTIFS($O$5:$O$1517,O836,$B$5:$B$1517,"&lt;"&amp;B836)+COUNTIFS($O$5:$O$1517,O836,$B$5:$B$1517,B836,$C$5:$C$1517,"&lt;"&amp;C836),"")</f>
        <v>387</v>
      </c>
      <c r="U836" s="8" t="n">
        <f aca="false">IF($K836=1,COUNTIFS($L$5:$L$1517,"&gt;="&amp;L836,$K$5:$K$1517,1)/COUNTIF($L$5:$L$1517,"&gt;="&amp;L836),0)</f>
        <v>0</v>
      </c>
      <c r="V836" s="8" t="n">
        <f aca="false">IF($K836=1,COUNTIFS($M$5:$M$1517,"&gt;="&amp;M836,$K$5:$K$1517,1)/COUNTIF($M$5:$M$1517,"&gt;="&amp;M836),0)</f>
        <v>0</v>
      </c>
      <c r="W836" s="8" t="n">
        <f aca="false">IF($K836=1,COUNTIFS($N$5:$N$1517,"&gt;="&amp;N836,$K$5:$K$1517,1)/COUNTIF($N$5:$N$1517,"&gt;="&amp;N836),0)</f>
        <v>0</v>
      </c>
      <c r="X836" s="8" t="n">
        <f aca="false">IF($K836=1,COUNTIFS($O$5:$O$1517,"&gt;="&amp;O836,$K$5:$K$1517,1)/COUNTIF($O$5:$O$1517,"&gt;="&amp;O836),0)</f>
        <v>0</v>
      </c>
      <c r="Y836" s="8" t="n">
        <f aca="false">IF($K836=1,COUNTIFS($P$5:$P$1517,"&gt;="&amp;P836,$K$5:$K$1517,1)/COUNTIF($P$5:$P$1517,"&gt;="&amp;P836),0)</f>
        <v>0</v>
      </c>
      <c r="Z836" s="8" t="n">
        <f aca="false">(L836-$K836)^2</f>
        <v>0.347001108624</v>
      </c>
      <c r="AA836" s="8" t="n">
        <f aca="false">(M836-$K836)^2</f>
        <v>0.008475595969</v>
      </c>
      <c r="AB836" s="8" t="n">
        <f aca="false">(N836-$K836)^2</f>
        <v>0.016686955684</v>
      </c>
      <c r="AC836" s="8" t="n">
        <f aca="false">(O836-$K836)^2</f>
        <v>0.011274829489</v>
      </c>
      <c r="AD836" s="8" t="n">
        <f aca="false">(P836-$K836)^2</f>
        <v>0.0191075329</v>
      </c>
      <c r="AE836" s="8" t="n">
        <f aca="false">MIN(INT(ROUND(N836*1000000,0)/100000),9)</f>
        <v>1</v>
      </c>
      <c r="AF836" s="8" t="n">
        <f aca="false">MIN(INT(ROUND(P836*1000000,0)/100000),9)</f>
        <v>1</v>
      </c>
    </row>
    <row r="837" customFormat="false" ht="15" hidden="false" customHeight="false" outlineLevel="0" collapsed="false">
      <c r="A837" s="4" t="n">
        <v>833</v>
      </c>
      <c r="B837" s="4" t="n">
        <v>514</v>
      </c>
      <c r="C837" s="4" t="n">
        <v>2</v>
      </c>
      <c r="D837" s="11" t="n">
        <v>46113</v>
      </c>
      <c r="E837" s="4" t="s">
        <v>203</v>
      </c>
      <c r="F837" s="4" t="s">
        <v>208</v>
      </c>
      <c r="G837" s="4" t="n">
        <v>10</v>
      </c>
      <c r="H837" s="4" t="n">
        <v>3</v>
      </c>
      <c r="I837" s="4" t="n">
        <v>0</v>
      </c>
      <c r="J837" s="4"/>
      <c r="K837" s="4" t="n">
        <v>0</v>
      </c>
      <c r="L837" s="12" t="n">
        <v>0.535128</v>
      </c>
      <c r="M837" s="12" t="n">
        <v>0.092063</v>
      </c>
      <c r="N837" s="12" t="n">
        <v>0.03598</v>
      </c>
      <c r="O837" s="12" t="n">
        <v>0.106183</v>
      </c>
      <c r="P837" s="12" t="n">
        <v>0.036417</v>
      </c>
      <c r="Q837" s="0" t="str">
        <f aca="false">IF(L837&gt;=Models!$G$5,1+COUNTIF($L$5:$L$1517,"&gt;"&amp;L837)+COUNTIFS($L$5:$L$1517,L837,$B$5:$B$1517,"&lt;"&amp;B837)+COUNTIFS($L$5:$L$1517,L837,$B$5:$B$1517,B837,$C$5:$C$1517,"&lt;"&amp;C837),"")</f>
        <v/>
      </c>
      <c r="R837" s="0" t="str">
        <f aca="false">IF(M837&gt;=Models!$G$6,1+COUNTIF($M$5:$M$1517,"&gt;"&amp;M837)+COUNTIFS($M$5:$M$1517,M837,$B$5:$B$1517,"&lt;"&amp;B837)+COUNTIFS($M$5:$M$1517,M837,$B$5:$B$1517,B837,$C$5:$C$1517,"&lt;"&amp;C837),"")</f>
        <v/>
      </c>
      <c r="S837" s="0" t="str">
        <f aca="false">IF(N837&gt;=Models!$G$7,1+COUNTIF($N$5:$N$1517,"&gt;"&amp;N837)+COUNTIFS($N$5:$N$1517,N837,$B$5:$B$1517,"&lt;"&amp;B837)+COUNTIFS($N$5:$N$1517,N837,$B$5:$B$1517,B837,$C$5:$C$1517,"&lt;"&amp;C837),"")</f>
        <v/>
      </c>
      <c r="T837" s="8" t="n">
        <f aca="false">IF(O837&gt;=Models!$G$8,1+COUNTIF($O$5:$O$1517,"&gt;"&amp;O837)+COUNTIFS($O$5:$O$1517,O837,$B$5:$B$1517,"&lt;"&amp;B837)+COUNTIFS($O$5:$O$1517,O837,$B$5:$B$1517,B837,$C$5:$C$1517,"&lt;"&amp;C837),"")</f>
        <v>391</v>
      </c>
      <c r="U837" s="8" t="n">
        <f aca="false">IF($K837=1,COUNTIFS($L$5:$L$1517,"&gt;="&amp;L837,$K$5:$K$1517,1)/COUNTIF($L$5:$L$1517,"&gt;="&amp;L837),0)</f>
        <v>0</v>
      </c>
      <c r="V837" s="8" t="n">
        <f aca="false">IF($K837=1,COUNTIFS($M$5:$M$1517,"&gt;="&amp;M837,$K$5:$K$1517,1)/COUNTIF($M$5:$M$1517,"&gt;="&amp;M837),0)</f>
        <v>0</v>
      </c>
      <c r="W837" s="8" t="n">
        <f aca="false">IF($K837=1,COUNTIFS($N$5:$N$1517,"&gt;="&amp;N837,$K$5:$K$1517,1)/COUNTIF($N$5:$N$1517,"&gt;="&amp;N837),0)</f>
        <v>0</v>
      </c>
      <c r="X837" s="8" t="n">
        <f aca="false">IF($K837=1,COUNTIFS($O$5:$O$1517,"&gt;="&amp;O837,$K$5:$K$1517,1)/COUNTIF($O$5:$O$1517,"&gt;="&amp;O837),0)</f>
        <v>0</v>
      </c>
      <c r="Y837" s="8" t="n">
        <f aca="false">IF($K837=1,COUNTIFS($P$5:$P$1517,"&gt;="&amp;P837,$K$5:$K$1517,1)/COUNTIF($P$5:$P$1517,"&gt;="&amp;P837),0)</f>
        <v>0</v>
      </c>
      <c r="Z837" s="8" t="n">
        <f aca="false">(L837-$K837)^2</f>
        <v>0.286361976384</v>
      </c>
      <c r="AA837" s="8" t="n">
        <f aca="false">(M837-$K837)^2</f>
        <v>0.008475595969</v>
      </c>
      <c r="AB837" s="8" t="n">
        <f aca="false">(N837-$K837)^2</f>
        <v>0.0012945604</v>
      </c>
      <c r="AC837" s="8" t="n">
        <f aca="false">(O837-$K837)^2</f>
        <v>0.011274829489</v>
      </c>
      <c r="AD837" s="8" t="n">
        <f aca="false">(P837-$K837)^2</f>
        <v>0.001326197889</v>
      </c>
      <c r="AE837" s="8" t="n">
        <f aca="false">MIN(INT(ROUND(N837*1000000,0)/100000),9)</f>
        <v>0</v>
      </c>
      <c r="AF837" s="8" t="n">
        <f aca="false">MIN(INT(ROUND(P837*1000000,0)/100000),9)</f>
        <v>0</v>
      </c>
    </row>
    <row r="838" customFormat="false" ht="15" hidden="false" customHeight="false" outlineLevel="0" collapsed="false">
      <c r="A838" s="4" t="n">
        <v>834</v>
      </c>
      <c r="B838" s="4" t="n">
        <v>515</v>
      </c>
      <c r="C838" s="4" t="n">
        <v>2</v>
      </c>
      <c r="D838" s="11" t="n">
        <v>46113</v>
      </c>
      <c r="E838" s="4" t="s">
        <v>201</v>
      </c>
      <c r="F838" s="4" t="s">
        <v>209</v>
      </c>
      <c r="G838" s="4" t="n">
        <v>10</v>
      </c>
      <c r="H838" s="4" t="n">
        <v>8</v>
      </c>
      <c r="I838" s="4" t="n">
        <v>0</v>
      </c>
      <c r="J838" s="4"/>
      <c r="K838" s="4" t="n">
        <v>0</v>
      </c>
      <c r="L838" s="12" t="n">
        <v>0.928686</v>
      </c>
      <c r="M838" s="12" t="n">
        <v>0.092063</v>
      </c>
      <c r="N838" s="12" t="n">
        <v>0.037429</v>
      </c>
      <c r="O838" s="12" t="n">
        <v>0.106183</v>
      </c>
      <c r="P838" s="12" t="n">
        <v>0.037954</v>
      </c>
      <c r="Q838" s="0" t="str">
        <f aca="false">IF(L838&gt;=Models!$G$5,1+COUNTIF($L$5:$L$1517,"&gt;"&amp;L838)+COUNTIFS($L$5:$L$1517,L838,$B$5:$B$1517,"&lt;"&amp;B838)+COUNTIFS($L$5:$L$1517,L838,$B$5:$B$1517,B838,$C$5:$C$1517,"&lt;"&amp;C838),"")</f>
        <v/>
      </c>
      <c r="R838" s="0" t="str">
        <f aca="false">IF(M838&gt;=Models!$G$6,1+COUNTIF($M$5:$M$1517,"&gt;"&amp;M838)+COUNTIFS($M$5:$M$1517,M838,$B$5:$B$1517,"&lt;"&amp;B838)+COUNTIFS($M$5:$M$1517,M838,$B$5:$B$1517,B838,$C$5:$C$1517,"&lt;"&amp;C838),"")</f>
        <v/>
      </c>
      <c r="S838" s="0" t="str">
        <f aca="false">IF(N838&gt;=Models!$G$7,1+COUNTIF($N$5:$N$1517,"&gt;"&amp;N838)+COUNTIFS($N$5:$N$1517,N838,$B$5:$B$1517,"&lt;"&amp;B838)+COUNTIFS($N$5:$N$1517,N838,$B$5:$B$1517,B838,$C$5:$C$1517,"&lt;"&amp;C838),"")</f>
        <v/>
      </c>
      <c r="T838" s="8" t="n">
        <f aca="false">IF(O838&gt;=Models!$G$8,1+COUNTIF($O$5:$O$1517,"&gt;"&amp;O838)+COUNTIFS($O$5:$O$1517,O838,$B$5:$B$1517,"&lt;"&amp;B838)+COUNTIFS($O$5:$O$1517,O838,$B$5:$B$1517,B838,$C$5:$C$1517,"&lt;"&amp;C838),"")</f>
        <v>395</v>
      </c>
      <c r="U838" s="8" t="n">
        <f aca="false">IF($K838=1,COUNTIFS($L$5:$L$1517,"&gt;="&amp;L838,$K$5:$K$1517,1)/COUNTIF($L$5:$L$1517,"&gt;="&amp;L838),0)</f>
        <v>0</v>
      </c>
      <c r="V838" s="8" t="n">
        <f aca="false">IF($K838=1,COUNTIFS($M$5:$M$1517,"&gt;="&amp;M838,$K$5:$K$1517,1)/COUNTIF($M$5:$M$1517,"&gt;="&amp;M838),0)</f>
        <v>0</v>
      </c>
      <c r="W838" s="8" t="n">
        <f aca="false">IF($K838=1,COUNTIFS($N$5:$N$1517,"&gt;="&amp;N838,$K$5:$K$1517,1)/COUNTIF($N$5:$N$1517,"&gt;="&amp;N838),0)</f>
        <v>0</v>
      </c>
      <c r="X838" s="8" t="n">
        <f aca="false">IF($K838=1,COUNTIFS($O$5:$O$1517,"&gt;="&amp;O838,$K$5:$K$1517,1)/COUNTIF($O$5:$O$1517,"&gt;="&amp;O838),0)</f>
        <v>0</v>
      </c>
      <c r="Y838" s="8" t="n">
        <f aca="false">IF($K838=1,COUNTIFS($P$5:$P$1517,"&gt;="&amp;P838,$K$5:$K$1517,1)/COUNTIF($P$5:$P$1517,"&gt;="&amp;P838),0)</f>
        <v>0</v>
      </c>
      <c r="Z838" s="8" t="n">
        <f aca="false">(L838-$K838)^2</f>
        <v>0.862457686596</v>
      </c>
      <c r="AA838" s="8" t="n">
        <f aca="false">(M838-$K838)^2</f>
        <v>0.008475595969</v>
      </c>
      <c r="AB838" s="8" t="n">
        <f aca="false">(N838-$K838)^2</f>
        <v>0.001400930041</v>
      </c>
      <c r="AC838" s="8" t="n">
        <f aca="false">(O838-$K838)^2</f>
        <v>0.011274829489</v>
      </c>
      <c r="AD838" s="8" t="n">
        <f aca="false">(P838-$K838)^2</f>
        <v>0.001440506116</v>
      </c>
      <c r="AE838" s="8" t="n">
        <f aca="false">MIN(INT(ROUND(N838*1000000,0)/100000),9)</f>
        <v>0</v>
      </c>
      <c r="AF838" s="8" t="n">
        <f aca="false">MIN(INT(ROUND(P838*1000000,0)/100000),9)</f>
        <v>0</v>
      </c>
    </row>
    <row r="839" customFormat="false" ht="15" hidden="false" customHeight="false" outlineLevel="0" collapsed="false">
      <c r="A839" s="4" t="n">
        <v>835</v>
      </c>
      <c r="B839" s="4" t="n">
        <v>528</v>
      </c>
      <c r="C839" s="4" t="n">
        <v>2</v>
      </c>
      <c r="D839" s="11" t="n">
        <v>46113</v>
      </c>
      <c r="E839" s="4" t="s">
        <v>201</v>
      </c>
      <c r="F839" s="4" t="s">
        <v>206</v>
      </c>
      <c r="G839" s="4" t="n">
        <v>16</v>
      </c>
      <c r="H839" s="4" t="n">
        <v>3</v>
      </c>
      <c r="I839" s="4" t="n">
        <v>0</v>
      </c>
      <c r="J839" s="4" t="n">
        <v>5820</v>
      </c>
      <c r="K839" s="4" t="n">
        <v>0</v>
      </c>
      <c r="L839" s="12" t="n">
        <v>0.61864</v>
      </c>
      <c r="M839" s="12" t="n">
        <v>0.092063</v>
      </c>
      <c r="N839" s="12" t="n">
        <v>0.032006</v>
      </c>
      <c r="O839" s="12" t="n">
        <v>0.106183</v>
      </c>
      <c r="P839" s="12" t="n">
        <v>0.032216</v>
      </c>
      <c r="Q839" s="0" t="str">
        <f aca="false">IF(L839&gt;=Models!$G$5,1+COUNTIF($L$5:$L$1517,"&gt;"&amp;L839)+COUNTIFS($L$5:$L$1517,L839,$B$5:$B$1517,"&lt;"&amp;B839)+COUNTIFS($L$5:$L$1517,L839,$B$5:$B$1517,B839,$C$5:$C$1517,"&lt;"&amp;C839),"")</f>
        <v/>
      </c>
      <c r="R839" s="0" t="str">
        <f aca="false">IF(M839&gt;=Models!$G$6,1+COUNTIF($M$5:$M$1517,"&gt;"&amp;M839)+COUNTIFS($M$5:$M$1517,M839,$B$5:$B$1517,"&lt;"&amp;B839)+COUNTIFS($M$5:$M$1517,M839,$B$5:$B$1517,B839,$C$5:$C$1517,"&lt;"&amp;C839),"")</f>
        <v/>
      </c>
      <c r="S839" s="0" t="str">
        <f aca="false">IF(N839&gt;=Models!$G$7,1+COUNTIF($N$5:$N$1517,"&gt;"&amp;N839)+COUNTIFS($N$5:$N$1517,N839,$B$5:$B$1517,"&lt;"&amp;B839)+COUNTIFS($N$5:$N$1517,N839,$B$5:$B$1517,B839,$C$5:$C$1517,"&lt;"&amp;C839),"")</f>
        <v/>
      </c>
      <c r="T839" s="8" t="n">
        <f aca="false">IF(O839&gt;=Models!$G$8,1+COUNTIF($O$5:$O$1517,"&gt;"&amp;O839)+COUNTIFS($O$5:$O$1517,O839,$B$5:$B$1517,"&lt;"&amp;B839)+COUNTIFS($O$5:$O$1517,O839,$B$5:$B$1517,B839,$C$5:$C$1517,"&lt;"&amp;C839),"")</f>
        <v>399</v>
      </c>
      <c r="U839" s="8" t="n">
        <f aca="false">IF($K839=1,COUNTIFS($L$5:$L$1517,"&gt;="&amp;L839,$K$5:$K$1517,1)/COUNTIF($L$5:$L$1517,"&gt;="&amp;L839),0)</f>
        <v>0</v>
      </c>
      <c r="V839" s="8" t="n">
        <f aca="false">IF($K839=1,COUNTIFS($M$5:$M$1517,"&gt;="&amp;M839,$K$5:$K$1517,1)/COUNTIF($M$5:$M$1517,"&gt;="&amp;M839),0)</f>
        <v>0</v>
      </c>
      <c r="W839" s="8" t="n">
        <f aca="false">IF($K839=1,COUNTIFS($N$5:$N$1517,"&gt;="&amp;N839,$K$5:$K$1517,1)/COUNTIF($N$5:$N$1517,"&gt;="&amp;N839),0)</f>
        <v>0</v>
      </c>
      <c r="X839" s="8" t="n">
        <f aca="false">IF($K839=1,COUNTIFS($O$5:$O$1517,"&gt;="&amp;O839,$K$5:$K$1517,1)/COUNTIF($O$5:$O$1517,"&gt;="&amp;O839),0)</f>
        <v>0</v>
      </c>
      <c r="Y839" s="8" t="n">
        <f aca="false">IF($K839=1,COUNTIFS($P$5:$P$1517,"&gt;="&amp;P839,$K$5:$K$1517,1)/COUNTIF($P$5:$P$1517,"&gt;="&amp;P839),0)</f>
        <v>0</v>
      </c>
      <c r="Z839" s="8" t="n">
        <f aca="false">(L839-$K839)^2</f>
        <v>0.3827154496</v>
      </c>
      <c r="AA839" s="8" t="n">
        <f aca="false">(M839-$K839)^2</f>
        <v>0.008475595969</v>
      </c>
      <c r="AB839" s="8" t="n">
        <f aca="false">(N839-$K839)^2</f>
        <v>0.001024384036</v>
      </c>
      <c r="AC839" s="8" t="n">
        <f aca="false">(O839-$K839)^2</f>
        <v>0.011274829489</v>
      </c>
      <c r="AD839" s="8" t="n">
        <f aca="false">(P839-$K839)^2</f>
        <v>0.001037870656</v>
      </c>
      <c r="AE839" s="8" t="n">
        <f aca="false">MIN(INT(ROUND(N839*1000000,0)/100000),9)</f>
        <v>0</v>
      </c>
      <c r="AF839" s="8" t="n">
        <f aca="false">MIN(INT(ROUND(P839*1000000,0)/100000),9)</f>
        <v>0</v>
      </c>
    </row>
    <row r="840" customFormat="false" ht="15" hidden="false" customHeight="false" outlineLevel="0" collapsed="false">
      <c r="A840" s="4" t="n">
        <v>836</v>
      </c>
      <c r="B840" s="4" t="n">
        <v>536</v>
      </c>
      <c r="C840" s="4" t="n">
        <v>2</v>
      </c>
      <c r="D840" s="11" t="n">
        <v>46113</v>
      </c>
      <c r="E840" s="4" t="s">
        <v>204</v>
      </c>
      <c r="F840" s="4" t="s">
        <v>206</v>
      </c>
      <c r="G840" s="4" t="n">
        <v>3</v>
      </c>
      <c r="H840" s="4" t="n">
        <v>4</v>
      </c>
      <c r="I840" s="4" t="n">
        <v>0</v>
      </c>
      <c r="J840" s="4"/>
      <c r="K840" s="4" t="n">
        <v>0</v>
      </c>
      <c r="L840" s="12" t="n">
        <v>0.367841</v>
      </c>
      <c r="M840" s="12" t="n">
        <v>0.092063</v>
      </c>
      <c r="N840" s="12" t="n">
        <v>0.065989</v>
      </c>
      <c r="O840" s="12" t="n">
        <v>0.106183</v>
      </c>
      <c r="P840" s="12" t="n">
        <v>0.068682</v>
      </c>
      <c r="Q840" s="0" t="str">
        <f aca="false">IF(L840&gt;=Models!$G$5,1+COUNTIF($L$5:$L$1517,"&gt;"&amp;L840)+COUNTIFS($L$5:$L$1517,L840,$B$5:$B$1517,"&lt;"&amp;B840)+COUNTIFS($L$5:$L$1517,L840,$B$5:$B$1517,B840,$C$5:$C$1517,"&lt;"&amp;C840),"")</f>
        <v/>
      </c>
      <c r="R840" s="0" t="str">
        <f aca="false">IF(M840&gt;=Models!$G$6,1+COUNTIF($M$5:$M$1517,"&gt;"&amp;M840)+COUNTIFS($M$5:$M$1517,M840,$B$5:$B$1517,"&lt;"&amp;B840)+COUNTIFS($M$5:$M$1517,M840,$B$5:$B$1517,B840,$C$5:$C$1517,"&lt;"&amp;C840),"")</f>
        <v/>
      </c>
      <c r="S840" s="0" t="str">
        <f aca="false">IF(N840&gt;=Models!$G$7,1+COUNTIF($N$5:$N$1517,"&gt;"&amp;N840)+COUNTIFS($N$5:$N$1517,N840,$B$5:$B$1517,"&lt;"&amp;B840)+COUNTIFS($N$5:$N$1517,N840,$B$5:$B$1517,B840,$C$5:$C$1517,"&lt;"&amp;C840),"")</f>
        <v/>
      </c>
      <c r="T840" s="8" t="n">
        <f aca="false">IF(O840&gt;=Models!$G$8,1+COUNTIF($O$5:$O$1517,"&gt;"&amp;O840)+COUNTIFS($O$5:$O$1517,O840,$B$5:$B$1517,"&lt;"&amp;B840)+COUNTIFS($O$5:$O$1517,O840,$B$5:$B$1517,B840,$C$5:$C$1517,"&lt;"&amp;C840),"")</f>
        <v>403</v>
      </c>
      <c r="U840" s="8" t="n">
        <f aca="false">IF($K840=1,COUNTIFS($L$5:$L$1517,"&gt;="&amp;L840,$K$5:$K$1517,1)/COUNTIF($L$5:$L$1517,"&gt;="&amp;L840),0)</f>
        <v>0</v>
      </c>
      <c r="V840" s="8" t="n">
        <f aca="false">IF($K840=1,COUNTIFS($M$5:$M$1517,"&gt;="&amp;M840,$K$5:$K$1517,1)/COUNTIF($M$5:$M$1517,"&gt;="&amp;M840),0)</f>
        <v>0</v>
      </c>
      <c r="W840" s="8" t="n">
        <f aca="false">IF($K840=1,COUNTIFS($N$5:$N$1517,"&gt;="&amp;N840,$K$5:$K$1517,1)/COUNTIF($N$5:$N$1517,"&gt;="&amp;N840),0)</f>
        <v>0</v>
      </c>
      <c r="X840" s="8" t="n">
        <f aca="false">IF($K840=1,COUNTIFS($O$5:$O$1517,"&gt;="&amp;O840,$K$5:$K$1517,1)/COUNTIF($O$5:$O$1517,"&gt;="&amp;O840),0)</f>
        <v>0</v>
      </c>
      <c r="Y840" s="8" t="n">
        <f aca="false">IF($K840=1,COUNTIFS($P$5:$P$1517,"&gt;="&amp;P840,$K$5:$K$1517,1)/COUNTIF($P$5:$P$1517,"&gt;="&amp;P840),0)</f>
        <v>0</v>
      </c>
      <c r="Z840" s="8" t="n">
        <f aca="false">(L840-$K840)^2</f>
        <v>0.135307001281</v>
      </c>
      <c r="AA840" s="8" t="n">
        <f aca="false">(M840-$K840)^2</f>
        <v>0.008475595969</v>
      </c>
      <c r="AB840" s="8" t="n">
        <f aca="false">(N840-$K840)^2</f>
        <v>0.004354548121</v>
      </c>
      <c r="AC840" s="8" t="n">
        <f aca="false">(O840-$K840)^2</f>
        <v>0.011274829489</v>
      </c>
      <c r="AD840" s="8" t="n">
        <f aca="false">(P840-$K840)^2</f>
        <v>0.004717217124</v>
      </c>
      <c r="AE840" s="8" t="n">
        <f aca="false">MIN(INT(ROUND(N840*1000000,0)/100000),9)</f>
        <v>0</v>
      </c>
      <c r="AF840" s="8" t="n">
        <f aca="false">MIN(INT(ROUND(P840*1000000,0)/100000),9)</f>
        <v>0</v>
      </c>
    </row>
    <row r="841" customFormat="false" ht="15" hidden="false" customHeight="false" outlineLevel="0" collapsed="false">
      <c r="A841" s="4" t="n">
        <v>837</v>
      </c>
      <c r="B841" s="4" t="n">
        <v>537</v>
      </c>
      <c r="C841" s="4" t="n">
        <v>2</v>
      </c>
      <c r="D841" s="11" t="n">
        <v>46113</v>
      </c>
      <c r="E841" s="4" t="s">
        <v>202</v>
      </c>
      <c r="F841" s="4" t="s">
        <v>208</v>
      </c>
      <c r="G841" s="4" t="n">
        <v>12</v>
      </c>
      <c r="H841" s="4" t="n">
        <v>4</v>
      </c>
      <c r="I841" s="4" t="n">
        <v>1</v>
      </c>
      <c r="J841" s="4"/>
      <c r="K841" s="4" t="n">
        <v>0</v>
      </c>
      <c r="L841" s="12" t="n">
        <v>0.046962</v>
      </c>
      <c r="M841" s="12" t="n">
        <v>0.184211</v>
      </c>
      <c r="N841" s="12" t="n">
        <v>0.053967</v>
      </c>
      <c r="O841" s="12" t="n">
        <v>0.106183</v>
      </c>
      <c r="P841" s="12" t="n">
        <v>0.055662</v>
      </c>
      <c r="Q841" s="0" t="str">
        <f aca="false">IF(L841&gt;=Models!$G$5,1+COUNTIF($L$5:$L$1517,"&gt;"&amp;L841)+COUNTIFS($L$5:$L$1517,L841,$B$5:$B$1517,"&lt;"&amp;B841)+COUNTIFS($L$5:$L$1517,L841,$B$5:$B$1517,B841,$C$5:$C$1517,"&lt;"&amp;C841),"")</f>
        <v/>
      </c>
      <c r="R841" s="8" t="n">
        <f aca="false">IF(M841&gt;=Models!$G$6,1+COUNTIF($M$5:$M$1517,"&gt;"&amp;M841)+COUNTIFS($M$5:$M$1517,M841,$B$5:$B$1517,"&lt;"&amp;B841)+COUNTIFS($M$5:$M$1517,M841,$B$5:$B$1517,B841,$C$5:$C$1517,"&lt;"&amp;C841),"")</f>
        <v>44</v>
      </c>
      <c r="S841" s="0" t="str">
        <f aca="false">IF(N841&gt;=Models!$G$7,1+COUNTIF($N$5:$N$1517,"&gt;"&amp;N841)+COUNTIFS($N$5:$N$1517,N841,$B$5:$B$1517,"&lt;"&amp;B841)+COUNTIFS($N$5:$N$1517,N841,$B$5:$B$1517,B841,$C$5:$C$1517,"&lt;"&amp;C841),"")</f>
        <v/>
      </c>
      <c r="T841" s="8" t="n">
        <f aca="false">IF(O841&gt;=Models!$G$8,1+COUNTIF($O$5:$O$1517,"&gt;"&amp;O841)+COUNTIFS($O$5:$O$1517,O841,$B$5:$B$1517,"&lt;"&amp;B841)+COUNTIFS($O$5:$O$1517,O841,$B$5:$B$1517,B841,$C$5:$C$1517,"&lt;"&amp;C841),"")</f>
        <v>407</v>
      </c>
      <c r="U841" s="8" t="n">
        <f aca="false">IF($K841=1,COUNTIFS($L$5:$L$1517,"&gt;="&amp;L841,$K$5:$K$1517,1)/COUNTIF($L$5:$L$1517,"&gt;="&amp;L841),0)</f>
        <v>0</v>
      </c>
      <c r="V841" s="8" t="n">
        <f aca="false">IF($K841=1,COUNTIFS($M$5:$M$1517,"&gt;="&amp;M841,$K$5:$K$1517,1)/COUNTIF($M$5:$M$1517,"&gt;="&amp;M841),0)</f>
        <v>0</v>
      </c>
      <c r="W841" s="8" t="n">
        <f aca="false">IF($K841=1,COUNTIFS($N$5:$N$1517,"&gt;="&amp;N841,$K$5:$K$1517,1)/COUNTIF($N$5:$N$1517,"&gt;="&amp;N841),0)</f>
        <v>0</v>
      </c>
      <c r="X841" s="8" t="n">
        <f aca="false">IF($K841=1,COUNTIFS($O$5:$O$1517,"&gt;="&amp;O841,$K$5:$K$1517,1)/COUNTIF($O$5:$O$1517,"&gt;="&amp;O841),0)</f>
        <v>0</v>
      </c>
      <c r="Y841" s="8" t="n">
        <f aca="false">IF($K841=1,COUNTIFS($P$5:$P$1517,"&gt;="&amp;P841,$K$5:$K$1517,1)/COUNTIF($P$5:$P$1517,"&gt;="&amp;P841),0)</f>
        <v>0</v>
      </c>
      <c r="Z841" s="8" t="n">
        <f aca="false">(L841-$K841)^2</f>
        <v>0.002205429444</v>
      </c>
      <c r="AA841" s="8" t="n">
        <f aca="false">(M841-$K841)^2</f>
        <v>0.033933692521</v>
      </c>
      <c r="AB841" s="8" t="n">
        <f aca="false">(N841-$K841)^2</f>
        <v>0.002912437089</v>
      </c>
      <c r="AC841" s="8" t="n">
        <f aca="false">(O841-$K841)^2</f>
        <v>0.011274829489</v>
      </c>
      <c r="AD841" s="8" t="n">
        <f aca="false">(P841-$K841)^2</f>
        <v>0.003098258244</v>
      </c>
      <c r="AE841" s="8" t="n">
        <f aca="false">MIN(INT(ROUND(N841*1000000,0)/100000),9)</f>
        <v>0</v>
      </c>
      <c r="AF841" s="8" t="n">
        <f aca="false">MIN(INT(ROUND(P841*1000000,0)/100000),9)</f>
        <v>0</v>
      </c>
    </row>
    <row r="842" customFormat="false" ht="15" hidden="false" customHeight="false" outlineLevel="0" collapsed="false">
      <c r="A842" s="4" t="n">
        <v>838</v>
      </c>
      <c r="B842" s="4" t="n">
        <v>540</v>
      </c>
      <c r="C842" s="4" t="n">
        <v>2</v>
      </c>
      <c r="D842" s="11" t="n">
        <v>46113</v>
      </c>
      <c r="E842" s="4" t="s">
        <v>204</v>
      </c>
      <c r="F842" s="4" t="s">
        <v>210</v>
      </c>
      <c r="G842" s="4" t="n">
        <v>3</v>
      </c>
      <c r="H842" s="4" t="n">
        <v>1</v>
      </c>
      <c r="I842" s="4" t="n">
        <v>0</v>
      </c>
      <c r="J842" s="4" t="n">
        <v>108</v>
      </c>
      <c r="K842" s="4" t="n">
        <v>0</v>
      </c>
      <c r="L842" s="12" t="n">
        <v>0.188757</v>
      </c>
      <c r="M842" s="12" t="n">
        <v>0.092063</v>
      </c>
      <c r="N842" s="12" t="n">
        <v>0.127403</v>
      </c>
      <c r="O842" s="12" t="n">
        <v>0.106183</v>
      </c>
      <c r="P842" s="12" t="n">
        <v>0.136262</v>
      </c>
      <c r="Q842" s="0" t="str">
        <f aca="false">IF(L842&gt;=Models!$G$5,1+COUNTIF($L$5:$L$1517,"&gt;"&amp;L842)+COUNTIFS($L$5:$L$1517,L842,$B$5:$B$1517,"&lt;"&amp;B842)+COUNTIFS($L$5:$L$1517,L842,$B$5:$B$1517,B842,$C$5:$C$1517,"&lt;"&amp;C842),"")</f>
        <v/>
      </c>
      <c r="R842" s="0" t="str">
        <f aca="false">IF(M842&gt;=Models!$G$6,1+COUNTIF($M$5:$M$1517,"&gt;"&amp;M842)+COUNTIFS($M$5:$M$1517,M842,$B$5:$B$1517,"&lt;"&amp;B842)+COUNTIFS($M$5:$M$1517,M842,$B$5:$B$1517,B842,$C$5:$C$1517,"&lt;"&amp;C842),"")</f>
        <v/>
      </c>
      <c r="S842" s="0" t="str">
        <f aca="false">IF(N842&gt;=Models!$G$7,1+COUNTIF($N$5:$N$1517,"&gt;"&amp;N842)+COUNTIFS($N$5:$N$1517,N842,$B$5:$B$1517,"&lt;"&amp;B842)+COUNTIFS($N$5:$N$1517,N842,$B$5:$B$1517,B842,$C$5:$C$1517,"&lt;"&amp;C842),"")</f>
        <v/>
      </c>
      <c r="T842" s="8" t="n">
        <f aca="false">IF(O842&gt;=Models!$G$8,1+COUNTIF($O$5:$O$1517,"&gt;"&amp;O842)+COUNTIFS($O$5:$O$1517,O842,$B$5:$B$1517,"&lt;"&amp;B842)+COUNTIFS($O$5:$O$1517,O842,$B$5:$B$1517,B842,$C$5:$C$1517,"&lt;"&amp;C842),"")</f>
        <v>411</v>
      </c>
      <c r="U842" s="8" t="n">
        <f aca="false">IF($K842=1,COUNTIFS($L$5:$L$1517,"&gt;="&amp;L842,$K$5:$K$1517,1)/COUNTIF($L$5:$L$1517,"&gt;="&amp;L842),0)</f>
        <v>0</v>
      </c>
      <c r="V842" s="8" t="n">
        <f aca="false">IF($K842=1,COUNTIFS($M$5:$M$1517,"&gt;="&amp;M842,$K$5:$K$1517,1)/COUNTIF($M$5:$M$1517,"&gt;="&amp;M842),0)</f>
        <v>0</v>
      </c>
      <c r="W842" s="8" t="n">
        <f aca="false">IF($K842=1,COUNTIFS($N$5:$N$1517,"&gt;="&amp;N842,$K$5:$K$1517,1)/COUNTIF($N$5:$N$1517,"&gt;="&amp;N842),0)</f>
        <v>0</v>
      </c>
      <c r="X842" s="8" t="n">
        <f aca="false">IF($K842=1,COUNTIFS($O$5:$O$1517,"&gt;="&amp;O842,$K$5:$K$1517,1)/COUNTIF($O$5:$O$1517,"&gt;="&amp;O842),0)</f>
        <v>0</v>
      </c>
      <c r="Y842" s="8" t="n">
        <f aca="false">IF($K842=1,COUNTIFS($P$5:$P$1517,"&gt;="&amp;P842,$K$5:$K$1517,1)/COUNTIF($P$5:$P$1517,"&gt;="&amp;P842),0)</f>
        <v>0</v>
      </c>
      <c r="Z842" s="8" t="n">
        <f aca="false">(L842-$K842)^2</f>
        <v>0.035629205049</v>
      </c>
      <c r="AA842" s="8" t="n">
        <f aca="false">(M842-$K842)^2</f>
        <v>0.008475595969</v>
      </c>
      <c r="AB842" s="8" t="n">
        <f aca="false">(N842-$K842)^2</f>
        <v>0.016231524409</v>
      </c>
      <c r="AC842" s="8" t="n">
        <f aca="false">(O842-$K842)^2</f>
        <v>0.011274829489</v>
      </c>
      <c r="AD842" s="8" t="n">
        <f aca="false">(P842-$K842)^2</f>
        <v>0.018567332644</v>
      </c>
      <c r="AE842" s="8" t="n">
        <f aca="false">MIN(INT(ROUND(N842*1000000,0)/100000),9)</f>
        <v>1</v>
      </c>
      <c r="AF842" s="8" t="n">
        <f aca="false">MIN(INT(ROUND(P842*1000000,0)/100000),9)</f>
        <v>1</v>
      </c>
    </row>
    <row r="843" customFormat="false" ht="15" hidden="false" customHeight="false" outlineLevel="0" collapsed="false">
      <c r="A843" s="4" t="n">
        <v>839</v>
      </c>
      <c r="B843" s="4" t="n">
        <v>556</v>
      </c>
      <c r="C843" s="4" t="n">
        <v>2</v>
      </c>
      <c r="D843" s="11" t="n">
        <v>46113</v>
      </c>
      <c r="E843" s="4" t="s">
        <v>202</v>
      </c>
      <c r="F843" s="4" t="s">
        <v>206</v>
      </c>
      <c r="G843" s="4" t="n">
        <v>7</v>
      </c>
      <c r="H843" s="4" t="n">
        <v>0</v>
      </c>
      <c r="I843" s="4" t="n">
        <v>0</v>
      </c>
      <c r="J843" s="4"/>
      <c r="K843" s="4" t="n">
        <v>1</v>
      </c>
      <c r="L843" s="12" t="n">
        <v>0.169577</v>
      </c>
      <c r="M843" s="12" t="n">
        <v>0.092063</v>
      </c>
      <c r="N843" s="12" t="n">
        <v>0.045531</v>
      </c>
      <c r="O843" s="12" t="n">
        <v>0.106183</v>
      </c>
      <c r="P843" s="12" t="n">
        <v>0.046595</v>
      </c>
      <c r="Q843" s="0" t="str">
        <f aca="false">IF(L843&gt;=Models!$G$5,1+COUNTIF($L$5:$L$1517,"&gt;"&amp;L843)+COUNTIFS($L$5:$L$1517,L843,$B$5:$B$1517,"&lt;"&amp;B843)+COUNTIFS($L$5:$L$1517,L843,$B$5:$B$1517,B843,$C$5:$C$1517,"&lt;"&amp;C843),"")</f>
        <v/>
      </c>
      <c r="R843" s="0" t="str">
        <f aca="false">IF(M843&gt;=Models!$G$6,1+COUNTIF($M$5:$M$1517,"&gt;"&amp;M843)+COUNTIFS($M$5:$M$1517,M843,$B$5:$B$1517,"&lt;"&amp;B843)+COUNTIFS($M$5:$M$1517,M843,$B$5:$B$1517,B843,$C$5:$C$1517,"&lt;"&amp;C843),"")</f>
        <v/>
      </c>
      <c r="S843" s="0" t="str">
        <f aca="false">IF(N843&gt;=Models!$G$7,1+COUNTIF($N$5:$N$1517,"&gt;"&amp;N843)+COUNTIFS($N$5:$N$1517,N843,$B$5:$B$1517,"&lt;"&amp;B843)+COUNTIFS($N$5:$N$1517,N843,$B$5:$B$1517,B843,$C$5:$C$1517,"&lt;"&amp;C843),"")</f>
        <v/>
      </c>
      <c r="T843" s="8" t="n">
        <f aca="false">IF(O843&gt;=Models!$G$8,1+COUNTIF($O$5:$O$1517,"&gt;"&amp;O843)+COUNTIFS($O$5:$O$1517,O843,$B$5:$B$1517,"&lt;"&amp;B843)+COUNTIFS($O$5:$O$1517,O843,$B$5:$B$1517,B843,$C$5:$C$1517,"&lt;"&amp;C843),"")</f>
        <v>415</v>
      </c>
      <c r="U843" s="8" t="n">
        <f aca="false">IF($K843=1,COUNTIFS($L$5:$L$1517,"&gt;="&amp;L843,$K$5:$K$1517,1)/COUNTIF($L$5:$L$1517,"&gt;="&amp;L843),0)</f>
        <v>0.125</v>
      </c>
      <c r="V843" s="8" t="n">
        <f aca="false">IF($K843=1,COUNTIFS($M$5:$M$1517,"&gt;="&amp;M843,$K$5:$K$1517,1)/COUNTIF($M$5:$M$1517,"&gt;="&amp;M843),0)</f>
        <v>0.12491738268341</v>
      </c>
      <c r="W843" s="8" t="n">
        <f aca="false">IF($K843=1,COUNTIFS($N$5:$N$1517,"&gt;="&amp;N843,$K$5:$K$1517,1)/COUNTIF($N$5:$N$1517,"&gt;="&amp;N843),0)</f>
        <v>0.144578313253012</v>
      </c>
      <c r="X843" s="8" t="n">
        <f aca="false">IF($K843=1,COUNTIFS($O$5:$O$1517,"&gt;="&amp;O843,$K$5:$K$1517,1)/COUNTIF($O$5:$O$1517,"&gt;="&amp;O843),0)</f>
        <v>0.12491738268341</v>
      </c>
      <c r="Y843" s="8" t="n">
        <f aca="false">IF($K843=1,COUNTIFS($P$5:$P$1517,"&gt;="&amp;P843,$K$5:$K$1517,1)/COUNTIF($P$5:$P$1517,"&gt;="&amp;P843),0)</f>
        <v>0.144578313253012</v>
      </c>
      <c r="Z843" s="8" t="n">
        <f aca="false">(L843-$K843)^2</f>
        <v>0.689602358929</v>
      </c>
      <c r="AA843" s="8" t="n">
        <f aca="false">(M843-$K843)^2</f>
        <v>0.824349595969</v>
      </c>
      <c r="AB843" s="8" t="n">
        <f aca="false">(N843-$K843)^2</f>
        <v>0.911011071961</v>
      </c>
      <c r="AC843" s="8" t="n">
        <f aca="false">(O843-$K843)^2</f>
        <v>0.798908829489</v>
      </c>
      <c r="AD843" s="8" t="n">
        <f aca="false">(P843-$K843)^2</f>
        <v>0.908981094025</v>
      </c>
      <c r="AE843" s="8" t="n">
        <f aca="false">MIN(INT(ROUND(N843*1000000,0)/100000),9)</f>
        <v>0</v>
      </c>
      <c r="AF843" s="8" t="n">
        <f aca="false">MIN(INT(ROUND(P843*1000000,0)/100000),9)</f>
        <v>0</v>
      </c>
    </row>
    <row r="844" customFormat="false" ht="15" hidden="false" customHeight="false" outlineLevel="0" collapsed="false">
      <c r="A844" s="4" t="n">
        <v>840</v>
      </c>
      <c r="B844" s="4" t="n">
        <v>567</v>
      </c>
      <c r="C844" s="4" t="n">
        <v>2</v>
      </c>
      <c r="D844" s="11" t="n">
        <v>46113</v>
      </c>
      <c r="E844" s="4" t="s">
        <v>203</v>
      </c>
      <c r="F844" s="4" t="s">
        <v>209</v>
      </c>
      <c r="G844" s="4" t="n">
        <v>4</v>
      </c>
      <c r="H844" s="4" t="n">
        <v>5</v>
      </c>
      <c r="I844" s="4" t="n">
        <v>0</v>
      </c>
      <c r="J844" s="4"/>
      <c r="K844" s="4" t="n">
        <v>0</v>
      </c>
      <c r="L844" s="12" t="n">
        <v>0.782543</v>
      </c>
      <c r="M844" s="12" t="n">
        <v>0.092063</v>
      </c>
      <c r="N844" s="12" t="n">
        <v>0.061122</v>
      </c>
      <c r="O844" s="12" t="n">
        <v>0.106183</v>
      </c>
      <c r="P844" s="12" t="n">
        <v>0.063399</v>
      </c>
      <c r="Q844" s="0" t="str">
        <f aca="false">IF(L844&gt;=Models!$G$5,1+COUNTIF($L$5:$L$1517,"&gt;"&amp;L844)+COUNTIFS($L$5:$L$1517,L844,$B$5:$B$1517,"&lt;"&amp;B844)+COUNTIFS($L$5:$L$1517,L844,$B$5:$B$1517,B844,$C$5:$C$1517,"&lt;"&amp;C844),"")</f>
        <v/>
      </c>
      <c r="R844" s="0" t="str">
        <f aca="false">IF(M844&gt;=Models!$G$6,1+COUNTIF($M$5:$M$1517,"&gt;"&amp;M844)+COUNTIFS($M$5:$M$1517,M844,$B$5:$B$1517,"&lt;"&amp;B844)+COUNTIFS($M$5:$M$1517,M844,$B$5:$B$1517,B844,$C$5:$C$1517,"&lt;"&amp;C844),"")</f>
        <v/>
      </c>
      <c r="S844" s="0" t="str">
        <f aca="false">IF(N844&gt;=Models!$G$7,1+COUNTIF($N$5:$N$1517,"&gt;"&amp;N844)+COUNTIFS($N$5:$N$1517,N844,$B$5:$B$1517,"&lt;"&amp;B844)+COUNTIFS($N$5:$N$1517,N844,$B$5:$B$1517,B844,$C$5:$C$1517,"&lt;"&amp;C844),"")</f>
        <v/>
      </c>
      <c r="T844" s="8" t="n">
        <f aca="false">IF(O844&gt;=Models!$G$8,1+COUNTIF($O$5:$O$1517,"&gt;"&amp;O844)+COUNTIFS($O$5:$O$1517,O844,$B$5:$B$1517,"&lt;"&amp;B844)+COUNTIFS($O$5:$O$1517,O844,$B$5:$B$1517,B844,$C$5:$C$1517,"&lt;"&amp;C844),"")</f>
        <v>419</v>
      </c>
      <c r="U844" s="8" t="n">
        <f aca="false">IF($K844=1,COUNTIFS($L$5:$L$1517,"&gt;="&amp;L844,$K$5:$K$1517,1)/COUNTIF($L$5:$L$1517,"&gt;="&amp;L844),0)</f>
        <v>0</v>
      </c>
      <c r="V844" s="8" t="n">
        <f aca="false">IF($K844=1,COUNTIFS($M$5:$M$1517,"&gt;="&amp;M844,$K$5:$K$1517,1)/COUNTIF($M$5:$M$1517,"&gt;="&amp;M844),0)</f>
        <v>0</v>
      </c>
      <c r="W844" s="8" t="n">
        <f aca="false">IF($K844=1,COUNTIFS($N$5:$N$1517,"&gt;="&amp;N844,$K$5:$K$1517,1)/COUNTIF($N$5:$N$1517,"&gt;="&amp;N844),0)</f>
        <v>0</v>
      </c>
      <c r="X844" s="8" t="n">
        <f aca="false">IF($K844=1,COUNTIFS($O$5:$O$1517,"&gt;="&amp;O844,$K$5:$K$1517,1)/COUNTIF($O$5:$O$1517,"&gt;="&amp;O844),0)</f>
        <v>0</v>
      </c>
      <c r="Y844" s="8" t="n">
        <f aca="false">IF($K844=1,COUNTIFS($P$5:$P$1517,"&gt;="&amp;P844,$K$5:$K$1517,1)/COUNTIF($P$5:$P$1517,"&gt;="&amp;P844),0)</f>
        <v>0</v>
      </c>
      <c r="Z844" s="8" t="n">
        <f aca="false">(L844-$K844)^2</f>
        <v>0.612373546849</v>
      </c>
      <c r="AA844" s="8" t="n">
        <f aca="false">(M844-$K844)^2</f>
        <v>0.008475595969</v>
      </c>
      <c r="AB844" s="8" t="n">
        <f aca="false">(N844-$K844)^2</f>
        <v>0.003735898884</v>
      </c>
      <c r="AC844" s="8" t="n">
        <f aca="false">(O844-$K844)^2</f>
        <v>0.011274829489</v>
      </c>
      <c r="AD844" s="8" t="n">
        <f aca="false">(P844-$K844)^2</f>
        <v>0.004019433201</v>
      </c>
      <c r="AE844" s="8" t="n">
        <f aca="false">MIN(INT(ROUND(N844*1000000,0)/100000),9)</f>
        <v>0</v>
      </c>
      <c r="AF844" s="8" t="n">
        <f aca="false">MIN(INT(ROUND(P844*1000000,0)/100000),9)</f>
        <v>0</v>
      </c>
    </row>
    <row r="845" customFormat="false" ht="15" hidden="false" customHeight="false" outlineLevel="0" collapsed="false">
      <c r="A845" s="4" t="n">
        <v>841</v>
      </c>
      <c r="B845" s="4" t="n">
        <v>570</v>
      </c>
      <c r="C845" s="4" t="n">
        <v>2</v>
      </c>
      <c r="D845" s="11" t="n">
        <v>46113</v>
      </c>
      <c r="E845" s="4" t="s">
        <v>202</v>
      </c>
      <c r="F845" s="4" t="s">
        <v>210</v>
      </c>
      <c r="G845" s="4" t="n">
        <v>15</v>
      </c>
      <c r="H845" s="4" t="n">
        <v>0</v>
      </c>
      <c r="I845" s="4" t="n">
        <v>0</v>
      </c>
      <c r="J845" s="4"/>
      <c r="K845" s="4" t="n">
        <v>0</v>
      </c>
      <c r="L845" s="12" t="n">
        <v>0.647915</v>
      </c>
      <c r="M845" s="12" t="n">
        <v>0.092063</v>
      </c>
      <c r="N845" s="12" t="n">
        <v>0.022694</v>
      </c>
      <c r="O845" s="12" t="n">
        <v>0.106183</v>
      </c>
      <c r="P845" s="12" t="n">
        <v>0.022472</v>
      </c>
      <c r="Q845" s="0" t="str">
        <f aca="false">IF(L845&gt;=Models!$G$5,1+COUNTIF($L$5:$L$1517,"&gt;"&amp;L845)+COUNTIFS($L$5:$L$1517,L845,$B$5:$B$1517,"&lt;"&amp;B845)+COUNTIFS($L$5:$L$1517,L845,$B$5:$B$1517,B845,$C$5:$C$1517,"&lt;"&amp;C845),"")</f>
        <v/>
      </c>
      <c r="R845" s="0" t="str">
        <f aca="false">IF(M845&gt;=Models!$G$6,1+COUNTIF($M$5:$M$1517,"&gt;"&amp;M845)+COUNTIFS($M$5:$M$1517,M845,$B$5:$B$1517,"&lt;"&amp;B845)+COUNTIFS($M$5:$M$1517,M845,$B$5:$B$1517,B845,$C$5:$C$1517,"&lt;"&amp;C845),"")</f>
        <v/>
      </c>
      <c r="S845" s="0" t="str">
        <f aca="false">IF(N845&gt;=Models!$G$7,1+COUNTIF($N$5:$N$1517,"&gt;"&amp;N845)+COUNTIFS($N$5:$N$1517,N845,$B$5:$B$1517,"&lt;"&amp;B845)+COUNTIFS($N$5:$N$1517,N845,$B$5:$B$1517,B845,$C$5:$C$1517,"&lt;"&amp;C845),"")</f>
        <v/>
      </c>
      <c r="T845" s="8" t="n">
        <f aca="false">IF(O845&gt;=Models!$G$8,1+COUNTIF($O$5:$O$1517,"&gt;"&amp;O845)+COUNTIFS($O$5:$O$1517,O845,$B$5:$B$1517,"&lt;"&amp;B845)+COUNTIFS($O$5:$O$1517,O845,$B$5:$B$1517,B845,$C$5:$C$1517,"&lt;"&amp;C845),"")</f>
        <v>423</v>
      </c>
      <c r="U845" s="8" t="n">
        <f aca="false">IF($K845=1,COUNTIFS($L$5:$L$1517,"&gt;="&amp;L845,$K$5:$K$1517,1)/COUNTIF($L$5:$L$1517,"&gt;="&amp;L845),0)</f>
        <v>0</v>
      </c>
      <c r="V845" s="8" t="n">
        <f aca="false">IF($K845=1,COUNTIFS($M$5:$M$1517,"&gt;="&amp;M845,$K$5:$K$1517,1)/COUNTIF($M$5:$M$1517,"&gt;="&amp;M845),0)</f>
        <v>0</v>
      </c>
      <c r="W845" s="8" t="n">
        <f aca="false">IF($K845=1,COUNTIFS($N$5:$N$1517,"&gt;="&amp;N845,$K$5:$K$1517,1)/COUNTIF($N$5:$N$1517,"&gt;="&amp;N845),0)</f>
        <v>0</v>
      </c>
      <c r="X845" s="8" t="n">
        <f aca="false">IF($K845=1,COUNTIFS($O$5:$O$1517,"&gt;="&amp;O845,$K$5:$K$1517,1)/COUNTIF($O$5:$O$1517,"&gt;="&amp;O845),0)</f>
        <v>0</v>
      </c>
      <c r="Y845" s="8" t="n">
        <f aca="false">IF($K845=1,COUNTIFS($P$5:$P$1517,"&gt;="&amp;P845,$K$5:$K$1517,1)/COUNTIF($P$5:$P$1517,"&gt;="&amp;P845),0)</f>
        <v>0</v>
      </c>
      <c r="Z845" s="8" t="n">
        <f aca="false">(L845-$K845)^2</f>
        <v>0.419793847225</v>
      </c>
      <c r="AA845" s="8" t="n">
        <f aca="false">(M845-$K845)^2</f>
        <v>0.008475595969</v>
      </c>
      <c r="AB845" s="8" t="n">
        <f aca="false">(N845-$K845)^2</f>
        <v>0.000515017636</v>
      </c>
      <c r="AC845" s="8" t="n">
        <f aca="false">(O845-$K845)^2</f>
        <v>0.011274829489</v>
      </c>
      <c r="AD845" s="8" t="n">
        <f aca="false">(P845-$K845)^2</f>
        <v>0.000504990784</v>
      </c>
      <c r="AE845" s="8" t="n">
        <f aca="false">MIN(INT(ROUND(N845*1000000,0)/100000),9)</f>
        <v>0</v>
      </c>
      <c r="AF845" s="8" t="n">
        <f aca="false">MIN(INT(ROUND(P845*1000000,0)/100000),9)</f>
        <v>0</v>
      </c>
    </row>
    <row r="846" customFormat="false" ht="15" hidden="false" customHeight="false" outlineLevel="0" collapsed="false">
      <c r="A846" s="4" t="n">
        <v>842</v>
      </c>
      <c r="B846" s="4" t="n">
        <v>572</v>
      </c>
      <c r="C846" s="4" t="n">
        <v>2</v>
      </c>
      <c r="D846" s="11" t="n">
        <v>46113</v>
      </c>
      <c r="E846" s="4" t="s">
        <v>203</v>
      </c>
      <c r="F846" s="4" t="s">
        <v>210</v>
      </c>
      <c r="G846" s="4" t="n">
        <v>9</v>
      </c>
      <c r="H846" s="4" t="n">
        <v>5</v>
      </c>
      <c r="I846" s="4" t="n">
        <v>0</v>
      </c>
      <c r="J846" s="4" t="n">
        <v>384</v>
      </c>
      <c r="K846" s="4" t="n">
        <v>0</v>
      </c>
      <c r="L846" s="12" t="n">
        <v>0.750203</v>
      </c>
      <c r="M846" s="12" t="n">
        <v>0.092063</v>
      </c>
      <c r="N846" s="12" t="n">
        <v>0.079636</v>
      </c>
      <c r="O846" s="12" t="n">
        <v>0.106183</v>
      </c>
      <c r="P846" s="12" t="n">
        <v>0.083572</v>
      </c>
      <c r="Q846" s="0" t="str">
        <f aca="false">IF(L846&gt;=Models!$G$5,1+COUNTIF($L$5:$L$1517,"&gt;"&amp;L846)+COUNTIFS($L$5:$L$1517,L846,$B$5:$B$1517,"&lt;"&amp;B846)+COUNTIFS($L$5:$L$1517,L846,$B$5:$B$1517,B846,$C$5:$C$1517,"&lt;"&amp;C846),"")</f>
        <v/>
      </c>
      <c r="R846" s="0" t="str">
        <f aca="false">IF(M846&gt;=Models!$G$6,1+COUNTIF($M$5:$M$1517,"&gt;"&amp;M846)+COUNTIFS($M$5:$M$1517,M846,$B$5:$B$1517,"&lt;"&amp;B846)+COUNTIFS($M$5:$M$1517,M846,$B$5:$B$1517,B846,$C$5:$C$1517,"&lt;"&amp;C846),"")</f>
        <v/>
      </c>
      <c r="S846" s="0" t="str">
        <f aca="false">IF(N846&gt;=Models!$G$7,1+COUNTIF($N$5:$N$1517,"&gt;"&amp;N846)+COUNTIFS($N$5:$N$1517,N846,$B$5:$B$1517,"&lt;"&amp;B846)+COUNTIFS($N$5:$N$1517,N846,$B$5:$B$1517,B846,$C$5:$C$1517,"&lt;"&amp;C846),"")</f>
        <v/>
      </c>
      <c r="T846" s="8" t="n">
        <f aca="false">IF(O846&gt;=Models!$G$8,1+COUNTIF($O$5:$O$1517,"&gt;"&amp;O846)+COUNTIFS($O$5:$O$1517,O846,$B$5:$B$1517,"&lt;"&amp;B846)+COUNTIFS($O$5:$O$1517,O846,$B$5:$B$1517,B846,$C$5:$C$1517,"&lt;"&amp;C846),"")</f>
        <v>427</v>
      </c>
      <c r="U846" s="8" t="n">
        <f aca="false">IF($K846=1,COUNTIFS($L$5:$L$1517,"&gt;="&amp;L846,$K$5:$K$1517,1)/COUNTIF($L$5:$L$1517,"&gt;="&amp;L846),0)</f>
        <v>0</v>
      </c>
      <c r="V846" s="8" t="n">
        <f aca="false">IF($K846=1,COUNTIFS($M$5:$M$1517,"&gt;="&amp;M846,$K$5:$K$1517,1)/COUNTIF($M$5:$M$1517,"&gt;="&amp;M846),0)</f>
        <v>0</v>
      </c>
      <c r="W846" s="8" t="n">
        <f aca="false">IF($K846=1,COUNTIFS($N$5:$N$1517,"&gt;="&amp;N846,$K$5:$K$1517,1)/COUNTIF($N$5:$N$1517,"&gt;="&amp;N846),0)</f>
        <v>0</v>
      </c>
      <c r="X846" s="8" t="n">
        <f aca="false">IF($K846=1,COUNTIFS($O$5:$O$1517,"&gt;="&amp;O846,$K$5:$K$1517,1)/COUNTIF($O$5:$O$1517,"&gt;="&amp;O846),0)</f>
        <v>0</v>
      </c>
      <c r="Y846" s="8" t="n">
        <f aca="false">IF($K846=1,COUNTIFS($P$5:$P$1517,"&gt;="&amp;P846,$K$5:$K$1517,1)/COUNTIF($P$5:$P$1517,"&gt;="&amp;P846),0)</f>
        <v>0</v>
      </c>
      <c r="Z846" s="8" t="n">
        <f aca="false">(L846-$K846)^2</f>
        <v>0.562804541209</v>
      </c>
      <c r="AA846" s="8" t="n">
        <f aca="false">(M846-$K846)^2</f>
        <v>0.008475595969</v>
      </c>
      <c r="AB846" s="8" t="n">
        <f aca="false">(N846-$K846)^2</f>
        <v>0.006341892496</v>
      </c>
      <c r="AC846" s="8" t="n">
        <f aca="false">(O846-$K846)^2</f>
        <v>0.011274829489</v>
      </c>
      <c r="AD846" s="8" t="n">
        <f aca="false">(P846-$K846)^2</f>
        <v>0.006984279184</v>
      </c>
      <c r="AE846" s="8" t="n">
        <f aca="false">MIN(INT(ROUND(N846*1000000,0)/100000),9)</f>
        <v>0</v>
      </c>
      <c r="AF846" s="8" t="n">
        <f aca="false">MIN(INT(ROUND(P846*1000000,0)/100000),9)</f>
        <v>0</v>
      </c>
    </row>
    <row r="847" customFormat="false" ht="15" hidden="false" customHeight="false" outlineLevel="0" collapsed="false">
      <c r="A847" s="4" t="n">
        <v>843</v>
      </c>
      <c r="B847" s="4" t="n">
        <v>573</v>
      </c>
      <c r="C847" s="4" t="n">
        <v>2</v>
      </c>
      <c r="D847" s="11" t="n">
        <v>46113</v>
      </c>
      <c r="E847" s="4" t="s">
        <v>202</v>
      </c>
      <c r="F847" s="4" t="s">
        <v>206</v>
      </c>
      <c r="G847" s="4" t="n">
        <v>9</v>
      </c>
      <c r="H847" s="4" t="n">
        <v>0</v>
      </c>
      <c r="I847" s="4" t="n">
        <v>0</v>
      </c>
      <c r="J847" s="4" t="n">
        <v>1293</v>
      </c>
      <c r="K847" s="4" t="n">
        <v>0</v>
      </c>
      <c r="L847" s="12" t="n">
        <v>0.023145</v>
      </c>
      <c r="M847" s="12" t="n">
        <v>0.092063</v>
      </c>
      <c r="N847" s="12" t="n">
        <v>0.073029</v>
      </c>
      <c r="O847" s="12" t="n">
        <v>0.106183</v>
      </c>
      <c r="P847" s="12" t="n">
        <v>0.076351</v>
      </c>
      <c r="Q847" s="0" t="str">
        <f aca="false">IF(L847&gt;=Models!$G$5,1+COUNTIF($L$5:$L$1517,"&gt;"&amp;L847)+COUNTIFS($L$5:$L$1517,L847,$B$5:$B$1517,"&lt;"&amp;B847)+COUNTIFS($L$5:$L$1517,L847,$B$5:$B$1517,B847,$C$5:$C$1517,"&lt;"&amp;C847),"")</f>
        <v/>
      </c>
      <c r="R847" s="0" t="str">
        <f aca="false">IF(M847&gt;=Models!$G$6,1+COUNTIF($M$5:$M$1517,"&gt;"&amp;M847)+COUNTIFS($M$5:$M$1517,M847,$B$5:$B$1517,"&lt;"&amp;B847)+COUNTIFS($M$5:$M$1517,M847,$B$5:$B$1517,B847,$C$5:$C$1517,"&lt;"&amp;C847),"")</f>
        <v/>
      </c>
      <c r="S847" s="0" t="str">
        <f aca="false">IF(N847&gt;=Models!$G$7,1+COUNTIF($N$5:$N$1517,"&gt;"&amp;N847)+COUNTIFS($N$5:$N$1517,N847,$B$5:$B$1517,"&lt;"&amp;B847)+COUNTIFS($N$5:$N$1517,N847,$B$5:$B$1517,B847,$C$5:$C$1517,"&lt;"&amp;C847),"")</f>
        <v/>
      </c>
      <c r="T847" s="8" t="n">
        <f aca="false">IF(O847&gt;=Models!$G$8,1+COUNTIF($O$5:$O$1517,"&gt;"&amp;O847)+COUNTIFS($O$5:$O$1517,O847,$B$5:$B$1517,"&lt;"&amp;B847)+COUNTIFS($O$5:$O$1517,O847,$B$5:$B$1517,B847,$C$5:$C$1517,"&lt;"&amp;C847),"")</f>
        <v>431</v>
      </c>
      <c r="U847" s="8" t="n">
        <f aca="false">IF($K847=1,COUNTIFS($L$5:$L$1517,"&gt;="&amp;L847,$K$5:$K$1517,1)/COUNTIF($L$5:$L$1517,"&gt;="&amp;L847),0)</f>
        <v>0</v>
      </c>
      <c r="V847" s="8" t="n">
        <f aca="false">IF($K847=1,COUNTIFS($M$5:$M$1517,"&gt;="&amp;M847,$K$5:$K$1517,1)/COUNTIF($M$5:$M$1517,"&gt;="&amp;M847),0)</f>
        <v>0</v>
      </c>
      <c r="W847" s="8" t="n">
        <f aca="false">IF($K847=1,COUNTIFS($N$5:$N$1517,"&gt;="&amp;N847,$K$5:$K$1517,1)/COUNTIF($N$5:$N$1517,"&gt;="&amp;N847),0)</f>
        <v>0</v>
      </c>
      <c r="X847" s="8" t="n">
        <f aca="false">IF($K847=1,COUNTIFS($O$5:$O$1517,"&gt;="&amp;O847,$K$5:$K$1517,1)/COUNTIF($O$5:$O$1517,"&gt;="&amp;O847),0)</f>
        <v>0</v>
      </c>
      <c r="Y847" s="8" t="n">
        <f aca="false">IF($K847=1,COUNTIFS($P$5:$P$1517,"&gt;="&amp;P847,$K$5:$K$1517,1)/COUNTIF($P$5:$P$1517,"&gt;="&amp;P847),0)</f>
        <v>0</v>
      </c>
      <c r="Z847" s="8" t="n">
        <f aca="false">(L847-$K847)^2</f>
        <v>0.000535691025</v>
      </c>
      <c r="AA847" s="8" t="n">
        <f aca="false">(M847-$K847)^2</f>
        <v>0.008475595969</v>
      </c>
      <c r="AB847" s="8" t="n">
        <f aca="false">(N847-$K847)^2</f>
        <v>0.005333234841</v>
      </c>
      <c r="AC847" s="8" t="n">
        <f aca="false">(O847-$K847)^2</f>
        <v>0.011274829489</v>
      </c>
      <c r="AD847" s="8" t="n">
        <f aca="false">(P847-$K847)^2</f>
        <v>0.005829475201</v>
      </c>
      <c r="AE847" s="8" t="n">
        <f aca="false">MIN(INT(ROUND(N847*1000000,0)/100000),9)</f>
        <v>0</v>
      </c>
      <c r="AF847" s="8" t="n">
        <f aca="false">MIN(INT(ROUND(P847*1000000,0)/100000),9)</f>
        <v>0</v>
      </c>
    </row>
    <row r="848" customFormat="false" ht="15" hidden="false" customHeight="false" outlineLevel="0" collapsed="false">
      <c r="A848" s="4" t="n">
        <v>844</v>
      </c>
      <c r="B848" s="4" t="n">
        <v>575</v>
      </c>
      <c r="C848" s="4" t="n">
        <v>2</v>
      </c>
      <c r="D848" s="11" t="n">
        <v>46113</v>
      </c>
      <c r="E848" s="4" t="s">
        <v>203</v>
      </c>
      <c r="F848" s="4" t="s">
        <v>208</v>
      </c>
      <c r="G848" s="4" t="n">
        <v>6</v>
      </c>
      <c r="H848" s="4" t="n">
        <v>2</v>
      </c>
      <c r="I848" s="4" t="n">
        <v>0</v>
      </c>
      <c r="J848" s="4" t="n">
        <v>354</v>
      </c>
      <c r="K848" s="4" t="n">
        <v>1</v>
      </c>
      <c r="L848" s="12" t="n">
        <v>0.832053</v>
      </c>
      <c r="M848" s="12" t="n">
        <v>0.092063</v>
      </c>
      <c r="N848" s="12" t="n">
        <v>0.099734</v>
      </c>
      <c r="O848" s="12" t="n">
        <v>0.106183</v>
      </c>
      <c r="P848" s="12" t="n">
        <v>0.105657</v>
      </c>
      <c r="Q848" s="0" t="str">
        <f aca="false">IF(L848&gt;=Models!$G$5,1+COUNTIF($L$5:$L$1517,"&gt;"&amp;L848)+COUNTIFS($L$5:$L$1517,L848,$B$5:$B$1517,"&lt;"&amp;B848)+COUNTIFS($L$5:$L$1517,L848,$B$5:$B$1517,B848,$C$5:$C$1517,"&lt;"&amp;C848),"")</f>
        <v/>
      </c>
      <c r="R848" s="0" t="str">
        <f aca="false">IF(M848&gt;=Models!$G$6,1+COUNTIF($M$5:$M$1517,"&gt;"&amp;M848)+COUNTIFS($M$5:$M$1517,M848,$B$5:$B$1517,"&lt;"&amp;B848)+COUNTIFS($M$5:$M$1517,M848,$B$5:$B$1517,B848,$C$5:$C$1517,"&lt;"&amp;C848),"")</f>
        <v/>
      </c>
      <c r="S848" s="0" t="str">
        <f aca="false">IF(N848&gt;=Models!$G$7,1+COUNTIF($N$5:$N$1517,"&gt;"&amp;N848)+COUNTIFS($N$5:$N$1517,N848,$B$5:$B$1517,"&lt;"&amp;B848)+COUNTIFS($N$5:$N$1517,N848,$B$5:$B$1517,B848,$C$5:$C$1517,"&lt;"&amp;C848),"")</f>
        <v/>
      </c>
      <c r="T848" s="8" t="n">
        <f aca="false">IF(O848&gt;=Models!$G$8,1+COUNTIF($O$5:$O$1517,"&gt;"&amp;O848)+COUNTIFS($O$5:$O$1517,O848,$B$5:$B$1517,"&lt;"&amp;B848)+COUNTIFS($O$5:$O$1517,O848,$B$5:$B$1517,B848,$C$5:$C$1517,"&lt;"&amp;C848),"")</f>
        <v>435</v>
      </c>
      <c r="U848" s="8" t="n">
        <f aca="false">IF($K848=1,COUNTIFS($L$5:$L$1517,"&gt;="&amp;L848,$K$5:$K$1517,1)/COUNTIF($L$5:$L$1517,"&gt;="&amp;L848),0)</f>
        <v>0.136929460580913</v>
      </c>
      <c r="V848" s="8" t="n">
        <f aca="false">IF($K848=1,COUNTIFS($M$5:$M$1517,"&gt;="&amp;M848,$K$5:$K$1517,1)/COUNTIF($M$5:$M$1517,"&gt;="&amp;M848),0)</f>
        <v>0.12491738268341</v>
      </c>
      <c r="W848" s="8" t="n">
        <f aca="false">IF($K848=1,COUNTIFS($N$5:$N$1517,"&gt;="&amp;N848,$K$5:$K$1517,1)/COUNTIF($N$5:$N$1517,"&gt;="&amp;N848),0)</f>
        <v>0.190883190883191</v>
      </c>
      <c r="X848" s="8" t="n">
        <f aca="false">IF($K848=1,COUNTIFS($O$5:$O$1517,"&gt;="&amp;O848,$K$5:$K$1517,1)/COUNTIF($O$5:$O$1517,"&gt;="&amp;O848),0)</f>
        <v>0.12491738268341</v>
      </c>
      <c r="Y848" s="8" t="n">
        <f aca="false">IF($K848=1,COUNTIFS($P$5:$P$1517,"&gt;="&amp;P848,$K$5:$K$1517,1)/COUNTIF($P$5:$P$1517,"&gt;="&amp;P848),0)</f>
        <v>0.190883190883191</v>
      </c>
      <c r="Z848" s="8" t="n">
        <f aca="false">(L848-$K848)^2</f>
        <v>0.028206194809</v>
      </c>
      <c r="AA848" s="8" t="n">
        <f aca="false">(M848-$K848)^2</f>
        <v>0.824349595969</v>
      </c>
      <c r="AB848" s="8" t="n">
        <f aca="false">(N848-$K848)^2</f>
        <v>0.810478870756</v>
      </c>
      <c r="AC848" s="8" t="n">
        <f aca="false">(O848-$K848)^2</f>
        <v>0.798908829489</v>
      </c>
      <c r="AD848" s="8" t="n">
        <f aca="false">(P848-$K848)^2</f>
        <v>0.799849401649</v>
      </c>
      <c r="AE848" s="8" t="n">
        <f aca="false">MIN(INT(ROUND(N848*1000000,0)/100000),9)</f>
        <v>0</v>
      </c>
      <c r="AF848" s="8" t="n">
        <f aca="false">MIN(INT(ROUND(P848*1000000,0)/100000),9)</f>
        <v>1</v>
      </c>
    </row>
    <row r="849" customFormat="false" ht="15" hidden="false" customHeight="false" outlineLevel="0" collapsed="false">
      <c r="A849" s="4" t="n">
        <v>845</v>
      </c>
      <c r="B849" s="4" t="n">
        <v>577</v>
      </c>
      <c r="C849" s="4" t="n">
        <v>2</v>
      </c>
      <c r="D849" s="11" t="n">
        <v>46113</v>
      </c>
      <c r="E849" s="4" t="s">
        <v>203</v>
      </c>
      <c r="F849" s="4" t="s">
        <v>206</v>
      </c>
      <c r="G849" s="4" t="n">
        <v>7</v>
      </c>
      <c r="H849" s="4" t="n">
        <v>2</v>
      </c>
      <c r="I849" s="4" t="n">
        <v>0</v>
      </c>
      <c r="J849" s="4" t="n">
        <v>441</v>
      </c>
      <c r="K849" s="4" t="n">
        <v>0</v>
      </c>
      <c r="L849" s="12" t="n">
        <v>0.040023</v>
      </c>
      <c r="M849" s="12" t="n">
        <v>0.092063</v>
      </c>
      <c r="N849" s="12" t="n">
        <v>0.09152</v>
      </c>
      <c r="O849" s="12" t="n">
        <v>0.106183</v>
      </c>
      <c r="P849" s="12" t="n">
        <v>0.096612</v>
      </c>
      <c r="Q849" s="0" t="str">
        <f aca="false">IF(L849&gt;=Models!$G$5,1+COUNTIF($L$5:$L$1517,"&gt;"&amp;L849)+COUNTIFS($L$5:$L$1517,L849,$B$5:$B$1517,"&lt;"&amp;B849)+COUNTIFS($L$5:$L$1517,L849,$B$5:$B$1517,B849,$C$5:$C$1517,"&lt;"&amp;C849),"")</f>
        <v/>
      </c>
      <c r="R849" s="0" t="str">
        <f aca="false">IF(M849&gt;=Models!$G$6,1+COUNTIF($M$5:$M$1517,"&gt;"&amp;M849)+COUNTIFS($M$5:$M$1517,M849,$B$5:$B$1517,"&lt;"&amp;B849)+COUNTIFS($M$5:$M$1517,M849,$B$5:$B$1517,B849,$C$5:$C$1517,"&lt;"&amp;C849),"")</f>
        <v/>
      </c>
      <c r="S849" s="0" t="str">
        <f aca="false">IF(N849&gt;=Models!$G$7,1+COUNTIF($N$5:$N$1517,"&gt;"&amp;N849)+COUNTIFS($N$5:$N$1517,N849,$B$5:$B$1517,"&lt;"&amp;B849)+COUNTIFS($N$5:$N$1517,N849,$B$5:$B$1517,B849,$C$5:$C$1517,"&lt;"&amp;C849),"")</f>
        <v/>
      </c>
      <c r="T849" s="8" t="n">
        <f aca="false">IF(O849&gt;=Models!$G$8,1+COUNTIF($O$5:$O$1517,"&gt;"&amp;O849)+COUNTIFS($O$5:$O$1517,O849,$B$5:$B$1517,"&lt;"&amp;B849)+COUNTIFS($O$5:$O$1517,O849,$B$5:$B$1517,B849,$C$5:$C$1517,"&lt;"&amp;C849),"")</f>
        <v>439</v>
      </c>
      <c r="U849" s="8" t="n">
        <f aca="false">IF($K849=1,COUNTIFS($L$5:$L$1517,"&gt;="&amp;L849,$K$5:$K$1517,1)/COUNTIF($L$5:$L$1517,"&gt;="&amp;L849),0)</f>
        <v>0</v>
      </c>
      <c r="V849" s="8" t="n">
        <f aca="false">IF($K849=1,COUNTIFS($M$5:$M$1517,"&gt;="&amp;M849,$K$5:$K$1517,1)/COUNTIF($M$5:$M$1517,"&gt;="&amp;M849),0)</f>
        <v>0</v>
      </c>
      <c r="W849" s="8" t="n">
        <f aca="false">IF($K849=1,COUNTIFS($N$5:$N$1517,"&gt;="&amp;N849,$K$5:$K$1517,1)/COUNTIF($N$5:$N$1517,"&gt;="&amp;N849),0)</f>
        <v>0</v>
      </c>
      <c r="X849" s="8" t="n">
        <f aca="false">IF($K849=1,COUNTIFS($O$5:$O$1517,"&gt;="&amp;O849,$K$5:$K$1517,1)/COUNTIF($O$5:$O$1517,"&gt;="&amp;O849),0)</f>
        <v>0</v>
      </c>
      <c r="Y849" s="8" t="n">
        <f aca="false">IF($K849=1,COUNTIFS($P$5:$P$1517,"&gt;="&amp;P849,$K$5:$K$1517,1)/COUNTIF($P$5:$P$1517,"&gt;="&amp;P849),0)</f>
        <v>0</v>
      </c>
      <c r="Z849" s="8" t="n">
        <f aca="false">(L849-$K849)^2</f>
        <v>0.001601840529</v>
      </c>
      <c r="AA849" s="8" t="n">
        <f aca="false">(M849-$K849)^2</f>
        <v>0.008475595969</v>
      </c>
      <c r="AB849" s="8" t="n">
        <f aca="false">(N849-$K849)^2</f>
        <v>0.0083759104</v>
      </c>
      <c r="AC849" s="8" t="n">
        <f aca="false">(O849-$K849)^2</f>
        <v>0.011274829489</v>
      </c>
      <c r="AD849" s="8" t="n">
        <f aca="false">(P849-$K849)^2</f>
        <v>0.009333878544</v>
      </c>
      <c r="AE849" s="8" t="n">
        <f aca="false">MIN(INT(ROUND(N849*1000000,0)/100000),9)</f>
        <v>0</v>
      </c>
      <c r="AF849" s="8" t="n">
        <f aca="false">MIN(INT(ROUND(P849*1000000,0)/100000),9)</f>
        <v>0</v>
      </c>
    </row>
    <row r="850" customFormat="false" ht="15" hidden="false" customHeight="false" outlineLevel="0" collapsed="false">
      <c r="A850" s="4" t="n">
        <v>846</v>
      </c>
      <c r="B850" s="4" t="n">
        <v>586</v>
      </c>
      <c r="C850" s="4" t="n">
        <v>2</v>
      </c>
      <c r="D850" s="11" t="n">
        <v>46113</v>
      </c>
      <c r="E850" s="4" t="s">
        <v>202</v>
      </c>
      <c r="F850" s="4" t="s">
        <v>206</v>
      </c>
      <c r="G850" s="4" t="n">
        <v>11</v>
      </c>
      <c r="H850" s="4" t="n">
        <v>5</v>
      </c>
      <c r="I850" s="4" t="n">
        <v>0</v>
      </c>
      <c r="J850" s="4"/>
      <c r="K850" s="4" t="n">
        <v>0</v>
      </c>
      <c r="L850" s="12" t="n">
        <v>0.226589</v>
      </c>
      <c r="M850" s="12" t="n">
        <v>0.092063</v>
      </c>
      <c r="N850" s="12" t="n">
        <v>0.033512</v>
      </c>
      <c r="O850" s="12" t="n">
        <v>0.106183</v>
      </c>
      <c r="P850" s="12" t="n">
        <v>0.033806</v>
      </c>
      <c r="Q850" s="0" t="str">
        <f aca="false">IF(L850&gt;=Models!$G$5,1+COUNTIF($L$5:$L$1517,"&gt;"&amp;L850)+COUNTIFS($L$5:$L$1517,L850,$B$5:$B$1517,"&lt;"&amp;B850)+COUNTIFS($L$5:$L$1517,L850,$B$5:$B$1517,B850,$C$5:$C$1517,"&lt;"&amp;C850),"")</f>
        <v/>
      </c>
      <c r="R850" s="0" t="str">
        <f aca="false">IF(M850&gt;=Models!$G$6,1+COUNTIF($M$5:$M$1517,"&gt;"&amp;M850)+COUNTIFS($M$5:$M$1517,M850,$B$5:$B$1517,"&lt;"&amp;B850)+COUNTIFS($M$5:$M$1517,M850,$B$5:$B$1517,B850,$C$5:$C$1517,"&lt;"&amp;C850),"")</f>
        <v/>
      </c>
      <c r="S850" s="0" t="str">
        <f aca="false">IF(N850&gt;=Models!$G$7,1+COUNTIF($N$5:$N$1517,"&gt;"&amp;N850)+COUNTIFS($N$5:$N$1517,N850,$B$5:$B$1517,"&lt;"&amp;B850)+COUNTIFS($N$5:$N$1517,N850,$B$5:$B$1517,B850,$C$5:$C$1517,"&lt;"&amp;C850),"")</f>
        <v/>
      </c>
      <c r="T850" s="8" t="n">
        <f aca="false">IF(O850&gt;=Models!$G$8,1+COUNTIF($O$5:$O$1517,"&gt;"&amp;O850)+COUNTIFS($O$5:$O$1517,O850,$B$5:$B$1517,"&lt;"&amp;B850)+COUNTIFS($O$5:$O$1517,O850,$B$5:$B$1517,B850,$C$5:$C$1517,"&lt;"&amp;C850),"")</f>
        <v>443</v>
      </c>
      <c r="U850" s="8" t="n">
        <f aca="false">IF($K850=1,COUNTIFS($L$5:$L$1517,"&gt;="&amp;L850,$K$5:$K$1517,1)/COUNTIF($L$5:$L$1517,"&gt;="&amp;L850),0)</f>
        <v>0</v>
      </c>
      <c r="V850" s="8" t="n">
        <f aca="false">IF($K850=1,COUNTIFS($M$5:$M$1517,"&gt;="&amp;M850,$K$5:$K$1517,1)/COUNTIF($M$5:$M$1517,"&gt;="&amp;M850),0)</f>
        <v>0</v>
      </c>
      <c r="W850" s="8" t="n">
        <f aca="false">IF($K850=1,COUNTIFS($N$5:$N$1517,"&gt;="&amp;N850,$K$5:$K$1517,1)/COUNTIF($N$5:$N$1517,"&gt;="&amp;N850),0)</f>
        <v>0</v>
      </c>
      <c r="X850" s="8" t="n">
        <f aca="false">IF($K850=1,COUNTIFS($O$5:$O$1517,"&gt;="&amp;O850,$K$5:$K$1517,1)/COUNTIF($O$5:$O$1517,"&gt;="&amp;O850),0)</f>
        <v>0</v>
      </c>
      <c r="Y850" s="8" t="n">
        <f aca="false">IF($K850=1,COUNTIFS($P$5:$P$1517,"&gt;="&amp;P850,$K$5:$K$1517,1)/COUNTIF($P$5:$P$1517,"&gt;="&amp;P850),0)</f>
        <v>0</v>
      </c>
      <c r="Z850" s="8" t="n">
        <f aca="false">(L850-$K850)^2</f>
        <v>0.051342574921</v>
      </c>
      <c r="AA850" s="8" t="n">
        <f aca="false">(M850-$K850)^2</f>
        <v>0.008475595969</v>
      </c>
      <c r="AB850" s="8" t="n">
        <f aca="false">(N850-$K850)^2</f>
        <v>0.001123054144</v>
      </c>
      <c r="AC850" s="8" t="n">
        <f aca="false">(O850-$K850)^2</f>
        <v>0.011274829489</v>
      </c>
      <c r="AD850" s="8" t="n">
        <f aca="false">(P850-$K850)^2</f>
        <v>0.001142845636</v>
      </c>
      <c r="AE850" s="8" t="n">
        <f aca="false">MIN(INT(ROUND(N850*1000000,0)/100000),9)</f>
        <v>0</v>
      </c>
      <c r="AF850" s="8" t="n">
        <f aca="false">MIN(INT(ROUND(P850*1000000,0)/100000),9)</f>
        <v>0</v>
      </c>
    </row>
    <row r="851" customFormat="false" ht="15" hidden="false" customHeight="false" outlineLevel="0" collapsed="false">
      <c r="A851" s="4" t="n">
        <v>847</v>
      </c>
      <c r="B851" s="4" t="n">
        <v>591</v>
      </c>
      <c r="C851" s="4" t="n">
        <v>2</v>
      </c>
      <c r="D851" s="11" t="n">
        <v>46113</v>
      </c>
      <c r="E851" s="4" t="s">
        <v>204</v>
      </c>
      <c r="F851" s="4" t="s">
        <v>210</v>
      </c>
      <c r="G851" s="4" t="n">
        <v>2</v>
      </c>
      <c r="H851" s="4" t="n">
        <v>6</v>
      </c>
      <c r="I851" s="4" t="n">
        <v>0</v>
      </c>
      <c r="J851" s="4"/>
      <c r="K851" s="4" t="n">
        <v>0</v>
      </c>
      <c r="L851" s="12" t="n">
        <v>0.462086</v>
      </c>
      <c r="M851" s="12" t="n">
        <v>0.092063</v>
      </c>
      <c r="N851" s="12" t="n">
        <v>0.072856</v>
      </c>
      <c r="O851" s="12" t="n">
        <v>0.106183</v>
      </c>
      <c r="P851" s="12" t="n">
        <v>0.076162</v>
      </c>
      <c r="Q851" s="0" t="str">
        <f aca="false">IF(L851&gt;=Models!$G$5,1+COUNTIF($L$5:$L$1517,"&gt;"&amp;L851)+COUNTIFS($L$5:$L$1517,L851,$B$5:$B$1517,"&lt;"&amp;B851)+COUNTIFS($L$5:$L$1517,L851,$B$5:$B$1517,B851,$C$5:$C$1517,"&lt;"&amp;C851),"")</f>
        <v/>
      </c>
      <c r="R851" s="0" t="str">
        <f aca="false">IF(M851&gt;=Models!$G$6,1+COUNTIF($M$5:$M$1517,"&gt;"&amp;M851)+COUNTIFS($M$5:$M$1517,M851,$B$5:$B$1517,"&lt;"&amp;B851)+COUNTIFS($M$5:$M$1517,M851,$B$5:$B$1517,B851,$C$5:$C$1517,"&lt;"&amp;C851),"")</f>
        <v/>
      </c>
      <c r="S851" s="0" t="str">
        <f aca="false">IF(N851&gt;=Models!$G$7,1+COUNTIF($N$5:$N$1517,"&gt;"&amp;N851)+COUNTIFS($N$5:$N$1517,N851,$B$5:$B$1517,"&lt;"&amp;B851)+COUNTIFS($N$5:$N$1517,N851,$B$5:$B$1517,B851,$C$5:$C$1517,"&lt;"&amp;C851),"")</f>
        <v/>
      </c>
      <c r="T851" s="8" t="n">
        <f aca="false">IF(O851&gt;=Models!$G$8,1+COUNTIF($O$5:$O$1517,"&gt;"&amp;O851)+COUNTIFS($O$5:$O$1517,O851,$B$5:$B$1517,"&lt;"&amp;B851)+COUNTIFS($O$5:$O$1517,O851,$B$5:$B$1517,B851,$C$5:$C$1517,"&lt;"&amp;C851),"")</f>
        <v>447</v>
      </c>
      <c r="U851" s="8" t="n">
        <f aca="false">IF($K851=1,COUNTIFS($L$5:$L$1517,"&gt;="&amp;L851,$K$5:$K$1517,1)/COUNTIF($L$5:$L$1517,"&gt;="&amp;L851),0)</f>
        <v>0</v>
      </c>
      <c r="V851" s="8" t="n">
        <f aca="false">IF($K851=1,COUNTIFS($M$5:$M$1517,"&gt;="&amp;M851,$K$5:$K$1517,1)/COUNTIF($M$5:$M$1517,"&gt;="&amp;M851),0)</f>
        <v>0</v>
      </c>
      <c r="W851" s="8" t="n">
        <f aca="false">IF($K851=1,COUNTIFS($N$5:$N$1517,"&gt;="&amp;N851,$K$5:$K$1517,1)/COUNTIF($N$5:$N$1517,"&gt;="&amp;N851),0)</f>
        <v>0</v>
      </c>
      <c r="X851" s="8" t="n">
        <f aca="false">IF($K851=1,COUNTIFS($O$5:$O$1517,"&gt;="&amp;O851,$K$5:$K$1517,1)/COUNTIF($O$5:$O$1517,"&gt;="&amp;O851),0)</f>
        <v>0</v>
      </c>
      <c r="Y851" s="8" t="n">
        <f aca="false">IF($K851=1,COUNTIFS($P$5:$P$1517,"&gt;="&amp;P851,$K$5:$K$1517,1)/COUNTIF($P$5:$P$1517,"&gt;="&amp;P851),0)</f>
        <v>0</v>
      </c>
      <c r="Z851" s="8" t="n">
        <f aca="false">(L851-$K851)^2</f>
        <v>0.213523471396</v>
      </c>
      <c r="AA851" s="8" t="n">
        <f aca="false">(M851-$K851)^2</f>
        <v>0.008475595969</v>
      </c>
      <c r="AB851" s="8" t="n">
        <f aca="false">(N851-$K851)^2</f>
        <v>0.005307996736</v>
      </c>
      <c r="AC851" s="8" t="n">
        <f aca="false">(O851-$K851)^2</f>
        <v>0.011274829489</v>
      </c>
      <c r="AD851" s="8" t="n">
        <f aca="false">(P851-$K851)^2</f>
        <v>0.005800650244</v>
      </c>
      <c r="AE851" s="8" t="n">
        <f aca="false">MIN(INT(ROUND(N851*1000000,0)/100000),9)</f>
        <v>0</v>
      </c>
      <c r="AF851" s="8" t="n">
        <f aca="false">MIN(INT(ROUND(P851*1000000,0)/100000),9)</f>
        <v>0</v>
      </c>
    </row>
    <row r="852" customFormat="false" ht="15" hidden="false" customHeight="false" outlineLevel="0" collapsed="false">
      <c r="A852" s="4" t="n">
        <v>848</v>
      </c>
      <c r="B852" s="4" t="n">
        <v>596</v>
      </c>
      <c r="C852" s="4" t="n">
        <v>2</v>
      </c>
      <c r="D852" s="11" t="n">
        <v>46113</v>
      </c>
      <c r="E852" s="4" t="s">
        <v>202</v>
      </c>
      <c r="F852" s="4" t="s">
        <v>208</v>
      </c>
      <c r="G852" s="4" t="n">
        <v>11</v>
      </c>
      <c r="H852" s="4" t="n">
        <v>1</v>
      </c>
      <c r="I852" s="4" t="n">
        <v>0</v>
      </c>
      <c r="J852" s="4"/>
      <c r="K852" s="4" t="n">
        <v>0</v>
      </c>
      <c r="L852" s="12" t="n">
        <v>0.827153</v>
      </c>
      <c r="M852" s="12" t="n">
        <v>0.092063</v>
      </c>
      <c r="N852" s="12" t="n">
        <v>0.032466</v>
      </c>
      <c r="O852" s="12" t="n">
        <v>0.106183</v>
      </c>
      <c r="P852" s="12" t="n">
        <v>0.032702</v>
      </c>
      <c r="Q852" s="0" t="str">
        <f aca="false">IF(L852&gt;=Models!$G$5,1+COUNTIF($L$5:$L$1517,"&gt;"&amp;L852)+COUNTIFS($L$5:$L$1517,L852,$B$5:$B$1517,"&lt;"&amp;B852)+COUNTIFS($L$5:$L$1517,L852,$B$5:$B$1517,B852,$C$5:$C$1517,"&lt;"&amp;C852),"")</f>
        <v/>
      </c>
      <c r="R852" s="0" t="str">
        <f aca="false">IF(M852&gt;=Models!$G$6,1+COUNTIF($M$5:$M$1517,"&gt;"&amp;M852)+COUNTIFS($M$5:$M$1517,M852,$B$5:$B$1517,"&lt;"&amp;B852)+COUNTIFS($M$5:$M$1517,M852,$B$5:$B$1517,B852,$C$5:$C$1517,"&lt;"&amp;C852),"")</f>
        <v/>
      </c>
      <c r="S852" s="0" t="str">
        <f aca="false">IF(N852&gt;=Models!$G$7,1+COUNTIF($N$5:$N$1517,"&gt;"&amp;N852)+COUNTIFS($N$5:$N$1517,N852,$B$5:$B$1517,"&lt;"&amp;B852)+COUNTIFS($N$5:$N$1517,N852,$B$5:$B$1517,B852,$C$5:$C$1517,"&lt;"&amp;C852),"")</f>
        <v/>
      </c>
      <c r="T852" s="8" t="n">
        <f aca="false">IF(O852&gt;=Models!$G$8,1+COUNTIF($O$5:$O$1517,"&gt;"&amp;O852)+COUNTIFS($O$5:$O$1517,O852,$B$5:$B$1517,"&lt;"&amp;B852)+COUNTIFS($O$5:$O$1517,O852,$B$5:$B$1517,B852,$C$5:$C$1517,"&lt;"&amp;C852),"")</f>
        <v>451</v>
      </c>
      <c r="U852" s="8" t="n">
        <f aca="false">IF($K852=1,COUNTIFS($L$5:$L$1517,"&gt;="&amp;L852,$K$5:$K$1517,1)/COUNTIF($L$5:$L$1517,"&gt;="&amp;L852),0)</f>
        <v>0</v>
      </c>
      <c r="V852" s="8" t="n">
        <f aca="false">IF($K852=1,COUNTIFS($M$5:$M$1517,"&gt;="&amp;M852,$K$5:$K$1517,1)/COUNTIF($M$5:$M$1517,"&gt;="&amp;M852),0)</f>
        <v>0</v>
      </c>
      <c r="W852" s="8" t="n">
        <f aca="false">IF($K852=1,COUNTIFS($N$5:$N$1517,"&gt;="&amp;N852,$K$5:$K$1517,1)/COUNTIF($N$5:$N$1517,"&gt;="&amp;N852),0)</f>
        <v>0</v>
      </c>
      <c r="X852" s="8" t="n">
        <f aca="false">IF($K852=1,COUNTIFS($O$5:$O$1517,"&gt;="&amp;O852,$K$5:$K$1517,1)/COUNTIF($O$5:$O$1517,"&gt;="&amp;O852),0)</f>
        <v>0</v>
      </c>
      <c r="Y852" s="8" t="n">
        <f aca="false">IF($K852=1,COUNTIFS($P$5:$P$1517,"&gt;="&amp;P852,$K$5:$K$1517,1)/COUNTIF($P$5:$P$1517,"&gt;="&amp;P852),0)</f>
        <v>0</v>
      </c>
      <c r="Z852" s="8" t="n">
        <f aca="false">(L852-$K852)^2</f>
        <v>0.684182085409</v>
      </c>
      <c r="AA852" s="8" t="n">
        <f aca="false">(M852-$K852)^2</f>
        <v>0.008475595969</v>
      </c>
      <c r="AB852" s="8" t="n">
        <f aca="false">(N852-$K852)^2</f>
        <v>0.001054041156</v>
      </c>
      <c r="AC852" s="8" t="n">
        <f aca="false">(O852-$K852)^2</f>
        <v>0.011274829489</v>
      </c>
      <c r="AD852" s="8" t="n">
        <f aca="false">(P852-$K852)^2</f>
        <v>0.001069420804</v>
      </c>
      <c r="AE852" s="8" t="n">
        <f aca="false">MIN(INT(ROUND(N852*1000000,0)/100000),9)</f>
        <v>0</v>
      </c>
      <c r="AF852" s="8" t="n">
        <f aca="false">MIN(INT(ROUND(P852*1000000,0)/100000),9)</f>
        <v>0</v>
      </c>
    </row>
    <row r="853" customFormat="false" ht="15" hidden="false" customHeight="false" outlineLevel="0" collapsed="false">
      <c r="A853" s="4" t="n">
        <v>849</v>
      </c>
      <c r="B853" s="4" t="n">
        <v>604</v>
      </c>
      <c r="C853" s="4" t="n">
        <v>2</v>
      </c>
      <c r="D853" s="11" t="n">
        <v>46113</v>
      </c>
      <c r="E853" s="4" t="s">
        <v>202</v>
      </c>
      <c r="F853" s="4" t="s">
        <v>208</v>
      </c>
      <c r="G853" s="4" t="n">
        <v>5</v>
      </c>
      <c r="H853" s="4" t="n">
        <v>1</v>
      </c>
      <c r="I853" s="4" t="n">
        <v>0</v>
      </c>
      <c r="J853" s="4"/>
      <c r="K853" s="4" t="n">
        <v>1</v>
      </c>
      <c r="L853" s="12" t="n">
        <v>0.971858</v>
      </c>
      <c r="M853" s="12" t="n">
        <v>0.092063</v>
      </c>
      <c r="N853" s="12" t="n">
        <v>0.054445</v>
      </c>
      <c r="O853" s="12" t="n">
        <v>0.106183</v>
      </c>
      <c r="P853" s="12" t="n">
        <v>0.056178</v>
      </c>
      <c r="Q853" s="0" t="str">
        <f aca="false">IF(L853&gt;=Models!$G$5,1+COUNTIF($L$5:$L$1517,"&gt;"&amp;L853)+COUNTIFS($L$5:$L$1517,L853,$B$5:$B$1517,"&lt;"&amp;B853)+COUNTIFS($L$5:$L$1517,L853,$B$5:$B$1517,B853,$C$5:$C$1517,"&lt;"&amp;C853),"")</f>
        <v/>
      </c>
      <c r="R853" s="0" t="str">
        <f aca="false">IF(M853&gt;=Models!$G$6,1+COUNTIF($M$5:$M$1517,"&gt;"&amp;M853)+COUNTIFS($M$5:$M$1517,M853,$B$5:$B$1517,"&lt;"&amp;B853)+COUNTIFS($M$5:$M$1517,M853,$B$5:$B$1517,B853,$C$5:$C$1517,"&lt;"&amp;C853),"")</f>
        <v/>
      </c>
      <c r="S853" s="0" t="str">
        <f aca="false">IF(N853&gt;=Models!$G$7,1+COUNTIF($N$5:$N$1517,"&gt;"&amp;N853)+COUNTIFS($N$5:$N$1517,N853,$B$5:$B$1517,"&lt;"&amp;B853)+COUNTIFS($N$5:$N$1517,N853,$B$5:$B$1517,B853,$C$5:$C$1517,"&lt;"&amp;C853),"")</f>
        <v/>
      </c>
      <c r="T853" s="8" t="n">
        <f aca="false">IF(O853&gt;=Models!$G$8,1+COUNTIF($O$5:$O$1517,"&gt;"&amp;O853)+COUNTIFS($O$5:$O$1517,O853,$B$5:$B$1517,"&lt;"&amp;B853)+COUNTIFS($O$5:$O$1517,O853,$B$5:$B$1517,B853,$C$5:$C$1517,"&lt;"&amp;C853),"")</f>
        <v>455</v>
      </c>
      <c r="U853" s="8" t="n">
        <f aca="false">IF($K853=1,COUNTIFS($L$5:$L$1517,"&gt;="&amp;L853,$K$5:$K$1517,1)/COUNTIF($L$5:$L$1517,"&gt;="&amp;L853),0)</f>
        <v>0.0930232558139535</v>
      </c>
      <c r="V853" s="8" t="n">
        <f aca="false">IF($K853=1,COUNTIFS($M$5:$M$1517,"&gt;="&amp;M853,$K$5:$K$1517,1)/COUNTIF($M$5:$M$1517,"&gt;="&amp;M853),0)</f>
        <v>0.12491738268341</v>
      </c>
      <c r="W853" s="8" t="n">
        <f aca="false">IF($K853=1,COUNTIFS($N$5:$N$1517,"&gt;="&amp;N853,$K$5:$K$1517,1)/COUNTIF($N$5:$N$1517,"&gt;="&amp;N853),0)</f>
        <v>0.155066079295154</v>
      </c>
      <c r="X853" s="8" t="n">
        <f aca="false">IF($K853=1,COUNTIFS($O$5:$O$1517,"&gt;="&amp;O853,$K$5:$K$1517,1)/COUNTIF($O$5:$O$1517,"&gt;="&amp;O853),0)</f>
        <v>0.12491738268341</v>
      </c>
      <c r="Y853" s="8" t="n">
        <f aca="false">IF($K853=1,COUNTIFS($P$5:$P$1517,"&gt;="&amp;P853,$K$5:$K$1517,1)/COUNTIF($P$5:$P$1517,"&gt;="&amp;P853),0)</f>
        <v>0.155066079295154</v>
      </c>
      <c r="Z853" s="8" t="n">
        <f aca="false">(L853-$K853)^2</f>
        <v>0.000791972164</v>
      </c>
      <c r="AA853" s="8" t="n">
        <f aca="false">(M853-$K853)^2</f>
        <v>0.824349595969</v>
      </c>
      <c r="AB853" s="8" t="n">
        <f aca="false">(N853-$K853)^2</f>
        <v>0.894074258025</v>
      </c>
      <c r="AC853" s="8" t="n">
        <f aca="false">(O853-$K853)^2</f>
        <v>0.798908829489</v>
      </c>
      <c r="AD853" s="8" t="n">
        <f aca="false">(P853-$K853)^2</f>
        <v>0.890799967684</v>
      </c>
      <c r="AE853" s="8" t="n">
        <f aca="false">MIN(INT(ROUND(N853*1000000,0)/100000),9)</f>
        <v>0</v>
      </c>
      <c r="AF853" s="8" t="n">
        <f aca="false">MIN(INT(ROUND(P853*1000000,0)/100000),9)</f>
        <v>0</v>
      </c>
    </row>
    <row r="854" customFormat="false" ht="15" hidden="false" customHeight="false" outlineLevel="0" collapsed="false">
      <c r="A854" s="4" t="n">
        <v>850</v>
      </c>
      <c r="B854" s="4" t="n">
        <v>607</v>
      </c>
      <c r="C854" s="4" t="n">
        <v>2</v>
      </c>
      <c r="D854" s="11" t="n">
        <v>46113</v>
      </c>
      <c r="E854" s="4" t="s">
        <v>201</v>
      </c>
      <c r="F854" s="4" t="s">
        <v>210</v>
      </c>
      <c r="G854" s="4" t="n">
        <v>14</v>
      </c>
      <c r="H854" s="4" t="n">
        <v>1</v>
      </c>
      <c r="I854" s="4" t="n">
        <v>0</v>
      </c>
      <c r="J854" s="4"/>
      <c r="K854" s="4" t="n">
        <v>0</v>
      </c>
      <c r="L854" s="12" t="n">
        <v>0.075431</v>
      </c>
      <c r="M854" s="12" t="n">
        <v>0.092063</v>
      </c>
      <c r="N854" s="12" t="n">
        <v>0.024976</v>
      </c>
      <c r="O854" s="12" t="n">
        <v>0.106183</v>
      </c>
      <c r="P854" s="12" t="n">
        <v>0.024846</v>
      </c>
      <c r="Q854" s="0" t="str">
        <f aca="false">IF(L854&gt;=Models!$G$5,1+COUNTIF($L$5:$L$1517,"&gt;"&amp;L854)+COUNTIFS($L$5:$L$1517,L854,$B$5:$B$1517,"&lt;"&amp;B854)+COUNTIFS($L$5:$L$1517,L854,$B$5:$B$1517,B854,$C$5:$C$1517,"&lt;"&amp;C854),"")</f>
        <v/>
      </c>
      <c r="R854" s="0" t="str">
        <f aca="false">IF(M854&gt;=Models!$G$6,1+COUNTIF($M$5:$M$1517,"&gt;"&amp;M854)+COUNTIFS($M$5:$M$1517,M854,$B$5:$B$1517,"&lt;"&amp;B854)+COUNTIFS($M$5:$M$1517,M854,$B$5:$B$1517,B854,$C$5:$C$1517,"&lt;"&amp;C854),"")</f>
        <v/>
      </c>
      <c r="S854" s="0" t="str">
        <f aca="false">IF(N854&gt;=Models!$G$7,1+COUNTIF($N$5:$N$1517,"&gt;"&amp;N854)+COUNTIFS($N$5:$N$1517,N854,$B$5:$B$1517,"&lt;"&amp;B854)+COUNTIFS($N$5:$N$1517,N854,$B$5:$B$1517,B854,$C$5:$C$1517,"&lt;"&amp;C854),"")</f>
        <v/>
      </c>
      <c r="T854" s="8" t="n">
        <f aca="false">IF(O854&gt;=Models!$G$8,1+COUNTIF($O$5:$O$1517,"&gt;"&amp;O854)+COUNTIFS($O$5:$O$1517,O854,$B$5:$B$1517,"&lt;"&amp;B854)+COUNTIFS($O$5:$O$1517,O854,$B$5:$B$1517,B854,$C$5:$C$1517,"&lt;"&amp;C854),"")</f>
        <v>459</v>
      </c>
      <c r="U854" s="8" t="n">
        <f aca="false">IF($K854=1,COUNTIFS($L$5:$L$1517,"&gt;="&amp;L854,$K$5:$K$1517,1)/COUNTIF($L$5:$L$1517,"&gt;="&amp;L854),0)</f>
        <v>0</v>
      </c>
      <c r="V854" s="8" t="n">
        <f aca="false">IF($K854=1,COUNTIFS($M$5:$M$1517,"&gt;="&amp;M854,$K$5:$K$1517,1)/COUNTIF($M$5:$M$1517,"&gt;="&amp;M854),0)</f>
        <v>0</v>
      </c>
      <c r="W854" s="8" t="n">
        <f aca="false">IF($K854=1,COUNTIFS($N$5:$N$1517,"&gt;="&amp;N854,$K$5:$K$1517,1)/COUNTIF($N$5:$N$1517,"&gt;="&amp;N854),0)</f>
        <v>0</v>
      </c>
      <c r="X854" s="8" t="n">
        <f aca="false">IF($K854=1,COUNTIFS($O$5:$O$1517,"&gt;="&amp;O854,$K$5:$K$1517,1)/COUNTIF($O$5:$O$1517,"&gt;="&amp;O854),0)</f>
        <v>0</v>
      </c>
      <c r="Y854" s="8" t="n">
        <f aca="false">IF($K854=1,COUNTIFS($P$5:$P$1517,"&gt;="&amp;P854,$K$5:$K$1517,1)/COUNTIF($P$5:$P$1517,"&gt;="&amp;P854),0)</f>
        <v>0</v>
      </c>
      <c r="Z854" s="8" t="n">
        <f aca="false">(L854-$K854)^2</f>
        <v>0.005689835761</v>
      </c>
      <c r="AA854" s="8" t="n">
        <f aca="false">(M854-$K854)^2</f>
        <v>0.008475595969</v>
      </c>
      <c r="AB854" s="8" t="n">
        <f aca="false">(N854-$K854)^2</f>
        <v>0.000623800576</v>
      </c>
      <c r="AC854" s="8" t="n">
        <f aca="false">(O854-$K854)^2</f>
        <v>0.011274829489</v>
      </c>
      <c r="AD854" s="8" t="n">
        <f aca="false">(P854-$K854)^2</f>
        <v>0.000617323716</v>
      </c>
      <c r="AE854" s="8" t="n">
        <f aca="false">MIN(INT(ROUND(N854*1000000,0)/100000),9)</f>
        <v>0</v>
      </c>
      <c r="AF854" s="8" t="n">
        <f aca="false">MIN(INT(ROUND(P854*1000000,0)/100000),9)</f>
        <v>0</v>
      </c>
    </row>
    <row r="855" customFormat="false" ht="15" hidden="false" customHeight="false" outlineLevel="0" collapsed="false">
      <c r="A855" s="4" t="n">
        <v>851</v>
      </c>
      <c r="B855" s="4" t="n">
        <v>618</v>
      </c>
      <c r="C855" s="4" t="n">
        <v>2</v>
      </c>
      <c r="D855" s="11" t="n">
        <v>46113</v>
      </c>
      <c r="E855" s="4" t="s">
        <v>203</v>
      </c>
      <c r="F855" s="4" t="s">
        <v>206</v>
      </c>
      <c r="G855" s="4" t="n">
        <v>8</v>
      </c>
      <c r="H855" s="4" t="n">
        <v>2</v>
      </c>
      <c r="I855" s="4" t="n">
        <v>0</v>
      </c>
      <c r="J855" s="4" t="n">
        <v>441</v>
      </c>
      <c r="K855" s="4" t="n">
        <v>0</v>
      </c>
      <c r="L855" s="12" t="n">
        <v>0.2747</v>
      </c>
      <c r="M855" s="12" t="n">
        <v>0.092063</v>
      </c>
      <c r="N855" s="12" t="n">
        <v>0.084307</v>
      </c>
      <c r="O855" s="12" t="n">
        <v>0.106183</v>
      </c>
      <c r="P855" s="12" t="n">
        <v>0.088691</v>
      </c>
      <c r="Q855" s="0" t="str">
        <f aca="false">IF(L855&gt;=Models!$G$5,1+COUNTIF($L$5:$L$1517,"&gt;"&amp;L855)+COUNTIFS($L$5:$L$1517,L855,$B$5:$B$1517,"&lt;"&amp;B855)+COUNTIFS($L$5:$L$1517,L855,$B$5:$B$1517,B855,$C$5:$C$1517,"&lt;"&amp;C855),"")</f>
        <v/>
      </c>
      <c r="R855" s="0" t="str">
        <f aca="false">IF(M855&gt;=Models!$G$6,1+COUNTIF($M$5:$M$1517,"&gt;"&amp;M855)+COUNTIFS($M$5:$M$1517,M855,$B$5:$B$1517,"&lt;"&amp;B855)+COUNTIFS($M$5:$M$1517,M855,$B$5:$B$1517,B855,$C$5:$C$1517,"&lt;"&amp;C855),"")</f>
        <v/>
      </c>
      <c r="S855" s="0" t="str">
        <f aca="false">IF(N855&gt;=Models!$G$7,1+COUNTIF($N$5:$N$1517,"&gt;"&amp;N855)+COUNTIFS($N$5:$N$1517,N855,$B$5:$B$1517,"&lt;"&amp;B855)+COUNTIFS($N$5:$N$1517,N855,$B$5:$B$1517,B855,$C$5:$C$1517,"&lt;"&amp;C855),"")</f>
        <v/>
      </c>
      <c r="T855" s="8" t="n">
        <f aca="false">IF(O855&gt;=Models!$G$8,1+COUNTIF($O$5:$O$1517,"&gt;"&amp;O855)+COUNTIFS($O$5:$O$1517,O855,$B$5:$B$1517,"&lt;"&amp;B855)+COUNTIFS($O$5:$O$1517,O855,$B$5:$B$1517,B855,$C$5:$C$1517,"&lt;"&amp;C855),"")</f>
        <v>463</v>
      </c>
      <c r="U855" s="8" t="n">
        <f aca="false">IF($K855=1,COUNTIFS($L$5:$L$1517,"&gt;="&amp;L855,$K$5:$K$1517,1)/COUNTIF($L$5:$L$1517,"&gt;="&amp;L855),0)</f>
        <v>0</v>
      </c>
      <c r="V855" s="8" t="n">
        <f aca="false">IF($K855=1,COUNTIFS($M$5:$M$1517,"&gt;="&amp;M855,$K$5:$K$1517,1)/COUNTIF($M$5:$M$1517,"&gt;="&amp;M855),0)</f>
        <v>0</v>
      </c>
      <c r="W855" s="8" t="n">
        <f aca="false">IF($K855=1,COUNTIFS($N$5:$N$1517,"&gt;="&amp;N855,$K$5:$K$1517,1)/COUNTIF($N$5:$N$1517,"&gt;="&amp;N855),0)</f>
        <v>0</v>
      </c>
      <c r="X855" s="8" t="n">
        <f aca="false">IF($K855=1,COUNTIFS($O$5:$O$1517,"&gt;="&amp;O855,$K$5:$K$1517,1)/COUNTIF($O$5:$O$1517,"&gt;="&amp;O855),0)</f>
        <v>0</v>
      </c>
      <c r="Y855" s="8" t="n">
        <f aca="false">IF($K855=1,COUNTIFS($P$5:$P$1517,"&gt;="&amp;P855,$K$5:$K$1517,1)/COUNTIF($P$5:$P$1517,"&gt;="&amp;P855),0)</f>
        <v>0</v>
      </c>
      <c r="Z855" s="8" t="n">
        <f aca="false">(L855-$K855)^2</f>
        <v>0.07546009</v>
      </c>
      <c r="AA855" s="8" t="n">
        <f aca="false">(M855-$K855)^2</f>
        <v>0.008475595969</v>
      </c>
      <c r="AB855" s="8" t="n">
        <f aca="false">(N855-$K855)^2</f>
        <v>0.007107670249</v>
      </c>
      <c r="AC855" s="8" t="n">
        <f aca="false">(O855-$K855)^2</f>
        <v>0.011274829489</v>
      </c>
      <c r="AD855" s="8" t="n">
        <f aca="false">(P855-$K855)^2</f>
        <v>0.007866093481</v>
      </c>
      <c r="AE855" s="8" t="n">
        <f aca="false">MIN(INT(ROUND(N855*1000000,0)/100000),9)</f>
        <v>0</v>
      </c>
      <c r="AF855" s="8" t="n">
        <f aca="false">MIN(INT(ROUND(P855*1000000,0)/100000),9)</f>
        <v>0</v>
      </c>
    </row>
    <row r="856" customFormat="false" ht="15" hidden="false" customHeight="false" outlineLevel="0" collapsed="false">
      <c r="A856" s="4" t="n">
        <v>852</v>
      </c>
      <c r="B856" s="4" t="n">
        <v>621</v>
      </c>
      <c r="C856" s="4" t="n">
        <v>2</v>
      </c>
      <c r="D856" s="11" t="n">
        <v>46113</v>
      </c>
      <c r="E856" s="4" t="s">
        <v>201</v>
      </c>
      <c r="F856" s="4" t="s">
        <v>209</v>
      </c>
      <c r="G856" s="4" t="n">
        <v>7</v>
      </c>
      <c r="H856" s="4" t="n">
        <v>1</v>
      </c>
      <c r="I856" s="4" t="n">
        <v>0</v>
      </c>
      <c r="J856" s="4" t="n">
        <v>6883.8</v>
      </c>
      <c r="K856" s="4" t="n">
        <v>0</v>
      </c>
      <c r="L856" s="12" t="n">
        <v>0.09338</v>
      </c>
      <c r="M856" s="12" t="n">
        <v>0.092063</v>
      </c>
      <c r="N856" s="12" t="n">
        <v>0.064311</v>
      </c>
      <c r="O856" s="12" t="n">
        <v>0.106183</v>
      </c>
      <c r="P856" s="12" t="n">
        <v>0.066859</v>
      </c>
      <c r="Q856" s="0" t="str">
        <f aca="false">IF(L856&gt;=Models!$G$5,1+COUNTIF($L$5:$L$1517,"&gt;"&amp;L856)+COUNTIFS($L$5:$L$1517,L856,$B$5:$B$1517,"&lt;"&amp;B856)+COUNTIFS($L$5:$L$1517,L856,$B$5:$B$1517,B856,$C$5:$C$1517,"&lt;"&amp;C856),"")</f>
        <v/>
      </c>
      <c r="R856" s="0" t="str">
        <f aca="false">IF(M856&gt;=Models!$G$6,1+COUNTIF($M$5:$M$1517,"&gt;"&amp;M856)+COUNTIFS($M$5:$M$1517,M856,$B$5:$B$1517,"&lt;"&amp;B856)+COUNTIFS($M$5:$M$1517,M856,$B$5:$B$1517,B856,$C$5:$C$1517,"&lt;"&amp;C856),"")</f>
        <v/>
      </c>
      <c r="S856" s="0" t="str">
        <f aca="false">IF(N856&gt;=Models!$G$7,1+COUNTIF($N$5:$N$1517,"&gt;"&amp;N856)+COUNTIFS($N$5:$N$1517,N856,$B$5:$B$1517,"&lt;"&amp;B856)+COUNTIFS($N$5:$N$1517,N856,$B$5:$B$1517,B856,$C$5:$C$1517,"&lt;"&amp;C856),"")</f>
        <v/>
      </c>
      <c r="T856" s="8" t="n">
        <f aca="false">IF(O856&gt;=Models!$G$8,1+COUNTIF($O$5:$O$1517,"&gt;"&amp;O856)+COUNTIFS($O$5:$O$1517,O856,$B$5:$B$1517,"&lt;"&amp;B856)+COUNTIFS($O$5:$O$1517,O856,$B$5:$B$1517,B856,$C$5:$C$1517,"&lt;"&amp;C856),"")</f>
        <v>467</v>
      </c>
      <c r="U856" s="8" t="n">
        <f aca="false">IF($K856=1,COUNTIFS($L$5:$L$1517,"&gt;="&amp;L856,$K$5:$K$1517,1)/COUNTIF($L$5:$L$1517,"&gt;="&amp;L856),0)</f>
        <v>0</v>
      </c>
      <c r="V856" s="8" t="n">
        <f aca="false">IF($K856=1,COUNTIFS($M$5:$M$1517,"&gt;="&amp;M856,$K$5:$K$1517,1)/COUNTIF($M$5:$M$1517,"&gt;="&amp;M856),0)</f>
        <v>0</v>
      </c>
      <c r="W856" s="8" t="n">
        <f aca="false">IF($K856=1,COUNTIFS($N$5:$N$1517,"&gt;="&amp;N856,$K$5:$K$1517,1)/COUNTIF($N$5:$N$1517,"&gt;="&amp;N856),0)</f>
        <v>0</v>
      </c>
      <c r="X856" s="8" t="n">
        <f aca="false">IF($K856=1,COUNTIFS($O$5:$O$1517,"&gt;="&amp;O856,$K$5:$K$1517,1)/COUNTIF($O$5:$O$1517,"&gt;="&amp;O856),0)</f>
        <v>0</v>
      </c>
      <c r="Y856" s="8" t="n">
        <f aca="false">IF($K856=1,COUNTIFS($P$5:$P$1517,"&gt;="&amp;P856,$K$5:$K$1517,1)/COUNTIF($P$5:$P$1517,"&gt;="&amp;P856),0)</f>
        <v>0</v>
      </c>
      <c r="Z856" s="8" t="n">
        <f aca="false">(L856-$K856)^2</f>
        <v>0.0087198244</v>
      </c>
      <c r="AA856" s="8" t="n">
        <f aca="false">(M856-$K856)^2</f>
        <v>0.008475595969</v>
      </c>
      <c r="AB856" s="8" t="n">
        <f aca="false">(N856-$K856)^2</f>
        <v>0.004135904721</v>
      </c>
      <c r="AC856" s="8" t="n">
        <f aca="false">(O856-$K856)^2</f>
        <v>0.011274829489</v>
      </c>
      <c r="AD856" s="8" t="n">
        <f aca="false">(P856-$K856)^2</f>
        <v>0.004470125881</v>
      </c>
      <c r="AE856" s="8" t="n">
        <f aca="false">MIN(INT(ROUND(N856*1000000,0)/100000),9)</f>
        <v>0</v>
      </c>
      <c r="AF856" s="8" t="n">
        <f aca="false">MIN(INT(ROUND(P856*1000000,0)/100000),9)</f>
        <v>0</v>
      </c>
    </row>
    <row r="857" customFormat="false" ht="15" hidden="false" customHeight="false" outlineLevel="0" collapsed="false">
      <c r="A857" s="4" t="n">
        <v>853</v>
      </c>
      <c r="B857" s="4" t="n">
        <v>629</v>
      </c>
      <c r="C857" s="4" t="n">
        <v>2</v>
      </c>
      <c r="D857" s="11" t="n">
        <v>46113</v>
      </c>
      <c r="E857" s="4" t="s">
        <v>201</v>
      </c>
      <c r="F857" s="4" t="s">
        <v>210</v>
      </c>
      <c r="G857" s="4" t="n">
        <v>16</v>
      </c>
      <c r="H857" s="4" t="n">
        <v>0</v>
      </c>
      <c r="I857" s="4" t="n">
        <v>0</v>
      </c>
      <c r="J857" s="4"/>
      <c r="K857" s="4" t="n">
        <v>0</v>
      </c>
      <c r="L857" s="12" t="n">
        <v>0.875771</v>
      </c>
      <c r="M857" s="12" t="n">
        <v>0.092063</v>
      </c>
      <c r="N857" s="12" t="n">
        <v>0.020781</v>
      </c>
      <c r="O857" s="12" t="n">
        <v>0.106183</v>
      </c>
      <c r="P857" s="12" t="n">
        <v>0.020492</v>
      </c>
      <c r="Q857" s="0" t="str">
        <f aca="false">IF(L857&gt;=Models!$G$5,1+COUNTIF($L$5:$L$1517,"&gt;"&amp;L857)+COUNTIFS($L$5:$L$1517,L857,$B$5:$B$1517,"&lt;"&amp;B857)+COUNTIFS($L$5:$L$1517,L857,$B$5:$B$1517,B857,$C$5:$C$1517,"&lt;"&amp;C857),"")</f>
        <v/>
      </c>
      <c r="R857" s="0" t="str">
        <f aca="false">IF(M857&gt;=Models!$G$6,1+COUNTIF($M$5:$M$1517,"&gt;"&amp;M857)+COUNTIFS($M$5:$M$1517,M857,$B$5:$B$1517,"&lt;"&amp;B857)+COUNTIFS($M$5:$M$1517,M857,$B$5:$B$1517,B857,$C$5:$C$1517,"&lt;"&amp;C857),"")</f>
        <v/>
      </c>
      <c r="S857" s="0" t="str">
        <f aca="false">IF(N857&gt;=Models!$G$7,1+COUNTIF($N$5:$N$1517,"&gt;"&amp;N857)+COUNTIFS($N$5:$N$1517,N857,$B$5:$B$1517,"&lt;"&amp;B857)+COUNTIFS($N$5:$N$1517,N857,$B$5:$B$1517,B857,$C$5:$C$1517,"&lt;"&amp;C857),"")</f>
        <v/>
      </c>
      <c r="T857" s="8" t="n">
        <f aca="false">IF(O857&gt;=Models!$G$8,1+COUNTIF($O$5:$O$1517,"&gt;"&amp;O857)+COUNTIFS($O$5:$O$1517,O857,$B$5:$B$1517,"&lt;"&amp;B857)+COUNTIFS($O$5:$O$1517,O857,$B$5:$B$1517,B857,$C$5:$C$1517,"&lt;"&amp;C857),"")</f>
        <v>471</v>
      </c>
      <c r="U857" s="8" t="n">
        <f aca="false">IF($K857=1,COUNTIFS($L$5:$L$1517,"&gt;="&amp;L857,$K$5:$K$1517,1)/COUNTIF($L$5:$L$1517,"&gt;="&amp;L857),0)</f>
        <v>0</v>
      </c>
      <c r="V857" s="8" t="n">
        <f aca="false">IF($K857=1,COUNTIFS($M$5:$M$1517,"&gt;="&amp;M857,$K$5:$K$1517,1)/COUNTIF($M$5:$M$1517,"&gt;="&amp;M857),0)</f>
        <v>0</v>
      </c>
      <c r="W857" s="8" t="n">
        <f aca="false">IF($K857=1,COUNTIFS($N$5:$N$1517,"&gt;="&amp;N857,$K$5:$K$1517,1)/COUNTIF($N$5:$N$1517,"&gt;="&amp;N857),0)</f>
        <v>0</v>
      </c>
      <c r="X857" s="8" t="n">
        <f aca="false">IF($K857=1,COUNTIFS($O$5:$O$1517,"&gt;="&amp;O857,$K$5:$K$1517,1)/COUNTIF($O$5:$O$1517,"&gt;="&amp;O857),0)</f>
        <v>0</v>
      </c>
      <c r="Y857" s="8" t="n">
        <f aca="false">IF($K857=1,COUNTIFS($P$5:$P$1517,"&gt;="&amp;P857,$K$5:$K$1517,1)/COUNTIF($P$5:$P$1517,"&gt;="&amp;P857),0)</f>
        <v>0</v>
      </c>
      <c r="Z857" s="8" t="n">
        <f aca="false">(L857-$K857)^2</f>
        <v>0.766974844441</v>
      </c>
      <c r="AA857" s="8" t="n">
        <f aca="false">(M857-$K857)^2</f>
        <v>0.008475595969</v>
      </c>
      <c r="AB857" s="8" t="n">
        <f aca="false">(N857-$K857)^2</f>
        <v>0.000431849961</v>
      </c>
      <c r="AC857" s="8" t="n">
        <f aca="false">(O857-$K857)^2</f>
        <v>0.011274829489</v>
      </c>
      <c r="AD857" s="8" t="n">
        <f aca="false">(P857-$K857)^2</f>
        <v>0.000419922064</v>
      </c>
      <c r="AE857" s="8" t="n">
        <f aca="false">MIN(INT(ROUND(N857*1000000,0)/100000),9)</f>
        <v>0</v>
      </c>
      <c r="AF857" s="8" t="n">
        <f aca="false">MIN(INT(ROUND(P857*1000000,0)/100000),9)</f>
        <v>0</v>
      </c>
    </row>
    <row r="858" customFormat="false" ht="15" hidden="false" customHeight="false" outlineLevel="0" collapsed="false">
      <c r="A858" s="4" t="n">
        <v>854</v>
      </c>
      <c r="B858" s="4" t="n">
        <v>633</v>
      </c>
      <c r="C858" s="4" t="n">
        <v>2</v>
      </c>
      <c r="D858" s="11" t="n">
        <v>46113</v>
      </c>
      <c r="E858" s="4" t="s">
        <v>201</v>
      </c>
      <c r="F858" s="4" t="s">
        <v>206</v>
      </c>
      <c r="G858" s="4" t="n">
        <v>23</v>
      </c>
      <c r="H858" s="4" t="n">
        <v>0</v>
      </c>
      <c r="I858" s="4" t="n">
        <v>0</v>
      </c>
      <c r="J858" s="4"/>
      <c r="K858" s="4" t="n">
        <v>0</v>
      </c>
      <c r="L858" s="12" t="n">
        <v>0.954419</v>
      </c>
      <c r="M858" s="12" t="n">
        <v>0.092063</v>
      </c>
      <c r="N858" s="12" t="n">
        <v>0.011177</v>
      </c>
      <c r="O858" s="12" t="n">
        <v>0.106183</v>
      </c>
      <c r="P858" s="12" t="n">
        <v>0.010698</v>
      </c>
      <c r="Q858" s="0" t="str">
        <f aca="false">IF(L858&gt;=Models!$G$5,1+COUNTIF($L$5:$L$1517,"&gt;"&amp;L858)+COUNTIFS($L$5:$L$1517,L858,$B$5:$B$1517,"&lt;"&amp;B858)+COUNTIFS($L$5:$L$1517,L858,$B$5:$B$1517,B858,$C$5:$C$1517,"&lt;"&amp;C858),"")</f>
        <v/>
      </c>
      <c r="R858" s="0" t="str">
        <f aca="false">IF(M858&gt;=Models!$G$6,1+COUNTIF($M$5:$M$1517,"&gt;"&amp;M858)+COUNTIFS($M$5:$M$1517,M858,$B$5:$B$1517,"&lt;"&amp;B858)+COUNTIFS($M$5:$M$1517,M858,$B$5:$B$1517,B858,$C$5:$C$1517,"&lt;"&amp;C858),"")</f>
        <v/>
      </c>
      <c r="S858" s="0" t="str">
        <f aca="false">IF(N858&gt;=Models!$G$7,1+COUNTIF($N$5:$N$1517,"&gt;"&amp;N858)+COUNTIFS($N$5:$N$1517,N858,$B$5:$B$1517,"&lt;"&amp;B858)+COUNTIFS($N$5:$N$1517,N858,$B$5:$B$1517,B858,$C$5:$C$1517,"&lt;"&amp;C858),"")</f>
        <v/>
      </c>
      <c r="T858" s="8" t="n">
        <f aca="false">IF(O858&gt;=Models!$G$8,1+COUNTIF($O$5:$O$1517,"&gt;"&amp;O858)+COUNTIFS($O$5:$O$1517,O858,$B$5:$B$1517,"&lt;"&amp;B858)+COUNTIFS($O$5:$O$1517,O858,$B$5:$B$1517,B858,$C$5:$C$1517,"&lt;"&amp;C858),"")</f>
        <v>475</v>
      </c>
      <c r="U858" s="8" t="n">
        <f aca="false">IF($K858=1,COUNTIFS($L$5:$L$1517,"&gt;="&amp;L858,$K$5:$K$1517,1)/COUNTIF($L$5:$L$1517,"&gt;="&amp;L858),0)</f>
        <v>0</v>
      </c>
      <c r="V858" s="8" t="n">
        <f aca="false">IF($K858=1,COUNTIFS($M$5:$M$1517,"&gt;="&amp;M858,$K$5:$K$1517,1)/COUNTIF($M$5:$M$1517,"&gt;="&amp;M858),0)</f>
        <v>0</v>
      </c>
      <c r="W858" s="8" t="n">
        <f aca="false">IF($K858=1,COUNTIFS($N$5:$N$1517,"&gt;="&amp;N858,$K$5:$K$1517,1)/COUNTIF($N$5:$N$1517,"&gt;="&amp;N858),0)</f>
        <v>0</v>
      </c>
      <c r="X858" s="8" t="n">
        <f aca="false">IF($K858=1,COUNTIFS($O$5:$O$1517,"&gt;="&amp;O858,$K$5:$K$1517,1)/COUNTIF($O$5:$O$1517,"&gt;="&amp;O858),0)</f>
        <v>0</v>
      </c>
      <c r="Y858" s="8" t="n">
        <f aca="false">IF($K858=1,COUNTIFS($P$5:$P$1517,"&gt;="&amp;P858,$K$5:$K$1517,1)/COUNTIF($P$5:$P$1517,"&gt;="&amp;P858),0)</f>
        <v>0</v>
      </c>
      <c r="Z858" s="8" t="n">
        <f aca="false">(L858-$K858)^2</f>
        <v>0.910915627561</v>
      </c>
      <c r="AA858" s="8" t="n">
        <f aca="false">(M858-$K858)^2</f>
        <v>0.008475595969</v>
      </c>
      <c r="AB858" s="8" t="n">
        <f aca="false">(N858-$K858)^2</f>
        <v>0.000124925329</v>
      </c>
      <c r="AC858" s="8" t="n">
        <f aca="false">(O858-$K858)^2</f>
        <v>0.011274829489</v>
      </c>
      <c r="AD858" s="8" t="n">
        <f aca="false">(P858-$K858)^2</f>
        <v>0.000114447204</v>
      </c>
      <c r="AE858" s="8" t="n">
        <f aca="false">MIN(INT(ROUND(N858*1000000,0)/100000),9)</f>
        <v>0</v>
      </c>
      <c r="AF858" s="8" t="n">
        <f aca="false">MIN(INT(ROUND(P858*1000000,0)/100000),9)</f>
        <v>0</v>
      </c>
    </row>
    <row r="859" customFormat="false" ht="15" hidden="false" customHeight="false" outlineLevel="0" collapsed="false">
      <c r="A859" s="4" t="n">
        <v>855</v>
      </c>
      <c r="B859" s="4" t="n">
        <v>635</v>
      </c>
      <c r="C859" s="4" t="n">
        <v>2</v>
      </c>
      <c r="D859" s="11" t="n">
        <v>46113</v>
      </c>
      <c r="E859" s="4" t="s">
        <v>201</v>
      </c>
      <c r="F859" s="4" t="s">
        <v>208</v>
      </c>
      <c r="G859" s="4" t="n">
        <v>27</v>
      </c>
      <c r="H859" s="4" t="n">
        <v>1</v>
      </c>
      <c r="I859" s="4" t="n">
        <v>0</v>
      </c>
      <c r="J859" s="4"/>
      <c r="K859" s="4" t="n">
        <v>0</v>
      </c>
      <c r="L859" s="12" t="n">
        <v>0.60237</v>
      </c>
      <c r="M859" s="12" t="n">
        <v>0.092063</v>
      </c>
      <c r="N859" s="12" t="n">
        <v>0.007889</v>
      </c>
      <c r="O859" s="12" t="n">
        <v>0.106183</v>
      </c>
      <c r="P859" s="12" t="n">
        <v>0.007425</v>
      </c>
      <c r="Q859" s="0" t="str">
        <f aca="false">IF(L859&gt;=Models!$G$5,1+COUNTIF($L$5:$L$1517,"&gt;"&amp;L859)+COUNTIFS($L$5:$L$1517,L859,$B$5:$B$1517,"&lt;"&amp;B859)+COUNTIFS($L$5:$L$1517,L859,$B$5:$B$1517,B859,$C$5:$C$1517,"&lt;"&amp;C859),"")</f>
        <v/>
      </c>
      <c r="R859" s="0" t="str">
        <f aca="false">IF(M859&gt;=Models!$G$6,1+COUNTIF($M$5:$M$1517,"&gt;"&amp;M859)+COUNTIFS($M$5:$M$1517,M859,$B$5:$B$1517,"&lt;"&amp;B859)+COUNTIFS($M$5:$M$1517,M859,$B$5:$B$1517,B859,$C$5:$C$1517,"&lt;"&amp;C859),"")</f>
        <v/>
      </c>
      <c r="S859" s="0" t="str">
        <f aca="false">IF(N859&gt;=Models!$G$7,1+COUNTIF($N$5:$N$1517,"&gt;"&amp;N859)+COUNTIFS($N$5:$N$1517,N859,$B$5:$B$1517,"&lt;"&amp;B859)+COUNTIFS($N$5:$N$1517,N859,$B$5:$B$1517,B859,$C$5:$C$1517,"&lt;"&amp;C859),"")</f>
        <v/>
      </c>
      <c r="T859" s="8" t="n">
        <f aca="false">IF(O859&gt;=Models!$G$8,1+COUNTIF($O$5:$O$1517,"&gt;"&amp;O859)+COUNTIFS($O$5:$O$1517,O859,$B$5:$B$1517,"&lt;"&amp;B859)+COUNTIFS($O$5:$O$1517,O859,$B$5:$B$1517,B859,$C$5:$C$1517,"&lt;"&amp;C859),"")</f>
        <v>480</v>
      </c>
      <c r="U859" s="8" t="n">
        <f aca="false">IF($K859=1,COUNTIFS($L$5:$L$1517,"&gt;="&amp;L859,$K$5:$K$1517,1)/COUNTIF($L$5:$L$1517,"&gt;="&amp;L859),0)</f>
        <v>0</v>
      </c>
      <c r="V859" s="8" t="n">
        <f aca="false">IF($K859=1,COUNTIFS($M$5:$M$1517,"&gt;="&amp;M859,$K$5:$K$1517,1)/COUNTIF($M$5:$M$1517,"&gt;="&amp;M859),0)</f>
        <v>0</v>
      </c>
      <c r="W859" s="8" t="n">
        <f aca="false">IF($K859=1,COUNTIFS($N$5:$N$1517,"&gt;="&amp;N859,$K$5:$K$1517,1)/COUNTIF($N$5:$N$1517,"&gt;="&amp;N859),0)</f>
        <v>0</v>
      </c>
      <c r="X859" s="8" t="n">
        <f aca="false">IF($K859=1,COUNTIFS($O$5:$O$1517,"&gt;="&amp;O859,$K$5:$K$1517,1)/COUNTIF($O$5:$O$1517,"&gt;="&amp;O859),0)</f>
        <v>0</v>
      </c>
      <c r="Y859" s="8" t="n">
        <f aca="false">IF($K859=1,COUNTIFS($P$5:$P$1517,"&gt;="&amp;P859,$K$5:$K$1517,1)/COUNTIF($P$5:$P$1517,"&gt;="&amp;P859),0)</f>
        <v>0</v>
      </c>
      <c r="Z859" s="8" t="n">
        <f aca="false">(L859-$K859)^2</f>
        <v>0.3628496169</v>
      </c>
      <c r="AA859" s="8" t="n">
        <f aca="false">(M859-$K859)^2</f>
        <v>0.008475595969</v>
      </c>
      <c r="AB859" s="8" t="n">
        <f aca="false">(N859-$K859)^2</f>
        <v>6.2236321E-005</v>
      </c>
      <c r="AC859" s="8" t="n">
        <f aca="false">(O859-$K859)^2</f>
        <v>0.011274829489</v>
      </c>
      <c r="AD859" s="8" t="n">
        <f aca="false">(P859-$K859)^2</f>
        <v>5.5130625E-005</v>
      </c>
      <c r="AE859" s="8" t="n">
        <f aca="false">MIN(INT(ROUND(N859*1000000,0)/100000),9)</f>
        <v>0</v>
      </c>
      <c r="AF859" s="8" t="n">
        <f aca="false">MIN(INT(ROUND(P859*1000000,0)/100000),9)</f>
        <v>0</v>
      </c>
    </row>
    <row r="860" customFormat="false" ht="15" hidden="false" customHeight="false" outlineLevel="0" collapsed="false">
      <c r="A860" s="4" t="n">
        <v>856</v>
      </c>
      <c r="B860" s="4" t="n">
        <v>642</v>
      </c>
      <c r="C860" s="4" t="n">
        <v>2</v>
      </c>
      <c r="D860" s="11" t="n">
        <v>46113</v>
      </c>
      <c r="E860" s="4" t="s">
        <v>201</v>
      </c>
      <c r="F860" s="4" t="s">
        <v>209</v>
      </c>
      <c r="G860" s="4" t="n">
        <v>8</v>
      </c>
      <c r="H860" s="4" t="n">
        <v>3</v>
      </c>
      <c r="I860" s="4" t="n">
        <v>0</v>
      </c>
      <c r="J860" s="4" t="n">
        <v>7773</v>
      </c>
      <c r="K860" s="4" t="n">
        <v>0</v>
      </c>
      <c r="L860" s="12" t="n">
        <v>0.515755</v>
      </c>
      <c r="M860" s="12" t="n">
        <v>0.092063</v>
      </c>
      <c r="N860" s="12" t="n">
        <v>0.057174</v>
      </c>
      <c r="O860" s="12" t="n">
        <v>0.106183</v>
      </c>
      <c r="P860" s="12" t="n">
        <v>0.059125</v>
      </c>
      <c r="Q860" s="0" t="str">
        <f aca="false">IF(L860&gt;=Models!$G$5,1+COUNTIF($L$5:$L$1517,"&gt;"&amp;L860)+COUNTIFS($L$5:$L$1517,L860,$B$5:$B$1517,"&lt;"&amp;B860)+COUNTIFS($L$5:$L$1517,L860,$B$5:$B$1517,B860,$C$5:$C$1517,"&lt;"&amp;C860),"")</f>
        <v/>
      </c>
      <c r="R860" s="0" t="str">
        <f aca="false">IF(M860&gt;=Models!$G$6,1+COUNTIF($M$5:$M$1517,"&gt;"&amp;M860)+COUNTIFS($M$5:$M$1517,M860,$B$5:$B$1517,"&lt;"&amp;B860)+COUNTIFS($M$5:$M$1517,M860,$B$5:$B$1517,B860,$C$5:$C$1517,"&lt;"&amp;C860),"")</f>
        <v/>
      </c>
      <c r="S860" s="0" t="str">
        <f aca="false">IF(N860&gt;=Models!$G$7,1+COUNTIF($N$5:$N$1517,"&gt;"&amp;N860)+COUNTIFS($N$5:$N$1517,N860,$B$5:$B$1517,"&lt;"&amp;B860)+COUNTIFS($N$5:$N$1517,N860,$B$5:$B$1517,B860,$C$5:$C$1517,"&lt;"&amp;C860),"")</f>
        <v/>
      </c>
      <c r="T860" s="8" t="n">
        <f aca="false">IF(O860&gt;=Models!$G$8,1+COUNTIF($O$5:$O$1517,"&gt;"&amp;O860)+COUNTIFS($O$5:$O$1517,O860,$B$5:$B$1517,"&lt;"&amp;B860)+COUNTIFS($O$5:$O$1517,O860,$B$5:$B$1517,B860,$C$5:$C$1517,"&lt;"&amp;C860),"")</f>
        <v>484</v>
      </c>
      <c r="U860" s="8" t="n">
        <f aca="false">IF($K860=1,COUNTIFS($L$5:$L$1517,"&gt;="&amp;L860,$K$5:$K$1517,1)/COUNTIF($L$5:$L$1517,"&gt;="&amp;L860),0)</f>
        <v>0</v>
      </c>
      <c r="V860" s="8" t="n">
        <f aca="false">IF($K860=1,COUNTIFS($M$5:$M$1517,"&gt;="&amp;M860,$K$5:$K$1517,1)/COUNTIF($M$5:$M$1517,"&gt;="&amp;M860),0)</f>
        <v>0</v>
      </c>
      <c r="W860" s="8" t="n">
        <f aca="false">IF($K860=1,COUNTIFS($N$5:$N$1517,"&gt;="&amp;N860,$K$5:$K$1517,1)/COUNTIF($N$5:$N$1517,"&gt;="&amp;N860),0)</f>
        <v>0</v>
      </c>
      <c r="X860" s="8" t="n">
        <f aca="false">IF($K860=1,COUNTIFS($O$5:$O$1517,"&gt;="&amp;O860,$K$5:$K$1517,1)/COUNTIF($O$5:$O$1517,"&gt;="&amp;O860),0)</f>
        <v>0</v>
      </c>
      <c r="Y860" s="8" t="n">
        <f aca="false">IF($K860=1,COUNTIFS($P$5:$P$1517,"&gt;="&amp;P860,$K$5:$K$1517,1)/COUNTIF($P$5:$P$1517,"&gt;="&amp;P860),0)</f>
        <v>0</v>
      </c>
      <c r="Z860" s="8" t="n">
        <f aca="false">(L860-$K860)^2</f>
        <v>0.266003220025</v>
      </c>
      <c r="AA860" s="8" t="n">
        <f aca="false">(M860-$K860)^2</f>
        <v>0.008475595969</v>
      </c>
      <c r="AB860" s="8" t="n">
        <f aca="false">(N860-$K860)^2</f>
        <v>0.003268866276</v>
      </c>
      <c r="AC860" s="8" t="n">
        <f aca="false">(O860-$K860)^2</f>
        <v>0.011274829489</v>
      </c>
      <c r="AD860" s="8" t="n">
        <f aca="false">(P860-$K860)^2</f>
        <v>0.003495765625</v>
      </c>
      <c r="AE860" s="8" t="n">
        <f aca="false">MIN(INT(ROUND(N860*1000000,0)/100000),9)</f>
        <v>0</v>
      </c>
      <c r="AF860" s="8" t="n">
        <f aca="false">MIN(INT(ROUND(P860*1000000,0)/100000),9)</f>
        <v>0</v>
      </c>
    </row>
    <row r="861" customFormat="false" ht="15" hidden="false" customHeight="false" outlineLevel="0" collapsed="false">
      <c r="A861" s="4" t="n">
        <v>857</v>
      </c>
      <c r="B861" s="4" t="n">
        <v>646</v>
      </c>
      <c r="C861" s="4" t="n">
        <v>2</v>
      </c>
      <c r="D861" s="11" t="n">
        <v>46113</v>
      </c>
      <c r="E861" s="4" t="s">
        <v>203</v>
      </c>
      <c r="F861" s="4" t="s">
        <v>210</v>
      </c>
      <c r="G861" s="4" t="n">
        <v>2</v>
      </c>
      <c r="H861" s="4" t="n">
        <v>12</v>
      </c>
      <c r="I861" s="4" t="n">
        <v>0</v>
      </c>
      <c r="J861" s="4"/>
      <c r="K861" s="4" t="n">
        <v>0</v>
      </c>
      <c r="L861" s="12" t="n">
        <v>0.225603</v>
      </c>
      <c r="M861" s="12" t="n">
        <v>0.092063</v>
      </c>
      <c r="N861" s="12" t="n">
        <v>0.076247</v>
      </c>
      <c r="O861" s="12" t="n">
        <v>0.106183</v>
      </c>
      <c r="P861" s="12" t="n">
        <v>0.079866</v>
      </c>
      <c r="Q861" s="0" t="str">
        <f aca="false">IF(L861&gt;=Models!$G$5,1+COUNTIF($L$5:$L$1517,"&gt;"&amp;L861)+COUNTIFS($L$5:$L$1517,L861,$B$5:$B$1517,"&lt;"&amp;B861)+COUNTIFS($L$5:$L$1517,L861,$B$5:$B$1517,B861,$C$5:$C$1517,"&lt;"&amp;C861),"")</f>
        <v/>
      </c>
      <c r="R861" s="0" t="str">
        <f aca="false">IF(M861&gt;=Models!$G$6,1+COUNTIF($M$5:$M$1517,"&gt;"&amp;M861)+COUNTIFS($M$5:$M$1517,M861,$B$5:$B$1517,"&lt;"&amp;B861)+COUNTIFS($M$5:$M$1517,M861,$B$5:$B$1517,B861,$C$5:$C$1517,"&lt;"&amp;C861),"")</f>
        <v/>
      </c>
      <c r="S861" s="0" t="str">
        <f aca="false">IF(N861&gt;=Models!$G$7,1+COUNTIF($N$5:$N$1517,"&gt;"&amp;N861)+COUNTIFS($N$5:$N$1517,N861,$B$5:$B$1517,"&lt;"&amp;B861)+COUNTIFS($N$5:$N$1517,N861,$B$5:$B$1517,B861,$C$5:$C$1517,"&lt;"&amp;C861),"")</f>
        <v/>
      </c>
      <c r="T861" s="8" t="n">
        <f aca="false">IF(O861&gt;=Models!$G$8,1+COUNTIF($O$5:$O$1517,"&gt;"&amp;O861)+COUNTIFS($O$5:$O$1517,O861,$B$5:$B$1517,"&lt;"&amp;B861)+COUNTIFS($O$5:$O$1517,O861,$B$5:$B$1517,B861,$C$5:$C$1517,"&lt;"&amp;C861),"")</f>
        <v>488</v>
      </c>
      <c r="U861" s="8" t="n">
        <f aca="false">IF($K861=1,COUNTIFS($L$5:$L$1517,"&gt;="&amp;L861,$K$5:$K$1517,1)/COUNTIF($L$5:$L$1517,"&gt;="&amp;L861),0)</f>
        <v>0</v>
      </c>
      <c r="V861" s="8" t="n">
        <f aca="false">IF($K861=1,COUNTIFS($M$5:$M$1517,"&gt;="&amp;M861,$K$5:$K$1517,1)/COUNTIF($M$5:$M$1517,"&gt;="&amp;M861),0)</f>
        <v>0</v>
      </c>
      <c r="W861" s="8" t="n">
        <f aca="false">IF($K861=1,COUNTIFS($N$5:$N$1517,"&gt;="&amp;N861,$K$5:$K$1517,1)/COUNTIF($N$5:$N$1517,"&gt;="&amp;N861),0)</f>
        <v>0</v>
      </c>
      <c r="X861" s="8" t="n">
        <f aca="false">IF($K861=1,COUNTIFS($O$5:$O$1517,"&gt;="&amp;O861,$K$5:$K$1517,1)/COUNTIF($O$5:$O$1517,"&gt;="&amp;O861),0)</f>
        <v>0</v>
      </c>
      <c r="Y861" s="8" t="n">
        <f aca="false">IF($K861=1,COUNTIFS($P$5:$P$1517,"&gt;="&amp;P861,$K$5:$K$1517,1)/COUNTIF($P$5:$P$1517,"&gt;="&amp;P861),0)</f>
        <v>0</v>
      </c>
      <c r="Z861" s="8" t="n">
        <f aca="false">(L861-$K861)^2</f>
        <v>0.050896713609</v>
      </c>
      <c r="AA861" s="8" t="n">
        <f aca="false">(M861-$K861)^2</f>
        <v>0.008475595969</v>
      </c>
      <c r="AB861" s="8" t="n">
        <f aca="false">(N861-$K861)^2</f>
        <v>0.005813605009</v>
      </c>
      <c r="AC861" s="8" t="n">
        <f aca="false">(O861-$K861)^2</f>
        <v>0.011274829489</v>
      </c>
      <c r="AD861" s="8" t="n">
        <f aca="false">(P861-$K861)^2</f>
        <v>0.006378577956</v>
      </c>
      <c r="AE861" s="8" t="n">
        <f aca="false">MIN(INT(ROUND(N861*1000000,0)/100000),9)</f>
        <v>0</v>
      </c>
      <c r="AF861" s="8" t="n">
        <f aca="false">MIN(INT(ROUND(P861*1000000,0)/100000),9)</f>
        <v>0</v>
      </c>
    </row>
    <row r="862" customFormat="false" ht="15" hidden="false" customHeight="false" outlineLevel="0" collapsed="false">
      <c r="A862" s="4" t="n">
        <v>858</v>
      </c>
      <c r="B862" s="4" t="n">
        <v>649</v>
      </c>
      <c r="C862" s="4" t="n">
        <v>2</v>
      </c>
      <c r="D862" s="11" t="n">
        <v>46113</v>
      </c>
      <c r="E862" s="4" t="s">
        <v>201</v>
      </c>
      <c r="F862" s="4" t="s">
        <v>209</v>
      </c>
      <c r="G862" s="4" t="n">
        <v>19</v>
      </c>
      <c r="H862" s="4" t="n">
        <v>5</v>
      </c>
      <c r="I862" s="4" t="n">
        <v>0</v>
      </c>
      <c r="J862" s="4" t="n">
        <v>7632</v>
      </c>
      <c r="K862" s="4" t="n">
        <v>0</v>
      </c>
      <c r="L862" s="12" t="n">
        <v>0.129607</v>
      </c>
      <c r="M862" s="12" t="n">
        <v>0.092063</v>
      </c>
      <c r="N862" s="12" t="n">
        <v>0.022574</v>
      </c>
      <c r="O862" s="12" t="n">
        <v>0.106183</v>
      </c>
      <c r="P862" s="12" t="n">
        <v>0.022348</v>
      </c>
      <c r="Q862" s="0" t="str">
        <f aca="false">IF(L862&gt;=Models!$G$5,1+COUNTIF($L$5:$L$1517,"&gt;"&amp;L862)+COUNTIFS($L$5:$L$1517,L862,$B$5:$B$1517,"&lt;"&amp;B862)+COUNTIFS($L$5:$L$1517,L862,$B$5:$B$1517,B862,$C$5:$C$1517,"&lt;"&amp;C862),"")</f>
        <v/>
      </c>
      <c r="R862" s="0" t="str">
        <f aca="false">IF(M862&gt;=Models!$G$6,1+COUNTIF($M$5:$M$1517,"&gt;"&amp;M862)+COUNTIFS($M$5:$M$1517,M862,$B$5:$B$1517,"&lt;"&amp;B862)+COUNTIFS($M$5:$M$1517,M862,$B$5:$B$1517,B862,$C$5:$C$1517,"&lt;"&amp;C862),"")</f>
        <v/>
      </c>
      <c r="S862" s="0" t="str">
        <f aca="false">IF(N862&gt;=Models!$G$7,1+COUNTIF($N$5:$N$1517,"&gt;"&amp;N862)+COUNTIFS($N$5:$N$1517,N862,$B$5:$B$1517,"&lt;"&amp;B862)+COUNTIFS($N$5:$N$1517,N862,$B$5:$B$1517,B862,$C$5:$C$1517,"&lt;"&amp;C862),"")</f>
        <v/>
      </c>
      <c r="T862" s="8" t="n">
        <f aca="false">IF(O862&gt;=Models!$G$8,1+COUNTIF($O$5:$O$1517,"&gt;"&amp;O862)+COUNTIFS($O$5:$O$1517,O862,$B$5:$B$1517,"&lt;"&amp;B862)+COUNTIFS($O$5:$O$1517,O862,$B$5:$B$1517,B862,$C$5:$C$1517,"&lt;"&amp;C862),"")</f>
        <v>492</v>
      </c>
      <c r="U862" s="8" t="n">
        <f aca="false">IF($K862=1,COUNTIFS($L$5:$L$1517,"&gt;="&amp;L862,$K$5:$K$1517,1)/COUNTIF($L$5:$L$1517,"&gt;="&amp;L862),0)</f>
        <v>0</v>
      </c>
      <c r="V862" s="8" t="n">
        <f aca="false">IF($K862=1,COUNTIFS($M$5:$M$1517,"&gt;="&amp;M862,$K$5:$K$1517,1)/COUNTIF($M$5:$M$1517,"&gt;="&amp;M862),0)</f>
        <v>0</v>
      </c>
      <c r="W862" s="8" t="n">
        <f aca="false">IF($K862=1,COUNTIFS($N$5:$N$1517,"&gt;="&amp;N862,$K$5:$K$1517,1)/COUNTIF($N$5:$N$1517,"&gt;="&amp;N862),0)</f>
        <v>0</v>
      </c>
      <c r="X862" s="8" t="n">
        <f aca="false">IF($K862=1,COUNTIFS($O$5:$O$1517,"&gt;="&amp;O862,$K$5:$K$1517,1)/COUNTIF($O$5:$O$1517,"&gt;="&amp;O862),0)</f>
        <v>0</v>
      </c>
      <c r="Y862" s="8" t="n">
        <f aca="false">IF($K862=1,COUNTIFS($P$5:$P$1517,"&gt;="&amp;P862,$K$5:$K$1517,1)/COUNTIF($P$5:$P$1517,"&gt;="&amp;P862),0)</f>
        <v>0</v>
      </c>
      <c r="Z862" s="8" t="n">
        <f aca="false">(L862-$K862)^2</f>
        <v>0.016797974449</v>
      </c>
      <c r="AA862" s="8" t="n">
        <f aca="false">(M862-$K862)^2</f>
        <v>0.008475595969</v>
      </c>
      <c r="AB862" s="8" t="n">
        <f aca="false">(N862-$K862)^2</f>
        <v>0.000509585476</v>
      </c>
      <c r="AC862" s="8" t="n">
        <f aca="false">(O862-$K862)^2</f>
        <v>0.011274829489</v>
      </c>
      <c r="AD862" s="8" t="n">
        <f aca="false">(P862-$K862)^2</f>
        <v>0.000499433104</v>
      </c>
      <c r="AE862" s="8" t="n">
        <f aca="false">MIN(INT(ROUND(N862*1000000,0)/100000),9)</f>
        <v>0</v>
      </c>
      <c r="AF862" s="8" t="n">
        <f aca="false">MIN(INT(ROUND(P862*1000000,0)/100000),9)</f>
        <v>0</v>
      </c>
    </row>
    <row r="863" customFormat="false" ht="15" hidden="false" customHeight="false" outlineLevel="0" collapsed="false">
      <c r="A863" s="4" t="n">
        <v>859</v>
      </c>
      <c r="B863" s="4" t="n">
        <v>657</v>
      </c>
      <c r="C863" s="4" t="n">
        <v>2</v>
      </c>
      <c r="D863" s="11" t="n">
        <v>46113</v>
      </c>
      <c r="E863" s="4" t="s">
        <v>203</v>
      </c>
      <c r="F863" s="4" t="s">
        <v>209</v>
      </c>
      <c r="G863" s="4" t="n">
        <v>9</v>
      </c>
      <c r="H863" s="4" t="n">
        <v>0</v>
      </c>
      <c r="I863" s="4" t="n">
        <v>0</v>
      </c>
      <c r="J863" s="4" t="n">
        <v>339</v>
      </c>
      <c r="K863" s="4" t="n">
        <v>0</v>
      </c>
      <c r="L863" s="12" t="n">
        <v>0.859662</v>
      </c>
      <c r="M863" s="12" t="n">
        <v>0.092063</v>
      </c>
      <c r="N863" s="12" t="n">
        <v>0.076869</v>
      </c>
      <c r="O863" s="12" t="n">
        <v>0.106183</v>
      </c>
      <c r="P863" s="12" t="n">
        <v>0.080545</v>
      </c>
      <c r="Q863" s="0" t="str">
        <f aca="false">IF(L863&gt;=Models!$G$5,1+COUNTIF($L$5:$L$1517,"&gt;"&amp;L863)+COUNTIFS($L$5:$L$1517,L863,$B$5:$B$1517,"&lt;"&amp;B863)+COUNTIFS($L$5:$L$1517,L863,$B$5:$B$1517,B863,$C$5:$C$1517,"&lt;"&amp;C863),"")</f>
        <v/>
      </c>
      <c r="R863" s="0" t="str">
        <f aca="false">IF(M863&gt;=Models!$G$6,1+COUNTIF($M$5:$M$1517,"&gt;"&amp;M863)+COUNTIFS($M$5:$M$1517,M863,$B$5:$B$1517,"&lt;"&amp;B863)+COUNTIFS($M$5:$M$1517,M863,$B$5:$B$1517,B863,$C$5:$C$1517,"&lt;"&amp;C863),"")</f>
        <v/>
      </c>
      <c r="S863" s="0" t="str">
        <f aca="false">IF(N863&gt;=Models!$G$7,1+COUNTIF($N$5:$N$1517,"&gt;"&amp;N863)+COUNTIFS($N$5:$N$1517,N863,$B$5:$B$1517,"&lt;"&amp;B863)+COUNTIFS($N$5:$N$1517,N863,$B$5:$B$1517,B863,$C$5:$C$1517,"&lt;"&amp;C863),"")</f>
        <v/>
      </c>
      <c r="T863" s="8" t="n">
        <f aca="false">IF(O863&gt;=Models!$G$8,1+COUNTIF($O$5:$O$1517,"&gt;"&amp;O863)+COUNTIFS($O$5:$O$1517,O863,$B$5:$B$1517,"&lt;"&amp;B863)+COUNTIFS($O$5:$O$1517,O863,$B$5:$B$1517,B863,$C$5:$C$1517,"&lt;"&amp;C863),"")</f>
        <v>496</v>
      </c>
      <c r="U863" s="8" t="n">
        <f aca="false">IF($K863=1,COUNTIFS($L$5:$L$1517,"&gt;="&amp;L863,$K$5:$K$1517,1)/COUNTIF($L$5:$L$1517,"&gt;="&amp;L863),0)</f>
        <v>0</v>
      </c>
      <c r="V863" s="8" t="n">
        <f aca="false">IF($K863=1,COUNTIFS($M$5:$M$1517,"&gt;="&amp;M863,$K$5:$K$1517,1)/COUNTIF($M$5:$M$1517,"&gt;="&amp;M863),0)</f>
        <v>0</v>
      </c>
      <c r="W863" s="8" t="n">
        <f aca="false">IF($K863=1,COUNTIFS($N$5:$N$1517,"&gt;="&amp;N863,$K$5:$K$1517,1)/COUNTIF($N$5:$N$1517,"&gt;="&amp;N863),0)</f>
        <v>0</v>
      </c>
      <c r="X863" s="8" t="n">
        <f aca="false">IF($K863=1,COUNTIFS($O$5:$O$1517,"&gt;="&amp;O863,$K$5:$K$1517,1)/COUNTIF($O$5:$O$1517,"&gt;="&amp;O863),0)</f>
        <v>0</v>
      </c>
      <c r="Y863" s="8" t="n">
        <f aca="false">IF($K863=1,COUNTIFS($P$5:$P$1517,"&gt;="&amp;P863,$K$5:$K$1517,1)/COUNTIF($P$5:$P$1517,"&gt;="&amp;P863),0)</f>
        <v>0</v>
      </c>
      <c r="Z863" s="8" t="n">
        <f aca="false">(L863-$K863)^2</f>
        <v>0.739018754244</v>
      </c>
      <c r="AA863" s="8" t="n">
        <f aca="false">(M863-$K863)^2</f>
        <v>0.008475595969</v>
      </c>
      <c r="AB863" s="8" t="n">
        <f aca="false">(N863-$K863)^2</f>
        <v>0.005908843161</v>
      </c>
      <c r="AC863" s="8" t="n">
        <f aca="false">(O863-$K863)^2</f>
        <v>0.011274829489</v>
      </c>
      <c r="AD863" s="8" t="n">
        <f aca="false">(P863-$K863)^2</f>
        <v>0.006487497025</v>
      </c>
      <c r="AE863" s="8" t="n">
        <f aca="false">MIN(INT(ROUND(N863*1000000,0)/100000),9)</f>
        <v>0</v>
      </c>
      <c r="AF863" s="8" t="n">
        <f aca="false">MIN(INT(ROUND(P863*1000000,0)/100000),9)</f>
        <v>0</v>
      </c>
    </row>
    <row r="864" customFormat="false" ht="15" hidden="false" customHeight="false" outlineLevel="0" collapsed="false">
      <c r="A864" s="4" t="n">
        <v>860</v>
      </c>
      <c r="B864" s="4" t="n">
        <v>659</v>
      </c>
      <c r="C864" s="4" t="n">
        <v>2</v>
      </c>
      <c r="D864" s="11" t="n">
        <v>46113</v>
      </c>
      <c r="E864" s="4" t="s">
        <v>203</v>
      </c>
      <c r="F864" s="4" t="s">
        <v>206</v>
      </c>
      <c r="G864" s="4" t="n">
        <v>2</v>
      </c>
      <c r="H864" s="4" t="n">
        <v>0</v>
      </c>
      <c r="I864" s="4" t="n">
        <v>0</v>
      </c>
      <c r="J864" s="4" t="n">
        <v>275.4</v>
      </c>
      <c r="K864" s="4" t="n">
        <v>0</v>
      </c>
      <c r="L864" s="12" t="n">
        <v>0.866325</v>
      </c>
      <c r="M864" s="12" t="n">
        <v>0.092063</v>
      </c>
      <c r="N864" s="12" t="n">
        <v>0.135634</v>
      </c>
      <c r="O864" s="12" t="n">
        <v>0.106183</v>
      </c>
      <c r="P864" s="12" t="n">
        <v>0.145395</v>
      </c>
      <c r="Q864" s="0" t="str">
        <f aca="false">IF(L864&gt;=Models!$G$5,1+COUNTIF($L$5:$L$1517,"&gt;"&amp;L864)+COUNTIFS($L$5:$L$1517,L864,$B$5:$B$1517,"&lt;"&amp;B864)+COUNTIFS($L$5:$L$1517,L864,$B$5:$B$1517,B864,$C$5:$C$1517,"&lt;"&amp;C864),"")</f>
        <v/>
      </c>
      <c r="R864" s="0" t="str">
        <f aca="false">IF(M864&gt;=Models!$G$6,1+COUNTIF($M$5:$M$1517,"&gt;"&amp;M864)+COUNTIFS($M$5:$M$1517,M864,$B$5:$B$1517,"&lt;"&amp;B864)+COUNTIFS($M$5:$M$1517,M864,$B$5:$B$1517,B864,$C$5:$C$1517,"&lt;"&amp;C864),"")</f>
        <v/>
      </c>
      <c r="S864" s="0" t="str">
        <f aca="false">IF(N864&gt;=Models!$G$7,1+COUNTIF($N$5:$N$1517,"&gt;"&amp;N864)+COUNTIFS($N$5:$N$1517,N864,$B$5:$B$1517,"&lt;"&amp;B864)+COUNTIFS($N$5:$N$1517,N864,$B$5:$B$1517,B864,$C$5:$C$1517,"&lt;"&amp;C864),"")</f>
        <v/>
      </c>
      <c r="T864" s="8" t="n">
        <f aca="false">IF(O864&gt;=Models!$G$8,1+COUNTIF($O$5:$O$1517,"&gt;"&amp;O864)+COUNTIFS($O$5:$O$1517,O864,$B$5:$B$1517,"&lt;"&amp;B864)+COUNTIFS($O$5:$O$1517,O864,$B$5:$B$1517,B864,$C$5:$C$1517,"&lt;"&amp;C864),"")</f>
        <v>500</v>
      </c>
      <c r="U864" s="8" t="n">
        <f aca="false">IF($K864=1,COUNTIFS($L$5:$L$1517,"&gt;="&amp;L864,$K$5:$K$1517,1)/COUNTIF($L$5:$L$1517,"&gt;="&amp;L864),0)</f>
        <v>0</v>
      </c>
      <c r="V864" s="8" t="n">
        <f aca="false">IF($K864=1,COUNTIFS($M$5:$M$1517,"&gt;="&amp;M864,$K$5:$K$1517,1)/COUNTIF($M$5:$M$1517,"&gt;="&amp;M864),0)</f>
        <v>0</v>
      </c>
      <c r="W864" s="8" t="n">
        <f aca="false">IF($K864=1,COUNTIFS($N$5:$N$1517,"&gt;="&amp;N864,$K$5:$K$1517,1)/COUNTIF($N$5:$N$1517,"&gt;="&amp;N864),0)</f>
        <v>0</v>
      </c>
      <c r="X864" s="8" t="n">
        <f aca="false">IF($K864=1,COUNTIFS($O$5:$O$1517,"&gt;="&amp;O864,$K$5:$K$1517,1)/COUNTIF($O$5:$O$1517,"&gt;="&amp;O864),0)</f>
        <v>0</v>
      </c>
      <c r="Y864" s="8" t="n">
        <f aca="false">IF($K864=1,COUNTIFS($P$5:$P$1517,"&gt;="&amp;P864,$K$5:$K$1517,1)/COUNTIF($P$5:$P$1517,"&gt;="&amp;P864),0)</f>
        <v>0</v>
      </c>
      <c r="Z864" s="8" t="n">
        <f aca="false">(L864-$K864)^2</f>
        <v>0.750519005625</v>
      </c>
      <c r="AA864" s="8" t="n">
        <f aca="false">(M864-$K864)^2</f>
        <v>0.008475595969</v>
      </c>
      <c r="AB864" s="8" t="n">
        <f aca="false">(N864-$K864)^2</f>
        <v>0.018396581956</v>
      </c>
      <c r="AC864" s="8" t="n">
        <f aca="false">(O864-$K864)^2</f>
        <v>0.011274829489</v>
      </c>
      <c r="AD864" s="8" t="n">
        <f aca="false">(P864-$K864)^2</f>
        <v>0.021139706025</v>
      </c>
      <c r="AE864" s="8" t="n">
        <f aca="false">MIN(INT(ROUND(N864*1000000,0)/100000),9)</f>
        <v>1</v>
      </c>
      <c r="AF864" s="8" t="n">
        <f aca="false">MIN(INT(ROUND(P864*1000000,0)/100000),9)</f>
        <v>1</v>
      </c>
    </row>
    <row r="865" customFormat="false" ht="15" hidden="false" customHeight="false" outlineLevel="0" collapsed="false">
      <c r="A865" s="4" t="n">
        <v>861</v>
      </c>
      <c r="B865" s="4" t="n">
        <v>665</v>
      </c>
      <c r="C865" s="4" t="n">
        <v>2</v>
      </c>
      <c r="D865" s="11" t="n">
        <v>46113</v>
      </c>
      <c r="E865" s="4" t="s">
        <v>204</v>
      </c>
      <c r="F865" s="4" t="s">
        <v>206</v>
      </c>
      <c r="G865" s="4" t="n">
        <v>2</v>
      </c>
      <c r="H865" s="4" t="n">
        <v>19</v>
      </c>
      <c r="I865" s="4" t="n">
        <v>0</v>
      </c>
      <c r="J865" s="4" t="n">
        <v>93</v>
      </c>
      <c r="K865" s="4" t="n">
        <v>0</v>
      </c>
      <c r="L865" s="12" t="n">
        <v>0.998535</v>
      </c>
      <c r="M865" s="12" t="n">
        <v>0.092063</v>
      </c>
      <c r="N865" s="12" t="n">
        <v>0.156336</v>
      </c>
      <c r="O865" s="12" t="n">
        <v>0.106183</v>
      </c>
      <c r="P865" s="12" t="n">
        <v>0.168404</v>
      </c>
      <c r="Q865" s="8" t="n">
        <f aca="false">IF(L865&gt;=Models!$G$5,1+COUNTIF($L$5:$L$1517,"&gt;"&amp;L865)+COUNTIFS($L$5:$L$1517,L865,$B$5:$B$1517,"&lt;"&amp;B865)+COUNTIFS($L$5:$L$1517,L865,$B$5:$B$1517,B865,$C$5:$C$1517,"&lt;"&amp;C865),"")</f>
        <v>1</v>
      </c>
      <c r="R865" s="0" t="str">
        <f aca="false">IF(M865&gt;=Models!$G$6,1+COUNTIF($M$5:$M$1517,"&gt;"&amp;M865)+COUNTIFS($M$5:$M$1517,M865,$B$5:$B$1517,"&lt;"&amp;B865)+COUNTIFS($M$5:$M$1517,M865,$B$5:$B$1517,B865,$C$5:$C$1517,"&lt;"&amp;C865),"")</f>
        <v/>
      </c>
      <c r="S865" s="0" t="str">
        <f aca="false">IF(N865&gt;=Models!$G$7,1+COUNTIF($N$5:$N$1517,"&gt;"&amp;N865)+COUNTIFS($N$5:$N$1517,N865,$B$5:$B$1517,"&lt;"&amp;B865)+COUNTIFS($N$5:$N$1517,N865,$B$5:$B$1517,B865,$C$5:$C$1517,"&lt;"&amp;C865),"")</f>
        <v/>
      </c>
      <c r="T865" s="8" t="n">
        <f aca="false">IF(O865&gt;=Models!$G$8,1+COUNTIF($O$5:$O$1517,"&gt;"&amp;O865)+COUNTIFS($O$5:$O$1517,O865,$B$5:$B$1517,"&lt;"&amp;B865)+COUNTIFS($O$5:$O$1517,O865,$B$5:$B$1517,B865,$C$5:$C$1517,"&lt;"&amp;C865),"")</f>
        <v>504</v>
      </c>
      <c r="U865" s="8" t="n">
        <f aca="false">IF($K865=1,COUNTIFS($L$5:$L$1517,"&gt;="&amp;L865,$K$5:$K$1517,1)/COUNTIF($L$5:$L$1517,"&gt;="&amp;L865),0)</f>
        <v>0</v>
      </c>
      <c r="V865" s="8" t="n">
        <f aca="false">IF($K865=1,COUNTIFS($M$5:$M$1517,"&gt;="&amp;M865,$K$5:$K$1517,1)/COUNTIF($M$5:$M$1517,"&gt;="&amp;M865),0)</f>
        <v>0</v>
      </c>
      <c r="W865" s="8" t="n">
        <f aca="false">IF($K865=1,COUNTIFS($N$5:$N$1517,"&gt;="&amp;N865,$K$5:$K$1517,1)/COUNTIF($N$5:$N$1517,"&gt;="&amp;N865),0)</f>
        <v>0</v>
      </c>
      <c r="X865" s="8" t="n">
        <f aca="false">IF($K865=1,COUNTIFS($O$5:$O$1517,"&gt;="&amp;O865,$K$5:$K$1517,1)/COUNTIF($O$5:$O$1517,"&gt;="&amp;O865),0)</f>
        <v>0</v>
      </c>
      <c r="Y865" s="8" t="n">
        <f aca="false">IF($K865=1,COUNTIFS($P$5:$P$1517,"&gt;="&amp;P865,$K$5:$K$1517,1)/COUNTIF($P$5:$P$1517,"&gt;="&amp;P865),0)</f>
        <v>0</v>
      </c>
      <c r="Z865" s="8" t="n">
        <f aca="false">(L865-$K865)^2</f>
        <v>0.997072146225</v>
      </c>
      <c r="AA865" s="8" t="n">
        <f aca="false">(M865-$K865)^2</f>
        <v>0.008475595969</v>
      </c>
      <c r="AB865" s="8" t="n">
        <f aca="false">(N865-$K865)^2</f>
        <v>0.024440944896</v>
      </c>
      <c r="AC865" s="8" t="n">
        <f aca="false">(O865-$K865)^2</f>
        <v>0.011274829489</v>
      </c>
      <c r="AD865" s="8" t="n">
        <f aca="false">(P865-$K865)^2</f>
        <v>0.028359907216</v>
      </c>
      <c r="AE865" s="8" t="n">
        <f aca="false">MIN(INT(ROUND(N865*1000000,0)/100000),9)</f>
        <v>1</v>
      </c>
      <c r="AF865" s="8" t="n">
        <f aca="false">MIN(INT(ROUND(P865*1000000,0)/100000),9)</f>
        <v>1</v>
      </c>
    </row>
    <row r="866" customFormat="false" ht="15" hidden="false" customHeight="false" outlineLevel="0" collapsed="false">
      <c r="A866" s="4" t="n">
        <v>862</v>
      </c>
      <c r="B866" s="4" t="n">
        <v>670</v>
      </c>
      <c r="C866" s="4" t="n">
        <v>2</v>
      </c>
      <c r="D866" s="11" t="n">
        <v>46113</v>
      </c>
      <c r="E866" s="4" t="s">
        <v>201</v>
      </c>
      <c r="F866" s="4" t="s">
        <v>208</v>
      </c>
      <c r="G866" s="4" t="n">
        <v>10</v>
      </c>
      <c r="H866" s="4" t="n">
        <v>2</v>
      </c>
      <c r="I866" s="4" t="n">
        <v>0</v>
      </c>
      <c r="J866" s="4"/>
      <c r="K866" s="4" t="n">
        <v>0</v>
      </c>
      <c r="L866" s="12" t="n">
        <v>0.756688</v>
      </c>
      <c r="M866" s="12" t="n">
        <v>0.092063</v>
      </c>
      <c r="N866" s="12" t="n">
        <v>0.035697</v>
      </c>
      <c r="O866" s="12" t="n">
        <v>0.106183</v>
      </c>
      <c r="P866" s="12" t="n">
        <v>0.036117</v>
      </c>
      <c r="Q866" s="0" t="str">
        <f aca="false">IF(L866&gt;=Models!$G$5,1+COUNTIF($L$5:$L$1517,"&gt;"&amp;L866)+COUNTIFS($L$5:$L$1517,L866,$B$5:$B$1517,"&lt;"&amp;B866)+COUNTIFS($L$5:$L$1517,L866,$B$5:$B$1517,B866,$C$5:$C$1517,"&lt;"&amp;C866),"")</f>
        <v/>
      </c>
      <c r="R866" s="0" t="str">
        <f aca="false">IF(M866&gt;=Models!$G$6,1+COUNTIF($M$5:$M$1517,"&gt;"&amp;M866)+COUNTIFS($M$5:$M$1517,M866,$B$5:$B$1517,"&lt;"&amp;B866)+COUNTIFS($M$5:$M$1517,M866,$B$5:$B$1517,B866,$C$5:$C$1517,"&lt;"&amp;C866),"")</f>
        <v/>
      </c>
      <c r="S866" s="0" t="str">
        <f aca="false">IF(N866&gt;=Models!$G$7,1+COUNTIF($N$5:$N$1517,"&gt;"&amp;N866)+COUNTIFS($N$5:$N$1517,N866,$B$5:$B$1517,"&lt;"&amp;B866)+COUNTIFS($N$5:$N$1517,N866,$B$5:$B$1517,B866,$C$5:$C$1517,"&lt;"&amp;C866),"")</f>
        <v/>
      </c>
      <c r="T866" s="8" t="n">
        <f aca="false">IF(O866&gt;=Models!$G$8,1+COUNTIF($O$5:$O$1517,"&gt;"&amp;O866)+COUNTIFS($O$5:$O$1517,O866,$B$5:$B$1517,"&lt;"&amp;B866)+COUNTIFS($O$5:$O$1517,O866,$B$5:$B$1517,B866,$C$5:$C$1517,"&lt;"&amp;C866),"")</f>
        <v>508</v>
      </c>
      <c r="U866" s="8" t="n">
        <f aca="false">IF($K866=1,COUNTIFS($L$5:$L$1517,"&gt;="&amp;L866,$K$5:$K$1517,1)/COUNTIF($L$5:$L$1517,"&gt;="&amp;L866),0)</f>
        <v>0</v>
      </c>
      <c r="V866" s="8" t="n">
        <f aca="false">IF($K866=1,COUNTIFS($M$5:$M$1517,"&gt;="&amp;M866,$K$5:$K$1517,1)/COUNTIF($M$5:$M$1517,"&gt;="&amp;M866),0)</f>
        <v>0</v>
      </c>
      <c r="W866" s="8" t="n">
        <f aca="false">IF($K866=1,COUNTIFS($N$5:$N$1517,"&gt;="&amp;N866,$K$5:$K$1517,1)/COUNTIF($N$5:$N$1517,"&gt;="&amp;N866),0)</f>
        <v>0</v>
      </c>
      <c r="X866" s="8" t="n">
        <f aca="false">IF($K866=1,COUNTIFS($O$5:$O$1517,"&gt;="&amp;O866,$K$5:$K$1517,1)/COUNTIF($O$5:$O$1517,"&gt;="&amp;O866),0)</f>
        <v>0</v>
      </c>
      <c r="Y866" s="8" t="n">
        <f aca="false">IF($K866=1,COUNTIFS($P$5:$P$1517,"&gt;="&amp;P866,$K$5:$K$1517,1)/COUNTIF($P$5:$P$1517,"&gt;="&amp;P866),0)</f>
        <v>0</v>
      </c>
      <c r="Z866" s="8" t="n">
        <f aca="false">(L866-$K866)^2</f>
        <v>0.572576729344</v>
      </c>
      <c r="AA866" s="8" t="n">
        <f aca="false">(M866-$K866)^2</f>
        <v>0.008475595969</v>
      </c>
      <c r="AB866" s="8" t="n">
        <f aca="false">(N866-$K866)^2</f>
        <v>0.001274275809</v>
      </c>
      <c r="AC866" s="8" t="n">
        <f aca="false">(O866-$K866)^2</f>
        <v>0.011274829489</v>
      </c>
      <c r="AD866" s="8" t="n">
        <f aca="false">(P866-$K866)^2</f>
        <v>0.001304437689</v>
      </c>
      <c r="AE866" s="8" t="n">
        <f aca="false">MIN(INT(ROUND(N866*1000000,0)/100000),9)</f>
        <v>0</v>
      </c>
      <c r="AF866" s="8" t="n">
        <f aca="false">MIN(INT(ROUND(P866*1000000,0)/100000),9)</f>
        <v>0</v>
      </c>
    </row>
    <row r="867" customFormat="false" ht="15" hidden="false" customHeight="false" outlineLevel="0" collapsed="false">
      <c r="A867" s="4" t="n">
        <v>863</v>
      </c>
      <c r="B867" s="4" t="n">
        <v>671</v>
      </c>
      <c r="C867" s="4" t="n">
        <v>2</v>
      </c>
      <c r="D867" s="11" t="n">
        <v>46113</v>
      </c>
      <c r="E867" s="4" t="s">
        <v>203</v>
      </c>
      <c r="F867" s="4" t="s">
        <v>209</v>
      </c>
      <c r="G867" s="4" t="n">
        <v>2</v>
      </c>
      <c r="H867" s="4" t="n">
        <v>3</v>
      </c>
      <c r="I867" s="4" t="n">
        <v>0</v>
      </c>
      <c r="J867" s="4"/>
      <c r="K867" s="4" t="n">
        <v>1</v>
      </c>
      <c r="L867" s="12" t="n">
        <v>0.672344</v>
      </c>
      <c r="M867" s="12" t="n">
        <v>0.092063</v>
      </c>
      <c r="N867" s="12" t="n">
        <v>0.071212</v>
      </c>
      <c r="O867" s="12" t="n">
        <v>0.106183</v>
      </c>
      <c r="P867" s="12" t="n">
        <v>0.074369</v>
      </c>
      <c r="Q867" s="0" t="str">
        <f aca="false">IF(L867&gt;=Models!$G$5,1+COUNTIF($L$5:$L$1517,"&gt;"&amp;L867)+COUNTIFS($L$5:$L$1517,L867,$B$5:$B$1517,"&lt;"&amp;B867)+COUNTIFS($L$5:$L$1517,L867,$B$5:$B$1517,B867,$C$5:$C$1517,"&lt;"&amp;C867),"")</f>
        <v/>
      </c>
      <c r="R867" s="0" t="str">
        <f aca="false">IF(M867&gt;=Models!$G$6,1+COUNTIF($M$5:$M$1517,"&gt;"&amp;M867)+COUNTIFS($M$5:$M$1517,M867,$B$5:$B$1517,"&lt;"&amp;B867)+COUNTIFS($M$5:$M$1517,M867,$B$5:$B$1517,B867,$C$5:$C$1517,"&lt;"&amp;C867),"")</f>
        <v/>
      </c>
      <c r="S867" s="0" t="str">
        <f aca="false">IF(N867&gt;=Models!$G$7,1+COUNTIF($N$5:$N$1517,"&gt;"&amp;N867)+COUNTIFS($N$5:$N$1517,N867,$B$5:$B$1517,"&lt;"&amp;B867)+COUNTIFS($N$5:$N$1517,N867,$B$5:$B$1517,B867,$C$5:$C$1517,"&lt;"&amp;C867),"")</f>
        <v/>
      </c>
      <c r="T867" s="8" t="n">
        <f aca="false">IF(O867&gt;=Models!$G$8,1+COUNTIF($O$5:$O$1517,"&gt;"&amp;O867)+COUNTIFS($O$5:$O$1517,O867,$B$5:$B$1517,"&lt;"&amp;B867)+COUNTIFS($O$5:$O$1517,O867,$B$5:$B$1517,B867,$C$5:$C$1517,"&lt;"&amp;C867),"")</f>
        <v>512</v>
      </c>
      <c r="U867" s="8" t="n">
        <f aca="false">IF($K867=1,COUNTIFS($L$5:$L$1517,"&gt;="&amp;L867,$K$5:$K$1517,1)/COUNTIF($L$5:$L$1517,"&gt;="&amp;L867),0)</f>
        <v>0.129979035639413</v>
      </c>
      <c r="V867" s="8" t="n">
        <f aca="false">IF($K867=1,COUNTIFS($M$5:$M$1517,"&gt;="&amp;M867,$K$5:$K$1517,1)/COUNTIF($M$5:$M$1517,"&gt;="&amp;M867),0)</f>
        <v>0.12491738268341</v>
      </c>
      <c r="W867" s="8" t="n">
        <f aca="false">IF($K867=1,COUNTIFS($N$5:$N$1517,"&gt;="&amp;N867,$K$5:$K$1517,1)/COUNTIF($N$5:$N$1517,"&gt;="&amp;N867),0)</f>
        <v>0.164583333333333</v>
      </c>
      <c r="X867" s="8" t="n">
        <f aca="false">IF($K867=1,COUNTIFS($O$5:$O$1517,"&gt;="&amp;O867,$K$5:$K$1517,1)/COUNTIF($O$5:$O$1517,"&gt;="&amp;O867),0)</f>
        <v>0.12491738268341</v>
      </c>
      <c r="Y867" s="8" t="n">
        <f aca="false">IF($K867=1,COUNTIFS($P$5:$P$1517,"&gt;="&amp;P867,$K$5:$K$1517,1)/COUNTIF($P$5:$P$1517,"&gt;="&amp;P867),0)</f>
        <v>0.164583333333333</v>
      </c>
      <c r="Z867" s="8" t="n">
        <f aca="false">(L867-$K867)^2</f>
        <v>0.107358454336</v>
      </c>
      <c r="AA867" s="8" t="n">
        <f aca="false">(M867-$K867)^2</f>
        <v>0.824349595969</v>
      </c>
      <c r="AB867" s="8" t="n">
        <f aca="false">(N867-$K867)^2</f>
        <v>0.862647148944</v>
      </c>
      <c r="AC867" s="8" t="n">
        <f aca="false">(O867-$K867)^2</f>
        <v>0.798908829489</v>
      </c>
      <c r="AD867" s="8" t="n">
        <f aca="false">(P867-$K867)^2</f>
        <v>0.856792748161</v>
      </c>
      <c r="AE867" s="8" t="n">
        <f aca="false">MIN(INT(ROUND(N867*1000000,0)/100000),9)</f>
        <v>0</v>
      </c>
      <c r="AF867" s="8" t="n">
        <f aca="false">MIN(INT(ROUND(P867*1000000,0)/100000),9)</f>
        <v>0</v>
      </c>
    </row>
    <row r="868" customFormat="false" ht="15" hidden="false" customHeight="false" outlineLevel="0" collapsed="false">
      <c r="A868" s="4" t="n">
        <v>864</v>
      </c>
      <c r="B868" s="4" t="n">
        <v>675</v>
      </c>
      <c r="C868" s="4" t="n">
        <v>2</v>
      </c>
      <c r="D868" s="11" t="n">
        <v>46113</v>
      </c>
      <c r="E868" s="4" t="s">
        <v>201</v>
      </c>
      <c r="F868" s="4" t="s">
        <v>207</v>
      </c>
      <c r="G868" s="4" t="n">
        <v>20</v>
      </c>
      <c r="H868" s="4" t="n">
        <v>1</v>
      </c>
      <c r="I868" s="4" t="n">
        <v>0</v>
      </c>
      <c r="J868" s="4" t="n">
        <v>2640</v>
      </c>
      <c r="K868" s="4" t="n">
        <v>0</v>
      </c>
      <c r="L868" s="12" t="n">
        <v>0.590042</v>
      </c>
      <c r="M868" s="12" t="n">
        <v>0.092063</v>
      </c>
      <c r="N868" s="12" t="n">
        <v>0.026571</v>
      </c>
      <c r="O868" s="12" t="n">
        <v>0.106183</v>
      </c>
      <c r="P868" s="12" t="n">
        <v>0.02651</v>
      </c>
      <c r="Q868" s="0" t="str">
        <f aca="false">IF(L868&gt;=Models!$G$5,1+COUNTIF($L$5:$L$1517,"&gt;"&amp;L868)+COUNTIFS($L$5:$L$1517,L868,$B$5:$B$1517,"&lt;"&amp;B868)+COUNTIFS($L$5:$L$1517,L868,$B$5:$B$1517,B868,$C$5:$C$1517,"&lt;"&amp;C868),"")</f>
        <v/>
      </c>
      <c r="R868" s="0" t="str">
        <f aca="false">IF(M868&gt;=Models!$G$6,1+COUNTIF($M$5:$M$1517,"&gt;"&amp;M868)+COUNTIFS($M$5:$M$1517,M868,$B$5:$B$1517,"&lt;"&amp;B868)+COUNTIFS($M$5:$M$1517,M868,$B$5:$B$1517,B868,$C$5:$C$1517,"&lt;"&amp;C868),"")</f>
        <v/>
      </c>
      <c r="S868" s="0" t="str">
        <f aca="false">IF(N868&gt;=Models!$G$7,1+COUNTIF($N$5:$N$1517,"&gt;"&amp;N868)+COUNTIFS($N$5:$N$1517,N868,$B$5:$B$1517,"&lt;"&amp;B868)+COUNTIFS($N$5:$N$1517,N868,$B$5:$B$1517,B868,$C$5:$C$1517,"&lt;"&amp;C868),"")</f>
        <v/>
      </c>
      <c r="T868" s="8" t="n">
        <f aca="false">IF(O868&gt;=Models!$G$8,1+COUNTIF($O$5:$O$1517,"&gt;"&amp;O868)+COUNTIFS($O$5:$O$1517,O868,$B$5:$B$1517,"&lt;"&amp;B868)+COUNTIFS($O$5:$O$1517,O868,$B$5:$B$1517,B868,$C$5:$C$1517,"&lt;"&amp;C868),"")</f>
        <v>516</v>
      </c>
      <c r="U868" s="8" t="n">
        <f aca="false">IF($K868=1,COUNTIFS($L$5:$L$1517,"&gt;="&amp;L868,$K$5:$K$1517,1)/COUNTIF($L$5:$L$1517,"&gt;="&amp;L868),0)</f>
        <v>0</v>
      </c>
      <c r="V868" s="8" t="n">
        <f aca="false">IF($K868=1,COUNTIFS($M$5:$M$1517,"&gt;="&amp;M868,$K$5:$K$1517,1)/COUNTIF($M$5:$M$1517,"&gt;="&amp;M868),0)</f>
        <v>0</v>
      </c>
      <c r="W868" s="8" t="n">
        <f aca="false">IF($K868=1,COUNTIFS($N$5:$N$1517,"&gt;="&amp;N868,$K$5:$K$1517,1)/COUNTIF($N$5:$N$1517,"&gt;="&amp;N868),0)</f>
        <v>0</v>
      </c>
      <c r="X868" s="8" t="n">
        <f aca="false">IF($K868=1,COUNTIFS($O$5:$O$1517,"&gt;="&amp;O868,$K$5:$K$1517,1)/COUNTIF($O$5:$O$1517,"&gt;="&amp;O868),0)</f>
        <v>0</v>
      </c>
      <c r="Y868" s="8" t="n">
        <f aca="false">IF($K868=1,COUNTIFS($P$5:$P$1517,"&gt;="&amp;P868,$K$5:$K$1517,1)/COUNTIF($P$5:$P$1517,"&gt;="&amp;P868),0)</f>
        <v>0</v>
      </c>
      <c r="Z868" s="8" t="n">
        <f aca="false">(L868-$K868)^2</f>
        <v>0.348149561764</v>
      </c>
      <c r="AA868" s="8" t="n">
        <f aca="false">(M868-$K868)^2</f>
        <v>0.008475595969</v>
      </c>
      <c r="AB868" s="8" t="n">
        <f aca="false">(N868-$K868)^2</f>
        <v>0.000706018041</v>
      </c>
      <c r="AC868" s="8" t="n">
        <f aca="false">(O868-$K868)^2</f>
        <v>0.011274829489</v>
      </c>
      <c r="AD868" s="8" t="n">
        <f aca="false">(P868-$K868)^2</f>
        <v>0.0007027801</v>
      </c>
      <c r="AE868" s="8" t="n">
        <f aca="false">MIN(INT(ROUND(N868*1000000,0)/100000),9)</f>
        <v>0</v>
      </c>
      <c r="AF868" s="8" t="n">
        <f aca="false">MIN(INT(ROUND(P868*1000000,0)/100000),9)</f>
        <v>0</v>
      </c>
    </row>
    <row r="869" customFormat="false" ht="15" hidden="false" customHeight="false" outlineLevel="0" collapsed="false">
      <c r="A869" s="4" t="n">
        <v>865</v>
      </c>
      <c r="B869" s="4" t="n">
        <v>677</v>
      </c>
      <c r="C869" s="4" t="n">
        <v>2</v>
      </c>
      <c r="D869" s="11" t="n">
        <v>46113</v>
      </c>
      <c r="E869" s="4" t="s">
        <v>201</v>
      </c>
      <c r="F869" s="4" t="s">
        <v>210</v>
      </c>
      <c r="G869" s="4" t="n">
        <v>10</v>
      </c>
      <c r="H869" s="4" t="n">
        <v>2</v>
      </c>
      <c r="I869" s="4" t="n">
        <v>0</v>
      </c>
      <c r="J869" s="4"/>
      <c r="K869" s="4" t="n">
        <v>0</v>
      </c>
      <c r="L869" s="12" t="n">
        <v>0.562601</v>
      </c>
      <c r="M869" s="12" t="n">
        <v>0.092063</v>
      </c>
      <c r="N869" s="12" t="n">
        <v>0.035697</v>
      </c>
      <c r="O869" s="12" t="n">
        <v>0.106183</v>
      </c>
      <c r="P869" s="12" t="n">
        <v>0.036117</v>
      </c>
      <c r="Q869" s="0" t="str">
        <f aca="false">IF(L869&gt;=Models!$G$5,1+COUNTIF($L$5:$L$1517,"&gt;"&amp;L869)+COUNTIFS($L$5:$L$1517,L869,$B$5:$B$1517,"&lt;"&amp;B869)+COUNTIFS($L$5:$L$1517,L869,$B$5:$B$1517,B869,$C$5:$C$1517,"&lt;"&amp;C869),"")</f>
        <v/>
      </c>
      <c r="R869" s="0" t="str">
        <f aca="false">IF(M869&gt;=Models!$G$6,1+COUNTIF($M$5:$M$1517,"&gt;"&amp;M869)+COUNTIFS($M$5:$M$1517,M869,$B$5:$B$1517,"&lt;"&amp;B869)+COUNTIFS($M$5:$M$1517,M869,$B$5:$B$1517,B869,$C$5:$C$1517,"&lt;"&amp;C869),"")</f>
        <v/>
      </c>
      <c r="S869" s="0" t="str">
        <f aca="false">IF(N869&gt;=Models!$G$7,1+COUNTIF($N$5:$N$1517,"&gt;"&amp;N869)+COUNTIFS($N$5:$N$1517,N869,$B$5:$B$1517,"&lt;"&amp;B869)+COUNTIFS($N$5:$N$1517,N869,$B$5:$B$1517,B869,$C$5:$C$1517,"&lt;"&amp;C869),"")</f>
        <v/>
      </c>
      <c r="T869" s="8" t="n">
        <f aca="false">IF(O869&gt;=Models!$G$8,1+COUNTIF($O$5:$O$1517,"&gt;"&amp;O869)+COUNTIFS($O$5:$O$1517,O869,$B$5:$B$1517,"&lt;"&amp;B869)+COUNTIFS($O$5:$O$1517,O869,$B$5:$B$1517,B869,$C$5:$C$1517,"&lt;"&amp;C869),"")</f>
        <v>520</v>
      </c>
      <c r="U869" s="8" t="n">
        <f aca="false">IF($K869=1,COUNTIFS($L$5:$L$1517,"&gt;="&amp;L869,$K$5:$K$1517,1)/COUNTIF($L$5:$L$1517,"&gt;="&amp;L869),0)</f>
        <v>0</v>
      </c>
      <c r="V869" s="8" t="n">
        <f aca="false">IF($K869=1,COUNTIFS($M$5:$M$1517,"&gt;="&amp;M869,$K$5:$K$1517,1)/COUNTIF($M$5:$M$1517,"&gt;="&amp;M869),0)</f>
        <v>0</v>
      </c>
      <c r="W869" s="8" t="n">
        <f aca="false">IF($K869=1,COUNTIFS($N$5:$N$1517,"&gt;="&amp;N869,$K$5:$K$1517,1)/COUNTIF($N$5:$N$1517,"&gt;="&amp;N869),0)</f>
        <v>0</v>
      </c>
      <c r="X869" s="8" t="n">
        <f aca="false">IF($K869=1,COUNTIFS($O$5:$O$1517,"&gt;="&amp;O869,$K$5:$K$1517,1)/COUNTIF($O$5:$O$1517,"&gt;="&amp;O869),0)</f>
        <v>0</v>
      </c>
      <c r="Y869" s="8" t="n">
        <f aca="false">IF($K869=1,COUNTIFS($P$5:$P$1517,"&gt;="&amp;P869,$K$5:$K$1517,1)/COUNTIF($P$5:$P$1517,"&gt;="&amp;P869),0)</f>
        <v>0</v>
      </c>
      <c r="Z869" s="8" t="n">
        <f aca="false">(L869-$K869)^2</f>
        <v>0.316519885201</v>
      </c>
      <c r="AA869" s="8" t="n">
        <f aca="false">(M869-$K869)^2</f>
        <v>0.008475595969</v>
      </c>
      <c r="AB869" s="8" t="n">
        <f aca="false">(N869-$K869)^2</f>
        <v>0.001274275809</v>
      </c>
      <c r="AC869" s="8" t="n">
        <f aca="false">(O869-$K869)^2</f>
        <v>0.011274829489</v>
      </c>
      <c r="AD869" s="8" t="n">
        <f aca="false">(P869-$K869)^2</f>
        <v>0.001304437689</v>
      </c>
      <c r="AE869" s="8" t="n">
        <f aca="false">MIN(INT(ROUND(N869*1000000,0)/100000),9)</f>
        <v>0</v>
      </c>
      <c r="AF869" s="8" t="n">
        <f aca="false">MIN(INT(ROUND(P869*1000000,0)/100000),9)</f>
        <v>0</v>
      </c>
    </row>
    <row r="870" customFormat="false" ht="15" hidden="false" customHeight="false" outlineLevel="0" collapsed="false">
      <c r="A870" s="4" t="n">
        <v>866</v>
      </c>
      <c r="B870" s="4" t="n">
        <v>680</v>
      </c>
      <c r="C870" s="4" t="n">
        <v>2</v>
      </c>
      <c r="D870" s="11" t="n">
        <v>46113</v>
      </c>
      <c r="E870" s="4" t="s">
        <v>201</v>
      </c>
      <c r="F870" s="4" t="s">
        <v>207</v>
      </c>
      <c r="G870" s="4" t="n">
        <v>15</v>
      </c>
      <c r="H870" s="4" t="n">
        <v>1</v>
      </c>
      <c r="I870" s="4" t="n">
        <v>1</v>
      </c>
      <c r="J870" s="4" t="n">
        <v>3843</v>
      </c>
      <c r="K870" s="4" t="n">
        <v>0</v>
      </c>
      <c r="L870" s="12" t="n">
        <v>0.304047</v>
      </c>
      <c r="M870" s="12" t="n">
        <v>0.184211</v>
      </c>
      <c r="N870" s="12" t="n">
        <v>0.067555</v>
      </c>
      <c r="O870" s="12" t="n">
        <v>0.106183</v>
      </c>
      <c r="P870" s="12" t="n">
        <v>0.070386</v>
      </c>
      <c r="Q870" s="0" t="str">
        <f aca="false">IF(L870&gt;=Models!$G$5,1+COUNTIF($L$5:$L$1517,"&gt;"&amp;L870)+COUNTIFS($L$5:$L$1517,L870,$B$5:$B$1517,"&lt;"&amp;B870)+COUNTIFS($L$5:$L$1517,L870,$B$5:$B$1517,B870,$C$5:$C$1517,"&lt;"&amp;C870),"")</f>
        <v/>
      </c>
      <c r="R870" s="8" t="n">
        <f aca="false">IF(M870&gt;=Models!$G$6,1+COUNTIF($M$5:$M$1517,"&gt;"&amp;M870)+COUNTIFS($M$5:$M$1517,M870,$B$5:$B$1517,"&lt;"&amp;B870)+COUNTIFS($M$5:$M$1517,M870,$B$5:$B$1517,B870,$C$5:$C$1517,"&lt;"&amp;C870),"")</f>
        <v>53</v>
      </c>
      <c r="S870" s="0" t="str">
        <f aca="false">IF(N870&gt;=Models!$G$7,1+COUNTIF($N$5:$N$1517,"&gt;"&amp;N870)+COUNTIFS($N$5:$N$1517,N870,$B$5:$B$1517,"&lt;"&amp;B870)+COUNTIFS($N$5:$N$1517,N870,$B$5:$B$1517,B870,$C$5:$C$1517,"&lt;"&amp;C870),"")</f>
        <v/>
      </c>
      <c r="T870" s="8" t="n">
        <f aca="false">IF(O870&gt;=Models!$G$8,1+COUNTIF($O$5:$O$1517,"&gt;"&amp;O870)+COUNTIFS($O$5:$O$1517,O870,$B$5:$B$1517,"&lt;"&amp;B870)+COUNTIFS($O$5:$O$1517,O870,$B$5:$B$1517,B870,$C$5:$C$1517,"&lt;"&amp;C870),"")</f>
        <v>524</v>
      </c>
      <c r="U870" s="8" t="n">
        <f aca="false">IF($K870=1,COUNTIFS($L$5:$L$1517,"&gt;="&amp;L870,$K$5:$K$1517,1)/COUNTIF($L$5:$L$1517,"&gt;="&amp;L870),0)</f>
        <v>0</v>
      </c>
      <c r="V870" s="8" t="n">
        <f aca="false">IF($K870=1,COUNTIFS($M$5:$M$1517,"&gt;="&amp;M870,$K$5:$K$1517,1)/COUNTIF($M$5:$M$1517,"&gt;="&amp;M870),0)</f>
        <v>0</v>
      </c>
      <c r="W870" s="8" t="n">
        <f aca="false">IF($K870=1,COUNTIFS($N$5:$N$1517,"&gt;="&amp;N870,$K$5:$K$1517,1)/COUNTIF($N$5:$N$1517,"&gt;="&amp;N870),0)</f>
        <v>0</v>
      </c>
      <c r="X870" s="8" t="n">
        <f aca="false">IF($K870=1,COUNTIFS($O$5:$O$1517,"&gt;="&amp;O870,$K$5:$K$1517,1)/COUNTIF($O$5:$O$1517,"&gt;="&amp;O870),0)</f>
        <v>0</v>
      </c>
      <c r="Y870" s="8" t="n">
        <f aca="false">IF($K870=1,COUNTIFS($P$5:$P$1517,"&gt;="&amp;P870,$K$5:$K$1517,1)/COUNTIF($P$5:$P$1517,"&gt;="&amp;P870),0)</f>
        <v>0</v>
      </c>
      <c r="Z870" s="8" t="n">
        <f aca="false">(L870-$K870)^2</f>
        <v>0.092444578209</v>
      </c>
      <c r="AA870" s="8" t="n">
        <f aca="false">(M870-$K870)^2</f>
        <v>0.033933692521</v>
      </c>
      <c r="AB870" s="8" t="n">
        <f aca="false">(N870-$K870)^2</f>
        <v>0.004563678025</v>
      </c>
      <c r="AC870" s="8" t="n">
        <f aca="false">(O870-$K870)^2</f>
        <v>0.011274829489</v>
      </c>
      <c r="AD870" s="8" t="n">
        <f aca="false">(P870-$K870)^2</f>
        <v>0.004954188996</v>
      </c>
      <c r="AE870" s="8" t="n">
        <f aca="false">MIN(INT(ROUND(N870*1000000,0)/100000),9)</f>
        <v>0</v>
      </c>
      <c r="AF870" s="8" t="n">
        <f aca="false">MIN(INT(ROUND(P870*1000000,0)/100000),9)</f>
        <v>0</v>
      </c>
    </row>
    <row r="871" customFormat="false" ht="15" hidden="false" customHeight="false" outlineLevel="0" collapsed="false">
      <c r="A871" s="4" t="n">
        <v>867</v>
      </c>
      <c r="B871" s="4" t="n">
        <v>683</v>
      </c>
      <c r="C871" s="4" t="n">
        <v>2</v>
      </c>
      <c r="D871" s="11" t="n">
        <v>46113</v>
      </c>
      <c r="E871" s="4" t="s">
        <v>204</v>
      </c>
      <c r="F871" s="4" t="s">
        <v>206</v>
      </c>
      <c r="G871" s="4" t="n">
        <v>3</v>
      </c>
      <c r="H871" s="4" t="n">
        <v>16</v>
      </c>
      <c r="I871" s="4" t="n">
        <v>0</v>
      </c>
      <c r="J871" s="4" t="n">
        <v>114</v>
      </c>
      <c r="K871" s="4" t="n">
        <v>0</v>
      </c>
      <c r="L871" s="12" t="n">
        <v>0.693158</v>
      </c>
      <c r="M871" s="12" t="n">
        <v>0.092063</v>
      </c>
      <c r="N871" s="12" t="n">
        <v>0.141663</v>
      </c>
      <c r="O871" s="12" t="n">
        <v>0.106183</v>
      </c>
      <c r="P871" s="12" t="n">
        <v>0.152092</v>
      </c>
      <c r="Q871" s="0" t="str">
        <f aca="false">IF(L871&gt;=Models!$G$5,1+COUNTIF($L$5:$L$1517,"&gt;"&amp;L871)+COUNTIFS($L$5:$L$1517,L871,$B$5:$B$1517,"&lt;"&amp;B871)+COUNTIFS($L$5:$L$1517,L871,$B$5:$B$1517,B871,$C$5:$C$1517,"&lt;"&amp;C871),"")</f>
        <v/>
      </c>
      <c r="R871" s="0" t="str">
        <f aca="false">IF(M871&gt;=Models!$G$6,1+COUNTIF($M$5:$M$1517,"&gt;"&amp;M871)+COUNTIFS($M$5:$M$1517,M871,$B$5:$B$1517,"&lt;"&amp;B871)+COUNTIFS($M$5:$M$1517,M871,$B$5:$B$1517,B871,$C$5:$C$1517,"&lt;"&amp;C871),"")</f>
        <v/>
      </c>
      <c r="S871" s="0" t="str">
        <f aca="false">IF(N871&gt;=Models!$G$7,1+COUNTIF($N$5:$N$1517,"&gt;"&amp;N871)+COUNTIFS($N$5:$N$1517,N871,$B$5:$B$1517,"&lt;"&amp;B871)+COUNTIFS($N$5:$N$1517,N871,$B$5:$B$1517,B871,$C$5:$C$1517,"&lt;"&amp;C871),"")</f>
        <v/>
      </c>
      <c r="T871" s="8" t="n">
        <f aca="false">IF(O871&gt;=Models!$G$8,1+COUNTIF($O$5:$O$1517,"&gt;"&amp;O871)+COUNTIFS($O$5:$O$1517,O871,$B$5:$B$1517,"&lt;"&amp;B871)+COUNTIFS($O$5:$O$1517,O871,$B$5:$B$1517,B871,$C$5:$C$1517,"&lt;"&amp;C871),"")</f>
        <v>528</v>
      </c>
      <c r="U871" s="8" t="n">
        <f aca="false">IF($K871=1,COUNTIFS($L$5:$L$1517,"&gt;="&amp;L871,$K$5:$K$1517,1)/COUNTIF($L$5:$L$1517,"&gt;="&amp;L871),0)</f>
        <v>0</v>
      </c>
      <c r="V871" s="8" t="n">
        <f aca="false">IF($K871=1,COUNTIFS($M$5:$M$1517,"&gt;="&amp;M871,$K$5:$K$1517,1)/COUNTIF($M$5:$M$1517,"&gt;="&amp;M871),0)</f>
        <v>0</v>
      </c>
      <c r="W871" s="8" t="n">
        <f aca="false">IF($K871=1,COUNTIFS($N$5:$N$1517,"&gt;="&amp;N871,$K$5:$K$1517,1)/COUNTIF($N$5:$N$1517,"&gt;="&amp;N871),0)</f>
        <v>0</v>
      </c>
      <c r="X871" s="8" t="n">
        <f aca="false">IF($K871=1,COUNTIFS($O$5:$O$1517,"&gt;="&amp;O871,$K$5:$K$1517,1)/COUNTIF($O$5:$O$1517,"&gt;="&amp;O871),0)</f>
        <v>0</v>
      </c>
      <c r="Y871" s="8" t="n">
        <f aca="false">IF($K871=1,COUNTIFS($P$5:$P$1517,"&gt;="&amp;P871,$K$5:$K$1517,1)/COUNTIF($P$5:$P$1517,"&gt;="&amp;P871),0)</f>
        <v>0</v>
      </c>
      <c r="Z871" s="8" t="n">
        <f aca="false">(L871-$K871)^2</f>
        <v>0.480468012964</v>
      </c>
      <c r="AA871" s="8" t="n">
        <f aca="false">(M871-$K871)^2</f>
        <v>0.008475595969</v>
      </c>
      <c r="AB871" s="8" t="n">
        <f aca="false">(N871-$K871)^2</f>
        <v>0.020068405569</v>
      </c>
      <c r="AC871" s="8" t="n">
        <f aca="false">(O871-$K871)^2</f>
        <v>0.011274829489</v>
      </c>
      <c r="AD871" s="8" t="n">
        <f aca="false">(P871-$K871)^2</f>
        <v>0.023131976464</v>
      </c>
      <c r="AE871" s="8" t="n">
        <f aca="false">MIN(INT(ROUND(N871*1000000,0)/100000),9)</f>
        <v>1</v>
      </c>
      <c r="AF871" s="8" t="n">
        <f aca="false">MIN(INT(ROUND(P871*1000000,0)/100000),9)</f>
        <v>1</v>
      </c>
    </row>
    <row r="872" customFormat="false" ht="15" hidden="false" customHeight="false" outlineLevel="0" collapsed="false">
      <c r="A872" s="4" t="n">
        <v>868</v>
      </c>
      <c r="B872" s="4" t="n">
        <v>701</v>
      </c>
      <c r="C872" s="4" t="n">
        <v>2</v>
      </c>
      <c r="D872" s="11" t="n">
        <v>46113</v>
      </c>
      <c r="E872" s="4" t="s">
        <v>202</v>
      </c>
      <c r="F872" s="4" t="s">
        <v>207</v>
      </c>
      <c r="G872" s="4" t="n">
        <v>9</v>
      </c>
      <c r="H872" s="4" t="n">
        <v>0</v>
      </c>
      <c r="I872" s="4" t="n">
        <v>1</v>
      </c>
      <c r="J872" s="4"/>
      <c r="K872" s="4" t="n">
        <v>0</v>
      </c>
      <c r="L872" s="12" t="n">
        <v>0.697342</v>
      </c>
      <c r="M872" s="12" t="n">
        <v>0.184211</v>
      </c>
      <c r="N872" s="12" t="n">
        <v>0.06744</v>
      </c>
      <c r="O872" s="12" t="n">
        <v>0.106183</v>
      </c>
      <c r="P872" s="12" t="n">
        <v>0.07026</v>
      </c>
      <c r="Q872" s="0" t="str">
        <f aca="false">IF(L872&gt;=Models!$G$5,1+COUNTIF($L$5:$L$1517,"&gt;"&amp;L872)+COUNTIFS($L$5:$L$1517,L872,$B$5:$B$1517,"&lt;"&amp;B872)+COUNTIFS($L$5:$L$1517,L872,$B$5:$B$1517,B872,$C$5:$C$1517,"&lt;"&amp;C872),"")</f>
        <v/>
      </c>
      <c r="R872" s="8" t="n">
        <f aca="false">IF(M872&gt;=Models!$G$6,1+COUNTIF($M$5:$M$1517,"&gt;"&amp;M872)+COUNTIFS($M$5:$M$1517,M872,$B$5:$B$1517,"&lt;"&amp;B872)+COUNTIFS($M$5:$M$1517,M872,$B$5:$B$1517,B872,$C$5:$C$1517,"&lt;"&amp;C872),"")</f>
        <v>56</v>
      </c>
      <c r="S872" s="0" t="str">
        <f aca="false">IF(N872&gt;=Models!$G$7,1+COUNTIF($N$5:$N$1517,"&gt;"&amp;N872)+COUNTIFS($N$5:$N$1517,N872,$B$5:$B$1517,"&lt;"&amp;B872)+COUNTIFS($N$5:$N$1517,N872,$B$5:$B$1517,B872,$C$5:$C$1517,"&lt;"&amp;C872),"")</f>
        <v/>
      </c>
      <c r="T872" s="8" t="n">
        <f aca="false">IF(O872&gt;=Models!$G$8,1+COUNTIF($O$5:$O$1517,"&gt;"&amp;O872)+COUNTIFS($O$5:$O$1517,O872,$B$5:$B$1517,"&lt;"&amp;B872)+COUNTIFS($O$5:$O$1517,O872,$B$5:$B$1517,B872,$C$5:$C$1517,"&lt;"&amp;C872),"")</f>
        <v>532</v>
      </c>
      <c r="U872" s="8" t="n">
        <f aca="false">IF($K872=1,COUNTIFS($L$5:$L$1517,"&gt;="&amp;L872,$K$5:$K$1517,1)/COUNTIF($L$5:$L$1517,"&gt;="&amp;L872),0)</f>
        <v>0</v>
      </c>
      <c r="V872" s="8" t="n">
        <f aca="false">IF($K872=1,COUNTIFS($M$5:$M$1517,"&gt;="&amp;M872,$K$5:$K$1517,1)/COUNTIF($M$5:$M$1517,"&gt;="&amp;M872),0)</f>
        <v>0</v>
      </c>
      <c r="W872" s="8" t="n">
        <f aca="false">IF($K872=1,COUNTIFS($N$5:$N$1517,"&gt;="&amp;N872,$K$5:$K$1517,1)/COUNTIF($N$5:$N$1517,"&gt;="&amp;N872),0)</f>
        <v>0</v>
      </c>
      <c r="X872" s="8" t="n">
        <f aca="false">IF($K872=1,COUNTIFS($O$5:$O$1517,"&gt;="&amp;O872,$K$5:$K$1517,1)/COUNTIF($O$5:$O$1517,"&gt;="&amp;O872),0)</f>
        <v>0</v>
      </c>
      <c r="Y872" s="8" t="n">
        <f aca="false">IF($K872=1,COUNTIFS($P$5:$P$1517,"&gt;="&amp;P872,$K$5:$K$1517,1)/COUNTIF($P$5:$P$1517,"&gt;="&amp;P872),0)</f>
        <v>0</v>
      </c>
      <c r="Z872" s="8" t="n">
        <f aca="false">(L872-$K872)^2</f>
        <v>0.486285864964</v>
      </c>
      <c r="AA872" s="8" t="n">
        <f aca="false">(M872-$K872)^2</f>
        <v>0.033933692521</v>
      </c>
      <c r="AB872" s="8" t="n">
        <f aca="false">(N872-$K872)^2</f>
        <v>0.0045481536</v>
      </c>
      <c r="AC872" s="8" t="n">
        <f aca="false">(O872-$K872)^2</f>
        <v>0.011274829489</v>
      </c>
      <c r="AD872" s="8" t="n">
        <f aca="false">(P872-$K872)^2</f>
        <v>0.0049364676</v>
      </c>
      <c r="AE872" s="8" t="n">
        <f aca="false">MIN(INT(ROUND(N872*1000000,0)/100000),9)</f>
        <v>0</v>
      </c>
      <c r="AF872" s="8" t="n">
        <f aca="false">MIN(INT(ROUND(P872*1000000,0)/100000),9)</f>
        <v>0</v>
      </c>
    </row>
    <row r="873" customFormat="false" ht="15" hidden="false" customHeight="false" outlineLevel="0" collapsed="false">
      <c r="A873" s="4" t="n">
        <v>869</v>
      </c>
      <c r="B873" s="4" t="n">
        <v>706</v>
      </c>
      <c r="C873" s="4" t="n">
        <v>2</v>
      </c>
      <c r="D873" s="11" t="n">
        <v>46113</v>
      </c>
      <c r="E873" s="4" t="s">
        <v>202</v>
      </c>
      <c r="F873" s="4" t="s">
        <v>206</v>
      </c>
      <c r="G873" s="4" t="n">
        <v>3</v>
      </c>
      <c r="H873" s="4" t="n">
        <v>11</v>
      </c>
      <c r="I873" s="4" t="n">
        <v>0</v>
      </c>
      <c r="J873" s="4"/>
      <c r="K873" s="4" t="n">
        <v>0</v>
      </c>
      <c r="L873" s="12" t="n">
        <v>0.496444</v>
      </c>
      <c r="M873" s="12" t="n">
        <v>0.092063</v>
      </c>
      <c r="N873" s="12" t="n">
        <v>0.069613</v>
      </c>
      <c r="O873" s="12" t="n">
        <v>0.106183</v>
      </c>
      <c r="P873" s="12" t="n">
        <v>0.072626</v>
      </c>
      <c r="Q873" s="0" t="str">
        <f aca="false">IF(L873&gt;=Models!$G$5,1+COUNTIF($L$5:$L$1517,"&gt;"&amp;L873)+COUNTIFS($L$5:$L$1517,L873,$B$5:$B$1517,"&lt;"&amp;B873)+COUNTIFS($L$5:$L$1517,L873,$B$5:$B$1517,B873,$C$5:$C$1517,"&lt;"&amp;C873),"")</f>
        <v/>
      </c>
      <c r="R873" s="0" t="str">
        <f aca="false">IF(M873&gt;=Models!$G$6,1+COUNTIF($M$5:$M$1517,"&gt;"&amp;M873)+COUNTIFS($M$5:$M$1517,M873,$B$5:$B$1517,"&lt;"&amp;B873)+COUNTIFS($M$5:$M$1517,M873,$B$5:$B$1517,B873,$C$5:$C$1517,"&lt;"&amp;C873),"")</f>
        <v/>
      </c>
      <c r="S873" s="0" t="str">
        <f aca="false">IF(N873&gt;=Models!$G$7,1+COUNTIF($N$5:$N$1517,"&gt;"&amp;N873)+COUNTIFS($N$5:$N$1517,N873,$B$5:$B$1517,"&lt;"&amp;B873)+COUNTIFS($N$5:$N$1517,N873,$B$5:$B$1517,B873,$C$5:$C$1517,"&lt;"&amp;C873),"")</f>
        <v/>
      </c>
      <c r="T873" s="8" t="n">
        <f aca="false">IF(O873&gt;=Models!$G$8,1+COUNTIF($O$5:$O$1517,"&gt;"&amp;O873)+COUNTIFS($O$5:$O$1517,O873,$B$5:$B$1517,"&lt;"&amp;B873)+COUNTIFS($O$5:$O$1517,O873,$B$5:$B$1517,B873,$C$5:$C$1517,"&lt;"&amp;C873),"")</f>
        <v>536</v>
      </c>
      <c r="U873" s="8" t="n">
        <f aca="false">IF($K873=1,COUNTIFS($L$5:$L$1517,"&gt;="&amp;L873,$K$5:$K$1517,1)/COUNTIF($L$5:$L$1517,"&gt;="&amp;L873),0)</f>
        <v>0</v>
      </c>
      <c r="V873" s="8" t="n">
        <f aca="false">IF($K873=1,COUNTIFS($M$5:$M$1517,"&gt;="&amp;M873,$K$5:$K$1517,1)/COUNTIF($M$5:$M$1517,"&gt;="&amp;M873),0)</f>
        <v>0</v>
      </c>
      <c r="W873" s="8" t="n">
        <f aca="false">IF($K873=1,COUNTIFS($N$5:$N$1517,"&gt;="&amp;N873,$K$5:$K$1517,1)/COUNTIF($N$5:$N$1517,"&gt;="&amp;N873),0)</f>
        <v>0</v>
      </c>
      <c r="X873" s="8" t="n">
        <f aca="false">IF($K873=1,COUNTIFS($O$5:$O$1517,"&gt;="&amp;O873,$K$5:$K$1517,1)/COUNTIF($O$5:$O$1517,"&gt;="&amp;O873),0)</f>
        <v>0</v>
      </c>
      <c r="Y873" s="8" t="n">
        <f aca="false">IF($K873=1,COUNTIFS($P$5:$P$1517,"&gt;="&amp;P873,$K$5:$K$1517,1)/COUNTIF($P$5:$P$1517,"&gt;="&amp;P873),0)</f>
        <v>0</v>
      </c>
      <c r="Z873" s="8" t="n">
        <f aca="false">(L873-$K873)^2</f>
        <v>0.246456645136</v>
      </c>
      <c r="AA873" s="8" t="n">
        <f aca="false">(M873-$K873)^2</f>
        <v>0.008475595969</v>
      </c>
      <c r="AB873" s="8" t="n">
        <f aca="false">(N873-$K873)^2</f>
        <v>0.004845969769</v>
      </c>
      <c r="AC873" s="8" t="n">
        <f aca="false">(O873-$K873)^2</f>
        <v>0.011274829489</v>
      </c>
      <c r="AD873" s="8" t="n">
        <f aca="false">(P873-$K873)^2</f>
        <v>0.005274535876</v>
      </c>
      <c r="AE873" s="8" t="n">
        <f aca="false">MIN(INT(ROUND(N873*1000000,0)/100000),9)</f>
        <v>0</v>
      </c>
      <c r="AF873" s="8" t="n">
        <f aca="false">MIN(INT(ROUND(P873*1000000,0)/100000),9)</f>
        <v>0</v>
      </c>
    </row>
    <row r="874" customFormat="false" ht="15" hidden="false" customHeight="false" outlineLevel="0" collapsed="false">
      <c r="A874" s="4" t="n">
        <v>870</v>
      </c>
      <c r="B874" s="4" t="n">
        <v>708</v>
      </c>
      <c r="C874" s="4" t="n">
        <v>2</v>
      </c>
      <c r="D874" s="11" t="n">
        <v>46113</v>
      </c>
      <c r="E874" s="4" t="s">
        <v>201</v>
      </c>
      <c r="F874" s="4" t="s">
        <v>206</v>
      </c>
      <c r="G874" s="4" t="n">
        <v>12</v>
      </c>
      <c r="H874" s="4" t="n">
        <v>0</v>
      </c>
      <c r="I874" s="4" t="n">
        <v>0</v>
      </c>
      <c r="J874" s="4"/>
      <c r="K874" s="4" t="n">
        <v>0</v>
      </c>
      <c r="L874" s="12" t="n">
        <v>0.781778</v>
      </c>
      <c r="M874" s="12" t="n">
        <v>0.092063</v>
      </c>
      <c r="N874" s="12" t="n">
        <v>0.02952</v>
      </c>
      <c r="O874" s="12" t="n">
        <v>0.106183</v>
      </c>
      <c r="P874" s="12" t="n">
        <v>0.0296</v>
      </c>
      <c r="Q874" s="0" t="str">
        <f aca="false">IF(L874&gt;=Models!$G$5,1+COUNTIF($L$5:$L$1517,"&gt;"&amp;L874)+COUNTIFS($L$5:$L$1517,L874,$B$5:$B$1517,"&lt;"&amp;B874)+COUNTIFS($L$5:$L$1517,L874,$B$5:$B$1517,B874,$C$5:$C$1517,"&lt;"&amp;C874),"")</f>
        <v/>
      </c>
      <c r="R874" s="0" t="str">
        <f aca="false">IF(M874&gt;=Models!$G$6,1+COUNTIF($M$5:$M$1517,"&gt;"&amp;M874)+COUNTIFS($M$5:$M$1517,M874,$B$5:$B$1517,"&lt;"&amp;B874)+COUNTIFS($M$5:$M$1517,M874,$B$5:$B$1517,B874,$C$5:$C$1517,"&lt;"&amp;C874),"")</f>
        <v/>
      </c>
      <c r="S874" s="0" t="str">
        <f aca="false">IF(N874&gt;=Models!$G$7,1+COUNTIF($N$5:$N$1517,"&gt;"&amp;N874)+COUNTIFS($N$5:$N$1517,N874,$B$5:$B$1517,"&lt;"&amp;B874)+COUNTIFS($N$5:$N$1517,N874,$B$5:$B$1517,B874,$C$5:$C$1517,"&lt;"&amp;C874),"")</f>
        <v/>
      </c>
      <c r="T874" s="8" t="n">
        <f aca="false">IF(O874&gt;=Models!$G$8,1+COUNTIF($O$5:$O$1517,"&gt;"&amp;O874)+COUNTIFS($O$5:$O$1517,O874,$B$5:$B$1517,"&lt;"&amp;B874)+COUNTIFS($O$5:$O$1517,O874,$B$5:$B$1517,B874,$C$5:$C$1517,"&lt;"&amp;C874),"")</f>
        <v>540</v>
      </c>
      <c r="U874" s="8" t="n">
        <f aca="false">IF($K874=1,COUNTIFS($L$5:$L$1517,"&gt;="&amp;L874,$K$5:$K$1517,1)/COUNTIF($L$5:$L$1517,"&gt;="&amp;L874),0)</f>
        <v>0</v>
      </c>
      <c r="V874" s="8" t="n">
        <f aca="false">IF($K874=1,COUNTIFS($M$5:$M$1517,"&gt;="&amp;M874,$K$5:$K$1517,1)/COUNTIF($M$5:$M$1517,"&gt;="&amp;M874),0)</f>
        <v>0</v>
      </c>
      <c r="W874" s="8" t="n">
        <f aca="false">IF($K874=1,COUNTIFS($N$5:$N$1517,"&gt;="&amp;N874,$K$5:$K$1517,1)/COUNTIF($N$5:$N$1517,"&gt;="&amp;N874),0)</f>
        <v>0</v>
      </c>
      <c r="X874" s="8" t="n">
        <f aca="false">IF($K874=1,COUNTIFS($O$5:$O$1517,"&gt;="&amp;O874,$K$5:$K$1517,1)/COUNTIF($O$5:$O$1517,"&gt;="&amp;O874),0)</f>
        <v>0</v>
      </c>
      <c r="Y874" s="8" t="n">
        <f aca="false">IF($K874=1,COUNTIFS($P$5:$P$1517,"&gt;="&amp;P874,$K$5:$K$1517,1)/COUNTIF($P$5:$P$1517,"&gt;="&amp;P874),0)</f>
        <v>0</v>
      </c>
      <c r="Z874" s="8" t="n">
        <f aca="false">(L874-$K874)^2</f>
        <v>0.611176841284</v>
      </c>
      <c r="AA874" s="8" t="n">
        <f aca="false">(M874-$K874)^2</f>
        <v>0.008475595969</v>
      </c>
      <c r="AB874" s="8" t="n">
        <f aca="false">(N874-$K874)^2</f>
        <v>0.0008714304</v>
      </c>
      <c r="AC874" s="8" t="n">
        <f aca="false">(O874-$K874)^2</f>
        <v>0.011274829489</v>
      </c>
      <c r="AD874" s="8" t="n">
        <f aca="false">(P874-$K874)^2</f>
        <v>0.00087616</v>
      </c>
      <c r="AE874" s="8" t="n">
        <f aca="false">MIN(INT(ROUND(N874*1000000,0)/100000),9)</f>
        <v>0</v>
      </c>
      <c r="AF874" s="8" t="n">
        <f aca="false">MIN(INT(ROUND(P874*1000000,0)/100000),9)</f>
        <v>0</v>
      </c>
    </row>
    <row r="875" customFormat="false" ht="15" hidden="false" customHeight="false" outlineLevel="0" collapsed="false">
      <c r="A875" s="4" t="n">
        <v>871</v>
      </c>
      <c r="B875" s="4" t="n">
        <v>712</v>
      </c>
      <c r="C875" s="4" t="n">
        <v>2</v>
      </c>
      <c r="D875" s="11" t="n">
        <v>46113</v>
      </c>
      <c r="E875" s="4" t="s">
        <v>201</v>
      </c>
      <c r="F875" s="4" t="s">
        <v>209</v>
      </c>
      <c r="G875" s="4" t="n">
        <v>9</v>
      </c>
      <c r="H875" s="4" t="n">
        <v>8</v>
      </c>
      <c r="I875" s="4" t="n">
        <v>0</v>
      </c>
      <c r="J875" s="4"/>
      <c r="K875" s="4" t="n">
        <v>0</v>
      </c>
      <c r="L875" s="12" t="n">
        <v>0.037505</v>
      </c>
      <c r="M875" s="12" t="n">
        <v>0.092063</v>
      </c>
      <c r="N875" s="12" t="n">
        <v>0.040809</v>
      </c>
      <c r="O875" s="12" t="n">
        <v>0.106183</v>
      </c>
      <c r="P875" s="12" t="n">
        <v>0.04155</v>
      </c>
      <c r="Q875" s="0" t="str">
        <f aca="false">IF(L875&gt;=Models!$G$5,1+COUNTIF($L$5:$L$1517,"&gt;"&amp;L875)+COUNTIFS($L$5:$L$1517,L875,$B$5:$B$1517,"&lt;"&amp;B875)+COUNTIFS($L$5:$L$1517,L875,$B$5:$B$1517,B875,$C$5:$C$1517,"&lt;"&amp;C875),"")</f>
        <v/>
      </c>
      <c r="R875" s="0" t="str">
        <f aca="false">IF(M875&gt;=Models!$G$6,1+COUNTIF($M$5:$M$1517,"&gt;"&amp;M875)+COUNTIFS($M$5:$M$1517,M875,$B$5:$B$1517,"&lt;"&amp;B875)+COUNTIFS($M$5:$M$1517,M875,$B$5:$B$1517,B875,$C$5:$C$1517,"&lt;"&amp;C875),"")</f>
        <v/>
      </c>
      <c r="S875" s="0" t="str">
        <f aca="false">IF(N875&gt;=Models!$G$7,1+COUNTIF($N$5:$N$1517,"&gt;"&amp;N875)+COUNTIFS($N$5:$N$1517,N875,$B$5:$B$1517,"&lt;"&amp;B875)+COUNTIFS($N$5:$N$1517,N875,$B$5:$B$1517,B875,$C$5:$C$1517,"&lt;"&amp;C875),"")</f>
        <v/>
      </c>
      <c r="T875" s="8" t="n">
        <f aca="false">IF(O875&gt;=Models!$G$8,1+COUNTIF($O$5:$O$1517,"&gt;"&amp;O875)+COUNTIFS($O$5:$O$1517,O875,$B$5:$B$1517,"&lt;"&amp;B875)+COUNTIFS($O$5:$O$1517,O875,$B$5:$B$1517,B875,$C$5:$C$1517,"&lt;"&amp;C875),"")</f>
        <v>544</v>
      </c>
      <c r="U875" s="8" t="n">
        <f aca="false">IF($K875=1,COUNTIFS($L$5:$L$1517,"&gt;="&amp;L875,$K$5:$K$1517,1)/COUNTIF($L$5:$L$1517,"&gt;="&amp;L875),0)</f>
        <v>0</v>
      </c>
      <c r="V875" s="8" t="n">
        <f aca="false">IF($K875=1,COUNTIFS($M$5:$M$1517,"&gt;="&amp;M875,$K$5:$K$1517,1)/COUNTIF($M$5:$M$1517,"&gt;="&amp;M875),0)</f>
        <v>0</v>
      </c>
      <c r="W875" s="8" t="n">
        <f aca="false">IF($K875=1,COUNTIFS($N$5:$N$1517,"&gt;="&amp;N875,$K$5:$K$1517,1)/COUNTIF($N$5:$N$1517,"&gt;="&amp;N875),0)</f>
        <v>0</v>
      </c>
      <c r="X875" s="8" t="n">
        <f aca="false">IF($K875=1,COUNTIFS($O$5:$O$1517,"&gt;="&amp;O875,$K$5:$K$1517,1)/COUNTIF($O$5:$O$1517,"&gt;="&amp;O875),0)</f>
        <v>0</v>
      </c>
      <c r="Y875" s="8" t="n">
        <f aca="false">IF($K875=1,COUNTIFS($P$5:$P$1517,"&gt;="&amp;P875,$K$5:$K$1517,1)/COUNTIF($P$5:$P$1517,"&gt;="&amp;P875),0)</f>
        <v>0</v>
      </c>
      <c r="Z875" s="8" t="n">
        <f aca="false">(L875-$K875)^2</f>
        <v>0.001406625025</v>
      </c>
      <c r="AA875" s="8" t="n">
        <f aca="false">(M875-$K875)^2</f>
        <v>0.008475595969</v>
      </c>
      <c r="AB875" s="8" t="n">
        <f aca="false">(N875-$K875)^2</f>
        <v>0.001665374481</v>
      </c>
      <c r="AC875" s="8" t="n">
        <f aca="false">(O875-$K875)^2</f>
        <v>0.011274829489</v>
      </c>
      <c r="AD875" s="8" t="n">
        <f aca="false">(P875-$K875)^2</f>
        <v>0.0017264025</v>
      </c>
      <c r="AE875" s="8" t="n">
        <f aca="false">MIN(INT(ROUND(N875*1000000,0)/100000),9)</f>
        <v>0</v>
      </c>
      <c r="AF875" s="8" t="n">
        <f aca="false">MIN(INT(ROUND(P875*1000000,0)/100000),9)</f>
        <v>0</v>
      </c>
    </row>
    <row r="876" customFormat="false" ht="15" hidden="false" customHeight="false" outlineLevel="0" collapsed="false">
      <c r="A876" s="4" t="n">
        <v>872</v>
      </c>
      <c r="B876" s="4" t="n">
        <v>715</v>
      </c>
      <c r="C876" s="4" t="n">
        <v>2</v>
      </c>
      <c r="D876" s="11" t="n">
        <v>46113</v>
      </c>
      <c r="E876" s="4" t="s">
        <v>201</v>
      </c>
      <c r="F876" s="4" t="s">
        <v>209</v>
      </c>
      <c r="G876" s="4" t="n">
        <v>7</v>
      </c>
      <c r="H876" s="4" t="n">
        <v>0</v>
      </c>
      <c r="I876" s="4" t="n">
        <v>0</v>
      </c>
      <c r="J876" s="4"/>
      <c r="K876" s="4" t="n">
        <v>0</v>
      </c>
      <c r="L876" s="12" t="n">
        <v>0.558835</v>
      </c>
      <c r="M876" s="12" t="n">
        <v>0.092063</v>
      </c>
      <c r="N876" s="12" t="n">
        <v>0.045531</v>
      </c>
      <c r="O876" s="12" t="n">
        <v>0.106183</v>
      </c>
      <c r="P876" s="12" t="n">
        <v>0.046595</v>
      </c>
      <c r="Q876" s="0" t="str">
        <f aca="false">IF(L876&gt;=Models!$G$5,1+COUNTIF($L$5:$L$1517,"&gt;"&amp;L876)+COUNTIFS($L$5:$L$1517,L876,$B$5:$B$1517,"&lt;"&amp;B876)+COUNTIFS($L$5:$L$1517,L876,$B$5:$B$1517,B876,$C$5:$C$1517,"&lt;"&amp;C876),"")</f>
        <v/>
      </c>
      <c r="R876" s="0" t="str">
        <f aca="false">IF(M876&gt;=Models!$G$6,1+COUNTIF($M$5:$M$1517,"&gt;"&amp;M876)+COUNTIFS($M$5:$M$1517,M876,$B$5:$B$1517,"&lt;"&amp;B876)+COUNTIFS($M$5:$M$1517,M876,$B$5:$B$1517,B876,$C$5:$C$1517,"&lt;"&amp;C876),"")</f>
        <v/>
      </c>
      <c r="S876" s="0" t="str">
        <f aca="false">IF(N876&gt;=Models!$G$7,1+COUNTIF($N$5:$N$1517,"&gt;"&amp;N876)+COUNTIFS($N$5:$N$1517,N876,$B$5:$B$1517,"&lt;"&amp;B876)+COUNTIFS($N$5:$N$1517,N876,$B$5:$B$1517,B876,$C$5:$C$1517,"&lt;"&amp;C876),"")</f>
        <v/>
      </c>
      <c r="T876" s="8" t="n">
        <f aca="false">IF(O876&gt;=Models!$G$8,1+COUNTIF($O$5:$O$1517,"&gt;"&amp;O876)+COUNTIFS($O$5:$O$1517,O876,$B$5:$B$1517,"&lt;"&amp;B876)+COUNTIFS($O$5:$O$1517,O876,$B$5:$B$1517,B876,$C$5:$C$1517,"&lt;"&amp;C876),"")</f>
        <v>548</v>
      </c>
      <c r="U876" s="8" t="n">
        <f aca="false">IF($K876=1,COUNTIFS($L$5:$L$1517,"&gt;="&amp;L876,$K$5:$K$1517,1)/COUNTIF($L$5:$L$1517,"&gt;="&amp;L876),0)</f>
        <v>0</v>
      </c>
      <c r="V876" s="8" t="n">
        <f aca="false">IF($K876=1,COUNTIFS($M$5:$M$1517,"&gt;="&amp;M876,$K$5:$K$1517,1)/COUNTIF($M$5:$M$1517,"&gt;="&amp;M876),0)</f>
        <v>0</v>
      </c>
      <c r="W876" s="8" t="n">
        <f aca="false">IF($K876=1,COUNTIFS($N$5:$N$1517,"&gt;="&amp;N876,$K$5:$K$1517,1)/COUNTIF($N$5:$N$1517,"&gt;="&amp;N876),0)</f>
        <v>0</v>
      </c>
      <c r="X876" s="8" t="n">
        <f aca="false">IF($K876=1,COUNTIFS($O$5:$O$1517,"&gt;="&amp;O876,$K$5:$K$1517,1)/COUNTIF($O$5:$O$1517,"&gt;="&amp;O876),0)</f>
        <v>0</v>
      </c>
      <c r="Y876" s="8" t="n">
        <f aca="false">IF($K876=1,COUNTIFS($P$5:$P$1517,"&gt;="&amp;P876,$K$5:$K$1517,1)/COUNTIF($P$5:$P$1517,"&gt;="&amp;P876),0)</f>
        <v>0</v>
      </c>
      <c r="Z876" s="8" t="n">
        <f aca="false">(L876-$K876)^2</f>
        <v>0.312296557225</v>
      </c>
      <c r="AA876" s="8" t="n">
        <f aca="false">(M876-$K876)^2</f>
        <v>0.008475595969</v>
      </c>
      <c r="AB876" s="8" t="n">
        <f aca="false">(N876-$K876)^2</f>
        <v>0.002073071961</v>
      </c>
      <c r="AC876" s="8" t="n">
        <f aca="false">(O876-$K876)^2</f>
        <v>0.011274829489</v>
      </c>
      <c r="AD876" s="8" t="n">
        <f aca="false">(P876-$K876)^2</f>
        <v>0.002171094025</v>
      </c>
      <c r="AE876" s="8" t="n">
        <f aca="false">MIN(INT(ROUND(N876*1000000,0)/100000),9)</f>
        <v>0</v>
      </c>
      <c r="AF876" s="8" t="n">
        <f aca="false">MIN(INT(ROUND(P876*1000000,0)/100000),9)</f>
        <v>0</v>
      </c>
    </row>
    <row r="877" customFormat="false" ht="15" hidden="false" customHeight="false" outlineLevel="0" collapsed="false">
      <c r="A877" s="4" t="n">
        <v>873</v>
      </c>
      <c r="B877" s="4" t="n">
        <v>717</v>
      </c>
      <c r="C877" s="4" t="n">
        <v>2</v>
      </c>
      <c r="D877" s="11" t="n">
        <v>46113</v>
      </c>
      <c r="E877" s="4" t="s">
        <v>203</v>
      </c>
      <c r="F877" s="4" t="s">
        <v>209</v>
      </c>
      <c r="G877" s="4" t="n">
        <v>13</v>
      </c>
      <c r="H877" s="4" t="n">
        <v>0</v>
      </c>
      <c r="I877" s="4" t="n">
        <v>0</v>
      </c>
      <c r="J877" s="4" t="n">
        <v>285</v>
      </c>
      <c r="K877" s="4" t="n">
        <v>0</v>
      </c>
      <c r="L877" s="12" t="n">
        <v>0.892943</v>
      </c>
      <c r="M877" s="12" t="n">
        <v>0.092063</v>
      </c>
      <c r="N877" s="12" t="n">
        <v>0.05507</v>
      </c>
      <c r="O877" s="12" t="n">
        <v>0.106183</v>
      </c>
      <c r="P877" s="12" t="n">
        <v>0.056852</v>
      </c>
      <c r="Q877" s="0" t="str">
        <f aca="false">IF(L877&gt;=Models!$G$5,1+COUNTIF($L$5:$L$1517,"&gt;"&amp;L877)+COUNTIFS($L$5:$L$1517,L877,$B$5:$B$1517,"&lt;"&amp;B877)+COUNTIFS($L$5:$L$1517,L877,$B$5:$B$1517,B877,$C$5:$C$1517,"&lt;"&amp;C877),"")</f>
        <v/>
      </c>
      <c r="R877" s="0" t="str">
        <f aca="false">IF(M877&gt;=Models!$G$6,1+COUNTIF($M$5:$M$1517,"&gt;"&amp;M877)+COUNTIFS($M$5:$M$1517,M877,$B$5:$B$1517,"&lt;"&amp;B877)+COUNTIFS($M$5:$M$1517,M877,$B$5:$B$1517,B877,$C$5:$C$1517,"&lt;"&amp;C877),"")</f>
        <v/>
      </c>
      <c r="S877" s="0" t="str">
        <f aca="false">IF(N877&gt;=Models!$G$7,1+COUNTIF($N$5:$N$1517,"&gt;"&amp;N877)+COUNTIFS($N$5:$N$1517,N877,$B$5:$B$1517,"&lt;"&amp;B877)+COUNTIFS($N$5:$N$1517,N877,$B$5:$B$1517,B877,$C$5:$C$1517,"&lt;"&amp;C877),"")</f>
        <v/>
      </c>
      <c r="T877" s="8" t="n">
        <f aca="false">IF(O877&gt;=Models!$G$8,1+COUNTIF($O$5:$O$1517,"&gt;"&amp;O877)+COUNTIFS($O$5:$O$1517,O877,$B$5:$B$1517,"&lt;"&amp;B877)+COUNTIFS($O$5:$O$1517,O877,$B$5:$B$1517,B877,$C$5:$C$1517,"&lt;"&amp;C877),"")</f>
        <v>552</v>
      </c>
      <c r="U877" s="8" t="n">
        <f aca="false">IF($K877=1,COUNTIFS($L$5:$L$1517,"&gt;="&amp;L877,$K$5:$K$1517,1)/COUNTIF($L$5:$L$1517,"&gt;="&amp;L877),0)</f>
        <v>0</v>
      </c>
      <c r="V877" s="8" t="n">
        <f aca="false">IF($K877=1,COUNTIFS($M$5:$M$1517,"&gt;="&amp;M877,$K$5:$K$1517,1)/COUNTIF($M$5:$M$1517,"&gt;="&amp;M877),0)</f>
        <v>0</v>
      </c>
      <c r="W877" s="8" t="n">
        <f aca="false">IF($K877=1,COUNTIFS($N$5:$N$1517,"&gt;="&amp;N877,$K$5:$K$1517,1)/COUNTIF($N$5:$N$1517,"&gt;="&amp;N877),0)</f>
        <v>0</v>
      </c>
      <c r="X877" s="8" t="n">
        <f aca="false">IF($K877=1,COUNTIFS($O$5:$O$1517,"&gt;="&amp;O877,$K$5:$K$1517,1)/COUNTIF($O$5:$O$1517,"&gt;="&amp;O877),0)</f>
        <v>0</v>
      </c>
      <c r="Y877" s="8" t="n">
        <f aca="false">IF($K877=1,COUNTIFS($P$5:$P$1517,"&gt;="&amp;P877,$K$5:$K$1517,1)/COUNTIF($P$5:$P$1517,"&gt;="&amp;P877),0)</f>
        <v>0</v>
      </c>
      <c r="Z877" s="8" t="n">
        <f aca="false">(L877-$K877)^2</f>
        <v>0.797347201249</v>
      </c>
      <c r="AA877" s="8" t="n">
        <f aca="false">(M877-$K877)^2</f>
        <v>0.008475595969</v>
      </c>
      <c r="AB877" s="8" t="n">
        <f aca="false">(N877-$K877)^2</f>
        <v>0.0030327049</v>
      </c>
      <c r="AC877" s="8" t="n">
        <f aca="false">(O877-$K877)^2</f>
        <v>0.011274829489</v>
      </c>
      <c r="AD877" s="8" t="n">
        <f aca="false">(P877-$K877)^2</f>
        <v>0.003232149904</v>
      </c>
      <c r="AE877" s="8" t="n">
        <f aca="false">MIN(INT(ROUND(N877*1000000,0)/100000),9)</f>
        <v>0</v>
      </c>
      <c r="AF877" s="8" t="n">
        <f aca="false">MIN(INT(ROUND(P877*1000000,0)/100000),9)</f>
        <v>0</v>
      </c>
    </row>
    <row r="878" customFormat="false" ht="15" hidden="false" customHeight="false" outlineLevel="0" collapsed="false">
      <c r="A878" s="4" t="n">
        <v>874</v>
      </c>
      <c r="B878" s="4" t="n">
        <v>722</v>
      </c>
      <c r="C878" s="4" t="n">
        <v>2</v>
      </c>
      <c r="D878" s="11" t="n">
        <v>46113</v>
      </c>
      <c r="E878" s="4" t="s">
        <v>204</v>
      </c>
      <c r="F878" s="4" t="s">
        <v>208</v>
      </c>
      <c r="G878" s="4" t="n">
        <v>0</v>
      </c>
      <c r="H878" s="4" t="n">
        <v>70</v>
      </c>
      <c r="I878" s="4" t="n">
        <v>0</v>
      </c>
      <c r="J878" s="4"/>
      <c r="K878" s="4" t="n">
        <v>0</v>
      </c>
      <c r="L878" s="12" t="n">
        <v>0.02182</v>
      </c>
      <c r="M878" s="12" t="n">
        <v>0.184211</v>
      </c>
      <c r="N878" s="12" t="n">
        <v>0.137148</v>
      </c>
      <c r="O878" s="12" t="n">
        <v>0.106183</v>
      </c>
      <c r="P878" s="12" t="n">
        <v>0.147076</v>
      </c>
      <c r="Q878" s="0" t="str">
        <f aca="false">IF(L878&gt;=Models!$G$5,1+COUNTIF($L$5:$L$1517,"&gt;"&amp;L878)+COUNTIFS($L$5:$L$1517,L878,$B$5:$B$1517,"&lt;"&amp;B878)+COUNTIFS($L$5:$L$1517,L878,$B$5:$B$1517,B878,$C$5:$C$1517,"&lt;"&amp;C878),"")</f>
        <v/>
      </c>
      <c r="R878" s="8" t="n">
        <f aca="false">IF(M878&gt;=Models!$G$6,1+COUNTIF($M$5:$M$1517,"&gt;"&amp;M878)+COUNTIFS($M$5:$M$1517,M878,$B$5:$B$1517,"&lt;"&amp;B878)+COUNTIFS($M$5:$M$1517,M878,$B$5:$B$1517,B878,$C$5:$C$1517,"&lt;"&amp;C878),"")</f>
        <v>61</v>
      </c>
      <c r="S878" s="0" t="str">
        <f aca="false">IF(N878&gt;=Models!$G$7,1+COUNTIF($N$5:$N$1517,"&gt;"&amp;N878)+COUNTIFS($N$5:$N$1517,N878,$B$5:$B$1517,"&lt;"&amp;B878)+COUNTIFS($N$5:$N$1517,N878,$B$5:$B$1517,B878,$C$5:$C$1517,"&lt;"&amp;C878),"")</f>
        <v/>
      </c>
      <c r="T878" s="8" t="n">
        <f aca="false">IF(O878&gt;=Models!$G$8,1+COUNTIF($O$5:$O$1517,"&gt;"&amp;O878)+COUNTIFS($O$5:$O$1517,O878,$B$5:$B$1517,"&lt;"&amp;B878)+COUNTIFS($O$5:$O$1517,O878,$B$5:$B$1517,B878,$C$5:$C$1517,"&lt;"&amp;C878),"")</f>
        <v>556</v>
      </c>
      <c r="U878" s="8" t="n">
        <f aca="false">IF($K878=1,COUNTIFS($L$5:$L$1517,"&gt;="&amp;L878,$K$5:$K$1517,1)/COUNTIF($L$5:$L$1517,"&gt;="&amp;L878),0)</f>
        <v>0</v>
      </c>
      <c r="V878" s="8" t="n">
        <f aca="false">IF($K878=1,COUNTIFS($M$5:$M$1517,"&gt;="&amp;M878,$K$5:$K$1517,1)/COUNTIF($M$5:$M$1517,"&gt;="&amp;M878),0)</f>
        <v>0</v>
      </c>
      <c r="W878" s="8" t="n">
        <f aca="false">IF($K878=1,COUNTIFS($N$5:$N$1517,"&gt;="&amp;N878,$K$5:$K$1517,1)/COUNTIF($N$5:$N$1517,"&gt;="&amp;N878),0)</f>
        <v>0</v>
      </c>
      <c r="X878" s="8" t="n">
        <f aca="false">IF($K878=1,COUNTIFS($O$5:$O$1517,"&gt;="&amp;O878,$K$5:$K$1517,1)/COUNTIF($O$5:$O$1517,"&gt;="&amp;O878),0)</f>
        <v>0</v>
      </c>
      <c r="Y878" s="8" t="n">
        <f aca="false">IF($K878=1,COUNTIFS($P$5:$P$1517,"&gt;="&amp;P878,$K$5:$K$1517,1)/COUNTIF($P$5:$P$1517,"&gt;="&amp;P878),0)</f>
        <v>0</v>
      </c>
      <c r="Z878" s="8" t="n">
        <f aca="false">(L878-$K878)^2</f>
        <v>0.0004761124</v>
      </c>
      <c r="AA878" s="8" t="n">
        <f aca="false">(M878-$K878)^2</f>
        <v>0.033933692521</v>
      </c>
      <c r="AB878" s="8" t="n">
        <f aca="false">(N878-$K878)^2</f>
        <v>0.018809573904</v>
      </c>
      <c r="AC878" s="8" t="n">
        <f aca="false">(O878-$K878)^2</f>
        <v>0.011274829489</v>
      </c>
      <c r="AD878" s="8" t="n">
        <f aca="false">(P878-$K878)^2</f>
        <v>0.021631349776</v>
      </c>
      <c r="AE878" s="8" t="n">
        <f aca="false">MIN(INT(ROUND(N878*1000000,0)/100000),9)</f>
        <v>1</v>
      </c>
      <c r="AF878" s="8" t="n">
        <f aca="false">MIN(INT(ROUND(P878*1000000,0)/100000),9)</f>
        <v>1</v>
      </c>
    </row>
    <row r="879" customFormat="false" ht="15" hidden="false" customHeight="false" outlineLevel="0" collapsed="false">
      <c r="A879" s="4" t="n">
        <v>875</v>
      </c>
      <c r="B879" s="4" t="n">
        <v>734</v>
      </c>
      <c r="C879" s="4" t="n">
        <v>2</v>
      </c>
      <c r="D879" s="11" t="n">
        <v>46113</v>
      </c>
      <c r="E879" s="4" t="s">
        <v>202</v>
      </c>
      <c r="F879" s="4" t="s">
        <v>209</v>
      </c>
      <c r="G879" s="4" t="n">
        <v>4</v>
      </c>
      <c r="H879" s="4" t="n">
        <v>3</v>
      </c>
      <c r="I879" s="4" t="n">
        <v>0</v>
      </c>
      <c r="J879" s="4" t="n">
        <v>810</v>
      </c>
      <c r="K879" s="4" t="n">
        <v>0</v>
      </c>
      <c r="L879" s="12" t="n">
        <v>0.222231</v>
      </c>
      <c r="M879" s="12" t="n">
        <v>0.092063</v>
      </c>
      <c r="N879" s="12" t="n">
        <v>0.115222</v>
      </c>
      <c r="O879" s="12" t="n">
        <v>0.106183</v>
      </c>
      <c r="P879" s="12" t="n">
        <v>0.122766</v>
      </c>
      <c r="Q879" s="0" t="str">
        <f aca="false">IF(L879&gt;=Models!$G$5,1+COUNTIF($L$5:$L$1517,"&gt;"&amp;L879)+COUNTIFS($L$5:$L$1517,L879,$B$5:$B$1517,"&lt;"&amp;B879)+COUNTIFS($L$5:$L$1517,L879,$B$5:$B$1517,B879,$C$5:$C$1517,"&lt;"&amp;C879),"")</f>
        <v/>
      </c>
      <c r="R879" s="0" t="str">
        <f aca="false">IF(M879&gt;=Models!$G$6,1+COUNTIF($M$5:$M$1517,"&gt;"&amp;M879)+COUNTIFS($M$5:$M$1517,M879,$B$5:$B$1517,"&lt;"&amp;B879)+COUNTIFS($M$5:$M$1517,M879,$B$5:$B$1517,B879,$C$5:$C$1517,"&lt;"&amp;C879),"")</f>
        <v/>
      </c>
      <c r="S879" s="0" t="str">
        <f aca="false">IF(N879&gt;=Models!$G$7,1+COUNTIF($N$5:$N$1517,"&gt;"&amp;N879)+COUNTIFS($N$5:$N$1517,N879,$B$5:$B$1517,"&lt;"&amp;B879)+COUNTIFS($N$5:$N$1517,N879,$B$5:$B$1517,B879,$C$5:$C$1517,"&lt;"&amp;C879),"")</f>
        <v/>
      </c>
      <c r="T879" s="8" t="n">
        <f aca="false">IF(O879&gt;=Models!$G$8,1+COUNTIF($O$5:$O$1517,"&gt;"&amp;O879)+COUNTIFS($O$5:$O$1517,O879,$B$5:$B$1517,"&lt;"&amp;B879)+COUNTIFS($O$5:$O$1517,O879,$B$5:$B$1517,B879,$C$5:$C$1517,"&lt;"&amp;C879),"")</f>
        <v>560</v>
      </c>
      <c r="U879" s="8" t="n">
        <f aca="false">IF($K879=1,COUNTIFS($L$5:$L$1517,"&gt;="&amp;L879,$K$5:$K$1517,1)/COUNTIF($L$5:$L$1517,"&gt;="&amp;L879),0)</f>
        <v>0</v>
      </c>
      <c r="V879" s="8" t="n">
        <f aca="false">IF($K879=1,COUNTIFS($M$5:$M$1517,"&gt;="&amp;M879,$K$5:$K$1517,1)/COUNTIF($M$5:$M$1517,"&gt;="&amp;M879),0)</f>
        <v>0</v>
      </c>
      <c r="W879" s="8" t="n">
        <f aca="false">IF($K879=1,COUNTIFS($N$5:$N$1517,"&gt;="&amp;N879,$K$5:$K$1517,1)/COUNTIF($N$5:$N$1517,"&gt;="&amp;N879),0)</f>
        <v>0</v>
      </c>
      <c r="X879" s="8" t="n">
        <f aca="false">IF($K879=1,COUNTIFS($O$5:$O$1517,"&gt;="&amp;O879,$K$5:$K$1517,1)/COUNTIF($O$5:$O$1517,"&gt;="&amp;O879),0)</f>
        <v>0</v>
      </c>
      <c r="Y879" s="8" t="n">
        <f aca="false">IF($K879=1,COUNTIFS($P$5:$P$1517,"&gt;="&amp;P879,$K$5:$K$1517,1)/COUNTIF($P$5:$P$1517,"&gt;="&amp;P879),0)</f>
        <v>0</v>
      </c>
      <c r="Z879" s="8" t="n">
        <f aca="false">(L879-$K879)^2</f>
        <v>0.049386617361</v>
      </c>
      <c r="AA879" s="8" t="n">
        <f aca="false">(M879-$K879)^2</f>
        <v>0.008475595969</v>
      </c>
      <c r="AB879" s="8" t="n">
        <f aca="false">(N879-$K879)^2</f>
        <v>0.013276109284</v>
      </c>
      <c r="AC879" s="8" t="n">
        <f aca="false">(O879-$K879)^2</f>
        <v>0.011274829489</v>
      </c>
      <c r="AD879" s="8" t="n">
        <f aca="false">(P879-$K879)^2</f>
        <v>0.015071490756</v>
      </c>
      <c r="AE879" s="8" t="n">
        <f aca="false">MIN(INT(ROUND(N879*1000000,0)/100000),9)</f>
        <v>1</v>
      </c>
      <c r="AF879" s="8" t="n">
        <f aca="false">MIN(INT(ROUND(P879*1000000,0)/100000),9)</f>
        <v>1</v>
      </c>
    </row>
    <row r="880" customFormat="false" ht="15" hidden="false" customHeight="false" outlineLevel="0" collapsed="false">
      <c r="A880" s="4" t="n">
        <v>876</v>
      </c>
      <c r="B880" s="4" t="n">
        <v>736</v>
      </c>
      <c r="C880" s="4" t="n">
        <v>2</v>
      </c>
      <c r="D880" s="11" t="n">
        <v>46113</v>
      </c>
      <c r="E880" s="4" t="s">
        <v>204</v>
      </c>
      <c r="F880" s="4" t="s">
        <v>207</v>
      </c>
      <c r="G880" s="4" t="n">
        <v>4</v>
      </c>
      <c r="H880" s="4" t="n">
        <v>2</v>
      </c>
      <c r="I880" s="4" t="n">
        <v>1</v>
      </c>
      <c r="J880" s="4" t="n">
        <v>99</v>
      </c>
      <c r="K880" s="4" t="n">
        <v>1</v>
      </c>
      <c r="L880" s="12" t="n">
        <v>0.135941</v>
      </c>
      <c r="M880" s="12" t="n">
        <v>0.184211</v>
      </c>
      <c r="N880" s="12" t="n">
        <v>0.196337</v>
      </c>
      <c r="O880" s="12" t="n">
        <v>0.106183</v>
      </c>
      <c r="P880" s="12" t="n">
        <v>0.212916</v>
      </c>
      <c r="Q880" s="0" t="str">
        <f aca="false">IF(L880&gt;=Models!$G$5,1+COUNTIF($L$5:$L$1517,"&gt;"&amp;L880)+COUNTIFS($L$5:$L$1517,L880,$B$5:$B$1517,"&lt;"&amp;B880)+COUNTIFS($L$5:$L$1517,L880,$B$5:$B$1517,B880,$C$5:$C$1517,"&lt;"&amp;C880),"")</f>
        <v/>
      </c>
      <c r="R880" s="8" t="n">
        <f aca="false">IF(M880&gt;=Models!$G$6,1+COUNTIF($M$5:$M$1517,"&gt;"&amp;M880)+COUNTIFS($M$5:$M$1517,M880,$B$5:$B$1517,"&lt;"&amp;B880)+COUNTIFS($M$5:$M$1517,M880,$B$5:$B$1517,B880,$C$5:$C$1517,"&lt;"&amp;C880),"")</f>
        <v>64</v>
      </c>
      <c r="S880" s="0" t="str">
        <f aca="false">IF(N880&gt;=Models!$G$7,1+COUNTIF($N$5:$N$1517,"&gt;"&amp;N880)+COUNTIFS($N$5:$N$1517,N880,$B$5:$B$1517,"&lt;"&amp;B880)+COUNTIFS($N$5:$N$1517,N880,$B$5:$B$1517,B880,$C$5:$C$1517,"&lt;"&amp;C880),"")</f>
        <v/>
      </c>
      <c r="T880" s="8" t="n">
        <f aca="false">IF(O880&gt;=Models!$G$8,1+COUNTIF($O$5:$O$1517,"&gt;"&amp;O880)+COUNTIFS($O$5:$O$1517,O880,$B$5:$B$1517,"&lt;"&amp;B880)+COUNTIFS($O$5:$O$1517,O880,$B$5:$B$1517,B880,$C$5:$C$1517,"&lt;"&amp;C880),"")</f>
        <v>564</v>
      </c>
      <c r="U880" s="8" t="n">
        <f aca="false">IF($K880=1,COUNTIFS($L$5:$L$1517,"&gt;="&amp;L880,$K$5:$K$1517,1)/COUNTIF($L$5:$L$1517,"&gt;="&amp;L880),0)</f>
        <v>0.123160340821069</v>
      </c>
      <c r="V880" s="8" t="n">
        <f aca="false">IF($K880=1,COUNTIFS($M$5:$M$1517,"&gt;="&amp;M880,$K$5:$K$1517,1)/COUNTIF($M$5:$M$1517,"&gt;="&amp;M880),0)</f>
        <v>0.186528497409326</v>
      </c>
      <c r="W880" s="8" t="n">
        <f aca="false">IF($K880=1,COUNTIFS($N$5:$N$1517,"&gt;="&amp;N880,$K$5:$K$1517,1)/COUNTIF($N$5:$N$1517,"&gt;="&amp;N880),0)</f>
        <v>0.267605633802817</v>
      </c>
      <c r="X880" s="8" t="n">
        <f aca="false">IF($K880=1,COUNTIFS($O$5:$O$1517,"&gt;="&amp;O880,$K$5:$K$1517,1)/COUNTIF($O$5:$O$1517,"&gt;="&amp;O880),0)</f>
        <v>0.12491738268341</v>
      </c>
      <c r="Y880" s="8" t="n">
        <f aca="false">IF($K880=1,COUNTIFS($P$5:$P$1517,"&gt;="&amp;P880,$K$5:$K$1517,1)/COUNTIF($P$5:$P$1517,"&gt;="&amp;P880),0)</f>
        <v>0.267605633802817</v>
      </c>
      <c r="Z880" s="8" t="n">
        <f aca="false">(L880-$K880)^2</f>
        <v>0.746597955481</v>
      </c>
      <c r="AA880" s="8" t="n">
        <f aca="false">(M880-$K880)^2</f>
        <v>0.665511692521</v>
      </c>
      <c r="AB880" s="8" t="n">
        <f aca="false">(N880-$K880)^2</f>
        <v>0.645874217569</v>
      </c>
      <c r="AC880" s="8" t="n">
        <f aca="false">(O880-$K880)^2</f>
        <v>0.798908829489</v>
      </c>
      <c r="AD880" s="8" t="n">
        <f aca="false">(P880-$K880)^2</f>
        <v>0.619501223056</v>
      </c>
      <c r="AE880" s="8" t="n">
        <f aca="false">MIN(INT(ROUND(N880*1000000,0)/100000),9)</f>
        <v>1</v>
      </c>
      <c r="AF880" s="8" t="n">
        <f aca="false">MIN(INT(ROUND(P880*1000000,0)/100000),9)</f>
        <v>2</v>
      </c>
    </row>
    <row r="881" customFormat="false" ht="15" hidden="false" customHeight="false" outlineLevel="0" collapsed="false">
      <c r="A881" s="4" t="n">
        <v>877</v>
      </c>
      <c r="B881" s="4" t="n">
        <v>742</v>
      </c>
      <c r="C881" s="4" t="n">
        <v>2</v>
      </c>
      <c r="D881" s="11" t="n">
        <v>46113</v>
      </c>
      <c r="E881" s="4" t="s">
        <v>202</v>
      </c>
      <c r="F881" s="4" t="s">
        <v>206</v>
      </c>
      <c r="G881" s="4" t="n">
        <v>2</v>
      </c>
      <c r="H881" s="4" t="n">
        <v>15</v>
      </c>
      <c r="I881" s="4" t="n">
        <v>0</v>
      </c>
      <c r="J881" s="4"/>
      <c r="K881" s="4" t="n">
        <v>0</v>
      </c>
      <c r="L881" s="12" t="n">
        <v>0.767887</v>
      </c>
      <c r="M881" s="12" t="n">
        <v>0.092063</v>
      </c>
      <c r="N881" s="12" t="n">
        <v>0.077997</v>
      </c>
      <c r="O881" s="12" t="n">
        <v>0.106183</v>
      </c>
      <c r="P881" s="12" t="n">
        <v>0.081779</v>
      </c>
      <c r="Q881" s="0" t="str">
        <f aca="false">IF(L881&gt;=Models!$G$5,1+COUNTIF($L$5:$L$1517,"&gt;"&amp;L881)+COUNTIFS($L$5:$L$1517,L881,$B$5:$B$1517,"&lt;"&amp;B881)+COUNTIFS($L$5:$L$1517,L881,$B$5:$B$1517,B881,$C$5:$C$1517,"&lt;"&amp;C881),"")</f>
        <v/>
      </c>
      <c r="R881" s="0" t="str">
        <f aca="false">IF(M881&gt;=Models!$G$6,1+COUNTIF($M$5:$M$1517,"&gt;"&amp;M881)+COUNTIFS($M$5:$M$1517,M881,$B$5:$B$1517,"&lt;"&amp;B881)+COUNTIFS($M$5:$M$1517,M881,$B$5:$B$1517,B881,$C$5:$C$1517,"&lt;"&amp;C881),"")</f>
        <v/>
      </c>
      <c r="S881" s="0" t="str">
        <f aca="false">IF(N881&gt;=Models!$G$7,1+COUNTIF($N$5:$N$1517,"&gt;"&amp;N881)+COUNTIFS($N$5:$N$1517,N881,$B$5:$B$1517,"&lt;"&amp;B881)+COUNTIFS($N$5:$N$1517,N881,$B$5:$B$1517,B881,$C$5:$C$1517,"&lt;"&amp;C881),"")</f>
        <v/>
      </c>
      <c r="T881" s="8" t="n">
        <f aca="false">IF(O881&gt;=Models!$G$8,1+COUNTIF($O$5:$O$1517,"&gt;"&amp;O881)+COUNTIFS($O$5:$O$1517,O881,$B$5:$B$1517,"&lt;"&amp;B881)+COUNTIFS($O$5:$O$1517,O881,$B$5:$B$1517,B881,$C$5:$C$1517,"&lt;"&amp;C881),"")</f>
        <v>567</v>
      </c>
      <c r="U881" s="8" t="n">
        <f aca="false">IF($K881=1,COUNTIFS($L$5:$L$1517,"&gt;="&amp;L881,$K$5:$K$1517,1)/COUNTIF($L$5:$L$1517,"&gt;="&amp;L881),0)</f>
        <v>0</v>
      </c>
      <c r="V881" s="8" t="n">
        <f aca="false">IF($K881=1,COUNTIFS($M$5:$M$1517,"&gt;="&amp;M881,$K$5:$K$1517,1)/COUNTIF($M$5:$M$1517,"&gt;="&amp;M881),0)</f>
        <v>0</v>
      </c>
      <c r="W881" s="8" t="n">
        <f aca="false">IF($K881=1,COUNTIFS($N$5:$N$1517,"&gt;="&amp;N881,$K$5:$K$1517,1)/COUNTIF($N$5:$N$1517,"&gt;="&amp;N881),0)</f>
        <v>0</v>
      </c>
      <c r="X881" s="8" t="n">
        <f aca="false">IF($K881=1,COUNTIFS($O$5:$O$1517,"&gt;="&amp;O881,$K$5:$K$1517,1)/COUNTIF($O$5:$O$1517,"&gt;="&amp;O881),0)</f>
        <v>0</v>
      </c>
      <c r="Y881" s="8" t="n">
        <f aca="false">IF($K881=1,COUNTIFS($P$5:$P$1517,"&gt;="&amp;P881,$K$5:$K$1517,1)/COUNTIF($P$5:$P$1517,"&gt;="&amp;P881),0)</f>
        <v>0</v>
      </c>
      <c r="Z881" s="8" t="n">
        <f aca="false">(L881-$K881)^2</f>
        <v>0.589650444769</v>
      </c>
      <c r="AA881" s="8" t="n">
        <f aca="false">(M881-$K881)^2</f>
        <v>0.008475595969</v>
      </c>
      <c r="AB881" s="8" t="n">
        <f aca="false">(N881-$K881)^2</f>
        <v>0.006083532009</v>
      </c>
      <c r="AC881" s="8" t="n">
        <f aca="false">(O881-$K881)^2</f>
        <v>0.011274829489</v>
      </c>
      <c r="AD881" s="8" t="n">
        <f aca="false">(P881-$K881)^2</f>
        <v>0.006687804841</v>
      </c>
      <c r="AE881" s="8" t="n">
        <f aca="false">MIN(INT(ROUND(N881*1000000,0)/100000),9)</f>
        <v>0</v>
      </c>
      <c r="AF881" s="8" t="n">
        <f aca="false">MIN(INT(ROUND(P881*1000000,0)/100000),9)</f>
        <v>0</v>
      </c>
    </row>
    <row r="882" customFormat="false" ht="15" hidden="false" customHeight="false" outlineLevel="0" collapsed="false">
      <c r="A882" s="4" t="n">
        <v>878</v>
      </c>
      <c r="B882" s="4" t="n">
        <v>745</v>
      </c>
      <c r="C882" s="4" t="n">
        <v>2</v>
      </c>
      <c r="D882" s="11" t="n">
        <v>46113</v>
      </c>
      <c r="E882" s="4" t="s">
        <v>204</v>
      </c>
      <c r="F882" s="4" t="s">
        <v>210</v>
      </c>
      <c r="G882" s="4" t="n">
        <v>4</v>
      </c>
      <c r="H882" s="4" t="n">
        <v>1</v>
      </c>
      <c r="I882" s="4" t="n">
        <v>0</v>
      </c>
      <c r="J882" s="4" t="n">
        <v>79.8</v>
      </c>
      <c r="K882" s="4" t="n">
        <v>0</v>
      </c>
      <c r="L882" s="12" t="n">
        <v>0.851013</v>
      </c>
      <c r="M882" s="12" t="n">
        <v>0.092063</v>
      </c>
      <c r="N882" s="12" t="n">
        <v>0.1179</v>
      </c>
      <c r="O882" s="12" t="n">
        <v>0.106183</v>
      </c>
      <c r="P882" s="12" t="n">
        <v>0.125731</v>
      </c>
      <c r="Q882" s="0" t="str">
        <f aca="false">IF(L882&gt;=Models!$G$5,1+COUNTIF($L$5:$L$1517,"&gt;"&amp;L882)+COUNTIFS($L$5:$L$1517,L882,$B$5:$B$1517,"&lt;"&amp;B882)+COUNTIFS($L$5:$L$1517,L882,$B$5:$B$1517,B882,$C$5:$C$1517,"&lt;"&amp;C882),"")</f>
        <v/>
      </c>
      <c r="R882" s="0" t="str">
        <f aca="false">IF(M882&gt;=Models!$G$6,1+COUNTIF($M$5:$M$1517,"&gt;"&amp;M882)+COUNTIFS($M$5:$M$1517,M882,$B$5:$B$1517,"&lt;"&amp;B882)+COUNTIFS($M$5:$M$1517,M882,$B$5:$B$1517,B882,$C$5:$C$1517,"&lt;"&amp;C882),"")</f>
        <v/>
      </c>
      <c r="S882" s="0" t="str">
        <f aca="false">IF(N882&gt;=Models!$G$7,1+COUNTIF($N$5:$N$1517,"&gt;"&amp;N882)+COUNTIFS($N$5:$N$1517,N882,$B$5:$B$1517,"&lt;"&amp;B882)+COUNTIFS($N$5:$N$1517,N882,$B$5:$B$1517,B882,$C$5:$C$1517,"&lt;"&amp;C882),"")</f>
        <v/>
      </c>
      <c r="T882" s="8" t="n">
        <f aca="false">IF(O882&gt;=Models!$G$8,1+COUNTIF($O$5:$O$1517,"&gt;"&amp;O882)+COUNTIFS($O$5:$O$1517,O882,$B$5:$B$1517,"&lt;"&amp;B882)+COUNTIFS($O$5:$O$1517,O882,$B$5:$B$1517,B882,$C$5:$C$1517,"&lt;"&amp;C882),"")</f>
        <v>571</v>
      </c>
      <c r="U882" s="8" t="n">
        <f aca="false">IF($K882=1,COUNTIFS($L$5:$L$1517,"&gt;="&amp;L882,$K$5:$K$1517,1)/COUNTIF($L$5:$L$1517,"&gt;="&amp;L882),0)</f>
        <v>0</v>
      </c>
      <c r="V882" s="8" t="n">
        <f aca="false">IF($K882=1,COUNTIFS($M$5:$M$1517,"&gt;="&amp;M882,$K$5:$K$1517,1)/COUNTIF($M$5:$M$1517,"&gt;="&amp;M882),0)</f>
        <v>0</v>
      </c>
      <c r="W882" s="8" t="n">
        <f aca="false">IF($K882=1,COUNTIFS($N$5:$N$1517,"&gt;="&amp;N882,$K$5:$K$1517,1)/COUNTIF($N$5:$N$1517,"&gt;="&amp;N882),0)</f>
        <v>0</v>
      </c>
      <c r="X882" s="8" t="n">
        <f aca="false">IF($K882=1,COUNTIFS($O$5:$O$1517,"&gt;="&amp;O882,$K$5:$K$1517,1)/COUNTIF($O$5:$O$1517,"&gt;="&amp;O882),0)</f>
        <v>0</v>
      </c>
      <c r="Y882" s="8" t="n">
        <f aca="false">IF($K882=1,COUNTIFS($P$5:$P$1517,"&gt;="&amp;P882,$K$5:$K$1517,1)/COUNTIF($P$5:$P$1517,"&gt;="&amp;P882),0)</f>
        <v>0</v>
      </c>
      <c r="Z882" s="8" t="n">
        <f aca="false">(L882-$K882)^2</f>
        <v>0.724223126169</v>
      </c>
      <c r="AA882" s="8" t="n">
        <f aca="false">(M882-$K882)^2</f>
        <v>0.008475595969</v>
      </c>
      <c r="AB882" s="8" t="n">
        <f aca="false">(N882-$K882)^2</f>
        <v>0.01390041</v>
      </c>
      <c r="AC882" s="8" t="n">
        <f aca="false">(O882-$K882)^2</f>
        <v>0.011274829489</v>
      </c>
      <c r="AD882" s="8" t="n">
        <f aca="false">(P882-$K882)^2</f>
        <v>0.015808284361</v>
      </c>
      <c r="AE882" s="8" t="n">
        <f aca="false">MIN(INT(ROUND(N882*1000000,0)/100000),9)</f>
        <v>1</v>
      </c>
      <c r="AF882" s="8" t="n">
        <f aca="false">MIN(INT(ROUND(P882*1000000,0)/100000),9)</f>
        <v>1</v>
      </c>
    </row>
    <row r="883" customFormat="false" ht="15" hidden="false" customHeight="false" outlineLevel="0" collapsed="false">
      <c r="A883" s="4" t="n">
        <v>879</v>
      </c>
      <c r="B883" s="4" t="n">
        <v>746</v>
      </c>
      <c r="C883" s="4" t="n">
        <v>2</v>
      </c>
      <c r="D883" s="11" t="n">
        <v>46113</v>
      </c>
      <c r="E883" s="4" t="s">
        <v>204</v>
      </c>
      <c r="F883" s="4" t="s">
        <v>209</v>
      </c>
      <c r="G883" s="4" t="n">
        <v>6</v>
      </c>
      <c r="H883" s="4" t="n">
        <v>3</v>
      </c>
      <c r="I883" s="4" t="n">
        <v>0</v>
      </c>
      <c r="J883" s="4" t="n">
        <v>78</v>
      </c>
      <c r="K883" s="4" t="n">
        <v>0</v>
      </c>
      <c r="L883" s="12" t="n">
        <v>0.782944</v>
      </c>
      <c r="M883" s="12" t="n">
        <v>0.092063</v>
      </c>
      <c r="N883" s="12" t="n">
        <v>0.10193</v>
      </c>
      <c r="O883" s="12" t="n">
        <v>0.106183</v>
      </c>
      <c r="P883" s="12" t="n">
        <v>0.108079</v>
      </c>
      <c r="Q883" s="0" t="str">
        <f aca="false">IF(L883&gt;=Models!$G$5,1+COUNTIF($L$5:$L$1517,"&gt;"&amp;L883)+COUNTIFS($L$5:$L$1517,L883,$B$5:$B$1517,"&lt;"&amp;B883)+COUNTIFS($L$5:$L$1517,L883,$B$5:$B$1517,B883,$C$5:$C$1517,"&lt;"&amp;C883),"")</f>
        <v/>
      </c>
      <c r="R883" s="0" t="str">
        <f aca="false">IF(M883&gt;=Models!$G$6,1+COUNTIF($M$5:$M$1517,"&gt;"&amp;M883)+COUNTIFS($M$5:$M$1517,M883,$B$5:$B$1517,"&lt;"&amp;B883)+COUNTIFS($M$5:$M$1517,M883,$B$5:$B$1517,B883,$C$5:$C$1517,"&lt;"&amp;C883),"")</f>
        <v/>
      </c>
      <c r="S883" s="0" t="str">
        <f aca="false">IF(N883&gt;=Models!$G$7,1+COUNTIF($N$5:$N$1517,"&gt;"&amp;N883)+COUNTIFS($N$5:$N$1517,N883,$B$5:$B$1517,"&lt;"&amp;B883)+COUNTIFS($N$5:$N$1517,N883,$B$5:$B$1517,B883,$C$5:$C$1517,"&lt;"&amp;C883),"")</f>
        <v/>
      </c>
      <c r="T883" s="8" t="n">
        <f aca="false">IF(O883&gt;=Models!$G$8,1+COUNTIF($O$5:$O$1517,"&gt;"&amp;O883)+COUNTIFS($O$5:$O$1517,O883,$B$5:$B$1517,"&lt;"&amp;B883)+COUNTIFS($O$5:$O$1517,O883,$B$5:$B$1517,B883,$C$5:$C$1517,"&lt;"&amp;C883),"")</f>
        <v>575</v>
      </c>
      <c r="U883" s="8" t="n">
        <f aca="false">IF($K883=1,COUNTIFS($L$5:$L$1517,"&gt;="&amp;L883,$K$5:$K$1517,1)/COUNTIF($L$5:$L$1517,"&gt;="&amp;L883),0)</f>
        <v>0</v>
      </c>
      <c r="V883" s="8" t="n">
        <f aca="false">IF($K883=1,COUNTIFS($M$5:$M$1517,"&gt;="&amp;M883,$K$5:$K$1517,1)/COUNTIF($M$5:$M$1517,"&gt;="&amp;M883),0)</f>
        <v>0</v>
      </c>
      <c r="W883" s="8" t="n">
        <f aca="false">IF($K883=1,COUNTIFS($N$5:$N$1517,"&gt;="&amp;N883,$K$5:$K$1517,1)/COUNTIF($N$5:$N$1517,"&gt;="&amp;N883),0)</f>
        <v>0</v>
      </c>
      <c r="X883" s="8" t="n">
        <f aca="false">IF($K883=1,COUNTIFS($O$5:$O$1517,"&gt;="&amp;O883,$K$5:$K$1517,1)/COUNTIF($O$5:$O$1517,"&gt;="&amp;O883),0)</f>
        <v>0</v>
      </c>
      <c r="Y883" s="8" t="n">
        <f aca="false">IF($K883=1,COUNTIFS($P$5:$P$1517,"&gt;="&amp;P883,$K$5:$K$1517,1)/COUNTIF($P$5:$P$1517,"&gt;="&amp;P883),0)</f>
        <v>0</v>
      </c>
      <c r="Z883" s="8" t="n">
        <f aca="false">(L883-$K883)^2</f>
        <v>0.613001307136</v>
      </c>
      <c r="AA883" s="8" t="n">
        <f aca="false">(M883-$K883)^2</f>
        <v>0.008475595969</v>
      </c>
      <c r="AB883" s="8" t="n">
        <f aca="false">(N883-$K883)^2</f>
        <v>0.0103897249</v>
      </c>
      <c r="AC883" s="8" t="n">
        <f aca="false">(O883-$K883)^2</f>
        <v>0.011274829489</v>
      </c>
      <c r="AD883" s="8" t="n">
        <f aca="false">(P883-$K883)^2</f>
        <v>0.011681070241</v>
      </c>
      <c r="AE883" s="8" t="n">
        <f aca="false">MIN(INT(ROUND(N883*1000000,0)/100000),9)</f>
        <v>1</v>
      </c>
      <c r="AF883" s="8" t="n">
        <f aca="false">MIN(INT(ROUND(P883*1000000,0)/100000),9)</f>
        <v>1</v>
      </c>
    </row>
    <row r="884" customFormat="false" ht="15" hidden="false" customHeight="false" outlineLevel="0" collapsed="false">
      <c r="A884" s="4" t="n">
        <v>880</v>
      </c>
      <c r="B884" s="4" t="n">
        <v>751</v>
      </c>
      <c r="C884" s="4" t="n">
        <v>2</v>
      </c>
      <c r="D884" s="11" t="n">
        <v>46113</v>
      </c>
      <c r="E884" s="4" t="s">
        <v>204</v>
      </c>
      <c r="F884" s="4" t="s">
        <v>209</v>
      </c>
      <c r="G884" s="4" t="n">
        <v>2</v>
      </c>
      <c r="H884" s="4" t="n">
        <v>12</v>
      </c>
      <c r="I884" s="4" t="n">
        <v>0</v>
      </c>
      <c r="J884" s="4" t="n">
        <v>87</v>
      </c>
      <c r="K884" s="4" t="n">
        <v>0</v>
      </c>
      <c r="L884" s="12" t="n">
        <v>0.805251</v>
      </c>
      <c r="M884" s="12" t="n">
        <v>0.092063</v>
      </c>
      <c r="N884" s="12" t="n">
        <v>0.148962</v>
      </c>
      <c r="O884" s="12" t="n">
        <v>0.106183</v>
      </c>
      <c r="P884" s="12" t="n">
        <v>0.160204</v>
      </c>
      <c r="Q884" s="0" t="str">
        <f aca="false">IF(L884&gt;=Models!$G$5,1+COUNTIF($L$5:$L$1517,"&gt;"&amp;L884)+COUNTIFS($L$5:$L$1517,L884,$B$5:$B$1517,"&lt;"&amp;B884)+COUNTIFS($L$5:$L$1517,L884,$B$5:$B$1517,B884,$C$5:$C$1517,"&lt;"&amp;C884),"")</f>
        <v/>
      </c>
      <c r="R884" s="0" t="str">
        <f aca="false">IF(M884&gt;=Models!$G$6,1+COUNTIF($M$5:$M$1517,"&gt;"&amp;M884)+COUNTIFS($M$5:$M$1517,M884,$B$5:$B$1517,"&lt;"&amp;B884)+COUNTIFS($M$5:$M$1517,M884,$B$5:$B$1517,B884,$C$5:$C$1517,"&lt;"&amp;C884),"")</f>
        <v/>
      </c>
      <c r="S884" s="0" t="str">
        <f aca="false">IF(N884&gt;=Models!$G$7,1+COUNTIF($N$5:$N$1517,"&gt;"&amp;N884)+COUNTIFS($N$5:$N$1517,N884,$B$5:$B$1517,"&lt;"&amp;B884)+COUNTIFS($N$5:$N$1517,N884,$B$5:$B$1517,B884,$C$5:$C$1517,"&lt;"&amp;C884),"")</f>
        <v/>
      </c>
      <c r="T884" s="8" t="n">
        <f aca="false">IF(O884&gt;=Models!$G$8,1+COUNTIF($O$5:$O$1517,"&gt;"&amp;O884)+COUNTIFS($O$5:$O$1517,O884,$B$5:$B$1517,"&lt;"&amp;B884)+COUNTIFS($O$5:$O$1517,O884,$B$5:$B$1517,B884,$C$5:$C$1517,"&lt;"&amp;C884),"")</f>
        <v>579</v>
      </c>
      <c r="U884" s="8" t="n">
        <f aca="false">IF($K884=1,COUNTIFS($L$5:$L$1517,"&gt;="&amp;L884,$K$5:$K$1517,1)/COUNTIF($L$5:$L$1517,"&gt;="&amp;L884),0)</f>
        <v>0</v>
      </c>
      <c r="V884" s="8" t="n">
        <f aca="false">IF($K884=1,COUNTIFS($M$5:$M$1517,"&gt;="&amp;M884,$K$5:$K$1517,1)/COUNTIF($M$5:$M$1517,"&gt;="&amp;M884),0)</f>
        <v>0</v>
      </c>
      <c r="W884" s="8" t="n">
        <f aca="false">IF($K884=1,COUNTIFS($N$5:$N$1517,"&gt;="&amp;N884,$K$5:$K$1517,1)/COUNTIF($N$5:$N$1517,"&gt;="&amp;N884),0)</f>
        <v>0</v>
      </c>
      <c r="X884" s="8" t="n">
        <f aca="false">IF($K884=1,COUNTIFS($O$5:$O$1517,"&gt;="&amp;O884,$K$5:$K$1517,1)/COUNTIF($O$5:$O$1517,"&gt;="&amp;O884),0)</f>
        <v>0</v>
      </c>
      <c r="Y884" s="8" t="n">
        <f aca="false">IF($K884=1,COUNTIFS($P$5:$P$1517,"&gt;="&amp;P884,$K$5:$K$1517,1)/COUNTIF($P$5:$P$1517,"&gt;="&amp;P884),0)</f>
        <v>0</v>
      </c>
      <c r="Z884" s="8" t="n">
        <f aca="false">(L884-$K884)^2</f>
        <v>0.648429173001</v>
      </c>
      <c r="AA884" s="8" t="n">
        <f aca="false">(M884-$K884)^2</f>
        <v>0.008475595969</v>
      </c>
      <c r="AB884" s="8" t="n">
        <f aca="false">(N884-$K884)^2</f>
        <v>0.022189677444</v>
      </c>
      <c r="AC884" s="8" t="n">
        <f aca="false">(O884-$K884)^2</f>
        <v>0.011274829489</v>
      </c>
      <c r="AD884" s="8" t="n">
        <f aca="false">(P884-$K884)^2</f>
        <v>0.025665321616</v>
      </c>
      <c r="AE884" s="8" t="n">
        <f aca="false">MIN(INT(ROUND(N884*1000000,0)/100000),9)</f>
        <v>1</v>
      </c>
      <c r="AF884" s="8" t="n">
        <f aca="false">MIN(INT(ROUND(P884*1000000,0)/100000),9)</f>
        <v>1</v>
      </c>
    </row>
    <row r="885" customFormat="false" ht="15" hidden="false" customHeight="false" outlineLevel="0" collapsed="false">
      <c r="A885" s="4" t="n">
        <v>881</v>
      </c>
      <c r="B885" s="4" t="n">
        <v>754</v>
      </c>
      <c r="C885" s="4" t="n">
        <v>2</v>
      </c>
      <c r="D885" s="11" t="n">
        <v>46113</v>
      </c>
      <c r="E885" s="4" t="s">
        <v>201</v>
      </c>
      <c r="F885" s="4" t="s">
        <v>209</v>
      </c>
      <c r="G885" s="4" t="n">
        <v>13</v>
      </c>
      <c r="H885" s="4" t="n">
        <v>8</v>
      </c>
      <c r="I885" s="4" t="n">
        <v>0</v>
      </c>
      <c r="J885" s="4" t="n">
        <v>26632.2</v>
      </c>
      <c r="K885" s="4" t="n">
        <v>0</v>
      </c>
      <c r="L885" s="12" t="n">
        <v>0.072967</v>
      </c>
      <c r="M885" s="12" t="n">
        <v>0.092063</v>
      </c>
      <c r="N885" s="12" t="n">
        <v>0.013296</v>
      </c>
      <c r="O885" s="12" t="n">
        <v>0.106183</v>
      </c>
      <c r="P885" s="12" t="n">
        <v>0.012833</v>
      </c>
      <c r="Q885" s="0" t="str">
        <f aca="false">IF(L885&gt;=Models!$G$5,1+COUNTIF($L$5:$L$1517,"&gt;"&amp;L885)+COUNTIFS($L$5:$L$1517,L885,$B$5:$B$1517,"&lt;"&amp;B885)+COUNTIFS($L$5:$L$1517,L885,$B$5:$B$1517,B885,$C$5:$C$1517,"&lt;"&amp;C885),"")</f>
        <v/>
      </c>
      <c r="R885" s="0" t="str">
        <f aca="false">IF(M885&gt;=Models!$G$6,1+COUNTIF($M$5:$M$1517,"&gt;"&amp;M885)+COUNTIFS($M$5:$M$1517,M885,$B$5:$B$1517,"&lt;"&amp;B885)+COUNTIFS($M$5:$M$1517,M885,$B$5:$B$1517,B885,$C$5:$C$1517,"&lt;"&amp;C885),"")</f>
        <v/>
      </c>
      <c r="S885" s="0" t="str">
        <f aca="false">IF(N885&gt;=Models!$G$7,1+COUNTIF($N$5:$N$1517,"&gt;"&amp;N885)+COUNTIFS($N$5:$N$1517,N885,$B$5:$B$1517,"&lt;"&amp;B885)+COUNTIFS($N$5:$N$1517,N885,$B$5:$B$1517,B885,$C$5:$C$1517,"&lt;"&amp;C885),"")</f>
        <v/>
      </c>
      <c r="T885" s="8" t="n">
        <f aca="false">IF(O885&gt;=Models!$G$8,1+COUNTIF($O$5:$O$1517,"&gt;"&amp;O885)+COUNTIFS($O$5:$O$1517,O885,$B$5:$B$1517,"&lt;"&amp;B885)+COUNTIFS($O$5:$O$1517,O885,$B$5:$B$1517,B885,$C$5:$C$1517,"&lt;"&amp;C885),"")</f>
        <v>583</v>
      </c>
      <c r="U885" s="8" t="n">
        <f aca="false">IF($K885=1,COUNTIFS($L$5:$L$1517,"&gt;="&amp;L885,$K$5:$K$1517,1)/COUNTIF($L$5:$L$1517,"&gt;="&amp;L885),0)</f>
        <v>0</v>
      </c>
      <c r="V885" s="8" t="n">
        <f aca="false">IF($K885=1,COUNTIFS($M$5:$M$1517,"&gt;="&amp;M885,$K$5:$K$1517,1)/COUNTIF($M$5:$M$1517,"&gt;="&amp;M885),0)</f>
        <v>0</v>
      </c>
      <c r="W885" s="8" t="n">
        <f aca="false">IF($K885=1,COUNTIFS($N$5:$N$1517,"&gt;="&amp;N885,$K$5:$K$1517,1)/COUNTIF($N$5:$N$1517,"&gt;="&amp;N885),0)</f>
        <v>0</v>
      </c>
      <c r="X885" s="8" t="n">
        <f aca="false">IF($K885=1,COUNTIFS($O$5:$O$1517,"&gt;="&amp;O885,$K$5:$K$1517,1)/COUNTIF($O$5:$O$1517,"&gt;="&amp;O885),0)</f>
        <v>0</v>
      </c>
      <c r="Y885" s="8" t="n">
        <f aca="false">IF($K885=1,COUNTIFS($P$5:$P$1517,"&gt;="&amp;P885,$K$5:$K$1517,1)/COUNTIF($P$5:$P$1517,"&gt;="&amp;P885),0)</f>
        <v>0</v>
      </c>
      <c r="Z885" s="8" t="n">
        <f aca="false">(L885-$K885)^2</f>
        <v>0.005324183089</v>
      </c>
      <c r="AA885" s="8" t="n">
        <f aca="false">(M885-$K885)^2</f>
        <v>0.008475595969</v>
      </c>
      <c r="AB885" s="8" t="n">
        <f aca="false">(N885-$K885)^2</f>
        <v>0.000176783616</v>
      </c>
      <c r="AC885" s="8" t="n">
        <f aca="false">(O885-$K885)^2</f>
        <v>0.011274829489</v>
      </c>
      <c r="AD885" s="8" t="n">
        <f aca="false">(P885-$K885)^2</f>
        <v>0.000164685889</v>
      </c>
      <c r="AE885" s="8" t="n">
        <f aca="false">MIN(INT(ROUND(N885*1000000,0)/100000),9)</f>
        <v>0</v>
      </c>
      <c r="AF885" s="8" t="n">
        <f aca="false">MIN(INT(ROUND(P885*1000000,0)/100000),9)</f>
        <v>0</v>
      </c>
    </row>
    <row r="886" customFormat="false" ht="15" hidden="false" customHeight="false" outlineLevel="0" collapsed="false">
      <c r="A886" s="4" t="n">
        <v>882</v>
      </c>
      <c r="B886" s="4" t="n">
        <v>759</v>
      </c>
      <c r="C886" s="4" t="n">
        <v>2</v>
      </c>
      <c r="D886" s="11" t="n">
        <v>46113</v>
      </c>
      <c r="E886" s="4" t="s">
        <v>202</v>
      </c>
      <c r="F886" s="4" t="s">
        <v>206</v>
      </c>
      <c r="G886" s="4" t="n">
        <v>6</v>
      </c>
      <c r="H886" s="4" t="n">
        <v>5</v>
      </c>
      <c r="I886" s="4" t="n">
        <v>0</v>
      </c>
      <c r="J886" s="4" t="n">
        <v>3029.4</v>
      </c>
      <c r="K886" s="4" t="n">
        <v>0</v>
      </c>
      <c r="L886" s="12" t="n">
        <v>0.367521</v>
      </c>
      <c r="M886" s="12" t="n">
        <v>0.092063</v>
      </c>
      <c r="N886" s="12" t="n">
        <v>0.088592</v>
      </c>
      <c r="O886" s="12" t="n">
        <v>0.106183</v>
      </c>
      <c r="P886" s="12" t="n">
        <v>0.093394</v>
      </c>
      <c r="Q886" s="0" t="str">
        <f aca="false">IF(L886&gt;=Models!$G$5,1+COUNTIF($L$5:$L$1517,"&gt;"&amp;L886)+COUNTIFS($L$5:$L$1517,L886,$B$5:$B$1517,"&lt;"&amp;B886)+COUNTIFS($L$5:$L$1517,L886,$B$5:$B$1517,B886,$C$5:$C$1517,"&lt;"&amp;C886),"")</f>
        <v/>
      </c>
      <c r="R886" s="0" t="str">
        <f aca="false">IF(M886&gt;=Models!$G$6,1+COUNTIF($M$5:$M$1517,"&gt;"&amp;M886)+COUNTIFS($M$5:$M$1517,M886,$B$5:$B$1517,"&lt;"&amp;B886)+COUNTIFS($M$5:$M$1517,M886,$B$5:$B$1517,B886,$C$5:$C$1517,"&lt;"&amp;C886),"")</f>
        <v/>
      </c>
      <c r="S886" s="0" t="str">
        <f aca="false">IF(N886&gt;=Models!$G$7,1+COUNTIF($N$5:$N$1517,"&gt;"&amp;N886)+COUNTIFS($N$5:$N$1517,N886,$B$5:$B$1517,"&lt;"&amp;B886)+COUNTIFS($N$5:$N$1517,N886,$B$5:$B$1517,B886,$C$5:$C$1517,"&lt;"&amp;C886),"")</f>
        <v/>
      </c>
      <c r="T886" s="8" t="n">
        <f aca="false">IF(O886&gt;=Models!$G$8,1+COUNTIF($O$5:$O$1517,"&gt;"&amp;O886)+COUNTIFS($O$5:$O$1517,O886,$B$5:$B$1517,"&lt;"&amp;B886)+COUNTIFS($O$5:$O$1517,O886,$B$5:$B$1517,B886,$C$5:$C$1517,"&lt;"&amp;C886),"")</f>
        <v>588</v>
      </c>
      <c r="U886" s="8" t="n">
        <f aca="false">IF($K886=1,COUNTIFS($L$5:$L$1517,"&gt;="&amp;L886,$K$5:$K$1517,1)/COUNTIF($L$5:$L$1517,"&gt;="&amp;L886),0)</f>
        <v>0</v>
      </c>
      <c r="V886" s="8" t="n">
        <f aca="false">IF($K886=1,COUNTIFS($M$5:$M$1517,"&gt;="&amp;M886,$K$5:$K$1517,1)/COUNTIF($M$5:$M$1517,"&gt;="&amp;M886),0)</f>
        <v>0</v>
      </c>
      <c r="W886" s="8" t="n">
        <f aca="false">IF($K886=1,COUNTIFS($N$5:$N$1517,"&gt;="&amp;N886,$K$5:$K$1517,1)/COUNTIF($N$5:$N$1517,"&gt;="&amp;N886),0)</f>
        <v>0</v>
      </c>
      <c r="X886" s="8" t="n">
        <f aca="false">IF($K886=1,COUNTIFS($O$5:$O$1517,"&gt;="&amp;O886,$K$5:$K$1517,1)/COUNTIF($O$5:$O$1517,"&gt;="&amp;O886),0)</f>
        <v>0</v>
      </c>
      <c r="Y886" s="8" t="n">
        <f aca="false">IF($K886=1,COUNTIFS($P$5:$P$1517,"&gt;="&amp;P886,$K$5:$K$1517,1)/COUNTIF($P$5:$P$1517,"&gt;="&amp;P886),0)</f>
        <v>0</v>
      </c>
      <c r="Z886" s="8" t="n">
        <f aca="false">(L886-$K886)^2</f>
        <v>0.135071685441</v>
      </c>
      <c r="AA886" s="8" t="n">
        <f aca="false">(M886-$K886)^2</f>
        <v>0.008475595969</v>
      </c>
      <c r="AB886" s="8" t="n">
        <f aca="false">(N886-$K886)^2</f>
        <v>0.007848542464</v>
      </c>
      <c r="AC886" s="8" t="n">
        <f aca="false">(O886-$K886)^2</f>
        <v>0.011274829489</v>
      </c>
      <c r="AD886" s="8" t="n">
        <f aca="false">(P886-$K886)^2</f>
        <v>0.008722439236</v>
      </c>
      <c r="AE886" s="8" t="n">
        <f aca="false">MIN(INT(ROUND(N886*1000000,0)/100000),9)</f>
        <v>0</v>
      </c>
      <c r="AF886" s="8" t="n">
        <f aca="false">MIN(INT(ROUND(P886*1000000,0)/100000),9)</f>
        <v>0</v>
      </c>
    </row>
    <row r="887" customFormat="false" ht="15" hidden="false" customHeight="false" outlineLevel="0" collapsed="false">
      <c r="A887" s="4" t="n">
        <v>883</v>
      </c>
      <c r="B887" s="4" t="n">
        <v>768</v>
      </c>
      <c r="C887" s="4" t="n">
        <v>2</v>
      </c>
      <c r="D887" s="11" t="n">
        <v>46113</v>
      </c>
      <c r="E887" s="4" t="s">
        <v>201</v>
      </c>
      <c r="F887" s="4" t="s">
        <v>207</v>
      </c>
      <c r="G887" s="4" t="n">
        <v>6</v>
      </c>
      <c r="H887" s="4" t="n">
        <v>5</v>
      </c>
      <c r="I887" s="4" t="n">
        <v>0</v>
      </c>
      <c r="J887" s="4" t="n">
        <v>22654.2</v>
      </c>
      <c r="K887" s="4" t="n">
        <v>0</v>
      </c>
      <c r="L887" s="12" t="n">
        <v>0.129498</v>
      </c>
      <c r="M887" s="12" t="n">
        <v>0.092063</v>
      </c>
      <c r="N887" s="12" t="n">
        <v>0.030162</v>
      </c>
      <c r="O887" s="12" t="n">
        <v>0.106183</v>
      </c>
      <c r="P887" s="12" t="n">
        <v>0.030275</v>
      </c>
      <c r="Q887" s="0" t="str">
        <f aca="false">IF(L887&gt;=Models!$G$5,1+COUNTIF($L$5:$L$1517,"&gt;"&amp;L887)+COUNTIFS($L$5:$L$1517,L887,$B$5:$B$1517,"&lt;"&amp;B887)+COUNTIFS($L$5:$L$1517,L887,$B$5:$B$1517,B887,$C$5:$C$1517,"&lt;"&amp;C887),"")</f>
        <v/>
      </c>
      <c r="R887" s="0" t="str">
        <f aca="false">IF(M887&gt;=Models!$G$6,1+COUNTIF($M$5:$M$1517,"&gt;"&amp;M887)+COUNTIFS($M$5:$M$1517,M887,$B$5:$B$1517,"&lt;"&amp;B887)+COUNTIFS($M$5:$M$1517,M887,$B$5:$B$1517,B887,$C$5:$C$1517,"&lt;"&amp;C887),"")</f>
        <v/>
      </c>
      <c r="S887" s="0" t="str">
        <f aca="false">IF(N887&gt;=Models!$G$7,1+COUNTIF($N$5:$N$1517,"&gt;"&amp;N887)+COUNTIFS($N$5:$N$1517,N887,$B$5:$B$1517,"&lt;"&amp;B887)+COUNTIFS($N$5:$N$1517,N887,$B$5:$B$1517,B887,$C$5:$C$1517,"&lt;"&amp;C887),"")</f>
        <v/>
      </c>
      <c r="T887" s="8" t="n">
        <f aca="false">IF(O887&gt;=Models!$G$8,1+COUNTIF($O$5:$O$1517,"&gt;"&amp;O887)+COUNTIFS($O$5:$O$1517,O887,$B$5:$B$1517,"&lt;"&amp;B887)+COUNTIFS($O$5:$O$1517,O887,$B$5:$B$1517,B887,$C$5:$C$1517,"&lt;"&amp;C887),"")</f>
        <v>594</v>
      </c>
      <c r="U887" s="8" t="n">
        <f aca="false">IF($K887=1,COUNTIFS($L$5:$L$1517,"&gt;="&amp;L887,$K$5:$K$1517,1)/COUNTIF($L$5:$L$1517,"&gt;="&amp;L887),0)</f>
        <v>0</v>
      </c>
      <c r="V887" s="8" t="n">
        <f aca="false">IF($K887=1,COUNTIFS($M$5:$M$1517,"&gt;="&amp;M887,$K$5:$K$1517,1)/COUNTIF($M$5:$M$1517,"&gt;="&amp;M887),0)</f>
        <v>0</v>
      </c>
      <c r="W887" s="8" t="n">
        <f aca="false">IF($K887=1,COUNTIFS($N$5:$N$1517,"&gt;="&amp;N887,$K$5:$K$1517,1)/COUNTIF($N$5:$N$1517,"&gt;="&amp;N887),0)</f>
        <v>0</v>
      </c>
      <c r="X887" s="8" t="n">
        <f aca="false">IF($K887=1,COUNTIFS($O$5:$O$1517,"&gt;="&amp;O887,$K$5:$K$1517,1)/COUNTIF($O$5:$O$1517,"&gt;="&amp;O887),0)</f>
        <v>0</v>
      </c>
      <c r="Y887" s="8" t="n">
        <f aca="false">IF($K887=1,COUNTIFS($P$5:$P$1517,"&gt;="&amp;P887,$K$5:$K$1517,1)/COUNTIF($P$5:$P$1517,"&gt;="&amp;P887),0)</f>
        <v>0</v>
      </c>
      <c r="Z887" s="8" t="n">
        <f aca="false">(L887-$K887)^2</f>
        <v>0.016769732004</v>
      </c>
      <c r="AA887" s="8" t="n">
        <f aca="false">(M887-$K887)^2</f>
        <v>0.008475595969</v>
      </c>
      <c r="AB887" s="8" t="n">
        <f aca="false">(N887-$K887)^2</f>
        <v>0.000909746244</v>
      </c>
      <c r="AC887" s="8" t="n">
        <f aca="false">(O887-$K887)^2</f>
        <v>0.011274829489</v>
      </c>
      <c r="AD887" s="8" t="n">
        <f aca="false">(P887-$K887)^2</f>
        <v>0.000916575625</v>
      </c>
      <c r="AE887" s="8" t="n">
        <f aca="false">MIN(INT(ROUND(N887*1000000,0)/100000),9)</f>
        <v>0</v>
      </c>
      <c r="AF887" s="8" t="n">
        <f aca="false">MIN(INT(ROUND(P887*1000000,0)/100000),9)</f>
        <v>0</v>
      </c>
    </row>
    <row r="888" customFormat="false" ht="15" hidden="false" customHeight="false" outlineLevel="0" collapsed="false">
      <c r="A888" s="4" t="n">
        <v>884</v>
      </c>
      <c r="B888" s="4" t="n">
        <v>771</v>
      </c>
      <c r="C888" s="4" t="n">
        <v>2</v>
      </c>
      <c r="D888" s="11" t="n">
        <v>46113</v>
      </c>
      <c r="E888" s="4" t="s">
        <v>202</v>
      </c>
      <c r="F888" s="4" t="s">
        <v>209</v>
      </c>
      <c r="G888" s="4" t="n">
        <v>17</v>
      </c>
      <c r="H888" s="4" t="n">
        <v>1</v>
      </c>
      <c r="I888" s="4" t="n">
        <v>0</v>
      </c>
      <c r="J888" s="4" t="n">
        <v>1116</v>
      </c>
      <c r="K888" s="4" t="n">
        <v>0</v>
      </c>
      <c r="L888" s="12" t="n">
        <v>0.944522</v>
      </c>
      <c r="M888" s="12" t="n">
        <v>0.092063</v>
      </c>
      <c r="N888" s="12" t="n">
        <v>0.037596</v>
      </c>
      <c r="O888" s="12" t="n">
        <v>0.106183</v>
      </c>
      <c r="P888" s="12" t="n">
        <v>0.038132</v>
      </c>
      <c r="Q888" s="0" t="str">
        <f aca="false">IF(L888&gt;=Models!$G$5,1+COUNTIF($L$5:$L$1517,"&gt;"&amp;L888)+COUNTIFS($L$5:$L$1517,L888,$B$5:$B$1517,"&lt;"&amp;B888)+COUNTIFS($L$5:$L$1517,L888,$B$5:$B$1517,B888,$C$5:$C$1517,"&lt;"&amp;C888),"")</f>
        <v/>
      </c>
      <c r="R888" s="0" t="str">
        <f aca="false">IF(M888&gt;=Models!$G$6,1+COUNTIF($M$5:$M$1517,"&gt;"&amp;M888)+COUNTIFS($M$5:$M$1517,M888,$B$5:$B$1517,"&lt;"&amp;B888)+COUNTIFS($M$5:$M$1517,M888,$B$5:$B$1517,B888,$C$5:$C$1517,"&lt;"&amp;C888),"")</f>
        <v/>
      </c>
      <c r="S888" s="0" t="str">
        <f aca="false">IF(N888&gt;=Models!$G$7,1+COUNTIF($N$5:$N$1517,"&gt;"&amp;N888)+COUNTIFS($N$5:$N$1517,N888,$B$5:$B$1517,"&lt;"&amp;B888)+COUNTIFS($N$5:$N$1517,N888,$B$5:$B$1517,B888,$C$5:$C$1517,"&lt;"&amp;C888),"")</f>
        <v/>
      </c>
      <c r="T888" s="8" t="n">
        <f aca="false">IF(O888&gt;=Models!$G$8,1+COUNTIF($O$5:$O$1517,"&gt;"&amp;O888)+COUNTIFS($O$5:$O$1517,O888,$B$5:$B$1517,"&lt;"&amp;B888)+COUNTIFS($O$5:$O$1517,O888,$B$5:$B$1517,B888,$C$5:$C$1517,"&lt;"&amp;C888),"")</f>
        <v>598</v>
      </c>
      <c r="U888" s="8" t="n">
        <f aca="false">IF($K888=1,COUNTIFS($L$5:$L$1517,"&gt;="&amp;L888,$K$5:$K$1517,1)/COUNTIF($L$5:$L$1517,"&gt;="&amp;L888),0)</f>
        <v>0</v>
      </c>
      <c r="V888" s="8" t="n">
        <f aca="false">IF($K888=1,COUNTIFS($M$5:$M$1517,"&gt;="&amp;M888,$K$5:$K$1517,1)/COUNTIF($M$5:$M$1517,"&gt;="&amp;M888),0)</f>
        <v>0</v>
      </c>
      <c r="W888" s="8" t="n">
        <f aca="false">IF($K888=1,COUNTIFS($N$5:$N$1517,"&gt;="&amp;N888,$K$5:$K$1517,1)/COUNTIF($N$5:$N$1517,"&gt;="&amp;N888),0)</f>
        <v>0</v>
      </c>
      <c r="X888" s="8" t="n">
        <f aca="false">IF($K888=1,COUNTIFS($O$5:$O$1517,"&gt;="&amp;O888,$K$5:$K$1517,1)/COUNTIF($O$5:$O$1517,"&gt;="&amp;O888),0)</f>
        <v>0</v>
      </c>
      <c r="Y888" s="8" t="n">
        <f aca="false">IF($K888=1,COUNTIFS($P$5:$P$1517,"&gt;="&amp;P888,$K$5:$K$1517,1)/COUNTIF($P$5:$P$1517,"&gt;="&amp;P888),0)</f>
        <v>0</v>
      </c>
      <c r="Z888" s="8" t="n">
        <f aca="false">(L888-$K888)^2</f>
        <v>0.892121808484</v>
      </c>
      <c r="AA888" s="8" t="n">
        <f aca="false">(M888-$K888)^2</f>
        <v>0.008475595969</v>
      </c>
      <c r="AB888" s="8" t="n">
        <f aca="false">(N888-$K888)^2</f>
        <v>0.001413459216</v>
      </c>
      <c r="AC888" s="8" t="n">
        <f aca="false">(O888-$K888)^2</f>
        <v>0.011274829489</v>
      </c>
      <c r="AD888" s="8" t="n">
        <f aca="false">(P888-$K888)^2</f>
        <v>0.001454049424</v>
      </c>
      <c r="AE888" s="8" t="n">
        <f aca="false">MIN(INT(ROUND(N888*1000000,0)/100000),9)</f>
        <v>0</v>
      </c>
      <c r="AF888" s="8" t="n">
        <f aca="false">MIN(INT(ROUND(P888*1000000,0)/100000),9)</f>
        <v>0</v>
      </c>
    </row>
    <row r="889" customFormat="false" ht="15" hidden="false" customHeight="false" outlineLevel="0" collapsed="false">
      <c r="A889" s="4" t="n">
        <v>885</v>
      </c>
      <c r="B889" s="4" t="n">
        <v>774</v>
      </c>
      <c r="C889" s="4" t="n">
        <v>2</v>
      </c>
      <c r="D889" s="11" t="n">
        <v>46113</v>
      </c>
      <c r="E889" s="4" t="s">
        <v>201</v>
      </c>
      <c r="F889" s="4" t="s">
        <v>207</v>
      </c>
      <c r="G889" s="4" t="n">
        <v>6</v>
      </c>
      <c r="H889" s="4" t="n">
        <v>3</v>
      </c>
      <c r="I889" s="4" t="n">
        <v>0</v>
      </c>
      <c r="J889" s="4" t="n">
        <v>29049.6</v>
      </c>
      <c r="K889" s="4" t="n">
        <v>1</v>
      </c>
      <c r="L889" s="12" t="n">
        <v>0.089791</v>
      </c>
      <c r="M889" s="12" t="n">
        <v>0.092063</v>
      </c>
      <c r="N889" s="12" t="n">
        <v>0.020667</v>
      </c>
      <c r="O889" s="12" t="n">
        <v>0.106183</v>
      </c>
      <c r="P889" s="12" t="n">
        <v>0.020374</v>
      </c>
      <c r="Q889" s="0" t="str">
        <f aca="false">IF(L889&gt;=Models!$G$5,1+COUNTIF($L$5:$L$1517,"&gt;"&amp;L889)+COUNTIFS($L$5:$L$1517,L889,$B$5:$B$1517,"&lt;"&amp;B889)+COUNTIFS($L$5:$L$1517,L889,$B$5:$B$1517,B889,$C$5:$C$1517,"&lt;"&amp;C889),"")</f>
        <v/>
      </c>
      <c r="R889" s="0" t="str">
        <f aca="false">IF(M889&gt;=Models!$G$6,1+COUNTIF($M$5:$M$1517,"&gt;"&amp;M889)+COUNTIFS($M$5:$M$1517,M889,$B$5:$B$1517,"&lt;"&amp;B889)+COUNTIFS($M$5:$M$1517,M889,$B$5:$B$1517,B889,$C$5:$C$1517,"&lt;"&amp;C889),"")</f>
        <v/>
      </c>
      <c r="S889" s="0" t="str">
        <f aca="false">IF(N889&gt;=Models!$G$7,1+COUNTIF($N$5:$N$1517,"&gt;"&amp;N889)+COUNTIFS($N$5:$N$1517,N889,$B$5:$B$1517,"&lt;"&amp;B889)+COUNTIFS($N$5:$N$1517,N889,$B$5:$B$1517,B889,$C$5:$C$1517,"&lt;"&amp;C889),"")</f>
        <v/>
      </c>
      <c r="T889" s="8" t="n">
        <f aca="false">IF(O889&gt;=Models!$G$8,1+COUNTIF($O$5:$O$1517,"&gt;"&amp;O889)+COUNTIFS($O$5:$O$1517,O889,$B$5:$B$1517,"&lt;"&amp;B889)+COUNTIFS($O$5:$O$1517,O889,$B$5:$B$1517,B889,$C$5:$C$1517,"&lt;"&amp;C889),"")</f>
        <v>603</v>
      </c>
      <c r="U889" s="8" t="n">
        <f aca="false">IF($K889=1,COUNTIFS($L$5:$L$1517,"&gt;="&amp;L889,$K$5:$K$1517,1)/COUNTIF($L$5:$L$1517,"&gt;="&amp;L889),0)</f>
        <v>0.123816460305899</v>
      </c>
      <c r="V889" s="8" t="n">
        <f aca="false">IF($K889=1,COUNTIFS($M$5:$M$1517,"&gt;="&amp;M889,$K$5:$K$1517,1)/COUNTIF($M$5:$M$1517,"&gt;="&amp;M889),0)</f>
        <v>0.12491738268341</v>
      </c>
      <c r="W889" s="8" t="n">
        <f aca="false">IF($K889=1,COUNTIFS($N$5:$N$1517,"&gt;="&amp;N889,$K$5:$K$1517,1)/COUNTIF($N$5:$N$1517,"&gt;="&amp;N889),0)</f>
        <v>0.13028413028413</v>
      </c>
      <c r="X889" s="8" t="n">
        <f aca="false">IF($K889=1,COUNTIFS($O$5:$O$1517,"&gt;="&amp;O889,$K$5:$K$1517,1)/COUNTIF($O$5:$O$1517,"&gt;="&amp;O889),0)</f>
        <v>0.12491738268341</v>
      </c>
      <c r="Y889" s="8" t="n">
        <f aca="false">IF($K889=1,COUNTIFS($P$5:$P$1517,"&gt;="&amp;P889,$K$5:$K$1517,1)/COUNTIF($P$5:$P$1517,"&gt;="&amp;P889),0)</f>
        <v>0.13028413028413</v>
      </c>
      <c r="Z889" s="8" t="n">
        <f aca="false">(L889-$K889)^2</f>
        <v>0.828480423681</v>
      </c>
      <c r="AA889" s="8" t="n">
        <f aca="false">(M889-$K889)^2</f>
        <v>0.824349595969</v>
      </c>
      <c r="AB889" s="8" t="n">
        <f aca="false">(N889-$K889)^2</f>
        <v>0.959093124889</v>
      </c>
      <c r="AC889" s="8" t="n">
        <f aca="false">(O889-$K889)^2</f>
        <v>0.798908829489</v>
      </c>
      <c r="AD889" s="8" t="n">
        <f aca="false">(P889-$K889)^2</f>
        <v>0.959667099876</v>
      </c>
      <c r="AE889" s="8" t="n">
        <f aca="false">MIN(INT(ROUND(N889*1000000,0)/100000),9)</f>
        <v>0</v>
      </c>
      <c r="AF889" s="8" t="n">
        <f aca="false">MIN(INT(ROUND(P889*1000000,0)/100000),9)</f>
        <v>0</v>
      </c>
    </row>
    <row r="890" customFormat="false" ht="15" hidden="false" customHeight="false" outlineLevel="0" collapsed="false">
      <c r="A890" s="4" t="n">
        <v>886</v>
      </c>
      <c r="B890" s="4" t="n">
        <v>775</v>
      </c>
      <c r="C890" s="4" t="n">
        <v>2</v>
      </c>
      <c r="D890" s="11" t="n">
        <v>46113</v>
      </c>
      <c r="E890" s="4" t="s">
        <v>203</v>
      </c>
      <c r="F890" s="4" t="s">
        <v>206</v>
      </c>
      <c r="G890" s="4" t="n">
        <v>5</v>
      </c>
      <c r="H890" s="4" t="n">
        <v>0</v>
      </c>
      <c r="I890" s="4" t="n">
        <v>0</v>
      </c>
      <c r="J890" s="4" t="n">
        <v>220.5</v>
      </c>
      <c r="K890" s="4" t="n">
        <v>0</v>
      </c>
      <c r="L890" s="12" t="n">
        <v>0.159836</v>
      </c>
      <c r="M890" s="12" t="n">
        <v>0.092063</v>
      </c>
      <c r="N890" s="12" t="n">
        <v>0.10728</v>
      </c>
      <c r="O890" s="12" t="n">
        <v>0.106183</v>
      </c>
      <c r="P890" s="12" t="n">
        <v>0.113985</v>
      </c>
      <c r="Q890" s="0" t="str">
        <f aca="false">IF(L890&gt;=Models!$G$5,1+COUNTIF($L$5:$L$1517,"&gt;"&amp;L890)+COUNTIFS($L$5:$L$1517,L890,$B$5:$B$1517,"&lt;"&amp;B890)+COUNTIFS($L$5:$L$1517,L890,$B$5:$B$1517,B890,$C$5:$C$1517,"&lt;"&amp;C890),"")</f>
        <v/>
      </c>
      <c r="R890" s="0" t="str">
        <f aca="false">IF(M890&gt;=Models!$G$6,1+COUNTIF($M$5:$M$1517,"&gt;"&amp;M890)+COUNTIFS($M$5:$M$1517,M890,$B$5:$B$1517,"&lt;"&amp;B890)+COUNTIFS($M$5:$M$1517,M890,$B$5:$B$1517,B890,$C$5:$C$1517,"&lt;"&amp;C890),"")</f>
        <v/>
      </c>
      <c r="S890" s="0" t="str">
        <f aca="false">IF(N890&gt;=Models!$G$7,1+COUNTIF($N$5:$N$1517,"&gt;"&amp;N890)+COUNTIFS($N$5:$N$1517,N890,$B$5:$B$1517,"&lt;"&amp;B890)+COUNTIFS($N$5:$N$1517,N890,$B$5:$B$1517,B890,$C$5:$C$1517,"&lt;"&amp;C890),"")</f>
        <v/>
      </c>
      <c r="T890" s="8" t="n">
        <f aca="false">IF(O890&gt;=Models!$G$8,1+COUNTIF($O$5:$O$1517,"&gt;"&amp;O890)+COUNTIFS($O$5:$O$1517,O890,$B$5:$B$1517,"&lt;"&amp;B890)+COUNTIFS($O$5:$O$1517,O890,$B$5:$B$1517,B890,$C$5:$C$1517,"&lt;"&amp;C890),"")</f>
        <v>607</v>
      </c>
      <c r="U890" s="8" t="n">
        <f aca="false">IF($K890=1,COUNTIFS($L$5:$L$1517,"&gt;="&amp;L890,$K$5:$K$1517,1)/COUNTIF($L$5:$L$1517,"&gt;="&amp;L890),0)</f>
        <v>0</v>
      </c>
      <c r="V890" s="8" t="n">
        <f aca="false">IF($K890=1,COUNTIFS($M$5:$M$1517,"&gt;="&amp;M890,$K$5:$K$1517,1)/COUNTIF($M$5:$M$1517,"&gt;="&amp;M890),0)</f>
        <v>0</v>
      </c>
      <c r="W890" s="8" t="n">
        <f aca="false">IF($K890=1,COUNTIFS($N$5:$N$1517,"&gt;="&amp;N890,$K$5:$K$1517,1)/COUNTIF($N$5:$N$1517,"&gt;="&amp;N890),0)</f>
        <v>0</v>
      </c>
      <c r="X890" s="8" t="n">
        <f aca="false">IF($K890=1,COUNTIFS($O$5:$O$1517,"&gt;="&amp;O890,$K$5:$K$1517,1)/COUNTIF($O$5:$O$1517,"&gt;="&amp;O890),0)</f>
        <v>0</v>
      </c>
      <c r="Y890" s="8" t="n">
        <f aca="false">IF($K890=1,COUNTIFS($P$5:$P$1517,"&gt;="&amp;P890,$K$5:$K$1517,1)/COUNTIF($P$5:$P$1517,"&gt;="&amp;P890),0)</f>
        <v>0</v>
      </c>
      <c r="Z890" s="8" t="n">
        <f aca="false">(L890-$K890)^2</f>
        <v>0.025547546896</v>
      </c>
      <c r="AA890" s="8" t="n">
        <f aca="false">(M890-$K890)^2</f>
        <v>0.008475595969</v>
      </c>
      <c r="AB890" s="8" t="n">
        <f aca="false">(N890-$K890)^2</f>
        <v>0.0115089984</v>
      </c>
      <c r="AC890" s="8" t="n">
        <f aca="false">(O890-$K890)^2</f>
        <v>0.011274829489</v>
      </c>
      <c r="AD890" s="8" t="n">
        <f aca="false">(P890-$K890)^2</f>
        <v>0.012992580225</v>
      </c>
      <c r="AE890" s="8" t="n">
        <f aca="false">MIN(INT(ROUND(N890*1000000,0)/100000),9)</f>
        <v>1</v>
      </c>
      <c r="AF890" s="8" t="n">
        <f aca="false">MIN(INT(ROUND(P890*1000000,0)/100000),9)</f>
        <v>1</v>
      </c>
    </row>
    <row r="891" customFormat="false" ht="15" hidden="false" customHeight="false" outlineLevel="0" collapsed="false">
      <c r="A891" s="4" t="n">
        <v>887</v>
      </c>
      <c r="B891" s="4" t="n">
        <v>784</v>
      </c>
      <c r="C891" s="4" t="n">
        <v>2</v>
      </c>
      <c r="D891" s="11" t="n">
        <v>46113</v>
      </c>
      <c r="E891" s="4" t="s">
        <v>204</v>
      </c>
      <c r="F891" s="4" t="s">
        <v>209</v>
      </c>
      <c r="G891" s="4" t="n">
        <v>2</v>
      </c>
      <c r="H891" s="4" t="n">
        <v>0</v>
      </c>
      <c r="I891" s="4" t="n">
        <v>1</v>
      </c>
      <c r="J891" s="4" t="n">
        <v>102</v>
      </c>
      <c r="K891" s="4" t="n">
        <v>0</v>
      </c>
      <c r="L891" s="12" t="n">
        <v>0.672302</v>
      </c>
      <c r="M891" s="12" t="n">
        <v>0.184211</v>
      </c>
      <c r="N891" s="12" t="n">
        <v>0.223406</v>
      </c>
      <c r="O891" s="12" t="n">
        <v>0.106183</v>
      </c>
      <c r="P891" s="12" t="n">
        <v>0.243011</v>
      </c>
      <c r="Q891" s="0" t="str">
        <f aca="false">IF(L891&gt;=Models!$G$5,1+COUNTIF($L$5:$L$1517,"&gt;"&amp;L891)+COUNTIFS($L$5:$L$1517,L891,$B$5:$B$1517,"&lt;"&amp;B891)+COUNTIFS($L$5:$L$1517,L891,$B$5:$B$1517,B891,$C$5:$C$1517,"&lt;"&amp;C891),"")</f>
        <v/>
      </c>
      <c r="R891" s="8" t="n">
        <f aca="false">IF(M891&gt;=Models!$G$6,1+COUNTIF($M$5:$M$1517,"&gt;"&amp;M891)+COUNTIFS($M$5:$M$1517,M891,$B$5:$B$1517,"&lt;"&amp;B891)+COUNTIFS($M$5:$M$1517,M891,$B$5:$B$1517,B891,$C$5:$C$1517,"&lt;"&amp;C891),"")</f>
        <v>67</v>
      </c>
      <c r="S891" s="0" t="str">
        <f aca="false">IF(N891&gt;=Models!$G$7,1+COUNTIF($N$5:$N$1517,"&gt;"&amp;N891)+COUNTIFS($N$5:$N$1517,N891,$B$5:$B$1517,"&lt;"&amp;B891)+COUNTIFS($N$5:$N$1517,N891,$B$5:$B$1517,B891,$C$5:$C$1517,"&lt;"&amp;C891),"")</f>
        <v/>
      </c>
      <c r="T891" s="8" t="n">
        <f aca="false">IF(O891&gt;=Models!$G$8,1+COUNTIF($O$5:$O$1517,"&gt;"&amp;O891)+COUNTIFS($O$5:$O$1517,O891,$B$5:$B$1517,"&lt;"&amp;B891)+COUNTIFS($O$5:$O$1517,O891,$B$5:$B$1517,B891,$C$5:$C$1517,"&lt;"&amp;C891),"")</f>
        <v>611</v>
      </c>
      <c r="U891" s="8" t="n">
        <f aca="false">IF($K891=1,COUNTIFS($L$5:$L$1517,"&gt;="&amp;L891,$K$5:$K$1517,1)/COUNTIF($L$5:$L$1517,"&gt;="&amp;L891),0)</f>
        <v>0</v>
      </c>
      <c r="V891" s="8" t="n">
        <f aca="false">IF($K891=1,COUNTIFS($M$5:$M$1517,"&gt;="&amp;M891,$K$5:$K$1517,1)/COUNTIF($M$5:$M$1517,"&gt;="&amp;M891),0)</f>
        <v>0</v>
      </c>
      <c r="W891" s="8" t="n">
        <f aca="false">IF($K891=1,COUNTIFS($N$5:$N$1517,"&gt;="&amp;N891,$K$5:$K$1517,1)/COUNTIF($N$5:$N$1517,"&gt;="&amp;N891),0)</f>
        <v>0</v>
      </c>
      <c r="X891" s="8" t="n">
        <f aca="false">IF($K891=1,COUNTIFS($O$5:$O$1517,"&gt;="&amp;O891,$K$5:$K$1517,1)/COUNTIF($O$5:$O$1517,"&gt;="&amp;O891),0)</f>
        <v>0</v>
      </c>
      <c r="Y891" s="8" t="n">
        <f aca="false">IF($K891=1,COUNTIFS($P$5:$P$1517,"&gt;="&amp;P891,$K$5:$K$1517,1)/COUNTIF($P$5:$P$1517,"&gt;="&amp;P891),0)</f>
        <v>0</v>
      </c>
      <c r="Z891" s="8" t="n">
        <f aca="false">(L891-$K891)^2</f>
        <v>0.451989979204</v>
      </c>
      <c r="AA891" s="8" t="n">
        <f aca="false">(M891-$K891)^2</f>
        <v>0.033933692521</v>
      </c>
      <c r="AB891" s="8" t="n">
        <f aca="false">(N891-$K891)^2</f>
        <v>0.049910240836</v>
      </c>
      <c r="AC891" s="8" t="n">
        <f aca="false">(O891-$K891)^2</f>
        <v>0.011274829489</v>
      </c>
      <c r="AD891" s="8" t="n">
        <f aca="false">(P891-$K891)^2</f>
        <v>0.059054346121</v>
      </c>
      <c r="AE891" s="8" t="n">
        <f aca="false">MIN(INT(ROUND(N891*1000000,0)/100000),9)</f>
        <v>2</v>
      </c>
      <c r="AF891" s="8" t="n">
        <f aca="false">MIN(INT(ROUND(P891*1000000,0)/100000),9)</f>
        <v>2</v>
      </c>
    </row>
    <row r="892" customFormat="false" ht="15" hidden="false" customHeight="false" outlineLevel="0" collapsed="false">
      <c r="A892" s="4" t="n">
        <v>888</v>
      </c>
      <c r="B892" s="4" t="n">
        <v>791</v>
      </c>
      <c r="C892" s="4" t="n">
        <v>2</v>
      </c>
      <c r="D892" s="11" t="n">
        <v>46113</v>
      </c>
      <c r="E892" s="4" t="s">
        <v>204</v>
      </c>
      <c r="F892" s="4" t="s">
        <v>209</v>
      </c>
      <c r="G892" s="4" t="n">
        <v>7</v>
      </c>
      <c r="H892" s="4" t="n">
        <v>5</v>
      </c>
      <c r="I892" s="4" t="n">
        <v>0</v>
      </c>
      <c r="J892" s="4" t="n">
        <v>57</v>
      </c>
      <c r="K892" s="4" t="n">
        <v>0</v>
      </c>
      <c r="L892" s="12" t="n">
        <v>0.87564</v>
      </c>
      <c r="M892" s="12" t="n">
        <v>0.092063</v>
      </c>
      <c r="N892" s="12" t="n">
        <v>0.095493</v>
      </c>
      <c r="O892" s="12" t="n">
        <v>0.106183</v>
      </c>
      <c r="P892" s="12" t="n">
        <v>0.100984</v>
      </c>
      <c r="Q892" s="0" t="str">
        <f aca="false">IF(L892&gt;=Models!$G$5,1+COUNTIF($L$5:$L$1517,"&gt;"&amp;L892)+COUNTIFS($L$5:$L$1517,L892,$B$5:$B$1517,"&lt;"&amp;B892)+COUNTIFS($L$5:$L$1517,L892,$B$5:$B$1517,B892,$C$5:$C$1517,"&lt;"&amp;C892),"")</f>
        <v/>
      </c>
      <c r="R892" s="0" t="str">
        <f aca="false">IF(M892&gt;=Models!$G$6,1+COUNTIF($M$5:$M$1517,"&gt;"&amp;M892)+COUNTIFS($M$5:$M$1517,M892,$B$5:$B$1517,"&lt;"&amp;B892)+COUNTIFS($M$5:$M$1517,M892,$B$5:$B$1517,B892,$C$5:$C$1517,"&lt;"&amp;C892),"")</f>
        <v/>
      </c>
      <c r="S892" s="0" t="str">
        <f aca="false">IF(N892&gt;=Models!$G$7,1+COUNTIF($N$5:$N$1517,"&gt;"&amp;N892)+COUNTIFS($N$5:$N$1517,N892,$B$5:$B$1517,"&lt;"&amp;B892)+COUNTIFS($N$5:$N$1517,N892,$B$5:$B$1517,B892,$C$5:$C$1517,"&lt;"&amp;C892),"")</f>
        <v/>
      </c>
      <c r="T892" s="8" t="n">
        <f aca="false">IF(O892&gt;=Models!$G$8,1+COUNTIF($O$5:$O$1517,"&gt;"&amp;O892)+COUNTIFS($O$5:$O$1517,O892,$B$5:$B$1517,"&lt;"&amp;B892)+COUNTIFS($O$5:$O$1517,O892,$B$5:$B$1517,B892,$C$5:$C$1517,"&lt;"&amp;C892),"")</f>
        <v>615</v>
      </c>
      <c r="U892" s="8" t="n">
        <f aca="false">IF($K892=1,COUNTIFS($L$5:$L$1517,"&gt;="&amp;L892,$K$5:$K$1517,1)/COUNTIF($L$5:$L$1517,"&gt;="&amp;L892),0)</f>
        <v>0</v>
      </c>
      <c r="V892" s="8" t="n">
        <f aca="false">IF($K892=1,COUNTIFS($M$5:$M$1517,"&gt;="&amp;M892,$K$5:$K$1517,1)/COUNTIF($M$5:$M$1517,"&gt;="&amp;M892),0)</f>
        <v>0</v>
      </c>
      <c r="W892" s="8" t="n">
        <f aca="false">IF($K892=1,COUNTIFS($N$5:$N$1517,"&gt;="&amp;N892,$K$5:$K$1517,1)/COUNTIF($N$5:$N$1517,"&gt;="&amp;N892),0)</f>
        <v>0</v>
      </c>
      <c r="X892" s="8" t="n">
        <f aca="false">IF($K892=1,COUNTIFS($O$5:$O$1517,"&gt;="&amp;O892,$K$5:$K$1517,1)/COUNTIF($O$5:$O$1517,"&gt;="&amp;O892),0)</f>
        <v>0</v>
      </c>
      <c r="Y892" s="8" t="n">
        <f aca="false">IF($K892=1,COUNTIFS($P$5:$P$1517,"&gt;="&amp;P892,$K$5:$K$1517,1)/COUNTIF($P$5:$P$1517,"&gt;="&amp;P892),0)</f>
        <v>0</v>
      </c>
      <c r="Z892" s="8" t="n">
        <f aca="false">(L892-$K892)^2</f>
        <v>0.7667454096</v>
      </c>
      <c r="AA892" s="8" t="n">
        <f aca="false">(M892-$K892)^2</f>
        <v>0.008475595969</v>
      </c>
      <c r="AB892" s="8" t="n">
        <f aca="false">(N892-$K892)^2</f>
        <v>0.009118913049</v>
      </c>
      <c r="AC892" s="8" t="n">
        <f aca="false">(O892-$K892)^2</f>
        <v>0.011274829489</v>
      </c>
      <c r="AD892" s="8" t="n">
        <f aca="false">(P892-$K892)^2</f>
        <v>0.010197768256</v>
      </c>
      <c r="AE892" s="8" t="n">
        <f aca="false">MIN(INT(ROUND(N892*1000000,0)/100000),9)</f>
        <v>0</v>
      </c>
      <c r="AF892" s="8" t="n">
        <f aca="false">MIN(INT(ROUND(P892*1000000,0)/100000),9)</f>
        <v>1</v>
      </c>
    </row>
    <row r="893" customFormat="false" ht="15" hidden="false" customHeight="false" outlineLevel="0" collapsed="false">
      <c r="A893" s="4" t="n">
        <v>889</v>
      </c>
      <c r="B893" s="4" t="n">
        <v>793</v>
      </c>
      <c r="C893" s="4" t="n">
        <v>2</v>
      </c>
      <c r="D893" s="11" t="n">
        <v>46113</v>
      </c>
      <c r="E893" s="4" t="s">
        <v>204</v>
      </c>
      <c r="F893" s="4" t="s">
        <v>206</v>
      </c>
      <c r="G893" s="4" t="n">
        <v>1</v>
      </c>
      <c r="H893" s="4" t="n">
        <v>27</v>
      </c>
      <c r="I893" s="4" t="n">
        <v>0</v>
      </c>
      <c r="J893" s="4" t="n">
        <v>96</v>
      </c>
      <c r="K893" s="4" t="n">
        <v>0</v>
      </c>
      <c r="L893" s="12" t="n">
        <v>0.447942</v>
      </c>
      <c r="M893" s="12" t="n">
        <v>0.092063</v>
      </c>
      <c r="N893" s="12" t="n">
        <v>0.17794</v>
      </c>
      <c r="O893" s="12" t="n">
        <v>0.106183</v>
      </c>
      <c r="P893" s="12" t="n">
        <v>0.192443</v>
      </c>
      <c r="Q893" s="0" t="str">
        <f aca="false">IF(L893&gt;=Models!$G$5,1+COUNTIF($L$5:$L$1517,"&gt;"&amp;L893)+COUNTIFS($L$5:$L$1517,L893,$B$5:$B$1517,"&lt;"&amp;B893)+COUNTIFS($L$5:$L$1517,L893,$B$5:$B$1517,B893,$C$5:$C$1517,"&lt;"&amp;C893),"")</f>
        <v/>
      </c>
      <c r="R893" s="0" t="str">
        <f aca="false">IF(M893&gt;=Models!$G$6,1+COUNTIF($M$5:$M$1517,"&gt;"&amp;M893)+COUNTIFS($M$5:$M$1517,M893,$B$5:$B$1517,"&lt;"&amp;B893)+COUNTIFS($M$5:$M$1517,M893,$B$5:$B$1517,B893,$C$5:$C$1517,"&lt;"&amp;C893),"")</f>
        <v/>
      </c>
      <c r="S893" s="0" t="str">
        <f aca="false">IF(N893&gt;=Models!$G$7,1+COUNTIF($N$5:$N$1517,"&gt;"&amp;N893)+COUNTIFS($N$5:$N$1517,N893,$B$5:$B$1517,"&lt;"&amp;B893)+COUNTIFS($N$5:$N$1517,N893,$B$5:$B$1517,B893,$C$5:$C$1517,"&lt;"&amp;C893),"")</f>
        <v/>
      </c>
      <c r="T893" s="8" t="n">
        <f aca="false">IF(O893&gt;=Models!$G$8,1+COUNTIF($O$5:$O$1517,"&gt;"&amp;O893)+COUNTIFS($O$5:$O$1517,O893,$B$5:$B$1517,"&lt;"&amp;B893)+COUNTIFS($O$5:$O$1517,O893,$B$5:$B$1517,B893,$C$5:$C$1517,"&lt;"&amp;C893),"")</f>
        <v>619</v>
      </c>
      <c r="U893" s="8" t="n">
        <f aca="false">IF($K893=1,COUNTIFS($L$5:$L$1517,"&gt;="&amp;L893,$K$5:$K$1517,1)/COUNTIF($L$5:$L$1517,"&gt;="&amp;L893),0)</f>
        <v>0</v>
      </c>
      <c r="V893" s="8" t="n">
        <f aca="false">IF($K893=1,COUNTIFS($M$5:$M$1517,"&gt;="&amp;M893,$K$5:$K$1517,1)/COUNTIF($M$5:$M$1517,"&gt;="&amp;M893),0)</f>
        <v>0</v>
      </c>
      <c r="W893" s="8" t="n">
        <f aca="false">IF($K893=1,COUNTIFS($N$5:$N$1517,"&gt;="&amp;N893,$K$5:$K$1517,1)/COUNTIF($N$5:$N$1517,"&gt;="&amp;N893),0)</f>
        <v>0</v>
      </c>
      <c r="X893" s="8" t="n">
        <f aca="false">IF($K893=1,COUNTIFS($O$5:$O$1517,"&gt;="&amp;O893,$K$5:$K$1517,1)/COUNTIF($O$5:$O$1517,"&gt;="&amp;O893),0)</f>
        <v>0</v>
      </c>
      <c r="Y893" s="8" t="n">
        <f aca="false">IF($K893=1,COUNTIFS($P$5:$P$1517,"&gt;="&amp;P893,$K$5:$K$1517,1)/COUNTIF($P$5:$P$1517,"&gt;="&amp;P893),0)</f>
        <v>0</v>
      </c>
      <c r="Z893" s="8" t="n">
        <f aca="false">(L893-$K893)^2</f>
        <v>0.200652035364</v>
      </c>
      <c r="AA893" s="8" t="n">
        <f aca="false">(M893-$K893)^2</f>
        <v>0.008475595969</v>
      </c>
      <c r="AB893" s="8" t="n">
        <f aca="false">(N893-$K893)^2</f>
        <v>0.0316626436</v>
      </c>
      <c r="AC893" s="8" t="n">
        <f aca="false">(O893-$K893)^2</f>
        <v>0.011274829489</v>
      </c>
      <c r="AD893" s="8" t="n">
        <f aca="false">(P893-$K893)^2</f>
        <v>0.037034308249</v>
      </c>
      <c r="AE893" s="8" t="n">
        <f aca="false">MIN(INT(ROUND(N893*1000000,0)/100000),9)</f>
        <v>1</v>
      </c>
      <c r="AF893" s="8" t="n">
        <f aca="false">MIN(INT(ROUND(P893*1000000,0)/100000),9)</f>
        <v>1</v>
      </c>
    </row>
    <row r="894" customFormat="false" ht="15" hidden="false" customHeight="false" outlineLevel="0" collapsed="false">
      <c r="A894" s="4" t="n">
        <v>890</v>
      </c>
      <c r="B894" s="4" t="n">
        <v>807</v>
      </c>
      <c r="C894" s="4" t="n">
        <v>2</v>
      </c>
      <c r="D894" s="11" t="n">
        <v>46113</v>
      </c>
      <c r="E894" s="4" t="s">
        <v>203</v>
      </c>
      <c r="F894" s="4" t="s">
        <v>209</v>
      </c>
      <c r="G894" s="4" t="n">
        <v>9</v>
      </c>
      <c r="H894" s="4" t="n">
        <v>6</v>
      </c>
      <c r="I894" s="4" t="n">
        <v>0</v>
      </c>
      <c r="J894" s="4" t="n">
        <v>258</v>
      </c>
      <c r="K894" s="4" t="n">
        <v>0</v>
      </c>
      <c r="L894" s="12" t="n">
        <v>0.149519</v>
      </c>
      <c r="M894" s="12" t="n">
        <v>0.092063</v>
      </c>
      <c r="N894" s="12" t="n">
        <v>0.08078</v>
      </c>
      <c r="O894" s="12" t="n">
        <v>0.106183</v>
      </c>
      <c r="P894" s="12" t="n">
        <v>0.084825</v>
      </c>
      <c r="Q894" s="0" t="str">
        <f aca="false">IF(L894&gt;=Models!$G$5,1+COUNTIF($L$5:$L$1517,"&gt;"&amp;L894)+COUNTIFS($L$5:$L$1517,L894,$B$5:$B$1517,"&lt;"&amp;B894)+COUNTIFS($L$5:$L$1517,L894,$B$5:$B$1517,B894,$C$5:$C$1517,"&lt;"&amp;C894),"")</f>
        <v/>
      </c>
      <c r="R894" s="0" t="str">
        <f aca="false">IF(M894&gt;=Models!$G$6,1+COUNTIF($M$5:$M$1517,"&gt;"&amp;M894)+COUNTIFS($M$5:$M$1517,M894,$B$5:$B$1517,"&lt;"&amp;B894)+COUNTIFS($M$5:$M$1517,M894,$B$5:$B$1517,B894,$C$5:$C$1517,"&lt;"&amp;C894),"")</f>
        <v/>
      </c>
      <c r="S894" s="0" t="str">
        <f aca="false">IF(N894&gt;=Models!$G$7,1+COUNTIF($N$5:$N$1517,"&gt;"&amp;N894)+COUNTIFS($N$5:$N$1517,N894,$B$5:$B$1517,"&lt;"&amp;B894)+COUNTIFS($N$5:$N$1517,N894,$B$5:$B$1517,B894,$C$5:$C$1517,"&lt;"&amp;C894),"")</f>
        <v/>
      </c>
      <c r="T894" s="8" t="n">
        <f aca="false">IF(O894&gt;=Models!$G$8,1+COUNTIF($O$5:$O$1517,"&gt;"&amp;O894)+COUNTIFS($O$5:$O$1517,O894,$B$5:$B$1517,"&lt;"&amp;B894)+COUNTIFS($O$5:$O$1517,O894,$B$5:$B$1517,B894,$C$5:$C$1517,"&lt;"&amp;C894),"")</f>
        <v>623</v>
      </c>
      <c r="U894" s="8" t="n">
        <f aca="false">IF($K894=1,COUNTIFS($L$5:$L$1517,"&gt;="&amp;L894,$K$5:$K$1517,1)/COUNTIF($L$5:$L$1517,"&gt;="&amp;L894),0)</f>
        <v>0</v>
      </c>
      <c r="V894" s="8" t="n">
        <f aca="false">IF($K894=1,COUNTIFS($M$5:$M$1517,"&gt;="&amp;M894,$K$5:$K$1517,1)/COUNTIF($M$5:$M$1517,"&gt;="&amp;M894),0)</f>
        <v>0</v>
      </c>
      <c r="W894" s="8" t="n">
        <f aca="false">IF($K894=1,COUNTIFS($N$5:$N$1517,"&gt;="&amp;N894,$K$5:$K$1517,1)/COUNTIF($N$5:$N$1517,"&gt;="&amp;N894),0)</f>
        <v>0</v>
      </c>
      <c r="X894" s="8" t="n">
        <f aca="false">IF($K894=1,COUNTIFS($O$5:$O$1517,"&gt;="&amp;O894,$K$5:$K$1517,1)/COUNTIF($O$5:$O$1517,"&gt;="&amp;O894),0)</f>
        <v>0</v>
      </c>
      <c r="Y894" s="8" t="n">
        <f aca="false">IF($K894=1,COUNTIFS($P$5:$P$1517,"&gt;="&amp;P894,$K$5:$K$1517,1)/COUNTIF($P$5:$P$1517,"&gt;="&amp;P894),0)</f>
        <v>0</v>
      </c>
      <c r="Z894" s="8" t="n">
        <f aca="false">(L894-$K894)^2</f>
        <v>0.022355931361</v>
      </c>
      <c r="AA894" s="8" t="n">
        <f aca="false">(M894-$K894)^2</f>
        <v>0.008475595969</v>
      </c>
      <c r="AB894" s="8" t="n">
        <f aca="false">(N894-$K894)^2</f>
        <v>0.0065254084</v>
      </c>
      <c r="AC894" s="8" t="n">
        <f aca="false">(O894-$K894)^2</f>
        <v>0.011274829489</v>
      </c>
      <c r="AD894" s="8" t="n">
        <f aca="false">(P894-$K894)^2</f>
        <v>0.007195280625</v>
      </c>
      <c r="AE894" s="8" t="n">
        <f aca="false">MIN(INT(ROUND(N894*1000000,0)/100000),9)</f>
        <v>0</v>
      </c>
      <c r="AF894" s="8" t="n">
        <f aca="false">MIN(INT(ROUND(P894*1000000,0)/100000),9)</f>
        <v>0</v>
      </c>
    </row>
    <row r="895" customFormat="false" ht="15" hidden="false" customHeight="false" outlineLevel="0" collapsed="false">
      <c r="A895" s="4" t="n">
        <v>891</v>
      </c>
      <c r="B895" s="4" t="n">
        <v>808</v>
      </c>
      <c r="C895" s="4" t="n">
        <v>2</v>
      </c>
      <c r="D895" s="11" t="n">
        <v>46113</v>
      </c>
      <c r="E895" s="4" t="s">
        <v>202</v>
      </c>
      <c r="F895" s="4" t="s">
        <v>206</v>
      </c>
      <c r="G895" s="4" t="n">
        <v>8</v>
      </c>
      <c r="H895" s="4" t="n">
        <v>4</v>
      </c>
      <c r="I895" s="4" t="n">
        <v>0</v>
      </c>
      <c r="J895" s="4" t="n">
        <v>1002</v>
      </c>
      <c r="K895" s="4" t="n">
        <v>0</v>
      </c>
      <c r="L895" s="12" t="n">
        <v>0.047789</v>
      </c>
      <c r="M895" s="12" t="n">
        <v>0.092063</v>
      </c>
      <c r="N895" s="12" t="n">
        <v>0.083066</v>
      </c>
      <c r="O895" s="12" t="n">
        <v>0.106183</v>
      </c>
      <c r="P895" s="12" t="n">
        <v>0.08733</v>
      </c>
      <c r="Q895" s="0" t="str">
        <f aca="false">IF(L895&gt;=Models!$G$5,1+COUNTIF($L$5:$L$1517,"&gt;"&amp;L895)+COUNTIFS($L$5:$L$1517,L895,$B$5:$B$1517,"&lt;"&amp;B895)+COUNTIFS($L$5:$L$1517,L895,$B$5:$B$1517,B895,$C$5:$C$1517,"&lt;"&amp;C895),"")</f>
        <v/>
      </c>
      <c r="R895" s="0" t="str">
        <f aca="false">IF(M895&gt;=Models!$G$6,1+COUNTIF($M$5:$M$1517,"&gt;"&amp;M895)+COUNTIFS($M$5:$M$1517,M895,$B$5:$B$1517,"&lt;"&amp;B895)+COUNTIFS($M$5:$M$1517,M895,$B$5:$B$1517,B895,$C$5:$C$1517,"&lt;"&amp;C895),"")</f>
        <v/>
      </c>
      <c r="S895" s="0" t="str">
        <f aca="false">IF(N895&gt;=Models!$G$7,1+COUNTIF($N$5:$N$1517,"&gt;"&amp;N895)+COUNTIFS($N$5:$N$1517,N895,$B$5:$B$1517,"&lt;"&amp;B895)+COUNTIFS($N$5:$N$1517,N895,$B$5:$B$1517,B895,$C$5:$C$1517,"&lt;"&amp;C895),"")</f>
        <v/>
      </c>
      <c r="T895" s="8" t="n">
        <f aca="false">IF(O895&gt;=Models!$G$8,1+COUNTIF($O$5:$O$1517,"&gt;"&amp;O895)+COUNTIFS($O$5:$O$1517,O895,$B$5:$B$1517,"&lt;"&amp;B895)+COUNTIFS($O$5:$O$1517,O895,$B$5:$B$1517,B895,$C$5:$C$1517,"&lt;"&amp;C895),"")</f>
        <v>627</v>
      </c>
      <c r="U895" s="8" t="n">
        <f aca="false">IF($K895=1,COUNTIFS($L$5:$L$1517,"&gt;="&amp;L895,$K$5:$K$1517,1)/COUNTIF($L$5:$L$1517,"&gt;="&amp;L895),0)</f>
        <v>0</v>
      </c>
      <c r="V895" s="8" t="n">
        <f aca="false">IF($K895=1,COUNTIFS($M$5:$M$1517,"&gt;="&amp;M895,$K$5:$K$1517,1)/COUNTIF($M$5:$M$1517,"&gt;="&amp;M895),0)</f>
        <v>0</v>
      </c>
      <c r="W895" s="8" t="n">
        <f aca="false">IF($K895=1,COUNTIFS($N$5:$N$1517,"&gt;="&amp;N895,$K$5:$K$1517,1)/COUNTIF($N$5:$N$1517,"&gt;="&amp;N895),0)</f>
        <v>0</v>
      </c>
      <c r="X895" s="8" t="n">
        <f aca="false">IF($K895=1,COUNTIFS($O$5:$O$1517,"&gt;="&amp;O895,$K$5:$K$1517,1)/COUNTIF($O$5:$O$1517,"&gt;="&amp;O895),0)</f>
        <v>0</v>
      </c>
      <c r="Y895" s="8" t="n">
        <f aca="false">IF($K895=1,COUNTIFS($P$5:$P$1517,"&gt;="&amp;P895,$K$5:$K$1517,1)/COUNTIF($P$5:$P$1517,"&gt;="&amp;P895),0)</f>
        <v>0</v>
      </c>
      <c r="Z895" s="8" t="n">
        <f aca="false">(L895-$K895)^2</f>
        <v>0.002283788521</v>
      </c>
      <c r="AA895" s="8" t="n">
        <f aca="false">(M895-$K895)^2</f>
        <v>0.008475595969</v>
      </c>
      <c r="AB895" s="8" t="n">
        <f aca="false">(N895-$K895)^2</f>
        <v>0.006899960356</v>
      </c>
      <c r="AC895" s="8" t="n">
        <f aca="false">(O895-$K895)^2</f>
        <v>0.011274829489</v>
      </c>
      <c r="AD895" s="8" t="n">
        <f aca="false">(P895-$K895)^2</f>
        <v>0.0076265289</v>
      </c>
      <c r="AE895" s="8" t="n">
        <f aca="false">MIN(INT(ROUND(N895*1000000,0)/100000),9)</f>
        <v>0</v>
      </c>
      <c r="AF895" s="8" t="n">
        <f aca="false">MIN(INT(ROUND(P895*1000000,0)/100000),9)</f>
        <v>0</v>
      </c>
    </row>
    <row r="896" customFormat="false" ht="15" hidden="false" customHeight="false" outlineLevel="0" collapsed="false">
      <c r="A896" s="4" t="n">
        <v>892</v>
      </c>
      <c r="B896" s="4" t="n">
        <v>809</v>
      </c>
      <c r="C896" s="4" t="n">
        <v>2</v>
      </c>
      <c r="D896" s="11" t="n">
        <v>46113</v>
      </c>
      <c r="E896" s="4" t="s">
        <v>204</v>
      </c>
      <c r="F896" s="4" t="s">
        <v>207</v>
      </c>
      <c r="G896" s="4" t="n">
        <v>5</v>
      </c>
      <c r="H896" s="4" t="n">
        <v>9</v>
      </c>
      <c r="I896" s="4" t="n">
        <v>0</v>
      </c>
      <c r="J896" s="4" t="n">
        <v>52.5</v>
      </c>
      <c r="K896" s="4" t="n">
        <v>1</v>
      </c>
      <c r="L896" s="12" t="n">
        <v>0.777232</v>
      </c>
      <c r="M896" s="12" t="n">
        <v>0.092063</v>
      </c>
      <c r="N896" s="12" t="n">
        <v>0.115544</v>
      </c>
      <c r="O896" s="12" t="n">
        <v>0.106183</v>
      </c>
      <c r="P896" s="12" t="n">
        <v>0.123123</v>
      </c>
      <c r="Q896" s="0" t="str">
        <f aca="false">IF(L896&gt;=Models!$G$5,1+COUNTIF($L$5:$L$1517,"&gt;"&amp;L896)+COUNTIFS($L$5:$L$1517,L896,$B$5:$B$1517,"&lt;"&amp;B896)+COUNTIFS($L$5:$L$1517,L896,$B$5:$B$1517,B896,$C$5:$C$1517,"&lt;"&amp;C896),"")</f>
        <v/>
      </c>
      <c r="R896" s="0" t="str">
        <f aca="false">IF(M896&gt;=Models!$G$6,1+COUNTIF($M$5:$M$1517,"&gt;"&amp;M896)+COUNTIFS($M$5:$M$1517,M896,$B$5:$B$1517,"&lt;"&amp;B896)+COUNTIFS($M$5:$M$1517,M896,$B$5:$B$1517,B896,$C$5:$C$1517,"&lt;"&amp;C896),"")</f>
        <v/>
      </c>
      <c r="S896" s="0" t="str">
        <f aca="false">IF(N896&gt;=Models!$G$7,1+COUNTIF($N$5:$N$1517,"&gt;"&amp;N896)+COUNTIFS($N$5:$N$1517,N896,$B$5:$B$1517,"&lt;"&amp;B896)+COUNTIFS($N$5:$N$1517,N896,$B$5:$B$1517,B896,$C$5:$C$1517,"&lt;"&amp;C896),"")</f>
        <v/>
      </c>
      <c r="T896" s="8" t="n">
        <f aca="false">IF(O896&gt;=Models!$G$8,1+COUNTIF($O$5:$O$1517,"&gt;"&amp;O896)+COUNTIFS($O$5:$O$1517,O896,$B$5:$B$1517,"&lt;"&amp;B896)+COUNTIFS($O$5:$O$1517,O896,$B$5:$B$1517,B896,$C$5:$C$1517,"&lt;"&amp;C896),"")</f>
        <v>631</v>
      </c>
      <c r="U896" s="8" t="n">
        <f aca="false">IF($K896=1,COUNTIFS($L$5:$L$1517,"&gt;="&amp;L896,$K$5:$K$1517,1)/COUNTIF($L$5:$L$1517,"&gt;="&amp;L896),0)</f>
        <v>0.139318885448916</v>
      </c>
      <c r="V896" s="8" t="n">
        <f aca="false">IF($K896=1,COUNTIFS($M$5:$M$1517,"&gt;="&amp;M896,$K$5:$K$1517,1)/COUNTIF($M$5:$M$1517,"&gt;="&amp;M896),0)</f>
        <v>0.12491738268341</v>
      </c>
      <c r="W896" s="8" t="n">
        <f aca="false">IF($K896=1,COUNTIFS($N$5:$N$1517,"&gt;="&amp;N896,$K$5:$K$1517,1)/COUNTIF($N$5:$N$1517,"&gt;="&amp;N896),0)</f>
        <v>0.213051823416507</v>
      </c>
      <c r="X896" s="8" t="n">
        <f aca="false">IF($K896=1,COUNTIFS($O$5:$O$1517,"&gt;="&amp;O896,$K$5:$K$1517,1)/COUNTIF($O$5:$O$1517,"&gt;="&amp;O896),0)</f>
        <v>0.12491738268341</v>
      </c>
      <c r="Y896" s="8" t="n">
        <f aca="false">IF($K896=1,COUNTIFS($P$5:$P$1517,"&gt;="&amp;P896,$K$5:$K$1517,1)/COUNTIF($P$5:$P$1517,"&gt;="&amp;P896),0)</f>
        <v>0.213051823416507</v>
      </c>
      <c r="Z896" s="8" t="n">
        <f aca="false">(L896-$K896)^2</f>
        <v>0.049625581824</v>
      </c>
      <c r="AA896" s="8" t="n">
        <f aca="false">(M896-$K896)^2</f>
        <v>0.824349595969</v>
      </c>
      <c r="AB896" s="8" t="n">
        <f aca="false">(N896-$K896)^2</f>
        <v>0.782262415936</v>
      </c>
      <c r="AC896" s="8" t="n">
        <f aca="false">(O896-$K896)^2</f>
        <v>0.798908829489</v>
      </c>
      <c r="AD896" s="8" t="n">
        <f aca="false">(P896-$K896)^2</f>
        <v>0.768913273129</v>
      </c>
      <c r="AE896" s="8" t="n">
        <f aca="false">MIN(INT(ROUND(N896*1000000,0)/100000),9)</f>
        <v>1</v>
      </c>
      <c r="AF896" s="8" t="n">
        <f aca="false">MIN(INT(ROUND(P896*1000000,0)/100000),9)</f>
        <v>1</v>
      </c>
    </row>
    <row r="897" customFormat="false" ht="15" hidden="false" customHeight="false" outlineLevel="0" collapsed="false">
      <c r="A897" s="4" t="n">
        <v>893</v>
      </c>
      <c r="B897" s="4" t="n">
        <v>813</v>
      </c>
      <c r="C897" s="4" t="n">
        <v>2</v>
      </c>
      <c r="D897" s="11" t="n">
        <v>46113</v>
      </c>
      <c r="E897" s="4" t="s">
        <v>203</v>
      </c>
      <c r="F897" s="4" t="s">
        <v>208</v>
      </c>
      <c r="G897" s="4" t="n">
        <v>3</v>
      </c>
      <c r="H897" s="4" t="n">
        <v>10</v>
      </c>
      <c r="I897" s="4" t="n">
        <v>0</v>
      </c>
      <c r="J897" s="4" t="n">
        <v>378</v>
      </c>
      <c r="K897" s="4" t="n">
        <v>0</v>
      </c>
      <c r="L897" s="12" t="n">
        <v>0.091356</v>
      </c>
      <c r="M897" s="12" t="n">
        <v>0.092063</v>
      </c>
      <c r="N897" s="12" t="n">
        <v>0.134001</v>
      </c>
      <c r="O897" s="12" t="n">
        <v>0.106183</v>
      </c>
      <c r="P897" s="12" t="n">
        <v>0.143582</v>
      </c>
      <c r="Q897" s="0" t="str">
        <f aca="false">IF(L897&gt;=Models!$G$5,1+COUNTIF($L$5:$L$1517,"&gt;"&amp;L897)+COUNTIFS($L$5:$L$1517,L897,$B$5:$B$1517,"&lt;"&amp;B897)+COUNTIFS($L$5:$L$1517,L897,$B$5:$B$1517,B897,$C$5:$C$1517,"&lt;"&amp;C897),"")</f>
        <v/>
      </c>
      <c r="R897" s="0" t="str">
        <f aca="false">IF(M897&gt;=Models!$G$6,1+COUNTIF($M$5:$M$1517,"&gt;"&amp;M897)+COUNTIFS($M$5:$M$1517,M897,$B$5:$B$1517,"&lt;"&amp;B897)+COUNTIFS($M$5:$M$1517,M897,$B$5:$B$1517,B897,$C$5:$C$1517,"&lt;"&amp;C897),"")</f>
        <v/>
      </c>
      <c r="S897" s="0" t="str">
        <f aca="false">IF(N897&gt;=Models!$G$7,1+COUNTIF($N$5:$N$1517,"&gt;"&amp;N897)+COUNTIFS($N$5:$N$1517,N897,$B$5:$B$1517,"&lt;"&amp;B897)+COUNTIFS($N$5:$N$1517,N897,$B$5:$B$1517,B897,$C$5:$C$1517,"&lt;"&amp;C897),"")</f>
        <v/>
      </c>
      <c r="T897" s="8" t="n">
        <f aca="false">IF(O897&gt;=Models!$G$8,1+COUNTIF($O$5:$O$1517,"&gt;"&amp;O897)+COUNTIFS($O$5:$O$1517,O897,$B$5:$B$1517,"&lt;"&amp;B897)+COUNTIFS($O$5:$O$1517,O897,$B$5:$B$1517,B897,$C$5:$C$1517,"&lt;"&amp;C897),"")</f>
        <v>635</v>
      </c>
      <c r="U897" s="8" t="n">
        <f aca="false">IF($K897=1,COUNTIFS($L$5:$L$1517,"&gt;="&amp;L897,$K$5:$K$1517,1)/COUNTIF($L$5:$L$1517,"&gt;="&amp;L897),0)</f>
        <v>0</v>
      </c>
      <c r="V897" s="8" t="n">
        <f aca="false">IF($K897=1,COUNTIFS($M$5:$M$1517,"&gt;="&amp;M897,$K$5:$K$1517,1)/COUNTIF($M$5:$M$1517,"&gt;="&amp;M897),0)</f>
        <v>0</v>
      </c>
      <c r="W897" s="8" t="n">
        <f aca="false">IF($K897=1,COUNTIFS($N$5:$N$1517,"&gt;="&amp;N897,$K$5:$K$1517,1)/COUNTIF($N$5:$N$1517,"&gt;="&amp;N897),0)</f>
        <v>0</v>
      </c>
      <c r="X897" s="8" t="n">
        <f aca="false">IF($K897=1,COUNTIFS($O$5:$O$1517,"&gt;="&amp;O897,$K$5:$K$1517,1)/COUNTIF($O$5:$O$1517,"&gt;="&amp;O897),0)</f>
        <v>0</v>
      </c>
      <c r="Y897" s="8" t="n">
        <f aca="false">IF($K897=1,COUNTIFS($P$5:$P$1517,"&gt;="&amp;P897,$K$5:$K$1517,1)/COUNTIF($P$5:$P$1517,"&gt;="&amp;P897),0)</f>
        <v>0</v>
      </c>
      <c r="Z897" s="8" t="n">
        <f aca="false">(L897-$K897)^2</f>
        <v>0.008345918736</v>
      </c>
      <c r="AA897" s="8" t="n">
        <f aca="false">(M897-$K897)^2</f>
        <v>0.008475595969</v>
      </c>
      <c r="AB897" s="8" t="n">
        <f aca="false">(N897-$K897)^2</f>
        <v>0.017956268001</v>
      </c>
      <c r="AC897" s="8" t="n">
        <f aca="false">(O897-$K897)^2</f>
        <v>0.011274829489</v>
      </c>
      <c r="AD897" s="8" t="n">
        <f aca="false">(P897-$K897)^2</f>
        <v>0.020615790724</v>
      </c>
      <c r="AE897" s="8" t="n">
        <f aca="false">MIN(INT(ROUND(N897*1000000,0)/100000),9)</f>
        <v>1</v>
      </c>
      <c r="AF897" s="8" t="n">
        <f aca="false">MIN(INT(ROUND(P897*1000000,0)/100000),9)</f>
        <v>1</v>
      </c>
    </row>
    <row r="898" customFormat="false" ht="15" hidden="false" customHeight="false" outlineLevel="0" collapsed="false">
      <c r="A898" s="4" t="n">
        <v>894</v>
      </c>
      <c r="B898" s="4" t="n">
        <v>814</v>
      </c>
      <c r="C898" s="4" t="n">
        <v>2</v>
      </c>
      <c r="D898" s="11" t="n">
        <v>46113</v>
      </c>
      <c r="E898" s="4" t="s">
        <v>201</v>
      </c>
      <c r="F898" s="4" t="s">
        <v>209</v>
      </c>
      <c r="G898" s="4" t="n">
        <v>11</v>
      </c>
      <c r="H898" s="4" t="n">
        <v>12</v>
      </c>
      <c r="I898" s="4" t="n">
        <v>0</v>
      </c>
      <c r="J898" s="4" t="n">
        <v>28723.2</v>
      </c>
      <c r="K898" s="4" t="n">
        <v>0</v>
      </c>
      <c r="L898" s="12" t="n">
        <v>0.720154</v>
      </c>
      <c r="M898" s="12" t="n">
        <v>0.092063</v>
      </c>
      <c r="N898" s="12" t="n">
        <v>0.014549</v>
      </c>
      <c r="O898" s="12" t="n">
        <v>0.106183</v>
      </c>
      <c r="P898" s="12" t="n">
        <v>0.014103</v>
      </c>
      <c r="Q898" s="0" t="str">
        <f aca="false">IF(L898&gt;=Models!$G$5,1+COUNTIF($L$5:$L$1517,"&gt;"&amp;L898)+COUNTIFS($L$5:$L$1517,L898,$B$5:$B$1517,"&lt;"&amp;B898)+COUNTIFS($L$5:$L$1517,L898,$B$5:$B$1517,B898,$C$5:$C$1517,"&lt;"&amp;C898),"")</f>
        <v/>
      </c>
      <c r="R898" s="0" t="str">
        <f aca="false">IF(M898&gt;=Models!$G$6,1+COUNTIF($M$5:$M$1517,"&gt;"&amp;M898)+COUNTIFS($M$5:$M$1517,M898,$B$5:$B$1517,"&lt;"&amp;B898)+COUNTIFS($M$5:$M$1517,M898,$B$5:$B$1517,B898,$C$5:$C$1517,"&lt;"&amp;C898),"")</f>
        <v/>
      </c>
      <c r="S898" s="0" t="str">
        <f aca="false">IF(N898&gt;=Models!$G$7,1+COUNTIF($N$5:$N$1517,"&gt;"&amp;N898)+COUNTIFS($N$5:$N$1517,N898,$B$5:$B$1517,"&lt;"&amp;B898)+COUNTIFS($N$5:$N$1517,N898,$B$5:$B$1517,B898,$C$5:$C$1517,"&lt;"&amp;C898),"")</f>
        <v/>
      </c>
      <c r="T898" s="8" t="n">
        <f aca="false">IF(O898&gt;=Models!$G$8,1+COUNTIF($O$5:$O$1517,"&gt;"&amp;O898)+COUNTIFS($O$5:$O$1517,O898,$B$5:$B$1517,"&lt;"&amp;B898)+COUNTIFS($O$5:$O$1517,O898,$B$5:$B$1517,B898,$C$5:$C$1517,"&lt;"&amp;C898),"")</f>
        <v>639</v>
      </c>
      <c r="U898" s="8" t="n">
        <f aca="false">IF($K898=1,COUNTIFS($L$5:$L$1517,"&gt;="&amp;L898,$K$5:$K$1517,1)/COUNTIF($L$5:$L$1517,"&gt;="&amp;L898),0)</f>
        <v>0</v>
      </c>
      <c r="V898" s="8" t="n">
        <f aca="false">IF($K898=1,COUNTIFS($M$5:$M$1517,"&gt;="&amp;M898,$K$5:$K$1517,1)/COUNTIF($M$5:$M$1517,"&gt;="&amp;M898),0)</f>
        <v>0</v>
      </c>
      <c r="W898" s="8" t="n">
        <f aca="false">IF($K898=1,COUNTIFS($N$5:$N$1517,"&gt;="&amp;N898,$K$5:$K$1517,1)/COUNTIF($N$5:$N$1517,"&gt;="&amp;N898),0)</f>
        <v>0</v>
      </c>
      <c r="X898" s="8" t="n">
        <f aca="false">IF($K898=1,COUNTIFS($O$5:$O$1517,"&gt;="&amp;O898,$K$5:$K$1517,1)/COUNTIF($O$5:$O$1517,"&gt;="&amp;O898),0)</f>
        <v>0</v>
      </c>
      <c r="Y898" s="8" t="n">
        <f aca="false">IF($K898=1,COUNTIFS($P$5:$P$1517,"&gt;="&amp;P898,$K$5:$K$1517,1)/COUNTIF($P$5:$P$1517,"&gt;="&amp;P898),0)</f>
        <v>0</v>
      </c>
      <c r="Z898" s="8" t="n">
        <f aca="false">(L898-$K898)^2</f>
        <v>0.518621783716</v>
      </c>
      <c r="AA898" s="8" t="n">
        <f aca="false">(M898-$K898)^2</f>
        <v>0.008475595969</v>
      </c>
      <c r="AB898" s="8" t="n">
        <f aca="false">(N898-$K898)^2</f>
        <v>0.000211673401</v>
      </c>
      <c r="AC898" s="8" t="n">
        <f aca="false">(O898-$K898)^2</f>
        <v>0.011274829489</v>
      </c>
      <c r="AD898" s="8" t="n">
        <f aca="false">(P898-$K898)^2</f>
        <v>0.000198894609</v>
      </c>
      <c r="AE898" s="8" t="n">
        <f aca="false">MIN(INT(ROUND(N898*1000000,0)/100000),9)</f>
        <v>0</v>
      </c>
      <c r="AF898" s="8" t="n">
        <f aca="false">MIN(INT(ROUND(P898*1000000,0)/100000),9)</f>
        <v>0</v>
      </c>
    </row>
    <row r="899" customFormat="false" ht="15" hidden="false" customHeight="false" outlineLevel="0" collapsed="false">
      <c r="A899" s="4" t="n">
        <v>895</v>
      </c>
      <c r="B899" s="4" t="n">
        <v>818</v>
      </c>
      <c r="C899" s="4" t="n">
        <v>2</v>
      </c>
      <c r="D899" s="11" t="n">
        <v>46113</v>
      </c>
      <c r="E899" s="4" t="s">
        <v>204</v>
      </c>
      <c r="F899" s="4" t="s">
        <v>209</v>
      </c>
      <c r="G899" s="4" t="n">
        <v>3</v>
      </c>
      <c r="H899" s="4" t="n">
        <v>8</v>
      </c>
      <c r="I899" s="4" t="n">
        <v>0</v>
      </c>
      <c r="J899" s="4" t="n">
        <v>214.2</v>
      </c>
      <c r="K899" s="4" t="n">
        <v>0</v>
      </c>
      <c r="L899" s="12" t="n">
        <v>0.840371</v>
      </c>
      <c r="M899" s="12" t="n">
        <v>0.092063</v>
      </c>
      <c r="N899" s="12" t="n">
        <v>0.133204</v>
      </c>
      <c r="O899" s="12" t="n">
        <v>0.106183</v>
      </c>
      <c r="P899" s="12" t="n">
        <v>0.142698</v>
      </c>
      <c r="Q899" s="0" t="str">
        <f aca="false">IF(L899&gt;=Models!$G$5,1+COUNTIF($L$5:$L$1517,"&gt;"&amp;L899)+COUNTIFS($L$5:$L$1517,L899,$B$5:$B$1517,"&lt;"&amp;B899)+COUNTIFS($L$5:$L$1517,L899,$B$5:$B$1517,B899,$C$5:$C$1517,"&lt;"&amp;C899),"")</f>
        <v/>
      </c>
      <c r="R899" s="0" t="str">
        <f aca="false">IF(M899&gt;=Models!$G$6,1+COUNTIF($M$5:$M$1517,"&gt;"&amp;M899)+COUNTIFS($M$5:$M$1517,M899,$B$5:$B$1517,"&lt;"&amp;B899)+COUNTIFS($M$5:$M$1517,M899,$B$5:$B$1517,B899,$C$5:$C$1517,"&lt;"&amp;C899),"")</f>
        <v/>
      </c>
      <c r="S899" s="0" t="str">
        <f aca="false">IF(N899&gt;=Models!$G$7,1+COUNTIF($N$5:$N$1517,"&gt;"&amp;N899)+COUNTIFS($N$5:$N$1517,N899,$B$5:$B$1517,"&lt;"&amp;B899)+COUNTIFS($N$5:$N$1517,N899,$B$5:$B$1517,B899,$C$5:$C$1517,"&lt;"&amp;C899),"")</f>
        <v/>
      </c>
      <c r="T899" s="8" t="n">
        <f aca="false">IF(O899&gt;=Models!$G$8,1+COUNTIF($O$5:$O$1517,"&gt;"&amp;O899)+COUNTIFS($O$5:$O$1517,O899,$B$5:$B$1517,"&lt;"&amp;B899)+COUNTIFS($O$5:$O$1517,O899,$B$5:$B$1517,B899,$C$5:$C$1517,"&lt;"&amp;C899),"")</f>
        <v>643</v>
      </c>
      <c r="U899" s="8" t="n">
        <f aca="false">IF($K899=1,COUNTIFS($L$5:$L$1517,"&gt;="&amp;L899,$K$5:$K$1517,1)/COUNTIF($L$5:$L$1517,"&gt;="&amp;L899),0)</f>
        <v>0</v>
      </c>
      <c r="V899" s="8" t="n">
        <f aca="false">IF($K899=1,COUNTIFS($M$5:$M$1517,"&gt;="&amp;M899,$K$5:$K$1517,1)/COUNTIF($M$5:$M$1517,"&gt;="&amp;M899),0)</f>
        <v>0</v>
      </c>
      <c r="W899" s="8" t="n">
        <f aca="false">IF($K899=1,COUNTIFS($N$5:$N$1517,"&gt;="&amp;N899,$K$5:$K$1517,1)/COUNTIF($N$5:$N$1517,"&gt;="&amp;N899),0)</f>
        <v>0</v>
      </c>
      <c r="X899" s="8" t="n">
        <f aca="false">IF($K899=1,COUNTIFS($O$5:$O$1517,"&gt;="&amp;O899,$K$5:$K$1517,1)/COUNTIF($O$5:$O$1517,"&gt;="&amp;O899),0)</f>
        <v>0</v>
      </c>
      <c r="Y899" s="8" t="n">
        <f aca="false">IF($K899=1,COUNTIFS($P$5:$P$1517,"&gt;="&amp;P899,$K$5:$K$1517,1)/COUNTIF($P$5:$P$1517,"&gt;="&amp;P899),0)</f>
        <v>0</v>
      </c>
      <c r="Z899" s="8" t="n">
        <f aca="false">(L899-$K899)^2</f>
        <v>0.706223417641</v>
      </c>
      <c r="AA899" s="8" t="n">
        <f aca="false">(M899-$K899)^2</f>
        <v>0.008475595969</v>
      </c>
      <c r="AB899" s="8" t="n">
        <f aca="false">(N899-$K899)^2</f>
        <v>0.017743305616</v>
      </c>
      <c r="AC899" s="8" t="n">
        <f aca="false">(O899-$K899)^2</f>
        <v>0.011274829489</v>
      </c>
      <c r="AD899" s="8" t="n">
        <f aca="false">(P899-$K899)^2</f>
        <v>0.020362719204</v>
      </c>
      <c r="AE899" s="8" t="n">
        <f aca="false">MIN(INT(ROUND(N899*1000000,0)/100000),9)</f>
        <v>1</v>
      </c>
      <c r="AF899" s="8" t="n">
        <f aca="false">MIN(INT(ROUND(P899*1000000,0)/100000),9)</f>
        <v>1</v>
      </c>
    </row>
    <row r="900" customFormat="false" ht="15" hidden="false" customHeight="false" outlineLevel="0" collapsed="false">
      <c r="A900" s="4" t="n">
        <v>896</v>
      </c>
      <c r="B900" s="4" t="n">
        <v>820</v>
      </c>
      <c r="C900" s="4" t="n">
        <v>2</v>
      </c>
      <c r="D900" s="11" t="n">
        <v>46113</v>
      </c>
      <c r="E900" s="4" t="s">
        <v>204</v>
      </c>
      <c r="F900" s="4" t="s">
        <v>206</v>
      </c>
      <c r="G900" s="4" t="n">
        <v>5</v>
      </c>
      <c r="H900" s="4" t="n">
        <v>12</v>
      </c>
      <c r="I900" s="4" t="n">
        <v>0</v>
      </c>
      <c r="J900" s="4" t="n">
        <v>102</v>
      </c>
      <c r="K900" s="4" t="n">
        <v>0</v>
      </c>
      <c r="L900" s="12" t="n">
        <v>0.075764</v>
      </c>
      <c r="M900" s="12" t="n">
        <v>0.092063</v>
      </c>
      <c r="N900" s="12" t="n">
        <v>0.117782</v>
      </c>
      <c r="O900" s="12" t="n">
        <v>0.106183</v>
      </c>
      <c r="P900" s="12" t="n">
        <v>0.1256</v>
      </c>
      <c r="Q900" s="0" t="str">
        <f aca="false">IF(L900&gt;=Models!$G$5,1+COUNTIF($L$5:$L$1517,"&gt;"&amp;L900)+COUNTIFS($L$5:$L$1517,L900,$B$5:$B$1517,"&lt;"&amp;B900)+COUNTIFS($L$5:$L$1517,L900,$B$5:$B$1517,B900,$C$5:$C$1517,"&lt;"&amp;C900),"")</f>
        <v/>
      </c>
      <c r="R900" s="0" t="str">
        <f aca="false">IF(M900&gt;=Models!$G$6,1+COUNTIF($M$5:$M$1517,"&gt;"&amp;M900)+COUNTIFS($M$5:$M$1517,M900,$B$5:$B$1517,"&lt;"&amp;B900)+COUNTIFS($M$5:$M$1517,M900,$B$5:$B$1517,B900,$C$5:$C$1517,"&lt;"&amp;C900),"")</f>
        <v/>
      </c>
      <c r="S900" s="0" t="str">
        <f aca="false">IF(N900&gt;=Models!$G$7,1+COUNTIF($N$5:$N$1517,"&gt;"&amp;N900)+COUNTIFS($N$5:$N$1517,N900,$B$5:$B$1517,"&lt;"&amp;B900)+COUNTIFS($N$5:$N$1517,N900,$B$5:$B$1517,B900,$C$5:$C$1517,"&lt;"&amp;C900),"")</f>
        <v/>
      </c>
      <c r="T900" s="8" t="n">
        <f aca="false">IF(O900&gt;=Models!$G$8,1+COUNTIF($O$5:$O$1517,"&gt;"&amp;O900)+COUNTIFS($O$5:$O$1517,O900,$B$5:$B$1517,"&lt;"&amp;B900)+COUNTIFS($O$5:$O$1517,O900,$B$5:$B$1517,B900,$C$5:$C$1517,"&lt;"&amp;C900),"")</f>
        <v>647</v>
      </c>
      <c r="U900" s="8" t="n">
        <f aca="false">IF($K900=1,COUNTIFS($L$5:$L$1517,"&gt;="&amp;L900,$K$5:$K$1517,1)/COUNTIF($L$5:$L$1517,"&gt;="&amp;L900),0)</f>
        <v>0</v>
      </c>
      <c r="V900" s="8" t="n">
        <f aca="false">IF($K900=1,COUNTIFS($M$5:$M$1517,"&gt;="&amp;M900,$K$5:$K$1517,1)/COUNTIF($M$5:$M$1517,"&gt;="&amp;M900),0)</f>
        <v>0</v>
      </c>
      <c r="W900" s="8" t="n">
        <f aca="false">IF($K900=1,COUNTIFS($N$5:$N$1517,"&gt;="&amp;N900,$K$5:$K$1517,1)/COUNTIF($N$5:$N$1517,"&gt;="&amp;N900),0)</f>
        <v>0</v>
      </c>
      <c r="X900" s="8" t="n">
        <f aca="false">IF($K900=1,COUNTIFS($O$5:$O$1517,"&gt;="&amp;O900,$K$5:$K$1517,1)/COUNTIF($O$5:$O$1517,"&gt;="&amp;O900),0)</f>
        <v>0</v>
      </c>
      <c r="Y900" s="8" t="n">
        <f aca="false">IF($K900=1,COUNTIFS($P$5:$P$1517,"&gt;="&amp;P900,$K$5:$K$1517,1)/COUNTIF($P$5:$P$1517,"&gt;="&amp;P900),0)</f>
        <v>0</v>
      </c>
      <c r="Z900" s="8" t="n">
        <f aca="false">(L900-$K900)^2</f>
        <v>0.005740183696</v>
      </c>
      <c r="AA900" s="8" t="n">
        <f aca="false">(M900-$K900)^2</f>
        <v>0.008475595969</v>
      </c>
      <c r="AB900" s="8" t="n">
        <f aca="false">(N900-$K900)^2</f>
        <v>0.013872599524</v>
      </c>
      <c r="AC900" s="8" t="n">
        <f aca="false">(O900-$K900)^2</f>
        <v>0.011274829489</v>
      </c>
      <c r="AD900" s="8" t="n">
        <f aca="false">(P900-$K900)^2</f>
        <v>0.01577536</v>
      </c>
      <c r="AE900" s="8" t="n">
        <f aca="false">MIN(INT(ROUND(N900*1000000,0)/100000),9)</f>
        <v>1</v>
      </c>
      <c r="AF900" s="8" t="n">
        <f aca="false">MIN(INT(ROUND(P900*1000000,0)/100000),9)</f>
        <v>1</v>
      </c>
    </row>
    <row r="901" customFormat="false" ht="15" hidden="false" customHeight="false" outlineLevel="0" collapsed="false">
      <c r="A901" s="4" t="n">
        <v>897</v>
      </c>
      <c r="B901" s="4" t="n">
        <v>830</v>
      </c>
      <c r="C901" s="4" t="n">
        <v>2</v>
      </c>
      <c r="D901" s="11" t="n">
        <v>46113</v>
      </c>
      <c r="E901" s="4" t="s">
        <v>203</v>
      </c>
      <c r="F901" s="4" t="s">
        <v>207</v>
      </c>
      <c r="G901" s="4" t="n">
        <v>2</v>
      </c>
      <c r="H901" s="4" t="n">
        <v>11</v>
      </c>
      <c r="I901" s="4" t="n">
        <v>1</v>
      </c>
      <c r="J901" s="4" t="n">
        <v>399</v>
      </c>
      <c r="K901" s="4" t="n">
        <v>0</v>
      </c>
      <c r="L901" s="12" t="n">
        <v>0.605446</v>
      </c>
      <c r="M901" s="12" t="n">
        <v>0.184211</v>
      </c>
      <c r="N901" s="12" t="n">
        <v>0.236307</v>
      </c>
      <c r="O901" s="12" t="n">
        <v>0.106183</v>
      </c>
      <c r="P901" s="12" t="n">
        <v>0.257333</v>
      </c>
      <c r="Q901" s="0" t="str">
        <f aca="false">IF(L901&gt;=Models!$G$5,1+COUNTIF($L$5:$L$1517,"&gt;"&amp;L901)+COUNTIFS($L$5:$L$1517,L901,$B$5:$B$1517,"&lt;"&amp;B901)+COUNTIFS($L$5:$L$1517,L901,$B$5:$B$1517,B901,$C$5:$C$1517,"&lt;"&amp;C901),"")</f>
        <v/>
      </c>
      <c r="R901" s="8" t="n">
        <f aca="false">IF(M901&gt;=Models!$G$6,1+COUNTIF($M$5:$M$1517,"&gt;"&amp;M901)+COUNTIFS($M$5:$M$1517,M901,$B$5:$B$1517,"&lt;"&amp;B901)+COUNTIFS($M$5:$M$1517,M901,$B$5:$B$1517,B901,$C$5:$C$1517,"&lt;"&amp;C901),"")</f>
        <v>72</v>
      </c>
      <c r="S901" s="0" t="str">
        <f aca="false">IF(N901&gt;=Models!$G$7,1+COUNTIF($N$5:$N$1517,"&gt;"&amp;N901)+COUNTIFS($N$5:$N$1517,N901,$B$5:$B$1517,"&lt;"&amp;B901)+COUNTIFS($N$5:$N$1517,N901,$B$5:$B$1517,B901,$C$5:$C$1517,"&lt;"&amp;C901),"")</f>
        <v/>
      </c>
      <c r="T901" s="8" t="n">
        <f aca="false">IF(O901&gt;=Models!$G$8,1+COUNTIF($O$5:$O$1517,"&gt;"&amp;O901)+COUNTIFS($O$5:$O$1517,O901,$B$5:$B$1517,"&lt;"&amp;B901)+COUNTIFS($O$5:$O$1517,O901,$B$5:$B$1517,B901,$C$5:$C$1517,"&lt;"&amp;C901),"")</f>
        <v>652</v>
      </c>
      <c r="U901" s="8" t="n">
        <f aca="false">IF($K901=1,COUNTIFS($L$5:$L$1517,"&gt;="&amp;L901,$K$5:$K$1517,1)/COUNTIF($L$5:$L$1517,"&gt;="&amp;L901),0)</f>
        <v>0</v>
      </c>
      <c r="V901" s="8" t="n">
        <f aca="false">IF($K901=1,COUNTIFS($M$5:$M$1517,"&gt;="&amp;M901,$K$5:$K$1517,1)/COUNTIF($M$5:$M$1517,"&gt;="&amp;M901),0)</f>
        <v>0</v>
      </c>
      <c r="W901" s="8" t="n">
        <f aca="false">IF($K901=1,COUNTIFS($N$5:$N$1517,"&gt;="&amp;N901,$K$5:$K$1517,1)/COUNTIF($N$5:$N$1517,"&gt;="&amp;N901),0)</f>
        <v>0</v>
      </c>
      <c r="X901" s="8" t="n">
        <f aca="false">IF($K901=1,COUNTIFS($O$5:$O$1517,"&gt;="&amp;O901,$K$5:$K$1517,1)/COUNTIF($O$5:$O$1517,"&gt;="&amp;O901),0)</f>
        <v>0</v>
      </c>
      <c r="Y901" s="8" t="n">
        <f aca="false">IF($K901=1,COUNTIFS($P$5:$P$1517,"&gt;="&amp;P901,$K$5:$K$1517,1)/COUNTIF($P$5:$P$1517,"&gt;="&amp;P901),0)</f>
        <v>0</v>
      </c>
      <c r="Z901" s="8" t="n">
        <f aca="false">(L901-$K901)^2</f>
        <v>0.366564858916</v>
      </c>
      <c r="AA901" s="8" t="n">
        <f aca="false">(M901-$K901)^2</f>
        <v>0.033933692521</v>
      </c>
      <c r="AB901" s="8" t="n">
        <f aca="false">(N901-$K901)^2</f>
        <v>0.055840998249</v>
      </c>
      <c r="AC901" s="8" t="n">
        <f aca="false">(O901-$K901)^2</f>
        <v>0.011274829489</v>
      </c>
      <c r="AD901" s="8" t="n">
        <f aca="false">(P901-$K901)^2</f>
        <v>0.066220272889</v>
      </c>
      <c r="AE901" s="8" t="n">
        <f aca="false">MIN(INT(ROUND(N901*1000000,0)/100000),9)</f>
        <v>2</v>
      </c>
      <c r="AF901" s="8" t="n">
        <f aca="false">MIN(INT(ROUND(P901*1000000,0)/100000),9)</f>
        <v>2</v>
      </c>
    </row>
    <row r="902" customFormat="false" ht="15" hidden="false" customHeight="false" outlineLevel="0" collapsed="false">
      <c r="A902" s="4" t="n">
        <v>898</v>
      </c>
      <c r="B902" s="4" t="n">
        <v>835</v>
      </c>
      <c r="C902" s="4" t="n">
        <v>2</v>
      </c>
      <c r="D902" s="11" t="n">
        <v>46113</v>
      </c>
      <c r="E902" s="4" t="s">
        <v>202</v>
      </c>
      <c r="F902" s="4" t="s">
        <v>209</v>
      </c>
      <c r="G902" s="4" t="n">
        <v>3</v>
      </c>
      <c r="H902" s="4" t="n">
        <v>4</v>
      </c>
      <c r="I902" s="4" t="n">
        <v>0</v>
      </c>
      <c r="J902" s="4" t="n">
        <v>1041</v>
      </c>
      <c r="K902" s="4" t="n">
        <v>1</v>
      </c>
      <c r="L902" s="12" t="n">
        <v>0.352796</v>
      </c>
      <c r="M902" s="12" t="n">
        <v>0.092063</v>
      </c>
      <c r="N902" s="12" t="n">
        <v>0.124149</v>
      </c>
      <c r="O902" s="12" t="n">
        <v>0.106183</v>
      </c>
      <c r="P902" s="12" t="n">
        <v>0.132654</v>
      </c>
      <c r="Q902" s="0" t="str">
        <f aca="false">IF(L902&gt;=Models!$G$5,1+COUNTIF($L$5:$L$1517,"&gt;"&amp;L902)+COUNTIFS($L$5:$L$1517,L902,$B$5:$B$1517,"&lt;"&amp;B902)+COUNTIFS($L$5:$L$1517,L902,$B$5:$B$1517,B902,$C$5:$C$1517,"&lt;"&amp;C902),"")</f>
        <v/>
      </c>
      <c r="R902" s="0" t="str">
        <f aca="false">IF(M902&gt;=Models!$G$6,1+COUNTIF($M$5:$M$1517,"&gt;"&amp;M902)+COUNTIFS($M$5:$M$1517,M902,$B$5:$B$1517,"&lt;"&amp;B902)+COUNTIFS($M$5:$M$1517,M902,$B$5:$B$1517,B902,$C$5:$C$1517,"&lt;"&amp;C902),"")</f>
        <v/>
      </c>
      <c r="S902" s="0" t="str">
        <f aca="false">IF(N902&gt;=Models!$G$7,1+COUNTIF($N$5:$N$1517,"&gt;"&amp;N902)+COUNTIFS($N$5:$N$1517,N902,$B$5:$B$1517,"&lt;"&amp;B902)+COUNTIFS($N$5:$N$1517,N902,$B$5:$B$1517,B902,$C$5:$C$1517,"&lt;"&amp;C902),"")</f>
        <v/>
      </c>
      <c r="T902" s="8" t="n">
        <f aca="false">IF(O902&gt;=Models!$G$8,1+COUNTIF($O$5:$O$1517,"&gt;"&amp;O902)+COUNTIFS($O$5:$O$1517,O902,$B$5:$B$1517,"&lt;"&amp;B902)+COUNTIFS($O$5:$O$1517,O902,$B$5:$B$1517,B902,$C$5:$C$1517,"&lt;"&amp;C902),"")</f>
        <v>656</v>
      </c>
      <c r="U902" s="8" t="n">
        <f aca="false">IF($K902=1,COUNTIFS($L$5:$L$1517,"&gt;="&amp;L902,$K$5:$K$1517,1)/COUNTIF($L$5:$L$1517,"&gt;="&amp;L902),0)</f>
        <v>0.129032258064516</v>
      </c>
      <c r="V902" s="8" t="n">
        <f aca="false">IF($K902=1,COUNTIFS($M$5:$M$1517,"&gt;="&amp;M902,$K$5:$K$1517,1)/COUNTIF($M$5:$M$1517,"&gt;="&amp;M902),0)</f>
        <v>0.12491738268341</v>
      </c>
      <c r="W902" s="8" t="n">
        <f aca="false">IF($K902=1,COUNTIFS($N$5:$N$1517,"&gt;="&amp;N902,$K$5:$K$1517,1)/COUNTIF($N$5:$N$1517,"&gt;="&amp;N902),0)</f>
        <v>0.232779097387173</v>
      </c>
      <c r="X902" s="8" t="n">
        <f aca="false">IF($K902=1,COUNTIFS($O$5:$O$1517,"&gt;="&amp;O902,$K$5:$K$1517,1)/COUNTIF($O$5:$O$1517,"&gt;="&amp;O902),0)</f>
        <v>0.12491738268341</v>
      </c>
      <c r="Y902" s="8" t="n">
        <f aca="false">IF($K902=1,COUNTIFS($P$5:$P$1517,"&gt;="&amp;P902,$K$5:$K$1517,1)/COUNTIF($P$5:$P$1517,"&gt;="&amp;P902),0)</f>
        <v>0.232779097387173</v>
      </c>
      <c r="Z902" s="8" t="n">
        <f aca="false">(L902-$K902)^2</f>
        <v>0.418873017616</v>
      </c>
      <c r="AA902" s="8" t="n">
        <f aca="false">(M902-$K902)^2</f>
        <v>0.824349595969</v>
      </c>
      <c r="AB902" s="8" t="n">
        <f aca="false">(N902-$K902)^2</f>
        <v>0.767114974201</v>
      </c>
      <c r="AC902" s="8" t="n">
        <f aca="false">(O902-$K902)^2</f>
        <v>0.798908829489</v>
      </c>
      <c r="AD902" s="8" t="n">
        <f aca="false">(P902-$K902)^2</f>
        <v>0.752289083716</v>
      </c>
      <c r="AE902" s="8" t="n">
        <f aca="false">MIN(INT(ROUND(N902*1000000,0)/100000),9)</f>
        <v>1</v>
      </c>
      <c r="AF902" s="8" t="n">
        <f aca="false">MIN(INT(ROUND(P902*1000000,0)/100000),9)</f>
        <v>1</v>
      </c>
    </row>
    <row r="903" customFormat="false" ht="15" hidden="false" customHeight="false" outlineLevel="0" collapsed="false">
      <c r="A903" s="4" t="n">
        <v>899</v>
      </c>
      <c r="B903" s="4" t="n">
        <v>844</v>
      </c>
      <c r="C903" s="4" t="n">
        <v>2</v>
      </c>
      <c r="D903" s="11" t="n">
        <v>46113</v>
      </c>
      <c r="E903" s="4" t="s">
        <v>201</v>
      </c>
      <c r="F903" s="4" t="s">
        <v>208</v>
      </c>
      <c r="G903" s="4" t="n">
        <v>13</v>
      </c>
      <c r="H903" s="4" t="n">
        <v>5</v>
      </c>
      <c r="I903" s="4" t="n">
        <v>0</v>
      </c>
      <c r="J903" s="4" t="n">
        <v>18339.6</v>
      </c>
      <c r="K903" s="4" t="n">
        <v>0</v>
      </c>
      <c r="L903" s="12" t="n">
        <v>0.698588</v>
      </c>
      <c r="M903" s="12" t="n">
        <v>0.092063</v>
      </c>
      <c r="N903" s="12" t="n">
        <v>0.020838</v>
      </c>
      <c r="O903" s="12" t="n">
        <v>0.106183</v>
      </c>
      <c r="P903" s="12" t="n">
        <v>0.02055</v>
      </c>
      <c r="Q903" s="0" t="str">
        <f aca="false">IF(L903&gt;=Models!$G$5,1+COUNTIF($L$5:$L$1517,"&gt;"&amp;L903)+COUNTIFS($L$5:$L$1517,L903,$B$5:$B$1517,"&lt;"&amp;B903)+COUNTIFS($L$5:$L$1517,L903,$B$5:$B$1517,B903,$C$5:$C$1517,"&lt;"&amp;C903),"")</f>
        <v/>
      </c>
      <c r="R903" s="0" t="str">
        <f aca="false">IF(M903&gt;=Models!$G$6,1+COUNTIF($M$5:$M$1517,"&gt;"&amp;M903)+COUNTIFS($M$5:$M$1517,M903,$B$5:$B$1517,"&lt;"&amp;B903)+COUNTIFS($M$5:$M$1517,M903,$B$5:$B$1517,B903,$C$5:$C$1517,"&lt;"&amp;C903),"")</f>
        <v/>
      </c>
      <c r="S903" s="0" t="str">
        <f aca="false">IF(N903&gt;=Models!$G$7,1+COUNTIF($N$5:$N$1517,"&gt;"&amp;N903)+COUNTIFS($N$5:$N$1517,N903,$B$5:$B$1517,"&lt;"&amp;B903)+COUNTIFS($N$5:$N$1517,N903,$B$5:$B$1517,B903,$C$5:$C$1517,"&lt;"&amp;C903),"")</f>
        <v/>
      </c>
      <c r="T903" s="8" t="n">
        <f aca="false">IF(O903&gt;=Models!$G$8,1+COUNTIF($O$5:$O$1517,"&gt;"&amp;O903)+COUNTIFS($O$5:$O$1517,O903,$B$5:$B$1517,"&lt;"&amp;B903)+COUNTIFS($O$5:$O$1517,O903,$B$5:$B$1517,B903,$C$5:$C$1517,"&lt;"&amp;C903),"")</f>
        <v>659</v>
      </c>
      <c r="U903" s="8" t="n">
        <f aca="false">IF($K903=1,COUNTIFS($L$5:$L$1517,"&gt;="&amp;L903,$K$5:$K$1517,1)/COUNTIF($L$5:$L$1517,"&gt;="&amp;L903),0)</f>
        <v>0</v>
      </c>
      <c r="V903" s="8" t="n">
        <f aca="false">IF($K903=1,COUNTIFS($M$5:$M$1517,"&gt;="&amp;M903,$K$5:$K$1517,1)/COUNTIF($M$5:$M$1517,"&gt;="&amp;M903),0)</f>
        <v>0</v>
      </c>
      <c r="W903" s="8" t="n">
        <f aca="false">IF($K903=1,COUNTIFS($N$5:$N$1517,"&gt;="&amp;N903,$K$5:$K$1517,1)/COUNTIF($N$5:$N$1517,"&gt;="&amp;N903),0)</f>
        <v>0</v>
      </c>
      <c r="X903" s="8" t="n">
        <f aca="false">IF($K903=1,COUNTIFS($O$5:$O$1517,"&gt;="&amp;O903,$K$5:$K$1517,1)/COUNTIF($O$5:$O$1517,"&gt;="&amp;O903),0)</f>
        <v>0</v>
      </c>
      <c r="Y903" s="8" t="n">
        <f aca="false">IF($K903=1,COUNTIFS($P$5:$P$1517,"&gt;="&amp;P903,$K$5:$K$1517,1)/COUNTIF($P$5:$P$1517,"&gt;="&amp;P903),0)</f>
        <v>0</v>
      </c>
      <c r="Z903" s="8" t="n">
        <f aca="false">(L903-$K903)^2</f>
        <v>0.488025193744</v>
      </c>
      <c r="AA903" s="8" t="n">
        <f aca="false">(M903-$K903)^2</f>
        <v>0.008475595969</v>
      </c>
      <c r="AB903" s="8" t="n">
        <f aca="false">(N903-$K903)^2</f>
        <v>0.000434222244</v>
      </c>
      <c r="AC903" s="8" t="n">
        <f aca="false">(O903-$K903)^2</f>
        <v>0.011274829489</v>
      </c>
      <c r="AD903" s="8" t="n">
        <f aca="false">(P903-$K903)^2</f>
        <v>0.0004223025</v>
      </c>
      <c r="AE903" s="8" t="n">
        <f aca="false">MIN(INT(ROUND(N903*1000000,0)/100000),9)</f>
        <v>0</v>
      </c>
      <c r="AF903" s="8" t="n">
        <f aca="false">MIN(INT(ROUND(P903*1000000,0)/100000),9)</f>
        <v>0</v>
      </c>
    </row>
    <row r="904" customFormat="false" ht="15" hidden="false" customHeight="false" outlineLevel="0" collapsed="false">
      <c r="A904" s="4" t="n">
        <v>900</v>
      </c>
      <c r="B904" s="4" t="n">
        <v>859</v>
      </c>
      <c r="C904" s="4" t="n">
        <v>2</v>
      </c>
      <c r="D904" s="11" t="n">
        <v>46113</v>
      </c>
      <c r="E904" s="4" t="s">
        <v>204</v>
      </c>
      <c r="F904" s="4" t="s">
        <v>206</v>
      </c>
      <c r="G904" s="4" t="n">
        <v>4</v>
      </c>
      <c r="H904" s="4" t="n">
        <v>5</v>
      </c>
      <c r="I904" s="4" t="n">
        <v>0</v>
      </c>
      <c r="J904" s="4" t="n">
        <v>397.8</v>
      </c>
      <c r="K904" s="4" t="n">
        <v>0</v>
      </c>
      <c r="L904" s="12" t="n">
        <v>0.346939</v>
      </c>
      <c r="M904" s="12" t="n">
        <v>0.092063</v>
      </c>
      <c r="N904" s="12" t="n">
        <v>0.119397</v>
      </c>
      <c r="O904" s="12" t="n">
        <v>0.106183</v>
      </c>
      <c r="P904" s="12" t="n">
        <v>0.127388</v>
      </c>
      <c r="Q904" s="0" t="str">
        <f aca="false">IF(L904&gt;=Models!$G$5,1+COUNTIF($L$5:$L$1517,"&gt;"&amp;L904)+COUNTIFS($L$5:$L$1517,L904,$B$5:$B$1517,"&lt;"&amp;B904)+COUNTIFS($L$5:$L$1517,L904,$B$5:$B$1517,B904,$C$5:$C$1517,"&lt;"&amp;C904),"")</f>
        <v/>
      </c>
      <c r="R904" s="0" t="str">
        <f aca="false">IF(M904&gt;=Models!$G$6,1+COUNTIF($M$5:$M$1517,"&gt;"&amp;M904)+COUNTIFS($M$5:$M$1517,M904,$B$5:$B$1517,"&lt;"&amp;B904)+COUNTIFS($M$5:$M$1517,M904,$B$5:$B$1517,B904,$C$5:$C$1517,"&lt;"&amp;C904),"")</f>
        <v/>
      </c>
      <c r="S904" s="0" t="str">
        <f aca="false">IF(N904&gt;=Models!$G$7,1+COUNTIF($N$5:$N$1517,"&gt;"&amp;N904)+COUNTIFS($N$5:$N$1517,N904,$B$5:$B$1517,"&lt;"&amp;B904)+COUNTIFS($N$5:$N$1517,N904,$B$5:$B$1517,B904,$C$5:$C$1517,"&lt;"&amp;C904),"")</f>
        <v/>
      </c>
      <c r="T904" s="8" t="n">
        <f aca="false">IF(O904&gt;=Models!$G$8,1+COUNTIF($O$5:$O$1517,"&gt;"&amp;O904)+COUNTIFS($O$5:$O$1517,O904,$B$5:$B$1517,"&lt;"&amp;B904)+COUNTIFS($O$5:$O$1517,O904,$B$5:$B$1517,B904,$C$5:$C$1517,"&lt;"&amp;C904),"")</f>
        <v>663</v>
      </c>
      <c r="U904" s="8" t="n">
        <f aca="false">IF($K904=1,COUNTIFS($L$5:$L$1517,"&gt;="&amp;L904,$K$5:$K$1517,1)/COUNTIF($L$5:$L$1517,"&gt;="&amp;L904),0)</f>
        <v>0</v>
      </c>
      <c r="V904" s="8" t="n">
        <f aca="false">IF($K904=1,COUNTIFS($M$5:$M$1517,"&gt;="&amp;M904,$K$5:$K$1517,1)/COUNTIF($M$5:$M$1517,"&gt;="&amp;M904),0)</f>
        <v>0</v>
      </c>
      <c r="W904" s="8" t="n">
        <f aca="false">IF($K904=1,COUNTIFS($N$5:$N$1517,"&gt;="&amp;N904,$K$5:$K$1517,1)/COUNTIF($N$5:$N$1517,"&gt;="&amp;N904),0)</f>
        <v>0</v>
      </c>
      <c r="X904" s="8" t="n">
        <f aca="false">IF($K904=1,COUNTIFS($O$5:$O$1517,"&gt;="&amp;O904,$K$5:$K$1517,1)/COUNTIF($O$5:$O$1517,"&gt;="&amp;O904),0)</f>
        <v>0</v>
      </c>
      <c r="Y904" s="8" t="n">
        <f aca="false">IF($K904=1,COUNTIFS($P$5:$P$1517,"&gt;="&amp;P904,$K$5:$K$1517,1)/COUNTIF($P$5:$P$1517,"&gt;="&amp;P904),0)</f>
        <v>0</v>
      </c>
      <c r="Z904" s="8" t="n">
        <f aca="false">(L904-$K904)^2</f>
        <v>0.120366669721</v>
      </c>
      <c r="AA904" s="8" t="n">
        <f aca="false">(M904-$K904)^2</f>
        <v>0.008475595969</v>
      </c>
      <c r="AB904" s="8" t="n">
        <f aca="false">(N904-$K904)^2</f>
        <v>0.014255643609</v>
      </c>
      <c r="AC904" s="8" t="n">
        <f aca="false">(O904-$K904)^2</f>
        <v>0.011274829489</v>
      </c>
      <c r="AD904" s="8" t="n">
        <f aca="false">(P904-$K904)^2</f>
        <v>0.016227702544</v>
      </c>
      <c r="AE904" s="8" t="n">
        <f aca="false">MIN(INT(ROUND(N904*1000000,0)/100000),9)</f>
        <v>1</v>
      </c>
      <c r="AF904" s="8" t="n">
        <f aca="false">MIN(INT(ROUND(P904*1000000,0)/100000),9)</f>
        <v>1</v>
      </c>
    </row>
    <row r="905" customFormat="false" ht="15" hidden="false" customHeight="false" outlineLevel="0" collapsed="false">
      <c r="A905" s="4" t="n">
        <v>901</v>
      </c>
      <c r="B905" s="4" t="n">
        <v>863</v>
      </c>
      <c r="C905" s="4" t="n">
        <v>2</v>
      </c>
      <c r="D905" s="11" t="n">
        <v>46113</v>
      </c>
      <c r="E905" s="4" t="s">
        <v>203</v>
      </c>
      <c r="F905" s="4" t="s">
        <v>206</v>
      </c>
      <c r="G905" s="4" t="n">
        <v>3</v>
      </c>
      <c r="H905" s="4" t="n">
        <v>11</v>
      </c>
      <c r="I905" s="4" t="n">
        <v>0</v>
      </c>
      <c r="J905" s="4" t="n">
        <v>444</v>
      </c>
      <c r="K905" s="4" t="n">
        <v>0</v>
      </c>
      <c r="L905" s="12" t="n">
        <v>0.638762</v>
      </c>
      <c r="M905" s="12" t="n">
        <v>0.092063</v>
      </c>
      <c r="N905" s="12" t="n">
        <v>0.134508</v>
      </c>
      <c r="O905" s="12" t="n">
        <v>0.106183</v>
      </c>
      <c r="P905" s="12" t="n">
        <v>0.144145</v>
      </c>
      <c r="Q905" s="0" t="str">
        <f aca="false">IF(L905&gt;=Models!$G$5,1+COUNTIF($L$5:$L$1517,"&gt;"&amp;L905)+COUNTIFS($L$5:$L$1517,L905,$B$5:$B$1517,"&lt;"&amp;B905)+COUNTIFS($L$5:$L$1517,L905,$B$5:$B$1517,B905,$C$5:$C$1517,"&lt;"&amp;C905),"")</f>
        <v/>
      </c>
      <c r="R905" s="0" t="str">
        <f aca="false">IF(M905&gt;=Models!$G$6,1+COUNTIF($M$5:$M$1517,"&gt;"&amp;M905)+COUNTIFS($M$5:$M$1517,M905,$B$5:$B$1517,"&lt;"&amp;B905)+COUNTIFS($M$5:$M$1517,M905,$B$5:$B$1517,B905,$C$5:$C$1517,"&lt;"&amp;C905),"")</f>
        <v/>
      </c>
      <c r="S905" s="0" t="str">
        <f aca="false">IF(N905&gt;=Models!$G$7,1+COUNTIF($N$5:$N$1517,"&gt;"&amp;N905)+COUNTIFS($N$5:$N$1517,N905,$B$5:$B$1517,"&lt;"&amp;B905)+COUNTIFS($N$5:$N$1517,N905,$B$5:$B$1517,B905,$C$5:$C$1517,"&lt;"&amp;C905),"")</f>
        <v/>
      </c>
      <c r="T905" s="8" t="n">
        <f aca="false">IF(O905&gt;=Models!$G$8,1+COUNTIF($O$5:$O$1517,"&gt;"&amp;O905)+COUNTIFS($O$5:$O$1517,O905,$B$5:$B$1517,"&lt;"&amp;B905)+COUNTIFS($O$5:$O$1517,O905,$B$5:$B$1517,B905,$C$5:$C$1517,"&lt;"&amp;C905),"")</f>
        <v>667</v>
      </c>
      <c r="U905" s="8" t="n">
        <f aca="false">IF($K905=1,COUNTIFS($L$5:$L$1517,"&gt;="&amp;L905,$K$5:$K$1517,1)/COUNTIF($L$5:$L$1517,"&gt;="&amp;L905),0)</f>
        <v>0</v>
      </c>
      <c r="V905" s="8" t="n">
        <f aca="false">IF($K905=1,COUNTIFS($M$5:$M$1517,"&gt;="&amp;M905,$K$5:$K$1517,1)/COUNTIF($M$5:$M$1517,"&gt;="&amp;M905),0)</f>
        <v>0</v>
      </c>
      <c r="W905" s="8" t="n">
        <f aca="false">IF($K905=1,COUNTIFS($N$5:$N$1517,"&gt;="&amp;N905,$K$5:$K$1517,1)/COUNTIF($N$5:$N$1517,"&gt;="&amp;N905),0)</f>
        <v>0</v>
      </c>
      <c r="X905" s="8" t="n">
        <f aca="false">IF($K905=1,COUNTIFS($O$5:$O$1517,"&gt;="&amp;O905,$K$5:$K$1517,1)/COUNTIF($O$5:$O$1517,"&gt;="&amp;O905),0)</f>
        <v>0</v>
      </c>
      <c r="Y905" s="8" t="n">
        <f aca="false">IF($K905=1,COUNTIFS($P$5:$P$1517,"&gt;="&amp;P905,$K$5:$K$1517,1)/COUNTIF($P$5:$P$1517,"&gt;="&amp;P905),0)</f>
        <v>0</v>
      </c>
      <c r="Z905" s="8" t="n">
        <f aca="false">(L905-$K905)^2</f>
        <v>0.408016892644</v>
      </c>
      <c r="AA905" s="8" t="n">
        <f aca="false">(M905-$K905)^2</f>
        <v>0.008475595969</v>
      </c>
      <c r="AB905" s="8" t="n">
        <f aca="false">(N905-$K905)^2</f>
        <v>0.018092402064</v>
      </c>
      <c r="AC905" s="8" t="n">
        <f aca="false">(O905-$K905)^2</f>
        <v>0.011274829489</v>
      </c>
      <c r="AD905" s="8" t="n">
        <f aca="false">(P905-$K905)^2</f>
        <v>0.020777781025</v>
      </c>
      <c r="AE905" s="8" t="n">
        <f aca="false">MIN(INT(ROUND(N905*1000000,0)/100000),9)</f>
        <v>1</v>
      </c>
      <c r="AF905" s="8" t="n">
        <f aca="false">MIN(INT(ROUND(P905*1000000,0)/100000),9)</f>
        <v>1</v>
      </c>
    </row>
    <row r="906" customFormat="false" ht="15" hidden="false" customHeight="false" outlineLevel="0" collapsed="false">
      <c r="A906" s="4" t="n">
        <v>902</v>
      </c>
      <c r="B906" s="4" t="n">
        <v>864</v>
      </c>
      <c r="C906" s="4" t="n">
        <v>2</v>
      </c>
      <c r="D906" s="11" t="n">
        <v>46113</v>
      </c>
      <c r="E906" s="4" t="s">
        <v>203</v>
      </c>
      <c r="F906" s="4" t="s">
        <v>206</v>
      </c>
      <c r="G906" s="4" t="n">
        <v>9</v>
      </c>
      <c r="H906" s="4" t="n">
        <v>2</v>
      </c>
      <c r="I906" s="4" t="n">
        <v>0</v>
      </c>
      <c r="J906" s="4" t="n">
        <v>918</v>
      </c>
      <c r="K906" s="4" t="n">
        <v>0</v>
      </c>
      <c r="L906" s="12" t="n">
        <v>0.043682</v>
      </c>
      <c r="M906" s="12" t="n">
        <v>0.092063</v>
      </c>
      <c r="N906" s="12" t="n">
        <v>0.075654</v>
      </c>
      <c r="O906" s="12" t="n">
        <v>0.106183</v>
      </c>
      <c r="P906" s="12" t="n">
        <v>0.079218</v>
      </c>
      <c r="Q906" s="0" t="str">
        <f aca="false">IF(L906&gt;=Models!$G$5,1+COUNTIF($L$5:$L$1517,"&gt;"&amp;L906)+COUNTIFS($L$5:$L$1517,L906,$B$5:$B$1517,"&lt;"&amp;B906)+COUNTIFS($L$5:$L$1517,L906,$B$5:$B$1517,B906,$C$5:$C$1517,"&lt;"&amp;C906),"")</f>
        <v/>
      </c>
      <c r="R906" s="0" t="str">
        <f aca="false">IF(M906&gt;=Models!$G$6,1+COUNTIF($M$5:$M$1517,"&gt;"&amp;M906)+COUNTIFS($M$5:$M$1517,M906,$B$5:$B$1517,"&lt;"&amp;B906)+COUNTIFS($M$5:$M$1517,M906,$B$5:$B$1517,B906,$C$5:$C$1517,"&lt;"&amp;C906),"")</f>
        <v/>
      </c>
      <c r="S906" s="0" t="str">
        <f aca="false">IF(N906&gt;=Models!$G$7,1+COUNTIF($N$5:$N$1517,"&gt;"&amp;N906)+COUNTIFS($N$5:$N$1517,N906,$B$5:$B$1517,"&lt;"&amp;B906)+COUNTIFS($N$5:$N$1517,N906,$B$5:$B$1517,B906,$C$5:$C$1517,"&lt;"&amp;C906),"")</f>
        <v/>
      </c>
      <c r="T906" s="8" t="n">
        <f aca="false">IF(O906&gt;=Models!$G$8,1+COUNTIF($O$5:$O$1517,"&gt;"&amp;O906)+COUNTIFS($O$5:$O$1517,O906,$B$5:$B$1517,"&lt;"&amp;B906)+COUNTIFS($O$5:$O$1517,O906,$B$5:$B$1517,B906,$C$5:$C$1517,"&lt;"&amp;C906),"")</f>
        <v>671</v>
      </c>
      <c r="U906" s="8" t="n">
        <f aca="false">IF($K906=1,COUNTIFS($L$5:$L$1517,"&gt;="&amp;L906,$K$5:$K$1517,1)/COUNTIF($L$5:$L$1517,"&gt;="&amp;L906),0)</f>
        <v>0</v>
      </c>
      <c r="V906" s="8" t="n">
        <f aca="false">IF($K906=1,COUNTIFS($M$5:$M$1517,"&gt;="&amp;M906,$K$5:$K$1517,1)/COUNTIF($M$5:$M$1517,"&gt;="&amp;M906),0)</f>
        <v>0</v>
      </c>
      <c r="W906" s="8" t="n">
        <f aca="false">IF($K906=1,COUNTIFS($N$5:$N$1517,"&gt;="&amp;N906,$K$5:$K$1517,1)/COUNTIF($N$5:$N$1517,"&gt;="&amp;N906),0)</f>
        <v>0</v>
      </c>
      <c r="X906" s="8" t="n">
        <f aca="false">IF($K906=1,COUNTIFS($O$5:$O$1517,"&gt;="&amp;O906,$K$5:$K$1517,1)/COUNTIF($O$5:$O$1517,"&gt;="&amp;O906),0)</f>
        <v>0</v>
      </c>
      <c r="Y906" s="8" t="n">
        <f aca="false">IF($K906=1,COUNTIFS($P$5:$P$1517,"&gt;="&amp;P906,$K$5:$K$1517,1)/COUNTIF($P$5:$P$1517,"&gt;="&amp;P906),0)</f>
        <v>0</v>
      </c>
      <c r="Z906" s="8" t="n">
        <f aca="false">(L906-$K906)^2</f>
        <v>0.001908117124</v>
      </c>
      <c r="AA906" s="8" t="n">
        <f aca="false">(M906-$K906)^2</f>
        <v>0.008475595969</v>
      </c>
      <c r="AB906" s="8" t="n">
        <f aca="false">(N906-$K906)^2</f>
        <v>0.005723527716</v>
      </c>
      <c r="AC906" s="8" t="n">
        <f aca="false">(O906-$K906)^2</f>
        <v>0.011274829489</v>
      </c>
      <c r="AD906" s="8" t="n">
        <f aca="false">(P906-$K906)^2</f>
        <v>0.006275491524</v>
      </c>
      <c r="AE906" s="8" t="n">
        <f aca="false">MIN(INT(ROUND(N906*1000000,0)/100000),9)</f>
        <v>0</v>
      </c>
      <c r="AF906" s="8" t="n">
        <f aca="false">MIN(INT(ROUND(P906*1000000,0)/100000),9)</f>
        <v>0</v>
      </c>
    </row>
    <row r="907" customFormat="false" ht="15" hidden="false" customHeight="false" outlineLevel="0" collapsed="false">
      <c r="A907" s="4" t="n">
        <v>903</v>
      </c>
      <c r="B907" s="4" t="n">
        <v>865</v>
      </c>
      <c r="C907" s="4" t="n">
        <v>2</v>
      </c>
      <c r="D907" s="11" t="n">
        <v>46113</v>
      </c>
      <c r="E907" s="4" t="s">
        <v>203</v>
      </c>
      <c r="F907" s="4" t="s">
        <v>206</v>
      </c>
      <c r="G907" s="4" t="n">
        <v>3</v>
      </c>
      <c r="H907" s="4" t="n">
        <v>9</v>
      </c>
      <c r="I907" s="4" t="n">
        <v>0</v>
      </c>
      <c r="J907" s="4" t="n">
        <v>1509.6</v>
      </c>
      <c r="K907" s="4" t="n">
        <v>1</v>
      </c>
      <c r="L907" s="12" t="n">
        <v>0.849898</v>
      </c>
      <c r="M907" s="12" t="n">
        <v>0.092063</v>
      </c>
      <c r="N907" s="12" t="n">
        <v>0.125654</v>
      </c>
      <c r="O907" s="12" t="n">
        <v>0.106183</v>
      </c>
      <c r="P907" s="12" t="n">
        <v>0.134322</v>
      </c>
      <c r="Q907" s="0" t="str">
        <f aca="false">IF(L907&gt;=Models!$G$5,1+COUNTIF($L$5:$L$1517,"&gt;"&amp;L907)+COUNTIFS($L$5:$L$1517,L907,$B$5:$B$1517,"&lt;"&amp;B907)+COUNTIFS($L$5:$L$1517,L907,$B$5:$B$1517,B907,$C$5:$C$1517,"&lt;"&amp;C907),"")</f>
        <v/>
      </c>
      <c r="R907" s="0" t="str">
        <f aca="false">IF(M907&gt;=Models!$G$6,1+COUNTIF($M$5:$M$1517,"&gt;"&amp;M907)+COUNTIFS($M$5:$M$1517,M907,$B$5:$B$1517,"&lt;"&amp;B907)+COUNTIFS($M$5:$M$1517,M907,$B$5:$B$1517,B907,$C$5:$C$1517,"&lt;"&amp;C907),"")</f>
        <v/>
      </c>
      <c r="S907" s="0" t="str">
        <f aca="false">IF(N907&gt;=Models!$G$7,1+COUNTIF($N$5:$N$1517,"&gt;"&amp;N907)+COUNTIFS($N$5:$N$1517,N907,$B$5:$B$1517,"&lt;"&amp;B907)+COUNTIFS($N$5:$N$1517,N907,$B$5:$B$1517,B907,$C$5:$C$1517,"&lt;"&amp;C907),"")</f>
        <v/>
      </c>
      <c r="T907" s="8" t="n">
        <f aca="false">IF(O907&gt;=Models!$G$8,1+COUNTIF($O$5:$O$1517,"&gt;"&amp;O907)+COUNTIFS($O$5:$O$1517,O907,$B$5:$B$1517,"&lt;"&amp;B907)+COUNTIFS($O$5:$O$1517,O907,$B$5:$B$1517,B907,$C$5:$C$1517,"&lt;"&amp;C907),"")</f>
        <v>675</v>
      </c>
      <c r="U907" s="8" t="n">
        <f aca="false">IF($K907=1,COUNTIFS($L$5:$L$1517,"&gt;="&amp;L907,$K$5:$K$1517,1)/COUNTIF($L$5:$L$1517,"&gt;="&amp;L907),0)</f>
        <v>0.13963963963964</v>
      </c>
      <c r="V907" s="8" t="n">
        <f aca="false">IF($K907=1,COUNTIFS($M$5:$M$1517,"&gt;="&amp;M907,$K$5:$K$1517,1)/COUNTIF($M$5:$M$1517,"&gt;="&amp;M907),0)</f>
        <v>0.12491738268341</v>
      </c>
      <c r="W907" s="8" t="n">
        <f aca="false">IF($K907=1,COUNTIFS($N$5:$N$1517,"&gt;="&amp;N907,$K$5:$K$1517,1)/COUNTIF($N$5:$N$1517,"&gt;="&amp;N907),0)</f>
        <v>0.236453201970443</v>
      </c>
      <c r="X907" s="8" t="n">
        <f aca="false">IF($K907=1,COUNTIFS($O$5:$O$1517,"&gt;="&amp;O907,$K$5:$K$1517,1)/COUNTIF($O$5:$O$1517,"&gt;="&amp;O907),0)</f>
        <v>0.12491738268341</v>
      </c>
      <c r="Y907" s="8" t="n">
        <f aca="false">IF($K907=1,COUNTIFS($P$5:$P$1517,"&gt;="&amp;P907,$K$5:$K$1517,1)/COUNTIF($P$5:$P$1517,"&gt;="&amp;P907),0)</f>
        <v>0.236453201970443</v>
      </c>
      <c r="Z907" s="8" t="n">
        <f aca="false">(L907-$K907)^2</f>
        <v>0.022530610404</v>
      </c>
      <c r="AA907" s="8" t="n">
        <f aca="false">(M907-$K907)^2</f>
        <v>0.824349595969</v>
      </c>
      <c r="AB907" s="8" t="n">
        <f aca="false">(N907-$K907)^2</f>
        <v>0.764480927716</v>
      </c>
      <c r="AC907" s="8" t="n">
        <f aca="false">(O907-$K907)^2</f>
        <v>0.798908829489</v>
      </c>
      <c r="AD907" s="8" t="n">
        <f aca="false">(P907-$K907)^2</f>
        <v>0.749398399684</v>
      </c>
      <c r="AE907" s="8" t="n">
        <f aca="false">MIN(INT(ROUND(N907*1000000,0)/100000),9)</f>
        <v>1</v>
      </c>
      <c r="AF907" s="8" t="n">
        <f aca="false">MIN(INT(ROUND(P907*1000000,0)/100000),9)</f>
        <v>1</v>
      </c>
    </row>
    <row r="908" customFormat="false" ht="15" hidden="false" customHeight="false" outlineLevel="0" collapsed="false">
      <c r="A908" s="4" t="n">
        <v>904</v>
      </c>
      <c r="B908" s="4" t="n">
        <v>866</v>
      </c>
      <c r="C908" s="4" t="n">
        <v>2</v>
      </c>
      <c r="D908" s="11" t="n">
        <v>46113</v>
      </c>
      <c r="E908" s="4" t="s">
        <v>201</v>
      </c>
      <c r="F908" s="4" t="s">
        <v>208</v>
      </c>
      <c r="G908" s="4" t="n">
        <v>3</v>
      </c>
      <c r="H908" s="4" t="n">
        <v>17</v>
      </c>
      <c r="I908" s="4" t="n">
        <v>1</v>
      </c>
      <c r="J908" s="4" t="n">
        <v>20808</v>
      </c>
      <c r="K908" s="4" t="n">
        <v>1</v>
      </c>
      <c r="L908" s="12" t="n">
        <v>0.852598</v>
      </c>
      <c r="M908" s="12" t="n">
        <v>0.184211</v>
      </c>
      <c r="N908" s="12" t="n">
        <v>0.083249</v>
      </c>
      <c r="O908" s="12" t="n">
        <v>0.106183</v>
      </c>
      <c r="P908" s="12" t="n">
        <v>0.087531</v>
      </c>
      <c r="Q908" s="0" t="str">
        <f aca="false">IF(L908&gt;=Models!$G$5,1+COUNTIF($L$5:$L$1517,"&gt;"&amp;L908)+COUNTIFS($L$5:$L$1517,L908,$B$5:$B$1517,"&lt;"&amp;B908)+COUNTIFS($L$5:$L$1517,L908,$B$5:$B$1517,B908,$C$5:$C$1517,"&lt;"&amp;C908),"")</f>
        <v/>
      </c>
      <c r="R908" s="8" t="n">
        <f aca="false">IF(M908&gt;=Models!$G$6,1+COUNTIF($M$5:$M$1517,"&gt;"&amp;M908)+COUNTIFS($M$5:$M$1517,M908,$B$5:$B$1517,"&lt;"&amp;B908)+COUNTIFS($M$5:$M$1517,M908,$B$5:$B$1517,B908,$C$5:$C$1517,"&lt;"&amp;C908),"")</f>
        <v>74</v>
      </c>
      <c r="S908" s="0" t="str">
        <f aca="false">IF(N908&gt;=Models!$G$7,1+COUNTIF($N$5:$N$1517,"&gt;"&amp;N908)+COUNTIFS($N$5:$N$1517,N908,$B$5:$B$1517,"&lt;"&amp;B908)+COUNTIFS($N$5:$N$1517,N908,$B$5:$B$1517,B908,$C$5:$C$1517,"&lt;"&amp;C908),"")</f>
        <v/>
      </c>
      <c r="T908" s="8" t="n">
        <f aca="false">IF(O908&gt;=Models!$G$8,1+COUNTIF($O$5:$O$1517,"&gt;"&amp;O908)+COUNTIFS($O$5:$O$1517,O908,$B$5:$B$1517,"&lt;"&amp;B908)+COUNTIFS($O$5:$O$1517,O908,$B$5:$B$1517,B908,$C$5:$C$1517,"&lt;"&amp;C908),"")</f>
        <v>679</v>
      </c>
      <c r="U908" s="8" t="n">
        <f aca="false">IF($K908=1,COUNTIFS($L$5:$L$1517,"&gt;="&amp;L908,$K$5:$K$1517,1)/COUNTIF($L$5:$L$1517,"&gt;="&amp;L908),0)</f>
        <v>0.134883720930233</v>
      </c>
      <c r="V908" s="8" t="n">
        <f aca="false">IF($K908=1,COUNTIFS($M$5:$M$1517,"&gt;="&amp;M908,$K$5:$K$1517,1)/COUNTIF($M$5:$M$1517,"&gt;="&amp;M908),0)</f>
        <v>0.186528497409326</v>
      </c>
      <c r="W908" s="8" t="n">
        <f aca="false">IF($K908=1,COUNTIFS($N$5:$N$1517,"&gt;="&amp;N908,$K$5:$K$1517,1)/COUNTIF($N$5:$N$1517,"&gt;="&amp;N908),0)</f>
        <v>0.176749703440095</v>
      </c>
      <c r="X908" s="8" t="n">
        <f aca="false">IF($K908=1,COUNTIFS($O$5:$O$1517,"&gt;="&amp;O908,$K$5:$K$1517,1)/COUNTIF($O$5:$O$1517,"&gt;="&amp;O908),0)</f>
        <v>0.12491738268341</v>
      </c>
      <c r="Y908" s="8" t="n">
        <f aca="false">IF($K908=1,COUNTIFS($P$5:$P$1517,"&gt;="&amp;P908,$K$5:$K$1517,1)/COUNTIF($P$5:$P$1517,"&gt;="&amp;P908),0)</f>
        <v>0.176749703440095</v>
      </c>
      <c r="Z908" s="8" t="n">
        <f aca="false">(L908-$K908)^2</f>
        <v>0.021727349604</v>
      </c>
      <c r="AA908" s="8" t="n">
        <f aca="false">(M908-$K908)^2</f>
        <v>0.665511692521</v>
      </c>
      <c r="AB908" s="8" t="n">
        <f aca="false">(N908-$K908)^2</f>
        <v>0.840432396001</v>
      </c>
      <c r="AC908" s="8" t="n">
        <f aca="false">(O908-$K908)^2</f>
        <v>0.798908829489</v>
      </c>
      <c r="AD908" s="8" t="n">
        <f aca="false">(P908-$K908)^2</f>
        <v>0.832599675961</v>
      </c>
      <c r="AE908" s="8" t="n">
        <f aca="false">MIN(INT(ROUND(N908*1000000,0)/100000),9)</f>
        <v>0</v>
      </c>
      <c r="AF908" s="8" t="n">
        <f aca="false">MIN(INT(ROUND(P908*1000000,0)/100000),9)</f>
        <v>0</v>
      </c>
    </row>
    <row r="909" customFormat="false" ht="15" hidden="false" customHeight="false" outlineLevel="0" collapsed="false">
      <c r="A909" s="4" t="n">
        <v>905</v>
      </c>
      <c r="B909" s="4" t="n">
        <v>874</v>
      </c>
      <c r="C909" s="4" t="n">
        <v>2</v>
      </c>
      <c r="D909" s="11" t="n">
        <v>46113</v>
      </c>
      <c r="E909" s="4" t="s">
        <v>201</v>
      </c>
      <c r="F909" s="4" t="s">
        <v>206</v>
      </c>
      <c r="G909" s="4" t="n">
        <v>6</v>
      </c>
      <c r="H909" s="4" t="n">
        <v>2</v>
      </c>
      <c r="I909" s="4" t="n">
        <v>0</v>
      </c>
      <c r="J909" s="4" t="n">
        <v>4269</v>
      </c>
      <c r="K909" s="4" t="n">
        <v>0</v>
      </c>
      <c r="L909" s="12" t="n">
        <v>0.547838</v>
      </c>
      <c r="M909" s="12" t="n">
        <v>0.092063</v>
      </c>
      <c r="N909" s="12" t="n">
        <v>0.081098</v>
      </c>
      <c r="O909" s="12" t="n">
        <v>0.106183</v>
      </c>
      <c r="P909" s="12" t="n">
        <v>0.085173</v>
      </c>
      <c r="Q909" s="0" t="str">
        <f aca="false">IF(L909&gt;=Models!$G$5,1+COUNTIF($L$5:$L$1517,"&gt;"&amp;L909)+COUNTIFS($L$5:$L$1517,L909,$B$5:$B$1517,"&lt;"&amp;B909)+COUNTIFS($L$5:$L$1517,L909,$B$5:$B$1517,B909,$C$5:$C$1517,"&lt;"&amp;C909),"")</f>
        <v/>
      </c>
      <c r="R909" s="0" t="str">
        <f aca="false">IF(M909&gt;=Models!$G$6,1+COUNTIF($M$5:$M$1517,"&gt;"&amp;M909)+COUNTIFS($M$5:$M$1517,M909,$B$5:$B$1517,"&lt;"&amp;B909)+COUNTIFS($M$5:$M$1517,M909,$B$5:$B$1517,B909,$C$5:$C$1517,"&lt;"&amp;C909),"")</f>
        <v/>
      </c>
      <c r="S909" s="0" t="str">
        <f aca="false">IF(N909&gt;=Models!$G$7,1+COUNTIF($N$5:$N$1517,"&gt;"&amp;N909)+COUNTIFS($N$5:$N$1517,N909,$B$5:$B$1517,"&lt;"&amp;B909)+COUNTIFS($N$5:$N$1517,N909,$B$5:$B$1517,B909,$C$5:$C$1517,"&lt;"&amp;C909),"")</f>
        <v/>
      </c>
      <c r="T909" s="8" t="n">
        <f aca="false">IF(O909&gt;=Models!$G$8,1+COUNTIF($O$5:$O$1517,"&gt;"&amp;O909)+COUNTIFS($O$5:$O$1517,O909,$B$5:$B$1517,"&lt;"&amp;B909)+COUNTIFS($O$5:$O$1517,O909,$B$5:$B$1517,B909,$C$5:$C$1517,"&lt;"&amp;C909),"")</f>
        <v>682</v>
      </c>
      <c r="U909" s="8" t="n">
        <f aca="false">IF($K909=1,COUNTIFS($L$5:$L$1517,"&gt;="&amp;L909,$K$5:$K$1517,1)/COUNTIF($L$5:$L$1517,"&gt;="&amp;L909),0)</f>
        <v>0</v>
      </c>
      <c r="V909" s="8" t="n">
        <f aca="false">IF($K909=1,COUNTIFS($M$5:$M$1517,"&gt;="&amp;M909,$K$5:$K$1517,1)/COUNTIF($M$5:$M$1517,"&gt;="&amp;M909),0)</f>
        <v>0</v>
      </c>
      <c r="W909" s="8" t="n">
        <f aca="false">IF($K909=1,COUNTIFS($N$5:$N$1517,"&gt;="&amp;N909,$K$5:$K$1517,1)/COUNTIF($N$5:$N$1517,"&gt;="&amp;N909),0)</f>
        <v>0</v>
      </c>
      <c r="X909" s="8" t="n">
        <f aca="false">IF($K909=1,COUNTIFS($O$5:$O$1517,"&gt;="&amp;O909,$K$5:$K$1517,1)/COUNTIF($O$5:$O$1517,"&gt;="&amp;O909),0)</f>
        <v>0</v>
      </c>
      <c r="Y909" s="8" t="n">
        <f aca="false">IF($K909=1,COUNTIFS($P$5:$P$1517,"&gt;="&amp;P909,$K$5:$K$1517,1)/COUNTIF($P$5:$P$1517,"&gt;="&amp;P909),0)</f>
        <v>0</v>
      </c>
      <c r="Z909" s="8" t="n">
        <f aca="false">(L909-$K909)^2</f>
        <v>0.300126474244</v>
      </c>
      <c r="AA909" s="8" t="n">
        <f aca="false">(M909-$K909)^2</f>
        <v>0.008475595969</v>
      </c>
      <c r="AB909" s="8" t="n">
        <f aca="false">(N909-$K909)^2</f>
        <v>0.006576885604</v>
      </c>
      <c r="AC909" s="8" t="n">
        <f aca="false">(O909-$K909)^2</f>
        <v>0.011274829489</v>
      </c>
      <c r="AD909" s="8" t="n">
        <f aca="false">(P909-$K909)^2</f>
        <v>0.007254439929</v>
      </c>
      <c r="AE909" s="8" t="n">
        <f aca="false">MIN(INT(ROUND(N909*1000000,0)/100000),9)</f>
        <v>0</v>
      </c>
      <c r="AF909" s="8" t="n">
        <f aca="false">MIN(INT(ROUND(P909*1000000,0)/100000),9)</f>
        <v>0</v>
      </c>
    </row>
    <row r="910" customFormat="false" ht="15" hidden="false" customHeight="false" outlineLevel="0" collapsed="false">
      <c r="A910" s="4" t="n">
        <v>906</v>
      </c>
      <c r="B910" s="4" t="n">
        <v>876</v>
      </c>
      <c r="C910" s="4" t="n">
        <v>2</v>
      </c>
      <c r="D910" s="11" t="n">
        <v>46113</v>
      </c>
      <c r="E910" s="4" t="s">
        <v>203</v>
      </c>
      <c r="F910" s="4" t="s">
        <v>209</v>
      </c>
      <c r="G910" s="4" t="n">
        <v>5</v>
      </c>
      <c r="H910" s="4" t="n">
        <v>4</v>
      </c>
      <c r="I910" s="4" t="n">
        <v>0</v>
      </c>
      <c r="J910" s="4" t="n">
        <v>264</v>
      </c>
      <c r="K910" s="4" t="n">
        <v>0</v>
      </c>
      <c r="L910" s="12" t="n">
        <v>0.705336</v>
      </c>
      <c r="M910" s="12" t="n">
        <v>0.092063</v>
      </c>
      <c r="N910" s="12" t="n">
        <v>0.110212</v>
      </c>
      <c r="O910" s="12" t="n">
        <v>0.106183</v>
      </c>
      <c r="P910" s="12" t="n">
        <v>0.117225</v>
      </c>
      <c r="Q910" s="0" t="str">
        <f aca="false">IF(L910&gt;=Models!$G$5,1+COUNTIF($L$5:$L$1517,"&gt;"&amp;L910)+COUNTIFS($L$5:$L$1517,L910,$B$5:$B$1517,"&lt;"&amp;B910)+COUNTIFS($L$5:$L$1517,L910,$B$5:$B$1517,B910,$C$5:$C$1517,"&lt;"&amp;C910),"")</f>
        <v/>
      </c>
      <c r="R910" s="0" t="str">
        <f aca="false">IF(M910&gt;=Models!$G$6,1+COUNTIF($M$5:$M$1517,"&gt;"&amp;M910)+COUNTIFS($M$5:$M$1517,M910,$B$5:$B$1517,"&lt;"&amp;B910)+COUNTIFS($M$5:$M$1517,M910,$B$5:$B$1517,B910,$C$5:$C$1517,"&lt;"&amp;C910),"")</f>
        <v/>
      </c>
      <c r="S910" s="0" t="str">
        <f aca="false">IF(N910&gt;=Models!$G$7,1+COUNTIF($N$5:$N$1517,"&gt;"&amp;N910)+COUNTIFS($N$5:$N$1517,N910,$B$5:$B$1517,"&lt;"&amp;B910)+COUNTIFS($N$5:$N$1517,N910,$B$5:$B$1517,B910,$C$5:$C$1517,"&lt;"&amp;C910),"")</f>
        <v/>
      </c>
      <c r="T910" s="8" t="n">
        <f aca="false">IF(O910&gt;=Models!$G$8,1+COUNTIF($O$5:$O$1517,"&gt;"&amp;O910)+COUNTIFS($O$5:$O$1517,O910,$B$5:$B$1517,"&lt;"&amp;B910)+COUNTIFS($O$5:$O$1517,O910,$B$5:$B$1517,B910,$C$5:$C$1517,"&lt;"&amp;C910),"")</f>
        <v>687</v>
      </c>
      <c r="U910" s="8" t="n">
        <f aca="false">IF($K910=1,COUNTIFS($L$5:$L$1517,"&gt;="&amp;L910,$K$5:$K$1517,1)/COUNTIF($L$5:$L$1517,"&gt;="&amp;L910),0)</f>
        <v>0</v>
      </c>
      <c r="V910" s="8" t="n">
        <f aca="false">IF($K910=1,COUNTIFS($M$5:$M$1517,"&gt;="&amp;M910,$K$5:$K$1517,1)/COUNTIF($M$5:$M$1517,"&gt;="&amp;M910),0)</f>
        <v>0</v>
      </c>
      <c r="W910" s="8" t="n">
        <f aca="false">IF($K910=1,COUNTIFS($N$5:$N$1517,"&gt;="&amp;N910,$K$5:$K$1517,1)/COUNTIF($N$5:$N$1517,"&gt;="&amp;N910),0)</f>
        <v>0</v>
      </c>
      <c r="X910" s="8" t="n">
        <f aca="false">IF($K910=1,COUNTIFS($O$5:$O$1517,"&gt;="&amp;O910,$K$5:$K$1517,1)/COUNTIF($O$5:$O$1517,"&gt;="&amp;O910),0)</f>
        <v>0</v>
      </c>
      <c r="Y910" s="8" t="n">
        <f aca="false">IF($K910=1,COUNTIFS($P$5:$P$1517,"&gt;="&amp;P910,$K$5:$K$1517,1)/COUNTIF($P$5:$P$1517,"&gt;="&amp;P910),0)</f>
        <v>0</v>
      </c>
      <c r="Z910" s="8" t="n">
        <f aca="false">(L910-$K910)^2</f>
        <v>0.497498872896</v>
      </c>
      <c r="AA910" s="8" t="n">
        <f aca="false">(M910-$K910)^2</f>
        <v>0.008475595969</v>
      </c>
      <c r="AB910" s="8" t="n">
        <f aca="false">(N910-$K910)^2</f>
        <v>0.012146684944</v>
      </c>
      <c r="AC910" s="8" t="n">
        <f aca="false">(O910-$K910)^2</f>
        <v>0.011274829489</v>
      </c>
      <c r="AD910" s="8" t="n">
        <f aca="false">(P910-$K910)^2</f>
        <v>0.013741700625</v>
      </c>
      <c r="AE910" s="8" t="n">
        <f aca="false">MIN(INT(ROUND(N910*1000000,0)/100000),9)</f>
        <v>1</v>
      </c>
      <c r="AF910" s="8" t="n">
        <f aca="false">MIN(INT(ROUND(P910*1000000,0)/100000),9)</f>
        <v>1</v>
      </c>
    </row>
    <row r="911" customFormat="false" ht="15" hidden="false" customHeight="false" outlineLevel="0" collapsed="false">
      <c r="A911" s="4" t="n">
        <v>907</v>
      </c>
      <c r="B911" s="4" t="n">
        <v>877</v>
      </c>
      <c r="C911" s="4" t="n">
        <v>2</v>
      </c>
      <c r="D911" s="11" t="n">
        <v>46113</v>
      </c>
      <c r="E911" s="4" t="s">
        <v>203</v>
      </c>
      <c r="F911" s="4" t="s">
        <v>210</v>
      </c>
      <c r="G911" s="4" t="n">
        <v>0</v>
      </c>
      <c r="H911" s="4" t="n">
        <v>32</v>
      </c>
      <c r="I911" s="4" t="n">
        <v>0</v>
      </c>
      <c r="J911" s="4" t="n">
        <v>420</v>
      </c>
      <c r="K911" s="4" t="n">
        <v>1</v>
      </c>
      <c r="L911" s="12" t="n">
        <v>0.749741</v>
      </c>
      <c r="M911" s="12" t="n">
        <v>0.184211</v>
      </c>
      <c r="N911" s="12" t="n">
        <v>0.194941</v>
      </c>
      <c r="O911" s="12" t="n">
        <v>0.106183</v>
      </c>
      <c r="P911" s="12" t="n">
        <v>0.211363</v>
      </c>
      <c r="Q911" s="0" t="str">
        <f aca="false">IF(L911&gt;=Models!$G$5,1+COUNTIF($L$5:$L$1517,"&gt;"&amp;L911)+COUNTIFS($L$5:$L$1517,L911,$B$5:$B$1517,"&lt;"&amp;B911)+COUNTIFS($L$5:$L$1517,L911,$B$5:$B$1517,B911,$C$5:$C$1517,"&lt;"&amp;C911),"")</f>
        <v/>
      </c>
      <c r="R911" s="8" t="n">
        <f aca="false">IF(M911&gt;=Models!$G$6,1+COUNTIF($M$5:$M$1517,"&gt;"&amp;M911)+COUNTIFS($M$5:$M$1517,M911,$B$5:$B$1517,"&lt;"&amp;B911)+COUNTIFS($M$5:$M$1517,M911,$B$5:$B$1517,B911,$C$5:$C$1517,"&lt;"&amp;C911),"")</f>
        <v>75</v>
      </c>
      <c r="S911" s="0" t="str">
        <f aca="false">IF(N911&gt;=Models!$G$7,1+COUNTIF($N$5:$N$1517,"&gt;"&amp;N911)+COUNTIFS($N$5:$N$1517,N911,$B$5:$B$1517,"&lt;"&amp;B911)+COUNTIFS($N$5:$N$1517,N911,$B$5:$B$1517,B911,$C$5:$C$1517,"&lt;"&amp;C911),"")</f>
        <v/>
      </c>
      <c r="T911" s="8" t="n">
        <f aca="false">IF(O911&gt;=Models!$G$8,1+COUNTIF($O$5:$O$1517,"&gt;"&amp;O911)+COUNTIFS($O$5:$O$1517,O911,$B$5:$B$1517,"&lt;"&amp;B911)+COUNTIFS($O$5:$O$1517,O911,$B$5:$B$1517,B911,$C$5:$C$1517,"&lt;"&amp;C911),"")</f>
        <v>691</v>
      </c>
      <c r="U911" s="8" t="n">
        <f aca="false">IF($K911=1,COUNTIFS($L$5:$L$1517,"&gt;="&amp;L911,$K$5:$K$1517,1)/COUNTIF($L$5:$L$1517,"&gt;="&amp;L911),0)</f>
        <v>0.137362637362637</v>
      </c>
      <c r="V911" s="8" t="n">
        <f aca="false">IF($K911=1,COUNTIFS($M$5:$M$1517,"&gt;="&amp;M911,$K$5:$K$1517,1)/COUNTIF($M$5:$M$1517,"&gt;="&amp;M911),0)</f>
        <v>0.186528497409326</v>
      </c>
      <c r="W911" s="8" t="n">
        <f aca="false">IF($K911=1,COUNTIFS($N$5:$N$1517,"&gt;="&amp;N911,$K$5:$K$1517,1)/COUNTIF($N$5:$N$1517,"&gt;="&amp;N911),0)</f>
        <v>0.283783783783784</v>
      </c>
      <c r="X911" s="8" t="n">
        <f aca="false">IF($K911=1,COUNTIFS($O$5:$O$1517,"&gt;="&amp;O911,$K$5:$K$1517,1)/COUNTIF($O$5:$O$1517,"&gt;="&amp;O911),0)</f>
        <v>0.12491738268341</v>
      </c>
      <c r="Y911" s="8" t="n">
        <f aca="false">IF($K911=1,COUNTIFS($P$5:$P$1517,"&gt;="&amp;P911,$K$5:$K$1517,1)/COUNTIF($P$5:$P$1517,"&gt;="&amp;P911),0)</f>
        <v>0.283783783783784</v>
      </c>
      <c r="Z911" s="8" t="n">
        <f aca="false">(L911-$K911)^2</f>
        <v>0.062629567081</v>
      </c>
      <c r="AA911" s="8" t="n">
        <f aca="false">(M911-$K911)^2</f>
        <v>0.665511692521</v>
      </c>
      <c r="AB911" s="8" t="n">
        <f aca="false">(N911-$K911)^2</f>
        <v>0.648119993481</v>
      </c>
      <c r="AC911" s="8" t="n">
        <f aca="false">(O911-$K911)^2</f>
        <v>0.798908829489</v>
      </c>
      <c r="AD911" s="8" t="n">
        <f aca="false">(P911-$K911)^2</f>
        <v>0.621948317769</v>
      </c>
      <c r="AE911" s="8" t="n">
        <f aca="false">MIN(INT(ROUND(N911*1000000,0)/100000),9)</f>
        <v>1</v>
      </c>
      <c r="AF911" s="8" t="n">
        <f aca="false">MIN(INT(ROUND(P911*1000000,0)/100000),9)</f>
        <v>2</v>
      </c>
    </row>
    <row r="912" customFormat="false" ht="15" hidden="false" customHeight="false" outlineLevel="0" collapsed="false">
      <c r="A912" s="4" t="n">
        <v>908</v>
      </c>
      <c r="B912" s="4" t="n">
        <v>880</v>
      </c>
      <c r="C912" s="4" t="n">
        <v>2</v>
      </c>
      <c r="D912" s="11" t="n">
        <v>46113</v>
      </c>
      <c r="E912" s="4" t="s">
        <v>201</v>
      </c>
      <c r="F912" s="4" t="s">
        <v>206</v>
      </c>
      <c r="G912" s="4" t="n">
        <v>14</v>
      </c>
      <c r="H912" s="4" t="n">
        <v>4</v>
      </c>
      <c r="I912" s="4" t="n">
        <v>0</v>
      </c>
      <c r="J912" s="4" t="n">
        <v>30365.4</v>
      </c>
      <c r="K912" s="4" t="n">
        <v>0</v>
      </c>
      <c r="L912" s="12" t="n">
        <v>0.732372</v>
      </c>
      <c r="M912" s="12" t="n">
        <v>0.092063</v>
      </c>
      <c r="N912" s="12" t="n">
        <v>0.009504</v>
      </c>
      <c r="O912" s="12" t="n">
        <v>0.106183</v>
      </c>
      <c r="P912" s="12" t="n">
        <v>0.009026</v>
      </c>
      <c r="Q912" s="0" t="str">
        <f aca="false">IF(L912&gt;=Models!$G$5,1+COUNTIF($L$5:$L$1517,"&gt;"&amp;L912)+COUNTIFS($L$5:$L$1517,L912,$B$5:$B$1517,"&lt;"&amp;B912)+COUNTIFS($L$5:$L$1517,L912,$B$5:$B$1517,B912,$C$5:$C$1517,"&lt;"&amp;C912),"")</f>
        <v/>
      </c>
      <c r="R912" s="0" t="str">
        <f aca="false">IF(M912&gt;=Models!$G$6,1+COUNTIF($M$5:$M$1517,"&gt;"&amp;M912)+COUNTIFS($M$5:$M$1517,M912,$B$5:$B$1517,"&lt;"&amp;B912)+COUNTIFS($M$5:$M$1517,M912,$B$5:$B$1517,B912,$C$5:$C$1517,"&lt;"&amp;C912),"")</f>
        <v/>
      </c>
      <c r="S912" s="0" t="str">
        <f aca="false">IF(N912&gt;=Models!$G$7,1+COUNTIF($N$5:$N$1517,"&gt;"&amp;N912)+COUNTIFS($N$5:$N$1517,N912,$B$5:$B$1517,"&lt;"&amp;B912)+COUNTIFS($N$5:$N$1517,N912,$B$5:$B$1517,B912,$C$5:$C$1517,"&lt;"&amp;C912),"")</f>
        <v/>
      </c>
      <c r="T912" s="8" t="n">
        <f aca="false">IF(O912&gt;=Models!$G$8,1+COUNTIF($O$5:$O$1517,"&gt;"&amp;O912)+COUNTIFS($O$5:$O$1517,O912,$B$5:$B$1517,"&lt;"&amp;B912)+COUNTIFS($O$5:$O$1517,O912,$B$5:$B$1517,B912,$C$5:$C$1517,"&lt;"&amp;C912),"")</f>
        <v>695</v>
      </c>
      <c r="U912" s="8" t="n">
        <f aca="false">IF($K912=1,COUNTIFS($L$5:$L$1517,"&gt;="&amp;L912,$K$5:$K$1517,1)/COUNTIF($L$5:$L$1517,"&gt;="&amp;L912),0)</f>
        <v>0</v>
      </c>
      <c r="V912" s="8" t="n">
        <f aca="false">IF($K912=1,COUNTIFS($M$5:$M$1517,"&gt;="&amp;M912,$K$5:$K$1517,1)/COUNTIF($M$5:$M$1517,"&gt;="&amp;M912),0)</f>
        <v>0</v>
      </c>
      <c r="W912" s="8" t="n">
        <f aca="false">IF($K912=1,COUNTIFS($N$5:$N$1517,"&gt;="&amp;N912,$K$5:$K$1517,1)/COUNTIF($N$5:$N$1517,"&gt;="&amp;N912),0)</f>
        <v>0</v>
      </c>
      <c r="X912" s="8" t="n">
        <f aca="false">IF($K912=1,COUNTIFS($O$5:$O$1517,"&gt;="&amp;O912,$K$5:$K$1517,1)/COUNTIF($O$5:$O$1517,"&gt;="&amp;O912),0)</f>
        <v>0</v>
      </c>
      <c r="Y912" s="8" t="n">
        <f aca="false">IF($K912=1,COUNTIFS($P$5:$P$1517,"&gt;="&amp;P912,$K$5:$K$1517,1)/COUNTIF($P$5:$P$1517,"&gt;="&amp;P912),0)</f>
        <v>0</v>
      </c>
      <c r="Z912" s="8" t="n">
        <f aca="false">(L912-$K912)^2</f>
        <v>0.536368746384</v>
      </c>
      <c r="AA912" s="8" t="n">
        <f aca="false">(M912-$K912)^2</f>
        <v>0.008475595969</v>
      </c>
      <c r="AB912" s="8" t="n">
        <f aca="false">(N912-$K912)^2</f>
        <v>9.0326016E-005</v>
      </c>
      <c r="AC912" s="8" t="n">
        <f aca="false">(O912-$K912)^2</f>
        <v>0.011274829489</v>
      </c>
      <c r="AD912" s="8" t="n">
        <f aca="false">(P912-$K912)^2</f>
        <v>8.1468676E-005</v>
      </c>
      <c r="AE912" s="8" t="n">
        <f aca="false">MIN(INT(ROUND(N912*1000000,0)/100000),9)</f>
        <v>0</v>
      </c>
      <c r="AF912" s="8" t="n">
        <f aca="false">MIN(INT(ROUND(P912*1000000,0)/100000),9)</f>
        <v>0</v>
      </c>
    </row>
    <row r="913" customFormat="false" ht="15" hidden="false" customHeight="false" outlineLevel="0" collapsed="false">
      <c r="A913" s="4" t="n">
        <v>909</v>
      </c>
      <c r="B913" s="4" t="n">
        <v>881</v>
      </c>
      <c r="C913" s="4" t="n">
        <v>2</v>
      </c>
      <c r="D913" s="11" t="n">
        <v>46113</v>
      </c>
      <c r="E913" s="4" t="s">
        <v>203</v>
      </c>
      <c r="F913" s="4" t="s">
        <v>209</v>
      </c>
      <c r="G913" s="4" t="n">
        <v>5</v>
      </c>
      <c r="H913" s="4" t="n">
        <v>3</v>
      </c>
      <c r="I913" s="4" t="n">
        <v>0</v>
      </c>
      <c r="J913" s="4" t="n">
        <v>390</v>
      </c>
      <c r="K913" s="4" t="n">
        <v>0</v>
      </c>
      <c r="L913" s="12" t="n">
        <v>0.367587</v>
      </c>
      <c r="M913" s="12" t="n">
        <v>0.092063</v>
      </c>
      <c r="N913" s="12" t="n">
        <v>0.1087</v>
      </c>
      <c r="O913" s="12" t="n">
        <v>0.106183</v>
      </c>
      <c r="P913" s="12" t="n">
        <v>0.115554</v>
      </c>
      <c r="Q913" s="0" t="str">
        <f aca="false">IF(L913&gt;=Models!$G$5,1+COUNTIF($L$5:$L$1517,"&gt;"&amp;L913)+COUNTIFS($L$5:$L$1517,L913,$B$5:$B$1517,"&lt;"&amp;B913)+COUNTIFS($L$5:$L$1517,L913,$B$5:$B$1517,B913,$C$5:$C$1517,"&lt;"&amp;C913),"")</f>
        <v/>
      </c>
      <c r="R913" s="0" t="str">
        <f aca="false">IF(M913&gt;=Models!$G$6,1+COUNTIF($M$5:$M$1517,"&gt;"&amp;M913)+COUNTIFS($M$5:$M$1517,M913,$B$5:$B$1517,"&lt;"&amp;B913)+COUNTIFS($M$5:$M$1517,M913,$B$5:$B$1517,B913,$C$5:$C$1517,"&lt;"&amp;C913),"")</f>
        <v/>
      </c>
      <c r="S913" s="0" t="str">
        <f aca="false">IF(N913&gt;=Models!$G$7,1+COUNTIF($N$5:$N$1517,"&gt;"&amp;N913)+COUNTIFS($N$5:$N$1517,N913,$B$5:$B$1517,"&lt;"&amp;B913)+COUNTIFS($N$5:$N$1517,N913,$B$5:$B$1517,B913,$C$5:$C$1517,"&lt;"&amp;C913),"")</f>
        <v/>
      </c>
      <c r="T913" s="8" t="n">
        <f aca="false">IF(O913&gt;=Models!$G$8,1+COUNTIF($O$5:$O$1517,"&gt;"&amp;O913)+COUNTIFS($O$5:$O$1517,O913,$B$5:$B$1517,"&lt;"&amp;B913)+COUNTIFS($O$5:$O$1517,O913,$B$5:$B$1517,B913,$C$5:$C$1517,"&lt;"&amp;C913),"")</f>
        <v>699</v>
      </c>
      <c r="U913" s="8" t="n">
        <f aca="false">IF($K913=1,COUNTIFS($L$5:$L$1517,"&gt;="&amp;L913,$K$5:$K$1517,1)/COUNTIF($L$5:$L$1517,"&gt;="&amp;L913),0)</f>
        <v>0</v>
      </c>
      <c r="V913" s="8" t="n">
        <f aca="false">IF($K913=1,COUNTIFS($M$5:$M$1517,"&gt;="&amp;M913,$K$5:$K$1517,1)/COUNTIF($M$5:$M$1517,"&gt;="&amp;M913),0)</f>
        <v>0</v>
      </c>
      <c r="W913" s="8" t="n">
        <f aca="false">IF($K913=1,COUNTIFS($N$5:$N$1517,"&gt;="&amp;N913,$K$5:$K$1517,1)/COUNTIF($N$5:$N$1517,"&gt;="&amp;N913),0)</f>
        <v>0</v>
      </c>
      <c r="X913" s="8" t="n">
        <f aca="false">IF($K913=1,COUNTIFS($O$5:$O$1517,"&gt;="&amp;O913,$K$5:$K$1517,1)/COUNTIF($O$5:$O$1517,"&gt;="&amp;O913),0)</f>
        <v>0</v>
      </c>
      <c r="Y913" s="8" t="n">
        <f aca="false">IF($K913=1,COUNTIFS($P$5:$P$1517,"&gt;="&amp;P913,$K$5:$K$1517,1)/COUNTIF($P$5:$P$1517,"&gt;="&amp;P913),0)</f>
        <v>0</v>
      </c>
      <c r="Z913" s="8" t="n">
        <f aca="false">(L913-$K913)^2</f>
        <v>0.135120202569</v>
      </c>
      <c r="AA913" s="8" t="n">
        <f aca="false">(M913-$K913)^2</f>
        <v>0.008475595969</v>
      </c>
      <c r="AB913" s="8" t="n">
        <f aca="false">(N913-$K913)^2</f>
        <v>0.01181569</v>
      </c>
      <c r="AC913" s="8" t="n">
        <f aca="false">(O913-$K913)^2</f>
        <v>0.011274829489</v>
      </c>
      <c r="AD913" s="8" t="n">
        <f aca="false">(P913-$K913)^2</f>
        <v>0.013352726916</v>
      </c>
      <c r="AE913" s="8" t="n">
        <f aca="false">MIN(INT(ROUND(N913*1000000,0)/100000),9)</f>
        <v>1</v>
      </c>
      <c r="AF913" s="8" t="n">
        <f aca="false">MIN(INT(ROUND(P913*1000000,0)/100000),9)</f>
        <v>1</v>
      </c>
    </row>
    <row r="914" customFormat="false" ht="15" hidden="false" customHeight="false" outlineLevel="0" collapsed="false">
      <c r="A914" s="4" t="n">
        <v>910</v>
      </c>
      <c r="B914" s="4" t="n">
        <v>912</v>
      </c>
      <c r="C914" s="4" t="n">
        <v>2</v>
      </c>
      <c r="D914" s="11" t="n">
        <v>46113</v>
      </c>
      <c r="E914" s="4" t="s">
        <v>204</v>
      </c>
      <c r="F914" s="4" t="s">
        <v>209</v>
      </c>
      <c r="G914" s="4" t="n">
        <v>1</v>
      </c>
      <c r="H914" s="4" t="n">
        <v>22</v>
      </c>
      <c r="I914" s="4" t="n">
        <v>1</v>
      </c>
      <c r="J914" s="4" t="n">
        <v>38</v>
      </c>
      <c r="K914" s="4" t="n">
        <v>1</v>
      </c>
      <c r="L914" s="12" t="n">
        <v>0.108394</v>
      </c>
      <c r="M914" s="12" t="n">
        <v>0.184211</v>
      </c>
      <c r="N914" s="12" t="n">
        <v>0.274495</v>
      </c>
      <c r="O914" s="12" t="n">
        <v>0.106183</v>
      </c>
      <c r="P914" s="12" t="n">
        <v>0.299598</v>
      </c>
      <c r="Q914" s="0" t="str">
        <f aca="false">IF(L914&gt;=Models!$G$5,1+COUNTIF($L$5:$L$1517,"&gt;"&amp;L914)+COUNTIFS($L$5:$L$1517,L914,$B$5:$B$1517,"&lt;"&amp;B914)+COUNTIFS($L$5:$L$1517,L914,$B$5:$B$1517,B914,$C$5:$C$1517,"&lt;"&amp;C914),"")</f>
        <v/>
      </c>
      <c r="R914" s="8" t="n">
        <f aca="false">IF(M914&gt;=Models!$G$6,1+COUNTIF($M$5:$M$1517,"&gt;"&amp;M914)+COUNTIFS($M$5:$M$1517,M914,$B$5:$B$1517,"&lt;"&amp;B914)+COUNTIFS($M$5:$M$1517,M914,$B$5:$B$1517,B914,$C$5:$C$1517,"&lt;"&amp;C914),"")</f>
        <v>77</v>
      </c>
      <c r="S914" s="8" t="n">
        <f aca="false">IF(N914&gt;=Models!$G$7,1+COUNTIF($N$5:$N$1517,"&gt;"&amp;N914)+COUNTIFS($N$5:$N$1517,N914,$B$5:$B$1517,"&lt;"&amp;B914)+COUNTIFS($N$5:$N$1517,N914,$B$5:$B$1517,B914,$C$5:$C$1517,"&lt;"&amp;C914),"")</f>
        <v>11</v>
      </c>
      <c r="T914" s="8" t="n">
        <f aca="false">IF(O914&gt;=Models!$G$8,1+COUNTIF($O$5:$O$1517,"&gt;"&amp;O914)+COUNTIFS($O$5:$O$1517,O914,$B$5:$B$1517,"&lt;"&amp;B914)+COUNTIFS($O$5:$O$1517,O914,$B$5:$B$1517,B914,$C$5:$C$1517,"&lt;"&amp;C914),"")</f>
        <v>705</v>
      </c>
      <c r="U914" s="8" t="n">
        <f aca="false">IF($K914=1,COUNTIFS($L$5:$L$1517,"&gt;="&amp;L914,$K$5:$K$1517,1)/COUNTIF($L$5:$L$1517,"&gt;="&amp;L914),0)</f>
        <v>0.123318385650224</v>
      </c>
      <c r="V914" s="8" t="n">
        <f aca="false">IF($K914=1,COUNTIFS($M$5:$M$1517,"&gt;="&amp;M914,$K$5:$K$1517,1)/COUNTIF($M$5:$M$1517,"&gt;="&amp;M914),0)</f>
        <v>0.186528497409326</v>
      </c>
      <c r="W914" s="8" t="n">
        <f aca="false">IF($K914=1,COUNTIFS($N$5:$N$1517,"&gt;="&amp;N914,$K$5:$K$1517,1)/COUNTIF($N$5:$N$1517,"&gt;="&amp;N914),0)</f>
        <v>0.272727272727273</v>
      </c>
      <c r="X914" s="8" t="n">
        <f aca="false">IF($K914=1,COUNTIFS($O$5:$O$1517,"&gt;="&amp;O914,$K$5:$K$1517,1)/COUNTIF($O$5:$O$1517,"&gt;="&amp;O914),0)</f>
        <v>0.12491738268341</v>
      </c>
      <c r="Y914" s="8" t="n">
        <f aca="false">IF($K914=1,COUNTIFS($P$5:$P$1517,"&gt;="&amp;P914,$K$5:$K$1517,1)/COUNTIF($P$5:$P$1517,"&gt;="&amp;P914),0)</f>
        <v>0.272727272727273</v>
      </c>
      <c r="Z914" s="8" t="n">
        <f aca="false">(L914-$K914)^2</f>
        <v>0.794961259236</v>
      </c>
      <c r="AA914" s="8" t="n">
        <f aca="false">(M914-$K914)^2</f>
        <v>0.665511692521</v>
      </c>
      <c r="AB914" s="8" t="n">
        <f aca="false">(N914-$K914)^2</f>
        <v>0.526357505025</v>
      </c>
      <c r="AC914" s="8" t="n">
        <f aca="false">(O914-$K914)^2</f>
        <v>0.798908829489</v>
      </c>
      <c r="AD914" s="8" t="n">
        <f aca="false">(P914-$K914)^2</f>
        <v>0.490562961604</v>
      </c>
      <c r="AE914" s="8" t="n">
        <f aca="false">MIN(INT(ROUND(N914*1000000,0)/100000),9)</f>
        <v>2</v>
      </c>
      <c r="AF914" s="8" t="n">
        <f aca="false">MIN(INT(ROUND(P914*1000000,0)/100000),9)</f>
        <v>2</v>
      </c>
    </row>
    <row r="915" customFormat="false" ht="15" hidden="false" customHeight="false" outlineLevel="0" collapsed="false">
      <c r="A915" s="4" t="n">
        <v>911</v>
      </c>
      <c r="B915" s="4" t="n">
        <v>915</v>
      </c>
      <c r="C915" s="4" t="n">
        <v>2</v>
      </c>
      <c r="D915" s="11" t="n">
        <v>46113</v>
      </c>
      <c r="E915" s="4" t="s">
        <v>202</v>
      </c>
      <c r="F915" s="4" t="s">
        <v>206</v>
      </c>
      <c r="G915" s="4" t="n">
        <v>4</v>
      </c>
      <c r="H915" s="4" t="n">
        <v>11</v>
      </c>
      <c r="I915" s="4" t="n">
        <v>0</v>
      </c>
      <c r="J915" s="4" t="n">
        <v>1230</v>
      </c>
      <c r="K915" s="4" t="n">
        <v>1</v>
      </c>
      <c r="L915" s="12" t="n">
        <v>0.258685</v>
      </c>
      <c r="M915" s="12" t="n">
        <v>0.092063</v>
      </c>
      <c r="N915" s="12" t="n">
        <v>0.119485</v>
      </c>
      <c r="O915" s="12" t="n">
        <v>0.106183</v>
      </c>
      <c r="P915" s="12" t="n">
        <v>0.127486</v>
      </c>
      <c r="Q915" s="0" t="str">
        <f aca="false">IF(L915&gt;=Models!$G$5,1+COUNTIF($L$5:$L$1517,"&gt;"&amp;L915)+COUNTIFS($L$5:$L$1517,L915,$B$5:$B$1517,"&lt;"&amp;B915)+COUNTIFS($L$5:$L$1517,L915,$B$5:$B$1517,B915,$C$5:$C$1517,"&lt;"&amp;C915),"")</f>
        <v/>
      </c>
      <c r="R915" s="0" t="str">
        <f aca="false">IF(M915&gt;=Models!$G$6,1+COUNTIF($M$5:$M$1517,"&gt;"&amp;M915)+COUNTIFS($M$5:$M$1517,M915,$B$5:$B$1517,"&lt;"&amp;B915)+COUNTIFS($M$5:$M$1517,M915,$B$5:$B$1517,B915,$C$5:$C$1517,"&lt;"&amp;C915),"")</f>
        <v/>
      </c>
      <c r="S915" s="0" t="str">
        <f aca="false">IF(N915&gt;=Models!$G$7,1+COUNTIF($N$5:$N$1517,"&gt;"&amp;N915)+COUNTIFS($N$5:$N$1517,N915,$B$5:$B$1517,"&lt;"&amp;B915)+COUNTIFS($N$5:$N$1517,N915,$B$5:$B$1517,B915,$C$5:$C$1517,"&lt;"&amp;C915),"")</f>
        <v/>
      </c>
      <c r="T915" s="8" t="n">
        <f aca="false">IF(O915&gt;=Models!$G$8,1+COUNTIF($O$5:$O$1517,"&gt;"&amp;O915)+COUNTIFS($O$5:$O$1517,O915,$B$5:$B$1517,"&lt;"&amp;B915)+COUNTIFS($O$5:$O$1517,O915,$B$5:$B$1517,B915,$C$5:$C$1517,"&lt;"&amp;C915),"")</f>
        <v>709</v>
      </c>
      <c r="U915" s="8" t="n">
        <f aca="false">IF($K915=1,COUNTIFS($L$5:$L$1517,"&gt;="&amp;L915,$K$5:$K$1517,1)/COUNTIF($L$5:$L$1517,"&gt;="&amp;L915),0)</f>
        <v>0.128623188405797</v>
      </c>
      <c r="V915" s="8" t="n">
        <f aca="false">IF($K915=1,COUNTIFS($M$5:$M$1517,"&gt;="&amp;M915,$K$5:$K$1517,1)/COUNTIF($M$5:$M$1517,"&gt;="&amp;M915),0)</f>
        <v>0.12491738268341</v>
      </c>
      <c r="W915" s="8" t="n">
        <f aca="false">IF($K915=1,COUNTIFS($N$5:$N$1517,"&gt;="&amp;N915,$K$5:$K$1517,1)/COUNTIF($N$5:$N$1517,"&gt;="&amp;N915),0)</f>
        <v>0.225806451612903</v>
      </c>
      <c r="X915" s="8" t="n">
        <f aca="false">IF($K915=1,COUNTIFS($O$5:$O$1517,"&gt;="&amp;O915,$K$5:$K$1517,1)/COUNTIF($O$5:$O$1517,"&gt;="&amp;O915),0)</f>
        <v>0.12491738268341</v>
      </c>
      <c r="Y915" s="8" t="n">
        <f aca="false">IF($K915=1,COUNTIFS($P$5:$P$1517,"&gt;="&amp;P915,$K$5:$K$1517,1)/COUNTIF($P$5:$P$1517,"&gt;="&amp;P915),0)</f>
        <v>0.225806451612903</v>
      </c>
      <c r="Z915" s="8" t="n">
        <f aca="false">(L915-$K915)^2</f>
        <v>0.549547929225</v>
      </c>
      <c r="AA915" s="8" t="n">
        <f aca="false">(M915-$K915)^2</f>
        <v>0.824349595969</v>
      </c>
      <c r="AB915" s="8" t="n">
        <f aca="false">(N915-$K915)^2</f>
        <v>0.775306665225</v>
      </c>
      <c r="AC915" s="8" t="n">
        <f aca="false">(O915-$K915)^2</f>
        <v>0.798908829489</v>
      </c>
      <c r="AD915" s="8" t="n">
        <f aca="false">(P915-$K915)^2</f>
        <v>0.761280680196</v>
      </c>
      <c r="AE915" s="8" t="n">
        <f aca="false">MIN(INT(ROUND(N915*1000000,0)/100000),9)</f>
        <v>1</v>
      </c>
      <c r="AF915" s="8" t="n">
        <f aca="false">MIN(INT(ROUND(P915*1000000,0)/100000),9)</f>
        <v>1</v>
      </c>
    </row>
    <row r="916" customFormat="false" ht="15" hidden="false" customHeight="false" outlineLevel="0" collapsed="false">
      <c r="A916" s="4" t="n">
        <v>912</v>
      </c>
      <c r="B916" s="4" t="n">
        <v>918</v>
      </c>
      <c r="C916" s="4" t="n">
        <v>2</v>
      </c>
      <c r="D916" s="11" t="n">
        <v>46113</v>
      </c>
      <c r="E916" s="4" t="s">
        <v>203</v>
      </c>
      <c r="F916" s="4" t="s">
        <v>209</v>
      </c>
      <c r="G916" s="4" t="n">
        <v>2</v>
      </c>
      <c r="H916" s="4" t="n">
        <v>6</v>
      </c>
      <c r="I916" s="4" t="n">
        <v>0</v>
      </c>
      <c r="J916" s="4" t="n">
        <v>384</v>
      </c>
      <c r="K916" s="4" t="n">
        <v>0</v>
      </c>
      <c r="L916" s="12" t="n">
        <v>0.203471</v>
      </c>
      <c r="M916" s="12" t="n">
        <v>0.092063</v>
      </c>
      <c r="N916" s="12" t="n">
        <v>0.140738</v>
      </c>
      <c r="O916" s="12" t="n">
        <v>0.106183</v>
      </c>
      <c r="P916" s="12" t="n">
        <v>0.151064</v>
      </c>
      <c r="Q916" s="0" t="str">
        <f aca="false">IF(L916&gt;=Models!$G$5,1+COUNTIF($L$5:$L$1517,"&gt;"&amp;L916)+COUNTIFS($L$5:$L$1517,L916,$B$5:$B$1517,"&lt;"&amp;B916)+COUNTIFS($L$5:$L$1517,L916,$B$5:$B$1517,B916,$C$5:$C$1517,"&lt;"&amp;C916),"")</f>
        <v/>
      </c>
      <c r="R916" s="0" t="str">
        <f aca="false">IF(M916&gt;=Models!$G$6,1+COUNTIF($M$5:$M$1517,"&gt;"&amp;M916)+COUNTIFS($M$5:$M$1517,M916,$B$5:$B$1517,"&lt;"&amp;B916)+COUNTIFS($M$5:$M$1517,M916,$B$5:$B$1517,B916,$C$5:$C$1517,"&lt;"&amp;C916),"")</f>
        <v/>
      </c>
      <c r="S916" s="0" t="str">
        <f aca="false">IF(N916&gt;=Models!$G$7,1+COUNTIF($N$5:$N$1517,"&gt;"&amp;N916)+COUNTIFS($N$5:$N$1517,N916,$B$5:$B$1517,"&lt;"&amp;B916)+COUNTIFS($N$5:$N$1517,N916,$B$5:$B$1517,B916,$C$5:$C$1517,"&lt;"&amp;C916),"")</f>
        <v/>
      </c>
      <c r="T916" s="8" t="n">
        <f aca="false">IF(O916&gt;=Models!$G$8,1+COUNTIF($O$5:$O$1517,"&gt;"&amp;O916)+COUNTIFS($O$5:$O$1517,O916,$B$5:$B$1517,"&lt;"&amp;B916)+COUNTIFS($O$5:$O$1517,O916,$B$5:$B$1517,B916,$C$5:$C$1517,"&lt;"&amp;C916),"")</f>
        <v>714</v>
      </c>
      <c r="U916" s="8" t="n">
        <f aca="false">IF($K916=1,COUNTIFS($L$5:$L$1517,"&gt;="&amp;L916,$K$5:$K$1517,1)/COUNTIF($L$5:$L$1517,"&gt;="&amp;L916),0)</f>
        <v>0</v>
      </c>
      <c r="V916" s="8" t="n">
        <f aca="false">IF($K916=1,COUNTIFS($M$5:$M$1517,"&gt;="&amp;M916,$K$5:$K$1517,1)/COUNTIF($M$5:$M$1517,"&gt;="&amp;M916),0)</f>
        <v>0</v>
      </c>
      <c r="W916" s="8" t="n">
        <f aca="false">IF($K916=1,COUNTIFS($N$5:$N$1517,"&gt;="&amp;N916,$K$5:$K$1517,1)/COUNTIF($N$5:$N$1517,"&gt;="&amp;N916),0)</f>
        <v>0</v>
      </c>
      <c r="X916" s="8" t="n">
        <f aca="false">IF($K916=1,COUNTIFS($O$5:$O$1517,"&gt;="&amp;O916,$K$5:$K$1517,1)/COUNTIF($O$5:$O$1517,"&gt;="&amp;O916),0)</f>
        <v>0</v>
      </c>
      <c r="Y916" s="8" t="n">
        <f aca="false">IF($K916=1,COUNTIFS($P$5:$P$1517,"&gt;="&amp;P916,$K$5:$K$1517,1)/COUNTIF($P$5:$P$1517,"&gt;="&amp;P916),0)</f>
        <v>0</v>
      </c>
      <c r="Z916" s="8" t="n">
        <f aca="false">(L916-$K916)^2</f>
        <v>0.041400447841</v>
      </c>
      <c r="AA916" s="8" t="n">
        <f aca="false">(M916-$K916)^2</f>
        <v>0.008475595969</v>
      </c>
      <c r="AB916" s="8" t="n">
        <f aca="false">(N916-$K916)^2</f>
        <v>0.019807184644</v>
      </c>
      <c r="AC916" s="8" t="n">
        <f aca="false">(O916-$K916)^2</f>
        <v>0.011274829489</v>
      </c>
      <c r="AD916" s="8" t="n">
        <f aca="false">(P916-$K916)^2</f>
        <v>0.022820332096</v>
      </c>
      <c r="AE916" s="8" t="n">
        <f aca="false">MIN(INT(ROUND(N916*1000000,0)/100000),9)</f>
        <v>1</v>
      </c>
      <c r="AF916" s="8" t="n">
        <f aca="false">MIN(INT(ROUND(P916*1000000,0)/100000),9)</f>
        <v>1</v>
      </c>
    </row>
    <row r="917" customFormat="false" ht="15" hidden="false" customHeight="false" outlineLevel="0" collapsed="false">
      <c r="A917" s="4" t="n">
        <v>913</v>
      </c>
      <c r="B917" s="4" t="n">
        <v>920</v>
      </c>
      <c r="C917" s="4" t="n">
        <v>2</v>
      </c>
      <c r="D917" s="11" t="n">
        <v>46113</v>
      </c>
      <c r="E917" s="4" t="s">
        <v>202</v>
      </c>
      <c r="F917" s="4" t="s">
        <v>206</v>
      </c>
      <c r="G917" s="4" t="n">
        <v>12</v>
      </c>
      <c r="H917" s="4" t="n">
        <v>0</v>
      </c>
      <c r="I917" s="4" t="n">
        <v>1</v>
      </c>
      <c r="J917" s="4" t="n">
        <v>813</v>
      </c>
      <c r="K917" s="4" t="n">
        <v>0</v>
      </c>
      <c r="L917" s="12" t="n">
        <v>0.679657</v>
      </c>
      <c r="M917" s="12" t="n">
        <v>0.184211</v>
      </c>
      <c r="N917" s="12" t="n">
        <v>0.100911</v>
      </c>
      <c r="O917" s="12" t="n">
        <v>0.106183</v>
      </c>
      <c r="P917" s="12" t="n">
        <v>0.106955</v>
      </c>
      <c r="Q917" s="0" t="str">
        <f aca="false">IF(L917&gt;=Models!$G$5,1+COUNTIF($L$5:$L$1517,"&gt;"&amp;L917)+COUNTIFS($L$5:$L$1517,L917,$B$5:$B$1517,"&lt;"&amp;B917)+COUNTIFS($L$5:$L$1517,L917,$B$5:$B$1517,B917,$C$5:$C$1517,"&lt;"&amp;C917),"")</f>
        <v/>
      </c>
      <c r="R917" s="8" t="n">
        <f aca="false">IF(M917&gt;=Models!$G$6,1+COUNTIF($M$5:$M$1517,"&gt;"&amp;M917)+COUNTIFS($M$5:$M$1517,M917,$B$5:$B$1517,"&lt;"&amp;B917)+COUNTIFS($M$5:$M$1517,M917,$B$5:$B$1517,B917,$C$5:$C$1517,"&lt;"&amp;C917),"")</f>
        <v>79</v>
      </c>
      <c r="S917" s="0" t="str">
        <f aca="false">IF(N917&gt;=Models!$G$7,1+COUNTIF($N$5:$N$1517,"&gt;"&amp;N917)+COUNTIFS($N$5:$N$1517,N917,$B$5:$B$1517,"&lt;"&amp;B917)+COUNTIFS($N$5:$N$1517,N917,$B$5:$B$1517,B917,$C$5:$C$1517,"&lt;"&amp;C917),"")</f>
        <v/>
      </c>
      <c r="T917" s="8" t="n">
        <f aca="false">IF(O917&gt;=Models!$G$8,1+COUNTIF($O$5:$O$1517,"&gt;"&amp;O917)+COUNTIFS($O$5:$O$1517,O917,$B$5:$B$1517,"&lt;"&amp;B917)+COUNTIFS($O$5:$O$1517,O917,$B$5:$B$1517,B917,$C$5:$C$1517,"&lt;"&amp;C917),"")</f>
        <v>718</v>
      </c>
      <c r="U917" s="8" t="n">
        <f aca="false">IF($K917=1,COUNTIFS($L$5:$L$1517,"&gt;="&amp;L917,$K$5:$K$1517,1)/COUNTIF($L$5:$L$1517,"&gt;="&amp;L917),0)</f>
        <v>0</v>
      </c>
      <c r="V917" s="8" t="n">
        <f aca="false">IF($K917=1,COUNTIFS($M$5:$M$1517,"&gt;="&amp;M917,$K$5:$K$1517,1)/COUNTIF($M$5:$M$1517,"&gt;="&amp;M917),0)</f>
        <v>0</v>
      </c>
      <c r="W917" s="8" t="n">
        <f aca="false">IF($K917=1,COUNTIFS($N$5:$N$1517,"&gt;="&amp;N917,$K$5:$K$1517,1)/COUNTIF($N$5:$N$1517,"&gt;="&amp;N917),0)</f>
        <v>0</v>
      </c>
      <c r="X917" s="8" t="n">
        <f aca="false">IF($K917=1,COUNTIFS($O$5:$O$1517,"&gt;="&amp;O917,$K$5:$K$1517,1)/COUNTIF($O$5:$O$1517,"&gt;="&amp;O917),0)</f>
        <v>0</v>
      </c>
      <c r="Y917" s="8" t="n">
        <f aca="false">IF($K917=1,COUNTIFS($P$5:$P$1517,"&gt;="&amp;P917,$K$5:$K$1517,1)/COUNTIF($P$5:$P$1517,"&gt;="&amp;P917),0)</f>
        <v>0</v>
      </c>
      <c r="Z917" s="8" t="n">
        <f aca="false">(L917-$K917)^2</f>
        <v>0.461933637649</v>
      </c>
      <c r="AA917" s="8" t="n">
        <f aca="false">(M917-$K917)^2</f>
        <v>0.033933692521</v>
      </c>
      <c r="AB917" s="8" t="n">
        <f aca="false">(N917-$K917)^2</f>
        <v>0.010183029921</v>
      </c>
      <c r="AC917" s="8" t="n">
        <f aca="false">(O917-$K917)^2</f>
        <v>0.011274829489</v>
      </c>
      <c r="AD917" s="8" t="n">
        <f aca="false">(P917-$K917)^2</f>
        <v>0.011439372025</v>
      </c>
      <c r="AE917" s="8" t="n">
        <f aca="false">MIN(INT(ROUND(N917*1000000,0)/100000),9)</f>
        <v>1</v>
      </c>
      <c r="AF917" s="8" t="n">
        <f aca="false">MIN(INT(ROUND(P917*1000000,0)/100000),9)</f>
        <v>1</v>
      </c>
    </row>
    <row r="918" customFormat="false" ht="15" hidden="false" customHeight="false" outlineLevel="0" collapsed="false">
      <c r="A918" s="4" t="n">
        <v>914</v>
      </c>
      <c r="B918" s="4" t="n">
        <v>926</v>
      </c>
      <c r="C918" s="4" t="n">
        <v>2</v>
      </c>
      <c r="D918" s="11" t="n">
        <v>46113</v>
      </c>
      <c r="E918" s="4" t="s">
        <v>204</v>
      </c>
      <c r="F918" s="4" t="s">
        <v>206</v>
      </c>
      <c r="G918" s="4" t="n">
        <v>7</v>
      </c>
      <c r="H918" s="4" t="n">
        <v>1</v>
      </c>
      <c r="I918" s="4" t="n">
        <v>0</v>
      </c>
      <c r="J918" s="4" t="n">
        <v>224.4</v>
      </c>
      <c r="K918" s="4" t="n">
        <v>0</v>
      </c>
      <c r="L918" s="12" t="n">
        <v>0.318674</v>
      </c>
      <c r="M918" s="12" t="n">
        <v>0.092063</v>
      </c>
      <c r="N918" s="12" t="n">
        <v>0.091884</v>
      </c>
      <c r="O918" s="12" t="n">
        <v>0.106183</v>
      </c>
      <c r="P918" s="12" t="n">
        <v>0.097013</v>
      </c>
      <c r="Q918" s="0" t="str">
        <f aca="false">IF(L918&gt;=Models!$G$5,1+COUNTIF($L$5:$L$1517,"&gt;"&amp;L918)+COUNTIFS($L$5:$L$1517,L918,$B$5:$B$1517,"&lt;"&amp;B918)+COUNTIFS($L$5:$L$1517,L918,$B$5:$B$1517,B918,$C$5:$C$1517,"&lt;"&amp;C918),"")</f>
        <v/>
      </c>
      <c r="R918" s="0" t="str">
        <f aca="false">IF(M918&gt;=Models!$G$6,1+COUNTIF($M$5:$M$1517,"&gt;"&amp;M918)+COUNTIFS($M$5:$M$1517,M918,$B$5:$B$1517,"&lt;"&amp;B918)+COUNTIFS($M$5:$M$1517,M918,$B$5:$B$1517,B918,$C$5:$C$1517,"&lt;"&amp;C918),"")</f>
        <v/>
      </c>
      <c r="S918" s="0" t="str">
        <f aca="false">IF(N918&gt;=Models!$G$7,1+COUNTIF($N$5:$N$1517,"&gt;"&amp;N918)+COUNTIFS($N$5:$N$1517,N918,$B$5:$B$1517,"&lt;"&amp;B918)+COUNTIFS($N$5:$N$1517,N918,$B$5:$B$1517,B918,$C$5:$C$1517,"&lt;"&amp;C918),"")</f>
        <v/>
      </c>
      <c r="T918" s="8" t="n">
        <f aca="false">IF(O918&gt;=Models!$G$8,1+COUNTIF($O$5:$O$1517,"&gt;"&amp;O918)+COUNTIFS($O$5:$O$1517,O918,$B$5:$B$1517,"&lt;"&amp;B918)+COUNTIFS($O$5:$O$1517,O918,$B$5:$B$1517,B918,$C$5:$C$1517,"&lt;"&amp;C918),"")</f>
        <v>722</v>
      </c>
      <c r="U918" s="8" t="n">
        <f aca="false">IF($K918=1,COUNTIFS($L$5:$L$1517,"&gt;="&amp;L918,$K$5:$K$1517,1)/COUNTIF($L$5:$L$1517,"&gt;="&amp;L918),0)</f>
        <v>0</v>
      </c>
      <c r="V918" s="8" t="n">
        <f aca="false">IF($K918=1,COUNTIFS($M$5:$M$1517,"&gt;="&amp;M918,$K$5:$K$1517,1)/COUNTIF($M$5:$M$1517,"&gt;="&amp;M918),0)</f>
        <v>0</v>
      </c>
      <c r="W918" s="8" t="n">
        <f aca="false">IF($K918=1,COUNTIFS($N$5:$N$1517,"&gt;="&amp;N918,$K$5:$K$1517,1)/COUNTIF($N$5:$N$1517,"&gt;="&amp;N918),0)</f>
        <v>0</v>
      </c>
      <c r="X918" s="8" t="n">
        <f aca="false">IF($K918=1,COUNTIFS($O$5:$O$1517,"&gt;="&amp;O918,$K$5:$K$1517,1)/COUNTIF($O$5:$O$1517,"&gt;="&amp;O918),0)</f>
        <v>0</v>
      </c>
      <c r="Y918" s="8" t="n">
        <f aca="false">IF($K918=1,COUNTIFS($P$5:$P$1517,"&gt;="&amp;P918,$K$5:$K$1517,1)/COUNTIF($P$5:$P$1517,"&gt;="&amp;P918),0)</f>
        <v>0</v>
      </c>
      <c r="Z918" s="8" t="n">
        <f aca="false">(L918-$K918)^2</f>
        <v>0.101553118276</v>
      </c>
      <c r="AA918" s="8" t="n">
        <f aca="false">(M918-$K918)^2</f>
        <v>0.008475595969</v>
      </c>
      <c r="AB918" s="8" t="n">
        <f aca="false">(N918-$K918)^2</f>
        <v>0.008442669456</v>
      </c>
      <c r="AC918" s="8" t="n">
        <f aca="false">(O918-$K918)^2</f>
        <v>0.011274829489</v>
      </c>
      <c r="AD918" s="8" t="n">
        <f aca="false">(P918-$K918)^2</f>
        <v>0.009411522169</v>
      </c>
      <c r="AE918" s="8" t="n">
        <f aca="false">MIN(INT(ROUND(N918*1000000,0)/100000),9)</f>
        <v>0</v>
      </c>
      <c r="AF918" s="8" t="n">
        <f aca="false">MIN(INT(ROUND(P918*1000000,0)/100000),9)</f>
        <v>0</v>
      </c>
    </row>
    <row r="919" customFormat="false" ht="15" hidden="false" customHeight="false" outlineLevel="0" collapsed="false">
      <c r="A919" s="4" t="n">
        <v>915</v>
      </c>
      <c r="B919" s="4" t="n">
        <v>930</v>
      </c>
      <c r="C919" s="4" t="n">
        <v>2</v>
      </c>
      <c r="D919" s="11" t="n">
        <v>46113</v>
      </c>
      <c r="E919" s="4" t="s">
        <v>204</v>
      </c>
      <c r="F919" s="4" t="s">
        <v>208</v>
      </c>
      <c r="G919" s="4" t="n">
        <v>4</v>
      </c>
      <c r="H919" s="4" t="n">
        <v>0</v>
      </c>
      <c r="I919" s="4" t="n">
        <v>0</v>
      </c>
      <c r="J919" s="4" t="n">
        <v>117</v>
      </c>
      <c r="K919" s="4" t="n">
        <v>0</v>
      </c>
      <c r="L919" s="12" t="n">
        <v>0.928815</v>
      </c>
      <c r="M919" s="12" t="n">
        <v>0.092063</v>
      </c>
      <c r="N919" s="12" t="n">
        <v>0.116827</v>
      </c>
      <c r="O919" s="12" t="n">
        <v>0.106183</v>
      </c>
      <c r="P919" s="12" t="n">
        <v>0.124543</v>
      </c>
      <c r="Q919" s="0" t="str">
        <f aca="false">IF(L919&gt;=Models!$G$5,1+COUNTIF($L$5:$L$1517,"&gt;"&amp;L919)+COUNTIFS($L$5:$L$1517,L919,$B$5:$B$1517,"&lt;"&amp;B919)+COUNTIFS($L$5:$L$1517,L919,$B$5:$B$1517,B919,$C$5:$C$1517,"&lt;"&amp;C919),"")</f>
        <v/>
      </c>
      <c r="R919" s="0" t="str">
        <f aca="false">IF(M919&gt;=Models!$G$6,1+COUNTIF($M$5:$M$1517,"&gt;"&amp;M919)+COUNTIFS($M$5:$M$1517,M919,$B$5:$B$1517,"&lt;"&amp;B919)+COUNTIFS($M$5:$M$1517,M919,$B$5:$B$1517,B919,$C$5:$C$1517,"&lt;"&amp;C919),"")</f>
        <v/>
      </c>
      <c r="S919" s="0" t="str">
        <f aca="false">IF(N919&gt;=Models!$G$7,1+COUNTIF($N$5:$N$1517,"&gt;"&amp;N919)+COUNTIFS($N$5:$N$1517,N919,$B$5:$B$1517,"&lt;"&amp;B919)+COUNTIFS($N$5:$N$1517,N919,$B$5:$B$1517,B919,$C$5:$C$1517,"&lt;"&amp;C919),"")</f>
        <v/>
      </c>
      <c r="T919" s="8" t="n">
        <f aca="false">IF(O919&gt;=Models!$G$8,1+COUNTIF($O$5:$O$1517,"&gt;"&amp;O919)+COUNTIFS($O$5:$O$1517,O919,$B$5:$B$1517,"&lt;"&amp;B919)+COUNTIFS($O$5:$O$1517,O919,$B$5:$B$1517,B919,$C$5:$C$1517,"&lt;"&amp;C919),"")</f>
        <v>726</v>
      </c>
      <c r="U919" s="8" t="n">
        <f aca="false">IF($K919=1,COUNTIFS($L$5:$L$1517,"&gt;="&amp;L919,$K$5:$K$1517,1)/COUNTIF($L$5:$L$1517,"&gt;="&amp;L919),0)</f>
        <v>0</v>
      </c>
      <c r="V919" s="8" t="n">
        <f aca="false">IF($K919=1,COUNTIFS($M$5:$M$1517,"&gt;="&amp;M919,$K$5:$K$1517,1)/COUNTIF($M$5:$M$1517,"&gt;="&amp;M919),0)</f>
        <v>0</v>
      </c>
      <c r="W919" s="8" t="n">
        <f aca="false">IF($K919=1,COUNTIFS($N$5:$N$1517,"&gt;="&amp;N919,$K$5:$K$1517,1)/COUNTIF($N$5:$N$1517,"&gt;="&amp;N919),0)</f>
        <v>0</v>
      </c>
      <c r="X919" s="8" t="n">
        <f aca="false">IF($K919=1,COUNTIFS($O$5:$O$1517,"&gt;="&amp;O919,$K$5:$K$1517,1)/COUNTIF($O$5:$O$1517,"&gt;="&amp;O919),0)</f>
        <v>0</v>
      </c>
      <c r="Y919" s="8" t="n">
        <f aca="false">IF($K919=1,COUNTIFS($P$5:$P$1517,"&gt;="&amp;P919,$K$5:$K$1517,1)/COUNTIF($P$5:$P$1517,"&gt;="&amp;P919),0)</f>
        <v>0</v>
      </c>
      <c r="Z919" s="8" t="n">
        <f aca="false">(L919-$K919)^2</f>
        <v>0.862697304225</v>
      </c>
      <c r="AA919" s="8" t="n">
        <f aca="false">(M919-$K919)^2</f>
        <v>0.008475595969</v>
      </c>
      <c r="AB919" s="8" t="n">
        <f aca="false">(N919-$K919)^2</f>
        <v>0.013648547929</v>
      </c>
      <c r="AC919" s="8" t="n">
        <f aca="false">(O919-$K919)^2</f>
        <v>0.011274829489</v>
      </c>
      <c r="AD919" s="8" t="n">
        <f aca="false">(P919-$K919)^2</f>
        <v>0.015510958849</v>
      </c>
      <c r="AE919" s="8" t="n">
        <f aca="false">MIN(INT(ROUND(N919*1000000,0)/100000),9)</f>
        <v>1</v>
      </c>
      <c r="AF919" s="8" t="n">
        <f aca="false">MIN(INT(ROUND(P919*1000000,0)/100000),9)</f>
        <v>1</v>
      </c>
    </row>
    <row r="920" customFormat="false" ht="15" hidden="false" customHeight="false" outlineLevel="0" collapsed="false">
      <c r="A920" s="4" t="n">
        <v>916</v>
      </c>
      <c r="B920" s="4" t="n">
        <v>934</v>
      </c>
      <c r="C920" s="4" t="n">
        <v>2</v>
      </c>
      <c r="D920" s="11" t="n">
        <v>46113</v>
      </c>
      <c r="E920" s="4" t="s">
        <v>204</v>
      </c>
      <c r="F920" s="4" t="s">
        <v>206</v>
      </c>
      <c r="G920" s="4" t="n">
        <v>5</v>
      </c>
      <c r="H920" s="4" t="n">
        <v>0</v>
      </c>
      <c r="I920" s="4" t="n">
        <v>0</v>
      </c>
      <c r="J920" s="4" t="n">
        <v>326.4</v>
      </c>
      <c r="K920" s="4" t="n">
        <v>0</v>
      </c>
      <c r="L920" s="12" t="n">
        <v>0.522733</v>
      </c>
      <c r="M920" s="12" t="n">
        <v>0.092063</v>
      </c>
      <c r="N920" s="12" t="n">
        <v>0.106693</v>
      </c>
      <c r="O920" s="12" t="n">
        <v>0.106183</v>
      </c>
      <c r="P920" s="12" t="n">
        <v>0.113336</v>
      </c>
      <c r="Q920" s="0" t="str">
        <f aca="false">IF(L920&gt;=Models!$G$5,1+COUNTIF($L$5:$L$1517,"&gt;"&amp;L920)+COUNTIFS($L$5:$L$1517,L920,$B$5:$B$1517,"&lt;"&amp;B920)+COUNTIFS($L$5:$L$1517,L920,$B$5:$B$1517,B920,$C$5:$C$1517,"&lt;"&amp;C920),"")</f>
        <v/>
      </c>
      <c r="R920" s="0" t="str">
        <f aca="false">IF(M920&gt;=Models!$G$6,1+COUNTIF($M$5:$M$1517,"&gt;"&amp;M920)+COUNTIFS($M$5:$M$1517,M920,$B$5:$B$1517,"&lt;"&amp;B920)+COUNTIFS($M$5:$M$1517,M920,$B$5:$B$1517,B920,$C$5:$C$1517,"&lt;"&amp;C920),"")</f>
        <v/>
      </c>
      <c r="S920" s="0" t="str">
        <f aca="false">IF(N920&gt;=Models!$G$7,1+COUNTIF($N$5:$N$1517,"&gt;"&amp;N920)+COUNTIFS($N$5:$N$1517,N920,$B$5:$B$1517,"&lt;"&amp;B920)+COUNTIFS($N$5:$N$1517,N920,$B$5:$B$1517,B920,$C$5:$C$1517,"&lt;"&amp;C920),"")</f>
        <v/>
      </c>
      <c r="T920" s="8" t="n">
        <f aca="false">IF(O920&gt;=Models!$G$8,1+COUNTIF($O$5:$O$1517,"&gt;"&amp;O920)+COUNTIFS($O$5:$O$1517,O920,$B$5:$B$1517,"&lt;"&amp;B920)+COUNTIFS($O$5:$O$1517,O920,$B$5:$B$1517,B920,$C$5:$C$1517,"&lt;"&amp;C920),"")</f>
        <v>730</v>
      </c>
      <c r="U920" s="8" t="n">
        <f aca="false">IF($K920=1,COUNTIFS($L$5:$L$1517,"&gt;="&amp;L920,$K$5:$K$1517,1)/COUNTIF($L$5:$L$1517,"&gt;="&amp;L920),0)</f>
        <v>0</v>
      </c>
      <c r="V920" s="8" t="n">
        <f aca="false">IF($K920=1,COUNTIFS($M$5:$M$1517,"&gt;="&amp;M920,$K$5:$K$1517,1)/COUNTIF($M$5:$M$1517,"&gt;="&amp;M920),0)</f>
        <v>0</v>
      </c>
      <c r="W920" s="8" t="n">
        <f aca="false">IF($K920=1,COUNTIFS($N$5:$N$1517,"&gt;="&amp;N920,$K$5:$K$1517,1)/COUNTIF($N$5:$N$1517,"&gt;="&amp;N920),0)</f>
        <v>0</v>
      </c>
      <c r="X920" s="8" t="n">
        <f aca="false">IF($K920=1,COUNTIFS($O$5:$O$1517,"&gt;="&amp;O920,$K$5:$K$1517,1)/COUNTIF($O$5:$O$1517,"&gt;="&amp;O920),0)</f>
        <v>0</v>
      </c>
      <c r="Y920" s="8" t="n">
        <f aca="false">IF($K920=1,COUNTIFS($P$5:$P$1517,"&gt;="&amp;P920,$K$5:$K$1517,1)/COUNTIF($P$5:$P$1517,"&gt;="&amp;P920),0)</f>
        <v>0</v>
      </c>
      <c r="Z920" s="8" t="n">
        <f aca="false">(L920-$K920)^2</f>
        <v>0.273249789289</v>
      </c>
      <c r="AA920" s="8" t="n">
        <f aca="false">(M920-$K920)^2</f>
        <v>0.008475595969</v>
      </c>
      <c r="AB920" s="8" t="n">
        <f aca="false">(N920-$K920)^2</f>
        <v>0.011383396249</v>
      </c>
      <c r="AC920" s="8" t="n">
        <f aca="false">(O920-$K920)^2</f>
        <v>0.011274829489</v>
      </c>
      <c r="AD920" s="8" t="n">
        <f aca="false">(P920-$K920)^2</f>
        <v>0.012845048896</v>
      </c>
      <c r="AE920" s="8" t="n">
        <f aca="false">MIN(INT(ROUND(N920*1000000,0)/100000),9)</f>
        <v>1</v>
      </c>
      <c r="AF920" s="8" t="n">
        <f aca="false">MIN(INT(ROUND(P920*1000000,0)/100000),9)</f>
        <v>1</v>
      </c>
    </row>
    <row r="921" customFormat="false" ht="15" hidden="false" customHeight="false" outlineLevel="0" collapsed="false">
      <c r="A921" s="4" t="n">
        <v>917</v>
      </c>
      <c r="B921" s="4" t="n">
        <v>935</v>
      </c>
      <c r="C921" s="4" t="n">
        <v>2</v>
      </c>
      <c r="D921" s="11" t="n">
        <v>46113</v>
      </c>
      <c r="E921" s="4" t="s">
        <v>201</v>
      </c>
      <c r="F921" s="4" t="s">
        <v>208</v>
      </c>
      <c r="G921" s="4" t="n">
        <v>24</v>
      </c>
      <c r="H921" s="4" t="n">
        <v>4</v>
      </c>
      <c r="I921" s="4" t="n">
        <v>0</v>
      </c>
      <c r="J921" s="4" t="n">
        <v>29488.2</v>
      </c>
      <c r="K921" s="4" t="n">
        <v>0</v>
      </c>
      <c r="L921" s="12" t="n">
        <v>0.188099</v>
      </c>
      <c r="M921" s="12" t="n">
        <v>0.092063</v>
      </c>
      <c r="N921" s="12" t="n">
        <v>0.004089</v>
      </c>
      <c r="O921" s="12" t="n">
        <v>0.106183</v>
      </c>
      <c r="P921" s="12" t="n">
        <v>0.003729</v>
      </c>
      <c r="Q921" s="0" t="str">
        <f aca="false">IF(L921&gt;=Models!$G$5,1+COUNTIF($L$5:$L$1517,"&gt;"&amp;L921)+COUNTIFS($L$5:$L$1517,L921,$B$5:$B$1517,"&lt;"&amp;B921)+COUNTIFS($L$5:$L$1517,L921,$B$5:$B$1517,B921,$C$5:$C$1517,"&lt;"&amp;C921),"")</f>
        <v/>
      </c>
      <c r="R921" s="0" t="str">
        <f aca="false">IF(M921&gt;=Models!$G$6,1+COUNTIF($M$5:$M$1517,"&gt;"&amp;M921)+COUNTIFS($M$5:$M$1517,M921,$B$5:$B$1517,"&lt;"&amp;B921)+COUNTIFS($M$5:$M$1517,M921,$B$5:$B$1517,B921,$C$5:$C$1517,"&lt;"&amp;C921),"")</f>
        <v/>
      </c>
      <c r="S921" s="0" t="str">
        <f aca="false">IF(N921&gt;=Models!$G$7,1+COUNTIF($N$5:$N$1517,"&gt;"&amp;N921)+COUNTIFS($N$5:$N$1517,N921,$B$5:$B$1517,"&lt;"&amp;B921)+COUNTIFS($N$5:$N$1517,N921,$B$5:$B$1517,B921,$C$5:$C$1517,"&lt;"&amp;C921),"")</f>
        <v/>
      </c>
      <c r="T921" s="8" t="n">
        <f aca="false">IF(O921&gt;=Models!$G$8,1+COUNTIF($O$5:$O$1517,"&gt;"&amp;O921)+COUNTIFS($O$5:$O$1517,O921,$B$5:$B$1517,"&lt;"&amp;B921)+COUNTIFS($O$5:$O$1517,O921,$B$5:$B$1517,B921,$C$5:$C$1517,"&lt;"&amp;C921),"")</f>
        <v>734</v>
      </c>
      <c r="U921" s="8" t="n">
        <f aca="false">IF($K921=1,COUNTIFS($L$5:$L$1517,"&gt;="&amp;L921,$K$5:$K$1517,1)/COUNTIF($L$5:$L$1517,"&gt;="&amp;L921),0)</f>
        <v>0</v>
      </c>
      <c r="V921" s="8" t="n">
        <f aca="false">IF($K921=1,COUNTIFS($M$5:$M$1517,"&gt;="&amp;M921,$K$5:$K$1517,1)/COUNTIF($M$5:$M$1517,"&gt;="&amp;M921),0)</f>
        <v>0</v>
      </c>
      <c r="W921" s="8" t="n">
        <f aca="false">IF($K921=1,COUNTIFS($N$5:$N$1517,"&gt;="&amp;N921,$K$5:$K$1517,1)/COUNTIF($N$5:$N$1517,"&gt;="&amp;N921),0)</f>
        <v>0</v>
      </c>
      <c r="X921" s="8" t="n">
        <f aca="false">IF($K921=1,COUNTIFS($O$5:$O$1517,"&gt;="&amp;O921,$K$5:$K$1517,1)/COUNTIF($O$5:$O$1517,"&gt;="&amp;O921),0)</f>
        <v>0</v>
      </c>
      <c r="Y921" s="8" t="n">
        <f aca="false">IF($K921=1,COUNTIFS($P$5:$P$1517,"&gt;="&amp;P921,$K$5:$K$1517,1)/COUNTIF($P$5:$P$1517,"&gt;="&amp;P921),0)</f>
        <v>0</v>
      </c>
      <c r="Z921" s="8" t="n">
        <f aca="false">(L921-$K921)^2</f>
        <v>0.035381233801</v>
      </c>
      <c r="AA921" s="8" t="n">
        <f aca="false">(M921-$K921)^2</f>
        <v>0.008475595969</v>
      </c>
      <c r="AB921" s="8" t="n">
        <f aca="false">(N921-$K921)^2</f>
        <v>1.6719921E-005</v>
      </c>
      <c r="AC921" s="8" t="n">
        <f aca="false">(O921-$K921)^2</f>
        <v>0.011274829489</v>
      </c>
      <c r="AD921" s="8" t="n">
        <f aca="false">(P921-$K921)^2</f>
        <v>1.3905441E-005</v>
      </c>
      <c r="AE921" s="8" t="n">
        <f aca="false">MIN(INT(ROUND(N921*1000000,0)/100000),9)</f>
        <v>0</v>
      </c>
      <c r="AF921" s="8" t="n">
        <f aca="false">MIN(INT(ROUND(P921*1000000,0)/100000),9)</f>
        <v>0</v>
      </c>
    </row>
    <row r="922" customFormat="false" ht="15" hidden="false" customHeight="false" outlineLevel="0" collapsed="false">
      <c r="A922" s="4" t="n">
        <v>918</v>
      </c>
      <c r="B922" s="4" t="n">
        <v>937</v>
      </c>
      <c r="C922" s="4" t="n">
        <v>2</v>
      </c>
      <c r="D922" s="11" t="n">
        <v>46113</v>
      </c>
      <c r="E922" s="4" t="s">
        <v>203</v>
      </c>
      <c r="F922" s="4" t="s">
        <v>209</v>
      </c>
      <c r="G922" s="4" t="n">
        <v>4</v>
      </c>
      <c r="H922" s="4" t="n">
        <v>2</v>
      </c>
      <c r="I922" s="4" t="n">
        <v>0</v>
      </c>
      <c r="J922" s="4" t="n">
        <v>1315.8</v>
      </c>
      <c r="K922" s="4" t="n">
        <v>0</v>
      </c>
      <c r="L922" s="12" t="n">
        <v>0.296702</v>
      </c>
      <c r="M922" s="12" t="n">
        <v>0.092063</v>
      </c>
      <c r="N922" s="12" t="n">
        <v>0.111447</v>
      </c>
      <c r="O922" s="12" t="n">
        <v>0.106183</v>
      </c>
      <c r="P922" s="12" t="n">
        <v>0.11859</v>
      </c>
      <c r="Q922" s="0" t="str">
        <f aca="false">IF(L922&gt;=Models!$G$5,1+COUNTIF($L$5:$L$1517,"&gt;"&amp;L922)+COUNTIFS($L$5:$L$1517,L922,$B$5:$B$1517,"&lt;"&amp;B922)+COUNTIFS($L$5:$L$1517,L922,$B$5:$B$1517,B922,$C$5:$C$1517,"&lt;"&amp;C922),"")</f>
        <v/>
      </c>
      <c r="R922" s="0" t="str">
        <f aca="false">IF(M922&gt;=Models!$G$6,1+COUNTIF($M$5:$M$1517,"&gt;"&amp;M922)+COUNTIFS($M$5:$M$1517,M922,$B$5:$B$1517,"&lt;"&amp;B922)+COUNTIFS($M$5:$M$1517,M922,$B$5:$B$1517,B922,$C$5:$C$1517,"&lt;"&amp;C922),"")</f>
        <v/>
      </c>
      <c r="S922" s="0" t="str">
        <f aca="false">IF(N922&gt;=Models!$G$7,1+COUNTIF($N$5:$N$1517,"&gt;"&amp;N922)+COUNTIFS($N$5:$N$1517,N922,$B$5:$B$1517,"&lt;"&amp;B922)+COUNTIFS($N$5:$N$1517,N922,$B$5:$B$1517,B922,$C$5:$C$1517,"&lt;"&amp;C922),"")</f>
        <v/>
      </c>
      <c r="T922" s="8" t="n">
        <f aca="false">IF(O922&gt;=Models!$G$8,1+COUNTIF($O$5:$O$1517,"&gt;"&amp;O922)+COUNTIFS($O$5:$O$1517,O922,$B$5:$B$1517,"&lt;"&amp;B922)+COUNTIFS($O$5:$O$1517,O922,$B$5:$B$1517,B922,$C$5:$C$1517,"&lt;"&amp;C922),"")</f>
        <v>738</v>
      </c>
      <c r="U922" s="8" t="n">
        <f aca="false">IF($K922=1,COUNTIFS($L$5:$L$1517,"&gt;="&amp;L922,$K$5:$K$1517,1)/COUNTIF($L$5:$L$1517,"&gt;="&amp;L922),0)</f>
        <v>0</v>
      </c>
      <c r="V922" s="8" t="n">
        <f aca="false">IF($K922=1,COUNTIFS($M$5:$M$1517,"&gt;="&amp;M922,$K$5:$K$1517,1)/COUNTIF($M$5:$M$1517,"&gt;="&amp;M922),0)</f>
        <v>0</v>
      </c>
      <c r="W922" s="8" t="n">
        <f aca="false">IF($K922=1,COUNTIFS($N$5:$N$1517,"&gt;="&amp;N922,$K$5:$K$1517,1)/COUNTIF($N$5:$N$1517,"&gt;="&amp;N922),0)</f>
        <v>0</v>
      </c>
      <c r="X922" s="8" t="n">
        <f aca="false">IF($K922=1,COUNTIFS($O$5:$O$1517,"&gt;="&amp;O922,$K$5:$K$1517,1)/COUNTIF($O$5:$O$1517,"&gt;="&amp;O922),0)</f>
        <v>0</v>
      </c>
      <c r="Y922" s="8" t="n">
        <f aca="false">IF($K922=1,COUNTIFS($P$5:$P$1517,"&gt;="&amp;P922,$K$5:$K$1517,1)/COUNTIF($P$5:$P$1517,"&gt;="&amp;P922),0)</f>
        <v>0</v>
      </c>
      <c r="Z922" s="8" t="n">
        <f aca="false">(L922-$K922)^2</f>
        <v>0.088032076804</v>
      </c>
      <c r="AA922" s="8" t="n">
        <f aca="false">(M922-$K922)^2</f>
        <v>0.008475595969</v>
      </c>
      <c r="AB922" s="8" t="n">
        <f aca="false">(N922-$K922)^2</f>
        <v>0.012420433809</v>
      </c>
      <c r="AC922" s="8" t="n">
        <f aca="false">(O922-$K922)^2</f>
        <v>0.011274829489</v>
      </c>
      <c r="AD922" s="8" t="n">
        <f aca="false">(P922-$K922)^2</f>
        <v>0.0140635881</v>
      </c>
      <c r="AE922" s="8" t="n">
        <f aca="false">MIN(INT(ROUND(N922*1000000,0)/100000),9)</f>
        <v>1</v>
      </c>
      <c r="AF922" s="8" t="n">
        <f aca="false">MIN(INT(ROUND(P922*1000000,0)/100000),9)</f>
        <v>1</v>
      </c>
    </row>
    <row r="923" customFormat="false" ht="15" hidden="false" customHeight="false" outlineLevel="0" collapsed="false">
      <c r="A923" s="4" t="n">
        <v>919</v>
      </c>
      <c r="B923" s="4" t="n">
        <v>939</v>
      </c>
      <c r="C923" s="4" t="n">
        <v>2</v>
      </c>
      <c r="D923" s="11" t="n">
        <v>46113</v>
      </c>
      <c r="E923" s="4" t="s">
        <v>203</v>
      </c>
      <c r="F923" s="4" t="s">
        <v>209</v>
      </c>
      <c r="G923" s="4" t="n">
        <v>7</v>
      </c>
      <c r="H923" s="4" t="n">
        <v>3</v>
      </c>
      <c r="I923" s="4" t="n">
        <v>0</v>
      </c>
      <c r="J923" s="4" t="n">
        <v>342</v>
      </c>
      <c r="K923" s="4" t="n">
        <v>1</v>
      </c>
      <c r="L923" s="12" t="n">
        <v>0.411874</v>
      </c>
      <c r="M923" s="12" t="n">
        <v>0.092063</v>
      </c>
      <c r="N923" s="12" t="n">
        <v>0.092685</v>
      </c>
      <c r="O923" s="12" t="n">
        <v>0.106183</v>
      </c>
      <c r="P923" s="12" t="n">
        <v>0.097894</v>
      </c>
      <c r="Q923" s="0" t="str">
        <f aca="false">IF(L923&gt;=Models!$G$5,1+COUNTIF($L$5:$L$1517,"&gt;"&amp;L923)+COUNTIFS($L$5:$L$1517,L923,$B$5:$B$1517,"&lt;"&amp;B923)+COUNTIFS($L$5:$L$1517,L923,$B$5:$B$1517,B923,$C$5:$C$1517,"&lt;"&amp;C923),"")</f>
        <v/>
      </c>
      <c r="R923" s="0" t="str">
        <f aca="false">IF(M923&gt;=Models!$G$6,1+COUNTIF($M$5:$M$1517,"&gt;"&amp;M923)+COUNTIFS($M$5:$M$1517,M923,$B$5:$B$1517,"&lt;"&amp;B923)+COUNTIFS($M$5:$M$1517,M923,$B$5:$B$1517,B923,$C$5:$C$1517,"&lt;"&amp;C923),"")</f>
        <v/>
      </c>
      <c r="S923" s="0" t="str">
        <f aca="false">IF(N923&gt;=Models!$G$7,1+COUNTIF($N$5:$N$1517,"&gt;"&amp;N923)+COUNTIFS($N$5:$N$1517,N923,$B$5:$B$1517,"&lt;"&amp;B923)+COUNTIFS($N$5:$N$1517,N923,$B$5:$B$1517,B923,$C$5:$C$1517,"&lt;"&amp;C923),"")</f>
        <v/>
      </c>
      <c r="T923" s="8" t="n">
        <f aca="false">IF(O923&gt;=Models!$G$8,1+COUNTIF($O$5:$O$1517,"&gt;"&amp;O923)+COUNTIFS($O$5:$O$1517,O923,$B$5:$B$1517,"&lt;"&amp;B923)+COUNTIFS($O$5:$O$1517,O923,$B$5:$B$1517,B923,$C$5:$C$1517,"&lt;"&amp;C923),"")</f>
        <v>742</v>
      </c>
      <c r="U923" s="8" t="n">
        <f aca="false">IF($K923=1,COUNTIFS($L$5:$L$1517,"&gt;="&amp;L923,$K$5:$K$1517,1)/COUNTIF($L$5:$L$1517,"&gt;="&amp;L923),0)</f>
        <v>0.129398410896708</v>
      </c>
      <c r="V923" s="8" t="n">
        <f aca="false">IF($K923=1,COUNTIFS($M$5:$M$1517,"&gt;="&amp;M923,$K$5:$K$1517,1)/COUNTIF($M$5:$M$1517,"&gt;="&amp;M923),0)</f>
        <v>0.12491738268341</v>
      </c>
      <c r="W923" s="8" t="n">
        <f aca="false">IF($K923=1,COUNTIFS($N$5:$N$1517,"&gt;="&amp;N923,$K$5:$K$1517,1)/COUNTIF($N$5:$N$1517,"&gt;="&amp;N923),0)</f>
        <v>0.185580774365821</v>
      </c>
      <c r="X923" s="8" t="n">
        <f aca="false">IF($K923=1,COUNTIFS($O$5:$O$1517,"&gt;="&amp;O923,$K$5:$K$1517,1)/COUNTIF($O$5:$O$1517,"&gt;="&amp;O923),0)</f>
        <v>0.12491738268341</v>
      </c>
      <c r="Y923" s="8" t="n">
        <f aca="false">IF($K923=1,COUNTIFS($P$5:$P$1517,"&gt;="&amp;P923,$K$5:$K$1517,1)/COUNTIF($P$5:$P$1517,"&gt;="&amp;P923),0)</f>
        <v>0.185580774365821</v>
      </c>
      <c r="Z923" s="8" t="n">
        <f aca="false">(L923-$K923)^2</f>
        <v>0.345892191876</v>
      </c>
      <c r="AA923" s="8" t="n">
        <f aca="false">(M923-$K923)^2</f>
        <v>0.824349595969</v>
      </c>
      <c r="AB923" s="8" t="n">
        <f aca="false">(N923-$K923)^2</f>
        <v>0.823220509225</v>
      </c>
      <c r="AC923" s="8" t="n">
        <f aca="false">(O923-$K923)^2</f>
        <v>0.798908829489</v>
      </c>
      <c r="AD923" s="8" t="n">
        <f aca="false">(P923-$K923)^2</f>
        <v>0.813795235236</v>
      </c>
      <c r="AE923" s="8" t="n">
        <f aca="false">MIN(INT(ROUND(N923*1000000,0)/100000),9)</f>
        <v>0</v>
      </c>
      <c r="AF923" s="8" t="n">
        <f aca="false">MIN(INT(ROUND(P923*1000000,0)/100000),9)</f>
        <v>0</v>
      </c>
    </row>
    <row r="924" customFormat="false" ht="15" hidden="false" customHeight="false" outlineLevel="0" collapsed="false">
      <c r="A924" s="4" t="n">
        <v>920</v>
      </c>
      <c r="B924" s="4" t="n">
        <v>942</v>
      </c>
      <c r="C924" s="4" t="n">
        <v>2</v>
      </c>
      <c r="D924" s="11" t="n">
        <v>46113</v>
      </c>
      <c r="E924" s="4" t="s">
        <v>203</v>
      </c>
      <c r="F924" s="4" t="s">
        <v>209</v>
      </c>
      <c r="G924" s="4" t="n">
        <v>0</v>
      </c>
      <c r="H924" s="4" t="n">
        <v>33</v>
      </c>
      <c r="I924" s="4" t="n">
        <v>0</v>
      </c>
      <c r="J924" s="4" t="n">
        <v>381</v>
      </c>
      <c r="K924" s="4" t="n">
        <v>0</v>
      </c>
      <c r="L924" s="12" t="n">
        <v>0.012547</v>
      </c>
      <c r="M924" s="12" t="n">
        <v>0.184211</v>
      </c>
      <c r="N924" s="12" t="n">
        <v>0.196588</v>
      </c>
      <c r="O924" s="12" t="n">
        <v>0.106183</v>
      </c>
      <c r="P924" s="12" t="n">
        <v>0.213196</v>
      </c>
      <c r="Q924" s="0" t="str">
        <f aca="false">IF(L924&gt;=Models!$G$5,1+COUNTIF($L$5:$L$1517,"&gt;"&amp;L924)+COUNTIFS($L$5:$L$1517,L924,$B$5:$B$1517,"&lt;"&amp;B924)+COUNTIFS($L$5:$L$1517,L924,$B$5:$B$1517,B924,$C$5:$C$1517,"&lt;"&amp;C924),"")</f>
        <v/>
      </c>
      <c r="R924" s="8" t="n">
        <f aca="false">IF(M924&gt;=Models!$G$6,1+COUNTIF($M$5:$M$1517,"&gt;"&amp;M924)+COUNTIFS($M$5:$M$1517,M924,$B$5:$B$1517,"&lt;"&amp;B924)+COUNTIFS($M$5:$M$1517,M924,$B$5:$B$1517,B924,$C$5:$C$1517,"&lt;"&amp;C924),"")</f>
        <v>81</v>
      </c>
      <c r="S924" s="0" t="str">
        <f aca="false">IF(N924&gt;=Models!$G$7,1+COUNTIF($N$5:$N$1517,"&gt;"&amp;N924)+COUNTIFS($N$5:$N$1517,N924,$B$5:$B$1517,"&lt;"&amp;B924)+COUNTIFS($N$5:$N$1517,N924,$B$5:$B$1517,B924,$C$5:$C$1517,"&lt;"&amp;C924),"")</f>
        <v/>
      </c>
      <c r="T924" s="8" t="n">
        <f aca="false">IF(O924&gt;=Models!$G$8,1+COUNTIF($O$5:$O$1517,"&gt;"&amp;O924)+COUNTIFS($O$5:$O$1517,O924,$B$5:$B$1517,"&lt;"&amp;B924)+COUNTIFS($O$5:$O$1517,O924,$B$5:$B$1517,B924,$C$5:$C$1517,"&lt;"&amp;C924),"")</f>
        <v>745</v>
      </c>
      <c r="U924" s="8" t="n">
        <f aca="false">IF($K924=1,COUNTIFS($L$5:$L$1517,"&gt;="&amp;L924,$K$5:$K$1517,1)/COUNTIF($L$5:$L$1517,"&gt;="&amp;L924),0)</f>
        <v>0</v>
      </c>
      <c r="V924" s="8" t="n">
        <f aca="false">IF($K924=1,COUNTIFS($M$5:$M$1517,"&gt;="&amp;M924,$K$5:$K$1517,1)/COUNTIF($M$5:$M$1517,"&gt;="&amp;M924),0)</f>
        <v>0</v>
      </c>
      <c r="W924" s="8" t="n">
        <f aca="false">IF($K924=1,COUNTIFS($N$5:$N$1517,"&gt;="&amp;N924,$K$5:$K$1517,1)/COUNTIF($N$5:$N$1517,"&gt;="&amp;N924),0)</f>
        <v>0</v>
      </c>
      <c r="X924" s="8" t="n">
        <f aca="false">IF($K924=1,COUNTIFS($O$5:$O$1517,"&gt;="&amp;O924,$K$5:$K$1517,1)/COUNTIF($O$5:$O$1517,"&gt;="&amp;O924),0)</f>
        <v>0</v>
      </c>
      <c r="Y924" s="8" t="n">
        <f aca="false">IF($K924=1,COUNTIFS($P$5:$P$1517,"&gt;="&amp;P924,$K$5:$K$1517,1)/COUNTIF($P$5:$P$1517,"&gt;="&amp;P924),0)</f>
        <v>0</v>
      </c>
      <c r="Z924" s="8" t="n">
        <f aca="false">(L924-$K924)^2</f>
        <v>0.000157427209</v>
      </c>
      <c r="AA924" s="8" t="n">
        <f aca="false">(M924-$K924)^2</f>
        <v>0.033933692521</v>
      </c>
      <c r="AB924" s="8" t="n">
        <f aca="false">(N924-$K924)^2</f>
        <v>0.038646841744</v>
      </c>
      <c r="AC924" s="8" t="n">
        <f aca="false">(O924-$K924)^2</f>
        <v>0.011274829489</v>
      </c>
      <c r="AD924" s="8" t="n">
        <f aca="false">(P924-$K924)^2</f>
        <v>0.045452534416</v>
      </c>
      <c r="AE924" s="8" t="n">
        <f aca="false">MIN(INT(ROUND(N924*1000000,0)/100000),9)</f>
        <v>1</v>
      </c>
      <c r="AF924" s="8" t="n">
        <f aca="false">MIN(INT(ROUND(P924*1000000,0)/100000),9)</f>
        <v>2</v>
      </c>
    </row>
    <row r="925" customFormat="false" ht="15" hidden="false" customHeight="false" outlineLevel="0" collapsed="false">
      <c r="A925" s="4" t="n">
        <v>921</v>
      </c>
      <c r="B925" s="4" t="n">
        <v>943</v>
      </c>
      <c r="C925" s="4" t="n">
        <v>2</v>
      </c>
      <c r="D925" s="11" t="n">
        <v>46113</v>
      </c>
      <c r="E925" s="4" t="s">
        <v>204</v>
      </c>
      <c r="F925" s="4" t="s">
        <v>208</v>
      </c>
      <c r="G925" s="4" t="n">
        <v>3</v>
      </c>
      <c r="H925" s="4" t="n">
        <v>15</v>
      </c>
      <c r="I925" s="4" t="n">
        <v>0</v>
      </c>
      <c r="J925" s="4" t="n">
        <v>78</v>
      </c>
      <c r="K925" s="4" t="n">
        <v>1</v>
      </c>
      <c r="L925" s="12" t="n">
        <v>0.844877</v>
      </c>
      <c r="M925" s="12" t="n">
        <v>0.092063</v>
      </c>
      <c r="N925" s="12" t="n">
        <v>0.140923</v>
      </c>
      <c r="O925" s="12" t="n">
        <v>0.106183</v>
      </c>
      <c r="P925" s="12" t="n">
        <v>0.151269</v>
      </c>
      <c r="Q925" s="0" t="str">
        <f aca="false">IF(L925&gt;=Models!$G$5,1+COUNTIF($L$5:$L$1517,"&gt;"&amp;L925)+COUNTIFS($L$5:$L$1517,L925,$B$5:$B$1517,"&lt;"&amp;B925)+COUNTIFS($L$5:$L$1517,L925,$B$5:$B$1517,B925,$C$5:$C$1517,"&lt;"&amp;C925),"")</f>
        <v/>
      </c>
      <c r="R925" s="0" t="str">
        <f aca="false">IF(M925&gt;=Models!$G$6,1+COUNTIF($M$5:$M$1517,"&gt;"&amp;M925)+COUNTIFS($M$5:$M$1517,M925,$B$5:$B$1517,"&lt;"&amp;B925)+COUNTIFS($M$5:$M$1517,M925,$B$5:$B$1517,B925,$C$5:$C$1517,"&lt;"&amp;C925),"")</f>
        <v/>
      </c>
      <c r="S925" s="0" t="str">
        <f aca="false">IF(N925&gt;=Models!$G$7,1+COUNTIF($N$5:$N$1517,"&gt;"&amp;N925)+COUNTIFS($N$5:$N$1517,N925,$B$5:$B$1517,"&lt;"&amp;B925)+COUNTIFS($N$5:$N$1517,N925,$B$5:$B$1517,B925,$C$5:$C$1517,"&lt;"&amp;C925),"")</f>
        <v/>
      </c>
      <c r="T925" s="8" t="n">
        <f aca="false">IF(O925&gt;=Models!$G$8,1+COUNTIF($O$5:$O$1517,"&gt;"&amp;O925)+COUNTIFS($O$5:$O$1517,O925,$B$5:$B$1517,"&lt;"&amp;B925)+COUNTIFS($O$5:$O$1517,O925,$B$5:$B$1517,B925,$C$5:$C$1517,"&lt;"&amp;C925),"")</f>
        <v>749</v>
      </c>
      <c r="U925" s="8" t="n">
        <f aca="false">IF($K925=1,COUNTIFS($L$5:$L$1517,"&gt;="&amp;L925,$K$5:$K$1517,1)/COUNTIF($L$5:$L$1517,"&gt;="&amp;L925),0)</f>
        <v>0.141592920353982</v>
      </c>
      <c r="V925" s="8" t="n">
        <f aca="false">IF($K925=1,COUNTIFS($M$5:$M$1517,"&gt;="&amp;M925,$K$5:$K$1517,1)/COUNTIF($M$5:$M$1517,"&gt;="&amp;M925),0)</f>
        <v>0.12491738268341</v>
      </c>
      <c r="W925" s="8" t="n">
        <f aca="false">IF($K925=1,COUNTIFS($N$5:$N$1517,"&gt;="&amp;N925,$K$5:$K$1517,1)/COUNTIF($N$5:$N$1517,"&gt;="&amp;N925),0)</f>
        <v>0.285185185185185</v>
      </c>
      <c r="X925" s="8" t="n">
        <f aca="false">IF($K925=1,COUNTIFS($O$5:$O$1517,"&gt;="&amp;O925,$K$5:$K$1517,1)/COUNTIF($O$5:$O$1517,"&gt;="&amp;O925),0)</f>
        <v>0.12491738268341</v>
      </c>
      <c r="Y925" s="8" t="n">
        <f aca="false">IF($K925=1,COUNTIFS($P$5:$P$1517,"&gt;="&amp;P925,$K$5:$K$1517,1)/COUNTIF($P$5:$P$1517,"&gt;="&amp;P925),0)</f>
        <v>0.285185185185185</v>
      </c>
      <c r="Z925" s="8" t="n">
        <f aca="false">(L925-$K925)^2</f>
        <v>0.024063145129</v>
      </c>
      <c r="AA925" s="8" t="n">
        <f aca="false">(M925-$K925)^2</f>
        <v>0.824349595969</v>
      </c>
      <c r="AB925" s="8" t="n">
        <f aca="false">(N925-$K925)^2</f>
        <v>0.738013291929</v>
      </c>
      <c r="AC925" s="8" t="n">
        <f aca="false">(O925-$K925)^2</f>
        <v>0.798908829489</v>
      </c>
      <c r="AD925" s="8" t="n">
        <f aca="false">(P925-$K925)^2</f>
        <v>0.720344310361</v>
      </c>
      <c r="AE925" s="8" t="n">
        <f aca="false">MIN(INT(ROUND(N925*1000000,0)/100000),9)</f>
        <v>1</v>
      </c>
      <c r="AF925" s="8" t="n">
        <f aca="false">MIN(INT(ROUND(P925*1000000,0)/100000),9)</f>
        <v>1</v>
      </c>
    </row>
    <row r="926" customFormat="false" ht="15" hidden="false" customHeight="false" outlineLevel="0" collapsed="false">
      <c r="A926" s="4" t="n">
        <v>922</v>
      </c>
      <c r="B926" s="4" t="n">
        <v>944</v>
      </c>
      <c r="C926" s="4" t="n">
        <v>2</v>
      </c>
      <c r="D926" s="11" t="n">
        <v>46113</v>
      </c>
      <c r="E926" s="4" t="s">
        <v>204</v>
      </c>
      <c r="F926" s="4" t="s">
        <v>209</v>
      </c>
      <c r="G926" s="4" t="n">
        <v>2</v>
      </c>
      <c r="H926" s="4" t="n">
        <v>10</v>
      </c>
      <c r="I926" s="4" t="n">
        <v>0</v>
      </c>
      <c r="J926" s="4" t="n">
        <v>75</v>
      </c>
      <c r="K926" s="4" t="n">
        <v>1</v>
      </c>
      <c r="L926" s="12" t="n">
        <v>0.307724</v>
      </c>
      <c r="M926" s="12" t="n">
        <v>0.092063</v>
      </c>
      <c r="N926" s="12" t="n">
        <v>0.146984</v>
      </c>
      <c r="O926" s="12" t="n">
        <v>0.106183</v>
      </c>
      <c r="P926" s="12" t="n">
        <v>0.158005</v>
      </c>
      <c r="Q926" s="0" t="str">
        <f aca="false">IF(L926&gt;=Models!$G$5,1+COUNTIF($L$5:$L$1517,"&gt;"&amp;L926)+COUNTIFS($L$5:$L$1517,L926,$B$5:$B$1517,"&lt;"&amp;B926)+COUNTIFS($L$5:$L$1517,L926,$B$5:$B$1517,B926,$C$5:$C$1517,"&lt;"&amp;C926),"")</f>
        <v/>
      </c>
      <c r="R926" s="0" t="str">
        <f aca="false">IF(M926&gt;=Models!$G$6,1+COUNTIF($M$5:$M$1517,"&gt;"&amp;M926)+COUNTIFS($M$5:$M$1517,M926,$B$5:$B$1517,"&lt;"&amp;B926)+COUNTIFS($M$5:$M$1517,M926,$B$5:$B$1517,B926,$C$5:$C$1517,"&lt;"&amp;C926),"")</f>
        <v/>
      </c>
      <c r="S926" s="0" t="str">
        <f aca="false">IF(N926&gt;=Models!$G$7,1+COUNTIF($N$5:$N$1517,"&gt;"&amp;N926)+COUNTIFS($N$5:$N$1517,N926,$B$5:$B$1517,"&lt;"&amp;B926)+COUNTIFS($N$5:$N$1517,N926,$B$5:$B$1517,B926,$C$5:$C$1517,"&lt;"&amp;C926),"")</f>
        <v/>
      </c>
      <c r="T926" s="8" t="n">
        <f aca="false">IF(O926&gt;=Models!$G$8,1+COUNTIF($O$5:$O$1517,"&gt;"&amp;O926)+COUNTIFS($O$5:$O$1517,O926,$B$5:$B$1517,"&lt;"&amp;B926)+COUNTIFS($O$5:$O$1517,O926,$B$5:$B$1517,B926,$C$5:$C$1517,"&lt;"&amp;C926),"")</f>
        <v>753</v>
      </c>
      <c r="U926" s="8" t="n">
        <f aca="false">IF($K926=1,COUNTIFS($L$5:$L$1517,"&gt;="&amp;L926,$K$5:$K$1517,1)/COUNTIF($L$5:$L$1517,"&gt;="&amp;L926),0)</f>
        <v>0.127555988315482</v>
      </c>
      <c r="V926" s="8" t="n">
        <f aca="false">IF($K926=1,COUNTIFS($M$5:$M$1517,"&gt;="&amp;M926,$K$5:$K$1517,1)/COUNTIF($M$5:$M$1517,"&gt;="&amp;M926),0)</f>
        <v>0.12491738268341</v>
      </c>
      <c r="W926" s="8" t="n">
        <f aca="false">IF($K926=1,COUNTIFS($N$5:$N$1517,"&gt;="&amp;N926,$K$5:$K$1517,1)/COUNTIF($N$5:$N$1517,"&gt;="&amp;N926),0)</f>
        <v>0.303030303030303</v>
      </c>
      <c r="X926" s="8" t="n">
        <f aca="false">IF($K926=1,COUNTIFS($O$5:$O$1517,"&gt;="&amp;O926,$K$5:$K$1517,1)/COUNTIF($O$5:$O$1517,"&gt;="&amp;O926),0)</f>
        <v>0.12491738268341</v>
      </c>
      <c r="Y926" s="8" t="n">
        <f aca="false">IF($K926=1,COUNTIFS($P$5:$P$1517,"&gt;="&amp;P926,$K$5:$K$1517,1)/COUNTIF($P$5:$P$1517,"&gt;="&amp;P926),0)</f>
        <v>0.303030303030303</v>
      </c>
      <c r="Z926" s="8" t="n">
        <f aca="false">(L926-$K926)^2</f>
        <v>0.479246060176</v>
      </c>
      <c r="AA926" s="8" t="n">
        <f aca="false">(M926-$K926)^2</f>
        <v>0.824349595969</v>
      </c>
      <c r="AB926" s="8" t="n">
        <f aca="false">(N926-$K926)^2</f>
        <v>0.727636296256</v>
      </c>
      <c r="AC926" s="8" t="n">
        <f aca="false">(O926-$K926)^2</f>
        <v>0.798908829489</v>
      </c>
      <c r="AD926" s="8" t="n">
        <f aca="false">(P926-$K926)^2</f>
        <v>0.708955580025</v>
      </c>
      <c r="AE926" s="8" t="n">
        <f aca="false">MIN(INT(ROUND(N926*1000000,0)/100000),9)</f>
        <v>1</v>
      </c>
      <c r="AF926" s="8" t="n">
        <f aca="false">MIN(INT(ROUND(P926*1000000,0)/100000),9)</f>
        <v>1</v>
      </c>
    </row>
    <row r="927" customFormat="false" ht="15" hidden="false" customHeight="false" outlineLevel="0" collapsed="false">
      <c r="A927" s="4" t="n">
        <v>923</v>
      </c>
      <c r="B927" s="4" t="n">
        <v>950</v>
      </c>
      <c r="C927" s="4" t="n">
        <v>2</v>
      </c>
      <c r="D927" s="11" t="n">
        <v>46113</v>
      </c>
      <c r="E927" s="4" t="s">
        <v>202</v>
      </c>
      <c r="F927" s="4" t="s">
        <v>208</v>
      </c>
      <c r="G927" s="4" t="n">
        <v>6</v>
      </c>
      <c r="H927" s="4" t="n">
        <v>8</v>
      </c>
      <c r="I927" s="4" t="n">
        <v>0</v>
      </c>
      <c r="J927" s="4" t="n">
        <v>5803.8</v>
      </c>
      <c r="K927" s="4" t="n">
        <v>0</v>
      </c>
      <c r="L927" s="12" t="n">
        <v>0.361412</v>
      </c>
      <c r="M927" s="12" t="n">
        <v>0.092063</v>
      </c>
      <c r="N927" s="12" t="n">
        <v>0.07817</v>
      </c>
      <c r="O927" s="12" t="n">
        <v>0.106183</v>
      </c>
      <c r="P927" s="12" t="n">
        <v>0.081968</v>
      </c>
      <c r="Q927" s="0" t="str">
        <f aca="false">IF(L927&gt;=Models!$G$5,1+COUNTIF($L$5:$L$1517,"&gt;"&amp;L927)+COUNTIFS($L$5:$L$1517,L927,$B$5:$B$1517,"&lt;"&amp;B927)+COUNTIFS($L$5:$L$1517,L927,$B$5:$B$1517,B927,$C$5:$C$1517,"&lt;"&amp;C927),"")</f>
        <v/>
      </c>
      <c r="R927" s="0" t="str">
        <f aca="false">IF(M927&gt;=Models!$G$6,1+COUNTIF($M$5:$M$1517,"&gt;"&amp;M927)+COUNTIFS($M$5:$M$1517,M927,$B$5:$B$1517,"&lt;"&amp;B927)+COUNTIFS($M$5:$M$1517,M927,$B$5:$B$1517,B927,$C$5:$C$1517,"&lt;"&amp;C927),"")</f>
        <v/>
      </c>
      <c r="S927" s="0" t="str">
        <f aca="false">IF(N927&gt;=Models!$G$7,1+COUNTIF($N$5:$N$1517,"&gt;"&amp;N927)+COUNTIFS($N$5:$N$1517,N927,$B$5:$B$1517,"&lt;"&amp;B927)+COUNTIFS($N$5:$N$1517,N927,$B$5:$B$1517,B927,$C$5:$C$1517,"&lt;"&amp;C927),"")</f>
        <v/>
      </c>
      <c r="T927" s="8" t="n">
        <f aca="false">IF(O927&gt;=Models!$G$8,1+COUNTIF($O$5:$O$1517,"&gt;"&amp;O927)+COUNTIFS($O$5:$O$1517,O927,$B$5:$B$1517,"&lt;"&amp;B927)+COUNTIFS($O$5:$O$1517,O927,$B$5:$B$1517,B927,$C$5:$C$1517,"&lt;"&amp;C927),"")</f>
        <v>756</v>
      </c>
      <c r="U927" s="8" t="n">
        <f aca="false">IF($K927=1,COUNTIFS($L$5:$L$1517,"&gt;="&amp;L927,$K$5:$K$1517,1)/COUNTIF($L$5:$L$1517,"&gt;="&amp;L927),0)</f>
        <v>0</v>
      </c>
      <c r="V927" s="8" t="n">
        <f aca="false">IF($K927=1,COUNTIFS($M$5:$M$1517,"&gt;="&amp;M927,$K$5:$K$1517,1)/COUNTIF($M$5:$M$1517,"&gt;="&amp;M927),0)</f>
        <v>0</v>
      </c>
      <c r="W927" s="8" t="n">
        <f aca="false">IF($K927=1,COUNTIFS($N$5:$N$1517,"&gt;="&amp;N927,$K$5:$K$1517,1)/COUNTIF($N$5:$N$1517,"&gt;="&amp;N927),0)</f>
        <v>0</v>
      </c>
      <c r="X927" s="8" t="n">
        <f aca="false">IF($K927=1,COUNTIFS($O$5:$O$1517,"&gt;="&amp;O927,$K$5:$K$1517,1)/COUNTIF($O$5:$O$1517,"&gt;="&amp;O927),0)</f>
        <v>0</v>
      </c>
      <c r="Y927" s="8" t="n">
        <f aca="false">IF($K927=1,COUNTIFS($P$5:$P$1517,"&gt;="&amp;P927,$K$5:$K$1517,1)/COUNTIF($P$5:$P$1517,"&gt;="&amp;P927),0)</f>
        <v>0</v>
      </c>
      <c r="Z927" s="8" t="n">
        <f aca="false">(L927-$K927)^2</f>
        <v>0.130618633744</v>
      </c>
      <c r="AA927" s="8" t="n">
        <f aca="false">(M927-$K927)^2</f>
        <v>0.008475595969</v>
      </c>
      <c r="AB927" s="8" t="n">
        <f aca="false">(N927-$K927)^2</f>
        <v>0.0061105489</v>
      </c>
      <c r="AC927" s="8" t="n">
        <f aca="false">(O927-$K927)^2</f>
        <v>0.011274829489</v>
      </c>
      <c r="AD927" s="8" t="n">
        <f aca="false">(P927-$K927)^2</f>
        <v>0.006718753024</v>
      </c>
      <c r="AE927" s="8" t="n">
        <f aca="false">MIN(INT(ROUND(N927*1000000,0)/100000),9)</f>
        <v>0</v>
      </c>
      <c r="AF927" s="8" t="n">
        <f aca="false">MIN(INT(ROUND(P927*1000000,0)/100000),9)</f>
        <v>0</v>
      </c>
    </row>
    <row r="928" customFormat="false" ht="15" hidden="false" customHeight="false" outlineLevel="0" collapsed="false">
      <c r="A928" s="4" t="n">
        <v>924</v>
      </c>
      <c r="B928" s="4" t="n">
        <v>951</v>
      </c>
      <c r="C928" s="4" t="n">
        <v>2</v>
      </c>
      <c r="D928" s="11" t="n">
        <v>46113</v>
      </c>
      <c r="E928" s="4" t="s">
        <v>202</v>
      </c>
      <c r="F928" s="4" t="s">
        <v>206</v>
      </c>
      <c r="G928" s="4" t="n">
        <v>5</v>
      </c>
      <c r="H928" s="4" t="n">
        <v>3</v>
      </c>
      <c r="I928" s="4" t="n">
        <v>0</v>
      </c>
      <c r="J928" s="4" t="n">
        <v>1356</v>
      </c>
      <c r="K928" s="4" t="n">
        <v>0</v>
      </c>
      <c r="L928" s="12" t="n">
        <v>0.959303</v>
      </c>
      <c r="M928" s="12" t="n">
        <v>0.092063</v>
      </c>
      <c r="N928" s="12" t="n">
        <v>0.103384</v>
      </c>
      <c r="O928" s="12" t="n">
        <v>0.106183</v>
      </c>
      <c r="P928" s="12" t="n">
        <v>0.109683</v>
      </c>
      <c r="Q928" s="0" t="str">
        <f aca="false">IF(L928&gt;=Models!$G$5,1+COUNTIF($L$5:$L$1517,"&gt;"&amp;L928)+COUNTIFS($L$5:$L$1517,L928,$B$5:$B$1517,"&lt;"&amp;B928)+COUNTIFS($L$5:$L$1517,L928,$B$5:$B$1517,B928,$C$5:$C$1517,"&lt;"&amp;C928),"")</f>
        <v/>
      </c>
      <c r="R928" s="0" t="str">
        <f aca="false">IF(M928&gt;=Models!$G$6,1+COUNTIF($M$5:$M$1517,"&gt;"&amp;M928)+COUNTIFS($M$5:$M$1517,M928,$B$5:$B$1517,"&lt;"&amp;B928)+COUNTIFS($M$5:$M$1517,M928,$B$5:$B$1517,B928,$C$5:$C$1517,"&lt;"&amp;C928),"")</f>
        <v/>
      </c>
      <c r="S928" s="0" t="str">
        <f aca="false">IF(N928&gt;=Models!$G$7,1+COUNTIF($N$5:$N$1517,"&gt;"&amp;N928)+COUNTIFS($N$5:$N$1517,N928,$B$5:$B$1517,"&lt;"&amp;B928)+COUNTIFS($N$5:$N$1517,N928,$B$5:$B$1517,B928,$C$5:$C$1517,"&lt;"&amp;C928),"")</f>
        <v/>
      </c>
      <c r="T928" s="8" t="n">
        <f aca="false">IF(O928&gt;=Models!$G$8,1+COUNTIF($O$5:$O$1517,"&gt;"&amp;O928)+COUNTIFS($O$5:$O$1517,O928,$B$5:$B$1517,"&lt;"&amp;B928)+COUNTIFS($O$5:$O$1517,O928,$B$5:$B$1517,B928,$C$5:$C$1517,"&lt;"&amp;C928),"")</f>
        <v>760</v>
      </c>
      <c r="U928" s="8" t="n">
        <f aca="false">IF($K928=1,COUNTIFS($L$5:$L$1517,"&gt;="&amp;L928,$K$5:$K$1517,1)/COUNTIF($L$5:$L$1517,"&gt;="&amp;L928),0)</f>
        <v>0</v>
      </c>
      <c r="V928" s="8" t="n">
        <f aca="false">IF($K928=1,COUNTIFS($M$5:$M$1517,"&gt;="&amp;M928,$K$5:$K$1517,1)/COUNTIF($M$5:$M$1517,"&gt;="&amp;M928),0)</f>
        <v>0</v>
      </c>
      <c r="W928" s="8" t="n">
        <f aca="false">IF($K928=1,COUNTIFS($N$5:$N$1517,"&gt;="&amp;N928,$K$5:$K$1517,1)/COUNTIF($N$5:$N$1517,"&gt;="&amp;N928),0)</f>
        <v>0</v>
      </c>
      <c r="X928" s="8" t="n">
        <f aca="false">IF($K928=1,COUNTIFS($O$5:$O$1517,"&gt;="&amp;O928,$K$5:$K$1517,1)/COUNTIF($O$5:$O$1517,"&gt;="&amp;O928),0)</f>
        <v>0</v>
      </c>
      <c r="Y928" s="8" t="n">
        <f aca="false">IF($K928=1,COUNTIFS($P$5:$P$1517,"&gt;="&amp;P928,$K$5:$K$1517,1)/COUNTIF($P$5:$P$1517,"&gt;="&amp;P928),0)</f>
        <v>0</v>
      </c>
      <c r="Z928" s="8" t="n">
        <f aca="false">(L928-$K928)^2</f>
        <v>0.920262245809</v>
      </c>
      <c r="AA928" s="8" t="n">
        <f aca="false">(M928-$K928)^2</f>
        <v>0.008475595969</v>
      </c>
      <c r="AB928" s="8" t="n">
        <f aca="false">(N928-$K928)^2</f>
        <v>0.010688251456</v>
      </c>
      <c r="AC928" s="8" t="n">
        <f aca="false">(O928-$K928)^2</f>
        <v>0.011274829489</v>
      </c>
      <c r="AD928" s="8" t="n">
        <f aca="false">(P928-$K928)^2</f>
        <v>0.012030360489</v>
      </c>
      <c r="AE928" s="8" t="n">
        <f aca="false">MIN(INT(ROUND(N928*1000000,0)/100000),9)</f>
        <v>1</v>
      </c>
      <c r="AF928" s="8" t="n">
        <f aca="false">MIN(INT(ROUND(P928*1000000,0)/100000),9)</f>
        <v>1</v>
      </c>
    </row>
    <row r="929" customFormat="false" ht="15" hidden="false" customHeight="false" outlineLevel="0" collapsed="false">
      <c r="A929" s="4" t="n">
        <v>925</v>
      </c>
      <c r="B929" s="4" t="n">
        <v>953</v>
      </c>
      <c r="C929" s="4" t="n">
        <v>2</v>
      </c>
      <c r="D929" s="11" t="n">
        <v>46113</v>
      </c>
      <c r="E929" s="4" t="s">
        <v>204</v>
      </c>
      <c r="F929" s="4" t="s">
        <v>209</v>
      </c>
      <c r="G929" s="4" t="n">
        <v>1</v>
      </c>
      <c r="H929" s="4" t="n">
        <v>27</v>
      </c>
      <c r="I929" s="4" t="n">
        <v>0</v>
      </c>
      <c r="J929" s="4" t="n">
        <v>96</v>
      </c>
      <c r="K929" s="4" t="n">
        <v>0</v>
      </c>
      <c r="L929" s="12" t="n">
        <v>0.302672</v>
      </c>
      <c r="M929" s="12" t="n">
        <v>0.092063</v>
      </c>
      <c r="N929" s="12" t="n">
        <v>0.17794</v>
      </c>
      <c r="O929" s="12" t="n">
        <v>0.106183</v>
      </c>
      <c r="P929" s="12" t="n">
        <v>0.192443</v>
      </c>
      <c r="Q929" s="0" t="str">
        <f aca="false">IF(L929&gt;=Models!$G$5,1+COUNTIF($L$5:$L$1517,"&gt;"&amp;L929)+COUNTIFS($L$5:$L$1517,L929,$B$5:$B$1517,"&lt;"&amp;B929)+COUNTIFS($L$5:$L$1517,L929,$B$5:$B$1517,B929,$C$5:$C$1517,"&lt;"&amp;C929),"")</f>
        <v/>
      </c>
      <c r="R929" s="0" t="str">
        <f aca="false">IF(M929&gt;=Models!$G$6,1+COUNTIF($M$5:$M$1517,"&gt;"&amp;M929)+COUNTIFS($M$5:$M$1517,M929,$B$5:$B$1517,"&lt;"&amp;B929)+COUNTIFS($M$5:$M$1517,M929,$B$5:$B$1517,B929,$C$5:$C$1517,"&lt;"&amp;C929),"")</f>
        <v/>
      </c>
      <c r="S929" s="0" t="str">
        <f aca="false">IF(N929&gt;=Models!$G$7,1+COUNTIF($N$5:$N$1517,"&gt;"&amp;N929)+COUNTIFS($N$5:$N$1517,N929,$B$5:$B$1517,"&lt;"&amp;B929)+COUNTIFS($N$5:$N$1517,N929,$B$5:$B$1517,B929,$C$5:$C$1517,"&lt;"&amp;C929),"")</f>
        <v/>
      </c>
      <c r="T929" s="8" t="n">
        <f aca="false">IF(O929&gt;=Models!$G$8,1+COUNTIF($O$5:$O$1517,"&gt;"&amp;O929)+COUNTIFS($O$5:$O$1517,O929,$B$5:$B$1517,"&lt;"&amp;B929)+COUNTIFS($O$5:$O$1517,O929,$B$5:$B$1517,B929,$C$5:$C$1517,"&lt;"&amp;C929),"")</f>
        <v>764</v>
      </c>
      <c r="U929" s="8" t="n">
        <f aca="false">IF($K929=1,COUNTIFS($L$5:$L$1517,"&gt;="&amp;L929,$K$5:$K$1517,1)/COUNTIF($L$5:$L$1517,"&gt;="&amp;L929),0)</f>
        <v>0</v>
      </c>
      <c r="V929" s="8" t="n">
        <f aca="false">IF($K929=1,COUNTIFS($M$5:$M$1517,"&gt;="&amp;M929,$K$5:$K$1517,1)/COUNTIF($M$5:$M$1517,"&gt;="&amp;M929),0)</f>
        <v>0</v>
      </c>
      <c r="W929" s="8" t="n">
        <f aca="false">IF($K929=1,COUNTIFS($N$5:$N$1517,"&gt;="&amp;N929,$K$5:$K$1517,1)/COUNTIF($N$5:$N$1517,"&gt;="&amp;N929),0)</f>
        <v>0</v>
      </c>
      <c r="X929" s="8" t="n">
        <f aca="false">IF($K929=1,COUNTIFS($O$5:$O$1517,"&gt;="&amp;O929,$K$5:$K$1517,1)/COUNTIF($O$5:$O$1517,"&gt;="&amp;O929),0)</f>
        <v>0</v>
      </c>
      <c r="Y929" s="8" t="n">
        <f aca="false">IF($K929=1,COUNTIFS($P$5:$P$1517,"&gt;="&amp;P929,$K$5:$K$1517,1)/COUNTIF($P$5:$P$1517,"&gt;="&amp;P929),0)</f>
        <v>0</v>
      </c>
      <c r="Z929" s="8" t="n">
        <f aca="false">(L929-$K929)^2</f>
        <v>0.091610339584</v>
      </c>
      <c r="AA929" s="8" t="n">
        <f aca="false">(M929-$K929)^2</f>
        <v>0.008475595969</v>
      </c>
      <c r="AB929" s="8" t="n">
        <f aca="false">(N929-$K929)^2</f>
        <v>0.0316626436</v>
      </c>
      <c r="AC929" s="8" t="n">
        <f aca="false">(O929-$K929)^2</f>
        <v>0.011274829489</v>
      </c>
      <c r="AD929" s="8" t="n">
        <f aca="false">(P929-$K929)^2</f>
        <v>0.037034308249</v>
      </c>
      <c r="AE929" s="8" t="n">
        <f aca="false">MIN(INT(ROUND(N929*1000000,0)/100000),9)</f>
        <v>1</v>
      </c>
      <c r="AF929" s="8" t="n">
        <f aca="false">MIN(INT(ROUND(P929*1000000,0)/100000),9)</f>
        <v>1</v>
      </c>
    </row>
    <row r="930" customFormat="false" ht="15" hidden="false" customHeight="false" outlineLevel="0" collapsed="false">
      <c r="A930" s="4" t="n">
        <v>926</v>
      </c>
      <c r="B930" s="4" t="n">
        <v>971</v>
      </c>
      <c r="C930" s="4" t="n">
        <v>2</v>
      </c>
      <c r="D930" s="11" t="n">
        <v>46113</v>
      </c>
      <c r="E930" s="4" t="s">
        <v>203</v>
      </c>
      <c r="F930" s="4" t="s">
        <v>206</v>
      </c>
      <c r="G930" s="4" t="n">
        <v>3</v>
      </c>
      <c r="H930" s="4" t="n">
        <v>0</v>
      </c>
      <c r="I930" s="4" t="n">
        <v>0</v>
      </c>
      <c r="J930" s="4" t="n">
        <v>191.8</v>
      </c>
      <c r="K930" s="4" t="n">
        <v>1</v>
      </c>
      <c r="L930" s="12" t="n">
        <v>0.404675</v>
      </c>
      <c r="M930" s="12" t="n">
        <v>0.092063</v>
      </c>
      <c r="N930" s="12" t="n">
        <v>0.125959</v>
      </c>
      <c r="O930" s="12" t="n">
        <v>0.106183</v>
      </c>
      <c r="P930" s="12" t="n">
        <v>0.13466</v>
      </c>
      <c r="Q930" s="0" t="str">
        <f aca="false">IF(L930&gt;=Models!$G$5,1+COUNTIF($L$5:$L$1517,"&gt;"&amp;L930)+COUNTIFS($L$5:$L$1517,L930,$B$5:$B$1517,"&lt;"&amp;B930)+COUNTIFS($L$5:$L$1517,L930,$B$5:$B$1517,B930,$C$5:$C$1517,"&lt;"&amp;C930),"")</f>
        <v/>
      </c>
      <c r="R930" s="0" t="str">
        <f aca="false">IF(M930&gt;=Models!$G$6,1+COUNTIF($M$5:$M$1517,"&gt;"&amp;M930)+COUNTIFS($M$5:$M$1517,M930,$B$5:$B$1517,"&lt;"&amp;B930)+COUNTIFS($M$5:$M$1517,M930,$B$5:$B$1517,B930,$C$5:$C$1517,"&lt;"&amp;C930),"")</f>
        <v/>
      </c>
      <c r="S930" s="0" t="str">
        <f aca="false">IF(N930&gt;=Models!$G$7,1+COUNTIF($N$5:$N$1517,"&gt;"&amp;N930)+COUNTIFS($N$5:$N$1517,N930,$B$5:$B$1517,"&lt;"&amp;B930)+COUNTIFS($N$5:$N$1517,N930,$B$5:$B$1517,B930,$C$5:$C$1517,"&lt;"&amp;C930),"")</f>
        <v/>
      </c>
      <c r="T930" s="8" t="n">
        <f aca="false">IF(O930&gt;=Models!$G$8,1+COUNTIF($O$5:$O$1517,"&gt;"&amp;O930)+COUNTIFS($O$5:$O$1517,O930,$B$5:$B$1517,"&lt;"&amp;B930)+COUNTIFS($O$5:$O$1517,O930,$B$5:$B$1517,B930,$C$5:$C$1517,"&lt;"&amp;C930),"")</f>
        <v>768</v>
      </c>
      <c r="U930" s="8" t="n">
        <f aca="false">IF($K930=1,COUNTIFS($L$5:$L$1517,"&gt;="&amp;L930,$K$5:$K$1517,1)/COUNTIF($L$5:$L$1517,"&gt;="&amp;L930),0)</f>
        <v>0.130483689538808</v>
      </c>
      <c r="V930" s="8" t="n">
        <f aca="false">IF($K930=1,COUNTIFS($M$5:$M$1517,"&gt;="&amp;M930,$K$5:$K$1517,1)/COUNTIF($M$5:$M$1517,"&gt;="&amp;M930),0)</f>
        <v>0.12491738268341</v>
      </c>
      <c r="W930" s="8" t="n">
        <f aca="false">IF($K930=1,COUNTIFS($N$5:$N$1517,"&gt;="&amp;N930,$K$5:$K$1517,1)/COUNTIF($N$5:$N$1517,"&gt;="&amp;N930),0)</f>
        <v>0.236180904522613</v>
      </c>
      <c r="X930" s="8" t="n">
        <f aca="false">IF($K930=1,COUNTIFS($O$5:$O$1517,"&gt;="&amp;O930,$K$5:$K$1517,1)/COUNTIF($O$5:$O$1517,"&gt;="&amp;O930),0)</f>
        <v>0.12491738268341</v>
      </c>
      <c r="Y930" s="8" t="n">
        <f aca="false">IF($K930=1,COUNTIFS($P$5:$P$1517,"&gt;="&amp;P930,$K$5:$K$1517,1)/COUNTIF($P$5:$P$1517,"&gt;="&amp;P930),0)</f>
        <v>0.236180904522613</v>
      </c>
      <c r="Z930" s="8" t="n">
        <f aca="false">(L930-$K930)^2</f>
        <v>0.354411855625</v>
      </c>
      <c r="AA930" s="8" t="n">
        <f aca="false">(M930-$K930)^2</f>
        <v>0.824349595969</v>
      </c>
      <c r="AB930" s="8" t="n">
        <f aca="false">(N930-$K930)^2</f>
        <v>0.763947669681</v>
      </c>
      <c r="AC930" s="8" t="n">
        <f aca="false">(O930-$K930)^2</f>
        <v>0.798908829489</v>
      </c>
      <c r="AD930" s="8" t="n">
        <f aca="false">(P930-$K930)^2</f>
        <v>0.7488133156</v>
      </c>
      <c r="AE930" s="8" t="n">
        <f aca="false">MIN(INT(ROUND(N930*1000000,0)/100000),9)</f>
        <v>1</v>
      </c>
      <c r="AF930" s="8" t="n">
        <f aca="false">MIN(INT(ROUND(P930*1000000,0)/100000),9)</f>
        <v>1</v>
      </c>
    </row>
    <row r="931" customFormat="false" ht="15" hidden="false" customHeight="false" outlineLevel="0" collapsed="false">
      <c r="A931" s="4" t="n">
        <v>927</v>
      </c>
      <c r="B931" s="4" t="n">
        <v>973</v>
      </c>
      <c r="C931" s="4" t="n">
        <v>2</v>
      </c>
      <c r="D931" s="11" t="n">
        <v>46113</v>
      </c>
      <c r="E931" s="4" t="s">
        <v>201</v>
      </c>
      <c r="F931" s="4" t="s">
        <v>209</v>
      </c>
      <c r="G931" s="4" t="n">
        <v>18</v>
      </c>
      <c r="H931" s="4" t="n">
        <v>2</v>
      </c>
      <c r="I931" s="4" t="n">
        <v>0</v>
      </c>
      <c r="J931" s="4" t="n">
        <v>31324.2</v>
      </c>
      <c r="K931" s="4" t="n">
        <v>0</v>
      </c>
      <c r="L931" s="12" t="n">
        <v>0.385435</v>
      </c>
      <c r="M931" s="12" t="n">
        <v>0.092063</v>
      </c>
      <c r="N931" s="12" t="n">
        <v>0.00619</v>
      </c>
      <c r="O931" s="12" t="n">
        <v>0.106183</v>
      </c>
      <c r="P931" s="12" t="n">
        <v>0.005759</v>
      </c>
      <c r="Q931" s="0" t="str">
        <f aca="false">IF(L931&gt;=Models!$G$5,1+COUNTIF($L$5:$L$1517,"&gt;"&amp;L931)+COUNTIFS($L$5:$L$1517,L931,$B$5:$B$1517,"&lt;"&amp;B931)+COUNTIFS($L$5:$L$1517,L931,$B$5:$B$1517,B931,$C$5:$C$1517,"&lt;"&amp;C931),"")</f>
        <v/>
      </c>
      <c r="R931" s="0" t="str">
        <f aca="false">IF(M931&gt;=Models!$G$6,1+COUNTIF($M$5:$M$1517,"&gt;"&amp;M931)+COUNTIFS($M$5:$M$1517,M931,$B$5:$B$1517,"&lt;"&amp;B931)+COUNTIFS($M$5:$M$1517,M931,$B$5:$B$1517,B931,$C$5:$C$1517,"&lt;"&amp;C931),"")</f>
        <v/>
      </c>
      <c r="S931" s="0" t="str">
        <f aca="false">IF(N931&gt;=Models!$G$7,1+COUNTIF($N$5:$N$1517,"&gt;"&amp;N931)+COUNTIFS($N$5:$N$1517,N931,$B$5:$B$1517,"&lt;"&amp;B931)+COUNTIFS($N$5:$N$1517,N931,$B$5:$B$1517,B931,$C$5:$C$1517,"&lt;"&amp;C931),"")</f>
        <v/>
      </c>
      <c r="T931" s="8" t="n">
        <f aca="false">IF(O931&gt;=Models!$G$8,1+COUNTIF($O$5:$O$1517,"&gt;"&amp;O931)+COUNTIFS($O$5:$O$1517,O931,$B$5:$B$1517,"&lt;"&amp;B931)+COUNTIFS($O$5:$O$1517,O931,$B$5:$B$1517,B931,$C$5:$C$1517,"&lt;"&amp;C931),"")</f>
        <v>771</v>
      </c>
      <c r="U931" s="8" t="n">
        <f aca="false">IF($K931=1,COUNTIFS($L$5:$L$1517,"&gt;="&amp;L931,$K$5:$K$1517,1)/COUNTIF($L$5:$L$1517,"&gt;="&amp;L931),0)</f>
        <v>0</v>
      </c>
      <c r="V931" s="8" t="n">
        <f aca="false">IF($K931=1,COUNTIFS($M$5:$M$1517,"&gt;="&amp;M931,$K$5:$K$1517,1)/COUNTIF($M$5:$M$1517,"&gt;="&amp;M931),0)</f>
        <v>0</v>
      </c>
      <c r="W931" s="8" t="n">
        <f aca="false">IF($K931=1,COUNTIFS($N$5:$N$1517,"&gt;="&amp;N931,$K$5:$K$1517,1)/COUNTIF($N$5:$N$1517,"&gt;="&amp;N931),0)</f>
        <v>0</v>
      </c>
      <c r="X931" s="8" t="n">
        <f aca="false">IF($K931=1,COUNTIFS($O$5:$O$1517,"&gt;="&amp;O931,$K$5:$K$1517,1)/COUNTIF($O$5:$O$1517,"&gt;="&amp;O931),0)</f>
        <v>0</v>
      </c>
      <c r="Y931" s="8" t="n">
        <f aca="false">IF($K931=1,COUNTIFS($P$5:$P$1517,"&gt;="&amp;P931,$K$5:$K$1517,1)/COUNTIF($P$5:$P$1517,"&gt;="&amp;P931),0)</f>
        <v>0</v>
      </c>
      <c r="Z931" s="8" t="n">
        <f aca="false">(L931-$K931)^2</f>
        <v>0.148560139225</v>
      </c>
      <c r="AA931" s="8" t="n">
        <f aca="false">(M931-$K931)^2</f>
        <v>0.008475595969</v>
      </c>
      <c r="AB931" s="8" t="n">
        <f aca="false">(N931-$K931)^2</f>
        <v>3.83161E-005</v>
      </c>
      <c r="AC931" s="8" t="n">
        <f aca="false">(O931-$K931)^2</f>
        <v>0.011274829489</v>
      </c>
      <c r="AD931" s="8" t="n">
        <f aca="false">(P931-$K931)^2</f>
        <v>3.3166081E-005</v>
      </c>
      <c r="AE931" s="8" t="n">
        <f aca="false">MIN(INT(ROUND(N931*1000000,0)/100000),9)</f>
        <v>0</v>
      </c>
      <c r="AF931" s="8" t="n">
        <f aca="false">MIN(INT(ROUND(P931*1000000,0)/100000),9)</f>
        <v>0</v>
      </c>
    </row>
    <row r="932" customFormat="false" ht="15" hidden="false" customHeight="false" outlineLevel="0" collapsed="false">
      <c r="A932" s="4" t="n">
        <v>928</v>
      </c>
      <c r="B932" s="4" t="n">
        <v>978</v>
      </c>
      <c r="C932" s="4" t="n">
        <v>2</v>
      </c>
      <c r="D932" s="11" t="n">
        <v>46113</v>
      </c>
      <c r="E932" s="4" t="s">
        <v>204</v>
      </c>
      <c r="F932" s="4" t="s">
        <v>206</v>
      </c>
      <c r="G932" s="4" t="n">
        <v>4</v>
      </c>
      <c r="H932" s="4" t="n">
        <v>0</v>
      </c>
      <c r="I932" s="4" t="n">
        <v>0</v>
      </c>
      <c r="J932" s="4" t="n">
        <v>42</v>
      </c>
      <c r="K932" s="4" t="n">
        <v>0</v>
      </c>
      <c r="L932" s="12" t="n">
        <v>0.221038</v>
      </c>
      <c r="M932" s="12" t="n">
        <v>0.092063</v>
      </c>
      <c r="N932" s="12" t="n">
        <v>0.117277</v>
      </c>
      <c r="O932" s="12" t="n">
        <v>0.106183</v>
      </c>
      <c r="P932" s="12" t="n">
        <v>0.125041</v>
      </c>
      <c r="Q932" s="0" t="str">
        <f aca="false">IF(L932&gt;=Models!$G$5,1+COUNTIF($L$5:$L$1517,"&gt;"&amp;L932)+COUNTIFS($L$5:$L$1517,L932,$B$5:$B$1517,"&lt;"&amp;B932)+COUNTIFS($L$5:$L$1517,L932,$B$5:$B$1517,B932,$C$5:$C$1517,"&lt;"&amp;C932),"")</f>
        <v/>
      </c>
      <c r="R932" s="0" t="str">
        <f aca="false">IF(M932&gt;=Models!$G$6,1+COUNTIF($M$5:$M$1517,"&gt;"&amp;M932)+COUNTIFS($M$5:$M$1517,M932,$B$5:$B$1517,"&lt;"&amp;B932)+COUNTIFS($M$5:$M$1517,M932,$B$5:$B$1517,B932,$C$5:$C$1517,"&lt;"&amp;C932),"")</f>
        <v/>
      </c>
      <c r="S932" s="0" t="str">
        <f aca="false">IF(N932&gt;=Models!$G$7,1+COUNTIF($N$5:$N$1517,"&gt;"&amp;N932)+COUNTIFS($N$5:$N$1517,N932,$B$5:$B$1517,"&lt;"&amp;B932)+COUNTIFS($N$5:$N$1517,N932,$B$5:$B$1517,B932,$C$5:$C$1517,"&lt;"&amp;C932),"")</f>
        <v/>
      </c>
      <c r="T932" s="8" t="n">
        <f aca="false">IF(O932&gt;=Models!$G$8,1+COUNTIF($O$5:$O$1517,"&gt;"&amp;O932)+COUNTIFS($O$5:$O$1517,O932,$B$5:$B$1517,"&lt;"&amp;B932)+COUNTIFS($O$5:$O$1517,O932,$B$5:$B$1517,B932,$C$5:$C$1517,"&lt;"&amp;C932),"")</f>
        <v>775</v>
      </c>
      <c r="U932" s="8" t="n">
        <f aca="false">IF($K932=1,COUNTIFS($L$5:$L$1517,"&gt;="&amp;L932,$K$5:$K$1517,1)/COUNTIF($L$5:$L$1517,"&gt;="&amp;L932),0)</f>
        <v>0</v>
      </c>
      <c r="V932" s="8" t="n">
        <f aca="false">IF($K932=1,COUNTIFS($M$5:$M$1517,"&gt;="&amp;M932,$K$5:$K$1517,1)/COUNTIF($M$5:$M$1517,"&gt;="&amp;M932),0)</f>
        <v>0</v>
      </c>
      <c r="W932" s="8" t="n">
        <f aca="false">IF($K932=1,COUNTIFS($N$5:$N$1517,"&gt;="&amp;N932,$K$5:$K$1517,1)/COUNTIF($N$5:$N$1517,"&gt;="&amp;N932),0)</f>
        <v>0</v>
      </c>
      <c r="X932" s="8" t="n">
        <f aca="false">IF($K932=1,COUNTIFS($O$5:$O$1517,"&gt;="&amp;O932,$K$5:$K$1517,1)/COUNTIF($O$5:$O$1517,"&gt;="&amp;O932),0)</f>
        <v>0</v>
      </c>
      <c r="Y932" s="8" t="n">
        <f aca="false">IF($K932=1,COUNTIFS($P$5:$P$1517,"&gt;="&amp;P932,$K$5:$K$1517,1)/COUNTIF($P$5:$P$1517,"&gt;="&amp;P932),0)</f>
        <v>0</v>
      </c>
      <c r="Z932" s="8" t="n">
        <f aca="false">(L932-$K932)^2</f>
        <v>0.048857797444</v>
      </c>
      <c r="AA932" s="8" t="n">
        <f aca="false">(M932-$K932)^2</f>
        <v>0.008475595969</v>
      </c>
      <c r="AB932" s="8" t="n">
        <f aca="false">(N932-$K932)^2</f>
        <v>0.013753894729</v>
      </c>
      <c r="AC932" s="8" t="n">
        <f aca="false">(O932-$K932)^2</f>
        <v>0.011274829489</v>
      </c>
      <c r="AD932" s="8" t="n">
        <f aca="false">(P932-$K932)^2</f>
        <v>0.015635251681</v>
      </c>
      <c r="AE932" s="8" t="n">
        <f aca="false">MIN(INT(ROUND(N932*1000000,0)/100000),9)</f>
        <v>1</v>
      </c>
      <c r="AF932" s="8" t="n">
        <f aca="false">MIN(INT(ROUND(P932*1000000,0)/100000),9)</f>
        <v>1</v>
      </c>
    </row>
    <row r="933" customFormat="false" ht="15" hidden="false" customHeight="false" outlineLevel="0" collapsed="false">
      <c r="A933" s="4" t="n">
        <v>929</v>
      </c>
      <c r="B933" s="4" t="n">
        <v>985</v>
      </c>
      <c r="C933" s="4" t="n">
        <v>2</v>
      </c>
      <c r="D933" s="11" t="n">
        <v>46113</v>
      </c>
      <c r="E933" s="4" t="s">
        <v>203</v>
      </c>
      <c r="F933" s="4" t="s">
        <v>206</v>
      </c>
      <c r="G933" s="4" t="n">
        <v>5</v>
      </c>
      <c r="H933" s="4" t="n">
        <v>11</v>
      </c>
      <c r="I933" s="4" t="n">
        <v>0</v>
      </c>
      <c r="J933" s="4"/>
      <c r="K933" s="4" t="n">
        <v>0</v>
      </c>
      <c r="L933" s="12" t="n">
        <v>0.761237</v>
      </c>
      <c r="M933" s="12" t="n">
        <v>0.092063</v>
      </c>
      <c r="N933" s="12" t="n">
        <v>0.058821</v>
      </c>
      <c r="O933" s="12" t="n">
        <v>0.106183</v>
      </c>
      <c r="P933" s="12" t="n">
        <v>0.060906</v>
      </c>
      <c r="Q933" s="0" t="str">
        <f aca="false">IF(L933&gt;=Models!$G$5,1+COUNTIF($L$5:$L$1517,"&gt;"&amp;L933)+COUNTIFS($L$5:$L$1517,L933,$B$5:$B$1517,"&lt;"&amp;B933)+COUNTIFS($L$5:$L$1517,L933,$B$5:$B$1517,B933,$C$5:$C$1517,"&lt;"&amp;C933),"")</f>
        <v/>
      </c>
      <c r="R933" s="0" t="str">
        <f aca="false">IF(M933&gt;=Models!$G$6,1+COUNTIF($M$5:$M$1517,"&gt;"&amp;M933)+COUNTIFS($M$5:$M$1517,M933,$B$5:$B$1517,"&lt;"&amp;B933)+COUNTIFS($M$5:$M$1517,M933,$B$5:$B$1517,B933,$C$5:$C$1517,"&lt;"&amp;C933),"")</f>
        <v/>
      </c>
      <c r="S933" s="0" t="str">
        <f aca="false">IF(N933&gt;=Models!$G$7,1+COUNTIF($N$5:$N$1517,"&gt;"&amp;N933)+COUNTIFS($N$5:$N$1517,N933,$B$5:$B$1517,"&lt;"&amp;B933)+COUNTIFS($N$5:$N$1517,N933,$B$5:$B$1517,B933,$C$5:$C$1517,"&lt;"&amp;C933),"")</f>
        <v/>
      </c>
      <c r="T933" s="8" t="n">
        <f aca="false">IF(O933&gt;=Models!$G$8,1+COUNTIF($O$5:$O$1517,"&gt;"&amp;O933)+COUNTIFS($O$5:$O$1517,O933,$B$5:$B$1517,"&lt;"&amp;B933)+COUNTIFS($O$5:$O$1517,O933,$B$5:$B$1517,B933,$C$5:$C$1517,"&lt;"&amp;C933),"")</f>
        <v>779</v>
      </c>
      <c r="U933" s="8" t="n">
        <f aca="false">IF($K933=1,COUNTIFS($L$5:$L$1517,"&gt;="&amp;L933,$K$5:$K$1517,1)/COUNTIF($L$5:$L$1517,"&gt;="&amp;L933),0)</f>
        <v>0</v>
      </c>
      <c r="V933" s="8" t="n">
        <f aca="false">IF($K933=1,COUNTIFS($M$5:$M$1517,"&gt;="&amp;M933,$K$5:$K$1517,1)/COUNTIF($M$5:$M$1517,"&gt;="&amp;M933),0)</f>
        <v>0</v>
      </c>
      <c r="W933" s="8" t="n">
        <f aca="false">IF($K933=1,COUNTIFS($N$5:$N$1517,"&gt;="&amp;N933,$K$5:$K$1517,1)/COUNTIF($N$5:$N$1517,"&gt;="&amp;N933),0)</f>
        <v>0</v>
      </c>
      <c r="X933" s="8" t="n">
        <f aca="false">IF($K933=1,COUNTIFS($O$5:$O$1517,"&gt;="&amp;O933,$K$5:$K$1517,1)/COUNTIF($O$5:$O$1517,"&gt;="&amp;O933),0)</f>
        <v>0</v>
      </c>
      <c r="Y933" s="8" t="n">
        <f aca="false">IF($K933=1,COUNTIFS($P$5:$P$1517,"&gt;="&amp;P933,$K$5:$K$1517,1)/COUNTIF($P$5:$P$1517,"&gt;="&amp;P933),0)</f>
        <v>0</v>
      </c>
      <c r="Z933" s="8" t="n">
        <f aca="false">(L933-$K933)^2</f>
        <v>0.579481770169</v>
      </c>
      <c r="AA933" s="8" t="n">
        <f aca="false">(M933-$K933)^2</f>
        <v>0.008475595969</v>
      </c>
      <c r="AB933" s="8" t="n">
        <f aca="false">(N933-$K933)^2</f>
        <v>0.003459910041</v>
      </c>
      <c r="AC933" s="8" t="n">
        <f aca="false">(O933-$K933)^2</f>
        <v>0.011274829489</v>
      </c>
      <c r="AD933" s="8" t="n">
        <f aca="false">(P933-$K933)^2</f>
        <v>0.003709540836</v>
      </c>
      <c r="AE933" s="8" t="n">
        <f aca="false">MIN(INT(ROUND(N933*1000000,0)/100000),9)</f>
        <v>0</v>
      </c>
      <c r="AF933" s="8" t="n">
        <f aca="false">MIN(INT(ROUND(P933*1000000,0)/100000),9)</f>
        <v>0</v>
      </c>
    </row>
    <row r="934" customFormat="false" ht="15" hidden="false" customHeight="false" outlineLevel="0" collapsed="false">
      <c r="A934" s="4" t="n">
        <v>930</v>
      </c>
      <c r="B934" s="4" t="n">
        <v>986</v>
      </c>
      <c r="C934" s="4" t="n">
        <v>2</v>
      </c>
      <c r="D934" s="11" t="n">
        <v>46113</v>
      </c>
      <c r="E934" s="4" t="s">
        <v>202</v>
      </c>
      <c r="F934" s="4" t="s">
        <v>207</v>
      </c>
      <c r="G934" s="4" t="n">
        <v>6</v>
      </c>
      <c r="H934" s="4" t="n">
        <v>6</v>
      </c>
      <c r="I934" s="4" t="n">
        <v>0</v>
      </c>
      <c r="J934" s="4" t="n">
        <v>630</v>
      </c>
      <c r="K934" s="4" t="n">
        <v>0</v>
      </c>
      <c r="L934" s="12" t="n">
        <v>0.21289</v>
      </c>
      <c r="M934" s="12" t="n">
        <v>0.092063</v>
      </c>
      <c r="N934" s="12" t="n">
        <v>0.101249</v>
      </c>
      <c r="O934" s="12" t="n">
        <v>0.106183</v>
      </c>
      <c r="P934" s="12" t="n">
        <v>0.107327</v>
      </c>
      <c r="Q934" s="0" t="str">
        <f aca="false">IF(L934&gt;=Models!$G$5,1+COUNTIF($L$5:$L$1517,"&gt;"&amp;L934)+COUNTIFS($L$5:$L$1517,L934,$B$5:$B$1517,"&lt;"&amp;B934)+COUNTIFS($L$5:$L$1517,L934,$B$5:$B$1517,B934,$C$5:$C$1517,"&lt;"&amp;C934),"")</f>
        <v/>
      </c>
      <c r="R934" s="0" t="str">
        <f aca="false">IF(M934&gt;=Models!$G$6,1+COUNTIF($M$5:$M$1517,"&gt;"&amp;M934)+COUNTIFS($M$5:$M$1517,M934,$B$5:$B$1517,"&lt;"&amp;B934)+COUNTIFS($M$5:$M$1517,M934,$B$5:$B$1517,B934,$C$5:$C$1517,"&lt;"&amp;C934),"")</f>
        <v/>
      </c>
      <c r="S934" s="0" t="str">
        <f aca="false">IF(N934&gt;=Models!$G$7,1+COUNTIF($N$5:$N$1517,"&gt;"&amp;N934)+COUNTIFS($N$5:$N$1517,N934,$B$5:$B$1517,"&lt;"&amp;B934)+COUNTIFS($N$5:$N$1517,N934,$B$5:$B$1517,B934,$C$5:$C$1517,"&lt;"&amp;C934),"")</f>
        <v/>
      </c>
      <c r="T934" s="8" t="n">
        <f aca="false">IF(O934&gt;=Models!$G$8,1+COUNTIF($O$5:$O$1517,"&gt;"&amp;O934)+COUNTIFS($O$5:$O$1517,O934,$B$5:$B$1517,"&lt;"&amp;B934)+COUNTIFS($O$5:$O$1517,O934,$B$5:$B$1517,B934,$C$5:$C$1517,"&lt;"&amp;C934),"")</f>
        <v>783</v>
      </c>
      <c r="U934" s="8" t="n">
        <f aca="false">IF($K934=1,COUNTIFS($L$5:$L$1517,"&gt;="&amp;L934,$K$5:$K$1517,1)/COUNTIF($L$5:$L$1517,"&gt;="&amp;L934),0)</f>
        <v>0</v>
      </c>
      <c r="V934" s="8" t="n">
        <f aca="false">IF($K934=1,COUNTIFS($M$5:$M$1517,"&gt;="&amp;M934,$K$5:$K$1517,1)/COUNTIF($M$5:$M$1517,"&gt;="&amp;M934),0)</f>
        <v>0</v>
      </c>
      <c r="W934" s="8" t="n">
        <f aca="false">IF($K934=1,COUNTIFS($N$5:$N$1517,"&gt;="&amp;N934,$K$5:$K$1517,1)/COUNTIF($N$5:$N$1517,"&gt;="&amp;N934),0)</f>
        <v>0</v>
      </c>
      <c r="X934" s="8" t="n">
        <f aca="false">IF($K934=1,COUNTIFS($O$5:$O$1517,"&gt;="&amp;O934,$K$5:$K$1517,1)/COUNTIF($O$5:$O$1517,"&gt;="&amp;O934),0)</f>
        <v>0</v>
      </c>
      <c r="Y934" s="8" t="n">
        <f aca="false">IF($K934=1,COUNTIFS($P$5:$P$1517,"&gt;="&amp;P934,$K$5:$K$1517,1)/COUNTIF($P$5:$P$1517,"&gt;="&amp;P934),0)</f>
        <v>0</v>
      </c>
      <c r="Z934" s="8" t="n">
        <f aca="false">(L934-$K934)^2</f>
        <v>0.0453221521</v>
      </c>
      <c r="AA934" s="8" t="n">
        <f aca="false">(M934-$K934)^2</f>
        <v>0.008475595969</v>
      </c>
      <c r="AB934" s="8" t="n">
        <f aca="false">(N934-$K934)^2</f>
        <v>0.010251360001</v>
      </c>
      <c r="AC934" s="8" t="n">
        <f aca="false">(O934-$K934)^2</f>
        <v>0.011274829489</v>
      </c>
      <c r="AD934" s="8" t="n">
        <f aca="false">(P934-$K934)^2</f>
        <v>0.011519084929</v>
      </c>
      <c r="AE934" s="8" t="n">
        <f aca="false">MIN(INT(ROUND(N934*1000000,0)/100000),9)</f>
        <v>1</v>
      </c>
      <c r="AF934" s="8" t="n">
        <f aca="false">MIN(INT(ROUND(P934*1000000,0)/100000),9)</f>
        <v>1</v>
      </c>
    </row>
    <row r="935" customFormat="false" ht="15" hidden="false" customHeight="false" outlineLevel="0" collapsed="false">
      <c r="A935" s="4" t="n">
        <v>931</v>
      </c>
      <c r="B935" s="4" t="n">
        <v>987</v>
      </c>
      <c r="C935" s="4" t="n">
        <v>2</v>
      </c>
      <c r="D935" s="11" t="n">
        <v>46113</v>
      </c>
      <c r="E935" s="4" t="s">
        <v>201</v>
      </c>
      <c r="F935" s="4" t="s">
        <v>206</v>
      </c>
      <c r="G935" s="4" t="n">
        <v>14</v>
      </c>
      <c r="H935" s="4" t="n">
        <v>1</v>
      </c>
      <c r="I935" s="4" t="n">
        <v>1</v>
      </c>
      <c r="J935" s="4"/>
      <c r="K935" s="4" t="n">
        <v>0</v>
      </c>
      <c r="L935" s="12" t="n">
        <v>0.322795</v>
      </c>
      <c r="M935" s="12" t="n">
        <v>0.184211</v>
      </c>
      <c r="N935" s="12" t="n">
        <v>0.044427</v>
      </c>
      <c r="O935" s="12" t="n">
        <v>0.106183</v>
      </c>
      <c r="P935" s="12" t="n">
        <v>0.045413</v>
      </c>
      <c r="Q935" s="0" t="str">
        <f aca="false">IF(L935&gt;=Models!$G$5,1+COUNTIF($L$5:$L$1517,"&gt;"&amp;L935)+COUNTIFS($L$5:$L$1517,L935,$B$5:$B$1517,"&lt;"&amp;B935)+COUNTIFS($L$5:$L$1517,L935,$B$5:$B$1517,B935,$C$5:$C$1517,"&lt;"&amp;C935),"")</f>
        <v/>
      </c>
      <c r="R935" s="8" t="n">
        <f aca="false">IF(M935&gt;=Models!$G$6,1+COUNTIF($M$5:$M$1517,"&gt;"&amp;M935)+COUNTIFS($M$5:$M$1517,M935,$B$5:$B$1517,"&lt;"&amp;B935)+COUNTIFS($M$5:$M$1517,M935,$B$5:$B$1517,B935,$C$5:$C$1517,"&lt;"&amp;C935),"")</f>
        <v>86</v>
      </c>
      <c r="S935" s="0" t="str">
        <f aca="false">IF(N935&gt;=Models!$G$7,1+COUNTIF($N$5:$N$1517,"&gt;"&amp;N935)+COUNTIFS($N$5:$N$1517,N935,$B$5:$B$1517,"&lt;"&amp;B935)+COUNTIFS($N$5:$N$1517,N935,$B$5:$B$1517,B935,$C$5:$C$1517,"&lt;"&amp;C935),"")</f>
        <v/>
      </c>
      <c r="T935" s="8" t="n">
        <f aca="false">IF(O935&gt;=Models!$G$8,1+COUNTIF($O$5:$O$1517,"&gt;"&amp;O935)+COUNTIFS($O$5:$O$1517,O935,$B$5:$B$1517,"&lt;"&amp;B935)+COUNTIFS($O$5:$O$1517,O935,$B$5:$B$1517,B935,$C$5:$C$1517,"&lt;"&amp;C935),"")</f>
        <v>787</v>
      </c>
      <c r="U935" s="8" t="n">
        <f aca="false">IF($K935=1,COUNTIFS($L$5:$L$1517,"&gt;="&amp;L935,$K$5:$K$1517,1)/COUNTIF($L$5:$L$1517,"&gt;="&amp;L935),0)</f>
        <v>0</v>
      </c>
      <c r="V935" s="8" t="n">
        <f aca="false">IF($K935=1,COUNTIFS($M$5:$M$1517,"&gt;="&amp;M935,$K$5:$K$1517,1)/COUNTIF($M$5:$M$1517,"&gt;="&amp;M935),0)</f>
        <v>0</v>
      </c>
      <c r="W935" s="8" t="n">
        <f aca="false">IF($K935=1,COUNTIFS($N$5:$N$1517,"&gt;="&amp;N935,$K$5:$K$1517,1)/COUNTIF($N$5:$N$1517,"&gt;="&amp;N935),0)</f>
        <v>0</v>
      </c>
      <c r="X935" s="8" t="n">
        <f aca="false">IF($K935=1,COUNTIFS($O$5:$O$1517,"&gt;="&amp;O935,$K$5:$K$1517,1)/COUNTIF($O$5:$O$1517,"&gt;="&amp;O935),0)</f>
        <v>0</v>
      </c>
      <c r="Y935" s="8" t="n">
        <f aca="false">IF($K935=1,COUNTIFS($P$5:$P$1517,"&gt;="&amp;P935,$K$5:$K$1517,1)/COUNTIF($P$5:$P$1517,"&gt;="&amp;P935),0)</f>
        <v>0</v>
      </c>
      <c r="Z935" s="8" t="n">
        <f aca="false">(L935-$K935)^2</f>
        <v>0.104196612025</v>
      </c>
      <c r="AA935" s="8" t="n">
        <f aca="false">(M935-$K935)^2</f>
        <v>0.033933692521</v>
      </c>
      <c r="AB935" s="8" t="n">
        <f aca="false">(N935-$K935)^2</f>
        <v>0.001973758329</v>
      </c>
      <c r="AC935" s="8" t="n">
        <f aca="false">(O935-$K935)^2</f>
        <v>0.011274829489</v>
      </c>
      <c r="AD935" s="8" t="n">
        <f aca="false">(P935-$K935)^2</f>
        <v>0.002062340569</v>
      </c>
      <c r="AE935" s="8" t="n">
        <f aca="false">MIN(INT(ROUND(N935*1000000,0)/100000),9)</f>
        <v>0</v>
      </c>
      <c r="AF935" s="8" t="n">
        <f aca="false">MIN(INT(ROUND(P935*1000000,0)/100000),9)</f>
        <v>0</v>
      </c>
    </row>
    <row r="936" customFormat="false" ht="15" hidden="false" customHeight="false" outlineLevel="0" collapsed="false">
      <c r="A936" s="4" t="n">
        <v>932</v>
      </c>
      <c r="B936" s="4" t="n">
        <v>989</v>
      </c>
      <c r="C936" s="4" t="n">
        <v>2</v>
      </c>
      <c r="D936" s="11" t="n">
        <v>46113</v>
      </c>
      <c r="E936" s="4" t="s">
        <v>202</v>
      </c>
      <c r="F936" s="4" t="s">
        <v>209</v>
      </c>
      <c r="G936" s="4" t="n">
        <v>10</v>
      </c>
      <c r="H936" s="4" t="n">
        <v>0</v>
      </c>
      <c r="I936" s="4" t="n">
        <v>0</v>
      </c>
      <c r="J936" s="4" t="n">
        <v>1113</v>
      </c>
      <c r="K936" s="4" t="n">
        <v>0</v>
      </c>
      <c r="L936" s="12" t="n">
        <v>0.417875</v>
      </c>
      <c r="M936" s="12" t="n">
        <v>0.092063</v>
      </c>
      <c r="N936" s="12" t="n">
        <v>0.067824</v>
      </c>
      <c r="O936" s="12" t="n">
        <v>0.106183</v>
      </c>
      <c r="P936" s="12" t="n">
        <v>0.070678</v>
      </c>
      <c r="Q936" s="0" t="str">
        <f aca="false">IF(L936&gt;=Models!$G$5,1+COUNTIF($L$5:$L$1517,"&gt;"&amp;L936)+COUNTIFS($L$5:$L$1517,L936,$B$5:$B$1517,"&lt;"&amp;B936)+COUNTIFS($L$5:$L$1517,L936,$B$5:$B$1517,B936,$C$5:$C$1517,"&lt;"&amp;C936),"")</f>
        <v/>
      </c>
      <c r="R936" s="0" t="str">
        <f aca="false">IF(M936&gt;=Models!$G$6,1+COUNTIF($M$5:$M$1517,"&gt;"&amp;M936)+COUNTIFS($M$5:$M$1517,M936,$B$5:$B$1517,"&lt;"&amp;B936)+COUNTIFS($M$5:$M$1517,M936,$B$5:$B$1517,B936,$C$5:$C$1517,"&lt;"&amp;C936),"")</f>
        <v/>
      </c>
      <c r="S936" s="0" t="str">
        <f aca="false">IF(N936&gt;=Models!$G$7,1+COUNTIF($N$5:$N$1517,"&gt;"&amp;N936)+COUNTIFS($N$5:$N$1517,N936,$B$5:$B$1517,"&lt;"&amp;B936)+COUNTIFS($N$5:$N$1517,N936,$B$5:$B$1517,B936,$C$5:$C$1517,"&lt;"&amp;C936),"")</f>
        <v/>
      </c>
      <c r="T936" s="8" t="n">
        <f aca="false">IF(O936&gt;=Models!$G$8,1+COUNTIF($O$5:$O$1517,"&gt;"&amp;O936)+COUNTIFS($O$5:$O$1517,O936,$B$5:$B$1517,"&lt;"&amp;B936)+COUNTIFS($O$5:$O$1517,O936,$B$5:$B$1517,B936,$C$5:$C$1517,"&lt;"&amp;C936),"")</f>
        <v>791</v>
      </c>
      <c r="U936" s="8" t="n">
        <f aca="false">IF($K936=1,COUNTIFS($L$5:$L$1517,"&gt;="&amp;L936,$K$5:$K$1517,1)/COUNTIF($L$5:$L$1517,"&gt;="&amp;L936),0)</f>
        <v>0</v>
      </c>
      <c r="V936" s="8" t="n">
        <f aca="false">IF($K936=1,COUNTIFS($M$5:$M$1517,"&gt;="&amp;M936,$K$5:$K$1517,1)/COUNTIF($M$5:$M$1517,"&gt;="&amp;M936),0)</f>
        <v>0</v>
      </c>
      <c r="W936" s="8" t="n">
        <f aca="false">IF($K936=1,COUNTIFS($N$5:$N$1517,"&gt;="&amp;N936,$K$5:$K$1517,1)/COUNTIF($N$5:$N$1517,"&gt;="&amp;N936),0)</f>
        <v>0</v>
      </c>
      <c r="X936" s="8" t="n">
        <f aca="false">IF($K936=1,COUNTIFS($O$5:$O$1517,"&gt;="&amp;O936,$K$5:$K$1517,1)/COUNTIF($O$5:$O$1517,"&gt;="&amp;O936),0)</f>
        <v>0</v>
      </c>
      <c r="Y936" s="8" t="n">
        <f aca="false">IF($K936=1,COUNTIFS($P$5:$P$1517,"&gt;="&amp;P936,$K$5:$K$1517,1)/COUNTIF($P$5:$P$1517,"&gt;="&amp;P936),0)</f>
        <v>0</v>
      </c>
      <c r="Z936" s="8" t="n">
        <f aca="false">(L936-$K936)^2</f>
        <v>0.174619515625</v>
      </c>
      <c r="AA936" s="8" t="n">
        <f aca="false">(M936-$K936)^2</f>
        <v>0.008475595969</v>
      </c>
      <c r="AB936" s="8" t="n">
        <f aca="false">(N936-$K936)^2</f>
        <v>0.004600094976</v>
      </c>
      <c r="AC936" s="8" t="n">
        <f aca="false">(O936-$K936)^2</f>
        <v>0.011274829489</v>
      </c>
      <c r="AD936" s="8" t="n">
        <f aca="false">(P936-$K936)^2</f>
        <v>0.004995379684</v>
      </c>
      <c r="AE936" s="8" t="n">
        <f aca="false">MIN(INT(ROUND(N936*1000000,0)/100000),9)</f>
        <v>0</v>
      </c>
      <c r="AF936" s="8" t="n">
        <f aca="false">MIN(INT(ROUND(P936*1000000,0)/100000),9)</f>
        <v>0</v>
      </c>
    </row>
    <row r="937" customFormat="false" ht="15" hidden="false" customHeight="false" outlineLevel="0" collapsed="false">
      <c r="A937" s="4" t="n">
        <v>933</v>
      </c>
      <c r="B937" s="4" t="n">
        <v>997</v>
      </c>
      <c r="C937" s="4" t="n">
        <v>2</v>
      </c>
      <c r="D937" s="11" t="n">
        <v>46113</v>
      </c>
      <c r="E937" s="4" t="s">
        <v>202</v>
      </c>
      <c r="F937" s="4" t="s">
        <v>206</v>
      </c>
      <c r="G937" s="4" t="n">
        <v>12</v>
      </c>
      <c r="H937" s="4" t="n">
        <v>0</v>
      </c>
      <c r="I937" s="4" t="n">
        <v>0</v>
      </c>
      <c r="J937" s="4" t="n">
        <v>1064.7</v>
      </c>
      <c r="K937" s="4" t="n">
        <v>1</v>
      </c>
      <c r="L937" s="12" t="n">
        <v>0.554013</v>
      </c>
      <c r="M937" s="12" t="n">
        <v>0.092063</v>
      </c>
      <c r="N937" s="12" t="n">
        <v>0.057443</v>
      </c>
      <c r="O937" s="12" t="n">
        <v>0.106183</v>
      </c>
      <c r="P937" s="12" t="n">
        <v>0.059416</v>
      </c>
      <c r="Q937" s="0" t="str">
        <f aca="false">IF(L937&gt;=Models!$G$5,1+COUNTIF($L$5:$L$1517,"&gt;"&amp;L937)+COUNTIFS($L$5:$L$1517,L937,$B$5:$B$1517,"&lt;"&amp;B937)+COUNTIFS($L$5:$L$1517,L937,$B$5:$B$1517,B937,$C$5:$C$1517,"&lt;"&amp;C937),"")</f>
        <v/>
      </c>
      <c r="R937" s="0" t="str">
        <f aca="false">IF(M937&gt;=Models!$G$6,1+COUNTIF($M$5:$M$1517,"&gt;"&amp;M937)+COUNTIFS($M$5:$M$1517,M937,$B$5:$B$1517,"&lt;"&amp;B937)+COUNTIFS($M$5:$M$1517,M937,$B$5:$B$1517,B937,$C$5:$C$1517,"&lt;"&amp;C937),"")</f>
        <v/>
      </c>
      <c r="S937" s="0" t="str">
        <f aca="false">IF(N937&gt;=Models!$G$7,1+COUNTIF($N$5:$N$1517,"&gt;"&amp;N937)+COUNTIFS($N$5:$N$1517,N937,$B$5:$B$1517,"&lt;"&amp;B937)+COUNTIFS($N$5:$N$1517,N937,$B$5:$B$1517,B937,$C$5:$C$1517,"&lt;"&amp;C937),"")</f>
        <v/>
      </c>
      <c r="T937" s="8" t="n">
        <f aca="false">IF(O937&gt;=Models!$G$8,1+COUNTIF($O$5:$O$1517,"&gt;"&amp;O937)+COUNTIFS($O$5:$O$1517,O937,$B$5:$B$1517,"&lt;"&amp;B937)+COUNTIFS($O$5:$O$1517,O937,$B$5:$B$1517,B937,$C$5:$C$1517,"&lt;"&amp;C937),"")</f>
        <v>795</v>
      </c>
      <c r="U937" s="8" t="n">
        <f aca="false">IF($K937=1,COUNTIFS($L$5:$L$1517,"&gt;="&amp;L937,$K$5:$K$1517,1)/COUNTIF($L$5:$L$1517,"&gt;="&amp;L937),0)</f>
        <v>0.120845921450151</v>
      </c>
      <c r="V937" s="8" t="n">
        <f aca="false">IF($K937=1,COUNTIFS($M$5:$M$1517,"&gt;="&amp;M937,$K$5:$K$1517,1)/COUNTIF($M$5:$M$1517,"&gt;="&amp;M937),0)</f>
        <v>0.12491738268341</v>
      </c>
      <c r="W937" s="8" t="n">
        <f aca="false">IF($K937=1,COUNTIFS($N$5:$N$1517,"&gt;="&amp;N937,$K$5:$K$1517,1)/COUNTIF($N$5:$N$1517,"&gt;="&amp;N937),0)</f>
        <v>0.156505914467698</v>
      </c>
      <c r="X937" s="8" t="n">
        <f aca="false">IF($K937=1,COUNTIFS($O$5:$O$1517,"&gt;="&amp;O937,$K$5:$K$1517,1)/COUNTIF($O$5:$O$1517,"&gt;="&amp;O937),0)</f>
        <v>0.12491738268341</v>
      </c>
      <c r="Y937" s="8" t="n">
        <f aca="false">IF($K937=1,COUNTIFS($P$5:$P$1517,"&gt;="&amp;P937,$K$5:$K$1517,1)/COUNTIF($P$5:$P$1517,"&gt;="&amp;P937),0)</f>
        <v>0.156505914467698</v>
      </c>
      <c r="Z937" s="8" t="n">
        <f aca="false">(L937-$K937)^2</f>
        <v>0.198904404169</v>
      </c>
      <c r="AA937" s="8" t="n">
        <f aca="false">(M937-$K937)^2</f>
        <v>0.824349595969</v>
      </c>
      <c r="AB937" s="8" t="n">
        <f aca="false">(N937-$K937)^2</f>
        <v>0.888413698249</v>
      </c>
      <c r="AC937" s="8" t="n">
        <f aca="false">(O937-$K937)^2</f>
        <v>0.798908829489</v>
      </c>
      <c r="AD937" s="8" t="n">
        <f aca="false">(P937-$K937)^2</f>
        <v>0.884698261056</v>
      </c>
      <c r="AE937" s="8" t="n">
        <f aca="false">MIN(INT(ROUND(N937*1000000,0)/100000),9)</f>
        <v>0</v>
      </c>
      <c r="AF937" s="8" t="n">
        <f aca="false">MIN(INT(ROUND(P937*1000000,0)/100000),9)</f>
        <v>0</v>
      </c>
    </row>
    <row r="938" customFormat="false" ht="15" hidden="false" customHeight="false" outlineLevel="0" collapsed="false">
      <c r="A938" s="4" t="n">
        <v>934</v>
      </c>
      <c r="B938" s="4" t="n">
        <v>999</v>
      </c>
      <c r="C938" s="4" t="n">
        <v>2</v>
      </c>
      <c r="D938" s="11" t="n">
        <v>46113</v>
      </c>
      <c r="E938" s="4" t="s">
        <v>202</v>
      </c>
      <c r="F938" s="4" t="s">
        <v>206</v>
      </c>
      <c r="G938" s="4" t="n">
        <v>4</v>
      </c>
      <c r="H938" s="4" t="n">
        <v>9</v>
      </c>
      <c r="I938" s="4" t="n">
        <v>0</v>
      </c>
      <c r="J938" s="4"/>
      <c r="K938" s="4" t="n">
        <v>0</v>
      </c>
      <c r="L938" s="12" t="n">
        <v>0.244093</v>
      </c>
      <c r="M938" s="12" t="n">
        <v>0.092063</v>
      </c>
      <c r="N938" s="12" t="n">
        <v>0.063031</v>
      </c>
      <c r="O938" s="12" t="n">
        <v>0.106183</v>
      </c>
      <c r="P938" s="12" t="n">
        <v>0.065469</v>
      </c>
      <c r="Q938" s="0" t="str">
        <f aca="false">IF(L938&gt;=Models!$G$5,1+COUNTIF($L$5:$L$1517,"&gt;"&amp;L938)+COUNTIFS($L$5:$L$1517,L938,$B$5:$B$1517,"&lt;"&amp;B938)+COUNTIFS($L$5:$L$1517,L938,$B$5:$B$1517,B938,$C$5:$C$1517,"&lt;"&amp;C938),"")</f>
        <v/>
      </c>
      <c r="R938" s="0" t="str">
        <f aca="false">IF(M938&gt;=Models!$G$6,1+COUNTIF($M$5:$M$1517,"&gt;"&amp;M938)+COUNTIFS($M$5:$M$1517,M938,$B$5:$B$1517,"&lt;"&amp;B938)+COUNTIFS($M$5:$M$1517,M938,$B$5:$B$1517,B938,$C$5:$C$1517,"&lt;"&amp;C938),"")</f>
        <v/>
      </c>
      <c r="S938" s="0" t="str">
        <f aca="false">IF(N938&gt;=Models!$G$7,1+COUNTIF($N$5:$N$1517,"&gt;"&amp;N938)+COUNTIFS($N$5:$N$1517,N938,$B$5:$B$1517,"&lt;"&amp;B938)+COUNTIFS($N$5:$N$1517,N938,$B$5:$B$1517,B938,$C$5:$C$1517,"&lt;"&amp;C938),"")</f>
        <v/>
      </c>
      <c r="T938" s="8" t="n">
        <f aca="false">IF(O938&gt;=Models!$G$8,1+COUNTIF($O$5:$O$1517,"&gt;"&amp;O938)+COUNTIFS($O$5:$O$1517,O938,$B$5:$B$1517,"&lt;"&amp;B938)+COUNTIFS($O$5:$O$1517,O938,$B$5:$B$1517,B938,$C$5:$C$1517,"&lt;"&amp;C938),"")</f>
        <v>799</v>
      </c>
      <c r="U938" s="8" t="n">
        <f aca="false">IF($K938=1,COUNTIFS($L$5:$L$1517,"&gt;="&amp;L938,$K$5:$K$1517,1)/COUNTIF($L$5:$L$1517,"&gt;="&amp;L938),0)</f>
        <v>0</v>
      </c>
      <c r="V938" s="8" t="n">
        <f aca="false">IF($K938=1,COUNTIFS($M$5:$M$1517,"&gt;="&amp;M938,$K$5:$K$1517,1)/COUNTIF($M$5:$M$1517,"&gt;="&amp;M938),0)</f>
        <v>0</v>
      </c>
      <c r="W938" s="8" t="n">
        <f aca="false">IF($K938=1,COUNTIFS($N$5:$N$1517,"&gt;="&amp;N938,$K$5:$K$1517,1)/COUNTIF($N$5:$N$1517,"&gt;="&amp;N938),0)</f>
        <v>0</v>
      </c>
      <c r="X938" s="8" t="n">
        <f aca="false">IF($K938=1,COUNTIFS($O$5:$O$1517,"&gt;="&amp;O938,$K$5:$K$1517,1)/COUNTIF($O$5:$O$1517,"&gt;="&amp;O938),0)</f>
        <v>0</v>
      </c>
      <c r="Y938" s="8" t="n">
        <f aca="false">IF($K938=1,COUNTIFS($P$5:$P$1517,"&gt;="&amp;P938,$K$5:$K$1517,1)/COUNTIF($P$5:$P$1517,"&gt;="&amp;P938),0)</f>
        <v>0</v>
      </c>
      <c r="Z938" s="8" t="n">
        <f aca="false">(L938-$K938)^2</f>
        <v>0.059581392649</v>
      </c>
      <c r="AA938" s="8" t="n">
        <f aca="false">(M938-$K938)^2</f>
        <v>0.008475595969</v>
      </c>
      <c r="AB938" s="8" t="n">
        <f aca="false">(N938-$K938)^2</f>
        <v>0.003972906961</v>
      </c>
      <c r="AC938" s="8" t="n">
        <f aca="false">(O938-$K938)^2</f>
        <v>0.011274829489</v>
      </c>
      <c r="AD938" s="8" t="n">
        <f aca="false">(P938-$K938)^2</f>
        <v>0.004286189961</v>
      </c>
      <c r="AE938" s="8" t="n">
        <f aca="false">MIN(INT(ROUND(N938*1000000,0)/100000),9)</f>
        <v>0</v>
      </c>
      <c r="AF938" s="8" t="n">
        <f aca="false">MIN(INT(ROUND(P938*1000000,0)/100000),9)</f>
        <v>0</v>
      </c>
    </row>
    <row r="939" customFormat="false" ht="15" hidden="false" customHeight="false" outlineLevel="0" collapsed="false">
      <c r="A939" s="4" t="n">
        <v>935</v>
      </c>
      <c r="B939" s="4" t="n">
        <v>1009</v>
      </c>
      <c r="C939" s="4" t="n">
        <v>2</v>
      </c>
      <c r="D939" s="11" t="n">
        <v>46113</v>
      </c>
      <c r="E939" s="4" t="s">
        <v>204</v>
      </c>
      <c r="F939" s="4" t="s">
        <v>208</v>
      </c>
      <c r="G939" s="4" t="n">
        <v>3</v>
      </c>
      <c r="H939" s="4" t="n">
        <v>3</v>
      </c>
      <c r="I939" s="4" t="n">
        <v>1</v>
      </c>
      <c r="J939" s="4" t="n">
        <v>117</v>
      </c>
      <c r="K939" s="4" t="n">
        <v>0</v>
      </c>
      <c r="L939" s="12" t="n">
        <v>0.039987</v>
      </c>
      <c r="M939" s="12" t="n">
        <v>0.184211</v>
      </c>
      <c r="N939" s="12" t="n">
        <v>0.212117</v>
      </c>
      <c r="O939" s="12" t="n">
        <v>0.106183</v>
      </c>
      <c r="P939" s="12" t="n">
        <v>0.230467</v>
      </c>
      <c r="Q939" s="0" t="str">
        <f aca="false">IF(L939&gt;=Models!$G$5,1+COUNTIF($L$5:$L$1517,"&gt;"&amp;L939)+COUNTIFS($L$5:$L$1517,L939,$B$5:$B$1517,"&lt;"&amp;B939)+COUNTIFS($L$5:$L$1517,L939,$B$5:$B$1517,B939,$C$5:$C$1517,"&lt;"&amp;C939),"")</f>
        <v/>
      </c>
      <c r="R939" s="8" t="n">
        <f aca="false">IF(M939&gt;=Models!$G$6,1+COUNTIF($M$5:$M$1517,"&gt;"&amp;M939)+COUNTIFS($M$5:$M$1517,M939,$B$5:$B$1517,"&lt;"&amp;B939)+COUNTIFS($M$5:$M$1517,M939,$B$5:$B$1517,B939,$C$5:$C$1517,"&lt;"&amp;C939),"")</f>
        <v>88</v>
      </c>
      <c r="S939" s="0" t="str">
        <f aca="false">IF(N939&gt;=Models!$G$7,1+COUNTIF($N$5:$N$1517,"&gt;"&amp;N939)+COUNTIFS($N$5:$N$1517,N939,$B$5:$B$1517,"&lt;"&amp;B939)+COUNTIFS($N$5:$N$1517,N939,$B$5:$B$1517,B939,$C$5:$C$1517,"&lt;"&amp;C939),"")</f>
        <v/>
      </c>
      <c r="T939" s="8" t="n">
        <f aca="false">IF(O939&gt;=Models!$G$8,1+COUNTIF($O$5:$O$1517,"&gt;"&amp;O939)+COUNTIFS($O$5:$O$1517,O939,$B$5:$B$1517,"&lt;"&amp;B939)+COUNTIFS($O$5:$O$1517,O939,$B$5:$B$1517,B939,$C$5:$C$1517,"&lt;"&amp;C939),"")</f>
        <v>803</v>
      </c>
      <c r="U939" s="8" t="n">
        <f aca="false">IF($K939=1,COUNTIFS($L$5:$L$1517,"&gt;="&amp;L939,$K$5:$K$1517,1)/COUNTIF($L$5:$L$1517,"&gt;="&amp;L939),0)</f>
        <v>0</v>
      </c>
      <c r="V939" s="8" t="n">
        <f aca="false">IF($K939=1,COUNTIFS($M$5:$M$1517,"&gt;="&amp;M939,$K$5:$K$1517,1)/COUNTIF($M$5:$M$1517,"&gt;="&amp;M939),0)</f>
        <v>0</v>
      </c>
      <c r="W939" s="8" t="n">
        <f aca="false">IF($K939=1,COUNTIFS($N$5:$N$1517,"&gt;="&amp;N939,$K$5:$K$1517,1)/COUNTIF($N$5:$N$1517,"&gt;="&amp;N939),0)</f>
        <v>0</v>
      </c>
      <c r="X939" s="8" t="n">
        <f aca="false">IF($K939=1,COUNTIFS($O$5:$O$1517,"&gt;="&amp;O939,$K$5:$K$1517,1)/COUNTIF($O$5:$O$1517,"&gt;="&amp;O939),0)</f>
        <v>0</v>
      </c>
      <c r="Y939" s="8" t="n">
        <f aca="false">IF($K939=1,COUNTIFS($P$5:$P$1517,"&gt;="&amp;P939,$K$5:$K$1517,1)/COUNTIF($P$5:$P$1517,"&gt;="&amp;P939),0)</f>
        <v>0</v>
      </c>
      <c r="Z939" s="8" t="n">
        <f aca="false">(L939-$K939)^2</f>
        <v>0.001598960169</v>
      </c>
      <c r="AA939" s="8" t="n">
        <f aca="false">(M939-$K939)^2</f>
        <v>0.033933692521</v>
      </c>
      <c r="AB939" s="8" t="n">
        <f aca="false">(N939-$K939)^2</f>
        <v>0.044993621689</v>
      </c>
      <c r="AC939" s="8" t="n">
        <f aca="false">(O939-$K939)^2</f>
        <v>0.011274829489</v>
      </c>
      <c r="AD939" s="8" t="n">
        <f aca="false">(P939-$K939)^2</f>
        <v>0.053115038089</v>
      </c>
      <c r="AE939" s="8" t="n">
        <f aca="false">MIN(INT(ROUND(N939*1000000,0)/100000),9)</f>
        <v>2</v>
      </c>
      <c r="AF939" s="8" t="n">
        <f aca="false">MIN(INT(ROUND(P939*1000000,0)/100000),9)</f>
        <v>2</v>
      </c>
    </row>
    <row r="940" customFormat="false" ht="15" hidden="false" customHeight="false" outlineLevel="0" collapsed="false">
      <c r="A940" s="4" t="n">
        <v>936</v>
      </c>
      <c r="B940" s="4" t="n">
        <v>1015</v>
      </c>
      <c r="C940" s="4" t="n">
        <v>2</v>
      </c>
      <c r="D940" s="11" t="n">
        <v>46113</v>
      </c>
      <c r="E940" s="4" t="s">
        <v>204</v>
      </c>
      <c r="F940" s="4" t="s">
        <v>209</v>
      </c>
      <c r="G940" s="4" t="n">
        <v>2</v>
      </c>
      <c r="H940" s="4" t="n">
        <v>10</v>
      </c>
      <c r="I940" s="4" t="n">
        <v>0</v>
      </c>
      <c r="J940" s="4"/>
      <c r="K940" s="4" t="n">
        <v>0</v>
      </c>
      <c r="L940" s="12" t="n">
        <v>0.058407</v>
      </c>
      <c r="M940" s="12" t="n">
        <v>0.092063</v>
      </c>
      <c r="N940" s="12" t="n">
        <v>0.075101</v>
      </c>
      <c r="O940" s="12" t="n">
        <v>0.106183</v>
      </c>
      <c r="P940" s="12" t="n">
        <v>0.078613</v>
      </c>
      <c r="Q940" s="0" t="str">
        <f aca="false">IF(L940&gt;=Models!$G$5,1+COUNTIF($L$5:$L$1517,"&gt;"&amp;L940)+COUNTIFS($L$5:$L$1517,L940,$B$5:$B$1517,"&lt;"&amp;B940)+COUNTIFS($L$5:$L$1517,L940,$B$5:$B$1517,B940,$C$5:$C$1517,"&lt;"&amp;C940),"")</f>
        <v/>
      </c>
      <c r="R940" s="0" t="str">
        <f aca="false">IF(M940&gt;=Models!$G$6,1+COUNTIF($M$5:$M$1517,"&gt;"&amp;M940)+COUNTIFS($M$5:$M$1517,M940,$B$5:$B$1517,"&lt;"&amp;B940)+COUNTIFS($M$5:$M$1517,M940,$B$5:$B$1517,B940,$C$5:$C$1517,"&lt;"&amp;C940),"")</f>
        <v/>
      </c>
      <c r="S940" s="0" t="str">
        <f aca="false">IF(N940&gt;=Models!$G$7,1+COUNTIF($N$5:$N$1517,"&gt;"&amp;N940)+COUNTIFS($N$5:$N$1517,N940,$B$5:$B$1517,"&lt;"&amp;B940)+COUNTIFS($N$5:$N$1517,N940,$B$5:$B$1517,B940,$C$5:$C$1517,"&lt;"&amp;C940),"")</f>
        <v/>
      </c>
      <c r="T940" s="8" t="n">
        <f aca="false">IF(O940&gt;=Models!$G$8,1+COUNTIF($O$5:$O$1517,"&gt;"&amp;O940)+COUNTIFS($O$5:$O$1517,O940,$B$5:$B$1517,"&lt;"&amp;B940)+COUNTIFS($O$5:$O$1517,O940,$B$5:$B$1517,B940,$C$5:$C$1517,"&lt;"&amp;C940),"")</f>
        <v>809</v>
      </c>
      <c r="U940" s="8" t="n">
        <f aca="false">IF($K940=1,COUNTIFS($L$5:$L$1517,"&gt;="&amp;L940,$K$5:$K$1517,1)/COUNTIF($L$5:$L$1517,"&gt;="&amp;L940),0)</f>
        <v>0</v>
      </c>
      <c r="V940" s="8" t="n">
        <f aca="false">IF($K940=1,COUNTIFS($M$5:$M$1517,"&gt;="&amp;M940,$K$5:$K$1517,1)/COUNTIF($M$5:$M$1517,"&gt;="&amp;M940),0)</f>
        <v>0</v>
      </c>
      <c r="W940" s="8" t="n">
        <f aca="false">IF($K940=1,COUNTIFS($N$5:$N$1517,"&gt;="&amp;N940,$K$5:$K$1517,1)/COUNTIF($N$5:$N$1517,"&gt;="&amp;N940),0)</f>
        <v>0</v>
      </c>
      <c r="X940" s="8" t="n">
        <f aca="false">IF($K940=1,COUNTIFS($O$5:$O$1517,"&gt;="&amp;O940,$K$5:$K$1517,1)/COUNTIF($O$5:$O$1517,"&gt;="&amp;O940),0)</f>
        <v>0</v>
      </c>
      <c r="Y940" s="8" t="n">
        <f aca="false">IF($K940=1,COUNTIFS($P$5:$P$1517,"&gt;="&amp;P940,$K$5:$K$1517,1)/COUNTIF($P$5:$P$1517,"&gt;="&amp;P940),0)</f>
        <v>0</v>
      </c>
      <c r="Z940" s="8" t="n">
        <f aca="false">(L940-$K940)^2</f>
        <v>0.003411377649</v>
      </c>
      <c r="AA940" s="8" t="n">
        <f aca="false">(M940-$K940)^2</f>
        <v>0.008475595969</v>
      </c>
      <c r="AB940" s="8" t="n">
        <f aca="false">(N940-$K940)^2</f>
        <v>0.005640160201</v>
      </c>
      <c r="AC940" s="8" t="n">
        <f aca="false">(O940-$K940)^2</f>
        <v>0.011274829489</v>
      </c>
      <c r="AD940" s="8" t="n">
        <f aca="false">(P940-$K940)^2</f>
        <v>0.006180003769</v>
      </c>
      <c r="AE940" s="8" t="n">
        <f aca="false">MIN(INT(ROUND(N940*1000000,0)/100000),9)</f>
        <v>0</v>
      </c>
      <c r="AF940" s="8" t="n">
        <f aca="false">MIN(INT(ROUND(P940*1000000,0)/100000),9)</f>
        <v>0</v>
      </c>
    </row>
    <row r="941" customFormat="false" ht="15" hidden="false" customHeight="false" outlineLevel="0" collapsed="false">
      <c r="A941" s="4" t="n">
        <v>937</v>
      </c>
      <c r="B941" s="4" t="n">
        <v>1017</v>
      </c>
      <c r="C941" s="4" t="n">
        <v>2</v>
      </c>
      <c r="D941" s="11" t="n">
        <v>46113</v>
      </c>
      <c r="E941" s="4" t="s">
        <v>203</v>
      </c>
      <c r="F941" s="4" t="s">
        <v>209</v>
      </c>
      <c r="G941" s="4" t="n">
        <v>3</v>
      </c>
      <c r="H941" s="4" t="n">
        <v>13</v>
      </c>
      <c r="I941" s="4" t="n">
        <v>0</v>
      </c>
      <c r="J941" s="4" t="n">
        <v>203.7</v>
      </c>
      <c r="K941" s="4" t="n">
        <v>0</v>
      </c>
      <c r="L941" s="12" t="n">
        <v>0.143706</v>
      </c>
      <c r="M941" s="12" t="n">
        <v>0.092063</v>
      </c>
      <c r="N941" s="12" t="n">
        <v>0.13808</v>
      </c>
      <c r="O941" s="12" t="n">
        <v>0.106183</v>
      </c>
      <c r="P941" s="12" t="n">
        <v>0.148111</v>
      </c>
      <c r="Q941" s="0" t="str">
        <f aca="false">IF(L941&gt;=Models!$G$5,1+COUNTIF($L$5:$L$1517,"&gt;"&amp;L941)+COUNTIFS($L$5:$L$1517,L941,$B$5:$B$1517,"&lt;"&amp;B941)+COUNTIFS($L$5:$L$1517,L941,$B$5:$B$1517,B941,$C$5:$C$1517,"&lt;"&amp;C941),"")</f>
        <v/>
      </c>
      <c r="R941" s="0" t="str">
        <f aca="false">IF(M941&gt;=Models!$G$6,1+COUNTIF($M$5:$M$1517,"&gt;"&amp;M941)+COUNTIFS($M$5:$M$1517,M941,$B$5:$B$1517,"&lt;"&amp;B941)+COUNTIFS($M$5:$M$1517,M941,$B$5:$B$1517,B941,$C$5:$C$1517,"&lt;"&amp;C941),"")</f>
        <v/>
      </c>
      <c r="S941" s="0" t="str">
        <f aca="false">IF(N941&gt;=Models!$G$7,1+COUNTIF($N$5:$N$1517,"&gt;"&amp;N941)+COUNTIFS($N$5:$N$1517,N941,$B$5:$B$1517,"&lt;"&amp;B941)+COUNTIFS($N$5:$N$1517,N941,$B$5:$B$1517,B941,$C$5:$C$1517,"&lt;"&amp;C941),"")</f>
        <v/>
      </c>
      <c r="T941" s="8" t="n">
        <f aca="false">IF(O941&gt;=Models!$G$8,1+COUNTIF($O$5:$O$1517,"&gt;"&amp;O941)+COUNTIFS($O$5:$O$1517,O941,$B$5:$B$1517,"&lt;"&amp;B941)+COUNTIFS($O$5:$O$1517,O941,$B$5:$B$1517,B941,$C$5:$C$1517,"&lt;"&amp;C941),"")</f>
        <v>813</v>
      </c>
      <c r="U941" s="8" t="n">
        <f aca="false">IF($K941=1,COUNTIFS($L$5:$L$1517,"&gt;="&amp;L941,$K$5:$K$1517,1)/COUNTIF($L$5:$L$1517,"&gt;="&amp;L941),0)</f>
        <v>0</v>
      </c>
      <c r="V941" s="8" t="n">
        <f aca="false">IF($K941=1,COUNTIFS($M$5:$M$1517,"&gt;="&amp;M941,$K$5:$K$1517,1)/COUNTIF($M$5:$M$1517,"&gt;="&amp;M941),0)</f>
        <v>0</v>
      </c>
      <c r="W941" s="8" t="n">
        <f aca="false">IF($K941=1,COUNTIFS($N$5:$N$1517,"&gt;="&amp;N941,$K$5:$K$1517,1)/COUNTIF($N$5:$N$1517,"&gt;="&amp;N941),0)</f>
        <v>0</v>
      </c>
      <c r="X941" s="8" t="n">
        <f aca="false">IF($K941=1,COUNTIFS($O$5:$O$1517,"&gt;="&amp;O941,$K$5:$K$1517,1)/COUNTIF($O$5:$O$1517,"&gt;="&amp;O941),0)</f>
        <v>0</v>
      </c>
      <c r="Y941" s="8" t="n">
        <f aca="false">IF($K941=1,COUNTIFS($P$5:$P$1517,"&gt;="&amp;P941,$K$5:$K$1517,1)/COUNTIF($P$5:$P$1517,"&gt;="&amp;P941),0)</f>
        <v>0</v>
      </c>
      <c r="Z941" s="8" t="n">
        <f aca="false">(L941-$K941)^2</f>
        <v>0.020651414436</v>
      </c>
      <c r="AA941" s="8" t="n">
        <f aca="false">(M941-$K941)^2</f>
        <v>0.008475595969</v>
      </c>
      <c r="AB941" s="8" t="n">
        <f aca="false">(N941-$K941)^2</f>
        <v>0.0190660864</v>
      </c>
      <c r="AC941" s="8" t="n">
        <f aca="false">(O941-$K941)^2</f>
        <v>0.011274829489</v>
      </c>
      <c r="AD941" s="8" t="n">
        <f aca="false">(P941-$K941)^2</f>
        <v>0.021936868321</v>
      </c>
      <c r="AE941" s="8" t="n">
        <f aca="false">MIN(INT(ROUND(N941*1000000,0)/100000),9)</f>
        <v>1</v>
      </c>
      <c r="AF941" s="8" t="n">
        <f aca="false">MIN(INT(ROUND(P941*1000000,0)/100000),9)</f>
        <v>1</v>
      </c>
    </row>
    <row r="942" customFormat="false" ht="15" hidden="false" customHeight="false" outlineLevel="0" collapsed="false">
      <c r="A942" s="4" t="n">
        <v>938</v>
      </c>
      <c r="B942" s="4" t="n">
        <v>1019</v>
      </c>
      <c r="C942" s="4" t="n">
        <v>2</v>
      </c>
      <c r="D942" s="11" t="n">
        <v>46113</v>
      </c>
      <c r="E942" s="4" t="s">
        <v>204</v>
      </c>
      <c r="F942" s="4" t="s">
        <v>206</v>
      </c>
      <c r="G942" s="4" t="n">
        <v>6</v>
      </c>
      <c r="H942" s="4" t="n">
        <v>1</v>
      </c>
      <c r="I942" s="4" t="n">
        <v>0</v>
      </c>
      <c r="J942" s="4" t="n">
        <v>72</v>
      </c>
      <c r="K942" s="4" t="n">
        <v>0</v>
      </c>
      <c r="L942" s="12" t="n">
        <v>0.792987</v>
      </c>
      <c r="M942" s="12" t="n">
        <v>0.092063</v>
      </c>
      <c r="N942" s="12" t="n">
        <v>0.100471</v>
      </c>
      <c r="O942" s="12" t="n">
        <v>0.106183</v>
      </c>
      <c r="P942" s="12" t="n">
        <v>0.10647</v>
      </c>
      <c r="Q942" s="0" t="str">
        <f aca="false">IF(L942&gt;=Models!$G$5,1+COUNTIF($L$5:$L$1517,"&gt;"&amp;L942)+COUNTIFS($L$5:$L$1517,L942,$B$5:$B$1517,"&lt;"&amp;B942)+COUNTIFS($L$5:$L$1517,L942,$B$5:$B$1517,B942,$C$5:$C$1517,"&lt;"&amp;C942),"")</f>
        <v/>
      </c>
      <c r="R942" s="0" t="str">
        <f aca="false">IF(M942&gt;=Models!$G$6,1+COUNTIF($M$5:$M$1517,"&gt;"&amp;M942)+COUNTIFS($M$5:$M$1517,M942,$B$5:$B$1517,"&lt;"&amp;B942)+COUNTIFS($M$5:$M$1517,M942,$B$5:$B$1517,B942,$C$5:$C$1517,"&lt;"&amp;C942),"")</f>
        <v/>
      </c>
      <c r="S942" s="0" t="str">
        <f aca="false">IF(N942&gt;=Models!$G$7,1+COUNTIF($N$5:$N$1517,"&gt;"&amp;N942)+COUNTIFS($N$5:$N$1517,N942,$B$5:$B$1517,"&lt;"&amp;B942)+COUNTIFS($N$5:$N$1517,N942,$B$5:$B$1517,B942,$C$5:$C$1517,"&lt;"&amp;C942),"")</f>
        <v/>
      </c>
      <c r="T942" s="8" t="n">
        <f aca="false">IF(O942&gt;=Models!$G$8,1+COUNTIF($O$5:$O$1517,"&gt;"&amp;O942)+COUNTIFS($O$5:$O$1517,O942,$B$5:$B$1517,"&lt;"&amp;B942)+COUNTIFS($O$5:$O$1517,O942,$B$5:$B$1517,B942,$C$5:$C$1517,"&lt;"&amp;C942),"")</f>
        <v>817</v>
      </c>
      <c r="U942" s="8" t="n">
        <f aca="false">IF($K942=1,COUNTIFS($L$5:$L$1517,"&gt;="&amp;L942,$K$5:$K$1517,1)/COUNTIF($L$5:$L$1517,"&gt;="&amp;L942),0)</f>
        <v>0</v>
      </c>
      <c r="V942" s="8" t="n">
        <f aca="false">IF($K942=1,COUNTIFS($M$5:$M$1517,"&gt;="&amp;M942,$K$5:$K$1517,1)/COUNTIF($M$5:$M$1517,"&gt;="&amp;M942),0)</f>
        <v>0</v>
      </c>
      <c r="W942" s="8" t="n">
        <f aca="false">IF($K942=1,COUNTIFS($N$5:$N$1517,"&gt;="&amp;N942,$K$5:$K$1517,1)/COUNTIF($N$5:$N$1517,"&gt;="&amp;N942),0)</f>
        <v>0</v>
      </c>
      <c r="X942" s="8" t="n">
        <f aca="false">IF($K942=1,COUNTIFS($O$5:$O$1517,"&gt;="&amp;O942,$K$5:$K$1517,1)/COUNTIF($O$5:$O$1517,"&gt;="&amp;O942),0)</f>
        <v>0</v>
      </c>
      <c r="Y942" s="8" t="n">
        <f aca="false">IF($K942=1,COUNTIFS($P$5:$P$1517,"&gt;="&amp;P942,$K$5:$K$1517,1)/COUNTIF($P$5:$P$1517,"&gt;="&amp;P942),0)</f>
        <v>0</v>
      </c>
      <c r="Z942" s="8" t="n">
        <f aca="false">(L942-$K942)^2</f>
        <v>0.628828382169</v>
      </c>
      <c r="AA942" s="8" t="n">
        <f aca="false">(M942-$K942)^2</f>
        <v>0.008475595969</v>
      </c>
      <c r="AB942" s="8" t="n">
        <f aca="false">(N942-$K942)^2</f>
        <v>0.010094421841</v>
      </c>
      <c r="AC942" s="8" t="n">
        <f aca="false">(O942-$K942)^2</f>
        <v>0.011274829489</v>
      </c>
      <c r="AD942" s="8" t="n">
        <f aca="false">(P942-$K942)^2</f>
        <v>0.0113358609</v>
      </c>
      <c r="AE942" s="8" t="n">
        <f aca="false">MIN(INT(ROUND(N942*1000000,0)/100000),9)</f>
        <v>1</v>
      </c>
      <c r="AF942" s="8" t="n">
        <f aca="false">MIN(INT(ROUND(P942*1000000,0)/100000),9)</f>
        <v>1</v>
      </c>
    </row>
    <row r="943" customFormat="false" ht="15" hidden="false" customHeight="false" outlineLevel="0" collapsed="false">
      <c r="A943" s="4" t="n">
        <v>939</v>
      </c>
      <c r="B943" s="4" t="n">
        <v>1020</v>
      </c>
      <c r="C943" s="4" t="n">
        <v>2</v>
      </c>
      <c r="D943" s="11" t="n">
        <v>46113</v>
      </c>
      <c r="E943" s="4" t="s">
        <v>201</v>
      </c>
      <c r="F943" s="4" t="s">
        <v>209</v>
      </c>
      <c r="G943" s="4" t="n">
        <v>18</v>
      </c>
      <c r="H943" s="4" t="n">
        <v>2</v>
      </c>
      <c r="I943" s="4" t="n">
        <v>1</v>
      </c>
      <c r="J943" s="4" t="n">
        <v>9615</v>
      </c>
      <c r="K943" s="4" t="n">
        <v>0</v>
      </c>
      <c r="L943" s="12" t="n">
        <v>0.600709</v>
      </c>
      <c r="M943" s="12" t="n">
        <v>0.184211</v>
      </c>
      <c r="N943" s="12" t="n">
        <v>0.038352</v>
      </c>
      <c r="O943" s="12" t="n">
        <v>0.106183</v>
      </c>
      <c r="P943" s="12" t="n">
        <v>0.038935</v>
      </c>
      <c r="Q943" s="0" t="str">
        <f aca="false">IF(L943&gt;=Models!$G$5,1+COUNTIF($L$5:$L$1517,"&gt;"&amp;L943)+COUNTIFS($L$5:$L$1517,L943,$B$5:$B$1517,"&lt;"&amp;B943)+COUNTIFS($L$5:$L$1517,L943,$B$5:$B$1517,B943,$C$5:$C$1517,"&lt;"&amp;C943),"")</f>
        <v/>
      </c>
      <c r="R943" s="8" t="n">
        <f aca="false">IF(M943&gt;=Models!$G$6,1+COUNTIF($M$5:$M$1517,"&gt;"&amp;M943)+COUNTIFS($M$5:$M$1517,M943,$B$5:$B$1517,"&lt;"&amp;B943)+COUNTIFS($M$5:$M$1517,M943,$B$5:$B$1517,B943,$C$5:$C$1517,"&lt;"&amp;C943),"")</f>
        <v>91</v>
      </c>
      <c r="S943" s="0" t="str">
        <f aca="false">IF(N943&gt;=Models!$G$7,1+COUNTIF($N$5:$N$1517,"&gt;"&amp;N943)+COUNTIFS($N$5:$N$1517,N943,$B$5:$B$1517,"&lt;"&amp;B943)+COUNTIFS($N$5:$N$1517,N943,$B$5:$B$1517,B943,$C$5:$C$1517,"&lt;"&amp;C943),"")</f>
        <v/>
      </c>
      <c r="T943" s="8" t="n">
        <f aca="false">IF(O943&gt;=Models!$G$8,1+COUNTIF($O$5:$O$1517,"&gt;"&amp;O943)+COUNTIFS($O$5:$O$1517,O943,$B$5:$B$1517,"&lt;"&amp;B943)+COUNTIFS($O$5:$O$1517,O943,$B$5:$B$1517,B943,$C$5:$C$1517,"&lt;"&amp;C943),"")</f>
        <v>821</v>
      </c>
      <c r="U943" s="8" t="n">
        <f aca="false">IF($K943=1,COUNTIFS($L$5:$L$1517,"&gt;="&amp;L943,$K$5:$K$1517,1)/COUNTIF($L$5:$L$1517,"&gt;="&amp;L943),0)</f>
        <v>0</v>
      </c>
      <c r="V943" s="8" t="n">
        <f aca="false">IF($K943=1,COUNTIFS($M$5:$M$1517,"&gt;="&amp;M943,$K$5:$K$1517,1)/COUNTIF($M$5:$M$1517,"&gt;="&amp;M943),0)</f>
        <v>0</v>
      </c>
      <c r="W943" s="8" t="n">
        <f aca="false">IF($K943=1,COUNTIFS($N$5:$N$1517,"&gt;="&amp;N943,$K$5:$K$1517,1)/COUNTIF($N$5:$N$1517,"&gt;="&amp;N943),0)</f>
        <v>0</v>
      </c>
      <c r="X943" s="8" t="n">
        <f aca="false">IF($K943=1,COUNTIFS($O$5:$O$1517,"&gt;="&amp;O943,$K$5:$K$1517,1)/COUNTIF($O$5:$O$1517,"&gt;="&amp;O943),0)</f>
        <v>0</v>
      </c>
      <c r="Y943" s="8" t="n">
        <f aca="false">IF($K943=1,COUNTIFS($P$5:$P$1517,"&gt;="&amp;P943,$K$5:$K$1517,1)/COUNTIF($P$5:$P$1517,"&gt;="&amp;P943),0)</f>
        <v>0</v>
      </c>
      <c r="Z943" s="8" t="n">
        <f aca="false">(L943-$K943)^2</f>
        <v>0.360851302681</v>
      </c>
      <c r="AA943" s="8" t="n">
        <f aca="false">(M943-$K943)^2</f>
        <v>0.033933692521</v>
      </c>
      <c r="AB943" s="8" t="n">
        <f aca="false">(N943-$K943)^2</f>
        <v>0.001470875904</v>
      </c>
      <c r="AC943" s="8" t="n">
        <f aca="false">(O943-$K943)^2</f>
        <v>0.011274829489</v>
      </c>
      <c r="AD943" s="8" t="n">
        <f aca="false">(P943-$K943)^2</f>
        <v>0.001515934225</v>
      </c>
      <c r="AE943" s="8" t="n">
        <f aca="false">MIN(INT(ROUND(N943*1000000,0)/100000),9)</f>
        <v>0</v>
      </c>
      <c r="AF943" s="8" t="n">
        <f aca="false">MIN(INT(ROUND(P943*1000000,0)/100000),9)</f>
        <v>0</v>
      </c>
    </row>
    <row r="944" customFormat="false" ht="15" hidden="false" customHeight="false" outlineLevel="0" collapsed="false">
      <c r="A944" s="4" t="n">
        <v>940</v>
      </c>
      <c r="B944" s="4" t="n">
        <v>1025</v>
      </c>
      <c r="C944" s="4" t="n">
        <v>2</v>
      </c>
      <c r="D944" s="11" t="n">
        <v>46113</v>
      </c>
      <c r="E944" s="4" t="s">
        <v>201</v>
      </c>
      <c r="F944" s="4" t="s">
        <v>206</v>
      </c>
      <c r="G944" s="4" t="n">
        <v>22</v>
      </c>
      <c r="H944" s="4" t="n">
        <v>2</v>
      </c>
      <c r="I944" s="4" t="n">
        <v>0</v>
      </c>
      <c r="J944" s="4"/>
      <c r="K944" s="4" t="n">
        <v>0</v>
      </c>
      <c r="L944" s="12" t="n">
        <v>0.907416</v>
      </c>
      <c r="M944" s="12" t="n">
        <v>0.092063</v>
      </c>
      <c r="N944" s="12" t="n">
        <v>0.012416</v>
      </c>
      <c r="O944" s="12" t="n">
        <v>0.106183</v>
      </c>
      <c r="P944" s="12" t="n">
        <v>0.011944</v>
      </c>
      <c r="Q944" s="0" t="str">
        <f aca="false">IF(L944&gt;=Models!$G$5,1+COUNTIF($L$5:$L$1517,"&gt;"&amp;L944)+COUNTIFS($L$5:$L$1517,L944,$B$5:$B$1517,"&lt;"&amp;B944)+COUNTIFS($L$5:$L$1517,L944,$B$5:$B$1517,B944,$C$5:$C$1517,"&lt;"&amp;C944),"")</f>
        <v/>
      </c>
      <c r="R944" s="0" t="str">
        <f aca="false">IF(M944&gt;=Models!$G$6,1+COUNTIF($M$5:$M$1517,"&gt;"&amp;M944)+COUNTIFS($M$5:$M$1517,M944,$B$5:$B$1517,"&lt;"&amp;B944)+COUNTIFS($M$5:$M$1517,M944,$B$5:$B$1517,B944,$C$5:$C$1517,"&lt;"&amp;C944),"")</f>
        <v/>
      </c>
      <c r="S944" s="0" t="str">
        <f aca="false">IF(N944&gt;=Models!$G$7,1+COUNTIF($N$5:$N$1517,"&gt;"&amp;N944)+COUNTIFS($N$5:$N$1517,N944,$B$5:$B$1517,"&lt;"&amp;B944)+COUNTIFS($N$5:$N$1517,N944,$B$5:$B$1517,B944,$C$5:$C$1517,"&lt;"&amp;C944),"")</f>
        <v/>
      </c>
      <c r="T944" s="8" t="n">
        <f aca="false">IF(O944&gt;=Models!$G$8,1+COUNTIF($O$5:$O$1517,"&gt;"&amp;O944)+COUNTIFS($O$5:$O$1517,O944,$B$5:$B$1517,"&lt;"&amp;B944)+COUNTIFS($O$5:$O$1517,O944,$B$5:$B$1517,B944,$C$5:$C$1517,"&lt;"&amp;C944),"")</f>
        <v>825</v>
      </c>
      <c r="U944" s="8" t="n">
        <f aca="false">IF($K944=1,COUNTIFS($L$5:$L$1517,"&gt;="&amp;L944,$K$5:$K$1517,1)/COUNTIF($L$5:$L$1517,"&gt;="&amp;L944),0)</f>
        <v>0</v>
      </c>
      <c r="V944" s="8" t="n">
        <f aca="false">IF($K944=1,COUNTIFS($M$5:$M$1517,"&gt;="&amp;M944,$K$5:$K$1517,1)/COUNTIF($M$5:$M$1517,"&gt;="&amp;M944),0)</f>
        <v>0</v>
      </c>
      <c r="W944" s="8" t="n">
        <f aca="false">IF($K944=1,COUNTIFS($N$5:$N$1517,"&gt;="&amp;N944,$K$5:$K$1517,1)/COUNTIF($N$5:$N$1517,"&gt;="&amp;N944),0)</f>
        <v>0</v>
      </c>
      <c r="X944" s="8" t="n">
        <f aca="false">IF($K944=1,COUNTIFS($O$5:$O$1517,"&gt;="&amp;O944,$K$5:$K$1517,1)/COUNTIF($O$5:$O$1517,"&gt;="&amp;O944),0)</f>
        <v>0</v>
      </c>
      <c r="Y944" s="8" t="n">
        <f aca="false">IF($K944=1,COUNTIFS($P$5:$P$1517,"&gt;="&amp;P944,$K$5:$K$1517,1)/COUNTIF($P$5:$P$1517,"&gt;="&amp;P944),0)</f>
        <v>0</v>
      </c>
      <c r="Z944" s="8" t="n">
        <f aca="false">(L944-$K944)^2</f>
        <v>0.823403797056</v>
      </c>
      <c r="AA944" s="8" t="n">
        <f aca="false">(M944-$K944)^2</f>
        <v>0.008475595969</v>
      </c>
      <c r="AB944" s="8" t="n">
        <f aca="false">(N944-$K944)^2</f>
        <v>0.000154157056</v>
      </c>
      <c r="AC944" s="8" t="n">
        <f aca="false">(O944-$K944)^2</f>
        <v>0.011274829489</v>
      </c>
      <c r="AD944" s="8" t="n">
        <f aca="false">(P944-$K944)^2</f>
        <v>0.000142659136</v>
      </c>
      <c r="AE944" s="8" t="n">
        <f aca="false">MIN(INT(ROUND(N944*1000000,0)/100000),9)</f>
        <v>0</v>
      </c>
      <c r="AF944" s="8" t="n">
        <f aca="false">MIN(INT(ROUND(P944*1000000,0)/100000),9)</f>
        <v>0</v>
      </c>
    </row>
    <row r="945" customFormat="false" ht="15" hidden="false" customHeight="false" outlineLevel="0" collapsed="false">
      <c r="A945" s="4" t="n">
        <v>941</v>
      </c>
      <c r="B945" s="4" t="n">
        <v>1031</v>
      </c>
      <c r="C945" s="4" t="n">
        <v>2</v>
      </c>
      <c r="D945" s="11" t="n">
        <v>46113</v>
      </c>
      <c r="E945" s="4" t="s">
        <v>203</v>
      </c>
      <c r="F945" s="4" t="s">
        <v>209</v>
      </c>
      <c r="G945" s="4" t="n">
        <v>5</v>
      </c>
      <c r="H945" s="4" t="n">
        <v>1</v>
      </c>
      <c r="I945" s="4" t="n">
        <v>0</v>
      </c>
      <c r="J945" s="4" t="n">
        <v>333</v>
      </c>
      <c r="K945" s="4" t="n">
        <v>0</v>
      </c>
      <c r="L945" s="12" t="n">
        <v>0.58669</v>
      </c>
      <c r="M945" s="12" t="n">
        <v>0.092063</v>
      </c>
      <c r="N945" s="12" t="n">
        <v>0.10744</v>
      </c>
      <c r="O945" s="12" t="n">
        <v>0.106183</v>
      </c>
      <c r="P945" s="12" t="n">
        <v>0.114161</v>
      </c>
      <c r="Q945" s="0" t="str">
        <f aca="false">IF(L945&gt;=Models!$G$5,1+COUNTIF($L$5:$L$1517,"&gt;"&amp;L945)+COUNTIFS($L$5:$L$1517,L945,$B$5:$B$1517,"&lt;"&amp;B945)+COUNTIFS($L$5:$L$1517,L945,$B$5:$B$1517,B945,$C$5:$C$1517,"&lt;"&amp;C945),"")</f>
        <v/>
      </c>
      <c r="R945" s="0" t="str">
        <f aca="false">IF(M945&gt;=Models!$G$6,1+COUNTIF($M$5:$M$1517,"&gt;"&amp;M945)+COUNTIFS($M$5:$M$1517,M945,$B$5:$B$1517,"&lt;"&amp;B945)+COUNTIFS($M$5:$M$1517,M945,$B$5:$B$1517,B945,$C$5:$C$1517,"&lt;"&amp;C945),"")</f>
        <v/>
      </c>
      <c r="S945" s="0" t="str">
        <f aca="false">IF(N945&gt;=Models!$G$7,1+COUNTIF($N$5:$N$1517,"&gt;"&amp;N945)+COUNTIFS($N$5:$N$1517,N945,$B$5:$B$1517,"&lt;"&amp;B945)+COUNTIFS($N$5:$N$1517,N945,$B$5:$B$1517,B945,$C$5:$C$1517,"&lt;"&amp;C945),"")</f>
        <v/>
      </c>
      <c r="T945" s="8" t="n">
        <f aca="false">IF(O945&gt;=Models!$G$8,1+COUNTIF($O$5:$O$1517,"&gt;"&amp;O945)+COUNTIFS($O$5:$O$1517,O945,$B$5:$B$1517,"&lt;"&amp;B945)+COUNTIFS($O$5:$O$1517,O945,$B$5:$B$1517,B945,$C$5:$C$1517,"&lt;"&amp;C945),"")</f>
        <v>829</v>
      </c>
      <c r="U945" s="8" t="n">
        <f aca="false">IF($K945=1,COUNTIFS($L$5:$L$1517,"&gt;="&amp;L945,$K$5:$K$1517,1)/COUNTIF($L$5:$L$1517,"&gt;="&amp;L945),0)</f>
        <v>0</v>
      </c>
      <c r="V945" s="8" t="n">
        <f aca="false">IF($K945=1,COUNTIFS($M$5:$M$1517,"&gt;="&amp;M945,$K$5:$K$1517,1)/COUNTIF($M$5:$M$1517,"&gt;="&amp;M945),0)</f>
        <v>0</v>
      </c>
      <c r="W945" s="8" t="n">
        <f aca="false">IF($K945=1,COUNTIFS($N$5:$N$1517,"&gt;="&amp;N945,$K$5:$K$1517,1)/COUNTIF($N$5:$N$1517,"&gt;="&amp;N945),0)</f>
        <v>0</v>
      </c>
      <c r="X945" s="8" t="n">
        <f aca="false">IF($K945=1,COUNTIFS($O$5:$O$1517,"&gt;="&amp;O945,$K$5:$K$1517,1)/COUNTIF($O$5:$O$1517,"&gt;="&amp;O945),0)</f>
        <v>0</v>
      </c>
      <c r="Y945" s="8" t="n">
        <f aca="false">IF($K945=1,COUNTIFS($P$5:$P$1517,"&gt;="&amp;P945,$K$5:$K$1517,1)/COUNTIF($P$5:$P$1517,"&gt;="&amp;P945),0)</f>
        <v>0</v>
      </c>
      <c r="Z945" s="8" t="n">
        <f aca="false">(L945-$K945)^2</f>
        <v>0.3442051561</v>
      </c>
      <c r="AA945" s="8" t="n">
        <f aca="false">(M945-$K945)^2</f>
        <v>0.008475595969</v>
      </c>
      <c r="AB945" s="8" t="n">
        <f aca="false">(N945-$K945)^2</f>
        <v>0.0115433536</v>
      </c>
      <c r="AC945" s="8" t="n">
        <f aca="false">(O945-$K945)^2</f>
        <v>0.011274829489</v>
      </c>
      <c r="AD945" s="8" t="n">
        <f aca="false">(P945-$K945)^2</f>
        <v>0.013032733921</v>
      </c>
      <c r="AE945" s="8" t="n">
        <f aca="false">MIN(INT(ROUND(N945*1000000,0)/100000),9)</f>
        <v>1</v>
      </c>
      <c r="AF945" s="8" t="n">
        <f aca="false">MIN(INT(ROUND(P945*1000000,0)/100000),9)</f>
        <v>1</v>
      </c>
    </row>
    <row r="946" customFormat="false" ht="15" hidden="false" customHeight="false" outlineLevel="0" collapsed="false">
      <c r="A946" s="4" t="n">
        <v>942</v>
      </c>
      <c r="B946" s="4" t="n">
        <v>1038</v>
      </c>
      <c r="C946" s="4" t="n">
        <v>2</v>
      </c>
      <c r="D946" s="11" t="n">
        <v>46113</v>
      </c>
      <c r="E946" s="4" t="s">
        <v>203</v>
      </c>
      <c r="F946" s="4" t="s">
        <v>209</v>
      </c>
      <c r="G946" s="4" t="n">
        <v>6</v>
      </c>
      <c r="H946" s="4" t="n">
        <v>14</v>
      </c>
      <c r="I946" s="4" t="n">
        <v>0</v>
      </c>
      <c r="J946" s="4" t="n">
        <v>324</v>
      </c>
      <c r="K946" s="4" t="n">
        <v>0</v>
      </c>
      <c r="L946" s="12" t="n">
        <v>0.258782</v>
      </c>
      <c r="M946" s="12" t="n">
        <v>0.092063</v>
      </c>
      <c r="N946" s="12" t="n">
        <v>0.109087</v>
      </c>
      <c r="O946" s="12" t="n">
        <v>0.106183</v>
      </c>
      <c r="P946" s="12" t="n">
        <v>0.115981</v>
      </c>
      <c r="Q946" s="0" t="str">
        <f aca="false">IF(L946&gt;=Models!$G$5,1+COUNTIF($L$5:$L$1517,"&gt;"&amp;L946)+COUNTIFS($L$5:$L$1517,L946,$B$5:$B$1517,"&lt;"&amp;B946)+COUNTIFS($L$5:$L$1517,L946,$B$5:$B$1517,B946,$C$5:$C$1517,"&lt;"&amp;C946),"")</f>
        <v/>
      </c>
      <c r="R946" s="0" t="str">
        <f aca="false">IF(M946&gt;=Models!$G$6,1+COUNTIF($M$5:$M$1517,"&gt;"&amp;M946)+COUNTIFS($M$5:$M$1517,M946,$B$5:$B$1517,"&lt;"&amp;B946)+COUNTIFS($M$5:$M$1517,M946,$B$5:$B$1517,B946,$C$5:$C$1517,"&lt;"&amp;C946),"")</f>
        <v/>
      </c>
      <c r="S946" s="0" t="str">
        <f aca="false">IF(N946&gt;=Models!$G$7,1+COUNTIF($N$5:$N$1517,"&gt;"&amp;N946)+COUNTIFS($N$5:$N$1517,N946,$B$5:$B$1517,"&lt;"&amp;B946)+COUNTIFS($N$5:$N$1517,N946,$B$5:$B$1517,B946,$C$5:$C$1517,"&lt;"&amp;C946),"")</f>
        <v/>
      </c>
      <c r="T946" s="8" t="n">
        <f aca="false">IF(O946&gt;=Models!$G$8,1+COUNTIF($O$5:$O$1517,"&gt;"&amp;O946)+COUNTIFS($O$5:$O$1517,O946,$B$5:$B$1517,"&lt;"&amp;B946)+COUNTIFS($O$5:$O$1517,O946,$B$5:$B$1517,B946,$C$5:$C$1517,"&lt;"&amp;C946),"")</f>
        <v>833</v>
      </c>
      <c r="U946" s="8" t="n">
        <f aca="false">IF($K946=1,COUNTIFS($L$5:$L$1517,"&gt;="&amp;L946,$K$5:$K$1517,1)/COUNTIF($L$5:$L$1517,"&gt;="&amp;L946),0)</f>
        <v>0</v>
      </c>
      <c r="V946" s="8" t="n">
        <f aca="false">IF($K946=1,COUNTIFS($M$5:$M$1517,"&gt;="&amp;M946,$K$5:$K$1517,1)/COUNTIF($M$5:$M$1517,"&gt;="&amp;M946),0)</f>
        <v>0</v>
      </c>
      <c r="W946" s="8" t="n">
        <f aca="false">IF($K946=1,COUNTIFS($N$5:$N$1517,"&gt;="&amp;N946,$K$5:$K$1517,1)/COUNTIF($N$5:$N$1517,"&gt;="&amp;N946),0)</f>
        <v>0</v>
      </c>
      <c r="X946" s="8" t="n">
        <f aca="false">IF($K946=1,COUNTIFS($O$5:$O$1517,"&gt;="&amp;O946,$K$5:$K$1517,1)/COUNTIF($O$5:$O$1517,"&gt;="&amp;O946),0)</f>
        <v>0</v>
      </c>
      <c r="Y946" s="8" t="n">
        <f aca="false">IF($K946=1,COUNTIFS($P$5:$P$1517,"&gt;="&amp;P946,$K$5:$K$1517,1)/COUNTIF($P$5:$P$1517,"&gt;="&amp;P946),0)</f>
        <v>0</v>
      </c>
      <c r="Z946" s="8" t="n">
        <f aca="false">(L946-$K946)^2</f>
        <v>0.066968123524</v>
      </c>
      <c r="AA946" s="8" t="n">
        <f aca="false">(M946-$K946)^2</f>
        <v>0.008475595969</v>
      </c>
      <c r="AB946" s="8" t="n">
        <f aca="false">(N946-$K946)^2</f>
        <v>0.011899973569</v>
      </c>
      <c r="AC946" s="8" t="n">
        <f aca="false">(O946-$K946)^2</f>
        <v>0.011274829489</v>
      </c>
      <c r="AD946" s="8" t="n">
        <f aca="false">(P946-$K946)^2</f>
        <v>0.013451592361</v>
      </c>
      <c r="AE946" s="8" t="n">
        <f aca="false">MIN(INT(ROUND(N946*1000000,0)/100000),9)</f>
        <v>1</v>
      </c>
      <c r="AF946" s="8" t="n">
        <f aca="false">MIN(INT(ROUND(P946*1000000,0)/100000),9)</f>
        <v>1</v>
      </c>
    </row>
    <row r="947" customFormat="false" ht="15" hidden="false" customHeight="false" outlineLevel="0" collapsed="false">
      <c r="A947" s="4" t="n">
        <v>943</v>
      </c>
      <c r="B947" s="4" t="n">
        <v>1039</v>
      </c>
      <c r="C947" s="4" t="n">
        <v>2</v>
      </c>
      <c r="D947" s="11" t="n">
        <v>46113</v>
      </c>
      <c r="E947" s="4" t="s">
        <v>203</v>
      </c>
      <c r="F947" s="4" t="s">
        <v>206</v>
      </c>
      <c r="G947" s="4" t="n">
        <v>5</v>
      </c>
      <c r="H947" s="4" t="n">
        <v>18</v>
      </c>
      <c r="I947" s="4" t="n">
        <v>1</v>
      </c>
      <c r="J947" s="4"/>
      <c r="K947" s="4" t="n">
        <v>0</v>
      </c>
      <c r="L947" s="12" t="n">
        <v>0.204929</v>
      </c>
      <c r="M947" s="12" t="n">
        <v>0.184211</v>
      </c>
      <c r="N947" s="12" t="n">
        <v>0.107241</v>
      </c>
      <c r="O947" s="12" t="n">
        <v>0.106183</v>
      </c>
      <c r="P947" s="12" t="n">
        <v>0.113942</v>
      </c>
      <c r="Q947" s="0" t="str">
        <f aca="false">IF(L947&gt;=Models!$G$5,1+COUNTIF($L$5:$L$1517,"&gt;"&amp;L947)+COUNTIFS($L$5:$L$1517,L947,$B$5:$B$1517,"&lt;"&amp;B947)+COUNTIFS($L$5:$L$1517,L947,$B$5:$B$1517,B947,$C$5:$C$1517,"&lt;"&amp;C947),"")</f>
        <v/>
      </c>
      <c r="R947" s="8" t="n">
        <f aca="false">IF(M947&gt;=Models!$G$6,1+COUNTIF($M$5:$M$1517,"&gt;"&amp;M947)+COUNTIFS($M$5:$M$1517,M947,$B$5:$B$1517,"&lt;"&amp;B947)+COUNTIFS($M$5:$M$1517,M947,$B$5:$B$1517,B947,$C$5:$C$1517,"&lt;"&amp;C947),"")</f>
        <v>94</v>
      </c>
      <c r="S947" s="0" t="str">
        <f aca="false">IF(N947&gt;=Models!$G$7,1+COUNTIF($N$5:$N$1517,"&gt;"&amp;N947)+COUNTIFS($N$5:$N$1517,N947,$B$5:$B$1517,"&lt;"&amp;B947)+COUNTIFS($N$5:$N$1517,N947,$B$5:$B$1517,B947,$C$5:$C$1517,"&lt;"&amp;C947),"")</f>
        <v/>
      </c>
      <c r="T947" s="8" t="n">
        <f aca="false">IF(O947&gt;=Models!$G$8,1+COUNTIF($O$5:$O$1517,"&gt;"&amp;O947)+COUNTIFS($O$5:$O$1517,O947,$B$5:$B$1517,"&lt;"&amp;B947)+COUNTIFS($O$5:$O$1517,O947,$B$5:$B$1517,B947,$C$5:$C$1517,"&lt;"&amp;C947),"")</f>
        <v>837</v>
      </c>
      <c r="U947" s="8" t="n">
        <f aca="false">IF($K947=1,COUNTIFS($L$5:$L$1517,"&gt;="&amp;L947,$K$5:$K$1517,1)/COUNTIF($L$5:$L$1517,"&gt;="&amp;L947),0)</f>
        <v>0</v>
      </c>
      <c r="V947" s="8" t="n">
        <f aca="false">IF($K947=1,COUNTIFS($M$5:$M$1517,"&gt;="&amp;M947,$K$5:$K$1517,1)/COUNTIF($M$5:$M$1517,"&gt;="&amp;M947),0)</f>
        <v>0</v>
      </c>
      <c r="W947" s="8" t="n">
        <f aca="false">IF($K947=1,COUNTIFS($N$5:$N$1517,"&gt;="&amp;N947,$K$5:$K$1517,1)/COUNTIF($N$5:$N$1517,"&gt;="&amp;N947),0)</f>
        <v>0</v>
      </c>
      <c r="X947" s="8" t="n">
        <f aca="false">IF($K947=1,COUNTIFS($O$5:$O$1517,"&gt;="&amp;O947,$K$5:$K$1517,1)/COUNTIF($O$5:$O$1517,"&gt;="&amp;O947),0)</f>
        <v>0</v>
      </c>
      <c r="Y947" s="8" t="n">
        <f aca="false">IF($K947=1,COUNTIFS($P$5:$P$1517,"&gt;="&amp;P947,$K$5:$K$1517,1)/COUNTIF($P$5:$P$1517,"&gt;="&amp;P947),0)</f>
        <v>0</v>
      </c>
      <c r="Z947" s="8" t="n">
        <f aca="false">(L947-$K947)^2</f>
        <v>0.041995895041</v>
      </c>
      <c r="AA947" s="8" t="n">
        <f aca="false">(M947-$K947)^2</f>
        <v>0.033933692521</v>
      </c>
      <c r="AB947" s="8" t="n">
        <f aca="false">(N947-$K947)^2</f>
        <v>0.011500632081</v>
      </c>
      <c r="AC947" s="8" t="n">
        <f aca="false">(O947-$K947)^2</f>
        <v>0.011274829489</v>
      </c>
      <c r="AD947" s="8" t="n">
        <f aca="false">(P947-$K947)^2</f>
        <v>0.012982779364</v>
      </c>
      <c r="AE947" s="8" t="n">
        <f aca="false">MIN(INT(ROUND(N947*1000000,0)/100000),9)</f>
        <v>1</v>
      </c>
      <c r="AF947" s="8" t="n">
        <f aca="false">MIN(INT(ROUND(P947*1000000,0)/100000),9)</f>
        <v>1</v>
      </c>
    </row>
    <row r="948" customFormat="false" ht="15" hidden="false" customHeight="false" outlineLevel="0" collapsed="false">
      <c r="A948" s="4" t="n">
        <v>944</v>
      </c>
      <c r="B948" s="4" t="n">
        <v>1042</v>
      </c>
      <c r="C948" s="4" t="n">
        <v>2</v>
      </c>
      <c r="D948" s="11" t="n">
        <v>46113</v>
      </c>
      <c r="E948" s="4" t="s">
        <v>202</v>
      </c>
      <c r="F948" s="4" t="s">
        <v>206</v>
      </c>
      <c r="G948" s="4" t="n">
        <v>5</v>
      </c>
      <c r="H948" s="4" t="n">
        <v>7</v>
      </c>
      <c r="I948" s="4" t="n">
        <v>0</v>
      </c>
      <c r="J948" s="4"/>
      <c r="K948" s="4" t="n">
        <v>0</v>
      </c>
      <c r="L948" s="12" t="n">
        <v>0.324911</v>
      </c>
      <c r="M948" s="12" t="n">
        <v>0.092063</v>
      </c>
      <c r="N948" s="12" t="n">
        <v>0.057033</v>
      </c>
      <c r="O948" s="12" t="n">
        <v>0.106183</v>
      </c>
      <c r="P948" s="12" t="n">
        <v>0.058972</v>
      </c>
      <c r="Q948" s="0" t="str">
        <f aca="false">IF(L948&gt;=Models!$G$5,1+COUNTIF($L$5:$L$1517,"&gt;"&amp;L948)+COUNTIFS($L$5:$L$1517,L948,$B$5:$B$1517,"&lt;"&amp;B948)+COUNTIFS($L$5:$L$1517,L948,$B$5:$B$1517,B948,$C$5:$C$1517,"&lt;"&amp;C948),"")</f>
        <v/>
      </c>
      <c r="R948" s="0" t="str">
        <f aca="false">IF(M948&gt;=Models!$G$6,1+COUNTIF($M$5:$M$1517,"&gt;"&amp;M948)+COUNTIFS($M$5:$M$1517,M948,$B$5:$B$1517,"&lt;"&amp;B948)+COUNTIFS($M$5:$M$1517,M948,$B$5:$B$1517,B948,$C$5:$C$1517,"&lt;"&amp;C948),"")</f>
        <v/>
      </c>
      <c r="S948" s="0" t="str">
        <f aca="false">IF(N948&gt;=Models!$G$7,1+COUNTIF($N$5:$N$1517,"&gt;"&amp;N948)+COUNTIFS($N$5:$N$1517,N948,$B$5:$B$1517,"&lt;"&amp;B948)+COUNTIFS($N$5:$N$1517,N948,$B$5:$B$1517,B948,$C$5:$C$1517,"&lt;"&amp;C948),"")</f>
        <v/>
      </c>
      <c r="T948" s="8" t="n">
        <f aca="false">IF(O948&gt;=Models!$G$8,1+COUNTIF($O$5:$O$1517,"&gt;"&amp;O948)+COUNTIFS($O$5:$O$1517,O948,$B$5:$B$1517,"&lt;"&amp;B948)+COUNTIFS($O$5:$O$1517,O948,$B$5:$B$1517,B948,$C$5:$C$1517,"&lt;"&amp;C948),"")</f>
        <v>841</v>
      </c>
      <c r="U948" s="8" t="n">
        <f aca="false">IF($K948=1,COUNTIFS($L$5:$L$1517,"&gt;="&amp;L948,$K$5:$K$1517,1)/COUNTIF($L$5:$L$1517,"&gt;="&amp;L948),0)</f>
        <v>0</v>
      </c>
      <c r="V948" s="8" t="n">
        <f aca="false">IF($K948=1,COUNTIFS($M$5:$M$1517,"&gt;="&amp;M948,$K$5:$K$1517,1)/COUNTIF($M$5:$M$1517,"&gt;="&amp;M948),0)</f>
        <v>0</v>
      </c>
      <c r="W948" s="8" t="n">
        <f aca="false">IF($K948=1,COUNTIFS($N$5:$N$1517,"&gt;="&amp;N948,$K$5:$K$1517,1)/COUNTIF($N$5:$N$1517,"&gt;="&amp;N948),0)</f>
        <v>0</v>
      </c>
      <c r="X948" s="8" t="n">
        <f aca="false">IF($K948=1,COUNTIFS($O$5:$O$1517,"&gt;="&amp;O948,$K$5:$K$1517,1)/COUNTIF($O$5:$O$1517,"&gt;="&amp;O948),0)</f>
        <v>0</v>
      </c>
      <c r="Y948" s="8" t="n">
        <f aca="false">IF($K948=1,COUNTIFS($P$5:$P$1517,"&gt;="&amp;P948,$K$5:$K$1517,1)/COUNTIF($P$5:$P$1517,"&gt;="&amp;P948),0)</f>
        <v>0</v>
      </c>
      <c r="Z948" s="8" t="n">
        <f aca="false">(L948-$K948)^2</f>
        <v>0.105567157921</v>
      </c>
      <c r="AA948" s="8" t="n">
        <f aca="false">(M948-$K948)^2</f>
        <v>0.008475595969</v>
      </c>
      <c r="AB948" s="8" t="n">
        <f aca="false">(N948-$K948)^2</f>
        <v>0.003252763089</v>
      </c>
      <c r="AC948" s="8" t="n">
        <f aca="false">(O948-$K948)^2</f>
        <v>0.011274829489</v>
      </c>
      <c r="AD948" s="8" t="n">
        <f aca="false">(P948-$K948)^2</f>
        <v>0.003477696784</v>
      </c>
      <c r="AE948" s="8" t="n">
        <f aca="false">MIN(INT(ROUND(N948*1000000,0)/100000),9)</f>
        <v>0</v>
      </c>
      <c r="AF948" s="8" t="n">
        <f aca="false">MIN(INT(ROUND(P948*1000000,0)/100000),9)</f>
        <v>0</v>
      </c>
    </row>
    <row r="949" customFormat="false" ht="15" hidden="false" customHeight="false" outlineLevel="0" collapsed="false">
      <c r="A949" s="4" t="n">
        <v>945</v>
      </c>
      <c r="B949" s="4" t="n">
        <v>1044</v>
      </c>
      <c r="C949" s="4" t="n">
        <v>2</v>
      </c>
      <c r="D949" s="11" t="n">
        <v>46113</v>
      </c>
      <c r="E949" s="4" t="s">
        <v>204</v>
      </c>
      <c r="F949" s="4" t="s">
        <v>206</v>
      </c>
      <c r="G949" s="4" t="n">
        <v>0</v>
      </c>
      <c r="H949" s="4" t="n">
        <v>46</v>
      </c>
      <c r="I949" s="4" t="n">
        <v>0</v>
      </c>
      <c r="J949" s="4"/>
      <c r="K949" s="4" t="n">
        <v>0</v>
      </c>
      <c r="L949" s="12" t="n">
        <v>0.379238</v>
      </c>
      <c r="M949" s="12" t="n">
        <v>0.184211</v>
      </c>
      <c r="N949" s="12" t="n">
        <v>0.115489</v>
      </c>
      <c r="O949" s="12" t="n">
        <v>0.106183</v>
      </c>
      <c r="P949" s="12" t="n">
        <v>0.123062</v>
      </c>
      <c r="Q949" s="0" t="str">
        <f aca="false">IF(L949&gt;=Models!$G$5,1+COUNTIF($L$5:$L$1517,"&gt;"&amp;L949)+COUNTIFS($L$5:$L$1517,L949,$B$5:$B$1517,"&lt;"&amp;B949)+COUNTIFS($L$5:$L$1517,L949,$B$5:$B$1517,B949,$C$5:$C$1517,"&lt;"&amp;C949),"")</f>
        <v/>
      </c>
      <c r="R949" s="8" t="n">
        <f aca="false">IF(M949&gt;=Models!$G$6,1+COUNTIF($M$5:$M$1517,"&gt;"&amp;M949)+COUNTIFS($M$5:$M$1517,M949,$B$5:$B$1517,"&lt;"&amp;B949)+COUNTIFS($M$5:$M$1517,M949,$B$5:$B$1517,B949,$C$5:$C$1517,"&lt;"&amp;C949),"")</f>
        <v>96</v>
      </c>
      <c r="S949" s="0" t="str">
        <f aca="false">IF(N949&gt;=Models!$G$7,1+COUNTIF($N$5:$N$1517,"&gt;"&amp;N949)+COUNTIFS($N$5:$N$1517,N949,$B$5:$B$1517,"&lt;"&amp;B949)+COUNTIFS($N$5:$N$1517,N949,$B$5:$B$1517,B949,$C$5:$C$1517,"&lt;"&amp;C949),"")</f>
        <v/>
      </c>
      <c r="T949" s="8" t="n">
        <f aca="false">IF(O949&gt;=Models!$G$8,1+COUNTIF($O$5:$O$1517,"&gt;"&amp;O949)+COUNTIFS($O$5:$O$1517,O949,$B$5:$B$1517,"&lt;"&amp;B949)+COUNTIFS($O$5:$O$1517,O949,$B$5:$B$1517,B949,$C$5:$C$1517,"&lt;"&amp;C949),"")</f>
        <v>845</v>
      </c>
      <c r="U949" s="8" t="n">
        <f aca="false">IF($K949=1,COUNTIFS($L$5:$L$1517,"&gt;="&amp;L949,$K$5:$K$1517,1)/COUNTIF($L$5:$L$1517,"&gt;="&amp;L949),0)</f>
        <v>0</v>
      </c>
      <c r="V949" s="8" t="n">
        <f aca="false">IF($K949=1,COUNTIFS($M$5:$M$1517,"&gt;="&amp;M949,$K$5:$K$1517,1)/COUNTIF($M$5:$M$1517,"&gt;="&amp;M949),0)</f>
        <v>0</v>
      </c>
      <c r="W949" s="8" t="n">
        <f aca="false">IF($K949=1,COUNTIFS($N$5:$N$1517,"&gt;="&amp;N949,$K$5:$K$1517,1)/COUNTIF($N$5:$N$1517,"&gt;="&amp;N949),0)</f>
        <v>0</v>
      </c>
      <c r="X949" s="8" t="n">
        <f aca="false">IF($K949=1,COUNTIFS($O$5:$O$1517,"&gt;="&amp;O949,$K$5:$K$1517,1)/COUNTIF($O$5:$O$1517,"&gt;="&amp;O949),0)</f>
        <v>0</v>
      </c>
      <c r="Y949" s="8" t="n">
        <f aca="false">IF($K949=1,COUNTIFS($P$5:$P$1517,"&gt;="&amp;P949,$K$5:$K$1517,1)/COUNTIF($P$5:$P$1517,"&gt;="&amp;P949),0)</f>
        <v>0</v>
      </c>
      <c r="Z949" s="8" t="n">
        <f aca="false">(L949-$K949)^2</f>
        <v>0.143821460644</v>
      </c>
      <c r="AA949" s="8" t="n">
        <f aca="false">(M949-$K949)^2</f>
        <v>0.033933692521</v>
      </c>
      <c r="AB949" s="8" t="n">
        <f aca="false">(N949-$K949)^2</f>
        <v>0.013337709121</v>
      </c>
      <c r="AC949" s="8" t="n">
        <f aca="false">(O949-$K949)^2</f>
        <v>0.011274829489</v>
      </c>
      <c r="AD949" s="8" t="n">
        <f aca="false">(P949-$K949)^2</f>
        <v>0.015144255844</v>
      </c>
      <c r="AE949" s="8" t="n">
        <f aca="false">MIN(INT(ROUND(N949*1000000,0)/100000),9)</f>
        <v>1</v>
      </c>
      <c r="AF949" s="8" t="n">
        <f aca="false">MIN(INT(ROUND(P949*1000000,0)/100000),9)</f>
        <v>1</v>
      </c>
    </row>
    <row r="950" customFormat="false" ht="15" hidden="false" customHeight="false" outlineLevel="0" collapsed="false">
      <c r="A950" s="4" t="n">
        <v>946</v>
      </c>
      <c r="B950" s="4" t="n">
        <v>1048</v>
      </c>
      <c r="C950" s="4" t="n">
        <v>2</v>
      </c>
      <c r="D950" s="11" t="n">
        <v>46113</v>
      </c>
      <c r="E950" s="4" t="s">
        <v>203</v>
      </c>
      <c r="F950" s="4" t="s">
        <v>207</v>
      </c>
      <c r="G950" s="4" t="n">
        <v>11</v>
      </c>
      <c r="H950" s="4" t="n">
        <v>0</v>
      </c>
      <c r="I950" s="4" t="n">
        <v>0</v>
      </c>
      <c r="J950" s="4" t="n">
        <v>414</v>
      </c>
      <c r="K950" s="4" t="n">
        <v>0</v>
      </c>
      <c r="L950" s="12" t="n">
        <v>0.032639</v>
      </c>
      <c r="M950" s="12" t="n">
        <v>0.092063</v>
      </c>
      <c r="N950" s="12" t="n">
        <v>0.064766</v>
      </c>
      <c r="O950" s="12" t="n">
        <v>0.106183</v>
      </c>
      <c r="P950" s="12" t="n">
        <v>0.067353</v>
      </c>
      <c r="Q950" s="0" t="str">
        <f aca="false">IF(L950&gt;=Models!$G$5,1+COUNTIF($L$5:$L$1517,"&gt;"&amp;L950)+COUNTIFS($L$5:$L$1517,L950,$B$5:$B$1517,"&lt;"&amp;B950)+COUNTIFS($L$5:$L$1517,L950,$B$5:$B$1517,B950,$C$5:$C$1517,"&lt;"&amp;C950),"")</f>
        <v/>
      </c>
      <c r="R950" s="0" t="str">
        <f aca="false">IF(M950&gt;=Models!$G$6,1+COUNTIF($M$5:$M$1517,"&gt;"&amp;M950)+COUNTIFS($M$5:$M$1517,M950,$B$5:$B$1517,"&lt;"&amp;B950)+COUNTIFS($M$5:$M$1517,M950,$B$5:$B$1517,B950,$C$5:$C$1517,"&lt;"&amp;C950),"")</f>
        <v/>
      </c>
      <c r="S950" s="0" t="str">
        <f aca="false">IF(N950&gt;=Models!$G$7,1+COUNTIF($N$5:$N$1517,"&gt;"&amp;N950)+COUNTIFS($N$5:$N$1517,N950,$B$5:$B$1517,"&lt;"&amp;B950)+COUNTIFS($N$5:$N$1517,N950,$B$5:$B$1517,B950,$C$5:$C$1517,"&lt;"&amp;C950),"")</f>
        <v/>
      </c>
      <c r="T950" s="8" t="n">
        <f aca="false">IF(O950&gt;=Models!$G$8,1+COUNTIF($O$5:$O$1517,"&gt;"&amp;O950)+COUNTIFS($O$5:$O$1517,O950,$B$5:$B$1517,"&lt;"&amp;B950)+COUNTIFS($O$5:$O$1517,O950,$B$5:$B$1517,B950,$C$5:$C$1517,"&lt;"&amp;C950),"")</f>
        <v>849</v>
      </c>
      <c r="U950" s="8" t="n">
        <f aca="false">IF($K950=1,COUNTIFS($L$5:$L$1517,"&gt;="&amp;L950,$K$5:$K$1517,1)/COUNTIF($L$5:$L$1517,"&gt;="&amp;L950),0)</f>
        <v>0</v>
      </c>
      <c r="V950" s="8" t="n">
        <f aca="false">IF($K950=1,COUNTIFS($M$5:$M$1517,"&gt;="&amp;M950,$K$5:$K$1517,1)/COUNTIF($M$5:$M$1517,"&gt;="&amp;M950),0)</f>
        <v>0</v>
      </c>
      <c r="W950" s="8" t="n">
        <f aca="false">IF($K950=1,COUNTIFS($N$5:$N$1517,"&gt;="&amp;N950,$K$5:$K$1517,1)/COUNTIF($N$5:$N$1517,"&gt;="&amp;N950),0)</f>
        <v>0</v>
      </c>
      <c r="X950" s="8" t="n">
        <f aca="false">IF($K950=1,COUNTIFS($O$5:$O$1517,"&gt;="&amp;O950,$K$5:$K$1517,1)/COUNTIF($O$5:$O$1517,"&gt;="&amp;O950),0)</f>
        <v>0</v>
      </c>
      <c r="Y950" s="8" t="n">
        <f aca="false">IF($K950=1,COUNTIFS($P$5:$P$1517,"&gt;="&amp;P950,$K$5:$K$1517,1)/COUNTIF($P$5:$P$1517,"&gt;="&amp;P950),0)</f>
        <v>0</v>
      </c>
      <c r="Z950" s="8" t="n">
        <f aca="false">(L950-$K950)^2</f>
        <v>0.001065304321</v>
      </c>
      <c r="AA950" s="8" t="n">
        <f aca="false">(M950-$K950)^2</f>
        <v>0.008475595969</v>
      </c>
      <c r="AB950" s="8" t="n">
        <f aca="false">(N950-$K950)^2</f>
        <v>0.004194634756</v>
      </c>
      <c r="AC950" s="8" t="n">
        <f aca="false">(O950-$K950)^2</f>
        <v>0.011274829489</v>
      </c>
      <c r="AD950" s="8" t="n">
        <f aca="false">(P950-$K950)^2</f>
        <v>0.004536426609</v>
      </c>
      <c r="AE950" s="8" t="n">
        <f aca="false">MIN(INT(ROUND(N950*1000000,0)/100000),9)</f>
        <v>0</v>
      </c>
      <c r="AF950" s="8" t="n">
        <f aca="false">MIN(INT(ROUND(P950*1000000,0)/100000),9)</f>
        <v>0</v>
      </c>
    </row>
    <row r="951" customFormat="false" ht="15" hidden="false" customHeight="false" outlineLevel="0" collapsed="false">
      <c r="A951" s="4" t="n">
        <v>947</v>
      </c>
      <c r="B951" s="4" t="n">
        <v>1066</v>
      </c>
      <c r="C951" s="4" t="n">
        <v>2</v>
      </c>
      <c r="D951" s="11" t="n">
        <v>46113</v>
      </c>
      <c r="E951" s="4" t="s">
        <v>203</v>
      </c>
      <c r="F951" s="4" t="s">
        <v>206</v>
      </c>
      <c r="G951" s="4" t="n">
        <v>5</v>
      </c>
      <c r="H951" s="4" t="n">
        <v>4</v>
      </c>
      <c r="I951" s="4" t="n">
        <v>0</v>
      </c>
      <c r="J951" s="4" t="n">
        <v>432</v>
      </c>
      <c r="K951" s="4" t="n">
        <v>0</v>
      </c>
      <c r="L951" s="12" t="n">
        <v>0.374014</v>
      </c>
      <c r="M951" s="12" t="n">
        <v>0.092063</v>
      </c>
      <c r="N951" s="12" t="n">
        <v>0.10926</v>
      </c>
      <c r="O951" s="12" t="n">
        <v>0.106183</v>
      </c>
      <c r="P951" s="12" t="n">
        <v>0.116172</v>
      </c>
      <c r="Q951" s="0" t="str">
        <f aca="false">IF(L951&gt;=Models!$G$5,1+COUNTIF($L$5:$L$1517,"&gt;"&amp;L951)+COUNTIFS($L$5:$L$1517,L951,$B$5:$B$1517,"&lt;"&amp;B951)+COUNTIFS($L$5:$L$1517,L951,$B$5:$B$1517,B951,$C$5:$C$1517,"&lt;"&amp;C951),"")</f>
        <v/>
      </c>
      <c r="R951" s="0" t="str">
        <f aca="false">IF(M951&gt;=Models!$G$6,1+COUNTIF($M$5:$M$1517,"&gt;"&amp;M951)+COUNTIFS($M$5:$M$1517,M951,$B$5:$B$1517,"&lt;"&amp;B951)+COUNTIFS($M$5:$M$1517,M951,$B$5:$B$1517,B951,$C$5:$C$1517,"&lt;"&amp;C951),"")</f>
        <v/>
      </c>
      <c r="S951" s="0" t="str">
        <f aca="false">IF(N951&gt;=Models!$G$7,1+COUNTIF($N$5:$N$1517,"&gt;"&amp;N951)+COUNTIFS($N$5:$N$1517,N951,$B$5:$B$1517,"&lt;"&amp;B951)+COUNTIFS($N$5:$N$1517,N951,$B$5:$B$1517,B951,$C$5:$C$1517,"&lt;"&amp;C951),"")</f>
        <v/>
      </c>
      <c r="T951" s="8" t="n">
        <f aca="false">IF(O951&gt;=Models!$G$8,1+COUNTIF($O$5:$O$1517,"&gt;"&amp;O951)+COUNTIFS($O$5:$O$1517,O951,$B$5:$B$1517,"&lt;"&amp;B951)+COUNTIFS($O$5:$O$1517,O951,$B$5:$B$1517,B951,$C$5:$C$1517,"&lt;"&amp;C951),"")</f>
        <v>853</v>
      </c>
      <c r="U951" s="8" t="n">
        <f aca="false">IF($K951=1,COUNTIFS($L$5:$L$1517,"&gt;="&amp;L951,$K$5:$K$1517,1)/COUNTIF($L$5:$L$1517,"&gt;="&amp;L951),0)</f>
        <v>0</v>
      </c>
      <c r="V951" s="8" t="n">
        <f aca="false">IF($K951=1,COUNTIFS($M$5:$M$1517,"&gt;="&amp;M951,$K$5:$K$1517,1)/COUNTIF($M$5:$M$1517,"&gt;="&amp;M951),0)</f>
        <v>0</v>
      </c>
      <c r="W951" s="8" t="n">
        <f aca="false">IF($K951=1,COUNTIFS($N$5:$N$1517,"&gt;="&amp;N951,$K$5:$K$1517,1)/COUNTIF($N$5:$N$1517,"&gt;="&amp;N951),0)</f>
        <v>0</v>
      </c>
      <c r="X951" s="8" t="n">
        <f aca="false">IF($K951=1,COUNTIFS($O$5:$O$1517,"&gt;="&amp;O951,$K$5:$K$1517,1)/COUNTIF($O$5:$O$1517,"&gt;="&amp;O951),0)</f>
        <v>0</v>
      </c>
      <c r="Y951" s="8" t="n">
        <f aca="false">IF($K951=1,COUNTIFS($P$5:$P$1517,"&gt;="&amp;P951,$K$5:$K$1517,1)/COUNTIF($P$5:$P$1517,"&gt;="&amp;P951),0)</f>
        <v>0</v>
      </c>
      <c r="Z951" s="8" t="n">
        <f aca="false">(L951-$K951)^2</f>
        <v>0.139886472196</v>
      </c>
      <c r="AA951" s="8" t="n">
        <f aca="false">(M951-$K951)^2</f>
        <v>0.008475595969</v>
      </c>
      <c r="AB951" s="8" t="n">
        <f aca="false">(N951-$K951)^2</f>
        <v>0.0119377476</v>
      </c>
      <c r="AC951" s="8" t="n">
        <f aca="false">(O951-$K951)^2</f>
        <v>0.011274829489</v>
      </c>
      <c r="AD951" s="8" t="n">
        <f aca="false">(P951-$K951)^2</f>
        <v>0.013495933584</v>
      </c>
      <c r="AE951" s="8" t="n">
        <f aca="false">MIN(INT(ROUND(N951*1000000,0)/100000),9)</f>
        <v>1</v>
      </c>
      <c r="AF951" s="8" t="n">
        <f aca="false">MIN(INT(ROUND(P951*1000000,0)/100000),9)</f>
        <v>1</v>
      </c>
    </row>
    <row r="952" customFormat="false" ht="15" hidden="false" customHeight="false" outlineLevel="0" collapsed="false">
      <c r="A952" s="4" t="n">
        <v>948</v>
      </c>
      <c r="B952" s="4" t="n">
        <v>1073</v>
      </c>
      <c r="C952" s="4" t="n">
        <v>2</v>
      </c>
      <c r="D952" s="11" t="n">
        <v>46113</v>
      </c>
      <c r="E952" s="4" t="s">
        <v>204</v>
      </c>
      <c r="F952" s="4" t="s">
        <v>209</v>
      </c>
      <c r="G952" s="4" t="n">
        <v>2</v>
      </c>
      <c r="H952" s="4" t="n">
        <v>6</v>
      </c>
      <c r="I952" s="4" t="n">
        <v>0</v>
      </c>
      <c r="J952" s="4" t="n">
        <v>60</v>
      </c>
      <c r="K952" s="4" t="n">
        <v>0</v>
      </c>
      <c r="L952" s="12" t="n">
        <v>0.833893</v>
      </c>
      <c r="M952" s="12" t="n">
        <v>0.092063</v>
      </c>
      <c r="N952" s="12" t="n">
        <v>0.143029</v>
      </c>
      <c r="O952" s="12" t="n">
        <v>0.106183</v>
      </c>
      <c r="P952" s="12" t="n">
        <v>0.153609</v>
      </c>
      <c r="Q952" s="0" t="str">
        <f aca="false">IF(L952&gt;=Models!$G$5,1+COUNTIF($L$5:$L$1517,"&gt;"&amp;L952)+COUNTIFS($L$5:$L$1517,L952,$B$5:$B$1517,"&lt;"&amp;B952)+COUNTIFS($L$5:$L$1517,L952,$B$5:$B$1517,B952,$C$5:$C$1517,"&lt;"&amp;C952),"")</f>
        <v/>
      </c>
      <c r="R952" s="0" t="str">
        <f aca="false">IF(M952&gt;=Models!$G$6,1+COUNTIF($M$5:$M$1517,"&gt;"&amp;M952)+COUNTIFS($M$5:$M$1517,M952,$B$5:$B$1517,"&lt;"&amp;B952)+COUNTIFS($M$5:$M$1517,M952,$B$5:$B$1517,B952,$C$5:$C$1517,"&lt;"&amp;C952),"")</f>
        <v/>
      </c>
      <c r="S952" s="0" t="str">
        <f aca="false">IF(N952&gt;=Models!$G$7,1+COUNTIF($N$5:$N$1517,"&gt;"&amp;N952)+COUNTIFS($N$5:$N$1517,N952,$B$5:$B$1517,"&lt;"&amp;B952)+COUNTIFS($N$5:$N$1517,N952,$B$5:$B$1517,B952,$C$5:$C$1517,"&lt;"&amp;C952),"")</f>
        <v/>
      </c>
      <c r="T952" s="8" t="n">
        <f aca="false">IF(O952&gt;=Models!$G$8,1+COUNTIF($O$5:$O$1517,"&gt;"&amp;O952)+COUNTIFS($O$5:$O$1517,O952,$B$5:$B$1517,"&lt;"&amp;B952)+COUNTIFS($O$5:$O$1517,O952,$B$5:$B$1517,B952,$C$5:$C$1517,"&lt;"&amp;C952),"")</f>
        <v>857</v>
      </c>
      <c r="U952" s="8" t="n">
        <f aca="false">IF($K952=1,COUNTIFS($L$5:$L$1517,"&gt;="&amp;L952,$K$5:$K$1517,1)/COUNTIF($L$5:$L$1517,"&gt;="&amp;L952),0)</f>
        <v>0</v>
      </c>
      <c r="V952" s="8" t="n">
        <f aca="false">IF($K952=1,COUNTIFS($M$5:$M$1517,"&gt;="&amp;M952,$K$5:$K$1517,1)/COUNTIF($M$5:$M$1517,"&gt;="&amp;M952),0)</f>
        <v>0</v>
      </c>
      <c r="W952" s="8" t="n">
        <f aca="false">IF($K952=1,COUNTIFS($N$5:$N$1517,"&gt;="&amp;N952,$K$5:$K$1517,1)/COUNTIF($N$5:$N$1517,"&gt;="&amp;N952),0)</f>
        <v>0</v>
      </c>
      <c r="X952" s="8" t="n">
        <f aca="false">IF($K952=1,COUNTIFS($O$5:$O$1517,"&gt;="&amp;O952,$K$5:$K$1517,1)/COUNTIF($O$5:$O$1517,"&gt;="&amp;O952),0)</f>
        <v>0</v>
      </c>
      <c r="Y952" s="8" t="n">
        <f aca="false">IF($K952=1,COUNTIFS($P$5:$P$1517,"&gt;="&amp;P952,$K$5:$K$1517,1)/COUNTIF($P$5:$P$1517,"&gt;="&amp;P952),0)</f>
        <v>0</v>
      </c>
      <c r="Z952" s="8" t="n">
        <f aca="false">(L952-$K952)^2</f>
        <v>0.695377535449</v>
      </c>
      <c r="AA952" s="8" t="n">
        <f aca="false">(M952-$K952)^2</f>
        <v>0.008475595969</v>
      </c>
      <c r="AB952" s="8" t="n">
        <f aca="false">(N952-$K952)^2</f>
        <v>0.020457294841</v>
      </c>
      <c r="AC952" s="8" t="n">
        <f aca="false">(O952-$K952)^2</f>
        <v>0.011274829489</v>
      </c>
      <c r="AD952" s="8" t="n">
        <f aca="false">(P952-$K952)^2</f>
        <v>0.023595724881</v>
      </c>
      <c r="AE952" s="8" t="n">
        <f aca="false">MIN(INT(ROUND(N952*1000000,0)/100000),9)</f>
        <v>1</v>
      </c>
      <c r="AF952" s="8" t="n">
        <f aca="false">MIN(INT(ROUND(P952*1000000,0)/100000),9)</f>
        <v>1</v>
      </c>
    </row>
    <row r="953" customFormat="false" ht="15" hidden="false" customHeight="false" outlineLevel="0" collapsed="false">
      <c r="A953" s="4" t="n">
        <v>949</v>
      </c>
      <c r="B953" s="4" t="n">
        <v>1076</v>
      </c>
      <c r="C953" s="4" t="n">
        <v>2</v>
      </c>
      <c r="D953" s="11" t="n">
        <v>46113</v>
      </c>
      <c r="E953" s="4" t="s">
        <v>204</v>
      </c>
      <c r="F953" s="4" t="s">
        <v>209</v>
      </c>
      <c r="G953" s="4" t="n">
        <v>5</v>
      </c>
      <c r="H953" s="4" t="n">
        <v>7</v>
      </c>
      <c r="I953" s="4" t="n">
        <v>0</v>
      </c>
      <c r="J953" s="4" t="n">
        <v>117</v>
      </c>
      <c r="K953" s="4" t="n">
        <v>0</v>
      </c>
      <c r="L953" s="12" t="n">
        <v>0.319393</v>
      </c>
      <c r="M953" s="12" t="n">
        <v>0.092063</v>
      </c>
      <c r="N953" s="12" t="n">
        <v>0.113503</v>
      </c>
      <c r="O953" s="12" t="n">
        <v>0.106183</v>
      </c>
      <c r="P953" s="12" t="n">
        <v>0.120864</v>
      </c>
      <c r="Q953" s="0" t="str">
        <f aca="false">IF(L953&gt;=Models!$G$5,1+COUNTIF($L$5:$L$1517,"&gt;"&amp;L953)+COUNTIFS($L$5:$L$1517,L953,$B$5:$B$1517,"&lt;"&amp;B953)+COUNTIFS($L$5:$L$1517,L953,$B$5:$B$1517,B953,$C$5:$C$1517,"&lt;"&amp;C953),"")</f>
        <v/>
      </c>
      <c r="R953" s="0" t="str">
        <f aca="false">IF(M953&gt;=Models!$G$6,1+COUNTIF($M$5:$M$1517,"&gt;"&amp;M953)+COUNTIFS($M$5:$M$1517,M953,$B$5:$B$1517,"&lt;"&amp;B953)+COUNTIFS($M$5:$M$1517,M953,$B$5:$B$1517,B953,$C$5:$C$1517,"&lt;"&amp;C953),"")</f>
        <v/>
      </c>
      <c r="S953" s="0" t="str">
        <f aca="false">IF(N953&gt;=Models!$G$7,1+COUNTIF($N$5:$N$1517,"&gt;"&amp;N953)+COUNTIFS($N$5:$N$1517,N953,$B$5:$B$1517,"&lt;"&amp;B953)+COUNTIFS($N$5:$N$1517,N953,$B$5:$B$1517,B953,$C$5:$C$1517,"&lt;"&amp;C953),"")</f>
        <v/>
      </c>
      <c r="T953" s="8" t="n">
        <f aca="false">IF(O953&gt;=Models!$G$8,1+COUNTIF($O$5:$O$1517,"&gt;"&amp;O953)+COUNTIFS($O$5:$O$1517,O953,$B$5:$B$1517,"&lt;"&amp;B953)+COUNTIFS($O$5:$O$1517,O953,$B$5:$B$1517,B953,$C$5:$C$1517,"&lt;"&amp;C953),"")</f>
        <v>861</v>
      </c>
      <c r="U953" s="8" t="n">
        <f aca="false">IF($K953=1,COUNTIFS($L$5:$L$1517,"&gt;="&amp;L953,$K$5:$K$1517,1)/COUNTIF($L$5:$L$1517,"&gt;="&amp;L953),0)</f>
        <v>0</v>
      </c>
      <c r="V953" s="8" t="n">
        <f aca="false">IF($K953=1,COUNTIFS($M$5:$M$1517,"&gt;="&amp;M953,$K$5:$K$1517,1)/COUNTIF($M$5:$M$1517,"&gt;="&amp;M953),0)</f>
        <v>0</v>
      </c>
      <c r="W953" s="8" t="n">
        <f aca="false">IF($K953=1,COUNTIFS($N$5:$N$1517,"&gt;="&amp;N953,$K$5:$K$1517,1)/COUNTIF($N$5:$N$1517,"&gt;="&amp;N953),0)</f>
        <v>0</v>
      </c>
      <c r="X953" s="8" t="n">
        <f aca="false">IF($K953=1,COUNTIFS($O$5:$O$1517,"&gt;="&amp;O953,$K$5:$K$1517,1)/COUNTIF($O$5:$O$1517,"&gt;="&amp;O953),0)</f>
        <v>0</v>
      </c>
      <c r="Y953" s="8" t="n">
        <f aca="false">IF($K953=1,COUNTIFS($P$5:$P$1517,"&gt;="&amp;P953,$K$5:$K$1517,1)/COUNTIF($P$5:$P$1517,"&gt;="&amp;P953),0)</f>
        <v>0</v>
      </c>
      <c r="Z953" s="8" t="n">
        <f aca="false">(L953-$K953)^2</f>
        <v>0.102011888449</v>
      </c>
      <c r="AA953" s="8" t="n">
        <f aca="false">(M953-$K953)^2</f>
        <v>0.008475595969</v>
      </c>
      <c r="AB953" s="8" t="n">
        <f aca="false">(N953-$K953)^2</f>
        <v>0.012882931009</v>
      </c>
      <c r="AC953" s="8" t="n">
        <f aca="false">(O953-$K953)^2</f>
        <v>0.011274829489</v>
      </c>
      <c r="AD953" s="8" t="n">
        <f aca="false">(P953-$K953)^2</f>
        <v>0.014608106496</v>
      </c>
      <c r="AE953" s="8" t="n">
        <f aca="false">MIN(INT(ROUND(N953*1000000,0)/100000),9)</f>
        <v>1</v>
      </c>
      <c r="AF953" s="8" t="n">
        <f aca="false">MIN(INT(ROUND(P953*1000000,0)/100000),9)</f>
        <v>1</v>
      </c>
    </row>
    <row r="954" customFormat="false" ht="15" hidden="false" customHeight="false" outlineLevel="0" collapsed="false">
      <c r="A954" s="4" t="n">
        <v>950</v>
      </c>
      <c r="B954" s="4" t="n">
        <v>1080</v>
      </c>
      <c r="C954" s="4" t="n">
        <v>2</v>
      </c>
      <c r="D954" s="11" t="n">
        <v>46113</v>
      </c>
      <c r="E954" s="4" t="s">
        <v>202</v>
      </c>
      <c r="F954" s="4" t="s">
        <v>209</v>
      </c>
      <c r="G954" s="4" t="n">
        <v>4</v>
      </c>
      <c r="H954" s="4" t="n">
        <v>10</v>
      </c>
      <c r="I954" s="4" t="n">
        <v>0</v>
      </c>
      <c r="J954" s="4"/>
      <c r="K954" s="4" t="n">
        <v>0</v>
      </c>
      <c r="L954" s="12" t="n">
        <v>0.888957</v>
      </c>
      <c r="M954" s="12" t="n">
        <v>0.092063</v>
      </c>
      <c r="N954" s="12" t="n">
        <v>0.063516</v>
      </c>
      <c r="O954" s="12" t="n">
        <v>0.106183</v>
      </c>
      <c r="P954" s="12" t="n">
        <v>0.065996</v>
      </c>
      <c r="Q954" s="0" t="str">
        <f aca="false">IF(L954&gt;=Models!$G$5,1+COUNTIF($L$5:$L$1517,"&gt;"&amp;L954)+COUNTIFS($L$5:$L$1517,L954,$B$5:$B$1517,"&lt;"&amp;B954)+COUNTIFS($L$5:$L$1517,L954,$B$5:$B$1517,B954,$C$5:$C$1517,"&lt;"&amp;C954),"")</f>
        <v/>
      </c>
      <c r="R954" s="0" t="str">
        <f aca="false">IF(M954&gt;=Models!$G$6,1+COUNTIF($M$5:$M$1517,"&gt;"&amp;M954)+COUNTIFS($M$5:$M$1517,M954,$B$5:$B$1517,"&lt;"&amp;B954)+COUNTIFS($M$5:$M$1517,M954,$B$5:$B$1517,B954,$C$5:$C$1517,"&lt;"&amp;C954),"")</f>
        <v/>
      </c>
      <c r="S954" s="0" t="str">
        <f aca="false">IF(N954&gt;=Models!$G$7,1+COUNTIF($N$5:$N$1517,"&gt;"&amp;N954)+COUNTIFS($N$5:$N$1517,N954,$B$5:$B$1517,"&lt;"&amp;B954)+COUNTIFS($N$5:$N$1517,N954,$B$5:$B$1517,B954,$C$5:$C$1517,"&lt;"&amp;C954),"")</f>
        <v/>
      </c>
      <c r="T954" s="8" t="n">
        <f aca="false">IF(O954&gt;=Models!$G$8,1+COUNTIF($O$5:$O$1517,"&gt;"&amp;O954)+COUNTIFS($O$5:$O$1517,O954,$B$5:$B$1517,"&lt;"&amp;B954)+COUNTIFS($O$5:$O$1517,O954,$B$5:$B$1517,B954,$C$5:$C$1517,"&lt;"&amp;C954),"")</f>
        <v>865</v>
      </c>
      <c r="U954" s="8" t="n">
        <f aca="false">IF($K954=1,COUNTIFS($L$5:$L$1517,"&gt;="&amp;L954,$K$5:$K$1517,1)/COUNTIF($L$5:$L$1517,"&gt;="&amp;L954),0)</f>
        <v>0</v>
      </c>
      <c r="V954" s="8" t="n">
        <f aca="false">IF($K954=1,COUNTIFS($M$5:$M$1517,"&gt;="&amp;M954,$K$5:$K$1517,1)/COUNTIF($M$5:$M$1517,"&gt;="&amp;M954),0)</f>
        <v>0</v>
      </c>
      <c r="W954" s="8" t="n">
        <f aca="false">IF($K954=1,COUNTIFS($N$5:$N$1517,"&gt;="&amp;N954,$K$5:$K$1517,1)/COUNTIF($N$5:$N$1517,"&gt;="&amp;N954),0)</f>
        <v>0</v>
      </c>
      <c r="X954" s="8" t="n">
        <f aca="false">IF($K954=1,COUNTIFS($O$5:$O$1517,"&gt;="&amp;O954,$K$5:$K$1517,1)/COUNTIF($O$5:$O$1517,"&gt;="&amp;O954),0)</f>
        <v>0</v>
      </c>
      <c r="Y954" s="8" t="n">
        <f aca="false">IF($K954=1,COUNTIFS($P$5:$P$1517,"&gt;="&amp;P954,$K$5:$K$1517,1)/COUNTIF($P$5:$P$1517,"&gt;="&amp;P954),0)</f>
        <v>0</v>
      </c>
      <c r="Z954" s="8" t="n">
        <f aca="false">(L954-$K954)^2</f>
        <v>0.790244547849</v>
      </c>
      <c r="AA954" s="8" t="n">
        <f aca="false">(M954-$K954)^2</f>
        <v>0.008475595969</v>
      </c>
      <c r="AB954" s="8" t="n">
        <f aca="false">(N954-$K954)^2</f>
        <v>0.004034282256</v>
      </c>
      <c r="AC954" s="8" t="n">
        <f aca="false">(O954-$K954)^2</f>
        <v>0.011274829489</v>
      </c>
      <c r="AD954" s="8" t="n">
        <f aca="false">(P954-$K954)^2</f>
        <v>0.004355472016</v>
      </c>
      <c r="AE954" s="8" t="n">
        <f aca="false">MIN(INT(ROUND(N954*1000000,0)/100000),9)</f>
        <v>0</v>
      </c>
      <c r="AF954" s="8" t="n">
        <f aca="false">MIN(INT(ROUND(P954*1000000,0)/100000),9)</f>
        <v>0</v>
      </c>
    </row>
    <row r="955" customFormat="false" ht="15" hidden="false" customHeight="false" outlineLevel="0" collapsed="false">
      <c r="A955" s="4" t="n">
        <v>951</v>
      </c>
      <c r="B955" s="4" t="n">
        <v>1091</v>
      </c>
      <c r="C955" s="4" t="n">
        <v>2</v>
      </c>
      <c r="D955" s="11" t="n">
        <v>46113</v>
      </c>
      <c r="E955" s="4" t="s">
        <v>204</v>
      </c>
      <c r="F955" s="4" t="s">
        <v>208</v>
      </c>
      <c r="G955" s="4" t="n">
        <v>1</v>
      </c>
      <c r="H955" s="4" t="n">
        <v>2</v>
      </c>
      <c r="I955" s="4" t="n">
        <v>0</v>
      </c>
      <c r="J955" s="4" t="n">
        <v>69</v>
      </c>
      <c r="K955" s="4" t="n">
        <v>0</v>
      </c>
      <c r="L955" s="12" t="n">
        <v>0.543552</v>
      </c>
      <c r="M955" s="12" t="n">
        <v>0.092063</v>
      </c>
      <c r="N955" s="12" t="n">
        <v>0.150119</v>
      </c>
      <c r="O955" s="12" t="n">
        <v>0.106183</v>
      </c>
      <c r="P955" s="12" t="n">
        <v>0.16149</v>
      </c>
      <c r="Q955" s="0" t="str">
        <f aca="false">IF(L955&gt;=Models!$G$5,1+COUNTIF($L$5:$L$1517,"&gt;"&amp;L955)+COUNTIFS($L$5:$L$1517,L955,$B$5:$B$1517,"&lt;"&amp;B955)+COUNTIFS($L$5:$L$1517,L955,$B$5:$B$1517,B955,$C$5:$C$1517,"&lt;"&amp;C955),"")</f>
        <v/>
      </c>
      <c r="R955" s="0" t="str">
        <f aca="false">IF(M955&gt;=Models!$G$6,1+COUNTIF($M$5:$M$1517,"&gt;"&amp;M955)+COUNTIFS($M$5:$M$1517,M955,$B$5:$B$1517,"&lt;"&amp;B955)+COUNTIFS($M$5:$M$1517,M955,$B$5:$B$1517,B955,$C$5:$C$1517,"&lt;"&amp;C955),"")</f>
        <v/>
      </c>
      <c r="S955" s="0" t="str">
        <f aca="false">IF(N955&gt;=Models!$G$7,1+COUNTIF($N$5:$N$1517,"&gt;"&amp;N955)+COUNTIFS($N$5:$N$1517,N955,$B$5:$B$1517,"&lt;"&amp;B955)+COUNTIFS($N$5:$N$1517,N955,$B$5:$B$1517,B955,$C$5:$C$1517,"&lt;"&amp;C955),"")</f>
        <v/>
      </c>
      <c r="T955" s="8" t="n">
        <f aca="false">IF(O955&gt;=Models!$G$8,1+COUNTIF($O$5:$O$1517,"&gt;"&amp;O955)+COUNTIFS($O$5:$O$1517,O955,$B$5:$B$1517,"&lt;"&amp;B955)+COUNTIFS($O$5:$O$1517,O955,$B$5:$B$1517,B955,$C$5:$C$1517,"&lt;"&amp;C955),"")</f>
        <v>869</v>
      </c>
      <c r="U955" s="8" t="n">
        <f aca="false">IF($K955=1,COUNTIFS($L$5:$L$1517,"&gt;="&amp;L955,$K$5:$K$1517,1)/COUNTIF($L$5:$L$1517,"&gt;="&amp;L955),0)</f>
        <v>0</v>
      </c>
      <c r="V955" s="8" t="n">
        <f aca="false">IF($K955=1,COUNTIFS($M$5:$M$1517,"&gt;="&amp;M955,$K$5:$K$1517,1)/COUNTIF($M$5:$M$1517,"&gt;="&amp;M955),0)</f>
        <v>0</v>
      </c>
      <c r="W955" s="8" t="n">
        <f aca="false">IF($K955=1,COUNTIFS($N$5:$N$1517,"&gt;="&amp;N955,$K$5:$K$1517,1)/COUNTIF($N$5:$N$1517,"&gt;="&amp;N955),0)</f>
        <v>0</v>
      </c>
      <c r="X955" s="8" t="n">
        <f aca="false">IF($K955=1,COUNTIFS($O$5:$O$1517,"&gt;="&amp;O955,$K$5:$K$1517,1)/COUNTIF($O$5:$O$1517,"&gt;="&amp;O955),0)</f>
        <v>0</v>
      </c>
      <c r="Y955" s="8" t="n">
        <f aca="false">IF($K955=1,COUNTIFS($P$5:$P$1517,"&gt;="&amp;P955,$K$5:$K$1517,1)/COUNTIF($P$5:$P$1517,"&gt;="&amp;P955),0)</f>
        <v>0</v>
      </c>
      <c r="Z955" s="8" t="n">
        <f aca="false">(L955-$K955)^2</f>
        <v>0.295448776704</v>
      </c>
      <c r="AA955" s="8" t="n">
        <f aca="false">(M955-$K955)^2</f>
        <v>0.008475595969</v>
      </c>
      <c r="AB955" s="8" t="n">
        <f aca="false">(N955-$K955)^2</f>
        <v>0.022535714161</v>
      </c>
      <c r="AC955" s="8" t="n">
        <f aca="false">(O955-$K955)^2</f>
        <v>0.011274829489</v>
      </c>
      <c r="AD955" s="8" t="n">
        <f aca="false">(P955-$K955)^2</f>
        <v>0.0260790201</v>
      </c>
      <c r="AE955" s="8" t="n">
        <f aca="false">MIN(INT(ROUND(N955*1000000,0)/100000),9)</f>
        <v>1</v>
      </c>
      <c r="AF955" s="8" t="n">
        <f aca="false">MIN(INT(ROUND(P955*1000000,0)/100000),9)</f>
        <v>1</v>
      </c>
    </row>
    <row r="956" customFormat="false" ht="15" hidden="false" customHeight="false" outlineLevel="0" collapsed="false">
      <c r="A956" s="4" t="n">
        <v>952</v>
      </c>
      <c r="B956" s="4" t="n">
        <v>1092</v>
      </c>
      <c r="C956" s="4" t="n">
        <v>2</v>
      </c>
      <c r="D956" s="11" t="n">
        <v>46113</v>
      </c>
      <c r="E956" s="4" t="s">
        <v>204</v>
      </c>
      <c r="F956" s="4" t="s">
        <v>208</v>
      </c>
      <c r="G956" s="4" t="n">
        <v>2</v>
      </c>
      <c r="H956" s="4" t="n">
        <v>9</v>
      </c>
      <c r="I956" s="4" t="n">
        <v>0</v>
      </c>
      <c r="J956" s="4" t="n">
        <v>69.6</v>
      </c>
      <c r="K956" s="4" t="n">
        <v>1</v>
      </c>
      <c r="L956" s="12" t="n">
        <v>0.657478</v>
      </c>
      <c r="M956" s="12" t="n">
        <v>0.092063</v>
      </c>
      <c r="N956" s="12" t="n">
        <v>0.145999</v>
      </c>
      <c r="O956" s="12" t="n">
        <v>0.106183</v>
      </c>
      <c r="P956" s="12" t="n">
        <v>0.15691</v>
      </c>
      <c r="Q956" s="0" t="str">
        <f aca="false">IF(L956&gt;=Models!$G$5,1+COUNTIF($L$5:$L$1517,"&gt;"&amp;L956)+COUNTIFS($L$5:$L$1517,L956,$B$5:$B$1517,"&lt;"&amp;B956)+COUNTIFS($L$5:$L$1517,L956,$B$5:$B$1517,B956,$C$5:$C$1517,"&lt;"&amp;C956),"")</f>
        <v/>
      </c>
      <c r="R956" s="0" t="str">
        <f aca="false">IF(M956&gt;=Models!$G$6,1+COUNTIF($M$5:$M$1517,"&gt;"&amp;M956)+COUNTIFS($M$5:$M$1517,M956,$B$5:$B$1517,"&lt;"&amp;B956)+COUNTIFS($M$5:$M$1517,M956,$B$5:$B$1517,B956,$C$5:$C$1517,"&lt;"&amp;C956),"")</f>
        <v/>
      </c>
      <c r="S956" s="0" t="str">
        <f aca="false">IF(N956&gt;=Models!$G$7,1+COUNTIF($N$5:$N$1517,"&gt;"&amp;N956)+COUNTIFS($N$5:$N$1517,N956,$B$5:$B$1517,"&lt;"&amp;B956)+COUNTIFS($N$5:$N$1517,N956,$B$5:$B$1517,B956,$C$5:$C$1517,"&lt;"&amp;C956),"")</f>
        <v/>
      </c>
      <c r="T956" s="8" t="n">
        <f aca="false">IF(O956&gt;=Models!$G$8,1+COUNTIF($O$5:$O$1517,"&gt;"&amp;O956)+COUNTIFS($O$5:$O$1517,O956,$B$5:$B$1517,"&lt;"&amp;B956)+COUNTIFS($O$5:$O$1517,O956,$B$5:$B$1517,B956,$C$5:$C$1517,"&lt;"&amp;C956),"")</f>
        <v>873</v>
      </c>
      <c r="U956" s="8" t="n">
        <f aca="false">IF($K956=1,COUNTIFS($L$5:$L$1517,"&gt;="&amp;L956,$K$5:$K$1517,1)/COUNTIF($L$5:$L$1517,"&gt;="&amp;L956),0)</f>
        <v>0.126732673267327</v>
      </c>
      <c r="V956" s="8" t="n">
        <f aca="false">IF($K956=1,COUNTIFS($M$5:$M$1517,"&gt;="&amp;M956,$K$5:$K$1517,1)/COUNTIF($M$5:$M$1517,"&gt;="&amp;M956),0)</f>
        <v>0.12491738268341</v>
      </c>
      <c r="W956" s="8" t="n">
        <f aca="false">IF($K956=1,COUNTIFS($N$5:$N$1517,"&gt;="&amp;N956,$K$5:$K$1517,1)/COUNTIF($N$5:$N$1517,"&gt;="&amp;N956),0)</f>
        <v>0.302127659574468</v>
      </c>
      <c r="X956" s="8" t="n">
        <f aca="false">IF($K956=1,COUNTIFS($O$5:$O$1517,"&gt;="&amp;O956,$K$5:$K$1517,1)/COUNTIF($O$5:$O$1517,"&gt;="&amp;O956),0)</f>
        <v>0.12491738268341</v>
      </c>
      <c r="Y956" s="8" t="n">
        <f aca="false">IF($K956=1,COUNTIFS($P$5:$P$1517,"&gt;="&amp;P956,$K$5:$K$1517,1)/COUNTIF($P$5:$P$1517,"&gt;="&amp;P956),0)</f>
        <v>0.302127659574468</v>
      </c>
      <c r="Z956" s="8" t="n">
        <f aca="false">(L956-$K956)^2</f>
        <v>0.117321320484</v>
      </c>
      <c r="AA956" s="8" t="n">
        <f aca="false">(M956-$K956)^2</f>
        <v>0.824349595969</v>
      </c>
      <c r="AB956" s="8" t="n">
        <f aca="false">(N956-$K956)^2</f>
        <v>0.729317708001</v>
      </c>
      <c r="AC956" s="8" t="n">
        <f aca="false">(O956-$K956)^2</f>
        <v>0.798908829489</v>
      </c>
      <c r="AD956" s="8" t="n">
        <f aca="false">(P956-$K956)^2</f>
        <v>0.7108007481</v>
      </c>
      <c r="AE956" s="8" t="n">
        <f aca="false">MIN(INT(ROUND(N956*1000000,0)/100000),9)</f>
        <v>1</v>
      </c>
      <c r="AF956" s="8" t="n">
        <f aca="false">MIN(INT(ROUND(P956*1000000,0)/100000),9)</f>
        <v>1</v>
      </c>
    </row>
    <row r="957" customFormat="false" ht="15" hidden="false" customHeight="false" outlineLevel="0" collapsed="false">
      <c r="A957" s="4" t="n">
        <v>953</v>
      </c>
      <c r="B957" s="4" t="n">
        <v>1094</v>
      </c>
      <c r="C957" s="4" t="n">
        <v>2</v>
      </c>
      <c r="D957" s="11" t="n">
        <v>46113</v>
      </c>
      <c r="E957" s="4" t="s">
        <v>202</v>
      </c>
      <c r="F957" s="4" t="s">
        <v>210</v>
      </c>
      <c r="G957" s="4" t="n">
        <v>24</v>
      </c>
      <c r="H957" s="4" t="n">
        <v>3</v>
      </c>
      <c r="I957" s="4" t="n">
        <v>0</v>
      </c>
      <c r="J957" s="4" t="n">
        <v>1746</v>
      </c>
      <c r="K957" s="4" t="n">
        <v>0</v>
      </c>
      <c r="L957" s="12" t="n">
        <v>0.623255</v>
      </c>
      <c r="M957" s="12" t="n">
        <v>0.092063</v>
      </c>
      <c r="N957" s="12" t="n">
        <v>0.019983</v>
      </c>
      <c r="O957" s="12" t="n">
        <v>0.106183</v>
      </c>
      <c r="P957" s="12" t="n">
        <v>0.019668</v>
      </c>
      <c r="Q957" s="0" t="str">
        <f aca="false">IF(L957&gt;=Models!$G$5,1+COUNTIF($L$5:$L$1517,"&gt;"&amp;L957)+COUNTIFS($L$5:$L$1517,L957,$B$5:$B$1517,"&lt;"&amp;B957)+COUNTIFS($L$5:$L$1517,L957,$B$5:$B$1517,B957,$C$5:$C$1517,"&lt;"&amp;C957),"")</f>
        <v/>
      </c>
      <c r="R957" s="0" t="str">
        <f aca="false">IF(M957&gt;=Models!$G$6,1+COUNTIF($M$5:$M$1517,"&gt;"&amp;M957)+COUNTIFS($M$5:$M$1517,M957,$B$5:$B$1517,"&lt;"&amp;B957)+COUNTIFS($M$5:$M$1517,M957,$B$5:$B$1517,B957,$C$5:$C$1517,"&lt;"&amp;C957),"")</f>
        <v/>
      </c>
      <c r="S957" s="0" t="str">
        <f aca="false">IF(N957&gt;=Models!$G$7,1+COUNTIF($N$5:$N$1517,"&gt;"&amp;N957)+COUNTIFS($N$5:$N$1517,N957,$B$5:$B$1517,"&lt;"&amp;B957)+COUNTIFS($N$5:$N$1517,N957,$B$5:$B$1517,B957,$C$5:$C$1517,"&lt;"&amp;C957),"")</f>
        <v/>
      </c>
      <c r="T957" s="8" t="n">
        <f aca="false">IF(O957&gt;=Models!$G$8,1+COUNTIF($O$5:$O$1517,"&gt;"&amp;O957)+COUNTIFS($O$5:$O$1517,O957,$B$5:$B$1517,"&lt;"&amp;B957)+COUNTIFS($O$5:$O$1517,O957,$B$5:$B$1517,B957,$C$5:$C$1517,"&lt;"&amp;C957),"")</f>
        <v>876</v>
      </c>
      <c r="U957" s="8" t="n">
        <f aca="false">IF($K957=1,COUNTIFS($L$5:$L$1517,"&gt;="&amp;L957,$K$5:$K$1517,1)/COUNTIF($L$5:$L$1517,"&gt;="&amp;L957),0)</f>
        <v>0</v>
      </c>
      <c r="V957" s="8" t="n">
        <f aca="false">IF($K957=1,COUNTIFS($M$5:$M$1517,"&gt;="&amp;M957,$K$5:$K$1517,1)/COUNTIF($M$5:$M$1517,"&gt;="&amp;M957),0)</f>
        <v>0</v>
      </c>
      <c r="W957" s="8" t="n">
        <f aca="false">IF($K957=1,COUNTIFS($N$5:$N$1517,"&gt;="&amp;N957,$K$5:$K$1517,1)/COUNTIF($N$5:$N$1517,"&gt;="&amp;N957),0)</f>
        <v>0</v>
      </c>
      <c r="X957" s="8" t="n">
        <f aca="false">IF($K957=1,COUNTIFS($O$5:$O$1517,"&gt;="&amp;O957,$K$5:$K$1517,1)/COUNTIF($O$5:$O$1517,"&gt;="&amp;O957),0)</f>
        <v>0</v>
      </c>
      <c r="Y957" s="8" t="n">
        <f aca="false">IF($K957=1,COUNTIFS($P$5:$P$1517,"&gt;="&amp;P957,$K$5:$K$1517,1)/COUNTIF($P$5:$P$1517,"&gt;="&amp;P957),0)</f>
        <v>0</v>
      </c>
      <c r="Z957" s="8" t="n">
        <f aca="false">(L957-$K957)^2</f>
        <v>0.388446795025</v>
      </c>
      <c r="AA957" s="8" t="n">
        <f aca="false">(M957-$K957)^2</f>
        <v>0.008475595969</v>
      </c>
      <c r="AB957" s="8" t="n">
        <f aca="false">(N957-$K957)^2</f>
        <v>0.000399320289</v>
      </c>
      <c r="AC957" s="8" t="n">
        <f aca="false">(O957-$K957)^2</f>
        <v>0.011274829489</v>
      </c>
      <c r="AD957" s="8" t="n">
        <f aca="false">(P957-$K957)^2</f>
        <v>0.000386830224</v>
      </c>
      <c r="AE957" s="8" t="n">
        <f aca="false">MIN(INT(ROUND(N957*1000000,0)/100000),9)</f>
        <v>0</v>
      </c>
      <c r="AF957" s="8" t="n">
        <f aca="false">MIN(INT(ROUND(P957*1000000,0)/100000),9)</f>
        <v>0</v>
      </c>
    </row>
    <row r="958" customFormat="false" ht="15" hidden="false" customHeight="false" outlineLevel="0" collapsed="false">
      <c r="A958" s="4" t="n">
        <v>954</v>
      </c>
      <c r="B958" s="4" t="n">
        <v>1096</v>
      </c>
      <c r="C958" s="4" t="n">
        <v>2</v>
      </c>
      <c r="D958" s="11" t="n">
        <v>46113</v>
      </c>
      <c r="E958" s="4" t="s">
        <v>203</v>
      </c>
      <c r="F958" s="4" t="s">
        <v>206</v>
      </c>
      <c r="G958" s="4" t="n">
        <v>8</v>
      </c>
      <c r="H958" s="4" t="n">
        <v>2</v>
      </c>
      <c r="I958" s="4" t="n">
        <v>0</v>
      </c>
      <c r="J958" s="4" t="n">
        <v>333</v>
      </c>
      <c r="K958" s="4" t="n">
        <v>0</v>
      </c>
      <c r="L958" s="12" t="n">
        <v>0.723605</v>
      </c>
      <c r="M958" s="12" t="n">
        <v>0.092063</v>
      </c>
      <c r="N958" s="12" t="n">
        <v>0.084792</v>
      </c>
      <c r="O958" s="12" t="n">
        <v>0.106183</v>
      </c>
      <c r="P958" s="12" t="n">
        <v>0.089223</v>
      </c>
      <c r="Q958" s="0" t="str">
        <f aca="false">IF(L958&gt;=Models!$G$5,1+COUNTIF($L$5:$L$1517,"&gt;"&amp;L958)+COUNTIFS($L$5:$L$1517,L958,$B$5:$B$1517,"&lt;"&amp;B958)+COUNTIFS($L$5:$L$1517,L958,$B$5:$B$1517,B958,$C$5:$C$1517,"&lt;"&amp;C958),"")</f>
        <v/>
      </c>
      <c r="R958" s="0" t="str">
        <f aca="false">IF(M958&gt;=Models!$G$6,1+COUNTIF($M$5:$M$1517,"&gt;"&amp;M958)+COUNTIFS($M$5:$M$1517,M958,$B$5:$B$1517,"&lt;"&amp;B958)+COUNTIFS($M$5:$M$1517,M958,$B$5:$B$1517,B958,$C$5:$C$1517,"&lt;"&amp;C958),"")</f>
        <v/>
      </c>
      <c r="S958" s="0" t="str">
        <f aca="false">IF(N958&gt;=Models!$G$7,1+COUNTIF($N$5:$N$1517,"&gt;"&amp;N958)+COUNTIFS($N$5:$N$1517,N958,$B$5:$B$1517,"&lt;"&amp;B958)+COUNTIFS($N$5:$N$1517,N958,$B$5:$B$1517,B958,$C$5:$C$1517,"&lt;"&amp;C958),"")</f>
        <v/>
      </c>
      <c r="T958" s="8" t="n">
        <f aca="false">IF(O958&gt;=Models!$G$8,1+COUNTIF($O$5:$O$1517,"&gt;"&amp;O958)+COUNTIFS($O$5:$O$1517,O958,$B$5:$B$1517,"&lt;"&amp;B958)+COUNTIFS($O$5:$O$1517,O958,$B$5:$B$1517,B958,$C$5:$C$1517,"&lt;"&amp;C958),"")</f>
        <v>880</v>
      </c>
      <c r="U958" s="8" t="n">
        <f aca="false">IF($K958=1,COUNTIFS($L$5:$L$1517,"&gt;="&amp;L958,$K$5:$K$1517,1)/COUNTIF($L$5:$L$1517,"&gt;="&amp;L958),0)</f>
        <v>0</v>
      </c>
      <c r="V958" s="8" t="n">
        <f aca="false">IF($K958=1,COUNTIFS($M$5:$M$1517,"&gt;="&amp;M958,$K$5:$K$1517,1)/COUNTIF($M$5:$M$1517,"&gt;="&amp;M958),0)</f>
        <v>0</v>
      </c>
      <c r="W958" s="8" t="n">
        <f aca="false">IF($K958=1,COUNTIFS($N$5:$N$1517,"&gt;="&amp;N958,$K$5:$K$1517,1)/COUNTIF($N$5:$N$1517,"&gt;="&amp;N958),0)</f>
        <v>0</v>
      </c>
      <c r="X958" s="8" t="n">
        <f aca="false">IF($K958=1,COUNTIFS($O$5:$O$1517,"&gt;="&amp;O958,$K$5:$K$1517,1)/COUNTIF($O$5:$O$1517,"&gt;="&amp;O958),0)</f>
        <v>0</v>
      </c>
      <c r="Y958" s="8" t="n">
        <f aca="false">IF($K958=1,COUNTIFS($P$5:$P$1517,"&gt;="&amp;P958,$K$5:$K$1517,1)/COUNTIF($P$5:$P$1517,"&gt;="&amp;P958),0)</f>
        <v>0</v>
      </c>
      <c r="Z958" s="8" t="n">
        <f aca="false">(L958-$K958)^2</f>
        <v>0.523604196025</v>
      </c>
      <c r="AA958" s="8" t="n">
        <f aca="false">(M958-$K958)^2</f>
        <v>0.008475595969</v>
      </c>
      <c r="AB958" s="8" t="n">
        <f aca="false">(N958-$K958)^2</f>
        <v>0.007189683264</v>
      </c>
      <c r="AC958" s="8" t="n">
        <f aca="false">(O958-$K958)^2</f>
        <v>0.011274829489</v>
      </c>
      <c r="AD958" s="8" t="n">
        <f aca="false">(P958-$K958)^2</f>
        <v>0.007960743729</v>
      </c>
      <c r="AE958" s="8" t="n">
        <f aca="false">MIN(INT(ROUND(N958*1000000,0)/100000),9)</f>
        <v>0</v>
      </c>
      <c r="AF958" s="8" t="n">
        <f aca="false">MIN(INT(ROUND(P958*1000000,0)/100000),9)</f>
        <v>0</v>
      </c>
    </row>
    <row r="959" customFormat="false" ht="15" hidden="false" customHeight="false" outlineLevel="0" collapsed="false">
      <c r="A959" s="4" t="n">
        <v>955</v>
      </c>
      <c r="B959" s="4" t="n">
        <v>1101</v>
      </c>
      <c r="C959" s="4" t="n">
        <v>2</v>
      </c>
      <c r="D959" s="11" t="n">
        <v>46113</v>
      </c>
      <c r="E959" s="4" t="s">
        <v>203</v>
      </c>
      <c r="F959" s="4" t="s">
        <v>209</v>
      </c>
      <c r="G959" s="4" t="n">
        <v>4</v>
      </c>
      <c r="H959" s="4" t="n">
        <v>11</v>
      </c>
      <c r="I959" s="4" t="n">
        <v>0</v>
      </c>
      <c r="J959" s="4" t="n">
        <v>402</v>
      </c>
      <c r="K959" s="4" t="n">
        <v>0</v>
      </c>
      <c r="L959" s="12" t="n">
        <v>0.348786</v>
      </c>
      <c r="M959" s="12" t="n">
        <v>0.092063</v>
      </c>
      <c r="N959" s="12" t="n">
        <v>0.124637</v>
      </c>
      <c r="O959" s="12" t="n">
        <v>0.106183</v>
      </c>
      <c r="P959" s="12" t="n">
        <v>0.133195</v>
      </c>
      <c r="Q959" s="0" t="str">
        <f aca="false">IF(L959&gt;=Models!$G$5,1+COUNTIF($L$5:$L$1517,"&gt;"&amp;L959)+COUNTIFS($L$5:$L$1517,L959,$B$5:$B$1517,"&lt;"&amp;B959)+COUNTIFS($L$5:$L$1517,L959,$B$5:$B$1517,B959,$C$5:$C$1517,"&lt;"&amp;C959),"")</f>
        <v/>
      </c>
      <c r="R959" s="0" t="str">
        <f aca="false">IF(M959&gt;=Models!$G$6,1+COUNTIF($M$5:$M$1517,"&gt;"&amp;M959)+COUNTIFS($M$5:$M$1517,M959,$B$5:$B$1517,"&lt;"&amp;B959)+COUNTIFS($M$5:$M$1517,M959,$B$5:$B$1517,B959,$C$5:$C$1517,"&lt;"&amp;C959),"")</f>
        <v/>
      </c>
      <c r="S959" s="0" t="str">
        <f aca="false">IF(N959&gt;=Models!$G$7,1+COUNTIF($N$5:$N$1517,"&gt;"&amp;N959)+COUNTIFS($N$5:$N$1517,N959,$B$5:$B$1517,"&lt;"&amp;B959)+COUNTIFS($N$5:$N$1517,N959,$B$5:$B$1517,B959,$C$5:$C$1517,"&lt;"&amp;C959),"")</f>
        <v/>
      </c>
      <c r="T959" s="8" t="n">
        <f aca="false">IF(O959&gt;=Models!$G$8,1+COUNTIF($O$5:$O$1517,"&gt;"&amp;O959)+COUNTIFS($O$5:$O$1517,O959,$B$5:$B$1517,"&lt;"&amp;B959)+COUNTIFS($O$5:$O$1517,O959,$B$5:$B$1517,B959,$C$5:$C$1517,"&lt;"&amp;C959),"")</f>
        <v>884</v>
      </c>
      <c r="U959" s="8" t="n">
        <f aca="false">IF($K959=1,COUNTIFS($L$5:$L$1517,"&gt;="&amp;L959,$K$5:$K$1517,1)/COUNTIF($L$5:$L$1517,"&gt;="&amp;L959),0)</f>
        <v>0</v>
      </c>
      <c r="V959" s="8" t="n">
        <f aca="false">IF($K959=1,COUNTIFS($M$5:$M$1517,"&gt;="&amp;M959,$K$5:$K$1517,1)/COUNTIF($M$5:$M$1517,"&gt;="&amp;M959),0)</f>
        <v>0</v>
      </c>
      <c r="W959" s="8" t="n">
        <f aca="false">IF($K959=1,COUNTIFS($N$5:$N$1517,"&gt;="&amp;N959,$K$5:$K$1517,1)/COUNTIF($N$5:$N$1517,"&gt;="&amp;N959),0)</f>
        <v>0</v>
      </c>
      <c r="X959" s="8" t="n">
        <f aca="false">IF($K959=1,COUNTIFS($O$5:$O$1517,"&gt;="&amp;O959,$K$5:$K$1517,1)/COUNTIF($O$5:$O$1517,"&gt;="&amp;O959),0)</f>
        <v>0</v>
      </c>
      <c r="Y959" s="8" t="n">
        <f aca="false">IF($K959=1,COUNTIFS($P$5:$P$1517,"&gt;="&amp;P959,$K$5:$K$1517,1)/COUNTIF($P$5:$P$1517,"&gt;="&amp;P959),0)</f>
        <v>0</v>
      </c>
      <c r="Z959" s="8" t="n">
        <f aca="false">(L959-$K959)^2</f>
        <v>0.121651673796</v>
      </c>
      <c r="AA959" s="8" t="n">
        <f aca="false">(M959-$K959)^2</f>
        <v>0.008475595969</v>
      </c>
      <c r="AB959" s="8" t="n">
        <f aca="false">(N959-$K959)^2</f>
        <v>0.015534381769</v>
      </c>
      <c r="AC959" s="8" t="n">
        <f aca="false">(O959-$K959)^2</f>
        <v>0.011274829489</v>
      </c>
      <c r="AD959" s="8" t="n">
        <f aca="false">(P959-$K959)^2</f>
        <v>0.017740908025</v>
      </c>
      <c r="AE959" s="8" t="n">
        <f aca="false">MIN(INT(ROUND(N959*1000000,0)/100000),9)</f>
        <v>1</v>
      </c>
      <c r="AF959" s="8" t="n">
        <f aca="false">MIN(INT(ROUND(P959*1000000,0)/100000),9)</f>
        <v>1</v>
      </c>
    </row>
    <row r="960" customFormat="false" ht="15" hidden="false" customHeight="false" outlineLevel="0" collapsed="false">
      <c r="A960" s="4" t="n">
        <v>956</v>
      </c>
      <c r="B960" s="4" t="n">
        <v>1102</v>
      </c>
      <c r="C960" s="4" t="n">
        <v>2</v>
      </c>
      <c r="D960" s="11" t="n">
        <v>46113</v>
      </c>
      <c r="E960" s="4" t="s">
        <v>203</v>
      </c>
      <c r="F960" s="4" t="s">
        <v>209</v>
      </c>
      <c r="G960" s="4" t="n">
        <v>5</v>
      </c>
      <c r="H960" s="4" t="n">
        <v>16</v>
      </c>
      <c r="I960" s="4" t="n">
        <v>0</v>
      </c>
      <c r="J960" s="4" t="n">
        <v>255</v>
      </c>
      <c r="K960" s="4" t="n">
        <v>0</v>
      </c>
      <c r="L960" s="12" t="n">
        <v>0.415479</v>
      </c>
      <c r="M960" s="12" t="n">
        <v>0.092063</v>
      </c>
      <c r="N960" s="12" t="n">
        <v>0.120287</v>
      </c>
      <c r="O960" s="12" t="n">
        <v>0.106183</v>
      </c>
      <c r="P960" s="12" t="n">
        <v>0.128374</v>
      </c>
      <c r="Q960" s="0" t="str">
        <f aca="false">IF(L960&gt;=Models!$G$5,1+COUNTIF($L$5:$L$1517,"&gt;"&amp;L960)+COUNTIFS($L$5:$L$1517,L960,$B$5:$B$1517,"&lt;"&amp;B960)+COUNTIFS($L$5:$L$1517,L960,$B$5:$B$1517,B960,$C$5:$C$1517,"&lt;"&amp;C960),"")</f>
        <v/>
      </c>
      <c r="R960" s="0" t="str">
        <f aca="false">IF(M960&gt;=Models!$G$6,1+COUNTIF($M$5:$M$1517,"&gt;"&amp;M960)+COUNTIFS($M$5:$M$1517,M960,$B$5:$B$1517,"&lt;"&amp;B960)+COUNTIFS($M$5:$M$1517,M960,$B$5:$B$1517,B960,$C$5:$C$1517,"&lt;"&amp;C960),"")</f>
        <v/>
      </c>
      <c r="S960" s="0" t="str">
        <f aca="false">IF(N960&gt;=Models!$G$7,1+COUNTIF($N$5:$N$1517,"&gt;"&amp;N960)+COUNTIFS($N$5:$N$1517,N960,$B$5:$B$1517,"&lt;"&amp;B960)+COUNTIFS($N$5:$N$1517,N960,$B$5:$B$1517,B960,$C$5:$C$1517,"&lt;"&amp;C960),"")</f>
        <v/>
      </c>
      <c r="T960" s="8" t="n">
        <f aca="false">IF(O960&gt;=Models!$G$8,1+COUNTIF($O$5:$O$1517,"&gt;"&amp;O960)+COUNTIFS($O$5:$O$1517,O960,$B$5:$B$1517,"&lt;"&amp;B960)+COUNTIFS($O$5:$O$1517,O960,$B$5:$B$1517,B960,$C$5:$C$1517,"&lt;"&amp;C960),"")</f>
        <v>888</v>
      </c>
      <c r="U960" s="8" t="n">
        <f aca="false">IF($K960=1,COUNTIFS($L$5:$L$1517,"&gt;="&amp;L960,$K$5:$K$1517,1)/COUNTIF($L$5:$L$1517,"&gt;="&amp;L960),0)</f>
        <v>0</v>
      </c>
      <c r="V960" s="8" t="n">
        <f aca="false">IF($K960=1,COUNTIFS($M$5:$M$1517,"&gt;="&amp;M960,$K$5:$K$1517,1)/COUNTIF($M$5:$M$1517,"&gt;="&amp;M960),0)</f>
        <v>0</v>
      </c>
      <c r="W960" s="8" t="n">
        <f aca="false">IF($K960=1,COUNTIFS($N$5:$N$1517,"&gt;="&amp;N960,$K$5:$K$1517,1)/COUNTIF($N$5:$N$1517,"&gt;="&amp;N960),0)</f>
        <v>0</v>
      </c>
      <c r="X960" s="8" t="n">
        <f aca="false">IF($K960=1,COUNTIFS($O$5:$O$1517,"&gt;="&amp;O960,$K$5:$K$1517,1)/COUNTIF($O$5:$O$1517,"&gt;="&amp;O960),0)</f>
        <v>0</v>
      </c>
      <c r="Y960" s="8" t="n">
        <f aca="false">IF($K960=1,COUNTIFS($P$5:$P$1517,"&gt;="&amp;P960,$K$5:$K$1517,1)/COUNTIF($P$5:$P$1517,"&gt;="&amp;P960),0)</f>
        <v>0</v>
      </c>
      <c r="Z960" s="8" t="n">
        <f aca="false">(L960-$K960)^2</f>
        <v>0.172622799441</v>
      </c>
      <c r="AA960" s="8" t="n">
        <f aca="false">(M960-$K960)^2</f>
        <v>0.008475595969</v>
      </c>
      <c r="AB960" s="8" t="n">
        <f aca="false">(N960-$K960)^2</f>
        <v>0.014468962369</v>
      </c>
      <c r="AC960" s="8" t="n">
        <f aca="false">(O960-$K960)^2</f>
        <v>0.011274829489</v>
      </c>
      <c r="AD960" s="8" t="n">
        <f aca="false">(P960-$K960)^2</f>
        <v>0.016479883876</v>
      </c>
      <c r="AE960" s="8" t="n">
        <f aca="false">MIN(INT(ROUND(N960*1000000,0)/100000),9)</f>
        <v>1</v>
      </c>
      <c r="AF960" s="8" t="n">
        <f aca="false">MIN(INT(ROUND(P960*1000000,0)/100000),9)</f>
        <v>1</v>
      </c>
    </row>
    <row r="961" customFormat="false" ht="15" hidden="false" customHeight="false" outlineLevel="0" collapsed="false">
      <c r="A961" s="4" t="n">
        <v>957</v>
      </c>
      <c r="B961" s="4" t="n">
        <v>1112</v>
      </c>
      <c r="C961" s="4" t="n">
        <v>2</v>
      </c>
      <c r="D961" s="11" t="n">
        <v>46113</v>
      </c>
      <c r="E961" s="4" t="s">
        <v>202</v>
      </c>
      <c r="F961" s="4" t="s">
        <v>209</v>
      </c>
      <c r="G961" s="4" t="n">
        <v>10</v>
      </c>
      <c r="H961" s="4" t="n">
        <v>1</v>
      </c>
      <c r="I961" s="4" t="n">
        <v>0</v>
      </c>
      <c r="J961" s="4"/>
      <c r="K961" s="4" t="n">
        <v>0</v>
      </c>
      <c r="L961" s="12" t="n">
        <v>0.092202</v>
      </c>
      <c r="M961" s="12" t="n">
        <v>0.092063</v>
      </c>
      <c r="N961" s="12" t="n">
        <v>0.035415</v>
      </c>
      <c r="O961" s="12" t="n">
        <v>0.106183</v>
      </c>
      <c r="P961" s="12" t="n">
        <v>0.035819</v>
      </c>
      <c r="Q961" s="0" t="str">
        <f aca="false">IF(L961&gt;=Models!$G$5,1+COUNTIF($L$5:$L$1517,"&gt;"&amp;L961)+COUNTIFS($L$5:$L$1517,L961,$B$5:$B$1517,"&lt;"&amp;B961)+COUNTIFS($L$5:$L$1517,L961,$B$5:$B$1517,B961,$C$5:$C$1517,"&lt;"&amp;C961),"")</f>
        <v/>
      </c>
      <c r="R961" s="0" t="str">
        <f aca="false">IF(M961&gt;=Models!$G$6,1+COUNTIF($M$5:$M$1517,"&gt;"&amp;M961)+COUNTIFS($M$5:$M$1517,M961,$B$5:$B$1517,"&lt;"&amp;B961)+COUNTIFS($M$5:$M$1517,M961,$B$5:$B$1517,B961,$C$5:$C$1517,"&lt;"&amp;C961),"")</f>
        <v/>
      </c>
      <c r="S961" s="0" t="str">
        <f aca="false">IF(N961&gt;=Models!$G$7,1+COUNTIF($N$5:$N$1517,"&gt;"&amp;N961)+COUNTIFS($N$5:$N$1517,N961,$B$5:$B$1517,"&lt;"&amp;B961)+COUNTIFS($N$5:$N$1517,N961,$B$5:$B$1517,B961,$C$5:$C$1517,"&lt;"&amp;C961),"")</f>
        <v/>
      </c>
      <c r="T961" s="8" t="n">
        <f aca="false">IF(O961&gt;=Models!$G$8,1+COUNTIF($O$5:$O$1517,"&gt;"&amp;O961)+COUNTIFS($O$5:$O$1517,O961,$B$5:$B$1517,"&lt;"&amp;B961)+COUNTIFS($O$5:$O$1517,O961,$B$5:$B$1517,B961,$C$5:$C$1517,"&lt;"&amp;C961),"")</f>
        <v>892</v>
      </c>
      <c r="U961" s="8" t="n">
        <f aca="false">IF($K961=1,COUNTIFS($L$5:$L$1517,"&gt;="&amp;L961,$K$5:$K$1517,1)/COUNTIF($L$5:$L$1517,"&gt;="&amp;L961),0)</f>
        <v>0</v>
      </c>
      <c r="V961" s="8" t="n">
        <f aca="false">IF($K961=1,COUNTIFS($M$5:$M$1517,"&gt;="&amp;M961,$K$5:$K$1517,1)/COUNTIF($M$5:$M$1517,"&gt;="&amp;M961),0)</f>
        <v>0</v>
      </c>
      <c r="W961" s="8" t="n">
        <f aca="false">IF($K961=1,COUNTIFS($N$5:$N$1517,"&gt;="&amp;N961,$K$5:$K$1517,1)/COUNTIF($N$5:$N$1517,"&gt;="&amp;N961),0)</f>
        <v>0</v>
      </c>
      <c r="X961" s="8" t="n">
        <f aca="false">IF($K961=1,COUNTIFS($O$5:$O$1517,"&gt;="&amp;O961,$K$5:$K$1517,1)/COUNTIF($O$5:$O$1517,"&gt;="&amp;O961),0)</f>
        <v>0</v>
      </c>
      <c r="Y961" s="8" t="n">
        <f aca="false">IF($K961=1,COUNTIFS($P$5:$P$1517,"&gt;="&amp;P961,$K$5:$K$1517,1)/COUNTIF($P$5:$P$1517,"&gt;="&amp;P961),0)</f>
        <v>0</v>
      </c>
      <c r="Z961" s="8" t="n">
        <f aca="false">(L961-$K961)^2</f>
        <v>0.008501208804</v>
      </c>
      <c r="AA961" s="8" t="n">
        <f aca="false">(M961-$K961)^2</f>
        <v>0.008475595969</v>
      </c>
      <c r="AB961" s="8" t="n">
        <f aca="false">(N961-$K961)^2</f>
        <v>0.001254222225</v>
      </c>
      <c r="AC961" s="8" t="n">
        <f aca="false">(O961-$K961)^2</f>
        <v>0.011274829489</v>
      </c>
      <c r="AD961" s="8" t="n">
        <f aca="false">(P961-$K961)^2</f>
        <v>0.001283000761</v>
      </c>
      <c r="AE961" s="8" t="n">
        <f aca="false">MIN(INT(ROUND(N961*1000000,0)/100000),9)</f>
        <v>0</v>
      </c>
      <c r="AF961" s="8" t="n">
        <f aca="false">MIN(INT(ROUND(P961*1000000,0)/100000),9)</f>
        <v>0</v>
      </c>
    </row>
    <row r="962" customFormat="false" ht="15" hidden="false" customHeight="false" outlineLevel="0" collapsed="false">
      <c r="A962" s="4" t="n">
        <v>958</v>
      </c>
      <c r="B962" s="4" t="n">
        <v>1119</v>
      </c>
      <c r="C962" s="4" t="n">
        <v>2</v>
      </c>
      <c r="D962" s="11" t="n">
        <v>46113</v>
      </c>
      <c r="E962" s="4" t="s">
        <v>204</v>
      </c>
      <c r="F962" s="4" t="s">
        <v>210</v>
      </c>
      <c r="G962" s="4" t="n">
        <v>5</v>
      </c>
      <c r="H962" s="4" t="n">
        <v>7</v>
      </c>
      <c r="I962" s="4" t="n">
        <v>1</v>
      </c>
      <c r="J962" s="4" t="n">
        <v>99</v>
      </c>
      <c r="K962" s="4" t="n">
        <v>1</v>
      </c>
      <c r="L962" s="12" t="n">
        <v>0.454393</v>
      </c>
      <c r="M962" s="12" t="n">
        <v>0.184211</v>
      </c>
      <c r="N962" s="12" t="n">
        <v>0.188717</v>
      </c>
      <c r="O962" s="12" t="n">
        <v>0.106183</v>
      </c>
      <c r="P962" s="12" t="n">
        <v>0.204437</v>
      </c>
      <c r="Q962" s="0" t="str">
        <f aca="false">IF(L962&gt;=Models!$G$5,1+COUNTIF($L$5:$L$1517,"&gt;"&amp;L962)+COUNTIFS($L$5:$L$1517,L962,$B$5:$B$1517,"&lt;"&amp;B962)+COUNTIFS($L$5:$L$1517,L962,$B$5:$B$1517,B962,$C$5:$C$1517,"&lt;"&amp;C962),"")</f>
        <v/>
      </c>
      <c r="R962" s="8" t="n">
        <f aca="false">IF(M962&gt;=Models!$G$6,1+COUNTIF($M$5:$M$1517,"&gt;"&amp;M962)+COUNTIFS($M$5:$M$1517,M962,$B$5:$B$1517,"&lt;"&amp;B962)+COUNTIFS($M$5:$M$1517,M962,$B$5:$B$1517,B962,$C$5:$C$1517,"&lt;"&amp;C962),"")</f>
        <v>104</v>
      </c>
      <c r="S962" s="0" t="str">
        <f aca="false">IF(N962&gt;=Models!$G$7,1+COUNTIF($N$5:$N$1517,"&gt;"&amp;N962)+COUNTIFS($N$5:$N$1517,N962,$B$5:$B$1517,"&lt;"&amp;B962)+COUNTIFS($N$5:$N$1517,N962,$B$5:$B$1517,B962,$C$5:$C$1517,"&lt;"&amp;C962),"")</f>
        <v/>
      </c>
      <c r="T962" s="8" t="n">
        <f aca="false">IF(O962&gt;=Models!$G$8,1+COUNTIF($O$5:$O$1517,"&gt;"&amp;O962)+COUNTIFS($O$5:$O$1517,O962,$B$5:$B$1517,"&lt;"&amp;B962)+COUNTIFS($O$5:$O$1517,O962,$B$5:$B$1517,B962,$C$5:$C$1517,"&lt;"&amp;C962),"")</f>
        <v>896</v>
      </c>
      <c r="U962" s="8" t="n">
        <f aca="false">IF($K962=1,COUNTIFS($L$5:$L$1517,"&gt;="&amp;L962,$K$5:$K$1517,1)/COUNTIF($L$5:$L$1517,"&gt;="&amp;L962),0)</f>
        <v>0.125307125307125</v>
      </c>
      <c r="V962" s="8" t="n">
        <f aca="false">IF($K962=1,COUNTIFS($M$5:$M$1517,"&gt;="&amp;M962,$K$5:$K$1517,1)/COUNTIF($M$5:$M$1517,"&gt;="&amp;M962),0)</f>
        <v>0.186528497409326</v>
      </c>
      <c r="W962" s="8" t="n">
        <f aca="false">IF($K962=1,COUNTIFS($N$5:$N$1517,"&gt;="&amp;N962,$K$5:$K$1517,1)/COUNTIF($N$5:$N$1517,"&gt;="&amp;N962),0)</f>
        <v>0.307692307692308</v>
      </c>
      <c r="X962" s="8" t="n">
        <f aca="false">IF($K962=1,COUNTIFS($O$5:$O$1517,"&gt;="&amp;O962,$K$5:$K$1517,1)/COUNTIF($O$5:$O$1517,"&gt;="&amp;O962),0)</f>
        <v>0.12491738268341</v>
      </c>
      <c r="Y962" s="8" t="n">
        <f aca="false">IF($K962=1,COUNTIFS($P$5:$P$1517,"&gt;="&amp;P962,$K$5:$K$1517,1)/COUNTIF($P$5:$P$1517,"&gt;="&amp;P962),0)</f>
        <v>0.307692307692308</v>
      </c>
      <c r="Z962" s="8" t="n">
        <f aca="false">(L962-$K962)^2</f>
        <v>0.297686998449</v>
      </c>
      <c r="AA962" s="8" t="n">
        <f aca="false">(M962-$K962)^2</f>
        <v>0.665511692521</v>
      </c>
      <c r="AB962" s="8" t="n">
        <f aca="false">(N962-$K962)^2</f>
        <v>0.658180106089</v>
      </c>
      <c r="AC962" s="8" t="n">
        <f aca="false">(O962-$K962)^2</f>
        <v>0.798908829489</v>
      </c>
      <c r="AD962" s="8" t="n">
        <f aca="false">(P962-$K962)^2</f>
        <v>0.632920486969</v>
      </c>
      <c r="AE962" s="8" t="n">
        <f aca="false">MIN(INT(ROUND(N962*1000000,0)/100000),9)</f>
        <v>1</v>
      </c>
      <c r="AF962" s="8" t="n">
        <f aca="false">MIN(INT(ROUND(P962*1000000,0)/100000),9)</f>
        <v>2</v>
      </c>
    </row>
    <row r="963" customFormat="false" ht="15" hidden="false" customHeight="false" outlineLevel="0" collapsed="false">
      <c r="A963" s="4" t="n">
        <v>959</v>
      </c>
      <c r="B963" s="4" t="n">
        <v>1123</v>
      </c>
      <c r="C963" s="4" t="n">
        <v>2</v>
      </c>
      <c r="D963" s="11" t="n">
        <v>46113</v>
      </c>
      <c r="E963" s="4" t="s">
        <v>201</v>
      </c>
      <c r="F963" s="4" t="s">
        <v>206</v>
      </c>
      <c r="G963" s="4" t="n">
        <v>11</v>
      </c>
      <c r="H963" s="4" t="n">
        <v>2</v>
      </c>
      <c r="I963" s="4" t="n">
        <v>0</v>
      </c>
      <c r="J963" s="4"/>
      <c r="K963" s="4" t="n">
        <v>0</v>
      </c>
      <c r="L963" s="12" t="n">
        <v>0.722537</v>
      </c>
      <c r="M963" s="12" t="n">
        <v>0.092063</v>
      </c>
      <c r="N963" s="12" t="n">
        <v>0.032725</v>
      </c>
      <c r="O963" s="12" t="n">
        <v>0.106183</v>
      </c>
      <c r="P963" s="12" t="n">
        <v>0.032975</v>
      </c>
      <c r="Q963" s="0" t="str">
        <f aca="false">IF(L963&gt;=Models!$G$5,1+COUNTIF($L$5:$L$1517,"&gt;"&amp;L963)+COUNTIFS($L$5:$L$1517,L963,$B$5:$B$1517,"&lt;"&amp;B963)+COUNTIFS($L$5:$L$1517,L963,$B$5:$B$1517,B963,$C$5:$C$1517,"&lt;"&amp;C963),"")</f>
        <v/>
      </c>
      <c r="R963" s="0" t="str">
        <f aca="false">IF(M963&gt;=Models!$G$6,1+COUNTIF($M$5:$M$1517,"&gt;"&amp;M963)+COUNTIFS($M$5:$M$1517,M963,$B$5:$B$1517,"&lt;"&amp;B963)+COUNTIFS($M$5:$M$1517,M963,$B$5:$B$1517,B963,$C$5:$C$1517,"&lt;"&amp;C963),"")</f>
        <v/>
      </c>
      <c r="S963" s="0" t="str">
        <f aca="false">IF(N963&gt;=Models!$G$7,1+COUNTIF($N$5:$N$1517,"&gt;"&amp;N963)+COUNTIFS($N$5:$N$1517,N963,$B$5:$B$1517,"&lt;"&amp;B963)+COUNTIFS($N$5:$N$1517,N963,$B$5:$B$1517,B963,$C$5:$C$1517,"&lt;"&amp;C963),"")</f>
        <v/>
      </c>
      <c r="T963" s="8" t="n">
        <f aca="false">IF(O963&gt;=Models!$G$8,1+COUNTIF($O$5:$O$1517,"&gt;"&amp;O963)+COUNTIFS($O$5:$O$1517,O963,$B$5:$B$1517,"&lt;"&amp;B963)+COUNTIFS($O$5:$O$1517,O963,$B$5:$B$1517,B963,$C$5:$C$1517,"&lt;"&amp;C963),"")</f>
        <v>900</v>
      </c>
      <c r="U963" s="8" t="n">
        <f aca="false">IF($K963=1,COUNTIFS($L$5:$L$1517,"&gt;="&amp;L963,$K$5:$K$1517,1)/COUNTIF($L$5:$L$1517,"&gt;="&amp;L963),0)</f>
        <v>0</v>
      </c>
      <c r="V963" s="8" t="n">
        <f aca="false">IF($K963=1,COUNTIFS($M$5:$M$1517,"&gt;="&amp;M963,$K$5:$K$1517,1)/COUNTIF($M$5:$M$1517,"&gt;="&amp;M963),0)</f>
        <v>0</v>
      </c>
      <c r="W963" s="8" t="n">
        <f aca="false">IF($K963=1,COUNTIFS($N$5:$N$1517,"&gt;="&amp;N963,$K$5:$K$1517,1)/COUNTIF($N$5:$N$1517,"&gt;="&amp;N963),0)</f>
        <v>0</v>
      </c>
      <c r="X963" s="8" t="n">
        <f aca="false">IF($K963=1,COUNTIFS($O$5:$O$1517,"&gt;="&amp;O963,$K$5:$K$1517,1)/COUNTIF($O$5:$O$1517,"&gt;="&amp;O963),0)</f>
        <v>0</v>
      </c>
      <c r="Y963" s="8" t="n">
        <f aca="false">IF($K963=1,COUNTIFS($P$5:$P$1517,"&gt;="&amp;P963,$K$5:$K$1517,1)/COUNTIF($P$5:$P$1517,"&gt;="&amp;P963),0)</f>
        <v>0</v>
      </c>
      <c r="Z963" s="8" t="n">
        <f aca="false">(L963-$K963)^2</f>
        <v>0.522059716369</v>
      </c>
      <c r="AA963" s="8" t="n">
        <f aca="false">(M963-$K963)^2</f>
        <v>0.008475595969</v>
      </c>
      <c r="AB963" s="8" t="n">
        <f aca="false">(N963-$K963)^2</f>
        <v>0.001070925625</v>
      </c>
      <c r="AC963" s="8" t="n">
        <f aca="false">(O963-$K963)^2</f>
        <v>0.011274829489</v>
      </c>
      <c r="AD963" s="8" t="n">
        <f aca="false">(P963-$K963)^2</f>
        <v>0.001087350625</v>
      </c>
      <c r="AE963" s="8" t="n">
        <f aca="false">MIN(INT(ROUND(N963*1000000,0)/100000),9)</f>
        <v>0</v>
      </c>
      <c r="AF963" s="8" t="n">
        <f aca="false">MIN(INT(ROUND(P963*1000000,0)/100000),9)</f>
        <v>0</v>
      </c>
    </row>
    <row r="964" customFormat="false" ht="15" hidden="false" customHeight="false" outlineLevel="0" collapsed="false">
      <c r="A964" s="4" t="n">
        <v>960</v>
      </c>
      <c r="B964" s="4" t="n">
        <v>1133</v>
      </c>
      <c r="C964" s="4" t="n">
        <v>2</v>
      </c>
      <c r="D964" s="11" t="n">
        <v>46113</v>
      </c>
      <c r="E964" s="4" t="s">
        <v>201</v>
      </c>
      <c r="F964" s="4" t="s">
        <v>210</v>
      </c>
      <c r="G964" s="4" t="n">
        <v>11</v>
      </c>
      <c r="H964" s="4" t="n">
        <v>0</v>
      </c>
      <c r="I964" s="4" t="n">
        <v>0</v>
      </c>
      <c r="J964" s="4"/>
      <c r="K964" s="4" t="n">
        <v>0</v>
      </c>
      <c r="L964" s="12" t="n">
        <v>0.312394</v>
      </c>
      <c r="M964" s="12" t="n">
        <v>0.092063</v>
      </c>
      <c r="N964" s="12" t="n">
        <v>0.03221</v>
      </c>
      <c r="O964" s="12" t="n">
        <v>0.106183</v>
      </c>
      <c r="P964" s="12" t="n">
        <v>0.032432</v>
      </c>
      <c r="Q964" s="0" t="str">
        <f aca="false">IF(L964&gt;=Models!$G$5,1+COUNTIF($L$5:$L$1517,"&gt;"&amp;L964)+COUNTIFS($L$5:$L$1517,L964,$B$5:$B$1517,"&lt;"&amp;B964)+COUNTIFS($L$5:$L$1517,L964,$B$5:$B$1517,B964,$C$5:$C$1517,"&lt;"&amp;C964),"")</f>
        <v/>
      </c>
      <c r="R964" s="0" t="str">
        <f aca="false">IF(M964&gt;=Models!$G$6,1+COUNTIF($M$5:$M$1517,"&gt;"&amp;M964)+COUNTIFS($M$5:$M$1517,M964,$B$5:$B$1517,"&lt;"&amp;B964)+COUNTIFS($M$5:$M$1517,M964,$B$5:$B$1517,B964,$C$5:$C$1517,"&lt;"&amp;C964),"")</f>
        <v/>
      </c>
      <c r="S964" s="0" t="str">
        <f aca="false">IF(N964&gt;=Models!$G$7,1+COUNTIF($N$5:$N$1517,"&gt;"&amp;N964)+COUNTIFS($N$5:$N$1517,N964,$B$5:$B$1517,"&lt;"&amp;B964)+COUNTIFS($N$5:$N$1517,N964,$B$5:$B$1517,B964,$C$5:$C$1517,"&lt;"&amp;C964),"")</f>
        <v/>
      </c>
      <c r="T964" s="8" t="n">
        <f aca="false">IF(O964&gt;=Models!$G$8,1+COUNTIF($O$5:$O$1517,"&gt;"&amp;O964)+COUNTIFS($O$5:$O$1517,O964,$B$5:$B$1517,"&lt;"&amp;B964)+COUNTIFS($O$5:$O$1517,O964,$B$5:$B$1517,B964,$C$5:$C$1517,"&lt;"&amp;C964),"")</f>
        <v>905</v>
      </c>
      <c r="U964" s="8" t="n">
        <f aca="false">IF($K964=1,COUNTIFS($L$5:$L$1517,"&gt;="&amp;L964,$K$5:$K$1517,1)/COUNTIF($L$5:$L$1517,"&gt;="&amp;L964),0)</f>
        <v>0</v>
      </c>
      <c r="V964" s="8" t="n">
        <f aca="false">IF($K964=1,COUNTIFS($M$5:$M$1517,"&gt;="&amp;M964,$K$5:$K$1517,1)/COUNTIF($M$5:$M$1517,"&gt;="&amp;M964),0)</f>
        <v>0</v>
      </c>
      <c r="W964" s="8" t="n">
        <f aca="false">IF($K964=1,COUNTIFS($N$5:$N$1517,"&gt;="&amp;N964,$K$5:$K$1517,1)/COUNTIF($N$5:$N$1517,"&gt;="&amp;N964),0)</f>
        <v>0</v>
      </c>
      <c r="X964" s="8" t="n">
        <f aca="false">IF($K964=1,COUNTIFS($O$5:$O$1517,"&gt;="&amp;O964,$K$5:$K$1517,1)/COUNTIF($O$5:$O$1517,"&gt;="&amp;O964),0)</f>
        <v>0</v>
      </c>
      <c r="Y964" s="8" t="n">
        <f aca="false">IF($K964=1,COUNTIFS($P$5:$P$1517,"&gt;="&amp;P964,$K$5:$K$1517,1)/COUNTIF($P$5:$P$1517,"&gt;="&amp;P964),0)</f>
        <v>0</v>
      </c>
      <c r="Z964" s="8" t="n">
        <f aca="false">(L964-$K964)^2</f>
        <v>0.097590011236</v>
      </c>
      <c r="AA964" s="8" t="n">
        <f aca="false">(M964-$K964)^2</f>
        <v>0.008475595969</v>
      </c>
      <c r="AB964" s="8" t="n">
        <f aca="false">(N964-$K964)^2</f>
        <v>0.0010374841</v>
      </c>
      <c r="AC964" s="8" t="n">
        <f aca="false">(O964-$K964)^2</f>
        <v>0.011274829489</v>
      </c>
      <c r="AD964" s="8" t="n">
        <f aca="false">(P964-$K964)^2</f>
        <v>0.001051834624</v>
      </c>
      <c r="AE964" s="8" t="n">
        <f aca="false">MIN(INT(ROUND(N964*1000000,0)/100000),9)</f>
        <v>0</v>
      </c>
      <c r="AF964" s="8" t="n">
        <f aca="false">MIN(INT(ROUND(P964*1000000,0)/100000),9)</f>
        <v>0</v>
      </c>
    </row>
    <row r="965" customFormat="false" ht="15" hidden="false" customHeight="false" outlineLevel="0" collapsed="false">
      <c r="A965" s="4" t="n">
        <v>961</v>
      </c>
      <c r="B965" s="4" t="n">
        <v>1141</v>
      </c>
      <c r="C965" s="4" t="n">
        <v>2</v>
      </c>
      <c r="D965" s="11" t="n">
        <v>46113</v>
      </c>
      <c r="E965" s="4" t="s">
        <v>204</v>
      </c>
      <c r="F965" s="4" t="s">
        <v>210</v>
      </c>
      <c r="G965" s="4" t="n">
        <v>1</v>
      </c>
      <c r="H965" s="4" t="n">
        <v>4</v>
      </c>
      <c r="I965" s="4" t="n">
        <v>0</v>
      </c>
      <c r="J965" s="4" t="n">
        <v>90</v>
      </c>
      <c r="K965" s="4" t="n">
        <v>0</v>
      </c>
      <c r="L965" s="12" t="n">
        <v>0.867323</v>
      </c>
      <c r="M965" s="12" t="n">
        <v>0.092063</v>
      </c>
      <c r="N965" s="12" t="n">
        <v>0.152064</v>
      </c>
      <c r="O965" s="12" t="n">
        <v>0.106183</v>
      </c>
      <c r="P965" s="12" t="n">
        <v>0.163653</v>
      </c>
      <c r="Q965" s="0" t="str">
        <f aca="false">IF(L965&gt;=Models!$G$5,1+COUNTIF($L$5:$L$1517,"&gt;"&amp;L965)+COUNTIFS($L$5:$L$1517,L965,$B$5:$B$1517,"&lt;"&amp;B965)+COUNTIFS($L$5:$L$1517,L965,$B$5:$B$1517,B965,$C$5:$C$1517,"&lt;"&amp;C965),"")</f>
        <v/>
      </c>
      <c r="R965" s="0" t="str">
        <f aca="false">IF(M965&gt;=Models!$G$6,1+COUNTIF($M$5:$M$1517,"&gt;"&amp;M965)+COUNTIFS($M$5:$M$1517,M965,$B$5:$B$1517,"&lt;"&amp;B965)+COUNTIFS($M$5:$M$1517,M965,$B$5:$B$1517,B965,$C$5:$C$1517,"&lt;"&amp;C965),"")</f>
        <v/>
      </c>
      <c r="S965" s="0" t="str">
        <f aca="false">IF(N965&gt;=Models!$G$7,1+COUNTIF($N$5:$N$1517,"&gt;"&amp;N965)+COUNTIFS($N$5:$N$1517,N965,$B$5:$B$1517,"&lt;"&amp;B965)+COUNTIFS($N$5:$N$1517,N965,$B$5:$B$1517,B965,$C$5:$C$1517,"&lt;"&amp;C965),"")</f>
        <v/>
      </c>
      <c r="T965" s="8" t="n">
        <f aca="false">IF(O965&gt;=Models!$G$8,1+COUNTIF($O$5:$O$1517,"&gt;"&amp;O965)+COUNTIFS($O$5:$O$1517,O965,$B$5:$B$1517,"&lt;"&amp;B965)+COUNTIFS($O$5:$O$1517,O965,$B$5:$B$1517,B965,$C$5:$C$1517,"&lt;"&amp;C965),"")</f>
        <v>910</v>
      </c>
      <c r="U965" s="8" t="n">
        <f aca="false">IF($K965=1,COUNTIFS($L$5:$L$1517,"&gt;="&amp;L965,$K$5:$K$1517,1)/COUNTIF($L$5:$L$1517,"&gt;="&amp;L965),0)</f>
        <v>0</v>
      </c>
      <c r="V965" s="8" t="n">
        <f aca="false">IF($K965=1,COUNTIFS($M$5:$M$1517,"&gt;="&amp;M965,$K$5:$K$1517,1)/COUNTIF($M$5:$M$1517,"&gt;="&amp;M965),0)</f>
        <v>0</v>
      </c>
      <c r="W965" s="8" t="n">
        <f aca="false">IF($K965=1,COUNTIFS($N$5:$N$1517,"&gt;="&amp;N965,$K$5:$K$1517,1)/COUNTIF($N$5:$N$1517,"&gt;="&amp;N965),0)</f>
        <v>0</v>
      </c>
      <c r="X965" s="8" t="n">
        <f aca="false">IF($K965=1,COUNTIFS($O$5:$O$1517,"&gt;="&amp;O965,$K$5:$K$1517,1)/COUNTIF($O$5:$O$1517,"&gt;="&amp;O965),0)</f>
        <v>0</v>
      </c>
      <c r="Y965" s="8" t="n">
        <f aca="false">IF($K965=1,COUNTIFS($P$5:$P$1517,"&gt;="&amp;P965,$K$5:$K$1517,1)/COUNTIF($P$5:$P$1517,"&gt;="&amp;P965),0)</f>
        <v>0</v>
      </c>
      <c r="Z965" s="8" t="n">
        <f aca="false">(L965-$K965)^2</f>
        <v>0.752249186329</v>
      </c>
      <c r="AA965" s="8" t="n">
        <f aca="false">(M965-$K965)^2</f>
        <v>0.008475595969</v>
      </c>
      <c r="AB965" s="8" t="n">
        <f aca="false">(N965-$K965)^2</f>
        <v>0.023123460096</v>
      </c>
      <c r="AC965" s="8" t="n">
        <f aca="false">(O965-$K965)^2</f>
        <v>0.011274829489</v>
      </c>
      <c r="AD965" s="8" t="n">
        <f aca="false">(P965-$K965)^2</f>
        <v>0.026782304409</v>
      </c>
      <c r="AE965" s="8" t="n">
        <f aca="false">MIN(INT(ROUND(N965*1000000,0)/100000),9)</f>
        <v>1</v>
      </c>
      <c r="AF965" s="8" t="n">
        <f aca="false">MIN(INT(ROUND(P965*1000000,0)/100000),9)</f>
        <v>1</v>
      </c>
    </row>
    <row r="966" customFormat="false" ht="15" hidden="false" customHeight="false" outlineLevel="0" collapsed="false">
      <c r="A966" s="4" t="n">
        <v>962</v>
      </c>
      <c r="B966" s="4" t="n">
        <v>1143</v>
      </c>
      <c r="C966" s="4" t="n">
        <v>2</v>
      </c>
      <c r="D966" s="11" t="n">
        <v>46113</v>
      </c>
      <c r="E966" s="4" t="s">
        <v>201</v>
      </c>
      <c r="F966" s="4" t="s">
        <v>206</v>
      </c>
      <c r="G966" s="4" t="n">
        <v>13</v>
      </c>
      <c r="H966" s="4" t="n">
        <v>0</v>
      </c>
      <c r="I966" s="4" t="n">
        <v>0</v>
      </c>
      <c r="J966" s="4"/>
      <c r="K966" s="4" t="n">
        <v>0</v>
      </c>
      <c r="L966" s="12" t="n">
        <v>0.16093</v>
      </c>
      <c r="M966" s="12" t="n">
        <v>0.092063</v>
      </c>
      <c r="N966" s="12" t="n">
        <v>0.027048</v>
      </c>
      <c r="O966" s="12" t="n">
        <v>0.106183</v>
      </c>
      <c r="P966" s="12" t="n">
        <v>0.027009</v>
      </c>
      <c r="Q966" s="0" t="str">
        <f aca="false">IF(L966&gt;=Models!$G$5,1+COUNTIF($L$5:$L$1517,"&gt;"&amp;L966)+COUNTIFS($L$5:$L$1517,L966,$B$5:$B$1517,"&lt;"&amp;B966)+COUNTIFS($L$5:$L$1517,L966,$B$5:$B$1517,B966,$C$5:$C$1517,"&lt;"&amp;C966),"")</f>
        <v/>
      </c>
      <c r="R966" s="0" t="str">
        <f aca="false">IF(M966&gt;=Models!$G$6,1+COUNTIF($M$5:$M$1517,"&gt;"&amp;M966)+COUNTIFS($M$5:$M$1517,M966,$B$5:$B$1517,"&lt;"&amp;B966)+COUNTIFS($M$5:$M$1517,M966,$B$5:$B$1517,B966,$C$5:$C$1517,"&lt;"&amp;C966),"")</f>
        <v/>
      </c>
      <c r="S966" s="0" t="str">
        <f aca="false">IF(N966&gt;=Models!$G$7,1+COUNTIF($N$5:$N$1517,"&gt;"&amp;N966)+COUNTIFS($N$5:$N$1517,N966,$B$5:$B$1517,"&lt;"&amp;B966)+COUNTIFS($N$5:$N$1517,N966,$B$5:$B$1517,B966,$C$5:$C$1517,"&lt;"&amp;C966),"")</f>
        <v/>
      </c>
      <c r="T966" s="8" t="n">
        <f aca="false">IF(O966&gt;=Models!$G$8,1+COUNTIF($O$5:$O$1517,"&gt;"&amp;O966)+COUNTIFS($O$5:$O$1517,O966,$B$5:$B$1517,"&lt;"&amp;B966)+COUNTIFS($O$5:$O$1517,O966,$B$5:$B$1517,B966,$C$5:$C$1517,"&lt;"&amp;C966),"")</f>
        <v>914</v>
      </c>
      <c r="U966" s="8" t="n">
        <f aca="false">IF($K966=1,COUNTIFS($L$5:$L$1517,"&gt;="&amp;L966,$K$5:$K$1517,1)/COUNTIF($L$5:$L$1517,"&gt;="&amp;L966),0)</f>
        <v>0</v>
      </c>
      <c r="V966" s="8" t="n">
        <f aca="false">IF($K966=1,COUNTIFS($M$5:$M$1517,"&gt;="&amp;M966,$K$5:$K$1517,1)/COUNTIF($M$5:$M$1517,"&gt;="&amp;M966),0)</f>
        <v>0</v>
      </c>
      <c r="W966" s="8" t="n">
        <f aca="false">IF($K966=1,COUNTIFS($N$5:$N$1517,"&gt;="&amp;N966,$K$5:$K$1517,1)/COUNTIF($N$5:$N$1517,"&gt;="&amp;N966),0)</f>
        <v>0</v>
      </c>
      <c r="X966" s="8" t="n">
        <f aca="false">IF($K966=1,COUNTIFS($O$5:$O$1517,"&gt;="&amp;O966,$K$5:$K$1517,1)/COUNTIF($O$5:$O$1517,"&gt;="&amp;O966),0)</f>
        <v>0</v>
      </c>
      <c r="Y966" s="8" t="n">
        <f aca="false">IF($K966=1,COUNTIFS($P$5:$P$1517,"&gt;="&amp;P966,$K$5:$K$1517,1)/COUNTIF($P$5:$P$1517,"&gt;="&amp;P966),0)</f>
        <v>0</v>
      </c>
      <c r="Z966" s="8" t="n">
        <f aca="false">(L966-$K966)^2</f>
        <v>0.0258984649</v>
      </c>
      <c r="AA966" s="8" t="n">
        <f aca="false">(M966-$K966)^2</f>
        <v>0.008475595969</v>
      </c>
      <c r="AB966" s="8" t="n">
        <f aca="false">(N966-$K966)^2</f>
        <v>0.000731594304</v>
      </c>
      <c r="AC966" s="8" t="n">
        <f aca="false">(O966-$K966)^2</f>
        <v>0.011274829489</v>
      </c>
      <c r="AD966" s="8" t="n">
        <f aca="false">(P966-$K966)^2</f>
        <v>0.000729486081</v>
      </c>
      <c r="AE966" s="8" t="n">
        <f aca="false">MIN(INT(ROUND(N966*1000000,0)/100000),9)</f>
        <v>0</v>
      </c>
      <c r="AF966" s="8" t="n">
        <f aca="false">MIN(INT(ROUND(P966*1000000,0)/100000),9)</f>
        <v>0</v>
      </c>
    </row>
    <row r="967" customFormat="false" ht="15" hidden="false" customHeight="false" outlineLevel="0" collapsed="false">
      <c r="A967" s="4" t="n">
        <v>963</v>
      </c>
      <c r="B967" s="4" t="n">
        <v>1146</v>
      </c>
      <c r="C967" s="4" t="n">
        <v>2</v>
      </c>
      <c r="D967" s="11" t="n">
        <v>46113</v>
      </c>
      <c r="E967" s="4" t="s">
        <v>204</v>
      </c>
      <c r="F967" s="4" t="s">
        <v>206</v>
      </c>
      <c r="G967" s="4" t="n">
        <v>2</v>
      </c>
      <c r="H967" s="4" t="n">
        <v>1</v>
      </c>
      <c r="I967" s="4" t="n">
        <v>0</v>
      </c>
      <c r="J967" s="4"/>
      <c r="K967" s="4" t="n">
        <v>0</v>
      </c>
      <c r="L967" s="12" t="n">
        <v>0.503895</v>
      </c>
      <c r="M967" s="12" t="n">
        <v>0.092063</v>
      </c>
      <c r="N967" s="12" t="n">
        <v>0.070136</v>
      </c>
      <c r="O967" s="12" t="n">
        <v>0.106183</v>
      </c>
      <c r="P967" s="12" t="n">
        <v>0.073196</v>
      </c>
      <c r="Q967" s="0" t="str">
        <f aca="false">IF(L967&gt;=Models!$G$5,1+COUNTIF($L$5:$L$1517,"&gt;"&amp;L967)+COUNTIFS($L$5:$L$1517,L967,$B$5:$B$1517,"&lt;"&amp;B967)+COUNTIFS($L$5:$L$1517,L967,$B$5:$B$1517,B967,$C$5:$C$1517,"&lt;"&amp;C967),"")</f>
        <v/>
      </c>
      <c r="R967" s="0" t="str">
        <f aca="false">IF(M967&gt;=Models!$G$6,1+COUNTIF($M$5:$M$1517,"&gt;"&amp;M967)+COUNTIFS($M$5:$M$1517,M967,$B$5:$B$1517,"&lt;"&amp;B967)+COUNTIFS($M$5:$M$1517,M967,$B$5:$B$1517,B967,$C$5:$C$1517,"&lt;"&amp;C967),"")</f>
        <v/>
      </c>
      <c r="S967" s="0" t="str">
        <f aca="false">IF(N967&gt;=Models!$G$7,1+COUNTIF($N$5:$N$1517,"&gt;"&amp;N967)+COUNTIFS($N$5:$N$1517,N967,$B$5:$B$1517,"&lt;"&amp;B967)+COUNTIFS($N$5:$N$1517,N967,$B$5:$B$1517,B967,$C$5:$C$1517,"&lt;"&amp;C967),"")</f>
        <v/>
      </c>
      <c r="T967" s="8" t="n">
        <f aca="false">IF(O967&gt;=Models!$G$8,1+COUNTIF($O$5:$O$1517,"&gt;"&amp;O967)+COUNTIFS($O$5:$O$1517,O967,$B$5:$B$1517,"&lt;"&amp;B967)+COUNTIFS($O$5:$O$1517,O967,$B$5:$B$1517,B967,$C$5:$C$1517,"&lt;"&amp;C967),"")</f>
        <v>918</v>
      </c>
      <c r="U967" s="8" t="n">
        <f aca="false">IF($K967=1,COUNTIFS($L$5:$L$1517,"&gt;="&amp;L967,$K$5:$K$1517,1)/COUNTIF($L$5:$L$1517,"&gt;="&amp;L967),0)</f>
        <v>0</v>
      </c>
      <c r="V967" s="8" t="n">
        <f aca="false">IF($K967=1,COUNTIFS($M$5:$M$1517,"&gt;="&amp;M967,$K$5:$K$1517,1)/COUNTIF($M$5:$M$1517,"&gt;="&amp;M967),0)</f>
        <v>0</v>
      </c>
      <c r="W967" s="8" t="n">
        <f aca="false">IF($K967=1,COUNTIFS($N$5:$N$1517,"&gt;="&amp;N967,$K$5:$K$1517,1)/COUNTIF($N$5:$N$1517,"&gt;="&amp;N967),0)</f>
        <v>0</v>
      </c>
      <c r="X967" s="8" t="n">
        <f aca="false">IF($K967=1,COUNTIFS($O$5:$O$1517,"&gt;="&amp;O967,$K$5:$K$1517,1)/COUNTIF($O$5:$O$1517,"&gt;="&amp;O967),0)</f>
        <v>0</v>
      </c>
      <c r="Y967" s="8" t="n">
        <f aca="false">IF($K967=1,COUNTIFS($P$5:$P$1517,"&gt;="&amp;P967,$K$5:$K$1517,1)/COUNTIF($P$5:$P$1517,"&gt;="&amp;P967),0)</f>
        <v>0</v>
      </c>
      <c r="Z967" s="8" t="n">
        <f aca="false">(L967-$K967)^2</f>
        <v>0.253910171025</v>
      </c>
      <c r="AA967" s="8" t="n">
        <f aca="false">(M967-$K967)^2</f>
        <v>0.008475595969</v>
      </c>
      <c r="AB967" s="8" t="n">
        <f aca="false">(N967-$K967)^2</f>
        <v>0.004919058496</v>
      </c>
      <c r="AC967" s="8" t="n">
        <f aca="false">(O967-$K967)^2</f>
        <v>0.011274829489</v>
      </c>
      <c r="AD967" s="8" t="n">
        <f aca="false">(P967-$K967)^2</f>
        <v>0.005357654416</v>
      </c>
      <c r="AE967" s="8" t="n">
        <f aca="false">MIN(INT(ROUND(N967*1000000,0)/100000),9)</f>
        <v>0</v>
      </c>
      <c r="AF967" s="8" t="n">
        <f aca="false">MIN(INT(ROUND(P967*1000000,0)/100000),9)</f>
        <v>0</v>
      </c>
    </row>
    <row r="968" customFormat="false" ht="15" hidden="false" customHeight="false" outlineLevel="0" collapsed="false">
      <c r="A968" s="4" t="n">
        <v>964</v>
      </c>
      <c r="B968" s="4" t="n">
        <v>1150</v>
      </c>
      <c r="C968" s="4" t="n">
        <v>2</v>
      </c>
      <c r="D968" s="11" t="n">
        <v>46113</v>
      </c>
      <c r="E968" s="4" t="s">
        <v>204</v>
      </c>
      <c r="F968" s="4" t="s">
        <v>209</v>
      </c>
      <c r="G968" s="4" t="n">
        <v>1</v>
      </c>
      <c r="H968" s="4" t="n">
        <v>9</v>
      </c>
      <c r="I968" s="4" t="n">
        <v>0</v>
      </c>
      <c r="J968" s="4" t="n">
        <v>69</v>
      </c>
      <c r="K968" s="4" t="n">
        <v>0</v>
      </c>
      <c r="L968" s="12" t="n">
        <v>0.358305</v>
      </c>
      <c r="M968" s="12" t="n">
        <v>0.092063</v>
      </c>
      <c r="N968" s="12" t="n">
        <v>0.157585</v>
      </c>
      <c r="O968" s="12" t="n">
        <v>0.106183</v>
      </c>
      <c r="P968" s="12" t="n">
        <v>0.169793</v>
      </c>
      <c r="Q968" s="0" t="str">
        <f aca="false">IF(L968&gt;=Models!$G$5,1+COUNTIF($L$5:$L$1517,"&gt;"&amp;L968)+COUNTIFS($L$5:$L$1517,L968,$B$5:$B$1517,"&lt;"&amp;B968)+COUNTIFS($L$5:$L$1517,L968,$B$5:$B$1517,B968,$C$5:$C$1517,"&lt;"&amp;C968),"")</f>
        <v/>
      </c>
      <c r="R968" s="0" t="str">
        <f aca="false">IF(M968&gt;=Models!$G$6,1+COUNTIF($M$5:$M$1517,"&gt;"&amp;M968)+COUNTIFS($M$5:$M$1517,M968,$B$5:$B$1517,"&lt;"&amp;B968)+COUNTIFS($M$5:$M$1517,M968,$B$5:$B$1517,B968,$C$5:$C$1517,"&lt;"&amp;C968),"")</f>
        <v/>
      </c>
      <c r="S968" s="0" t="str">
        <f aca="false">IF(N968&gt;=Models!$G$7,1+COUNTIF($N$5:$N$1517,"&gt;"&amp;N968)+COUNTIFS($N$5:$N$1517,N968,$B$5:$B$1517,"&lt;"&amp;B968)+COUNTIFS($N$5:$N$1517,N968,$B$5:$B$1517,B968,$C$5:$C$1517,"&lt;"&amp;C968),"")</f>
        <v/>
      </c>
      <c r="T968" s="8" t="n">
        <f aca="false">IF(O968&gt;=Models!$G$8,1+COUNTIF($O$5:$O$1517,"&gt;"&amp;O968)+COUNTIFS($O$5:$O$1517,O968,$B$5:$B$1517,"&lt;"&amp;B968)+COUNTIFS($O$5:$O$1517,O968,$B$5:$B$1517,B968,$C$5:$C$1517,"&lt;"&amp;C968),"")</f>
        <v>922</v>
      </c>
      <c r="U968" s="8" t="n">
        <f aca="false">IF($K968=1,COUNTIFS($L$5:$L$1517,"&gt;="&amp;L968,$K$5:$K$1517,1)/COUNTIF($L$5:$L$1517,"&gt;="&amp;L968),0)</f>
        <v>0</v>
      </c>
      <c r="V968" s="8" t="n">
        <f aca="false">IF($K968=1,COUNTIFS($M$5:$M$1517,"&gt;="&amp;M968,$K$5:$K$1517,1)/COUNTIF($M$5:$M$1517,"&gt;="&amp;M968),0)</f>
        <v>0</v>
      </c>
      <c r="W968" s="8" t="n">
        <f aca="false">IF($K968=1,COUNTIFS($N$5:$N$1517,"&gt;="&amp;N968,$K$5:$K$1517,1)/COUNTIF($N$5:$N$1517,"&gt;="&amp;N968),0)</f>
        <v>0</v>
      </c>
      <c r="X968" s="8" t="n">
        <f aca="false">IF($K968=1,COUNTIFS($O$5:$O$1517,"&gt;="&amp;O968,$K$5:$K$1517,1)/COUNTIF($O$5:$O$1517,"&gt;="&amp;O968),0)</f>
        <v>0</v>
      </c>
      <c r="Y968" s="8" t="n">
        <f aca="false">IF($K968=1,COUNTIFS($P$5:$P$1517,"&gt;="&amp;P968,$K$5:$K$1517,1)/COUNTIF($P$5:$P$1517,"&gt;="&amp;P968),0)</f>
        <v>0</v>
      </c>
      <c r="Z968" s="8" t="n">
        <f aca="false">(L968-$K968)^2</f>
        <v>0.128382473025</v>
      </c>
      <c r="AA968" s="8" t="n">
        <f aca="false">(M968-$K968)^2</f>
        <v>0.008475595969</v>
      </c>
      <c r="AB968" s="8" t="n">
        <f aca="false">(N968-$K968)^2</f>
        <v>0.024833032225</v>
      </c>
      <c r="AC968" s="8" t="n">
        <f aca="false">(O968-$K968)^2</f>
        <v>0.011274829489</v>
      </c>
      <c r="AD968" s="8" t="n">
        <f aca="false">(P968-$K968)^2</f>
        <v>0.028829662849</v>
      </c>
      <c r="AE968" s="8" t="n">
        <f aca="false">MIN(INT(ROUND(N968*1000000,0)/100000),9)</f>
        <v>1</v>
      </c>
      <c r="AF968" s="8" t="n">
        <f aca="false">MIN(INT(ROUND(P968*1000000,0)/100000),9)</f>
        <v>1</v>
      </c>
    </row>
    <row r="969" customFormat="false" ht="15" hidden="false" customHeight="false" outlineLevel="0" collapsed="false">
      <c r="A969" s="4" t="n">
        <v>965</v>
      </c>
      <c r="B969" s="4" t="n">
        <v>1153</v>
      </c>
      <c r="C969" s="4" t="n">
        <v>2</v>
      </c>
      <c r="D969" s="11" t="n">
        <v>46113</v>
      </c>
      <c r="E969" s="4" t="s">
        <v>203</v>
      </c>
      <c r="F969" s="4" t="s">
        <v>206</v>
      </c>
      <c r="G969" s="4" t="n">
        <v>5</v>
      </c>
      <c r="H969" s="4" t="n">
        <v>1</v>
      </c>
      <c r="I969" s="4" t="n">
        <v>0</v>
      </c>
      <c r="J969" s="4"/>
      <c r="K969" s="4" t="n">
        <v>1</v>
      </c>
      <c r="L969" s="12" t="n">
        <v>0.430617</v>
      </c>
      <c r="M969" s="12" t="n">
        <v>0.092063</v>
      </c>
      <c r="N969" s="12" t="n">
        <v>0.054445</v>
      </c>
      <c r="O969" s="12" t="n">
        <v>0.106183</v>
      </c>
      <c r="P969" s="12" t="n">
        <v>0.056178</v>
      </c>
      <c r="Q969" s="0" t="str">
        <f aca="false">IF(L969&gt;=Models!$G$5,1+COUNTIF($L$5:$L$1517,"&gt;"&amp;L969)+COUNTIFS($L$5:$L$1517,L969,$B$5:$B$1517,"&lt;"&amp;B969)+COUNTIFS($L$5:$L$1517,L969,$B$5:$B$1517,B969,$C$5:$C$1517,"&lt;"&amp;C969),"")</f>
        <v/>
      </c>
      <c r="R969" s="0" t="str">
        <f aca="false">IF(M969&gt;=Models!$G$6,1+COUNTIF($M$5:$M$1517,"&gt;"&amp;M969)+COUNTIFS($M$5:$M$1517,M969,$B$5:$B$1517,"&lt;"&amp;B969)+COUNTIFS($M$5:$M$1517,M969,$B$5:$B$1517,B969,$C$5:$C$1517,"&lt;"&amp;C969),"")</f>
        <v/>
      </c>
      <c r="S969" s="0" t="str">
        <f aca="false">IF(N969&gt;=Models!$G$7,1+COUNTIF($N$5:$N$1517,"&gt;"&amp;N969)+COUNTIFS($N$5:$N$1517,N969,$B$5:$B$1517,"&lt;"&amp;B969)+COUNTIFS($N$5:$N$1517,N969,$B$5:$B$1517,B969,$C$5:$C$1517,"&lt;"&amp;C969),"")</f>
        <v/>
      </c>
      <c r="T969" s="8" t="n">
        <f aca="false">IF(O969&gt;=Models!$G$8,1+COUNTIF($O$5:$O$1517,"&gt;"&amp;O969)+COUNTIFS($O$5:$O$1517,O969,$B$5:$B$1517,"&lt;"&amp;B969)+COUNTIFS($O$5:$O$1517,O969,$B$5:$B$1517,B969,$C$5:$C$1517,"&lt;"&amp;C969),"")</f>
        <v>926</v>
      </c>
      <c r="U969" s="8" t="n">
        <f aca="false">IF($K969=1,COUNTIFS($L$5:$L$1517,"&gt;="&amp;L969,$K$5:$K$1517,1)/COUNTIF($L$5:$L$1517,"&gt;="&amp;L969),0)</f>
        <v>0.125882352941176</v>
      </c>
      <c r="V969" s="8" t="n">
        <f aca="false">IF($K969=1,COUNTIFS($M$5:$M$1517,"&gt;="&amp;M969,$K$5:$K$1517,1)/COUNTIF($M$5:$M$1517,"&gt;="&amp;M969),0)</f>
        <v>0.12491738268341</v>
      </c>
      <c r="W969" s="8" t="n">
        <f aca="false">IF($K969=1,COUNTIFS($N$5:$N$1517,"&gt;="&amp;N969,$K$5:$K$1517,1)/COUNTIF($N$5:$N$1517,"&gt;="&amp;N969),0)</f>
        <v>0.155066079295154</v>
      </c>
      <c r="X969" s="8" t="n">
        <f aca="false">IF($K969=1,COUNTIFS($O$5:$O$1517,"&gt;="&amp;O969,$K$5:$K$1517,1)/COUNTIF($O$5:$O$1517,"&gt;="&amp;O969),0)</f>
        <v>0.12491738268341</v>
      </c>
      <c r="Y969" s="8" t="n">
        <f aca="false">IF($K969=1,COUNTIFS($P$5:$P$1517,"&gt;="&amp;P969,$K$5:$K$1517,1)/COUNTIF($P$5:$P$1517,"&gt;="&amp;P969),0)</f>
        <v>0.155066079295154</v>
      </c>
      <c r="Z969" s="8" t="n">
        <f aca="false">(L969-$K969)^2</f>
        <v>0.324197000689</v>
      </c>
      <c r="AA969" s="8" t="n">
        <f aca="false">(M969-$K969)^2</f>
        <v>0.824349595969</v>
      </c>
      <c r="AB969" s="8" t="n">
        <f aca="false">(N969-$K969)^2</f>
        <v>0.894074258025</v>
      </c>
      <c r="AC969" s="8" t="n">
        <f aca="false">(O969-$K969)^2</f>
        <v>0.798908829489</v>
      </c>
      <c r="AD969" s="8" t="n">
        <f aca="false">(P969-$K969)^2</f>
        <v>0.890799967684</v>
      </c>
      <c r="AE969" s="8" t="n">
        <f aca="false">MIN(INT(ROUND(N969*1000000,0)/100000),9)</f>
        <v>0</v>
      </c>
      <c r="AF969" s="8" t="n">
        <f aca="false">MIN(INT(ROUND(P969*1000000,0)/100000),9)</f>
        <v>0</v>
      </c>
    </row>
    <row r="970" customFormat="false" ht="15" hidden="false" customHeight="false" outlineLevel="0" collapsed="false">
      <c r="A970" s="4" t="n">
        <v>966</v>
      </c>
      <c r="B970" s="4" t="n">
        <v>1156</v>
      </c>
      <c r="C970" s="4" t="n">
        <v>2</v>
      </c>
      <c r="D970" s="11" t="n">
        <v>46113</v>
      </c>
      <c r="E970" s="4" t="s">
        <v>203</v>
      </c>
      <c r="F970" s="4" t="s">
        <v>206</v>
      </c>
      <c r="G970" s="4" t="n">
        <v>2</v>
      </c>
      <c r="H970" s="4" t="n">
        <v>3</v>
      </c>
      <c r="I970" s="4" t="n">
        <v>0</v>
      </c>
      <c r="J970" s="4" t="n">
        <v>342</v>
      </c>
      <c r="K970" s="4" t="n">
        <v>0</v>
      </c>
      <c r="L970" s="12" t="n">
        <v>0.823482</v>
      </c>
      <c r="M970" s="12" t="n">
        <v>0.092063</v>
      </c>
      <c r="N970" s="12" t="n">
        <v>0.138081</v>
      </c>
      <c r="O970" s="12" t="n">
        <v>0.106183</v>
      </c>
      <c r="P970" s="12" t="n">
        <v>0.148113</v>
      </c>
      <c r="Q970" s="0" t="str">
        <f aca="false">IF(L970&gt;=Models!$G$5,1+COUNTIF($L$5:$L$1517,"&gt;"&amp;L970)+COUNTIFS($L$5:$L$1517,L970,$B$5:$B$1517,"&lt;"&amp;B970)+COUNTIFS($L$5:$L$1517,L970,$B$5:$B$1517,B970,$C$5:$C$1517,"&lt;"&amp;C970),"")</f>
        <v/>
      </c>
      <c r="R970" s="0" t="str">
        <f aca="false">IF(M970&gt;=Models!$G$6,1+COUNTIF($M$5:$M$1517,"&gt;"&amp;M970)+COUNTIFS($M$5:$M$1517,M970,$B$5:$B$1517,"&lt;"&amp;B970)+COUNTIFS($M$5:$M$1517,M970,$B$5:$B$1517,B970,$C$5:$C$1517,"&lt;"&amp;C970),"")</f>
        <v/>
      </c>
      <c r="S970" s="0" t="str">
        <f aca="false">IF(N970&gt;=Models!$G$7,1+COUNTIF($N$5:$N$1517,"&gt;"&amp;N970)+COUNTIFS($N$5:$N$1517,N970,$B$5:$B$1517,"&lt;"&amp;B970)+COUNTIFS($N$5:$N$1517,N970,$B$5:$B$1517,B970,$C$5:$C$1517,"&lt;"&amp;C970),"")</f>
        <v/>
      </c>
      <c r="T970" s="8" t="n">
        <f aca="false">IF(O970&gt;=Models!$G$8,1+COUNTIF($O$5:$O$1517,"&gt;"&amp;O970)+COUNTIFS($O$5:$O$1517,O970,$B$5:$B$1517,"&lt;"&amp;B970)+COUNTIFS($O$5:$O$1517,O970,$B$5:$B$1517,B970,$C$5:$C$1517,"&lt;"&amp;C970),"")</f>
        <v>930</v>
      </c>
      <c r="U970" s="8" t="n">
        <f aca="false">IF($K970=1,COUNTIFS($L$5:$L$1517,"&gt;="&amp;L970,$K$5:$K$1517,1)/COUNTIF($L$5:$L$1517,"&gt;="&amp;L970),0)</f>
        <v>0</v>
      </c>
      <c r="V970" s="8" t="n">
        <f aca="false">IF($K970=1,COUNTIFS($M$5:$M$1517,"&gt;="&amp;M970,$K$5:$K$1517,1)/COUNTIF($M$5:$M$1517,"&gt;="&amp;M970),0)</f>
        <v>0</v>
      </c>
      <c r="W970" s="8" t="n">
        <f aca="false">IF($K970=1,COUNTIFS($N$5:$N$1517,"&gt;="&amp;N970,$K$5:$K$1517,1)/COUNTIF($N$5:$N$1517,"&gt;="&amp;N970),0)</f>
        <v>0</v>
      </c>
      <c r="X970" s="8" t="n">
        <f aca="false">IF($K970=1,COUNTIFS($O$5:$O$1517,"&gt;="&amp;O970,$K$5:$K$1517,1)/COUNTIF($O$5:$O$1517,"&gt;="&amp;O970),0)</f>
        <v>0</v>
      </c>
      <c r="Y970" s="8" t="n">
        <f aca="false">IF($K970=1,COUNTIFS($P$5:$P$1517,"&gt;="&amp;P970,$K$5:$K$1517,1)/COUNTIF($P$5:$P$1517,"&gt;="&amp;P970),0)</f>
        <v>0</v>
      </c>
      <c r="Z970" s="8" t="n">
        <f aca="false">(L970-$K970)^2</f>
        <v>0.678122604324</v>
      </c>
      <c r="AA970" s="8" t="n">
        <f aca="false">(M970-$K970)^2</f>
        <v>0.008475595969</v>
      </c>
      <c r="AB970" s="8" t="n">
        <f aca="false">(N970-$K970)^2</f>
        <v>0.019066362561</v>
      </c>
      <c r="AC970" s="8" t="n">
        <f aca="false">(O970-$K970)^2</f>
        <v>0.011274829489</v>
      </c>
      <c r="AD970" s="8" t="n">
        <f aca="false">(P970-$K970)^2</f>
        <v>0.021937460769</v>
      </c>
      <c r="AE970" s="8" t="n">
        <f aca="false">MIN(INT(ROUND(N970*1000000,0)/100000),9)</f>
        <v>1</v>
      </c>
      <c r="AF970" s="8" t="n">
        <f aca="false">MIN(INT(ROUND(P970*1000000,0)/100000),9)</f>
        <v>1</v>
      </c>
    </row>
    <row r="971" customFormat="false" ht="15" hidden="false" customHeight="false" outlineLevel="0" collapsed="false">
      <c r="A971" s="4" t="n">
        <v>967</v>
      </c>
      <c r="B971" s="4" t="n">
        <v>1166</v>
      </c>
      <c r="C971" s="4" t="n">
        <v>2</v>
      </c>
      <c r="D971" s="11" t="n">
        <v>46113</v>
      </c>
      <c r="E971" s="4" t="s">
        <v>204</v>
      </c>
      <c r="F971" s="4" t="s">
        <v>206</v>
      </c>
      <c r="G971" s="4" t="n">
        <v>6</v>
      </c>
      <c r="H971" s="4" t="n">
        <v>1</v>
      </c>
      <c r="I971" s="4" t="n">
        <v>0</v>
      </c>
      <c r="J971" s="4" t="n">
        <v>105</v>
      </c>
      <c r="K971" s="4" t="n">
        <v>0</v>
      </c>
      <c r="L971" s="12" t="n">
        <v>0.398469</v>
      </c>
      <c r="M971" s="12" t="n">
        <v>0.092063</v>
      </c>
      <c r="N971" s="12" t="n">
        <v>0.100298</v>
      </c>
      <c r="O971" s="12" t="n">
        <v>0.106183</v>
      </c>
      <c r="P971" s="12" t="n">
        <v>0.106279</v>
      </c>
      <c r="Q971" s="0" t="str">
        <f aca="false">IF(L971&gt;=Models!$G$5,1+COUNTIF($L$5:$L$1517,"&gt;"&amp;L971)+COUNTIFS($L$5:$L$1517,L971,$B$5:$B$1517,"&lt;"&amp;B971)+COUNTIFS($L$5:$L$1517,L971,$B$5:$B$1517,B971,$C$5:$C$1517,"&lt;"&amp;C971),"")</f>
        <v/>
      </c>
      <c r="R971" s="0" t="str">
        <f aca="false">IF(M971&gt;=Models!$G$6,1+COUNTIF($M$5:$M$1517,"&gt;"&amp;M971)+COUNTIFS($M$5:$M$1517,M971,$B$5:$B$1517,"&lt;"&amp;B971)+COUNTIFS($M$5:$M$1517,M971,$B$5:$B$1517,B971,$C$5:$C$1517,"&lt;"&amp;C971),"")</f>
        <v/>
      </c>
      <c r="S971" s="0" t="str">
        <f aca="false">IF(N971&gt;=Models!$G$7,1+COUNTIF($N$5:$N$1517,"&gt;"&amp;N971)+COUNTIFS($N$5:$N$1517,N971,$B$5:$B$1517,"&lt;"&amp;B971)+COUNTIFS($N$5:$N$1517,N971,$B$5:$B$1517,B971,$C$5:$C$1517,"&lt;"&amp;C971),"")</f>
        <v/>
      </c>
      <c r="T971" s="8" t="n">
        <f aca="false">IF(O971&gt;=Models!$G$8,1+COUNTIF($O$5:$O$1517,"&gt;"&amp;O971)+COUNTIFS($O$5:$O$1517,O971,$B$5:$B$1517,"&lt;"&amp;B971)+COUNTIFS($O$5:$O$1517,O971,$B$5:$B$1517,B971,$C$5:$C$1517,"&lt;"&amp;C971),"")</f>
        <v>934</v>
      </c>
      <c r="U971" s="8" t="n">
        <f aca="false">IF($K971=1,COUNTIFS($L$5:$L$1517,"&gt;="&amp;L971,$K$5:$K$1517,1)/COUNTIF($L$5:$L$1517,"&gt;="&amp;L971),0)</f>
        <v>0</v>
      </c>
      <c r="V971" s="8" t="n">
        <f aca="false">IF($K971=1,COUNTIFS($M$5:$M$1517,"&gt;="&amp;M971,$K$5:$K$1517,1)/COUNTIF($M$5:$M$1517,"&gt;="&amp;M971),0)</f>
        <v>0</v>
      </c>
      <c r="W971" s="8" t="n">
        <f aca="false">IF($K971=1,COUNTIFS($N$5:$N$1517,"&gt;="&amp;N971,$K$5:$K$1517,1)/COUNTIF($N$5:$N$1517,"&gt;="&amp;N971),0)</f>
        <v>0</v>
      </c>
      <c r="X971" s="8" t="n">
        <f aca="false">IF($K971=1,COUNTIFS($O$5:$O$1517,"&gt;="&amp;O971,$K$5:$K$1517,1)/COUNTIF($O$5:$O$1517,"&gt;="&amp;O971),0)</f>
        <v>0</v>
      </c>
      <c r="Y971" s="8" t="n">
        <f aca="false">IF($K971=1,COUNTIFS($P$5:$P$1517,"&gt;="&amp;P971,$K$5:$K$1517,1)/COUNTIF($P$5:$P$1517,"&gt;="&amp;P971),0)</f>
        <v>0</v>
      </c>
      <c r="Z971" s="8" t="n">
        <f aca="false">(L971-$K971)^2</f>
        <v>0.158777543961</v>
      </c>
      <c r="AA971" s="8" t="n">
        <f aca="false">(M971-$K971)^2</f>
        <v>0.008475595969</v>
      </c>
      <c r="AB971" s="8" t="n">
        <f aca="false">(N971-$K971)^2</f>
        <v>0.010059688804</v>
      </c>
      <c r="AC971" s="8" t="n">
        <f aca="false">(O971-$K971)^2</f>
        <v>0.011274829489</v>
      </c>
      <c r="AD971" s="8" t="n">
        <f aca="false">(P971-$K971)^2</f>
        <v>0.011295225841</v>
      </c>
      <c r="AE971" s="8" t="n">
        <f aca="false">MIN(INT(ROUND(N971*1000000,0)/100000),9)</f>
        <v>1</v>
      </c>
      <c r="AF971" s="8" t="n">
        <f aca="false">MIN(INT(ROUND(P971*1000000,0)/100000),9)</f>
        <v>1</v>
      </c>
    </row>
    <row r="972" customFormat="false" ht="15" hidden="false" customHeight="false" outlineLevel="0" collapsed="false">
      <c r="A972" s="4" t="n">
        <v>968</v>
      </c>
      <c r="B972" s="4" t="n">
        <v>1168</v>
      </c>
      <c r="C972" s="4" t="n">
        <v>2</v>
      </c>
      <c r="D972" s="11" t="n">
        <v>46113</v>
      </c>
      <c r="E972" s="4" t="s">
        <v>202</v>
      </c>
      <c r="F972" s="4" t="s">
        <v>206</v>
      </c>
      <c r="G972" s="4" t="n">
        <v>7</v>
      </c>
      <c r="H972" s="4" t="n">
        <v>10</v>
      </c>
      <c r="I972" s="4" t="n">
        <v>0</v>
      </c>
      <c r="J972" s="4"/>
      <c r="K972" s="4" t="n">
        <v>0</v>
      </c>
      <c r="L972" s="12" t="n">
        <v>0.909093</v>
      </c>
      <c r="M972" s="12" t="n">
        <v>0.092063</v>
      </c>
      <c r="N972" s="12" t="n">
        <v>0.049228</v>
      </c>
      <c r="O972" s="12" t="n">
        <v>0.106183</v>
      </c>
      <c r="P972" s="12" t="n">
        <v>0.05056</v>
      </c>
      <c r="Q972" s="0" t="str">
        <f aca="false">IF(L972&gt;=Models!$G$5,1+COUNTIF($L$5:$L$1517,"&gt;"&amp;L972)+COUNTIFS($L$5:$L$1517,L972,$B$5:$B$1517,"&lt;"&amp;B972)+COUNTIFS($L$5:$L$1517,L972,$B$5:$B$1517,B972,$C$5:$C$1517,"&lt;"&amp;C972),"")</f>
        <v/>
      </c>
      <c r="R972" s="0" t="str">
        <f aca="false">IF(M972&gt;=Models!$G$6,1+COUNTIF($M$5:$M$1517,"&gt;"&amp;M972)+COUNTIFS($M$5:$M$1517,M972,$B$5:$B$1517,"&lt;"&amp;B972)+COUNTIFS($M$5:$M$1517,M972,$B$5:$B$1517,B972,$C$5:$C$1517,"&lt;"&amp;C972),"")</f>
        <v/>
      </c>
      <c r="S972" s="0" t="str">
        <f aca="false">IF(N972&gt;=Models!$G$7,1+COUNTIF($N$5:$N$1517,"&gt;"&amp;N972)+COUNTIFS($N$5:$N$1517,N972,$B$5:$B$1517,"&lt;"&amp;B972)+COUNTIFS($N$5:$N$1517,N972,$B$5:$B$1517,B972,$C$5:$C$1517,"&lt;"&amp;C972),"")</f>
        <v/>
      </c>
      <c r="T972" s="8" t="n">
        <f aca="false">IF(O972&gt;=Models!$G$8,1+COUNTIF($O$5:$O$1517,"&gt;"&amp;O972)+COUNTIFS($O$5:$O$1517,O972,$B$5:$B$1517,"&lt;"&amp;B972)+COUNTIFS($O$5:$O$1517,O972,$B$5:$B$1517,B972,$C$5:$C$1517,"&lt;"&amp;C972),"")</f>
        <v>938</v>
      </c>
      <c r="U972" s="8" t="n">
        <f aca="false">IF($K972=1,COUNTIFS($L$5:$L$1517,"&gt;="&amp;L972,$K$5:$K$1517,1)/COUNTIF($L$5:$L$1517,"&gt;="&amp;L972),0)</f>
        <v>0</v>
      </c>
      <c r="V972" s="8" t="n">
        <f aca="false">IF($K972=1,COUNTIFS($M$5:$M$1517,"&gt;="&amp;M972,$K$5:$K$1517,1)/COUNTIF($M$5:$M$1517,"&gt;="&amp;M972),0)</f>
        <v>0</v>
      </c>
      <c r="W972" s="8" t="n">
        <f aca="false">IF($K972=1,COUNTIFS($N$5:$N$1517,"&gt;="&amp;N972,$K$5:$K$1517,1)/COUNTIF($N$5:$N$1517,"&gt;="&amp;N972),0)</f>
        <v>0</v>
      </c>
      <c r="X972" s="8" t="n">
        <f aca="false">IF($K972=1,COUNTIFS($O$5:$O$1517,"&gt;="&amp;O972,$K$5:$K$1517,1)/COUNTIF($O$5:$O$1517,"&gt;="&amp;O972),0)</f>
        <v>0</v>
      </c>
      <c r="Y972" s="8" t="n">
        <f aca="false">IF($K972=1,COUNTIFS($P$5:$P$1517,"&gt;="&amp;P972,$K$5:$K$1517,1)/COUNTIF($P$5:$P$1517,"&gt;="&amp;P972),0)</f>
        <v>0</v>
      </c>
      <c r="Z972" s="8" t="n">
        <f aca="false">(L972-$K972)^2</f>
        <v>0.826450082649</v>
      </c>
      <c r="AA972" s="8" t="n">
        <f aca="false">(M972-$K972)^2</f>
        <v>0.008475595969</v>
      </c>
      <c r="AB972" s="8" t="n">
        <f aca="false">(N972-$K972)^2</f>
        <v>0.002423395984</v>
      </c>
      <c r="AC972" s="8" t="n">
        <f aca="false">(O972-$K972)^2</f>
        <v>0.011274829489</v>
      </c>
      <c r="AD972" s="8" t="n">
        <f aca="false">(P972-$K972)^2</f>
        <v>0.0025563136</v>
      </c>
      <c r="AE972" s="8" t="n">
        <f aca="false">MIN(INT(ROUND(N972*1000000,0)/100000),9)</f>
        <v>0</v>
      </c>
      <c r="AF972" s="8" t="n">
        <f aca="false">MIN(INT(ROUND(P972*1000000,0)/100000),9)</f>
        <v>0</v>
      </c>
    </row>
    <row r="973" customFormat="false" ht="15" hidden="false" customHeight="false" outlineLevel="0" collapsed="false">
      <c r="A973" s="4" t="n">
        <v>969</v>
      </c>
      <c r="B973" s="4" t="n">
        <v>1169</v>
      </c>
      <c r="C973" s="4" t="n">
        <v>2</v>
      </c>
      <c r="D973" s="11" t="n">
        <v>46113</v>
      </c>
      <c r="E973" s="4" t="s">
        <v>203</v>
      </c>
      <c r="F973" s="4" t="s">
        <v>208</v>
      </c>
      <c r="G973" s="4" t="n">
        <v>6</v>
      </c>
      <c r="H973" s="4" t="n">
        <v>0</v>
      </c>
      <c r="I973" s="4" t="n">
        <v>0</v>
      </c>
      <c r="J973" s="4" t="n">
        <v>357</v>
      </c>
      <c r="K973" s="4" t="n">
        <v>0</v>
      </c>
      <c r="L973" s="12" t="n">
        <v>0.252994</v>
      </c>
      <c r="M973" s="12" t="n">
        <v>0.092063</v>
      </c>
      <c r="N973" s="12" t="n">
        <v>0.098257</v>
      </c>
      <c r="O973" s="12" t="n">
        <v>0.106183</v>
      </c>
      <c r="P973" s="12" t="n">
        <v>0.104029</v>
      </c>
      <c r="Q973" s="0" t="str">
        <f aca="false">IF(L973&gt;=Models!$G$5,1+COUNTIF($L$5:$L$1517,"&gt;"&amp;L973)+COUNTIFS($L$5:$L$1517,L973,$B$5:$B$1517,"&lt;"&amp;B973)+COUNTIFS($L$5:$L$1517,L973,$B$5:$B$1517,B973,$C$5:$C$1517,"&lt;"&amp;C973),"")</f>
        <v/>
      </c>
      <c r="R973" s="0" t="str">
        <f aca="false">IF(M973&gt;=Models!$G$6,1+COUNTIF($M$5:$M$1517,"&gt;"&amp;M973)+COUNTIFS($M$5:$M$1517,M973,$B$5:$B$1517,"&lt;"&amp;B973)+COUNTIFS($M$5:$M$1517,M973,$B$5:$B$1517,B973,$C$5:$C$1517,"&lt;"&amp;C973),"")</f>
        <v/>
      </c>
      <c r="S973" s="0" t="str">
        <f aca="false">IF(N973&gt;=Models!$G$7,1+COUNTIF($N$5:$N$1517,"&gt;"&amp;N973)+COUNTIFS($N$5:$N$1517,N973,$B$5:$B$1517,"&lt;"&amp;B973)+COUNTIFS($N$5:$N$1517,N973,$B$5:$B$1517,B973,$C$5:$C$1517,"&lt;"&amp;C973),"")</f>
        <v/>
      </c>
      <c r="T973" s="8" t="n">
        <f aca="false">IF(O973&gt;=Models!$G$8,1+COUNTIF($O$5:$O$1517,"&gt;"&amp;O973)+COUNTIFS($O$5:$O$1517,O973,$B$5:$B$1517,"&lt;"&amp;B973)+COUNTIFS($O$5:$O$1517,O973,$B$5:$B$1517,B973,$C$5:$C$1517,"&lt;"&amp;C973),"")</f>
        <v>942</v>
      </c>
      <c r="U973" s="8" t="n">
        <f aca="false">IF($K973=1,COUNTIFS($L$5:$L$1517,"&gt;="&amp;L973,$K$5:$K$1517,1)/COUNTIF($L$5:$L$1517,"&gt;="&amp;L973),0)</f>
        <v>0</v>
      </c>
      <c r="V973" s="8" t="n">
        <f aca="false">IF($K973=1,COUNTIFS($M$5:$M$1517,"&gt;="&amp;M973,$K$5:$K$1517,1)/COUNTIF($M$5:$M$1517,"&gt;="&amp;M973),0)</f>
        <v>0</v>
      </c>
      <c r="W973" s="8" t="n">
        <f aca="false">IF($K973=1,COUNTIFS($N$5:$N$1517,"&gt;="&amp;N973,$K$5:$K$1517,1)/COUNTIF($N$5:$N$1517,"&gt;="&amp;N973),0)</f>
        <v>0</v>
      </c>
      <c r="X973" s="8" t="n">
        <f aca="false">IF($K973=1,COUNTIFS($O$5:$O$1517,"&gt;="&amp;O973,$K$5:$K$1517,1)/COUNTIF($O$5:$O$1517,"&gt;="&amp;O973),0)</f>
        <v>0</v>
      </c>
      <c r="Y973" s="8" t="n">
        <f aca="false">IF($K973=1,COUNTIFS($P$5:$P$1517,"&gt;="&amp;P973,$K$5:$K$1517,1)/COUNTIF($P$5:$P$1517,"&gt;="&amp;P973),0)</f>
        <v>0</v>
      </c>
      <c r="Z973" s="8" t="n">
        <f aca="false">(L973-$K973)^2</f>
        <v>0.064005964036</v>
      </c>
      <c r="AA973" s="8" t="n">
        <f aca="false">(M973-$K973)^2</f>
        <v>0.008475595969</v>
      </c>
      <c r="AB973" s="8" t="n">
        <f aca="false">(N973-$K973)^2</f>
        <v>0.009654438049</v>
      </c>
      <c r="AC973" s="8" t="n">
        <f aca="false">(O973-$K973)^2</f>
        <v>0.011274829489</v>
      </c>
      <c r="AD973" s="8" t="n">
        <f aca="false">(P973-$K973)^2</f>
        <v>0.010822032841</v>
      </c>
      <c r="AE973" s="8" t="n">
        <f aca="false">MIN(INT(ROUND(N973*1000000,0)/100000),9)</f>
        <v>0</v>
      </c>
      <c r="AF973" s="8" t="n">
        <f aca="false">MIN(INT(ROUND(P973*1000000,0)/100000),9)</f>
        <v>1</v>
      </c>
    </row>
    <row r="974" customFormat="false" ht="15" hidden="false" customHeight="false" outlineLevel="0" collapsed="false">
      <c r="A974" s="4" t="n">
        <v>970</v>
      </c>
      <c r="B974" s="4" t="n">
        <v>1176</v>
      </c>
      <c r="C974" s="4" t="n">
        <v>2</v>
      </c>
      <c r="D974" s="11" t="n">
        <v>46113</v>
      </c>
      <c r="E974" s="4" t="s">
        <v>202</v>
      </c>
      <c r="F974" s="4" t="s">
        <v>209</v>
      </c>
      <c r="G974" s="4" t="n">
        <v>8</v>
      </c>
      <c r="H974" s="4" t="n">
        <v>4</v>
      </c>
      <c r="I974" s="4" t="n">
        <v>0</v>
      </c>
      <c r="J974" s="4" t="n">
        <v>1512</v>
      </c>
      <c r="K974" s="4" t="n">
        <v>0</v>
      </c>
      <c r="L974" s="12" t="n">
        <v>0.186603</v>
      </c>
      <c r="M974" s="12" t="n">
        <v>0.092063</v>
      </c>
      <c r="N974" s="12" t="n">
        <v>0.080837</v>
      </c>
      <c r="O974" s="12" t="n">
        <v>0.106183</v>
      </c>
      <c r="P974" s="12" t="n">
        <v>0.084888</v>
      </c>
      <c r="Q974" s="0" t="str">
        <f aca="false">IF(L974&gt;=Models!$G$5,1+COUNTIF($L$5:$L$1517,"&gt;"&amp;L974)+COUNTIFS($L$5:$L$1517,L974,$B$5:$B$1517,"&lt;"&amp;B974)+COUNTIFS($L$5:$L$1517,L974,$B$5:$B$1517,B974,$C$5:$C$1517,"&lt;"&amp;C974),"")</f>
        <v/>
      </c>
      <c r="R974" s="0" t="str">
        <f aca="false">IF(M974&gt;=Models!$G$6,1+COUNTIF($M$5:$M$1517,"&gt;"&amp;M974)+COUNTIFS($M$5:$M$1517,M974,$B$5:$B$1517,"&lt;"&amp;B974)+COUNTIFS($M$5:$M$1517,M974,$B$5:$B$1517,B974,$C$5:$C$1517,"&lt;"&amp;C974),"")</f>
        <v/>
      </c>
      <c r="S974" s="0" t="str">
        <f aca="false">IF(N974&gt;=Models!$G$7,1+COUNTIF($N$5:$N$1517,"&gt;"&amp;N974)+COUNTIFS($N$5:$N$1517,N974,$B$5:$B$1517,"&lt;"&amp;B974)+COUNTIFS($N$5:$N$1517,N974,$B$5:$B$1517,B974,$C$5:$C$1517,"&lt;"&amp;C974),"")</f>
        <v/>
      </c>
      <c r="T974" s="8" t="n">
        <f aca="false">IF(O974&gt;=Models!$G$8,1+COUNTIF($O$5:$O$1517,"&gt;"&amp;O974)+COUNTIFS($O$5:$O$1517,O974,$B$5:$B$1517,"&lt;"&amp;B974)+COUNTIFS($O$5:$O$1517,O974,$B$5:$B$1517,B974,$C$5:$C$1517,"&lt;"&amp;C974),"")</f>
        <v>946</v>
      </c>
      <c r="U974" s="8" t="n">
        <f aca="false">IF($K974=1,COUNTIFS($L$5:$L$1517,"&gt;="&amp;L974,$K$5:$K$1517,1)/COUNTIF($L$5:$L$1517,"&gt;="&amp;L974),0)</f>
        <v>0</v>
      </c>
      <c r="V974" s="8" t="n">
        <f aca="false">IF($K974=1,COUNTIFS($M$5:$M$1517,"&gt;="&amp;M974,$K$5:$K$1517,1)/COUNTIF($M$5:$M$1517,"&gt;="&amp;M974),0)</f>
        <v>0</v>
      </c>
      <c r="W974" s="8" t="n">
        <f aca="false">IF($K974=1,COUNTIFS($N$5:$N$1517,"&gt;="&amp;N974,$K$5:$K$1517,1)/COUNTIF($N$5:$N$1517,"&gt;="&amp;N974),0)</f>
        <v>0</v>
      </c>
      <c r="X974" s="8" t="n">
        <f aca="false">IF($K974=1,COUNTIFS($O$5:$O$1517,"&gt;="&amp;O974,$K$5:$K$1517,1)/COUNTIF($O$5:$O$1517,"&gt;="&amp;O974),0)</f>
        <v>0</v>
      </c>
      <c r="Y974" s="8" t="n">
        <f aca="false">IF($K974=1,COUNTIFS($P$5:$P$1517,"&gt;="&amp;P974,$K$5:$K$1517,1)/COUNTIF($P$5:$P$1517,"&gt;="&amp;P974),0)</f>
        <v>0</v>
      </c>
      <c r="Z974" s="8" t="n">
        <f aca="false">(L974-$K974)^2</f>
        <v>0.034820679609</v>
      </c>
      <c r="AA974" s="8" t="n">
        <f aca="false">(M974-$K974)^2</f>
        <v>0.008475595969</v>
      </c>
      <c r="AB974" s="8" t="n">
        <f aca="false">(N974-$K974)^2</f>
        <v>0.006534620569</v>
      </c>
      <c r="AC974" s="8" t="n">
        <f aca="false">(O974-$K974)^2</f>
        <v>0.011274829489</v>
      </c>
      <c r="AD974" s="8" t="n">
        <f aca="false">(P974-$K974)^2</f>
        <v>0.007205972544</v>
      </c>
      <c r="AE974" s="8" t="n">
        <f aca="false">MIN(INT(ROUND(N974*1000000,0)/100000),9)</f>
        <v>0</v>
      </c>
      <c r="AF974" s="8" t="n">
        <f aca="false">MIN(INT(ROUND(P974*1000000,0)/100000),9)</f>
        <v>0</v>
      </c>
    </row>
    <row r="975" customFormat="false" ht="15" hidden="false" customHeight="false" outlineLevel="0" collapsed="false">
      <c r="A975" s="4" t="n">
        <v>971</v>
      </c>
      <c r="B975" s="4" t="n">
        <v>1180</v>
      </c>
      <c r="C975" s="4" t="n">
        <v>2</v>
      </c>
      <c r="D975" s="11" t="n">
        <v>46113</v>
      </c>
      <c r="E975" s="4" t="s">
        <v>203</v>
      </c>
      <c r="F975" s="4" t="s">
        <v>206</v>
      </c>
      <c r="G975" s="4" t="n">
        <v>8</v>
      </c>
      <c r="H975" s="4" t="n">
        <v>1</v>
      </c>
      <c r="I975" s="4" t="n">
        <v>0</v>
      </c>
      <c r="J975" s="4"/>
      <c r="K975" s="4" t="n">
        <v>0</v>
      </c>
      <c r="L975" s="12" t="n">
        <v>0.589481</v>
      </c>
      <c r="M975" s="12" t="n">
        <v>0.092063</v>
      </c>
      <c r="N975" s="12" t="n">
        <v>0.042106</v>
      </c>
      <c r="O975" s="12" t="n">
        <v>0.106183</v>
      </c>
      <c r="P975" s="12" t="n">
        <v>0.042933</v>
      </c>
      <c r="Q975" s="0" t="str">
        <f aca="false">IF(L975&gt;=Models!$G$5,1+COUNTIF($L$5:$L$1517,"&gt;"&amp;L975)+COUNTIFS($L$5:$L$1517,L975,$B$5:$B$1517,"&lt;"&amp;B975)+COUNTIFS($L$5:$L$1517,L975,$B$5:$B$1517,B975,$C$5:$C$1517,"&lt;"&amp;C975),"")</f>
        <v/>
      </c>
      <c r="R975" s="0" t="str">
        <f aca="false">IF(M975&gt;=Models!$G$6,1+COUNTIF($M$5:$M$1517,"&gt;"&amp;M975)+COUNTIFS($M$5:$M$1517,M975,$B$5:$B$1517,"&lt;"&amp;B975)+COUNTIFS($M$5:$M$1517,M975,$B$5:$B$1517,B975,$C$5:$C$1517,"&lt;"&amp;C975),"")</f>
        <v/>
      </c>
      <c r="S975" s="0" t="str">
        <f aca="false">IF(N975&gt;=Models!$G$7,1+COUNTIF($N$5:$N$1517,"&gt;"&amp;N975)+COUNTIFS($N$5:$N$1517,N975,$B$5:$B$1517,"&lt;"&amp;B975)+COUNTIFS($N$5:$N$1517,N975,$B$5:$B$1517,B975,$C$5:$C$1517,"&lt;"&amp;C975),"")</f>
        <v/>
      </c>
      <c r="T975" s="8" t="n">
        <f aca="false">IF(O975&gt;=Models!$G$8,1+COUNTIF($O$5:$O$1517,"&gt;"&amp;O975)+COUNTIFS($O$5:$O$1517,O975,$B$5:$B$1517,"&lt;"&amp;B975)+COUNTIFS($O$5:$O$1517,O975,$B$5:$B$1517,B975,$C$5:$C$1517,"&lt;"&amp;C975),"")</f>
        <v>950</v>
      </c>
      <c r="U975" s="8" t="n">
        <f aca="false">IF($K975=1,COUNTIFS($L$5:$L$1517,"&gt;="&amp;L975,$K$5:$K$1517,1)/COUNTIF($L$5:$L$1517,"&gt;="&amp;L975),0)</f>
        <v>0</v>
      </c>
      <c r="V975" s="8" t="n">
        <f aca="false">IF($K975=1,COUNTIFS($M$5:$M$1517,"&gt;="&amp;M975,$K$5:$K$1517,1)/COUNTIF($M$5:$M$1517,"&gt;="&amp;M975),0)</f>
        <v>0</v>
      </c>
      <c r="W975" s="8" t="n">
        <f aca="false">IF($K975=1,COUNTIFS($N$5:$N$1517,"&gt;="&amp;N975,$K$5:$K$1517,1)/COUNTIF($N$5:$N$1517,"&gt;="&amp;N975),0)</f>
        <v>0</v>
      </c>
      <c r="X975" s="8" t="n">
        <f aca="false">IF($K975=1,COUNTIFS($O$5:$O$1517,"&gt;="&amp;O975,$K$5:$K$1517,1)/COUNTIF($O$5:$O$1517,"&gt;="&amp;O975),0)</f>
        <v>0</v>
      </c>
      <c r="Y975" s="8" t="n">
        <f aca="false">IF($K975=1,COUNTIFS($P$5:$P$1517,"&gt;="&amp;P975,$K$5:$K$1517,1)/COUNTIF($P$5:$P$1517,"&gt;="&amp;P975),0)</f>
        <v>0</v>
      </c>
      <c r="Z975" s="8" t="n">
        <f aca="false">(L975-$K975)^2</f>
        <v>0.347487849361</v>
      </c>
      <c r="AA975" s="8" t="n">
        <f aca="false">(M975-$K975)^2</f>
        <v>0.008475595969</v>
      </c>
      <c r="AB975" s="8" t="n">
        <f aca="false">(N975-$K975)^2</f>
        <v>0.001772915236</v>
      </c>
      <c r="AC975" s="8" t="n">
        <f aca="false">(O975-$K975)^2</f>
        <v>0.011274829489</v>
      </c>
      <c r="AD975" s="8" t="n">
        <f aca="false">(P975-$K975)^2</f>
        <v>0.001843242489</v>
      </c>
      <c r="AE975" s="8" t="n">
        <f aca="false">MIN(INT(ROUND(N975*1000000,0)/100000),9)</f>
        <v>0</v>
      </c>
      <c r="AF975" s="8" t="n">
        <f aca="false">MIN(INT(ROUND(P975*1000000,0)/100000),9)</f>
        <v>0</v>
      </c>
    </row>
    <row r="976" customFormat="false" ht="15" hidden="false" customHeight="false" outlineLevel="0" collapsed="false">
      <c r="A976" s="4" t="n">
        <v>972</v>
      </c>
      <c r="B976" s="4" t="n">
        <v>1190</v>
      </c>
      <c r="C976" s="4" t="n">
        <v>2</v>
      </c>
      <c r="D976" s="11" t="n">
        <v>46113</v>
      </c>
      <c r="E976" s="4" t="s">
        <v>202</v>
      </c>
      <c r="F976" s="4" t="s">
        <v>209</v>
      </c>
      <c r="G976" s="4" t="n">
        <v>7</v>
      </c>
      <c r="H976" s="4" t="n">
        <v>1</v>
      </c>
      <c r="I976" s="4" t="n">
        <v>0</v>
      </c>
      <c r="J976" s="4" t="n">
        <v>1506</v>
      </c>
      <c r="K976" s="4" t="n">
        <v>0</v>
      </c>
      <c r="L976" s="12" t="n">
        <v>0.557132</v>
      </c>
      <c r="M976" s="12" t="n">
        <v>0.092063</v>
      </c>
      <c r="N976" s="12" t="n">
        <v>0.085861</v>
      </c>
      <c r="O976" s="12" t="n">
        <v>0.106183</v>
      </c>
      <c r="P976" s="12" t="n">
        <v>0.090395</v>
      </c>
      <c r="Q976" s="0" t="str">
        <f aca="false">IF(L976&gt;=Models!$G$5,1+COUNTIF($L$5:$L$1517,"&gt;"&amp;L976)+COUNTIFS($L$5:$L$1517,L976,$B$5:$B$1517,"&lt;"&amp;B976)+COUNTIFS($L$5:$L$1517,L976,$B$5:$B$1517,B976,$C$5:$C$1517,"&lt;"&amp;C976),"")</f>
        <v/>
      </c>
      <c r="R976" s="0" t="str">
        <f aca="false">IF(M976&gt;=Models!$G$6,1+COUNTIF($M$5:$M$1517,"&gt;"&amp;M976)+COUNTIFS($M$5:$M$1517,M976,$B$5:$B$1517,"&lt;"&amp;B976)+COUNTIFS($M$5:$M$1517,M976,$B$5:$B$1517,B976,$C$5:$C$1517,"&lt;"&amp;C976),"")</f>
        <v/>
      </c>
      <c r="S976" s="0" t="str">
        <f aca="false">IF(N976&gt;=Models!$G$7,1+COUNTIF($N$5:$N$1517,"&gt;"&amp;N976)+COUNTIFS($N$5:$N$1517,N976,$B$5:$B$1517,"&lt;"&amp;B976)+COUNTIFS($N$5:$N$1517,N976,$B$5:$B$1517,B976,$C$5:$C$1517,"&lt;"&amp;C976),"")</f>
        <v/>
      </c>
      <c r="T976" s="8" t="n">
        <f aca="false">IF(O976&gt;=Models!$G$8,1+COUNTIF($O$5:$O$1517,"&gt;"&amp;O976)+COUNTIFS($O$5:$O$1517,O976,$B$5:$B$1517,"&lt;"&amp;B976)+COUNTIFS($O$5:$O$1517,O976,$B$5:$B$1517,B976,$C$5:$C$1517,"&lt;"&amp;C976),"")</f>
        <v>954</v>
      </c>
      <c r="U976" s="8" t="n">
        <f aca="false">IF($K976=1,COUNTIFS($L$5:$L$1517,"&gt;="&amp;L976,$K$5:$K$1517,1)/COUNTIF($L$5:$L$1517,"&gt;="&amp;L976),0)</f>
        <v>0</v>
      </c>
      <c r="V976" s="8" t="n">
        <f aca="false">IF($K976=1,COUNTIFS($M$5:$M$1517,"&gt;="&amp;M976,$K$5:$K$1517,1)/COUNTIF($M$5:$M$1517,"&gt;="&amp;M976),0)</f>
        <v>0</v>
      </c>
      <c r="W976" s="8" t="n">
        <f aca="false">IF($K976=1,COUNTIFS($N$5:$N$1517,"&gt;="&amp;N976,$K$5:$K$1517,1)/COUNTIF($N$5:$N$1517,"&gt;="&amp;N976),0)</f>
        <v>0</v>
      </c>
      <c r="X976" s="8" t="n">
        <f aca="false">IF($K976=1,COUNTIFS($O$5:$O$1517,"&gt;="&amp;O976,$K$5:$K$1517,1)/COUNTIF($O$5:$O$1517,"&gt;="&amp;O976),0)</f>
        <v>0</v>
      </c>
      <c r="Y976" s="8" t="n">
        <f aca="false">IF($K976=1,COUNTIFS($P$5:$P$1517,"&gt;="&amp;P976,$K$5:$K$1517,1)/COUNTIF($P$5:$P$1517,"&gt;="&amp;P976),0)</f>
        <v>0</v>
      </c>
      <c r="Z976" s="8" t="n">
        <f aca="false">(L976-$K976)^2</f>
        <v>0.310396065424</v>
      </c>
      <c r="AA976" s="8" t="n">
        <f aca="false">(M976-$K976)^2</f>
        <v>0.008475595969</v>
      </c>
      <c r="AB976" s="8" t="n">
        <f aca="false">(N976-$K976)^2</f>
        <v>0.007372111321</v>
      </c>
      <c r="AC976" s="8" t="n">
        <f aca="false">(O976-$K976)^2</f>
        <v>0.011274829489</v>
      </c>
      <c r="AD976" s="8" t="n">
        <f aca="false">(P976-$K976)^2</f>
        <v>0.008171256025</v>
      </c>
      <c r="AE976" s="8" t="n">
        <f aca="false">MIN(INT(ROUND(N976*1000000,0)/100000),9)</f>
        <v>0</v>
      </c>
      <c r="AF976" s="8" t="n">
        <f aca="false">MIN(INT(ROUND(P976*1000000,0)/100000),9)</f>
        <v>0</v>
      </c>
    </row>
    <row r="977" customFormat="false" ht="15" hidden="false" customHeight="false" outlineLevel="0" collapsed="false">
      <c r="A977" s="4" t="n">
        <v>973</v>
      </c>
      <c r="B977" s="4" t="n">
        <v>1191</v>
      </c>
      <c r="C977" s="4" t="n">
        <v>2</v>
      </c>
      <c r="D977" s="11" t="n">
        <v>46113</v>
      </c>
      <c r="E977" s="4" t="s">
        <v>202</v>
      </c>
      <c r="F977" s="4" t="s">
        <v>208</v>
      </c>
      <c r="G977" s="4" t="n">
        <v>16</v>
      </c>
      <c r="H977" s="4" t="n">
        <v>0</v>
      </c>
      <c r="I977" s="4" t="n">
        <v>0</v>
      </c>
      <c r="J977" s="4"/>
      <c r="K977" s="4" t="n">
        <v>0</v>
      </c>
      <c r="L977" s="12" t="n">
        <v>0.000321</v>
      </c>
      <c r="M977" s="12" t="n">
        <v>0.092063</v>
      </c>
      <c r="N977" s="12" t="n">
        <v>0.020781</v>
      </c>
      <c r="O977" s="12" t="n">
        <v>0.106183</v>
      </c>
      <c r="P977" s="12" t="n">
        <v>0.020492</v>
      </c>
      <c r="Q977" s="0" t="str">
        <f aca="false">IF(L977&gt;=Models!$G$5,1+COUNTIF($L$5:$L$1517,"&gt;"&amp;L977)+COUNTIFS($L$5:$L$1517,L977,$B$5:$B$1517,"&lt;"&amp;B977)+COUNTIFS($L$5:$L$1517,L977,$B$5:$B$1517,B977,$C$5:$C$1517,"&lt;"&amp;C977),"")</f>
        <v/>
      </c>
      <c r="R977" s="0" t="str">
        <f aca="false">IF(M977&gt;=Models!$G$6,1+COUNTIF($M$5:$M$1517,"&gt;"&amp;M977)+COUNTIFS($M$5:$M$1517,M977,$B$5:$B$1517,"&lt;"&amp;B977)+COUNTIFS($M$5:$M$1517,M977,$B$5:$B$1517,B977,$C$5:$C$1517,"&lt;"&amp;C977),"")</f>
        <v/>
      </c>
      <c r="S977" s="0" t="str">
        <f aca="false">IF(N977&gt;=Models!$G$7,1+COUNTIF($N$5:$N$1517,"&gt;"&amp;N977)+COUNTIFS($N$5:$N$1517,N977,$B$5:$B$1517,"&lt;"&amp;B977)+COUNTIFS($N$5:$N$1517,N977,$B$5:$B$1517,B977,$C$5:$C$1517,"&lt;"&amp;C977),"")</f>
        <v/>
      </c>
      <c r="T977" s="8" t="n">
        <f aca="false">IF(O977&gt;=Models!$G$8,1+COUNTIF($O$5:$O$1517,"&gt;"&amp;O977)+COUNTIFS($O$5:$O$1517,O977,$B$5:$B$1517,"&lt;"&amp;B977)+COUNTIFS($O$5:$O$1517,O977,$B$5:$B$1517,B977,$C$5:$C$1517,"&lt;"&amp;C977),"")</f>
        <v>958</v>
      </c>
      <c r="U977" s="8" t="n">
        <f aca="false">IF($K977=1,COUNTIFS($L$5:$L$1517,"&gt;="&amp;L977,$K$5:$K$1517,1)/COUNTIF($L$5:$L$1517,"&gt;="&amp;L977),0)</f>
        <v>0</v>
      </c>
      <c r="V977" s="8" t="n">
        <f aca="false">IF($K977=1,COUNTIFS($M$5:$M$1517,"&gt;="&amp;M977,$K$5:$K$1517,1)/COUNTIF($M$5:$M$1517,"&gt;="&amp;M977),0)</f>
        <v>0</v>
      </c>
      <c r="W977" s="8" t="n">
        <f aca="false">IF($K977=1,COUNTIFS($N$5:$N$1517,"&gt;="&amp;N977,$K$5:$K$1517,1)/COUNTIF($N$5:$N$1517,"&gt;="&amp;N977),0)</f>
        <v>0</v>
      </c>
      <c r="X977" s="8" t="n">
        <f aca="false">IF($K977=1,COUNTIFS($O$5:$O$1517,"&gt;="&amp;O977,$K$5:$K$1517,1)/COUNTIF($O$5:$O$1517,"&gt;="&amp;O977),0)</f>
        <v>0</v>
      </c>
      <c r="Y977" s="8" t="n">
        <f aca="false">IF($K977=1,COUNTIFS($P$5:$P$1517,"&gt;="&amp;P977,$K$5:$K$1517,1)/COUNTIF($P$5:$P$1517,"&gt;="&amp;P977),0)</f>
        <v>0</v>
      </c>
      <c r="Z977" s="8" t="n">
        <f aca="false">(L977-$K977)^2</f>
        <v>1.03041E-007</v>
      </c>
      <c r="AA977" s="8" t="n">
        <f aca="false">(M977-$K977)^2</f>
        <v>0.008475595969</v>
      </c>
      <c r="AB977" s="8" t="n">
        <f aca="false">(N977-$K977)^2</f>
        <v>0.000431849961</v>
      </c>
      <c r="AC977" s="8" t="n">
        <f aca="false">(O977-$K977)^2</f>
        <v>0.011274829489</v>
      </c>
      <c r="AD977" s="8" t="n">
        <f aca="false">(P977-$K977)^2</f>
        <v>0.000419922064</v>
      </c>
      <c r="AE977" s="8" t="n">
        <f aca="false">MIN(INT(ROUND(N977*1000000,0)/100000),9)</f>
        <v>0</v>
      </c>
      <c r="AF977" s="8" t="n">
        <f aca="false">MIN(INT(ROUND(P977*1000000,0)/100000),9)</f>
        <v>0</v>
      </c>
    </row>
    <row r="978" customFormat="false" ht="15" hidden="false" customHeight="false" outlineLevel="0" collapsed="false">
      <c r="A978" s="4" t="n">
        <v>974</v>
      </c>
      <c r="B978" s="4" t="n">
        <v>1193</v>
      </c>
      <c r="C978" s="4" t="n">
        <v>2</v>
      </c>
      <c r="D978" s="11" t="n">
        <v>46113</v>
      </c>
      <c r="E978" s="4" t="s">
        <v>203</v>
      </c>
      <c r="F978" s="4" t="s">
        <v>206</v>
      </c>
      <c r="G978" s="4" t="n">
        <v>9</v>
      </c>
      <c r="H978" s="4" t="n">
        <v>0</v>
      </c>
      <c r="I978" s="4" t="n">
        <v>0</v>
      </c>
      <c r="J978" s="4" t="n">
        <v>411</v>
      </c>
      <c r="K978" s="4" t="n">
        <v>0</v>
      </c>
      <c r="L978" s="12" t="n">
        <v>0.941872</v>
      </c>
      <c r="M978" s="12" t="n">
        <v>0.092063</v>
      </c>
      <c r="N978" s="12" t="n">
        <v>0.076572</v>
      </c>
      <c r="O978" s="12" t="n">
        <v>0.106183</v>
      </c>
      <c r="P978" s="12" t="n">
        <v>0.080221</v>
      </c>
      <c r="Q978" s="0" t="str">
        <f aca="false">IF(L978&gt;=Models!$G$5,1+COUNTIF($L$5:$L$1517,"&gt;"&amp;L978)+COUNTIFS($L$5:$L$1517,L978,$B$5:$B$1517,"&lt;"&amp;B978)+COUNTIFS($L$5:$L$1517,L978,$B$5:$B$1517,B978,$C$5:$C$1517,"&lt;"&amp;C978),"")</f>
        <v/>
      </c>
      <c r="R978" s="0" t="str">
        <f aca="false">IF(M978&gt;=Models!$G$6,1+COUNTIF($M$5:$M$1517,"&gt;"&amp;M978)+COUNTIFS($M$5:$M$1517,M978,$B$5:$B$1517,"&lt;"&amp;B978)+COUNTIFS($M$5:$M$1517,M978,$B$5:$B$1517,B978,$C$5:$C$1517,"&lt;"&amp;C978),"")</f>
        <v/>
      </c>
      <c r="S978" s="0" t="str">
        <f aca="false">IF(N978&gt;=Models!$G$7,1+COUNTIF($N$5:$N$1517,"&gt;"&amp;N978)+COUNTIFS($N$5:$N$1517,N978,$B$5:$B$1517,"&lt;"&amp;B978)+COUNTIFS($N$5:$N$1517,N978,$B$5:$B$1517,B978,$C$5:$C$1517,"&lt;"&amp;C978),"")</f>
        <v/>
      </c>
      <c r="T978" s="8" t="n">
        <f aca="false">IF(O978&gt;=Models!$G$8,1+COUNTIF($O$5:$O$1517,"&gt;"&amp;O978)+COUNTIFS($O$5:$O$1517,O978,$B$5:$B$1517,"&lt;"&amp;B978)+COUNTIFS($O$5:$O$1517,O978,$B$5:$B$1517,B978,$C$5:$C$1517,"&lt;"&amp;C978),"")</f>
        <v>962</v>
      </c>
      <c r="U978" s="8" t="n">
        <f aca="false">IF($K978=1,COUNTIFS($L$5:$L$1517,"&gt;="&amp;L978,$K$5:$K$1517,1)/COUNTIF($L$5:$L$1517,"&gt;="&amp;L978),0)</f>
        <v>0</v>
      </c>
      <c r="V978" s="8" t="n">
        <f aca="false">IF($K978=1,COUNTIFS($M$5:$M$1517,"&gt;="&amp;M978,$K$5:$K$1517,1)/COUNTIF($M$5:$M$1517,"&gt;="&amp;M978),0)</f>
        <v>0</v>
      </c>
      <c r="W978" s="8" t="n">
        <f aca="false">IF($K978=1,COUNTIFS($N$5:$N$1517,"&gt;="&amp;N978,$K$5:$K$1517,1)/COUNTIF($N$5:$N$1517,"&gt;="&amp;N978),0)</f>
        <v>0</v>
      </c>
      <c r="X978" s="8" t="n">
        <f aca="false">IF($K978=1,COUNTIFS($O$5:$O$1517,"&gt;="&amp;O978,$K$5:$K$1517,1)/COUNTIF($O$5:$O$1517,"&gt;="&amp;O978),0)</f>
        <v>0</v>
      </c>
      <c r="Y978" s="8" t="n">
        <f aca="false">IF($K978=1,COUNTIFS($P$5:$P$1517,"&gt;="&amp;P978,$K$5:$K$1517,1)/COUNTIF($P$5:$P$1517,"&gt;="&amp;P978),0)</f>
        <v>0</v>
      </c>
      <c r="Z978" s="8" t="n">
        <f aca="false">(L978-$K978)^2</f>
        <v>0.887122864384</v>
      </c>
      <c r="AA978" s="8" t="n">
        <f aca="false">(M978-$K978)^2</f>
        <v>0.008475595969</v>
      </c>
      <c r="AB978" s="8" t="n">
        <f aca="false">(N978-$K978)^2</f>
        <v>0.005863271184</v>
      </c>
      <c r="AC978" s="8" t="n">
        <f aca="false">(O978-$K978)^2</f>
        <v>0.011274829489</v>
      </c>
      <c r="AD978" s="8" t="n">
        <f aca="false">(P978-$K978)^2</f>
        <v>0.006435408841</v>
      </c>
      <c r="AE978" s="8" t="n">
        <f aca="false">MIN(INT(ROUND(N978*1000000,0)/100000),9)</f>
        <v>0</v>
      </c>
      <c r="AF978" s="8" t="n">
        <f aca="false">MIN(INT(ROUND(P978*1000000,0)/100000),9)</f>
        <v>0</v>
      </c>
    </row>
    <row r="979" customFormat="false" ht="15" hidden="false" customHeight="false" outlineLevel="0" collapsed="false">
      <c r="A979" s="4" t="n">
        <v>975</v>
      </c>
      <c r="B979" s="4" t="n">
        <v>1202</v>
      </c>
      <c r="C979" s="4" t="n">
        <v>2</v>
      </c>
      <c r="D979" s="11" t="n">
        <v>46113</v>
      </c>
      <c r="E979" s="4" t="s">
        <v>204</v>
      </c>
      <c r="F979" s="4" t="s">
        <v>208</v>
      </c>
      <c r="G979" s="4" t="n">
        <v>1</v>
      </c>
      <c r="H979" s="4" t="n">
        <v>4</v>
      </c>
      <c r="I979" s="4" t="n">
        <v>0</v>
      </c>
      <c r="J979" s="4" t="n">
        <v>117</v>
      </c>
      <c r="K979" s="4" t="n">
        <v>1</v>
      </c>
      <c r="L979" s="12" t="n">
        <v>0.2448</v>
      </c>
      <c r="M979" s="12" t="n">
        <v>0.092063</v>
      </c>
      <c r="N979" s="12" t="n">
        <v>0.151863</v>
      </c>
      <c r="O979" s="12" t="n">
        <v>0.106183</v>
      </c>
      <c r="P979" s="12" t="n">
        <v>0.163429</v>
      </c>
      <c r="Q979" s="0" t="str">
        <f aca="false">IF(L979&gt;=Models!$G$5,1+COUNTIF($L$5:$L$1517,"&gt;"&amp;L979)+COUNTIFS($L$5:$L$1517,L979,$B$5:$B$1517,"&lt;"&amp;B979)+COUNTIFS($L$5:$L$1517,L979,$B$5:$B$1517,B979,$C$5:$C$1517,"&lt;"&amp;C979),"")</f>
        <v/>
      </c>
      <c r="R979" s="0" t="str">
        <f aca="false">IF(M979&gt;=Models!$G$6,1+COUNTIF($M$5:$M$1517,"&gt;"&amp;M979)+COUNTIFS($M$5:$M$1517,M979,$B$5:$B$1517,"&lt;"&amp;B979)+COUNTIFS($M$5:$M$1517,M979,$B$5:$B$1517,B979,$C$5:$C$1517,"&lt;"&amp;C979),"")</f>
        <v/>
      </c>
      <c r="S979" s="0" t="str">
        <f aca="false">IF(N979&gt;=Models!$G$7,1+COUNTIF($N$5:$N$1517,"&gt;"&amp;N979)+COUNTIFS($N$5:$N$1517,N979,$B$5:$B$1517,"&lt;"&amp;B979)+COUNTIFS($N$5:$N$1517,N979,$B$5:$B$1517,B979,$C$5:$C$1517,"&lt;"&amp;C979),"")</f>
        <v/>
      </c>
      <c r="T979" s="8" t="n">
        <f aca="false">IF(O979&gt;=Models!$G$8,1+COUNTIF($O$5:$O$1517,"&gt;"&amp;O979)+COUNTIFS($O$5:$O$1517,O979,$B$5:$B$1517,"&lt;"&amp;B979)+COUNTIFS($O$5:$O$1517,O979,$B$5:$B$1517,B979,$C$5:$C$1517,"&lt;"&amp;C979),"")</f>
        <v>966</v>
      </c>
      <c r="U979" s="8" t="n">
        <f aca="false">IF($K979=1,COUNTIFS($L$5:$L$1517,"&gt;="&amp;L979,$K$5:$K$1517,1)/COUNTIF($L$5:$L$1517,"&gt;="&amp;L979),0)</f>
        <v>0.129432624113475</v>
      </c>
      <c r="V979" s="8" t="n">
        <f aca="false">IF($K979=1,COUNTIFS($M$5:$M$1517,"&gt;="&amp;M979,$K$5:$K$1517,1)/COUNTIF($M$5:$M$1517,"&gt;="&amp;M979),0)</f>
        <v>0.12491738268341</v>
      </c>
      <c r="W979" s="8" t="n">
        <f aca="false">IF($K979=1,COUNTIFS($N$5:$N$1517,"&gt;="&amp;N979,$K$5:$K$1517,1)/COUNTIF($N$5:$N$1517,"&gt;="&amp;N979),0)</f>
        <v>0.283582089552239</v>
      </c>
      <c r="X979" s="8" t="n">
        <f aca="false">IF($K979=1,COUNTIFS($O$5:$O$1517,"&gt;="&amp;O979,$K$5:$K$1517,1)/COUNTIF($O$5:$O$1517,"&gt;="&amp;O979),0)</f>
        <v>0.12491738268341</v>
      </c>
      <c r="Y979" s="8" t="n">
        <f aca="false">IF($K979=1,COUNTIFS($P$5:$P$1517,"&gt;="&amp;P979,$K$5:$K$1517,1)/COUNTIF($P$5:$P$1517,"&gt;="&amp;P979),0)</f>
        <v>0.283582089552239</v>
      </c>
      <c r="Z979" s="8" t="n">
        <f aca="false">(L979-$K979)^2</f>
        <v>0.57032704</v>
      </c>
      <c r="AA979" s="8" t="n">
        <f aca="false">(M979-$K979)^2</f>
        <v>0.824349595969</v>
      </c>
      <c r="AB979" s="8" t="n">
        <f aca="false">(N979-$K979)^2</f>
        <v>0.719336370769</v>
      </c>
      <c r="AC979" s="8" t="n">
        <f aca="false">(O979-$K979)^2</f>
        <v>0.798908829489</v>
      </c>
      <c r="AD979" s="8" t="n">
        <f aca="false">(P979-$K979)^2</f>
        <v>0.699851038041</v>
      </c>
      <c r="AE979" s="8" t="n">
        <f aca="false">MIN(INT(ROUND(N979*1000000,0)/100000),9)</f>
        <v>1</v>
      </c>
      <c r="AF979" s="8" t="n">
        <f aca="false">MIN(INT(ROUND(P979*1000000,0)/100000),9)</f>
        <v>1</v>
      </c>
    </row>
    <row r="980" customFormat="false" ht="15" hidden="false" customHeight="false" outlineLevel="0" collapsed="false">
      <c r="A980" s="4" t="n">
        <v>976</v>
      </c>
      <c r="B980" s="4" t="n">
        <v>1208</v>
      </c>
      <c r="C980" s="4" t="n">
        <v>2</v>
      </c>
      <c r="D980" s="11" t="n">
        <v>46113</v>
      </c>
      <c r="E980" s="4" t="s">
        <v>204</v>
      </c>
      <c r="F980" s="4" t="s">
        <v>208</v>
      </c>
      <c r="G980" s="4" t="n">
        <v>0</v>
      </c>
      <c r="H980" s="4" t="n">
        <v>38</v>
      </c>
      <c r="I980" s="4" t="n">
        <v>0</v>
      </c>
      <c r="J980" s="4"/>
      <c r="K980" s="4" t="n">
        <v>1</v>
      </c>
      <c r="L980" s="12" t="n">
        <v>0.097038</v>
      </c>
      <c r="M980" s="12" t="n">
        <v>0.184211</v>
      </c>
      <c r="N980" s="12" t="n">
        <v>0.108959</v>
      </c>
      <c r="O980" s="12" t="n">
        <v>0.106183</v>
      </c>
      <c r="P980" s="12" t="n">
        <v>0.11584</v>
      </c>
      <c r="Q980" s="0" t="str">
        <f aca="false">IF(L980&gt;=Models!$G$5,1+COUNTIF($L$5:$L$1517,"&gt;"&amp;L980)+COUNTIFS($L$5:$L$1517,L980,$B$5:$B$1517,"&lt;"&amp;B980)+COUNTIFS($L$5:$L$1517,L980,$B$5:$B$1517,B980,$C$5:$C$1517,"&lt;"&amp;C980),"")</f>
        <v/>
      </c>
      <c r="R980" s="8" t="n">
        <f aca="false">IF(M980&gt;=Models!$G$6,1+COUNTIF($M$5:$M$1517,"&gt;"&amp;M980)+COUNTIFS($M$5:$M$1517,M980,$B$5:$B$1517,"&lt;"&amp;B980)+COUNTIFS($M$5:$M$1517,M980,$B$5:$B$1517,B980,$C$5:$C$1517,"&lt;"&amp;C980),"")</f>
        <v>111</v>
      </c>
      <c r="S980" s="0" t="str">
        <f aca="false">IF(N980&gt;=Models!$G$7,1+COUNTIF($N$5:$N$1517,"&gt;"&amp;N980)+COUNTIFS($N$5:$N$1517,N980,$B$5:$B$1517,"&lt;"&amp;B980)+COUNTIFS($N$5:$N$1517,N980,$B$5:$B$1517,B980,$C$5:$C$1517,"&lt;"&amp;C980),"")</f>
        <v/>
      </c>
      <c r="T980" s="8" t="n">
        <f aca="false">IF(O980&gt;=Models!$G$8,1+COUNTIF($O$5:$O$1517,"&gt;"&amp;O980)+COUNTIFS($O$5:$O$1517,O980,$B$5:$B$1517,"&lt;"&amp;B980)+COUNTIFS($O$5:$O$1517,O980,$B$5:$B$1517,B980,$C$5:$C$1517,"&lt;"&amp;C980),"")</f>
        <v>970</v>
      </c>
      <c r="U980" s="8" t="n">
        <f aca="false">IF($K980=1,COUNTIFS($L$5:$L$1517,"&gt;="&amp;L980,$K$5:$K$1517,1)/COUNTIF($L$5:$L$1517,"&gt;="&amp;L980),0)</f>
        <v>0.124631268436578</v>
      </c>
      <c r="V980" s="8" t="n">
        <f aca="false">IF($K980=1,COUNTIFS($M$5:$M$1517,"&gt;="&amp;M980,$K$5:$K$1517,1)/COUNTIF($M$5:$M$1517,"&gt;="&amp;M980),0)</f>
        <v>0.186528497409326</v>
      </c>
      <c r="W980" s="8" t="n">
        <f aca="false">IF($K980=1,COUNTIFS($N$5:$N$1517,"&gt;="&amp;N980,$K$5:$K$1517,1)/COUNTIF($N$5:$N$1517,"&gt;="&amp;N980),0)</f>
        <v>0.207130730050934</v>
      </c>
      <c r="X980" s="8" t="n">
        <f aca="false">IF($K980=1,COUNTIFS($O$5:$O$1517,"&gt;="&amp;O980,$K$5:$K$1517,1)/COUNTIF($O$5:$O$1517,"&gt;="&amp;O980),0)</f>
        <v>0.12491738268341</v>
      </c>
      <c r="Y980" s="8" t="n">
        <f aca="false">IF($K980=1,COUNTIFS($P$5:$P$1517,"&gt;="&amp;P980,$K$5:$K$1517,1)/COUNTIF($P$5:$P$1517,"&gt;="&amp;P980),0)</f>
        <v>0.207130730050934</v>
      </c>
      <c r="Z980" s="8" t="n">
        <f aca="false">(L980-$K980)^2</f>
        <v>0.815340373444</v>
      </c>
      <c r="AA980" s="8" t="n">
        <f aca="false">(M980-$K980)^2</f>
        <v>0.665511692521</v>
      </c>
      <c r="AB980" s="8" t="n">
        <f aca="false">(N980-$K980)^2</f>
        <v>0.793954063681</v>
      </c>
      <c r="AC980" s="8" t="n">
        <f aca="false">(O980-$K980)^2</f>
        <v>0.798908829489</v>
      </c>
      <c r="AD980" s="8" t="n">
        <f aca="false">(P980-$K980)^2</f>
        <v>0.7817389056</v>
      </c>
      <c r="AE980" s="8" t="n">
        <f aca="false">MIN(INT(ROUND(N980*1000000,0)/100000),9)</f>
        <v>1</v>
      </c>
      <c r="AF980" s="8" t="n">
        <f aca="false">MIN(INT(ROUND(P980*1000000,0)/100000),9)</f>
        <v>1</v>
      </c>
    </row>
    <row r="981" customFormat="false" ht="15" hidden="false" customHeight="false" outlineLevel="0" collapsed="false">
      <c r="A981" s="4" t="n">
        <v>977</v>
      </c>
      <c r="B981" s="4" t="n">
        <v>1217</v>
      </c>
      <c r="C981" s="4" t="n">
        <v>2</v>
      </c>
      <c r="D981" s="11" t="n">
        <v>46113</v>
      </c>
      <c r="E981" s="4" t="s">
        <v>203</v>
      </c>
      <c r="F981" s="4" t="s">
        <v>209</v>
      </c>
      <c r="G981" s="4" t="n">
        <v>4</v>
      </c>
      <c r="H981" s="4" t="n">
        <v>14</v>
      </c>
      <c r="I981" s="4" t="n">
        <v>0</v>
      </c>
      <c r="J981" s="4" t="n">
        <v>294</v>
      </c>
      <c r="K981" s="4" t="n">
        <v>0</v>
      </c>
      <c r="L981" s="12" t="n">
        <v>0.726409</v>
      </c>
      <c r="M981" s="12" t="n">
        <v>0.092063</v>
      </c>
      <c r="N981" s="12" t="n">
        <v>0.128043</v>
      </c>
      <c r="O981" s="12" t="n">
        <v>0.106183</v>
      </c>
      <c r="P981" s="12" t="n">
        <v>0.136971</v>
      </c>
      <c r="Q981" s="0" t="str">
        <f aca="false">IF(L981&gt;=Models!$G$5,1+COUNTIF($L$5:$L$1517,"&gt;"&amp;L981)+COUNTIFS($L$5:$L$1517,L981,$B$5:$B$1517,"&lt;"&amp;B981)+COUNTIFS($L$5:$L$1517,L981,$B$5:$B$1517,B981,$C$5:$C$1517,"&lt;"&amp;C981),"")</f>
        <v/>
      </c>
      <c r="R981" s="0" t="str">
        <f aca="false">IF(M981&gt;=Models!$G$6,1+COUNTIF($M$5:$M$1517,"&gt;"&amp;M981)+COUNTIFS($M$5:$M$1517,M981,$B$5:$B$1517,"&lt;"&amp;B981)+COUNTIFS($M$5:$M$1517,M981,$B$5:$B$1517,B981,$C$5:$C$1517,"&lt;"&amp;C981),"")</f>
        <v/>
      </c>
      <c r="S981" s="0" t="str">
        <f aca="false">IF(N981&gt;=Models!$G$7,1+COUNTIF($N$5:$N$1517,"&gt;"&amp;N981)+COUNTIFS($N$5:$N$1517,N981,$B$5:$B$1517,"&lt;"&amp;B981)+COUNTIFS($N$5:$N$1517,N981,$B$5:$B$1517,B981,$C$5:$C$1517,"&lt;"&amp;C981),"")</f>
        <v/>
      </c>
      <c r="T981" s="8" t="n">
        <f aca="false">IF(O981&gt;=Models!$G$8,1+COUNTIF($O$5:$O$1517,"&gt;"&amp;O981)+COUNTIFS($O$5:$O$1517,O981,$B$5:$B$1517,"&lt;"&amp;B981)+COUNTIFS($O$5:$O$1517,O981,$B$5:$B$1517,B981,$C$5:$C$1517,"&lt;"&amp;C981),"")</f>
        <v>974</v>
      </c>
      <c r="U981" s="8" t="n">
        <f aca="false">IF($K981=1,COUNTIFS($L$5:$L$1517,"&gt;="&amp;L981,$K$5:$K$1517,1)/COUNTIF($L$5:$L$1517,"&gt;="&amp;L981),0)</f>
        <v>0</v>
      </c>
      <c r="V981" s="8" t="n">
        <f aca="false">IF($K981=1,COUNTIFS($M$5:$M$1517,"&gt;="&amp;M981,$K$5:$K$1517,1)/COUNTIF($M$5:$M$1517,"&gt;="&amp;M981),0)</f>
        <v>0</v>
      </c>
      <c r="W981" s="8" t="n">
        <f aca="false">IF($K981=1,COUNTIFS($N$5:$N$1517,"&gt;="&amp;N981,$K$5:$K$1517,1)/COUNTIF($N$5:$N$1517,"&gt;="&amp;N981),0)</f>
        <v>0</v>
      </c>
      <c r="X981" s="8" t="n">
        <f aca="false">IF($K981=1,COUNTIFS($O$5:$O$1517,"&gt;="&amp;O981,$K$5:$K$1517,1)/COUNTIF($O$5:$O$1517,"&gt;="&amp;O981),0)</f>
        <v>0</v>
      </c>
      <c r="Y981" s="8" t="n">
        <f aca="false">IF($K981=1,COUNTIFS($P$5:$P$1517,"&gt;="&amp;P981,$K$5:$K$1517,1)/COUNTIF($P$5:$P$1517,"&gt;="&amp;P981),0)</f>
        <v>0</v>
      </c>
      <c r="Z981" s="8" t="n">
        <f aca="false">(L981-$K981)^2</f>
        <v>0.527670035281</v>
      </c>
      <c r="AA981" s="8" t="n">
        <f aca="false">(M981-$K981)^2</f>
        <v>0.008475595969</v>
      </c>
      <c r="AB981" s="8" t="n">
        <f aca="false">(N981-$K981)^2</f>
        <v>0.016395009849</v>
      </c>
      <c r="AC981" s="8" t="n">
        <f aca="false">(O981-$K981)^2</f>
        <v>0.011274829489</v>
      </c>
      <c r="AD981" s="8" t="n">
        <f aca="false">(P981-$K981)^2</f>
        <v>0.018761054841</v>
      </c>
      <c r="AE981" s="8" t="n">
        <f aca="false">MIN(INT(ROUND(N981*1000000,0)/100000),9)</f>
        <v>1</v>
      </c>
      <c r="AF981" s="8" t="n">
        <f aca="false">MIN(INT(ROUND(P981*1000000,0)/100000),9)</f>
        <v>1</v>
      </c>
    </row>
    <row r="982" customFormat="false" ht="15" hidden="false" customHeight="false" outlineLevel="0" collapsed="false">
      <c r="A982" s="4" t="n">
        <v>978</v>
      </c>
      <c r="B982" s="4" t="n">
        <v>1221</v>
      </c>
      <c r="C982" s="4" t="n">
        <v>2</v>
      </c>
      <c r="D982" s="11" t="n">
        <v>46113</v>
      </c>
      <c r="E982" s="4" t="s">
        <v>202</v>
      </c>
      <c r="F982" s="4" t="s">
        <v>206</v>
      </c>
      <c r="G982" s="4" t="n">
        <v>9</v>
      </c>
      <c r="H982" s="4" t="n">
        <v>0</v>
      </c>
      <c r="I982" s="4" t="n">
        <v>0</v>
      </c>
      <c r="J982" s="4" t="n">
        <v>915</v>
      </c>
      <c r="K982" s="4" t="n">
        <v>0</v>
      </c>
      <c r="L982" s="12" t="n">
        <v>0.830328</v>
      </c>
      <c r="M982" s="12" t="n">
        <v>0.092063</v>
      </c>
      <c r="N982" s="12" t="n">
        <v>0.074529</v>
      </c>
      <c r="O982" s="12" t="n">
        <v>0.106183</v>
      </c>
      <c r="P982" s="12" t="n">
        <v>0.077988</v>
      </c>
      <c r="Q982" s="0" t="str">
        <f aca="false">IF(L982&gt;=Models!$G$5,1+COUNTIF($L$5:$L$1517,"&gt;"&amp;L982)+COUNTIFS($L$5:$L$1517,L982,$B$5:$B$1517,"&lt;"&amp;B982)+COUNTIFS($L$5:$L$1517,L982,$B$5:$B$1517,B982,$C$5:$C$1517,"&lt;"&amp;C982),"")</f>
        <v/>
      </c>
      <c r="R982" s="0" t="str">
        <f aca="false">IF(M982&gt;=Models!$G$6,1+COUNTIF($M$5:$M$1517,"&gt;"&amp;M982)+COUNTIFS($M$5:$M$1517,M982,$B$5:$B$1517,"&lt;"&amp;B982)+COUNTIFS($M$5:$M$1517,M982,$B$5:$B$1517,B982,$C$5:$C$1517,"&lt;"&amp;C982),"")</f>
        <v/>
      </c>
      <c r="S982" s="0" t="str">
        <f aca="false">IF(N982&gt;=Models!$G$7,1+COUNTIF($N$5:$N$1517,"&gt;"&amp;N982)+COUNTIFS($N$5:$N$1517,N982,$B$5:$B$1517,"&lt;"&amp;B982)+COUNTIFS($N$5:$N$1517,N982,$B$5:$B$1517,B982,$C$5:$C$1517,"&lt;"&amp;C982),"")</f>
        <v/>
      </c>
      <c r="T982" s="8" t="n">
        <f aca="false">IF(O982&gt;=Models!$G$8,1+COUNTIF($O$5:$O$1517,"&gt;"&amp;O982)+COUNTIFS($O$5:$O$1517,O982,$B$5:$B$1517,"&lt;"&amp;B982)+COUNTIFS($O$5:$O$1517,O982,$B$5:$B$1517,B982,$C$5:$C$1517,"&lt;"&amp;C982),"")</f>
        <v>978</v>
      </c>
      <c r="U982" s="8" t="n">
        <f aca="false">IF($K982=1,COUNTIFS($L$5:$L$1517,"&gt;="&amp;L982,$K$5:$K$1517,1)/COUNTIF($L$5:$L$1517,"&gt;="&amp;L982),0)</f>
        <v>0</v>
      </c>
      <c r="V982" s="8" t="n">
        <f aca="false">IF($K982=1,COUNTIFS($M$5:$M$1517,"&gt;="&amp;M982,$K$5:$K$1517,1)/COUNTIF($M$5:$M$1517,"&gt;="&amp;M982),0)</f>
        <v>0</v>
      </c>
      <c r="W982" s="8" t="n">
        <f aca="false">IF($K982=1,COUNTIFS($N$5:$N$1517,"&gt;="&amp;N982,$K$5:$K$1517,1)/COUNTIF($N$5:$N$1517,"&gt;="&amp;N982),0)</f>
        <v>0</v>
      </c>
      <c r="X982" s="8" t="n">
        <f aca="false">IF($K982=1,COUNTIFS($O$5:$O$1517,"&gt;="&amp;O982,$K$5:$K$1517,1)/COUNTIF($O$5:$O$1517,"&gt;="&amp;O982),0)</f>
        <v>0</v>
      </c>
      <c r="Y982" s="8" t="n">
        <f aca="false">IF($K982=1,COUNTIFS($P$5:$P$1517,"&gt;="&amp;P982,$K$5:$K$1517,1)/COUNTIF($P$5:$P$1517,"&gt;="&amp;P982),0)</f>
        <v>0</v>
      </c>
      <c r="Z982" s="8" t="n">
        <f aca="false">(L982-$K982)^2</f>
        <v>0.689444587584</v>
      </c>
      <c r="AA982" s="8" t="n">
        <f aca="false">(M982-$K982)^2</f>
        <v>0.008475595969</v>
      </c>
      <c r="AB982" s="8" t="n">
        <f aca="false">(N982-$K982)^2</f>
        <v>0.005554571841</v>
      </c>
      <c r="AC982" s="8" t="n">
        <f aca="false">(O982-$K982)^2</f>
        <v>0.011274829489</v>
      </c>
      <c r="AD982" s="8" t="n">
        <f aca="false">(P982-$K982)^2</f>
        <v>0.006082128144</v>
      </c>
      <c r="AE982" s="8" t="n">
        <f aca="false">MIN(INT(ROUND(N982*1000000,0)/100000),9)</f>
        <v>0</v>
      </c>
      <c r="AF982" s="8" t="n">
        <f aca="false">MIN(INT(ROUND(P982*1000000,0)/100000),9)</f>
        <v>0</v>
      </c>
    </row>
    <row r="983" customFormat="false" ht="15" hidden="false" customHeight="false" outlineLevel="0" collapsed="false">
      <c r="A983" s="4" t="n">
        <v>979</v>
      </c>
      <c r="B983" s="4" t="n">
        <v>1222</v>
      </c>
      <c r="C983" s="4" t="n">
        <v>2</v>
      </c>
      <c r="D983" s="11" t="n">
        <v>46113</v>
      </c>
      <c r="E983" s="4" t="s">
        <v>202</v>
      </c>
      <c r="F983" s="4" t="s">
        <v>208</v>
      </c>
      <c r="G983" s="4" t="n">
        <v>6</v>
      </c>
      <c r="H983" s="4" t="n">
        <v>3</v>
      </c>
      <c r="I983" s="4" t="n">
        <v>0</v>
      </c>
      <c r="J983" s="4"/>
      <c r="K983" s="4" t="n">
        <v>0</v>
      </c>
      <c r="L983" s="12" t="n">
        <v>0.624759</v>
      </c>
      <c r="M983" s="12" t="n">
        <v>0.092063</v>
      </c>
      <c r="N983" s="12" t="n">
        <v>0.050778</v>
      </c>
      <c r="O983" s="12" t="n">
        <v>0.106183</v>
      </c>
      <c r="P983" s="12" t="n">
        <v>0.052227</v>
      </c>
      <c r="Q983" s="0" t="str">
        <f aca="false">IF(L983&gt;=Models!$G$5,1+COUNTIF($L$5:$L$1517,"&gt;"&amp;L983)+COUNTIFS($L$5:$L$1517,L983,$B$5:$B$1517,"&lt;"&amp;B983)+COUNTIFS($L$5:$L$1517,L983,$B$5:$B$1517,B983,$C$5:$C$1517,"&lt;"&amp;C983),"")</f>
        <v/>
      </c>
      <c r="R983" s="0" t="str">
        <f aca="false">IF(M983&gt;=Models!$G$6,1+COUNTIF($M$5:$M$1517,"&gt;"&amp;M983)+COUNTIFS($M$5:$M$1517,M983,$B$5:$B$1517,"&lt;"&amp;B983)+COUNTIFS($M$5:$M$1517,M983,$B$5:$B$1517,B983,$C$5:$C$1517,"&lt;"&amp;C983),"")</f>
        <v/>
      </c>
      <c r="S983" s="0" t="str">
        <f aca="false">IF(N983&gt;=Models!$G$7,1+COUNTIF($N$5:$N$1517,"&gt;"&amp;N983)+COUNTIFS($N$5:$N$1517,N983,$B$5:$B$1517,"&lt;"&amp;B983)+COUNTIFS($N$5:$N$1517,N983,$B$5:$B$1517,B983,$C$5:$C$1517,"&lt;"&amp;C983),"")</f>
        <v/>
      </c>
      <c r="T983" s="8" t="n">
        <f aca="false">IF(O983&gt;=Models!$G$8,1+COUNTIF($O$5:$O$1517,"&gt;"&amp;O983)+COUNTIFS($O$5:$O$1517,O983,$B$5:$B$1517,"&lt;"&amp;B983)+COUNTIFS($O$5:$O$1517,O983,$B$5:$B$1517,B983,$C$5:$C$1517,"&lt;"&amp;C983),"")</f>
        <v>982</v>
      </c>
      <c r="U983" s="8" t="n">
        <f aca="false">IF($K983=1,COUNTIFS($L$5:$L$1517,"&gt;="&amp;L983,$K$5:$K$1517,1)/COUNTIF($L$5:$L$1517,"&gt;="&amp;L983),0)</f>
        <v>0</v>
      </c>
      <c r="V983" s="8" t="n">
        <f aca="false">IF($K983=1,COUNTIFS($M$5:$M$1517,"&gt;="&amp;M983,$K$5:$K$1517,1)/COUNTIF($M$5:$M$1517,"&gt;="&amp;M983),0)</f>
        <v>0</v>
      </c>
      <c r="W983" s="8" t="n">
        <f aca="false">IF($K983=1,COUNTIFS($N$5:$N$1517,"&gt;="&amp;N983,$K$5:$K$1517,1)/COUNTIF($N$5:$N$1517,"&gt;="&amp;N983),0)</f>
        <v>0</v>
      </c>
      <c r="X983" s="8" t="n">
        <f aca="false">IF($K983=1,COUNTIFS($O$5:$O$1517,"&gt;="&amp;O983,$K$5:$K$1517,1)/COUNTIF($O$5:$O$1517,"&gt;="&amp;O983),0)</f>
        <v>0</v>
      </c>
      <c r="Y983" s="8" t="n">
        <f aca="false">IF($K983=1,COUNTIFS($P$5:$P$1517,"&gt;="&amp;P983,$K$5:$K$1517,1)/COUNTIF($P$5:$P$1517,"&gt;="&amp;P983),0)</f>
        <v>0</v>
      </c>
      <c r="Z983" s="8" t="n">
        <f aca="false">(L983-$K983)^2</f>
        <v>0.390323808081</v>
      </c>
      <c r="AA983" s="8" t="n">
        <f aca="false">(M983-$K983)^2</f>
        <v>0.008475595969</v>
      </c>
      <c r="AB983" s="8" t="n">
        <f aca="false">(N983-$K983)^2</f>
        <v>0.002578405284</v>
      </c>
      <c r="AC983" s="8" t="n">
        <f aca="false">(O983-$K983)^2</f>
        <v>0.011274829489</v>
      </c>
      <c r="AD983" s="8" t="n">
        <f aca="false">(P983-$K983)^2</f>
        <v>0.002727659529</v>
      </c>
      <c r="AE983" s="8" t="n">
        <f aca="false">MIN(INT(ROUND(N983*1000000,0)/100000),9)</f>
        <v>0</v>
      </c>
      <c r="AF983" s="8" t="n">
        <f aca="false">MIN(INT(ROUND(P983*1000000,0)/100000),9)</f>
        <v>0</v>
      </c>
    </row>
    <row r="984" customFormat="false" ht="15" hidden="false" customHeight="false" outlineLevel="0" collapsed="false">
      <c r="A984" s="4" t="n">
        <v>980</v>
      </c>
      <c r="B984" s="4" t="n">
        <v>1224</v>
      </c>
      <c r="C984" s="4" t="n">
        <v>2</v>
      </c>
      <c r="D984" s="11" t="n">
        <v>46113</v>
      </c>
      <c r="E984" s="4" t="s">
        <v>203</v>
      </c>
      <c r="F984" s="4" t="s">
        <v>208</v>
      </c>
      <c r="G984" s="4" t="n">
        <v>4</v>
      </c>
      <c r="H984" s="4" t="n">
        <v>5</v>
      </c>
      <c r="I984" s="4" t="n">
        <v>1</v>
      </c>
      <c r="J984" s="4" t="n">
        <v>282</v>
      </c>
      <c r="K984" s="4" t="n">
        <v>0</v>
      </c>
      <c r="L984" s="12" t="n">
        <v>0.337415</v>
      </c>
      <c r="M984" s="12" t="n">
        <v>0.184211</v>
      </c>
      <c r="N984" s="12" t="n">
        <v>0.198549</v>
      </c>
      <c r="O984" s="12" t="n">
        <v>0.106183</v>
      </c>
      <c r="P984" s="12" t="n">
        <v>0.215377</v>
      </c>
      <c r="Q984" s="0" t="str">
        <f aca="false">IF(L984&gt;=Models!$G$5,1+COUNTIF($L$5:$L$1517,"&gt;"&amp;L984)+COUNTIFS($L$5:$L$1517,L984,$B$5:$B$1517,"&lt;"&amp;B984)+COUNTIFS($L$5:$L$1517,L984,$B$5:$B$1517,B984,$C$5:$C$1517,"&lt;"&amp;C984),"")</f>
        <v/>
      </c>
      <c r="R984" s="8" t="n">
        <f aca="false">IF(M984&gt;=Models!$G$6,1+COUNTIF($M$5:$M$1517,"&gt;"&amp;M984)+COUNTIFS($M$5:$M$1517,M984,$B$5:$B$1517,"&lt;"&amp;B984)+COUNTIFS($M$5:$M$1517,M984,$B$5:$B$1517,B984,$C$5:$C$1517,"&lt;"&amp;C984),"")</f>
        <v>114</v>
      </c>
      <c r="S984" s="0" t="str">
        <f aca="false">IF(N984&gt;=Models!$G$7,1+COUNTIF($N$5:$N$1517,"&gt;"&amp;N984)+COUNTIFS($N$5:$N$1517,N984,$B$5:$B$1517,"&lt;"&amp;B984)+COUNTIFS($N$5:$N$1517,N984,$B$5:$B$1517,B984,$C$5:$C$1517,"&lt;"&amp;C984),"")</f>
        <v/>
      </c>
      <c r="T984" s="8" t="n">
        <f aca="false">IF(O984&gt;=Models!$G$8,1+COUNTIF($O$5:$O$1517,"&gt;"&amp;O984)+COUNTIFS($O$5:$O$1517,O984,$B$5:$B$1517,"&lt;"&amp;B984)+COUNTIFS($O$5:$O$1517,O984,$B$5:$B$1517,B984,$C$5:$C$1517,"&lt;"&amp;C984),"")</f>
        <v>986</v>
      </c>
      <c r="U984" s="8" t="n">
        <f aca="false">IF($K984=1,COUNTIFS($L$5:$L$1517,"&gt;="&amp;L984,$K$5:$K$1517,1)/COUNTIF($L$5:$L$1517,"&gt;="&amp;L984),0)</f>
        <v>0</v>
      </c>
      <c r="V984" s="8" t="n">
        <f aca="false">IF($K984=1,COUNTIFS($M$5:$M$1517,"&gt;="&amp;M984,$K$5:$K$1517,1)/COUNTIF($M$5:$M$1517,"&gt;="&amp;M984),0)</f>
        <v>0</v>
      </c>
      <c r="W984" s="8" t="n">
        <f aca="false">IF($K984=1,COUNTIFS($N$5:$N$1517,"&gt;="&amp;N984,$K$5:$K$1517,1)/COUNTIF($N$5:$N$1517,"&gt;="&amp;N984),0)</f>
        <v>0</v>
      </c>
      <c r="X984" s="8" t="n">
        <f aca="false">IF($K984=1,COUNTIFS($O$5:$O$1517,"&gt;="&amp;O984,$K$5:$K$1517,1)/COUNTIF($O$5:$O$1517,"&gt;="&amp;O984),0)</f>
        <v>0</v>
      </c>
      <c r="Y984" s="8" t="n">
        <f aca="false">IF($K984=1,COUNTIFS($P$5:$P$1517,"&gt;="&amp;P984,$K$5:$K$1517,1)/COUNTIF($P$5:$P$1517,"&gt;="&amp;P984),0)</f>
        <v>0</v>
      </c>
      <c r="Z984" s="8" t="n">
        <f aca="false">(L984-$K984)^2</f>
        <v>0.113848882225</v>
      </c>
      <c r="AA984" s="8" t="n">
        <f aca="false">(M984-$K984)^2</f>
        <v>0.033933692521</v>
      </c>
      <c r="AB984" s="8" t="n">
        <f aca="false">(N984-$K984)^2</f>
        <v>0.039421705401</v>
      </c>
      <c r="AC984" s="8" t="n">
        <f aca="false">(O984-$K984)^2</f>
        <v>0.011274829489</v>
      </c>
      <c r="AD984" s="8" t="n">
        <f aca="false">(P984-$K984)^2</f>
        <v>0.046387252129</v>
      </c>
      <c r="AE984" s="8" t="n">
        <f aca="false">MIN(INT(ROUND(N984*1000000,0)/100000),9)</f>
        <v>1</v>
      </c>
      <c r="AF984" s="8" t="n">
        <f aca="false">MIN(INT(ROUND(P984*1000000,0)/100000),9)</f>
        <v>2</v>
      </c>
    </row>
    <row r="985" customFormat="false" ht="15" hidden="false" customHeight="false" outlineLevel="0" collapsed="false">
      <c r="A985" s="4" t="n">
        <v>981</v>
      </c>
      <c r="B985" s="4" t="n">
        <v>1226</v>
      </c>
      <c r="C985" s="4" t="n">
        <v>2</v>
      </c>
      <c r="D985" s="11" t="n">
        <v>46113</v>
      </c>
      <c r="E985" s="4" t="s">
        <v>203</v>
      </c>
      <c r="F985" s="4" t="s">
        <v>206</v>
      </c>
      <c r="G985" s="4" t="n">
        <v>7</v>
      </c>
      <c r="H985" s="4" t="n">
        <v>1</v>
      </c>
      <c r="I985" s="4" t="n">
        <v>0</v>
      </c>
      <c r="J985" s="4" t="n">
        <v>288</v>
      </c>
      <c r="K985" s="4" t="n">
        <v>0</v>
      </c>
      <c r="L985" s="12" t="n">
        <v>0.128678</v>
      </c>
      <c r="M985" s="12" t="n">
        <v>0.092063</v>
      </c>
      <c r="N985" s="12" t="n">
        <v>0.091577</v>
      </c>
      <c r="O985" s="12" t="n">
        <v>0.106183</v>
      </c>
      <c r="P985" s="12" t="n">
        <v>0.096675</v>
      </c>
      <c r="Q985" s="0" t="str">
        <f aca="false">IF(L985&gt;=Models!$G$5,1+COUNTIF($L$5:$L$1517,"&gt;"&amp;L985)+COUNTIFS($L$5:$L$1517,L985,$B$5:$B$1517,"&lt;"&amp;B985)+COUNTIFS($L$5:$L$1517,L985,$B$5:$B$1517,B985,$C$5:$C$1517,"&lt;"&amp;C985),"")</f>
        <v/>
      </c>
      <c r="R985" s="0" t="str">
        <f aca="false">IF(M985&gt;=Models!$G$6,1+COUNTIF($M$5:$M$1517,"&gt;"&amp;M985)+COUNTIFS($M$5:$M$1517,M985,$B$5:$B$1517,"&lt;"&amp;B985)+COUNTIFS($M$5:$M$1517,M985,$B$5:$B$1517,B985,$C$5:$C$1517,"&lt;"&amp;C985),"")</f>
        <v/>
      </c>
      <c r="S985" s="0" t="str">
        <f aca="false">IF(N985&gt;=Models!$G$7,1+COUNTIF($N$5:$N$1517,"&gt;"&amp;N985)+COUNTIFS($N$5:$N$1517,N985,$B$5:$B$1517,"&lt;"&amp;B985)+COUNTIFS($N$5:$N$1517,N985,$B$5:$B$1517,B985,$C$5:$C$1517,"&lt;"&amp;C985),"")</f>
        <v/>
      </c>
      <c r="T985" s="8" t="n">
        <f aca="false">IF(O985&gt;=Models!$G$8,1+COUNTIF($O$5:$O$1517,"&gt;"&amp;O985)+COUNTIFS($O$5:$O$1517,O985,$B$5:$B$1517,"&lt;"&amp;B985)+COUNTIFS($O$5:$O$1517,O985,$B$5:$B$1517,B985,$C$5:$C$1517,"&lt;"&amp;C985),"")</f>
        <v>990</v>
      </c>
      <c r="U985" s="8" t="n">
        <f aca="false">IF($K985=1,COUNTIFS($L$5:$L$1517,"&gt;="&amp;L985,$K$5:$K$1517,1)/COUNTIF($L$5:$L$1517,"&gt;="&amp;L985),0)</f>
        <v>0</v>
      </c>
      <c r="V985" s="8" t="n">
        <f aca="false">IF($K985=1,COUNTIFS($M$5:$M$1517,"&gt;="&amp;M985,$K$5:$K$1517,1)/COUNTIF($M$5:$M$1517,"&gt;="&amp;M985),0)</f>
        <v>0</v>
      </c>
      <c r="W985" s="8" t="n">
        <f aca="false">IF($K985=1,COUNTIFS($N$5:$N$1517,"&gt;="&amp;N985,$K$5:$K$1517,1)/COUNTIF($N$5:$N$1517,"&gt;="&amp;N985),0)</f>
        <v>0</v>
      </c>
      <c r="X985" s="8" t="n">
        <f aca="false">IF($K985=1,COUNTIFS($O$5:$O$1517,"&gt;="&amp;O985,$K$5:$K$1517,1)/COUNTIF($O$5:$O$1517,"&gt;="&amp;O985),0)</f>
        <v>0</v>
      </c>
      <c r="Y985" s="8" t="n">
        <f aca="false">IF($K985=1,COUNTIFS($P$5:$P$1517,"&gt;="&amp;P985,$K$5:$K$1517,1)/COUNTIF($P$5:$P$1517,"&gt;="&amp;P985),0)</f>
        <v>0</v>
      </c>
      <c r="Z985" s="8" t="n">
        <f aca="false">(L985-$K985)^2</f>
        <v>0.016558027684</v>
      </c>
      <c r="AA985" s="8" t="n">
        <f aca="false">(M985-$K985)^2</f>
        <v>0.008475595969</v>
      </c>
      <c r="AB985" s="8" t="n">
        <f aca="false">(N985-$K985)^2</f>
        <v>0.008386346929</v>
      </c>
      <c r="AC985" s="8" t="n">
        <f aca="false">(O985-$K985)^2</f>
        <v>0.011274829489</v>
      </c>
      <c r="AD985" s="8" t="n">
        <f aca="false">(P985-$K985)^2</f>
        <v>0.009346055625</v>
      </c>
      <c r="AE985" s="8" t="n">
        <f aca="false">MIN(INT(ROUND(N985*1000000,0)/100000),9)</f>
        <v>0</v>
      </c>
      <c r="AF985" s="8" t="n">
        <f aca="false">MIN(INT(ROUND(P985*1000000,0)/100000),9)</f>
        <v>0</v>
      </c>
    </row>
    <row r="986" customFormat="false" ht="15" hidden="false" customHeight="false" outlineLevel="0" collapsed="false">
      <c r="A986" s="4" t="n">
        <v>982</v>
      </c>
      <c r="B986" s="4" t="n">
        <v>1228</v>
      </c>
      <c r="C986" s="4" t="n">
        <v>2</v>
      </c>
      <c r="D986" s="11" t="n">
        <v>46113</v>
      </c>
      <c r="E986" s="4" t="s">
        <v>202</v>
      </c>
      <c r="F986" s="4" t="s">
        <v>209</v>
      </c>
      <c r="G986" s="4" t="n">
        <v>10</v>
      </c>
      <c r="H986" s="4" t="n">
        <v>8</v>
      </c>
      <c r="I986" s="4" t="n">
        <v>0</v>
      </c>
      <c r="J986" s="4" t="n">
        <v>1155</v>
      </c>
      <c r="K986" s="4" t="n">
        <v>0</v>
      </c>
      <c r="L986" s="12" t="n">
        <v>0.612567</v>
      </c>
      <c r="M986" s="12" t="n">
        <v>0.092063</v>
      </c>
      <c r="N986" s="12" t="n">
        <v>0.071925</v>
      </c>
      <c r="O986" s="12" t="n">
        <v>0.106183</v>
      </c>
      <c r="P986" s="12" t="n">
        <v>0.075146</v>
      </c>
      <c r="Q986" s="0" t="str">
        <f aca="false">IF(L986&gt;=Models!$G$5,1+COUNTIF($L$5:$L$1517,"&gt;"&amp;L986)+COUNTIFS($L$5:$L$1517,L986,$B$5:$B$1517,"&lt;"&amp;B986)+COUNTIFS($L$5:$L$1517,L986,$B$5:$B$1517,B986,$C$5:$C$1517,"&lt;"&amp;C986),"")</f>
        <v/>
      </c>
      <c r="R986" s="0" t="str">
        <f aca="false">IF(M986&gt;=Models!$G$6,1+COUNTIF($M$5:$M$1517,"&gt;"&amp;M986)+COUNTIFS($M$5:$M$1517,M986,$B$5:$B$1517,"&lt;"&amp;B986)+COUNTIFS($M$5:$M$1517,M986,$B$5:$B$1517,B986,$C$5:$C$1517,"&lt;"&amp;C986),"")</f>
        <v/>
      </c>
      <c r="S986" s="0" t="str">
        <f aca="false">IF(N986&gt;=Models!$G$7,1+COUNTIF($N$5:$N$1517,"&gt;"&amp;N986)+COUNTIFS($N$5:$N$1517,N986,$B$5:$B$1517,"&lt;"&amp;B986)+COUNTIFS($N$5:$N$1517,N986,$B$5:$B$1517,B986,$C$5:$C$1517,"&lt;"&amp;C986),"")</f>
        <v/>
      </c>
      <c r="T986" s="8" t="n">
        <f aca="false">IF(O986&gt;=Models!$G$8,1+COUNTIF($O$5:$O$1517,"&gt;"&amp;O986)+COUNTIFS($O$5:$O$1517,O986,$B$5:$B$1517,"&lt;"&amp;B986)+COUNTIFS($O$5:$O$1517,O986,$B$5:$B$1517,B986,$C$5:$C$1517,"&lt;"&amp;C986),"")</f>
        <v>994</v>
      </c>
      <c r="U986" s="8" t="n">
        <f aca="false">IF($K986=1,COUNTIFS($L$5:$L$1517,"&gt;="&amp;L986,$K$5:$K$1517,1)/COUNTIF($L$5:$L$1517,"&gt;="&amp;L986),0)</f>
        <v>0</v>
      </c>
      <c r="V986" s="8" t="n">
        <f aca="false">IF($K986=1,COUNTIFS($M$5:$M$1517,"&gt;="&amp;M986,$K$5:$K$1517,1)/COUNTIF($M$5:$M$1517,"&gt;="&amp;M986),0)</f>
        <v>0</v>
      </c>
      <c r="W986" s="8" t="n">
        <f aca="false">IF($K986=1,COUNTIFS($N$5:$N$1517,"&gt;="&amp;N986,$K$5:$K$1517,1)/COUNTIF($N$5:$N$1517,"&gt;="&amp;N986),0)</f>
        <v>0</v>
      </c>
      <c r="X986" s="8" t="n">
        <f aca="false">IF($K986=1,COUNTIFS($O$5:$O$1517,"&gt;="&amp;O986,$K$5:$K$1517,1)/COUNTIF($O$5:$O$1517,"&gt;="&amp;O986),0)</f>
        <v>0</v>
      </c>
      <c r="Y986" s="8" t="n">
        <f aca="false">IF($K986=1,COUNTIFS($P$5:$P$1517,"&gt;="&amp;P986,$K$5:$K$1517,1)/COUNTIF($P$5:$P$1517,"&gt;="&amp;P986),0)</f>
        <v>0</v>
      </c>
      <c r="Z986" s="8" t="n">
        <f aca="false">(L986-$K986)^2</f>
        <v>0.375238329489</v>
      </c>
      <c r="AA986" s="8" t="n">
        <f aca="false">(M986-$K986)^2</f>
        <v>0.008475595969</v>
      </c>
      <c r="AB986" s="8" t="n">
        <f aca="false">(N986-$K986)^2</f>
        <v>0.005173205625</v>
      </c>
      <c r="AC986" s="8" t="n">
        <f aca="false">(O986-$K986)^2</f>
        <v>0.011274829489</v>
      </c>
      <c r="AD986" s="8" t="n">
        <f aca="false">(P986-$K986)^2</f>
        <v>0.005646921316</v>
      </c>
      <c r="AE986" s="8" t="n">
        <f aca="false">MIN(INT(ROUND(N986*1000000,0)/100000),9)</f>
        <v>0</v>
      </c>
      <c r="AF986" s="8" t="n">
        <f aca="false">MIN(INT(ROUND(P986*1000000,0)/100000),9)</f>
        <v>0</v>
      </c>
    </row>
    <row r="987" customFormat="false" ht="15" hidden="false" customHeight="false" outlineLevel="0" collapsed="false">
      <c r="A987" s="4" t="n">
        <v>983</v>
      </c>
      <c r="B987" s="4" t="n">
        <v>1230</v>
      </c>
      <c r="C987" s="4" t="n">
        <v>2</v>
      </c>
      <c r="D987" s="11" t="n">
        <v>46113</v>
      </c>
      <c r="E987" s="4" t="s">
        <v>202</v>
      </c>
      <c r="F987" s="4" t="s">
        <v>206</v>
      </c>
      <c r="G987" s="4" t="n">
        <v>3</v>
      </c>
      <c r="H987" s="4" t="n">
        <v>10</v>
      </c>
      <c r="I987" s="4" t="n">
        <v>0</v>
      </c>
      <c r="J987" s="4" t="n">
        <v>942</v>
      </c>
      <c r="K987" s="4" t="n">
        <v>0</v>
      </c>
      <c r="L987" s="12" t="n">
        <v>0.591578</v>
      </c>
      <c r="M987" s="12" t="n">
        <v>0.092063</v>
      </c>
      <c r="N987" s="12" t="n">
        <v>0.130246</v>
      </c>
      <c r="O987" s="12" t="n">
        <v>0.106183</v>
      </c>
      <c r="P987" s="12" t="n">
        <v>0.139415</v>
      </c>
      <c r="Q987" s="0" t="str">
        <f aca="false">IF(L987&gt;=Models!$G$5,1+COUNTIF($L$5:$L$1517,"&gt;"&amp;L987)+COUNTIFS($L$5:$L$1517,L987,$B$5:$B$1517,"&lt;"&amp;B987)+COUNTIFS($L$5:$L$1517,L987,$B$5:$B$1517,B987,$C$5:$C$1517,"&lt;"&amp;C987),"")</f>
        <v/>
      </c>
      <c r="R987" s="0" t="str">
        <f aca="false">IF(M987&gt;=Models!$G$6,1+COUNTIF($M$5:$M$1517,"&gt;"&amp;M987)+COUNTIFS($M$5:$M$1517,M987,$B$5:$B$1517,"&lt;"&amp;B987)+COUNTIFS($M$5:$M$1517,M987,$B$5:$B$1517,B987,$C$5:$C$1517,"&lt;"&amp;C987),"")</f>
        <v/>
      </c>
      <c r="S987" s="0" t="str">
        <f aca="false">IF(N987&gt;=Models!$G$7,1+COUNTIF($N$5:$N$1517,"&gt;"&amp;N987)+COUNTIFS($N$5:$N$1517,N987,$B$5:$B$1517,"&lt;"&amp;B987)+COUNTIFS($N$5:$N$1517,N987,$B$5:$B$1517,B987,$C$5:$C$1517,"&lt;"&amp;C987),"")</f>
        <v/>
      </c>
      <c r="T987" s="8" t="n">
        <f aca="false">IF(O987&gt;=Models!$G$8,1+COUNTIF($O$5:$O$1517,"&gt;"&amp;O987)+COUNTIFS($O$5:$O$1517,O987,$B$5:$B$1517,"&lt;"&amp;B987)+COUNTIFS($O$5:$O$1517,O987,$B$5:$B$1517,B987,$C$5:$C$1517,"&lt;"&amp;C987),"")</f>
        <v>998</v>
      </c>
      <c r="U987" s="8" t="n">
        <f aca="false">IF($K987=1,COUNTIFS($L$5:$L$1517,"&gt;="&amp;L987,$K$5:$K$1517,1)/COUNTIF($L$5:$L$1517,"&gt;="&amp;L987),0)</f>
        <v>0</v>
      </c>
      <c r="V987" s="8" t="n">
        <f aca="false">IF($K987=1,COUNTIFS($M$5:$M$1517,"&gt;="&amp;M987,$K$5:$K$1517,1)/COUNTIF($M$5:$M$1517,"&gt;="&amp;M987),0)</f>
        <v>0</v>
      </c>
      <c r="W987" s="8" t="n">
        <f aca="false">IF($K987=1,COUNTIFS($N$5:$N$1517,"&gt;="&amp;N987,$K$5:$K$1517,1)/COUNTIF($N$5:$N$1517,"&gt;="&amp;N987),0)</f>
        <v>0</v>
      </c>
      <c r="X987" s="8" t="n">
        <f aca="false">IF($K987=1,COUNTIFS($O$5:$O$1517,"&gt;="&amp;O987,$K$5:$K$1517,1)/COUNTIF($O$5:$O$1517,"&gt;="&amp;O987),0)</f>
        <v>0</v>
      </c>
      <c r="Y987" s="8" t="n">
        <f aca="false">IF($K987=1,COUNTIFS($P$5:$P$1517,"&gt;="&amp;P987,$K$5:$K$1517,1)/COUNTIF($P$5:$P$1517,"&gt;="&amp;P987),0)</f>
        <v>0</v>
      </c>
      <c r="Z987" s="8" t="n">
        <f aca="false">(L987-$K987)^2</f>
        <v>0.349964530084</v>
      </c>
      <c r="AA987" s="8" t="n">
        <f aca="false">(M987-$K987)^2</f>
        <v>0.008475595969</v>
      </c>
      <c r="AB987" s="8" t="n">
        <f aca="false">(N987-$K987)^2</f>
        <v>0.016964020516</v>
      </c>
      <c r="AC987" s="8" t="n">
        <f aca="false">(O987-$K987)^2</f>
        <v>0.011274829489</v>
      </c>
      <c r="AD987" s="8" t="n">
        <f aca="false">(P987-$K987)^2</f>
        <v>0.019436542225</v>
      </c>
      <c r="AE987" s="8" t="n">
        <f aca="false">MIN(INT(ROUND(N987*1000000,0)/100000),9)</f>
        <v>1</v>
      </c>
      <c r="AF987" s="8" t="n">
        <f aca="false">MIN(INT(ROUND(P987*1000000,0)/100000),9)</f>
        <v>1</v>
      </c>
    </row>
    <row r="988" customFormat="false" ht="15" hidden="false" customHeight="false" outlineLevel="0" collapsed="false">
      <c r="A988" s="4" t="n">
        <v>984</v>
      </c>
      <c r="B988" s="4" t="n">
        <v>1232</v>
      </c>
      <c r="C988" s="4" t="n">
        <v>2</v>
      </c>
      <c r="D988" s="11" t="n">
        <v>46113</v>
      </c>
      <c r="E988" s="4" t="s">
        <v>202</v>
      </c>
      <c r="F988" s="4" t="s">
        <v>206</v>
      </c>
      <c r="G988" s="4" t="n">
        <v>6</v>
      </c>
      <c r="H988" s="4" t="n">
        <v>8</v>
      </c>
      <c r="I988" s="4" t="n">
        <v>1</v>
      </c>
      <c r="J988" s="4" t="n">
        <v>1728</v>
      </c>
      <c r="K988" s="4" t="n">
        <v>0</v>
      </c>
      <c r="L988" s="12" t="n">
        <v>0.201431</v>
      </c>
      <c r="M988" s="12" t="n">
        <v>0.184211</v>
      </c>
      <c r="N988" s="12" t="n">
        <v>0.16318</v>
      </c>
      <c r="O988" s="12" t="n">
        <v>0.106183</v>
      </c>
      <c r="P988" s="12" t="n">
        <v>0.176017</v>
      </c>
      <c r="Q988" s="0" t="str">
        <f aca="false">IF(L988&gt;=Models!$G$5,1+COUNTIF($L$5:$L$1517,"&gt;"&amp;L988)+COUNTIFS($L$5:$L$1517,L988,$B$5:$B$1517,"&lt;"&amp;B988)+COUNTIFS($L$5:$L$1517,L988,$B$5:$B$1517,B988,$C$5:$C$1517,"&lt;"&amp;C988),"")</f>
        <v/>
      </c>
      <c r="R988" s="8" t="n">
        <f aca="false">IF(M988&gt;=Models!$G$6,1+COUNTIF($M$5:$M$1517,"&gt;"&amp;M988)+COUNTIFS($M$5:$M$1517,M988,$B$5:$B$1517,"&lt;"&amp;B988)+COUNTIFS($M$5:$M$1517,M988,$B$5:$B$1517,B988,$C$5:$C$1517,"&lt;"&amp;C988),"")</f>
        <v>118</v>
      </c>
      <c r="S988" s="0" t="str">
        <f aca="false">IF(N988&gt;=Models!$G$7,1+COUNTIF($N$5:$N$1517,"&gt;"&amp;N988)+COUNTIFS($N$5:$N$1517,N988,$B$5:$B$1517,"&lt;"&amp;B988)+COUNTIFS($N$5:$N$1517,N988,$B$5:$B$1517,B988,$C$5:$C$1517,"&lt;"&amp;C988),"")</f>
        <v/>
      </c>
      <c r="T988" s="8" t="n">
        <f aca="false">IF(O988&gt;=Models!$G$8,1+COUNTIF($O$5:$O$1517,"&gt;"&amp;O988)+COUNTIFS($O$5:$O$1517,O988,$B$5:$B$1517,"&lt;"&amp;B988)+COUNTIFS($O$5:$O$1517,O988,$B$5:$B$1517,B988,$C$5:$C$1517,"&lt;"&amp;C988),"")</f>
        <v>1002</v>
      </c>
      <c r="U988" s="8" t="n">
        <f aca="false">IF($K988=1,COUNTIFS($L$5:$L$1517,"&gt;="&amp;L988,$K$5:$K$1517,1)/COUNTIF($L$5:$L$1517,"&gt;="&amp;L988),0)</f>
        <v>0</v>
      </c>
      <c r="V988" s="8" t="n">
        <f aca="false">IF($K988=1,COUNTIFS($M$5:$M$1517,"&gt;="&amp;M988,$K$5:$K$1517,1)/COUNTIF($M$5:$M$1517,"&gt;="&amp;M988),0)</f>
        <v>0</v>
      </c>
      <c r="W988" s="8" t="n">
        <f aca="false">IF($K988=1,COUNTIFS($N$5:$N$1517,"&gt;="&amp;N988,$K$5:$K$1517,1)/COUNTIF($N$5:$N$1517,"&gt;="&amp;N988),0)</f>
        <v>0</v>
      </c>
      <c r="X988" s="8" t="n">
        <f aca="false">IF($K988=1,COUNTIFS($O$5:$O$1517,"&gt;="&amp;O988,$K$5:$K$1517,1)/COUNTIF($O$5:$O$1517,"&gt;="&amp;O988),0)</f>
        <v>0</v>
      </c>
      <c r="Y988" s="8" t="n">
        <f aca="false">IF($K988=1,COUNTIFS($P$5:$P$1517,"&gt;="&amp;P988,$K$5:$K$1517,1)/COUNTIF($P$5:$P$1517,"&gt;="&amp;P988),0)</f>
        <v>0</v>
      </c>
      <c r="Z988" s="8" t="n">
        <f aca="false">(L988-$K988)^2</f>
        <v>0.040574447761</v>
      </c>
      <c r="AA988" s="8" t="n">
        <f aca="false">(M988-$K988)^2</f>
        <v>0.033933692521</v>
      </c>
      <c r="AB988" s="8" t="n">
        <f aca="false">(N988-$K988)^2</f>
        <v>0.0266277124</v>
      </c>
      <c r="AC988" s="8" t="n">
        <f aca="false">(O988-$K988)^2</f>
        <v>0.011274829489</v>
      </c>
      <c r="AD988" s="8" t="n">
        <f aca="false">(P988-$K988)^2</f>
        <v>0.030981984289</v>
      </c>
      <c r="AE988" s="8" t="n">
        <f aca="false">MIN(INT(ROUND(N988*1000000,0)/100000),9)</f>
        <v>1</v>
      </c>
      <c r="AF988" s="8" t="n">
        <f aca="false">MIN(INT(ROUND(P988*1000000,0)/100000),9)</f>
        <v>1</v>
      </c>
    </row>
    <row r="989" customFormat="false" ht="15" hidden="false" customHeight="false" outlineLevel="0" collapsed="false">
      <c r="A989" s="4" t="n">
        <v>985</v>
      </c>
      <c r="B989" s="4" t="n">
        <v>1246</v>
      </c>
      <c r="C989" s="4" t="n">
        <v>2</v>
      </c>
      <c r="D989" s="11" t="n">
        <v>46113</v>
      </c>
      <c r="E989" s="4" t="s">
        <v>203</v>
      </c>
      <c r="F989" s="4" t="s">
        <v>207</v>
      </c>
      <c r="G989" s="4" t="n">
        <v>5</v>
      </c>
      <c r="H989" s="4" t="n">
        <v>1</v>
      </c>
      <c r="I989" s="4" t="n">
        <v>0</v>
      </c>
      <c r="J989" s="4"/>
      <c r="K989" s="4" t="n">
        <v>0</v>
      </c>
      <c r="L989" s="12" t="n">
        <v>0.613901</v>
      </c>
      <c r="M989" s="12" t="n">
        <v>0.092063</v>
      </c>
      <c r="N989" s="12" t="n">
        <v>0.054445</v>
      </c>
      <c r="O989" s="12" t="n">
        <v>0.106183</v>
      </c>
      <c r="P989" s="12" t="n">
        <v>0.056178</v>
      </c>
      <c r="Q989" s="0" t="str">
        <f aca="false">IF(L989&gt;=Models!$G$5,1+COUNTIF($L$5:$L$1517,"&gt;"&amp;L989)+COUNTIFS($L$5:$L$1517,L989,$B$5:$B$1517,"&lt;"&amp;B989)+COUNTIFS($L$5:$L$1517,L989,$B$5:$B$1517,B989,$C$5:$C$1517,"&lt;"&amp;C989),"")</f>
        <v/>
      </c>
      <c r="R989" s="0" t="str">
        <f aca="false">IF(M989&gt;=Models!$G$6,1+COUNTIF($M$5:$M$1517,"&gt;"&amp;M989)+COUNTIFS($M$5:$M$1517,M989,$B$5:$B$1517,"&lt;"&amp;B989)+COUNTIFS($M$5:$M$1517,M989,$B$5:$B$1517,B989,$C$5:$C$1517,"&lt;"&amp;C989),"")</f>
        <v/>
      </c>
      <c r="S989" s="0" t="str">
        <f aca="false">IF(N989&gt;=Models!$G$7,1+COUNTIF($N$5:$N$1517,"&gt;"&amp;N989)+COUNTIFS($N$5:$N$1517,N989,$B$5:$B$1517,"&lt;"&amp;B989)+COUNTIFS($N$5:$N$1517,N989,$B$5:$B$1517,B989,$C$5:$C$1517,"&lt;"&amp;C989),"")</f>
        <v/>
      </c>
      <c r="T989" s="8" t="n">
        <f aca="false">IF(O989&gt;=Models!$G$8,1+COUNTIF($O$5:$O$1517,"&gt;"&amp;O989)+COUNTIFS($O$5:$O$1517,O989,$B$5:$B$1517,"&lt;"&amp;B989)+COUNTIFS($O$5:$O$1517,O989,$B$5:$B$1517,B989,$C$5:$C$1517,"&lt;"&amp;C989),"")</f>
        <v>1009</v>
      </c>
      <c r="U989" s="8" t="n">
        <f aca="false">IF($K989=1,COUNTIFS($L$5:$L$1517,"&gt;="&amp;L989,$K$5:$K$1517,1)/COUNTIF($L$5:$L$1517,"&gt;="&amp;L989),0)</f>
        <v>0</v>
      </c>
      <c r="V989" s="8" t="n">
        <f aca="false">IF($K989=1,COUNTIFS($M$5:$M$1517,"&gt;="&amp;M989,$K$5:$K$1517,1)/COUNTIF($M$5:$M$1517,"&gt;="&amp;M989),0)</f>
        <v>0</v>
      </c>
      <c r="W989" s="8" t="n">
        <f aca="false">IF($K989=1,COUNTIFS($N$5:$N$1517,"&gt;="&amp;N989,$K$5:$K$1517,1)/COUNTIF($N$5:$N$1517,"&gt;="&amp;N989),0)</f>
        <v>0</v>
      </c>
      <c r="X989" s="8" t="n">
        <f aca="false">IF($K989=1,COUNTIFS($O$5:$O$1517,"&gt;="&amp;O989,$K$5:$K$1517,1)/COUNTIF($O$5:$O$1517,"&gt;="&amp;O989),0)</f>
        <v>0</v>
      </c>
      <c r="Y989" s="8" t="n">
        <f aca="false">IF($K989=1,COUNTIFS($P$5:$P$1517,"&gt;="&amp;P989,$K$5:$K$1517,1)/COUNTIF($P$5:$P$1517,"&gt;="&amp;P989),0)</f>
        <v>0</v>
      </c>
      <c r="Z989" s="8" t="n">
        <f aca="false">(L989-$K989)^2</f>
        <v>0.376874437801</v>
      </c>
      <c r="AA989" s="8" t="n">
        <f aca="false">(M989-$K989)^2</f>
        <v>0.008475595969</v>
      </c>
      <c r="AB989" s="8" t="n">
        <f aca="false">(N989-$K989)^2</f>
        <v>0.002964258025</v>
      </c>
      <c r="AC989" s="8" t="n">
        <f aca="false">(O989-$K989)^2</f>
        <v>0.011274829489</v>
      </c>
      <c r="AD989" s="8" t="n">
        <f aca="false">(P989-$K989)^2</f>
        <v>0.003155967684</v>
      </c>
      <c r="AE989" s="8" t="n">
        <f aca="false">MIN(INT(ROUND(N989*1000000,0)/100000),9)</f>
        <v>0</v>
      </c>
      <c r="AF989" s="8" t="n">
        <f aca="false">MIN(INT(ROUND(P989*1000000,0)/100000),9)</f>
        <v>0</v>
      </c>
    </row>
    <row r="990" customFormat="false" ht="15" hidden="false" customHeight="false" outlineLevel="0" collapsed="false">
      <c r="A990" s="4" t="n">
        <v>986</v>
      </c>
      <c r="B990" s="4" t="n">
        <v>1247</v>
      </c>
      <c r="C990" s="4" t="n">
        <v>2</v>
      </c>
      <c r="D990" s="11" t="n">
        <v>46113</v>
      </c>
      <c r="E990" s="4" t="s">
        <v>203</v>
      </c>
      <c r="F990" s="4" t="s">
        <v>207</v>
      </c>
      <c r="G990" s="4" t="n">
        <v>8</v>
      </c>
      <c r="H990" s="4" t="n">
        <v>3</v>
      </c>
      <c r="I990" s="4" t="n">
        <v>0</v>
      </c>
      <c r="J990" s="4"/>
      <c r="K990" s="4" t="n">
        <v>0</v>
      </c>
      <c r="L990" s="12" t="n">
        <v>0.41577</v>
      </c>
      <c r="M990" s="12" t="n">
        <v>0.092063</v>
      </c>
      <c r="N990" s="12" t="n">
        <v>0.042772</v>
      </c>
      <c r="O990" s="12" t="n">
        <v>0.106183</v>
      </c>
      <c r="P990" s="12" t="n">
        <v>0.043644</v>
      </c>
      <c r="Q990" s="0" t="str">
        <f aca="false">IF(L990&gt;=Models!$G$5,1+COUNTIF($L$5:$L$1517,"&gt;"&amp;L990)+COUNTIFS($L$5:$L$1517,L990,$B$5:$B$1517,"&lt;"&amp;B990)+COUNTIFS($L$5:$L$1517,L990,$B$5:$B$1517,B990,$C$5:$C$1517,"&lt;"&amp;C990),"")</f>
        <v/>
      </c>
      <c r="R990" s="0" t="str">
        <f aca="false">IF(M990&gt;=Models!$G$6,1+COUNTIF($M$5:$M$1517,"&gt;"&amp;M990)+COUNTIFS($M$5:$M$1517,M990,$B$5:$B$1517,"&lt;"&amp;B990)+COUNTIFS($M$5:$M$1517,M990,$B$5:$B$1517,B990,$C$5:$C$1517,"&lt;"&amp;C990),"")</f>
        <v/>
      </c>
      <c r="S990" s="0" t="str">
        <f aca="false">IF(N990&gt;=Models!$G$7,1+COUNTIF($N$5:$N$1517,"&gt;"&amp;N990)+COUNTIFS($N$5:$N$1517,N990,$B$5:$B$1517,"&lt;"&amp;B990)+COUNTIFS($N$5:$N$1517,N990,$B$5:$B$1517,B990,$C$5:$C$1517,"&lt;"&amp;C990),"")</f>
        <v/>
      </c>
      <c r="T990" s="8" t="n">
        <f aca="false">IF(O990&gt;=Models!$G$8,1+COUNTIF($O$5:$O$1517,"&gt;"&amp;O990)+COUNTIFS($O$5:$O$1517,O990,$B$5:$B$1517,"&lt;"&amp;B990)+COUNTIFS($O$5:$O$1517,O990,$B$5:$B$1517,B990,$C$5:$C$1517,"&lt;"&amp;C990),"")</f>
        <v>1013</v>
      </c>
      <c r="U990" s="8" t="n">
        <f aca="false">IF($K990=1,COUNTIFS($L$5:$L$1517,"&gt;="&amp;L990,$K$5:$K$1517,1)/COUNTIF($L$5:$L$1517,"&gt;="&amp;L990),0)</f>
        <v>0</v>
      </c>
      <c r="V990" s="8" t="n">
        <f aca="false">IF($K990=1,COUNTIFS($M$5:$M$1517,"&gt;="&amp;M990,$K$5:$K$1517,1)/COUNTIF($M$5:$M$1517,"&gt;="&amp;M990),0)</f>
        <v>0</v>
      </c>
      <c r="W990" s="8" t="n">
        <f aca="false">IF($K990=1,COUNTIFS($N$5:$N$1517,"&gt;="&amp;N990,$K$5:$K$1517,1)/COUNTIF($N$5:$N$1517,"&gt;="&amp;N990),0)</f>
        <v>0</v>
      </c>
      <c r="X990" s="8" t="n">
        <f aca="false">IF($K990=1,COUNTIFS($O$5:$O$1517,"&gt;="&amp;O990,$K$5:$K$1517,1)/COUNTIF($O$5:$O$1517,"&gt;="&amp;O990),0)</f>
        <v>0</v>
      </c>
      <c r="Y990" s="8" t="n">
        <f aca="false">IF($K990=1,COUNTIFS($P$5:$P$1517,"&gt;="&amp;P990,$K$5:$K$1517,1)/COUNTIF($P$5:$P$1517,"&gt;="&amp;P990),0)</f>
        <v>0</v>
      </c>
      <c r="Z990" s="8" t="n">
        <f aca="false">(L990-$K990)^2</f>
        <v>0.1728646929</v>
      </c>
      <c r="AA990" s="8" t="n">
        <f aca="false">(M990-$K990)^2</f>
        <v>0.008475595969</v>
      </c>
      <c r="AB990" s="8" t="n">
        <f aca="false">(N990-$K990)^2</f>
        <v>0.001829443984</v>
      </c>
      <c r="AC990" s="8" t="n">
        <f aca="false">(O990-$K990)^2</f>
        <v>0.011274829489</v>
      </c>
      <c r="AD990" s="8" t="n">
        <f aca="false">(P990-$K990)^2</f>
        <v>0.001904798736</v>
      </c>
      <c r="AE990" s="8" t="n">
        <f aca="false">MIN(INT(ROUND(N990*1000000,0)/100000),9)</f>
        <v>0</v>
      </c>
      <c r="AF990" s="8" t="n">
        <f aca="false">MIN(INT(ROUND(P990*1000000,0)/100000),9)</f>
        <v>0</v>
      </c>
    </row>
    <row r="991" customFormat="false" ht="15" hidden="false" customHeight="false" outlineLevel="0" collapsed="false">
      <c r="A991" s="4" t="n">
        <v>987</v>
      </c>
      <c r="B991" s="4" t="n">
        <v>1249</v>
      </c>
      <c r="C991" s="4" t="n">
        <v>2</v>
      </c>
      <c r="D991" s="11" t="n">
        <v>46113</v>
      </c>
      <c r="E991" s="4" t="s">
        <v>201</v>
      </c>
      <c r="F991" s="4" t="s">
        <v>209</v>
      </c>
      <c r="G991" s="4" t="n">
        <v>7</v>
      </c>
      <c r="H991" s="4" t="n">
        <v>3</v>
      </c>
      <c r="I991" s="4" t="n">
        <v>2</v>
      </c>
      <c r="J991" s="4"/>
      <c r="K991" s="4" t="n">
        <v>0</v>
      </c>
      <c r="L991" s="12" t="n">
        <v>0.314997</v>
      </c>
      <c r="M991" s="12" t="n">
        <v>0.184211</v>
      </c>
      <c r="N991" s="12" t="n">
        <v>0.138704</v>
      </c>
      <c r="O991" s="12" t="n">
        <v>0.106183</v>
      </c>
      <c r="P991" s="12" t="n">
        <v>0.148804</v>
      </c>
      <c r="Q991" s="0" t="str">
        <f aca="false">IF(L991&gt;=Models!$G$5,1+COUNTIF($L$5:$L$1517,"&gt;"&amp;L991)+COUNTIFS($L$5:$L$1517,L991,$B$5:$B$1517,"&lt;"&amp;B991)+COUNTIFS($L$5:$L$1517,L991,$B$5:$B$1517,B991,$C$5:$C$1517,"&lt;"&amp;C991),"")</f>
        <v/>
      </c>
      <c r="R991" s="8" t="n">
        <f aca="false">IF(M991&gt;=Models!$G$6,1+COUNTIF($M$5:$M$1517,"&gt;"&amp;M991)+COUNTIFS($M$5:$M$1517,M991,$B$5:$B$1517,"&lt;"&amp;B991)+COUNTIFS($M$5:$M$1517,M991,$B$5:$B$1517,B991,$C$5:$C$1517,"&lt;"&amp;C991),"")</f>
        <v>120</v>
      </c>
      <c r="S991" s="0" t="str">
        <f aca="false">IF(N991&gt;=Models!$G$7,1+COUNTIF($N$5:$N$1517,"&gt;"&amp;N991)+COUNTIFS($N$5:$N$1517,N991,$B$5:$B$1517,"&lt;"&amp;B991)+COUNTIFS($N$5:$N$1517,N991,$B$5:$B$1517,B991,$C$5:$C$1517,"&lt;"&amp;C991),"")</f>
        <v/>
      </c>
      <c r="T991" s="8" t="n">
        <f aca="false">IF(O991&gt;=Models!$G$8,1+COUNTIF($O$5:$O$1517,"&gt;"&amp;O991)+COUNTIFS($O$5:$O$1517,O991,$B$5:$B$1517,"&lt;"&amp;B991)+COUNTIFS($O$5:$O$1517,O991,$B$5:$B$1517,B991,$C$5:$C$1517,"&lt;"&amp;C991),"")</f>
        <v>1017</v>
      </c>
      <c r="U991" s="8" t="n">
        <f aca="false">IF($K991=1,COUNTIFS($L$5:$L$1517,"&gt;="&amp;L991,$K$5:$K$1517,1)/COUNTIF($L$5:$L$1517,"&gt;="&amp;L991),0)</f>
        <v>0</v>
      </c>
      <c r="V991" s="8" t="n">
        <f aca="false">IF($K991=1,COUNTIFS($M$5:$M$1517,"&gt;="&amp;M991,$K$5:$K$1517,1)/COUNTIF($M$5:$M$1517,"&gt;="&amp;M991),0)</f>
        <v>0</v>
      </c>
      <c r="W991" s="8" t="n">
        <f aca="false">IF($K991=1,COUNTIFS($N$5:$N$1517,"&gt;="&amp;N991,$K$5:$K$1517,1)/COUNTIF($N$5:$N$1517,"&gt;="&amp;N991),0)</f>
        <v>0</v>
      </c>
      <c r="X991" s="8" t="n">
        <f aca="false">IF($K991=1,COUNTIFS($O$5:$O$1517,"&gt;="&amp;O991,$K$5:$K$1517,1)/COUNTIF($O$5:$O$1517,"&gt;="&amp;O991),0)</f>
        <v>0</v>
      </c>
      <c r="Y991" s="8" t="n">
        <f aca="false">IF($K991=1,COUNTIFS($P$5:$P$1517,"&gt;="&amp;P991,$K$5:$K$1517,1)/COUNTIF($P$5:$P$1517,"&gt;="&amp;P991),0)</f>
        <v>0</v>
      </c>
      <c r="Z991" s="8" t="n">
        <f aca="false">(L991-$K991)^2</f>
        <v>0.099223110009</v>
      </c>
      <c r="AA991" s="8" t="n">
        <f aca="false">(M991-$K991)^2</f>
        <v>0.033933692521</v>
      </c>
      <c r="AB991" s="8" t="n">
        <f aca="false">(N991-$K991)^2</f>
        <v>0.019238799616</v>
      </c>
      <c r="AC991" s="8" t="n">
        <f aca="false">(O991-$K991)^2</f>
        <v>0.011274829489</v>
      </c>
      <c r="AD991" s="8" t="n">
        <f aca="false">(P991-$K991)^2</f>
        <v>0.022142630416</v>
      </c>
      <c r="AE991" s="8" t="n">
        <f aca="false">MIN(INT(ROUND(N991*1000000,0)/100000),9)</f>
        <v>1</v>
      </c>
      <c r="AF991" s="8" t="n">
        <f aca="false">MIN(INT(ROUND(P991*1000000,0)/100000),9)</f>
        <v>1</v>
      </c>
    </row>
    <row r="992" customFormat="false" ht="15" hidden="false" customHeight="false" outlineLevel="0" collapsed="false">
      <c r="A992" s="4" t="n">
        <v>988</v>
      </c>
      <c r="B992" s="4" t="n">
        <v>1256</v>
      </c>
      <c r="C992" s="4" t="n">
        <v>2</v>
      </c>
      <c r="D992" s="11" t="n">
        <v>46113</v>
      </c>
      <c r="E992" s="4" t="s">
        <v>201</v>
      </c>
      <c r="F992" s="4" t="s">
        <v>206</v>
      </c>
      <c r="G992" s="4" t="n">
        <v>13</v>
      </c>
      <c r="H992" s="4" t="n">
        <v>3</v>
      </c>
      <c r="I992" s="4" t="n">
        <v>2</v>
      </c>
      <c r="J992" s="4"/>
      <c r="K992" s="4" t="n">
        <v>0</v>
      </c>
      <c r="L992" s="12" t="n">
        <v>0.444967</v>
      </c>
      <c r="M992" s="12" t="n">
        <v>0.184211</v>
      </c>
      <c r="N992" s="12" t="n">
        <v>0.085799</v>
      </c>
      <c r="O992" s="12" t="n">
        <v>0.106183</v>
      </c>
      <c r="P992" s="12" t="n">
        <v>0.090327</v>
      </c>
      <c r="Q992" s="0" t="str">
        <f aca="false">IF(L992&gt;=Models!$G$5,1+COUNTIF($L$5:$L$1517,"&gt;"&amp;L992)+COUNTIFS($L$5:$L$1517,L992,$B$5:$B$1517,"&lt;"&amp;B992)+COUNTIFS($L$5:$L$1517,L992,$B$5:$B$1517,B992,$C$5:$C$1517,"&lt;"&amp;C992),"")</f>
        <v/>
      </c>
      <c r="R992" s="8" t="n">
        <f aca="false">IF(M992&gt;=Models!$G$6,1+COUNTIF($M$5:$M$1517,"&gt;"&amp;M992)+COUNTIFS($M$5:$M$1517,M992,$B$5:$B$1517,"&lt;"&amp;B992)+COUNTIFS($M$5:$M$1517,M992,$B$5:$B$1517,B992,$C$5:$C$1517,"&lt;"&amp;C992),"")</f>
        <v>124</v>
      </c>
      <c r="S992" s="0" t="str">
        <f aca="false">IF(N992&gt;=Models!$G$7,1+COUNTIF($N$5:$N$1517,"&gt;"&amp;N992)+COUNTIFS($N$5:$N$1517,N992,$B$5:$B$1517,"&lt;"&amp;B992)+COUNTIFS($N$5:$N$1517,N992,$B$5:$B$1517,B992,$C$5:$C$1517,"&lt;"&amp;C992),"")</f>
        <v/>
      </c>
      <c r="T992" s="8" t="n">
        <f aca="false">IF(O992&gt;=Models!$G$8,1+COUNTIF($O$5:$O$1517,"&gt;"&amp;O992)+COUNTIFS($O$5:$O$1517,O992,$B$5:$B$1517,"&lt;"&amp;B992)+COUNTIFS($O$5:$O$1517,O992,$B$5:$B$1517,B992,$C$5:$C$1517,"&lt;"&amp;C992),"")</f>
        <v>1021</v>
      </c>
      <c r="U992" s="8" t="n">
        <f aca="false">IF($K992=1,COUNTIFS($L$5:$L$1517,"&gt;="&amp;L992,$K$5:$K$1517,1)/COUNTIF($L$5:$L$1517,"&gt;="&amp;L992),0)</f>
        <v>0</v>
      </c>
      <c r="V992" s="8" t="n">
        <f aca="false">IF($K992=1,COUNTIFS($M$5:$M$1517,"&gt;="&amp;M992,$K$5:$K$1517,1)/COUNTIF($M$5:$M$1517,"&gt;="&amp;M992),0)</f>
        <v>0</v>
      </c>
      <c r="W992" s="8" t="n">
        <f aca="false">IF($K992=1,COUNTIFS($N$5:$N$1517,"&gt;="&amp;N992,$K$5:$K$1517,1)/COUNTIF($N$5:$N$1517,"&gt;="&amp;N992),0)</f>
        <v>0</v>
      </c>
      <c r="X992" s="8" t="n">
        <f aca="false">IF($K992=1,COUNTIFS($O$5:$O$1517,"&gt;="&amp;O992,$K$5:$K$1517,1)/COUNTIF($O$5:$O$1517,"&gt;="&amp;O992),0)</f>
        <v>0</v>
      </c>
      <c r="Y992" s="8" t="n">
        <f aca="false">IF($K992=1,COUNTIFS($P$5:$P$1517,"&gt;="&amp;P992,$K$5:$K$1517,1)/COUNTIF($P$5:$P$1517,"&gt;="&amp;P992),0)</f>
        <v>0</v>
      </c>
      <c r="Z992" s="8" t="n">
        <f aca="false">(L992-$K992)^2</f>
        <v>0.197995631089</v>
      </c>
      <c r="AA992" s="8" t="n">
        <f aca="false">(M992-$K992)^2</f>
        <v>0.033933692521</v>
      </c>
      <c r="AB992" s="8" t="n">
        <f aca="false">(N992-$K992)^2</f>
        <v>0.007361468401</v>
      </c>
      <c r="AC992" s="8" t="n">
        <f aca="false">(O992-$K992)^2</f>
        <v>0.011274829489</v>
      </c>
      <c r="AD992" s="8" t="n">
        <f aca="false">(P992-$K992)^2</f>
        <v>0.008158966929</v>
      </c>
      <c r="AE992" s="8" t="n">
        <f aca="false">MIN(INT(ROUND(N992*1000000,0)/100000),9)</f>
        <v>0</v>
      </c>
      <c r="AF992" s="8" t="n">
        <f aca="false">MIN(INT(ROUND(P992*1000000,0)/100000),9)</f>
        <v>0</v>
      </c>
    </row>
    <row r="993" customFormat="false" ht="15" hidden="false" customHeight="false" outlineLevel="0" collapsed="false">
      <c r="A993" s="4" t="n">
        <v>989</v>
      </c>
      <c r="B993" s="4" t="n">
        <v>1262</v>
      </c>
      <c r="C993" s="4" t="n">
        <v>2</v>
      </c>
      <c r="D993" s="11" t="n">
        <v>46113</v>
      </c>
      <c r="E993" s="4" t="s">
        <v>201</v>
      </c>
      <c r="F993" s="4" t="s">
        <v>207</v>
      </c>
      <c r="G993" s="4" t="n">
        <v>11</v>
      </c>
      <c r="H993" s="4" t="n">
        <v>0</v>
      </c>
      <c r="I993" s="4" t="n">
        <v>0</v>
      </c>
      <c r="J993" s="4" t="n">
        <v>6618</v>
      </c>
      <c r="K993" s="4" t="n">
        <v>0</v>
      </c>
      <c r="L993" s="12" t="n">
        <v>0.797933</v>
      </c>
      <c r="M993" s="12" t="n">
        <v>0.092063</v>
      </c>
      <c r="N993" s="12" t="n">
        <v>0.046077</v>
      </c>
      <c r="O993" s="12" t="n">
        <v>0.106183</v>
      </c>
      <c r="P993" s="12" t="n">
        <v>0.047179</v>
      </c>
      <c r="Q993" s="0" t="str">
        <f aca="false">IF(L993&gt;=Models!$G$5,1+COUNTIF($L$5:$L$1517,"&gt;"&amp;L993)+COUNTIFS($L$5:$L$1517,L993,$B$5:$B$1517,"&lt;"&amp;B993)+COUNTIFS($L$5:$L$1517,L993,$B$5:$B$1517,B993,$C$5:$C$1517,"&lt;"&amp;C993),"")</f>
        <v/>
      </c>
      <c r="R993" s="0" t="str">
        <f aca="false">IF(M993&gt;=Models!$G$6,1+COUNTIF($M$5:$M$1517,"&gt;"&amp;M993)+COUNTIFS($M$5:$M$1517,M993,$B$5:$B$1517,"&lt;"&amp;B993)+COUNTIFS($M$5:$M$1517,M993,$B$5:$B$1517,B993,$C$5:$C$1517,"&lt;"&amp;C993),"")</f>
        <v/>
      </c>
      <c r="S993" s="0" t="str">
        <f aca="false">IF(N993&gt;=Models!$G$7,1+COUNTIF($N$5:$N$1517,"&gt;"&amp;N993)+COUNTIFS($N$5:$N$1517,N993,$B$5:$B$1517,"&lt;"&amp;B993)+COUNTIFS($N$5:$N$1517,N993,$B$5:$B$1517,B993,$C$5:$C$1517,"&lt;"&amp;C993),"")</f>
        <v/>
      </c>
      <c r="T993" s="8" t="n">
        <f aca="false">IF(O993&gt;=Models!$G$8,1+COUNTIF($O$5:$O$1517,"&gt;"&amp;O993)+COUNTIFS($O$5:$O$1517,O993,$B$5:$B$1517,"&lt;"&amp;B993)+COUNTIFS($O$5:$O$1517,O993,$B$5:$B$1517,B993,$C$5:$C$1517,"&lt;"&amp;C993),"")</f>
        <v>1025</v>
      </c>
      <c r="U993" s="8" t="n">
        <f aca="false">IF($K993=1,COUNTIFS($L$5:$L$1517,"&gt;="&amp;L993,$K$5:$K$1517,1)/COUNTIF($L$5:$L$1517,"&gt;="&amp;L993),0)</f>
        <v>0</v>
      </c>
      <c r="V993" s="8" t="n">
        <f aca="false">IF($K993=1,COUNTIFS($M$5:$M$1517,"&gt;="&amp;M993,$K$5:$K$1517,1)/COUNTIF($M$5:$M$1517,"&gt;="&amp;M993),0)</f>
        <v>0</v>
      </c>
      <c r="W993" s="8" t="n">
        <f aca="false">IF($K993=1,COUNTIFS($N$5:$N$1517,"&gt;="&amp;N993,$K$5:$K$1517,1)/COUNTIF($N$5:$N$1517,"&gt;="&amp;N993),0)</f>
        <v>0</v>
      </c>
      <c r="X993" s="8" t="n">
        <f aca="false">IF($K993=1,COUNTIFS($O$5:$O$1517,"&gt;="&amp;O993,$K$5:$K$1517,1)/COUNTIF($O$5:$O$1517,"&gt;="&amp;O993),0)</f>
        <v>0</v>
      </c>
      <c r="Y993" s="8" t="n">
        <f aca="false">IF($K993=1,COUNTIFS($P$5:$P$1517,"&gt;="&amp;P993,$K$5:$K$1517,1)/COUNTIF($P$5:$P$1517,"&gt;="&amp;P993),0)</f>
        <v>0</v>
      </c>
      <c r="Z993" s="8" t="n">
        <f aca="false">(L993-$K993)^2</f>
        <v>0.636697072489</v>
      </c>
      <c r="AA993" s="8" t="n">
        <f aca="false">(M993-$K993)^2</f>
        <v>0.008475595969</v>
      </c>
      <c r="AB993" s="8" t="n">
        <f aca="false">(N993-$K993)^2</f>
        <v>0.002123089929</v>
      </c>
      <c r="AC993" s="8" t="n">
        <f aca="false">(O993-$K993)^2</f>
        <v>0.011274829489</v>
      </c>
      <c r="AD993" s="8" t="n">
        <f aca="false">(P993-$K993)^2</f>
        <v>0.002225858041</v>
      </c>
      <c r="AE993" s="8" t="n">
        <f aca="false">MIN(INT(ROUND(N993*1000000,0)/100000),9)</f>
        <v>0</v>
      </c>
      <c r="AF993" s="8" t="n">
        <f aca="false">MIN(INT(ROUND(P993*1000000,0)/100000),9)</f>
        <v>0</v>
      </c>
    </row>
    <row r="994" customFormat="false" ht="15" hidden="false" customHeight="false" outlineLevel="0" collapsed="false">
      <c r="A994" s="4" t="n">
        <v>990</v>
      </c>
      <c r="B994" s="4" t="n">
        <v>1270</v>
      </c>
      <c r="C994" s="4" t="n">
        <v>2</v>
      </c>
      <c r="D994" s="11" t="n">
        <v>46113</v>
      </c>
      <c r="E994" s="4" t="s">
        <v>204</v>
      </c>
      <c r="F994" s="4" t="s">
        <v>208</v>
      </c>
      <c r="G994" s="4" t="n">
        <v>0</v>
      </c>
      <c r="H994" s="4" t="n">
        <v>31</v>
      </c>
      <c r="I994" s="4" t="n">
        <v>0</v>
      </c>
      <c r="J994" s="4"/>
      <c r="K994" s="4" t="n">
        <v>1</v>
      </c>
      <c r="L994" s="12" t="n">
        <v>0.716292</v>
      </c>
      <c r="M994" s="12" t="n">
        <v>0.184211</v>
      </c>
      <c r="N994" s="12" t="n">
        <v>0.103514</v>
      </c>
      <c r="O994" s="12" t="n">
        <v>0.106183</v>
      </c>
      <c r="P994" s="12" t="n">
        <v>0.109826</v>
      </c>
      <c r="Q994" s="0" t="str">
        <f aca="false">IF(L994&gt;=Models!$G$5,1+COUNTIF($L$5:$L$1517,"&gt;"&amp;L994)+COUNTIFS($L$5:$L$1517,L994,$B$5:$B$1517,"&lt;"&amp;B994)+COUNTIFS($L$5:$L$1517,L994,$B$5:$B$1517,B994,$C$5:$C$1517,"&lt;"&amp;C994),"")</f>
        <v/>
      </c>
      <c r="R994" s="8" t="n">
        <f aca="false">IF(M994&gt;=Models!$G$6,1+COUNTIF($M$5:$M$1517,"&gt;"&amp;M994)+COUNTIFS($M$5:$M$1517,M994,$B$5:$B$1517,"&lt;"&amp;B994)+COUNTIFS($M$5:$M$1517,M994,$B$5:$B$1517,B994,$C$5:$C$1517,"&lt;"&amp;C994),"")</f>
        <v>128</v>
      </c>
      <c r="S994" s="0" t="str">
        <f aca="false">IF(N994&gt;=Models!$G$7,1+COUNTIF($N$5:$N$1517,"&gt;"&amp;N994)+COUNTIFS($N$5:$N$1517,N994,$B$5:$B$1517,"&lt;"&amp;B994)+COUNTIFS($N$5:$N$1517,N994,$B$5:$B$1517,B994,$C$5:$C$1517,"&lt;"&amp;C994),"")</f>
        <v/>
      </c>
      <c r="T994" s="8" t="n">
        <f aca="false">IF(O994&gt;=Models!$G$8,1+COUNTIF($O$5:$O$1517,"&gt;"&amp;O994)+COUNTIFS($O$5:$O$1517,O994,$B$5:$B$1517,"&lt;"&amp;B994)+COUNTIFS($O$5:$O$1517,O994,$B$5:$B$1517,B994,$C$5:$C$1517,"&lt;"&amp;C994),"")</f>
        <v>1032</v>
      </c>
      <c r="U994" s="8" t="n">
        <f aca="false">IF($K994=1,COUNTIFS($L$5:$L$1517,"&gt;="&amp;L994,$K$5:$K$1517,1)/COUNTIF($L$5:$L$1517,"&gt;="&amp;L994),0)</f>
        <v>0.130750605326877</v>
      </c>
      <c r="V994" s="8" t="n">
        <f aca="false">IF($K994=1,COUNTIFS($M$5:$M$1517,"&gt;="&amp;M994,$K$5:$K$1517,1)/COUNTIF($M$5:$M$1517,"&gt;="&amp;M994),0)</f>
        <v>0.186528497409326</v>
      </c>
      <c r="W994" s="8" t="n">
        <f aca="false">IF($K994=1,COUNTIFS($N$5:$N$1517,"&gt;="&amp;N994,$K$5:$K$1517,1)/COUNTIF($N$5:$N$1517,"&gt;="&amp;N994),0)</f>
        <v>0.192073170731707</v>
      </c>
      <c r="X994" s="8" t="n">
        <f aca="false">IF($K994=1,COUNTIFS($O$5:$O$1517,"&gt;="&amp;O994,$K$5:$K$1517,1)/COUNTIF($O$5:$O$1517,"&gt;="&amp;O994),0)</f>
        <v>0.12491738268341</v>
      </c>
      <c r="Y994" s="8" t="n">
        <f aca="false">IF($K994=1,COUNTIFS($P$5:$P$1517,"&gt;="&amp;P994,$K$5:$K$1517,1)/COUNTIF($P$5:$P$1517,"&gt;="&amp;P994),0)</f>
        <v>0.192073170731707</v>
      </c>
      <c r="Z994" s="8" t="n">
        <f aca="false">(L994-$K994)^2</f>
        <v>0.080490229264</v>
      </c>
      <c r="AA994" s="8" t="n">
        <f aca="false">(M994-$K994)^2</f>
        <v>0.665511692521</v>
      </c>
      <c r="AB994" s="8" t="n">
        <f aca="false">(N994-$K994)^2</f>
        <v>0.803687148196</v>
      </c>
      <c r="AC994" s="8" t="n">
        <f aca="false">(O994-$K994)^2</f>
        <v>0.798908829489</v>
      </c>
      <c r="AD994" s="8" t="n">
        <f aca="false">(P994-$K994)^2</f>
        <v>0.792409750276</v>
      </c>
      <c r="AE994" s="8" t="n">
        <f aca="false">MIN(INT(ROUND(N994*1000000,0)/100000),9)</f>
        <v>1</v>
      </c>
      <c r="AF994" s="8" t="n">
        <f aca="false">MIN(INT(ROUND(P994*1000000,0)/100000),9)</f>
        <v>1</v>
      </c>
    </row>
    <row r="995" customFormat="false" ht="15" hidden="false" customHeight="false" outlineLevel="0" collapsed="false">
      <c r="A995" s="4" t="n">
        <v>991</v>
      </c>
      <c r="B995" s="4" t="n">
        <v>1274</v>
      </c>
      <c r="C995" s="4" t="n">
        <v>2</v>
      </c>
      <c r="D995" s="11" t="n">
        <v>46113</v>
      </c>
      <c r="E995" s="4" t="s">
        <v>202</v>
      </c>
      <c r="F995" s="4" t="s">
        <v>210</v>
      </c>
      <c r="G995" s="4" t="n">
        <v>4</v>
      </c>
      <c r="H995" s="4" t="n">
        <v>1</v>
      </c>
      <c r="I995" s="4" t="n">
        <v>0</v>
      </c>
      <c r="J995" s="4"/>
      <c r="K995" s="4" t="n">
        <v>0</v>
      </c>
      <c r="L995" s="12" t="n">
        <v>0.5207</v>
      </c>
      <c r="M995" s="12" t="n">
        <v>0.092063</v>
      </c>
      <c r="N995" s="12" t="n">
        <v>0.059268</v>
      </c>
      <c r="O995" s="12" t="n">
        <v>0.106183</v>
      </c>
      <c r="P995" s="12" t="n">
        <v>0.06139</v>
      </c>
      <c r="Q995" s="0" t="str">
        <f aca="false">IF(L995&gt;=Models!$G$5,1+COUNTIF($L$5:$L$1517,"&gt;"&amp;L995)+COUNTIFS($L$5:$L$1517,L995,$B$5:$B$1517,"&lt;"&amp;B995)+COUNTIFS($L$5:$L$1517,L995,$B$5:$B$1517,B995,$C$5:$C$1517,"&lt;"&amp;C995),"")</f>
        <v/>
      </c>
      <c r="R995" s="0" t="str">
        <f aca="false">IF(M995&gt;=Models!$G$6,1+COUNTIF($M$5:$M$1517,"&gt;"&amp;M995)+COUNTIFS($M$5:$M$1517,M995,$B$5:$B$1517,"&lt;"&amp;B995)+COUNTIFS($M$5:$M$1517,M995,$B$5:$B$1517,B995,$C$5:$C$1517,"&lt;"&amp;C995),"")</f>
        <v/>
      </c>
      <c r="S995" s="0" t="str">
        <f aca="false">IF(N995&gt;=Models!$G$7,1+COUNTIF($N$5:$N$1517,"&gt;"&amp;N995)+COUNTIFS($N$5:$N$1517,N995,$B$5:$B$1517,"&lt;"&amp;B995)+COUNTIFS($N$5:$N$1517,N995,$B$5:$B$1517,B995,$C$5:$C$1517,"&lt;"&amp;C995),"")</f>
        <v/>
      </c>
      <c r="T995" s="8" t="n">
        <f aca="false">IF(O995&gt;=Models!$G$8,1+COUNTIF($O$5:$O$1517,"&gt;"&amp;O995)+COUNTIFS($O$5:$O$1517,O995,$B$5:$B$1517,"&lt;"&amp;B995)+COUNTIFS($O$5:$O$1517,O995,$B$5:$B$1517,B995,$C$5:$C$1517,"&lt;"&amp;C995),"")</f>
        <v>1035</v>
      </c>
      <c r="U995" s="8" t="n">
        <f aca="false">IF($K995=1,COUNTIFS($L$5:$L$1517,"&gt;="&amp;L995,$K$5:$K$1517,1)/COUNTIF($L$5:$L$1517,"&gt;="&amp;L995),0)</f>
        <v>0</v>
      </c>
      <c r="V995" s="8" t="n">
        <f aca="false">IF($K995=1,COUNTIFS($M$5:$M$1517,"&gt;="&amp;M995,$K$5:$K$1517,1)/COUNTIF($M$5:$M$1517,"&gt;="&amp;M995),0)</f>
        <v>0</v>
      </c>
      <c r="W995" s="8" t="n">
        <f aca="false">IF($K995=1,COUNTIFS($N$5:$N$1517,"&gt;="&amp;N995,$K$5:$K$1517,1)/COUNTIF($N$5:$N$1517,"&gt;="&amp;N995),0)</f>
        <v>0</v>
      </c>
      <c r="X995" s="8" t="n">
        <f aca="false">IF($K995=1,COUNTIFS($O$5:$O$1517,"&gt;="&amp;O995,$K$5:$K$1517,1)/COUNTIF($O$5:$O$1517,"&gt;="&amp;O995),0)</f>
        <v>0</v>
      </c>
      <c r="Y995" s="8" t="n">
        <f aca="false">IF($K995=1,COUNTIFS($P$5:$P$1517,"&gt;="&amp;P995,$K$5:$K$1517,1)/COUNTIF($P$5:$P$1517,"&gt;="&amp;P995),0)</f>
        <v>0</v>
      </c>
      <c r="Z995" s="8" t="n">
        <f aca="false">(L995-$K995)^2</f>
        <v>0.27112849</v>
      </c>
      <c r="AA995" s="8" t="n">
        <f aca="false">(M995-$K995)^2</f>
        <v>0.008475595969</v>
      </c>
      <c r="AB995" s="8" t="n">
        <f aca="false">(N995-$K995)^2</f>
        <v>0.003512695824</v>
      </c>
      <c r="AC995" s="8" t="n">
        <f aca="false">(O995-$K995)^2</f>
        <v>0.011274829489</v>
      </c>
      <c r="AD995" s="8" t="n">
        <f aca="false">(P995-$K995)^2</f>
        <v>0.0037687321</v>
      </c>
      <c r="AE995" s="8" t="n">
        <f aca="false">MIN(INT(ROUND(N995*1000000,0)/100000),9)</f>
        <v>0</v>
      </c>
      <c r="AF995" s="8" t="n">
        <f aca="false">MIN(INT(ROUND(P995*1000000,0)/100000),9)</f>
        <v>0</v>
      </c>
    </row>
    <row r="996" customFormat="false" ht="15" hidden="false" customHeight="false" outlineLevel="0" collapsed="false">
      <c r="A996" s="4" t="n">
        <v>992</v>
      </c>
      <c r="B996" s="4" t="n">
        <v>1278</v>
      </c>
      <c r="C996" s="4" t="n">
        <v>2</v>
      </c>
      <c r="D996" s="11" t="n">
        <v>46113</v>
      </c>
      <c r="E996" s="4" t="s">
        <v>203</v>
      </c>
      <c r="F996" s="4" t="s">
        <v>209</v>
      </c>
      <c r="G996" s="4" t="n">
        <v>2</v>
      </c>
      <c r="H996" s="4" t="n">
        <v>18</v>
      </c>
      <c r="I996" s="4" t="n">
        <v>0</v>
      </c>
      <c r="J996" s="4" t="n">
        <v>345</v>
      </c>
      <c r="K996" s="4" t="n">
        <v>0</v>
      </c>
      <c r="L996" s="12" t="n">
        <v>0.585856</v>
      </c>
      <c r="M996" s="12" t="n">
        <v>0.092063</v>
      </c>
      <c r="N996" s="12" t="n">
        <v>0.153348</v>
      </c>
      <c r="O996" s="12" t="n">
        <v>0.106183</v>
      </c>
      <c r="P996" s="12" t="n">
        <v>0.165081</v>
      </c>
      <c r="Q996" s="0" t="str">
        <f aca="false">IF(L996&gt;=Models!$G$5,1+COUNTIF($L$5:$L$1517,"&gt;"&amp;L996)+COUNTIFS($L$5:$L$1517,L996,$B$5:$B$1517,"&lt;"&amp;B996)+COUNTIFS($L$5:$L$1517,L996,$B$5:$B$1517,B996,$C$5:$C$1517,"&lt;"&amp;C996),"")</f>
        <v/>
      </c>
      <c r="R996" s="0" t="str">
        <f aca="false">IF(M996&gt;=Models!$G$6,1+COUNTIF($M$5:$M$1517,"&gt;"&amp;M996)+COUNTIFS($M$5:$M$1517,M996,$B$5:$B$1517,"&lt;"&amp;B996)+COUNTIFS($M$5:$M$1517,M996,$B$5:$B$1517,B996,$C$5:$C$1517,"&lt;"&amp;C996),"")</f>
        <v/>
      </c>
      <c r="S996" s="0" t="str">
        <f aca="false">IF(N996&gt;=Models!$G$7,1+COUNTIF($N$5:$N$1517,"&gt;"&amp;N996)+COUNTIFS($N$5:$N$1517,N996,$B$5:$B$1517,"&lt;"&amp;B996)+COUNTIFS($N$5:$N$1517,N996,$B$5:$B$1517,B996,$C$5:$C$1517,"&lt;"&amp;C996),"")</f>
        <v/>
      </c>
      <c r="T996" s="8" t="n">
        <f aca="false">IF(O996&gt;=Models!$G$8,1+COUNTIF($O$5:$O$1517,"&gt;"&amp;O996)+COUNTIFS($O$5:$O$1517,O996,$B$5:$B$1517,"&lt;"&amp;B996)+COUNTIFS($O$5:$O$1517,O996,$B$5:$B$1517,B996,$C$5:$C$1517,"&lt;"&amp;C996),"")</f>
        <v>1039</v>
      </c>
      <c r="U996" s="8" t="n">
        <f aca="false">IF($K996=1,COUNTIFS($L$5:$L$1517,"&gt;="&amp;L996,$K$5:$K$1517,1)/COUNTIF($L$5:$L$1517,"&gt;="&amp;L996),0)</f>
        <v>0</v>
      </c>
      <c r="V996" s="8" t="n">
        <f aca="false">IF($K996=1,COUNTIFS($M$5:$M$1517,"&gt;="&amp;M996,$K$5:$K$1517,1)/COUNTIF($M$5:$M$1517,"&gt;="&amp;M996),0)</f>
        <v>0</v>
      </c>
      <c r="W996" s="8" t="n">
        <f aca="false">IF($K996=1,COUNTIFS($N$5:$N$1517,"&gt;="&amp;N996,$K$5:$K$1517,1)/COUNTIF($N$5:$N$1517,"&gt;="&amp;N996),0)</f>
        <v>0</v>
      </c>
      <c r="X996" s="8" t="n">
        <f aca="false">IF($K996=1,COUNTIFS($O$5:$O$1517,"&gt;="&amp;O996,$K$5:$K$1517,1)/COUNTIF($O$5:$O$1517,"&gt;="&amp;O996),0)</f>
        <v>0</v>
      </c>
      <c r="Y996" s="8" t="n">
        <f aca="false">IF($K996=1,COUNTIFS($P$5:$P$1517,"&gt;="&amp;P996,$K$5:$K$1517,1)/COUNTIF($P$5:$P$1517,"&gt;="&amp;P996),0)</f>
        <v>0</v>
      </c>
      <c r="Z996" s="8" t="n">
        <f aca="false">(L996-$K996)^2</f>
        <v>0.343227252736</v>
      </c>
      <c r="AA996" s="8" t="n">
        <f aca="false">(M996-$K996)^2</f>
        <v>0.008475595969</v>
      </c>
      <c r="AB996" s="8" t="n">
        <f aca="false">(N996-$K996)^2</f>
        <v>0.023515609104</v>
      </c>
      <c r="AC996" s="8" t="n">
        <f aca="false">(O996-$K996)^2</f>
        <v>0.011274829489</v>
      </c>
      <c r="AD996" s="8" t="n">
        <f aca="false">(P996-$K996)^2</f>
        <v>0.027251736561</v>
      </c>
      <c r="AE996" s="8" t="n">
        <f aca="false">MIN(INT(ROUND(N996*1000000,0)/100000),9)</f>
        <v>1</v>
      </c>
      <c r="AF996" s="8" t="n">
        <f aca="false">MIN(INT(ROUND(P996*1000000,0)/100000),9)</f>
        <v>1</v>
      </c>
    </row>
    <row r="997" customFormat="false" ht="15" hidden="false" customHeight="false" outlineLevel="0" collapsed="false">
      <c r="A997" s="4" t="n">
        <v>993</v>
      </c>
      <c r="B997" s="4" t="n">
        <v>1284</v>
      </c>
      <c r="C997" s="4" t="n">
        <v>2</v>
      </c>
      <c r="D997" s="11" t="n">
        <v>46113</v>
      </c>
      <c r="E997" s="4" t="s">
        <v>202</v>
      </c>
      <c r="F997" s="4" t="s">
        <v>208</v>
      </c>
      <c r="G997" s="4" t="n">
        <v>14</v>
      </c>
      <c r="H997" s="4" t="n">
        <v>2</v>
      </c>
      <c r="I997" s="4" t="n">
        <v>0</v>
      </c>
      <c r="J997" s="4" t="n">
        <v>1773</v>
      </c>
      <c r="K997" s="4" t="n">
        <v>0</v>
      </c>
      <c r="L997" s="12" t="n">
        <v>0.328654</v>
      </c>
      <c r="M997" s="12" t="n">
        <v>0.092063</v>
      </c>
      <c r="N997" s="12" t="n">
        <v>0.047313</v>
      </c>
      <c r="O997" s="12" t="n">
        <v>0.106183</v>
      </c>
      <c r="P997" s="12" t="n">
        <v>0.048504</v>
      </c>
      <c r="Q997" s="0" t="str">
        <f aca="false">IF(L997&gt;=Models!$G$5,1+COUNTIF($L$5:$L$1517,"&gt;"&amp;L997)+COUNTIFS($L$5:$L$1517,L997,$B$5:$B$1517,"&lt;"&amp;B997)+COUNTIFS($L$5:$L$1517,L997,$B$5:$B$1517,B997,$C$5:$C$1517,"&lt;"&amp;C997),"")</f>
        <v/>
      </c>
      <c r="R997" s="0" t="str">
        <f aca="false">IF(M997&gt;=Models!$G$6,1+COUNTIF($M$5:$M$1517,"&gt;"&amp;M997)+COUNTIFS($M$5:$M$1517,M997,$B$5:$B$1517,"&lt;"&amp;B997)+COUNTIFS($M$5:$M$1517,M997,$B$5:$B$1517,B997,$C$5:$C$1517,"&lt;"&amp;C997),"")</f>
        <v/>
      </c>
      <c r="S997" s="0" t="str">
        <f aca="false">IF(N997&gt;=Models!$G$7,1+COUNTIF($N$5:$N$1517,"&gt;"&amp;N997)+COUNTIFS($N$5:$N$1517,N997,$B$5:$B$1517,"&lt;"&amp;B997)+COUNTIFS($N$5:$N$1517,N997,$B$5:$B$1517,B997,$C$5:$C$1517,"&lt;"&amp;C997),"")</f>
        <v/>
      </c>
      <c r="T997" s="8" t="n">
        <f aca="false">IF(O997&gt;=Models!$G$8,1+COUNTIF($O$5:$O$1517,"&gt;"&amp;O997)+COUNTIFS($O$5:$O$1517,O997,$B$5:$B$1517,"&lt;"&amp;B997)+COUNTIFS($O$5:$O$1517,O997,$B$5:$B$1517,B997,$C$5:$C$1517,"&lt;"&amp;C997),"")</f>
        <v>1043</v>
      </c>
      <c r="U997" s="8" t="n">
        <f aca="false">IF($K997=1,COUNTIFS($L$5:$L$1517,"&gt;="&amp;L997,$K$5:$K$1517,1)/COUNTIF($L$5:$L$1517,"&gt;="&amp;L997),0)</f>
        <v>0</v>
      </c>
      <c r="V997" s="8" t="n">
        <f aca="false">IF($K997=1,COUNTIFS($M$5:$M$1517,"&gt;="&amp;M997,$K$5:$K$1517,1)/COUNTIF($M$5:$M$1517,"&gt;="&amp;M997),0)</f>
        <v>0</v>
      </c>
      <c r="W997" s="8" t="n">
        <f aca="false">IF($K997=1,COUNTIFS($N$5:$N$1517,"&gt;="&amp;N997,$K$5:$K$1517,1)/COUNTIF($N$5:$N$1517,"&gt;="&amp;N997),0)</f>
        <v>0</v>
      </c>
      <c r="X997" s="8" t="n">
        <f aca="false">IF($K997=1,COUNTIFS($O$5:$O$1517,"&gt;="&amp;O997,$K$5:$K$1517,1)/COUNTIF($O$5:$O$1517,"&gt;="&amp;O997),0)</f>
        <v>0</v>
      </c>
      <c r="Y997" s="8" t="n">
        <f aca="false">IF($K997=1,COUNTIFS($P$5:$P$1517,"&gt;="&amp;P997,$K$5:$K$1517,1)/COUNTIF($P$5:$P$1517,"&gt;="&amp;P997),0)</f>
        <v>0</v>
      </c>
      <c r="Z997" s="8" t="n">
        <f aca="false">(L997-$K997)^2</f>
        <v>0.108013451716</v>
      </c>
      <c r="AA997" s="8" t="n">
        <f aca="false">(M997-$K997)^2</f>
        <v>0.008475595969</v>
      </c>
      <c r="AB997" s="8" t="n">
        <f aca="false">(N997-$K997)^2</f>
        <v>0.002238519969</v>
      </c>
      <c r="AC997" s="8" t="n">
        <f aca="false">(O997-$K997)^2</f>
        <v>0.011274829489</v>
      </c>
      <c r="AD997" s="8" t="n">
        <f aca="false">(P997-$K997)^2</f>
        <v>0.002352638016</v>
      </c>
      <c r="AE997" s="8" t="n">
        <f aca="false">MIN(INT(ROUND(N997*1000000,0)/100000),9)</f>
        <v>0</v>
      </c>
      <c r="AF997" s="8" t="n">
        <f aca="false">MIN(INT(ROUND(P997*1000000,0)/100000),9)</f>
        <v>0</v>
      </c>
    </row>
    <row r="998" customFormat="false" ht="15" hidden="false" customHeight="false" outlineLevel="0" collapsed="false">
      <c r="A998" s="4" t="n">
        <v>994</v>
      </c>
      <c r="B998" s="4" t="n">
        <v>1289</v>
      </c>
      <c r="C998" s="4" t="n">
        <v>2</v>
      </c>
      <c r="D998" s="11" t="n">
        <v>46113</v>
      </c>
      <c r="E998" s="4" t="s">
        <v>203</v>
      </c>
      <c r="F998" s="4" t="s">
        <v>208</v>
      </c>
      <c r="G998" s="4" t="n">
        <v>6</v>
      </c>
      <c r="H998" s="4" t="n">
        <v>1</v>
      </c>
      <c r="I998" s="4" t="n">
        <v>0</v>
      </c>
      <c r="J998" s="4" t="n">
        <v>363</v>
      </c>
      <c r="K998" s="4" t="n">
        <v>0</v>
      </c>
      <c r="L998" s="12" t="n">
        <v>0.484384</v>
      </c>
      <c r="M998" s="12" t="n">
        <v>0.092063</v>
      </c>
      <c r="N998" s="12" t="n">
        <v>0.098954</v>
      </c>
      <c r="O998" s="12" t="n">
        <v>0.106183</v>
      </c>
      <c r="P998" s="12" t="n">
        <v>0.104797</v>
      </c>
      <c r="Q998" s="0" t="str">
        <f aca="false">IF(L998&gt;=Models!$G$5,1+COUNTIF($L$5:$L$1517,"&gt;"&amp;L998)+COUNTIFS($L$5:$L$1517,L998,$B$5:$B$1517,"&lt;"&amp;B998)+COUNTIFS($L$5:$L$1517,L998,$B$5:$B$1517,B998,$C$5:$C$1517,"&lt;"&amp;C998),"")</f>
        <v/>
      </c>
      <c r="R998" s="0" t="str">
        <f aca="false">IF(M998&gt;=Models!$G$6,1+COUNTIF($M$5:$M$1517,"&gt;"&amp;M998)+COUNTIFS($M$5:$M$1517,M998,$B$5:$B$1517,"&lt;"&amp;B998)+COUNTIFS($M$5:$M$1517,M998,$B$5:$B$1517,B998,$C$5:$C$1517,"&lt;"&amp;C998),"")</f>
        <v/>
      </c>
      <c r="S998" s="0" t="str">
        <f aca="false">IF(N998&gt;=Models!$G$7,1+COUNTIF($N$5:$N$1517,"&gt;"&amp;N998)+COUNTIFS($N$5:$N$1517,N998,$B$5:$B$1517,"&lt;"&amp;B998)+COUNTIFS($N$5:$N$1517,N998,$B$5:$B$1517,B998,$C$5:$C$1517,"&lt;"&amp;C998),"")</f>
        <v/>
      </c>
      <c r="T998" s="8" t="n">
        <f aca="false">IF(O998&gt;=Models!$G$8,1+COUNTIF($O$5:$O$1517,"&gt;"&amp;O998)+COUNTIFS($O$5:$O$1517,O998,$B$5:$B$1517,"&lt;"&amp;B998)+COUNTIFS($O$5:$O$1517,O998,$B$5:$B$1517,B998,$C$5:$C$1517,"&lt;"&amp;C998),"")</f>
        <v>1047</v>
      </c>
      <c r="U998" s="8" t="n">
        <f aca="false">IF($K998=1,COUNTIFS($L$5:$L$1517,"&gt;="&amp;L998,$K$5:$K$1517,1)/COUNTIF($L$5:$L$1517,"&gt;="&amp;L998),0)</f>
        <v>0</v>
      </c>
      <c r="V998" s="8" t="n">
        <f aca="false">IF($K998=1,COUNTIFS($M$5:$M$1517,"&gt;="&amp;M998,$K$5:$K$1517,1)/COUNTIF($M$5:$M$1517,"&gt;="&amp;M998),0)</f>
        <v>0</v>
      </c>
      <c r="W998" s="8" t="n">
        <f aca="false">IF($K998=1,COUNTIFS($N$5:$N$1517,"&gt;="&amp;N998,$K$5:$K$1517,1)/COUNTIF($N$5:$N$1517,"&gt;="&amp;N998),0)</f>
        <v>0</v>
      </c>
      <c r="X998" s="8" t="n">
        <f aca="false">IF($K998=1,COUNTIFS($O$5:$O$1517,"&gt;="&amp;O998,$K$5:$K$1517,1)/COUNTIF($O$5:$O$1517,"&gt;="&amp;O998),0)</f>
        <v>0</v>
      </c>
      <c r="Y998" s="8" t="n">
        <f aca="false">IF($K998=1,COUNTIFS($P$5:$P$1517,"&gt;="&amp;P998,$K$5:$K$1517,1)/COUNTIF($P$5:$P$1517,"&gt;="&amp;P998),0)</f>
        <v>0</v>
      </c>
      <c r="Z998" s="8" t="n">
        <f aca="false">(L998-$K998)^2</f>
        <v>0.234627859456</v>
      </c>
      <c r="AA998" s="8" t="n">
        <f aca="false">(M998-$K998)^2</f>
        <v>0.008475595969</v>
      </c>
      <c r="AB998" s="8" t="n">
        <f aca="false">(N998-$K998)^2</f>
        <v>0.009791894116</v>
      </c>
      <c r="AC998" s="8" t="n">
        <f aca="false">(O998-$K998)^2</f>
        <v>0.011274829489</v>
      </c>
      <c r="AD998" s="8" t="n">
        <f aca="false">(P998-$K998)^2</f>
        <v>0.010982411209</v>
      </c>
      <c r="AE998" s="8" t="n">
        <f aca="false">MIN(INT(ROUND(N998*1000000,0)/100000),9)</f>
        <v>0</v>
      </c>
      <c r="AF998" s="8" t="n">
        <f aca="false">MIN(INT(ROUND(P998*1000000,0)/100000),9)</f>
        <v>1</v>
      </c>
    </row>
    <row r="999" customFormat="false" ht="15" hidden="false" customHeight="false" outlineLevel="0" collapsed="false">
      <c r="A999" s="4" t="n">
        <v>995</v>
      </c>
      <c r="B999" s="4" t="n">
        <v>1299</v>
      </c>
      <c r="C999" s="4" t="n">
        <v>2</v>
      </c>
      <c r="D999" s="11" t="n">
        <v>46113</v>
      </c>
      <c r="E999" s="4" t="s">
        <v>202</v>
      </c>
      <c r="F999" s="4" t="s">
        <v>206</v>
      </c>
      <c r="G999" s="4" t="n">
        <v>9</v>
      </c>
      <c r="H999" s="4" t="n">
        <v>7</v>
      </c>
      <c r="I999" s="4" t="n">
        <v>0</v>
      </c>
      <c r="J999" s="4" t="n">
        <v>1644</v>
      </c>
      <c r="K999" s="4" t="n">
        <v>0</v>
      </c>
      <c r="L999" s="12" t="n">
        <v>0.06671</v>
      </c>
      <c r="M999" s="12" t="n">
        <v>0.092063</v>
      </c>
      <c r="N999" s="12" t="n">
        <v>0.075572</v>
      </c>
      <c r="O999" s="12" t="n">
        <v>0.106183</v>
      </c>
      <c r="P999" s="12" t="n">
        <v>0.079128</v>
      </c>
      <c r="Q999" s="0" t="str">
        <f aca="false">IF(L999&gt;=Models!$G$5,1+COUNTIF($L$5:$L$1517,"&gt;"&amp;L999)+COUNTIFS($L$5:$L$1517,L999,$B$5:$B$1517,"&lt;"&amp;B999)+COUNTIFS($L$5:$L$1517,L999,$B$5:$B$1517,B999,$C$5:$C$1517,"&lt;"&amp;C999),"")</f>
        <v/>
      </c>
      <c r="R999" s="0" t="str">
        <f aca="false">IF(M999&gt;=Models!$G$6,1+COUNTIF($M$5:$M$1517,"&gt;"&amp;M999)+COUNTIFS($M$5:$M$1517,M999,$B$5:$B$1517,"&lt;"&amp;B999)+COUNTIFS($M$5:$M$1517,M999,$B$5:$B$1517,B999,$C$5:$C$1517,"&lt;"&amp;C999),"")</f>
        <v/>
      </c>
      <c r="S999" s="0" t="str">
        <f aca="false">IF(N999&gt;=Models!$G$7,1+COUNTIF($N$5:$N$1517,"&gt;"&amp;N999)+COUNTIFS($N$5:$N$1517,N999,$B$5:$B$1517,"&lt;"&amp;B999)+COUNTIFS($N$5:$N$1517,N999,$B$5:$B$1517,B999,$C$5:$C$1517,"&lt;"&amp;C999),"")</f>
        <v/>
      </c>
      <c r="T999" s="8" t="n">
        <f aca="false">IF(O999&gt;=Models!$G$8,1+COUNTIF($O$5:$O$1517,"&gt;"&amp;O999)+COUNTIFS($O$5:$O$1517,O999,$B$5:$B$1517,"&lt;"&amp;B999)+COUNTIFS($O$5:$O$1517,O999,$B$5:$B$1517,B999,$C$5:$C$1517,"&lt;"&amp;C999),"")</f>
        <v>1051</v>
      </c>
      <c r="U999" s="8" t="n">
        <f aca="false">IF($K999=1,COUNTIFS($L$5:$L$1517,"&gt;="&amp;L999,$K$5:$K$1517,1)/COUNTIF($L$5:$L$1517,"&gt;="&amp;L999),0)</f>
        <v>0</v>
      </c>
      <c r="V999" s="8" t="n">
        <f aca="false">IF($K999=1,COUNTIFS($M$5:$M$1517,"&gt;="&amp;M999,$K$5:$K$1517,1)/COUNTIF($M$5:$M$1517,"&gt;="&amp;M999),0)</f>
        <v>0</v>
      </c>
      <c r="W999" s="8" t="n">
        <f aca="false">IF($K999=1,COUNTIFS($N$5:$N$1517,"&gt;="&amp;N999,$K$5:$K$1517,1)/COUNTIF($N$5:$N$1517,"&gt;="&amp;N999),0)</f>
        <v>0</v>
      </c>
      <c r="X999" s="8" t="n">
        <f aca="false">IF($K999=1,COUNTIFS($O$5:$O$1517,"&gt;="&amp;O999,$K$5:$K$1517,1)/COUNTIF($O$5:$O$1517,"&gt;="&amp;O999),0)</f>
        <v>0</v>
      </c>
      <c r="Y999" s="8" t="n">
        <f aca="false">IF($K999=1,COUNTIFS($P$5:$P$1517,"&gt;="&amp;P999,$K$5:$K$1517,1)/COUNTIF($P$5:$P$1517,"&gt;="&amp;P999),0)</f>
        <v>0</v>
      </c>
      <c r="Z999" s="8" t="n">
        <f aca="false">(L999-$K999)^2</f>
        <v>0.0044502241</v>
      </c>
      <c r="AA999" s="8" t="n">
        <f aca="false">(M999-$K999)^2</f>
        <v>0.008475595969</v>
      </c>
      <c r="AB999" s="8" t="n">
        <f aca="false">(N999-$K999)^2</f>
        <v>0.005711127184</v>
      </c>
      <c r="AC999" s="8" t="n">
        <f aca="false">(O999-$K999)^2</f>
        <v>0.011274829489</v>
      </c>
      <c r="AD999" s="8" t="n">
        <f aca="false">(P999-$K999)^2</f>
        <v>0.006261240384</v>
      </c>
      <c r="AE999" s="8" t="n">
        <f aca="false">MIN(INT(ROUND(N999*1000000,0)/100000),9)</f>
        <v>0</v>
      </c>
      <c r="AF999" s="8" t="n">
        <f aca="false">MIN(INT(ROUND(P999*1000000,0)/100000),9)</f>
        <v>0</v>
      </c>
    </row>
    <row r="1000" customFormat="false" ht="15" hidden="false" customHeight="false" outlineLevel="0" collapsed="false">
      <c r="A1000" s="4" t="n">
        <v>996</v>
      </c>
      <c r="B1000" s="4" t="n">
        <v>1301</v>
      </c>
      <c r="C1000" s="4" t="n">
        <v>2</v>
      </c>
      <c r="D1000" s="11" t="n">
        <v>46113</v>
      </c>
      <c r="E1000" s="4" t="s">
        <v>203</v>
      </c>
      <c r="F1000" s="4" t="s">
        <v>206</v>
      </c>
      <c r="G1000" s="4" t="n">
        <v>3</v>
      </c>
      <c r="H1000" s="4" t="n">
        <v>12</v>
      </c>
      <c r="I1000" s="4" t="n">
        <v>0</v>
      </c>
      <c r="J1000" s="4"/>
      <c r="K1000" s="4" t="n">
        <v>0</v>
      </c>
      <c r="L1000" s="12" t="n">
        <v>0.021749</v>
      </c>
      <c r="M1000" s="12" t="n">
        <v>0.092063</v>
      </c>
      <c r="N1000" s="12" t="n">
        <v>0.070146</v>
      </c>
      <c r="O1000" s="12" t="n">
        <v>0.106183</v>
      </c>
      <c r="P1000" s="12" t="n">
        <v>0.073207</v>
      </c>
      <c r="Q1000" s="0" t="str">
        <f aca="false">IF(L1000&gt;=Models!$G$5,1+COUNTIF($L$5:$L$1517,"&gt;"&amp;L1000)+COUNTIFS($L$5:$L$1517,L1000,$B$5:$B$1517,"&lt;"&amp;B1000)+COUNTIFS($L$5:$L$1517,L1000,$B$5:$B$1517,B1000,$C$5:$C$1517,"&lt;"&amp;C1000),"")</f>
        <v/>
      </c>
      <c r="R1000" s="0" t="str">
        <f aca="false">IF(M1000&gt;=Models!$G$6,1+COUNTIF($M$5:$M$1517,"&gt;"&amp;M1000)+COUNTIFS($M$5:$M$1517,M1000,$B$5:$B$1517,"&lt;"&amp;B1000)+COUNTIFS($M$5:$M$1517,M1000,$B$5:$B$1517,B1000,$C$5:$C$1517,"&lt;"&amp;C1000),"")</f>
        <v/>
      </c>
      <c r="S1000" s="0" t="str">
        <f aca="false">IF(N1000&gt;=Models!$G$7,1+COUNTIF($N$5:$N$1517,"&gt;"&amp;N1000)+COUNTIFS($N$5:$N$1517,N1000,$B$5:$B$1517,"&lt;"&amp;B1000)+COUNTIFS($N$5:$N$1517,N1000,$B$5:$B$1517,B1000,$C$5:$C$1517,"&lt;"&amp;C1000),"")</f>
        <v/>
      </c>
      <c r="T1000" s="8" t="n">
        <f aca="false">IF(O1000&gt;=Models!$G$8,1+COUNTIF($O$5:$O$1517,"&gt;"&amp;O1000)+COUNTIFS($O$5:$O$1517,O1000,$B$5:$B$1517,"&lt;"&amp;B1000)+COUNTIFS($O$5:$O$1517,O1000,$B$5:$B$1517,B1000,$C$5:$C$1517,"&lt;"&amp;C1000),"")</f>
        <v>1055</v>
      </c>
      <c r="U1000" s="8" t="n">
        <f aca="false">IF($K1000=1,COUNTIFS($L$5:$L$1517,"&gt;="&amp;L1000,$K$5:$K$1517,1)/COUNTIF($L$5:$L$1517,"&gt;="&amp;L1000),0)</f>
        <v>0</v>
      </c>
      <c r="V1000" s="8" t="n">
        <f aca="false">IF($K1000=1,COUNTIFS($M$5:$M$1517,"&gt;="&amp;M1000,$K$5:$K$1517,1)/COUNTIF($M$5:$M$1517,"&gt;="&amp;M1000),0)</f>
        <v>0</v>
      </c>
      <c r="W1000" s="8" t="n">
        <f aca="false">IF($K1000=1,COUNTIFS($N$5:$N$1517,"&gt;="&amp;N1000,$K$5:$K$1517,1)/COUNTIF($N$5:$N$1517,"&gt;="&amp;N1000),0)</f>
        <v>0</v>
      </c>
      <c r="X1000" s="8" t="n">
        <f aca="false">IF($K1000=1,COUNTIFS($O$5:$O$1517,"&gt;="&amp;O1000,$K$5:$K$1517,1)/COUNTIF($O$5:$O$1517,"&gt;="&amp;O1000),0)</f>
        <v>0</v>
      </c>
      <c r="Y1000" s="8" t="n">
        <f aca="false">IF($K1000=1,COUNTIFS($P$5:$P$1517,"&gt;="&amp;P1000,$K$5:$K$1517,1)/COUNTIF($P$5:$P$1517,"&gt;="&amp;P1000),0)</f>
        <v>0</v>
      </c>
      <c r="Z1000" s="8" t="n">
        <f aca="false">(L1000-$K1000)^2</f>
        <v>0.000473019001</v>
      </c>
      <c r="AA1000" s="8" t="n">
        <f aca="false">(M1000-$K1000)^2</f>
        <v>0.008475595969</v>
      </c>
      <c r="AB1000" s="8" t="n">
        <f aca="false">(N1000-$K1000)^2</f>
        <v>0.004920461316</v>
      </c>
      <c r="AC1000" s="8" t="n">
        <f aca="false">(O1000-$K1000)^2</f>
        <v>0.011274829489</v>
      </c>
      <c r="AD1000" s="8" t="n">
        <f aca="false">(P1000-$K1000)^2</f>
        <v>0.005359264849</v>
      </c>
      <c r="AE1000" s="8" t="n">
        <f aca="false">MIN(INT(ROUND(N1000*1000000,0)/100000),9)</f>
        <v>0</v>
      </c>
      <c r="AF1000" s="8" t="n">
        <f aca="false">MIN(INT(ROUND(P1000*1000000,0)/100000),9)</f>
        <v>0</v>
      </c>
    </row>
    <row r="1001" customFormat="false" ht="15" hidden="false" customHeight="false" outlineLevel="0" collapsed="false">
      <c r="A1001" s="4" t="n">
        <v>997</v>
      </c>
      <c r="B1001" s="4" t="n">
        <v>1311</v>
      </c>
      <c r="C1001" s="4" t="n">
        <v>2</v>
      </c>
      <c r="D1001" s="11" t="n">
        <v>46113</v>
      </c>
      <c r="E1001" s="4" t="s">
        <v>204</v>
      </c>
      <c r="F1001" s="4" t="s">
        <v>206</v>
      </c>
      <c r="G1001" s="4" t="n">
        <v>5</v>
      </c>
      <c r="H1001" s="4" t="n">
        <v>9</v>
      </c>
      <c r="I1001" s="4" t="n">
        <v>0</v>
      </c>
      <c r="J1001" s="4" t="n">
        <v>78</v>
      </c>
      <c r="K1001" s="4" t="n">
        <v>0</v>
      </c>
      <c r="L1001" s="12" t="n">
        <v>0.065571</v>
      </c>
      <c r="M1001" s="12" t="n">
        <v>0.092063</v>
      </c>
      <c r="N1001" s="12" t="n">
        <v>0.115394</v>
      </c>
      <c r="O1001" s="12" t="n">
        <v>0.106183</v>
      </c>
      <c r="P1001" s="12" t="n">
        <v>0.122956</v>
      </c>
      <c r="Q1001" s="0" t="str">
        <f aca="false">IF(L1001&gt;=Models!$G$5,1+COUNTIF($L$5:$L$1517,"&gt;"&amp;L1001)+COUNTIFS($L$5:$L$1517,L1001,$B$5:$B$1517,"&lt;"&amp;B1001)+COUNTIFS($L$5:$L$1517,L1001,$B$5:$B$1517,B1001,$C$5:$C$1517,"&lt;"&amp;C1001),"")</f>
        <v/>
      </c>
      <c r="R1001" s="0" t="str">
        <f aca="false">IF(M1001&gt;=Models!$G$6,1+COUNTIF($M$5:$M$1517,"&gt;"&amp;M1001)+COUNTIFS($M$5:$M$1517,M1001,$B$5:$B$1517,"&lt;"&amp;B1001)+COUNTIFS($M$5:$M$1517,M1001,$B$5:$B$1517,B1001,$C$5:$C$1517,"&lt;"&amp;C1001),"")</f>
        <v/>
      </c>
      <c r="S1001" s="0" t="str">
        <f aca="false">IF(N1001&gt;=Models!$G$7,1+COUNTIF($N$5:$N$1517,"&gt;"&amp;N1001)+COUNTIFS($N$5:$N$1517,N1001,$B$5:$B$1517,"&lt;"&amp;B1001)+COUNTIFS($N$5:$N$1517,N1001,$B$5:$B$1517,B1001,$C$5:$C$1517,"&lt;"&amp;C1001),"")</f>
        <v/>
      </c>
      <c r="T1001" s="8" t="n">
        <f aca="false">IF(O1001&gt;=Models!$G$8,1+COUNTIF($O$5:$O$1517,"&gt;"&amp;O1001)+COUNTIFS($O$5:$O$1517,O1001,$B$5:$B$1517,"&lt;"&amp;B1001)+COUNTIFS($O$5:$O$1517,O1001,$B$5:$B$1517,B1001,$C$5:$C$1517,"&lt;"&amp;C1001),"")</f>
        <v>1059</v>
      </c>
      <c r="U1001" s="8" t="n">
        <f aca="false">IF($K1001=1,COUNTIFS($L$5:$L$1517,"&gt;="&amp;L1001,$K$5:$K$1517,1)/COUNTIF($L$5:$L$1517,"&gt;="&amp;L1001),0)</f>
        <v>0</v>
      </c>
      <c r="V1001" s="8" t="n">
        <f aca="false">IF($K1001=1,COUNTIFS($M$5:$M$1517,"&gt;="&amp;M1001,$K$5:$K$1517,1)/COUNTIF($M$5:$M$1517,"&gt;="&amp;M1001),0)</f>
        <v>0</v>
      </c>
      <c r="W1001" s="8" t="n">
        <f aca="false">IF($K1001=1,COUNTIFS($N$5:$N$1517,"&gt;="&amp;N1001,$K$5:$K$1517,1)/COUNTIF($N$5:$N$1517,"&gt;="&amp;N1001),0)</f>
        <v>0</v>
      </c>
      <c r="X1001" s="8" t="n">
        <f aca="false">IF($K1001=1,COUNTIFS($O$5:$O$1517,"&gt;="&amp;O1001,$K$5:$K$1517,1)/COUNTIF($O$5:$O$1517,"&gt;="&amp;O1001),0)</f>
        <v>0</v>
      </c>
      <c r="Y1001" s="8" t="n">
        <f aca="false">IF($K1001=1,COUNTIFS($P$5:$P$1517,"&gt;="&amp;P1001,$K$5:$K$1517,1)/COUNTIF($P$5:$P$1517,"&gt;="&amp;P1001),0)</f>
        <v>0</v>
      </c>
      <c r="Z1001" s="8" t="n">
        <f aca="false">(L1001-$K1001)^2</f>
        <v>0.004299556041</v>
      </c>
      <c r="AA1001" s="8" t="n">
        <f aca="false">(M1001-$K1001)^2</f>
        <v>0.008475595969</v>
      </c>
      <c r="AB1001" s="8" t="n">
        <f aca="false">(N1001-$K1001)^2</f>
        <v>0.013315775236</v>
      </c>
      <c r="AC1001" s="8" t="n">
        <f aca="false">(O1001-$K1001)^2</f>
        <v>0.011274829489</v>
      </c>
      <c r="AD1001" s="8" t="n">
        <f aca="false">(P1001-$K1001)^2</f>
        <v>0.015118177936</v>
      </c>
      <c r="AE1001" s="8" t="n">
        <f aca="false">MIN(INT(ROUND(N1001*1000000,0)/100000),9)</f>
        <v>1</v>
      </c>
      <c r="AF1001" s="8" t="n">
        <f aca="false">MIN(INT(ROUND(P1001*1000000,0)/100000),9)</f>
        <v>1</v>
      </c>
    </row>
    <row r="1002" customFormat="false" ht="15" hidden="false" customHeight="false" outlineLevel="0" collapsed="false">
      <c r="A1002" s="4" t="n">
        <v>998</v>
      </c>
      <c r="B1002" s="4" t="n">
        <v>1316</v>
      </c>
      <c r="C1002" s="4" t="n">
        <v>2</v>
      </c>
      <c r="D1002" s="11" t="n">
        <v>46113</v>
      </c>
      <c r="E1002" s="4" t="s">
        <v>202</v>
      </c>
      <c r="F1002" s="4" t="s">
        <v>206</v>
      </c>
      <c r="G1002" s="4" t="n">
        <v>9</v>
      </c>
      <c r="H1002" s="4" t="n">
        <v>0</v>
      </c>
      <c r="I1002" s="4" t="n">
        <v>0</v>
      </c>
      <c r="J1002" s="4"/>
      <c r="K1002" s="4" t="n">
        <v>0</v>
      </c>
      <c r="L1002" s="12" t="n">
        <v>0.352338</v>
      </c>
      <c r="M1002" s="12" t="n">
        <v>0.092063</v>
      </c>
      <c r="N1002" s="12" t="n">
        <v>0.038318</v>
      </c>
      <c r="O1002" s="12" t="n">
        <v>0.106183</v>
      </c>
      <c r="P1002" s="12" t="n">
        <v>0.038899</v>
      </c>
      <c r="Q1002" s="0" t="str">
        <f aca="false">IF(L1002&gt;=Models!$G$5,1+COUNTIF($L$5:$L$1517,"&gt;"&amp;L1002)+COUNTIFS($L$5:$L$1517,L1002,$B$5:$B$1517,"&lt;"&amp;B1002)+COUNTIFS($L$5:$L$1517,L1002,$B$5:$B$1517,B1002,$C$5:$C$1517,"&lt;"&amp;C1002),"")</f>
        <v/>
      </c>
      <c r="R1002" s="0" t="str">
        <f aca="false">IF(M1002&gt;=Models!$G$6,1+COUNTIF($M$5:$M$1517,"&gt;"&amp;M1002)+COUNTIFS($M$5:$M$1517,M1002,$B$5:$B$1517,"&lt;"&amp;B1002)+COUNTIFS($M$5:$M$1517,M1002,$B$5:$B$1517,B1002,$C$5:$C$1517,"&lt;"&amp;C1002),"")</f>
        <v/>
      </c>
      <c r="S1002" s="0" t="str">
        <f aca="false">IF(N1002&gt;=Models!$G$7,1+COUNTIF($N$5:$N$1517,"&gt;"&amp;N1002)+COUNTIFS($N$5:$N$1517,N1002,$B$5:$B$1517,"&lt;"&amp;B1002)+COUNTIFS($N$5:$N$1517,N1002,$B$5:$B$1517,B1002,$C$5:$C$1517,"&lt;"&amp;C1002),"")</f>
        <v/>
      </c>
      <c r="T1002" s="8" t="n">
        <f aca="false">IF(O1002&gt;=Models!$G$8,1+COUNTIF($O$5:$O$1517,"&gt;"&amp;O1002)+COUNTIFS($O$5:$O$1517,O1002,$B$5:$B$1517,"&lt;"&amp;B1002)+COUNTIFS($O$5:$O$1517,O1002,$B$5:$B$1517,B1002,$C$5:$C$1517,"&lt;"&amp;C1002),"")</f>
        <v>1063</v>
      </c>
      <c r="U1002" s="8" t="n">
        <f aca="false">IF($K1002=1,COUNTIFS($L$5:$L$1517,"&gt;="&amp;L1002,$K$5:$K$1517,1)/COUNTIF($L$5:$L$1517,"&gt;="&amp;L1002),0)</f>
        <v>0</v>
      </c>
      <c r="V1002" s="8" t="n">
        <f aca="false">IF($K1002=1,COUNTIFS($M$5:$M$1517,"&gt;="&amp;M1002,$K$5:$K$1517,1)/COUNTIF($M$5:$M$1517,"&gt;="&amp;M1002),0)</f>
        <v>0</v>
      </c>
      <c r="W1002" s="8" t="n">
        <f aca="false">IF($K1002=1,COUNTIFS($N$5:$N$1517,"&gt;="&amp;N1002,$K$5:$K$1517,1)/COUNTIF($N$5:$N$1517,"&gt;="&amp;N1002),0)</f>
        <v>0</v>
      </c>
      <c r="X1002" s="8" t="n">
        <f aca="false">IF($K1002=1,COUNTIFS($O$5:$O$1517,"&gt;="&amp;O1002,$K$5:$K$1517,1)/COUNTIF($O$5:$O$1517,"&gt;="&amp;O1002),0)</f>
        <v>0</v>
      </c>
      <c r="Y1002" s="8" t="n">
        <f aca="false">IF($K1002=1,COUNTIFS($P$5:$P$1517,"&gt;="&amp;P1002,$K$5:$K$1517,1)/COUNTIF($P$5:$P$1517,"&gt;="&amp;P1002),0)</f>
        <v>0</v>
      </c>
      <c r="Z1002" s="8" t="n">
        <f aca="false">(L1002-$K1002)^2</f>
        <v>0.124142066244</v>
      </c>
      <c r="AA1002" s="8" t="n">
        <f aca="false">(M1002-$K1002)^2</f>
        <v>0.008475595969</v>
      </c>
      <c r="AB1002" s="8" t="n">
        <f aca="false">(N1002-$K1002)^2</f>
        <v>0.001468269124</v>
      </c>
      <c r="AC1002" s="8" t="n">
        <f aca="false">(O1002-$K1002)^2</f>
        <v>0.011274829489</v>
      </c>
      <c r="AD1002" s="8" t="n">
        <f aca="false">(P1002-$K1002)^2</f>
        <v>0.001513132201</v>
      </c>
      <c r="AE1002" s="8" t="n">
        <f aca="false">MIN(INT(ROUND(N1002*1000000,0)/100000),9)</f>
        <v>0</v>
      </c>
      <c r="AF1002" s="8" t="n">
        <f aca="false">MIN(INT(ROUND(P1002*1000000,0)/100000),9)</f>
        <v>0</v>
      </c>
    </row>
    <row r="1003" customFormat="false" ht="15" hidden="false" customHeight="false" outlineLevel="0" collapsed="false">
      <c r="A1003" s="4" t="n">
        <v>999</v>
      </c>
      <c r="B1003" s="4" t="n">
        <v>1317</v>
      </c>
      <c r="C1003" s="4" t="n">
        <v>2</v>
      </c>
      <c r="D1003" s="11" t="n">
        <v>46113</v>
      </c>
      <c r="E1003" s="4" t="s">
        <v>202</v>
      </c>
      <c r="F1003" s="4" t="s">
        <v>206</v>
      </c>
      <c r="G1003" s="4" t="n">
        <v>21</v>
      </c>
      <c r="H1003" s="4" t="n">
        <v>0</v>
      </c>
      <c r="I1003" s="4" t="n">
        <v>0</v>
      </c>
      <c r="J1003" s="4"/>
      <c r="K1003" s="4" t="n">
        <v>0</v>
      </c>
      <c r="L1003" s="12" t="n">
        <v>0.908685</v>
      </c>
      <c r="M1003" s="12" t="n">
        <v>0.092063</v>
      </c>
      <c r="N1003" s="12" t="n">
        <v>0.013352</v>
      </c>
      <c r="O1003" s="12" t="n">
        <v>0.106183</v>
      </c>
      <c r="P1003" s="12" t="n">
        <v>0.012889</v>
      </c>
      <c r="Q1003" s="0" t="str">
        <f aca="false">IF(L1003&gt;=Models!$G$5,1+COUNTIF($L$5:$L$1517,"&gt;"&amp;L1003)+COUNTIFS($L$5:$L$1517,L1003,$B$5:$B$1517,"&lt;"&amp;B1003)+COUNTIFS($L$5:$L$1517,L1003,$B$5:$B$1517,B1003,$C$5:$C$1517,"&lt;"&amp;C1003),"")</f>
        <v/>
      </c>
      <c r="R1003" s="0" t="str">
        <f aca="false">IF(M1003&gt;=Models!$G$6,1+COUNTIF($M$5:$M$1517,"&gt;"&amp;M1003)+COUNTIFS($M$5:$M$1517,M1003,$B$5:$B$1517,"&lt;"&amp;B1003)+COUNTIFS($M$5:$M$1517,M1003,$B$5:$B$1517,B1003,$C$5:$C$1517,"&lt;"&amp;C1003),"")</f>
        <v/>
      </c>
      <c r="S1003" s="0" t="str">
        <f aca="false">IF(N1003&gt;=Models!$G$7,1+COUNTIF($N$5:$N$1517,"&gt;"&amp;N1003)+COUNTIFS($N$5:$N$1517,N1003,$B$5:$B$1517,"&lt;"&amp;B1003)+COUNTIFS($N$5:$N$1517,N1003,$B$5:$B$1517,B1003,$C$5:$C$1517,"&lt;"&amp;C1003),"")</f>
        <v/>
      </c>
      <c r="T1003" s="8" t="n">
        <f aca="false">IF(O1003&gt;=Models!$G$8,1+COUNTIF($O$5:$O$1517,"&gt;"&amp;O1003)+COUNTIFS($O$5:$O$1517,O1003,$B$5:$B$1517,"&lt;"&amp;B1003)+COUNTIFS($O$5:$O$1517,O1003,$B$5:$B$1517,B1003,$C$5:$C$1517,"&lt;"&amp;C1003),"")</f>
        <v>1067</v>
      </c>
      <c r="U1003" s="8" t="n">
        <f aca="false">IF($K1003=1,COUNTIFS($L$5:$L$1517,"&gt;="&amp;L1003,$K$5:$K$1517,1)/COUNTIF($L$5:$L$1517,"&gt;="&amp;L1003),0)</f>
        <v>0</v>
      </c>
      <c r="V1003" s="8" t="n">
        <f aca="false">IF($K1003=1,COUNTIFS($M$5:$M$1517,"&gt;="&amp;M1003,$K$5:$K$1517,1)/COUNTIF($M$5:$M$1517,"&gt;="&amp;M1003),0)</f>
        <v>0</v>
      </c>
      <c r="W1003" s="8" t="n">
        <f aca="false">IF($K1003=1,COUNTIFS($N$5:$N$1517,"&gt;="&amp;N1003,$K$5:$K$1517,1)/COUNTIF($N$5:$N$1517,"&gt;="&amp;N1003),0)</f>
        <v>0</v>
      </c>
      <c r="X1003" s="8" t="n">
        <f aca="false">IF($K1003=1,COUNTIFS($O$5:$O$1517,"&gt;="&amp;O1003,$K$5:$K$1517,1)/COUNTIF($O$5:$O$1517,"&gt;="&amp;O1003),0)</f>
        <v>0</v>
      </c>
      <c r="Y1003" s="8" t="n">
        <f aca="false">IF($K1003=1,COUNTIFS($P$5:$P$1517,"&gt;="&amp;P1003,$K$5:$K$1517,1)/COUNTIF($P$5:$P$1517,"&gt;="&amp;P1003),0)</f>
        <v>0</v>
      </c>
      <c r="Z1003" s="8" t="n">
        <f aca="false">(L1003-$K1003)^2</f>
        <v>0.825708429225</v>
      </c>
      <c r="AA1003" s="8" t="n">
        <f aca="false">(M1003-$K1003)^2</f>
        <v>0.008475595969</v>
      </c>
      <c r="AB1003" s="8" t="n">
        <f aca="false">(N1003-$K1003)^2</f>
        <v>0.000178275904</v>
      </c>
      <c r="AC1003" s="8" t="n">
        <f aca="false">(O1003-$K1003)^2</f>
        <v>0.011274829489</v>
      </c>
      <c r="AD1003" s="8" t="n">
        <f aca="false">(P1003-$K1003)^2</f>
        <v>0.000166126321</v>
      </c>
      <c r="AE1003" s="8" t="n">
        <f aca="false">MIN(INT(ROUND(N1003*1000000,0)/100000),9)</f>
        <v>0</v>
      </c>
      <c r="AF1003" s="8" t="n">
        <f aca="false">MIN(INT(ROUND(P1003*1000000,0)/100000),9)</f>
        <v>0</v>
      </c>
    </row>
    <row r="1004" customFormat="false" ht="15" hidden="false" customHeight="false" outlineLevel="0" collapsed="false">
      <c r="A1004" s="4" t="n">
        <v>1000</v>
      </c>
      <c r="B1004" s="4" t="n">
        <v>1319</v>
      </c>
      <c r="C1004" s="4" t="n">
        <v>2</v>
      </c>
      <c r="D1004" s="11" t="n">
        <v>46113</v>
      </c>
      <c r="E1004" s="4" t="s">
        <v>202</v>
      </c>
      <c r="F1004" s="4" t="s">
        <v>206</v>
      </c>
      <c r="G1004" s="4" t="n">
        <v>8</v>
      </c>
      <c r="H1004" s="4" t="n">
        <v>1</v>
      </c>
      <c r="I1004" s="4" t="n">
        <v>0</v>
      </c>
      <c r="J1004" s="4" t="n">
        <v>1167</v>
      </c>
      <c r="K1004" s="4" t="n">
        <v>0</v>
      </c>
      <c r="L1004" s="12" t="n">
        <v>0.811569</v>
      </c>
      <c r="M1004" s="12" t="n">
        <v>0.092063</v>
      </c>
      <c r="N1004" s="12" t="n">
        <v>0.0805</v>
      </c>
      <c r="O1004" s="12" t="n">
        <v>0.106183</v>
      </c>
      <c r="P1004" s="12" t="n">
        <v>0.084519</v>
      </c>
      <c r="Q1004" s="0" t="str">
        <f aca="false">IF(L1004&gt;=Models!$G$5,1+COUNTIF($L$5:$L$1517,"&gt;"&amp;L1004)+COUNTIFS($L$5:$L$1517,L1004,$B$5:$B$1517,"&lt;"&amp;B1004)+COUNTIFS($L$5:$L$1517,L1004,$B$5:$B$1517,B1004,$C$5:$C$1517,"&lt;"&amp;C1004),"")</f>
        <v/>
      </c>
      <c r="R1004" s="0" t="str">
        <f aca="false">IF(M1004&gt;=Models!$G$6,1+COUNTIF($M$5:$M$1517,"&gt;"&amp;M1004)+COUNTIFS($M$5:$M$1517,M1004,$B$5:$B$1517,"&lt;"&amp;B1004)+COUNTIFS($M$5:$M$1517,M1004,$B$5:$B$1517,B1004,$C$5:$C$1517,"&lt;"&amp;C1004),"")</f>
        <v/>
      </c>
      <c r="S1004" s="0" t="str">
        <f aca="false">IF(N1004&gt;=Models!$G$7,1+COUNTIF($N$5:$N$1517,"&gt;"&amp;N1004)+COUNTIFS($N$5:$N$1517,N1004,$B$5:$B$1517,"&lt;"&amp;B1004)+COUNTIFS($N$5:$N$1517,N1004,$B$5:$B$1517,B1004,$C$5:$C$1517,"&lt;"&amp;C1004),"")</f>
        <v/>
      </c>
      <c r="T1004" s="8" t="n">
        <f aca="false">IF(O1004&gt;=Models!$G$8,1+COUNTIF($O$5:$O$1517,"&gt;"&amp;O1004)+COUNTIFS($O$5:$O$1517,O1004,$B$5:$B$1517,"&lt;"&amp;B1004)+COUNTIFS($O$5:$O$1517,O1004,$B$5:$B$1517,B1004,$C$5:$C$1517,"&lt;"&amp;C1004),"")</f>
        <v>1071</v>
      </c>
      <c r="U1004" s="8" t="n">
        <f aca="false">IF($K1004=1,COUNTIFS($L$5:$L$1517,"&gt;="&amp;L1004,$K$5:$K$1517,1)/COUNTIF($L$5:$L$1517,"&gt;="&amp;L1004),0)</f>
        <v>0</v>
      </c>
      <c r="V1004" s="8" t="n">
        <f aca="false">IF($K1004=1,COUNTIFS($M$5:$M$1517,"&gt;="&amp;M1004,$K$5:$K$1517,1)/COUNTIF($M$5:$M$1517,"&gt;="&amp;M1004),0)</f>
        <v>0</v>
      </c>
      <c r="W1004" s="8" t="n">
        <f aca="false">IF($K1004=1,COUNTIFS($N$5:$N$1517,"&gt;="&amp;N1004,$K$5:$K$1517,1)/COUNTIF($N$5:$N$1517,"&gt;="&amp;N1004),0)</f>
        <v>0</v>
      </c>
      <c r="X1004" s="8" t="n">
        <f aca="false">IF($K1004=1,COUNTIFS($O$5:$O$1517,"&gt;="&amp;O1004,$K$5:$K$1517,1)/COUNTIF($O$5:$O$1517,"&gt;="&amp;O1004),0)</f>
        <v>0</v>
      </c>
      <c r="Y1004" s="8" t="n">
        <f aca="false">IF($K1004=1,COUNTIFS($P$5:$P$1517,"&gt;="&amp;P1004,$K$5:$K$1517,1)/COUNTIF($P$5:$P$1517,"&gt;="&amp;P1004),0)</f>
        <v>0</v>
      </c>
      <c r="Z1004" s="8" t="n">
        <f aca="false">(L1004-$K1004)^2</f>
        <v>0.658644241761</v>
      </c>
      <c r="AA1004" s="8" t="n">
        <f aca="false">(M1004-$K1004)^2</f>
        <v>0.008475595969</v>
      </c>
      <c r="AB1004" s="8" t="n">
        <f aca="false">(N1004-$K1004)^2</f>
        <v>0.00648025</v>
      </c>
      <c r="AC1004" s="8" t="n">
        <f aca="false">(O1004-$K1004)^2</f>
        <v>0.011274829489</v>
      </c>
      <c r="AD1004" s="8" t="n">
        <f aca="false">(P1004-$K1004)^2</f>
        <v>0.007143461361</v>
      </c>
      <c r="AE1004" s="8" t="n">
        <f aca="false">MIN(INT(ROUND(N1004*1000000,0)/100000),9)</f>
        <v>0</v>
      </c>
      <c r="AF1004" s="8" t="n">
        <f aca="false">MIN(INT(ROUND(P1004*1000000,0)/100000),9)</f>
        <v>0</v>
      </c>
    </row>
    <row r="1005" customFormat="false" ht="15" hidden="false" customHeight="false" outlineLevel="0" collapsed="false">
      <c r="A1005" s="4" t="n">
        <v>1001</v>
      </c>
      <c r="B1005" s="4" t="n">
        <v>1321</v>
      </c>
      <c r="C1005" s="4" t="n">
        <v>2</v>
      </c>
      <c r="D1005" s="11" t="n">
        <v>46113</v>
      </c>
      <c r="E1005" s="4" t="s">
        <v>202</v>
      </c>
      <c r="F1005" s="4" t="s">
        <v>210</v>
      </c>
      <c r="G1005" s="4" t="n">
        <v>4</v>
      </c>
      <c r="H1005" s="4" t="n">
        <v>9</v>
      </c>
      <c r="I1005" s="4" t="n">
        <v>0</v>
      </c>
      <c r="J1005" s="4"/>
      <c r="K1005" s="4" t="n">
        <v>0</v>
      </c>
      <c r="L1005" s="12" t="n">
        <v>0.08911</v>
      </c>
      <c r="M1005" s="12" t="n">
        <v>0.092063</v>
      </c>
      <c r="N1005" s="12" t="n">
        <v>0.063031</v>
      </c>
      <c r="O1005" s="12" t="n">
        <v>0.106183</v>
      </c>
      <c r="P1005" s="12" t="n">
        <v>0.065469</v>
      </c>
      <c r="Q1005" s="0" t="str">
        <f aca="false">IF(L1005&gt;=Models!$G$5,1+COUNTIF($L$5:$L$1517,"&gt;"&amp;L1005)+COUNTIFS($L$5:$L$1517,L1005,$B$5:$B$1517,"&lt;"&amp;B1005)+COUNTIFS($L$5:$L$1517,L1005,$B$5:$B$1517,B1005,$C$5:$C$1517,"&lt;"&amp;C1005),"")</f>
        <v/>
      </c>
      <c r="R1005" s="0" t="str">
        <f aca="false">IF(M1005&gt;=Models!$G$6,1+COUNTIF($M$5:$M$1517,"&gt;"&amp;M1005)+COUNTIFS($M$5:$M$1517,M1005,$B$5:$B$1517,"&lt;"&amp;B1005)+COUNTIFS($M$5:$M$1517,M1005,$B$5:$B$1517,B1005,$C$5:$C$1517,"&lt;"&amp;C1005),"")</f>
        <v/>
      </c>
      <c r="S1005" s="0" t="str">
        <f aca="false">IF(N1005&gt;=Models!$G$7,1+COUNTIF($N$5:$N$1517,"&gt;"&amp;N1005)+COUNTIFS($N$5:$N$1517,N1005,$B$5:$B$1517,"&lt;"&amp;B1005)+COUNTIFS($N$5:$N$1517,N1005,$B$5:$B$1517,B1005,$C$5:$C$1517,"&lt;"&amp;C1005),"")</f>
        <v/>
      </c>
      <c r="T1005" s="8" t="n">
        <f aca="false">IF(O1005&gt;=Models!$G$8,1+COUNTIF($O$5:$O$1517,"&gt;"&amp;O1005)+COUNTIFS($O$5:$O$1517,O1005,$B$5:$B$1517,"&lt;"&amp;B1005)+COUNTIFS($O$5:$O$1517,O1005,$B$5:$B$1517,B1005,$C$5:$C$1517,"&lt;"&amp;C1005),"")</f>
        <v>1075</v>
      </c>
      <c r="U1005" s="8" t="n">
        <f aca="false">IF($K1005=1,COUNTIFS($L$5:$L$1517,"&gt;="&amp;L1005,$K$5:$K$1517,1)/COUNTIF($L$5:$L$1517,"&gt;="&amp;L1005),0)</f>
        <v>0</v>
      </c>
      <c r="V1005" s="8" t="n">
        <f aca="false">IF($K1005=1,COUNTIFS($M$5:$M$1517,"&gt;="&amp;M1005,$K$5:$K$1517,1)/COUNTIF($M$5:$M$1517,"&gt;="&amp;M1005),0)</f>
        <v>0</v>
      </c>
      <c r="W1005" s="8" t="n">
        <f aca="false">IF($K1005=1,COUNTIFS($N$5:$N$1517,"&gt;="&amp;N1005,$K$5:$K$1517,1)/COUNTIF($N$5:$N$1517,"&gt;="&amp;N1005),0)</f>
        <v>0</v>
      </c>
      <c r="X1005" s="8" t="n">
        <f aca="false">IF($K1005=1,COUNTIFS($O$5:$O$1517,"&gt;="&amp;O1005,$K$5:$K$1517,1)/COUNTIF($O$5:$O$1517,"&gt;="&amp;O1005),0)</f>
        <v>0</v>
      </c>
      <c r="Y1005" s="8" t="n">
        <f aca="false">IF($K1005=1,COUNTIFS($P$5:$P$1517,"&gt;="&amp;P1005,$K$5:$K$1517,1)/COUNTIF($P$5:$P$1517,"&gt;="&amp;P1005),0)</f>
        <v>0</v>
      </c>
      <c r="Z1005" s="8" t="n">
        <f aca="false">(L1005-$K1005)^2</f>
        <v>0.0079405921</v>
      </c>
      <c r="AA1005" s="8" t="n">
        <f aca="false">(M1005-$K1005)^2</f>
        <v>0.008475595969</v>
      </c>
      <c r="AB1005" s="8" t="n">
        <f aca="false">(N1005-$K1005)^2</f>
        <v>0.003972906961</v>
      </c>
      <c r="AC1005" s="8" t="n">
        <f aca="false">(O1005-$K1005)^2</f>
        <v>0.011274829489</v>
      </c>
      <c r="AD1005" s="8" t="n">
        <f aca="false">(P1005-$K1005)^2</f>
        <v>0.004286189961</v>
      </c>
      <c r="AE1005" s="8" t="n">
        <f aca="false">MIN(INT(ROUND(N1005*1000000,0)/100000),9)</f>
        <v>0</v>
      </c>
      <c r="AF1005" s="8" t="n">
        <f aca="false">MIN(INT(ROUND(P1005*1000000,0)/100000),9)</f>
        <v>0</v>
      </c>
    </row>
    <row r="1006" customFormat="false" ht="15" hidden="false" customHeight="false" outlineLevel="0" collapsed="false">
      <c r="A1006" s="4" t="n">
        <v>1002</v>
      </c>
      <c r="B1006" s="4" t="n">
        <v>1323</v>
      </c>
      <c r="C1006" s="4" t="n">
        <v>2</v>
      </c>
      <c r="D1006" s="11" t="n">
        <v>46113</v>
      </c>
      <c r="E1006" s="4" t="s">
        <v>203</v>
      </c>
      <c r="F1006" s="4" t="s">
        <v>209</v>
      </c>
      <c r="G1006" s="4" t="n">
        <v>7</v>
      </c>
      <c r="H1006" s="4" t="n">
        <v>2</v>
      </c>
      <c r="I1006" s="4" t="n">
        <v>0</v>
      </c>
      <c r="J1006" s="4" t="n">
        <v>447</v>
      </c>
      <c r="K1006" s="4" t="n">
        <v>0</v>
      </c>
      <c r="L1006" s="12" t="n">
        <v>0.817762</v>
      </c>
      <c r="M1006" s="12" t="n">
        <v>0.092063</v>
      </c>
      <c r="N1006" s="12" t="n">
        <v>0.091491</v>
      </c>
      <c r="O1006" s="12" t="n">
        <v>0.106183</v>
      </c>
      <c r="P1006" s="12" t="n">
        <v>0.09658</v>
      </c>
      <c r="Q1006" s="0" t="str">
        <f aca="false">IF(L1006&gt;=Models!$G$5,1+COUNTIF($L$5:$L$1517,"&gt;"&amp;L1006)+COUNTIFS($L$5:$L$1517,L1006,$B$5:$B$1517,"&lt;"&amp;B1006)+COUNTIFS($L$5:$L$1517,L1006,$B$5:$B$1517,B1006,$C$5:$C$1517,"&lt;"&amp;C1006),"")</f>
        <v/>
      </c>
      <c r="R1006" s="0" t="str">
        <f aca="false">IF(M1006&gt;=Models!$G$6,1+COUNTIF($M$5:$M$1517,"&gt;"&amp;M1006)+COUNTIFS($M$5:$M$1517,M1006,$B$5:$B$1517,"&lt;"&amp;B1006)+COUNTIFS($M$5:$M$1517,M1006,$B$5:$B$1517,B1006,$C$5:$C$1517,"&lt;"&amp;C1006),"")</f>
        <v/>
      </c>
      <c r="S1006" s="0" t="str">
        <f aca="false">IF(N1006&gt;=Models!$G$7,1+COUNTIF($N$5:$N$1517,"&gt;"&amp;N1006)+COUNTIFS($N$5:$N$1517,N1006,$B$5:$B$1517,"&lt;"&amp;B1006)+COUNTIFS($N$5:$N$1517,N1006,$B$5:$B$1517,B1006,$C$5:$C$1517,"&lt;"&amp;C1006),"")</f>
        <v/>
      </c>
      <c r="T1006" s="8" t="n">
        <f aca="false">IF(O1006&gt;=Models!$G$8,1+COUNTIF($O$5:$O$1517,"&gt;"&amp;O1006)+COUNTIFS($O$5:$O$1517,O1006,$B$5:$B$1517,"&lt;"&amp;B1006)+COUNTIFS($O$5:$O$1517,O1006,$B$5:$B$1517,B1006,$C$5:$C$1517,"&lt;"&amp;C1006),"")</f>
        <v>1079</v>
      </c>
      <c r="U1006" s="8" t="n">
        <f aca="false">IF($K1006=1,COUNTIFS($L$5:$L$1517,"&gt;="&amp;L1006,$K$5:$K$1517,1)/COUNTIF($L$5:$L$1517,"&gt;="&amp;L1006),0)</f>
        <v>0</v>
      </c>
      <c r="V1006" s="8" t="n">
        <f aca="false">IF($K1006=1,COUNTIFS($M$5:$M$1517,"&gt;="&amp;M1006,$K$5:$K$1517,1)/COUNTIF($M$5:$M$1517,"&gt;="&amp;M1006),0)</f>
        <v>0</v>
      </c>
      <c r="W1006" s="8" t="n">
        <f aca="false">IF($K1006=1,COUNTIFS($N$5:$N$1517,"&gt;="&amp;N1006,$K$5:$K$1517,1)/COUNTIF($N$5:$N$1517,"&gt;="&amp;N1006),0)</f>
        <v>0</v>
      </c>
      <c r="X1006" s="8" t="n">
        <f aca="false">IF($K1006=1,COUNTIFS($O$5:$O$1517,"&gt;="&amp;O1006,$K$5:$K$1517,1)/COUNTIF($O$5:$O$1517,"&gt;="&amp;O1006),0)</f>
        <v>0</v>
      </c>
      <c r="Y1006" s="8" t="n">
        <f aca="false">IF($K1006=1,COUNTIFS($P$5:$P$1517,"&gt;="&amp;P1006,$K$5:$K$1517,1)/COUNTIF($P$5:$P$1517,"&gt;="&amp;P1006),0)</f>
        <v>0</v>
      </c>
      <c r="Z1006" s="8" t="n">
        <f aca="false">(L1006-$K1006)^2</f>
        <v>0.668734688644</v>
      </c>
      <c r="AA1006" s="8" t="n">
        <f aca="false">(M1006-$K1006)^2</f>
        <v>0.008475595969</v>
      </c>
      <c r="AB1006" s="8" t="n">
        <f aca="false">(N1006-$K1006)^2</f>
        <v>0.008370603081</v>
      </c>
      <c r="AC1006" s="8" t="n">
        <f aca="false">(O1006-$K1006)^2</f>
        <v>0.011274829489</v>
      </c>
      <c r="AD1006" s="8" t="n">
        <f aca="false">(P1006-$K1006)^2</f>
        <v>0.0093276964</v>
      </c>
      <c r="AE1006" s="8" t="n">
        <f aca="false">MIN(INT(ROUND(N1006*1000000,0)/100000),9)</f>
        <v>0</v>
      </c>
      <c r="AF1006" s="8" t="n">
        <f aca="false">MIN(INT(ROUND(P1006*1000000,0)/100000),9)</f>
        <v>0</v>
      </c>
    </row>
    <row r="1007" customFormat="false" ht="15" hidden="false" customHeight="false" outlineLevel="0" collapsed="false">
      <c r="A1007" s="4" t="n">
        <v>1003</v>
      </c>
      <c r="B1007" s="4" t="n">
        <v>1324</v>
      </c>
      <c r="C1007" s="4" t="n">
        <v>2</v>
      </c>
      <c r="D1007" s="11" t="n">
        <v>46113</v>
      </c>
      <c r="E1007" s="4" t="s">
        <v>204</v>
      </c>
      <c r="F1007" s="4" t="s">
        <v>207</v>
      </c>
      <c r="G1007" s="4" t="n">
        <v>3</v>
      </c>
      <c r="H1007" s="4" t="n">
        <v>17</v>
      </c>
      <c r="I1007" s="4" t="n">
        <v>0</v>
      </c>
      <c r="J1007" s="4" t="n">
        <v>81</v>
      </c>
      <c r="K1007" s="4" t="n">
        <v>0</v>
      </c>
      <c r="L1007" s="12" t="n">
        <v>0.711035</v>
      </c>
      <c r="M1007" s="12" t="n">
        <v>0.092063</v>
      </c>
      <c r="N1007" s="12" t="n">
        <v>0.142897</v>
      </c>
      <c r="O1007" s="12" t="n">
        <v>0.106183</v>
      </c>
      <c r="P1007" s="12" t="n">
        <v>0.153463</v>
      </c>
      <c r="Q1007" s="0" t="str">
        <f aca="false">IF(L1007&gt;=Models!$G$5,1+COUNTIF($L$5:$L$1517,"&gt;"&amp;L1007)+COUNTIFS($L$5:$L$1517,L1007,$B$5:$B$1517,"&lt;"&amp;B1007)+COUNTIFS($L$5:$L$1517,L1007,$B$5:$B$1517,B1007,$C$5:$C$1517,"&lt;"&amp;C1007),"")</f>
        <v/>
      </c>
      <c r="R1007" s="0" t="str">
        <f aca="false">IF(M1007&gt;=Models!$G$6,1+COUNTIF($M$5:$M$1517,"&gt;"&amp;M1007)+COUNTIFS($M$5:$M$1517,M1007,$B$5:$B$1517,"&lt;"&amp;B1007)+COUNTIFS($M$5:$M$1517,M1007,$B$5:$B$1517,B1007,$C$5:$C$1517,"&lt;"&amp;C1007),"")</f>
        <v/>
      </c>
      <c r="S1007" s="0" t="str">
        <f aca="false">IF(N1007&gt;=Models!$G$7,1+COUNTIF($N$5:$N$1517,"&gt;"&amp;N1007)+COUNTIFS($N$5:$N$1517,N1007,$B$5:$B$1517,"&lt;"&amp;B1007)+COUNTIFS($N$5:$N$1517,N1007,$B$5:$B$1517,B1007,$C$5:$C$1517,"&lt;"&amp;C1007),"")</f>
        <v/>
      </c>
      <c r="T1007" s="8" t="n">
        <f aca="false">IF(O1007&gt;=Models!$G$8,1+COUNTIF($O$5:$O$1517,"&gt;"&amp;O1007)+COUNTIFS($O$5:$O$1517,O1007,$B$5:$B$1517,"&lt;"&amp;B1007)+COUNTIFS($O$5:$O$1517,O1007,$B$5:$B$1517,B1007,$C$5:$C$1517,"&lt;"&amp;C1007),"")</f>
        <v>1083</v>
      </c>
      <c r="U1007" s="8" t="n">
        <f aca="false">IF($K1007=1,COUNTIFS($L$5:$L$1517,"&gt;="&amp;L1007,$K$5:$K$1517,1)/COUNTIF($L$5:$L$1517,"&gt;="&amp;L1007),0)</f>
        <v>0</v>
      </c>
      <c r="V1007" s="8" t="n">
        <f aca="false">IF($K1007=1,COUNTIFS($M$5:$M$1517,"&gt;="&amp;M1007,$K$5:$K$1517,1)/COUNTIF($M$5:$M$1517,"&gt;="&amp;M1007),0)</f>
        <v>0</v>
      </c>
      <c r="W1007" s="8" t="n">
        <f aca="false">IF($K1007=1,COUNTIFS($N$5:$N$1517,"&gt;="&amp;N1007,$K$5:$K$1517,1)/COUNTIF($N$5:$N$1517,"&gt;="&amp;N1007),0)</f>
        <v>0</v>
      </c>
      <c r="X1007" s="8" t="n">
        <f aca="false">IF($K1007=1,COUNTIFS($O$5:$O$1517,"&gt;="&amp;O1007,$K$5:$K$1517,1)/COUNTIF($O$5:$O$1517,"&gt;="&amp;O1007),0)</f>
        <v>0</v>
      </c>
      <c r="Y1007" s="8" t="n">
        <f aca="false">IF($K1007=1,COUNTIFS($P$5:$P$1517,"&gt;="&amp;P1007,$K$5:$K$1517,1)/COUNTIF($P$5:$P$1517,"&gt;="&amp;P1007),0)</f>
        <v>0</v>
      </c>
      <c r="Z1007" s="8" t="n">
        <f aca="false">(L1007-$K1007)^2</f>
        <v>0.505570771225</v>
      </c>
      <c r="AA1007" s="8" t="n">
        <f aca="false">(M1007-$K1007)^2</f>
        <v>0.008475595969</v>
      </c>
      <c r="AB1007" s="8" t="n">
        <f aca="false">(N1007-$K1007)^2</f>
        <v>0.020419552609</v>
      </c>
      <c r="AC1007" s="8" t="n">
        <f aca="false">(O1007-$K1007)^2</f>
        <v>0.011274829489</v>
      </c>
      <c r="AD1007" s="8" t="n">
        <f aca="false">(P1007-$K1007)^2</f>
        <v>0.023550892369</v>
      </c>
      <c r="AE1007" s="8" t="n">
        <f aca="false">MIN(INT(ROUND(N1007*1000000,0)/100000),9)</f>
        <v>1</v>
      </c>
      <c r="AF1007" s="8" t="n">
        <f aca="false">MIN(INT(ROUND(P1007*1000000,0)/100000),9)</f>
        <v>1</v>
      </c>
    </row>
    <row r="1008" customFormat="false" ht="15" hidden="false" customHeight="false" outlineLevel="0" collapsed="false">
      <c r="A1008" s="4" t="n">
        <v>1004</v>
      </c>
      <c r="B1008" s="4" t="n">
        <v>1327</v>
      </c>
      <c r="C1008" s="4" t="n">
        <v>2</v>
      </c>
      <c r="D1008" s="11" t="n">
        <v>46113</v>
      </c>
      <c r="E1008" s="4" t="s">
        <v>202</v>
      </c>
      <c r="F1008" s="4" t="s">
        <v>207</v>
      </c>
      <c r="G1008" s="4" t="n">
        <v>4</v>
      </c>
      <c r="H1008" s="4" t="n">
        <v>4</v>
      </c>
      <c r="I1008" s="4" t="n">
        <v>1</v>
      </c>
      <c r="J1008" s="4" t="n">
        <v>765</v>
      </c>
      <c r="K1008" s="4" t="n">
        <v>1</v>
      </c>
      <c r="L1008" s="12" t="n">
        <v>0.196427</v>
      </c>
      <c r="M1008" s="12" t="n">
        <v>0.184211</v>
      </c>
      <c r="N1008" s="12" t="n">
        <v>0.192844</v>
      </c>
      <c r="O1008" s="12" t="n">
        <v>0.106183</v>
      </c>
      <c r="P1008" s="12" t="n">
        <v>0.20903</v>
      </c>
      <c r="Q1008" s="0" t="str">
        <f aca="false">IF(L1008&gt;=Models!$G$5,1+COUNTIF($L$5:$L$1517,"&gt;"&amp;L1008)+COUNTIFS($L$5:$L$1517,L1008,$B$5:$B$1517,"&lt;"&amp;B1008)+COUNTIFS($L$5:$L$1517,L1008,$B$5:$B$1517,B1008,$C$5:$C$1517,"&lt;"&amp;C1008),"")</f>
        <v/>
      </c>
      <c r="R1008" s="8" t="n">
        <f aca="false">IF(M1008&gt;=Models!$G$6,1+COUNTIF($M$5:$M$1517,"&gt;"&amp;M1008)+COUNTIFS($M$5:$M$1517,M1008,$B$5:$B$1517,"&lt;"&amp;B1008)+COUNTIFS($M$5:$M$1517,M1008,$B$5:$B$1517,B1008,$C$5:$C$1517,"&lt;"&amp;C1008),"")</f>
        <v>134</v>
      </c>
      <c r="S1008" s="0" t="str">
        <f aca="false">IF(N1008&gt;=Models!$G$7,1+COUNTIF($N$5:$N$1517,"&gt;"&amp;N1008)+COUNTIFS($N$5:$N$1517,N1008,$B$5:$B$1517,"&lt;"&amp;B1008)+COUNTIFS($N$5:$N$1517,N1008,$B$5:$B$1517,B1008,$C$5:$C$1517,"&lt;"&amp;C1008),"")</f>
        <v/>
      </c>
      <c r="T1008" s="8" t="n">
        <f aca="false">IF(O1008&gt;=Models!$G$8,1+COUNTIF($O$5:$O$1517,"&gt;"&amp;O1008)+COUNTIFS($O$5:$O$1517,O1008,$B$5:$B$1517,"&lt;"&amp;B1008)+COUNTIFS($O$5:$O$1517,O1008,$B$5:$B$1517,B1008,$C$5:$C$1517,"&lt;"&amp;C1008),"")</f>
        <v>1087</v>
      </c>
      <c r="U1008" s="8" t="n">
        <f aca="false">IF($K1008=1,COUNTIFS($L$5:$L$1517,"&gt;="&amp;L1008,$K$5:$K$1517,1)/COUNTIF($L$5:$L$1517,"&gt;="&amp;L1008),0)</f>
        <v>0.127287853577371</v>
      </c>
      <c r="V1008" s="8" t="n">
        <f aca="false">IF($K1008=1,COUNTIFS($M$5:$M$1517,"&gt;="&amp;M1008,$K$5:$K$1517,1)/COUNTIF($M$5:$M$1517,"&gt;="&amp;M1008),0)</f>
        <v>0.186528497409326</v>
      </c>
      <c r="W1008" s="8" t="n">
        <f aca="false">IF($K1008=1,COUNTIFS($N$5:$N$1517,"&gt;="&amp;N1008,$K$5:$K$1517,1)/COUNTIF($N$5:$N$1517,"&gt;="&amp;N1008),0)</f>
        <v>0.298701298701299</v>
      </c>
      <c r="X1008" s="8" t="n">
        <f aca="false">IF($K1008=1,COUNTIFS($O$5:$O$1517,"&gt;="&amp;O1008,$K$5:$K$1517,1)/COUNTIF($O$5:$O$1517,"&gt;="&amp;O1008),0)</f>
        <v>0.12491738268341</v>
      </c>
      <c r="Y1008" s="8" t="n">
        <f aca="false">IF($K1008=1,COUNTIFS($P$5:$P$1517,"&gt;="&amp;P1008,$K$5:$K$1517,1)/COUNTIF($P$5:$P$1517,"&gt;="&amp;P1008),0)</f>
        <v>0.298701298701299</v>
      </c>
      <c r="Z1008" s="8" t="n">
        <f aca="false">(L1008-$K1008)^2</f>
        <v>0.645729566329</v>
      </c>
      <c r="AA1008" s="8" t="n">
        <f aca="false">(M1008-$K1008)^2</f>
        <v>0.665511692521</v>
      </c>
      <c r="AB1008" s="8" t="n">
        <f aca="false">(N1008-$K1008)^2</f>
        <v>0.651500808336</v>
      </c>
      <c r="AC1008" s="8" t="n">
        <f aca="false">(O1008-$K1008)^2</f>
        <v>0.798908829489</v>
      </c>
      <c r="AD1008" s="8" t="n">
        <f aca="false">(P1008-$K1008)^2</f>
        <v>0.6256335409</v>
      </c>
      <c r="AE1008" s="8" t="n">
        <f aca="false">MIN(INT(ROUND(N1008*1000000,0)/100000),9)</f>
        <v>1</v>
      </c>
      <c r="AF1008" s="8" t="n">
        <f aca="false">MIN(INT(ROUND(P1008*1000000,0)/100000),9)</f>
        <v>2</v>
      </c>
    </row>
    <row r="1009" customFormat="false" ht="15" hidden="false" customHeight="false" outlineLevel="0" collapsed="false">
      <c r="A1009" s="4" t="n">
        <v>1005</v>
      </c>
      <c r="B1009" s="4" t="n">
        <v>1328</v>
      </c>
      <c r="C1009" s="4" t="n">
        <v>2</v>
      </c>
      <c r="D1009" s="11" t="n">
        <v>46113</v>
      </c>
      <c r="E1009" s="4" t="s">
        <v>202</v>
      </c>
      <c r="F1009" s="4" t="s">
        <v>206</v>
      </c>
      <c r="G1009" s="4" t="n">
        <v>11</v>
      </c>
      <c r="H1009" s="4" t="n">
        <v>5</v>
      </c>
      <c r="I1009" s="4" t="n">
        <v>0</v>
      </c>
      <c r="J1009" s="4"/>
      <c r="K1009" s="4" t="n">
        <v>0</v>
      </c>
      <c r="L1009" s="12" t="n">
        <v>0.403199</v>
      </c>
      <c r="M1009" s="12" t="n">
        <v>0.092063</v>
      </c>
      <c r="N1009" s="12" t="n">
        <v>0.033512</v>
      </c>
      <c r="O1009" s="12" t="n">
        <v>0.106183</v>
      </c>
      <c r="P1009" s="12" t="n">
        <v>0.033806</v>
      </c>
      <c r="Q1009" s="0" t="str">
        <f aca="false">IF(L1009&gt;=Models!$G$5,1+COUNTIF($L$5:$L$1517,"&gt;"&amp;L1009)+COUNTIFS($L$5:$L$1517,L1009,$B$5:$B$1517,"&lt;"&amp;B1009)+COUNTIFS($L$5:$L$1517,L1009,$B$5:$B$1517,B1009,$C$5:$C$1517,"&lt;"&amp;C1009),"")</f>
        <v/>
      </c>
      <c r="R1009" s="0" t="str">
        <f aca="false">IF(M1009&gt;=Models!$G$6,1+COUNTIF($M$5:$M$1517,"&gt;"&amp;M1009)+COUNTIFS($M$5:$M$1517,M1009,$B$5:$B$1517,"&lt;"&amp;B1009)+COUNTIFS($M$5:$M$1517,M1009,$B$5:$B$1517,B1009,$C$5:$C$1517,"&lt;"&amp;C1009),"")</f>
        <v/>
      </c>
      <c r="S1009" s="0" t="str">
        <f aca="false">IF(N1009&gt;=Models!$G$7,1+COUNTIF($N$5:$N$1517,"&gt;"&amp;N1009)+COUNTIFS($N$5:$N$1517,N1009,$B$5:$B$1517,"&lt;"&amp;B1009)+COUNTIFS($N$5:$N$1517,N1009,$B$5:$B$1517,B1009,$C$5:$C$1517,"&lt;"&amp;C1009),"")</f>
        <v/>
      </c>
      <c r="T1009" s="8" t="n">
        <f aca="false">IF(O1009&gt;=Models!$G$8,1+COUNTIF($O$5:$O$1517,"&gt;"&amp;O1009)+COUNTIFS($O$5:$O$1517,O1009,$B$5:$B$1517,"&lt;"&amp;B1009)+COUNTIFS($O$5:$O$1517,O1009,$B$5:$B$1517,B1009,$C$5:$C$1517,"&lt;"&amp;C1009),"")</f>
        <v>1091</v>
      </c>
      <c r="U1009" s="8" t="n">
        <f aca="false">IF($K1009=1,COUNTIFS($L$5:$L$1517,"&gt;="&amp;L1009,$K$5:$K$1517,1)/COUNTIF($L$5:$L$1517,"&gt;="&amp;L1009),0)</f>
        <v>0</v>
      </c>
      <c r="V1009" s="8" t="n">
        <f aca="false">IF($K1009=1,COUNTIFS($M$5:$M$1517,"&gt;="&amp;M1009,$K$5:$K$1517,1)/COUNTIF($M$5:$M$1517,"&gt;="&amp;M1009),0)</f>
        <v>0</v>
      </c>
      <c r="W1009" s="8" t="n">
        <f aca="false">IF($K1009=1,COUNTIFS($N$5:$N$1517,"&gt;="&amp;N1009,$K$5:$K$1517,1)/COUNTIF($N$5:$N$1517,"&gt;="&amp;N1009),0)</f>
        <v>0</v>
      </c>
      <c r="X1009" s="8" t="n">
        <f aca="false">IF($K1009=1,COUNTIFS($O$5:$O$1517,"&gt;="&amp;O1009,$K$5:$K$1517,1)/COUNTIF($O$5:$O$1517,"&gt;="&amp;O1009),0)</f>
        <v>0</v>
      </c>
      <c r="Y1009" s="8" t="n">
        <f aca="false">IF($K1009=1,COUNTIFS($P$5:$P$1517,"&gt;="&amp;P1009,$K$5:$K$1517,1)/COUNTIF($P$5:$P$1517,"&gt;="&amp;P1009),0)</f>
        <v>0</v>
      </c>
      <c r="Z1009" s="8" t="n">
        <f aca="false">(L1009-$K1009)^2</f>
        <v>0.162569433601</v>
      </c>
      <c r="AA1009" s="8" t="n">
        <f aca="false">(M1009-$K1009)^2</f>
        <v>0.008475595969</v>
      </c>
      <c r="AB1009" s="8" t="n">
        <f aca="false">(N1009-$K1009)^2</f>
        <v>0.001123054144</v>
      </c>
      <c r="AC1009" s="8" t="n">
        <f aca="false">(O1009-$K1009)^2</f>
        <v>0.011274829489</v>
      </c>
      <c r="AD1009" s="8" t="n">
        <f aca="false">(P1009-$K1009)^2</f>
        <v>0.001142845636</v>
      </c>
      <c r="AE1009" s="8" t="n">
        <f aca="false">MIN(INT(ROUND(N1009*1000000,0)/100000),9)</f>
        <v>0</v>
      </c>
      <c r="AF1009" s="8" t="n">
        <f aca="false">MIN(INT(ROUND(P1009*1000000,0)/100000),9)</f>
        <v>0</v>
      </c>
    </row>
    <row r="1010" customFormat="false" ht="15" hidden="false" customHeight="false" outlineLevel="0" collapsed="false">
      <c r="A1010" s="4" t="n">
        <v>1006</v>
      </c>
      <c r="B1010" s="4" t="n">
        <v>1329</v>
      </c>
      <c r="C1010" s="4" t="n">
        <v>2</v>
      </c>
      <c r="D1010" s="11" t="n">
        <v>46113</v>
      </c>
      <c r="E1010" s="4" t="s">
        <v>203</v>
      </c>
      <c r="F1010" s="4" t="s">
        <v>207</v>
      </c>
      <c r="G1010" s="4" t="n">
        <v>15</v>
      </c>
      <c r="H1010" s="4" t="n">
        <v>2</v>
      </c>
      <c r="I1010" s="4" t="n">
        <v>0</v>
      </c>
      <c r="J1010" s="4"/>
      <c r="K1010" s="4" t="n">
        <v>0</v>
      </c>
      <c r="L1010" s="12" t="n">
        <v>0.124569</v>
      </c>
      <c r="M1010" s="12" t="n">
        <v>0.092063</v>
      </c>
      <c r="N1010" s="12" t="n">
        <v>0.023061</v>
      </c>
      <c r="O1010" s="12" t="n">
        <v>0.106183</v>
      </c>
      <c r="P1010" s="12" t="n">
        <v>0.022853</v>
      </c>
      <c r="Q1010" s="0" t="str">
        <f aca="false">IF(L1010&gt;=Models!$G$5,1+COUNTIF($L$5:$L$1517,"&gt;"&amp;L1010)+COUNTIFS($L$5:$L$1517,L1010,$B$5:$B$1517,"&lt;"&amp;B1010)+COUNTIFS($L$5:$L$1517,L1010,$B$5:$B$1517,B1010,$C$5:$C$1517,"&lt;"&amp;C1010),"")</f>
        <v/>
      </c>
      <c r="R1010" s="0" t="str">
        <f aca="false">IF(M1010&gt;=Models!$G$6,1+COUNTIF($M$5:$M$1517,"&gt;"&amp;M1010)+COUNTIFS($M$5:$M$1517,M1010,$B$5:$B$1517,"&lt;"&amp;B1010)+COUNTIFS($M$5:$M$1517,M1010,$B$5:$B$1517,B1010,$C$5:$C$1517,"&lt;"&amp;C1010),"")</f>
        <v/>
      </c>
      <c r="S1010" s="0" t="str">
        <f aca="false">IF(N1010&gt;=Models!$G$7,1+COUNTIF($N$5:$N$1517,"&gt;"&amp;N1010)+COUNTIFS($N$5:$N$1517,N1010,$B$5:$B$1517,"&lt;"&amp;B1010)+COUNTIFS($N$5:$N$1517,N1010,$B$5:$B$1517,B1010,$C$5:$C$1517,"&lt;"&amp;C1010),"")</f>
        <v/>
      </c>
      <c r="T1010" s="8" t="n">
        <f aca="false">IF(O1010&gt;=Models!$G$8,1+COUNTIF($O$5:$O$1517,"&gt;"&amp;O1010)+COUNTIFS($O$5:$O$1517,O1010,$B$5:$B$1517,"&lt;"&amp;B1010)+COUNTIFS($O$5:$O$1517,O1010,$B$5:$B$1517,B1010,$C$5:$C$1517,"&lt;"&amp;C1010),"")</f>
        <v>1095</v>
      </c>
      <c r="U1010" s="8" t="n">
        <f aca="false">IF($K1010=1,COUNTIFS($L$5:$L$1517,"&gt;="&amp;L1010,$K$5:$K$1517,1)/COUNTIF($L$5:$L$1517,"&gt;="&amp;L1010),0)</f>
        <v>0</v>
      </c>
      <c r="V1010" s="8" t="n">
        <f aca="false">IF($K1010=1,COUNTIFS($M$5:$M$1517,"&gt;="&amp;M1010,$K$5:$K$1517,1)/COUNTIF($M$5:$M$1517,"&gt;="&amp;M1010),0)</f>
        <v>0</v>
      </c>
      <c r="W1010" s="8" t="n">
        <f aca="false">IF($K1010=1,COUNTIFS($N$5:$N$1517,"&gt;="&amp;N1010,$K$5:$K$1517,1)/COUNTIF($N$5:$N$1517,"&gt;="&amp;N1010),0)</f>
        <v>0</v>
      </c>
      <c r="X1010" s="8" t="n">
        <f aca="false">IF($K1010=1,COUNTIFS($O$5:$O$1517,"&gt;="&amp;O1010,$K$5:$K$1517,1)/COUNTIF($O$5:$O$1517,"&gt;="&amp;O1010),0)</f>
        <v>0</v>
      </c>
      <c r="Y1010" s="8" t="n">
        <f aca="false">IF($K1010=1,COUNTIFS($P$5:$P$1517,"&gt;="&amp;P1010,$K$5:$K$1517,1)/COUNTIF($P$5:$P$1517,"&gt;="&amp;P1010),0)</f>
        <v>0</v>
      </c>
      <c r="Z1010" s="8" t="n">
        <f aca="false">(L1010-$K1010)^2</f>
        <v>0.015517435761</v>
      </c>
      <c r="AA1010" s="8" t="n">
        <f aca="false">(M1010-$K1010)^2</f>
        <v>0.008475595969</v>
      </c>
      <c r="AB1010" s="8" t="n">
        <f aca="false">(N1010-$K1010)^2</f>
        <v>0.000531809721</v>
      </c>
      <c r="AC1010" s="8" t="n">
        <f aca="false">(O1010-$K1010)^2</f>
        <v>0.011274829489</v>
      </c>
      <c r="AD1010" s="8" t="n">
        <f aca="false">(P1010-$K1010)^2</f>
        <v>0.000522259609</v>
      </c>
      <c r="AE1010" s="8" t="n">
        <f aca="false">MIN(INT(ROUND(N1010*1000000,0)/100000),9)</f>
        <v>0</v>
      </c>
      <c r="AF1010" s="8" t="n">
        <f aca="false">MIN(INT(ROUND(P1010*1000000,0)/100000),9)</f>
        <v>0</v>
      </c>
    </row>
    <row r="1011" customFormat="false" ht="15" hidden="false" customHeight="false" outlineLevel="0" collapsed="false">
      <c r="A1011" s="4" t="n">
        <v>1007</v>
      </c>
      <c r="B1011" s="4" t="n">
        <v>1337</v>
      </c>
      <c r="C1011" s="4" t="n">
        <v>2</v>
      </c>
      <c r="D1011" s="11" t="n">
        <v>46113</v>
      </c>
      <c r="E1011" s="4" t="s">
        <v>202</v>
      </c>
      <c r="F1011" s="4" t="s">
        <v>206</v>
      </c>
      <c r="G1011" s="4" t="n">
        <v>4</v>
      </c>
      <c r="H1011" s="4" t="n">
        <v>3</v>
      </c>
      <c r="I1011" s="4" t="n">
        <v>0</v>
      </c>
      <c r="J1011" s="4" t="n">
        <v>1311</v>
      </c>
      <c r="K1011" s="4" t="n">
        <v>0</v>
      </c>
      <c r="L1011" s="12" t="n">
        <v>0.833228</v>
      </c>
      <c r="M1011" s="12" t="n">
        <v>0.092063</v>
      </c>
      <c r="N1011" s="12" t="n">
        <v>0.112289</v>
      </c>
      <c r="O1011" s="12" t="n">
        <v>0.106183</v>
      </c>
      <c r="P1011" s="12" t="n">
        <v>0.119521</v>
      </c>
      <c r="Q1011" s="0" t="str">
        <f aca="false">IF(L1011&gt;=Models!$G$5,1+COUNTIF($L$5:$L$1517,"&gt;"&amp;L1011)+COUNTIFS($L$5:$L$1517,L1011,$B$5:$B$1517,"&lt;"&amp;B1011)+COUNTIFS($L$5:$L$1517,L1011,$B$5:$B$1517,B1011,$C$5:$C$1517,"&lt;"&amp;C1011),"")</f>
        <v/>
      </c>
      <c r="R1011" s="0" t="str">
        <f aca="false">IF(M1011&gt;=Models!$G$6,1+COUNTIF($M$5:$M$1517,"&gt;"&amp;M1011)+COUNTIFS($M$5:$M$1517,M1011,$B$5:$B$1517,"&lt;"&amp;B1011)+COUNTIFS($M$5:$M$1517,M1011,$B$5:$B$1517,B1011,$C$5:$C$1517,"&lt;"&amp;C1011),"")</f>
        <v/>
      </c>
      <c r="S1011" s="0" t="str">
        <f aca="false">IF(N1011&gt;=Models!$G$7,1+COUNTIF($N$5:$N$1517,"&gt;"&amp;N1011)+COUNTIFS($N$5:$N$1517,N1011,$B$5:$B$1517,"&lt;"&amp;B1011)+COUNTIFS($N$5:$N$1517,N1011,$B$5:$B$1517,B1011,$C$5:$C$1517,"&lt;"&amp;C1011),"")</f>
        <v/>
      </c>
      <c r="T1011" s="8" t="n">
        <f aca="false">IF(O1011&gt;=Models!$G$8,1+COUNTIF($O$5:$O$1517,"&gt;"&amp;O1011)+COUNTIFS($O$5:$O$1517,O1011,$B$5:$B$1517,"&lt;"&amp;B1011)+COUNTIFS($O$5:$O$1517,O1011,$B$5:$B$1517,B1011,$C$5:$C$1517,"&lt;"&amp;C1011),"")</f>
        <v>1099</v>
      </c>
      <c r="U1011" s="8" t="n">
        <f aca="false">IF($K1011=1,COUNTIFS($L$5:$L$1517,"&gt;="&amp;L1011,$K$5:$K$1517,1)/COUNTIF($L$5:$L$1517,"&gt;="&amp;L1011),0)</f>
        <v>0</v>
      </c>
      <c r="V1011" s="8" t="n">
        <f aca="false">IF($K1011=1,COUNTIFS($M$5:$M$1517,"&gt;="&amp;M1011,$K$5:$K$1517,1)/COUNTIF($M$5:$M$1517,"&gt;="&amp;M1011),0)</f>
        <v>0</v>
      </c>
      <c r="W1011" s="8" t="n">
        <f aca="false">IF($K1011=1,COUNTIFS($N$5:$N$1517,"&gt;="&amp;N1011,$K$5:$K$1517,1)/COUNTIF($N$5:$N$1517,"&gt;="&amp;N1011),0)</f>
        <v>0</v>
      </c>
      <c r="X1011" s="8" t="n">
        <f aca="false">IF($K1011=1,COUNTIFS($O$5:$O$1517,"&gt;="&amp;O1011,$K$5:$K$1517,1)/COUNTIF($O$5:$O$1517,"&gt;="&amp;O1011),0)</f>
        <v>0</v>
      </c>
      <c r="Y1011" s="8" t="n">
        <f aca="false">IF($K1011=1,COUNTIFS($P$5:$P$1517,"&gt;="&amp;P1011,$K$5:$K$1517,1)/COUNTIF($P$5:$P$1517,"&gt;="&amp;P1011),0)</f>
        <v>0</v>
      </c>
      <c r="Z1011" s="8" t="n">
        <f aca="false">(L1011-$K1011)^2</f>
        <v>0.694268899984</v>
      </c>
      <c r="AA1011" s="8" t="n">
        <f aca="false">(M1011-$K1011)^2</f>
        <v>0.008475595969</v>
      </c>
      <c r="AB1011" s="8" t="n">
        <f aca="false">(N1011-$K1011)^2</f>
        <v>0.012608819521</v>
      </c>
      <c r="AC1011" s="8" t="n">
        <f aca="false">(O1011-$K1011)^2</f>
        <v>0.011274829489</v>
      </c>
      <c r="AD1011" s="8" t="n">
        <f aca="false">(P1011-$K1011)^2</f>
        <v>0.014285269441</v>
      </c>
      <c r="AE1011" s="8" t="n">
        <f aca="false">MIN(INT(ROUND(N1011*1000000,0)/100000),9)</f>
        <v>1</v>
      </c>
      <c r="AF1011" s="8" t="n">
        <f aca="false">MIN(INT(ROUND(P1011*1000000,0)/100000),9)</f>
        <v>1</v>
      </c>
    </row>
    <row r="1012" customFormat="false" ht="15" hidden="false" customHeight="false" outlineLevel="0" collapsed="false">
      <c r="A1012" s="4" t="n">
        <v>1008</v>
      </c>
      <c r="B1012" s="4" t="n">
        <v>1338</v>
      </c>
      <c r="C1012" s="4" t="n">
        <v>2</v>
      </c>
      <c r="D1012" s="11" t="n">
        <v>46113</v>
      </c>
      <c r="E1012" s="4" t="s">
        <v>203</v>
      </c>
      <c r="F1012" s="4" t="s">
        <v>208</v>
      </c>
      <c r="G1012" s="4" t="n">
        <v>5</v>
      </c>
      <c r="H1012" s="4" t="n">
        <v>7</v>
      </c>
      <c r="I1012" s="4" t="n">
        <v>0</v>
      </c>
      <c r="J1012" s="4"/>
      <c r="K1012" s="4" t="n">
        <v>0</v>
      </c>
      <c r="L1012" s="12" t="n">
        <v>0.382158</v>
      </c>
      <c r="M1012" s="12" t="n">
        <v>0.092063</v>
      </c>
      <c r="N1012" s="12" t="n">
        <v>0.057033</v>
      </c>
      <c r="O1012" s="12" t="n">
        <v>0.106183</v>
      </c>
      <c r="P1012" s="12" t="n">
        <v>0.058972</v>
      </c>
      <c r="Q1012" s="0" t="str">
        <f aca="false">IF(L1012&gt;=Models!$G$5,1+COUNTIF($L$5:$L$1517,"&gt;"&amp;L1012)+COUNTIFS($L$5:$L$1517,L1012,$B$5:$B$1517,"&lt;"&amp;B1012)+COUNTIFS($L$5:$L$1517,L1012,$B$5:$B$1517,B1012,$C$5:$C$1517,"&lt;"&amp;C1012),"")</f>
        <v/>
      </c>
      <c r="R1012" s="0" t="str">
        <f aca="false">IF(M1012&gt;=Models!$G$6,1+COUNTIF($M$5:$M$1517,"&gt;"&amp;M1012)+COUNTIFS($M$5:$M$1517,M1012,$B$5:$B$1517,"&lt;"&amp;B1012)+COUNTIFS($M$5:$M$1517,M1012,$B$5:$B$1517,B1012,$C$5:$C$1517,"&lt;"&amp;C1012),"")</f>
        <v/>
      </c>
      <c r="S1012" s="0" t="str">
        <f aca="false">IF(N1012&gt;=Models!$G$7,1+COUNTIF($N$5:$N$1517,"&gt;"&amp;N1012)+COUNTIFS($N$5:$N$1517,N1012,$B$5:$B$1517,"&lt;"&amp;B1012)+COUNTIFS($N$5:$N$1517,N1012,$B$5:$B$1517,B1012,$C$5:$C$1517,"&lt;"&amp;C1012),"")</f>
        <v/>
      </c>
      <c r="T1012" s="8" t="n">
        <f aca="false">IF(O1012&gt;=Models!$G$8,1+COUNTIF($O$5:$O$1517,"&gt;"&amp;O1012)+COUNTIFS($O$5:$O$1517,O1012,$B$5:$B$1517,"&lt;"&amp;B1012)+COUNTIFS($O$5:$O$1517,O1012,$B$5:$B$1517,B1012,$C$5:$C$1517,"&lt;"&amp;C1012),"")</f>
        <v>1103</v>
      </c>
      <c r="U1012" s="8" t="n">
        <f aca="false">IF($K1012=1,COUNTIFS($L$5:$L$1517,"&gt;="&amp;L1012,$K$5:$K$1517,1)/COUNTIF($L$5:$L$1517,"&gt;="&amp;L1012),0)</f>
        <v>0</v>
      </c>
      <c r="V1012" s="8" t="n">
        <f aca="false">IF($K1012=1,COUNTIFS($M$5:$M$1517,"&gt;="&amp;M1012,$K$5:$K$1517,1)/COUNTIF($M$5:$M$1517,"&gt;="&amp;M1012),0)</f>
        <v>0</v>
      </c>
      <c r="W1012" s="8" t="n">
        <f aca="false">IF($K1012=1,COUNTIFS($N$5:$N$1517,"&gt;="&amp;N1012,$K$5:$K$1517,1)/COUNTIF($N$5:$N$1517,"&gt;="&amp;N1012),0)</f>
        <v>0</v>
      </c>
      <c r="X1012" s="8" t="n">
        <f aca="false">IF($K1012=1,COUNTIFS($O$5:$O$1517,"&gt;="&amp;O1012,$K$5:$K$1517,1)/COUNTIF($O$5:$O$1517,"&gt;="&amp;O1012),0)</f>
        <v>0</v>
      </c>
      <c r="Y1012" s="8" t="n">
        <f aca="false">IF($K1012=1,COUNTIFS($P$5:$P$1517,"&gt;="&amp;P1012,$K$5:$K$1517,1)/COUNTIF($P$5:$P$1517,"&gt;="&amp;P1012),0)</f>
        <v>0</v>
      </c>
      <c r="Z1012" s="8" t="n">
        <f aca="false">(L1012-$K1012)^2</f>
        <v>0.146044736964</v>
      </c>
      <c r="AA1012" s="8" t="n">
        <f aca="false">(M1012-$K1012)^2</f>
        <v>0.008475595969</v>
      </c>
      <c r="AB1012" s="8" t="n">
        <f aca="false">(N1012-$K1012)^2</f>
        <v>0.003252763089</v>
      </c>
      <c r="AC1012" s="8" t="n">
        <f aca="false">(O1012-$K1012)^2</f>
        <v>0.011274829489</v>
      </c>
      <c r="AD1012" s="8" t="n">
        <f aca="false">(P1012-$K1012)^2</f>
        <v>0.003477696784</v>
      </c>
      <c r="AE1012" s="8" t="n">
        <f aca="false">MIN(INT(ROUND(N1012*1000000,0)/100000),9)</f>
        <v>0</v>
      </c>
      <c r="AF1012" s="8" t="n">
        <f aca="false">MIN(INT(ROUND(P1012*1000000,0)/100000),9)</f>
        <v>0</v>
      </c>
    </row>
    <row r="1013" customFormat="false" ht="15" hidden="false" customHeight="false" outlineLevel="0" collapsed="false">
      <c r="A1013" s="4" t="n">
        <v>1009</v>
      </c>
      <c r="B1013" s="4" t="n">
        <v>1342</v>
      </c>
      <c r="C1013" s="4" t="n">
        <v>2</v>
      </c>
      <c r="D1013" s="11" t="n">
        <v>46113</v>
      </c>
      <c r="E1013" s="4" t="s">
        <v>204</v>
      </c>
      <c r="F1013" s="4" t="s">
        <v>206</v>
      </c>
      <c r="G1013" s="4" t="n">
        <v>3</v>
      </c>
      <c r="H1013" s="4" t="n">
        <v>1</v>
      </c>
      <c r="I1013" s="4" t="n">
        <v>0</v>
      </c>
      <c r="J1013" s="4" t="n">
        <v>93</v>
      </c>
      <c r="K1013" s="4" t="n">
        <v>1</v>
      </c>
      <c r="L1013" s="12" t="n">
        <v>0.655072</v>
      </c>
      <c r="M1013" s="12" t="n">
        <v>0.092063</v>
      </c>
      <c r="N1013" s="12" t="n">
        <v>0.127501</v>
      </c>
      <c r="O1013" s="12" t="n">
        <v>0.106183</v>
      </c>
      <c r="P1013" s="12" t="n">
        <v>0.13637</v>
      </c>
      <c r="Q1013" s="0" t="str">
        <f aca="false">IF(L1013&gt;=Models!$G$5,1+COUNTIF($L$5:$L$1517,"&gt;"&amp;L1013)+COUNTIFS($L$5:$L$1517,L1013,$B$5:$B$1517,"&lt;"&amp;B1013)+COUNTIFS($L$5:$L$1517,L1013,$B$5:$B$1517,B1013,$C$5:$C$1517,"&lt;"&amp;C1013),"")</f>
        <v/>
      </c>
      <c r="R1013" s="0" t="str">
        <f aca="false">IF(M1013&gt;=Models!$G$6,1+COUNTIF($M$5:$M$1517,"&gt;"&amp;M1013)+COUNTIFS($M$5:$M$1517,M1013,$B$5:$B$1517,"&lt;"&amp;B1013)+COUNTIFS($M$5:$M$1517,M1013,$B$5:$B$1517,B1013,$C$5:$C$1517,"&lt;"&amp;C1013),"")</f>
        <v/>
      </c>
      <c r="S1013" s="0" t="str">
        <f aca="false">IF(N1013&gt;=Models!$G$7,1+COUNTIF($N$5:$N$1517,"&gt;"&amp;N1013)+COUNTIFS($N$5:$N$1517,N1013,$B$5:$B$1517,"&lt;"&amp;B1013)+COUNTIFS($N$5:$N$1517,N1013,$B$5:$B$1517,B1013,$C$5:$C$1517,"&lt;"&amp;C1013),"")</f>
        <v/>
      </c>
      <c r="T1013" s="8" t="n">
        <f aca="false">IF(O1013&gt;=Models!$G$8,1+COUNTIF($O$5:$O$1517,"&gt;"&amp;O1013)+COUNTIFS($O$5:$O$1517,O1013,$B$5:$B$1517,"&lt;"&amp;B1013)+COUNTIFS($O$5:$O$1517,O1013,$B$5:$B$1517,B1013,$C$5:$C$1517,"&lt;"&amp;C1013),"")</f>
        <v>1107</v>
      </c>
      <c r="U1013" s="8" t="n">
        <f aca="false">IF($K1013=1,COUNTIFS($L$5:$L$1517,"&gt;="&amp;L1013,$K$5:$K$1517,1)/COUNTIF($L$5:$L$1517,"&gt;="&amp;L1013),0)</f>
        <v>0.129158512720157</v>
      </c>
      <c r="V1013" s="8" t="n">
        <f aca="false">IF($K1013=1,COUNTIFS($M$5:$M$1517,"&gt;="&amp;M1013,$K$5:$K$1517,1)/COUNTIF($M$5:$M$1517,"&gt;="&amp;M1013),0)</f>
        <v>0.12491738268341</v>
      </c>
      <c r="W1013" s="8" t="n">
        <f aca="false">IF($K1013=1,COUNTIFS($N$5:$N$1517,"&gt;="&amp;N1013,$K$5:$K$1517,1)/COUNTIF($N$5:$N$1517,"&gt;="&amp;N1013),0)</f>
        <v>0.234986945169713</v>
      </c>
      <c r="X1013" s="8" t="n">
        <f aca="false">IF($K1013=1,COUNTIFS($O$5:$O$1517,"&gt;="&amp;O1013,$K$5:$K$1517,1)/COUNTIF($O$5:$O$1517,"&gt;="&amp;O1013),0)</f>
        <v>0.12491738268341</v>
      </c>
      <c r="Y1013" s="8" t="n">
        <f aca="false">IF($K1013=1,COUNTIFS($P$5:$P$1517,"&gt;="&amp;P1013,$K$5:$K$1517,1)/COUNTIF($P$5:$P$1517,"&gt;="&amp;P1013),0)</f>
        <v>0.234986945169713</v>
      </c>
      <c r="Z1013" s="8" t="n">
        <f aca="false">(L1013-$K1013)^2</f>
        <v>0.118975325184</v>
      </c>
      <c r="AA1013" s="8" t="n">
        <f aca="false">(M1013-$K1013)^2</f>
        <v>0.824349595969</v>
      </c>
      <c r="AB1013" s="8" t="n">
        <f aca="false">(N1013-$K1013)^2</f>
        <v>0.761254505001</v>
      </c>
      <c r="AC1013" s="8" t="n">
        <f aca="false">(O1013-$K1013)^2</f>
        <v>0.798908829489</v>
      </c>
      <c r="AD1013" s="8" t="n">
        <f aca="false">(P1013-$K1013)^2</f>
        <v>0.7458567769</v>
      </c>
      <c r="AE1013" s="8" t="n">
        <f aca="false">MIN(INT(ROUND(N1013*1000000,0)/100000),9)</f>
        <v>1</v>
      </c>
      <c r="AF1013" s="8" t="n">
        <f aca="false">MIN(INT(ROUND(P1013*1000000,0)/100000),9)</f>
        <v>1</v>
      </c>
    </row>
    <row r="1014" customFormat="false" ht="15" hidden="false" customHeight="false" outlineLevel="0" collapsed="false">
      <c r="A1014" s="4" t="n">
        <v>1010</v>
      </c>
      <c r="B1014" s="4" t="n">
        <v>1351</v>
      </c>
      <c r="C1014" s="4" t="n">
        <v>2</v>
      </c>
      <c r="D1014" s="11" t="n">
        <v>46113</v>
      </c>
      <c r="E1014" s="4" t="s">
        <v>204</v>
      </c>
      <c r="F1014" s="4" t="s">
        <v>210</v>
      </c>
      <c r="G1014" s="4" t="n">
        <v>6</v>
      </c>
      <c r="H1014" s="4" t="n">
        <v>0</v>
      </c>
      <c r="I1014" s="4" t="n">
        <v>0</v>
      </c>
      <c r="J1014" s="4" t="n">
        <v>81</v>
      </c>
      <c r="K1014" s="4" t="n">
        <v>0</v>
      </c>
      <c r="L1014" s="12" t="n">
        <v>0.276746</v>
      </c>
      <c r="M1014" s="12" t="n">
        <v>0.092063</v>
      </c>
      <c r="N1014" s="12" t="n">
        <v>0.099686</v>
      </c>
      <c r="O1014" s="12" t="n">
        <v>0.106183</v>
      </c>
      <c r="P1014" s="12" t="n">
        <v>0.105604</v>
      </c>
      <c r="Q1014" s="0" t="str">
        <f aca="false">IF(L1014&gt;=Models!$G$5,1+COUNTIF($L$5:$L$1517,"&gt;"&amp;L1014)+COUNTIFS($L$5:$L$1517,L1014,$B$5:$B$1517,"&lt;"&amp;B1014)+COUNTIFS($L$5:$L$1517,L1014,$B$5:$B$1517,B1014,$C$5:$C$1517,"&lt;"&amp;C1014),"")</f>
        <v/>
      </c>
      <c r="R1014" s="0" t="str">
        <f aca="false">IF(M1014&gt;=Models!$G$6,1+COUNTIF($M$5:$M$1517,"&gt;"&amp;M1014)+COUNTIFS($M$5:$M$1517,M1014,$B$5:$B$1517,"&lt;"&amp;B1014)+COUNTIFS($M$5:$M$1517,M1014,$B$5:$B$1517,B1014,$C$5:$C$1517,"&lt;"&amp;C1014),"")</f>
        <v/>
      </c>
      <c r="S1014" s="0" t="str">
        <f aca="false">IF(N1014&gt;=Models!$G$7,1+COUNTIF($N$5:$N$1517,"&gt;"&amp;N1014)+COUNTIFS($N$5:$N$1517,N1014,$B$5:$B$1517,"&lt;"&amp;B1014)+COUNTIFS($N$5:$N$1517,N1014,$B$5:$B$1517,B1014,$C$5:$C$1517,"&lt;"&amp;C1014),"")</f>
        <v/>
      </c>
      <c r="T1014" s="8" t="n">
        <f aca="false">IF(O1014&gt;=Models!$G$8,1+COUNTIF($O$5:$O$1517,"&gt;"&amp;O1014)+COUNTIFS($O$5:$O$1517,O1014,$B$5:$B$1517,"&lt;"&amp;B1014)+COUNTIFS($O$5:$O$1517,O1014,$B$5:$B$1517,B1014,$C$5:$C$1517,"&lt;"&amp;C1014),"")</f>
        <v>1111</v>
      </c>
      <c r="U1014" s="8" t="n">
        <f aca="false">IF($K1014=1,COUNTIFS($L$5:$L$1517,"&gt;="&amp;L1014,$K$5:$K$1517,1)/COUNTIF($L$5:$L$1517,"&gt;="&amp;L1014),0)</f>
        <v>0</v>
      </c>
      <c r="V1014" s="8" t="n">
        <f aca="false">IF($K1014=1,COUNTIFS($M$5:$M$1517,"&gt;="&amp;M1014,$K$5:$K$1517,1)/COUNTIF($M$5:$M$1517,"&gt;="&amp;M1014),0)</f>
        <v>0</v>
      </c>
      <c r="W1014" s="8" t="n">
        <f aca="false">IF($K1014=1,COUNTIFS($N$5:$N$1517,"&gt;="&amp;N1014,$K$5:$K$1517,1)/COUNTIF($N$5:$N$1517,"&gt;="&amp;N1014),0)</f>
        <v>0</v>
      </c>
      <c r="X1014" s="8" t="n">
        <f aca="false">IF($K1014=1,COUNTIFS($O$5:$O$1517,"&gt;="&amp;O1014,$K$5:$K$1517,1)/COUNTIF($O$5:$O$1517,"&gt;="&amp;O1014),0)</f>
        <v>0</v>
      </c>
      <c r="Y1014" s="8" t="n">
        <f aca="false">IF($K1014=1,COUNTIFS($P$5:$P$1517,"&gt;="&amp;P1014,$K$5:$K$1517,1)/COUNTIF($P$5:$P$1517,"&gt;="&amp;P1014),0)</f>
        <v>0</v>
      </c>
      <c r="Z1014" s="8" t="n">
        <f aca="false">(L1014-$K1014)^2</f>
        <v>0.076588348516</v>
      </c>
      <c r="AA1014" s="8" t="n">
        <f aca="false">(M1014-$K1014)^2</f>
        <v>0.008475595969</v>
      </c>
      <c r="AB1014" s="8" t="n">
        <f aca="false">(N1014-$K1014)^2</f>
        <v>0.009937298596</v>
      </c>
      <c r="AC1014" s="8" t="n">
        <f aca="false">(O1014-$K1014)^2</f>
        <v>0.011274829489</v>
      </c>
      <c r="AD1014" s="8" t="n">
        <f aca="false">(P1014-$K1014)^2</f>
        <v>0.011152204816</v>
      </c>
      <c r="AE1014" s="8" t="n">
        <f aca="false">MIN(INT(ROUND(N1014*1000000,0)/100000),9)</f>
        <v>0</v>
      </c>
      <c r="AF1014" s="8" t="n">
        <f aca="false">MIN(INT(ROUND(P1014*1000000,0)/100000),9)</f>
        <v>1</v>
      </c>
    </row>
    <row r="1015" customFormat="false" ht="15" hidden="false" customHeight="false" outlineLevel="0" collapsed="false">
      <c r="A1015" s="4" t="n">
        <v>1011</v>
      </c>
      <c r="B1015" s="4" t="n">
        <v>1353</v>
      </c>
      <c r="C1015" s="4" t="n">
        <v>2</v>
      </c>
      <c r="D1015" s="11" t="n">
        <v>46113</v>
      </c>
      <c r="E1015" s="4" t="s">
        <v>204</v>
      </c>
      <c r="F1015" s="4" t="s">
        <v>209</v>
      </c>
      <c r="G1015" s="4" t="n">
        <v>4</v>
      </c>
      <c r="H1015" s="4" t="n">
        <v>6</v>
      </c>
      <c r="I1015" s="4" t="n">
        <v>0</v>
      </c>
      <c r="J1015" s="4" t="n">
        <v>111</v>
      </c>
      <c r="K1015" s="4" t="n">
        <v>0</v>
      </c>
      <c r="L1015" s="12" t="n">
        <v>0.394839</v>
      </c>
      <c r="M1015" s="12" t="n">
        <v>0.092063</v>
      </c>
      <c r="N1015" s="12" t="n">
        <v>0.122034</v>
      </c>
      <c r="O1015" s="12" t="n">
        <v>0.106183</v>
      </c>
      <c r="P1015" s="12" t="n">
        <v>0.13031</v>
      </c>
      <c r="Q1015" s="0" t="str">
        <f aca="false">IF(L1015&gt;=Models!$G$5,1+COUNTIF($L$5:$L$1517,"&gt;"&amp;L1015)+COUNTIFS($L$5:$L$1517,L1015,$B$5:$B$1517,"&lt;"&amp;B1015)+COUNTIFS($L$5:$L$1517,L1015,$B$5:$B$1517,B1015,$C$5:$C$1517,"&lt;"&amp;C1015),"")</f>
        <v/>
      </c>
      <c r="R1015" s="0" t="str">
        <f aca="false">IF(M1015&gt;=Models!$G$6,1+COUNTIF($M$5:$M$1517,"&gt;"&amp;M1015)+COUNTIFS($M$5:$M$1517,M1015,$B$5:$B$1517,"&lt;"&amp;B1015)+COUNTIFS($M$5:$M$1517,M1015,$B$5:$B$1517,B1015,$C$5:$C$1517,"&lt;"&amp;C1015),"")</f>
        <v/>
      </c>
      <c r="S1015" s="0" t="str">
        <f aca="false">IF(N1015&gt;=Models!$G$7,1+COUNTIF($N$5:$N$1517,"&gt;"&amp;N1015)+COUNTIFS($N$5:$N$1517,N1015,$B$5:$B$1517,"&lt;"&amp;B1015)+COUNTIFS($N$5:$N$1517,N1015,$B$5:$B$1517,B1015,$C$5:$C$1517,"&lt;"&amp;C1015),"")</f>
        <v/>
      </c>
      <c r="T1015" s="8" t="n">
        <f aca="false">IF(O1015&gt;=Models!$G$8,1+COUNTIF($O$5:$O$1517,"&gt;"&amp;O1015)+COUNTIFS($O$5:$O$1517,O1015,$B$5:$B$1517,"&lt;"&amp;B1015)+COUNTIFS($O$5:$O$1517,O1015,$B$5:$B$1517,B1015,$C$5:$C$1517,"&lt;"&amp;C1015),"")</f>
        <v>1115</v>
      </c>
      <c r="U1015" s="8" t="n">
        <f aca="false">IF($K1015=1,COUNTIFS($L$5:$L$1517,"&gt;="&amp;L1015,$K$5:$K$1517,1)/COUNTIF($L$5:$L$1517,"&gt;="&amp;L1015),0)</f>
        <v>0</v>
      </c>
      <c r="V1015" s="8" t="n">
        <f aca="false">IF($K1015=1,COUNTIFS($M$5:$M$1517,"&gt;="&amp;M1015,$K$5:$K$1517,1)/COUNTIF($M$5:$M$1517,"&gt;="&amp;M1015),0)</f>
        <v>0</v>
      </c>
      <c r="W1015" s="8" t="n">
        <f aca="false">IF($K1015=1,COUNTIFS($N$5:$N$1517,"&gt;="&amp;N1015,$K$5:$K$1517,1)/COUNTIF($N$5:$N$1517,"&gt;="&amp;N1015),0)</f>
        <v>0</v>
      </c>
      <c r="X1015" s="8" t="n">
        <f aca="false">IF($K1015=1,COUNTIFS($O$5:$O$1517,"&gt;="&amp;O1015,$K$5:$K$1517,1)/COUNTIF($O$5:$O$1517,"&gt;="&amp;O1015),0)</f>
        <v>0</v>
      </c>
      <c r="Y1015" s="8" t="n">
        <f aca="false">IF($K1015=1,COUNTIFS($P$5:$P$1517,"&gt;="&amp;P1015,$K$5:$K$1517,1)/COUNTIF($P$5:$P$1517,"&gt;="&amp;P1015),0)</f>
        <v>0</v>
      </c>
      <c r="Z1015" s="8" t="n">
        <f aca="false">(L1015-$K1015)^2</f>
        <v>0.155897835921</v>
      </c>
      <c r="AA1015" s="8" t="n">
        <f aca="false">(M1015-$K1015)^2</f>
        <v>0.008475595969</v>
      </c>
      <c r="AB1015" s="8" t="n">
        <f aca="false">(N1015-$K1015)^2</f>
        <v>0.014892297156</v>
      </c>
      <c r="AC1015" s="8" t="n">
        <f aca="false">(O1015-$K1015)^2</f>
        <v>0.011274829489</v>
      </c>
      <c r="AD1015" s="8" t="n">
        <f aca="false">(P1015-$K1015)^2</f>
        <v>0.0169806961</v>
      </c>
      <c r="AE1015" s="8" t="n">
        <f aca="false">MIN(INT(ROUND(N1015*1000000,0)/100000),9)</f>
        <v>1</v>
      </c>
      <c r="AF1015" s="8" t="n">
        <f aca="false">MIN(INT(ROUND(P1015*1000000,0)/100000),9)</f>
        <v>1</v>
      </c>
    </row>
    <row r="1016" customFormat="false" ht="15" hidden="false" customHeight="false" outlineLevel="0" collapsed="false">
      <c r="A1016" s="4" t="n">
        <v>1012</v>
      </c>
      <c r="B1016" s="4" t="n">
        <v>1357</v>
      </c>
      <c r="C1016" s="4" t="n">
        <v>2</v>
      </c>
      <c r="D1016" s="11" t="n">
        <v>46113</v>
      </c>
      <c r="E1016" s="4" t="s">
        <v>203</v>
      </c>
      <c r="F1016" s="4" t="s">
        <v>206</v>
      </c>
      <c r="G1016" s="4" t="n">
        <v>3</v>
      </c>
      <c r="H1016" s="4" t="n">
        <v>15</v>
      </c>
      <c r="I1016" s="4" t="n">
        <v>0</v>
      </c>
      <c r="J1016" s="4" t="n">
        <v>357</v>
      </c>
      <c r="K1016" s="4" t="n">
        <v>0</v>
      </c>
      <c r="L1016" s="12" t="n">
        <v>0.694279</v>
      </c>
      <c r="M1016" s="12" t="n">
        <v>0.092063</v>
      </c>
      <c r="N1016" s="12" t="n">
        <v>0.138973</v>
      </c>
      <c r="O1016" s="12" t="n">
        <v>0.106183</v>
      </c>
      <c r="P1016" s="12" t="n">
        <v>0.149103</v>
      </c>
      <c r="Q1016" s="0" t="str">
        <f aca="false">IF(L1016&gt;=Models!$G$5,1+COUNTIF($L$5:$L$1517,"&gt;"&amp;L1016)+COUNTIFS($L$5:$L$1517,L1016,$B$5:$B$1517,"&lt;"&amp;B1016)+COUNTIFS($L$5:$L$1517,L1016,$B$5:$B$1517,B1016,$C$5:$C$1517,"&lt;"&amp;C1016),"")</f>
        <v/>
      </c>
      <c r="R1016" s="0" t="str">
        <f aca="false">IF(M1016&gt;=Models!$G$6,1+COUNTIF($M$5:$M$1517,"&gt;"&amp;M1016)+COUNTIFS($M$5:$M$1517,M1016,$B$5:$B$1517,"&lt;"&amp;B1016)+COUNTIFS($M$5:$M$1517,M1016,$B$5:$B$1517,B1016,$C$5:$C$1517,"&lt;"&amp;C1016),"")</f>
        <v/>
      </c>
      <c r="S1016" s="0" t="str">
        <f aca="false">IF(N1016&gt;=Models!$G$7,1+COUNTIF($N$5:$N$1517,"&gt;"&amp;N1016)+COUNTIFS($N$5:$N$1517,N1016,$B$5:$B$1517,"&lt;"&amp;B1016)+COUNTIFS($N$5:$N$1517,N1016,$B$5:$B$1517,B1016,$C$5:$C$1517,"&lt;"&amp;C1016),"")</f>
        <v/>
      </c>
      <c r="T1016" s="8" t="n">
        <f aca="false">IF(O1016&gt;=Models!$G$8,1+COUNTIF($O$5:$O$1517,"&gt;"&amp;O1016)+COUNTIFS($O$5:$O$1517,O1016,$B$5:$B$1517,"&lt;"&amp;B1016)+COUNTIFS($O$5:$O$1517,O1016,$B$5:$B$1517,B1016,$C$5:$C$1517,"&lt;"&amp;C1016),"")</f>
        <v>1119</v>
      </c>
      <c r="U1016" s="8" t="n">
        <f aca="false">IF($K1016=1,COUNTIFS($L$5:$L$1517,"&gt;="&amp;L1016,$K$5:$K$1517,1)/COUNTIF($L$5:$L$1517,"&gt;="&amp;L1016),0)</f>
        <v>0</v>
      </c>
      <c r="V1016" s="8" t="n">
        <f aca="false">IF($K1016=1,COUNTIFS($M$5:$M$1517,"&gt;="&amp;M1016,$K$5:$K$1517,1)/COUNTIF($M$5:$M$1517,"&gt;="&amp;M1016),0)</f>
        <v>0</v>
      </c>
      <c r="W1016" s="8" t="n">
        <f aca="false">IF($K1016=1,COUNTIFS($N$5:$N$1517,"&gt;="&amp;N1016,$K$5:$K$1517,1)/COUNTIF($N$5:$N$1517,"&gt;="&amp;N1016),0)</f>
        <v>0</v>
      </c>
      <c r="X1016" s="8" t="n">
        <f aca="false">IF($K1016=1,COUNTIFS($O$5:$O$1517,"&gt;="&amp;O1016,$K$5:$K$1517,1)/COUNTIF($O$5:$O$1517,"&gt;="&amp;O1016),0)</f>
        <v>0</v>
      </c>
      <c r="Y1016" s="8" t="n">
        <f aca="false">IF($K1016=1,COUNTIFS($P$5:$P$1517,"&gt;="&amp;P1016,$K$5:$K$1517,1)/COUNTIF($P$5:$P$1517,"&gt;="&amp;P1016),0)</f>
        <v>0</v>
      </c>
      <c r="Z1016" s="8" t="n">
        <f aca="false">(L1016-$K1016)^2</f>
        <v>0.482023329841</v>
      </c>
      <c r="AA1016" s="8" t="n">
        <f aca="false">(M1016-$K1016)^2</f>
        <v>0.008475595969</v>
      </c>
      <c r="AB1016" s="8" t="n">
        <f aca="false">(N1016-$K1016)^2</f>
        <v>0.019313494729</v>
      </c>
      <c r="AC1016" s="8" t="n">
        <f aca="false">(O1016-$K1016)^2</f>
        <v>0.011274829489</v>
      </c>
      <c r="AD1016" s="8" t="n">
        <f aca="false">(P1016-$K1016)^2</f>
        <v>0.022231704609</v>
      </c>
      <c r="AE1016" s="8" t="n">
        <f aca="false">MIN(INT(ROUND(N1016*1000000,0)/100000),9)</f>
        <v>1</v>
      </c>
      <c r="AF1016" s="8" t="n">
        <f aca="false">MIN(INT(ROUND(P1016*1000000,0)/100000),9)</f>
        <v>1</v>
      </c>
    </row>
    <row r="1017" customFormat="false" ht="15" hidden="false" customHeight="false" outlineLevel="0" collapsed="false">
      <c r="A1017" s="4" t="n">
        <v>1013</v>
      </c>
      <c r="B1017" s="4" t="n">
        <v>1359</v>
      </c>
      <c r="C1017" s="4" t="n">
        <v>2</v>
      </c>
      <c r="D1017" s="11" t="n">
        <v>46113</v>
      </c>
      <c r="E1017" s="4" t="s">
        <v>203</v>
      </c>
      <c r="F1017" s="4" t="s">
        <v>208</v>
      </c>
      <c r="G1017" s="4" t="n">
        <v>4</v>
      </c>
      <c r="H1017" s="4" t="n">
        <v>9</v>
      </c>
      <c r="I1017" s="4" t="n">
        <v>0</v>
      </c>
      <c r="J1017" s="4" t="n">
        <v>312</v>
      </c>
      <c r="K1017" s="4" t="n">
        <v>0</v>
      </c>
      <c r="L1017" s="12" t="n">
        <v>0.679706</v>
      </c>
      <c r="M1017" s="12" t="n">
        <v>0.092063</v>
      </c>
      <c r="N1017" s="12" t="n">
        <v>0.123425</v>
      </c>
      <c r="O1017" s="12" t="n">
        <v>0.106183</v>
      </c>
      <c r="P1017" s="12" t="n">
        <v>0.131851</v>
      </c>
      <c r="Q1017" s="0" t="str">
        <f aca="false">IF(L1017&gt;=Models!$G$5,1+COUNTIF($L$5:$L$1517,"&gt;"&amp;L1017)+COUNTIFS($L$5:$L$1517,L1017,$B$5:$B$1517,"&lt;"&amp;B1017)+COUNTIFS($L$5:$L$1517,L1017,$B$5:$B$1517,B1017,$C$5:$C$1517,"&lt;"&amp;C1017),"")</f>
        <v/>
      </c>
      <c r="R1017" s="0" t="str">
        <f aca="false">IF(M1017&gt;=Models!$G$6,1+COUNTIF($M$5:$M$1517,"&gt;"&amp;M1017)+COUNTIFS($M$5:$M$1517,M1017,$B$5:$B$1517,"&lt;"&amp;B1017)+COUNTIFS($M$5:$M$1517,M1017,$B$5:$B$1517,B1017,$C$5:$C$1517,"&lt;"&amp;C1017),"")</f>
        <v/>
      </c>
      <c r="S1017" s="0" t="str">
        <f aca="false">IF(N1017&gt;=Models!$G$7,1+COUNTIF($N$5:$N$1517,"&gt;"&amp;N1017)+COUNTIFS($N$5:$N$1517,N1017,$B$5:$B$1517,"&lt;"&amp;B1017)+COUNTIFS($N$5:$N$1517,N1017,$B$5:$B$1517,B1017,$C$5:$C$1517,"&lt;"&amp;C1017),"")</f>
        <v/>
      </c>
      <c r="T1017" s="8" t="n">
        <f aca="false">IF(O1017&gt;=Models!$G$8,1+COUNTIF($O$5:$O$1517,"&gt;"&amp;O1017)+COUNTIFS($O$5:$O$1517,O1017,$B$5:$B$1517,"&lt;"&amp;B1017)+COUNTIFS($O$5:$O$1517,O1017,$B$5:$B$1517,B1017,$C$5:$C$1517,"&lt;"&amp;C1017),"")</f>
        <v>1124</v>
      </c>
      <c r="U1017" s="8" t="n">
        <f aca="false">IF($K1017=1,COUNTIFS($L$5:$L$1517,"&gt;="&amp;L1017,$K$5:$K$1517,1)/COUNTIF($L$5:$L$1517,"&gt;="&amp;L1017),0)</f>
        <v>0</v>
      </c>
      <c r="V1017" s="8" t="n">
        <f aca="false">IF($K1017=1,COUNTIFS($M$5:$M$1517,"&gt;="&amp;M1017,$K$5:$K$1517,1)/COUNTIF($M$5:$M$1517,"&gt;="&amp;M1017),0)</f>
        <v>0</v>
      </c>
      <c r="W1017" s="8" t="n">
        <f aca="false">IF($K1017=1,COUNTIFS($N$5:$N$1517,"&gt;="&amp;N1017,$K$5:$K$1517,1)/COUNTIF($N$5:$N$1517,"&gt;="&amp;N1017),0)</f>
        <v>0</v>
      </c>
      <c r="X1017" s="8" t="n">
        <f aca="false">IF($K1017=1,COUNTIFS($O$5:$O$1517,"&gt;="&amp;O1017,$K$5:$K$1517,1)/COUNTIF($O$5:$O$1517,"&gt;="&amp;O1017),0)</f>
        <v>0</v>
      </c>
      <c r="Y1017" s="8" t="n">
        <f aca="false">IF($K1017=1,COUNTIFS($P$5:$P$1517,"&gt;="&amp;P1017,$K$5:$K$1517,1)/COUNTIF($P$5:$P$1517,"&gt;="&amp;P1017),0)</f>
        <v>0</v>
      </c>
      <c r="Z1017" s="8" t="n">
        <f aca="false">(L1017-$K1017)^2</f>
        <v>0.462000246436</v>
      </c>
      <c r="AA1017" s="8" t="n">
        <f aca="false">(M1017-$K1017)^2</f>
        <v>0.008475595969</v>
      </c>
      <c r="AB1017" s="8" t="n">
        <f aca="false">(N1017-$K1017)^2</f>
        <v>0.015233730625</v>
      </c>
      <c r="AC1017" s="8" t="n">
        <f aca="false">(O1017-$K1017)^2</f>
        <v>0.011274829489</v>
      </c>
      <c r="AD1017" s="8" t="n">
        <f aca="false">(P1017-$K1017)^2</f>
        <v>0.017384686201</v>
      </c>
      <c r="AE1017" s="8" t="n">
        <f aca="false">MIN(INT(ROUND(N1017*1000000,0)/100000),9)</f>
        <v>1</v>
      </c>
      <c r="AF1017" s="8" t="n">
        <f aca="false">MIN(INT(ROUND(P1017*1000000,0)/100000),9)</f>
        <v>1</v>
      </c>
    </row>
    <row r="1018" customFormat="false" ht="15" hidden="false" customHeight="false" outlineLevel="0" collapsed="false">
      <c r="A1018" s="4" t="n">
        <v>1014</v>
      </c>
      <c r="B1018" s="4" t="n">
        <v>1361</v>
      </c>
      <c r="C1018" s="4" t="n">
        <v>2</v>
      </c>
      <c r="D1018" s="11" t="n">
        <v>46113</v>
      </c>
      <c r="E1018" s="4" t="s">
        <v>203</v>
      </c>
      <c r="F1018" s="4" t="s">
        <v>210</v>
      </c>
      <c r="G1018" s="4" t="n">
        <v>7</v>
      </c>
      <c r="H1018" s="4" t="n">
        <v>2</v>
      </c>
      <c r="I1018" s="4" t="n">
        <v>0</v>
      </c>
      <c r="J1018" s="4" t="n">
        <v>306</v>
      </c>
      <c r="K1018" s="4" t="n">
        <v>0</v>
      </c>
      <c r="L1018" s="12" t="n">
        <v>0.574878</v>
      </c>
      <c r="M1018" s="12" t="n">
        <v>0.092063</v>
      </c>
      <c r="N1018" s="12" t="n">
        <v>0.092173</v>
      </c>
      <c r="O1018" s="12" t="n">
        <v>0.106183</v>
      </c>
      <c r="P1018" s="12" t="n">
        <v>0.097331</v>
      </c>
      <c r="Q1018" s="0" t="str">
        <f aca="false">IF(L1018&gt;=Models!$G$5,1+COUNTIF($L$5:$L$1517,"&gt;"&amp;L1018)+COUNTIFS($L$5:$L$1517,L1018,$B$5:$B$1517,"&lt;"&amp;B1018)+COUNTIFS($L$5:$L$1517,L1018,$B$5:$B$1517,B1018,$C$5:$C$1517,"&lt;"&amp;C1018),"")</f>
        <v/>
      </c>
      <c r="R1018" s="0" t="str">
        <f aca="false">IF(M1018&gt;=Models!$G$6,1+COUNTIF($M$5:$M$1517,"&gt;"&amp;M1018)+COUNTIFS($M$5:$M$1517,M1018,$B$5:$B$1517,"&lt;"&amp;B1018)+COUNTIFS($M$5:$M$1517,M1018,$B$5:$B$1517,B1018,$C$5:$C$1517,"&lt;"&amp;C1018),"")</f>
        <v/>
      </c>
      <c r="S1018" s="0" t="str">
        <f aca="false">IF(N1018&gt;=Models!$G$7,1+COUNTIF($N$5:$N$1517,"&gt;"&amp;N1018)+COUNTIFS($N$5:$N$1517,N1018,$B$5:$B$1517,"&lt;"&amp;B1018)+COUNTIFS($N$5:$N$1517,N1018,$B$5:$B$1517,B1018,$C$5:$C$1517,"&lt;"&amp;C1018),"")</f>
        <v/>
      </c>
      <c r="T1018" s="8" t="n">
        <f aca="false">IF(O1018&gt;=Models!$G$8,1+COUNTIF($O$5:$O$1517,"&gt;"&amp;O1018)+COUNTIFS($O$5:$O$1517,O1018,$B$5:$B$1517,"&lt;"&amp;B1018)+COUNTIFS($O$5:$O$1517,O1018,$B$5:$B$1517,B1018,$C$5:$C$1517,"&lt;"&amp;C1018),"")</f>
        <v>1128</v>
      </c>
      <c r="U1018" s="8" t="n">
        <f aca="false">IF($K1018=1,COUNTIFS($L$5:$L$1517,"&gt;="&amp;L1018,$K$5:$K$1517,1)/COUNTIF($L$5:$L$1517,"&gt;="&amp;L1018),0)</f>
        <v>0</v>
      </c>
      <c r="V1018" s="8" t="n">
        <f aca="false">IF($K1018=1,COUNTIFS($M$5:$M$1517,"&gt;="&amp;M1018,$K$5:$K$1517,1)/COUNTIF($M$5:$M$1517,"&gt;="&amp;M1018),0)</f>
        <v>0</v>
      </c>
      <c r="W1018" s="8" t="n">
        <f aca="false">IF($K1018=1,COUNTIFS($N$5:$N$1517,"&gt;="&amp;N1018,$K$5:$K$1517,1)/COUNTIF($N$5:$N$1517,"&gt;="&amp;N1018),0)</f>
        <v>0</v>
      </c>
      <c r="X1018" s="8" t="n">
        <f aca="false">IF($K1018=1,COUNTIFS($O$5:$O$1517,"&gt;="&amp;O1018,$K$5:$K$1517,1)/COUNTIF($O$5:$O$1517,"&gt;="&amp;O1018),0)</f>
        <v>0</v>
      </c>
      <c r="Y1018" s="8" t="n">
        <f aca="false">IF($K1018=1,COUNTIFS($P$5:$P$1517,"&gt;="&amp;P1018,$K$5:$K$1517,1)/COUNTIF($P$5:$P$1517,"&gt;="&amp;P1018),0)</f>
        <v>0</v>
      </c>
      <c r="Z1018" s="8" t="n">
        <f aca="false">(L1018-$K1018)^2</f>
        <v>0.330484714884</v>
      </c>
      <c r="AA1018" s="8" t="n">
        <f aca="false">(M1018-$K1018)^2</f>
        <v>0.008475595969</v>
      </c>
      <c r="AB1018" s="8" t="n">
        <f aca="false">(N1018-$K1018)^2</f>
        <v>0.008495861929</v>
      </c>
      <c r="AC1018" s="8" t="n">
        <f aca="false">(O1018-$K1018)^2</f>
        <v>0.011274829489</v>
      </c>
      <c r="AD1018" s="8" t="n">
        <f aca="false">(P1018-$K1018)^2</f>
        <v>0.009473323561</v>
      </c>
      <c r="AE1018" s="8" t="n">
        <f aca="false">MIN(INT(ROUND(N1018*1000000,0)/100000),9)</f>
        <v>0</v>
      </c>
      <c r="AF1018" s="8" t="n">
        <f aca="false">MIN(INT(ROUND(P1018*1000000,0)/100000),9)</f>
        <v>0</v>
      </c>
    </row>
    <row r="1019" customFormat="false" ht="15" hidden="false" customHeight="false" outlineLevel="0" collapsed="false">
      <c r="A1019" s="4" t="n">
        <v>1015</v>
      </c>
      <c r="B1019" s="4" t="n">
        <v>1366</v>
      </c>
      <c r="C1019" s="4" t="n">
        <v>2</v>
      </c>
      <c r="D1019" s="11" t="n">
        <v>46113</v>
      </c>
      <c r="E1019" s="4" t="s">
        <v>204</v>
      </c>
      <c r="F1019" s="4" t="s">
        <v>209</v>
      </c>
      <c r="G1019" s="4" t="n">
        <v>3</v>
      </c>
      <c r="H1019" s="4" t="n">
        <v>0</v>
      </c>
      <c r="I1019" s="4" t="n">
        <v>0</v>
      </c>
      <c r="J1019" s="4" t="n">
        <v>69</v>
      </c>
      <c r="K1019" s="4" t="n">
        <v>0</v>
      </c>
      <c r="L1019" s="12" t="n">
        <v>0.792269</v>
      </c>
      <c r="M1019" s="12" t="n">
        <v>0.092063</v>
      </c>
      <c r="N1019" s="12" t="n">
        <v>0.126746</v>
      </c>
      <c r="O1019" s="12" t="n">
        <v>0.106183</v>
      </c>
      <c r="P1019" s="12" t="n">
        <v>0.135533</v>
      </c>
      <c r="Q1019" s="0" t="str">
        <f aca="false">IF(L1019&gt;=Models!$G$5,1+COUNTIF($L$5:$L$1517,"&gt;"&amp;L1019)+COUNTIFS($L$5:$L$1517,L1019,$B$5:$B$1517,"&lt;"&amp;B1019)+COUNTIFS($L$5:$L$1517,L1019,$B$5:$B$1517,B1019,$C$5:$C$1517,"&lt;"&amp;C1019),"")</f>
        <v/>
      </c>
      <c r="R1019" s="0" t="str">
        <f aca="false">IF(M1019&gt;=Models!$G$6,1+COUNTIF($M$5:$M$1517,"&gt;"&amp;M1019)+COUNTIFS($M$5:$M$1517,M1019,$B$5:$B$1517,"&lt;"&amp;B1019)+COUNTIFS($M$5:$M$1517,M1019,$B$5:$B$1517,B1019,$C$5:$C$1517,"&lt;"&amp;C1019),"")</f>
        <v/>
      </c>
      <c r="S1019" s="0" t="str">
        <f aca="false">IF(N1019&gt;=Models!$G$7,1+COUNTIF($N$5:$N$1517,"&gt;"&amp;N1019)+COUNTIFS($N$5:$N$1517,N1019,$B$5:$B$1517,"&lt;"&amp;B1019)+COUNTIFS($N$5:$N$1517,N1019,$B$5:$B$1517,B1019,$C$5:$C$1517,"&lt;"&amp;C1019),"")</f>
        <v/>
      </c>
      <c r="T1019" s="8" t="n">
        <f aca="false">IF(O1019&gt;=Models!$G$8,1+COUNTIF($O$5:$O$1517,"&gt;"&amp;O1019)+COUNTIFS($O$5:$O$1517,O1019,$B$5:$B$1517,"&lt;"&amp;B1019)+COUNTIFS($O$5:$O$1517,O1019,$B$5:$B$1517,B1019,$C$5:$C$1517,"&lt;"&amp;C1019),"")</f>
        <v>1132</v>
      </c>
      <c r="U1019" s="8" t="n">
        <f aca="false">IF($K1019=1,COUNTIFS($L$5:$L$1517,"&gt;="&amp;L1019,$K$5:$K$1517,1)/COUNTIF($L$5:$L$1517,"&gt;="&amp;L1019),0)</f>
        <v>0</v>
      </c>
      <c r="V1019" s="8" t="n">
        <f aca="false">IF($K1019=1,COUNTIFS($M$5:$M$1517,"&gt;="&amp;M1019,$K$5:$K$1517,1)/COUNTIF($M$5:$M$1517,"&gt;="&amp;M1019),0)</f>
        <v>0</v>
      </c>
      <c r="W1019" s="8" t="n">
        <f aca="false">IF($K1019=1,COUNTIFS($N$5:$N$1517,"&gt;="&amp;N1019,$K$5:$K$1517,1)/COUNTIF($N$5:$N$1517,"&gt;="&amp;N1019),0)</f>
        <v>0</v>
      </c>
      <c r="X1019" s="8" t="n">
        <f aca="false">IF($K1019=1,COUNTIFS($O$5:$O$1517,"&gt;="&amp;O1019,$K$5:$K$1517,1)/COUNTIF($O$5:$O$1517,"&gt;="&amp;O1019),0)</f>
        <v>0</v>
      </c>
      <c r="Y1019" s="8" t="n">
        <f aca="false">IF($K1019=1,COUNTIFS($P$5:$P$1517,"&gt;="&amp;P1019,$K$5:$K$1517,1)/COUNTIF($P$5:$P$1517,"&gt;="&amp;P1019),0)</f>
        <v>0</v>
      </c>
      <c r="Z1019" s="8" t="n">
        <f aca="false">(L1019-$K1019)^2</f>
        <v>0.627690168361</v>
      </c>
      <c r="AA1019" s="8" t="n">
        <f aca="false">(M1019-$K1019)^2</f>
        <v>0.008475595969</v>
      </c>
      <c r="AB1019" s="8" t="n">
        <f aca="false">(N1019-$K1019)^2</f>
        <v>0.016064548516</v>
      </c>
      <c r="AC1019" s="8" t="n">
        <f aca="false">(O1019-$K1019)^2</f>
        <v>0.011274829489</v>
      </c>
      <c r="AD1019" s="8" t="n">
        <f aca="false">(P1019-$K1019)^2</f>
        <v>0.018369194089</v>
      </c>
      <c r="AE1019" s="8" t="n">
        <f aca="false">MIN(INT(ROUND(N1019*1000000,0)/100000),9)</f>
        <v>1</v>
      </c>
      <c r="AF1019" s="8" t="n">
        <f aca="false">MIN(INT(ROUND(P1019*1000000,0)/100000),9)</f>
        <v>1</v>
      </c>
    </row>
    <row r="1020" customFormat="false" ht="15" hidden="false" customHeight="false" outlineLevel="0" collapsed="false">
      <c r="A1020" s="4" t="n">
        <v>1016</v>
      </c>
      <c r="B1020" s="4" t="n">
        <v>1372</v>
      </c>
      <c r="C1020" s="4" t="n">
        <v>2</v>
      </c>
      <c r="D1020" s="11" t="n">
        <v>46113</v>
      </c>
      <c r="E1020" s="4" t="s">
        <v>204</v>
      </c>
      <c r="F1020" s="4" t="s">
        <v>206</v>
      </c>
      <c r="G1020" s="4" t="n">
        <v>2</v>
      </c>
      <c r="H1020" s="4" t="n">
        <v>6</v>
      </c>
      <c r="I1020" s="4" t="n">
        <v>0</v>
      </c>
      <c r="J1020" s="4" t="n">
        <v>102</v>
      </c>
      <c r="K1020" s="4" t="n">
        <v>0</v>
      </c>
      <c r="L1020" s="12" t="n">
        <v>0.979269</v>
      </c>
      <c r="M1020" s="12" t="n">
        <v>0.092063</v>
      </c>
      <c r="N1020" s="12" t="n">
        <v>0.14273</v>
      </c>
      <c r="O1020" s="12" t="n">
        <v>0.106183</v>
      </c>
      <c r="P1020" s="12" t="n">
        <v>0.153277</v>
      </c>
      <c r="Q1020" s="0" t="str">
        <f aca="false">IF(L1020&gt;=Models!$G$5,1+COUNTIF($L$5:$L$1517,"&gt;"&amp;L1020)+COUNTIFS($L$5:$L$1517,L1020,$B$5:$B$1517,"&lt;"&amp;B1020)+COUNTIFS($L$5:$L$1517,L1020,$B$5:$B$1517,B1020,$C$5:$C$1517,"&lt;"&amp;C1020),"")</f>
        <v/>
      </c>
      <c r="R1020" s="0" t="str">
        <f aca="false">IF(M1020&gt;=Models!$G$6,1+COUNTIF($M$5:$M$1517,"&gt;"&amp;M1020)+COUNTIFS($M$5:$M$1517,M1020,$B$5:$B$1517,"&lt;"&amp;B1020)+COUNTIFS($M$5:$M$1517,M1020,$B$5:$B$1517,B1020,$C$5:$C$1517,"&lt;"&amp;C1020),"")</f>
        <v/>
      </c>
      <c r="S1020" s="0" t="str">
        <f aca="false">IF(N1020&gt;=Models!$G$7,1+COUNTIF($N$5:$N$1517,"&gt;"&amp;N1020)+COUNTIFS($N$5:$N$1517,N1020,$B$5:$B$1517,"&lt;"&amp;B1020)+COUNTIFS($N$5:$N$1517,N1020,$B$5:$B$1517,B1020,$C$5:$C$1517,"&lt;"&amp;C1020),"")</f>
        <v/>
      </c>
      <c r="T1020" s="8" t="n">
        <f aca="false">IF(O1020&gt;=Models!$G$8,1+COUNTIF($O$5:$O$1517,"&gt;"&amp;O1020)+COUNTIFS($O$5:$O$1517,O1020,$B$5:$B$1517,"&lt;"&amp;B1020)+COUNTIFS($O$5:$O$1517,O1020,$B$5:$B$1517,B1020,$C$5:$C$1517,"&lt;"&amp;C1020),"")</f>
        <v>1136</v>
      </c>
      <c r="U1020" s="8" t="n">
        <f aca="false">IF($K1020=1,COUNTIFS($L$5:$L$1517,"&gt;="&amp;L1020,$K$5:$K$1517,1)/COUNTIF($L$5:$L$1517,"&gt;="&amp;L1020),0)</f>
        <v>0</v>
      </c>
      <c r="V1020" s="8" t="n">
        <f aca="false">IF($K1020=1,COUNTIFS($M$5:$M$1517,"&gt;="&amp;M1020,$K$5:$K$1517,1)/COUNTIF($M$5:$M$1517,"&gt;="&amp;M1020),0)</f>
        <v>0</v>
      </c>
      <c r="W1020" s="8" t="n">
        <f aca="false">IF($K1020=1,COUNTIFS($N$5:$N$1517,"&gt;="&amp;N1020,$K$5:$K$1517,1)/COUNTIF($N$5:$N$1517,"&gt;="&amp;N1020),0)</f>
        <v>0</v>
      </c>
      <c r="X1020" s="8" t="n">
        <f aca="false">IF($K1020=1,COUNTIFS($O$5:$O$1517,"&gt;="&amp;O1020,$K$5:$K$1517,1)/COUNTIF($O$5:$O$1517,"&gt;="&amp;O1020),0)</f>
        <v>0</v>
      </c>
      <c r="Y1020" s="8" t="n">
        <f aca="false">IF($K1020=1,COUNTIFS($P$5:$P$1517,"&gt;="&amp;P1020,$K$5:$K$1517,1)/COUNTIF($P$5:$P$1517,"&gt;="&amp;P1020),0)</f>
        <v>0</v>
      </c>
      <c r="Z1020" s="8" t="n">
        <f aca="false">(L1020-$K1020)^2</f>
        <v>0.958967774361</v>
      </c>
      <c r="AA1020" s="8" t="n">
        <f aca="false">(M1020-$K1020)^2</f>
        <v>0.008475595969</v>
      </c>
      <c r="AB1020" s="8" t="n">
        <f aca="false">(N1020-$K1020)^2</f>
        <v>0.0203718529</v>
      </c>
      <c r="AC1020" s="8" t="n">
        <f aca="false">(O1020-$K1020)^2</f>
        <v>0.011274829489</v>
      </c>
      <c r="AD1020" s="8" t="n">
        <f aca="false">(P1020-$K1020)^2</f>
        <v>0.023493838729</v>
      </c>
      <c r="AE1020" s="8" t="n">
        <f aca="false">MIN(INT(ROUND(N1020*1000000,0)/100000),9)</f>
        <v>1</v>
      </c>
      <c r="AF1020" s="8" t="n">
        <f aca="false">MIN(INT(ROUND(P1020*1000000,0)/100000),9)</f>
        <v>1</v>
      </c>
    </row>
    <row r="1021" customFormat="false" ht="15" hidden="false" customHeight="false" outlineLevel="0" collapsed="false">
      <c r="A1021" s="4" t="n">
        <v>1017</v>
      </c>
      <c r="B1021" s="4" t="n">
        <v>1373</v>
      </c>
      <c r="C1021" s="4" t="n">
        <v>2</v>
      </c>
      <c r="D1021" s="11" t="n">
        <v>46113</v>
      </c>
      <c r="E1021" s="4" t="s">
        <v>203</v>
      </c>
      <c r="F1021" s="4" t="s">
        <v>209</v>
      </c>
      <c r="G1021" s="4" t="n">
        <v>3</v>
      </c>
      <c r="H1021" s="4" t="n">
        <v>3</v>
      </c>
      <c r="I1021" s="4" t="n">
        <v>2</v>
      </c>
      <c r="J1021" s="4"/>
      <c r="K1021" s="4" t="n">
        <v>0</v>
      </c>
      <c r="L1021" s="12" t="n">
        <v>0.180113</v>
      </c>
      <c r="M1021" s="12" t="n">
        <v>0.184211</v>
      </c>
      <c r="N1021" s="12" t="n">
        <v>0.187531</v>
      </c>
      <c r="O1021" s="12" t="n">
        <v>0.106183</v>
      </c>
      <c r="P1021" s="12" t="n">
        <v>0.203118</v>
      </c>
      <c r="Q1021" s="0" t="str">
        <f aca="false">IF(L1021&gt;=Models!$G$5,1+COUNTIF($L$5:$L$1517,"&gt;"&amp;L1021)+COUNTIFS($L$5:$L$1517,L1021,$B$5:$B$1517,"&lt;"&amp;B1021)+COUNTIFS($L$5:$L$1517,L1021,$B$5:$B$1517,B1021,$C$5:$C$1517,"&lt;"&amp;C1021),"")</f>
        <v/>
      </c>
      <c r="R1021" s="8" t="n">
        <f aca="false">IF(M1021&gt;=Models!$G$6,1+COUNTIF($M$5:$M$1517,"&gt;"&amp;M1021)+COUNTIFS($M$5:$M$1517,M1021,$B$5:$B$1517,"&lt;"&amp;B1021)+COUNTIFS($M$5:$M$1517,M1021,$B$5:$B$1517,B1021,$C$5:$C$1517,"&lt;"&amp;C1021),"")</f>
        <v>137</v>
      </c>
      <c r="S1021" s="0" t="str">
        <f aca="false">IF(N1021&gt;=Models!$G$7,1+COUNTIF($N$5:$N$1517,"&gt;"&amp;N1021)+COUNTIFS($N$5:$N$1517,N1021,$B$5:$B$1517,"&lt;"&amp;B1021)+COUNTIFS($N$5:$N$1517,N1021,$B$5:$B$1517,B1021,$C$5:$C$1517,"&lt;"&amp;C1021),"")</f>
        <v/>
      </c>
      <c r="T1021" s="8" t="n">
        <f aca="false">IF(O1021&gt;=Models!$G$8,1+COUNTIF($O$5:$O$1517,"&gt;"&amp;O1021)+COUNTIFS($O$5:$O$1517,O1021,$B$5:$B$1517,"&lt;"&amp;B1021)+COUNTIFS($O$5:$O$1517,O1021,$B$5:$B$1517,B1021,$C$5:$C$1517,"&lt;"&amp;C1021),"")</f>
        <v>1140</v>
      </c>
      <c r="U1021" s="8" t="n">
        <f aca="false">IF($K1021=1,COUNTIFS($L$5:$L$1517,"&gt;="&amp;L1021,$K$5:$K$1517,1)/COUNTIF($L$5:$L$1517,"&gt;="&amp;L1021),0)</f>
        <v>0</v>
      </c>
      <c r="V1021" s="8" t="n">
        <f aca="false">IF($K1021=1,COUNTIFS($M$5:$M$1517,"&gt;="&amp;M1021,$K$5:$K$1517,1)/COUNTIF($M$5:$M$1517,"&gt;="&amp;M1021),0)</f>
        <v>0</v>
      </c>
      <c r="W1021" s="8" t="n">
        <f aca="false">IF($K1021=1,COUNTIFS($N$5:$N$1517,"&gt;="&amp;N1021,$K$5:$K$1517,1)/COUNTIF($N$5:$N$1517,"&gt;="&amp;N1021),0)</f>
        <v>0</v>
      </c>
      <c r="X1021" s="8" t="n">
        <f aca="false">IF($K1021=1,COUNTIFS($O$5:$O$1517,"&gt;="&amp;O1021,$K$5:$K$1517,1)/COUNTIF($O$5:$O$1517,"&gt;="&amp;O1021),0)</f>
        <v>0</v>
      </c>
      <c r="Y1021" s="8" t="n">
        <f aca="false">IF($K1021=1,COUNTIFS($P$5:$P$1517,"&gt;="&amp;P1021,$K$5:$K$1517,1)/COUNTIF($P$5:$P$1517,"&gt;="&amp;P1021),0)</f>
        <v>0</v>
      </c>
      <c r="Z1021" s="8" t="n">
        <f aca="false">(L1021-$K1021)^2</f>
        <v>0.032440692769</v>
      </c>
      <c r="AA1021" s="8" t="n">
        <f aca="false">(M1021-$K1021)^2</f>
        <v>0.033933692521</v>
      </c>
      <c r="AB1021" s="8" t="n">
        <f aca="false">(N1021-$K1021)^2</f>
        <v>0.035167875961</v>
      </c>
      <c r="AC1021" s="8" t="n">
        <f aca="false">(O1021-$K1021)^2</f>
        <v>0.011274829489</v>
      </c>
      <c r="AD1021" s="8" t="n">
        <f aca="false">(P1021-$K1021)^2</f>
        <v>0.041256921924</v>
      </c>
      <c r="AE1021" s="8" t="n">
        <f aca="false">MIN(INT(ROUND(N1021*1000000,0)/100000),9)</f>
        <v>1</v>
      </c>
      <c r="AF1021" s="8" t="n">
        <f aca="false">MIN(INT(ROUND(P1021*1000000,0)/100000),9)</f>
        <v>2</v>
      </c>
    </row>
    <row r="1022" customFormat="false" ht="15" hidden="false" customHeight="false" outlineLevel="0" collapsed="false">
      <c r="A1022" s="4" t="n">
        <v>1018</v>
      </c>
      <c r="B1022" s="4" t="n">
        <v>1374</v>
      </c>
      <c r="C1022" s="4" t="n">
        <v>2</v>
      </c>
      <c r="D1022" s="11" t="n">
        <v>46113</v>
      </c>
      <c r="E1022" s="4" t="s">
        <v>203</v>
      </c>
      <c r="F1022" s="4" t="s">
        <v>208</v>
      </c>
      <c r="G1022" s="4" t="n">
        <v>3</v>
      </c>
      <c r="H1022" s="4" t="n">
        <v>5</v>
      </c>
      <c r="I1022" s="4" t="n">
        <v>1</v>
      </c>
      <c r="J1022" s="4" t="n">
        <v>417</v>
      </c>
      <c r="K1022" s="4" t="n">
        <v>0</v>
      </c>
      <c r="L1022" s="12" t="n">
        <v>0.920287</v>
      </c>
      <c r="M1022" s="12" t="n">
        <v>0.184211</v>
      </c>
      <c r="N1022" s="12" t="n">
        <v>0.211945</v>
      </c>
      <c r="O1022" s="12" t="n">
        <v>0.106183</v>
      </c>
      <c r="P1022" s="12" t="n">
        <v>0.230276</v>
      </c>
      <c r="Q1022" s="0" t="str">
        <f aca="false">IF(L1022&gt;=Models!$G$5,1+COUNTIF($L$5:$L$1517,"&gt;"&amp;L1022)+COUNTIFS($L$5:$L$1517,L1022,$B$5:$B$1517,"&lt;"&amp;B1022)+COUNTIFS($L$5:$L$1517,L1022,$B$5:$B$1517,B1022,$C$5:$C$1517,"&lt;"&amp;C1022),"")</f>
        <v/>
      </c>
      <c r="R1022" s="8" t="n">
        <f aca="false">IF(M1022&gt;=Models!$G$6,1+COUNTIF($M$5:$M$1517,"&gt;"&amp;M1022)+COUNTIFS($M$5:$M$1517,M1022,$B$5:$B$1517,"&lt;"&amp;B1022)+COUNTIFS($M$5:$M$1517,M1022,$B$5:$B$1517,B1022,$C$5:$C$1517,"&lt;"&amp;C1022),"")</f>
        <v>139</v>
      </c>
      <c r="S1022" s="0" t="str">
        <f aca="false">IF(N1022&gt;=Models!$G$7,1+COUNTIF($N$5:$N$1517,"&gt;"&amp;N1022)+COUNTIFS($N$5:$N$1517,N1022,$B$5:$B$1517,"&lt;"&amp;B1022)+COUNTIFS($N$5:$N$1517,N1022,$B$5:$B$1517,B1022,$C$5:$C$1517,"&lt;"&amp;C1022),"")</f>
        <v/>
      </c>
      <c r="T1022" s="8" t="n">
        <f aca="false">IF(O1022&gt;=Models!$G$8,1+COUNTIF($O$5:$O$1517,"&gt;"&amp;O1022)+COUNTIFS($O$5:$O$1517,O1022,$B$5:$B$1517,"&lt;"&amp;B1022)+COUNTIFS($O$5:$O$1517,O1022,$B$5:$B$1517,B1022,$C$5:$C$1517,"&lt;"&amp;C1022),"")</f>
        <v>1144</v>
      </c>
      <c r="U1022" s="8" t="n">
        <f aca="false">IF($K1022=1,COUNTIFS($L$5:$L$1517,"&gt;="&amp;L1022,$K$5:$K$1517,1)/COUNTIF($L$5:$L$1517,"&gt;="&amp;L1022),0)</f>
        <v>0</v>
      </c>
      <c r="V1022" s="8" t="n">
        <f aca="false">IF($K1022=1,COUNTIFS($M$5:$M$1517,"&gt;="&amp;M1022,$K$5:$K$1517,1)/COUNTIF($M$5:$M$1517,"&gt;="&amp;M1022),0)</f>
        <v>0</v>
      </c>
      <c r="W1022" s="8" t="n">
        <f aca="false">IF($K1022=1,COUNTIFS($N$5:$N$1517,"&gt;="&amp;N1022,$K$5:$K$1517,1)/COUNTIF($N$5:$N$1517,"&gt;="&amp;N1022),0)</f>
        <v>0</v>
      </c>
      <c r="X1022" s="8" t="n">
        <f aca="false">IF($K1022=1,COUNTIFS($O$5:$O$1517,"&gt;="&amp;O1022,$K$5:$K$1517,1)/COUNTIF($O$5:$O$1517,"&gt;="&amp;O1022),0)</f>
        <v>0</v>
      </c>
      <c r="Y1022" s="8" t="n">
        <f aca="false">IF($K1022=1,COUNTIFS($P$5:$P$1517,"&gt;="&amp;P1022,$K$5:$K$1517,1)/COUNTIF($P$5:$P$1517,"&gt;="&amp;P1022),0)</f>
        <v>0</v>
      </c>
      <c r="Z1022" s="8" t="n">
        <f aca="false">(L1022-$K1022)^2</f>
        <v>0.846928162369</v>
      </c>
      <c r="AA1022" s="8" t="n">
        <f aca="false">(M1022-$K1022)^2</f>
        <v>0.033933692521</v>
      </c>
      <c r="AB1022" s="8" t="n">
        <f aca="false">(N1022-$K1022)^2</f>
        <v>0.044920683025</v>
      </c>
      <c r="AC1022" s="8" t="n">
        <f aca="false">(O1022-$K1022)^2</f>
        <v>0.011274829489</v>
      </c>
      <c r="AD1022" s="8" t="n">
        <f aca="false">(P1022-$K1022)^2</f>
        <v>0.053027036176</v>
      </c>
      <c r="AE1022" s="8" t="n">
        <f aca="false">MIN(INT(ROUND(N1022*1000000,0)/100000),9)</f>
        <v>2</v>
      </c>
      <c r="AF1022" s="8" t="n">
        <f aca="false">MIN(INT(ROUND(P1022*1000000,0)/100000),9)</f>
        <v>2</v>
      </c>
    </row>
    <row r="1023" customFormat="false" ht="15" hidden="false" customHeight="false" outlineLevel="0" collapsed="false">
      <c r="A1023" s="4" t="n">
        <v>1019</v>
      </c>
      <c r="B1023" s="4" t="n">
        <v>1380</v>
      </c>
      <c r="C1023" s="4" t="n">
        <v>2</v>
      </c>
      <c r="D1023" s="11" t="n">
        <v>46113</v>
      </c>
      <c r="E1023" s="4" t="s">
        <v>203</v>
      </c>
      <c r="F1023" s="4" t="s">
        <v>206</v>
      </c>
      <c r="G1023" s="4" t="n">
        <v>4</v>
      </c>
      <c r="H1023" s="4" t="n">
        <v>3</v>
      </c>
      <c r="I1023" s="4" t="n">
        <v>0</v>
      </c>
      <c r="J1023" s="4"/>
      <c r="K1023" s="4" t="n">
        <v>0</v>
      </c>
      <c r="L1023" s="12" t="n">
        <v>0.834307</v>
      </c>
      <c r="M1023" s="12" t="n">
        <v>0.092063</v>
      </c>
      <c r="N1023" s="12" t="n">
        <v>0.060188</v>
      </c>
      <c r="O1023" s="12" t="n">
        <v>0.106183</v>
      </c>
      <c r="P1023" s="12" t="n">
        <v>0.062387</v>
      </c>
      <c r="Q1023" s="0" t="str">
        <f aca="false">IF(L1023&gt;=Models!$G$5,1+COUNTIF($L$5:$L$1517,"&gt;"&amp;L1023)+COUNTIFS($L$5:$L$1517,L1023,$B$5:$B$1517,"&lt;"&amp;B1023)+COUNTIFS($L$5:$L$1517,L1023,$B$5:$B$1517,B1023,$C$5:$C$1517,"&lt;"&amp;C1023),"")</f>
        <v/>
      </c>
      <c r="R1023" s="0" t="str">
        <f aca="false">IF(M1023&gt;=Models!$G$6,1+COUNTIF($M$5:$M$1517,"&gt;"&amp;M1023)+COUNTIFS($M$5:$M$1517,M1023,$B$5:$B$1517,"&lt;"&amp;B1023)+COUNTIFS($M$5:$M$1517,M1023,$B$5:$B$1517,B1023,$C$5:$C$1517,"&lt;"&amp;C1023),"")</f>
        <v/>
      </c>
      <c r="S1023" s="0" t="str">
        <f aca="false">IF(N1023&gt;=Models!$G$7,1+COUNTIF($N$5:$N$1517,"&gt;"&amp;N1023)+COUNTIFS($N$5:$N$1517,N1023,$B$5:$B$1517,"&lt;"&amp;B1023)+COUNTIFS($N$5:$N$1517,N1023,$B$5:$B$1517,B1023,$C$5:$C$1517,"&lt;"&amp;C1023),"")</f>
        <v/>
      </c>
      <c r="T1023" s="8" t="n">
        <f aca="false">IF(O1023&gt;=Models!$G$8,1+COUNTIF($O$5:$O$1517,"&gt;"&amp;O1023)+COUNTIFS($O$5:$O$1517,O1023,$B$5:$B$1517,"&lt;"&amp;B1023)+COUNTIFS($O$5:$O$1517,O1023,$B$5:$B$1517,B1023,$C$5:$C$1517,"&lt;"&amp;C1023),"")</f>
        <v>1148</v>
      </c>
      <c r="U1023" s="8" t="n">
        <f aca="false">IF($K1023=1,COUNTIFS($L$5:$L$1517,"&gt;="&amp;L1023,$K$5:$K$1517,1)/COUNTIF($L$5:$L$1517,"&gt;="&amp;L1023),0)</f>
        <v>0</v>
      </c>
      <c r="V1023" s="8" t="n">
        <f aca="false">IF($K1023=1,COUNTIFS($M$5:$M$1517,"&gt;="&amp;M1023,$K$5:$K$1517,1)/COUNTIF($M$5:$M$1517,"&gt;="&amp;M1023),0)</f>
        <v>0</v>
      </c>
      <c r="W1023" s="8" t="n">
        <f aca="false">IF($K1023=1,COUNTIFS($N$5:$N$1517,"&gt;="&amp;N1023,$K$5:$K$1517,1)/COUNTIF($N$5:$N$1517,"&gt;="&amp;N1023),0)</f>
        <v>0</v>
      </c>
      <c r="X1023" s="8" t="n">
        <f aca="false">IF($K1023=1,COUNTIFS($O$5:$O$1517,"&gt;="&amp;O1023,$K$5:$K$1517,1)/COUNTIF($O$5:$O$1517,"&gt;="&amp;O1023),0)</f>
        <v>0</v>
      </c>
      <c r="Y1023" s="8" t="n">
        <f aca="false">IF($K1023=1,COUNTIFS($P$5:$P$1517,"&gt;="&amp;P1023,$K$5:$K$1517,1)/COUNTIF($P$5:$P$1517,"&gt;="&amp;P1023),0)</f>
        <v>0</v>
      </c>
      <c r="Z1023" s="8" t="n">
        <f aca="false">(L1023-$K1023)^2</f>
        <v>0.696068170249</v>
      </c>
      <c r="AA1023" s="8" t="n">
        <f aca="false">(M1023-$K1023)^2</f>
        <v>0.008475595969</v>
      </c>
      <c r="AB1023" s="8" t="n">
        <f aca="false">(N1023-$K1023)^2</f>
        <v>0.003622595344</v>
      </c>
      <c r="AC1023" s="8" t="n">
        <f aca="false">(O1023-$K1023)^2</f>
        <v>0.011274829489</v>
      </c>
      <c r="AD1023" s="8" t="n">
        <f aca="false">(P1023-$K1023)^2</f>
        <v>0.003892137769</v>
      </c>
      <c r="AE1023" s="8" t="n">
        <f aca="false">MIN(INT(ROUND(N1023*1000000,0)/100000),9)</f>
        <v>0</v>
      </c>
      <c r="AF1023" s="8" t="n">
        <f aca="false">MIN(INT(ROUND(P1023*1000000,0)/100000),9)</f>
        <v>0</v>
      </c>
    </row>
    <row r="1024" customFormat="false" ht="15" hidden="false" customHeight="false" outlineLevel="0" collapsed="false">
      <c r="A1024" s="4" t="n">
        <v>1020</v>
      </c>
      <c r="B1024" s="4" t="n">
        <v>1384</v>
      </c>
      <c r="C1024" s="4" t="n">
        <v>2</v>
      </c>
      <c r="D1024" s="11" t="n">
        <v>46113</v>
      </c>
      <c r="E1024" s="4" t="s">
        <v>203</v>
      </c>
      <c r="F1024" s="4" t="s">
        <v>209</v>
      </c>
      <c r="G1024" s="4" t="n">
        <v>6</v>
      </c>
      <c r="H1024" s="4" t="n">
        <v>6</v>
      </c>
      <c r="I1024" s="4" t="n">
        <v>0</v>
      </c>
      <c r="J1024" s="4" t="n">
        <v>246</v>
      </c>
      <c r="K1024" s="4" t="n">
        <v>0</v>
      </c>
      <c r="L1024" s="12" t="n">
        <v>0.441084</v>
      </c>
      <c r="M1024" s="12" t="n">
        <v>0.092063</v>
      </c>
      <c r="N1024" s="12" t="n">
        <v>0.103296</v>
      </c>
      <c r="O1024" s="12" t="n">
        <v>0.106183</v>
      </c>
      <c r="P1024" s="12" t="n">
        <v>0.109586</v>
      </c>
      <c r="Q1024" s="0" t="str">
        <f aca="false">IF(L1024&gt;=Models!$G$5,1+COUNTIF($L$5:$L$1517,"&gt;"&amp;L1024)+COUNTIFS($L$5:$L$1517,L1024,$B$5:$B$1517,"&lt;"&amp;B1024)+COUNTIFS($L$5:$L$1517,L1024,$B$5:$B$1517,B1024,$C$5:$C$1517,"&lt;"&amp;C1024),"")</f>
        <v/>
      </c>
      <c r="R1024" s="0" t="str">
        <f aca="false">IF(M1024&gt;=Models!$G$6,1+COUNTIF($M$5:$M$1517,"&gt;"&amp;M1024)+COUNTIFS($M$5:$M$1517,M1024,$B$5:$B$1517,"&lt;"&amp;B1024)+COUNTIFS($M$5:$M$1517,M1024,$B$5:$B$1517,B1024,$C$5:$C$1517,"&lt;"&amp;C1024),"")</f>
        <v/>
      </c>
      <c r="S1024" s="0" t="str">
        <f aca="false">IF(N1024&gt;=Models!$G$7,1+COUNTIF($N$5:$N$1517,"&gt;"&amp;N1024)+COUNTIFS($N$5:$N$1517,N1024,$B$5:$B$1517,"&lt;"&amp;B1024)+COUNTIFS($N$5:$N$1517,N1024,$B$5:$B$1517,B1024,$C$5:$C$1517,"&lt;"&amp;C1024),"")</f>
        <v/>
      </c>
      <c r="T1024" s="8" t="n">
        <f aca="false">IF(O1024&gt;=Models!$G$8,1+COUNTIF($O$5:$O$1517,"&gt;"&amp;O1024)+COUNTIFS($O$5:$O$1517,O1024,$B$5:$B$1517,"&lt;"&amp;B1024)+COUNTIFS($O$5:$O$1517,O1024,$B$5:$B$1517,B1024,$C$5:$C$1517,"&lt;"&amp;C1024),"")</f>
        <v>1153</v>
      </c>
      <c r="U1024" s="8" t="n">
        <f aca="false">IF($K1024=1,COUNTIFS($L$5:$L$1517,"&gt;="&amp;L1024,$K$5:$K$1517,1)/COUNTIF($L$5:$L$1517,"&gt;="&amp;L1024),0)</f>
        <v>0</v>
      </c>
      <c r="V1024" s="8" t="n">
        <f aca="false">IF($K1024=1,COUNTIFS($M$5:$M$1517,"&gt;="&amp;M1024,$K$5:$K$1517,1)/COUNTIF($M$5:$M$1517,"&gt;="&amp;M1024),0)</f>
        <v>0</v>
      </c>
      <c r="W1024" s="8" t="n">
        <f aca="false">IF($K1024=1,COUNTIFS($N$5:$N$1517,"&gt;="&amp;N1024,$K$5:$K$1517,1)/COUNTIF($N$5:$N$1517,"&gt;="&amp;N1024),0)</f>
        <v>0</v>
      </c>
      <c r="X1024" s="8" t="n">
        <f aca="false">IF($K1024=1,COUNTIFS($O$5:$O$1517,"&gt;="&amp;O1024,$K$5:$K$1517,1)/COUNTIF($O$5:$O$1517,"&gt;="&amp;O1024),0)</f>
        <v>0</v>
      </c>
      <c r="Y1024" s="8" t="n">
        <f aca="false">IF($K1024=1,COUNTIFS($P$5:$P$1517,"&gt;="&amp;P1024,$K$5:$K$1517,1)/COUNTIF($P$5:$P$1517,"&gt;="&amp;P1024),0)</f>
        <v>0</v>
      </c>
      <c r="Z1024" s="8" t="n">
        <f aca="false">(L1024-$K1024)^2</f>
        <v>0.194555095056</v>
      </c>
      <c r="AA1024" s="8" t="n">
        <f aca="false">(M1024-$K1024)^2</f>
        <v>0.008475595969</v>
      </c>
      <c r="AB1024" s="8" t="n">
        <f aca="false">(N1024-$K1024)^2</f>
        <v>0.010670063616</v>
      </c>
      <c r="AC1024" s="8" t="n">
        <f aca="false">(O1024-$K1024)^2</f>
        <v>0.011274829489</v>
      </c>
      <c r="AD1024" s="8" t="n">
        <f aca="false">(P1024-$K1024)^2</f>
        <v>0.012009091396</v>
      </c>
      <c r="AE1024" s="8" t="n">
        <f aca="false">MIN(INT(ROUND(N1024*1000000,0)/100000),9)</f>
        <v>1</v>
      </c>
      <c r="AF1024" s="8" t="n">
        <f aca="false">MIN(INT(ROUND(P1024*1000000,0)/100000),9)</f>
        <v>1</v>
      </c>
    </row>
    <row r="1025" customFormat="false" ht="15" hidden="false" customHeight="false" outlineLevel="0" collapsed="false">
      <c r="A1025" s="4" t="n">
        <v>1021</v>
      </c>
      <c r="B1025" s="4" t="n">
        <v>1385</v>
      </c>
      <c r="C1025" s="4" t="n">
        <v>2</v>
      </c>
      <c r="D1025" s="11" t="n">
        <v>46113</v>
      </c>
      <c r="E1025" s="4" t="s">
        <v>202</v>
      </c>
      <c r="F1025" s="4" t="s">
        <v>206</v>
      </c>
      <c r="G1025" s="4" t="n">
        <v>9</v>
      </c>
      <c r="H1025" s="4" t="n">
        <v>1</v>
      </c>
      <c r="I1025" s="4" t="n">
        <v>1</v>
      </c>
      <c r="J1025" s="4"/>
      <c r="K1025" s="4" t="n">
        <v>0</v>
      </c>
      <c r="L1025" s="12" t="n">
        <v>0.151578</v>
      </c>
      <c r="M1025" s="12" t="n">
        <v>0.184211</v>
      </c>
      <c r="N1025" s="12" t="n">
        <v>0.067957</v>
      </c>
      <c r="O1025" s="12" t="n">
        <v>0.106183</v>
      </c>
      <c r="P1025" s="12" t="n">
        <v>0.070823</v>
      </c>
      <c r="Q1025" s="0" t="str">
        <f aca="false">IF(L1025&gt;=Models!$G$5,1+COUNTIF($L$5:$L$1517,"&gt;"&amp;L1025)+COUNTIFS($L$5:$L$1517,L1025,$B$5:$B$1517,"&lt;"&amp;B1025)+COUNTIFS($L$5:$L$1517,L1025,$B$5:$B$1517,B1025,$C$5:$C$1517,"&lt;"&amp;C1025),"")</f>
        <v/>
      </c>
      <c r="R1025" s="8" t="n">
        <f aca="false">IF(M1025&gt;=Models!$G$6,1+COUNTIF($M$5:$M$1517,"&gt;"&amp;M1025)+COUNTIFS($M$5:$M$1517,M1025,$B$5:$B$1517,"&lt;"&amp;B1025)+COUNTIFS($M$5:$M$1517,M1025,$B$5:$B$1517,B1025,$C$5:$C$1517,"&lt;"&amp;C1025),"")</f>
        <v>143</v>
      </c>
      <c r="S1025" s="0" t="str">
        <f aca="false">IF(N1025&gt;=Models!$G$7,1+COUNTIF($N$5:$N$1517,"&gt;"&amp;N1025)+COUNTIFS($N$5:$N$1517,N1025,$B$5:$B$1517,"&lt;"&amp;B1025)+COUNTIFS($N$5:$N$1517,N1025,$B$5:$B$1517,B1025,$C$5:$C$1517,"&lt;"&amp;C1025),"")</f>
        <v/>
      </c>
      <c r="T1025" s="8" t="n">
        <f aca="false">IF(O1025&gt;=Models!$G$8,1+COUNTIF($O$5:$O$1517,"&gt;"&amp;O1025)+COUNTIFS($O$5:$O$1517,O1025,$B$5:$B$1517,"&lt;"&amp;B1025)+COUNTIFS($O$5:$O$1517,O1025,$B$5:$B$1517,B1025,$C$5:$C$1517,"&lt;"&amp;C1025),"")</f>
        <v>1157</v>
      </c>
      <c r="U1025" s="8" t="n">
        <f aca="false">IF($K1025=1,COUNTIFS($L$5:$L$1517,"&gt;="&amp;L1025,$K$5:$K$1517,1)/COUNTIF($L$5:$L$1517,"&gt;="&amp;L1025),0)</f>
        <v>0</v>
      </c>
      <c r="V1025" s="8" t="n">
        <f aca="false">IF($K1025=1,COUNTIFS($M$5:$M$1517,"&gt;="&amp;M1025,$K$5:$K$1517,1)/COUNTIF($M$5:$M$1517,"&gt;="&amp;M1025),0)</f>
        <v>0</v>
      </c>
      <c r="W1025" s="8" t="n">
        <f aca="false">IF($K1025=1,COUNTIFS($N$5:$N$1517,"&gt;="&amp;N1025,$K$5:$K$1517,1)/COUNTIF($N$5:$N$1517,"&gt;="&amp;N1025),0)</f>
        <v>0</v>
      </c>
      <c r="X1025" s="8" t="n">
        <f aca="false">IF($K1025=1,COUNTIFS($O$5:$O$1517,"&gt;="&amp;O1025,$K$5:$K$1517,1)/COUNTIF($O$5:$O$1517,"&gt;="&amp;O1025),0)</f>
        <v>0</v>
      </c>
      <c r="Y1025" s="8" t="n">
        <f aca="false">IF($K1025=1,COUNTIFS($P$5:$P$1517,"&gt;="&amp;P1025,$K$5:$K$1517,1)/COUNTIF($P$5:$P$1517,"&gt;="&amp;P1025),0)</f>
        <v>0</v>
      </c>
      <c r="Z1025" s="8" t="n">
        <f aca="false">(L1025-$K1025)^2</f>
        <v>0.022975890084</v>
      </c>
      <c r="AA1025" s="8" t="n">
        <f aca="false">(M1025-$K1025)^2</f>
        <v>0.033933692521</v>
      </c>
      <c r="AB1025" s="8" t="n">
        <f aca="false">(N1025-$K1025)^2</f>
        <v>0.004618153849</v>
      </c>
      <c r="AC1025" s="8" t="n">
        <f aca="false">(O1025-$K1025)^2</f>
        <v>0.011274829489</v>
      </c>
      <c r="AD1025" s="8" t="n">
        <f aca="false">(P1025-$K1025)^2</f>
        <v>0.005015897329</v>
      </c>
      <c r="AE1025" s="8" t="n">
        <f aca="false">MIN(INT(ROUND(N1025*1000000,0)/100000),9)</f>
        <v>0</v>
      </c>
      <c r="AF1025" s="8" t="n">
        <f aca="false">MIN(INT(ROUND(P1025*1000000,0)/100000),9)</f>
        <v>0</v>
      </c>
    </row>
    <row r="1026" customFormat="false" ht="15" hidden="false" customHeight="false" outlineLevel="0" collapsed="false">
      <c r="A1026" s="4" t="n">
        <v>1022</v>
      </c>
      <c r="B1026" s="4" t="n">
        <v>1389</v>
      </c>
      <c r="C1026" s="4" t="n">
        <v>2</v>
      </c>
      <c r="D1026" s="11" t="n">
        <v>46113</v>
      </c>
      <c r="E1026" s="4" t="s">
        <v>203</v>
      </c>
      <c r="F1026" s="4" t="s">
        <v>209</v>
      </c>
      <c r="G1026" s="4" t="n">
        <v>8</v>
      </c>
      <c r="H1026" s="4" t="n">
        <v>5</v>
      </c>
      <c r="I1026" s="4" t="n">
        <v>1</v>
      </c>
      <c r="J1026" s="4"/>
      <c r="K1026" s="4" t="n">
        <v>0</v>
      </c>
      <c r="L1026" s="12" t="n">
        <v>0.321939</v>
      </c>
      <c r="M1026" s="12" t="n">
        <v>0.184211</v>
      </c>
      <c r="N1026" s="12" t="n">
        <v>0.076158</v>
      </c>
      <c r="O1026" s="12" t="n">
        <v>0.106183</v>
      </c>
      <c r="P1026" s="12" t="n">
        <v>0.079768</v>
      </c>
      <c r="Q1026" s="0" t="str">
        <f aca="false">IF(L1026&gt;=Models!$G$5,1+COUNTIF($L$5:$L$1517,"&gt;"&amp;L1026)+COUNTIFS($L$5:$L$1517,L1026,$B$5:$B$1517,"&lt;"&amp;B1026)+COUNTIFS($L$5:$L$1517,L1026,$B$5:$B$1517,B1026,$C$5:$C$1517,"&lt;"&amp;C1026),"")</f>
        <v/>
      </c>
      <c r="R1026" s="8" t="n">
        <f aca="false">IF(M1026&gt;=Models!$G$6,1+COUNTIF($M$5:$M$1517,"&gt;"&amp;M1026)+COUNTIFS($M$5:$M$1517,M1026,$B$5:$B$1517,"&lt;"&amp;B1026)+COUNTIFS($M$5:$M$1517,M1026,$B$5:$B$1517,B1026,$C$5:$C$1517,"&lt;"&amp;C1026),"")</f>
        <v>146</v>
      </c>
      <c r="S1026" s="0" t="str">
        <f aca="false">IF(N1026&gt;=Models!$G$7,1+COUNTIF($N$5:$N$1517,"&gt;"&amp;N1026)+COUNTIFS($N$5:$N$1517,N1026,$B$5:$B$1517,"&lt;"&amp;B1026)+COUNTIFS($N$5:$N$1517,N1026,$B$5:$B$1517,B1026,$C$5:$C$1517,"&lt;"&amp;C1026),"")</f>
        <v/>
      </c>
      <c r="T1026" s="8" t="n">
        <f aca="false">IF(O1026&gt;=Models!$G$8,1+COUNTIF($O$5:$O$1517,"&gt;"&amp;O1026)+COUNTIFS($O$5:$O$1517,O1026,$B$5:$B$1517,"&lt;"&amp;B1026)+COUNTIFS($O$5:$O$1517,O1026,$B$5:$B$1517,B1026,$C$5:$C$1517,"&lt;"&amp;C1026),"")</f>
        <v>1161</v>
      </c>
      <c r="U1026" s="8" t="n">
        <f aca="false">IF($K1026=1,COUNTIFS($L$5:$L$1517,"&gt;="&amp;L1026,$K$5:$K$1517,1)/COUNTIF($L$5:$L$1517,"&gt;="&amp;L1026),0)</f>
        <v>0</v>
      </c>
      <c r="V1026" s="8" t="n">
        <f aca="false">IF($K1026=1,COUNTIFS($M$5:$M$1517,"&gt;="&amp;M1026,$K$5:$K$1517,1)/COUNTIF($M$5:$M$1517,"&gt;="&amp;M1026),0)</f>
        <v>0</v>
      </c>
      <c r="W1026" s="8" t="n">
        <f aca="false">IF($K1026=1,COUNTIFS($N$5:$N$1517,"&gt;="&amp;N1026,$K$5:$K$1517,1)/COUNTIF($N$5:$N$1517,"&gt;="&amp;N1026),0)</f>
        <v>0</v>
      </c>
      <c r="X1026" s="8" t="n">
        <f aca="false">IF($K1026=1,COUNTIFS($O$5:$O$1517,"&gt;="&amp;O1026,$K$5:$K$1517,1)/COUNTIF($O$5:$O$1517,"&gt;="&amp;O1026),0)</f>
        <v>0</v>
      </c>
      <c r="Y1026" s="8" t="n">
        <f aca="false">IF($K1026=1,COUNTIFS($P$5:$P$1517,"&gt;="&amp;P1026,$K$5:$K$1517,1)/COUNTIF($P$5:$P$1517,"&gt;="&amp;P1026),0)</f>
        <v>0</v>
      </c>
      <c r="Z1026" s="8" t="n">
        <f aca="false">(L1026-$K1026)^2</f>
        <v>0.103644719721</v>
      </c>
      <c r="AA1026" s="8" t="n">
        <f aca="false">(M1026-$K1026)^2</f>
        <v>0.033933692521</v>
      </c>
      <c r="AB1026" s="8" t="n">
        <f aca="false">(N1026-$K1026)^2</f>
        <v>0.005800040964</v>
      </c>
      <c r="AC1026" s="8" t="n">
        <f aca="false">(O1026-$K1026)^2</f>
        <v>0.011274829489</v>
      </c>
      <c r="AD1026" s="8" t="n">
        <f aca="false">(P1026-$K1026)^2</f>
        <v>0.006362933824</v>
      </c>
      <c r="AE1026" s="8" t="n">
        <f aca="false">MIN(INT(ROUND(N1026*1000000,0)/100000),9)</f>
        <v>0</v>
      </c>
      <c r="AF1026" s="8" t="n">
        <f aca="false">MIN(INT(ROUND(P1026*1000000,0)/100000),9)</f>
        <v>0</v>
      </c>
    </row>
    <row r="1027" customFormat="false" ht="15" hidden="false" customHeight="false" outlineLevel="0" collapsed="false">
      <c r="A1027" s="4" t="n">
        <v>1023</v>
      </c>
      <c r="B1027" s="4" t="n">
        <v>1400</v>
      </c>
      <c r="C1027" s="4" t="n">
        <v>2</v>
      </c>
      <c r="D1027" s="11" t="n">
        <v>46113</v>
      </c>
      <c r="E1027" s="4" t="s">
        <v>204</v>
      </c>
      <c r="F1027" s="4" t="s">
        <v>206</v>
      </c>
      <c r="G1027" s="4" t="n">
        <v>3</v>
      </c>
      <c r="H1027" s="4" t="n">
        <v>6</v>
      </c>
      <c r="I1027" s="4" t="n">
        <v>0</v>
      </c>
      <c r="J1027" s="4" t="n">
        <v>105</v>
      </c>
      <c r="K1027" s="4" t="n">
        <v>0</v>
      </c>
      <c r="L1027" s="12" t="n">
        <v>0.118452</v>
      </c>
      <c r="M1027" s="12" t="n">
        <v>0.092063</v>
      </c>
      <c r="N1027" s="12" t="n">
        <v>0.132048</v>
      </c>
      <c r="O1027" s="12" t="n">
        <v>0.106183</v>
      </c>
      <c r="P1027" s="12" t="n">
        <v>0.141415</v>
      </c>
      <c r="Q1027" s="0" t="str">
        <f aca="false">IF(L1027&gt;=Models!$G$5,1+COUNTIF($L$5:$L$1517,"&gt;"&amp;L1027)+COUNTIFS($L$5:$L$1517,L1027,$B$5:$B$1517,"&lt;"&amp;B1027)+COUNTIFS($L$5:$L$1517,L1027,$B$5:$B$1517,B1027,$C$5:$C$1517,"&lt;"&amp;C1027),"")</f>
        <v/>
      </c>
      <c r="R1027" s="0" t="str">
        <f aca="false">IF(M1027&gt;=Models!$G$6,1+COUNTIF($M$5:$M$1517,"&gt;"&amp;M1027)+COUNTIFS($M$5:$M$1517,M1027,$B$5:$B$1517,"&lt;"&amp;B1027)+COUNTIFS($M$5:$M$1517,M1027,$B$5:$B$1517,B1027,$C$5:$C$1517,"&lt;"&amp;C1027),"")</f>
        <v/>
      </c>
      <c r="S1027" s="0" t="str">
        <f aca="false">IF(N1027&gt;=Models!$G$7,1+COUNTIF($N$5:$N$1517,"&gt;"&amp;N1027)+COUNTIFS($N$5:$N$1517,N1027,$B$5:$B$1517,"&lt;"&amp;B1027)+COUNTIFS($N$5:$N$1517,N1027,$B$5:$B$1517,B1027,$C$5:$C$1517,"&lt;"&amp;C1027),"")</f>
        <v/>
      </c>
      <c r="T1027" s="8" t="n">
        <f aca="false">IF(O1027&gt;=Models!$G$8,1+COUNTIF($O$5:$O$1517,"&gt;"&amp;O1027)+COUNTIFS($O$5:$O$1517,O1027,$B$5:$B$1517,"&lt;"&amp;B1027)+COUNTIFS($O$5:$O$1517,O1027,$B$5:$B$1517,B1027,$C$5:$C$1517,"&lt;"&amp;C1027),"")</f>
        <v>1165</v>
      </c>
      <c r="U1027" s="8" t="n">
        <f aca="false">IF($K1027=1,COUNTIFS($L$5:$L$1517,"&gt;="&amp;L1027,$K$5:$K$1517,1)/COUNTIF($L$5:$L$1517,"&gt;="&amp;L1027),0)</f>
        <v>0</v>
      </c>
      <c r="V1027" s="8" t="n">
        <f aca="false">IF($K1027=1,COUNTIFS($M$5:$M$1517,"&gt;="&amp;M1027,$K$5:$K$1517,1)/COUNTIF($M$5:$M$1517,"&gt;="&amp;M1027),0)</f>
        <v>0</v>
      </c>
      <c r="W1027" s="8" t="n">
        <f aca="false">IF($K1027=1,COUNTIFS($N$5:$N$1517,"&gt;="&amp;N1027,$K$5:$K$1517,1)/COUNTIF($N$5:$N$1517,"&gt;="&amp;N1027),0)</f>
        <v>0</v>
      </c>
      <c r="X1027" s="8" t="n">
        <f aca="false">IF($K1027=1,COUNTIFS($O$5:$O$1517,"&gt;="&amp;O1027,$K$5:$K$1517,1)/COUNTIF($O$5:$O$1517,"&gt;="&amp;O1027),0)</f>
        <v>0</v>
      </c>
      <c r="Y1027" s="8" t="n">
        <f aca="false">IF($K1027=1,COUNTIFS($P$5:$P$1517,"&gt;="&amp;P1027,$K$5:$K$1517,1)/COUNTIF($P$5:$P$1517,"&gt;="&amp;P1027),0)</f>
        <v>0</v>
      </c>
      <c r="Z1027" s="8" t="n">
        <f aca="false">(L1027-$K1027)^2</f>
        <v>0.014030876304</v>
      </c>
      <c r="AA1027" s="8" t="n">
        <f aca="false">(M1027-$K1027)^2</f>
        <v>0.008475595969</v>
      </c>
      <c r="AB1027" s="8" t="n">
        <f aca="false">(N1027-$K1027)^2</f>
        <v>0.017436674304</v>
      </c>
      <c r="AC1027" s="8" t="n">
        <f aca="false">(O1027-$K1027)^2</f>
        <v>0.011274829489</v>
      </c>
      <c r="AD1027" s="8" t="n">
        <f aca="false">(P1027-$K1027)^2</f>
        <v>0.019998202225</v>
      </c>
      <c r="AE1027" s="8" t="n">
        <f aca="false">MIN(INT(ROUND(N1027*1000000,0)/100000),9)</f>
        <v>1</v>
      </c>
      <c r="AF1027" s="8" t="n">
        <f aca="false">MIN(INT(ROUND(P1027*1000000,0)/100000),9)</f>
        <v>1</v>
      </c>
    </row>
    <row r="1028" customFormat="false" ht="15" hidden="false" customHeight="false" outlineLevel="0" collapsed="false">
      <c r="A1028" s="4" t="n">
        <v>1024</v>
      </c>
      <c r="B1028" s="4" t="n">
        <v>1405</v>
      </c>
      <c r="C1028" s="4" t="n">
        <v>2</v>
      </c>
      <c r="D1028" s="11" t="n">
        <v>46113</v>
      </c>
      <c r="E1028" s="4" t="s">
        <v>202</v>
      </c>
      <c r="F1028" s="4" t="s">
        <v>209</v>
      </c>
      <c r="G1028" s="4" t="n">
        <v>3</v>
      </c>
      <c r="H1028" s="4" t="n">
        <v>13</v>
      </c>
      <c r="I1028" s="4" t="n">
        <v>0</v>
      </c>
      <c r="J1028" s="4"/>
      <c r="K1028" s="4" t="n">
        <v>0</v>
      </c>
      <c r="L1028" s="12" t="n">
        <v>0.369457</v>
      </c>
      <c r="M1028" s="12" t="n">
        <v>0.092063</v>
      </c>
      <c r="N1028" s="12" t="n">
        <v>0.070682</v>
      </c>
      <c r="O1028" s="12" t="n">
        <v>0.106183</v>
      </c>
      <c r="P1028" s="12" t="n">
        <v>0.073791</v>
      </c>
      <c r="Q1028" s="0" t="str">
        <f aca="false">IF(L1028&gt;=Models!$G$5,1+COUNTIF($L$5:$L$1517,"&gt;"&amp;L1028)+COUNTIFS($L$5:$L$1517,L1028,$B$5:$B$1517,"&lt;"&amp;B1028)+COUNTIFS($L$5:$L$1517,L1028,$B$5:$B$1517,B1028,$C$5:$C$1517,"&lt;"&amp;C1028),"")</f>
        <v/>
      </c>
      <c r="R1028" s="0" t="str">
        <f aca="false">IF(M1028&gt;=Models!$G$6,1+COUNTIF($M$5:$M$1517,"&gt;"&amp;M1028)+COUNTIFS($M$5:$M$1517,M1028,$B$5:$B$1517,"&lt;"&amp;B1028)+COUNTIFS($M$5:$M$1517,M1028,$B$5:$B$1517,B1028,$C$5:$C$1517,"&lt;"&amp;C1028),"")</f>
        <v/>
      </c>
      <c r="S1028" s="0" t="str">
        <f aca="false">IF(N1028&gt;=Models!$G$7,1+COUNTIF($N$5:$N$1517,"&gt;"&amp;N1028)+COUNTIFS($N$5:$N$1517,N1028,$B$5:$B$1517,"&lt;"&amp;B1028)+COUNTIFS($N$5:$N$1517,N1028,$B$5:$B$1517,B1028,$C$5:$C$1517,"&lt;"&amp;C1028),"")</f>
        <v/>
      </c>
      <c r="T1028" s="8" t="n">
        <f aca="false">IF(O1028&gt;=Models!$G$8,1+COUNTIF($O$5:$O$1517,"&gt;"&amp;O1028)+COUNTIFS($O$5:$O$1517,O1028,$B$5:$B$1517,"&lt;"&amp;B1028)+COUNTIFS($O$5:$O$1517,O1028,$B$5:$B$1517,B1028,$C$5:$C$1517,"&lt;"&amp;C1028),"")</f>
        <v>1169</v>
      </c>
      <c r="U1028" s="8" t="n">
        <f aca="false">IF($K1028=1,COUNTIFS($L$5:$L$1517,"&gt;="&amp;L1028,$K$5:$K$1517,1)/COUNTIF($L$5:$L$1517,"&gt;="&amp;L1028),0)</f>
        <v>0</v>
      </c>
      <c r="V1028" s="8" t="n">
        <f aca="false">IF($K1028=1,COUNTIFS($M$5:$M$1517,"&gt;="&amp;M1028,$K$5:$K$1517,1)/COUNTIF($M$5:$M$1517,"&gt;="&amp;M1028),0)</f>
        <v>0</v>
      </c>
      <c r="W1028" s="8" t="n">
        <f aca="false">IF($K1028=1,COUNTIFS($N$5:$N$1517,"&gt;="&amp;N1028,$K$5:$K$1517,1)/COUNTIF($N$5:$N$1517,"&gt;="&amp;N1028),0)</f>
        <v>0</v>
      </c>
      <c r="X1028" s="8" t="n">
        <f aca="false">IF($K1028=1,COUNTIFS($O$5:$O$1517,"&gt;="&amp;O1028,$K$5:$K$1517,1)/COUNTIF($O$5:$O$1517,"&gt;="&amp;O1028),0)</f>
        <v>0</v>
      </c>
      <c r="Y1028" s="8" t="n">
        <f aca="false">IF($K1028=1,COUNTIFS($P$5:$P$1517,"&gt;="&amp;P1028,$K$5:$K$1517,1)/COUNTIF($P$5:$P$1517,"&gt;="&amp;P1028),0)</f>
        <v>0</v>
      </c>
      <c r="Z1028" s="8" t="n">
        <f aca="false">(L1028-$K1028)^2</f>
        <v>0.136498474849</v>
      </c>
      <c r="AA1028" s="8" t="n">
        <f aca="false">(M1028-$K1028)^2</f>
        <v>0.008475595969</v>
      </c>
      <c r="AB1028" s="8" t="n">
        <f aca="false">(N1028-$K1028)^2</f>
        <v>0.004995945124</v>
      </c>
      <c r="AC1028" s="8" t="n">
        <f aca="false">(O1028-$K1028)^2</f>
        <v>0.011274829489</v>
      </c>
      <c r="AD1028" s="8" t="n">
        <f aca="false">(P1028-$K1028)^2</f>
        <v>0.005445111681</v>
      </c>
      <c r="AE1028" s="8" t="n">
        <f aca="false">MIN(INT(ROUND(N1028*1000000,0)/100000),9)</f>
        <v>0</v>
      </c>
      <c r="AF1028" s="8" t="n">
        <f aca="false">MIN(INT(ROUND(P1028*1000000,0)/100000),9)</f>
        <v>0</v>
      </c>
    </row>
    <row r="1029" customFormat="false" ht="15" hidden="false" customHeight="false" outlineLevel="0" collapsed="false">
      <c r="A1029" s="4" t="n">
        <v>1025</v>
      </c>
      <c r="B1029" s="4" t="n">
        <v>1411</v>
      </c>
      <c r="C1029" s="4" t="n">
        <v>2</v>
      </c>
      <c r="D1029" s="11" t="n">
        <v>46113</v>
      </c>
      <c r="E1029" s="4" t="s">
        <v>202</v>
      </c>
      <c r="F1029" s="4" t="s">
        <v>206</v>
      </c>
      <c r="G1029" s="4" t="n">
        <v>3</v>
      </c>
      <c r="H1029" s="4" t="n">
        <v>9</v>
      </c>
      <c r="I1029" s="4" t="n">
        <v>0</v>
      </c>
      <c r="J1029" s="4" t="n">
        <v>1560</v>
      </c>
      <c r="K1029" s="4" t="n">
        <v>0</v>
      </c>
      <c r="L1029" s="12" t="n">
        <v>0.248292</v>
      </c>
      <c r="M1029" s="12" t="n">
        <v>0.092063</v>
      </c>
      <c r="N1029" s="12" t="n">
        <v>0.125333</v>
      </c>
      <c r="O1029" s="12" t="n">
        <v>0.106183</v>
      </c>
      <c r="P1029" s="12" t="n">
        <v>0.133966</v>
      </c>
      <c r="Q1029" s="0" t="str">
        <f aca="false">IF(L1029&gt;=Models!$G$5,1+COUNTIF($L$5:$L$1517,"&gt;"&amp;L1029)+COUNTIFS($L$5:$L$1517,L1029,$B$5:$B$1517,"&lt;"&amp;B1029)+COUNTIFS($L$5:$L$1517,L1029,$B$5:$B$1517,B1029,$C$5:$C$1517,"&lt;"&amp;C1029),"")</f>
        <v/>
      </c>
      <c r="R1029" s="0" t="str">
        <f aca="false">IF(M1029&gt;=Models!$G$6,1+COUNTIF($M$5:$M$1517,"&gt;"&amp;M1029)+COUNTIFS($M$5:$M$1517,M1029,$B$5:$B$1517,"&lt;"&amp;B1029)+COUNTIFS($M$5:$M$1517,M1029,$B$5:$B$1517,B1029,$C$5:$C$1517,"&lt;"&amp;C1029),"")</f>
        <v/>
      </c>
      <c r="S1029" s="0" t="str">
        <f aca="false">IF(N1029&gt;=Models!$G$7,1+COUNTIF($N$5:$N$1517,"&gt;"&amp;N1029)+COUNTIFS($N$5:$N$1517,N1029,$B$5:$B$1517,"&lt;"&amp;B1029)+COUNTIFS($N$5:$N$1517,N1029,$B$5:$B$1517,B1029,$C$5:$C$1517,"&lt;"&amp;C1029),"")</f>
        <v/>
      </c>
      <c r="T1029" s="8" t="n">
        <f aca="false">IF(O1029&gt;=Models!$G$8,1+COUNTIF($O$5:$O$1517,"&gt;"&amp;O1029)+COUNTIFS($O$5:$O$1517,O1029,$B$5:$B$1517,"&lt;"&amp;B1029)+COUNTIFS($O$5:$O$1517,O1029,$B$5:$B$1517,B1029,$C$5:$C$1517,"&lt;"&amp;C1029),"")</f>
        <v>1173</v>
      </c>
      <c r="U1029" s="8" t="n">
        <f aca="false">IF($K1029=1,COUNTIFS($L$5:$L$1517,"&gt;="&amp;L1029,$K$5:$K$1517,1)/COUNTIF($L$5:$L$1517,"&gt;="&amp;L1029),0)</f>
        <v>0</v>
      </c>
      <c r="V1029" s="8" t="n">
        <f aca="false">IF($K1029=1,COUNTIFS($M$5:$M$1517,"&gt;="&amp;M1029,$K$5:$K$1517,1)/COUNTIF($M$5:$M$1517,"&gt;="&amp;M1029),0)</f>
        <v>0</v>
      </c>
      <c r="W1029" s="8" t="n">
        <f aca="false">IF($K1029=1,COUNTIFS($N$5:$N$1517,"&gt;="&amp;N1029,$K$5:$K$1517,1)/COUNTIF($N$5:$N$1517,"&gt;="&amp;N1029),0)</f>
        <v>0</v>
      </c>
      <c r="X1029" s="8" t="n">
        <f aca="false">IF($K1029=1,COUNTIFS($O$5:$O$1517,"&gt;="&amp;O1029,$K$5:$K$1517,1)/COUNTIF($O$5:$O$1517,"&gt;="&amp;O1029),0)</f>
        <v>0</v>
      </c>
      <c r="Y1029" s="8" t="n">
        <f aca="false">IF($K1029=1,COUNTIFS($P$5:$P$1517,"&gt;="&amp;P1029,$K$5:$K$1517,1)/COUNTIF($P$5:$P$1517,"&gt;="&amp;P1029),0)</f>
        <v>0</v>
      </c>
      <c r="Z1029" s="8" t="n">
        <f aca="false">(L1029-$K1029)^2</f>
        <v>0.061648917264</v>
      </c>
      <c r="AA1029" s="8" t="n">
        <f aca="false">(M1029-$K1029)^2</f>
        <v>0.008475595969</v>
      </c>
      <c r="AB1029" s="8" t="n">
        <f aca="false">(N1029-$K1029)^2</f>
        <v>0.015708360889</v>
      </c>
      <c r="AC1029" s="8" t="n">
        <f aca="false">(O1029-$K1029)^2</f>
        <v>0.011274829489</v>
      </c>
      <c r="AD1029" s="8" t="n">
        <f aca="false">(P1029-$K1029)^2</f>
        <v>0.017946889156</v>
      </c>
      <c r="AE1029" s="8" t="n">
        <f aca="false">MIN(INT(ROUND(N1029*1000000,0)/100000),9)</f>
        <v>1</v>
      </c>
      <c r="AF1029" s="8" t="n">
        <f aca="false">MIN(INT(ROUND(P1029*1000000,0)/100000),9)</f>
        <v>1</v>
      </c>
    </row>
    <row r="1030" customFormat="false" ht="15" hidden="false" customHeight="false" outlineLevel="0" collapsed="false">
      <c r="A1030" s="4" t="n">
        <v>1026</v>
      </c>
      <c r="B1030" s="4" t="n">
        <v>1418</v>
      </c>
      <c r="C1030" s="4" t="n">
        <v>2</v>
      </c>
      <c r="D1030" s="11" t="n">
        <v>46113</v>
      </c>
      <c r="E1030" s="4" t="s">
        <v>202</v>
      </c>
      <c r="F1030" s="4" t="s">
        <v>207</v>
      </c>
      <c r="G1030" s="4" t="n">
        <v>8</v>
      </c>
      <c r="H1030" s="4" t="n">
        <v>18</v>
      </c>
      <c r="I1030" s="4" t="n">
        <v>0</v>
      </c>
      <c r="J1030" s="4"/>
      <c r="K1030" s="4" t="n">
        <v>0</v>
      </c>
      <c r="L1030" s="12" t="n">
        <v>0.468685</v>
      </c>
      <c r="M1030" s="12" t="n">
        <v>0.092063</v>
      </c>
      <c r="N1030" s="12" t="n">
        <v>0.048097</v>
      </c>
      <c r="O1030" s="12" t="n">
        <v>0.106183</v>
      </c>
      <c r="P1030" s="12" t="n">
        <v>0.049346</v>
      </c>
      <c r="Q1030" s="0" t="str">
        <f aca="false">IF(L1030&gt;=Models!$G$5,1+COUNTIF($L$5:$L$1517,"&gt;"&amp;L1030)+COUNTIFS($L$5:$L$1517,L1030,$B$5:$B$1517,"&lt;"&amp;B1030)+COUNTIFS($L$5:$L$1517,L1030,$B$5:$B$1517,B1030,$C$5:$C$1517,"&lt;"&amp;C1030),"")</f>
        <v/>
      </c>
      <c r="R1030" s="0" t="str">
        <f aca="false">IF(M1030&gt;=Models!$G$6,1+COUNTIF($M$5:$M$1517,"&gt;"&amp;M1030)+COUNTIFS($M$5:$M$1517,M1030,$B$5:$B$1517,"&lt;"&amp;B1030)+COUNTIFS($M$5:$M$1517,M1030,$B$5:$B$1517,B1030,$C$5:$C$1517,"&lt;"&amp;C1030),"")</f>
        <v/>
      </c>
      <c r="S1030" s="0" t="str">
        <f aca="false">IF(N1030&gt;=Models!$G$7,1+COUNTIF($N$5:$N$1517,"&gt;"&amp;N1030)+COUNTIFS($N$5:$N$1517,N1030,$B$5:$B$1517,"&lt;"&amp;B1030)+COUNTIFS($N$5:$N$1517,N1030,$B$5:$B$1517,B1030,$C$5:$C$1517,"&lt;"&amp;C1030),"")</f>
        <v/>
      </c>
      <c r="T1030" s="8" t="n">
        <f aca="false">IF(O1030&gt;=Models!$G$8,1+COUNTIF($O$5:$O$1517,"&gt;"&amp;O1030)+COUNTIFS($O$5:$O$1517,O1030,$B$5:$B$1517,"&lt;"&amp;B1030)+COUNTIFS($O$5:$O$1517,O1030,$B$5:$B$1517,B1030,$C$5:$C$1517,"&lt;"&amp;C1030),"")</f>
        <v>1177</v>
      </c>
      <c r="U1030" s="8" t="n">
        <f aca="false">IF($K1030=1,COUNTIFS($L$5:$L$1517,"&gt;="&amp;L1030,$K$5:$K$1517,1)/COUNTIF($L$5:$L$1517,"&gt;="&amp;L1030),0)</f>
        <v>0</v>
      </c>
      <c r="V1030" s="8" t="n">
        <f aca="false">IF($K1030=1,COUNTIFS($M$5:$M$1517,"&gt;="&amp;M1030,$K$5:$K$1517,1)/COUNTIF($M$5:$M$1517,"&gt;="&amp;M1030),0)</f>
        <v>0</v>
      </c>
      <c r="W1030" s="8" t="n">
        <f aca="false">IF($K1030=1,COUNTIFS($N$5:$N$1517,"&gt;="&amp;N1030,$K$5:$K$1517,1)/COUNTIF($N$5:$N$1517,"&gt;="&amp;N1030),0)</f>
        <v>0</v>
      </c>
      <c r="X1030" s="8" t="n">
        <f aca="false">IF($K1030=1,COUNTIFS($O$5:$O$1517,"&gt;="&amp;O1030,$K$5:$K$1517,1)/COUNTIF($O$5:$O$1517,"&gt;="&amp;O1030),0)</f>
        <v>0</v>
      </c>
      <c r="Y1030" s="8" t="n">
        <f aca="false">IF($K1030=1,COUNTIFS($P$5:$P$1517,"&gt;="&amp;P1030,$K$5:$K$1517,1)/COUNTIF($P$5:$P$1517,"&gt;="&amp;P1030),0)</f>
        <v>0</v>
      </c>
      <c r="Z1030" s="8" t="n">
        <f aca="false">(L1030-$K1030)^2</f>
        <v>0.219665629225</v>
      </c>
      <c r="AA1030" s="8" t="n">
        <f aca="false">(M1030-$K1030)^2</f>
        <v>0.008475595969</v>
      </c>
      <c r="AB1030" s="8" t="n">
        <f aca="false">(N1030-$K1030)^2</f>
        <v>0.002313321409</v>
      </c>
      <c r="AC1030" s="8" t="n">
        <f aca="false">(O1030-$K1030)^2</f>
        <v>0.011274829489</v>
      </c>
      <c r="AD1030" s="8" t="n">
        <f aca="false">(P1030-$K1030)^2</f>
        <v>0.002435027716</v>
      </c>
      <c r="AE1030" s="8" t="n">
        <f aca="false">MIN(INT(ROUND(N1030*1000000,0)/100000),9)</f>
        <v>0</v>
      </c>
      <c r="AF1030" s="8" t="n">
        <f aca="false">MIN(INT(ROUND(P1030*1000000,0)/100000),9)</f>
        <v>0</v>
      </c>
    </row>
    <row r="1031" customFormat="false" ht="15" hidden="false" customHeight="false" outlineLevel="0" collapsed="false">
      <c r="A1031" s="4" t="n">
        <v>1027</v>
      </c>
      <c r="B1031" s="4" t="n">
        <v>1423</v>
      </c>
      <c r="C1031" s="4" t="n">
        <v>2</v>
      </c>
      <c r="D1031" s="11" t="n">
        <v>46113</v>
      </c>
      <c r="E1031" s="4" t="s">
        <v>204</v>
      </c>
      <c r="F1031" s="4" t="s">
        <v>208</v>
      </c>
      <c r="G1031" s="4" t="n">
        <v>2</v>
      </c>
      <c r="H1031" s="4" t="n">
        <v>10</v>
      </c>
      <c r="I1031" s="4" t="n">
        <v>0</v>
      </c>
      <c r="J1031" s="4" t="n">
        <v>66</v>
      </c>
      <c r="K1031" s="4" t="n">
        <v>0</v>
      </c>
      <c r="L1031" s="12" t="n">
        <v>0.529076</v>
      </c>
      <c r="M1031" s="12" t="n">
        <v>0.092063</v>
      </c>
      <c r="N1031" s="12" t="n">
        <v>0.14705</v>
      </c>
      <c r="O1031" s="12" t="n">
        <v>0.106183</v>
      </c>
      <c r="P1031" s="12" t="n">
        <v>0.158078</v>
      </c>
      <c r="Q1031" s="0" t="str">
        <f aca="false">IF(L1031&gt;=Models!$G$5,1+COUNTIF($L$5:$L$1517,"&gt;"&amp;L1031)+COUNTIFS($L$5:$L$1517,L1031,$B$5:$B$1517,"&lt;"&amp;B1031)+COUNTIFS($L$5:$L$1517,L1031,$B$5:$B$1517,B1031,$C$5:$C$1517,"&lt;"&amp;C1031),"")</f>
        <v/>
      </c>
      <c r="R1031" s="0" t="str">
        <f aca="false">IF(M1031&gt;=Models!$G$6,1+COUNTIF($M$5:$M$1517,"&gt;"&amp;M1031)+COUNTIFS($M$5:$M$1517,M1031,$B$5:$B$1517,"&lt;"&amp;B1031)+COUNTIFS($M$5:$M$1517,M1031,$B$5:$B$1517,B1031,$C$5:$C$1517,"&lt;"&amp;C1031),"")</f>
        <v/>
      </c>
      <c r="S1031" s="0" t="str">
        <f aca="false">IF(N1031&gt;=Models!$G$7,1+COUNTIF($N$5:$N$1517,"&gt;"&amp;N1031)+COUNTIFS($N$5:$N$1517,N1031,$B$5:$B$1517,"&lt;"&amp;B1031)+COUNTIFS($N$5:$N$1517,N1031,$B$5:$B$1517,B1031,$C$5:$C$1517,"&lt;"&amp;C1031),"")</f>
        <v/>
      </c>
      <c r="T1031" s="8" t="n">
        <f aca="false">IF(O1031&gt;=Models!$G$8,1+COUNTIF($O$5:$O$1517,"&gt;"&amp;O1031)+COUNTIFS($O$5:$O$1517,O1031,$B$5:$B$1517,"&lt;"&amp;B1031)+COUNTIFS($O$5:$O$1517,O1031,$B$5:$B$1517,B1031,$C$5:$C$1517,"&lt;"&amp;C1031),"")</f>
        <v>1181</v>
      </c>
      <c r="U1031" s="8" t="n">
        <f aca="false">IF($K1031=1,COUNTIFS($L$5:$L$1517,"&gt;="&amp;L1031,$K$5:$K$1517,1)/COUNTIF($L$5:$L$1517,"&gt;="&amp;L1031),0)</f>
        <v>0</v>
      </c>
      <c r="V1031" s="8" t="n">
        <f aca="false">IF($K1031=1,COUNTIFS($M$5:$M$1517,"&gt;="&amp;M1031,$K$5:$K$1517,1)/COUNTIF($M$5:$M$1517,"&gt;="&amp;M1031),0)</f>
        <v>0</v>
      </c>
      <c r="W1031" s="8" t="n">
        <f aca="false">IF($K1031=1,COUNTIFS($N$5:$N$1517,"&gt;="&amp;N1031,$K$5:$K$1517,1)/COUNTIF($N$5:$N$1517,"&gt;="&amp;N1031),0)</f>
        <v>0</v>
      </c>
      <c r="X1031" s="8" t="n">
        <f aca="false">IF($K1031=1,COUNTIFS($O$5:$O$1517,"&gt;="&amp;O1031,$K$5:$K$1517,1)/COUNTIF($O$5:$O$1517,"&gt;="&amp;O1031),0)</f>
        <v>0</v>
      </c>
      <c r="Y1031" s="8" t="n">
        <f aca="false">IF($K1031=1,COUNTIFS($P$5:$P$1517,"&gt;="&amp;P1031,$K$5:$K$1517,1)/COUNTIF($P$5:$P$1517,"&gt;="&amp;P1031),0)</f>
        <v>0</v>
      </c>
      <c r="Z1031" s="8" t="n">
        <f aca="false">(L1031-$K1031)^2</f>
        <v>0.279921413776</v>
      </c>
      <c r="AA1031" s="8" t="n">
        <f aca="false">(M1031-$K1031)^2</f>
        <v>0.008475595969</v>
      </c>
      <c r="AB1031" s="8" t="n">
        <f aca="false">(N1031-$K1031)^2</f>
        <v>0.0216237025</v>
      </c>
      <c r="AC1031" s="8" t="n">
        <f aca="false">(O1031-$K1031)^2</f>
        <v>0.011274829489</v>
      </c>
      <c r="AD1031" s="8" t="n">
        <f aca="false">(P1031-$K1031)^2</f>
        <v>0.024988654084</v>
      </c>
      <c r="AE1031" s="8" t="n">
        <f aca="false">MIN(INT(ROUND(N1031*1000000,0)/100000),9)</f>
        <v>1</v>
      </c>
      <c r="AF1031" s="8" t="n">
        <f aca="false">MIN(INT(ROUND(P1031*1000000,0)/100000),9)</f>
        <v>1</v>
      </c>
    </row>
    <row r="1032" customFormat="false" ht="15" hidden="false" customHeight="false" outlineLevel="0" collapsed="false">
      <c r="A1032" s="4" t="n">
        <v>1028</v>
      </c>
      <c r="B1032" s="4" t="n">
        <v>1432</v>
      </c>
      <c r="C1032" s="4" t="n">
        <v>2</v>
      </c>
      <c r="D1032" s="11" t="n">
        <v>46113</v>
      </c>
      <c r="E1032" s="4" t="s">
        <v>203</v>
      </c>
      <c r="F1032" s="4" t="s">
        <v>209</v>
      </c>
      <c r="G1032" s="4" t="n">
        <v>2</v>
      </c>
      <c r="H1032" s="4" t="n">
        <v>3</v>
      </c>
      <c r="I1032" s="4" t="n">
        <v>0</v>
      </c>
      <c r="J1032" s="4" t="n">
        <v>408</v>
      </c>
      <c r="K1032" s="4" t="n">
        <v>0</v>
      </c>
      <c r="L1032" s="12" t="n">
        <v>0.179672</v>
      </c>
      <c r="M1032" s="12" t="n">
        <v>0.092063</v>
      </c>
      <c r="N1032" s="12" t="n">
        <v>0.137626</v>
      </c>
      <c r="O1032" s="12" t="n">
        <v>0.106183</v>
      </c>
      <c r="P1032" s="12" t="n">
        <v>0.147607</v>
      </c>
      <c r="Q1032" s="0" t="str">
        <f aca="false">IF(L1032&gt;=Models!$G$5,1+COUNTIF($L$5:$L$1517,"&gt;"&amp;L1032)+COUNTIFS($L$5:$L$1517,L1032,$B$5:$B$1517,"&lt;"&amp;B1032)+COUNTIFS($L$5:$L$1517,L1032,$B$5:$B$1517,B1032,$C$5:$C$1517,"&lt;"&amp;C1032),"")</f>
        <v/>
      </c>
      <c r="R1032" s="0" t="str">
        <f aca="false">IF(M1032&gt;=Models!$G$6,1+COUNTIF($M$5:$M$1517,"&gt;"&amp;M1032)+COUNTIFS($M$5:$M$1517,M1032,$B$5:$B$1517,"&lt;"&amp;B1032)+COUNTIFS($M$5:$M$1517,M1032,$B$5:$B$1517,B1032,$C$5:$C$1517,"&lt;"&amp;C1032),"")</f>
        <v/>
      </c>
      <c r="S1032" s="0" t="str">
        <f aca="false">IF(N1032&gt;=Models!$G$7,1+COUNTIF($N$5:$N$1517,"&gt;"&amp;N1032)+COUNTIFS($N$5:$N$1517,N1032,$B$5:$B$1517,"&lt;"&amp;B1032)+COUNTIFS($N$5:$N$1517,N1032,$B$5:$B$1517,B1032,$C$5:$C$1517,"&lt;"&amp;C1032),"")</f>
        <v/>
      </c>
      <c r="T1032" s="8" t="n">
        <f aca="false">IF(O1032&gt;=Models!$G$8,1+COUNTIF($O$5:$O$1517,"&gt;"&amp;O1032)+COUNTIFS($O$5:$O$1517,O1032,$B$5:$B$1517,"&lt;"&amp;B1032)+COUNTIFS($O$5:$O$1517,O1032,$B$5:$B$1517,B1032,$C$5:$C$1517,"&lt;"&amp;C1032),"")</f>
        <v>1185</v>
      </c>
      <c r="U1032" s="8" t="n">
        <f aca="false">IF($K1032=1,COUNTIFS($L$5:$L$1517,"&gt;="&amp;L1032,$K$5:$K$1517,1)/COUNTIF($L$5:$L$1517,"&gt;="&amp;L1032),0)</f>
        <v>0</v>
      </c>
      <c r="V1032" s="8" t="n">
        <f aca="false">IF($K1032=1,COUNTIFS($M$5:$M$1517,"&gt;="&amp;M1032,$K$5:$K$1517,1)/COUNTIF($M$5:$M$1517,"&gt;="&amp;M1032),0)</f>
        <v>0</v>
      </c>
      <c r="W1032" s="8" t="n">
        <f aca="false">IF($K1032=1,COUNTIFS($N$5:$N$1517,"&gt;="&amp;N1032,$K$5:$K$1517,1)/COUNTIF($N$5:$N$1517,"&gt;="&amp;N1032),0)</f>
        <v>0</v>
      </c>
      <c r="X1032" s="8" t="n">
        <f aca="false">IF($K1032=1,COUNTIFS($O$5:$O$1517,"&gt;="&amp;O1032,$K$5:$K$1517,1)/COUNTIF($O$5:$O$1517,"&gt;="&amp;O1032),0)</f>
        <v>0</v>
      </c>
      <c r="Y1032" s="8" t="n">
        <f aca="false">IF($K1032=1,COUNTIFS($P$5:$P$1517,"&gt;="&amp;P1032,$K$5:$K$1517,1)/COUNTIF($P$5:$P$1517,"&gt;="&amp;P1032),0)</f>
        <v>0</v>
      </c>
      <c r="Z1032" s="8" t="n">
        <f aca="false">(L1032-$K1032)^2</f>
        <v>0.032282027584</v>
      </c>
      <c r="AA1032" s="8" t="n">
        <f aca="false">(M1032-$K1032)^2</f>
        <v>0.008475595969</v>
      </c>
      <c r="AB1032" s="8" t="n">
        <f aca="false">(N1032-$K1032)^2</f>
        <v>0.018940915876</v>
      </c>
      <c r="AC1032" s="8" t="n">
        <f aca="false">(O1032-$K1032)^2</f>
        <v>0.011274829489</v>
      </c>
      <c r="AD1032" s="8" t="n">
        <f aca="false">(P1032-$K1032)^2</f>
        <v>0.021787826449</v>
      </c>
      <c r="AE1032" s="8" t="n">
        <f aca="false">MIN(INT(ROUND(N1032*1000000,0)/100000),9)</f>
        <v>1</v>
      </c>
      <c r="AF1032" s="8" t="n">
        <f aca="false">MIN(INT(ROUND(P1032*1000000,0)/100000),9)</f>
        <v>1</v>
      </c>
    </row>
    <row r="1033" customFormat="false" ht="15" hidden="false" customHeight="false" outlineLevel="0" collapsed="false">
      <c r="A1033" s="4" t="n">
        <v>1029</v>
      </c>
      <c r="B1033" s="4" t="n">
        <v>1434</v>
      </c>
      <c r="C1033" s="4" t="n">
        <v>2</v>
      </c>
      <c r="D1033" s="11" t="n">
        <v>46113</v>
      </c>
      <c r="E1033" s="4" t="s">
        <v>203</v>
      </c>
      <c r="F1033" s="4" t="s">
        <v>206</v>
      </c>
      <c r="G1033" s="4" t="n">
        <v>5</v>
      </c>
      <c r="H1033" s="4" t="n">
        <v>0</v>
      </c>
      <c r="I1033" s="4" t="n">
        <v>0</v>
      </c>
      <c r="J1033" s="4" t="n">
        <v>258</v>
      </c>
      <c r="K1033" s="4" t="n">
        <v>0</v>
      </c>
      <c r="L1033" s="12" t="n">
        <v>0.935373</v>
      </c>
      <c r="M1033" s="12" t="n">
        <v>0.092063</v>
      </c>
      <c r="N1033" s="12" t="n">
        <v>0.107072</v>
      </c>
      <c r="O1033" s="12" t="n">
        <v>0.106183</v>
      </c>
      <c r="P1033" s="12" t="n">
        <v>0.113755</v>
      </c>
      <c r="Q1033" s="0" t="str">
        <f aca="false">IF(L1033&gt;=Models!$G$5,1+COUNTIF($L$5:$L$1517,"&gt;"&amp;L1033)+COUNTIFS($L$5:$L$1517,L1033,$B$5:$B$1517,"&lt;"&amp;B1033)+COUNTIFS($L$5:$L$1517,L1033,$B$5:$B$1517,B1033,$C$5:$C$1517,"&lt;"&amp;C1033),"")</f>
        <v/>
      </c>
      <c r="R1033" s="0" t="str">
        <f aca="false">IF(M1033&gt;=Models!$G$6,1+COUNTIF($M$5:$M$1517,"&gt;"&amp;M1033)+COUNTIFS($M$5:$M$1517,M1033,$B$5:$B$1517,"&lt;"&amp;B1033)+COUNTIFS($M$5:$M$1517,M1033,$B$5:$B$1517,B1033,$C$5:$C$1517,"&lt;"&amp;C1033),"")</f>
        <v/>
      </c>
      <c r="S1033" s="0" t="str">
        <f aca="false">IF(N1033&gt;=Models!$G$7,1+COUNTIF($N$5:$N$1517,"&gt;"&amp;N1033)+COUNTIFS($N$5:$N$1517,N1033,$B$5:$B$1517,"&lt;"&amp;B1033)+COUNTIFS($N$5:$N$1517,N1033,$B$5:$B$1517,B1033,$C$5:$C$1517,"&lt;"&amp;C1033),"")</f>
        <v/>
      </c>
      <c r="T1033" s="8" t="n">
        <f aca="false">IF(O1033&gt;=Models!$G$8,1+COUNTIF($O$5:$O$1517,"&gt;"&amp;O1033)+COUNTIFS($O$5:$O$1517,O1033,$B$5:$B$1517,"&lt;"&amp;B1033)+COUNTIFS($O$5:$O$1517,O1033,$B$5:$B$1517,B1033,$C$5:$C$1517,"&lt;"&amp;C1033),"")</f>
        <v>1189</v>
      </c>
      <c r="U1033" s="8" t="n">
        <f aca="false">IF($K1033=1,COUNTIFS($L$5:$L$1517,"&gt;="&amp;L1033,$K$5:$K$1517,1)/COUNTIF($L$5:$L$1517,"&gt;="&amp;L1033),0)</f>
        <v>0</v>
      </c>
      <c r="V1033" s="8" t="n">
        <f aca="false">IF($K1033=1,COUNTIFS($M$5:$M$1517,"&gt;="&amp;M1033,$K$5:$K$1517,1)/COUNTIF($M$5:$M$1517,"&gt;="&amp;M1033),0)</f>
        <v>0</v>
      </c>
      <c r="W1033" s="8" t="n">
        <f aca="false">IF($K1033=1,COUNTIFS($N$5:$N$1517,"&gt;="&amp;N1033,$K$5:$K$1517,1)/COUNTIF($N$5:$N$1517,"&gt;="&amp;N1033),0)</f>
        <v>0</v>
      </c>
      <c r="X1033" s="8" t="n">
        <f aca="false">IF($K1033=1,COUNTIFS($O$5:$O$1517,"&gt;="&amp;O1033,$K$5:$K$1517,1)/COUNTIF($O$5:$O$1517,"&gt;="&amp;O1033),0)</f>
        <v>0</v>
      </c>
      <c r="Y1033" s="8" t="n">
        <f aca="false">IF($K1033=1,COUNTIFS($P$5:$P$1517,"&gt;="&amp;P1033,$K$5:$K$1517,1)/COUNTIF($P$5:$P$1517,"&gt;="&amp;P1033),0)</f>
        <v>0</v>
      </c>
      <c r="Z1033" s="8" t="n">
        <f aca="false">(L1033-$K1033)^2</f>
        <v>0.874922649129</v>
      </c>
      <c r="AA1033" s="8" t="n">
        <f aca="false">(M1033-$K1033)^2</f>
        <v>0.008475595969</v>
      </c>
      <c r="AB1033" s="8" t="n">
        <f aca="false">(N1033-$K1033)^2</f>
        <v>0.011464413184</v>
      </c>
      <c r="AC1033" s="8" t="n">
        <f aca="false">(O1033-$K1033)^2</f>
        <v>0.011274829489</v>
      </c>
      <c r="AD1033" s="8" t="n">
        <f aca="false">(P1033-$K1033)^2</f>
        <v>0.012940200025</v>
      </c>
      <c r="AE1033" s="8" t="n">
        <f aca="false">MIN(INT(ROUND(N1033*1000000,0)/100000),9)</f>
        <v>1</v>
      </c>
      <c r="AF1033" s="8" t="n">
        <f aca="false">MIN(INT(ROUND(P1033*1000000,0)/100000),9)</f>
        <v>1</v>
      </c>
    </row>
    <row r="1034" customFormat="false" ht="15" hidden="false" customHeight="false" outlineLevel="0" collapsed="false">
      <c r="A1034" s="4" t="n">
        <v>1030</v>
      </c>
      <c r="B1034" s="4" t="n">
        <v>1437</v>
      </c>
      <c r="C1034" s="4" t="n">
        <v>2</v>
      </c>
      <c r="D1034" s="11" t="n">
        <v>46113</v>
      </c>
      <c r="E1034" s="4" t="s">
        <v>204</v>
      </c>
      <c r="F1034" s="4" t="s">
        <v>207</v>
      </c>
      <c r="G1034" s="4" t="n">
        <v>2</v>
      </c>
      <c r="H1034" s="4" t="n">
        <v>12</v>
      </c>
      <c r="I1034" s="4" t="n">
        <v>0</v>
      </c>
      <c r="J1034" s="4" t="n">
        <v>87</v>
      </c>
      <c r="K1034" s="4" t="n">
        <v>0</v>
      </c>
      <c r="L1034" s="12" t="n">
        <v>0.859125</v>
      </c>
      <c r="M1034" s="12" t="n">
        <v>0.092063</v>
      </c>
      <c r="N1034" s="12" t="n">
        <v>0.148962</v>
      </c>
      <c r="O1034" s="12" t="n">
        <v>0.106183</v>
      </c>
      <c r="P1034" s="12" t="n">
        <v>0.160204</v>
      </c>
      <c r="Q1034" s="0" t="str">
        <f aca="false">IF(L1034&gt;=Models!$G$5,1+COUNTIF($L$5:$L$1517,"&gt;"&amp;L1034)+COUNTIFS($L$5:$L$1517,L1034,$B$5:$B$1517,"&lt;"&amp;B1034)+COUNTIFS($L$5:$L$1517,L1034,$B$5:$B$1517,B1034,$C$5:$C$1517,"&lt;"&amp;C1034),"")</f>
        <v/>
      </c>
      <c r="R1034" s="0" t="str">
        <f aca="false">IF(M1034&gt;=Models!$G$6,1+COUNTIF($M$5:$M$1517,"&gt;"&amp;M1034)+COUNTIFS($M$5:$M$1517,M1034,$B$5:$B$1517,"&lt;"&amp;B1034)+COUNTIFS($M$5:$M$1517,M1034,$B$5:$B$1517,B1034,$C$5:$C$1517,"&lt;"&amp;C1034),"")</f>
        <v/>
      </c>
      <c r="S1034" s="0" t="str">
        <f aca="false">IF(N1034&gt;=Models!$G$7,1+COUNTIF($N$5:$N$1517,"&gt;"&amp;N1034)+COUNTIFS($N$5:$N$1517,N1034,$B$5:$B$1517,"&lt;"&amp;B1034)+COUNTIFS($N$5:$N$1517,N1034,$B$5:$B$1517,B1034,$C$5:$C$1517,"&lt;"&amp;C1034),"")</f>
        <v/>
      </c>
      <c r="T1034" s="8" t="n">
        <f aca="false">IF(O1034&gt;=Models!$G$8,1+COUNTIF($O$5:$O$1517,"&gt;"&amp;O1034)+COUNTIFS($O$5:$O$1517,O1034,$B$5:$B$1517,"&lt;"&amp;B1034)+COUNTIFS($O$5:$O$1517,O1034,$B$5:$B$1517,B1034,$C$5:$C$1517,"&lt;"&amp;C1034),"")</f>
        <v>1193</v>
      </c>
      <c r="U1034" s="8" t="n">
        <f aca="false">IF($K1034=1,COUNTIFS($L$5:$L$1517,"&gt;="&amp;L1034,$K$5:$K$1517,1)/COUNTIF($L$5:$L$1517,"&gt;="&amp;L1034),0)</f>
        <v>0</v>
      </c>
      <c r="V1034" s="8" t="n">
        <f aca="false">IF($K1034=1,COUNTIFS($M$5:$M$1517,"&gt;="&amp;M1034,$K$5:$K$1517,1)/COUNTIF($M$5:$M$1517,"&gt;="&amp;M1034),0)</f>
        <v>0</v>
      </c>
      <c r="W1034" s="8" t="n">
        <f aca="false">IF($K1034=1,COUNTIFS($N$5:$N$1517,"&gt;="&amp;N1034,$K$5:$K$1517,1)/COUNTIF($N$5:$N$1517,"&gt;="&amp;N1034),0)</f>
        <v>0</v>
      </c>
      <c r="X1034" s="8" t="n">
        <f aca="false">IF($K1034=1,COUNTIFS($O$5:$O$1517,"&gt;="&amp;O1034,$K$5:$K$1517,1)/COUNTIF($O$5:$O$1517,"&gt;="&amp;O1034),0)</f>
        <v>0</v>
      </c>
      <c r="Y1034" s="8" t="n">
        <f aca="false">IF($K1034=1,COUNTIFS($P$5:$P$1517,"&gt;="&amp;P1034,$K$5:$K$1517,1)/COUNTIF($P$5:$P$1517,"&gt;="&amp;P1034),0)</f>
        <v>0</v>
      </c>
      <c r="Z1034" s="8" t="n">
        <f aca="false">(L1034-$K1034)^2</f>
        <v>0.738095765625</v>
      </c>
      <c r="AA1034" s="8" t="n">
        <f aca="false">(M1034-$K1034)^2</f>
        <v>0.008475595969</v>
      </c>
      <c r="AB1034" s="8" t="n">
        <f aca="false">(N1034-$K1034)^2</f>
        <v>0.022189677444</v>
      </c>
      <c r="AC1034" s="8" t="n">
        <f aca="false">(O1034-$K1034)^2</f>
        <v>0.011274829489</v>
      </c>
      <c r="AD1034" s="8" t="n">
        <f aca="false">(P1034-$K1034)^2</f>
        <v>0.025665321616</v>
      </c>
      <c r="AE1034" s="8" t="n">
        <f aca="false">MIN(INT(ROUND(N1034*1000000,0)/100000),9)</f>
        <v>1</v>
      </c>
      <c r="AF1034" s="8" t="n">
        <f aca="false">MIN(INT(ROUND(P1034*1000000,0)/100000),9)</f>
        <v>1</v>
      </c>
    </row>
    <row r="1035" customFormat="false" ht="15" hidden="false" customHeight="false" outlineLevel="0" collapsed="false">
      <c r="A1035" s="4" t="n">
        <v>1031</v>
      </c>
      <c r="B1035" s="4" t="n">
        <v>1444</v>
      </c>
      <c r="C1035" s="4" t="n">
        <v>2</v>
      </c>
      <c r="D1035" s="11" t="n">
        <v>46113</v>
      </c>
      <c r="E1035" s="4" t="s">
        <v>204</v>
      </c>
      <c r="F1035" s="4" t="s">
        <v>209</v>
      </c>
      <c r="G1035" s="4" t="n">
        <v>1</v>
      </c>
      <c r="H1035" s="4" t="n">
        <v>24</v>
      </c>
      <c r="I1035" s="4" t="n">
        <v>0</v>
      </c>
      <c r="J1035" s="4" t="n">
        <v>93</v>
      </c>
      <c r="K1035" s="4" t="n">
        <v>1</v>
      </c>
      <c r="L1035" s="12" t="n">
        <v>0.351603</v>
      </c>
      <c r="M1035" s="12" t="n">
        <v>0.092063</v>
      </c>
      <c r="N1035" s="12" t="n">
        <v>0.174397</v>
      </c>
      <c r="O1035" s="12" t="n">
        <v>0.106183</v>
      </c>
      <c r="P1035" s="12" t="n">
        <v>0.1885</v>
      </c>
      <c r="Q1035" s="0" t="str">
        <f aca="false">IF(L1035&gt;=Models!$G$5,1+COUNTIF($L$5:$L$1517,"&gt;"&amp;L1035)+COUNTIFS($L$5:$L$1517,L1035,$B$5:$B$1517,"&lt;"&amp;B1035)+COUNTIFS($L$5:$L$1517,L1035,$B$5:$B$1517,B1035,$C$5:$C$1517,"&lt;"&amp;C1035),"")</f>
        <v/>
      </c>
      <c r="R1035" s="0" t="str">
        <f aca="false">IF(M1035&gt;=Models!$G$6,1+COUNTIF($M$5:$M$1517,"&gt;"&amp;M1035)+COUNTIFS($M$5:$M$1517,M1035,$B$5:$B$1517,"&lt;"&amp;B1035)+COUNTIFS($M$5:$M$1517,M1035,$B$5:$B$1517,B1035,$C$5:$C$1517,"&lt;"&amp;C1035),"")</f>
        <v/>
      </c>
      <c r="S1035" s="0" t="str">
        <f aca="false">IF(N1035&gt;=Models!$G$7,1+COUNTIF($N$5:$N$1517,"&gt;"&amp;N1035)+COUNTIFS($N$5:$N$1517,N1035,$B$5:$B$1517,"&lt;"&amp;B1035)+COUNTIFS($N$5:$N$1517,N1035,$B$5:$B$1517,B1035,$C$5:$C$1517,"&lt;"&amp;C1035),"")</f>
        <v/>
      </c>
      <c r="T1035" s="8" t="n">
        <f aca="false">IF(O1035&gt;=Models!$G$8,1+COUNTIF($O$5:$O$1517,"&gt;"&amp;O1035)+COUNTIFS($O$5:$O$1517,O1035,$B$5:$B$1517,"&lt;"&amp;B1035)+COUNTIFS($O$5:$O$1517,O1035,$B$5:$B$1517,B1035,$C$5:$C$1517,"&lt;"&amp;C1035),"")</f>
        <v>1197</v>
      </c>
      <c r="U1035" s="8" t="n">
        <f aca="false">IF($K1035=1,COUNTIFS($L$5:$L$1517,"&gt;="&amp;L1035,$K$5:$K$1517,1)/COUNTIF($L$5:$L$1517,"&gt;="&amp;L1035),0)</f>
        <v>0.129533678756477</v>
      </c>
      <c r="V1035" s="8" t="n">
        <f aca="false">IF($K1035=1,COUNTIFS($M$5:$M$1517,"&gt;="&amp;M1035,$K$5:$K$1517,1)/COUNTIF($M$5:$M$1517,"&gt;="&amp;M1035),0)</f>
        <v>0.12491738268341</v>
      </c>
      <c r="W1035" s="8" t="n">
        <f aca="false">IF($K1035=1,COUNTIFS($N$5:$N$1517,"&gt;="&amp;N1035,$K$5:$K$1517,1)/COUNTIF($N$5:$N$1517,"&gt;="&amp;N1035),0)</f>
        <v>0.336448598130841</v>
      </c>
      <c r="X1035" s="8" t="n">
        <f aca="false">IF($K1035=1,COUNTIFS($O$5:$O$1517,"&gt;="&amp;O1035,$K$5:$K$1517,1)/COUNTIF($O$5:$O$1517,"&gt;="&amp;O1035),0)</f>
        <v>0.12491738268341</v>
      </c>
      <c r="Y1035" s="8" t="n">
        <f aca="false">IF($K1035=1,COUNTIFS($P$5:$P$1517,"&gt;="&amp;P1035,$K$5:$K$1517,1)/COUNTIF($P$5:$P$1517,"&gt;="&amp;P1035),0)</f>
        <v>0.336448598130841</v>
      </c>
      <c r="Z1035" s="8" t="n">
        <f aca="false">(L1035-$K1035)^2</f>
        <v>0.420418669609</v>
      </c>
      <c r="AA1035" s="8" t="n">
        <f aca="false">(M1035-$K1035)^2</f>
        <v>0.824349595969</v>
      </c>
      <c r="AB1035" s="8" t="n">
        <f aca="false">(N1035-$K1035)^2</f>
        <v>0.681620313609</v>
      </c>
      <c r="AC1035" s="8" t="n">
        <f aca="false">(O1035-$K1035)^2</f>
        <v>0.798908829489</v>
      </c>
      <c r="AD1035" s="8" t="n">
        <f aca="false">(P1035-$K1035)^2</f>
        <v>0.65853225</v>
      </c>
      <c r="AE1035" s="8" t="n">
        <f aca="false">MIN(INT(ROUND(N1035*1000000,0)/100000),9)</f>
        <v>1</v>
      </c>
      <c r="AF1035" s="8" t="n">
        <f aca="false">MIN(INT(ROUND(P1035*1000000,0)/100000),9)</f>
        <v>1</v>
      </c>
    </row>
    <row r="1036" customFormat="false" ht="15" hidden="false" customHeight="false" outlineLevel="0" collapsed="false">
      <c r="A1036" s="4" t="n">
        <v>1032</v>
      </c>
      <c r="B1036" s="4" t="n">
        <v>1448</v>
      </c>
      <c r="C1036" s="4" t="n">
        <v>2</v>
      </c>
      <c r="D1036" s="11" t="n">
        <v>46113</v>
      </c>
      <c r="E1036" s="4" t="s">
        <v>203</v>
      </c>
      <c r="F1036" s="4" t="s">
        <v>208</v>
      </c>
      <c r="G1036" s="4" t="n">
        <v>6</v>
      </c>
      <c r="H1036" s="4" t="n">
        <v>5</v>
      </c>
      <c r="I1036" s="4" t="n">
        <v>0</v>
      </c>
      <c r="J1036" s="4" t="n">
        <v>315</v>
      </c>
      <c r="K1036" s="4" t="n">
        <v>0</v>
      </c>
      <c r="L1036" s="12" t="n">
        <v>0.085473</v>
      </c>
      <c r="M1036" s="12" t="n">
        <v>0.092063</v>
      </c>
      <c r="N1036" s="12" t="n">
        <v>0.102171</v>
      </c>
      <c r="O1036" s="12" t="n">
        <v>0.106183</v>
      </c>
      <c r="P1036" s="12" t="n">
        <v>0.108345</v>
      </c>
      <c r="Q1036" s="0" t="str">
        <f aca="false">IF(L1036&gt;=Models!$G$5,1+COUNTIF($L$5:$L$1517,"&gt;"&amp;L1036)+COUNTIFS($L$5:$L$1517,L1036,$B$5:$B$1517,"&lt;"&amp;B1036)+COUNTIFS($L$5:$L$1517,L1036,$B$5:$B$1517,B1036,$C$5:$C$1517,"&lt;"&amp;C1036),"")</f>
        <v/>
      </c>
      <c r="R1036" s="0" t="str">
        <f aca="false">IF(M1036&gt;=Models!$G$6,1+COUNTIF($M$5:$M$1517,"&gt;"&amp;M1036)+COUNTIFS($M$5:$M$1517,M1036,$B$5:$B$1517,"&lt;"&amp;B1036)+COUNTIFS($M$5:$M$1517,M1036,$B$5:$B$1517,B1036,$C$5:$C$1517,"&lt;"&amp;C1036),"")</f>
        <v/>
      </c>
      <c r="S1036" s="0" t="str">
        <f aca="false">IF(N1036&gt;=Models!$G$7,1+COUNTIF($N$5:$N$1517,"&gt;"&amp;N1036)+COUNTIFS($N$5:$N$1517,N1036,$B$5:$B$1517,"&lt;"&amp;B1036)+COUNTIFS($N$5:$N$1517,N1036,$B$5:$B$1517,B1036,$C$5:$C$1517,"&lt;"&amp;C1036),"")</f>
        <v/>
      </c>
      <c r="T1036" s="8" t="n">
        <f aca="false">IF(O1036&gt;=Models!$G$8,1+COUNTIF($O$5:$O$1517,"&gt;"&amp;O1036)+COUNTIFS($O$5:$O$1517,O1036,$B$5:$B$1517,"&lt;"&amp;B1036)+COUNTIFS($O$5:$O$1517,O1036,$B$5:$B$1517,B1036,$C$5:$C$1517,"&lt;"&amp;C1036),"")</f>
        <v>1201</v>
      </c>
      <c r="U1036" s="8" t="n">
        <f aca="false">IF($K1036=1,COUNTIFS($L$5:$L$1517,"&gt;="&amp;L1036,$K$5:$K$1517,1)/COUNTIF($L$5:$L$1517,"&gt;="&amp;L1036),0)</f>
        <v>0</v>
      </c>
      <c r="V1036" s="8" t="n">
        <f aca="false">IF($K1036=1,COUNTIFS($M$5:$M$1517,"&gt;="&amp;M1036,$K$5:$K$1517,1)/COUNTIF($M$5:$M$1517,"&gt;="&amp;M1036),0)</f>
        <v>0</v>
      </c>
      <c r="W1036" s="8" t="n">
        <f aca="false">IF($K1036=1,COUNTIFS($N$5:$N$1517,"&gt;="&amp;N1036,$K$5:$K$1517,1)/COUNTIF($N$5:$N$1517,"&gt;="&amp;N1036),0)</f>
        <v>0</v>
      </c>
      <c r="X1036" s="8" t="n">
        <f aca="false">IF($K1036=1,COUNTIFS($O$5:$O$1517,"&gt;="&amp;O1036,$K$5:$K$1517,1)/COUNTIF($O$5:$O$1517,"&gt;="&amp;O1036),0)</f>
        <v>0</v>
      </c>
      <c r="Y1036" s="8" t="n">
        <f aca="false">IF($K1036=1,COUNTIFS($P$5:$P$1517,"&gt;="&amp;P1036,$K$5:$K$1517,1)/COUNTIF($P$5:$P$1517,"&gt;="&amp;P1036),0)</f>
        <v>0</v>
      </c>
      <c r="Z1036" s="8" t="n">
        <f aca="false">(L1036-$K1036)^2</f>
        <v>0.007305633729</v>
      </c>
      <c r="AA1036" s="8" t="n">
        <f aca="false">(M1036-$K1036)^2</f>
        <v>0.008475595969</v>
      </c>
      <c r="AB1036" s="8" t="n">
        <f aca="false">(N1036-$K1036)^2</f>
        <v>0.010438913241</v>
      </c>
      <c r="AC1036" s="8" t="n">
        <f aca="false">(O1036-$K1036)^2</f>
        <v>0.011274829489</v>
      </c>
      <c r="AD1036" s="8" t="n">
        <f aca="false">(P1036-$K1036)^2</f>
        <v>0.011738639025</v>
      </c>
      <c r="AE1036" s="8" t="n">
        <f aca="false">MIN(INT(ROUND(N1036*1000000,0)/100000),9)</f>
        <v>1</v>
      </c>
      <c r="AF1036" s="8" t="n">
        <f aca="false">MIN(INT(ROUND(P1036*1000000,0)/100000),9)</f>
        <v>1</v>
      </c>
    </row>
    <row r="1037" customFormat="false" ht="15" hidden="false" customHeight="false" outlineLevel="0" collapsed="false">
      <c r="A1037" s="4" t="n">
        <v>1033</v>
      </c>
      <c r="B1037" s="4" t="n">
        <v>1453</v>
      </c>
      <c r="C1037" s="4" t="n">
        <v>2</v>
      </c>
      <c r="D1037" s="11" t="n">
        <v>46113</v>
      </c>
      <c r="E1037" s="4" t="s">
        <v>203</v>
      </c>
      <c r="F1037" s="4" t="s">
        <v>210</v>
      </c>
      <c r="G1037" s="4" t="n">
        <v>6</v>
      </c>
      <c r="H1037" s="4" t="n">
        <v>2</v>
      </c>
      <c r="I1037" s="4" t="n">
        <v>0</v>
      </c>
      <c r="J1037" s="4"/>
      <c r="K1037" s="4" t="n">
        <v>0</v>
      </c>
      <c r="L1037" s="12" t="n">
        <v>0.179129</v>
      </c>
      <c r="M1037" s="12" t="n">
        <v>0.092063</v>
      </c>
      <c r="N1037" s="12" t="n">
        <v>0.050384</v>
      </c>
      <c r="O1037" s="12" t="n">
        <v>0.106183</v>
      </c>
      <c r="P1037" s="12" t="n">
        <v>0.051803</v>
      </c>
      <c r="Q1037" s="0" t="str">
        <f aca="false">IF(L1037&gt;=Models!$G$5,1+COUNTIF($L$5:$L$1517,"&gt;"&amp;L1037)+COUNTIFS($L$5:$L$1517,L1037,$B$5:$B$1517,"&lt;"&amp;B1037)+COUNTIFS($L$5:$L$1517,L1037,$B$5:$B$1517,B1037,$C$5:$C$1517,"&lt;"&amp;C1037),"")</f>
        <v/>
      </c>
      <c r="R1037" s="0" t="str">
        <f aca="false">IF(M1037&gt;=Models!$G$6,1+COUNTIF($M$5:$M$1517,"&gt;"&amp;M1037)+COUNTIFS($M$5:$M$1517,M1037,$B$5:$B$1517,"&lt;"&amp;B1037)+COUNTIFS($M$5:$M$1517,M1037,$B$5:$B$1517,B1037,$C$5:$C$1517,"&lt;"&amp;C1037),"")</f>
        <v/>
      </c>
      <c r="S1037" s="0" t="str">
        <f aca="false">IF(N1037&gt;=Models!$G$7,1+COUNTIF($N$5:$N$1517,"&gt;"&amp;N1037)+COUNTIFS($N$5:$N$1517,N1037,$B$5:$B$1517,"&lt;"&amp;B1037)+COUNTIFS($N$5:$N$1517,N1037,$B$5:$B$1517,B1037,$C$5:$C$1517,"&lt;"&amp;C1037),"")</f>
        <v/>
      </c>
      <c r="T1037" s="8" t="n">
        <f aca="false">IF(O1037&gt;=Models!$G$8,1+COUNTIF($O$5:$O$1517,"&gt;"&amp;O1037)+COUNTIFS($O$5:$O$1517,O1037,$B$5:$B$1517,"&lt;"&amp;B1037)+COUNTIFS($O$5:$O$1517,O1037,$B$5:$B$1517,B1037,$C$5:$C$1517,"&lt;"&amp;C1037),"")</f>
        <v>1205</v>
      </c>
      <c r="U1037" s="8" t="n">
        <f aca="false">IF($K1037=1,COUNTIFS($L$5:$L$1517,"&gt;="&amp;L1037,$K$5:$K$1517,1)/COUNTIF($L$5:$L$1517,"&gt;="&amp;L1037),0)</f>
        <v>0</v>
      </c>
      <c r="V1037" s="8" t="n">
        <f aca="false">IF($K1037=1,COUNTIFS($M$5:$M$1517,"&gt;="&amp;M1037,$K$5:$K$1517,1)/COUNTIF($M$5:$M$1517,"&gt;="&amp;M1037),0)</f>
        <v>0</v>
      </c>
      <c r="W1037" s="8" t="n">
        <f aca="false">IF($K1037=1,COUNTIFS($N$5:$N$1517,"&gt;="&amp;N1037,$K$5:$K$1517,1)/COUNTIF($N$5:$N$1517,"&gt;="&amp;N1037),0)</f>
        <v>0</v>
      </c>
      <c r="X1037" s="8" t="n">
        <f aca="false">IF($K1037=1,COUNTIFS($O$5:$O$1517,"&gt;="&amp;O1037,$K$5:$K$1517,1)/COUNTIF($O$5:$O$1517,"&gt;="&amp;O1037),0)</f>
        <v>0</v>
      </c>
      <c r="Y1037" s="8" t="n">
        <f aca="false">IF($K1037=1,COUNTIFS($P$5:$P$1517,"&gt;="&amp;P1037,$K$5:$K$1517,1)/COUNTIF($P$5:$P$1517,"&gt;="&amp;P1037),0)</f>
        <v>0</v>
      </c>
      <c r="Z1037" s="8" t="n">
        <f aca="false">(L1037-$K1037)^2</f>
        <v>0.032087198641</v>
      </c>
      <c r="AA1037" s="8" t="n">
        <f aca="false">(M1037-$K1037)^2</f>
        <v>0.008475595969</v>
      </c>
      <c r="AB1037" s="8" t="n">
        <f aca="false">(N1037-$K1037)^2</f>
        <v>0.002538547456</v>
      </c>
      <c r="AC1037" s="8" t="n">
        <f aca="false">(O1037-$K1037)^2</f>
        <v>0.011274829489</v>
      </c>
      <c r="AD1037" s="8" t="n">
        <f aca="false">(P1037-$K1037)^2</f>
        <v>0.002683550809</v>
      </c>
      <c r="AE1037" s="8" t="n">
        <f aca="false">MIN(INT(ROUND(N1037*1000000,0)/100000),9)</f>
        <v>0</v>
      </c>
      <c r="AF1037" s="8" t="n">
        <f aca="false">MIN(INT(ROUND(P1037*1000000,0)/100000),9)</f>
        <v>0</v>
      </c>
    </row>
    <row r="1038" customFormat="false" ht="15" hidden="false" customHeight="false" outlineLevel="0" collapsed="false">
      <c r="A1038" s="4" t="n">
        <v>1034</v>
      </c>
      <c r="B1038" s="4" t="n">
        <v>1456</v>
      </c>
      <c r="C1038" s="4" t="n">
        <v>2</v>
      </c>
      <c r="D1038" s="11" t="n">
        <v>46113</v>
      </c>
      <c r="E1038" s="4" t="s">
        <v>202</v>
      </c>
      <c r="F1038" s="4" t="s">
        <v>210</v>
      </c>
      <c r="G1038" s="4" t="n">
        <v>8</v>
      </c>
      <c r="H1038" s="4" t="n">
        <v>4</v>
      </c>
      <c r="I1038" s="4" t="n">
        <v>0</v>
      </c>
      <c r="J1038" s="4" t="n">
        <v>1026</v>
      </c>
      <c r="K1038" s="4" t="n">
        <v>0</v>
      </c>
      <c r="L1038" s="12" t="n">
        <v>0.194746</v>
      </c>
      <c r="M1038" s="12" t="n">
        <v>0.092063</v>
      </c>
      <c r="N1038" s="12" t="n">
        <v>0.082959</v>
      </c>
      <c r="O1038" s="12" t="n">
        <v>0.106183</v>
      </c>
      <c r="P1038" s="12" t="n">
        <v>0.087213</v>
      </c>
      <c r="Q1038" s="0" t="str">
        <f aca="false">IF(L1038&gt;=Models!$G$5,1+COUNTIF($L$5:$L$1517,"&gt;"&amp;L1038)+COUNTIFS($L$5:$L$1517,L1038,$B$5:$B$1517,"&lt;"&amp;B1038)+COUNTIFS($L$5:$L$1517,L1038,$B$5:$B$1517,B1038,$C$5:$C$1517,"&lt;"&amp;C1038),"")</f>
        <v/>
      </c>
      <c r="R1038" s="0" t="str">
        <f aca="false">IF(M1038&gt;=Models!$G$6,1+COUNTIF($M$5:$M$1517,"&gt;"&amp;M1038)+COUNTIFS($M$5:$M$1517,M1038,$B$5:$B$1517,"&lt;"&amp;B1038)+COUNTIFS($M$5:$M$1517,M1038,$B$5:$B$1517,B1038,$C$5:$C$1517,"&lt;"&amp;C1038),"")</f>
        <v/>
      </c>
      <c r="S1038" s="0" t="str">
        <f aca="false">IF(N1038&gt;=Models!$G$7,1+COUNTIF($N$5:$N$1517,"&gt;"&amp;N1038)+COUNTIFS($N$5:$N$1517,N1038,$B$5:$B$1517,"&lt;"&amp;B1038)+COUNTIFS($N$5:$N$1517,N1038,$B$5:$B$1517,B1038,$C$5:$C$1517,"&lt;"&amp;C1038),"")</f>
        <v/>
      </c>
      <c r="T1038" s="8" t="n">
        <f aca="false">IF(O1038&gt;=Models!$G$8,1+COUNTIF($O$5:$O$1517,"&gt;"&amp;O1038)+COUNTIFS($O$5:$O$1517,O1038,$B$5:$B$1517,"&lt;"&amp;B1038)+COUNTIFS($O$5:$O$1517,O1038,$B$5:$B$1517,B1038,$C$5:$C$1517,"&lt;"&amp;C1038),"")</f>
        <v>1209</v>
      </c>
      <c r="U1038" s="8" t="n">
        <f aca="false">IF($K1038=1,COUNTIFS($L$5:$L$1517,"&gt;="&amp;L1038,$K$5:$K$1517,1)/COUNTIF($L$5:$L$1517,"&gt;="&amp;L1038),0)</f>
        <v>0</v>
      </c>
      <c r="V1038" s="8" t="n">
        <f aca="false">IF($K1038=1,COUNTIFS($M$5:$M$1517,"&gt;="&amp;M1038,$K$5:$K$1517,1)/COUNTIF($M$5:$M$1517,"&gt;="&amp;M1038),0)</f>
        <v>0</v>
      </c>
      <c r="W1038" s="8" t="n">
        <f aca="false">IF($K1038=1,COUNTIFS($N$5:$N$1517,"&gt;="&amp;N1038,$K$5:$K$1517,1)/COUNTIF($N$5:$N$1517,"&gt;="&amp;N1038),0)</f>
        <v>0</v>
      </c>
      <c r="X1038" s="8" t="n">
        <f aca="false">IF($K1038=1,COUNTIFS($O$5:$O$1517,"&gt;="&amp;O1038,$K$5:$K$1517,1)/COUNTIF($O$5:$O$1517,"&gt;="&amp;O1038),0)</f>
        <v>0</v>
      </c>
      <c r="Y1038" s="8" t="n">
        <f aca="false">IF($K1038=1,COUNTIFS($P$5:$P$1517,"&gt;="&amp;P1038,$K$5:$K$1517,1)/COUNTIF($P$5:$P$1517,"&gt;="&amp;P1038),0)</f>
        <v>0</v>
      </c>
      <c r="Z1038" s="8" t="n">
        <f aca="false">(L1038-$K1038)^2</f>
        <v>0.037926004516</v>
      </c>
      <c r="AA1038" s="8" t="n">
        <f aca="false">(M1038-$K1038)^2</f>
        <v>0.008475595969</v>
      </c>
      <c r="AB1038" s="8" t="n">
        <f aca="false">(N1038-$K1038)^2</f>
        <v>0.006882195681</v>
      </c>
      <c r="AC1038" s="8" t="n">
        <f aca="false">(O1038-$K1038)^2</f>
        <v>0.011274829489</v>
      </c>
      <c r="AD1038" s="8" t="n">
        <f aca="false">(P1038-$K1038)^2</f>
        <v>0.007606107369</v>
      </c>
      <c r="AE1038" s="8" t="n">
        <f aca="false">MIN(INT(ROUND(N1038*1000000,0)/100000),9)</f>
        <v>0</v>
      </c>
      <c r="AF1038" s="8" t="n">
        <f aca="false">MIN(INT(ROUND(P1038*1000000,0)/100000),9)</f>
        <v>0</v>
      </c>
    </row>
    <row r="1039" customFormat="false" ht="15" hidden="false" customHeight="false" outlineLevel="0" collapsed="false">
      <c r="A1039" s="4" t="n">
        <v>1035</v>
      </c>
      <c r="B1039" s="4" t="n">
        <v>1460</v>
      </c>
      <c r="C1039" s="4" t="n">
        <v>2</v>
      </c>
      <c r="D1039" s="11" t="n">
        <v>46113</v>
      </c>
      <c r="E1039" s="4" t="s">
        <v>203</v>
      </c>
      <c r="F1039" s="4" t="s">
        <v>210</v>
      </c>
      <c r="G1039" s="4" t="n">
        <v>7</v>
      </c>
      <c r="H1039" s="4" t="n">
        <v>2</v>
      </c>
      <c r="I1039" s="4" t="n">
        <v>0</v>
      </c>
      <c r="J1039" s="4" t="n">
        <v>270</v>
      </c>
      <c r="K1039" s="4" t="n">
        <v>0</v>
      </c>
      <c r="L1039" s="12" t="n">
        <v>0.399134</v>
      </c>
      <c r="M1039" s="12" t="n">
        <v>0.092063</v>
      </c>
      <c r="N1039" s="12" t="n">
        <v>0.092348</v>
      </c>
      <c r="O1039" s="12" t="n">
        <v>0.106183</v>
      </c>
      <c r="P1039" s="12" t="n">
        <v>0.097523</v>
      </c>
      <c r="Q1039" s="0" t="str">
        <f aca="false">IF(L1039&gt;=Models!$G$5,1+COUNTIF($L$5:$L$1517,"&gt;"&amp;L1039)+COUNTIFS($L$5:$L$1517,L1039,$B$5:$B$1517,"&lt;"&amp;B1039)+COUNTIFS($L$5:$L$1517,L1039,$B$5:$B$1517,B1039,$C$5:$C$1517,"&lt;"&amp;C1039),"")</f>
        <v/>
      </c>
      <c r="R1039" s="0" t="str">
        <f aca="false">IF(M1039&gt;=Models!$G$6,1+COUNTIF($M$5:$M$1517,"&gt;"&amp;M1039)+COUNTIFS($M$5:$M$1517,M1039,$B$5:$B$1517,"&lt;"&amp;B1039)+COUNTIFS($M$5:$M$1517,M1039,$B$5:$B$1517,B1039,$C$5:$C$1517,"&lt;"&amp;C1039),"")</f>
        <v/>
      </c>
      <c r="S1039" s="0" t="str">
        <f aca="false">IF(N1039&gt;=Models!$G$7,1+COUNTIF($N$5:$N$1517,"&gt;"&amp;N1039)+COUNTIFS($N$5:$N$1517,N1039,$B$5:$B$1517,"&lt;"&amp;B1039)+COUNTIFS($N$5:$N$1517,N1039,$B$5:$B$1517,B1039,$C$5:$C$1517,"&lt;"&amp;C1039),"")</f>
        <v/>
      </c>
      <c r="T1039" s="8" t="n">
        <f aca="false">IF(O1039&gt;=Models!$G$8,1+COUNTIF($O$5:$O$1517,"&gt;"&amp;O1039)+COUNTIFS($O$5:$O$1517,O1039,$B$5:$B$1517,"&lt;"&amp;B1039)+COUNTIFS($O$5:$O$1517,O1039,$B$5:$B$1517,B1039,$C$5:$C$1517,"&lt;"&amp;C1039),"")</f>
        <v>1213</v>
      </c>
      <c r="U1039" s="8" t="n">
        <f aca="false">IF($K1039=1,COUNTIFS($L$5:$L$1517,"&gt;="&amp;L1039,$K$5:$K$1517,1)/COUNTIF($L$5:$L$1517,"&gt;="&amp;L1039),0)</f>
        <v>0</v>
      </c>
      <c r="V1039" s="8" t="n">
        <f aca="false">IF($K1039=1,COUNTIFS($M$5:$M$1517,"&gt;="&amp;M1039,$K$5:$K$1517,1)/COUNTIF($M$5:$M$1517,"&gt;="&amp;M1039),0)</f>
        <v>0</v>
      </c>
      <c r="W1039" s="8" t="n">
        <f aca="false">IF($K1039=1,COUNTIFS($N$5:$N$1517,"&gt;="&amp;N1039,$K$5:$K$1517,1)/COUNTIF($N$5:$N$1517,"&gt;="&amp;N1039),0)</f>
        <v>0</v>
      </c>
      <c r="X1039" s="8" t="n">
        <f aca="false">IF($K1039=1,COUNTIFS($O$5:$O$1517,"&gt;="&amp;O1039,$K$5:$K$1517,1)/COUNTIF($O$5:$O$1517,"&gt;="&amp;O1039),0)</f>
        <v>0</v>
      </c>
      <c r="Y1039" s="8" t="n">
        <f aca="false">IF($K1039=1,COUNTIFS($P$5:$P$1517,"&gt;="&amp;P1039,$K$5:$K$1517,1)/COUNTIF($P$5:$P$1517,"&gt;="&amp;P1039),0)</f>
        <v>0</v>
      </c>
      <c r="Z1039" s="8" t="n">
        <f aca="false">(L1039-$K1039)^2</f>
        <v>0.159307949956</v>
      </c>
      <c r="AA1039" s="8" t="n">
        <f aca="false">(M1039-$K1039)^2</f>
        <v>0.008475595969</v>
      </c>
      <c r="AB1039" s="8" t="n">
        <f aca="false">(N1039-$K1039)^2</f>
        <v>0.008528153104</v>
      </c>
      <c r="AC1039" s="8" t="n">
        <f aca="false">(O1039-$K1039)^2</f>
        <v>0.011274829489</v>
      </c>
      <c r="AD1039" s="8" t="n">
        <f aca="false">(P1039-$K1039)^2</f>
        <v>0.009510735529</v>
      </c>
      <c r="AE1039" s="8" t="n">
        <f aca="false">MIN(INT(ROUND(N1039*1000000,0)/100000),9)</f>
        <v>0</v>
      </c>
      <c r="AF1039" s="8" t="n">
        <f aca="false">MIN(INT(ROUND(P1039*1000000,0)/100000),9)</f>
        <v>0</v>
      </c>
    </row>
    <row r="1040" customFormat="false" ht="15" hidden="false" customHeight="false" outlineLevel="0" collapsed="false">
      <c r="A1040" s="4" t="n">
        <v>1036</v>
      </c>
      <c r="B1040" s="4" t="n">
        <v>1462</v>
      </c>
      <c r="C1040" s="4" t="n">
        <v>2</v>
      </c>
      <c r="D1040" s="11" t="n">
        <v>46113</v>
      </c>
      <c r="E1040" s="4" t="s">
        <v>204</v>
      </c>
      <c r="F1040" s="4" t="s">
        <v>207</v>
      </c>
      <c r="G1040" s="4" t="n">
        <v>7</v>
      </c>
      <c r="H1040" s="4" t="n">
        <v>6</v>
      </c>
      <c r="I1040" s="4" t="n">
        <v>0</v>
      </c>
      <c r="J1040" s="4" t="n">
        <v>57</v>
      </c>
      <c r="K1040" s="4" t="n">
        <v>0</v>
      </c>
      <c r="L1040" s="12" t="n">
        <v>0.095719</v>
      </c>
      <c r="M1040" s="12" t="n">
        <v>0.092063</v>
      </c>
      <c r="N1040" s="12" t="n">
        <v>0.096203</v>
      </c>
      <c r="O1040" s="12" t="n">
        <v>0.106183</v>
      </c>
      <c r="P1040" s="12" t="n">
        <v>0.101766</v>
      </c>
      <c r="Q1040" s="0" t="str">
        <f aca="false">IF(L1040&gt;=Models!$G$5,1+COUNTIF($L$5:$L$1517,"&gt;"&amp;L1040)+COUNTIFS($L$5:$L$1517,L1040,$B$5:$B$1517,"&lt;"&amp;B1040)+COUNTIFS($L$5:$L$1517,L1040,$B$5:$B$1517,B1040,$C$5:$C$1517,"&lt;"&amp;C1040),"")</f>
        <v/>
      </c>
      <c r="R1040" s="0" t="str">
        <f aca="false">IF(M1040&gt;=Models!$G$6,1+COUNTIF($M$5:$M$1517,"&gt;"&amp;M1040)+COUNTIFS($M$5:$M$1517,M1040,$B$5:$B$1517,"&lt;"&amp;B1040)+COUNTIFS($M$5:$M$1517,M1040,$B$5:$B$1517,B1040,$C$5:$C$1517,"&lt;"&amp;C1040),"")</f>
        <v/>
      </c>
      <c r="S1040" s="0" t="str">
        <f aca="false">IF(N1040&gt;=Models!$G$7,1+COUNTIF($N$5:$N$1517,"&gt;"&amp;N1040)+COUNTIFS($N$5:$N$1517,N1040,$B$5:$B$1517,"&lt;"&amp;B1040)+COUNTIFS($N$5:$N$1517,N1040,$B$5:$B$1517,B1040,$C$5:$C$1517,"&lt;"&amp;C1040),"")</f>
        <v/>
      </c>
      <c r="T1040" s="8" t="n">
        <f aca="false">IF(O1040&gt;=Models!$G$8,1+COUNTIF($O$5:$O$1517,"&gt;"&amp;O1040)+COUNTIFS($O$5:$O$1517,O1040,$B$5:$B$1517,"&lt;"&amp;B1040)+COUNTIFS($O$5:$O$1517,O1040,$B$5:$B$1517,B1040,$C$5:$C$1517,"&lt;"&amp;C1040),"")</f>
        <v>1217</v>
      </c>
      <c r="U1040" s="8" t="n">
        <f aca="false">IF($K1040=1,COUNTIFS($L$5:$L$1517,"&gt;="&amp;L1040,$K$5:$K$1517,1)/COUNTIF($L$5:$L$1517,"&gt;="&amp;L1040),0)</f>
        <v>0</v>
      </c>
      <c r="V1040" s="8" t="n">
        <f aca="false">IF($K1040=1,COUNTIFS($M$5:$M$1517,"&gt;="&amp;M1040,$K$5:$K$1517,1)/COUNTIF($M$5:$M$1517,"&gt;="&amp;M1040),0)</f>
        <v>0</v>
      </c>
      <c r="W1040" s="8" t="n">
        <f aca="false">IF($K1040=1,COUNTIFS($N$5:$N$1517,"&gt;="&amp;N1040,$K$5:$K$1517,1)/COUNTIF($N$5:$N$1517,"&gt;="&amp;N1040),0)</f>
        <v>0</v>
      </c>
      <c r="X1040" s="8" t="n">
        <f aca="false">IF($K1040=1,COUNTIFS($O$5:$O$1517,"&gt;="&amp;O1040,$K$5:$K$1517,1)/COUNTIF($O$5:$O$1517,"&gt;="&amp;O1040),0)</f>
        <v>0</v>
      </c>
      <c r="Y1040" s="8" t="n">
        <f aca="false">IF($K1040=1,COUNTIFS($P$5:$P$1517,"&gt;="&amp;P1040,$K$5:$K$1517,1)/COUNTIF($P$5:$P$1517,"&gt;="&amp;P1040),0)</f>
        <v>0</v>
      </c>
      <c r="Z1040" s="8" t="n">
        <f aca="false">(L1040-$K1040)^2</f>
        <v>0.009162126961</v>
      </c>
      <c r="AA1040" s="8" t="n">
        <f aca="false">(M1040-$K1040)^2</f>
        <v>0.008475595969</v>
      </c>
      <c r="AB1040" s="8" t="n">
        <f aca="false">(N1040-$K1040)^2</f>
        <v>0.009255017209</v>
      </c>
      <c r="AC1040" s="8" t="n">
        <f aca="false">(O1040-$K1040)^2</f>
        <v>0.011274829489</v>
      </c>
      <c r="AD1040" s="8" t="n">
        <f aca="false">(P1040-$K1040)^2</f>
        <v>0.010356318756</v>
      </c>
      <c r="AE1040" s="8" t="n">
        <f aca="false">MIN(INT(ROUND(N1040*1000000,0)/100000),9)</f>
        <v>0</v>
      </c>
      <c r="AF1040" s="8" t="n">
        <f aca="false">MIN(INT(ROUND(P1040*1000000,0)/100000),9)</f>
        <v>1</v>
      </c>
    </row>
    <row r="1041" customFormat="false" ht="15" hidden="false" customHeight="false" outlineLevel="0" collapsed="false">
      <c r="A1041" s="4" t="n">
        <v>1037</v>
      </c>
      <c r="B1041" s="4" t="n">
        <v>1463</v>
      </c>
      <c r="C1041" s="4" t="n">
        <v>2</v>
      </c>
      <c r="D1041" s="11" t="n">
        <v>46113</v>
      </c>
      <c r="E1041" s="4" t="s">
        <v>201</v>
      </c>
      <c r="F1041" s="4" t="s">
        <v>206</v>
      </c>
      <c r="G1041" s="4" t="n">
        <v>27</v>
      </c>
      <c r="H1041" s="4" t="n">
        <v>0</v>
      </c>
      <c r="I1041" s="4" t="n">
        <v>0</v>
      </c>
      <c r="J1041" s="4"/>
      <c r="K1041" s="4" t="n">
        <v>0</v>
      </c>
      <c r="L1041" s="12" t="n">
        <v>0.295683</v>
      </c>
      <c r="M1041" s="12" t="n">
        <v>0.092063</v>
      </c>
      <c r="N1041" s="12" t="n">
        <v>0.007825</v>
      </c>
      <c r="O1041" s="12" t="n">
        <v>0.106183</v>
      </c>
      <c r="P1041" s="12" t="n">
        <v>0.007362</v>
      </c>
      <c r="Q1041" s="0" t="str">
        <f aca="false">IF(L1041&gt;=Models!$G$5,1+COUNTIF($L$5:$L$1517,"&gt;"&amp;L1041)+COUNTIFS($L$5:$L$1517,L1041,$B$5:$B$1517,"&lt;"&amp;B1041)+COUNTIFS($L$5:$L$1517,L1041,$B$5:$B$1517,B1041,$C$5:$C$1517,"&lt;"&amp;C1041),"")</f>
        <v/>
      </c>
      <c r="R1041" s="0" t="str">
        <f aca="false">IF(M1041&gt;=Models!$G$6,1+COUNTIF($M$5:$M$1517,"&gt;"&amp;M1041)+COUNTIFS($M$5:$M$1517,M1041,$B$5:$B$1517,"&lt;"&amp;B1041)+COUNTIFS($M$5:$M$1517,M1041,$B$5:$B$1517,B1041,$C$5:$C$1517,"&lt;"&amp;C1041),"")</f>
        <v/>
      </c>
      <c r="S1041" s="0" t="str">
        <f aca="false">IF(N1041&gt;=Models!$G$7,1+COUNTIF($N$5:$N$1517,"&gt;"&amp;N1041)+COUNTIFS($N$5:$N$1517,N1041,$B$5:$B$1517,"&lt;"&amp;B1041)+COUNTIFS($N$5:$N$1517,N1041,$B$5:$B$1517,B1041,$C$5:$C$1517,"&lt;"&amp;C1041),"")</f>
        <v/>
      </c>
      <c r="T1041" s="8" t="n">
        <f aca="false">IF(O1041&gt;=Models!$G$8,1+COUNTIF($O$5:$O$1517,"&gt;"&amp;O1041)+COUNTIFS($O$5:$O$1517,O1041,$B$5:$B$1517,"&lt;"&amp;B1041)+COUNTIFS($O$5:$O$1517,O1041,$B$5:$B$1517,B1041,$C$5:$C$1517,"&lt;"&amp;C1041),"")</f>
        <v>1221</v>
      </c>
      <c r="U1041" s="8" t="n">
        <f aca="false">IF($K1041=1,COUNTIFS($L$5:$L$1517,"&gt;="&amp;L1041,$K$5:$K$1517,1)/COUNTIF($L$5:$L$1517,"&gt;="&amp;L1041),0)</f>
        <v>0</v>
      </c>
      <c r="V1041" s="8" t="n">
        <f aca="false">IF($K1041=1,COUNTIFS($M$5:$M$1517,"&gt;="&amp;M1041,$K$5:$K$1517,1)/COUNTIF($M$5:$M$1517,"&gt;="&amp;M1041),0)</f>
        <v>0</v>
      </c>
      <c r="W1041" s="8" t="n">
        <f aca="false">IF($K1041=1,COUNTIFS($N$5:$N$1517,"&gt;="&amp;N1041,$K$5:$K$1517,1)/COUNTIF($N$5:$N$1517,"&gt;="&amp;N1041),0)</f>
        <v>0</v>
      </c>
      <c r="X1041" s="8" t="n">
        <f aca="false">IF($K1041=1,COUNTIFS($O$5:$O$1517,"&gt;="&amp;O1041,$K$5:$K$1517,1)/COUNTIF($O$5:$O$1517,"&gt;="&amp;O1041),0)</f>
        <v>0</v>
      </c>
      <c r="Y1041" s="8" t="n">
        <f aca="false">IF($K1041=1,COUNTIFS($P$5:$P$1517,"&gt;="&amp;P1041,$K$5:$K$1517,1)/COUNTIF($P$5:$P$1517,"&gt;="&amp;P1041),0)</f>
        <v>0</v>
      </c>
      <c r="Z1041" s="8" t="n">
        <f aca="false">(L1041-$K1041)^2</f>
        <v>0.087428436489</v>
      </c>
      <c r="AA1041" s="8" t="n">
        <f aca="false">(M1041-$K1041)^2</f>
        <v>0.008475595969</v>
      </c>
      <c r="AB1041" s="8" t="n">
        <f aca="false">(N1041-$K1041)^2</f>
        <v>6.1230625E-005</v>
      </c>
      <c r="AC1041" s="8" t="n">
        <f aca="false">(O1041-$K1041)^2</f>
        <v>0.011274829489</v>
      </c>
      <c r="AD1041" s="8" t="n">
        <f aca="false">(P1041-$K1041)^2</f>
        <v>5.4199044E-005</v>
      </c>
      <c r="AE1041" s="8" t="n">
        <f aca="false">MIN(INT(ROUND(N1041*1000000,0)/100000),9)</f>
        <v>0</v>
      </c>
      <c r="AF1041" s="8" t="n">
        <f aca="false">MIN(INT(ROUND(P1041*1000000,0)/100000),9)</f>
        <v>0</v>
      </c>
    </row>
    <row r="1042" customFormat="false" ht="15" hidden="false" customHeight="false" outlineLevel="0" collapsed="false">
      <c r="A1042" s="4" t="n">
        <v>1038</v>
      </c>
      <c r="B1042" s="4" t="n">
        <v>1472</v>
      </c>
      <c r="C1042" s="4" t="n">
        <v>2</v>
      </c>
      <c r="D1042" s="11" t="n">
        <v>46113</v>
      </c>
      <c r="E1042" s="4" t="s">
        <v>201</v>
      </c>
      <c r="F1042" s="4" t="s">
        <v>206</v>
      </c>
      <c r="G1042" s="4" t="n">
        <v>25</v>
      </c>
      <c r="H1042" s="4" t="n">
        <v>0</v>
      </c>
      <c r="I1042" s="4" t="n">
        <v>0</v>
      </c>
      <c r="J1042" s="4"/>
      <c r="K1042" s="4" t="n">
        <v>0</v>
      </c>
      <c r="L1042" s="12" t="n">
        <v>0.631114</v>
      </c>
      <c r="M1042" s="12" t="n">
        <v>0.092063</v>
      </c>
      <c r="N1042" s="12" t="n">
        <v>0.009353</v>
      </c>
      <c r="O1042" s="12" t="n">
        <v>0.106183</v>
      </c>
      <c r="P1042" s="12" t="n">
        <v>0.008876</v>
      </c>
      <c r="Q1042" s="0" t="str">
        <f aca="false">IF(L1042&gt;=Models!$G$5,1+COUNTIF($L$5:$L$1517,"&gt;"&amp;L1042)+COUNTIFS($L$5:$L$1517,L1042,$B$5:$B$1517,"&lt;"&amp;B1042)+COUNTIFS($L$5:$L$1517,L1042,$B$5:$B$1517,B1042,$C$5:$C$1517,"&lt;"&amp;C1042),"")</f>
        <v/>
      </c>
      <c r="R1042" s="0" t="str">
        <f aca="false">IF(M1042&gt;=Models!$G$6,1+COUNTIF($M$5:$M$1517,"&gt;"&amp;M1042)+COUNTIFS($M$5:$M$1517,M1042,$B$5:$B$1517,"&lt;"&amp;B1042)+COUNTIFS($M$5:$M$1517,M1042,$B$5:$B$1517,B1042,$C$5:$C$1517,"&lt;"&amp;C1042),"")</f>
        <v/>
      </c>
      <c r="S1042" s="0" t="str">
        <f aca="false">IF(N1042&gt;=Models!$G$7,1+COUNTIF($N$5:$N$1517,"&gt;"&amp;N1042)+COUNTIFS($N$5:$N$1517,N1042,$B$5:$B$1517,"&lt;"&amp;B1042)+COUNTIFS($N$5:$N$1517,N1042,$B$5:$B$1517,B1042,$C$5:$C$1517,"&lt;"&amp;C1042),"")</f>
        <v/>
      </c>
      <c r="T1042" s="8" t="n">
        <f aca="false">IF(O1042&gt;=Models!$G$8,1+COUNTIF($O$5:$O$1517,"&gt;"&amp;O1042)+COUNTIFS($O$5:$O$1517,O1042,$B$5:$B$1517,"&lt;"&amp;B1042)+COUNTIFS($O$5:$O$1517,O1042,$B$5:$B$1517,B1042,$C$5:$C$1517,"&lt;"&amp;C1042),"")</f>
        <v>1225</v>
      </c>
      <c r="U1042" s="8" t="n">
        <f aca="false">IF($K1042=1,COUNTIFS($L$5:$L$1517,"&gt;="&amp;L1042,$K$5:$K$1517,1)/COUNTIF($L$5:$L$1517,"&gt;="&amp;L1042),0)</f>
        <v>0</v>
      </c>
      <c r="V1042" s="8" t="n">
        <f aca="false">IF($K1042=1,COUNTIFS($M$5:$M$1517,"&gt;="&amp;M1042,$K$5:$K$1517,1)/COUNTIF($M$5:$M$1517,"&gt;="&amp;M1042),0)</f>
        <v>0</v>
      </c>
      <c r="W1042" s="8" t="n">
        <f aca="false">IF($K1042=1,COUNTIFS($N$5:$N$1517,"&gt;="&amp;N1042,$K$5:$K$1517,1)/COUNTIF($N$5:$N$1517,"&gt;="&amp;N1042),0)</f>
        <v>0</v>
      </c>
      <c r="X1042" s="8" t="n">
        <f aca="false">IF($K1042=1,COUNTIFS($O$5:$O$1517,"&gt;="&amp;O1042,$K$5:$K$1517,1)/COUNTIF($O$5:$O$1517,"&gt;="&amp;O1042),0)</f>
        <v>0</v>
      </c>
      <c r="Y1042" s="8" t="n">
        <f aca="false">IF($K1042=1,COUNTIFS($P$5:$P$1517,"&gt;="&amp;P1042,$K$5:$K$1517,1)/COUNTIF($P$5:$P$1517,"&gt;="&amp;P1042),0)</f>
        <v>0</v>
      </c>
      <c r="Z1042" s="8" t="n">
        <f aca="false">(L1042-$K1042)^2</f>
        <v>0.398304880996</v>
      </c>
      <c r="AA1042" s="8" t="n">
        <f aca="false">(M1042-$K1042)^2</f>
        <v>0.008475595969</v>
      </c>
      <c r="AB1042" s="8" t="n">
        <f aca="false">(N1042-$K1042)^2</f>
        <v>8.7478609E-005</v>
      </c>
      <c r="AC1042" s="8" t="n">
        <f aca="false">(O1042-$K1042)^2</f>
        <v>0.011274829489</v>
      </c>
      <c r="AD1042" s="8" t="n">
        <f aca="false">(P1042-$K1042)^2</f>
        <v>7.8783376E-005</v>
      </c>
      <c r="AE1042" s="8" t="n">
        <f aca="false">MIN(INT(ROUND(N1042*1000000,0)/100000),9)</f>
        <v>0</v>
      </c>
      <c r="AF1042" s="8" t="n">
        <f aca="false">MIN(INT(ROUND(P1042*1000000,0)/100000),9)</f>
        <v>0</v>
      </c>
    </row>
    <row r="1043" customFormat="false" ht="15" hidden="false" customHeight="false" outlineLevel="0" collapsed="false">
      <c r="A1043" s="4" t="n">
        <v>1039</v>
      </c>
      <c r="B1043" s="4" t="n">
        <v>1475</v>
      </c>
      <c r="C1043" s="4" t="n">
        <v>2</v>
      </c>
      <c r="D1043" s="11" t="n">
        <v>46113</v>
      </c>
      <c r="E1043" s="4" t="s">
        <v>203</v>
      </c>
      <c r="F1043" s="4" t="s">
        <v>206</v>
      </c>
      <c r="G1043" s="4" t="n">
        <v>7</v>
      </c>
      <c r="H1043" s="4" t="n">
        <v>0</v>
      </c>
      <c r="I1043" s="4" t="n">
        <v>1</v>
      </c>
      <c r="J1043" s="4" t="n">
        <v>188</v>
      </c>
      <c r="K1043" s="4" t="n">
        <v>0</v>
      </c>
      <c r="L1043" s="12" t="n">
        <v>0.337066</v>
      </c>
      <c r="M1043" s="12" t="n">
        <v>0.184211</v>
      </c>
      <c r="N1043" s="12" t="n">
        <v>0.15435</v>
      </c>
      <c r="O1043" s="12" t="n">
        <v>0.106183</v>
      </c>
      <c r="P1043" s="12" t="n">
        <v>0.166195</v>
      </c>
      <c r="Q1043" s="0" t="str">
        <f aca="false">IF(L1043&gt;=Models!$G$5,1+COUNTIF($L$5:$L$1517,"&gt;"&amp;L1043)+COUNTIFS($L$5:$L$1517,L1043,$B$5:$B$1517,"&lt;"&amp;B1043)+COUNTIFS($L$5:$L$1517,L1043,$B$5:$B$1517,B1043,$C$5:$C$1517,"&lt;"&amp;C1043),"")</f>
        <v/>
      </c>
      <c r="R1043" s="8" t="n">
        <f aca="false">IF(M1043&gt;=Models!$G$6,1+COUNTIF($M$5:$M$1517,"&gt;"&amp;M1043)+COUNTIFS($M$5:$M$1517,M1043,$B$5:$B$1517,"&lt;"&amp;B1043)+COUNTIFS($M$5:$M$1517,M1043,$B$5:$B$1517,B1043,$C$5:$C$1517,"&lt;"&amp;C1043),"")</f>
        <v>152</v>
      </c>
      <c r="S1043" s="0" t="str">
        <f aca="false">IF(N1043&gt;=Models!$G$7,1+COUNTIF($N$5:$N$1517,"&gt;"&amp;N1043)+COUNTIFS($N$5:$N$1517,N1043,$B$5:$B$1517,"&lt;"&amp;B1043)+COUNTIFS($N$5:$N$1517,N1043,$B$5:$B$1517,B1043,$C$5:$C$1517,"&lt;"&amp;C1043),"")</f>
        <v/>
      </c>
      <c r="T1043" s="8" t="n">
        <f aca="false">IF(O1043&gt;=Models!$G$8,1+COUNTIF($O$5:$O$1517,"&gt;"&amp;O1043)+COUNTIFS($O$5:$O$1517,O1043,$B$5:$B$1517,"&lt;"&amp;B1043)+COUNTIFS($O$5:$O$1517,O1043,$B$5:$B$1517,B1043,$C$5:$C$1517,"&lt;"&amp;C1043),"")</f>
        <v>1229</v>
      </c>
      <c r="U1043" s="8" t="n">
        <f aca="false">IF($K1043=1,COUNTIFS($L$5:$L$1517,"&gt;="&amp;L1043,$K$5:$K$1517,1)/COUNTIF($L$5:$L$1517,"&gt;="&amp;L1043),0)</f>
        <v>0</v>
      </c>
      <c r="V1043" s="8" t="n">
        <f aca="false">IF($K1043=1,COUNTIFS($M$5:$M$1517,"&gt;="&amp;M1043,$K$5:$K$1517,1)/COUNTIF($M$5:$M$1517,"&gt;="&amp;M1043),0)</f>
        <v>0</v>
      </c>
      <c r="W1043" s="8" t="n">
        <f aca="false">IF($K1043=1,COUNTIFS($N$5:$N$1517,"&gt;="&amp;N1043,$K$5:$K$1517,1)/COUNTIF($N$5:$N$1517,"&gt;="&amp;N1043),0)</f>
        <v>0</v>
      </c>
      <c r="X1043" s="8" t="n">
        <f aca="false">IF($K1043=1,COUNTIFS($O$5:$O$1517,"&gt;="&amp;O1043,$K$5:$K$1517,1)/COUNTIF($O$5:$O$1517,"&gt;="&amp;O1043),0)</f>
        <v>0</v>
      </c>
      <c r="Y1043" s="8" t="n">
        <f aca="false">IF($K1043=1,COUNTIFS($P$5:$P$1517,"&gt;="&amp;P1043,$K$5:$K$1517,1)/COUNTIF($P$5:$P$1517,"&gt;="&amp;P1043),0)</f>
        <v>0</v>
      </c>
      <c r="Z1043" s="8" t="n">
        <f aca="false">(L1043-$K1043)^2</f>
        <v>0.113613488356</v>
      </c>
      <c r="AA1043" s="8" t="n">
        <f aca="false">(M1043-$K1043)^2</f>
        <v>0.033933692521</v>
      </c>
      <c r="AB1043" s="8" t="n">
        <f aca="false">(N1043-$K1043)^2</f>
        <v>0.0238239225</v>
      </c>
      <c r="AC1043" s="8" t="n">
        <f aca="false">(O1043-$K1043)^2</f>
        <v>0.011274829489</v>
      </c>
      <c r="AD1043" s="8" t="n">
        <f aca="false">(P1043-$K1043)^2</f>
        <v>0.027620778025</v>
      </c>
      <c r="AE1043" s="8" t="n">
        <f aca="false">MIN(INT(ROUND(N1043*1000000,0)/100000),9)</f>
        <v>1</v>
      </c>
      <c r="AF1043" s="8" t="n">
        <f aca="false">MIN(INT(ROUND(P1043*1000000,0)/100000),9)</f>
        <v>1</v>
      </c>
    </row>
    <row r="1044" customFormat="false" ht="15" hidden="false" customHeight="false" outlineLevel="0" collapsed="false">
      <c r="A1044" s="4" t="n">
        <v>1040</v>
      </c>
      <c r="B1044" s="4" t="n">
        <v>1485</v>
      </c>
      <c r="C1044" s="4" t="n">
        <v>2</v>
      </c>
      <c r="D1044" s="11" t="n">
        <v>46113</v>
      </c>
      <c r="E1044" s="4" t="s">
        <v>204</v>
      </c>
      <c r="F1044" s="4" t="s">
        <v>208</v>
      </c>
      <c r="G1044" s="4" t="n">
        <v>4</v>
      </c>
      <c r="H1044" s="4" t="n">
        <v>0</v>
      </c>
      <c r="I1044" s="4" t="n">
        <v>1</v>
      </c>
      <c r="J1044" s="4" t="n">
        <v>99</v>
      </c>
      <c r="K1044" s="4" t="n">
        <v>1</v>
      </c>
      <c r="L1044" s="12" t="n">
        <v>0.765837</v>
      </c>
      <c r="M1044" s="12" t="n">
        <v>0.184211</v>
      </c>
      <c r="N1044" s="12" t="n">
        <v>0.193763</v>
      </c>
      <c r="O1044" s="12" t="n">
        <v>0.106183</v>
      </c>
      <c r="P1044" s="12" t="n">
        <v>0.210053</v>
      </c>
      <c r="Q1044" s="0" t="str">
        <f aca="false">IF(L1044&gt;=Models!$G$5,1+COUNTIF($L$5:$L$1517,"&gt;"&amp;L1044)+COUNTIFS($L$5:$L$1517,L1044,$B$5:$B$1517,"&lt;"&amp;B1044)+COUNTIFS($L$5:$L$1517,L1044,$B$5:$B$1517,B1044,$C$5:$C$1517,"&lt;"&amp;C1044),"")</f>
        <v/>
      </c>
      <c r="R1044" s="8" t="n">
        <f aca="false">IF(M1044&gt;=Models!$G$6,1+COUNTIF($M$5:$M$1517,"&gt;"&amp;M1044)+COUNTIFS($M$5:$M$1517,M1044,$B$5:$B$1517,"&lt;"&amp;B1044)+COUNTIFS($M$5:$M$1517,M1044,$B$5:$B$1517,B1044,$C$5:$C$1517,"&lt;"&amp;C1044),"")</f>
        <v>154</v>
      </c>
      <c r="S1044" s="0" t="str">
        <f aca="false">IF(N1044&gt;=Models!$G$7,1+COUNTIF($N$5:$N$1517,"&gt;"&amp;N1044)+COUNTIFS($N$5:$N$1517,N1044,$B$5:$B$1517,"&lt;"&amp;B1044)+COUNTIFS($N$5:$N$1517,N1044,$B$5:$B$1517,B1044,$C$5:$C$1517,"&lt;"&amp;C1044),"")</f>
        <v/>
      </c>
      <c r="T1044" s="8" t="n">
        <f aca="false">IF(O1044&gt;=Models!$G$8,1+COUNTIF($O$5:$O$1517,"&gt;"&amp;O1044)+COUNTIFS($O$5:$O$1517,O1044,$B$5:$B$1517,"&lt;"&amp;B1044)+COUNTIFS($O$5:$O$1517,O1044,$B$5:$B$1517,B1044,$C$5:$C$1517,"&lt;"&amp;C1044),"")</f>
        <v>1233</v>
      </c>
      <c r="U1044" s="8" t="n">
        <f aca="false">IF($K1044=1,COUNTIFS($L$5:$L$1517,"&gt;="&amp;L1044,$K$5:$K$1517,1)/COUNTIF($L$5:$L$1517,"&gt;="&amp;L1044),0)</f>
        <v>0.140762463343109</v>
      </c>
      <c r="V1044" s="8" t="n">
        <f aca="false">IF($K1044=1,COUNTIFS($M$5:$M$1517,"&gt;="&amp;M1044,$K$5:$K$1517,1)/COUNTIF($M$5:$M$1517,"&gt;="&amp;M1044),0)</f>
        <v>0.186528497409326</v>
      </c>
      <c r="W1044" s="8" t="n">
        <f aca="false">IF($K1044=1,COUNTIFS($N$5:$N$1517,"&gt;="&amp;N1044,$K$5:$K$1517,1)/COUNTIF($N$5:$N$1517,"&gt;="&amp;N1044),0)</f>
        <v>0.289473684210526</v>
      </c>
      <c r="X1044" s="8" t="n">
        <f aca="false">IF($K1044=1,COUNTIFS($O$5:$O$1517,"&gt;="&amp;O1044,$K$5:$K$1517,1)/COUNTIF($O$5:$O$1517,"&gt;="&amp;O1044),0)</f>
        <v>0.12491738268341</v>
      </c>
      <c r="Y1044" s="8" t="n">
        <f aca="false">IF($K1044=1,COUNTIFS($P$5:$P$1517,"&gt;="&amp;P1044,$K$5:$K$1517,1)/COUNTIF($P$5:$P$1517,"&gt;="&amp;P1044),0)</f>
        <v>0.289473684210526</v>
      </c>
      <c r="Z1044" s="8" t="n">
        <f aca="false">(L1044-$K1044)^2</f>
        <v>0.054832310569</v>
      </c>
      <c r="AA1044" s="8" t="n">
        <f aca="false">(M1044-$K1044)^2</f>
        <v>0.665511692521</v>
      </c>
      <c r="AB1044" s="8" t="n">
        <f aca="false">(N1044-$K1044)^2</f>
        <v>0.650018100169</v>
      </c>
      <c r="AC1044" s="8" t="n">
        <f aca="false">(O1044-$K1044)^2</f>
        <v>0.798908829489</v>
      </c>
      <c r="AD1044" s="8" t="n">
        <f aca="false">(P1044-$K1044)^2</f>
        <v>0.624016262809</v>
      </c>
      <c r="AE1044" s="8" t="n">
        <f aca="false">MIN(INT(ROUND(N1044*1000000,0)/100000),9)</f>
        <v>1</v>
      </c>
      <c r="AF1044" s="8" t="n">
        <f aca="false">MIN(INT(ROUND(P1044*1000000,0)/100000),9)</f>
        <v>2</v>
      </c>
    </row>
    <row r="1045" customFormat="false" ht="15" hidden="false" customHeight="false" outlineLevel="0" collapsed="false">
      <c r="A1045" s="4" t="n">
        <v>1041</v>
      </c>
      <c r="B1045" s="4" t="n">
        <v>1489</v>
      </c>
      <c r="C1045" s="4" t="n">
        <v>2</v>
      </c>
      <c r="D1045" s="11" t="n">
        <v>46113</v>
      </c>
      <c r="E1045" s="4" t="s">
        <v>203</v>
      </c>
      <c r="F1045" s="4" t="s">
        <v>206</v>
      </c>
      <c r="G1045" s="4" t="n">
        <v>5</v>
      </c>
      <c r="H1045" s="4" t="n">
        <v>1</v>
      </c>
      <c r="I1045" s="4" t="n">
        <v>0</v>
      </c>
      <c r="J1045" s="4" t="n">
        <v>345</v>
      </c>
      <c r="K1045" s="4" t="n">
        <v>0</v>
      </c>
      <c r="L1045" s="12" t="n">
        <v>0.652327</v>
      </c>
      <c r="M1045" s="12" t="n">
        <v>0.092063</v>
      </c>
      <c r="N1045" s="12" t="n">
        <v>0.107373</v>
      </c>
      <c r="O1045" s="12" t="n">
        <v>0.106183</v>
      </c>
      <c r="P1045" s="12" t="n">
        <v>0.114088</v>
      </c>
      <c r="Q1045" s="0" t="str">
        <f aca="false">IF(L1045&gt;=Models!$G$5,1+COUNTIF($L$5:$L$1517,"&gt;"&amp;L1045)+COUNTIFS($L$5:$L$1517,L1045,$B$5:$B$1517,"&lt;"&amp;B1045)+COUNTIFS($L$5:$L$1517,L1045,$B$5:$B$1517,B1045,$C$5:$C$1517,"&lt;"&amp;C1045),"")</f>
        <v/>
      </c>
      <c r="R1045" s="0" t="str">
        <f aca="false">IF(M1045&gt;=Models!$G$6,1+COUNTIF($M$5:$M$1517,"&gt;"&amp;M1045)+COUNTIFS($M$5:$M$1517,M1045,$B$5:$B$1517,"&lt;"&amp;B1045)+COUNTIFS($M$5:$M$1517,M1045,$B$5:$B$1517,B1045,$C$5:$C$1517,"&lt;"&amp;C1045),"")</f>
        <v/>
      </c>
      <c r="S1045" s="0" t="str">
        <f aca="false">IF(N1045&gt;=Models!$G$7,1+COUNTIF($N$5:$N$1517,"&gt;"&amp;N1045)+COUNTIFS($N$5:$N$1517,N1045,$B$5:$B$1517,"&lt;"&amp;B1045)+COUNTIFS($N$5:$N$1517,N1045,$B$5:$B$1517,B1045,$C$5:$C$1517,"&lt;"&amp;C1045),"")</f>
        <v/>
      </c>
      <c r="T1045" s="8" t="n">
        <f aca="false">IF(O1045&gt;=Models!$G$8,1+COUNTIF($O$5:$O$1517,"&gt;"&amp;O1045)+COUNTIFS($O$5:$O$1517,O1045,$B$5:$B$1517,"&lt;"&amp;B1045)+COUNTIFS($O$5:$O$1517,O1045,$B$5:$B$1517,B1045,$C$5:$C$1517,"&lt;"&amp;C1045),"")</f>
        <v>1236</v>
      </c>
      <c r="U1045" s="8" t="n">
        <f aca="false">IF($K1045=1,COUNTIFS($L$5:$L$1517,"&gt;="&amp;L1045,$K$5:$K$1517,1)/COUNTIF($L$5:$L$1517,"&gt;="&amp;L1045),0)</f>
        <v>0</v>
      </c>
      <c r="V1045" s="8" t="n">
        <f aca="false">IF($K1045=1,COUNTIFS($M$5:$M$1517,"&gt;="&amp;M1045,$K$5:$K$1517,1)/COUNTIF($M$5:$M$1517,"&gt;="&amp;M1045),0)</f>
        <v>0</v>
      </c>
      <c r="W1045" s="8" t="n">
        <f aca="false">IF($K1045=1,COUNTIFS($N$5:$N$1517,"&gt;="&amp;N1045,$K$5:$K$1517,1)/COUNTIF($N$5:$N$1517,"&gt;="&amp;N1045),0)</f>
        <v>0</v>
      </c>
      <c r="X1045" s="8" t="n">
        <f aca="false">IF($K1045=1,COUNTIFS($O$5:$O$1517,"&gt;="&amp;O1045,$K$5:$K$1517,1)/COUNTIF($O$5:$O$1517,"&gt;="&amp;O1045),0)</f>
        <v>0</v>
      </c>
      <c r="Y1045" s="8" t="n">
        <f aca="false">IF($K1045=1,COUNTIFS($P$5:$P$1517,"&gt;="&amp;P1045,$K$5:$K$1517,1)/COUNTIF($P$5:$P$1517,"&gt;="&amp;P1045),0)</f>
        <v>0</v>
      </c>
      <c r="Z1045" s="8" t="n">
        <f aca="false">(L1045-$K1045)^2</f>
        <v>0.425530514929</v>
      </c>
      <c r="AA1045" s="8" t="n">
        <f aca="false">(M1045-$K1045)^2</f>
        <v>0.008475595969</v>
      </c>
      <c r="AB1045" s="8" t="n">
        <f aca="false">(N1045-$K1045)^2</f>
        <v>0.011528961129</v>
      </c>
      <c r="AC1045" s="8" t="n">
        <f aca="false">(O1045-$K1045)^2</f>
        <v>0.011274829489</v>
      </c>
      <c r="AD1045" s="8" t="n">
        <f aca="false">(P1045-$K1045)^2</f>
        <v>0.013016071744</v>
      </c>
      <c r="AE1045" s="8" t="n">
        <f aca="false">MIN(INT(ROUND(N1045*1000000,0)/100000),9)</f>
        <v>1</v>
      </c>
      <c r="AF1045" s="8" t="n">
        <f aca="false">MIN(INT(ROUND(P1045*1000000,0)/100000),9)</f>
        <v>1</v>
      </c>
    </row>
    <row r="1046" customFormat="false" ht="15" hidden="false" customHeight="false" outlineLevel="0" collapsed="false">
      <c r="A1046" s="4" t="n">
        <v>1042</v>
      </c>
      <c r="B1046" s="4" t="n">
        <v>1491</v>
      </c>
      <c r="C1046" s="4" t="n">
        <v>2</v>
      </c>
      <c r="D1046" s="11" t="n">
        <v>46113</v>
      </c>
      <c r="E1046" s="4" t="s">
        <v>204</v>
      </c>
      <c r="F1046" s="4" t="s">
        <v>210</v>
      </c>
      <c r="G1046" s="4" t="n">
        <v>3</v>
      </c>
      <c r="H1046" s="4" t="n">
        <v>8</v>
      </c>
      <c r="I1046" s="4" t="n">
        <v>0</v>
      </c>
      <c r="J1046" s="4" t="n">
        <v>108</v>
      </c>
      <c r="K1046" s="4" t="n">
        <v>0</v>
      </c>
      <c r="L1046" s="12" t="n">
        <v>0.868524</v>
      </c>
      <c r="M1046" s="12" t="n">
        <v>0.092063</v>
      </c>
      <c r="N1046" s="12" t="n">
        <v>0.133918</v>
      </c>
      <c r="O1046" s="12" t="n">
        <v>0.106183</v>
      </c>
      <c r="P1046" s="12" t="n">
        <v>0.14349</v>
      </c>
      <c r="Q1046" s="0" t="str">
        <f aca="false">IF(L1046&gt;=Models!$G$5,1+COUNTIF($L$5:$L$1517,"&gt;"&amp;L1046)+COUNTIFS($L$5:$L$1517,L1046,$B$5:$B$1517,"&lt;"&amp;B1046)+COUNTIFS($L$5:$L$1517,L1046,$B$5:$B$1517,B1046,$C$5:$C$1517,"&lt;"&amp;C1046),"")</f>
        <v/>
      </c>
      <c r="R1046" s="0" t="str">
        <f aca="false">IF(M1046&gt;=Models!$G$6,1+COUNTIF($M$5:$M$1517,"&gt;"&amp;M1046)+COUNTIFS($M$5:$M$1517,M1046,$B$5:$B$1517,"&lt;"&amp;B1046)+COUNTIFS($M$5:$M$1517,M1046,$B$5:$B$1517,B1046,$C$5:$C$1517,"&lt;"&amp;C1046),"")</f>
        <v/>
      </c>
      <c r="S1046" s="0" t="str">
        <f aca="false">IF(N1046&gt;=Models!$G$7,1+COUNTIF($N$5:$N$1517,"&gt;"&amp;N1046)+COUNTIFS($N$5:$N$1517,N1046,$B$5:$B$1517,"&lt;"&amp;B1046)+COUNTIFS($N$5:$N$1517,N1046,$B$5:$B$1517,B1046,$C$5:$C$1517,"&lt;"&amp;C1046),"")</f>
        <v/>
      </c>
      <c r="T1046" s="8" t="n">
        <f aca="false">IF(O1046&gt;=Models!$G$8,1+COUNTIF($O$5:$O$1517,"&gt;"&amp;O1046)+COUNTIFS($O$5:$O$1517,O1046,$B$5:$B$1517,"&lt;"&amp;B1046)+COUNTIFS($O$5:$O$1517,O1046,$B$5:$B$1517,B1046,$C$5:$C$1517,"&lt;"&amp;C1046),"")</f>
        <v>1240</v>
      </c>
      <c r="U1046" s="8" t="n">
        <f aca="false">IF($K1046=1,COUNTIFS($L$5:$L$1517,"&gt;="&amp;L1046,$K$5:$K$1517,1)/COUNTIF($L$5:$L$1517,"&gt;="&amp;L1046),0)</f>
        <v>0</v>
      </c>
      <c r="V1046" s="8" t="n">
        <f aca="false">IF($K1046=1,COUNTIFS($M$5:$M$1517,"&gt;="&amp;M1046,$K$5:$K$1517,1)/COUNTIF($M$5:$M$1517,"&gt;="&amp;M1046),0)</f>
        <v>0</v>
      </c>
      <c r="W1046" s="8" t="n">
        <f aca="false">IF($K1046=1,COUNTIFS($N$5:$N$1517,"&gt;="&amp;N1046,$K$5:$K$1517,1)/COUNTIF($N$5:$N$1517,"&gt;="&amp;N1046),0)</f>
        <v>0</v>
      </c>
      <c r="X1046" s="8" t="n">
        <f aca="false">IF($K1046=1,COUNTIFS($O$5:$O$1517,"&gt;="&amp;O1046,$K$5:$K$1517,1)/COUNTIF($O$5:$O$1517,"&gt;="&amp;O1046),0)</f>
        <v>0</v>
      </c>
      <c r="Y1046" s="8" t="n">
        <f aca="false">IF($K1046=1,COUNTIFS($P$5:$P$1517,"&gt;="&amp;P1046,$K$5:$K$1517,1)/COUNTIF($P$5:$P$1517,"&gt;="&amp;P1046),0)</f>
        <v>0</v>
      </c>
      <c r="Z1046" s="8" t="n">
        <f aca="false">(L1046-$K1046)^2</f>
        <v>0.754333938576</v>
      </c>
      <c r="AA1046" s="8" t="n">
        <f aca="false">(M1046-$K1046)^2</f>
        <v>0.008475595969</v>
      </c>
      <c r="AB1046" s="8" t="n">
        <f aca="false">(N1046-$K1046)^2</f>
        <v>0.017934030724</v>
      </c>
      <c r="AC1046" s="8" t="n">
        <f aca="false">(O1046-$K1046)^2</f>
        <v>0.011274829489</v>
      </c>
      <c r="AD1046" s="8" t="n">
        <f aca="false">(P1046-$K1046)^2</f>
        <v>0.0205893801</v>
      </c>
      <c r="AE1046" s="8" t="n">
        <f aca="false">MIN(INT(ROUND(N1046*1000000,0)/100000),9)</f>
        <v>1</v>
      </c>
      <c r="AF1046" s="8" t="n">
        <f aca="false">MIN(INT(ROUND(P1046*1000000,0)/100000),9)</f>
        <v>1</v>
      </c>
    </row>
    <row r="1047" customFormat="false" ht="15" hidden="false" customHeight="false" outlineLevel="0" collapsed="false">
      <c r="A1047" s="4" t="n">
        <v>1043</v>
      </c>
      <c r="B1047" s="4" t="n">
        <v>1504</v>
      </c>
      <c r="C1047" s="4" t="n">
        <v>2</v>
      </c>
      <c r="D1047" s="11" t="n">
        <v>46113</v>
      </c>
      <c r="E1047" s="4" t="s">
        <v>203</v>
      </c>
      <c r="F1047" s="4" t="s">
        <v>206</v>
      </c>
      <c r="G1047" s="4" t="n">
        <v>2</v>
      </c>
      <c r="H1047" s="4" t="n">
        <v>7</v>
      </c>
      <c r="I1047" s="4" t="n">
        <v>0</v>
      </c>
      <c r="J1047" s="4" t="n">
        <v>258</v>
      </c>
      <c r="K1047" s="4" t="n">
        <v>1</v>
      </c>
      <c r="L1047" s="12" t="n">
        <v>0.232006</v>
      </c>
      <c r="M1047" s="12" t="n">
        <v>0.092063</v>
      </c>
      <c r="N1047" s="12" t="n">
        <v>0.142624</v>
      </c>
      <c r="O1047" s="12" t="n">
        <v>0.106183</v>
      </c>
      <c r="P1047" s="12" t="n">
        <v>0.153159</v>
      </c>
      <c r="Q1047" s="0" t="str">
        <f aca="false">IF(L1047&gt;=Models!$G$5,1+COUNTIF($L$5:$L$1517,"&gt;"&amp;L1047)+COUNTIFS($L$5:$L$1517,L1047,$B$5:$B$1517,"&lt;"&amp;B1047)+COUNTIFS($L$5:$L$1517,L1047,$B$5:$B$1517,B1047,$C$5:$C$1517,"&lt;"&amp;C1047),"")</f>
        <v/>
      </c>
      <c r="R1047" s="0" t="str">
        <f aca="false">IF(M1047&gt;=Models!$G$6,1+COUNTIF($M$5:$M$1517,"&gt;"&amp;M1047)+COUNTIFS($M$5:$M$1517,M1047,$B$5:$B$1517,"&lt;"&amp;B1047)+COUNTIFS($M$5:$M$1517,M1047,$B$5:$B$1517,B1047,$C$5:$C$1517,"&lt;"&amp;C1047),"")</f>
        <v/>
      </c>
      <c r="S1047" s="0" t="str">
        <f aca="false">IF(N1047&gt;=Models!$G$7,1+COUNTIF($N$5:$N$1517,"&gt;"&amp;N1047)+COUNTIFS($N$5:$N$1517,N1047,$B$5:$B$1517,"&lt;"&amp;B1047)+COUNTIFS($N$5:$N$1517,N1047,$B$5:$B$1517,B1047,$C$5:$C$1517,"&lt;"&amp;C1047),"")</f>
        <v/>
      </c>
      <c r="T1047" s="8" t="n">
        <f aca="false">IF(O1047&gt;=Models!$G$8,1+COUNTIF($O$5:$O$1517,"&gt;"&amp;O1047)+COUNTIFS($O$5:$O$1517,O1047,$B$5:$B$1517,"&lt;"&amp;B1047)+COUNTIFS($O$5:$O$1517,O1047,$B$5:$B$1517,B1047,$C$5:$C$1517,"&lt;"&amp;C1047),"")</f>
        <v>1245</v>
      </c>
      <c r="U1047" s="8" t="n">
        <f aca="false">IF($K1047=1,COUNTIFS($L$5:$L$1517,"&gt;="&amp;L1047,$K$5:$K$1517,1)/COUNTIF($L$5:$L$1517,"&gt;="&amp;L1047),0)</f>
        <v>0.129904097646033</v>
      </c>
      <c r="V1047" s="8" t="n">
        <f aca="false">IF($K1047=1,COUNTIFS($M$5:$M$1517,"&gt;="&amp;M1047,$K$5:$K$1517,1)/COUNTIF($M$5:$M$1517,"&gt;="&amp;M1047),0)</f>
        <v>0.12491738268341</v>
      </c>
      <c r="W1047" s="8" t="n">
        <f aca="false">IF($K1047=1,COUNTIFS($N$5:$N$1517,"&gt;="&amp;N1047,$K$5:$K$1517,1)/COUNTIF($N$5:$N$1517,"&gt;="&amp;N1047),0)</f>
        <v>0.287937743190661</v>
      </c>
      <c r="X1047" s="8" t="n">
        <f aca="false">IF($K1047=1,COUNTIFS($O$5:$O$1517,"&gt;="&amp;O1047,$K$5:$K$1517,1)/COUNTIF($O$5:$O$1517,"&gt;="&amp;O1047),0)</f>
        <v>0.12491738268341</v>
      </c>
      <c r="Y1047" s="8" t="n">
        <f aca="false">IF($K1047=1,COUNTIFS($P$5:$P$1517,"&gt;="&amp;P1047,$K$5:$K$1517,1)/COUNTIF($P$5:$P$1517,"&gt;="&amp;P1047),0)</f>
        <v>0.287937743190661</v>
      </c>
      <c r="Z1047" s="8" t="n">
        <f aca="false">(L1047-$K1047)^2</f>
        <v>0.589814784036</v>
      </c>
      <c r="AA1047" s="8" t="n">
        <f aca="false">(M1047-$K1047)^2</f>
        <v>0.824349595969</v>
      </c>
      <c r="AB1047" s="8" t="n">
        <f aca="false">(N1047-$K1047)^2</f>
        <v>0.735093605376</v>
      </c>
      <c r="AC1047" s="8" t="n">
        <f aca="false">(O1047-$K1047)^2</f>
        <v>0.798908829489</v>
      </c>
      <c r="AD1047" s="8" t="n">
        <f aca="false">(P1047-$K1047)^2</f>
        <v>0.717139679281</v>
      </c>
      <c r="AE1047" s="8" t="n">
        <f aca="false">MIN(INT(ROUND(N1047*1000000,0)/100000),9)</f>
        <v>1</v>
      </c>
      <c r="AF1047" s="8" t="n">
        <f aca="false">MIN(INT(ROUND(P1047*1000000,0)/100000),9)</f>
        <v>1</v>
      </c>
    </row>
    <row r="1048" customFormat="false" ht="15" hidden="false" customHeight="false" outlineLevel="0" collapsed="false">
      <c r="A1048" s="4" t="n">
        <v>1044</v>
      </c>
      <c r="B1048" s="4" t="n">
        <v>1508</v>
      </c>
      <c r="C1048" s="4" t="n">
        <v>2</v>
      </c>
      <c r="D1048" s="11" t="n">
        <v>46113</v>
      </c>
      <c r="E1048" s="4" t="s">
        <v>202</v>
      </c>
      <c r="F1048" s="4" t="s">
        <v>206</v>
      </c>
      <c r="G1048" s="4" t="n">
        <v>5</v>
      </c>
      <c r="H1048" s="4" t="n">
        <v>1</v>
      </c>
      <c r="I1048" s="4" t="n">
        <v>1</v>
      </c>
      <c r="J1048" s="4"/>
      <c r="K1048" s="4" t="n">
        <v>0</v>
      </c>
      <c r="L1048" s="12" t="n">
        <v>0.000596</v>
      </c>
      <c r="M1048" s="12" t="n">
        <v>0.184211</v>
      </c>
      <c r="N1048" s="12" t="n">
        <v>0.094615</v>
      </c>
      <c r="O1048" s="12" t="n">
        <v>0.106183</v>
      </c>
      <c r="P1048" s="12" t="n">
        <v>0.100018</v>
      </c>
      <c r="Q1048" s="0" t="str">
        <f aca="false">IF(L1048&gt;=Models!$G$5,1+COUNTIF($L$5:$L$1517,"&gt;"&amp;L1048)+COUNTIFS($L$5:$L$1517,L1048,$B$5:$B$1517,"&lt;"&amp;B1048)+COUNTIFS($L$5:$L$1517,L1048,$B$5:$B$1517,B1048,$C$5:$C$1517,"&lt;"&amp;C1048),"")</f>
        <v/>
      </c>
      <c r="R1048" s="8" t="n">
        <f aca="false">IF(M1048&gt;=Models!$G$6,1+COUNTIF($M$5:$M$1517,"&gt;"&amp;M1048)+COUNTIFS($M$5:$M$1517,M1048,$B$5:$B$1517,"&lt;"&amp;B1048)+COUNTIFS($M$5:$M$1517,M1048,$B$5:$B$1517,B1048,$C$5:$C$1517,"&lt;"&amp;C1048),"")</f>
        <v>159</v>
      </c>
      <c r="S1048" s="0" t="str">
        <f aca="false">IF(N1048&gt;=Models!$G$7,1+COUNTIF($N$5:$N$1517,"&gt;"&amp;N1048)+COUNTIFS($N$5:$N$1517,N1048,$B$5:$B$1517,"&lt;"&amp;B1048)+COUNTIFS($N$5:$N$1517,N1048,$B$5:$B$1517,B1048,$C$5:$C$1517,"&lt;"&amp;C1048),"")</f>
        <v/>
      </c>
      <c r="T1048" s="8" t="n">
        <f aca="false">IF(O1048&gt;=Models!$G$8,1+COUNTIF($O$5:$O$1517,"&gt;"&amp;O1048)+COUNTIFS($O$5:$O$1517,O1048,$B$5:$B$1517,"&lt;"&amp;B1048)+COUNTIFS($O$5:$O$1517,O1048,$B$5:$B$1517,B1048,$C$5:$C$1517,"&lt;"&amp;C1048),"")</f>
        <v>1249</v>
      </c>
      <c r="U1048" s="8" t="n">
        <f aca="false">IF($K1048=1,COUNTIFS($L$5:$L$1517,"&gt;="&amp;L1048,$K$5:$K$1517,1)/COUNTIF($L$5:$L$1517,"&gt;="&amp;L1048),0)</f>
        <v>0</v>
      </c>
      <c r="V1048" s="8" t="n">
        <f aca="false">IF($K1048=1,COUNTIFS($M$5:$M$1517,"&gt;="&amp;M1048,$K$5:$K$1517,1)/COUNTIF($M$5:$M$1517,"&gt;="&amp;M1048),0)</f>
        <v>0</v>
      </c>
      <c r="W1048" s="8" t="n">
        <f aca="false">IF($K1048=1,COUNTIFS($N$5:$N$1517,"&gt;="&amp;N1048,$K$5:$K$1517,1)/COUNTIF($N$5:$N$1517,"&gt;="&amp;N1048),0)</f>
        <v>0</v>
      </c>
      <c r="X1048" s="8" t="n">
        <f aca="false">IF($K1048=1,COUNTIFS($O$5:$O$1517,"&gt;="&amp;O1048,$K$5:$K$1517,1)/COUNTIF($O$5:$O$1517,"&gt;="&amp;O1048),0)</f>
        <v>0</v>
      </c>
      <c r="Y1048" s="8" t="n">
        <f aca="false">IF($K1048=1,COUNTIFS($P$5:$P$1517,"&gt;="&amp;P1048,$K$5:$K$1517,1)/COUNTIF($P$5:$P$1517,"&gt;="&amp;P1048),0)</f>
        <v>0</v>
      </c>
      <c r="Z1048" s="8" t="n">
        <f aca="false">(L1048-$K1048)^2</f>
        <v>3.55216E-007</v>
      </c>
      <c r="AA1048" s="8" t="n">
        <f aca="false">(M1048-$K1048)^2</f>
        <v>0.033933692521</v>
      </c>
      <c r="AB1048" s="8" t="n">
        <f aca="false">(N1048-$K1048)^2</f>
        <v>0.008951998225</v>
      </c>
      <c r="AC1048" s="8" t="n">
        <f aca="false">(O1048-$K1048)^2</f>
        <v>0.011274829489</v>
      </c>
      <c r="AD1048" s="8" t="n">
        <f aca="false">(P1048-$K1048)^2</f>
        <v>0.010003600324</v>
      </c>
      <c r="AE1048" s="8" t="n">
        <f aca="false">MIN(INT(ROUND(N1048*1000000,0)/100000),9)</f>
        <v>0</v>
      </c>
      <c r="AF1048" s="8" t="n">
        <f aca="false">MIN(INT(ROUND(P1048*1000000,0)/100000),9)</f>
        <v>1</v>
      </c>
    </row>
    <row r="1049" customFormat="false" ht="15" hidden="false" customHeight="false" outlineLevel="0" collapsed="false">
      <c r="A1049" s="4" t="n">
        <v>1045</v>
      </c>
      <c r="B1049" s="4" t="n">
        <v>1509</v>
      </c>
      <c r="C1049" s="4" t="n">
        <v>2</v>
      </c>
      <c r="D1049" s="11" t="n">
        <v>46113</v>
      </c>
      <c r="E1049" s="4" t="s">
        <v>202</v>
      </c>
      <c r="F1049" s="4" t="s">
        <v>208</v>
      </c>
      <c r="G1049" s="4" t="n">
        <v>5</v>
      </c>
      <c r="H1049" s="4" t="n">
        <v>9</v>
      </c>
      <c r="I1049" s="4" t="n">
        <v>0</v>
      </c>
      <c r="J1049" s="4" t="n">
        <v>1491</v>
      </c>
      <c r="K1049" s="4" t="n">
        <v>0</v>
      </c>
      <c r="L1049" s="12" t="n">
        <v>0.685186</v>
      </c>
      <c r="M1049" s="12" t="n">
        <v>0.092063</v>
      </c>
      <c r="N1049" s="12" t="n">
        <v>0.107278</v>
      </c>
      <c r="O1049" s="12" t="n">
        <v>0.106183</v>
      </c>
      <c r="P1049" s="12" t="n">
        <v>0.113983</v>
      </c>
      <c r="Q1049" s="0" t="str">
        <f aca="false">IF(L1049&gt;=Models!$G$5,1+COUNTIF($L$5:$L$1517,"&gt;"&amp;L1049)+COUNTIFS($L$5:$L$1517,L1049,$B$5:$B$1517,"&lt;"&amp;B1049)+COUNTIFS($L$5:$L$1517,L1049,$B$5:$B$1517,B1049,$C$5:$C$1517,"&lt;"&amp;C1049),"")</f>
        <v/>
      </c>
      <c r="R1049" s="0" t="str">
        <f aca="false">IF(M1049&gt;=Models!$G$6,1+COUNTIF($M$5:$M$1517,"&gt;"&amp;M1049)+COUNTIFS($M$5:$M$1517,M1049,$B$5:$B$1517,"&lt;"&amp;B1049)+COUNTIFS($M$5:$M$1517,M1049,$B$5:$B$1517,B1049,$C$5:$C$1517,"&lt;"&amp;C1049),"")</f>
        <v/>
      </c>
      <c r="S1049" s="0" t="str">
        <f aca="false">IF(N1049&gt;=Models!$G$7,1+COUNTIF($N$5:$N$1517,"&gt;"&amp;N1049)+COUNTIFS($N$5:$N$1517,N1049,$B$5:$B$1517,"&lt;"&amp;B1049)+COUNTIFS($N$5:$N$1517,N1049,$B$5:$B$1517,B1049,$C$5:$C$1517,"&lt;"&amp;C1049),"")</f>
        <v/>
      </c>
      <c r="T1049" s="8" t="n">
        <f aca="false">IF(O1049&gt;=Models!$G$8,1+COUNTIF($O$5:$O$1517,"&gt;"&amp;O1049)+COUNTIFS($O$5:$O$1517,O1049,$B$5:$B$1517,"&lt;"&amp;B1049)+COUNTIFS($O$5:$O$1517,O1049,$B$5:$B$1517,B1049,$C$5:$C$1517,"&lt;"&amp;C1049),"")</f>
        <v>1253</v>
      </c>
      <c r="U1049" s="8" t="n">
        <f aca="false">IF($K1049=1,COUNTIFS($L$5:$L$1517,"&gt;="&amp;L1049,$K$5:$K$1517,1)/COUNTIF($L$5:$L$1517,"&gt;="&amp;L1049),0)</f>
        <v>0</v>
      </c>
      <c r="V1049" s="8" t="n">
        <f aca="false">IF($K1049=1,COUNTIFS($M$5:$M$1517,"&gt;="&amp;M1049,$K$5:$K$1517,1)/COUNTIF($M$5:$M$1517,"&gt;="&amp;M1049),0)</f>
        <v>0</v>
      </c>
      <c r="W1049" s="8" t="n">
        <f aca="false">IF($K1049=1,COUNTIFS($N$5:$N$1517,"&gt;="&amp;N1049,$K$5:$K$1517,1)/COUNTIF($N$5:$N$1517,"&gt;="&amp;N1049),0)</f>
        <v>0</v>
      </c>
      <c r="X1049" s="8" t="n">
        <f aca="false">IF($K1049=1,COUNTIFS($O$5:$O$1517,"&gt;="&amp;O1049,$K$5:$K$1517,1)/COUNTIF($O$5:$O$1517,"&gt;="&amp;O1049),0)</f>
        <v>0</v>
      </c>
      <c r="Y1049" s="8" t="n">
        <f aca="false">IF($K1049=1,COUNTIFS($P$5:$P$1517,"&gt;="&amp;P1049,$K$5:$K$1517,1)/COUNTIF($P$5:$P$1517,"&gt;="&amp;P1049),0)</f>
        <v>0</v>
      </c>
      <c r="Z1049" s="8" t="n">
        <f aca="false">(L1049-$K1049)^2</f>
        <v>0.469479854596</v>
      </c>
      <c r="AA1049" s="8" t="n">
        <f aca="false">(M1049-$K1049)^2</f>
        <v>0.008475595969</v>
      </c>
      <c r="AB1049" s="8" t="n">
        <f aca="false">(N1049-$K1049)^2</f>
        <v>0.011508569284</v>
      </c>
      <c r="AC1049" s="8" t="n">
        <f aca="false">(O1049-$K1049)^2</f>
        <v>0.011274829489</v>
      </c>
      <c r="AD1049" s="8" t="n">
        <f aca="false">(P1049-$K1049)^2</f>
        <v>0.012992124289</v>
      </c>
      <c r="AE1049" s="8" t="n">
        <f aca="false">MIN(INT(ROUND(N1049*1000000,0)/100000),9)</f>
        <v>1</v>
      </c>
      <c r="AF1049" s="8" t="n">
        <f aca="false">MIN(INT(ROUND(P1049*1000000,0)/100000),9)</f>
        <v>1</v>
      </c>
    </row>
    <row r="1050" customFormat="false" ht="15" hidden="false" customHeight="false" outlineLevel="0" collapsed="false">
      <c r="A1050" s="4" t="n">
        <v>1046</v>
      </c>
      <c r="B1050" s="4" t="n">
        <v>1511</v>
      </c>
      <c r="C1050" s="4" t="n">
        <v>2</v>
      </c>
      <c r="D1050" s="11" t="n">
        <v>46113</v>
      </c>
      <c r="E1050" s="4" t="s">
        <v>203</v>
      </c>
      <c r="F1050" s="4" t="s">
        <v>210</v>
      </c>
      <c r="G1050" s="4" t="n">
        <v>1</v>
      </c>
      <c r="H1050" s="4" t="n">
        <v>3</v>
      </c>
      <c r="I1050" s="4" t="n">
        <v>0</v>
      </c>
      <c r="J1050" s="4"/>
      <c r="K1050" s="4" t="n">
        <v>0</v>
      </c>
      <c r="L1050" s="12" t="n">
        <v>0.952345</v>
      </c>
      <c r="M1050" s="12" t="n">
        <v>0.092063</v>
      </c>
      <c r="N1050" s="12" t="n">
        <v>0.077399</v>
      </c>
      <c r="O1050" s="12" t="n">
        <v>0.106183</v>
      </c>
      <c r="P1050" s="12" t="n">
        <v>0.081125</v>
      </c>
      <c r="Q1050" s="0" t="str">
        <f aca="false">IF(L1050&gt;=Models!$G$5,1+COUNTIF($L$5:$L$1517,"&gt;"&amp;L1050)+COUNTIFS($L$5:$L$1517,L1050,$B$5:$B$1517,"&lt;"&amp;B1050)+COUNTIFS($L$5:$L$1517,L1050,$B$5:$B$1517,B1050,$C$5:$C$1517,"&lt;"&amp;C1050),"")</f>
        <v/>
      </c>
      <c r="R1050" s="0" t="str">
        <f aca="false">IF(M1050&gt;=Models!$G$6,1+COUNTIF($M$5:$M$1517,"&gt;"&amp;M1050)+COUNTIFS($M$5:$M$1517,M1050,$B$5:$B$1517,"&lt;"&amp;B1050)+COUNTIFS($M$5:$M$1517,M1050,$B$5:$B$1517,B1050,$C$5:$C$1517,"&lt;"&amp;C1050),"")</f>
        <v/>
      </c>
      <c r="S1050" s="0" t="str">
        <f aca="false">IF(N1050&gt;=Models!$G$7,1+COUNTIF($N$5:$N$1517,"&gt;"&amp;N1050)+COUNTIFS($N$5:$N$1517,N1050,$B$5:$B$1517,"&lt;"&amp;B1050)+COUNTIFS($N$5:$N$1517,N1050,$B$5:$B$1517,B1050,$C$5:$C$1517,"&lt;"&amp;C1050),"")</f>
        <v/>
      </c>
      <c r="T1050" s="8" t="n">
        <f aca="false">IF(O1050&gt;=Models!$G$8,1+COUNTIF($O$5:$O$1517,"&gt;"&amp;O1050)+COUNTIFS($O$5:$O$1517,O1050,$B$5:$B$1517,"&lt;"&amp;B1050)+COUNTIFS($O$5:$O$1517,O1050,$B$5:$B$1517,B1050,$C$5:$C$1517,"&lt;"&amp;C1050),"")</f>
        <v>1257</v>
      </c>
      <c r="U1050" s="8" t="n">
        <f aca="false">IF($K1050=1,COUNTIFS($L$5:$L$1517,"&gt;="&amp;L1050,$K$5:$K$1517,1)/COUNTIF($L$5:$L$1517,"&gt;="&amp;L1050),0)</f>
        <v>0</v>
      </c>
      <c r="V1050" s="8" t="n">
        <f aca="false">IF($K1050=1,COUNTIFS($M$5:$M$1517,"&gt;="&amp;M1050,$K$5:$K$1517,1)/COUNTIF($M$5:$M$1517,"&gt;="&amp;M1050),0)</f>
        <v>0</v>
      </c>
      <c r="W1050" s="8" t="n">
        <f aca="false">IF($K1050=1,COUNTIFS($N$5:$N$1517,"&gt;="&amp;N1050,$K$5:$K$1517,1)/COUNTIF($N$5:$N$1517,"&gt;="&amp;N1050),0)</f>
        <v>0</v>
      </c>
      <c r="X1050" s="8" t="n">
        <f aca="false">IF($K1050=1,COUNTIFS($O$5:$O$1517,"&gt;="&amp;O1050,$K$5:$K$1517,1)/COUNTIF($O$5:$O$1517,"&gt;="&amp;O1050),0)</f>
        <v>0</v>
      </c>
      <c r="Y1050" s="8" t="n">
        <f aca="false">IF($K1050=1,COUNTIFS($P$5:$P$1517,"&gt;="&amp;P1050,$K$5:$K$1517,1)/COUNTIF($P$5:$P$1517,"&gt;="&amp;P1050),0)</f>
        <v>0</v>
      </c>
      <c r="Z1050" s="8" t="n">
        <f aca="false">(L1050-$K1050)^2</f>
        <v>0.906960999025</v>
      </c>
      <c r="AA1050" s="8" t="n">
        <f aca="false">(M1050-$K1050)^2</f>
        <v>0.008475595969</v>
      </c>
      <c r="AB1050" s="8" t="n">
        <f aca="false">(N1050-$K1050)^2</f>
        <v>0.005990605201</v>
      </c>
      <c r="AC1050" s="8" t="n">
        <f aca="false">(O1050-$K1050)^2</f>
        <v>0.011274829489</v>
      </c>
      <c r="AD1050" s="8" t="n">
        <f aca="false">(P1050-$K1050)^2</f>
        <v>0.006581265625</v>
      </c>
      <c r="AE1050" s="8" t="n">
        <f aca="false">MIN(INT(ROUND(N1050*1000000,0)/100000),9)</f>
        <v>0</v>
      </c>
      <c r="AF1050" s="8" t="n">
        <f aca="false">MIN(INT(ROUND(P1050*1000000,0)/100000),9)</f>
        <v>0</v>
      </c>
    </row>
    <row r="1051" customFormat="false" ht="15" hidden="false" customHeight="false" outlineLevel="0" collapsed="false">
      <c r="A1051" s="4" t="n">
        <v>1047</v>
      </c>
      <c r="B1051" s="4" t="n">
        <v>1518</v>
      </c>
      <c r="C1051" s="4" t="n">
        <v>2</v>
      </c>
      <c r="D1051" s="11" t="n">
        <v>46113</v>
      </c>
      <c r="E1051" s="4" t="s">
        <v>204</v>
      </c>
      <c r="F1051" s="4" t="s">
        <v>206</v>
      </c>
      <c r="G1051" s="4" t="n">
        <v>3</v>
      </c>
      <c r="H1051" s="4" t="n">
        <v>4</v>
      </c>
      <c r="I1051" s="4" t="n">
        <v>0</v>
      </c>
      <c r="J1051" s="4" t="n">
        <v>84</v>
      </c>
      <c r="K1051" s="4" t="n">
        <v>0</v>
      </c>
      <c r="L1051" s="12" t="n">
        <v>0.526246</v>
      </c>
      <c r="M1051" s="12" t="n">
        <v>0.092063</v>
      </c>
      <c r="N1051" s="12" t="n">
        <v>0.13032</v>
      </c>
      <c r="O1051" s="12" t="n">
        <v>0.106183</v>
      </c>
      <c r="P1051" s="12" t="n">
        <v>0.139497</v>
      </c>
      <c r="Q1051" s="0" t="str">
        <f aca="false">IF(L1051&gt;=Models!$G$5,1+COUNTIF($L$5:$L$1517,"&gt;"&amp;L1051)+COUNTIFS($L$5:$L$1517,L1051,$B$5:$B$1517,"&lt;"&amp;B1051)+COUNTIFS($L$5:$L$1517,L1051,$B$5:$B$1517,B1051,$C$5:$C$1517,"&lt;"&amp;C1051),"")</f>
        <v/>
      </c>
      <c r="R1051" s="0" t="str">
        <f aca="false">IF(M1051&gt;=Models!$G$6,1+COUNTIF($M$5:$M$1517,"&gt;"&amp;M1051)+COUNTIFS($M$5:$M$1517,M1051,$B$5:$B$1517,"&lt;"&amp;B1051)+COUNTIFS($M$5:$M$1517,M1051,$B$5:$B$1517,B1051,$C$5:$C$1517,"&lt;"&amp;C1051),"")</f>
        <v/>
      </c>
      <c r="S1051" s="0" t="str">
        <f aca="false">IF(N1051&gt;=Models!$G$7,1+COUNTIF($N$5:$N$1517,"&gt;"&amp;N1051)+COUNTIFS($N$5:$N$1517,N1051,$B$5:$B$1517,"&lt;"&amp;B1051)+COUNTIFS($N$5:$N$1517,N1051,$B$5:$B$1517,B1051,$C$5:$C$1517,"&lt;"&amp;C1051),"")</f>
        <v/>
      </c>
      <c r="T1051" s="8" t="n">
        <f aca="false">IF(O1051&gt;=Models!$G$8,1+COUNTIF($O$5:$O$1517,"&gt;"&amp;O1051)+COUNTIFS($O$5:$O$1517,O1051,$B$5:$B$1517,"&lt;"&amp;B1051)+COUNTIFS($O$5:$O$1517,O1051,$B$5:$B$1517,B1051,$C$5:$C$1517,"&lt;"&amp;C1051),"")</f>
        <v>1261</v>
      </c>
      <c r="U1051" s="8" t="n">
        <f aca="false">IF($K1051=1,COUNTIFS($L$5:$L$1517,"&gt;="&amp;L1051,$K$5:$K$1517,1)/COUNTIF($L$5:$L$1517,"&gt;="&amp;L1051),0)</f>
        <v>0</v>
      </c>
      <c r="V1051" s="8" t="n">
        <f aca="false">IF($K1051=1,COUNTIFS($M$5:$M$1517,"&gt;="&amp;M1051,$K$5:$K$1517,1)/COUNTIF($M$5:$M$1517,"&gt;="&amp;M1051),0)</f>
        <v>0</v>
      </c>
      <c r="W1051" s="8" t="n">
        <f aca="false">IF($K1051=1,COUNTIFS($N$5:$N$1517,"&gt;="&amp;N1051,$K$5:$K$1517,1)/COUNTIF($N$5:$N$1517,"&gt;="&amp;N1051),0)</f>
        <v>0</v>
      </c>
      <c r="X1051" s="8" t="n">
        <f aca="false">IF($K1051=1,COUNTIFS($O$5:$O$1517,"&gt;="&amp;O1051,$K$5:$K$1517,1)/COUNTIF($O$5:$O$1517,"&gt;="&amp;O1051),0)</f>
        <v>0</v>
      </c>
      <c r="Y1051" s="8" t="n">
        <f aca="false">IF($K1051=1,COUNTIFS($P$5:$P$1517,"&gt;="&amp;P1051,$K$5:$K$1517,1)/COUNTIF($P$5:$P$1517,"&gt;="&amp;P1051),0)</f>
        <v>0</v>
      </c>
      <c r="Z1051" s="8" t="n">
        <f aca="false">(L1051-$K1051)^2</f>
        <v>0.276934852516</v>
      </c>
      <c r="AA1051" s="8" t="n">
        <f aca="false">(M1051-$K1051)^2</f>
        <v>0.008475595969</v>
      </c>
      <c r="AB1051" s="8" t="n">
        <f aca="false">(N1051-$K1051)^2</f>
        <v>0.0169833024</v>
      </c>
      <c r="AC1051" s="8" t="n">
        <f aca="false">(O1051-$K1051)^2</f>
        <v>0.011274829489</v>
      </c>
      <c r="AD1051" s="8" t="n">
        <f aca="false">(P1051-$K1051)^2</f>
        <v>0.019459413009</v>
      </c>
      <c r="AE1051" s="8" t="n">
        <f aca="false">MIN(INT(ROUND(N1051*1000000,0)/100000),9)</f>
        <v>1</v>
      </c>
      <c r="AF1051" s="8" t="n">
        <f aca="false">MIN(INT(ROUND(P1051*1000000,0)/100000),9)</f>
        <v>1</v>
      </c>
    </row>
    <row r="1052" customFormat="false" ht="15" hidden="false" customHeight="false" outlineLevel="0" collapsed="false">
      <c r="A1052" s="4" t="n">
        <v>1048</v>
      </c>
      <c r="B1052" s="4" t="n">
        <v>1519</v>
      </c>
      <c r="C1052" s="4" t="n">
        <v>2</v>
      </c>
      <c r="D1052" s="11" t="n">
        <v>46113</v>
      </c>
      <c r="E1052" s="4" t="s">
        <v>204</v>
      </c>
      <c r="F1052" s="4" t="s">
        <v>209</v>
      </c>
      <c r="G1052" s="4" t="n">
        <v>4</v>
      </c>
      <c r="H1052" s="4" t="n">
        <v>4</v>
      </c>
      <c r="I1052" s="4" t="n">
        <v>0</v>
      </c>
      <c r="J1052" s="4" t="n">
        <v>102</v>
      </c>
      <c r="K1052" s="4" t="n">
        <v>0</v>
      </c>
      <c r="L1052" s="12" t="n">
        <v>0.605652</v>
      </c>
      <c r="M1052" s="12" t="n">
        <v>0.092063</v>
      </c>
      <c r="N1052" s="12" t="n">
        <v>0.120345</v>
      </c>
      <c r="O1052" s="12" t="n">
        <v>0.106183</v>
      </c>
      <c r="P1052" s="12" t="n">
        <v>0.128438</v>
      </c>
      <c r="Q1052" s="0" t="str">
        <f aca="false">IF(L1052&gt;=Models!$G$5,1+COUNTIF($L$5:$L$1517,"&gt;"&amp;L1052)+COUNTIFS($L$5:$L$1517,L1052,$B$5:$B$1517,"&lt;"&amp;B1052)+COUNTIFS($L$5:$L$1517,L1052,$B$5:$B$1517,B1052,$C$5:$C$1517,"&lt;"&amp;C1052),"")</f>
        <v/>
      </c>
      <c r="R1052" s="0" t="str">
        <f aca="false">IF(M1052&gt;=Models!$G$6,1+COUNTIF($M$5:$M$1517,"&gt;"&amp;M1052)+COUNTIFS($M$5:$M$1517,M1052,$B$5:$B$1517,"&lt;"&amp;B1052)+COUNTIFS($M$5:$M$1517,M1052,$B$5:$B$1517,B1052,$C$5:$C$1517,"&lt;"&amp;C1052),"")</f>
        <v/>
      </c>
      <c r="S1052" s="0" t="str">
        <f aca="false">IF(N1052&gt;=Models!$G$7,1+COUNTIF($N$5:$N$1517,"&gt;"&amp;N1052)+COUNTIFS($N$5:$N$1517,N1052,$B$5:$B$1517,"&lt;"&amp;B1052)+COUNTIFS($N$5:$N$1517,N1052,$B$5:$B$1517,B1052,$C$5:$C$1517,"&lt;"&amp;C1052),"")</f>
        <v/>
      </c>
      <c r="T1052" s="8" t="n">
        <f aca="false">IF(O1052&gt;=Models!$G$8,1+COUNTIF($O$5:$O$1517,"&gt;"&amp;O1052)+COUNTIFS($O$5:$O$1517,O1052,$B$5:$B$1517,"&lt;"&amp;B1052)+COUNTIFS($O$5:$O$1517,O1052,$B$5:$B$1517,B1052,$C$5:$C$1517,"&lt;"&amp;C1052),"")</f>
        <v>1265</v>
      </c>
      <c r="U1052" s="8" t="n">
        <f aca="false">IF($K1052=1,COUNTIFS($L$5:$L$1517,"&gt;="&amp;L1052,$K$5:$K$1517,1)/COUNTIF($L$5:$L$1517,"&gt;="&amp;L1052),0)</f>
        <v>0</v>
      </c>
      <c r="V1052" s="8" t="n">
        <f aca="false">IF($K1052=1,COUNTIFS($M$5:$M$1517,"&gt;="&amp;M1052,$K$5:$K$1517,1)/COUNTIF($M$5:$M$1517,"&gt;="&amp;M1052),0)</f>
        <v>0</v>
      </c>
      <c r="W1052" s="8" t="n">
        <f aca="false">IF($K1052=1,COUNTIFS($N$5:$N$1517,"&gt;="&amp;N1052,$K$5:$K$1517,1)/COUNTIF($N$5:$N$1517,"&gt;="&amp;N1052),0)</f>
        <v>0</v>
      </c>
      <c r="X1052" s="8" t="n">
        <f aca="false">IF($K1052=1,COUNTIFS($O$5:$O$1517,"&gt;="&amp;O1052,$K$5:$K$1517,1)/COUNTIF($O$5:$O$1517,"&gt;="&amp;O1052),0)</f>
        <v>0</v>
      </c>
      <c r="Y1052" s="8" t="n">
        <f aca="false">IF($K1052=1,COUNTIFS($P$5:$P$1517,"&gt;="&amp;P1052,$K$5:$K$1517,1)/COUNTIF($P$5:$P$1517,"&gt;="&amp;P1052),0)</f>
        <v>0</v>
      </c>
      <c r="Z1052" s="8" t="n">
        <f aca="false">(L1052-$K1052)^2</f>
        <v>0.366814345104</v>
      </c>
      <c r="AA1052" s="8" t="n">
        <f aca="false">(M1052-$K1052)^2</f>
        <v>0.008475595969</v>
      </c>
      <c r="AB1052" s="8" t="n">
        <f aca="false">(N1052-$K1052)^2</f>
        <v>0.014482919025</v>
      </c>
      <c r="AC1052" s="8" t="n">
        <f aca="false">(O1052-$K1052)^2</f>
        <v>0.011274829489</v>
      </c>
      <c r="AD1052" s="8" t="n">
        <f aca="false">(P1052-$K1052)^2</f>
        <v>0.016496319844</v>
      </c>
      <c r="AE1052" s="8" t="n">
        <f aca="false">MIN(INT(ROUND(N1052*1000000,0)/100000),9)</f>
        <v>1</v>
      </c>
      <c r="AF1052" s="8" t="n">
        <f aca="false">MIN(INT(ROUND(P1052*1000000,0)/100000),9)</f>
        <v>1</v>
      </c>
    </row>
    <row r="1053" customFormat="false" ht="15" hidden="false" customHeight="false" outlineLevel="0" collapsed="false">
      <c r="A1053" s="4" t="n">
        <v>1049</v>
      </c>
      <c r="B1053" s="4" t="n">
        <v>1526</v>
      </c>
      <c r="C1053" s="4" t="n">
        <v>2</v>
      </c>
      <c r="D1053" s="11" t="n">
        <v>46113</v>
      </c>
      <c r="E1053" s="4" t="s">
        <v>202</v>
      </c>
      <c r="F1053" s="4" t="s">
        <v>208</v>
      </c>
      <c r="G1053" s="4" t="n">
        <v>6</v>
      </c>
      <c r="H1053" s="4" t="n">
        <v>2</v>
      </c>
      <c r="I1053" s="4" t="n">
        <v>0</v>
      </c>
      <c r="J1053" s="4"/>
      <c r="K1053" s="4" t="n">
        <v>0</v>
      </c>
      <c r="L1053" s="12" t="n">
        <v>0.977472</v>
      </c>
      <c r="M1053" s="12" t="n">
        <v>0.092063</v>
      </c>
      <c r="N1053" s="12" t="n">
        <v>0.050384</v>
      </c>
      <c r="O1053" s="12" t="n">
        <v>0.106183</v>
      </c>
      <c r="P1053" s="12" t="n">
        <v>0.051803</v>
      </c>
      <c r="Q1053" s="0" t="str">
        <f aca="false">IF(L1053&gt;=Models!$G$5,1+COUNTIF($L$5:$L$1517,"&gt;"&amp;L1053)+COUNTIFS($L$5:$L$1517,L1053,$B$5:$B$1517,"&lt;"&amp;B1053)+COUNTIFS($L$5:$L$1517,L1053,$B$5:$B$1517,B1053,$C$5:$C$1517,"&lt;"&amp;C1053),"")</f>
        <v/>
      </c>
      <c r="R1053" s="0" t="str">
        <f aca="false">IF(M1053&gt;=Models!$G$6,1+COUNTIF($M$5:$M$1517,"&gt;"&amp;M1053)+COUNTIFS($M$5:$M$1517,M1053,$B$5:$B$1517,"&lt;"&amp;B1053)+COUNTIFS($M$5:$M$1517,M1053,$B$5:$B$1517,B1053,$C$5:$C$1517,"&lt;"&amp;C1053),"")</f>
        <v/>
      </c>
      <c r="S1053" s="0" t="str">
        <f aca="false">IF(N1053&gt;=Models!$G$7,1+COUNTIF($N$5:$N$1517,"&gt;"&amp;N1053)+COUNTIFS($N$5:$N$1517,N1053,$B$5:$B$1517,"&lt;"&amp;B1053)+COUNTIFS($N$5:$N$1517,N1053,$B$5:$B$1517,B1053,$C$5:$C$1517,"&lt;"&amp;C1053),"")</f>
        <v/>
      </c>
      <c r="T1053" s="8" t="n">
        <f aca="false">IF(O1053&gt;=Models!$G$8,1+COUNTIF($O$5:$O$1517,"&gt;"&amp;O1053)+COUNTIFS($O$5:$O$1517,O1053,$B$5:$B$1517,"&lt;"&amp;B1053)+COUNTIFS($O$5:$O$1517,O1053,$B$5:$B$1517,B1053,$C$5:$C$1517,"&lt;"&amp;C1053),"")</f>
        <v>1271</v>
      </c>
      <c r="U1053" s="8" t="n">
        <f aca="false">IF($K1053=1,COUNTIFS($L$5:$L$1517,"&gt;="&amp;L1053,$K$5:$K$1517,1)/COUNTIF($L$5:$L$1517,"&gt;="&amp;L1053),0)</f>
        <v>0</v>
      </c>
      <c r="V1053" s="8" t="n">
        <f aca="false">IF($K1053=1,COUNTIFS($M$5:$M$1517,"&gt;="&amp;M1053,$K$5:$K$1517,1)/COUNTIF($M$5:$M$1517,"&gt;="&amp;M1053),0)</f>
        <v>0</v>
      </c>
      <c r="W1053" s="8" t="n">
        <f aca="false">IF($K1053=1,COUNTIFS($N$5:$N$1517,"&gt;="&amp;N1053,$K$5:$K$1517,1)/COUNTIF($N$5:$N$1517,"&gt;="&amp;N1053),0)</f>
        <v>0</v>
      </c>
      <c r="X1053" s="8" t="n">
        <f aca="false">IF($K1053=1,COUNTIFS($O$5:$O$1517,"&gt;="&amp;O1053,$K$5:$K$1517,1)/COUNTIF($O$5:$O$1517,"&gt;="&amp;O1053),0)</f>
        <v>0</v>
      </c>
      <c r="Y1053" s="8" t="n">
        <f aca="false">IF($K1053=1,COUNTIFS($P$5:$P$1517,"&gt;="&amp;P1053,$K$5:$K$1517,1)/COUNTIF($P$5:$P$1517,"&gt;="&amp;P1053),0)</f>
        <v>0</v>
      </c>
      <c r="Z1053" s="8" t="n">
        <f aca="false">(L1053-$K1053)^2</f>
        <v>0.955451510784</v>
      </c>
      <c r="AA1053" s="8" t="n">
        <f aca="false">(M1053-$K1053)^2</f>
        <v>0.008475595969</v>
      </c>
      <c r="AB1053" s="8" t="n">
        <f aca="false">(N1053-$K1053)^2</f>
        <v>0.002538547456</v>
      </c>
      <c r="AC1053" s="8" t="n">
        <f aca="false">(O1053-$K1053)^2</f>
        <v>0.011274829489</v>
      </c>
      <c r="AD1053" s="8" t="n">
        <f aca="false">(P1053-$K1053)^2</f>
        <v>0.002683550809</v>
      </c>
      <c r="AE1053" s="8" t="n">
        <f aca="false">MIN(INT(ROUND(N1053*1000000,0)/100000),9)</f>
        <v>0</v>
      </c>
      <c r="AF1053" s="8" t="n">
        <f aca="false">MIN(INT(ROUND(P1053*1000000,0)/100000),9)</f>
        <v>0</v>
      </c>
    </row>
    <row r="1054" customFormat="false" ht="15" hidden="false" customHeight="false" outlineLevel="0" collapsed="false">
      <c r="A1054" s="4" t="n">
        <v>1050</v>
      </c>
      <c r="B1054" s="4" t="n">
        <v>1527</v>
      </c>
      <c r="C1054" s="4" t="n">
        <v>2</v>
      </c>
      <c r="D1054" s="11" t="n">
        <v>46113</v>
      </c>
      <c r="E1054" s="4" t="s">
        <v>202</v>
      </c>
      <c r="F1054" s="4" t="s">
        <v>209</v>
      </c>
      <c r="G1054" s="4" t="n">
        <v>11</v>
      </c>
      <c r="H1054" s="4" t="n">
        <v>4</v>
      </c>
      <c r="I1054" s="4" t="n">
        <v>0</v>
      </c>
      <c r="J1054" s="4"/>
      <c r="K1054" s="4" t="n">
        <v>0</v>
      </c>
      <c r="L1054" s="12" t="n">
        <v>0.623384</v>
      </c>
      <c r="M1054" s="12" t="n">
        <v>0.092063</v>
      </c>
      <c r="N1054" s="12" t="n">
        <v>0.033248</v>
      </c>
      <c r="O1054" s="12" t="n">
        <v>0.106183</v>
      </c>
      <c r="P1054" s="12" t="n">
        <v>0.033527</v>
      </c>
      <c r="Q1054" s="0" t="str">
        <f aca="false">IF(L1054&gt;=Models!$G$5,1+COUNTIF($L$5:$L$1517,"&gt;"&amp;L1054)+COUNTIFS($L$5:$L$1517,L1054,$B$5:$B$1517,"&lt;"&amp;B1054)+COUNTIFS($L$5:$L$1517,L1054,$B$5:$B$1517,B1054,$C$5:$C$1517,"&lt;"&amp;C1054),"")</f>
        <v/>
      </c>
      <c r="R1054" s="0" t="str">
        <f aca="false">IF(M1054&gt;=Models!$G$6,1+COUNTIF($M$5:$M$1517,"&gt;"&amp;M1054)+COUNTIFS($M$5:$M$1517,M1054,$B$5:$B$1517,"&lt;"&amp;B1054)+COUNTIFS($M$5:$M$1517,M1054,$B$5:$B$1517,B1054,$C$5:$C$1517,"&lt;"&amp;C1054),"")</f>
        <v/>
      </c>
      <c r="S1054" s="0" t="str">
        <f aca="false">IF(N1054&gt;=Models!$G$7,1+COUNTIF($N$5:$N$1517,"&gt;"&amp;N1054)+COUNTIFS($N$5:$N$1517,N1054,$B$5:$B$1517,"&lt;"&amp;B1054)+COUNTIFS($N$5:$N$1517,N1054,$B$5:$B$1517,B1054,$C$5:$C$1517,"&lt;"&amp;C1054),"")</f>
        <v/>
      </c>
      <c r="T1054" s="8" t="n">
        <f aca="false">IF(O1054&gt;=Models!$G$8,1+COUNTIF($O$5:$O$1517,"&gt;"&amp;O1054)+COUNTIFS($O$5:$O$1517,O1054,$B$5:$B$1517,"&lt;"&amp;B1054)+COUNTIFS($O$5:$O$1517,O1054,$B$5:$B$1517,B1054,$C$5:$C$1517,"&lt;"&amp;C1054),"")</f>
        <v>1275</v>
      </c>
      <c r="U1054" s="8" t="n">
        <f aca="false">IF($K1054=1,COUNTIFS($L$5:$L$1517,"&gt;="&amp;L1054,$K$5:$K$1517,1)/COUNTIF($L$5:$L$1517,"&gt;="&amp;L1054),0)</f>
        <v>0</v>
      </c>
      <c r="V1054" s="8" t="n">
        <f aca="false">IF($K1054=1,COUNTIFS($M$5:$M$1517,"&gt;="&amp;M1054,$K$5:$K$1517,1)/COUNTIF($M$5:$M$1517,"&gt;="&amp;M1054),0)</f>
        <v>0</v>
      </c>
      <c r="W1054" s="8" t="n">
        <f aca="false">IF($K1054=1,COUNTIFS($N$5:$N$1517,"&gt;="&amp;N1054,$K$5:$K$1517,1)/COUNTIF($N$5:$N$1517,"&gt;="&amp;N1054),0)</f>
        <v>0</v>
      </c>
      <c r="X1054" s="8" t="n">
        <f aca="false">IF($K1054=1,COUNTIFS($O$5:$O$1517,"&gt;="&amp;O1054,$K$5:$K$1517,1)/COUNTIF($O$5:$O$1517,"&gt;="&amp;O1054),0)</f>
        <v>0</v>
      </c>
      <c r="Y1054" s="8" t="n">
        <f aca="false">IF($K1054=1,COUNTIFS($P$5:$P$1517,"&gt;="&amp;P1054,$K$5:$K$1517,1)/COUNTIF($P$5:$P$1517,"&gt;="&amp;P1054),0)</f>
        <v>0</v>
      </c>
      <c r="Z1054" s="8" t="n">
        <f aca="false">(L1054-$K1054)^2</f>
        <v>0.388607611456</v>
      </c>
      <c r="AA1054" s="8" t="n">
        <f aca="false">(M1054-$K1054)^2</f>
        <v>0.008475595969</v>
      </c>
      <c r="AB1054" s="8" t="n">
        <f aca="false">(N1054-$K1054)^2</f>
        <v>0.001105429504</v>
      </c>
      <c r="AC1054" s="8" t="n">
        <f aca="false">(O1054-$K1054)^2</f>
        <v>0.011274829489</v>
      </c>
      <c r="AD1054" s="8" t="n">
        <f aca="false">(P1054-$K1054)^2</f>
        <v>0.001124059729</v>
      </c>
      <c r="AE1054" s="8" t="n">
        <f aca="false">MIN(INT(ROUND(N1054*1000000,0)/100000),9)</f>
        <v>0</v>
      </c>
      <c r="AF1054" s="8" t="n">
        <f aca="false">MIN(INT(ROUND(P1054*1000000,0)/100000),9)</f>
        <v>0</v>
      </c>
    </row>
    <row r="1055" customFormat="false" ht="15" hidden="false" customHeight="false" outlineLevel="0" collapsed="false">
      <c r="A1055" s="4" t="n">
        <v>1051</v>
      </c>
      <c r="B1055" s="4" t="n">
        <v>1529</v>
      </c>
      <c r="C1055" s="4" t="n">
        <v>2</v>
      </c>
      <c r="D1055" s="11" t="n">
        <v>46113</v>
      </c>
      <c r="E1055" s="4" t="s">
        <v>202</v>
      </c>
      <c r="F1055" s="4" t="s">
        <v>206</v>
      </c>
      <c r="G1055" s="4" t="n">
        <v>12</v>
      </c>
      <c r="H1055" s="4" t="n">
        <v>0</v>
      </c>
      <c r="I1055" s="4" t="n">
        <v>0</v>
      </c>
      <c r="J1055" s="4" t="n">
        <v>1419</v>
      </c>
      <c r="K1055" s="4" t="n">
        <v>0</v>
      </c>
      <c r="L1055" s="12" t="n">
        <v>0.319767</v>
      </c>
      <c r="M1055" s="12" t="n">
        <v>0.092063</v>
      </c>
      <c r="N1055" s="12" t="n">
        <v>0.05634</v>
      </c>
      <c r="O1055" s="12" t="n">
        <v>0.106183</v>
      </c>
      <c r="P1055" s="12" t="n">
        <v>0.058223</v>
      </c>
      <c r="Q1055" s="0" t="str">
        <f aca="false">IF(L1055&gt;=Models!$G$5,1+COUNTIF($L$5:$L$1517,"&gt;"&amp;L1055)+COUNTIFS($L$5:$L$1517,L1055,$B$5:$B$1517,"&lt;"&amp;B1055)+COUNTIFS($L$5:$L$1517,L1055,$B$5:$B$1517,B1055,$C$5:$C$1517,"&lt;"&amp;C1055),"")</f>
        <v/>
      </c>
      <c r="R1055" s="0" t="str">
        <f aca="false">IF(M1055&gt;=Models!$G$6,1+COUNTIF($M$5:$M$1517,"&gt;"&amp;M1055)+COUNTIFS($M$5:$M$1517,M1055,$B$5:$B$1517,"&lt;"&amp;B1055)+COUNTIFS($M$5:$M$1517,M1055,$B$5:$B$1517,B1055,$C$5:$C$1517,"&lt;"&amp;C1055),"")</f>
        <v/>
      </c>
      <c r="S1055" s="0" t="str">
        <f aca="false">IF(N1055&gt;=Models!$G$7,1+COUNTIF($N$5:$N$1517,"&gt;"&amp;N1055)+COUNTIFS($N$5:$N$1517,N1055,$B$5:$B$1517,"&lt;"&amp;B1055)+COUNTIFS($N$5:$N$1517,N1055,$B$5:$B$1517,B1055,$C$5:$C$1517,"&lt;"&amp;C1055),"")</f>
        <v/>
      </c>
      <c r="T1055" s="8" t="n">
        <f aca="false">IF(O1055&gt;=Models!$G$8,1+COUNTIF($O$5:$O$1517,"&gt;"&amp;O1055)+COUNTIFS($O$5:$O$1517,O1055,$B$5:$B$1517,"&lt;"&amp;B1055)+COUNTIFS($O$5:$O$1517,O1055,$B$5:$B$1517,B1055,$C$5:$C$1517,"&lt;"&amp;C1055),"")</f>
        <v>1279</v>
      </c>
      <c r="U1055" s="8" t="n">
        <f aca="false">IF($K1055=1,COUNTIFS($L$5:$L$1517,"&gt;="&amp;L1055,$K$5:$K$1517,1)/COUNTIF($L$5:$L$1517,"&gt;="&amp;L1055),0)</f>
        <v>0</v>
      </c>
      <c r="V1055" s="8" t="n">
        <f aca="false">IF($K1055=1,COUNTIFS($M$5:$M$1517,"&gt;="&amp;M1055,$K$5:$K$1517,1)/COUNTIF($M$5:$M$1517,"&gt;="&amp;M1055),0)</f>
        <v>0</v>
      </c>
      <c r="W1055" s="8" t="n">
        <f aca="false">IF($K1055=1,COUNTIFS($N$5:$N$1517,"&gt;="&amp;N1055,$K$5:$K$1517,1)/COUNTIF($N$5:$N$1517,"&gt;="&amp;N1055),0)</f>
        <v>0</v>
      </c>
      <c r="X1055" s="8" t="n">
        <f aca="false">IF($K1055=1,COUNTIFS($O$5:$O$1517,"&gt;="&amp;O1055,$K$5:$K$1517,1)/COUNTIF($O$5:$O$1517,"&gt;="&amp;O1055),0)</f>
        <v>0</v>
      </c>
      <c r="Y1055" s="8" t="n">
        <f aca="false">IF($K1055=1,COUNTIFS($P$5:$P$1517,"&gt;="&amp;P1055,$K$5:$K$1517,1)/COUNTIF($P$5:$P$1517,"&gt;="&amp;P1055),0)</f>
        <v>0</v>
      </c>
      <c r="Z1055" s="8" t="n">
        <f aca="false">(L1055-$K1055)^2</f>
        <v>0.102250934289</v>
      </c>
      <c r="AA1055" s="8" t="n">
        <f aca="false">(M1055-$K1055)^2</f>
        <v>0.008475595969</v>
      </c>
      <c r="AB1055" s="8" t="n">
        <f aca="false">(N1055-$K1055)^2</f>
        <v>0.0031741956</v>
      </c>
      <c r="AC1055" s="8" t="n">
        <f aca="false">(O1055-$K1055)^2</f>
        <v>0.011274829489</v>
      </c>
      <c r="AD1055" s="8" t="n">
        <f aca="false">(P1055-$K1055)^2</f>
        <v>0.003389917729</v>
      </c>
      <c r="AE1055" s="8" t="n">
        <f aca="false">MIN(INT(ROUND(N1055*1000000,0)/100000),9)</f>
        <v>0</v>
      </c>
      <c r="AF1055" s="8" t="n">
        <f aca="false">MIN(INT(ROUND(P1055*1000000,0)/100000),9)</f>
        <v>0</v>
      </c>
    </row>
    <row r="1056" customFormat="false" ht="15" hidden="false" customHeight="false" outlineLevel="0" collapsed="false">
      <c r="A1056" s="4" t="n">
        <v>1052</v>
      </c>
      <c r="B1056" s="4" t="n">
        <v>1532</v>
      </c>
      <c r="C1056" s="4" t="n">
        <v>2</v>
      </c>
      <c r="D1056" s="11" t="n">
        <v>46113</v>
      </c>
      <c r="E1056" s="4" t="s">
        <v>203</v>
      </c>
      <c r="F1056" s="4" t="s">
        <v>206</v>
      </c>
      <c r="G1056" s="4" t="n">
        <v>3</v>
      </c>
      <c r="H1056" s="4" t="n">
        <v>3</v>
      </c>
      <c r="I1056" s="4" t="n">
        <v>0</v>
      </c>
      <c r="J1056" s="4" t="n">
        <v>291</v>
      </c>
      <c r="K1056" s="4" t="n">
        <v>0</v>
      </c>
      <c r="L1056" s="12" t="n">
        <v>0.290264</v>
      </c>
      <c r="M1056" s="12" t="n">
        <v>0.092063</v>
      </c>
      <c r="N1056" s="12" t="n">
        <v>0.128045</v>
      </c>
      <c r="O1056" s="12" t="n">
        <v>0.106183</v>
      </c>
      <c r="P1056" s="12" t="n">
        <v>0.136974</v>
      </c>
      <c r="Q1056" s="0" t="str">
        <f aca="false">IF(L1056&gt;=Models!$G$5,1+COUNTIF($L$5:$L$1517,"&gt;"&amp;L1056)+COUNTIFS($L$5:$L$1517,L1056,$B$5:$B$1517,"&lt;"&amp;B1056)+COUNTIFS($L$5:$L$1517,L1056,$B$5:$B$1517,B1056,$C$5:$C$1517,"&lt;"&amp;C1056),"")</f>
        <v/>
      </c>
      <c r="R1056" s="0" t="str">
        <f aca="false">IF(M1056&gt;=Models!$G$6,1+COUNTIF($M$5:$M$1517,"&gt;"&amp;M1056)+COUNTIFS($M$5:$M$1517,M1056,$B$5:$B$1517,"&lt;"&amp;B1056)+COUNTIFS($M$5:$M$1517,M1056,$B$5:$B$1517,B1056,$C$5:$C$1517,"&lt;"&amp;C1056),"")</f>
        <v/>
      </c>
      <c r="S1056" s="0" t="str">
        <f aca="false">IF(N1056&gt;=Models!$G$7,1+COUNTIF($N$5:$N$1517,"&gt;"&amp;N1056)+COUNTIFS($N$5:$N$1517,N1056,$B$5:$B$1517,"&lt;"&amp;B1056)+COUNTIFS($N$5:$N$1517,N1056,$B$5:$B$1517,B1056,$C$5:$C$1517,"&lt;"&amp;C1056),"")</f>
        <v/>
      </c>
      <c r="T1056" s="8" t="n">
        <f aca="false">IF(O1056&gt;=Models!$G$8,1+COUNTIF($O$5:$O$1517,"&gt;"&amp;O1056)+COUNTIFS($O$5:$O$1517,O1056,$B$5:$B$1517,"&lt;"&amp;B1056)+COUNTIFS($O$5:$O$1517,O1056,$B$5:$B$1517,B1056,$C$5:$C$1517,"&lt;"&amp;C1056),"")</f>
        <v>1284</v>
      </c>
      <c r="U1056" s="8" t="n">
        <f aca="false">IF($K1056=1,COUNTIFS($L$5:$L$1517,"&gt;="&amp;L1056,$K$5:$K$1517,1)/COUNTIF($L$5:$L$1517,"&gt;="&amp;L1056),0)</f>
        <v>0</v>
      </c>
      <c r="V1056" s="8" t="n">
        <f aca="false">IF($K1056=1,COUNTIFS($M$5:$M$1517,"&gt;="&amp;M1056,$K$5:$K$1517,1)/COUNTIF($M$5:$M$1517,"&gt;="&amp;M1056),0)</f>
        <v>0</v>
      </c>
      <c r="W1056" s="8" t="n">
        <f aca="false">IF($K1056=1,COUNTIFS($N$5:$N$1517,"&gt;="&amp;N1056,$K$5:$K$1517,1)/COUNTIF($N$5:$N$1517,"&gt;="&amp;N1056),0)</f>
        <v>0</v>
      </c>
      <c r="X1056" s="8" t="n">
        <f aca="false">IF($K1056=1,COUNTIFS($O$5:$O$1517,"&gt;="&amp;O1056,$K$5:$K$1517,1)/COUNTIF($O$5:$O$1517,"&gt;="&amp;O1056),0)</f>
        <v>0</v>
      </c>
      <c r="Y1056" s="8" t="n">
        <f aca="false">IF($K1056=1,COUNTIFS($P$5:$P$1517,"&gt;="&amp;P1056,$K$5:$K$1517,1)/COUNTIF($P$5:$P$1517,"&gt;="&amp;P1056),0)</f>
        <v>0</v>
      </c>
      <c r="Z1056" s="8" t="n">
        <f aca="false">(L1056-$K1056)^2</f>
        <v>0.084253189696</v>
      </c>
      <c r="AA1056" s="8" t="n">
        <f aca="false">(M1056-$K1056)^2</f>
        <v>0.008475595969</v>
      </c>
      <c r="AB1056" s="8" t="n">
        <f aca="false">(N1056-$K1056)^2</f>
        <v>0.016395522025</v>
      </c>
      <c r="AC1056" s="8" t="n">
        <f aca="false">(O1056-$K1056)^2</f>
        <v>0.011274829489</v>
      </c>
      <c r="AD1056" s="8" t="n">
        <f aca="false">(P1056-$K1056)^2</f>
        <v>0.018761876676</v>
      </c>
      <c r="AE1056" s="8" t="n">
        <f aca="false">MIN(INT(ROUND(N1056*1000000,0)/100000),9)</f>
        <v>1</v>
      </c>
      <c r="AF1056" s="8" t="n">
        <f aca="false">MIN(INT(ROUND(P1056*1000000,0)/100000),9)</f>
        <v>1</v>
      </c>
    </row>
    <row r="1057" customFormat="false" ht="15" hidden="false" customHeight="false" outlineLevel="0" collapsed="false">
      <c r="A1057" s="4" t="n">
        <v>1053</v>
      </c>
      <c r="B1057" s="4" t="n">
        <v>1534</v>
      </c>
      <c r="C1057" s="4" t="n">
        <v>2</v>
      </c>
      <c r="D1057" s="11" t="n">
        <v>46113</v>
      </c>
      <c r="E1057" s="4" t="s">
        <v>204</v>
      </c>
      <c r="F1057" s="4" t="s">
        <v>206</v>
      </c>
      <c r="G1057" s="4" t="n">
        <v>2</v>
      </c>
      <c r="H1057" s="4" t="n">
        <v>20</v>
      </c>
      <c r="I1057" s="4" t="n">
        <v>0</v>
      </c>
      <c r="J1057" s="4" t="n">
        <v>75</v>
      </c>
      <c r="K1057" s="4" t="n">
        <v>1</v>
      </c>
      <c r="L1057" s="12" t="n">
        <v>0.459294</v>
      </c>
      <c r="M1057" s="12" t="n">
        <v>0.092063</v>
      </c>
      <c r="N1057" s="12" t="n">
        <v>0.157559</v>
      </c>
      <c r="O1057" s="12" t="n">
        <v>0.106183</v>
      </c>
      <c r="P1057" s="12" t="n">
        <v>0.169764</v>
      </c>
      <c r="Q1057" s="0" t="str">
        <f aca="false">IF(L1057&gt;=Models!$G$5,1+COUNTIF($L$5:$L$1517,"&gt;"&amp;L1057)+COUNTIFS($L$5:$L$1517,L1057,$B$5:$B$1517,"&lt;"&amp;B1057)+COUNTIFS($L$5:$L$1517,L1057,$B$5:$B$1517,B1057,$C$5:$C$1517,"&lt;"&amp;C1057),"")</f>
        <v/>
      </c>
      <c r="R1057" s="0" t="str">
        <f aca="false">IF(M1057&gt;=Models!$G$6,1+COUNTIF($M$5:$M$1517,"&gt;"&amp;M1057)+COUNTIFS($M$5:$M$1517,M1057,$B$5:$B$1517,"&lt;"&amp;B1057)+COUNTIFS($M$5:$M$1517,M1057,$B$5:$B$1517,B1057,$C$5:$C$1517,"&lt;"&amp;C1057),"")</f>
        <v/>
      </c>
      <c r="S1057" s="0" t="str">
        <f aca="false">IF(N1057&gt;=Models!$G$7,1+COUNTIF($N$5:$N$1517,"&gt;"&amp;N1057)+COUNTIFS($N$5:$N$1517,N1057,$B$5:$B$1517,"&lt;"&amp;B1057)+COUNTIFS($N$5:$N$1517,N1057,$B$5:$B$1517,B1057,$C$5:$C$1517,"&lt;"&amp;C1057),"")</f>
        <v/>
      </c>
      <c r="T1057" s="8" t="n">
        <f aca="false">IF(O1057&gt;=Models!$G$8,1+COUNTIF($O$5:$O$1517,"&gt;"&amp;O1057)+COUNTIFS($O$5:$O$1517,O1057,$B$5:$B$1517,"&lt;"&amp;B1057)+COUNTIFS($O$5:$O$1517,O1057,$B$5:$B$1517,B1057,$C$5:$C$1517,"&lt;"&amp;C1057),"")</f>
        <v>1288</v>
      </c>
      <c r="U1057" s="8" t="n">
        <f aca="false">IF($K1057=1,COUNTIFS($L$5:$L$1517,"&gt;="&amp;L1057,$K$5:$K$1517,1)/COUNTIF($L$5:$L$1517,"&gt;="&amp;L1057),0)</f>
        <v>0.124691358024691</v>
      </c>
      <c r="V1057" s="8" t="n">
        <f aca="false">IF($K1057=1,COUNTIFS($M$5:$M$1517,"&gt;="&amp;M1057,$K$5:$K$1517,1)/COUNTIF($M$5:$M$1517,"&gt;="&amp;M1057),0)</f>
        <v>0.12491738268341</v>
      </c>
      <c r="W1057" s="8" t="n">
        <f aca="false">IF($K1057=1,COUNTIFS($N$5:$N$1517,"&gt;="&amp;N1057,$K$5:$K$1517,1)/COUNTIF($N$5:$N$1517,"&gt;="&amp;N1057),0)</f>
        <v>0.308641975308642</v>
      </c>
      <c r="X1057" s="8" t="n">
        <f aca="false">IF($K1057=1,COUNTIFS($O$5:$O$1517,"&gt;="&amp;O1057,$K$5:$K$1517,1)/COUNTIF($O$5:$O$1517,"&gt;="&amp;O1057),0)</f>
        <v>0.12491738268341</v>
      </c>
      <c r="Y1057" s="8" t="n">
        <f aca="false">IF($K1057=1,COUNTIFS($P$5:$P$1517,"&gt;="&amp;P1057,$K$5:$K$1517,1)/COUNTIF($P$5:$P$1517,"&gt;="&amp;P1057),0)</f>
        <v>0.308641975308642</v>
      </c>
      <c r="Z1057" s="8" t="n">
        <f aca="false">(L1057-$K1057)^2</f>
        <v>0.292362978436</v>
      </c>
      <c r="AA1057" s="8" t="n">
        <f aca="false">(M1057-$K1057)^2</f>
        <v>0.824349595969</v>
      </c>
      <c r="AB1057" s="8" t="n">
        <f aca="false">(N1057-$K1057)^2</f>
        <v>0.709706838481</v>
      </c>
      <c r="AC1057" s="8" t="n">
        <f aca="false">(O1057-$K1057)^2</f>
        <v>0.798908829489</v>
      </c>
      <c r="AD1057" s="8" t="n">
        <f aca="false">(P1057-$K1057)^2</f>
        <v>0.689291815696</v>
      </c>
      <c r="AE1057" s="8" t="n">
        <f aca="false">MIN(INT(ROUND(N1057*1000000,0)/100000),9)</f>
        <v>1</v>
      </c>
      <c r="AF1057" s="8" t="n">
        <f aca="false">MIN(INT(ROUND(P1057*1000000,0)/100000),9)</f>
        <v>1</v>
      </c>
    </row>
    <row r="1058" customFormat="false" ht="15" hidden="false" customHeight="false" outlineLevel="0" collapsed="false">
      <c r="A1058" s="4" t="n">
        <v>1054</v>
      </c>
      <c r="B1058" s="4" t="n">
        <v>1538</v>
      </c>
      <c r="C1058" s="4" t="n">
        <v>2</v>
      </c>
      <c r="D1058" s="11" t="n">
        <v>46113</v>
      </c>
      <c r="E1058" s="4" t="s">
        <v>201</v>
      </c>
      <c r="F1058" s="4" t="s">
        <v>208</v>
      </c>
      <c r="G1058" s="4" t="n">
        <v>16</v>
      </c>
      <c r="H1058" s="4" t="n">
        <v>1</v>
      </c>
      <c r="I1058" s="4" t="n">
        <v>0</v>
      </c>
      <c r="J1058" s="4"/>
      <c r="K1058" s="4" t="n">
        <v>0</v>
      </c>
      <c r="L1058" s="12" t="n">
        <v>0.46043</v>
      </c>
      <c r="M1058" s="12" t="n">
        <v>0.092063</v>
      </c>
      <c r="N1058" s="12" t="n">
        <v>0.020949</v>
      </c>
      <c r="O1058" s="12" t="n">
        <v>0.106183</v>
      </c>
      <c r="P1058" s="12" t="n">
        <v>0.020665</v>
      </c>
      <c r="Q1058" s="0" t="str">
        <f aca="false">IF(L1058&gt;=Models!$G$5,1+COUNTIF($L$5:$L$1517,"&gt;"&amp;L1058)+COUNTIFS($L$5:$L$1517,L1058,$B$5:$B$1517,"&lt;"&amp;B1058)+COUNTIFS($L$5:$L$1517,L1058,$B$5:$B$1517,B1058,$C$5:$C$1517,"&lt;"&amp;C1058),"")</f>
        <v/>
      </c>
      <c r="R1058" s="0" t="str">
        <f aca="false">IF(M1058&gt;=Models!$G$6,1+COUNTIF($M$5:$M$1517,"&gt;"&amp;M1058)+COUNTIFS($M$5:$M$1517,M1058,$B$5:$B$1517,"&lt;"&amp;B1058)+COUNTIFS($M$5:$M$1517,M1058,$B$5:$B$1517,B1058,$C$5:$C$1517,"&lt;"&amp;C1058),"")</f>
        <v/>
      </c>
      <c r="S1058" s="0" t="str">
        <f aca="false">IF(N1058&gt;=Models!$G$7,1+COUNTIF($N$5:$N$1517,"&gt;"&amp;N1058)+COUNTIFS($N$5:$N$1517,N1058,$B$5:$B$1517,"&lt;"&amp;B1058)+COUNTIFS($N$5:$N$1517,N1058,$B$5:$B$1517,B1058,$C$5:$C$1517,"&lt;"&amp;C1058),"")</f>
        <v/>
      </c>
      <c r="T1058" s="8" t="n">
        <f aca="false">IF(O1058&gt;=Models!$G$8,1+COUNTIF($O$5:$O$1517,"&gt;"&amp;O1058)+COUNTIFS($O$5:$O$1517,O1058,$B$5:$B$1517,"&lt;"&amp;B1058)+COUNTIFS($O$5:$O$1517,O1058,$B$5:$B$1517,B1058,$C$5:$C$1517,"&lt;"&amp;C1058),"")</f>
        <v>1292</v>
      </c>
      <c r="U1058" s="8" t="n">
        <f aca="false">IF($K1058=1,COUNTIFS($L$5:$L$1517,"&gt;="&amp;L1058,$K$5:$K$1517,1)/COUNTIF($L$5:$L$1517,"&gt;="&amp;L1058),0)</f>
        <v>0</v>
      </c>
      <c r="V1058" s="8" t="n">
        <f aca="false">IF($K1058=1,COUNTIFS($M$5:$M$1517,"&gt;="&amp;M1058,$K$5:$K$1517,1)/COUNTIF($M$5:$M$1517,"&gt;="&amp;M1058),0)</f>
        <v>0</v>
      </c>
      <c r="W1058" s="8" t="n">
        <f aca="false">IF($K1058=1,COUNTIFS($N$5:$N$1517,"&gt;="&amp;N1058,$K$5:$K$1517,1)/COUNTIF($N$5:$N$1517,"&gt;="&amp;N1058),0)</f>
        <v>0</v>
      </c>
      <c r="X1058" s="8" t="n">
        <f aca="false">IF($K1058=1,COUNTIFS($O$5:$O$1517,"&gt;="&amp;O1058,$K$5:$K$1517,1)/COUNTIF($O$5:$O$1517,"&gt;="&amp;O1058),0)</f>
        <v>0</v>
      </c>
      <c r="Y1058" s="8" t="n">
        <f aca="false">IF($K1058=1,COUNTIFS($P$5:$P$1517,"&gt;="&amp;P1058,$K$5:$K$1517,1)/COUNTIF($P$5:$P$1517,"&gt;="&amp;P1058),0)</f>
        <v>0</v>
      </c>
      <c r="Z1058" s="8" t="n">
        <f aca="false">(L1058-$K1058)^2</f>
        <v>0.2119957849</v>
      </c>
      <c r="AA1058" s="8" t="n">
        <f aca="false">(M1058-$K1058)^2</f>
        <v>0.008475595969</v>
      </c>
      <c r="AB1058" s="8" t="n">
        <f aca="false">(N1058-$K1058)^2</f>
        <v>0.000438860601</v>
      </c>
      <c r="AC1058" s="8" t="n">
        <f aca="false">(O1058-$K1058)^2</f>
        <v>0.011274829489</v>
      </c>
      <c r="AD1058" s="8" t="n">
        <f aca="false">(P1058-$K1058)^2</f>
        <v>0.000427042225</v>
      </c>
      <c r="AE1058" s="8" t="n">
        <f aca="false">MIN(INT(ROUND(N1058*1000000,0)/100000),9)</f>
        <v>0</v>
      </c>
      <c r="AF1058" s="8" t="n">
        <f aca="false">MIN(INT(ROUND(P1058*1000000,0)/100000),9)</f>
        <v>0</v>
      </c>
    </row>
    <row r="1059" customFormat="false" ht="15" hidden="false" customHeight="false" outlineLevel="0" collapsed="false">
      <c r="A1059" s="4" t="n">
        <v>1055</v>
      </c>
      <c r="B1059" s="4" t="n">
        <v>1539</v>
      </c>
      <c r="C1059" s="4" t="n">
        <v>2</v>
      </c>
      <c r="D1059" s="11" t="n">
        <v>46113</v>
      </c>
      <c r="E1059" s="4" t="s">
        <v>204</v>
      </c>
      <c r="F1059" s="4" t="s">
        <v>209</v>
      </c>
      <c r="G1059" s="4" t="n">
        <v>0</v>
      </c>
      <c r="H1059" s="4" t="n">
        <v>42</v>
      </c>
      <c r="I1059" s="4" t="n">
        <v>0</v>
      </c>
      <c r="J1059" s="4" t="n">
        <v>93</v>
      </c>
      <c r="K1059" s="4" t="n">
        <v>0</v>
      </c>
      <c r="L1059" s="12" t="n">
        <v>0.665695</v>
      </c>
      <c r="M1059" s="12" t="n">
        <v>0.184211</v>
      </c>
      <c r="N1059" s="12" t="n">
        <v>0.211271</v>
      </c>
      <c r="O1059" s="12" t="n">
        <v>0.106183</v>
      </c>
      <c r="P1059" s="12" t="n">
        <v>0.229526</v>
      </c>
      <c r="Q1059" s="0" t="str">
        <f aca="false">IF(L1059&gt;=Models!$G$5,1+COUNTIF($L$5:$L$1517,"&gt;"&amp;L1059)+COUNTIFS($L$5:$L$1517,L1059,$B$5:$B$1517,"&lt;"&amp;B1059)+COUNTIFS($L$5:$L$1517,L1059,$B$5:$B$1517,B1059,$C$5:$C$1517,"&lt;"&amp;C1059),"")</f>
        <v/>
      </c>
      <c r="R1059" s="8" t="n">
        <f aca="false">IF(M1059&gt;=Models!$G$6,1+COUNTIF($M$5:$M$1517,"&gt;"&amp;M1059)+COUNTIFS($M$5:$M$1517,M1059,$B$5:$B$1517,"&lt;"&amp;B1059)+COUNTIFS($M$5:$M$1517,M1059,$B$5:$B$1517,B1059,$C$5:$C$1517,"&lt;"&amp;C1059),"")</f>
        <v>160</v>
      </c>
      <c r="S1059" s="0" t="str">
        <f aca="false">IF(N1059&gt;=Models!$G$7,1+COUNTIF($N$5:$N$1517,"&gt;"&amp;N1059)+COUNTIFS($N$5:$N$1517,N1059,$B$5:$B$1517,"&lt;"&amp;B1059)+COUNTIFS($N$5:$N$1517,N1059,$B$5:$B$1517,B1059,$C$5:$C$1517,"&lt;"&amp;C1059),"")</f>
        <v/>
      </c>
      <c r="T1059" s="8" t="n">
        <f aca="false">IF(O1059&gt;=Models!$G$8,1+COUNTIF($O$5:$O$1517,"&gt;"&amp;O1059)+COUNTIFS($O$5:$O$1517,O1059,$B$5:$B$1517,"&lt;"&amp;B1059)+COUNTIFS($O$5:$O$1517,O1059,$B$5:$B$1517,B1059,$C$5:$C$1517,"&lt;"&amp;C1059),"")</f>
        <v>1296</v>
      </c>
      <c r="U1059" s="8" t="n">
        <f aca="false">IF($K1059=1,COUNTIFS($L$5:$L$1517,"&gt;="&amp;L1059,$K$5:$K$1517,1)/COUNTIF($L$5:$L$1517,"&gt;="&amp;L1059),0)</f>
        <v>0</v>
      </c>
      <c r="V1059" s="8" t="n">
        <f aca="false">IF($K1059=1,COUNTIFS($M$5:$M$1517,"&gt;="&amp;M1059,$K$5:$K$1517,1)/COUNTIF($M$5:$M$1517,"&gt;="&amp;M1059),0)</f>
        <v>0</v>
      </c>
      <c r="W1059" s="8" t="n">
        <f aca="false">IF($K1059=1,COUNTIFS($N$5:$N$1517,"&gt;="&amp;N1059,$K$5:$K$1517,1)/COUNTIF($N$5:$N$1517,"&gt;="&amp;N1059),0)</f>
        <v>0</v>
      </c>
      <c r="X1059" s="8" t="n">
        <f aca="false">IF($K1059=1,COUNTIFS($O$5:$O$1517,"&gt;="&amp;O1059,$K$5:$K$1517,1)/COUNTIF($O$5:$O$1517,"&gt;="&amp;O1059),0)</f>
        <v>0</v>
      </c>
      <c r="Y1059" s="8" t="n">
        <f aca="false">IF($K1059=1,COUNTIFS($P$5:$P$1517,"&gt;="&amp;P1059,$K$5:$K$1517,1)/COUNTIF($P$5:$P$1517,"&gt;="&amp;P1059),0)</f>
        <v>0</v>
      </c>
      <c r="Z1059" s="8" t="n">
        <f aca="false">(L1059-$K1059)^2</f>
        <v>0.443149833025</v>
      </c>
      <c r="AA1059" s="8" t="n">
        <f aca="false">(M1059-$K1059)^2</f>
        <v>0.033933692521</v>
      </c>
      <c r="AB1059" s="8" t="n">
        <f aca="false">(N1059-$K1059)^2</f>
        <v>0.044635435441</v>
      </c>
      <c r="AC1059" s="8" t="n">
        <f aca="false">(O1059-$K1059)^2</f>
        <v>0.011274829489</v>
      </c>
      <c r="AD1059" s="8" t="n">
        <f aca="false">(P1059-$K1059)^2</f>
        <v>0.052682184676</v>
      </c>
      <c r="AE1059" s="8" t="n">
        <f aca="false">MIN(INT(ROUND(N1059*1000000,0)/100000),9)</f>
        <v>2</v>
      </c>
      <c r="AF1059" s="8" t="n">
        <f aca="false">MIN(INT(ROUND(P1059*1000000,0)/100000),9)</f>
        <v>2</v>
      </c>
    </row>
    <row r="1060" customFormat="false" ht="15" hidden="false" customHeight="false" outlineLevel="0" collapsed="false">
      <c r="A1060" s="4" t="n">
        <v>1056</v>
      </c>
      <c r="B1060" s="4" t="n">
        <v>1540</v>
      </c>
      <c r="C1060" s="4" t="n">
        <v>2</v>
      </c>
      <c r="D1060" s="11" t="n">
        <v>46113</v>
      </c>
      <c r="E1060" s="4" t="s">
        <v>203</v>
      </c>
      <c r="F1060" s="4" t="s">
        <v>206</v>
      </c>
      <c r="G1060" s="4" t="n">
        <v>1</v>
      </c>
      <c r="H1060" s="4" t="n">
        <v>24</v>
      </c>
      <c r="I1060" s="4" t="n">
        <v>0</v>
      </c>
      <c r="J1060" s="4"/>
      <c r="K1060" s="4" t="n">
        <v>0</v>
      </c>
      <c r="L1060" s="12" t="n">
        <v>0.710291</v>
      </c>
      <c r="M1060" s="12" t="n">
        <v>0.092063</v>
      </c>
      <c r="N1060" s="12" t="n">
        <v>0.090617</v>
      </c>
      <c r="O1060" s="12" t="n">
        <v>0.106183</v>
      </c>
      <c r="P1060" s="12" t="n">
        <v>0.095619</v>
      </c>
      <c r="Q1060" s="0" t="str">
        <f aca="false">IF(L1060&gt;=Models!$G$5,1+COUNTIF($L$5:$L$1517,"&gt;"&amp;L1060)+COUNTIFS($L$5:$L$1517,L1060,$B$5:$B$1517,"&lt;"&amp;B1060)+COUNTIFS($L$5:$L$1517,L1060,$B$5:$B$1517,B1060,$C$5:$C$1517,"&lt;"&amp;C1060),"")</f>
        <v/>
      </c>
      <c r="R1060" s="0" t="str">
        <f aca="false">IF(M1060&gt;=Models!$G$6,1+COUNTIF($M$5:$M$1517,"&gt;"&amp;M1060)+COUNTIFS($M$5:$M$1517,M1060,$B$5:$B$1517,"&lt;"&amp;B1060)+COUNTIFS($M$5:$M$1517,M1060,$B$5:$B$1517,B1060,$C$5:$C$1517,"&lt;"&amp;C1060),"")</f>
        <v/>
      </c>
      <c r="S1060" s="0" t="str">
        <f aca="false">IF(N1060&gt;=Models!$G$7,1+COUNTIF($N$5:$N$1517,"&gt;"&amp;N1060)+COUNTIFS($N$5:$N$1517,N1060,$B$5:$B$1517,"&lt;"&amp;B1060)+COUNTIFS($N$5:$N$1517,N1060,$B$5:$B$1517,B1060,$C$5:$C$1517,"&lt;"&amp;C1060),"")</f>
        <v/>
      </c>
      <c r="T1060" s="8" t="n">
        <f aca="false">IF(O1060&gt;=Models!$G$8,1+COUNTIF($O$5:$O$1517,"&gt;"&amp;O1060)+COUNTIFS($O$5:$O$1517,O1060,$B$5:$B$1517,"&lt;"&amp;B1060)+COUNTIFS($O$5:$O$1517,O1060,$B$5:$B$1517,B1060,$C$5:$C$1517,"&lt;"&amp;C1060),"")</f>
        <v>1300</v>
      </c>
      <c r="U1060" s="8" t="n">
        <f aca="false">IF($K1060=1,COUNTIFS($L$5:$L$1517,"&gt;="&amp;L1060,$K$5:$K$1517,1)/COUNTIF($L$5:$L$1517,"&gt;="&amp;L1060),0)</f>
        <v>0</v>
      </c>
      <c r="V1060" s="8" t="n">
        <f aca="false">IF($K1060=1,COUNTIFS($M$5:$M$1517,"&gt;="&amp;M1060,$K$5:$K$1517,1)/COUNTIF($M$5:$M$1517,"&gt;="&amp;M1060),0)</f>
        <v>0</v>
      </c>
      <c r="W1060" s="8" t="n">
        <f aca="false">IF($K1060=1,COUNTIFS($N$5:$N$1517,"&gt;="&amp;N1060,$K$5:$K$1517,1)/COUNTIF($N$5:$N$1517,"&gt;="&amp;N1060),0)</f>
        <v>0</v>
      </c>
      <c r="X1060" s="8" t="n">
        <f aca="false">IF($K1060=1,COUNTIFS($O$5:$O$1517,"&gt;="&amp;O1060,$K$5:$K$1517,1)/COUNTIF($O$5:$O$1517,"&gt;="&amp;O1060),0)</f>
        <v>0</v>
      </c>
      <c r="Y1060" s="8" t="n">
        <f aca="false">IF($K1060=1,COUNTIFS($P$5:$P$1517,"&gt;="&amp;P1060,$K$5:$K$1517,1)/COUNTIF($P$5:$P$1517,"&gt;="&amp;P1060),0)</f>
        <v>0</v>
      </c>
      <c r="Z1060" s="8" t="n">
        <f aca="false">(L1060-$K1060)^2</f>
        <v>0.504513304681</v>
      </c>
      <c r="AA1060" s="8" t="n">
        <f aca="false">(M1060-$K1060)^2</f>
        <v>0.008475595969</v>
      </c>
      <c r="AB1060" s="8" t="n">
        <f aca="false">(N1060-$K1060)^2</f>
        <v>0.008211440689</v>
      </c>
      <c r="AC1060" s="8" t="n">
        <f aca="false">(O1060-$K1060)^2</f>
        <v>0.011274829489</v>
      </c>
      <c r="AD1060" s="8" t="n">
        <f aca="false">(P1060-$K1060)^2</f>
        <v>0.009142993161</v>
      </c>
      <c r="AE1060" s="8" t="n">
        <f aca="false">MIN(INT(ROUND(N1060*1000000,0)/100000),9)</f>
        <v>0</v>
      </c>
      <c r="AF1060" s="8" t="n">
        <f aca="false">MIN(INT(ROUND(P1060*1000000,0)/100000),9)</f>
        <v>0</v>
      </c>
    </row>
    <row r="1061" customFormat="false" ht="15" hidden="false" customHeight="false" outlineLevel="0" collapsed="false">
      <c r="A1061" s="4" t="n">
        <v>1057</v>
      </c>
      <c r="B1061" s="4" t="n">
        <v>1544</v>
      </c>
      <c r="C1061" s="4" t="n">
        <v>2</v>
      </c>
      <c r="D1061" s="11" t="n">
        <v>46113</v>
      </c>
      <c r="E1061" s="4" t="s">
        <v>203</v>
      </c>
      <c r="F1061" s="4" t="s">
        <v>206</v>
      </c>
      <c r="G1061" s="4" t="n">
        <v>6</v>
      </c>
      <c r="H1061" s="4" t="n">
        <v>0</v>
      </c>
      <c r="I1061" s="4" t="n">
        <v>0</v>
      </c>
      <c r="J1061" s="4" t="n">
        <v>402</v>
      </c>
      <c r="K1061" s="4" t="n">
        <v>0</v>
      </c>
      <c r="L1061" s="12" t="n">
        <v>0.660661</v>
      </c>
      <c r="M1061" s="12" t="n">
        <v>0.092063</v>
      </c>
      <c r="N1061" s="12" t="n">
        <v>0.098026</v>
      </c>
      <c r="O1061" s="12" t="n">
        <v>0.106183</v>
      </c>
      <c r="P1061" s="12" t="n">
        <v>0.103774</v>
      </c>
      <c r="Q1061" s="0" t="str">
        <f aca="false">IF(L1061&gt;=Models!$G$5,1+COUNTIF($L$5:$L$1517,"&gt;"&amp;L1061)+COUNTIFS($L$5:$L$1517,L1061,$B$5:$B$1517,"&lt;"&amp;B1061)+COUNTIFS($L$5:$L$1517,L1061,$B$5:$B$1517,B1061,$C$5:$C$1517,"&lt;"&amp;C1061),"")</f>
        <v/>
      </c>
      <c r="R1061" s="0" t="str">
        <f aca="false">IF(M1061&gt;=Models!$G$6,1+COUNTIF($M$5:$M$1517,"&gt;"&amp;M1061)+COUNTIFS($M$5:$M$1517,M1061,$B$5:$B$1517,"&lt;"&amp;B1061)+COUNTIFS($M$5:$M$1517,M1061,$B$5:$B$1517,B1061,$C$5:$C$1517,"&lt;"&amp;C1061),"")</f>
        <v/>
      </c>
      <c r="S1061" s="0" t="str">
        <f aca="false">IF(N1061&gt;=Models!$G$7,1+COUNTIF($N$5:$N$1517,"&gt;"&amp;N1061)+COUNTIFS($N$5:$N$1517,N1061,$B$5:$B$1517,"&lt;"&amp;B1061)+COUNTIFS($N$5:$N$1517,N1061,$B$5:$B$1517,B1061,$C$5:$C$1517,"&lt;"&amp;C1061),"")</f>
        <v/>
      </c>
      <c r="T1061" s="8" t="n">
        <f aca="false">IF(O1061&gt;=Models!$G$8,1+COUNTIF($O$5:$O$1517,"&gt;"&amp;O1061)+COUNTIFS($O$5:$O$1517,O1061,$B$5:$B$1517,"&lt;"&amp;B1061)+COUNTIFS($O$5:$O$1517,O1061,$B$5:$B$1517,B1061,$C$5:$C$1517,"&lt;"&amp;C1061),"")</f>
        <v>1304</v>
      </c>
      <c r="U1061" s="8" t="n">
        <f aca="false">IF($K1061=1,COUNTIFS($L$5:$L$1517,"&gt;="&amp;L1061,$K$5:$K$1517,1)/COUNTIF($L$5:$L$1517,"&gt;="&amp;L1061),0)</f>
        <v>0</v>
      </c>
      <c r="V1061" s="8" t="n">
        <f aca="false">IF($K1061=1,COUNTIFS($M$5:$M$1517,"&gt;="&amp;M1061,$K$5:$K$1517,1)/COUNTIF($M$5:$M$1517,"&gt;="&amp;M1061),0)</f>
        <v>0</v>
      </c>
      <c r="W1061" s="8" t="n">
        <f aca="false">IF($K1061=1,COUNTIFS($N$5:$N$1517,"&gt;="&amp;N1061,$K$5:$K$1517,1)/COUNTIF($N$5:$N$1517,"&gt;="&amp;N1061),0)</f>
        <v>0</v>
      </c>
      <c r="X1061" s="8" t="n">
        <f aca="false">IF($K1061=1,COUNTIFS($O$5:$O$1517,"&gt;="&amp;O1061,$K$5:$K$1517,1)/COUNTIF($O$5:$O$1517,"&gt;="&amp;O1061),0)</f>
        <v>0</v>
      </c>
      <c r="Y1061" s="8" t="n">
        <f aca="false">IF($K1061=1,COUNTIFS($P$5:$P$1517,"&gt;="&amp;P1061,$K$5:$K$1517,1)/COUNTIF($P$5:$P$1517,"&gt;="&amp;P1061),0)</f>
        <v>0</v>
      </c>
      <c r="Z1061" s="8" t="n">
        <f aca="false">(L1061-$K1061)^2</f>
        <v>0.436472956921</v>
      </c>
      <c r="AA1061" s="8" t="n">
        <f aca="false">(M1061-$K1061)^2</f>
        <v>0.008475595969</v>
      </c>
      <c r="AB1061" s="8" t="n">
        <f aca="false">(N1061-$K1061)^2</f>
        <v>0.009609096676</v>
      </c>
      <c r="AC1061" s="8" t="n">
        <f aca="false">(O1061-$K1061)^2</f>
        <v>0.011274829489</v>
      </c>
      <c r="AD1061" s="8" t="n">
        <f aca="false">(P1061-$K1061)^2</f>
        <v>0.010769043076</v>
      </c>
      <c r="AE1061" s="8" t="n">
        <f aca="false">MIN(INT(ROUND(N1061*1000000,0)/100000),9)</f>
        <v>0</v>
      </c>
      <c r="AF1061" s="8" t="n">
        <f aca="false">MIN(INT(ROUND(P1061*1000000,0)/100000),9)</f>
        <v>1</v>
      </c>
    </row>
    <row r="1062" customFormat="false" ht="15" hidden="false" customHeight="false" outlineLevel="0" collapsed="false">
      <c r="A1062" s="4" t="n">
        <v>1058</v>
      </c>
      <c r="B1062" s="4" t="n">
        <v>1545</v>
      </c>
      <c r="C1062" s="4" t="n">
        <v>2</v>
      </c>
      <c r="D1062" s="11" t="n">
        <v>46113</v>
      </c>
      <c r="E1062" s="4" t="s">
        <v>202</v>
      </c>
      <c r="F1062" s="4" t="s">
        <v>206</v>
      </c>
      <c r="G1062" s="4" t="n">
        <v>15</v>
      </c>
      <c r="H1062" s="4" t="n">
        <v>2</v>
      </c>
      <c r="I1062" s="4" t="n">
        <v>0</v>
      </c>
      <c r="J1062" s="4" t="n">
        <v>1443</v>
      </c>
      <c r="K1062" s="4" t="n">
        <v>0</v>
      </c>
      <c r="L1062" s="12" t="n">
        <v>0.270513</v>
      </c>
      <c r="M1062" s="12" t="n">
        <v>0.092063</v>
      </c>
      <c r="N1062" s="12" t="n">
        <v>0.04422</v>
      </c>
      <c r="O1062" s="12" t="n">
        <v>0.106183</v>
      </c>
      <c r="P1062" s="12" t="n">
        <v>0.045192</v>
      </c>
      <c r="Q1062" s="0" t="str">
        <f aca="false">IF(L1062&gt;=Models!$G$5,1+COUNTIF($L$5:$L$1517,"&gt;"&amp;L1062)+COUNTIFS($L$5:$L$1517,L1062,$B$5:$B$1517,"&lt;"&amp;B1062)+COUNTIFS($L$5:$L$1517,L1062,$B$5:$B$1517,B1062,$C$5:$C$1517,"&lt;"&amp;C1062),"")</f>
        <v/>
      </c>
      <c r="R1062" s="0" t="str">
        <f aca="false">IF(M1062&gt;=Models!$G$6,1+COUNTIF($M$5:$M$1517,"&gt;"&amp;M1062)+COUNTIFS($M$5:$M$1517,M1062,$B$5:$B$1517,"&lt;"&amp;B1062)+COUNTIFS($M$5:$M$1517,M1062,$B$5:$B$1517,B1062,$C$5:$C$1517,"&lt;"&amp;C1062),"")</f>
        <v/>
      </c>
      <c r="S1062" s="0" t="str">
        <f aca="false">IF(N1062&gt;=Models!$G$7,1+COUNTIF($N$5:$N$1517,"&gt;"&amp;N1062)+COUNTIFS($N$5:$N$1517,N1062,$B$5:$B$1517,"&lt;"&amp;B1062)+COUNTIFS($N$5:$N$1517,N1062,$B$5:$B$1517,B1062,$C$5:$C$1517,"&lt;"&amp;C1062),"")</f>
        <v/>
      </c>
      <c r="T1062" s="8" t="n">
        <f aca="false">IF(O1062&gt;=Models!$G$8,1+COUNTIF($O$5:$O$1517,"&gt;"&amp;O1062)+COUNTIFS($O$5:$O$1517,O1062,$B$5:$B$1517,"&lt;"&amp;B1062)+COUNTIFS($O$5:$O$1517,O1062,$B$5:$B$1517,B1062,$C$5:$C$1517,"&lt;"&amp;C1062),"")</f>
        <v>1308</v>
      </c>
      <c r="U1062" s="8" t="n">
        <f aca="false">IF($K1062=1,COUNTIFS($L$5:$L$1517,"&gt;="&amp;L1062,$K$5:$K$1517,1)/COUNTIF($L$5:$L$1517,"&gt;="&amp;L1062),0)</f>
        <v>0</v>
      </c>
      <c r="V1062" s="8" t="n">
        <f aca="false">IF($K1062=1,COUNTIFS($M$5:$M$1517,"&gt;="&amp;M1062,$K$5:$K$1517,1)/COUNTIF($M$5:$M$1517,"&gt;="&amp;M1062),0)</f>
        <v>0</v>
      </c>
      <c r="W1062" s="8" t="n">
        <f aca="false">IF($K1062=1,COUNTIFS($N$5:$N$1517,"&gt;="&amp;N1062,$K$5:$K$1517,1)/COUNTIF($N$5:$N$1517,"&gt;="&amp;N1062),0)</f>
        <v>0</v>
      </c>
      <c r="X1062" s="8" t="n">
        <f aca="false">IF($K1062=1,COUNTIFS($O$5:$O$1517,"&gt;="&amp;O1062,$K$5:$K$1517,1)/COUNTIF($O$5:$O$1517,"&gt;="&amp;O1062),0)</f>
        <v>0</v>
      </c>
      <c r="Y1062" s="8" t="n">
        <f aca="false">IF($K1062=1,COUNTIFS($P$5:$P$1517,"&gt;="&amp;P1062,$K$5:$K$1517,1)/COUNTIF($P$5:$P$1517,"&gt;="&amp;P1062),0)</f>
        <v>0</v>
      </c>
      <c r="Z1062" s="8" t="n">
        <f aca="false">(L1062-$K1062)^2</f>
        <v>0.073177283169</v>
      </c>
      <c r="AA1062" s="8" t="n">
        <f aca="false">(M1062-$K1062)^2</f>
        <v>0.008475595969</v>
      </c>
      <c r="AB1062" s="8" t="n">
        <f aca="false">(N1062-$K1062)^2</f>
        <v>0.0019554084</v>
      </c>
      <c r="AC1062" s="8" t="n">
        <f aca="false">(O1062-$K1062)^2</f>
        <v>0.011274829489</v>
      </c>
      <c r="AD1062" s="8" t="n">
        <f aca="false">(P1062-$K1062)^2</f>
        <v>0.002042316864</v>
      </c>
      <c r="AE1062" s="8" t="n">
        <f aca="false">MIN(INT(ROUND(N1062*1000000,0)/100000),9)</f>
        <v>0</v>
      </c>
      <c r="AF1062" s="8" t="n">
        <f aca="false">MIN(INT(ROUND(P1062*1000000,0)/100000),9)</f>
        <v>0</v>
      </c>
    </row>
    <row r="1063" customFormat="false" ht="15" hidden="false" customHeight="false" outlineLevel="0" collapsed="false">
      <c r="A1063" s="4" t="n">
        <v>1059</v>
      </c>
      <c r="B1063" s="4" t="n">
        <v>1548</v>
      </c>
      <c r="C1063" s="4" t="n">
        <v>2</v>
      </c>
      <c r="D1063" s="11" t="n">
        <v>46113</v>
      </c>
      <c r="E1063" s="4" t="s">
        <v>202</v>
      </c>
      <c r="F1063" s="4" t="s">
        <v>208</v>
      </c>
      <c r="G1063" s="4" t="n">
        <v>9</v>
      </c>
      <c r="H1063" s="4" t="n">
        <v>5</v>
      </c>
      <c r="I1063" s="4" t="n">
        <v>0</v>
      </c>
      <c r="J1063" s="4" t="n">
        <v>1614</v>
      </c>
      <c r="K1063" s="4" t="n">
        <v>0</v>
      </c>
      <c r="L1063" s="12" t="n">
        <v>0.227481</v>
      </c>
      <c r="M1063" s="12" t="n">
        <v>0.092063</v>
      </c>
      <c r="N1063" s="12" t="n">
        <v>0.074555</v>
      </c>
      <c r="O1063" s="12" t="n">
        <v>0.106183</v>
      </c>
      <c r="P1063" s="12" t="n">
        <v>0.078017</v>
      </c>
      <c r="Q1063" s="0" t="str">
        <f aca="false">IF(L1063&gt;=Models!$G$5,1+COUNTIF($L$5:$L$1517,"&gt;"&amp;L1063)+COUNTIFS($L$5:$L$1517,L1063,$B$5:$B$1517,"&lt;"&amp;B1063)+COUNTIFS($L$5:$L$1517,L1063,$B$5:$B$1517,B1063,$C$5:$C$1517,"&lt;"&amp;C1063),"")</f>
        <v/>
      </c>
      <c r="R1063" s="0" t="str">
        <f aca="false">IF(M1063&gt;=Models!$G$6,1+COUNTIF($M$5:$M$1517,"&gt;"&amp;M1063)+COUNTIFS($M$5:$M$1517,M1063,$B$5:$B$1517,"&lt;"&amp;B1063)+COUNTIFS($M$5:$M$1517,M1063,$B$5:$B$1517,B1063,$C$5:$C$1517,"&lt;"&amp;C1063),"")</f>
        <v/>
      </c>
      <c r="S1063" s="0" t="str">
        <f aca="false">IF(N1063&gt;=Models!$G$7,1+COUNTIF($N$5:$N$1517,"&gt;"&amp;N1063)+COUNTIFS($N$5:$N$1517,N1063,$B$5:$B$1517,"&lt;"&amp;B1063)+COUNTIFS($N$5:$N$1517,N1063,$B$5:$B$1517,B1063,$C$5:$C$1517,"&lt;"&amp;C1063),"")</f>
        <v/>
      </c>
      <c r="T1063" s="8" t="n">
        <f aca="false">IF(O1063&gt;=Models!$G$8,1+COUNTIF($O$5:$O$1517,"&gt;"&amp;O1063)+COUNTIFS($O$5:$O$1517,O1063,$B$5:$B$1517,"&lt;"&amp;B1063)+COUNTIFS($O$5:$O$1517,O1063,$B$5:$B$1517,B1063,$C$5:$C$1517,"&lt;"&amp;C1063),"")</f>
        <v>1312</v>
      </c>
      <c r="U1063" s="8" t="n">
        <f aca="false">IF($K1063=1,COUNTIFS($L$5:$L$1517,"&gt;="&amp;L1063,$K$5:$K$1517,1)/COUNTIF($L$5:$L$1517,"&gt;="&amp;L1063),0)</f>
        <v>0</v>
      </c>
      <c r="V1063" s="8" t="n">
        <f aca="false">IF($K1063=1,COUNTIFS($M$5:$M$1517,"&gt;="&amp;M1063,$K$5:$K$1517,1)/COUNTIF($M$5:$M$1517,"&gt;="&amp;M1063),0)</f>
        <v>0</v>
      </c>
      <c r="W1063" s="8" t="n">
        <f aca="false">IF($K1063=1,COUNTIFS($N$5:$N$1517,"&gt;="&amp;N1063,$K$5:$K$1517,1)/COUNTIF($N$5:$N$1517,"&gt;="&amp;N1063),0)</f>
        <v>0</v>
      </c>
      <c r="X1063" s="8" t="n">
        <f aca="false">IF($K1063=1,COUNTIFS($O$5:$O$1517,"&gt;="&amp;O1063,$K$5:$K$1517,1)/COUNTIF($O$5:$O$1517,"&gt;="&amp;O1063),0)</f>
        <v>0</v>
      </c>
      <c r="Y1063" s="8" t="n">
        <f aca="false">IF($K1063=1,COUNTIFS($P$5:$P$1517,"&gt;="&amp;P1063,$K$5:$K$1517,1)/COUNTIF($P$5:$P$1517,"&gt;="&amp;P1063),0)</f>
        <v>0</v>
      </c>
      <c r="Z1063" s="8" t="n">
        <f aca="false">(L1063-$K1063)^2</f>
        <v>0.051747605361</v>
      </c>
      <c r="AA1063" s="8" t="n">
        <f aca="false">(M1063-$K1063)^2</f>
        <v>0.008475595969</v>
      </c>
      <c r="AB1063" s="8" t="n">
        <f aca="false">(N1063-$K1063)^2</f>
        <v>0.005558448025</v>
      </c>
      <c r="AC1063" s="8" t="n">
        <f aca="false">(O1063-$K1063)^2</f>
        <v>0.011274829489</v>
      </c>
      <c r="AD1063" s="8" t="n">
        <f aca="false">(P1063-$K1063)^2</f>
        <v>0.006086652289</v>
      </c>
      <c r="AE1063" s="8" t="n">
        <f aca="false">MIN(INT(ROUND(N1063*1000000,0)/100000),9)</f>
        <v>0</v>
      </c>
      <c r="AF1063" s="8" t="n">
        <f aca="false">MIN(INT(ROUND(P1063*1000000,0)/100000),9)</f>
        <v>0</v>
      </c>
    </row>
    <row r="1064" customFormat="false" ht="15" hidden="false" customHeight="false" outlineLevel="0" collapsed="false">
      <c r="A1064" s="4" t="n">
        <v>1060</v>
      </c>
      <c r="B1064" s="4" t="n">
        <v>1552</v>
      </c>
      <c r="C1064" s="4" t="n">
        <v>2</v>
      </c>
      <c r="D1064" s="11" t="n">
        <v>46113</v>
      </c>
      <c r="E1064" s="4" t="s">
        <v>202</v>
      </c>
      <c r="F1064" s="4" t="s">
        <v>206</v>
      </c>
      <c r="G1064" s="4" t="n">
        <v>4</v>
      </c>
      <c r="H1064" s="4" t="n">
        <v>1</v>
      </c>
      <c r="I1064" s="4" t="n">
        <v>0</v>
      </c>
      <c r="J1064" s="4" t="n">
        <v>1197</v>
      </c>
      <c r="K1064" s="4" t="n">
        <v>0</v>
      </c>
      <c r="L1064" s="12" t="n">
        <v>0.958538</v>
      </c>
      <c r="M1064" s="12" t="n">
        <v>0.092063</v>
      </c>
      <c r="N1064" s="12" t="n">
        <v>0.111318</v>
      </c>
      <c r="O1064" s="12" t="n">
        <v>0.106183</v>
      </c>
      <c r="P1064" s="12" t="n">
        <v>0.118448</v>
      </c>
      <c r="Q1064" s="0" t="str">
        <f aca="false">IF(L1064&gt;=Models!$G$5,1+COUNTIF($L$5:$L$1517,"&gt;"&amp;L1064)+COUNTIFS($L$5:$L$1517,L1064,$B$5:$B$1517,"&lt;"&amp;B1064)+COUNTIFS($L$5:$L$1517,L1064,$B$5:$B$1517,B1064,$C$5:$C$1517,"&lt;"&amp;C1064),"")</f>
        <v/>
      </c>
      <c r="R1064" s="0" t="str">
        <f aca="false">IF(M1064&gt;=Models!$G$6,1+COUNTIF($M$5:$M$1517,"&gt;"&amp;M1064)+COUNTIFS($M$5:$M$1517,M1064,$B$5:$B$1517,"&lt;"&amp;B1064)+COUNTIFS($M$5:$M$1517,M1064,$B$5:$B$1517,B1064,$C$5:$C$1517,"&lt;"&amp;C1064),"")</f>
        <v/>
      </c>
      <c r="S1064" s="0" t="str">
        <f aca="false">IF(N1064&gt;=Models!$G$7,1+COUNTIF($N$5:$N$1517,"&gt;"&amp;N1064)+COUNTIFS($N$5:$N$1517,N1064,$B$5:$B$1517,"&lt;"&amp;B1064)+COUNTIFS($N$5:$N$1517,N1064,$B$5:$B$1517,B1064,$C$5:$C$1517,"&lt;"&amp;C1064),"")</f>
        <v/>
      </c>
      <c r="T1064" s="8" t="n">
        <f aca="false">IF(O1064&gt;=Models!$G$8,1+COUNTIF($O$5:$O$1517,"&gt;"&amp;O1064)+COUNTIFS($O$5:$O$1517,O1064,$B$5:$B$1517,"&lt;"&amp;B1064)+COUNTIFS($O$5:$O$1517,O1064,$B$5:$B$1517,B1064,$C$5:$C$1517,"&lt;"&amp;C1064),"")</f>
        <v>1316</v>
      </c>
      <c r="U1064" s="8" t="n">
        <f aca="false">IF($K1064=1,COUNTIFS($L$5:$L$1517,"&gt;="&amp;L1064,$K$5:$K$1517,1)/COUNTIF($L$5:$L$1517,"&gt;="&amp;L1064),0)</f>
        <v>0</v>
      </c>
      <c r="V1064" s="8" t="n">
        <f aca="false">IF($K1064=1,COUNTIFS($M$5:$M$1517,"&gt;="&amp;M1064,$K$5:$K$1517,1)/COUNTIF($M$5:$M$1517,"&gt;="&amp;M1064),0)</f>
        <v>0</v>
      </c>
      <c r="W1064" s="8" t="n">
        <f aca="false">IF($K1064=1,COUNTIFS($N$5:$N$1517,"&gt;="&amp;N1064,$K$5:$K$1517,1)/COUNTIF($N$5:$N$1517,"&gt;="&amp;N1064),0)</f>
        <v>0</v>
      </c>
      <c r="X1064" s="8" t="n">
        <f aca="false">IF($K1064=1,COUNTIFS($O$5:$O$1517,"&gt;="&amp;O1064,$K$5:$K$1517,1)/COUNTIF($O$5:$O$1517,"&gt;="&amp;O1064),0)</f>
        <v>0</v>
      </c>
      <c r="Y1064" s="8" t="n">
        <f aca="false">IF($K1064=1,COUNTIFS($P$5:$P$1517,"&gt;="&amp;P1064,$K$5:$K$1517,1)/COUNTIF($P$5:$P$1517,"&gt;="&amp;P1064),0)</f>
        <v>0</v>
      </c>
      <c r="Z1064" s="8" t="n">
        <f aca="false">(L1064-$K1064)^2</f>
        <v>0.918795097444</v>
      </c>
      <c r="AA1064" s="8" t="n">
        <f aca="false">(M1064-$K1064)^2</f>
        <v>0.008475595969</v>
      </c>
      <c r="AB1064" s="8" t="n">
        <f aca="false">(N1064-$K1064)^2</f>
        <v>0.012391697124</v>
      </c>
      <c r="AC1064" s="8" t="n">
        <f aca="false">(O1064-$K1064)^2</f>
        <v>0.011274829489</v>
      </c>
      <c r="AD1064" s="8" t="n">
        <f aca="false">(P1064-$K1064)^2</f>
        <v>0.014029928704</v>
      </c>
      <c r="AE1064" s="8" t="n">
        <f aca="false">MIN(INT(ROUND(N1064*1000000,0)/100000),9)</f>
        <v>1</v>
      </c>
      <c r="AF1064" s="8" t="n">
        <f aca="false">MIN(INT(ROUND(P1064*1000000,0)/100000),9)</f>
        <v>1</v>
      </c>
    </row>
    <row r="1065" customFormat="false" ht="15" hidden="false" customHeight="false" outlineLevel="0" collapsed="false">
      <c r="A1065" s="4" t="n">
        <v>1061</v>
      </c>
      <c r="B1065" s="4" t="n">
        <v>1553</v>
      </c>
      <c r="C1065" s="4" t="n">
        <v>2</v>
      </c>
      <c r="D1065" s="11" t="n">
        <v>46113</v>
      </c>
      <c r="E1065" s="4" t="s">
        <v>202</v>
      </c>
      <c r="F1065" s="4" t="s">
        <v>206</v>
      </c>
      <c r="G1065" s="4" t="n">
        <v>10</v>
      </c>
      <c r="H1065" s="4" t="n">
        <v>0</v>
      </c>
      <c r="I1065" s="4" t="n">
        <v>0</v>
      </c>
      <c r="J1065" s="4"/>
      <c r="K1065" s="4" t="n">
        <v>0</v>
      </c>
      <c r="L1065" s="12" t="n">
        <v>0.996296</v>
      </c>
      <c r="M1065" s="12" t="n">
        <v>0.092063</v>
      </c>
      <c r="N1065" s="12" t="n">
        <v>0.035137</v>
      </c>
      <c r="O1065" s="12" t="n">
        <v>0.106183</v>
      </c>
      <c r="P1065" s="12" t="n">
        <v>0.035524</v>
      </c>
      <c r="Q1065" s="8" t="n">
        <f aca="false">IF(L1065&gt;=Models!$G$5,1+COUNTIF($L$5:$L$1517,"&gt;"&amp;L1065)+COUNTIFS($L$5:$L$1517,L1065,$B$5:$B$1517,"&lt;"&amp;B1065)+COUNTIFS($L$5:$L$1517,L1065,$B$5:$B$1517,B1065,$C$5:$C$1517,"&lt;"&amp;C1065),"")</f>
        <v>4</v>
      </c>
      <c r="R1065" s="0" t="str">
        <f aca="false">IF(M1065&gt;=Models!$G$6,1+COUNTIF($M$5:$M$1517,"&gt;"&amp;M1065)+COUNTIFS($M$5:$M$1517,M1065,$B$5:$B$1517,"&lt;"&amp;B1065)+COUNTIFS($M$5:$M$1517,M1065,$B$5:$B$1517,B1065,$C$5:$C$1517,"&lt;"&amp;C1065),"")</f>
        <v/>
      </c>
      <c r="S1065" s="0" t="str">
        <f aca="false">IF(N1065&gt;=Models!$G$7,1+COUNTIF($N$5:$N$1517,"&gt;"&amp;N1065)+COUNTIFS($N$5:$N$1517,N1065,$B$5:$B$1517,"&lt;"&amp;B1065)+COUNTIFS($N$5:$N$1517,N1065,$B$5:$B$1517,B1065,$C$5:$C$1517,"&lt;"&amp;C1065),"")</f>
        <v/>
      </c>
      <c r="T1065" s="8" t="n">
        <f aca="false">IF(O1065&gt;=Models!$G$8,1+COUNTIF($O$5:$O$1517,"&gt;"&amp;O1065)+COUNTIFS($O$5:$O$1517,O1065,$B$5:$B$1517,"&lt;"&amp;B1065)+COUNTIFS($O$5:$O$1517,O1065,$B$5:$B$1517,B1065,$C$5:$C$1517,"&lt;"&amp;C1065),"")</f>
        <v>1320</v>
      </c>
      <c r="U1065" s="8" t="n">
        <f aca="false">IF($K1065=1,COUNTIFS($L$5:$L$1517,"&gt;="&amp;L1065,$K$5:$K$1517,1)/COUNTIF($L$5:$L$1517,"&gt;="&amp;L1065),0)</f>
        <v>0</v>
      </c>
      <c r="V1065" s="8" t="n">
        <f aca="false">IF($K1065=1,COUNTIFS($M$5:$M$1517,"&gt;="&amp;M1065,$K$5:$K$1517,1)/COUNTIF($M$5:$M$1517,"&gt;="&amp;M1065),0)</f>
        <v>0</v>
      </c>
      <c r="W1065" s="8" t="n">
        <f aca="false">IF($K1065=1,COUNTIFS($N$5:$N$1517,"&gt;="&amp;N1065,$K$5:$K$1517,1)/COUNTIF($N$5:$N$1517,"&gt;="&amp;N1065),0)</f>
        <v>0</v>
      </c>
      <c r="X1065" s="8" t="n">
        <f aca="false">IF($K1065=1,COUNTIFS($O$5:$O$1517,"&gt;="&amp;O1065,$K$5:$K$1517,1)/COUNTIF($O$5:$O$1517,"&gt;="&amp;O1065),0)</f>
        <v>0</v>
      </c>
      <c r="Y1065" s="8" t="n">
        <f aca="false">IF($K1065=1,COUNTIFS($P$5:$P$1517,"&gt;="&amp;P1065,$K$5:$K$1517,1)/COUNTIF($P$5:$P$1517,"&gt;="&amp;P1065),0)</f>
        <v>0</v>
      </c>
      <c r="Z1065" s="8" t="n">
        <f aca="false">(L1065-$K1065)^2</f>
        <v>0.992605719616</v>
      </c>
      <c r="AA1065" s="8" t="n">
        <f aca="false">(M1065-$K1065)^2</f>
        <v>0.008475595969</v>
      </c>
      <c r="AB1065" s="8" t="n">
        <f aca="false">(N1065-$K1065)^2</f>
        <v>0.001234608769</v>
      </c>
      <c r="AC1065" s="8" t="n">
        <f aca="false">(O1065-$K1065)^2</f>
        <v>0.011274829489</v>
      </c>
      <c r="AD1065" s="8" t="n">
        <f aca="false">(P1065-$K1065)^2</f>
        <v>0.001261954576</v>
      </c>
      <c r="AE1065" s="8" t="n">
        <f aca="false">MIN(INT(ROUND(N1065*1000000,0)/100000),9)</f>
        <v>0</v>
      </c>
      <c r="AF1065" s="8" t="n">
        <f aca="false">MIN(INT(ROUND(P1065*1000000,0)/100000),9)</f>
        <v>0</v>
      </c>
    </row>
    <row r="1066" customFormat="false" ht="15" hidden="false" customHeight="false" outlineLevel="0" collapsed="false">
      <c r="A1066" s="4" t="n">
        <v>1062</v>
      </c>
      <c r="B1066" s="4" t="n">
        <v>1556</v>
      </c>
      <c r="C1066" s="4" t="n">
        <v>2</v>
      </c>
      <c r="D1066" s="11" t="n">
        <v>46113</v>
      </c>
      <c r="E1066" s="4" t="s">
        <v>202</v>
      </c>
      <c r="F1066" s="4" t="s">
        <v>209</v>
      </c>
      <c r="G1066" s="4" t="n">
        <v>5</v>
      </c>
      <c r="H1066" s="4" t="n">
        <v>5</v>
      </c>
      <c r="I1066" s="4" t="n">
        <v>0</v>
      </c>
      <c r="J1066" s="4" t="n">
        <v>1455</v>
      </c>
      <c r="K1066" s="4" t="n">
        <v>0</v>
      </c>
      <c r="L1066" s="12" t="n">
        <v>0.013311</v>
      </c>
      <c r="M1066" s="12" t="n">
        <v>0.092063</v>
      </c>
      <c r="N1066" s="12" t="n">
        <v>0.104374</v>
      </c>
      <c r="O1066" s="12" t="n">
        <v>0.106183</v>
      </c>
      <c r="P1066" s="12" t="n">
        <v>0.110776</v>
      </c>
      <c r="Q1066" s="0" t="str">
        <f aca="false">IF(L1066&gt;=Models!$G$5,1+COUNTIF($L$5:$L$1517,"&gt;"&amp;L1066)+COUNTIFS($L$5:$L$1517,L1066,$B$5:$B$1517,"&lt;"&amp;B1066)+COUNTIFS($L$5:$L$1517,L1066,$B$5:$B$1517,B1066,$C$5:$C$1517,"&lt;"&amp;C1066),"")</f>
        <v/>
      </c>
      <c r="R1066" s="0" t="str">
        <f aca="false">IF(M1066&gt;=Models!$G$6,1+COUNTIF($M$5:$M$1517,"&gt;"&amp;M1066)+COUNTIFS($M$5:$M$1517,M1066,$B$5:$B$1517,"&lt;"&amp;B1066)+COUNTIFS($M$5:$M$1517,M1066,$B$5:$B$1517,B1066,$C$5:$C$1517,"&lt;"&amp;C1066),"")</f>
        <v/>
      </c>
      <c r="S1066" s="0" t="str">
        <f aca="false">IF(N1066&gt;=Models!$G$7,1+COUNTIF($N$5:$N$1517,"&gt;"&amp;N1066)+COUNTIFS($N$5:$N$1517,N1066,$B$5:$B$1517,"&lt;"&amp;B1066)+COUNTIFS($N$5:$N$1517,N1066,$B$5:$B$1517,B1066,$C$5:$C$1517,"&lt;"&amp;C1066),"")</f>
        <v/>
      </c>
      <c r="T1066" s="8" t="n">
        <f aca="false">IF(O1066&gt;=Models!$G$8,1+COUNTIF($O$5:$O$1517,"&gt;"&amp;O1066)+COUNTIFS($O$5:$O$1517,O1066,$B$5:$B$1517,"&lt;"&amp;B1066)+COUNTIFS($O$5:$O$1517,O1066,$B$5:$B$1517,B1066,$C$5:$C$1517,"&lt;"&amp;C1066),"")</f>
        <v>1324</v>
      </c>
      <c r="U1066" s="8" t="n">
        <f aca="false">IF($K1066=1,COUNTIFS($L$5:$L$1517,"&gt;="&amp;L1066,$K$5:$K$1517,1)/COUNTIF($L$5:$L$1517,"&gt;="&amp;L1066),0)</f>
        <v>0</v>
      </c>
      <c r="V1066" s="8" t="n">
        <f aca="false">IF($K1066=1,COUNTIFS($M$5:$M$1517,"&gt;="&amp;M1066,$K$5:$K$1517,1)/COUNTIF($M$5:$M$1517,"&gt;="&amp;M1066),0)</f>
        <v>0</v>
      </c>
      <c r="W1066" s="8" t="n">
        <f aca="false">IF($K1066=1,COUNTIFS($N$5:$N$1517,"&gt;="&amp;N1066,$K$5:$K$1517,1)/COUNTIF($N$5:$N$1517,"&gt;="&amp;N1066),0)</f>
        <v>0</v>
      </c>
      <c r="X1066" s="8" t="n">
        <f aca="false">IF($K1066=1,COUNTIFS($O$5:$O$1517,"&gt;="&amp;O1066,$K$5:$K$1517,1)/COUNTIF($O$5:$O$1517,"&gt;="&amp;O1066),0)</f>
        <v>0</v>
      </c>
      <c r="Y1066" s="8" t="n">
        <f aca="false">IF($K1066=1,COUNTIFS($P$5:$P$1517,"&gt;="&amp;P1066,$K$5:$K$1517,1)/COUNTIF($P$5:$P$1517,"&gt;="&amp;P1066),0)</f>
        <v>0</v>
      </c>
      <c r="Z1066" s="8" t="n">
        <f aca="false">(L1066-$K1066)^2</f>
        <v>0.000177182721</v>
      </c>
      <c r="AA1066" s="8" t="n">
        <f aca="false">(M1066-$K1066)^2</f>
        <v>0.008475595969</v>
      </c>
      <c r="AB1066" s="8" t="n">
        <f aca="false">(N1066-$K1066)^2</f>
        <v>0.010893931876</v>
      </c>
      <c r="AC1066" s="8" t="n">
        <f aca="false">(O1066-$K1066)^2</f>
        <v>0.011274829489</v>
      </c>
      <c r="AD1066" s="8" t="n">
        <f aca="false">(P1066-$K1066)^2</f>
        <v>0.012271322176</v>
      </c>
      <c r="AE1066" s="8" t="n">
        <f aca="false">MIN(INT(ROUND(N1066*1000000,0)/100000),9)</f>
        <v>1</v>
      </c>
      <c r="AF1066" s="8" t="n">
        <f aca="false">MIN(INT(ROUND(P1066*1000000,0)/100000),9)</f>
        <v>1</v>
      </c>
    </row>
    <row r="1067" customFormat="false" ht="15" hidden="false" customHeight="false" outlineLevel="0" collapsed="false">
      <c r="A1067" s="4" t="n">
        <v>1063</v>
      </c>
      <c r="B1067" s="4" t="n">
        <v>1558</v>
      </c>
      <c r="C1067" s="4" t="n">
        <v>2</v>
      </c>
      <c r="D1067" s="11" t="n">
        <v>46113</v>
      </c>
      <c r="E1067" s="4" t="s">
        <v>203</v>
      </c>
      <c r="F1067" s="4" t="s">
        <v>208</v>
      </c>
      <c r="G1067" s="4" t="n">
        <v>2</v>
      </c>
      <c r="H1067" s="4" t="n">
        <v>6</v>
      </c>
      <c r="I1067" s="4" t="n">
        <v>0</v>
      </c>
      <c r="J1067" s="4"/>
      <c r="K1067" s="4" t="n">
        <v>0</v>
      </c>
      <c r="L1067" s="12" t="n">
        <v>0.266366</v>
      </c>
      <c r="M1067" s="12" t="n">
        <v>0.092063</v>
      </c>
      <c r="N1067" s="12" t="n">
        <v>0.072856</v>
      </c>
      <c r="O1067" s="12" t="n">
        <v>0.106183</v>
      </c>
      <c r="P1067" s="12" t="n">
        <v>0.076162</v>
      </c>
      <c r="Q1067" s="0" t="str">
        <f aca="false">IF(L1067&gt;=Models!$G$5,1+COUNTIF($L$5:$L$1517,"&gt;"&amp;L1067)+COUNTIFS($L$5:$L$1517,L1067,$B$5:$B$1517,"&lt;"&amp;B1067)+COUNTIFS($L$5:$L$1517,L1067,$B$5:$B$1517,B1067,$C$5:$C$1517,"&lt;"&amp;C1067),"")</f>
        <v/>
      </c>
      <c r="R1067" s="0" t="str">
        <f aca="false">IF(M1067&gt;=Models!$G$6,1+COUNTIF($M$5:$M$1517,"&gt;"&amp;M1067)+COUNTIFS($M$5:$M$1517,M1067,$B$5:$B$1517,"&lt;"&amp;B1067)+COUNTIFS($M$5:$M$1517,M1067,$B$5:$B$1517,B1067,$C$5:$C$1517,"&lt;"&amp;C1067),"")</f>
        <v/>
      </c>
      <c r="S1067" s="0" t="str">
        <f aca="false">IF(N1067&gt;=Models!$G$7,1+COUNTIF($N$5:$N$1517,"&gt;"&amp;N1067)+COUNTIFS($N$5:$N$1517,N1067,$B$5:$B$1517,"&lt;"&amp;B1067)+COUNTIFS($N$5:$N$1517,N1067,$B$5:$B$1517,B1067,$C$5:$C$1517,"&lt;"&amp;C1067),"")</f>
        <v/>
      </c>
      <c r="T1067" s="8" t="n">
        <f aca="false">IF(O1067&gt;=Models!$G$8,1+COUNTIF($O$5:$O$1517,"&gt;"&amp;O1067)+COUNTIFS($O$5:$O$1517,O1067,$B$5:$B$1517,"&lt;"&amp;B1067)+COUNTIFS($O$5:$O$1517,O1067,$B$5:$B$1517,B1067,$C$5:$C$1517,"&lt;"&amp;C1067),"")</f>
        <v>1328</v>
      </c>
      <c r="U1067" s="8" t="n">
        <f aca="false">IF($K1067=1,COUNTIFS($L$5:$L$1517,"&gt;="&amp;L1067,$K$5:$K$1517,1)/COUNTIF($L$5:$L$1517,"&gt;="&amp;L1067),0)</f>
        <v>0</v>
      </c>
      <c r="V1067" s="8" t="n">
        <f aca="false">IF($K1067=1,COUNTIFS($M$5:$M$1517,"&gt;="&amp;M1067,$K$5:$K$1517,1)/COUNTIF($M$5:$M$1517,"&gt;="&amp;M1067),0)</f>
        <v>0</v>
      </c>
      <c r="W1067" s="8" t="n">
        <f aca="false">IF($K1067=1,COUNTIFS($N$5:$N$1517,"&gt;="&amp;N1067,$K$5:$K$1517,1)/COUNTIF($N$5:$N$1517,"&gt;="&amp;N1067),0)</f>
        <v>0</v>
      </c>
      <c r="X1067" s="8" t="n">
        <f aca="false">IF($K1067=1,COUNTIFS($O$5:$O$1517,"&gt;="&amp;O1067,$K$5:$K$1517,1)/COUNTIF($O$5:$O$1517,"&gt;="&amp;O1067),0)</f>
        <v>0</v>
      </c>
      <c r="Y1067" s="8" t="n">
        <f aca="false">IF($K1067=1,COUNTIFS($P$5:$P$1517,"&gt;="&amp;P1067,$K$5:$K$1517,1)/COUNTIF($P$5:$P$1517,"&gt;="&amp;P1067),0)</f>
        <v>0</v>
      </c>
      <c r="Z1067" s="8" t="n">
        <f aca="false">(L1067-$K1067)^2</f>
        <v>0.070950845956</v>
      </c>
      <c r="AA1067" s="8" t="n">
        <f aca="false">(M1067-$K1067)^2</f>
        <v>0.008475595969</v>
      </c>
      <c r="AB1067" s="8" t="n">
        <f aca="false">(N1067-$K1067)^2</f>
        <v>0.005307996736</v>
      </c>
      <c r="AC1067" s="8" t="n">
        <f aca="false">(O1067-$K1067)^2</f>
        <v>0.011274829489</v>
      </c>
      <c r="AD1067" s="8" t="n">
        <f aca="false">(P1067-$K1067)^2</f>
        <v>0.005800650244</v>
      </c>
      <c r="AE1067" s="8" t="n">
        <f aca="false">MIN(INT(ROUND(N1067*1000000,0)/100000),9)</f>
        <v>0</v>
      </c>
      <c r="AF1067" s="8" t="n">
        <f aca="false">MIN(INT(ROUND(P1067*1000000,0)/100000),9)</f>
        <v>0</v>
      </c>
    </row>
    <row r="1068" customFormat="false" ht="15" hidden="false" customHeight="false" outlineLevel="0" collapsed="false">
      <c r="A1068" s="4" t="n">
        <v>1064</v>
      </c>
      <c r="B1068" s="4" t="n">
        <v>1563</v>
      </c>
      <c r="C1068" s="4" t="n">
        <v>2</v>
      </c>
      <c r="D1068" s="11" t="n">
        <v>46113</v>
      </c>
      <c r="E1068" s="4" t="s">
        <v>204</v>
      </c>
      <c r="F1068" s="4" t="s">
        <v>206</v>
      </c>
      <c r="G1068" s="4" t="n">
        <v>0</v>
      </c>
      <c r="H1068" s="4" t="n">
        <v>65</v>
      </c>
      <c r="I1068" s="4" t="n">
        <v>0</v>
      </c>
      <c r="J1068" s="4" t="n">
        <v>72</v>
      </c>
      <c r="K1068" s="4" t="n">
        <v>1</v>
      </c>
      <c r="L1068" s="12" t="n">
        <v>0.097227</v>
      </c>
      <c r="M1068" s="12" t="n">
        <v>0.184211</v>
      </c>
      <c r="N1068" s="12" t="n">
        <v>0.244607</v>
      </c>
      <c r="O1068" s="12" t="n">
        <v>0.106183</v>
      </c>
      <c r="P1068" s="12" t="n">
        <v>0.266536</v>
      </c>
      <c r="Q1068" s="0" t="str">
        <f aca="false">IF(L1068&gt;=Models!$G$5,1+COUNTIF($L$5:$L$1517,"&gt;"&amp;L1068)+COUNTIFS($L$5:$L$1517,L1068,$B$5:$B$1517,"&lt;"&amp;B1068)+COUNTIFS($L$5:$L$1517,L1068,$B$5:$B$1517,B1068,$C$5:$C$1517,"&lt;"&amp;C1068),"")</f>
        <v/>
      </c>
      <c r="R1068" s="8" t="n">
        <f aca="false">IF(M1068&gt;=Models!$G$6,1+COUNTIF($M$5:$M$1517,"&gt;"&amp;M1068)+COUNTIFS($M$5:$M$1517,M1068,$B$5:$B$1517,"&lt;"&amp;B1068)+COUNTIFS($M$5:$M$1517,M1068,$B$5:$B$1517,B1068,$C$5:$C$1517,"&lt;"&amp;C1068),"")</f>
        <v>167</v>
      </c>
      <c r="S1068" s="8" t="n">
        <f aca="false">IF(N1068&gt;=Models!$G$7,1+COUNTIF($N$5:$N$1517,"&gt;"&amp;N1068)+COUNTIFS($N$5:$N$1517,N1068,$B$5:$B$1517,"&lt;"&amp;B1068)+COUNTIFS($N$5:$N$1517,N1068,$B$5:$B$1517,B1068,$C$5:$C$1517,"&lt;"&amp;C1068),"")</f>
        <v>23</v>
      </c>
      <c r="T1068" s="8" t="n">
        <f aca="false">IF(O1068&gt;=Models!$G$8,1+COUNTIF($O$5:$O$1517,"&gt;"&amp;O1068)+COUNTIFS($O$5:$O$1517,O1068,$B$5:$B$1517,"&lt;"&amp;B1068)+COUNTIFS($O$5:$O$1517,O1068,$B$5:$B$1517,B1068,$C$5:$C$1517,"&lt;"&amp;C1068),"")</f>
        <v>1332</v>
      </c>
      <c r="U1068" s="8" t="n">
        <f aca="false">IF($K1068=1,COUNTIFS($L$5:$L$1517,"&gt;="&amp;L1068,$K$5:$K$1517,1)/COUNTIF($L$5:$L$1517,"&gt;="&amp;L1068),0)</f>
        <v>0.123985239852399</v>
      </c>
      <c r="V1068" s="8" t="n">
        <f aca="false">IF($K1068=1,COUNTIFS($M$5:$M$1517,"&gt;="&amp;M1068,$K$5:$K$1517,1)/COUNTIF($M$5:$M$1517,"&gt;="&amp;M1068),0)</f>
        <v>0.186528497409326</v>
      </c>
      <c r="W1068" s="8" t="n">
        <f aca="false">IF($K1068=1,COUNTIFS($N$5:$N$1517,"&gt;="&amp;N1068,$K$5:$K$1517,1)/COUNTIF($N$5:$N$1517,"&gt;="&amp;N1068),0)</f>
        <v>0.347826086956522</v>
      </c>
      <c r="X1068" s="8" t="n">
        <f aca="false">IF($K1068=1,COUNTIFS($O$5:$O$1517,"&gt;="&amp;O1068,$K$5:$K$1517,1)/COUNTIF($O$5:$O$1517,"&gt;="&amp;O1068),0)</f>
        <v>0.12491738268341</v>
      </c>
      <c r="Y1068" s="8" t="n">
        <f aca="false">IF($K1068=1,COUNTIFS($P$5:$P$1517,"&gt;="&amp;P1068,$K$5:$K$1517,1)/COUNTIF($P$5:$P$1517,"&gt;="&amp;P1068),0)</f>
        <v>0.347826086956522</v>
      </c>
      <c r="Z1068" s="8" t="n">
        <f aca="false">(L1068-$K1068)^2</f>
        <v>0.814999089529</v>
      </c>
      <c r="AA1068" s="8" t="n">
        <f aca="false">(M1068-$K1068)^2</f>
        <v>0.665511692521</v>
      </c>
      <c r="AB1068" s="8" t="n">
        <f aca="false">(N1068-$K1068)^2</f>
        <v>0.570618584449</v>
      </c>
      <c r="AC1068" s="8" t="n">
        <f aca="false">(O1068-$K1068)^2</f>
        <v>0.798908829489</v>
      </c>
      <c r="AD1068" s="8" t="n">
        <f aca="false">(P1068-$K1068)^2</f>
        <v>0.537969439296</v>
      </c>
      <c r="AE1068" s="8" t="n">
        <f aca="false">MIN(INT(ROUND(N1068*1000000,0)/100000),9)</f>
        <v>2</v>
      </c>
      <c r="AF1068" s="8" t="n">
        <f aca="false">MIN(INT(ROUND(P1068*1000000,0)/100000),9)</f>
        <v>2</v>
      </c>
    </row>
    <row r="1069" customFormat="false" ht="15" hidden="false" customHeight="false" outlineLevel="0" collapsed="false">
      <c r="A1069" s="4" t="n">
        <v>1065</v>
      </c>
      <c r="B1069" s="4" t="n">
        <v>1564</v>
      </c>
      <c r="C1069" s="4" t="n">
        <v>2</v>
      </c>
      <c r="D1069" s="11" t="n">
        <v>46113</v>
      </c>
      <c r="E1069" s="4" t="s">
        <v>203</v>
      </c>
      <c r="F1069" s="4" t="s">
        <v>206</v>
      </c>
      <c r="G1069" s="4" t="n">
        <v>7</v>
      </c>
      <c r="H1069" s="4" t="n">
        <v>1</v>
      </c>
      <c r="I1069" s="4" t="n">
        <v>1</v>
      </c>
      <c r="J1069" s="4"/>
      <c r="K1069" s="4" t="n">
        <v>0</v>
      </c>
      <c r="L1069" s="12" t="n">
        <v>0.56014</v>
      </c>
      <c r="M1069" s="12" t="n">
        <v>0.184211</v>
      </c>
      <c r="N1069" s="12" t="n">
        <v>0.080281</v>
      </c>
      <c r="O1069" s="12" t="n">
        <v>0.106183</v>
      </c>
      <c r="P1069" s="12" t="n">
        <v>0.084279</v>
      </c>
      <c r="Q1069" s="0" t="str">
        <f aca="false">IF(L1069&gt;=Models!$G$5,1+COUNTIF($L$5:$L$1517,"&gt;"&amp;L1069)+COUNTIFS($L$5:$L$1517,L1069,$B$5:$B$1517,"&lt;"&amp;B1069)+COUNTIFS($L$5:$L$1517,L1069,$B$5:$B$1517,B1069,$C$5:$C$1517,"&lt;"&amp;C1069),"")</f>
        <v/>
      </c>
      <c r="R1069" s="8" t="n">
        <f aca="false">IF(M1069&gt;=Models!$G$6,1+COUNTIF($M$5:$M$1517,"&gt;"&amp;M1069)+COUNTIFS($M$5:$M$1517,M1069,$B$5:$B$1517,"&lt;"&amp;B1069)+COUNTIFS($M$5:$M$1517,M1069,$B$5:$B$1517,B1069,$C$5:$C$1517,"&lt;"&amp;C1069),"")</f>
        <v>170</v>
      </c>
      <c r="S1069" s="0" t="str">
        <f aca="false">IF(N1069&gt;=Models!$G$7,1+COUNTIF($N$5:$N$1517,"&gt;"&amp;N1069)+COUNTIFS($N$5:$N$1517,N1069,$B$5:$B$1517,"&lt;"&amp;B1069)+COUNTIFS($N$5:$N$1517,N1069,$B$5:$B$1517,B1069,$C$5:$C$1517,"&lt;"&amp;C1069),"")</f>
        <v/>
      </c>
      <c r="T1069" s="8" t="n">
        <f aca="false">IF(O1069&gt;=Models!$G$8,1+COUNTIF($O$5:$O$1517,"&gt;"&amp;O1069)+COUNTIFS($O$5:$O$1517,O1069,$B$5:$B$1517,"&lt;"&amp;B1069)+COUNTIFS($O$5:$O$1517,O1069,$B$5:$B$1517,B1069,$C$5:$C$1517,"&lt;"&amp;C1069),"")</f>
        <v>1336</v>
      </c>
      <c r="U1069" s="8" t="n">
        <f aca="false">IF($K1069=1,COUNTIFS($L$5:$L$1517,"&gt;="&amp;L1069,$K$5:$K$1517,1)/COUNTIF($L$5:$L$1517,"&gt;="&amp;L1069),0)</f>
        <v>0</v>
      </c>
      <c r="V1069" s="8" t="n">
        <f aca="false">IF($K1069=1,COUNTIFS($M$5:$M$1517,"&gt;="&amp;M1069,$K$5:$K$1517,1)/COUNTIF($M$5:$M$1517,"&gt;="&amp;M1069),0)</f>
        <v>0</v>
      </c>
      <c r="W1069" s="8" t="n">
        <f aca="false">IF($K1069=1,COUNTIFS($N$5:$N$1517,"&gt;="&amp;N1069,$K$5:$K$1517,1)/COUNTIF($N$5:$N$1517,"&gt;="&amp;N1069),0)</f>
        <v>0</v>
      </c>
      <c r="X1069" s="8" t="n">
        <f aca="false">IF($K1069=1,COUNTIFS($O$5:$O$1517,"&gt;="&amp;O1069,$K$5:$K$1517,1)/COUNTIF($O$5:$O$1517,"&gt;="&amp;O1069),0)</f>
        <v>0</v>
      </c>
      <c r="Y1069" s="8" t="n">
        <f aca="false">IF($K1069=1,COUNTIFS($P$5:$P$1517,"&gt;="&amp;P1069,$K$5:$K$1517,1)/COUNTIF($P$5:$P$1517,"&gt;="&amp;P1069),0)</f>
        <v>0</v>
      </c>
      <c r="Z1069" s="8" t="n">
        <f aca="false">(L1069-$K1069)^2</f>
        <v>0.3137568196</v>
      </c>
      <c r="AA1069" s="8" t="n">
        <f aca="false">(M1069-$K1069)^2</f>
        <v>0.033933692521</v>
      </c>
      <c r="AB1069" s="8" t="n">
        <f aca="false">(N1069-$K1069)^2</f>
        <v>0.006445038961</v>
      </c>
      <c r="AC1069" s="8" t="n">
        <f aca="false">(O1069-$K1069)^2</f>
        <v>0.011274829489</v>
      </c>
      <c r="AD1069" s="8" t="n">
        <f aca="false">(P1069-$K1069)^2</f>
        <v>0.007102949841</v>
      </c>
      <c r="AE1069" s="8" t="n">
        <f aca="false">MIN(INT(ROUND(N1069*1000000,0)/100000),9)</f>
        <v>0</v>
      </c>
      <c r="AF1069" s="8" t="n">
        <f aca="false">MIN(INT(ROUND(P1069*1000000,0)/100000),9)</f>
        <v>0</v>
      </c>
    </row>
    <row r="1070" customFormat="false" ht="15" hidden="false" customHeight="false" outlineLevel="0" collapsed="false">
      <c r="A1070" s="4" t="n">
        <v>1066</v>
      </c>
      <c r="B1070" s="4" t="n">
        <v>1567</v>
      </c>
      <c r="C1070" s="4" t="n">
        <v>2</v>
      </c>
      <c r="D1070" s="11" t="n">
        <v>46113</v>
      </c>
      <c r="E1070" s="4" t="s">
        <v>202</v>
      </c>
      <c r="F1070" s="4" t="s">
        <v>210</v>
      </c>
      <c r="G1070" s="4" t="n">
        <v>9</v>
      </c>
      <c r="H1070" s="4" t="n">
        <v>0</v>
      </c>
      <c r="I1070" s="4" t="n">
        <v>0</v>
      </c>
      <c r="J1070" s="4"/>
      <c r="K1070" s="4" t="n">
        <v>0</v>
      </c>
      <c r="L1070" s="12" t="n">
        <v>0.992508</v>
      </c>
      <c r="M1070" s="12" t="n">
        <v>0.092063</v>
      </c>
      <c r="N1070" s="12" t="n">
        <v>0.038318</v>
      </c>
      <c r="O1070" s="12" t="n">
        <v>0.106183</v>
      </c>
      <c r="P1070" s="12" t="n">
        <v>0.038899</v>
      </c>
      <c r="Q1070" s="8" t="n">
        <f aca="false">IF(L1070&gt;=Models!$G$5,1+COUNTIF($L$5:$L$1517,"&gt;"&amp;L1070)+COUNTIFS($L$5:$L$1517,L1070,$B$5:$B$1517,"&lt;"&amp;B1070)+COUNTIFS($L$5:$L$1517,L1070,$B$5:$B$1517,B1070,$C$5:$C$1517,"&lt;"&amp;C1070),"")</f>
        <v>12</v>
      </c>
      <c r="R1070" s="0" t="str">
        <f aca="false">IF(M1070&gt;=Models!$G$6,1+COUNTIF($M$5:$M$1517,"&gt;"&amp;M1070)+COUNTIFS($M$5:$M$1517,M1070,$B$5:$B$1517,"&lt;"&amp;B1070)+COUNTIFS($M$5:$M$1517,M1070,$B$5:$B$1517,B1070,$C$5:$C$1517,"&lt;"&amp;C1070),"")</f>
        <v/>
      </c>
      <c r="S1070" s="0" t="str">
        <f aca="false">IF(N1070&gt;=Models!$G$7,1+COUNTIF($N$5:$N$1517,"&gt;"&amp;N1070)+COUNTIFS($N$5:$N$1517,N1070,$B$5:$B$1517,"&lt;"&amp;B1070)+COUNTIFS($N$5:$N$1517,N1070,$B$5:$B$1517,B1070,$C$5:$C$1517,"&lt;"&amp;C1070),"")</f>
        <v/>
      </c>
      <c r="T1070" s="8" t="n">
        <f aca="false">IF(O1070&gt;=Models!$G$8,1+COUNTIF($O$5:$O$1517,"&gt;"&amp;O1070)+COUNTIFS($O$5:$O$1517,O1070,$B$5:$B$1517,"&lt;"&amp;B1070)+COUNTIFS($O$5:$O$1517,O1070,$B$5:$B$1517,B1070,$C$5:$C$1517,"&lt;"&amp;C1070),"")</f>
        <v>1340</v>
      </c>
      <c r="U1070" s="8" t="n">
        <f aca="false">IF($K1070=1,COUNTIFS($L$5:$L$1517,"&gt;="&amp;L1070,$K$5:$K$1517,1)/COUNTIF($L$5:$L$1517,"&gt;="&amp;L1070),0)</f>
        <v>0</v>
      </c>
      <c r="V1070" s="8" t="n">
        <f aca="false">IF($K1070=1,COUNTIFS($M$5:$M$1517,"&gt;="&amp;M1070,$K$5:$K$1517,1)/COUNTIF($M$5:$M$1517,"&gt;="&amp;M1070),0)</f>
        <v>0</v>
      </c>
      <c r="W1070" s="8" t="n">
        <f aca="false">IF($K1070=1,COUNTIFS($N$5:$N$1517,"&gt;="&amp;N1070,$K$5:$K$1517,1)/COUNTIF($N$5:$N$1517,"&gt;="&amp;N1070),0)</f>
        <v>0</v>
      </c>
      <c r="X1070" s="8" t="n">
        <f aca="false">IF($K1070=1,COUNTIFS($O$5:$O$1517,"&gt;="&amp;O1070,$K$5:$K$1517,1)/COUNTIF($O$5:$O$1517,"&gt;="&amp;O1070),0)</f>
        <v>0</v>
      </c>
      <c r="Y1070" s="8" t="n">
        <f aca="false">IF($K1070=1,COUNTIFS($P$5:$P$1517,"&gt;="&amp;P1070,$K$5:$K$1517,1)/COUNTIF($P$5:$P$1517,"&gt;="&amp;P1070),0)</f>
        <v>0</v>
      </c>
      <c r="Z1070" s="8" t="n">
        <f aca="false">(L1070-$K1070)^2</f>
        <v>0.985072130064</v>
      </c>
      <c r="AA1070" s="8" t="n">
        <f aca="false">(M1070-$K1070)^2</f>
        <v>0.008475595969</v>
      </c>
      <c r="AB1070" s="8" t="n">
        <f aca="false">(N1070-$K1070)^2</f>
        <v>0.001468269124</v>
      </c>
      <c r="AC1070" s="8" t="n">
        <f aca="false">(O1070-$K1070)^2</f>
        <v>0.011274829489</v>
      </c>
      <c r="AD1070" s="8" t="n">
        <f aca="false">(P1070-$K1070)^2</f>
        <v>0.001513132201</v>
      </c>
      <c r="AE1070" s="8" t="n">
        <f aca="false">MIN(INT(ROUND(N1070*1000000,0)/100000),9)</f>
        <v>0</v>
      </c>
      <c r="AF1070" s="8" t="n">
        <f aca="false">MIN(INT(ROUND(P1070*1000000,0)/100000),9)</f>
        <v>0</v>
      </c>
    </row>
    <row r="1071" customFormat="false" ht="15" hidden="false" customHeight="false" outlineLevel="0" collapsed="false">
      <c r="A1071" s="4" t="n">
        <v>1067</v>
      </c>
      <c r="B1071" s="4" t="n">
        <v>1568</v>
      </c>
      <c r="C1071" s="4" t="n">
        <v>2</v>
      </c>
      <c r="D1071" s="11" t="n">
        <v>46113</v>
      </c>
      <c r="E1071" s="4" t="s">
        <v>204</v>
      </c>
      <c r="F1071" s="4" t="s">
        <v>209</v>
      </c>
      <c r="G1071" s="4" t="n">
        <v>5</v>
      </c>
      <c r="H1071" s="4" t="n">
        <v>0</v>
      </c>
      <c r="I1071" s="4" t="n">
        <v>1</v>
      </c>
      <c r="J1071" s="4" t="n">
        <v>63</v>
      </c>
      <c r="K1071" s="4" t="n">
        <v>0</v>
      </c>
      <c r="L1071" s="12" t="n">
        <v>0.646699</v>
      </c>
      <c r="M1071" s="12" t="n">
        <v>0.184211</v>
      </c>
      <c r="N1071" s="12" t="n">
        <v>0.1804</v>
      </c>
      <c r="O1071" s="12" t="n">
        <v>0.106183</v>
      </c>
      <c r="P1071" s="12" t="n">
        <v>0.195181</v>
      </c>
      <c r="Q1071" s="0" t="str">
        <f aca="false">IF(L1071&gt;=Models!$G$5,1+COUNTIF($L$5:$L$1517,"&gt;"&amp;L1071)+COUNTIFS($L$5:$L$1517,L1071,$B$5:$B$1517,"&lt;"&amp;B1071)+COUNTIFS($L$5:$L$1517,L1071,$B$5:$B$1517,B1071,$C$5:$C$1517,"&lt;"&amp;C1071),"")</f>
        <v/>
      </c>
      <c r="R1071" s="8" t="n">
        <f aca="false">IF(M1071&gt;=Models!$G$6,1+COUNTIF($M$5:$M$1517,"&gt;"&amp;M1071)+COUNTIFS($M$5:$M$1517,M1071,$B$5:$B$1517,"&lt;"&amp;B1071)+COUNTIFS($M$5:$M$1517,M1071,$B$5:$B$1517,B1071,$C$5:$C$1517,"&lt;"&amp;C1071),"")</f>
        <v>171</v>
      </c>
      <c r="S1071" s="0" t="str">
        <f aca="false">IF(N1071&gt;=Models!$G$7,1+COUNTIF($N$5:$N$1517,"&gt;"&amp;N1071)+COUNTIFS($N$5:$N$1517,N1071,$B$5:$B$1517,"&lt;"&amp;B1071)+COUNTIFS($N$5:$N$1517,N1071,$B$5:$B$1517,B1071,$C$5:$C$1517,"&lt;"&amp;C1071),"")</f>
        <v/>
      </c>
      <c r="T1071" s="8" t="n">
        <f aca="false">IF(O1071&gt;=Models!$G$8,1+COUNTIF($O$5:$O$1517,"&gt;"&amp;O1071)+COUNTIFS($O$5:$O$1517,O1071,$B$5:$B$1517,"&lt;"&amp;B1071)+COUNTIFS($O$5:$O$1517,O1071,$B$5:$B$1517,B1071,$C$5:$C$1517,"&lt;"&amp;C1071),"")</f>
        <v>1344</v>
      </c>
      <c r="U1071" s="8" t="n">
        <f aca="false">IF($K1071=1,COUNTIFS($L$5:$L$1517,"&gt;="&amp;L1071,$K$5:$K$1517,1)/COUNTIF($L$5:$L$1517,"&gt;="&amp;L1071),0)</f>
        <v>0</v>
      </c>
      <c r="V1071" s="8" t="n">
        <f aca="false">IF($K1071=1,COUNTIFS($M$5:$M$1517,"&gt;="&amp;M1071,$K$5:$K$1517,1)/COUNTIF($M$5:$M$1517,"&gt;="&amp;M1071),0)</f>
        <v>0</v>
      </c>
      <c r="W1071" s="8" t="n">
        <f aca="false">IF($K1071=1,COUNTIFS($N$5:$N$1517,"&gt;="&amp;N1071,$K$5:$K$1517,1)/COUNTIF($N$5:$N$1517,"&gt;="&amp;N1071),0)</f>
        <v>0</v>
      </c>
      <c r="X1071" s="8" t="n">
        <f aca="false">IF($K1071=1,COUNTIFS($O$5:$O$1517,"&gt;="&amp;O1071,$K$5:$K$1517,1)/COUNTIF($O$5:$O$1517,"&gt;="&amp;O1071),0)</f>
        <v>0</v>
      </c>
      <c r="Y1071" s="8" t="n">
        <f aca="false">IF($K1071=1,COUNTIFS($P$5:$P$1517,"&gt;="&amp;P1071,$K$5:$K$1517,1)/COUNTIF($P$5:$P$1517,"&gt;="&amp;P1071),0)</f>
        <v>0</v>
      </c>
      <c r="Z1071" s="8" t="n">
        <f aca="false">(L1071-$K1071)^2</f>
        <v>0.418219596601</v>
      </c>
      <c r="AA1071" s="8" t="n">
        <f aca="false">(M1071-$K1071)^2</f>
        <v>0.033933692521</v>
      </c>
      <c r="AB1071" s="8" t="n">
        <f aca="false">(N1071-$K1071)^2</f>
        <v>0.03254416</v>
      </c>
      <c r="AC1071" s="8" t="n">
        <f aca="false">(O1071-$K1071)^2</f>
        <v>0.011274829489</v>
      </c>
      <c r="AD1071" s="8" t="n">
        <f aca="false">(P1071-$K1071)^2</f>
        <v>0.038095622761</v>
      </c>
      <c r="AE1071" s="8" t="n">
        <f aca="false">MIN(INT(ROUND(N1071*1000000,0)/100000),9)</f>
        <v>1</v>
      </c>
      <c r="AF1071" s="8" t="n">
        <f aca="false">MIN(INT(ROUND(P1071*1000000,0)/100000),9)</f>
        <v>1</v>
      </c>
    </row>
    <row r="1072" customFormat="false" ht="15" hidden="false" customHeight="false" outlineLevel="0" collapsed="false">
      <c r="A1072" s="4" t="n">
        <v>1068</v>
      </c>
      <c r="B1072" s="4" t="n">
        <v>1570</v>
      </c>
      <c r="C1072" s="4" t="n">
        <v>2</v>
      </c>
      <c r="D1072" s="11" t="n">
        <v>46113</v>
      </c>
      <c r="E1072" s="4" t="s">
        <v>204</v>
      </c>
      <c r="F1072" s="4" t="s">
        <v>210</v>
      </c>
      <c r="G1072" s="4" t="n">
        <v>5</v>
      </c>
      <c r="H1072" s="4" t="n">
        <v>6</v>
      </c>
      <c r="I1072" s="4" t="n">
        <v>0</v>
      </c>
      <c r="J1072" s="4" t="n">
        <v>99</v>
      </c>
      <c r="K1072" s="4" t="n">
        <v>1</v>
      </c>
      <c r="L1072" s="12" t="n">
        <v>0.43661</v>
      </c>
      <c r="M1072" s="12" t="n">
        <v>0.092063</v>
      </c>
      <c r="N1072" s="12" t="n">
        <v>0.112785</v>
      </c>
      <c r="O1072" s="12" t="n">
        <v>0.106183</v>
      </c>
      <c r="P1072" s="12" t="n">
        <v>0.12007</v>
      </c>
      <c r="Q1072" s="0" t="str">
        <f aca="false">IF(L1072&gt;=Models!$G$5,1+COUNTIF($L$5:$L$1517,"&gt;"&amp;L1072)+COUNTIFS($L$5:$L$1517,L1072,$B$5:$B$1517,"&lt;"&amp;B1072)+COUNTIFS($L$5:$L$1517,L1072,$B$5:$B$1517,B1072,$C$5:$C$1517,"&lt;"&amp;C1072),"")</f>
        <v/>
      </c>
      <c r="R1072" s="0" t="str">
        <f aca="false">IF(M1072&gt;=Models!$G$6,1+COUNTIF($M$5:$M$1517,"&gt;"&amp;M1072)+COUNTIFS($M$5:$M$1517,M1072,$B$5:$B$1517,"&lt;"&amp;B1072)+COUNTIFS($M$5:$M$1517,M1072,$B$5:$B$1517,B1072,$C$5:$C$1517,"&lt;"&amp;C1072),"")</f>
        <v/>
      </c>
      <c r="S1072" s="0" t="str">
        <f aca="false">IF(N1072&gt;=Models!$G$7,1+COUNTIF($N$5:$N$1517,"&gt;"&amp;N1072)+COUNTIFS($N$5:$N$1517,N1072,$B$5:$B$1517,"&lt;"&amp;B1072)+COUNTIFS($N$5:$N$1517,N1072,$B$5:$B$1517,B1072,$C$5:$C$1517,"&lt;"&amp;C1072),"")</f>
        <v/>
      </c>
      <c r="T1072" s="8" t="n">
        <f aca="false">IF(O1072&gt;=Models!$G$8,1+COUNTIF($O$5:$O$1517,"&gt;"&amp;O1072)+COUNTIFS($O$5:$O$1517,O1072,$B$5:$B$1517,"&lt;"&amp;B1072)+COUNTIFS($O$5:$O$1517,O1072,$B$5:$B$1517,B1072,$C$5:$C$1517,"&lt;"&amp;C1072),"")</f>
        <v>1348</v>
      </c>
      <c r="U1072" s="8" t="n">
        <f aca="false">IF($K1072=1,COUNTIFS($L$5:$L$1517,"&gt;="&amp;L1072,$K$5:$K$1517,1)/COUNTIF($L$5:$L$1517,"&gt;="&amp;L1072),0)</f>
        <v>0.125298329355609</v>
      </c>
      <c r="V1072" s="8" t="n">
        <f aca="false">IF($K1072=1,COUNTIFS($M$5:$M$1517,"&gt;="&amp;M1072,$K$5:$K$1517,1)/COUNTIF($M$5:$M$1517,"&gt;="&amp;M1072),0)</f>
        <v>0.12491738268341</v>
      </c>
      <c r="W1072" s="8" t="n">
        <f aca="false">IF($K1072=1,COUNTIFS($N$5:$N$1517,"&gt;="&amp;N1072,$K$5:$K$1517,1)/COUNTIF($N$5:$N$1517,"&gt;="&amp;N1072),0)</f>
        <v>0.215073529411765</v>
      </c>
      <c r="X1072" s="8" t="n">
        <f aca="false">IF($K1072=1,COUNTIFS($O$5:$O$1517,"&gt;="&amp;O1072,$K$5:$K$1517,1)/COUNTIF($O$5:$O$1517,"&gt;="&amp;O1072),0)</f>
        <v>0.12491738268341</v>
      </c>
      <c r="Y1072" s="8" t="n">
        <f aca="false">IF($K1072=1,COUNTIFS($P$5:$P$1517,"&gt;="&amp;P1072,$K$5:$K$1517,1)/COUNTIF($P$5:$P$1517,"&gt;="&amp;P1072),0)</f>
        <v>0.215073529411765</v>
      </c>
      <c r="Z1072" s="8" t="n">
        <f aca="false">(L1072-$K1072)^2</f>
        <v>0.3174082921</v>
      </c>
      <c r="AA1072" s="8" t="n">
        <f aca="false">(M1072-$K1072)^2</f>
        <v>0.824349595969</v>
      </c>
      <c r="AB1072" s="8" t="n">
        <f aca="false">(N1072-$K1072)^2</f>
        <v>0.787150456225</v>
      </c>
      <c r="AC1072" s="8" t="n">
        <f aca="false">(O1072-$K1072)^2</f>
        <v>0.798908829489</v>
      </c>
      <c r="AD1072" s="8" t="n">
        <f aca="false">(P1072-$K1072)^2</f>
        <v>0.7742768049</v>
      </c>
      <c r="AE1072" s="8" t="n">
        <f aca="false">MIN(INT(ROUND(N1072*1000000,0)/100000),9)</f>
        <v>1</v>
      </c>
      <c r="AF1072" s="8" t="n">
        <f aca="false">MIN(INT(ROUND(P1072*1000000,0)/100000),9)</f>
        <v>1</v>
      </c>
    </row>
    <row r="1073" customFormat="false" ht="15" hidden="false" customHeight="false" outlineLevel="0" collapsed="false">
      <c r="A1073" s="4" t="n">
        <v>1069</v>
      </c>
      <c r="B1073" s="4" t="n">
        <v>1575</v>
      </c>
      <c r="C1073" s="4" t="n">
        <v>2</v>
      </c>
      <c r="D1073" s="11" t="n">
        <v>46113</v>
      </c>
      <c r="E1073" s="4" t="s">
        <v>203</v>
      </c>
      <c r="F1073" s="4" t="s">
        <v>208</v>
      </c>
      <c r="G1073" s="4" t="n">
        <v>9</v>
      </c>
      <c r="H1073" s="4" t="n">
        <v>3</v>
      </c>
      <c r="I1073" s="4" t="n">
        <v>0</v>
      </c>
      <c r="J1073" s="4" t="n">
        <v>267</v>
      </c>
      <c r="K1073" s="4" t="n">
        <v>1</v>
      </c>
      <c r="L1073" s="12" t="n">
        <v>0.500687</v>
      </c>
      <c r="M1073" s="12" t="n">
        <v>0.092063</v>
      </c>
      <c r="N1073" s="12" t="n">
        <v>0.078935</v>
      </c>
      <c r="O1073" s="12" t="n">
        <v>0.106183</v>
      </c>
      <c r="P1073" s="12" t="n">
        <v>0.082805</v>
      </c>
      <c r="Q1073" s="0" t="str">
        <f aca="false">IF(L1073&gt;=Models!$G$5,1+COUNTIF($L$5:$L$1517,"&gt;"&amp;L1073)+COUNTIFS($L$5:$L$1517,L1073,$B$5:$B$1517,"&lt;"&amp;B1073)+COUNTIFS($L$5:$L$1517,L1073,$B$5:$B$1517,B1073,$C$5:$C$1517,"&lt;"&amp;C1073),"")</f>
        <v/>
      </c>
      <c r="R1073" s="0" t="str">
        <f aca="false">IF(M1073&gt;=Models!$G$6,1+COUNTIF($M$5:$M$1517,"&gt;"&amp;M1073)+COUNTIFS($M$5:$M$1517,M1073,$B$5:$B$1517,"&lt;"&amp;B1073)+COUNTIFS($M$5:$M$1517,M1073,$B$5:$B$1517,B1073,$C$5:$C$1517,"&lt;"&amp;C1073),"")</f>
        <v/>
      </c>
      <c r="S1073" s="0" t="str">
        <f aca="false">IF(N1073&gt;=Models!$G$7,1+COUNTIF($N$5:$N$1517,"&gt;"&amp;N1073)+COUNTIFS($N$5:$N$1517,N1073,$B$5:$B$1517,"&lt;"&amp;B1073)+COUNTIFS($N$5:$N$1517,N1073,$B$5:$B$1517,B1073,$C$5:$C$1517,"&lt;"&amp;C1073),"")</f>
        <v/>
      </c>
      <c r="T1073" s="8" t="n">
        <f aca="false">IF(O1073&gt;=Models!$G$8,1+COUNTIF($O$5:$O$1517,"&gt;"&amp;O1073)+COUNTIFS($O$5:$O$1517,O1073,$B$5:$B$1517,"&lt;"&amp;B1073)+COUNTIFS($O$5:$O$1517,O1073,$B$5:$B$1517,B1073,$C$5:$C$1517,"&lt;"&amp;C1073),"")</f>
        <v>1353</v>
      </c>
      <c r="U1073" s="8" t="n">
        <f aca="false">IF($K1073=1,COUNTIFS($L$5:$L$1517,"&gt;="&amp;L1073,$K$5:$K$1517,1)/COUNTIF($L$5:$L$1517,"&gt;="&amp;L1073),0)</f>
        <v>0.120481927710843</v>
      </c>
      <c r="V1073" s="8" t="n">
        <f aca="false">IF($K1073=1,COUNTIFS($M$5:$M$1517,"&gt;="&amp;M1073,$K$5:$K$1517,1)/COUNTIF($M$5:$M$1517,"&gt;="&amp;M1073),0)</f>
        <v>0.12491738268341</v>
      </c>
      <c r="W1073" s="8" t="n">
        <f aca="false">IF($K1073=1,COUNTIFS($N$5:$N$1517,"&gt;="&amp;N1073,$K$5:$K$1517,1)/COUNTIF($N$5:$N$1517,"&gt;="&amp;N1073),0)</f>
        <v>0.172531214528944</v>
      </c>
      <c r="X1073" s="8" t="n">
        <f aca="false">IF($K1073=1,COUNTIFS($O$5:$O$1517,"&gt;="&amp;O1073,$K$5:$K$1517,1)/COUNTIF($O$5:$O$1517,"&gt;="&amp;O1073),0)</f>
        <v>0.12491738268341</v>
      </c>
      <c r="Y1073" s="8" t="n">
        <f aca="false">IF($K1073=1,COUNTIFS($P$5:$P$1517,"&gt;="&amp;P1073,$K$5:$K$1517,1)/COUNTIF($P$5:$P$1517,"&gt;="&amp;P1073),0)</f>
        <v>0.172531214528944</v>
      </c>
      <c r="Z1073" s="8" t="n">
        <f aca="false">(L1073-$K1073)^2</f>
        <v>0.249313471969</v>
      </c>
      <c r="AA1073" s="8" t="n">
        <f aca="false">(M1073-$K1073)^2</f>
        <v>0.824349595969</v>
      </c>
      <c r="AB1073" s="8" t="n">
        <f aca="false">(N1073-$K1073)^2</f>
        <v>0.848360734225</v>
      </c>
      <c r="AC1073" s="8" t="n">
        <f aca="false">(O1073-$K1073)^2</f>
        <v>0.798908829489</v>
      </c>
      <c r="AD1073" s="8" t="n">
        <f aca="false">(P1073-$K1073)^2</f>
        <v>0.841246668025</v>
      </c>
      <c r="AE1073" s="8" t="n">
        <f aca="false">MIN(INT(ROUND(N1073*1000000,0)/100000),9)</f>
        <v>0</v>
      </c>
      <c r="AF1073" s="8" t="n">
        <f aca="false">MIN(INT(ROUND(P1073*1000000,0)/100000),9)</f>
        <v>0</v>
      </c>
    </row>
    <row r="1074" customFormat="false" ht="15" hidden="false" customHeight="false" outlineLevel="0" collapsed="false">
      <c r="A1074" s="4" t="n">
        <v>1070</v>
      </c>
      <c r="B1074" s="4" t="n">
        <v>1576</v>
      </c>
      <c r="C1074" s="4" t="n">
        <v>2</v>
      </c>
      <c r="D1074" s="11" t="n">
        <v>46113</v>
      </c>
      <c r="E1074" s="4" t="s">
        <v>203</v>
      </c>
      <c r="F1074" s="4" t="s">
        <v>206</v>
      </c>
      <c r="G1074" s="4" t="n">
        <v>7</v>
      </c>
      <c r="H1074" s="4" t="n">
        <v>14</v>
      </c>
      <c r="I1074" s="4" t="n">
        <v>0</v>
      </c>
      <c r="J1074" s="4" t="n">
        <v>237</v>
      </c>
      <c r="K1074" s="4" t="n">
        <v>0</v>
      </c>
      <c r="L1074" s="12" t="n">
        <v>0.002981</v>
      </c>
      <c r="M1074" s="12" t="n">
        <v>0.092063</v>
      </c>
      <c r="N1074" s="12" t="n">
        <v>0.101102</v>
      </c>
      <c r="O1074" s="12" t="n">
        <v>0.106183</v>
      </c>
      <c r="P1074" s="12" t="n">
        <v>0.107165</v>
      </c>
      <c r="Q1074" s="0" t="str">
        <f aca="false">IF(L1074&gt;=Models!$G$5,1+COUNTIF($L$5:$L$1517,"&gt;"&amp;L1074)+COUNTIFS($L$5:$L$1517,L1074,$B$5:$B$1517,"&lt;"&amp;B1074)+COUNTIFS($L$5:$L$1517,L1074,$B$5:$B$1517,B1074,$C$5:$C$1517,"&lt;"&amp;C1074),"")</f>
        <v/>
      </c>
      <c r="R1074" s="0" t="str">
        <f aca="false">IF(M1074&gt;=Models!$G$6,1+COUNTIF($M$5:$M$1517,"&gt;"&amp;M1074)+COUNTIFS($M$5:$M$1517,M1074,$B$5:$B$1517,"&lt;"&amp;B1074)+COUNTIFS($M$5:$M$1517,M1074,$B$5:$B$1517,B1074,$C$5:$C$1517,"&lt;"&amp;C1074),"")</f>
        <v/>
      </c>
      <c r="S1074" s="0" t="str">
        <f aca="false">IF(N1074&gt;=Models!$G$7,1+COUNTIF($N$5:$N$1517,"&gt;"&amp;N1074)+COUNTIFS($N$5:$N$1517,N1074,$B$5:$B$1517,"&lt;"&amp;B1074)+COUNTIFS($N$5:$N$1517,N1074,$B$5:$B$1517,B1074,$C$5:$C$1517,"&lt;"&amp;C1074),"")</f>
        <v/>
      </c>
      <c r="T1074" s="8" t="n">
        <f aca="false">IF(O1074&gt;=Models!$G$8,1+COUNTIF($O$5:$O$1517,"&gt;"&amp;O1074)+COUNTIFS($O$5:$O$1517,O1074,$B$5:$B$1517,"&lt;"&amp;B1074)+COUNTIFS($O$5:$O$1517,O1074,$B$5:$B$1517,B1074,$C$5:$C$1517,"&lt;"&amp;C1074),"")</f>
        <v>1356</v>
      </c>
      <c r="U1074" s="8" t="n">
        <f aca="false">IF($K1074=1,COUNTIFS($L$5:$L$1517,"&gt;="&amp;L1074,$K$5:$K$1517,1)/COUNTIF($L$5:$L$1517,"&gt;="&amp;L1074),0)</f>
        <v>0</v>
      </c>
      <c r="V1074" s="8" t="n">
        <f aca="false">IF($K1074=1,COUNTIFS($M$5:$M$1517,"&gt;="&amp;M1074,$K$5:$K$1517,1)/COUNTIF($M$5:$M$1517,"&gt;="&amp;M1074),0)</f>
        <v>0</v>
      </c>
      <c r="W1074" s="8" t="n">
        <f aca="false">IF($K1074=1,COUNTIFS($N$5:$N$1517,"&gt;="&amp;N1074,$K$5:$K$1517,1)/COUNTIF($N$5:$N$1517,"&gt;="&amp;N1074),0)</f>
        <v>0</v>
      </c>
      <c r="X1074" s="8" t="n">
        <f aca="false">IF($K1074=1,COUNTIFS($O$5:$O$1517,"&gt;="&amp;O1074,$K$5:$K$1517,1)/COUNTIF($O$5:$O$1517,"&gt;="&amp;O1074),0)</f>
        <v>0</v>
      </c>
      <c r="Y1074" s="8" t="n">
        <f aca="false">IF($K1074=1,COUNTIFS($P$5:$P$1517,"&gt;="&amp;P1074,$K$5:$K$1517,1)/COUNTIF($P$5:$P$1517,"&gt;="&amp;P1074),0)</f>
        <v>0</v>
      </c>
      <c r="Z1074" s="8" t="n">
        <f aca="false">(L1074-$K1074)^2</f>
        <v>8.886361E-006</v>
      </c>
      <c r="AA1074" s="8" t="n">
        <f aca="false">(M1074-$K1074)^2</f>
        <v>0.008475595969</v>
      </c>
      <c r="AB1074" s="8" t="n">
        <f aca="false">(N1074-$K1074)^2</f>
        <v>0.010221614404</v>
      </c>
      <c r="AC1074" s="8" t="n">
        <f aca="false">(O1074-$K1074)^2</f>
        <v>0.011274829489</v>
      </c>
      <c r="AD1074" s="8" t="n">
        <f aca="false">(P1074-$K1074)^2</f>
        <v>0.011484337225</v>
      </c>
      <c r="AE1074" s="8" t="n">
        <f aca="false">MIN(INT(ROUND(N1074*1000000,0)/100000),9)</f>
        <v>1</v>
      </c>
      <c r="AF1074" s="8" t="n">
        <f aca="false">MIN(INT(ROUND(P1074*1000000,0)/100000),9)</f>
        <v>1</v>
      </c>
    </row>
    <row r="1075" customFormat="false" ht="15" hidden="false" customHeight="false" outlineLevel="0" collapsed="false">
      <c r="A1075" s="4" t="n">
        <v>1071</v>
      </c>
      <c r="B1075" s="4" t="n">
        <v>1577</v>
      </c>
      <c r="C1075" s="4" t="n">
        <v>2</v>
      </c>
      <c r="D1075" s="11" t="n">
        <v>46113</v>
      </c>
      <c r="E1075" s="4" t="s">
        <v>203</v>
      </c>
      <c r="F1075" s="4" t="s">
        <v>208</v>
      </c>
      <c r="G1075" s="4" t="n">
        <v>1</v>
      </c>
      <c r="H1075" s="4" t="n">
        <v>15</v>
      </c>
      <c r="I1075" s="4" t="n">
        <v>0</v>
      </c>
      <c r="J1075" s="4" t="n">
        <v>447</v>
      </c>
      <c r="K1075" s="4" t="n">
        <v>1</v>
      </c>
      <c r="L1075" s="12" t="n">
        <v>0.937353</v>
      </c>
      <c r="M1075" s="12" t="n">
        <v>0.092063</v>
      </c>
      <c r="N1075" s="12" t="n">
        <v>0.161232</v>
      </c>
      <c r="O1075" s="12" t="n">
        <v>0.106183</v>
      </c>
      <c r="P1075" s="12" t="n">
        <v>0.17385</v>
      </c>
      <c r="Q1075" s="0" t="str">
        <f aca="false">IF(L1075&gt;=Models!$G$5,1+COUNTIF($L$5:$L$1517,"&gt;"&amp;L1075)+COUNTIFS($L$5:$L$1517,L1075,$B$5:$B$1517,"&lt;"&amp;B1075)+COUNTIFS($L$5:$L$1517,L1075,$B$5:$B$1517,B1075,$C$5:$C$1517,"&lt;"&amp;C1075),"")</f>
        <v/>
      </c>
      <c r="R1075" s="0" t="str">
        <f aca="false">IF(M1075&gt;=Models!$G$6,1+COUNTIF($M$5:$M$1517,"&gt;"&amp;M1075)+COUNTIFS($M$5:$M$1517,M1075,$B$5:$B$1517,"&lt;"&amp;B1075)+COUNTIFS($M$5:$M$1517,M1075,$B$5:$B$1517,B1075,$C$5:$C$1517,"&lt;"&amp;C1075),"")</f>
        <v/>
      </c>
      <c r="S1075" s="0" t="str">
        <f aca="false">IF(N1075&gt;=Models!$G$7,1+COUNTIF($N$5:$N$1517,"&gt;"&amp;N1075)+COUNTIFS($N$5:$N$1517,N1075,$B$5:$B$1517,"&lt;"&amp;B1075)+COUNTIFS($N$5:$N$1517,N1075,$B$5:$B$1517,B1075,$C$5:$C$1517,"&lt;"&amp;C1075),"")</f>
        <v/>
      </c>
      <c r="T1075" s="8" t="n">
        <f aca="false">IF(O1075&gt;=Models!$G$8,1+COUNTIF($O$5:$O$1517,"&gt;"&amp;O1075)+COUNTIFS($O$5:$O$1517,O1075,$B$5:$B$1517,"&lt;"&amp;B1075)+COUNTIFS($O$5:$O$1517,O1075,$B$5:$B$1517,B1075,$C$5:$C$1517,"&lt;"&amp;C1075),"")</f>
        <v>1360</v>
      </c>
      <c r="U1075" s="8" t="n">
        <f aca="false">IF($K1075=1,COUNTIFS($L$5:$L$1517,"&gt;="&amp;L1075,$K$5:$K$1517,1)/COUNTIF($L$5:$L$1517,"&gt;="&amp;L1075),0)</f>
        <v>0.104166666666667</v>
      </c>
      <c r="V1075" s="8" t="n">
        <f aca="false">IF($K1075=1,COUNTIFS($M$5:$M$1517,"&gt;="&amp;M1075,$K$5:$K$1517,1)/COUNTIF($M$5:$M$1517,"&gt;="&amp;M1075),0)</f>
        <v>0.12491738268341</v>
      </c>
      <c r="W1075" s="8" t="n">
        <f aca="false">IF($K1075=1,COUNTIFS($N$5:$N$1517,"&gt;="&amp;N1075,$K$5:$K$1517,1)/COUNTIF($N$5:$N$1517,"&gt;="&amp;N1075),0)</f>
        <v>0.315789473684211</v>
      </c>
      <c r="X1075" s="8" t="n">
        <f aca="false">IF($K1075=1,COUNTIFS($O$5:$O$1517,"&gt;="&amp;O1075,$K$5:$K$1517,1)/COUNTIF($O$5:$O$1517,"&gt;="&amp;O1075),0)</f>
        <v>0.12491738268341</v>
      </c>
      <c r="Y1075" s="8" t="n">
        <f aca="false">IF($K1075=1,COUNTIFS($P$5:$P$1517,"&gt;="&amp;P1075,$K$5:$K$1517,1)/COUNTIF($P$5:$P$1517,"&gt;="&amp;P1075),0)</f>
        <v>0.315789473684211</v>
      </c>
      <c r="Z1075" s="8" t="n">
        <f aca="false">(L1075-$K1075)^2</f>
        <v>0.003924646609</v>
      </c>
      <c r="AA1075" s="8" t="n">
        <f aca="false">(M1075-$K1075)^2</f>
        <v>0.824349595969</v>
      </c>
      <c r="AB1075" s="8" t="n">
        <f aca="false">(N1075-$K1075)^2</f>
        <v>0.703531757824</v>
      </c>
      <c r="AC1075" s="8" t="n">
        <f aca="false">(O1075-$K1075)^2</f>
        <v>0.798908829489</v>
      </c>
      <c r="AD1075" s="8" t="n">
        <f aca="false">(P1075-$K1075)^2</f>
        <v>0.6825238225</v>
      </c>
      <c r="AE1075" s="8" t="n">
        <f aca="false">MIN(INT(ROUND(N1075*1000000,0)/100000),9)</f>
        <v>1</v>
      </c>
      <c r="AF1075" s="8" t="n">
        <f aca="false">MIN(INT(ROUND(P1075*1000000,0)/100000),9)</f>
        <v>1</v>
      </c>
    </row>
    <row r="1076" customFormat="false" ht="15" hidden="false" customHeight="false" outlineLevel="0" collapsed="false">
      <c r="A1076" s="4" t="n">
        <v>1072</v>
      </c>
      <c r="B1076" s="4" t="n">
        <v>1582</v>
      </c>
      <c r="C1076" s="4" t="n">
        <v>2</v>
      </c>
      <c r="D1076" s="11" t="n">
        <v>46113</v>
      </c>
      <c r="E1076" s="4" t="s">
        <v>204</v>
      </c>
      <c r="F1076" s="4" t="s">
        <v>209</v>
      </c>
      <c r="G1076" s="4" t="n">
        <v>8</v>
      </c>
      <c r="H1076" s="4" t="n">
        <v>1</v>
      </c>
      <c r="I1076" s="4" t="n">
        <v>0</v>
      </c>
      <c r="J1076" s="4" t="n">
        <v>57</v>
      </c>
      <c r="K1076" s="4" t="n">
        <v>1</v>
      </c>
      <c r="L1076" s="12" t="n">
        <v>0.243122</v>
      </c>
      <c r="M1076" s="12" t="n">
        <v>0.092063</v>
      </c>
      <c r="N1076" s="12" t="n">
        <v>0.085402</v>
      </c>
      <c r="O1076" s="12" t="n">
        <v>0.106183</v>
      </c>
      <c r="P1076" s="12" t="n">
        <v>0.089892</v>
      </c>
      <c r="Q1076" s="0" t="str">
        <f aca="false">IF(L1076&gt;=Models!$G$5,1+COUNTIF($L$5:$L$1517,"&gt;"&amp;L1076)+COUNTIFS($L$5:$L$1517,L1076,$B$5:$B$1517,"&lt;"&amp;B1076)+COUNTIFS($L$5:$L$1517,L1076,$B$5:$B$1517,B1076,$C$5:$C$1517,"&lt;"&amp;C1076),"")</f>
        <v/>
      </c>
      <c r="R1076" s="0" t="str">
        <f aca="false">IF(M1076&gt;=Models!$G$6,1+COUNTIF($M$5:$M$1517,"&gt;"&amp;M1076)+COUNTIFS($M$5:$M$1517,M1076,$B$5:$B$1517,"&lt;"&amp;B1076)+COUNTIFS($M$5:$M$1517,M1076,$B$5:$B$1517,B1076,$C$5:$C$1517,"&lt;"&amp;C1076),"")</f>
        <v/>
      </c>
      <c r="S1076" s="0" t="str">
        <f aca="false">IF(N1076&gt;=Models!$G$7,1+COUNTIF($N$5:$N$1517,"&gt;"&amp;N1076)+COUNTIFS($N$5:$N$1517,N1076,$B$5:$B$1517,"&lt;"&amp;B1076)+COUNTIFS($N$5:$N$1517,N1076,$B$5:$B$1517,B1076,$C$5:$C$1517,"&lt;"&amp;C1076),"")</f>
        <v/>
      </c>
      <c r="T1076" s="8" t="n">
        <f aca="false">IF(O1076&gt;=Models!$G$8,1+COUNTIF($O$5:$O$1517,"&gt;"&amp;O1076)+COUNTIFS($O$5:$O$1517,O1076,$B$5:$B$1517,"&lt;"&amp;B1076)+COUNTIFS($O$5:$O$1517,O1076,$B$5:$B$1517,B1076,$C$5:$C$1517,"&lt;"&amp;C1076),"")</f>
        <v>1363</v>
      </c>
      <c r="U1076" s="8" t="n">
        <f aca="false">IF($K1076=1,COUNTIFS($L$5:$L$1517,"&gt;="&amp;L1076,$K$5:$K$1517,1)/COUNTIF($L$5:$L$1517,"&gt;="&amp;L1076),0)</f>
        <v>0.129858657243816</v>
      </c>
      <c r="V1076" s="8" t="n">
        <f aca="false">IF($K1076=1,COUNTIFS($M$5:$M$1517,"&gt;="&amp;M1076,$K$5:$K$1517,1)/COUNTIF($M$5:$M$1517,"&gt;="&amp;M1076),0)</f>
        <v>0.12491738268341</v>
      </c>
      <c r="W1076" s="8" t="n">
        <f aca="false">IF($K1076=1,COUNTIFS($N$5:$N$1517,"&gt;="&amp;N1076,$K$5:$K$1517,1)/COUNTIF($N$5:$N$1517,"&gt;="&amp;N1076),0)</f>
        <v>0.176613885505481</v>
      </c>
      <c r="X1076" s="8" t="n">
        <f aca="false">IF($K1076=1,COUNTIFS($O$5:$O$1517,"&gt;="&amp;O1076,$K$5:$K$1517,1)/COUNTIF($O$5:$O$1517,"&gt;="&amp;O1076),0)</f>
        <v>0.12491738268341</v>
      </c>
      <c r="Y1076" s="8" t="n">
        <f aca="false">IF($K1076=1,COUNTIFS($P$5:$P$1517,"&gt;="&amp;P1076,$K$5:$K$1517,1)/COUNTIF($P$5:$P$1517,"&gt;="&amp;P1076),0)</f>
        <v>0.176613885505481</v>
      </c>
      <c r="Z1076" s="8" t="n">
        <f aca="false">(L1076-$K1076)^2</f>
        <v>0.572864306884</v>
      </c>
      <c r="AA1076" s="8" t="n">
        <f aca="false">(M1076-$K1076)^2</f>
        <v>0.824349595969</v>
      </c>
      <c r="AB1076" s="8" t="n">
        <f aca="false">(N1076-$K1076)^2</f>
        <v>0.836489501604</v>
      </c>
      <c r="AC1076" s="8" t="n">
        <f aca="false">(O1076-$K1076)^2</f>
        <v>0.798908829489</v>
      </c>
      <c r="AD1076" s="8" t="n">
        <f aca="false">(P1076-$K1076)^2</f>
        <v>0.828296571664</v>
      </c>
      <c r="AE1076" s="8" t="n">
        <f aca="false">MIN(INT(ROUND(N1076*1000000,0)/100000),9)</f>
        <v>0</v>
      </c>
      <c r="AF1076" s="8" t="n">
        <f aca="false">MIN(INT(ROUND(P1076*1000000,0)/100000),9)</f>
        <v>0</v>
      </c>
    </row>
    <row r="1077" customFormat="false" ht="15" hidden="false" customHeight="false" outlineLevel="0" collapsed="false">
      <c r="A1077" s="4" t="n">
        <v>1073</v>
      </c>
      <c r="B1077" s="4" t="n">
        <v>1583</v>
      </c>
      <c r="C1077" s="4" t="n">
        <v>2</v>
      </c>
      <c r="D1077" s="11" t="n">
        <v>46113</v>
      </c>
      <c r="E1077" s="4" t="s">
        <v>202</v>
      </c>
      <c r="F1077" s="4" t="s">
        <v>206</v>
      </c>
      <c r="G1077" s="4" t="n">
        <v>12</v>
      </c>
      <c r="H1077" s="4" t="n">
        <v>6</v>
      </c>
      <c r="I1077" s="4" t="n">
        <v>0</v>
      </c>
      <c r="J1077" s="4" t="n">
        <v>1191</v>
      </c>
      <c r="K1077" s="4" t="n">
        <v>0</v>
      </c>
      <c r="L1077" s="12" t="n">
        <v>0.073537</v>
      </c>
      <c r="M1077" s="12" t="n">
        <v>0.092063</v>
      </c>
      <c r="N1077" s="12" t="n">
        <v>0.059751</v>
      </c>
      <c r="O1077" s="12" t="n">
        <v>0.106183</v>
      </c>
      <c r="P1077" s="12" t="n">
        <v>0.061913</v>
      </c>
      <c r="Q1077" s="0" t="str">
        <f aca="false">IF(L1077&gt;=Models!$G$5,1+COUNTIF($L$5:$L$1517,"&gt;"&amp;L1077)+COUNTIFS($L$5:$L$1517,L1077,$B$5:$B$1517,"&lt;"&amp;B1077)+COUNTIFS($L$5:$L$1517,L1077,$B$5:$B$1517,B1077,$C$5:$C$1517,"&lt;"&amp;C1077),"")</f>
        <v/>
      </c>
      <c r="R1077" s="0" t="str">
        <f aca="false">IF(M1077&gt;=Models!$G$6,1+COUNTIF($M$5:$M$1517,"&gt;"&amp;M1077)+COUNTIFS($M$5:$M$1517,M1077,$B$5:$B$1517,"&lt;"&amp;B1077)+COUNTIFS($M$5:$M$1517,M1077,$B$5:$B$1517,B1077,$C$5:$C$1517,"&lt;"&amp;C1077),"")</f>
        <v/>
      </c>
      <c r="S1077" s="0" t="str">
        <f aca="false">IF(N1077&gt;=Models!$G$7,1+COUNTIF($N$5:$N$1517,"&gt;"&amp;N1077)+COUNTIFS($N$5:$N$1517,N1077,$B$5:$B$1517,"&lt;"&amp;B1077)+COUNTIFS($N$5:$N$1517,N1077,$B$5:$B$1517,B1077,$C$5:$C$1517,"&lt;"&amp;C1077),"")</f>
        <v/>
      </c>
      <c r="T1077" s="8" t="n">
        <f aca="false">IF(O1077&gt;=Models!$G$8,1+COUNTIF($O$5:$O$1517,"&gt;"&amp;O1077)+COUNTIFS($O$5:$O$1517,O1077,$B$5:$B$1517,"&lt;"&amp;B1077)+COUNTIFS($O$5:$O$1517,O1077,$B$5:$B$1517,B1077,$C$5:$C$1517,"&lt;"&amp;C1077),"")</f>
        <v>1367</v>
      </c>
      <c r="U1077" s="8" t="n">
        <f aca="false">IF($K1077=1,COUNTIFS($L$5:$L$1517,"&gt;="&amp;L1077,$K$5:$K$1517,1)/COUNTIF($L$5:$L$1517,"&gt;="&amp;L1077),0)</f>
        <v>0</v>
      </c>
      <c r="V1077" s="8" t="n">
        <f aca="false">IF($K1077=1,COUNTIFS($M$5:$M$1517,"&gt;="&amp;M1077,$K$5:$K$1517,1)/COUNTIF($M$5:$M$1517,"&gt;="&amp;M1077),0)</f>
        <v>0</v>
      </c>
      <c r="W1077" s="8" t="n">
        <f aca="false">IF($K1077=1,COUNTIFS($N$5:$N$1517,"&gt;="&amp;N1077,$K$5:$K$1517,1)/COUNTIF($N$5:$N$1517,"&gt;="&amp;N1077),0)</f>
        <v>0</v>
      </c>
      <c r="X1077" s="8" t="n">
        <f aca="false">IF($K1077=1,COUNTIFS($O$5:$O$1517,"&gt;="&amp;O1077,$K$5:$K$1517,1)/COUNTIF($O$5:$O$1517,"&gt;="&amp;O1077),0)</f>
        <v>0</v>
      </c>
      <c r="Y1077" s="8" t="n">
        <f aca="false">IF($K1077=1,COUNTIFS($P$5:$P$1517,"&gt;="&amp;P1077,$K$5:$K$1517,1)/COUNTIF($P$5:$P$1517,"&gt;="&amp;P1077),0)</f>
        <v>0</v>
      </c>
      <c r="Z1077" s="8" t="n">
        <f aca="false">(L1077-$K1077)^2</f>
        <v>0.005407690369</v>
      </c>
      <c r="AA1077" s="8" t="n">
        <f aca="false">(M1077-$K1077)^2</f>
        <v>0.008475595969</v>
      </c>
      <c r="AB1077" s="8" t="n">
        <f aca="false">(N1077-$K1077)^2</f>
        <v>0.003570182001</v>
      </c>
      <c r="AC1077" s="8" t="n">
        <f aca="false">(O1077-$K1077)^2</f>
        <v>0.011274829489</v>
      </c>
      <c r="AD1077" s="8" t="n">
        <f aca="false">(P1077-$K1077)^2</f>
        <v>0.003833219569</v>
      </c>
      <c r="AE1077" s="8" t="n">
        <f aca="false">MIN(INT(ROUND(N1077*1000000,0)/100000),9)</f>
        <v>0</v>
      </c>
      <c r="AF1077" s="8" t="n">
        <f aca="false">MIN(INT(ROUND(P1077*1000000,0)/100000),9)</f>
        <v>0</v>
      </c>
    </row>
    <row r="1078" customFormat="false" ht="15" hidden="false" customHeight="false" outlineLevel="0" collapsed="false">
      <c r="A1078" s="4" t="n">
        <v>1074</v>
      </c>
      <c r="B1078" s="4" t="n">
        <v>1590</v>
      </c>
      <c r="C1078" s="4" t="n">
        <v>2</v>
      </c>
      <c r="D1078" s="11" t="n">
        <v>46113</v>
      </c>
      <c r="E1078" s="4" t="s">
        <v>204</v>
      </c>
      <c r="F1078" s="4" t="s">
        <v>206</v>
      </c>
      <c r="G1078" s="4" t="n">
        <v>0</v>
      </c>
      <c r="H1078" s="4" t="n">
        <v>34</v>
      </c>
      <c r="I1078" s="4" t="n">
        <v>1</v>
      </c>
      <c r="J1078" s="4" t="n">
        <v>52.8</v>
      </c>
      <c r="K1078" s="4" t="n">
        <v>0</v>
      </c>
      <c r="L1078" s="12" t="n">
        <v>0.895362</v>
      </c>
      <c r="M1078" s="12" t="n">
        <v>0.184211</v>
      </c>
      <c r="N1078" s="12" t="n">
        <v>0.313358</v>
      </c>
      <c r="O1078" s="12" t="n">
        <v>0.106183</v>
      </c>
      <c r="P1078" s="12" t="n">
        <v>0.342353</v>
      </c>
      <c r="Q1078" s="0" t="str">
        <f aca="false">IF(L1078&gt;=Models!$G$5,1+COUNTIF($L$5:$L$1517,"&gt;"&amp;L1078)+COUNTIFS($L$5:$L$1517,L1078,$B$5:$B$1517,"&lt;"&amp;B1078)+COUNTIFS($L$5:$L$1517,L1078,$B$5:$B$1517,B1078,$C$5:$C$1517,"&lt;"&amp;C1078),"")</f>
        <v/>
      </c>
      <c r="R1078" s="8" t="n">
        <f aca="false">IF(M1078&gt;=Models!$G$6,1+COUNTIF($M$5:$M$1517,"&gt;"&amp;M1078)+COUNTIFS($M$5:$M$1517,M1078,$B$5:$B$1517,"&lt;"&amp;B1078)+COUNTIFS($M$5:$M$1517,M1078,$B$5:$B$1517,B1078,$C$5:$C$1517,"&lt;"&amp;C1078),"")</f>
        <v>174</v>
      </c>
      <c r="S1078" s="8" t="n">
        <f aca="false">IF(N1078&gt;=Models!$G$7,1+COUNTIF($N$5:$N$1517,"&gt;"&amp;N1078)+COUNTIFS($N$5:$N$1517,N1078,$B$5:$B$1517,"&lt;"&amp;B1078)+COUNTIFS($N$5:$N$1517,N1078,$B$5:$B$1517,B1078,$C$5:$C$1517,"&lt;"&amp;C1078),"")</f>
        <v>7</v>
      </c>
      <c r="T1078" s="8" t="n">
        <f aca="false">IF(O1078&gt;=Models!$G$8,1+COUNTIF($O$5:$O$1517,"&gt;"&amp;O1078)+COUNTIFS($O$5:$O$1517,O1078,$B$5:$B$1517,"&lt;"&amp;B1078)+COUNTIFS($O$5:$O$1517,O1078,$B$5:$B$1517,B1078,$C$5:$C$1517,"&lt;"&amp;C1078),"")</f>
        <v>1370</v>
      </c>
      <c r="U1078" s="8" t="n">
        <f aca="false">IF($K1078=1,COUNTIFS($L$5:$L$1517,"&gt;="&amp;L1078,$K$5:$K$1517,1)/COUNTIF($L$5:$L$1517,"&gt;="&amp;L1078),0)</f>
        <v>0</v>
      </c>
      <c r="V1078" s="8" t="n">
        <f aca="false">IF($K1078=1,COUNTIFS($M$5:$M$1517,"&gt;="&amp;M1078,$K$5:$K$1517,1)/COUNTIF($M$5:$M$1517,"&gt;="&amp;M1078),0)</f>
        <v>0</v>
      </c>
      <c r="W1078" s="8" t="n">
        <f aca="false">IF($K1078=1,COUNTIFS($N$5:$N$1517,"&gt;="&amp;N1078,$K$5:$K$1517,1)/COUNTIF($N$5:$N$1517,"&gt;="&amp;N1078),0)</f>
        <v>0</v>
      </c>
      <c r="X1078" s="8" t="n">
        <f aca="false">IF($K1078=1,COUNTIFS($O$5:$O$1517,"&gt;="&amp;O1078,$K$5:$K$1517,1)/COUNTIF($O$5:$O$1517,"&gt;="&amp;O1078),0)</f>
        <v>0</v>
      </c>
      <c r="Y1078" s="8" t="n">
        <f aca="false">IF($K1078=1,COUNTIFS($P$5:$P$1517,"&gt;="&amp;P1078,$K$5:$K$1517,1)/COUNTIF($P$5:$P$1517,"&gt;="&amp;P1078),0)</f>
        <v>0</v>
      </c>
      <c r="Z1078" s="8" t="n">
        <f aca="false">(L1078-$K1078)^2</f>
        <v>0.801673111044</v>
      </c>
      <c r="AA1078" s="8" t="n">
        <f aca="false">(M1078-$K1078)^2</f>
        <v>0.033933692521</v>
      </c>
      <c r="AB1078" s="8" t="n">
        <f aca="false">(N1078-$K1078)^2</f>
        <v>0.098193236164</v>
      </c>
      <c r="AC1078" s="8" t="n">
        <f aca="false">(O1078-$K1078)^2</f>
        <v>0.011274829489</v>
      </c>
      <c r="AD1078" s="8" t="n">
        <f aca="false">(P1078-$K1078)^2</f>
        <v>0.117205576609</v>
      </c>
      <c r="AE1078" s="8" t="n">
        <f aca="false">MIN(INT(ROUND(N1078*1000000,0)/100000),9)</f>
        <v>3</v>
      </c>
      <c r="AF1078" s="8" t="n">
        <f aca="false">MIN(INT(ROUND(P1078*1000000,0)/100000),9)</f>
        <v>3</v>
      </c>
    </row>
    <row r="1079" customFormat="false" ht="15" hidden="false" customHeight="false" outlineLevel="0" collapsed="false">
      <c r="A1079" s="4" t="n">
        <v>1075</v>
      </c>
      <c r="B1079" s="4" t="n">
        <v>1603</v>
      </c>
      <c r="C1079" s="4" t="n">
        <v>2</v>
      </c>
      <c r="D1079" s="11" t="n">
        <v>46113</v>
      </c>
      <c r="E1079" s="4" t="s">
        <v>203</v>
      </c>
      <c r="F1079" s="4" t="s">
        <v>210</v>
      </c>
      <c r="G1079" s="4" t="n">
        <v>5</v>
      </c>
      <c r="H1079" s="4" t="n">
        <v>5</v>
      </c>
      <c r="I1079" s="4" t="n">
        <v>0</v>
      </c>
      <c r="J1079" s="4" t="n">
        <v>444</v>
      </c>
      <c r="K1079" s="4" t="n">
        <v>0</v>
      </c>
      <c r="L1079" s="12" t="n">
        <v>0.740845</v>
      </c>
      <c r="M1079" s="12" t="n">
        <v>0.092063</v>
      </c>
      <c r="N1079" s="12" t="n">
        <v>0.109991</v>
      </c>
      <c r="O1079" s="12" t="n">
        <v>0.106183</v>
      </c>
      <c r="P1079" s="12" t="n">
        <v>0.116981</v>
      </c>
      <c r="Q1079" s="0" t="str">
        <f aca="false">IF(L1079&gt;=Models!$G$5,1+COUNTIF($L$5:$L$1517,"&gt;"&amp;L1079)+COUNTIFS($L$5:$L$1517,L1079,$B$5:$B$1517,"&lt;"&amp;B1079)+COUNTIFS($L$5:$L$1517,L1079,$B$5:$B$1517,B1079,$C$5:$C$1517,"&lt;"&amp;C1079),"")</f>
        <v/>
      </c>
      <c r="R1079" s="0" t="str">
        <f aca="false">IF(M1079&gt;=Models!$G$6,1+COUNTIF($M$5:$M$1517,"&gt;"&amp;M1079)+COUNTIFS($M$5:$M$1517,M1079,$B$5:$B$1517,"&lt;"&amp;B1079)+COUNTIFS($M$5:$M$1517,M1079,$B$5:$B$1517,B1079,$C$5:$C$1517,"&lt;"&amp;C1079),"")</f>
        <v/>
      </c>
      <c r="S1079" s="0" t="str">
        <f aca="false">IF(N1079&gt;=Models!$G$7,1+COUNTIF($N$5:$N$1517,"&gt;"&amp;N1079)+COUNTIFS($N$5:$N$1517,N1079,$B$5:$B$1517,"&lt;"&amp;B1079)+COUNTIFS($N$5:$N$1517,N1079,$B$5:$B$1517,B1079,$C$5:$C$1517,"&lt;"&amp;C1079),"")</f>
        <v/>
      </c>
      <c r="T1079" s="8" t="n">
        <f aca="false">IF(O1079&gt;=Models!$G$8,1+COUNTIF($O$5:$O$1517,"&gt;"&amp;O1079)+COUNTIFS($O$5:$O$1517,O1079,$B$5:$B$1517,"&lt;"&amp;B1079)+COUNTIFS($O$5:$O$1517,O1079,$B$5:$B$1517,B1079,$C$5:$C$1517,"&lt;"&amp;C1079),"")</f>
        <v>1373</v>
      </c>
      <c r="U1079" s="8" t="n">
        <f aca="false">IF($K1079=1,COUNTIFS($L$5:$L$1517,"&gt;="&amp;L1079,$K$5:$K$1517,1)/COUNTIF($L$5:$L$1517,"&gt;="&amp;L1079),0)</f>
        <v>0</v>
      </c>
      <c r="V1079" s="8" t="n">
        <f aca="false">IF($K1079=1,COUNTIFS($M$5:$M$1517,"&gt;="&amp;M1079,$K$5:$K$1517,1)/COUNTIF($M$5:$M$1517,"&gt;="&amp;M1079),0)</f>
        <v>0</v>
      </c>
      <c r="W1079" s="8" t="n">
        <f aca="false">IF($K1079=1,COUNTIFS($N$5:$N$1517,"&gt;="&amp;N1079,$K$5:$K$1517,1)/COUNTIF($N$5:$N$1517,"&gt;="&amp;N1079),0)</f>
        <v>0</v>
      </c>
      <c r="X1079" s="8" t="n">
        <f aca="false">IF($K1079=1,COUNTIFS($O$5:$O$1517,"&gt;="&amp;O1079,$K$5:$K$1517,1)/COUNTIF($O$5:$O$1517,"&gt;="&amp;O1079),0)</f>
        <v>0</v>
      </c>
      <c r="Y1079" s="8" t="n">
        <f aca="false">IF($K1079=1,COUNTIFS($P$5:$P$1517,"&gt;="&amp;P1079,$K$5:$K$1517,1)/COUNTIF($P$5:$P$1517,"&gt;="&amp;P1079),0)</f>
        <v>0</v>
      </c>
      <c r="Z1079" s="8" t="n">
        <f aca="false">(L1079-$K1079)^2</f>
        <v>0.548851314025</v>
      </c>
      <c r="AA1079" s="8" t="n">
        <f aca="false">(M1079-$K1079)^2</f>
        <v>0.008475595969</v>
      </c>
      <c r="AB1079" s="8" t="n">
        <f aca="false">(N1079-$K1079)^2</f>
        <v>0.012098020081</v>
      </c>
      <c r="AC1079" s="8" t="n">
        <f aca="false">(O1079-$K1079)^2</f>
        <v>0.011274829489</v>
      </c>
      <c r="AD1079" s="8" t="n">
        <f aca="false">(P1079-$K1079)^2</f>
        <v>0.013684554361</v>
      </c>
      <c r="AE1079" s="8" t="n">
        <f aca="false">MIN(INT(ROUND(N1079*1000000,0)/100000),9)</f>
        <v>1</v>
      </c>
      <c r="AF1079" s="8" t="n">
        <f aca="false">MIN(INT(ROUND(P1079*1000000,0)/100000),9)</f>
        <v>1</v>
      </c>
    </row>
    <row r="1080" customFormat="false" ht="15" hidden="false" customHeight="false" outlineLevel="0" collapsed="false">
      <c r="A1080" s="4" t="n">
        <v>1076</v>
      </c>
      <c r="B1080" s="4" t="n">
        <v>1608</v>
      </c>
      <c r="C1080" s="4" t="n">
        <v>2</v>
      </c>
      <c r="D1080" s="11" t="n">
        <v>46113</v>
      </c>
      <c r="E1080" s="4" t="s">
        <v>202</v>
      </c>
      <c r="F1080" s="4" t="s">
        <v>206</v>
      </c>
      <c r="G1080" s="4" t="n">
        <v>13</v>
      </c>
      <c r="H1080" s="4" t="n">
        <v>0</v>
      </c>
      <c r="I1080" s="4" t="n">
        <v>0</v>
      </c>
      <c r="J1080" s="4" t="n">
        <v>1143</v>
      </c>
      <c r="K1080" s="4" t="n">
        <v>0</v>
      </c>
      <c r="L1080" s="12" t="n">
        <v>0.032455</v>
      </c>
      <c r="M1080" s="12" t="n">
        <v>0.092063</v>
      </c>
      <c r="N1080" s="12" t="n">
        <v>0.052534</v>
      </c>
      <c r="O1080" s="12" t="n">
        <v>0.106183</v>
      </c>
      <c r="P1080" s="12" t="n">
        <v>0.054117</v>
      </c>
      <c r="Q1080" s="0" t="str">
        <f aca="false">IF(L1080&gt;=Models!$G$5,1+COUNTIF($L$5:$L$1517,"&gt;"&amp;L1080)+COUNTIFS($L$5:$L$1517,L1080,$B$5:$B$1517,"&lt;"&amp;B1080)+COUNTIFS($L$5:$L$1517,L1080,$B$5:$B$1517,B1080,$C$5:$C$1517,"&lt;"&amp;C1080),"")</f>
        <v/>
      </c>
      <c r="R1080" s="0" t="str">
        <f aca="false">IF(M1080&gt;=Models!$G$6,1+COUNTIF($M$5:$M$1517,"&gt;"&amp;M1080)+COUNTIFS($M$5:$M$1517,M1080,$B$5:$B$1517,"&lt;"&amp;B1080)+COUNTIFS($M$5:$M$1517,M1080,$B$5:$B$1517,B1080,$C$5:$C$1517,"&lt;"&amp;C1080),"")</f>
        <v/>
      </c>
      <c r="S1080" s="0" t="str">
        <f aca="false">IF(N1080&gt;=Models!$G$7,1+COUNTIF($N$5:$N$1517,"&gt;"&amp;N1080)+COUNTIFS($N$5:$N$1517,N1080,$B$5:$B$1517,"&lt;"&amp;B1080)+COUNTIFS($N$5:$N$1517,N1080,$B$5:$B$1517,B1080,$C$5:$C$1517,"&lt;"&amp;C1080),"")</f>
        <v/>
      </c>
      <c r="T1080" s="8" t="n">
        <f aca="false">IF(O1080&gt;=Models!$G$8,1+COUNTIF($O$5:$O$1517,"&gt;"&amp;O1080)+COUNTIFS($O$5:$O$1517,O1080,$B$5:$B$1517,"&lt;"&amp;B1080)+COUNTIFS($O$5:$O$1517,O1080,$B$5:$B$1517,B1080,$C$5:$C$1517,"&lt;"&amp;C1080),"")</f>
        <v>1376</v>
      </c>
      <c r="U1080" s="8" t="n">
        <f aca="false">IF($K1080=1,COUNTIFS($L$5:$L$1517,"&gt;="&amp;L1080,$K$5:$K$1517,1)/COUNTIF($L$5:$L$1517,"&gt;="&amp;L1080),0)</f>
        <v>0</v>
      </c>
      <c r="V1080" s="8" t="n">
        <f aca="false">IF($K1080=1,COUNTIFS($M$5:$M$1517,"&gt;="&amp;M1080,$K$5:$K$1517,1)/COUNTIF($M$5:$M$1517,"&gt;="&amp;M1080),0)</f>
        <v>0</v>
      </c>
      <c r="W1080" s="8" t="n">
        <f aca="false">IF($K1080=1,COUNTIFS($N$5:$N$1517,"&gt;="&amp;N1080,$K$5:$K$1517,1)/COUNTIF($N$5:$N$1517,"&gt;="&amp;N1080),0)</f>
        <v>0</v>
      </c>
      <c r="X1080" s="8" t="n">
        <f aca="false">IF($K1080=1,COUNTIFS($O$5:$O$1517,"&gt;="&amp;O1080,$K$5:$K$1517,1)/COUNTIF($O$5:$O$1517,"&gt;="&amp;O1080),0)</f>
        <v>0</v>
      </c>
      <c r="Y1080" s="8" t="n">
        <f aca="false">IF($K1080=1,COUNTIFS($P$5:$P$1517,"&gt;="&amp;P1080,$K$5:$K$1517,1)/COUNTIF($P$5:$P$1517,"&gt;="&amp;P1080),0)</f>
        <v>0</v>
      </c>
      <c r="Z1080" s="8" t="n">
        <f aca="false">(L1080-$K1080)^2</f>
        <v>0.001053327025</v>
      </c>
      <c r="AA1080" s="8" t="n">
        <f aca="false">(M1080-$K1080)^2</f>
        <v>0.008475595969</v>
      </c>
      <c r="AB1080" s="8" t="n">
        <f aca="false">(N1080-$K1080)^2</f>
        <v>0.002759821156</v>
      </c>
      <c r="AC1080" s="8" t="n">
        <f aca="false">(O1080-$K1080)^2</f>
        <v>0.011274829489</v>
      </c>
      <c r="AD1080" s="8" t="n">
        <f aca="false">(P1080-$K1080)^2</f>
        <v>0.002928649689</v>
      </c>
      <c r="AE1080" s="8" t="n">
        <f aca="false">MIN(INT(ROUND(N1080*1000000,0)/100000),9)</f>
        <v>0</v>
      </c>
      <c r="AF1080" s="8" t="n">
        <f aca="false">MIN(INT(ROUND(P1080*1000000,0)/100000),9)</f>
        <v>0</v>
      </c>
    </row>
    <row r="1081" customFormat="false" ht="15" hidden="false" customHeight="false" outlineLevel="0" collapsed="false">
      <c r="A1081" s="4" t="n">
        <v>1077</v>
      </c>
      <c r="B1081" s="4" t="n">
        <v>1610</v>
      </c>
      <c r="C1081" s="4" t="n">
        <v>2</v>
      </c>
      <c r="D1081" s="11" t="n">
        <v>46113</v>
      </c>
      <c r="E1081" s="4" t="s">
        <v>204</v>
      </c>
      <c r="F1081" s="4" t="s">
        <v>208</v>
      </c>
      <c r="G1081" s="4" t="n">
        <v>1</v>
      </c>
      <c r="H1081" s="4" t="n">
        <v>3</v>
      </c>
      <c r="I1081" s="4" t="n">
        <v>0</v>
      </c>
      <c r="J1081" s="4" t="n">
        <v>90</v>
      </c>
      <c r="K1081" s="4" t="n">
        <v>1</v>
      </c>
      <c r="L1081" s="12" t="n">
        <v>0.418292</v>
      </c>
      <c r="M1081" s="12" t="n">
        <v>0.092063</v>
      </c>
      <c r="N1081" s="12" t="n">
        <v>0.151011</v>
      </c>
      <c r="O1081" s="12" t="n">
        <v>0.106183</v>
      </c>
      <c r="P1081" s="12" t="n">
        <v>0.162482</v>
      </c>
      <c r="Q1081" s="0" t="str">
        <f aca="false">IF(L1081&gt;=Models!$G$5,1+COUNTIF($L$5:$L$1517,"&gt;"&amp;L1081)+COUNTIFS($L$5:$L$1517,L1081,$B$5:$B$1517,"&lt;"&amp;B1081)+COUNTIFS($L$5:$L$1517,L1081,$B$5:$B$1517,B1081,$C$5:$C$1517,"&lt;"&amp;C1081),"")</f>
        <v/>
      </c>
      <c r="R1081" s="0" t="str">
        <f aca="false">IF(M1081&gt;=Models!$G$6,1+COUNTIF($M$5:$M$1517,"&gt;"&amp;M1081)+COUNTIFS($M$5:$M$1517,M1081,$B$5:$B$1517,"&lt;"&amp;B1081)+COUNTIFS($M$5:$M$1517,M1081,$B$5:$B$1517,B1081,$C$5:$C$1517,"&lt;"&amp;C1081),"")</f>
        <v/>
      </c>
      <c r="S1081" s="0" t="str">
        <f aca="false">IF(N1081&gt;=Models!$G$7,1+COUNTIF($N$5:$N$1517,"&gt;"&amp;N1081)+COUNTIFS($N$5:$N$1517,N1081,$B$5:$B$1517,"&lt;"&amp;B1081)+COUNTIFS($N$5:$N$1517,N1081,$B$5:$B$1517,B1081,$C$5:$C$1517,"&lt;"&amp;C1081),"")</f>
        <v/>
      </c>
      <c r="T1081" s="8" t="n">
        <f aca="false">IF(O1081&gt;=Models!$G$8,1+COUNTIF($O$5:$O$1517,"&gt;"&amp;O1081)+COUNTIFS($O$5:$O$1517,O1081,$B$5:$B$1517,"&lt;"&amp;B1081)+COUNTIFS($O$5:$O$1517,O1081,$B$5:$B$1517,B1081,$C$5:$C$1517,"&lt;"&amp;C1081),"")</f>
        <v>1379</v>
      </c>
      <c r="U1081" s="8" t="n">
        <f aca="false">IF($K1081=1,COUNTIFS($L$5:$L$1517,"&gt;="&amp;L1081,$K$5:$K$1517,1)/COUNTIF($L$5:$L$1517,"&gt;="&amp;L1081),0)</f>
        <v>0.125431530494822</v>
      </c>
      <c r="V1081" s="8" t="n">
        <f aca="false">IF($K1081=1,COUNTIFS($M$5:$M$1517,"&gt;="&amp;M1081,$K$5:$K$1517,1)/COUNTIF($M$5:$M$1517,"&gt;="&amp;M1081),0)</f>
        <v>0.12491738268341</v>
      </c>
      <c r="W1081" s="8" t="n">
        <f aca="false">IF($K1081=1,COUNTIFS($N$5:$N$1517,"&gt;="&amp;N1081,$K$5:$K$1517,1)/COUNTIF($N$5:$N$1517,"&gt;="&amp;N1081),0)</f>
        <v>0.284313725490196</v>
      </c>
      <c r="X1081" s="8" t="n">
        <f aca="false">IF($K1081=1,COUNTIFS($O$5:$O$1517,"&gt;="&amp;O1081,$K$5:$K$1517,1)/COUNTIF($O$5:$O$1517,"&gt;="&amp;O1081),0)</f>
        <v>0.12491738268341</v>
      </c>
      <c r="Y1081" s="8" t="n">
        <f aca="false">IF($K1081=1,COUNTIFS($P$5:$P$1517,"&gt;="&amp;P1081,$K$5:$K$1517,1)/COUNTIF($P$5:$P$1517,"&gt;="&amp;P1081),0)</f>
        <v>0.284313725490196</v>
      </c>
      <c r="Z1081" s="8" t="n">
        <f aca="false">(L1081-$K1081)^2</f>
        <v>0.338384197264</v>
      </c>
      <c r="AA1081" s="8" t="n">
        <f aca="false">(M1081-$K1081)^2</f>
        <v>0.824349595969</v>
      </c>
      <c r="AB1081" s="8" t="n">
        <f aca="false">(N1081-$K1081)^2</f>
        <v>0.720782322121</v>
      </c>
      <c r="AC1081" s="8" t="n">
        <f aca="false">(O1081-$K1081)^2</f>
        <v>0.798908829489</v>
      </c>
      <c r="AD1081" s="8" t="n">
        <f aca="false">(P1081-$K1081)^2</f>
        <v>0.701436400324</v>
      </c>
      <c r="AE1081" s="8" t="n">
        <f aca="false">MIN(INT(ROUND(N1081*1000000,0)/100000),9)</f>
        <v>1</v>
      </c>
      <c r="AF1081" s="8" t="n">
        <f aca="false">MIN(INT(ROUND(P1081*1000000,0)/100000),9)</f>
        <v>1</v>
      </c>
    </row>
    <row r="1082" customFormat="false" ht="15" hidden="false" customHeight="false" outlineLevel="0" collapsed="false">
      <c r="A1082" s="4" t="n">
        <v>1078</v>
      </c>
      <c r="B1082" s="4" t="n">
        <v>1611</v>
      </c>
      <c r="C1082" s="4" t="n">
        <v>2</v>
      </c>
      <c r="D1082" s="11" t="n">
        <v>46113</v>
      </c>
      <c r="E1082" s="4" t="s">
        <v>204</v>
      </c>
      <c r="F1082" s="4" t="s">
        <v>208</v>
      </c>
      <c r="G1082" s="4" t="n">
        <v>1</v>
      </c>
      <c r="H1082" s="4" t="n">
        <v>15</v>
      </c>
      <c r="I1082" s="4" t="n">
        <v>0</v>
      </c>
      <c r="J1082" s="4" t="n">
        <v>108</v>
      </c>
      <c r="K1082" s="4" t="n">
        <v>0</v>
      </c>
      <c r="L1082" s="12" t="n">
        <v>0.954954</v>
      </c>
      <c r="M1082" s="12" t="n">
        <v>0.092063</v>
      </c>
      <c r="N1082" s="12" t="n">
        <v>0.163912</v>
      </c>
      <c r="O1082" s="12" t="n">
        <v>0.106183</v>
      </c>
      <c r="P1082" s="12" t="n">
        <v>0.176832</v>
      </c>
      <c r="Q1082" s="0" t="str">
        <f aca="false">IF(L1082&gt;=Models!$G$5,1+COUNTIF($L$5:$L$1517,"&gt;"&amp;L1082)+COUNTIFS($L$5:$L$1517,L1082,$B$5:$B$1517,"&lt;"&amp;B1082)+COUNTIFS($L$5:$L$1517,L1082,$B$5:$B$1517,B1082,$C$5:$C$1517,"&lt;"&amp;C1082),"")</f>
        <v/>
      </c>
      <c r="R1082" s="0" t="str">
        <f aca="false">IF(M1082&gt;=Models!$G$6,1+COUNTIF($M$5:$M$1517,"&gt;"&amp;M1082)+COUNTIFS($M$5:$M$1517,M1082,$B$5:$B$1517,"&lt;"&amp;B1082)+COUNTIFS($M$5:$M$1517,M1082,$B$5:$B$1517,B1082,$C$5:$C$1517,"&lt;"&amp;C1082),"")</f>
        <v/>
      </c>
      <c r="S1082" s="0" t="str">
        <f aca="false">IF(N1082&gt;=Models!$G$7,1+COUNTIF($N$5:$N$1517,"&gt;"&amp;N1082)+COUNTIFS($N$5:$N$1517,N1082,$B$5:$B$1517,"&lt;"&amp;B1082)+COUNTIFS($N$5:$N$1517,N1082,$B$5:$B$1517,B1082,$C$5:$C$1517,"&lt;"&amp;C1082),"")</f>
        <v/>
      </c>
      <c r="T1082" s="8" t="n">
        <f aca="false">IF(O1082&gt;=Models!$G$8,1+COUNTIF($O$5:$O$1517,"&gt;"&amp;O1082)+COUNTIFS($O$5:$O$1517,O1082,$B$5:$B$1517,"&lt;"&amp;B1082)+COUNTIFS($O$5:$O$1517,O1082,$B$5:$B$1517,B1082,$C$5:$C$1517,"&lt;"&amp;C1082),"")</f>
        <v>1381</v>
      </c>
      <c r="U1082" s="8" t="n">
        <f aca="false">IF($K1082=1,COUNTIFS($L$5:$L$1517,"&gt;="&amp;L1082,$K$5:$K$1517,1)/COUNTIF($L$5:$L$1517,"&gt;="&amp;L1082),0)</f>
        <v>0</v>
      </c>
      <c r="V1082" s="8" t="n">
        <f aca="false">IF($K1082=1,COUNTIFS($M$5:$M$1517,"&gt;="&amp;M1082,$K$5:$K$1517,1)/COUNTIF($M$5:$M$1517,"&gt;="&amp;M1082),0)</f>
        <v>0</v>
      </c>
      <c r="W1082" s="8" t="n">
        <f aca="false">IF($K1082=1,COUNTIFS($N$5:$N$1517,"&gt;="&amp;N1082,$K$5:$K$1517,1)/COUNTIF($N$5:$N$1517,"&gt;="&amp;N1082),0)</f>
        <v>0</v>
      </c>
      <c r="X1082" s="8" t="n">
        <f aca="false">IF($K1082=1,COUNTIFS($O$5:$O$1517,"&gt;="&amp;O1082,$K$5:$K$1517,1)/COUNTIF($O$5:$O$1517,"&gt;="&amp;O1082),0)</f>
        <v>0</v>
      </c>
      <c r="Y1082" s="8" t="n">
        <f aca="false">IF($K1082=1,COUNTIFS($P$5:$P$1517,"&gt;="&amp;P1082,$K$5:$K$1517,1)/COUNTIF($P$5:$P$1517,"&gt;="&amp;P1082),0)</f>
        <v>0</v>
      </c>
      <c r="Z1082" s="8" t="n">
        <f aca="false">(L1082-$K1082)^2</f>
        <v>0.911937142116</v>
      </c>
      <c r="AA1082" s="8" t="n">
        <f aca="false">(M1082-$K1082)^2</f>
        <v>0.008475595969</v>
      </c>
      <c r="AB1082" s="8" t="n">
        <f aca="false">(N1082-$K1082)^2</f>
        <v>0.026867143744</v>
      </c>
      <c r="AC1082" s="8" t="n">
        <f aca="false">(O1082-$K1082)^2</f>
        <v>0.011274829489</v>
      </c>
      <c r="AD1082" s="8" t="n">
        <f aca="false">(P1082-$K1082)^2</f>
        <v>0.031269556224</v>
      </c>
      <c r="AE1082" s="8" t="n">
        <f aca="false">MIN(INT(ROUND(N1082*1000000,0)/100000),9)</f>
        <v>1</v>
      </c>
      <c r="AF1082" s="8" t="n">
        <f aca="false">MIN(INT(ROUND(P1082*1000000,0)/100000),9)</f>
        <v>1</v>
      </c>
    </row>
    <row r="1083" customFormat="false" ht="15" hidden="false" customHeight="false" outlineLevel="0" collapsed="false">
      <c r="A1083" s="4" t="n">
        <v>1079</v>
      </c>
      <c r="B1083" s="4" t="n">
        <v>1613</v>
      </c>
      <c r="C1083" s="4" t="n">
        <v>2</v>
      </c>
      <c r="D1083" s="11" t="n">
        <v>46113</v>
      </c>
      <c r="E1083" s="4" t="s">
        <v>201</v>
      </c>
      <c r="F1083" s="4" t="s">
        <v>209</v>
      </c>
      <c r="G1083" s="4" t="n">
        <v>12</v>
      </c>
      <c r="H1083" s="4" t="n">
        <v>0</v>
      </c>
      <c r="I1083" s="4" t="n">
        <v>0</v>
      </c>
      <c r="J1083" s="4"/>
      <c r="K1083" s="4" t="n">
        <v>0</v>
      </c>
      <c r="L1083" s="12" t="n">
        <v>0.950136</v>
      </c>
      <c r="M1083" s="12" t="n">
        <v>0.092063</v>
      </c>
      <c r="N1083" s="12" t="n">
        <v>0.02952</v>
      </c>
      <c r="O1083" s="12" t="n">
        <v>0.106183</v>
      </c>
      <c r="P1083" s="12" t="n">
        <v>0.0296</v>
      </c>
      <c r="Q1083" s="0" t="str">
        <f aca="false">IF(L1083&gt;=Models!$G$5,1+COUNTIF($L$5:$L$1517,"&gt;"&amp;L1083)+COUNTIFS($L$5:$L$1517,L1083,$B$5:$B$1517,"&lt;"&amp;B1083)+COUNTIFS($L$5:$L$1517,L1083,$B$5:$B$1517,B1083,$C$5:$C$1517,"&lt;"&amp;C1083),"")</f>
        <v/>
      </c>
      <c r="R1083" s="0" t="str">
        <f aca="false">IF(M1083&gt;=Models!$G$6,1+COUNTIF($M$5:$M$1517,"&gt;"&amp;M1083)+COUNTIFS($M$5:$M$1517,M1083,$B$5:$B$1517,"&lt;"&amp;B1083)+COUNTIFS($M$5:$M$1517,M1083,$B$5:$B$1517,B1083,$C$5:$C$1517,"&lt;"&amp;C1083),"")</f>
        <v/>
      </c>
      <c r="S1083" s="0" t="str">
        <f aca="false">IF(N1083&gt;=Models!$G$7,1+COUNTIF($N$5:$N$1517,"&gt;"&amp;N1083)+COUNTIFS($N$5:$N$1517,N1083,$B$5:$B$1517,"&lt;"&amp;B1083)+COUNTIFS($N$5:$N$1517,N1083,$B$5:$B$1517,B1083,$C$5:$C$1517,"&lt;"&amp;C1083),"")</f>
        <v/>
      </c>
      <c r="T1083" s="8" t="n">
        <f aca="false">IF(O1083&gt;=Models!$G$8,1+COUNTIF($O$5:$O$1517,"&gt;"&amp;O1083)+COUNTIFS($O$5:$O$1517,O1083,$B$5:$B$1517,"&lt;"&amp;B1083)+COUNTIFS($O$5:$O$1517,O1083,$B$5:$B$1517,B1083,$C$5:$C$1517,"&lt;"&amp;C1083),"")</f>
        <v>1384</v>
      </c>
      <c r="U1083" s="8" t="n">
        <f aca="false">IF($K1083=1,COUNTIFS($L$5:$L$1517,"&gt;="&amp;L1083,$K$5:$K$1517,1)/COUNTIF($L$5:$L$1517,"&gt;="&amp;L1083),0)</f>
        <v>0</v>
      </c>
      <c r="V1083" s="8" t="n">
        <f aca="false">IF($K1083=1,COUNTIFS($M$5:$M$1517,"&gt;="&amp;M1083,$K$5:$K$1517,1)/COUNTIF($M$5:$M$1517,"&gt;="&amp;M1083),0)</f>
        <v>0</v>
      </c>
      <c r="W1083" s="8" t="n">
        <f aca="false">IF($K1083=1,COUNTIFS($N$5:$N$1517,"&gt;="&amp;N1083,$K$5:$K$1517,1)/COUNTIF($N$5:$N$1517,"&gt;="&amp;N1083),0)</f>
        <v>0</v>
      </c>
      <c r="X1083" s="8" t="n">
        <f aca="false">IF($K1083=1,COUNTIFS($O$5:$O$1517,"&gt;="&amp;O1083,$K$5:$K$1517,1)/COUNTIF($O$5:$O$1517,"&gt;="&amp;O1083),0)</f>
        <v>0</v>
      </c>
      <c r="Y1083" s="8" t="n">
        <f aca="false">IF($K1083=1,COUNTIFS($P$5:$P$1517,"&gt;="&amp;P1083,$K$5:$K$1517,1)/COUNTIF($P$5:$P$1517,"&gt;="&amp;P1083),0)</f>
        <v>0</v>
      </c>
      <c r="Z1083" s="8" t="n">
        <f aca="false">(L1083-$K1083)^2</f>
        <v>0.902758418496</v>
      </c>
      <c r="AA1083" s="8" t="n">
        <f aca="false">(M1083-$K1083)^2</f>
        <v>0.008475595969</v>
      </c>
      <c r="AB1083" s="8" t="n">
        <f aca="false">(N1083-$K1083)^2</f>
        <v>0.0008714304</v>
      </c>
      <c r="AC1083" s="8" t="n">
        <f aca="false">(O1083-$K1083)^2</f>
        <v>0.011274829489</v>
      </c>
      <c r="AD1083" s="8" t="n">
        <f aca="false">(P1083-$K1083)^2</f>
        <v>0.00087616</v>
      </c>
      <c r="AE1083" s="8" t="n">
        <f aca="false">MIN(INT(ROUND(N1083*1000000,0)/100000),9)</f>
        <v>0</v>
      </c>
      <c r="AF1083" s="8" t="n">
        <f aca="false">MIN(INT(ROUND(P1083*1000000,0)/100000),9)</f>
        <v>0</v>
      </c>
    </row>
    <row r="1084" customFormat="false" ht="15" hidden="false" customHeight="false" outlineLevel="0" collapsed="false">
      <c r="A1084" s="4" t="n">
        <v>1080</v>
      </c>
      <c r="B1084" s="4" t="n">
        <v>1616</v>
      </c>
      <c r="C1084" s="4" t="n">
        <v>2</v>
      </c>
      <c r="D1084" s="11" t="n">
        <v>46113</v>
      </c>
      <c r="E1084" s="4" t="s">
        <v>201</v>
      </c>
      <c r="F1084" s="4" t="s">
        <v>209</v>
      </c>
      <c r="G1084" s="4" t="n">
        <v>12</v>
      </c>
      <c r="H1084" s="4" t="n">
        <v>0</v>
      </c>
      <c r="I1084" s="4" t="n">
        <v>2</v>
      </c>
      <c r="J1084" s="4"/>
      <c r="K1084" s="4" t="n">
        <v>0</v>
      </c>
      <c r="L1084" s="12" t="n">
        <v>0.006449</v>
      </c>
      <c r="M1084" s="12" t="n">
        <v>0.184211</v>
      </c>
      <c r="N1084" s="12" t="n">
        <v>0.09107</v>
      </c>
      <c r="O1084" s="12" t="n">
        <v>0.106183</v>
      </c>
      <c r="P1084" s="12" t="n">
        <v>0.096117</v>
      </c>
      <c r="Q1084" s="0" t="str">
        <f aca="false">IF(L1084&gt;=Models!$G$5,1+COUNTIF($L$5:$L$1517,"&gt;"&amp;L1084)+COUNTIFS($L$5:$L$1517,L1084,$B$5:$B$1517,"&lt;"&amp;B1084)+COUNTIFS($L$5:$L$1517,L1084,$B$5:$B$1517,B1084,$C$5:$C$1517,"&lt;"&amp;C1084),"")</f>
        <v/>
      </c>
      <c r="R1084" s="8" t="n">
        <f aca="false">IF(M1084&gt;=Models!$G$6,1+COUNTIF($M$5:$M$1517,"&gt;"&amp;M1084)+COUNTIFS($M$5:$M$1517,M1084,$B$5:$B$1517,"&lt;"&amp;B1084)+COUNTIFS($M$5:$M$1517,M1084,$B$5:$B$1517,B1084,$C$5:$C$1517,"&lt;"&amp;C1084),"")</f>
        <v>178</v>
      </c>
      <c r="S1084" s="0" t="str">
        <f aca="false">IF(N1084&gt;=Models!$G$7,1+COUNTIF($N$5:$N$1517,"&gt;"&amp;N1084)+COUNTIFS($N$5:$N$1517,N1084,$B$5:$B$1517,"&lt;"&amp;B1084)+COUNTIFS($N$5:$N$1517,N1084,$B$5:$B$1517,B1084,$C$5:$C$1517,"&lt;"&amp;C1084),"")</f>
        <v/>
      </c>
      <c r="T1084" s="8" t="n">
        <f aca="false">IF(O1084&gt;=Models!$G$8,1+COUNTIF($O$5:$O$1517,"&gt;"&amp;O1084)+COUNTIFS($O$5:$O$1517,O1084,$B$5:$B$1517,"&lt;"&amp;B1084)+COUNTIFS($O$5:$O$1517,O1084,$B$5:$B$1517,B1084,$C$5:$C$1517,"&lt;"&amp;C1084),"")</f>
        <v>1387</v>
      </c>
      <c r="U1084" s="8" t="n">
        <f aca="false">IF($K1084=1,COUNTIFS($L$5:$L$1517,"&gt;="&amp;L1084,$K$5:$K$1517,1)/COUNTIF($L$5:$L$1517,"&gt;="&amp;L1084),0)</f>
        <v>0</v>
      </c>
      <c r="V1084" s="8" t="n">
        <f aca="false">IF($K1084=1,COUNTIFS($M$5:$M$1517,"&gt;="&amp;M1084,$K$5:$K$1517,1)/COUNTIF($M$5:$M$1517,"&gt;="&amp;M1084),0)</f>
        <v>0</v>
      </c>
      <c r="W1084" s="8" t="n">
        <f aca="false">IF($K1084=1,COUNTIFS($N$5:$N$1517,"&gt;="&amp;N1084,$K$5:$K$1517,1)/COUNTIF($N$5:$N$1517,"&gt;="&amp;N1084),0)</f>
        <v>0</v>
      </c>
      <c r="X1084" s="8" t="n">
        <f aca="false">IF($K1084=1,COUNTIFS($O$5:$O$1517,"&gt;="&amp;O1084,$K$5:$K$1517,1)/COUNTIF($O$5:$O$1517,"&gt;="&amp;O1084),0)</f>
        <v>0</v>
      </c>
      <c r="Y1084" s="8" t="n">
        <f aca="false">IF($K1084=1,COUNTIFS($P$5:$P$1517,"&gt;="&amp;P1084,$K$5:$K$1517,1)/COUNTIF($P$5:$P$1517,"&gt;="&amp;P1084),0)</f>
        <v>0</v>
      </c>
      <c r="Z1084" s="8" t="n">
        <f aca="false">(L1084-$K1084)^2</f>
        <v>4.1589601E-005</v>
      </c>
      <c r="AA1084" s="8" t="n">
        <f aca="false">(M1084-$K1084)^2</f>
        <v>0.033933692521</v>
      </c>
      <c r="AB1084" s="8" t="n">
        <f aca="false">(N1084-$K1084)^2</f>
        <v>0.0082937449</v>
      </c>
      <c r="AC1084" s="8" t="n">
        <f aca="false">(O1084-$K1084)^2</f>
        <v>0.011274829489</v>
      </c>
      <c r="AD1084" s="8" t="n">
        <f aca="false">(P1084-$K1084)^2</f>
        <v>0.009238477689</v>
      </c>
      <c r="AE1084" s="8" t="n">
        <f aca="false">MIN(INT(ROUND(N1084*1000000,0)/100000),9)</f>
        <v>0</v>
      </c>
      <c r="AF1084" s="8" t="n">
        <f aca="false">MIN(INT(ROUND(P1084*1000000,0)/100000),9)</f>
        <v>0</v>
      </c>
    </row>
    <row r="1085" customFormat="false" ht="15" hidden="false" customHeight="false" outlineLevel="0" collapsed="false">
      <c r="A1085" s="4" t="n">
        <v>1081</v>
      </c>
      <c r="B1085" s="4" t="n">
        <v>1624</v>
      </c>
      <c r="C1085" s="4" t="n">
        <v>2</v>
      </c>
      <c r="D1085" s="11" t="n">
        <v>46113</v>
      </c>
      <c r="E1085" s="4" t="s">
        <v>203</v>
      </c>
      <c r="F1085" s="4" t="s">
        <v>206</v>
      </c>
      <c r="G1085" s="4" t="n">
        <v>4</v>
      </c>
      <c r="H1085" s="4" t="n">
        <v>1</v>
      </c>
      <c r="I1085" s="4" t="n">
        <v>0</v>
      </c>
      <c r="J1085" s="4"/>
      <c r="K1085" s="4" t="n">
        <v>0</v>
      </c>
      <c r="L1085" s="12" t="n">
        <v>0.491106</v>
      </c>
      <c r="M1085" s="12" t="n">
        <v>0.092063</v>
      </c>
      <c r="N1085" s="12" t="n">
        <v>0.059268</v>
      </c>
      <c r="O1085" s="12" t="n">
        <v>0.106183</v>
      </c>
      <c r="P1085" s="12" t="n">
        <v>0.06139</v>
      </c>
      <c r="Q1085" s="0" t="str">
        <f aca="false">IF(L1085&gt;=Models!$G$5,1+COUNTIF($L$5:$L$1517,"&gt;"&amp;L1085)+COUNTIFS($L$5:$L$1517,L1085,$B$5:$B$1517,"&lt;"&amp;B1085)+COUNTIFS($L$5:$L$1517,L1085,$B$5:$B$1517,B1085,$C$5:$C$1517,"&lt;"&amp;C1085),"")</f>
        <v/>
      </c>
      <c r="R1085" s="0" t="str">
        <f aca="false">IF(M1085&gt;=Models!$G$6,1+COUNTIF($M$5:$M$1517,"&gt;"&amp;M1085)+COUNTIFS($M$5:$M$1517,M1085,$B$5:$B$1517,"&lt;"&amp;B1085)+COUNTIFS($M$5:$M$1517,M1085,$B$5:$B$1517,B1085,$C$5:$C$1517,"&lt;"&amp;C1085),"")</f>
        <v/>
      </c>
      <c r="S1085" s="0" t="str">
        <f aca="false">IF(N1085&gt;=Models!$G$7,1+COUNTIF($N$5:$N$1517,"&gt;"&amp;N1085)+COUNTIFS($N$5:$N$1517,N1085,$B$5:$B$1517,"&lt;"&amp;B1085)+COUNTIFS($N$5:$N$1517,N1085,$B$5:$B$1517,B1085,$C$5:$C$1517,"&lt;"&amp;C1085),"")</f>
        <v/>
      </c>
      <c r="T1085" s="8" t="n">
        <f aca="false">IF(O1085&gt;=Models!$G$8,1+COUNTIF($O$5:$O$1517,"&gt;"&amp;O1085)+COUNTIFS($O$5:$O$1517,O1085,$B$5:$B$1517,"&lt;"&amp;B1085)+COUNTIFS($O$5:$O$1517,O1085,$B$5:$B$1517,B1085,$C$5:$C$1517,"&lt;"&amp;C1085),"")</f>
        <v>1390</v>
      </c>
      <c r="U1085" s="8" t="n">
        <f aca="false">IF($K1085=1,COUNTIFS($L$5:$L$1517,"&gt;="&amp;L1085,$K$5:$K$1517,1)/COUNTIF($L$5:$L$1517,"&gt;="&amp;L1085),0)</f>
        <v>0</v>
      </c>
      <c r="V1085" s="8" t="n">
        <f aca="false">IF($K1085=1,COUNTIFS($M$5:$M$1517,"&gt;="&amp;M1085,$K$5:$K$1517,1)/COUNTIF($M$5:$M$1517,"&gt;="&amp;M1085),0)</f>
        <v>0</v>
      </c>
      <c r="W1085" s="8" t="n">
        <f aca="false">IF($K1085=1,COUNTIFS($N$5:$N$1517,"&gt;="&amp;N1085,$K$5:$K$1517,1)/COUNTIF($N$5:$N$1517,"&gt;="&amp;N1085),0)</f>
        <v>0</v>
      </c>
      <c r="X1085" s="8" t="n">
        <f aca="false">IF($K1085=1,COUNTIFS($O$5:$O$1517,"&gt;="&amp;O1085,$K$5:$K$1517,1)/COUNTIF($O$5:$O$1517,"&gt;="&amp;O1085),0)</f>
        <v>0</v>
      </c>
      <c r="Y1085" s="8" t="n">
        <f aca="false">IF($K1085=1,COUNTIFS($P$5:$P$1517,"&gt;="&amp;P1085,$K$5:$K$1517,1)/COUNTIF($P$5:$P$1517,"&gt;="&amp;P1085),0)</f>
        <v>0</v>
      </c>
      <c r="Z1085" s="8" t="n">
        <f aca="false">(L1085-$K1085)^2</f>
        <v>0.241185103236</v>
      </c>
      <c r="AA1085" s="8" t="n">
        <f aca="false">(M1085-$K1085)^2</f>
        <v>0.008475595969</v>
      </c>
      <c r="AB1085" s="8" t="n">
        <f aca="false">(N1085-$K1085)^2</f>
        <v>0.003512695824</v>
      </c>
      <c r="AC1085" s="8" t="n">
        <f aca="false">(O1085-$K1085)^2</f>
        <v>0.011274829489</v>
      </c>
      <c r="AD1085" s="8" t="n">
        <f aca="false">(P1085-$K1085)^2</f>
        <v>0.0037687321</v>
      </c>
      <c r="AE1085" s="8" t="n">
        <f aca="false">MIN(INT(ROUND(N1085*1000000,0)/100000),9)</f>
        <v>0</v>
      </c>
      <c r="AF1085" s="8" t="n">
        <f aca="false">MIN(INT(ROUND(P1085*1000000,0)/100000),9)</f>
        <v>0</v>
      </c>
    </row>
    <row r="1086" customFormat="false" ht="15" hidden="false" customHeight="false" outlineLevel="0" collapsed="false">
      <c r="A1086" s="4" t="n">
        <v>1082</v>
      </c>
      <c r="B1086" s="4" t="n">
        <v>1625</v>
      </c>
      <c r="C1086" s="4" t="n">
        <v>2</v>
      </c>
      <c r="D1086" s="11" t="n">
        <v>46113</v>
      </c>
      <c r="E1086" s="4" t="s">
        <v>204</v>
      </c>
      <c r="F1086" s="4" t="s">
        <v>209</v>
      </c>
      <c r="G1086" s="4" t="n">
        <v>6</v>
      </c>
      <c r="H1086" s="4" t="n">
        <v>0</v>
      </c>
      <c r="I1086" s="4" t="n">
        <v>0</v>
      </c>
      <c r="J1086" s="4" t="n">
        <v>108</v>
      </c>
      <c r="K1086" s="4" t="n">
        <v>1</v>
      </c>
      <c r="L1086" s="12" t="n">
        <v>0.785896</v>
      </c>
      <c r="M1086" s="12" t="n">
        <v>0.092063</v>
      </c>
      <c r="N1086" s="12" t="n">
        <v>0.099545</v>
      </c>
      <c r="O1086" s="12" t="n">
        <v>0.106183</v>
      </c>
      <c r="P1086" s="12" t="n">
        <v>0.105449</v>
      </c>
      <c r="Q1086" s="0" t="str">
        <f aca="false">IF(L1086&gt;=Models!$G$5,1+COUNTIF($L$5:$L$1517,"&gt;"&amp;L1086)+COUNTIFS($L$5:$L$1517,L1086,$B$5:$B$1517,"&lt;"&amp;B1086)+COUNTIFS($L$5:$L$1517,L1086,$B$5:$B$1517,B1086,$C$5:$C$1517,"&lt;"&amp;C1086),"")</f>
        <v/>
      </c>
      <c r="R1086" s="0" t="str">
        <f aca="false">IF(M1086&gt;=Models!$G$6,1+COUNTIF($M$5:$M$1517,"&gt;"&amp;M1086)+COUNTIFS($M$5:$M$1517,M1086,$B$5:$B$1517,"&lt;"&amp;B1086)+COUNTIFS($M$5:$M$1517,M1086,$B$5:$B$1517,B1086,$C$5:$C$1517,"&lt;"&amp;C1086),"")</f>
        <v/>
      </c>
      <c r="S1086" s="0" t="str">
        <f aca="false">IF(N1086&gt;=Models!$G$7,1+COUNTIF($N$5:$N$1517,"&gt;"&amp;N1086)+COUNTIFS($N$5:$N$1517,N1086,$B$5:$B$1517,"&lt;"&amp;B1086)+COUNTIFS($N$5:$N$1517,N1086,$B$5:$B$1517,B1086,$C$5:$C$1517,"&lt;"&amp;C1086),"")</f>
        <v/>
      </c>
      <c r="T1086" s="8" t="n">
        <f aca="false">IF(O1086&gt;=Models!$G$8,1+COUNTIF($O$5:$O$1517,"&gt;"&amp;O1086)+COUNTIFS($O$5:$O$1517,O1086,$B$5:$B$1517,"&lt;"&amp;B1086)+COUNTIFS($O$5:$O$1517,O1086,$B$5:$B$1517,B1086,$C$5:$C$1517,"&lt;"&amp;C1086),"")</f>
        <v>1393</v>
      </c>
      <c r="U1086" s="8" t="n">
        <f aca="false">IF($K1086=1,COUNTIFS($L$5:$L$1517,"&gt;="&amp;L1086,$K$5:$K$1517,1)/COUNTIF($L$5:$L$1517,"&gt;="&amp;L1086),0)</f>
        <v>0.135483870967742</v>
      </c>
      <c r="V1086" s="8" t="n">
        <f aca="false">IF($K1086=1,COUNTIFS($M$5:$M$1517,"&gt;="&amp;M1086,$K$5:$K$1517,1)/COUNTIF($M$5:$M$1517,"&gt;="&amp;M1086),0)</f>
        <v>0.12491738268341</v>
      </c>
      <c r="W1086" s="8" t="n">
        <f aca="false">IF($K1086=1,COUNTIFS($N$5:$N$1517,"&gt;="&amp;N1086,$K$5:$K$1517,1)/COUNTIF($N$5:$N$1517,"&gt;="&amp;N1086),0)</f>
        <v>0.192362093352192</v>
      </c>
      <c r="X1086" s="8" t="n">
        <f aca="false">IF($K1086=1,COUNTIFS($O$5:$O$1517,"&gt;="&amp;O1086,$K$5:$K$1517,1)/COUNTIF($O$5:$O$1517,"&gt;="&amp;O1086),0)</f>
        <v>0.12491738268341</v>
      </c>
      <c r="Y1086" s="8" t="n">
        <f aca="false">IF($K1086=1,COUNTIFS($P$5:$P$1517,"&gt;="&amp;P1086,$K$5:$K$1517,1)/COUNTIF($P$5:$P$1517,"&gt;="&amp;P1086),0)</f>
        <v>0.192362093352192</v>
      </c>
      <c r="Z1086" s="8" t="n">
        <f aca="false">(L1086-$K1086)^2</f>
        <v>0.045840522816</v>
      </c>
      <c r="AA1086" s="8" t="n">
        <f aca="false">(M1086-$K1086)^2</f>
        <v>0.824349595969</v>
      </c>
      <c r="AB1086" s="8" t="n">
        <f aca="false">(N1086-$K1086)^2</f>
        <v>0.810819207025</v>
      </c>
      <c r="AC1086" s="8" t="n">
        <f aca="false">(O1086-$K1086)^2</f>
        <v>0.798908829489</v>
      </c>
      <c r="AD1086" s="8" t="n">
        <f aca="false">(P1086-$K1086)^2</f>
        <v>0.800221491601</v>
      </c>
      <c r="AE1086" s="8" t="n">
        <f aca="false">MIN(INT(ROUND(N1086*1000000,0)/100000),9)</f>
        <v>0</v>
      </c>
      <c r="AF1086" s="8" t="n">
        <f aca="false">MIN(INT(ROUND(P1086*1000000,0)/100000),9)</f>
        <v>1</v>
      </c>
    </row>
    <row r="1087" customFormat="false" ht="15" hidden="false" customHeight="false" outlineLevel="0" collapsed="false">
      <c r="A1087" s="4" t="n">
        <v>1083</v>
      </c>
      <c r="B1087" s="4" t="n">
        <v>1626</v>
      </c>
      <c r="C1087" s="4" t="n">
        <v>2</v>
      </c>
      <c r="D1087" s="11" t="n">
        <v>46113</v>
      </c>
      <c r="E1087" s="4" t="s">
        <v>201</v>
      </c>
      <c r="F1087" s="4" t="s">
        <v>209</v>
      </c>
      <c r="G1087" s="4" t="n">
        <v>14</v>
      </c>
      <c r="H1087" s="4" t="n">
        <v>5</v>
      </c>
      <c r="I1087" s="4" t="n">
        <v>0</v>
      </c>
      <c r="J1087" s="4"/>
      <c r="K1087" s="4" t="n">
        <v>0</v>
      </c>
      <c r="L1087" s="12" t="n">
        <v>0.094194</v>
      </c>
      <c r="M1087" s="12" t="n">
        <v>0.092063</v>
      </c>
      <c r="N1087" s="12" t="n">
        <v>0.025788</v>
      </c>
      <c r="O1087" s="12" t="n">
        <v>0.106183</v>
      </c>
      <c r="P1087" s="12" t="n">
        <v>0.025692</v>
      </c>
      <c r="Q1087" s="0" t="str">
        <f aca="false">IF(L1087&gt;=Models!$G$5,1+COUNTIF($L$5:$L$1517,"&gt;"&amp;L1087)+COUNTIFS($L$5:$L$1517,L1087,$B$5:$B$1517,"&lt;"&amp;B1087)+COUNTIFS($L$5:$L$1517,L1087,$B$5:$B$1517,B1087,$C$5:$C$1517,"&lt;"&amp;C1087),"")</f>
        <v/>
      </c>
      <c r="R1087" s="0" t="str">
        <f aca="false">IF(M1087&gt;=Models!$G$6,1+COUNTIF($M$5:$M$1517,"&gt;"&amp;M1087)+COUNTIFS($M$5:$M$1517,M1087,$B$5:$B$1517,"&lt;"&amp;B1087)+COUNTIFS($M$5:$M$1517,M1087,$B$5:$B$1517,B1087,$C$5:$C$1517,"&lt;"&amp;C1087),"")</f>
        <v/>
      </c>
      <c r="S1087" s="0" t="str">
        <f aca="false">IF(N1087&gt;=Models!$G$7,1+COUNTIF($N$5:$N$1517,"&gt;"&amp;N1087)+COUNTIFS($N$5:$N$1517,N1087,$B$5:$B$1517,"&lt;"&amp;B1087)+COUNTIFS($N$5:$N$1517,N1087,$B$5:$B$1517,B1087,$C$5:$C$1517,"&lt;"&amp;C1087),"")</f>
        <v/>
      </c>
      <c r="T1087" s="8" t="n">
        <f aca="false">IF(O1087&gt;=Models!$G$8,1+COUNTIF($O$5:$O$1517,"&gt;"&amp;O1087)+COUNTIFS($O$5:$O$1517,O1087,$B$5:$B$1517,"&lt;"&amp;B1087)+COUNTIFS($O$5:$O$1517,O1087,$B$5:$B$1517,B1087,$C$5:$C$1517,"&lt;"&amp;C1087),"")</f>
        <v>1395</v>
      </c>
      <c r="U1087" s="8" t="n">
        <f aca="false">IF($K1087=1,COUNTIFS($L$5:$L$1517,"&gt;="&amp;L1087,$K$5:$K$1517,1)/COUNTIF($L$5:$L$1517,"&gt;="&amp;L1087),0)</f>
        <v>0</v>
      </c>
      <c r="V1087" s="8" t="n">
        <f aca="false">IF($K1087=1,COUNTIFS($M$5:$M$1517,"&gt;="&amp;M1087,$K$5:$K$1517,1)/COUNTIF($M$5:$M$1517,"&gt;="&amp;M1087),0)</f>
        <v>0</v>
      </c>
      <c r="W1087" s="8" t="n">
        <f aca="false">IF($K1087=1,COUNTIFS($N$5:$N$1517,"&gt;="&amp;N1087,$K$5:$K$1517,1)/COUNTIF($N$5:$N$1517,"&gt;="&amp;N1087),0)</f>
        <v>0</v>
      </c>
      <c r="X1087" s="8" t="n">
        <f aca="false">IF($K1087=1,COUNTIFS($O$5:$O$1517,"&gt;="&amp;O1087,$K$5:$K$1517,1)/COUNTIF($O$5:$O$1517,"&gt;="&amp;O1087),0)</f>
        <v>0</v>
      </c>
      <c r="Y1087" s="8" t="n">
        <f aca="false">IF($K1087=1,COUNTIFS($P$5:$P$1517,"&gt;="&amp;P1087,$K$5:$K$1517,1)/COUNTIF($P$5:$P$1517,"&gt;="&amp;P1087),0)</f>
        <v>0</v>
      </c>
      <c r="Z1087" s="8" t="n">
        <f aca="false">(L1087-$K1087)^2</f>
        <v>0.008872509636</v>
      </c>
      <c r="AA1087" s="8" t="n">
        <f aca="false">(M1087-$K1087)^2</f>
        <v>0.008475595969</v>
      </c>
      <c r="AB1087" s="8" t="n">
        <f aca="false">(N1087-$K1087)^2</f>
        <v>0.000665020944</v>
      </c>
      <c r="AC1087" s="8" t="n">
        <f aca="false">(O1087-$K1087)^2</f>
        <v>0.011274829489</v>
      </c>
      <c r="AD1087" s="8" t="n">
        <f aca="false">(P1087-$K1087)^2</f>
        <v>0.000660078864</v>
      </c>
      <c r="AE1087" s="8" t="n">
        <f aca="false">MIN(INT(ROUND(N1087*1000000,0)/100000),9)</f>
        <v>0</v>
      </c>
      <c r="AF1087" s="8" t="n">
        <f aca="false">MIN(INT(ROUND(P1087*1000000,0)/100000),9)</f>
        <v>0</v>
      </c>
    </row>
    <row r="1088" customFormat="false" ht="15" hidden="false" customHeight="false" outlineLevel="0" collapsed="false">
      <c r="A1088" s="4" t="n">
        <v>1084</v>
      </c>
      <c r="B1088" s="4" t="n">
        <v>1628</v>
      </c>
      <c r="C1088" s="4" t="n">
        <v>2</v>
      </c>
      <c r="D1088" s="11" t="n">
        <v>46113</v>
      </c>
      <c r="E1088" s="4" t="s">
        <v>202</v>
      </c>
      <c r="F1088" s="4" t="s">
        <v>210</v>
      </c>
      <c r="G1088" s="4" t="n">
        <v>4</v>
      </c>
      <c r="H1088" s="4" t="n">
        <v>3</v>
      </c>
      <c r="I1088" s="4" t="n">
        <v>0</v>
      </c>
      <c r="J1088" s="4"/>
      <c r="K1088" s="4" t="n">
        <v>1</v>
      </c>
      <c r="L1088" s="12" t="n">
        <v>0.974352</v>
      </c>
      <c r="M1088" s="12" t="n">
        <v>0.092063</v>
      </c>
      <c r="N1088" s="12" t="n">
        <v>0.060188</v>
      </c>
      <c r="O1088" s="12" t="n">
        <v>0.106183</v>
      </c>
      <c r="P1088" s="12" t="n">
        <v>0.062387</v>
      </c>
      <c r="Q1088" s="0" t="str">
        <f aca="false">IF(L1088&gt;=Models!$G$5,1+COUNTIF($L$5:$L$1517,"&gt;"&amp;L1088)+COUNTIFS($L$5:$L$1517,L1088,$B$5:$B$1517,"&lt;"&amp;B1088)+COUNTIFS($L$5:$L$1517,L1088,$B$5:$B$1517,B1088,$C$5:$C$1517,"&lt;"&amp;C1088),"")</f>
        <v/>
      </c>
      <c r="R1088" s="0" t="str">
        <f aca="false">IF(M1088&gt;=Models!$G$6,1+COUNTIF($M$5:$M$1517,"&gt;"&amp;M1088)+COUNTIFS($M$5:$M$1517,M1088,$B$5:$B$1517,"&lt;"&amp;B1088)+COUNTIFS($M$5:$M$1517,M1088,$B$5:$B$1517,B1088,$C$5:$C$1517,"&lt;"&amp;C1088),"")</f>
        <v/>
      </c>
      <c r="S1088" s="0" t="str">
        <f aca="false">IF(N1088&gt;=Models!$G$7,1+COUNTIF($N$5:$N$1517,"&gt;"&amp;N1088)+COUNTIFS($N$5:$N$1517,N1088,$B$5:$B$1517,"&lt;"&amp;B1088)+COUNTIFS($N$5:$N$1517,N1088,$B$5:$B$1517,B1088,$C$5:$C$1517,"&lt;"&amp;C1088),"")</f>
        <v/>
      </c>
      <c r="T1088" s="8" t="n">
        <f aca="false">IF(O1088&gt;=Models!$G$8,1+COUNTIF($O$5:$O$1517,"&gt;"&amp;O1088)+COUNTIFS($O$5:$O$1517,O1088,$B$5:$B$1517,"&lt;"&amp;B1088)+COUNTIFS($O$5:$O$1517,O1088,$B$5:$B$1517,B1088,$C$5:$C$1517,"&lt;"&amp;C1088),"")</f>
        <v>1398</v>
      </c>
      <c r="U1088" s="8" t="n">
        <f aca="false">IF($K1088=1,COUNTIFS($L$5:$L$1517,"&gt;="&amp;L1088,$K$5:$K$1517,1)/COUNTIF($L$5:$L$1517,"&gt;="&amp;L1088),0)</f>
        <v>0.0857142857142857</v>
      </c>
      <c r="V1088" s="8" t="n">
        <f aca="false">IF($K1088=1,COUNTIFS($M$5:$M$1517,"&gt;="&amp;M1088,$K$5:$K$1517,1)/COUNTIF($M$5:$M$1517,"&gt;="&amp;M1088),0)</f>
        <v>0.12491738268341</v>
      </c>
      <c r="W1088" s="8" t="n">
        <f aca="false">IF($K1088=1,COUNTIFS($N$5:$N$1517,"&gt;="&amp;N1088,$K$5:$K$1517,1)/COUNTIF($N$5:$N$1517,"&gt;="&amp;N1088),0)</f>
        <v>0.159176029962547</v>
      </c>
      <c r="X1088" s="8" t="n">
        <f aca="false">IF($K1088=1,COUNTIFS($O$5:$O$1517,"&gt;="&amp;O1088,$K$5:$K$1517,1)/COUNTIF($O$5:$O$1517,"&gt;="&amp;O1088),0)</f>
        <v>0.12491738268341</v>
      </c>
      <c r="Y1088" s="8" t="n">
        <f aca="false">IF($K1088=1,COUNTIFS($P$5:$P$1517,"&gt;="&amp;P1088,$K$5:$K$1517,1)/COUNTIF($P$5:$P$1517,"&gt;="&amp;P1088),0)</f>
        <v>0.159176029962547</v>
      </c>
      <c r="Z1088" s="8" t="n">
        <f aca="false">(L1088-$K1088)^2</f>
        <v>0.000657819904</v>
      </c>
      <c r="AA1088" s="8" t="n">
        <f aca="false">(M1088-$K1088)^2</f>
        <v>0.824349595969</v>
      </c>
      <c r="AB1088" s="8" t="n">
        <f aca="false">(N1088-$K1088)^2</f>
        <v>0.883246595344</v>
      </c>
      <c r="AC1088" s="8" t="n">
        <f aca="false">(O1088-$K1088)^2</f>
        <v>0.798908829489</v>
      </c>
      <c r="AD1088" s="8" t="n">
        <f aca="false">(P1088-$K1088)^2</f>
        <v>0.879118137769</v>
      </c>
      <c r="AE1088" s="8" t="n">
        <f aca="false">MIN(INT(ROUND(N1088*1000000,0)/100000),9)</f>
        <v>0</v>
      </c>
      <c r="AF1088" s="8" t="n">
        <f aca="false">MIN(INT(ROUND(P1088*1000000,0)/100000),9)</f>
        <v>0</v>
      </c>
    </row>
    <row r="1089" customFormat="false" ht="15" hidden="false" customHeight="false" outlineLevel="0" collapsed="false">
      <c r="A1089" s="4" t="n">
        <v>1085</v>
      </c>
      <c r="B1089" s="4" t="n">
        <v>1634</v>
      </c>
      <c r="C1089" s="4" t="n">
        <v>2</v>
      </c>
      <c r="D1089" s="11" t="n">
        <v>46113</v>
      </c>
      <c r="E1089" s="4" t="s">
        <v>203</v>
      </c>
      <c r="F1089" s="4" t="s">
        <v>207</v>
      </c>
      <c r="G1089" s="4" t="n">
        <v>6</v>
      </c>
      <c r="H1089" s="4" t="n">
        <v>5</v>
      </c>
      <c r="I1089" s="4" t="n">
        <v>0</v>
      </c>
      <c r="J1089" s="4"/>
      <c r="K1089" s="4" t="n">
        <v>0</v>
      </c>
      <c r="L1089" s="12" t="n">
        <v>0.61819</v>
      </c>
      <c r="M1089" s="12" t="n">
        <v>0.092063</v>
      </c>
      <c r="N1089" s="12" t="n">
        <v>0.051574</v>
      </c>
      <c r="O1089" s="12" t="n">
        <v>0.106183</v>
      </c>
      <c r="P1089" s="12" t="n">
        <v>0.053083</v>
      </c>
      <c r="Q1089" s="0" t="str">
        <f aca="false">IF(L1089&gt;=Models!$G$5,1+COUNTIF($L$5:$L$1517,"&gt;"&amp;L1089)+COUNTIFS($L$5:$L$1517,L1089,$B$5:$B$1517,"&lt;"&amp;B1089)+COUNTIFS($L$5:$L$1517,L1089,$B$5:$B$1517,B1089,$C$5:$C$1517,"&lt;"&amp;C1089),"")</f>
        <v/>
      </c>
      <c r="R1089" s="0" t="str">
        <f aca="false">IF(M1089&gt;=Models!$G$6,1+COUNTIF($M$5:$M$1517,"&gt;"&amp;M1089)+COUNTIFS($M$5:$M$1517,M1089,$B$5:$B$1517,"&lt;"&amp;B1089)+COUNTIFS($M$5:$M$1517,M1089,$B$5:$B$1517,B1089,$C$5:$C$1517,"&lt;"&amp;C1089),"")</f>
        <v/>
      </c>
      <c r="S1089" s="0" t="str">
        <f aca="false">IF(N1089&gt;=Models!$G$7,1+COUNTIF($N$5:$N$1517,"&gt;"&amp;N1089)+COUNTIFS($N$5:$N$1517,N1089,$B$5:$B$1517,"&lt;"&amp;B1089)+COUNTIFS($N$5:$N$1517,N1089,$B$5:$B$1517,B1089,$C$5:$C$1517,"&lt;"&amp;C1089),"")</f>
        <v/>
      </c>
      <c r="T1089" s="8" t="n">
        <f aca="false">IF(O1089&gt;=Models!$G$8,1+COUNTIF($O$5:$O$1517,"&gt;"&amp;O1089)+COUNTIFS($O$5:$O$1517,O1089,$B$5:$B$1517,"&lt;"&amp;B1089)+COUNTIFS($O$5:$O$1517,O1089,$B$5:$B$1517,B1089,$C$5:$C$1517,"&lt;"&amp;C1089),"")</f>
        <v>1402</v>
      </c>
      <c r="U1089" s="8" t="n">
        <f aca="false">IF($K1089=1,COUNTIFS($L$5:$L$1517,"&gt;="&amp;L1089,$K$5:$K$1517,1)/COUNTIF($L$5:$L$1517,"&gt;="&amp;L1089),0)</f>
        <v>0</v>
      </c>
      <c r="V1089" s="8" t="n">
        <f aca="false">IF($K1089=1,COUNTIFS($M$5:$M$1517,"&gt;="&amp;M1089,$K$5:$K$1517,1)/COUNTIF($M$5:$M$1517,"&gt;="&amp;M1089),0)</f>
        <v>0</v>
      </c>
      <c r="W1089" s="8" t="n">
        <f aca="false">IF($K1089=1,COUNTIFS($N$5:$N$1517,"&gt;="&amp;N1089,$K$5:$K$1517,1)/COUNTIF($N$5:$N$1517,"&gt;="&amp;N1089),0)</f>
        <v>0</v>
      </c>
      <c r="X1089" s="8" t="n">
        <f aca="false">IF($K1089=1,COUNTIFS($O$5:$O$1517,"&gt;="&amp;O1089,$K$5:$K$1517,1)/COUNTIF($O$5:$O$1517,"&gt;="&amp;O1089),0)</f>
        <v>0</v>
      </c>
      <c r="Y1089" s="8" t="n">
        <f aca="false">IF($K1089=1,COUNTIFS($P$5:$P$1517,"&gt;="&amp;P1089,$K$5:$K$1517,1)/COUNTIF($P$5:$P$1517,"&gt;="&amp;P1089),0)</f>
        <v>0</v>
      </c>
      <c r="Z1089" s="8" t="n">
        <f aca="false">(L1089-$K1089)^2</f>
        <v>0.3821588761</v>
      </c>
      <c r="AA1089" s="8" t="n">
        <f aca="false">(M1089-$K1089)^2</f>
        <v>0.008475595969</v>
      </c>
      <c r="AB1089" s="8" t="n">
        <f aca="false">(N1089-$K1089)^2</f>
        <v>0.002659877476</v>
      </c>
      <c r="AC1089" s="8" t="n">
        <f aca="false">(O1089-$K1089)^2</f>
        <v>0.011274829489</v>
      </c>
      <c r="AD1089" s="8" t="n">
        <f aca="false">(P1089-$K1089)^2</f>
        <v>0.002817804889</v>
      </c>
      <c r="AE1089" s="8" t="n">
        <f aca="false">MIN(INT(ROUND(N1089*1000000,0)/100000),9)</f>
        <v>0</v>
      </c>
      <c r="AF1089" s="8" t="n">
        <f aca="false">MIN(INT(ROUND(P1089*1000000,0)/100000),9)</f>
        <v>0</v>
      </c>
    </row>
    <row r="1090" customFormat="false" ht="15" hidden="false" customHeight="false" outlineLevel="0" collapsed="false">
      <c r="A1090" s="4" t="n">
        <v>1086</v>
      </c>
      <c r="B1090" s="4" t="n">
        <v>1635</v>
      </c>
      <c r="C1090" s="4" t="n">
        <v>2</v>
      </c>
      <c r="D1090" s="11" t="n">
        <v>46113</v>
      </c>
      <c r="E1090" s="4" t="s">
        <v>203</v>
      </c>
      <c r="F1090" s="4" t="s">
        <v>209</v>
      </c>
      <c r="G1090" s="4" t="n">
        <v>4</v>
      </c>
      <c r="H1090" s="4" t="n">
        <v>2</v>
      </c>
      <c r="I1090" s="4" t="n">
        <v>0</v>
      </c>
      <c r="J1090" s="4" t="n">
        <v>396</v>
      </c>
      <c r="K1090" s="4" t="n">
        <v>0</v>
      </c>
      <c r="L1090" s="12" t="n">
        <v>0.700288</v>
      </c>
      <c r="M1090" s="12" t="n">
        <v>0.092063</v>
      </c>
      <c r="N1090" s="12" t="n">
        <v>0.116847</v>
      </c>
      <c r="O1090" s="12" t="n">
        <v>0.106183</v>
      </c>
      <c r="P1090" s="12" t="n">
        <v>0.124565</v>
      </c>
      <c r="Q1090" s="0" t="str">
        <f aca="false">IF(L1090&gt;=Models!$G$5,1+COUNTIF($L$5:$L$1517,"&gt;"&amp;L1090)+COUNTIFS($L$5:$L$1517,L1090,$B$5:$B$1517,"&lt;"&amp;B1090)+COUNTIFS($L$5:$L$1517,L1090,$B$5:$B$1517,B1090,$C$5:$C$1517,"&lt;"&amp;C1090),"")</f>
        <v/>
      </c>
      <c r="R1090" s="0" t="str">
        <f aca="false">IF(M1090&gt;=Models!$G$6,1+COUNTIF($M$5:$M$1517,"&gt;"&amp;M1090)+COUNTIFS($M$5:$M$1517,M1090,$B$5:$B$1517,"&lt;"&amp;B1090)+COUNTIFS($M$5:$M$1517,M1090,$B$5:$B$1517,B1090,$C$5:$C$1517,"&lt;"&amp;C1090),"")</f>
        <v/>
      </c>
      <c r="S1090" s="0" t="str">
        <f aca="false">IF(N1090&gt;=Models!$G$7,1+COUNTIF($N$5:$N$1517,"&gt;"&amp;N1090)+COUNTIFS($N$5:$N$1517,N1090,$B$5:$B$1517,"&lt;"&amp;B1090)+COUNTIFS($N$5:$N$1517,N1090,$B$5:$B$1517,B1090,$C$5:$C$1517,"&lt;"&amp;C1090),"")</f>
        <v/>
      </c>
      <c r="T1090" s="8" t="n">
        <f aca="false">IF(O1090&gt;=Models!$G$8,1+COUNTIF($O$5:$O$1517,"&gt;"&amp;O1090)+COUNTIFS($O$5:$O$1517,O1090,$B$5:$B$1517,"&lt;"&amp;B1090)+COUNTIFS($O$5:$O$1517,O1090,$B$5:$B$1517,B1090,$C$5:$C$1517,"&lt;"&amp;C1090),"")</f>
        <v>1405</v>
      </c>
      <c r="U1090" s="8" t="n">
        <f aca="false">IF($K1090=1,COUNTIFS($L$5:$L$1517,"&gt;="&amp;L1090,$K$5:$K$1517,1)/COUNTIF($L$5:$L$1517,"&gt;="&amp;L1090),0)</f>
        <v>0</v>
      </c>
      <c r="V1090" s="8" t="n">
        <f aca="false">IF($K1090=1,COUNTIFS($M$5:$M$1517,"&gt;="&amp;M1090,$K$5:$K$1517,1)/COUNTIF($M$5:$M$1517,"&gt;="&amp;M1090),0)</f>
        <v>0</v>
      </c>
      <c r="W1090" s="8" t="n">
        <f aca="false">IF($K1090=1,COUNTIFS($N$5:$N$1517,"&gt;="&amp;N1090,$K$5:$K$1517,1)/COUNTIF($N$5:$N$1517,"&gt;="&amp;N1090),0)</f>
        <v>0</v>
      </c>
      <c r="X1090" s="8" t="n">
        <f aca="false">IF($K1090=1,COUNTIFS($O$5:$O$1517,"&gt;="&amp;O1090,$K$5:$K$1517,1)/COUNTIF($O$5:$O$1517,"&gt;="&amp;O1090),0)</f>
        <v>0</v>
      </c>
      <c r="Y1090" s="8" t="n">
        <f aca="false">IF($K1090=1,COUNTIFS($P$5:$P$1517,"&gt;="&amp;P1090,$K$5:$K$1517,1)/COUNTIF($P$5:$P$1517,"&gt;="&amp;P1090),0)</f>
        <v>0</v>
      </c>
      <c r="Z1090" s="8" t="n">
        <f aca="false">(L1090-$K1090)^2</f>
        <v>0.490403282944</v>
      </c>
      <c r="AA1090" s="8" t="n">
        <f aca="false">(M1090-$K1090)^2</f>
        <v>0.008475595969</v>
      </c>
      <c r="AB1090" s="8" t="n">
        <f aca="false">(N1090-$K1090)^2</f>
        <v>0.013653221409</v>
      </c>
      <c r="AC1090" s="8" t="n">
        <f aca="false">(O1090-$K1090)^2</f>
        <v>0.011274829489</v>
      </c>
      <c r="AD1090" s="8" t="n">
        <f aca="false">(P1090-$K1090)^2</f>
        <v>0.015516439225</v>
      </c>
      <c r="AE1090" s="8" t="n">
        <f aca="false">MIN(INT(ROUND(N1090*1000000,0)/100000),9)</f>
        <v>1</v>
      </c>
      <c r="AF1090" s="8" t="n">
        <f aca="false">MIN(INT(ROUND(P1090*1000000,0)/100000),9)</f>
        <v>1</v>
      </c>
    </row>
    <row r="1091" customFormat="false" ht="15" hidden="false" customHeight="false" outlineLevel="0" collapsed="false">
      <c r="A1091" s="4" t="n">
        <v>1087</v>
      </c>
      <c r="B1091" s="4" t="n">
        <v>1637</v>
      </c>
      <c r="C1091" s="4" t="n">
        <v>2</v>
      </c>
      <c r="D1091" s="11" t="n">
        <v>46113</v>
      </c>
      <c r="E1091" s="4" t="s">
        <v>203</v>
      </c>
      <c r="F1091" s="4" t="s">
        <v>206</v>
      </c>
      <c r="G1091" s="4" t="n">
        <v>6</v>
      </c>
      <c r="H1091" s="4" t="n">
        <v>5</v>
      </c>
      <c r="I1091" s="4" t="n">
        <v>0</v>
      </c>
      <c r="J1091" s="4" t="n">
        <v>240</v>
      </c>
      <c r="K1091" s="4" t="n">
        <v>0</v>
      </c>
      <c r="L1091" s="12" t="n">
        <v>0.170476</v>
      </c>
      <c r="M1091" s="12" t="n">
        <v>0.092063</v>
      </c>
      <c r="N1091" s="12" t="n">
        <v>0.102571</v>
      </c>
      <c r="O1091" s="12" t="n">
        <v>0.106183</v>
      </c>
      <c r="P1091" s="12" t="n">
        <v>0.108786</v>
      </c>
      <c r="Q1091" s="0" t="str">
        <f aca="false">IF(L1091&gt;=Models!$G$5,1+COUNTIF($L$5:$L$1517,"&gt;"&amp;L1091)+COUNTIFS($L$5:$L$1517,L1091,$B$5:$B$1517,"&lt;"&amp;B1091)+COUNTIFS($L$5:$L$1517,L1091,$B$5:$B$1517,B1091,$C$5:$C$1517,"&lt;"&amp;C1091),"")</f>
        <v/>
      </c>
      <c r="R1091" s="0" t="str">
        <f aca="false">IF(M1091&gt;=Models!$G$6,1+COUNTIF($M$5:$M$1517,"&gt;"&amp;M1091)+COUNTIFS($M$5:$M$1517,M1091,$B$5:$B$1517,"&lt;"&amp;B1091)+COUNTIFS($M$5:$M$1517,M1091,$B$5:$B$1517,B1091,$C$5:$C$1517,"&lt;"&amp;C1091),"")</f>
        <v/>
      </c>
      <c r="S1091" s="0" t="str">
        <f aca="false">IF(N1091&gt;=Models!$G$7,1+COUNTIF($N$5:$N$1517,"&gt;"&amp;N1091)+COUNTIFS($N$5:$N$1517,N1091,$B$5:$B$1517,"&lt;"&amp;B1091)+COUNTIFS($N$5:$N$1517,N1091,$B$5:$B$1517,B1091,$C$5:$C$1517,"&lt;"&amp;C1091),"")</f>
        <v/>
      </c>
      <c r="T1091" s="8" t="n">
        <f aca="false">IF(O1091&gt;=Models!$G$8,1+COUNTIF($O$5:$O$1517,"&gt;"&amp;O1091)+COUNTIFS($O$5:$O$1517,O1091,$B$5:$B$1517,"&lt;"&amp;B1091)+COUNTIFS($O$5:$O$1517,O1091,$B$5:$B$1517,B1091,$C$5:$C$1517,"&lt;"&amp;C1091),"")</f>
        <v>1408</v>
      </c>
      <c r="U1091" s="8" t="n">
        <f aca="false">IF($K1091=1,COUNTIFS($L$5:$L$1517,"&gt;="&amp;L1091,$K$5:$K$1517,1)/COUNTIF($L$5:$L$1517,"&gt;="&amp;L1091),0)</f>
        <v>0</v>
      </c>
      <c r="V1091" s="8" t="n">
        <f aca="false">IF($K1091=1,COUNTIFS($M$5:$M$1517,"&gt;="&amp;M1091,$K$5:$K$1517,1)/COUNTIF($M$5:$M$1517,"&gt;="&amp;M1091),0)</f>
        <v>0</v>
      </c>
      <c r="W1091" s="8" t="n">
        <f aca="false">IF($K1091=1,COUNTIFS($N$5:$N$1517,"&gt;="&amp;N1091,$K$5:$K$1517,1)/COUNTIF($N$5:$N$1517,"&gt;="&amp;N1091),0)</f>
        <v>0</v>
      </c>
      <c r="X1091" s="8" t="n">
        <f aca="false">IF($K1091=1,COUNTIFS($O$5:$O$1517,"&gt;="&amp;O1091,$K$5:$K$1517,1)/COUNTIF($O$5:$O$1517,"&gt;="&amp;O1091),0)</f>
        <v>0</v>
      </c>
      <c r="Y1091" s="8" t="n">
        <f aca="false">IF($K1091=1,COUNTIFS($P$5:$P$1517,"&gt;="&amp;P1091,$K$5:$K$1517,1)/COUNTIF($P$5:$P$1517,"&gt;="&amp;P1091),0)</f>
        <v>0</v>
      </c>
      <c r="Z1091" s="8" t="n">
        <f aca="false">(L1091-$K1091)^2</f>
        <v>0.029062066576</v>
      </c>
      <c r="AA1091" s="8" t="n">
        <f aca="false">(M1091-$K1091)^2</f>
        <v>0.008475595969</v>
      </c>
      <c r="AB1091" s="8" t="n">
        <f aca="false">(N1091-$K1091)^2</f>
        <v>0.010520810041</v>
      </c>
      <c r="AC1091" s="8" t="n">
        <f aca="false">(O1091-$K1091)^2</f>
        <v>0.011274829489</v>
      </c>
      <c r="AD1091" s="8" t="n">
        <f aca="false">(P1091-$K1091)^2</f>
        <v>0.011834393796</v>
      </c>
      <c r="AE1091" s="8" t="n">
        <f aca="false">MIN(INT(ROUND(N1091*1000000,0)/100000),9)</f>
        <v>1</v>
      </c>
      <c r="AF1091" s="8" t="n">
        <f aca="false">MIN(INT(ROUND(P1091*1000000,0)/100000),9)</f>
        <v>1</v>
      </c>
    </row>
    <row r="1092" customFormat="false" ht="15" hidden="false" customHeight="false" outlineLevel="0" collapsed="false">
      <c r="A1092" s="4" t="n">
        <v>1088</v>
      </c>
      <c r="B1092" s="4" t="n">
        <v>1638</v>
      </c>
      <c r="C1092" s="4" t="n">
        <v>2</v>
      </c>
      <c r="D1092" s="11" t="n">
        <v>46113</v>
      </c>
      <c r="E1092" s="4" t="s">
        <v>203</v>
      </c>
      <c r="F1092" s="4" t="s">
        <v>209</v>
      </c>
      <c r="G1092" s="4" t="n">
        <v>6</v>
      </c>
      <c r="H1092" s="4" t="n">
        <v>14</v>
      </c>
      <c r="I1092" s="4" t="n">
        <v>0</v>
      </c>
      <c r="J1092" s="4" t="n">
        <v>342</v>
      </c>
      <c r="K1092" s="4" t="n">
        <v>0</v>
      </c>
      <c r="L1092" s="12" t="n">
        <v>0.634175</v>
      </c>
      <c r="M1092" s="12" t="n">
        <v>0.092063</v>
      </c>
      <c r="N1092" s="12" t="n">
        <v>0.108985</v>
      </c>
      <c r="O1092" s="12" t="n">
        <v>0.106183</v>
      </c>
      <c r="P1092" s="12" t="n">
        <v>0.115869</v>
      </c>
      <c r="Q1092" s="0" t="str">
        <f aca="false">IF(L1092&gt;=Models!$G$5,1+COUNTIF($L$5:$L$1517,"&gt;"&amp;L1092)+COUNTIFS($L$5:$L$1517,L1092,$B$5:$B$1517,"&lt;"&amp;B1092)+COUNTIFS($L$5:$L$1517,L1092,$B$5:$B$1517,B1092,$C$5:$C$1517,"&lt;"&amp;C1092),"")</f>
        <v/>
      </c>
      <c r="R1092" s="0" t="str">
        <f aca="false">IF(M1092&gt;=Models!$G$6,1+COUNTIF($M$5:$M$1517,"&gt;"&amp;M1092)+COUNTIFS($M$5:$M$1517,M1092,$B$5:$B$1517,"&lt;"&amp;B1092)+COUNTIFS($M$5:$M$1517,M1092,$B$5:$B$1517,B1092,$C$5:$C$1517,"&lt;"&amp;C1092),"")</f>
        <v/>
      </c>
      <c r="S1092" s="0" t="str">
        <f aca="false">IF(N1092&gt;=Models!$G$7,1+COUNTIF($N$5:$N$1517,"&gt;"&amp;N1092)+COUNTIFS($N$5:$N$1517,N1092,$B$5:$B$1517,"&lt;"&amp;B1092)+COUNTIFS($N$5:$N$1517,N1092,$B$5:$B$1517,B1092,$C$5:$C$1517,"&lt;"&amp;C1092),"")</f>
        <v/>
      </c>
      <c r="T1092" s="8" t="n">
        <f aca="false">IF(O1092&gt;=Models!$G$8,1+COUNTIF($O$5:$O$1517,"&gt;"&amp;O1092)+COUNTIFS($O$5:$O$1517,O1092,$B$5:$B$1517,"&lt;"&amp;B1092)+COUNTIFS($O$5:$O$1517,O1092,$B$5:$B$1517,B1092,$C$5:$C$1517,"&lt;"&amp;C1092),"")</f>
        <v>1411</v>
      </c>
      <c r="U1092" s="8" t="n">
        <f aca="false">IF($K1092=1,COUNTIFS($L$5:$L$1517,"&gt;="&amp;L1092,$K$5:$K$1517,1)/COUNTIF($L$5:$L$1517,"&gt;="&amp;L1092),0)</f>
        <v>0</v>
      </c>
      <c r="V1092" s="8" t="n">
        <f aca="false">IF($K1092=1,COUNTIFS($M$5:$M$1517,"&gt;="&amp;M1092,$K$5:$K$1517,1)/COUNTIF($M$5:$M$1517,"&gt;="&amp;M1092),0)</f>
        <v>0</v>
      </c>
      <c r="W1092" s="8" t="n">
        <f aca="false">IF($K1092=1,COUNTIFS($N$5:$N$1517,"&gt;="&amp;N1092,$K$5:$K$1517,1)/COUNTIF($N$5:$N$1517,"&gt;="&amp;N1092),0)</f>
        <v>0</v>
      </c>
      <c r="X1092" s="8" t="n">
        <f aca="false">IF($K1092=1,COUNTIFS($O$5:$O$1517,"&gt;="&amp;O1092,$K$5:$K$1517,1)/COUNTIF($O$5:$O$1517,"&gt;="&amp;O1092),0)</f>
        <v>0</v>
      </c>
      <c r="Y1092" s="8" t="n">
        <f aca="false">IF($K1092=1,COUNTIFS($P$5:$P$1517,"&gt;="&amp;P1092,$K$5:$K$1517,1)/COUNTIF($P$5:$P$1517,"&gt;="&amp;P1092),0)</f>
        <v>0</v>
      </c>
      <c r="Z1092" s="8" t="n">
        <f aca="false">(L1092-$K1092)^2</f>
        <v>0.402177930625</v>
      </c>
      <c r="AA1092" s="8" t="n">
        <f aca="false">(M1092-$K1092)^2</f>
        <v>0.008475595969</v>
      </c>
      <c r="AB1092" s="8" t="n">
        <f aca="false">(N1092-$K1092)^2</f>
        <v>0.011877730225</v>
      </c>
      <c r="AC1092" s="8" t="n">
        <f aca="false">(O1092-$K1092)^2</f>
        <v>0.011274829489</v>
      </c>
      <c r="AD1092" s="8" t="n">
        <f aca="false">(P1092-$K1092)^2</f>
        <v>0.013425625161</v>
      </c>
      <c r="AE1092" s="8" t="n">
        <f aca="false">MIN(INT(ROUND(N1092*1000000,0)/100000),9)</f>
        <v>1</v>
      </c>
      <c r="AF1092" s="8" t="n">
        <f aca="false">MIN(INT(ROUND(P1092*1000000,0)/100000),9)</f>
        <v>1</v>
      </c>
    </row>
    <row r="1093" customFormat="false" ht="15" hidden="false" customHeight="false" outlineLevel="0" collapsed="false">
      <c r="A1093" s="4" t="n">
        <v>1089</v>
      </c>
      <c r="B1093" s="4" t="n">
        <v>1639</v>
      </c>
      <c r="C1093" s="4" t="n">
        <v>2</v>
      </c>
      <c r="D1093" s="11" t="n">
        <v>46113</v>
      </c>
      <c r="E1093" s="4" t="s">
        <v>202</v>
      </c>
      <c r="F1093" s="4" t="s">
        <v>209</v>
      </c>
      <c r="G1093" s="4" t="n">
        <v>8</v>
      </c>
      <c r="H1093" s="4" t="n">
        <v>5</v>
      </c>
      <c r="I1093" s="4" t="n">
        <v>0</v>
      </c>
      <c r="J1093" s="4" t="n">
        <v>1146</v>
      </c>
      <c r="K1093" s="4" t="n">
        <v>0</v>
      </c>
      <c r="L1093" s="12" t="n">
        <v>0.624165</v>
      </c>
      <c r="M1093" s="12" t="n">
        <v>0.092063</v>
      </c>
      <c r="N1093" s="12" t="n">
        <v>0.083053</v>
      </c>
      <c r="O1093" s="12" t="n">
        <v>0.106183</v>
      </c>
      <c r="P1093" s="12" t="n">
        <v>0.087316</v>
      </c>
      <c r="Q1093" s="0" t="str">
        <f aca="false">IF(L1093&gt;=Models!$G$5,1+COUNTIF($L$5:$L$1517,"&gt;"&amp;L1093)+COUNTIFS($L$5:$L$1517,L1093,$B$5:$B$1517,"&lt;"&amp;B1093)+COUNTIFS($L$5:$L$1517,L1093,$B$5:$B$1517,B1093,$C$5:$C$1517,"&lt;"&amp;C1093),"")</f>
        <v/>
      </c>
      <c r="R1093" s="0" t="str">
        <f aca="false">IF(M1093&gt;=Models!$G$6,1+COUNTIF($M$5:$M$1517,"&gt;"&amp;M1093)+COUNTIFS($M$5:$M$1517,M1093,$B$5:$B$1517,"&lt;"&amp;B1093)+COUNTIFS($M$5:$M$1517,M1093,$B$5:$B$1517,B1093,$C$5:$C$1517,"&lt;"&amp;C1093),"")</f>
        <v/>
      </c>
      <c r="S1093" s="0" t="str">
        <f aca="false">IF(N1093&gt;=Models!$G$7,1+COUNTIF($N$5:$N$1517,"&gt;"&amp;N1093)+COUNTIFS($N$5:$N$1517,N1093,$B$5:$B$1517,"&lt;"&amp;B1093)+COUNTIFS($N$5:$N$1517,N1093,$B$5:$B$1517,B1093,$C$5:$C$1517,"&lt;"&amp;C1093),"")</f>
        <v/>
      </c>
      <c r="T1093" s="8" t="n">
        <f aca="false">IF(O1093&gt;=Models!$G$8,1+COUNTIF($O$5:$O$1517,"&gt;"&amp;O1093)+COUNTIFS($O$5:$O$1517,O1093,$B$5:$B$1517,"&lt;"&amp;B1093)+COUNTIFS($O$5:$O$1517,O1093,$B$5:$B$1517,B1093,$C$5:$C$1517,"&lt;"&amp;C1093),"")</f>
        <v>1414</v>
      </c>
      <c r="U1093" s="8" t="n">
        <f aca="false">IF($K1093=1,COUNTIFS($L$5:$L$1517,"&gt;="&amp;L1093,$K$5:$K$1517,1)/COUNTIF($L$5:$L$1517,"&gt;="&amp;L1093),0)</f>
        <v>0</v>
      </c>
      <c r="V1093" s="8" t="n">
        <f aca="false">IF($K1093=1,COUNTIFS($M$5:$M$1517,"&gt;="&amp;M1093,$K$5:$K$1517,1)/COUNTIF($M$5:$M$1517,"&gt;="&amp;M1093),0)</f>
        <v>0</v>
      </c>
      <c r="W1093" s="8" t="n">
        <f aca="false">IF($K1093=1,COUNTIFS($N$5:$N$1517,"&gt;="&amp;N1093,$K$5:$K$1517,1)/COUNTIF($N$5:$N$1517,"&gt;="&amp;N1093),0)</f>
        <v>0</v>
      </c>
      <c r="X1093" s="8" t="n">
        <f aca="false">IF($K1093=1,COUNTIFS($O$5:$O$1517,"&gt;="&amp;O1093,$K$5:$K$1517,1)/COUNTIF($O$5:$O$1517,"&gt;="&amp;O1093),0)</f>
        <v>0</v>
      </c>
      <c r="Y1093" s="8" t="n">
        <f aca="false">IF($K1093=1,COUNTIFS($P$5:$P$1517,"&gt;="&amp;P1093,$K$5:$K$1517,1)/COUNTIF($P$5:$P$1517,"&gt;="&amp;P1093),0)</f>
        <v>0</v>
      </c>
      <c r="Z1093" s="8" t="n">
        <f aca="false">(L1093-$K1093)^2</f>
        <v>0.389581947225</v>
      </c>
      <c r="AA1093" s="8" t="n">
        <f aca="false">(M1093-$K1093)^2</f>
        <v>0.008475595969</v>
      </c>
      <c r="AB1093" s="8" t="n">
        <f aca="false">(N1093-$K1093)^2</f>
        <v>0.006897800809</v>
      </c>
      <c r="AC1093" s="8" t="n">
        <f aca="false">(O1093-$K1093)^2</f>
        <v>0.011274829489</v>
      </c>
      <c r="AD1093" s="8" t="n">
        <f aca="false">(P1093-$K1093)^2</f>
        <v>0.007624083856</v>
      </c>
      <c r="AE1093" s="8" t="n">
        <f aca="false">MIN(INT(ROUND(N1093*1000000,0)/100000),9)</f>
        <v>0</v>
      </c>
      <c r="AF1093" s="8" t="n">
        <f aca="false">MIN(INT(ROUND(P1093*1000000,0)/100000),9)</f>
        <v>0</v>
      </c>
    </row>
    <row r="1094" customFormat="false" ht="15" hidden="false" customHeight="false" outlineLevel="0" collapsed="false">
      <c r="A1094" s="4" t="n">
        <v>1090</v>
      </c>
      <c r="B1094" s="4" t="n">
        <v>1653</v>
      </c>
      <c r="C1094" s="4" t="n">
        <v>2</v>
      </c>
      <c r="D1094" s="11" t="n">
        <v>46113</v>
      </c>
      <c r="E1094" s="4" t="s">
        <v>201</v>
      </c>
      <c r="F1094" s="4" t="s">
        <v>209</v>
      </c>
      <c r="G1094" s="4" t="n">
        <v>7</v>
      </c>
      <c r="H1094" s="4" t="n">
        <v>3</v>
      </c>
      <c r="I1094" s="4" t="n">
        <v>0</v>
      </c>
      <c r="J1094" s="4" t="n">
        <v>4926</v>
      </c>
      <c r="K1094" s="4" t="n">
        <v>0</v>
      </c>
      <c r="L1094" s="12" t="n">
        <v>0.500049</v>
      </c>
      <c r="M1094" s="12" t="n">
        <v>0.092063</v>
      </c>
      <c r="N1094" s="12" t="n">
        <v>0.072596</v>
      </c>
      <c r="O1094" s="12" t="n">
        <v>0.106183</v>
      </c>
      <c r="P1094" s="12" t="n">
        <v>0.075879</v>
      </c>
      <c r="Q1094" s="0" t="str">
        <f aca="false">IF(L1094&gt;=Models!$G$5,1+COUNTIF($L$5:$L$1517,"&gt;"&amp;L1094)+COUNTIFS($L$5:$L$1517,L1094,$B$5:$B$1517,"&lt;"&amp;B1094)+COUNTIFS($L$5:$L$1517,L1094,$B$5:$B$1517,B1094,$C$5:$C$1517,"&lt;"&amp;C1094),"")</f>
        <v/>
      </c>
      <c r="R1094" s="0" t="str">
        <f aca="false">IF(M1094&gt;=Models!$G$6,1+COUNTIF($M$5:$M$1517,"&gt;"&amp;M1094)+COUNTIFS($M$5:$M$1517,M1094,$B$5:$B$1517,"&lt;"&amp;B1094)+COUNTIFS($M$5:$M$1517,M1094,$B$5:$B$1517,B1094,$C$5:$C$1517,"&lt;"&amp;C1094),"")</f>
        <v/>
      </c>
      <c r="S1094" s="0" t="str">
        <f aca="false">IF(N1094&gt;=Models!$G$7,1+COUNTIF($N$5:$N$1517,"&gt;"&amp;N1094)+COUNTIFS($N$5:$N$1517,N1094,$B$5:$B$1517,"&lt;"&amp;B1094)+COUNTIFS($N$5:$N$1517,N1094,$B$5:$B$1517,B1094,$C$5:$C$1517,"&lt;"&amp;C1094),"")</f>
        <v/>
      </c>
      <c r="T1094" s="8" t="n">
        <f aca="false">IF(O1094&gt;=Models!$G$8,1+COUNTIF($O$5:$O$1517,"&gt;"&amp;O1094)+COUNTIFS($O$5:$O$1517,O1094,$B$5:$B$1517,"&lt;"&amp;B1094)+COUNTIFS($O$5:$O$1517,O1094,$B$5:$B$1517,B1094,$C$5:$C$1517,"&lt;"&amp;C1094),"")</f>
        <v>1417</v>
      </c>
      <c r="U1094" s="8" t="n">
        <f aca="false">IF($K1094=1,COUNTIFS($L$5:$L$1517,"&gt;="&amp;L1094,$K$5:$K$1517,1)/COUNTIF($L$5:$L$1517,"&gt;="&amp;L1094),0)</f>
        <v>0</v>
      </c>
      <c r="V1094" s="8" t="n">
        <f aca="false">IF($K1094=1,COUNTIFS($M$5:$M$1517,"&gt;="&amp;M1094,$K$5:$K$1517,1)/COUNTIF($M$5:$M$1517,"&gt;="&amp;M1094),0)</f>
        <v>0</v>
      </c>
      <c r="W1094" s="8" t="n">
        <f aca="false">IF($K1094=1,COUNTIFS($N$5:$N$1517,"&gt;="&amp;N1094,$K$5:$K$1517,1)/COUNTIF($N$5:$N$1517,"&gt;="&amp;N1094),0)</f>
        <v>0</v>
      </c>
      <c r="X1094" s="8" t="n">
        <f aca="false">IF($K1094=1,COUNTIFS($O$5:$O$1517,"&gt;="&amp;O1094,$K$5:$K$1517,1)/COUNTIF($O$5:$O$1517,"&gt;="&amp;O1094),0)</f>
        <v>0</v>
      </c>
      <c r="Y1094" s="8" t="n">
        <f aca="false">IF($K1094=1,COUNTIFS($P$5:$P$1517,"&gt;="&amp;P1094,$K$5:$K$1517,1)/COUNTIF($P$5:$P$1517,"&gt;="&amp;P1094),0)</f>
        <v>0</v>
      </c>
      <c r="Z1094" s="8" t="n">
        <f aca="false">(L1094-$K1094)^2</f>
        <v>0.250049002401</v>
      </c>
      <c r="AA1094" s="8" t="n">
        <f aca="false">(M1094-$K1094)^2</f>
        <v>0.008475595969</v>
      </c>
      <c r="AB1094" s="8" t="n">
        <f aca="false">(N1094-$K1094)^2</f>
        <v>0.005270179216</v>
      </c>
      <c r="AC1094" s="8" t="n">
        <f aca="false">(O1094-$K1094)^2</f>
        <v>0.011274829489</v>
      </c>
      <c r="AD1094" s="8" t="n">
        <f aca="false">(P1094-$K1094)^2</f>
        <v>0.005757622641</v>
      </c>
      <c r="AE1094" s="8" t="n">
        <f aca="false">MIN(INT(ROUND(N1094*1000000,0)/100000),9)</f>
        <v>0</v>
      </c>
      <c r="AF1094" s="8" t="n">
        <f aca="false">MIN(INT(ROUND(P1094*1000000,0)/100000),9)</f>
        <v>0</v>
      </c>
    </row>
    <row r="1095" customFormat="false" ht="15" hidden="false" customHeight="false" outlineLevel="0" collapsed="false">
      <c r="A1095" s="4" t="n">
        <v>1091</v>
      </c>
      <c r="B1095" s="4" t="n">
        <v>1661</v>
      </c>
      <c r="C1095" s="4" t="n">
        <v>2</v>
      </c>
      <c r="D1095" s="11" t="n">
        <v>46113</v>
      </c>
      <c r="E1095" s="4" t="s">
        <v>204</v>
      </c>
      <c r="F1095" s="4" t="s">
        <v>209</v>
      </c>
      <c r="G1095" s="4" t="n">
        <v>1</v>
      </c>
      <c r="H1095" s="4" t="n">
        <v>21</v>
      </c>
      <c r="I1095" s="4" t="n">
        <v>0</v>
      </c>
      <c r="J1095" s="4"/>
      <c r="K1095" s="4" t="n">
        <v>0</v>
      </c>
      <c r="L1095" s="12" t="n">
        <v>0.286971</v>
      </c>
      <c r="M1095" s="12" t="n">
        <v>0.092063</v>
      </c>
      <c r="N1095" s="12" t="n">
        <v>0.088611</v>
      </c>
      <c r="O1095" s="12" t="n">
        <v>0.106183</v>
      </c>
      <c r="P1095" s="12" t="n">
        <v>0.093415</v>
      </c>
      <c r="Q1095" s="0" t="str">
        <f aca="false">IF(L1095&gt;=Models!$G$5,1+COUNTIF($L$5:$L$1517,"&gt;"&amp;L1095)+COUNTIFS($L$5:$L$1517,L1095,$B$5:$B$1517,"&lt;"&amp;B1095)+COUNTIFS($L$5:$L$1517,L1095,$B$5:$B$1517,B1095,$C$5:$C$1517,"&lt;"&amp;C1095),"")</f>
        <v/>
      </c>
      <c r="R1095" s="0" t="str">
        <f aca="false">IF(M1095&gt;=Models!$G$6,1+COUNTIF($M$5:$M$1517,"&gt;"&amp;M1095)+COUNTIFS($M$5:$M$1517,M1095,$B$5:$B$1517,"&lt;"&amp;B1095)+COUNTIFS($M$5:$M$1517,M1095,$B$5:$B$1517,B1095,$C$5:$C$1517,"&lt;"&amp;C1095),"")</f>
        <v/>
      </c>
      <c r="S1095" s="0" t="str">
        <f aca="false">IF(N1095&gt;=Models!$G$7,1+COUNTIF($N$5:$N$1517,"&gt;"&amp;N1095)+COUNTIFS($N$5:$N$1517,N1095,$B$5:$B$1517,"&lt;"&amp;B1095)+COUNTIFS($N$5:$N$1517,N1095,$B$5:$B$1517,B1095,$C$5:$C$1517,"&lt;"&amp;C1095),"")</f>
        <v/>
      </c>
      <c r="T1095" s="8" t="n">
        <f aca="false">IF(O1095&gt;=Models!$G$8,1+COUNTIF($O$5:$O$1517,"&gt;"&amp;O1095)+COUNTIFS($O$5:$O$1517,O1095,$B$5:$B$1517,"&lt;"&amp;B1095)+COUNTIFS($O$5:$O$1517,O1095,$B$5:$B$1517,B1095,$C$5:$C$1517,"&lt;"&amp;C1095),"")</f>
        <v>1420</v>
      </c>
      <c r="U1095" s="8" t="n">
        <f aca="false">IF($K1095=1,COUNTIFS($L$5:$L$1517,"&gt;="&amp;L1095,$K$5:$K$1517,1)/COUNTIF($L$5:$L$1517,"&gt;="&amp;L1095),0)</f>
        <v>0</v>
      </c>
      <c r="V1095" s="8" t="n">
        <f aca="false">IF($K1095=1,COUNTIFS($M$5:$M$1517,"&gt;="&amp;M1095,$K$5:$K$1517,1)/COUNTIF($M$5:$M$1517,"&gt;="&amp;M1095),0)</f>
        <v>0</v>
      </c>
      <c r="W1095" s="8" t="n">
        <f aca="false">IF($K1095=1,COUNTIFS($N$5:$N$1517,"&gt;="&amp;N1095,$K$5:$K$1517,1)/COUNTIF($N$5:$N$1517,"&gt;="&amp;N1095),0)</f>
        <v>0</v>
      </c>
      <c r="X1095" s="8" t="n">
        <f aca="false">IF($K1095=1,COUNTIFS($O$5:$O$1517,"&gt;="&amp;O1095,$K$5:$K$1517,1)/COUNTIF($O$5:$O$1517,"&gt;="&amp;O1095),0)</f>
        <v>0</v>
      </c>
      <c r="Y1095" s="8" t="n">
        <f aca="false">IF($K1095=1,COUNTIFS($P$5:$P$1517,"&gt;="&amp;P1095,$K$5:$K$1517,1)/COUNTIF($P$5:$P$1517,"&gt;="&amp;P1095),0)</f>
        <v>0</v>
      </c>
      <c r="Z1095" s="8" t="n">
        <f aca="false">(L1095-$K1095)^2</f>
        <v>0.082352354841</v>
      </c>
      <c r="AA1095" s="8" t="n">
        <f aca="false">(M1095-$K1095)^2</f>
        <v>0.008475595969</v>
      </c>
      <c r="AB1095" s="8" t="n">
        <f aca="false">(N1095-$K1095)^2</f>
        <v>0.007851909321</v>
      </c>
      <c r="AC1095" s="8" t="n">
        <f aca="false">(O1095-$K1095)^2</f>
        <v>0.011274829489</v>
      </c>
      <c r="AD1095" s="8" t="n">
        <f aca="false">(P1095-$K1095)^2</f>
        <v>0.008726362225</v>
      </c>
      <c r="AE1095" s="8" t="n">
        <f aca="false">MIN(INT(ROUND(N1095*1000000,0)/100000),9)</f>
        <v>0</v>
      </c>
      <c r="AF1095" s="8" t="n">
        <f aca="false">MIN(INT(ROUND(P1095*1000000,0)/100000),9)</f>
        <v>0</v>
      </c>
    </row>
    <row r="1096" customFormat="false" ht="15" hidden="false" customHeight="false" outlineLevel="0" collapsed="false">
      <c r="A1096" s="4" t="n">
        <v>1092</v>
      </c>
      <c r="B1096" s="4" t="n">
        <v>1664</v>
      </c>
      <c r="C1096" s="4" t="n">
        <v>2</v>
      </c>
      <c r="D1096" s="11" t="n">
        <v>46113</v>
      </c>
      <c r="E1096" s="4" t="s">
        <v>204</v>
      </c>
      <c r="F1096" s="4" t="s">
        <v>210</v>
      </c>
      <c r="G1096" s="4" t="n">
        <v>2</v>
      </c>
      <c r="H1096" s="4" t="n">
        <v>17</v>
      </c>
      <c r="I1096" s="4" t="n">
        <v>1</v>
      </c>
      <c r="J1096" s="4" t="n">
        <v>96</v>
      </c>
      <c r="K1096" s="4" t="n">
        <v>0</v>
      </c>
      <c r="L1096" s="12" t="n">
        <v>0.944203</v>
      </c>
      <c r="M1096" s="12" t="n">
        <v>0.184211</v>
      </c>
      <c r="N1096" s="12" t="n">
        <v>0.248567</v>
      </c>
      <c r="O1096" s="12" t="n">
        <v>0.106183</v>
      </c>
      <c r="P1096" s="12" t="n">
        <v>0.270924</v>
      </c>
      <c r="Q1096" s="0" t="str">
        <f aca="false">IF(L1096&gt;=Models!$G$5,1+COUNTIF($L$5:$L$1517,"&gt;"&amp;L1096)+COUNTIFS($L$5:$L$1517,L1096,$B$5:$B$1517,"&lt;"&amp;B1096)+COUNTIFS($L$5:$L$1517,L1096,$B$5:$B$1517,B1096,$C$5:$C$1517,"&lt;"&amp;C1096),"")</f>
        <v/>
      </c>
      <c r="R1096" s="8" t="n">
        <f aca="false">IF(M1096&gt;=Models!$G$6,1+COUNTIF($M$5:$M$1517,"&gt;"&amp;M1096)+COUNTIFS($M$5:$M$1517,M1096,$B$5:$B$1517,"&lt;"&amp;B1096)+COUNTIFS($M$5:$M$1517,M1096,$B$5:$B$1517,B1096,$C$5:$C$1517,"&lt;"&amp;C1096),"")</f>
        <v>183</v>
      </c>
      <c r="S1096" s="8" t="n">
        <f aca="false">IF(N1096&gt;=Models!$G$7,1+COUNTIF($N$5:$N$1517,"&gt;"&amp;N1096)+COUNTIFS($N$5:$N$1517,N1096,$B$5:$B$1517,"&lt;"&amp;B1096)+COUNTIFS($N$5:$N$1517,N1096,$B$5:$B$1517,B1096,$C$5:$C$1517,"&lt;"&amp;C1096),"")</f>
        <v>19</v>
      </c>
      <c r="T1096" s="8" t="n">
        <f aca="false">IF(O1096&gt;=Models!$G$8,1+COUNTIF($O$5:$O$1517,"&gt;"&amp;O1096)+COUNTIFS($O$5:$O$1517,O1096,$B$5:$B$1517,"&lt;"&amp;B1096)+COUNTIFS($O$5:$O$1517,O1096,$B$5:$B$1517,B1096,$C$5:$C$1517,"&lt;"&amp;C1096),"")</f>
        <v>1423</v>
      </c>
      <c r="U1096" s="8" t="n">
        <f aca="false">IF($K1096=1,COUNTIFS($L$5:$L$1517,"&gt;="&amp;L1096,$K$5:$K$1517,1)/COUNTIF($L$5:$L$1517,"&gt;="&amp;L1096),0)</f>
        <v>0</v>
      </c>
      <c r="V1096" s="8" t="n">
        <f aca="false">IF($K1096=1,COUNTIFS($M$5:$M$1517,"&gt;="&amp;M1096,$K$5:$K$1517,1)/COUNTIF($M$5:$M$1517,"&gt;="&amp;M1096),0)</f>
        <v>0</v>
      </c>
      <c r="W1096" s="8" t="n">
        <f aca="false">IF($K1096=1,COUNTIFS($N$5:$N$1517,"&gt;="&amp;N1096,$K$5:$K$1517,1)/COUNTIF($N$5:$N$1517,"&gt;="&amp;N1096),0)</f>
        <v>0</v>
      </c>
      <c r="X1096" s="8" t="n">
        <f aca="false">IF($K1096=1,COUNTIFS($O$5:$O$1517,"&gt;="&amp;O1096,$K$5:$K$1517,1)/COUNTIF($O$5:$O$1517,"&gt;="&amp;O1096),0)</f>
        <v>0</v>
      </c>
      <c r="Y1096" s="8" t="n">
        <f aca="false">IF($K1096=1,COUNTIFS($P$5:$P$1517,"&gt;="&amp;P1096,$K$5:$K$1517,1)/COUNTIF($P$5:$P$1517,"&gt;="&amp;P1096),0)</f>
        <v>0</v>
      </c>
      <c r="Z1096" s="8" t="n">
        <f aca="false">(L1096-$K1096)^2</f>
        <v>0.891519305209</v>
      </c>
      <c r="AA1096" s="8" t="n">
        <f aca="false">(M1096-$K1096)^2</f>
        <v>0.033933692521</v>
      </c>
      <c r="AB1096" s="8" t="n">
        <f aca="false">(N1096-$K1096)^2</f>
        <v>0.061785553489</v>
      </c>
      <c r="AC1096" s="8" t="n">
        <f aca="false">(O1096-$K1096)^2</f>
        <v>0.011274829489</v>
      </c>
      <c r="AD1096" s="8" t="n">
        <f aca="false">(P1096-$K1096)^2</f>
        <v>0.073399813776</v>
      </c>
      <c r="AE1096" s="8" t="n">
        <f aca="false">MIN(INT(ROUND(N1096*1000000,0)/100000),9)</f>
        <v>2</v>
      </c>
      <c r="AF1096" s="8" t="n">
        <f aca="false">MIN(INT(ROUND(P1096*1000000,0)/100000),9)</f>
        <v>2</v>
      </c>
    </row>
    <row r="1097" customFormat="false" ht="15" hidden="false" customHeight="false" outlineLevel="0" collapsed="false">
      <c r="A1097" s="4" t="n">
        <v>1093</v>
      </c>
      <c r="B1097" s="4" t="n">
        <v>1665</v>
      </c>
      <c r="C1097" s="4" t="n">
        <v>2</v>
      </c>
      <c r="D1097" s="11" t="n">
        <v>46113</v>
      </c>
      <c r="E1097" s="4" t="s">
        <v>203</v>
      </c>
      <c r="F1097" s="4" t="s">
        <v>210</v>
      </c>
      <c r="G1097" s="4" t="n">
        <v>1</v>
      </c>
      <c r="H1097" s="4" t="n">
        <v>9</v>
      </c>
      <c r="I1097" s="4" t="n">
        <v>0</v>
      </c>
      <c r="J1097" s="4" t="n">
        <v>348</v>
      </c>
      <c r="K1097" s="4" t="n">
        <v>0</v>
      </c>
      <c r="L1097" s="12" t="n">
        <v>0.983813</v>
      </c>
      <c r="M1097" s="12" t="n">
        <v>0.092063</v>
      </c>
      <c r="N1097" s="12" t="n">
        <v>0.155446</v>
      </c>
      <c r="O1097" s="12" t="n">
        <v>0.106183</v>
      </c>
      <c r="P1097" s="12" t="n">
        <v>0.167414</v>
      </c>
      <c r="Q1097" s="8" t="n">
        <f aca="false">IF(L1097&gt;=Models!$G$5,1+COUNTIF($L$5:$L$1517,"&gt;"&amp;L1097)+COUNTIFS($L$5:$L$1517,L1097,$B$5:$B$1517,"&lt;"&amp;B1097)+COUNTIFS($L$5:$L$1517,L1097,$B$5:$B$1517,B1097,$C$5:$C$1517,"&lt;"&amp;C1097),"")</f>
        <v>20</v>
      </c>
      <c r="R1097" s="0" t="str">
        <f aca="false">IF(M1097&gt;=Models!$G$6,1+COUNTIF($M$5:$M$1517,"&gt;"&amp;M1097)+COUNTIFS($M$5:$M$1517,M1097,$B$5:$B$1517,"&lt;"&amp;B1097)+COUNTIFS($M$5:$M$1517,M1097,$B$5:$B$1517,B1097,$C$5:$C$1517,"&lt;"&amp;C1097),"")</f>
        <v/>
      </c>
      <c r="S1097" s="0" t="str">
        <f aca="false">IF(N1097&gt;=Models!$G$7,1+COUNTIF($N$5:$N$1517,"&gt;"&amp;N1097)+COUNTIFS($N$5:$N$1517,N1097,$B$5:$B$1517,"&lt;"&amp;B1097)+COUNTIFS($N$5:$N$1517,N1097,$B$5:$B$1517,B1097,$C$5:$C$1517,"&lt;"&amp;C1097),"")</f>
        <v/>
      </c>
      <c r="T1097" s="8" t="n">
        <f aca="false">IF(O1097&gt;=Models!$G$8,1+COUNTIF($O$5:$O$1517,"&gt;"&amp;O1097)+COUNTIFS($O$5:$O$1517,O1097,$B$5:$B$1517,"&lt;"&amp;B1097)+COUNTIFS($O$5:$O$1517,O1097,$B$5:$B$1517,B1097,$C$5:$C$1517,"&lt;"&amp;C1097),"")</f>
        <v>1426</v>
      </c>
      <c r="U1097" s="8" t="n">
        <f aca="false">IF($K1097=1,COUNTIFS($L$5:$L$1517,"&gt;="&amp;L1097,$K$5:$K$1517,1)/COUNTIF($L$5:$L$1517,"&gt;="&amp;L1097),0)</f>
        <v>0</v>
      </c>
      <c r="V1097" s="8" t="n">
        <f aca="false">IF($K1097=1,COUNTIFS($M$5:$M$1517,"&gt;="&amp;M1097,$K$5:$K$1517,1)/COUNTIF($M$5:$M$1517,"&gt;="&amp;M1097),0)</f>
        <v>0</v>
      </c>
      <c r="W1097" s="8" t="n">
        <f aca="false">IF($K1097=1,COUNTIFS($N$5:$N$1517,"&gt;="&amp;N1097,$K$5:$K$1517,1)/COUNTIF($N$5:$N$1517,"&gt;="&amp;N1097),0)</f>
        <v>0</v>
      </c>
      <c r="X1097" s="8" t="n">
        <f aca="false">IF($K1097=1,COUNTIFS($O$5:$O$1517,"&gt;="&amp;O1097,$K$5:$K$1517,1)/COUNTIF($O$5:$O$1517,"&gt;="&amp;O1097),0)</f>
        <v>0</v>
      </c>
      <c r="Y1097" s="8" t="n">
        <f aca="false">IF($K1097=1,COUNTIFS($P$5:$P$1517,"&gt;="&amp;P1097,$K$5:$K$1517,1)/COUNTIF($P$5:$P$1517,"&gt;="&amp;P1097),0)</f>
        <v>0</v>
      </c>
      <c r="Z1097" s="8" t="n">
        <f aca="false">(L1097-$K1097)^2</f>
        <v>0.967888018969</v>
      </c>
      <c r="AA1097" s="8" t="n">
        <f aca="false">(M1097-$K1097)^2</f>
        <v>0.008475595969</v>
      </c>
      <c r="AB1097" s="8" t="n">
        <f aca="false">(N1097-$K1097)^2</f>
        <v>0.024163458916</v>
      </c>
      <c r="AC1097" s="8" t="n">
        <f aca="false">(O1097-$K1097)^2</f>
        <v>0.011274829489</v>
      </c>
      <c r="AD1097" s="8" t="n">
        <f aca="false">(P1097-$K1097)^2</f>
        <v>0.028027447396</v>
      </c>
      <c r="AE1097" s="8" t="n">
        <f aca="false">MIN(INT(ROUND(N1097*1000000,0)/100000),9)</f>
        <v>1</v>
      </c>
      <c r="AF1097" s="8" t="n">
        <f aca="false">MIN(INT(ROUND(P1097*1000000,0)/100000),9)</f>
        <v>1</v>
      </c>
    </row>
    <row r="1098" customFormat="false" ht="15" hidden="false" customHeight="false" outlineLevel="0" collapsed="false">
      <c r="A1098" s="4" t="n">
        <v>1094</v>
      </c>
      <c r="B1098" s="4" t="n">
        <v>1671</v>
      </c>
      <c r="C1098" s="4" t="n">
        <v>2</v>
      </c>
      <c r="D1098" s="11" t="n">
        <v>46113</v>
      </c>
      <c r="E1098" s="4" t="s">
        <v>201</v>
      </c>
      <c r="F1098" s="4" t="s">
        <v>209</v>
      </c>
      <c r="G1098" s="4" t="n">
        <v>7</v>
      </c>
      <c r="H1098" s="4" t="n">
        <v>12</v>
      </c>
      <c r="I1098" s="4" t="n">
        <v>0</v>
      </c>
      <c r="J1098" s="4"/>
      <c r="K1098" s="4" t="n">
        <v>0</v>
      </c>
      <c r="L1098" s="12" t="n">
        <v>0.22723</v>
      </c>
      <c r="M1098" s="12" t="n">
        <v>0.092063</v>
      </c>
      <c r="N1098" s="12" t="n">
        <v>0.050001</v>
      </c>
      <c r="O1098" s="12" t="n">
        <v>0.106183</v>
      </c>
      <c r="P1098" s="12" t="n">
        <v>0.051391</v>
      </c>
      <c r="Q1098" s="0" t="str">
        <f aca="false">IF(L1098&gt;=Models!$G$5,1+COUNTIF($L$5:$L$1517,"&gt;"&amp;L1098)+COUNTIFS($L$5:$L$1517,L1098,$B$5:$B$1517,"&lt;"&amp;B1098)+COUNTIFS($L$5:$L$1517,L1098,$B$5:$B$1517,B1098,$C$5:$C$1517,"&lt;"&amp;C1098),"")</f>
        <v/>
      </c>
      <c r="R1098" s="0" t="str">
        <f aca="false">IF(M1098&gt;=Models!$G$6,1+COUNTIF($M$5:$M$1517,"&gt;"&amp;M1098)+COUNTIFS($M$5:$M$1517,M1098,$B$5:$B$1517,"&lt;"&amp;B1098)+COUNTIFS($M$5:$M$1517,M1098,$B$5:$B$1517,B1098,$C$5:$C$1517,"&lt;"&amp;C1098),"")</f>
        <v/>
      </c>
      <c r="S1098" s="0" t="str">
        <f aca="false">IF(N1098&gt;=Models!$G$7,1+COUNTIF($N$5:$N$1517,"&gt;"&amp;N1098)+COUNTIFS($N$5:$N$1517,N1098,$B$5:$B$1517,"&lt;"&amp;B1098)+COUNTIFS($N$5:$N$1517,N1098,$B$5:$B$1517,B1098,$C$5:$C$1517,"&lt;"&amp;C1098),"")</f>
        <v/>
      </c>
      <c r="T1098" s="8" t="n">
        <f aca="false">IF(O1098&gt;=Models!$G$8,1+COUNTIF($O$5:$O$1517,"&gt;"&amp;O1098)+COUNTIFS($O$5:$O$1517,O1098,$B$5:$B$1517,"&lt;"&amp;B1098)+COUNTIFS($O$5:$O$1517,O1098,$B$5:$B$1517,B1098,$C$5:$C$1517,"&lt;"&amp;C1098),"")</f>
        <v>1429</v>
      </c>
      <c r="U1098" s="8" t="n">
        <f aca="false">IF($K1098=1,COUNTIFS($L$5:$L$1517,"&gt;="&amp;L1098,$K$5:$K$1517,1)/COUNTIF($L$5:$L$1517,"&gt;="&amp;L1098),0)</f>
        <v>0</v>
      </c>
      <c r="V1098" s="8" t="n">
        <f aca="false">IF($K1098=1,COUNTIFS($M$5:$M$1517,"&gt;="&amp;M1098,$K$5:$K$1517,1)/COUNTIF($M$5:$M$1517,"&gt;="&amp;M1098),0)</f>
        <v>0</v>
      </c>
      <c r="W1098" s="8" t="n">
        <f aca="false">IF($K1098=1,COUNTIFS($N$5:$N$1517,"&gt;="&amp;N1098,$K$5:$K$1517,1)/COUNTIF($N$5:$N$1517,"&gt;="&amp;N1098),0)</f>
        <v>0</v>
      </c>
      <c r="X1098" s="8" t="n">
        <f aca="false">IF($K1098=1,COUNTIFS($O$5:$O$1517,"&gt;="&amp;O1098,$K$5:$K$1517,1)/COUNTIF($O$5:$O$1517,"&gt;="&amp;O1098),0)</f>
        <v>0</v>
      </c>
      <c r="Y1098" s="8" t="n">
        <f aca="false">IF($K1098=1,COUNTIFS($P$5:$P$1517,"&gt;="&amp;P1098,$K$5:$K$1517,1)/COUNTIF($P$5:$P$1517,"&gt;="&amp;P1098),0)</f>
        <v>0</v>
      </c>
      <c r="Z1098" s="8" t="n">
        <f aca="false">(L1098-$K1098)^2</f>
        <v>0.0516334729</v>
      </c>
      <c r="AA1098" s="8" t="n">
        <f aca="false">(M1098-$K1098)^2</f>
        <v>0.008475595969</v>
      </c>
      <c r="AB1098" s="8" t="n">
        <f aca="false">(N1098-$K1098)^2</f>
        <v>0.002500100001</v>
      </c>
      <c r="AC1098" s="8" t="n">
        <f aca="false">(O1098-$K1098)^2</f>
        <v>0.011274829489</v>
      </c>
      <c r="AD1098" s="8" t="n">
        <f aca="false">(P1098-$K1098)^2</f>
        <v>0.002641034881</v>
      </c>
      <c r="AE1098" s="8" t="n">
        <f aca="false">MIN(INT(ROUND(N1098*1000000,0)/100000),9)</f>
        <v>0</v>
      </c>
      <c r="AF1098" s="8" t="n">
        <f aca="false">MIN(INT(ROUND(P1098*1000000,0)/100000),9)</f>
        <v>0</v>
      </c>
    </row>
    <row r="1099" customFormat="false" ht="15" hidden="false" customHeight="false" outlineLevel="0" collapsed="false">
      <c r="A1099" s="4" t="n">
        <v>1095</v>
      </c>
      <c r="B1099" s="4" t="n">
        <v>1676</v>
      </c>
      <c r="C1099" s="4" t="n">
        <v>2</v>
      </c>
      <c r="D1099" s="11" t="n">
        <v>46113</v>
      </c>
      <c r="E1099" s="4" t="s">
        <v>204</v>
      </c>
      <c r="F1099" s="4" t="s">
        <v>206</v>
      </c>
      <c r="G1099" s="4" t="n">
        <v>1</v>
      </c>
      <c r="H1099" s="4" t="n">
        <v>14</v>
      </c>
      <c r="I1099" s="4" t="n">
        <v>0</v>
      </c>
      <c r="J1099" s="4" t="n">
        <v>64</v>
      </c>
      <c r="K1099" s="4" t="n">
        <v>0</v>
      </c>
      <c r="L1099" s="12" t="n">
        <v>0.707783</v>
      </c>
      <c r="M1099" s="12" t="n">
        <v>0.092063</v>
      </c>
      <c r="N1099" s="12" t="n">
        <v>0.163141</v>
      </c>
      <c r="O1099" s="12" t="n">
        <v>0.106183</v>
      </c>
      <c r="P1099" s="12" t="n">
        <v>0.175974</v>
      </c>
      <c r="Q1099" s="0" t="str">
        <f aca="false">IF(L1099&gt;=Models!$G$5,1+COUNTIF($L$5:$L$1517,"&gt;"&amp;L1099)+COUNTIFS($L$5:$L$1517,L1099,$B$5:$B$1517,"&lt;"&amp;B1099)+COUNTIFS($L$5:$L$1517,L1099,$B$5:$B$1517,B1099,$C$5:$C$1517,"&lt;"&amp;C1099),"")</f>
        <v/>
      </c>
      <c r="R1099" s="0" t="str">
        <f aca="false">IF(M1099&gt;=Models!$G$6,1+COUNTIF($M$5:$M$1517,"&gt;"&amp;M1099)+COUNTIFS($M$5:$M$1517,M1099,$B$5:$B$1517,"&lt;"&amp;B1099)+COUNTIFS($M$5:$M$1517,M1099,$B$5:$B$1517,B1099,$C$5:$C$1517,"&lt;"&amp;C1099),"")</f>
        <v/>
      </c>
      <c r="S1099" s="0" t="str">
        <f aca="false">IF(N1099&gt;=Models!$G$7,1+COUNTIF($N$5:$N$1517,"&gt;"&amp;N1099)+COUNTIFS($N$5:$N$1517,N1099,$B$5:$B$1517,"&lt;"&amp;B1099)+COUNTIFS($N$5:$N$1517,N1099,$B$5:$B$1517,B1099,$C$5:$C$1517,"&lt;"&amp;C1099),"")</f>
        <v/>
      </c>
      <c r="T1099" s="8" t="n">
        <f aca="false">IF(O1099&gt;=Models!$G$8,1+COUNTIF($O$5:$O$1517,"&gt;"&amp;O1099)+COUNTIFS($O$5:$O$1517,O1099,$B$5:$B$1517,"&lt;"&amp;B1099)+COUNTIFS($O$5:$O$1517,O1099,$B$5:$B$1517,B1099,$C$5:$C$1517,"&lt;"&amp;C1099),"")</f>
        <v>1432</v>
      </c>
      <c r="U1099" s="8" t="n">
        <f aca="false">IF($K1099=1,COUNTIFS($L$5:$L$1517,"&gt;="&amp;L1099,$K$5:$K$1517,1)/COUNTIF($L$5:$L$1517,"&gt;="&amp;L1099),0)</f>
        <v>0</v>
      </c>
      <c r="V1099" s="8" t="n">
        <f aca="false">IF($K1099=1,COUNTIFS($M$5:$M$1517,"&gt;="&amp;M1099,$K$5:$K$1517,1)/COUNTIF($M$5:$M$1517,"&gt;="&amp;M1099),0)</f>
        <v>0</v>
      </c>
      <c r="W1099" s="8" t="n">
        <f aca="false">IF($K1099=1,COUNTIFS($N$5:$N$1517,"&gt;="&amp;N1099,$K$5:$K$1517,1)/COUNTIF($N$5:$N$1517,"&gt;="&amp;N1099),0)</f>
        <v>0</v>
      </c>
      <c r="X1099" s="8" t="n">
        <f aca="false">IF($K1099=1,COUNTIFS($O$5:$O$1517,"&gt;="&amp;O1099,$K$5:$K$1517,1)/COUNTIF($O$5:$O$1517,"&gt;="&amp;O1099),0)</f>
        <v>0</v>
      </c>
      <c r="Y1099" s="8" t="n">
        <f aca="false">IF($K1099=1,COUNTIFS($P$5:$P$1517,"&gt;="&amp;P1099,$K$5:$K$1517,1)/COUNTIF($P$5:$P$1517,"&gt;="&amp;P1099),0)</f>
        <v>0</v>
      </c>
      <c r="Z1099" s="8" t="n">
        <f aca="false">(L1099-$K1099)^2</f>
        <v>0.500956775089</v>
      </c>
      <c r="AA1099" s="8" t="n">
        <f aca="false">(M1099-$K1099)^2</f>
        <v>0.008475595969</v>
      </c>
      <c r="AB1099" s="8" t="n">
        <f aca="false">(N1099-$K1099)^2</f>
        <v>0.026614985881</v>
      </c>
      <c r="AC1099" s="8" t="n">
        <f aca="false">(O1099-$K1099)^2</f>
        <v>0.011274829489</v>
      </c>
      <c r="AD1099" s="8" t="n">
        <f aca="false">(P1099-$K1099)^2</f>
        <v>0.030966848676</v>
      </c>
      <c r="AE1099" s="8" t="n">
        <f aca="false">MIN(INT(ROUND(N1099*1000000,0)/100000),9)</f>
        <v>1</v>
      </c>
      <c r="AF1099" s="8" t="n">
        <f aca="false">MIN(INT(ROUND(P1099*1000000,0)/100000),9)</f>
        <v>1</v>
      </c>
    </row>
    <row r="1100" customFormat="false" ht="15" hidden="false" customHeight="false" outlineLevel="0" collapsed="false">
      <c r="A1100" s="4" t="n">
        <v>1096</v>
      </c>
      <c r="B1100" s="4" t="n">
        <v>1681</v>
      </c>
      <c r="C1100" s="4" t="n">
        <v>2</v>
      </c>
      <c r="D1100" s="11" t="n">
        <v>46113</v>
      </c>
      <c r="E1100" s="4" t="s">
        <v>202</v>
      </c>
      <c r="F1100" s="4" t="s">
        <v>207</v>
      </c>
      <c r="G1100" s="4" t="n">
        <v>5</v>
      </c>
      <c r="H1100" s="4" t="n">
        <v>4</v>
      </c>
      <c r="I1100" s="4" t="n">
        <v>0</v>
      </c>
      <c r="J1100" s="4" t="n">
        <v>1086</v>
      </c>
      <c r="K1100" s="4" t="n">
        <v>0</v>
      </c>
      <c r="L1100" s="12" t="n">
        <v>0.626136</v>
      </c>
      <c r="M1100" s="12" t="n">
        <v>0.092063</v>
      </c>
      <c r="N1100" s="12" t="n">
        <v>0.105618</v>
      </c>
      <c r="O1100" s="12" t="n">
        <v>0.106183</v>
      </c>
      <c r="P1100" s="12" t="n">
        <v>0.112149</v>
      </c>
      <c r="Q1100" s="0" t="str">
        <f aca="false">IF(L1100&gt;=Models!$G$5,1+COUNTIF($L$5:$L$1517,"&gt;"&amp;L1100)+COUNTIFS($L$5:$L$1517,L1100,$B$5:$B$1517,"&lt;"&amp;B1100)+COUNTIFS($L$5:$L$1517,L1100,$B$5:$B$1517,B1100,$C$5:$C$1517,"&lt;"&amp;C1100),"")</f>
        <v/>
      </c>
      <c r="R1100" s="0" t="str">
        <f aca="false">IF(M1100&gt;=Models!$G$6,1+COUNTIF($M$5:$M$1517,"&gt;"&amp;M1100)+COUNTIFS($M$5:$M$1517,M1100,$B$5:$B$1517,"&lt;"&amp;B1100)+COUNTIFS($M$5:$M$1517,M1100,$B$5:$B$1517,B1100,$C$5:$C$1517,"&lt;"&amp;C1100),"")</f>
        <v/>
      </c>
      <c r="S1100" s="0" t="str">
        <f aca="false">IF(N1100&gt;=Models!$G$7,1+COUNTIF($N$5:$N$1517,"&gt;"&amp;N1100)+COUNTIFS($N$5:$N$1517,N1100,$B$5:$B$1517,"&lt;"&amp;B1100)+COUNTIFS($N$5:$N$1517,N1100,$B$5:$B$1517,B1100,$C$5:$C$1517,"&lt;"&amp;C1100),"")</f>
        <v/>
      </c>
      <c r="T1100" s="8" t="n">
        <f aca="false">IF(O1100&gt;=Models!$G$8,1+COUNTIF($O$5:$O$1517,"&gt;"&amp;O1100)+COUNTIFS($O$5:$O$1517,O1100,$B$5:$B$1517,"&lt;"&amp;B1100)+COUNTIFS($O$5:$O$1517,O1100,$B$5:$B$1517,B1100,$C$5:$C$1517,"&lt;"&amp;C1100),"")</f>
        <v>1434</v>
      </c>
      <c r="U1100" s="8" t="n">
        <f aca="false">IF($K1100=1,COUNTIFS($L$5:$L$1517,"&gt;="&amp;L1100,$K$5:$K$1517,1)/COUNTIF($L$5:$L$1517,"&gt;="&amp;L1100),0)</f>
        <v>0</v>
      </c>
      <c r="V1100" s="8" t="n">
        <f aca="false">IF($K1100=1,COUNTIFS($M$5:$M$1517,"&gt;="&amp;M1100,$K$5:$K$1517,1)/COUNTIF($M$5:$M$1517,"&gt;="&amp;M1100),0)</f>
        <v>0</v>
      </c>
      <c r="W1100" s="8" t="n">
        <f aca="false">IF($K1100=1,COUNTIFS($N$5:$N$1517,"&gt;="&amp;N1100,$K$5:$K$1517,1)/COUNTIF($N$5:$N$1517,"&gt;="&amp;N1100),0)</f>
        <v>0</v>
      </c>
      <c r="X1100" s="8" t="n">
        <f aca="false">IF($K1100=1,COUNTIFS($O$5:$O$1517,"&gt;="&amp;O1100,$K$5:$K$1517,1)/COUNTIF($O$5:$O$1517,"&gt;="&amp;O1100),0)</f>
        <v>0</v>
      </c>
      <c r="Y1100" s="8" t="n">
        <f aca="false">IF($K1100=1,COUNTIFS($P$5:$P$1517,"&gt;="&amp;P1100,$K$5:$K$1517,1)/COUNTIF($P$5:$P$1517,"&gt;="&amp;P1100),0)</f>
        <v>0</v>
      </c>
      <c r="Z1100" s="8" t="n">
        <f aca="false">(L1100-$K1100)^2</f>
        <v>0.392046290496</v>
      </c>
      <c r="AA1100" s="8" t="n">
        <f aca="false">(M1100-$K1100)^2</f>
        <v>0.008475595969</v>
      </c>
      <c r="AB1100" s="8" t="n">
        <f aca="false">(N1100-$K1100)^2</f>
        <v>0.011155161924</v>
      </c>
      <c r="AC1100" s="8" t="n">
        <f aca="false">(O1100-$K1100)^2</f>
        <v>0.011274829489</v>
      </c>
      <c r="AD1100" s="8" t="n">
        <f aca="false">(P1100-$K1100)^2</f>
        <v>0.012577398201</v>
      </c>
      <c r="AE1100" s="8" t="n">
        <f aca="false">MIN(INT(ROUND(N1100*1000000,0)/100000),9)</f>
        <v>1</v>
      </c>
      <c r="AF1100" s="8" t="n">
        <f aca="false">MIN(INT(ROUND(P1100*1000000,0)/100000),9)</f>
        <v>1</v>
      </c>
    </row>
    <row r="1101" customFormat="false" ht="15" hidden="false" customHeight="false" outlineLevel="0" collapsed="false">
      <c r="A1101" s="4" t="n">
        <v>1097</v>
      </c>
      <c r="B1101" s="4" t="n">
        <v>1684</v>
      </c>
      <c r="C1101" s="4" t="n">
        <v>2</v>
      </c>
      <c r="D1101" s="11" t="n">
        <v>46113</v>
      </c>
      <c r="E1101" s="4" t="s">
        <v>203</v>
      </c>
      <c r="F1101" s="4" t="s">
        <v>207</v>
      </c>
      <c r="G1101" s="4" t="n">
        <v>4</v>
      </c>
      <c r="H1101" s="4" t="n">
        <v>5</v>
      </c>
      <c r="I1101" s="4" t="n">
        <v>1</v>
      </c>
      <c r="J1101" s="4" t="n">
        <v>426</v>
      </c>
      <c r="K1101" s="4" t="n">
        <v>0</v>
      </c>
      <c r="L1101" s="12" t="n">
        <v>0.779255</v>
      </c>
      <c r="M1101" s="12" t="n">
        <v>0.184211</v>
      </c>
      <c r="N1101" s="12" t="n">
        <v>0.197221</v>
      </c>
      <c r="O1101" s="12" t="n">
        <v>0.106183</v>
      </c>
      <c r="P1101" s="12" t="n">
        <v>0.2139</v>
      </c>
      <c r="Q1101" s="0" t="str">
        <f aca="false">IF(L1101&gt;=Models!$G$5,1+COUNTIF($L$5:$L$1517,"&gt;"&amp;L1101)+COUNTIFS($L$5:$L$1517,L1101,$B$5:$B$1517,"&lt;"&amp;B1101)+COUNTIFS($L$5:$L$1517,L1101,$B$5:$B$1517,B1101,$C$5:$C$1517,"&lt;"&amp;C1101),"")</f>
        <v/>
      </c>
      <c r="R1101" s="8" t="n">
        <f aca="false">IF(M1101&gt;=Models!$G$6,1+COUNTIF($M$5:$M$1517,"&gt;"&amp;M1101)+COUNTIFS($M$5:$M$1517,M1101,$B$5:$B$1517,"&lt;"&amp;B1101)+COUNTIFS($M$5:$M$1517,M1101,$B$5:$B$1517,B1101,$C$5:$C$1517,"&lt;"&amp;C1101),"")</f>
        <v>185</v>
      </c>
      <c r="S1101" s="0" t="str">
        <f aca="false">IF(N1101&gt;=Models!$G$7,1+COUNTIF($N$5:$N$1517,"&gt;"&amp;N1101)+COUNTIFS($N$5:$N$1517,N1101,$B$5:$B$1517,"&lt;"&amp;B1101)+COUNTIFS($N$5:$N$1517,N1101,$B$5:$B$1517,B1101,$C$5:$C$1517,"&lt;"&amp;C1101),"")</f>
        <v/>
      </c>
      <c r="T1101" s="8" t="n">
        <f aca="false">IF(O1101&gt;=Models!$G$8,1+COUNTIF($O$5:$O$1517,"&gt;"&amp;O1101)+COUNTIFS($O$5:$O$1517,O1101,$B$5:$B$1517,"&lt;"&amp;B1101)+COUNTIFS($O$5:$O$1517,O1101,$B$5:$B$1517,B1101,$C$5:$C$1517,"&lt;"&amp;C1101),"")</f>
        <v>1436</v>
      </c>
      <c r="U1101" s="8" t="n">
        <f aca="false">IF($K1101=1,COUNTIFS($L$5:$L$1517,"&gt;="&amp;L1101,$K$5:$K$1517,1)/COUNTIF($L$5:$L$1517,"&gt;="&amp;L1101),0)</f>
        <v>0</v>
      </c>
      <c r="V1101" s="8" t="n">
        <f aca="false">IF($K1101=1,COUNTIFS($M$5:$M$1517,"&gt;="&amp;M1101,$K$5:$K$1517,1)/COUNTIF($M$5:$M$1517,"&gt;="&amp;M1101),0)</f>
        <v>0</v>
      </c>
      <c r="W1101" s="8" t="n">
        <f aca="false">IF($K1101=1,COUNTIFS($N$5:$N$1517,"&gt;="&amp;N1101,$K$5:$K$1517,1)/COUNTIF($N$5:$N$1517,"&gt;="&amp;N1101),0)</f>
        <v>0</v>
      </c>
      <c r="X1101" s="8" t="n">
        <f aca="false">IF($K1101=1,COUNTIFS($O$5:$O$1517,"&gt;="&amp;O1101,$K$5:$K$1517,1)/COUNTIF($O$5:$O$1517,"&gt;="&amp;O1101),0)</f>
        <v>0</v>
      </c>
      <c r="Y1101" s="8" t="n">
        <f aca="false">IF($K1101=1,COUNTIFS($P$5:$P$1517,"&gt;="&amp;P1101,$K$5:$K$1517,1)/COUNTIF($P$5:$P$1517,"&gt;="&amp;P1101),0)</f>
        <v>0</v>
      </c>
      <c r="Z1101" s="8" t="n">
        <f aca="false">(L1101-$K1101)^2</f>
        <v>0.607238355025</v>
      </c>
      <c r="AA1101" s="8" t="n">
        <f aca="false">(M1101-$K1101)^2</f>
        <v>0.033933692521</v>
      </c>
      <c r="AB1101" s="8" t="n">
        <f aca="false">(N1101-$K1101)^2</f>
        <v>0.038896122841</v>
      </c>
      <c r="AC1101" s="8" t="n">
        <f aca="false">(O1101-$K1101)^2</f>
        <v>0.011274829489</v>
      </c>
      <c r="AD1101" s="8" t="n">
        <f aca="false">(P1101-$K1101)^2</f>
        <v>0.04575321</v>
      </c>
      <c r="AE1101" s="8" t="n">
        <f aca="false">MIN(INT(ROUND(N1101*1000000,0)/100000),9)</f>
        <v>1</v>
      </c>
      <c r="AF1101" s="8" t="n">
        <f aca="false">MIN(INT(ROUND(P1101*1000000,0)/100000),9)</f>
        <v>2</v>
      </c>
    </row>
    <row r="1102" customFormat="false" ht="15" hidden="false" customHeight="false" outlineLevel="0" collapsed="false">
      <c r="A1102" s="4" t="n">
        <v>1098</v>
      </c>
      <c r="B1102" s="4" t="n">
        <v>1689</v>
      </c>
      <c r="C1102" s="4" t="n">
        <v>2</v>
      </c>
      <c r="D1102" s="11" t="n">
        <v>46113</v>
      </c>
      <c r="E1102" s="4" t="s">
        <v>202</v>
      </c>
      <c r="F1102" s="4" t="s">
        <v>208</v>
      </c>
      <c r="G1102" s="4" t="n">
        <v>8</v>
      </c>
      <c r="H1102" s="4" t="n">
        <v>3</v>
      </c>
      <c r="I1102" s="4" t="n">
        <v>0</v>
      </c>
      <c r="J1102" s="4" t="n">
        <v>1611</v>
      </c>
      <c r="K1102" s="4" t="n">
        <v>0</v>
      </c>
      <c r="L1102" s="12" t="n">
        <v>0.606691</v>
      </c>
      <c r="M1102" s="12" t="n">
        <v>0.092063</v>
      </c>
      <c r="N1102" s="12" t="n">
        <v>0.079808</v>
      </c>
      <c r="O1102" s="12" t="n">
        <v>0.106183</v>
      </c>
      <c r="P1102" s="12" t="n">
        <v>0.083761</v>
      </c>
      <c r="Q1102" s="0" t="str">
        <f aca="false">IF(L1102&gt;=Models!$G$5,1+COUNTIF($L$5:$L$1517,"&gt;"&amp;L1102)+COUNTIFS($L$5:$L$1517,L1102,$B$5:$B$1517,"&lt;"&amp;B1102)+COUNTIFS($L$5:$L$1517,L1102,$B$5:$B$1517,B1102,$C$5:$C$1517,"&lt;"&amp;C1102),"")</f>
        <v/>
      </c>
      <c r="R1102" s="0" t="str">
        <f aca="false">IF(M1102&gt;=Models!$G$6,1+COUNTIF($M$5:$M$1517,"&gt;"&amp;M1102)+COUNTIFS($M$5:$M$1517,M1102,$B$5:$B$1517,"&lt;"&amp;B1102)+COUNTIFS($M$5:$M$1517,M1102,$B$5:$B$1517,B1102,$C$5:$C$1517,"&lt;"&amp;C1102),"")</f>
        <v/>
      </c>
      <c r="S1102" s="0" t="str">
        <f aca="false">IF(N1102&gt;=Models!$G$7,1+COUNTIF($N$5:$N$1517,"&gt;"&amp;N1102)+COUNTIFS($N$5:$N$1517,N1102,$B$5:$B$1517,"&lt;"&amp;B1102)+COUNTIFS($N$5:$N$1517,N1102,$B$5:$B$1517,B1102,$C$5:$C$1517,"&lt;"&amp;C1102),"")</f>
        <v/>
      </c>
      <c r="T1102" s="8" t="n">
        <f aca="false">IF(O1102&gt;=Models!$G$8,1+COUNTIF($O$5:$O$1517,"&gt;"&amp;O1102)+COUNTIFS($O$5:$O$1517,O1102,$B$5:$B$1517,"&lt;"&amp;B1102)+COUNTIFS($O$5:$O$1517,O1102,$B$5:$B$1517,B1102,$C$5:$C$1517,"&lt;"&amp;C1102),"")</f>
        <v>1438</v>
      </c>
      <c r="U1102" s="8" t="n">
        <f aca="false">IF($K1102=1,COUNTIFS($L$5:$L$1517,"&gt;="&amp;L1102,$K$5:$K$1517,1)/COUNTIF($L$5:$L$1517,"&gt;="&amp;L1102),0)</f>
        <v>0</v>
      </c>
      <c r="V1102" s="8" t="n">
        <f aca="false">IF($K1102=1,COUNTIFS($M$5:$M$1517,"&gt;="&amp;M1102,$K$5:$K$1517,1)/COUNTIF($M$5:$M$1517,"&gt;="&amp;M1102),0)</f>
        <v>0</v>
      </c>
      <c r="W1102" s="8" t="n">
        <f aca="false">IF($K1102=1,COUNTIFS($N$5:$N$1517,"&gt;="&amp;N1102,$K$5:$K$1517,1)/COUNTIF($N$5:$N$1517,"&gt;="&amp;N1102),0)</f>
        <v>0</v>
      </c>
      <c r="X1102" s="8" t="n">
        <f aca="false">IF($K1102=1,COUNTIFS($O$5:$O$1517,"&gt;="&amp;O1102,$K$5:$K$1517,1)/COUNTIF($O$5:$O$1517,"&gt;="&amp;O1102),0)</f>
        <v>0</v>
      </c>
      <c r="Y1102" s="8" t="n">
        <f aca="false">IF($K1102=1,COUNTIFS($P$5:$P$1517,"&gt;="&amp;P1102,$K$5:$K$1517,1)/COUNTIF($P$5:$P$1517,"&gt;="&amp;P1102),0)</f>
        <v>0</v>
      </c>
      <c r="Z1102" s="8" t="n">
        <f aca="false">(L1102-$K1102)^2</f>
        <v>0.368073969481</v>
      </c>
      <c r="AA1102" s="8" t="n">
        <f aca="false">(M1102-$K1102)^2</f>
        <v>0.008475595969</v>
      </c>
      <c r="AB1102" s="8" t="n">
        <f aca="false">(N1102-$K1102)^2</f>
        <v>0.006369316864</v>
      </c>
      <c r="AC1102" s="8" t="n">
        <f aca="false">(O1102-$K1102)^2</f>
        <v>0.011274829489</v>
      </c>
      <c r="AD1102" s="8" t="n">
        <f aca="false">(P1102-$K1102)^2</f>
        <v>0.007015905121</v>
      </c>
      <c r="AE1102" s="8" t="n">
        <f aca="false">MIN(INT(ROUND(N1102*1000000,0)/100000),9)</f>
        <v>0</v>
      </c>
      <c r="AF1102" s="8" t="n">
        <f aca="false">MIN(INT(ROUND(P1102*1000000,0)/100000),9)</f>
        <v>0</v>
      </c>
    </row>
    <row r="1103" customFormat="false" ht="15" hidden="false" customHeight="false" outlineLevel="0" collapsed="false">
      <c r="A1103" s="4" t="n">
        <v>1099</v>
      </c>
      <c r="B1103" s="4" t="n">
        <v>1690</v>
      </c>
      <c r="C1103" s="4" t="n">
        <v>2</v>
      </c>
      <c r="D1103" s="11" t="n">
        <v>46113</v>
      </c>
      <c r="E1103" s="4" t="s">
        <v>203</v>
      </c>
      <c r="F1103" s="4" t="s">
        <v>208</v>
      </c>
      <c r="G1103" s="4" t="n">
        <v>3</v>
      </c>
      <c r="H1103" s="4" t="n">
        <v>7</v>
      </c>
      <c r="I1103" s="4" t="n">
        <v>0</v>
      </c>
      <c r="J1103" s="4" t="n">
        <v>273</v>
      </c>
      <c r="K1103" s="4" t="n">
        <v>0</v>
      </c>
      <c r="L1103" s="12" t="n">
        <v>0.357026</v>
      </c>
      <c r="M1103" s="12" t="n">
        <v>0.092063</v>
      </c>
      <c r="N1103" s="12" t="n">
        <v>0.13187</v>
      </c>
      <c r="O1103" s="12" t="n">
        <v>0.106183</v>
      </c>
      <c r="P1103" s="12" t="n">
        <v>0.141217</v>
      </c>
      <c r="Q1103" s="0" t="str">
        <f aca="false">IF(L1103&gt;=Models!$G$5,1+COUNTIF($L$5:$L$1517,"&gt;"&amp;L1103)+COUNTIFS($L$5:$L$1517,L1103,$B$5:$B$1517,"&lt;"&amp;B1103)+COUNTIFS($L$5:$L$1517,L1103,$B$5:$B$1517,B1103,$C$5:$C$1517,"&lt;"&amp;C1103),"")</f>
        <v/>
      </c>
      <c r="R1103" s="0" t="str">
        <f aca="false">IF(M1103&gt;=Models!$G$6,1+COUNTIF($M$5:$M$1517,"&gt;"&amp;M1103)+COUNTIFS($M$5:$M$1517,M1103,$B$5:$B$1517,"&lt;"&amp;B1103)+COUNTIFS($M$5:$M$1517,M1103,$B$5:$B$1517,B1103,$C$5:$C$1517,"&lt;"&amp;C1103),"")</f>
        <v/>
      </c>
      <c r="S1103" s="0" t="str">
        <f aca="false">IF(N1103&gt;=Models!$G$7,1+COUNTIF($N$5:$N$1517,"&gt;"&amp;N1103)+COUNTIFS($N$5:$N$1517,N1103,$B$5:$B$1517,"&lt;"&amp;B1103)+COUNTIFS($N$5:$N$1517,N1103,$B$5:$B$1517,B1103,$C$5:$C$1517,"&lt;"&amp;C1103),"")</f>
        <v/>
      </c>
      <c r="T1103" s="8" t="n">
        <f aca="false">IF(O1103&gt;=Models!$G$8,1+COUNTIF($O$5:$O$1517,"&gt;"&amp;O1103)+COUNTIFS($O$5:$O$1517,O1103,$B$5:$B$1517,"&lt;"&amp;B1103)+COUNTIFS($O$5:$O$1517,O1103,$B$5:$B$1517,B1103,$C$5:$C$1517,"&lt;"&amp;C1103),"")</f>
        <v>1440</v>
      </c>
      <c r="U1103" s="8" t="n">
        <f aca="false">IF($K1103=1,COUNTIFS($L$5:$L$1517,"&gt;="&amp;L1103,$K$5:$K$1517,1)/COUNTIF($L$5:$L$1517,"&gt;="&amp;L1103),0)</f>
        <v>0</v>
      </c>
      <c r="V1103" s="8" t="n">
        <f aca="false">IF($K1103=1,COUNTIFS($M$5:$M$1517,"&gt;="&amp;M1103,$K$5:$K$1517,1)/COUNTIF($M$5:$M$1517,"&gt;="&amp;M1103),0)</f>
        <v>0</v>
      </c>
      <c r="W1103" s="8" t="n">
        <f aca="false">IF($K1103=1,COUNTIFS($N$5:$N$1517,"&gt;="&amp;N1103,$K$5:$K$1517,1)/COUNTIF($N$5:$N$1517,"&gt;="&amp;N1103),0)</f>
        <v>0</v>
      </c>
      <c r="X1103" s="8" t="n">
        <f aca="false">IF($K1103=1,COUNTIFS($O$5:$O$1517,"&gt;="&amp;O1103,$K$5:$K$1517,1)/COUNTIF($O$5:$O$1517,"&gt;="&amp;O1103),0)</f>
        <v>0</v>
      </c>
      <c r="Y1103" s="8" t="n">
        <f aca="false">IF($K1103=1,COUNTIFS($P$5:$P$1517,"&gt;="&amp;P1103,$K$5:$K$1517,1)/COUNTIF($P$5:$P$1517,"&gt;="&amp;P1103),0)</f>
        <v>0</v>
      </c>
      <c r="Z1103" s="8" t="n">
        <f aca="false">(L1103-$K1103)^2</f>
        <v>0.127467564676</v>
      </c>
      <c r="AA1103" s="8" t="n">
        <f aca="false">(M1103-$K1103)^2</f>
        <v>0.008475595969</v>
      </c>
      <c r="AB1103" s="8" t="n">
        <f aca="false">(N1103-$K1103)^2</f>
        <v>0.0173896969</v>
      </c>
      <c r="AC1103" s="8" t="n">
        <f aca="false">(O1103-$K1103)^2</f>
        <v>0.011274829489</v>
      </c>
      <c r="AD1103" s="8" t="n">
        <f aca="false">(P1103-$K1103)^2</f>
        <v>0.019942241089</v>
      </c>
      <c r="AE1103" s="8" t="n">
        <f aca="false">MIN(INT(ROUND(N1103*1000000,0)/100000),9)</f>
        <v>1</v>
      </c>
      <c r="AF1103" s="8" t="n">
        <f aca="false">MIN(INT(ROUND(P1103*1000000,0)/100000),9)</f>
        <v>1</v>
      </c>
    </row>
    <row r="1104" customFormat="false" ht="15" hidden="false" customHeight="false" outlineLevel="0" collapsed="false">
      <c r="A1104" s="4" t="n">
        <v>1100</v>
      </c>
      <c r="B1104" s="4" t="n">
        <v>1691</v>
      </c>
      <c r="C1104" s="4" t="n">
        <v>2</v>
      </c>
      <c r="D1104" s="11" t="n">
        <v>46113</v>
      </c>
      <c r="E1104" s="4" t="s">
        <v>203</v>
      </c>
      <c r="F1104" s="4" t="s">
        <v>207</v>
      </c>
      <c r="G1104" s="4" t="n">
        <v>5</v>
      </c>
      <c r="H1104" s="4" t="n">
        <v>0</v>
      </c>
      <c r="I1104" s="4" t="n">
        <v>0</v>
      </c>
      <c r="J1104" s="4" t="n">
        <v>384</v>
      </c>
      <c r="K1104" s="4" t="n">
        <v>0</v>
      </c>
      <c r="L1104" s="12" t="n">
        <v>0.657073</v>
      </c>
      <c r="M1104" s="12" t="n">
        <v>0.092063</v>
      </c>
      <c r="N1104" s="12" t="n">
        <v>0.106375</v>
      </c>
      <c r="O1104" s="12" t="n">
        <v>0.106183</v>
      </c>
      <c r="P1104" s="12" t="n">
        <v>0.112985</v>
      </c>
      <c r="Q1104" s="0" t="str">
        <f aca="false">IF(L1104&gt;=Models!$G$5,1+COUNTIF($L$5:$L$1517,"&gt;"&amp;L1104)+COUNTIFS($L$5:$L$1517,L1104,$B$5:$B$1517,"&lt;"&amp;B1104)+COUNTIFS($L$5:$L$1517,L1104,$B$5:$B$1517,B1104,$C$5:$C$1517,"&lt;"&amp;C1104),"")</f>
        <v/>
      </c>
      <c r="R1104" s="0" t="str">
        <f aca="false">IF(M1104&gt;=Models!$G$6,1+COUNTIF($M$5:$M$1517,"&gt;"&amp;M1104)+COUNTIFS($M$5:$M$1517,M1104,$B$5:$B$1517,"&lt;"&amp;B1104)+COUNTIFS($M$5:$M$1517,M1104,$B$5:$B$1517,B1104,$C$5:$C$1517,"&lt;"&amp;C1104),"")</f>
        <v/>
      </c>
      <c r="S1104" s="0" t="str">
        <f aca="false">IF(N1104&gt;=Models!$G$7,1+COUNTIF($N$5:$N$1517,"&gt;"&amp;N1104)+COUNTIFS($N$5:$N$1517,N1104,$B$5:$B$1517,"&lt;"&amp;B1104)+COUNTIFS($N$5:$N$1517,N1104,$B$5:$B$1517,B1104,$C$5:$C$1517,"&lt;"&amp;C1104),"")</f>
        <v/>
      </c>
      <c r="T1104" s="8" t="n">
        <f aca="false">IF(O1104&gt;=Models!$G$8,1+COUNTIF($O$5:$O$1517,"&gt;"&amp;O1104)+COUNTIFS($O$5:$O$1517,O1104,$B$5:$B$1517,"&lt;"&amp;B1104)+COUNTIFS($O$5:$O$1517,O1104,$B$5:$B$1517,B1104,$C$5:$C$1517,"&lt;"&amp;C1104),"")</f>
        <v>1442</v>
      </c>
      <c r="U1104" s="8" t="n">
        <f aca="false">IF($K1104=1,COUNTIFS($L$5:$L$1517,"&gt;="&amp;L1104,$K$5:$K$1517,1)/COUNTIF($L$5:$L$1517,"&gt;="&amp;L1104),0)</f>
        <v>0</v>
      </c>
      <c r="V1104" s="8" t="n">
        <f aca="false">IF($K1104=1,COUNTIFS($M$5:$M$1517,"&gt;="&amp;M1104,$K$5:$K$1517,1)/COUNTIF($M$5:$M$1517,"&gt;="&amp;M1104),0)</f>
        <v>0</v>
      </c>
      <c r="W1104" s="8" t="n">
        <f aca="false">IF($K1104=1,COUNTIFS($N$5:$N$1517,"&gt;="&amp;N1104,$K$5:$K$1517,1)/COUNTIF($N$5:$N$1517,"&gt;="&amp;N1104),0)</f>
        <v>0</v>
      </c>
      <c r="X1104" s="8" t="n">
        <f aca="false">IF($K1104=1,COUNTIFS($O$5:$O$1517,"&gt;="&amp;O1104,$K$5:$K$1517,1)/COUNTIF($O$5:$O$1517,"&gt;="&amp;O1104),0)</f>
        <v>0</v>
      </c>
      <c r="Y1104" s="8" t="n">
        <f aca="false">IF($K1104=1,COUNTIFS($P$5:$P$1517,"&gt;="&amp;P1104,$K$5:$K$1517,1)/COUNTIF($P$5:$P$1517,"&gt;="&amp;P1104),0)</f>
        <v>0</v>
      </c>
      <c r="Z1104" s="8" t="n">
        <f aca="false">(L1104-$K1104)^2</f>
        <v>0.431744927329</v>
      </c>
      <c r="AA1104" s="8" t="n">
        <f aca="false">(M1104-$K1104)^2</f>
        <v>0.008475595969</v>
      </c>
      <c r="AB1104" s="8" t="n">
        <f aca="false">(N1104-$K1104)^2</f>
        <v>0.011315640625</v>
      </c>
      <c r="AC1104" s="8" t="n">
        <f aca="false">(O1104-$K1104)^2</f>
        <v>0.011274829489</v>
      </c>
      <c r="AD1104" s="8" t="n">
        <f aca="false">(P1104-$K1104)^2</f>
        <v>0.012765610225</v>
      </c>
      <c r="AE1104" s="8" t="n">
        <f aca="false">MIN(INT(ROUND(N1104*1000000,0)/100000),9)</f>
        <v>1</v>
      </c>
      <c r="AF1104" s="8" t="n">
        <f aca="false">MIN(INT(ROUND(P1104*1000000,0)/100000),9)</f>
        <v>1</v>
      </c>
    </row>
    <row r="1105" customFormat="false" ht="15" hidden="false" customHeight="false" outlineLevel="0" collapsed="false">
      <c r="A1105" s="4" t="n">
        <v>1101</v>
      </c>
      <c r="B1105" s="4" t="n">
        <v>1698</v>
      </c>
      <c r="C1105" s="4" t="n">
        <v>2</v>
      </c>
      <c r="D1105" s="11" t="n">
        <v>46113</v>
      </c>
      <c r="E1105" s="4" t="s">
        <v>201</v>
      </c>
      <c r="F1105" s="4" t="s">
        <v>209</v>
      </c>
      <c r="G1105" s="4" t="n">
        <v>7</v>
      </c>
      <c r="H1105" s="4" t="n">
        <v>1</v>
      </c>
      <c r="I1105" s="4" t="n">
        <v>1</v>
      </c>
      <c r="J1105" s="4" t="n">
        <v>6591</v>
      </c>
      <c r="K1105" s="4" t="n">
        <v>0</v>
      </c>
      <c r="L1105" s="12" t="n">
        <v>0.421733</v>
      </c>
      <c r="M1105" s="12" t="n">
        <v>0.184211</v>
      </c>
      <c r="N1105" s="12" t="n">
        <v>0.112595</v>
      </c>
      <c r="O1105" s="12" t="n">
        <v>0.106183</v>
      </c>
      <c r="P1105" s="12" t="n">
        <v>0.11986</v>
      </c>
      <c r="Q1105" s="0" t="str">
        <f aca="false">IF(L1105&gt;=Models!$G$5,1+COUNTIF($L$5:$L$1517,"&gt;"&amp;L1105)+COUNTIFS($L$5:$L$1517,L1105,$B$5:$B$1517,"&lt;"&amp;B1105)+COUNTIFS($L$5:$L$1517,L1105,$B$5:$B$1517,B1105,$C$5:$C$1517,"&lt;"&amp;C1105),"")</f>
        <v/>
      </c>
      <c r="R1105" s="8" t="n">
        <f aca="false">IF(M1105&gt;=Models!$G$6,1+COUNTIF($M$5:$M$1517,"&gt;"&amp;M1105)+COUNTIFS($M$5:$M$1517,M1105,$B$5:$B$1517,"&lt;"&amp;B1105)+COUNTIFS($M$5:$M$1517,M1105,$B$5:$B$1517,B1105,$C$5:$C$1517,"&lt;"&amp;C1105),"")</f>
        <v>187</v>
      </c>
      <c r="S1105" s="0" t="str">
        <f aca="false">IF(N1105&gt;=Models!$G$7,1+COUNTIF($N$5:$N$1517,"&gt;"&amp;N1105)+COUNTIFS($N$5:$N$1517,N1105,$B$5:$B$1517,"&lt;"&amp;B1105)+COUNTIFS($N$5:$N$1517,N1105,$B$5:$B$1517,B1105,$C$5:$C$1517,"&lt;"&amp;C1105),"")</f>
        <v/>
      </c>
      <c r="T1105" s="8" t="n">
        <f aca="false">IF(O1105&gt;=Models!$G$8,1+COUNTIF($O$5:$O$1517,"&gt;"&amp;O1105)+COUNTIFS($O$5:$O$1517,O1105,$B$5:$B$1517,"&lt;"&amp;B1105)+COUNTIFS($O$5:$O$1517,O1105,$B$5:$B$1517,B1105,$C$5:$C$1517,"&lt;"&amp;C1105),"")</f>
        <v>1444</v>
      </c>
      <c r="U1105" s="8" t="n">
        <f aca="false">IF($K1105=1,COUNTIFS($L$5:$L$1517,"&gt;="&amp;L1105,$K$5:$K$1517,1)/COUNTIF($L$5:$L$1517,"&gt;="&amp;L1105),0)</f>
        <v>0</v>
      </c>
      <c r="V1105" s="8" t="n">
        <f aca="false">IF($K1105=1,COUNTIFS($M$5:$M$1517,"&gt;="&amp;M1105,$K$5:$K$1517,1)/COUNTIF($M$5:$M$1517,"&gt;="&amp;M1105),0)</f>
        <v>0</v>
      </c>
      <c r="W1105" s="8" t="n">
        <f aca="false">IF($K1105=1,COUNTIFS($N$5:$N$1517,"&gt;="&amp;N1105,$K$5:$K$1517,1)/COUNTIF($N$5:$N$1517,"&gt;="&amp;N1105),0)</f>
        <v>0</v>
      </c>
      <c r="X1105" s="8" t="n">
        <f aca="false">IF($K1105=1,COUNTIFS($O$5:$O$1517,"&gt;="&amp;O1105,$K$5:$K$1517,1)/COUNTIF($O$5:$O$1517,"&gt;="&amp;O1105),0)</f>
        <v>0</v>
      </c>
      <c r="Y1105" s="8" t="n">
        <f aca="false">IF($K1105=1,COUNTIFS($P$5:$P$1517,"&gt;="&amp;P1105,$K$5:$K$1517,1)/COUNTIF($P$5:$P$1517,"&gt;="&amp;P1105),0)</f>
        <v>0</v>
      </c>
      <c r="Z1105" s="8" t="n">
        <f aca="false">(L1105-$K1105)^2</f>
        <v>0.177858723289</v>
      </c>
      <c r="AA1105" s="8" t="n">
        <f aca="false">(M1105-$K1105)^2</f>
        <v>0.033933692521</v>
      </c>
      <c r="AB1105" s="8" t="n">
        <f aca="false">(N1105-$K1105)^2</f>
        <v>0.012677634025</v>
      </c>
      <c r="AC1105" s="8" t="n">
        <f aca="false">(O1105-$K1105)^2</f>
        <v>0.011274829489</v>
      </c>
      <c r="AD1105" s="8" t="n">
        <f aca="false">(P1105-$K1105)^2</f>
        <v>0.0143664196</v>
      </c>
      <c r="AE1105" s="8" t="n">
        <f aca="false">MIN(INT(ROUND(N1105*1000000,0)/100000),9)</f>
        <v>1</v>
      </c>
      <c r="AF1105" s="8" t="n">
        <f aca="false">MIN(INT(ROUND(P1105*1000000,0)/100000),9)</f>
        <v>1</v>
      </c>
    </row>
    <row r="1106" customFormat="false" ht="15" hidden="false" customHeight="false" outlineLevel="0" collapsed="false">
      <c r="A1106" s="4" t="n">
        <v>1102</v>
      </c>
      <c r="B1106" s="4" t="n">
        <v>1703</v>
      </c>
      <c r="C1106" s="4" t="n">
        <v>2</v>
      </c>
      <c r="D1106" s="11" t="n">
        <v>46113</v>
      </c>
      <c r="E1106" s="4" t="s">
        <v>203</v>
      </c>
      <c r="F1106" s="4" t="s">
        <v>206</v>
      </c>
      <c r="G1106" s="4" t="n">
        <v>5</v>
      </c>
      <c r="H1106" s="4" t="n">
        <v>8</v>
      </c>
      <c r="I1106" s="4" t="n">
        <v>0</v>
      </c>
      <c r="J1106" s="4" t="n">
        <v>396</v>
      </c>
      <c r="K1106" s="4" t="n">
        <v>0</v>
      </c>
      <c r="L1106" s="12" t="n">
        <v>0.430458</v>
      </c>
      <c r="M1106" s="12" t="n">
        <v>0.092063</v>
      </c>
      <c r="N1106" s="12" t="n">
        <v>0.112699</v>
      </c>
      <c r="O1106" s="12" t="n">
        <v>0.106183</v>
      </c>
      <c r="P1106" s="12" t="n">
        <v>0.119975</v>
      </c>
      <c r="Q1106" s="0" t="str">
        <f aca="false">IF(L1106&gt;=Models!$G$5,1+COUNTIF($L$5:$L$1517,"&gt;"&amp;L1106)+COUNTIFS($L$5:$L$1517,L1106,$B$5:$B$1517,"&lt;"&amp;B1106)+COUNTIFS($L$5:$L$1517,L1106,$B$5:$B$1517,B1106,$C$5:$C$1517,"&lt;"&amp;C1106),"")</f>
        <v/>
      </c>
      <c r="R1106" s="0" t="str">
        <f aca="false">IF(M1106&gt;=Models!$G$6,1+COUNTIF($M$5:$M$1517,"&gt;"&amp;M1106)+COUNTIFS($M$5:$M$1517,M1106,$B$5:$B$1517,"&lt;"&amp;B1106)+COUNTIFS($M$5:$M$1517,M1106,$B$5:$B$1517,B1106,$C$5:$C$1517,"&lt;"&amp;C1106),"")</f>
        <v/>
      </c>
      <c r="S1106" s="0" t="str">
        <f aca="false">IF(N1106&gt;=Models!$G$7,1+COUNTIF($N$5:$N$1517,"&gt;"&amp;N1106)+COUNTIFS($N$5:$N$1517,N1106,$B$5:$B$1517,"&lt;"&amp;B1106)+COUNTIFS($N$5:$N$1517,N1106,$B$5:$B$1517,B1106,$C$5:$C$1517,"&lt;"&amp;C1106),"")</f>
        <v/>
      </c>
      <c r="T1106" s="8" t="n">
        <f aca="false">IF(O1106&gt;=Models!$G$8,1+COUNTIF($O$5:$O$1517,"&gt;"&amp;O1106)+COUNTIFS($O$5:$O$1517,O1106,$B$5:$B$1517,"&lt;"&amp;B1106)+COUNTIFS($O$5:$O$1517,O1106,$B$5:$B$1517,B1106,$C$5:$C$1517,"&lt;"&amp;C1106),"")</f>
        <v>1446</v>
      </c>
      <c r="U1106" s="8" t="n">
        <f aca="false">IF($K1106=1,COUNTIFS($L$5:$L$1517,"&gt;="&amp;L1106,$K$5:$K$1517,1)/COUNTIF($L$5:$L$1517,"&gt;="&amp;L1106),0)</f>
        <v>0</v>
      </c>
      <c r="V1106" s="8" t="n">
        <f aca="false">IF($K1106=1,COUNTIFS($M$5:$M$1517,"&gt;="&amp;M1106,$K$5:$K$1517,1)/COUNTIF($M$5:$M$1517,"&gt;="&amp;M1106),0)</f>
        <v>0</v>
      </c>
      <c r="W1106" s="8" t="n">
        <f aca="false">IF($K1106=1,COUNTIFS($N$5:$N$1517,"&gt;="&amp;N1106,$K$5:$K$1517,1)/COUNTIF($N$5:$N$1517,"&gt;="&amp;N1106),0)</f>
        <v>0</v>
      </c>
      <c r="X1106" s="8" t="n">
        <f aca="false">IF($K1106=1,COUNTIFS($O$5:$O$1517,"&gt;="&amp;O1106,$K$5:$K$1517,1)/COUNTIF($O$5:$O$1517,"&gt;="&amp;O1106),0)</f>
        <v>0</v>
      </c>
      <c r="Y1106" s="8" t="n">
        <f aca="false">IF($K1106=1,COUNTIFS($P$5:$P$1517,"&gt;="&amp;P1106,$K$5:$K$1517,1)/COUNTIF($P$5:$P$1517,"&gt;="&amp;P1106),0)</f>
        <v>0</v>
      </c>
      <c r="Z1106" s="8" t="n">
        <f aca="false">(L1106-$K1106)^2</f>
        <v>0.185294089764</v>
      </c>
      <c r="AA1106" s="8" t="n">
        <f aca="false">(M1106-$K1106)^2</f>
        <v>0.008475595969</v>
      </c>
      <c r="AB1106" s="8" t="n">
        <f aca="false">(N1106-$K1106)^2</f>
        <v>0.012701064601</v>
      </c>
      <c r="AC1106" s="8" t="n">
        <f aca="false">(O1106-$K1106)^2</f>
        <v>0.011274829489</v>
      </c>
      <c r="AD1106" s="8" t="n">
        <f aca="false">(P1106-$K1106)^2</f>
        <v>0.014394000625</v>
      </c>
      <c r="AE1106" s="8" t="n">
        <f aca="false">MIN(INT(ROUND(N1106*1000000,0)/100000),9)</f>
        <v>1</v>
      </c>
      <c r="AF1106" s="8" t="n">
        <f aca="false">MIN(INT(ROUND(P1106*1000000,0)/100000),9)</f>
        <v>1</v>
      </c>
    </row>
    <row r="1107" customFormat="false" ht="15" hidden="false" customHeight="false" outlineLevel="0" collapsed="false">
      <c r="A1107" s="4" t="n">
        <v>1103</v>
      </c>
      <c r="B1107" s="4" t="n">
        <v>1708</v>
      </c>
      <c r="C1107" s="4" t="n">
        <v>2</v>
      </c>
      <c r="D1107" s="11" t="n">
        <v>46113</v>
      </c>
      <c r="E1107" s="4" t="s">
        <v>201</v>
      </c>
      <c r="F1107" s="4" t="s">
        <v>209</v>
      </c>
      <c r="G1107" s="4" t="n">
        <v>20</v>
      </c>
      <c r="H1107" s="4" t="n">
        <v>0</v>
      </c>
      <c r="I1107" s="4" t="n">
        <v>1</v>
      </c>
      <c r="J1107" s="4"/>
      <c r="K1107" s="4" t="n">
        <v>0</v>
      </c>
      <c r="L1107" s="12" t="n">
        <v>0.144599</v>
      </c>
      <c r="M1107" s="12" t="n">
        <v>0.184211</v>
      </c>
      <c r="N1107" s="12" t="n">
        <v>0.02617</v>
      </c>
      <c r="O1107" s="12" t="n">
        <v>0.106183</v>
      </c>
      <c r="P1107" s="12" t="n">
        <v>0.026091</v>
      </c>
      <c r="Q1107" s="0" t="str">
        <f aca="false">IF(L1107&gt;=Models!$G$5,1+COUNTIF($L$5:$L$1517,"&gt;"&amp;L1107)+COUNTIFS($L$5:$L$1517,L1107,$B$5:$B$1517,"&lt;"&amp;B1107)+COUNTIFS($L$5:$L$1517,L1107,$B$5:$B$1517,B1107,$C$5:$C$1517,"&lt;"&amp;C1107),"")</f>
        <v/>
      </c>
      <c r="R1107" s="8" t="n">
        <f aca="false">IF(M1107&gt;=Models!$G$6,1+COUNTIF($M$5:$M$1517,"&gt;"&amp;M1107)+COUNTIFS($M$5:$M$1517,M1107,$B$5:$B$1517,"&lt;"&amp;B1107)+COUNTIFS($M$5:$M$1517,M1107,$B$5:$B$1517,B1107,$C$5:$C$1517,"&lt;"&amp;C1107),"")</f>
        <v>188</v>
      </c>
      <c r="S1107" s="0" t="str">
        <f aca="false">IF(N1107&gt;=Models!$G$7,1+COUNTIF($N$5:$N$1517,"&gt;"&amp;N1107)+COUNTIFS($N$5:$N$1517,N1107,$B$5:$B$1517,"&lt;"&amp;B1107)+COUNTIFS($N$5:$N$1517,N1107,$B$5:$B$1517,B1107,$C$5:$C$1517,"&lt;"&amp;C1107),"")</f>
        <v/>
      </c>
      <c r="T1107" s="8" t="n">
        <f aca="false">IF(O1107&gt;=Models!$G$8,1+COUNTIF($O$5:$O$1517,"&gt;"&amp;O1107)+COUNTIFS($O$5:$O$1517,O1107,$B$5:$B$1517,"&lt;"&amp;B1107)+COUNTIFS($O$5:$O$1517,O1107,$B$5:$B$1517,B1107,$C$5:$C$1517,"&lt;"&amp;C1107),"")</f>
        <v>1448</v>
      </c>
      <c r="U1107" s="8" t="n">
        <f aca="false">IF($K1107=1,COUNTIFS($L$5:$L$1517,"&gt;="&amp;L1107,$K$5:$K$1517,1)/COUNTIF($L$5:$L$1517,"&gt;="&amp;L1107),0)</f>
        <v>0</v>
      </c>
      <c r="V1107" s="8" t="n">
        <f aca="false">IF($K1107=1,COUNTIFS($M$5:$M$1517,"&gt;="&amp;M1107,$K$5:$K$1517,1)/COUNTIF($M$5:$M$1517,"&gt;="&amp;M1107),0)</f>
        <v>0</v>
      </c>
      <c r="W1107" s="8" t="n">
        <f aca="false">IF($K1107=1,COUNTIFS($N$5:$N$1517,"&gt;="&amp;N1107,$K$5:$K$1517,1)/COUNTIF($N$5:$N$1517,"&gt;="&amp;N1107),0)</f>
        <v>0</v>
      </c>
      <c r="X1107" s="8" t="n">
        <f aca="false">IF($K1107=1,COUNTIFS($O$5:$O$1517,"&gt;="&amp;O1107,$K$5:$K$1517,1)/COUNTIF($O$5:$O$1517,"&gt;="&amp;O1107),0)</f>
        <v>0</v>
      </c>
      <c r="Y1107" s="8" t="n">
        <f aca="false">IF($K1107=1,COUNTIFS($P$5:$P$1517,"&gt;="&amp;P1107,$K$5:$K$1517,1)/COUNTIF($P$5:$P$1517,"&gt;="&amp;P1107),0)</f>
        <v>0</v>
      </c>
      <c r="Z1107" s="8" t="n">
        <f aca="false">(L1107-$K1107)^2</f>
        <v>0.020908870801</v>
      </c>
      <c r="AA1107" s="8" t="n">
        <f aca="false">(M1107-$K1107)^2</f>
        <v>0.033933692521</v>
      </c>
      <c r="AB1107" s="8" t="n">
        <f aca="false">(N1107-$K1107)^2</f>
        <v>0.0006848689</v>
      </c>
      <c r="AC1107" s="8" t="n">
        <f aca="false">(O1107-$K1107)^2</f>
        <v>0.011274829489</v>
      </c>
      <c r="AD1107" s="8" t="n">
        <f aca="false">(P1107-$K1107)^2</f>
        <v>0.000680740281</v>
      </c>
      <c r="AE1107" s="8" t="n">
        <f aca="false">MIN(INT(ROUND(N1107*1000000,0)/100000),9)</f>
        <v>0</v>
      </c>
      <c r="AF1107" s="8" t="n">
        <f aca="false">MIN(INT(ROUND(P1107*1000000,0)/100000),9)</f>
        <v>0</v>
      </c>
    </row>
    <row r="1108" customFormat="false" ht="15" hidden="false" customHeight="false" outlineLevel="0" collapsed="false">
      <c r="A1108" s="4" t="n">
        <v>1104</v>
      </c>
      <c r="B1108" s="4" t="n">
        <v>1712</v>
      </c>
      <c r="C1108" s="4" t="n">
        <v>2</v>
      </c>
      <c r="D1108" s="11" t="n">
        <v>46113</v>
      </c>
      <c r="E1108" s="4" t="s">
        <v>203</v>
      </c>
      <c r="F1108" s="4" t="s">
        <v>206</v>
      </c>
      <c r="G1108" s="4" t="n">
        <v>4</v>
      </c>
      <c r="H1108" s="4" t="n">
        <v>4</v>
      </c>
      <c r="I1108" s="4" t="n">
        <v>0</v>
      </c>
      <c r="J1108" s="4" t="n">
        <v>276</v>
      </c>
      <c r="K1108" s="4" t="n">
        <v>0</v>
      </c>
      <c r="L1108" s="12" t="n">
        <v>0.09175</v>
      </c>
      <c r="M1108" s="12" t="n">
        <v>0.092063</v>
      </c>
      <c r="N1108" s="12" t="n">
        <v>0.119279</v>
      </c>
      <c r="O1108" s="12" t="n">
        <v>0.106183</v>
      </c>
      <c r="P1108" s="12" t="n">
        <v>0.127258</v>
      </c>
      <c r="Q1108" s="0" t="str">
        <f aca="false">IF(L1108&gt;=Models!$G$5,1+COUNTIF($L$5:$L$1517,"&gt;"&amp;L1108)+COUNTIFS($L$5:$L$1517,L1108,$B$5:$B$1517,"&lt;"&amp;B1108)+COUNTIFS($L$5:$L$1517,L1108,$B$5:$B$1517,B1108,$C$5:$C$1517,"&lt;"&amp;C1108),"")</f>
        <v/>
      </c>
      <c r="R1108" s="0" t="str">
        <f aca="false">IF(M1108&gt;=Models!$G$6,1+COUNTIF($M$5:$M$1517,"&gt;"&amp;M1108)+COUNTIFS($M$5:$M$1517,M1108,$B$5:$B$1517,"&lt;"&amp;B1108)+COUNTIFS($M$5:$M$1517,M1108,$B$5:$B$1517,B1108,$C$5:$C$1517,"&lt;"&amp;C1108),"")</f>
        <v/>
      </c>
      <c r="S1108" s="0" t="str">
        <f aca="false">IF(N1108&gt;=Models!$G$7,1+COUNTIF($N$5:$N$1517,"&gt;"&amp;N1108)+COUNTIFS($N$5:$N$1517,N1108,$B$5:$B$1517,"&lt;"&amp;B1108)+COUNTIFS($N$5:$N$1517,N1108,$B$5:$B$1517,B1108,$C$5:$C$1517,"&lt;"&amp;C1108),"")</f>
        <v/>
      </c>
      <c r="T1108" s="8" t="n">
        <f aca="false">IF(O1108&gt;=Models!$G$8,1+COUNTIF($O$5:$O$1517,"&gt;"&amp;O1108)+COUNTIFS($O$5:$O$1517,O1108,$B$5:$B$1517,"&lt;"&amp;B1108)+COUNTIFS($O$5:$O$1517,O1108,$B$5:$B$1517,B1108,$C$5:$C$1517,"&lt;"&amp;C1108),"")</f>
        <v>1450</v>
      </c>
      <c r="U1108" s="8" t="n">
        <f aca="false">IF($K1108=1,COUNTIFS($L$5:$L$1517,"&gt;="&amp;L1108,$K$5:$K$1517,1)/COUNTIF($L$5:$L$1517,"&gt;="&amp;L1108),0)</f>
        <v>0</v>
      </c>
      <c r="V1108" s="8" t="n">
        <f aca="false">IF($K1108=1,COUNTIFS($M$5:$M$1517,"&gt;="&amp;M1108,$K$5:$K$1517,1)/COUNTIF($M$5:$M$1517,"&gt;="&amp;M1108),0)</f>
        <v>0</v>
      </c>
      <c r="W1108" s="8" t="n">
        <f aca="false">IF($K1108=1,COUNTIFS($N$5:$N$1517,"&gt;="&amp;N1108,$K$5:$K$1517,1)/COUNTIF($N$5:$N$1517,"&gt;="&amp;N1108),0)</f>
        <v>0</v>
      </c>
      <c r="X1108" s="8" t="n">
        <f aca="false">IF($K1108=1,COUNTIFS($O$5:$O$1517,"&gt;="&amp;O1108,$K$5:$K$1517,1)/COUNTIF($O$5:$O$1517,"&gt;="&amp;O1108),0)</f>
        <v>0</v>
      </c>
      <c r="Y1108" s="8" t="n">
        <f aca="false">IF($K1108=1,COUNTIFS($P$5:$P$1517,"&gt;="&amp;P1108,$K$5:$K$1517,1)/COUNTIF($P$5:$P$1517,"&gt;="&amp;P1108),0)</f>
        <v>0</v>
      </c>
      <c r="Z1108" s="8" t="n">
        <f aca="false">(L1108-$K1108)^2</f>
        <v>0.0084180625</v>
      </c>
      <c r="AA1108" s="8" t="n">
        <f aca="false">(M1108-$K1108)^2</f>
        <v>0.008475595969</v>
      </c>
      <c r="AB1108" s="8" t="n">
        <f aca="false">(N1108-$K1108)^2</f>
        <v>0.014227479841</v>
      </c>
      <c r="AC1108" s="8" t="n">
        <f aca="false">(O1108-$K1108)^2</f>
        <v>0.011274829489</v>
      </c>
      <c r="AD1108" s="8" t="n">
        <f aca="false">(P1108-$K1108)^2</f>
        <v>0.016194598564</v>
      </c>
      <c r="AE1108" s="8" t="n">
        <f aca="false">MIN(INT(ROUND(N1108*1000000,0)/100000),9)</f>
        <v>1</v>
      </c>
      <c r="AF1108" s="8" t="n">
        <f aca="false">MIN(INT(ROUND(P1108*1000000,0)/100000),9)</f>
        <v>1</v>
      </c>
    </row>
    <row r="1109" customFormat="false" ht="15" hidden="false" customHeight="false" outlineLevel="0" collapsed="false">
      <c r="A1109" s="4" t="n">
        <v>1105</v>
      </c>
      <c r="B1109" s="4" t="n">
        <v>1713</v>
      </c>
      <c r="C1109" s="4" t="n">
        <v>2</v>
      </c>
      <c r="D1109" s="11" t="n">
        <v>46113</v>
      </c>
      <c r="E1109" s="4" t="s">
        <v>202</v>
      </c>
      <c r="F1109" s="4" t="s">
        <v>206</v>
      </c>
      <c r="G1109" s="4" t="n">
        <v>8</v>
      </c>
      <c r="H1109" s="4" t="n">
        <v>7</v>
      </c>
      <c r="I1109" s="4" t="n">
        <v>0</v>
      </c>
      <c r="J1109" s="4" t="n">
        <v>1710</v>
      </c>
      <c r="K1109" s="4" t="n">
        <v>0</v>
      </c>
      <c r="L1109" s="12" t="n">
        <v>0.879133</v>
      </c>
      <c r="M1109" s="12" t="n">
        <v>0.092063</v>
      </c>
      <c r="N1109" s="12" t="n">
        <v>0.081815</v>
      </c>
      <c r="O1109" s="12" t="n">
        <v>0.106183</v>
      </c>
      <c r="P1109" s="12" t="n">
        <v>0.085959</v>
      </c>
      <c r="Q1109" s="0" t="str">
        <f aca="false">IF(L1109&gt;=Models!$G$5,1+COUNTIF($L$5:$L$1517,"&gt;"&amp;L1109)+COUNTIFS($L$5:$L$1517,L1109,$B$5:$B$1517,"&lt;"&amp;B1109)+COUNTIFS($L$5:$L$1517,L1109,$B$5:$B$1517,B1109,$C$5:$C$1517,"&lt;"&amp;C1109),"")</f>
        <v/>
      </c>
      <c r="R1109" s="0" t="str">
        <f aca="false">IF(M1109&gt;=Models!$G$6,1+COUNTIF($M$5:$M$1517,"&gt;"&amp;M1109)+COUNTIFS($M$5:$M$1517,M1109,$B$5:$B$1517,"&lt;"&amp;B1109)+COUNTIFS($M$5:$M$1517,M1109,$B$5:$B$1517,B1109,$C$5:$C$1517,"&lt;"&amp;C1109),"")</f>
        <v/>
      </c>
      <c r="S1109" s="0" t="str">
        <f aca="false">IF(N1109&gt;=Models!$G$7,1+COUNTIF($N$5:$N$1517,"&gt;"&amp;N1109)+COUNTIFS($N$5:$N$1517,N1109,$B$5:$B$1517,"&lt;"&amp;B1109)+COUNTIFS($N$5:$N$1517,N1109,$B$5:$B$1517,B1109,$C$5:$C$1517,"&lt;"&amp;C1109),"")</f>
        <v/>
      </c>
      <c r="T1109" s="8" t="n">
        <f aca="false">IF(O1109&gt;=Models!$G$8,1+COUNTIF($O$5:$O$1517,"&gt;"&amp;O1109)+COUNTIFS($O$5:$O$1517,O1109,$B$5:$B$1517,"&lt;"&amp;B1109)+COUNTIFS($O$5:$O$1517,O1109,$B$5:$B$1517,B1109,$C$5:$C$1517,"&lt;"&amp;C1109),"")</f>
        <v>1452</v>
      </c>
      <c r="U1109" s="8" t="n">
        <f aca="false">IF($K1109=1,COUNTIFS($L$5:$L$1517,"&gt;="&amp;L1109,$K$5:$K$1517,1)/COUNTIF($L$5:$L$1517,"&gt;="&amp;L1109),0)</f>
        <v>0</v>
      </c>
      <c r="V1109" s="8" t="n">
        <f aca="false">IF($K1109=1,COUNTIFS($M$5:$M$1517,"&gt;="&amp;M1109,$K$5:$K$1517,1)/COUNTIF($M$5:$M$1517,"&gt;="&amp;M1109),0)</f>
        <v>0</v>
      </c>
      <c r="W1109" s="8" t="n">
        <f aca="false">IF($K1109=1,COUNTIFS($N$5:$N$1517,"&gt;="&amp;N1109,$K$5:$K$1517,1)/COUNTIF($N$5:$N$1517,"&gt;="&amp;N1109),0)</f>
        <v>0</v>
      </c>
      <c r="X1109" s="8" t="n">
        <f aca="false">IF($K1109=1,COUNTIFS($O$5:$O$1517,"&gt;="&amp;O1109,$K$5:$K$1517,1)/COUNTIF($O$5:$O$1517,"&gt;="&amp;O1109),0)</f>
        <v>0</v>
      </c>
      <c r="Y1109" s="8" t="n">
        <f aca="false">IF($K1109=1,COUNTIFS($P$5:$P$1517,"&gt;="&amp;P1109,$K$5:$K$1517,1)/COUNTIF($P$5:$P$1517,"&gt;="&amp;P1109),0)</f>
        <v>0</v>
      </c>
      <c r="Z1109" s="8" t="n">
        <f aca="false">(L1109-$K1109)^2</f>
        <v>0.772874831689</v>
      </c>
      <c r="AA1109" s="8" t="n">
        <f aca="false">(M1109-$K1109)^2</f>
        <v>0.008475595969</v>
      </c>
      <c r="AB1109" s="8" t="n">
        <f aca="false">(N1109-$K1109)^2</f>
        <v>0.006693694225</v>
      </c>
      <c r="AC1109" s="8" t="n">
        <f aca="false">(O1109-$K1109)^2</f>
        <v>0.011274829489</v>
      </c>
      <c r="AD1109" s="8" t="n">
        <f aca="false">(P1109-$K1109)^2</f>
        <v>0.007388949681</v>
      </c>
      <c r="AE1109" s="8" t="n">
        <f aca="false">MIN(INT(ROUND(N1109*1000000,0)/100000),9)</f>
        <v>0</v>
      </c>
      <c r="AF1109" s="8" t="n">
        <f aca="false">MIN(INT(ROUND(P1109*1000000,0)/100000),9)</f>
        <v>0</v>
      </c>
    </row>
    <row r="1110" customFormat="false" ht="15" hidden="false" customHeight="false" outlineLevel="0" collapsed="false">
      <c r="A1110" s="4" t="n">
        <v>1106</v>
      </c>
      <c r="B1110" s="4" t="n">
        <v>1716</v>
      </c>
      <c r="C1110" s="4" t="n">
        <v>2</v>
      </c>
      <c r="D1110" s="11" t="n">
        <v>46113</v>
      </c>
      <c r="E1110" s="4" t="s">
        <v>204</v>
      </c>
      <c r="F1110" s="4" t="s">
        <v>206</v>
      </c>
      <c r="G1110" s="4" t="n">
        <v>6</v>
      </c>
      <c r="H1110" s="4" t="n">
        <v>3</v>
      </c>
      <c r="I1110" s="4" t="n">
        <v>0</v>
      </c>
      <c r="J1110" s="4" t="n">
        <v>69</v>
      </c>
      <c r="K1110" s="4" t="n">
        <v>0</v>
      </c>
      <c r="L1110" s="12" t="n">
        <v>0.32968</v>
      </c>
      <c r="M1110" s="12" t="n">
        <v>0.092063</v>
      </c>
      <c r="N1110" s="12" t="n">
        <v>0.101978</v>
      </c>
      <c r="O1110" s="12" t="n">
        <v>0.106183</v>
      </c>
      <c r="P1110" s="12" t="n">
        <v>0.108132</v>
      </c>
      <c r="Q1110" s="0" t="str">
        <f aca="false">IF(L1110&gt;=Models!$G$5,1+COUNTIF($L$5:$L$1517,"&gt;"&amp;L1110)+COUNTIFS($L$5:$L$1517,L1110,$B$5:$B$1517,"&lt;"&amp;B1110)+COUNTIFS($L$5:$L$1517,L1110,$B$5:$B$1517,B1110,$C$5:$C$1517,"&lt;"&amp;C1110),"")</f>
        <v/>
      </c>
      <c r="R1110" s="0" t="str">
        <f aca="false">IF(M1110&gt;=Models!$G$6,1+COUNTIF($M$5:$M$1517,"&gt;"&amp;M1110)+COUNTIFS($M$5:$M$1517,M1110,$B$5:$B$1517,"&lt;"&amp;B1110)+COUNTIFS($M$5:$M$1517,M1110,$B$5:$B$1517,B1110,$C$5:$C$1517,"&lt;"&amp;C1110),"")</f>
        <v/>
      </c>
      <c r="S1110" s="0" t="str">
        <f aca="false">IF(N1110&gt;=Models!$G$7,1+COUNTIF($N$5:$N$1517,"&gt;"&amp;N1110)+COUNTIFS($N$5:$N$1517,N1110,$B$5:$B$1517,"&lt;"&amp;B1110)+COUNTIFS($N$5:$N$1517,N1110,$B$5:$B$1517,B1110,$C$5:$C$1517,"&lt;"&amp;C1110),"")</f>
        <v/>
      </c>
      <c r="T1110" s="8" t="n">
        <f aca="false">IF(O1110&gt;=Models!$G$8,1+COUNTIF($O$5:$O$1517,"&gt;"&amp;O1110)+COUNTIFS($O$5:$O$1517,O1110,$B$5:$B$1517,"&lt;"&amp;B1110)+COUNTIFS($O$5:$O$1517,O1110,$B$5:$B$1517,B1110,$C$5:$C$1517,"&lt;"&amp;C1110),"")</f>
        <v>1454</v>
      </c>
      <c r="U1110" s="8" t="n">
        <f aca="false">IF($K1110=1,COUNTIFS($L$5:$L$1517,"&gt;="&amp;L1110,$K$5:$K$1517,1)/COUNTIF($L$5:$L$1517,"&gt;="&amp;L1110),0)</f>
        <v>0</v>
      </c>
      <c r="V1110" s="8" t="n">
        <f aca="false">IF($K1110=1,COUNTIFS($M$5:$M$1517,"&gt;="&amp;M1110,$K$5:$K$1517,1)/COUNTIF($M$5:$M$1517,"&gt;="&amp;M1110),0)</f>
        <v>0</v>
      </c>
      <c r="W1110" s="8" t="n">
        <f aca="false">IF($K1110=1,COUNTIFS($N$5:$N$1517,"&gt;="&amp;N1110,$K$5:$K$1517,1)/COUNTIF($N$5:$N$1517,"&gt;="&amp;N1110),0)</f>
        <v>0</v>
      </c>
      <c r="X1110" s="8" t="n">
        <f aca="false">IF($K1110=1,COUNTIFS($O$5:$O$1517,"&gt;="&amp;O1110,$K$5:$K$1517,1)/COUNTIF($O$5:$O$1517,"&gt;="&amp;O1110),0)</f>
        <v>0</v>
      </c>
      <c r="Y1110" s="8" t="n">
        <f aca="false">IF($K1110=1,COUNTIFS($P$5:$P$1517,"&gt;="&amp;P1110,$K$5:$K$1517,1)/COUNTIF($P$5:$P$1517,"&gt;="&amp;P1110),0)</f>
        <v>0</v>
      </c>
      <c r="Z1110" s="8" t="n">
        <f aca="false">(L1110-$K1110)^2</f>
        <v>0.1086889024</v>
      </c>
      <c r="AA1110" s="8" t="n">
        <f aca="false">(M1110-$K1110)^2</f>
        <v>0.008475595969</v>
      </c>
      <c r="AB1110" s="8" t="n">
        <f aca="false">(N1110-$K1110)^2</f>
        <v>0.010399512484</v>
      </c>
      <c r="AC1110" s="8" t="n">
        <f aca="false">(O1110-$K1110)^2</f>
        <v>0.011274829489</v>
      </c>
      <c r="AD1110" s="8" t="n">
        <f aca="false">(P1110-$K1110)^2</f>
        <v>0.011692529424</v>
      </c>
      <c r="AE1110" s="8" t="n">
        <f aca="false">MIN(INT(ROUND(N1110*1000000,0)/100000),9)</f>
        <v>1</v>
      </c>
      <c r="AF1110" s="8" t="n">
        <f aca="false">MIN(INT(ROUND(P1110*1000000,0)/100000),9)</f>
        <v>1</v>
      </c>
    </row>
    <row r="1111" customFormat="false" ht="15" hidden="false" customHeight="false" outlineLevel="0" collapsed="false">
      <c r="A1111" s="4" t="n">
        <v>1107</v>
      </c>
      <c r="B1111" s="4" t="n">
        <v>1721</v>
      </c>
      <c r="C1111" s="4" t="n">
        <v>2</v>
      </c>
      <c r="D1111" s="11" t="n">
        <v>46113</v>
      </c>
      <c r="E1111" s="4" t="s">
        <v>201</v>
      </c>
      <c r="F1111" s="4" t="s">
        <v>206</v>
      </c>
      <c r="G1111" s="4" t="n">
        <v>8</v>
      </c>
      <c r="H1111" s="4" t="n">
        <v>1</v>
      </c>
      <c r="I1111" s="4" t="n">
        <v>0</v>
      </c>
      <c r="J1111" s="4"/>
      <c r="K1111" s="4" t="n">
        <v>0</v>
      </c>
      <c r="L1111" s="12" t="n">
        <v>0.992863</v>
      </c>
      <c r="M1111" s="12" t="n">
        <v>0.092063</v>
      </c>
      <c r="N1111" s="12" t="n">
        <v>0.042106</v>
      </c>
      <c r="O1111" s="12" t="n">
        <v>0.106183</v>
      </c>
      <c r="P1111" s="12" t="n">
        <v>0.042933</v>
      </c>
      <c r="Q1111" s="8" t="n">
        <f aca="false">IF(L1111&gt;=Models!$G$5,1+COUNTIF($L$5:$L$1517,"&gt;"&amp;L1111)+COUNTIFS($L$5:$L$1517,L1111,$B$5:$B$1517,"&lt;"&amp;B1111)+COUNTIFS($L$5:$L$1517,L1111,$B$5:$B$1517,B1111,$C$5:$C$1517,"&lt;"&amp;C1111),"")</f>
        <v>11</v>
      </c>
      <c r="R1111" s="0" t="str">
        <f aca="false">IF(M1111&gt;=Models!$G$6,1+COUNTIF($M$5:$M$1517,"&gt;"&amp;M1111)+COUNTIFS($M$5:$M$1517,M1111,$B$5:$B$1517,"&lt;"&amp;B1111)+COUNTIFS($M$5:$M$1517,M1111,$B$5:$B$1517,B1111,$C$5:$C$1517,"&lt;"&amp;C1111),"")</f>
        <v/>
      </c>
      <c r="S1111" s="0" t="str">
        <f aca="false">IF(N1111&gt;=Models!$G$7,1+COUNTIF($N$5:$N$1517,"&gt;"&amp;N1111)+COUNTIFS($N$5:$N$1517,N1111,$B$5:$B$1517,"&lt;"&amp;B1111)+COUNTIFS($N$5:$N$1517,N1111,$B$5:$B$1517,B1111,$C$5:$C$1517,"&lt;"&amp;C1111),"")</f>
        <v/>
      </c>
      <c r="T1111" s="8" t="n">
        <f aca="false">IF(O1111&gt;=Models!$G$8,1+COUNTIF($O$5:$O$1517,"&gt;"&amp;O1111)+COUNTIFS($O$5:$O$1517,O1111,$B$5:$B$1517,"&lt;"&amp;B1111)+COUNTIFS($O$5:$O$1517,O1111,$B$5:$B$1517,B1111,$C$5:$C$1517,"&lt;"&amp;C1111),"")</f>
        <v>1456</v>
      </c>
      <c r="U1111" s="8" t="n">
        <f aca="false">IF($K1111=1,COUNTIFS($L$5:$L$1517,"&gt;="&amp;L1111,$K$5:$K$1517,1)/COUNTIF($L$5:$L$1517,"&gt;="&amp;L1111),0)</f>
        <v>0</v>
      </c>
      <c r="V1111" s="8" t="n">
        <f aca="false">IF($K1111=1,COUNTIFS($M$5:$M$1517,"&gt;="&amp;M1111,$K$5:$K$1517,1)/COUNTIF($M$5:$M$1517,"&gt;="&amp;M1111),0)</f>
        <v>0</v>
      </c>
      <c r="W1111" s="8" t="n">
        <f aca="false">IF($K1111=1,COUNTIFS($N$5:$N$1517,"&gt;="&amp;N1111,$K$5:$K$1517,1)/COUNTIF($N$5:$N$1517,"&gt;="&amp;N1111),0)</f>
        <v>0</v>
      </c>
      <c r="X1111" s="8" t="n">
        <f aca="false">IF($K1111=1,COUNTIFS($O$5:$O$1517,"&gt;="&amp;O1111,$K$5:$K$1517,1)/COUNTIF($O$5:$O$1517,"&gt;="&amp;O1111),0)</f>
        <v>0</v>
      </c>
      <c r="Y1111" s="8" t="n">
        <f aca="false">IF($K1111=1,COUNTIFS($P$5:$P$1517,"&gt;="&amp;P1111,$K$5:$K$1517,1)/COUNTIF($P$5:$P$1517,"&gt;="&amp;P1111),0)</f>
        <v>0</v>
      </c>
      <c r="Z1111" s="8" t="n">
        <f aca="false">(L1111-$K1111)^2</f>
        <v>0.985776936769</v>
      </c>
      <c r="AA1111" s="8" t="n">
        <f aca="false">(M1111-$K1111)^2</f>
        <v>0.008475595969</v>
      </c>
      <c r="AB1111" s="8" t="n">
        <f aca="false">(N1111-$K1111)^2</f>
        <v>0.001772915236</v>
      </c>
      <c r="AC1111" s="8" t="n">
        <f aca="false">(O1111-$K1111)^2</f>
        <v>0.011274829489</v>
      </c>
      <c r="AD1111" s="8" t="n">
        <f aca="false">(P1111-$K1111)^2</f>
        <v>0.001843242489</v>
      </c>
      <c r="AE1111" s="8" t="n">
        <f aca="false">MIN(INT(ROUND(N1111*1000000,0)/100000),9)</f>
        <v>0</v>
      </c>
      <c r="AF1111" s="8" t="n">
        <f aca="false">MIN(INT(ROUND(P1111*1000000,0)/100000),9)</f>
        <v>0</v>
      </c>
    </row>
    <row r="1112" customFormat="false" ht="15" hidden="false" customHeight="false" outlineLevel="0" collapsed="false">
      <c r="A1112" s="4" t="n">
        <v>1108</v>
      </c>
      <c r="B1112" s="4" t="n">
        <v>1730</v>
      </c>
      <c r="C1112" s="4" t="n">
        <v>2</v>
      </c>
      <c r="D1112" s="11" t="n">
        <v>46113</v>
      </c>
      <c r="E1112" s="4" t="s">
        <v>204</v>
      </c>
      <c r="F1112" s="4" t="s">
        <v>209</v>
      </c>
      <c r="G1112" s="4" t="n">
        <v>2</v>
      </c>
      <c r="H1112" s="4" t="n">
        <v>7</v>
      </c>
      <c r="I1112" s="4" t="n">
        <v>0</v>
      </c>
      <c r="J1112" s="4" t="n">
        <v>69</v>
      </c>
      <c r="K1112" s="4" t="n">
        <v>0</v>
      </c>
      <c r="L1112" s="12" t="n">
        <v>0.722062</v>
      </c>
      <c r="M1112" s="12" t="n">
        <v>0.092063</v>
      </c>
      <c r="N1112" s="12" t="n">
        <v>0.143972</v>
      </c>
      <c r="O1112" s="12" t="n">
        <v>0.106183</v>
      </c>
      <c r="P1112" s="12" t="n">
        <v>0.154657</v>
      </c>
      <c r="Q1112" s="0" t="str">
        <f aca="false">IF(L1112&gt;=Models!$G$5,1+COUNTIF($L$5:$L$1517,"&gt;"&amp;L1112)+COUNTIFS($L$5:$L$1517,L1112,$B$5:$B$1517,"&lt;"&amp;B1112)+COUNTIFS($L$5:$L$1517,L1112,$B$5:$B$1517,B1112,$C$5:$C$1517,"&lt;"&amp;C1112),"")</f>
        <v/>
      </c>
      <c r="R1112" s="0" t="str">
        <f aca="false">IF(M1112&gt;=Models!$G$6,1+COUNTIF($M$5:$M$1517,"&gt;"&amp;M1112)+COUNTIFS($M$5:$M$1517,M1112,$B$5:$B$1517,"&lt;"&amp;B1112)+COUNTIFS($M$5:$M$1517,M1112,$B$5:$B$1517,B1112,$C$5:$C$1517,"&lt;"&amp;C1112),"")</f>
        <v/>
      </c>
      <c r="S1112" s="0" t="str">
        <f aca="false">IF(N1112&gt;=Models!$G$7,1+COUNTIF($N$5:$N$1517,"&gt;"&amp;N1112)+COUNTIFS($N$5:$N$1517,N1112,$B$5:$B$1517,"&lt;"&amp;B1112)+COUNTIFS($N$5:$N$1517,N1112,$B$5:$B$1517,B1112,$C$5:$C$1517,"&lt;"&amp;C1112),"")</f>
        <v/>
      </c>
      <c r="T1112" s="8" t="n">
        <f aca="false">IF(O1112&gt;=Models!$G$8,1+COUNTIF($O$5:$O$1517,"&gt;"&amp;O1112)+COUNTIFS($O$5:$O$1517,O1112,$B$5:$B$1517,"&lt;"&amp;B1112)+COUNTIFS($O$5:$O$1517,O1112,$B$5:$B$1517,B1112,$C$5:$C$1517,"&lt;"&amp;C1112),"")</f>
        <v>1458</v>
      </c>
      <c r="U1112" s="8" t="n">
        <f aca="false">IF($K1112=1,COUNTIFS($L$5:$L$1517,"&gt;="&amp;L1112,$K$5:$K$1517,1)/COUNTIF($L$5:$L$1517,"&gt;="&amp;L1112),0)</f>
        <v>0</v>
      </c>
      <c r="V1112" s="8" t="n">
        <f aca="false">IF($K1112=1,COUNTIFS($M$5:$M$1517,"&gt;="&amp;M1112,$K$5:$K$1517,1)/COUNTIF($M$5:$M$1517,"&gt;="&amp;M1112),0)</f>
        <v>0</v>
      </c>
      <c r="W1112" s="8" t="n">
        <f aca="false">IF($K1112=1,COUNTIFS($N$5:$N$1517,"&gt;="&amp;N1112,$K$5:$K$1517,1)/COUNTIF($N$5:$N$1517,"&gt;="&amp;N1112),0)</f>
        <v>0</v>
      </c>
      <c r="X1112" s="8" t="n">
        <f aca="false">IF($K1112=1,COUNTIFS($O$5:$O$1517,"&gt;="&amp;O1112,$K$5:$K$1517,1)/COUNTIF($O$5:$O$1517,"&gt;="&amp;O1112),0)</f>
        <v>0</v>
      </c>
      <c r="Y1112" s="8" t="n">
        <f aca="false">IF($K1112=1,COUNTIFS($P$5:$P$1517,"&gt;="&amp;P1112,$K$5:$K$1517,1)/COUNTIF($P$5:$P$1517,"&gt;="&amp;P1112),0)</f>
        <v>0</v>
      </c>
      <c r="Z1112" s="8" t="n">
        <f aca="false">(L1112-$K1112)^2</f>
        <v>0.521373531844</v>
      </c>
      <c r="AA1112" s="8" t="n">
        <f aca="false">(M1112-$K1112)^2</f>
        <v>0.008475595969</v>
      </c>
      <c r="AB1112" s="8" t="n">
        <f aca="false">(N1112-$K1112)^2</f>
        <v>0.020727936784</v>
      </c>
      <c r="AC1112" s="8" t="n">
        <f aca="false">(O1112-$K1112)^2</f>
        <v>0.011274829489</v>
      </c>
      <c r="AD1112" s="8" t="n">
        <f aca="false">(P1112-$K1112)^2</f>
        <v>0.023918787649</v>
      </c>
      <c r="AE1112" s="8" t="n">
        <f aca="false">MIN(INT(ROUND(N1112*1000000,0)/100000),9)</f>
        <v>1</v>
      </c>
      <c r="AF1112" s="8" t="n">
        <f aca="false">MIN(INT(ROUND(P1112*1000000,0)/100000),9)</f>
        <v>1</v>
      </c>
    </row>
    <row r="1113" customFormat="false" ht="15" hidden="false" customHeight="false" outlineLevel="0" collapsed="false">
      <c r="A1113" s="4" t="n">
        <v>1109</v>
      </c>
      <c r="B1113" s="4" t="n">
        <v>1734</v>
      </c>
      <c r="C1113" s="4" t="n">
        <v>2</v>
      </c>
      <c r="D1113" s="11" t="n">
        <v>46113</v>
      </c>
      <c r="E1113" s="4" t="s">
        <v>202</v>
      </c>
      <c r="F1113" s="4" t="s">
        <v>207</v>
      </c>
      <c r="G1113" s="4" t="n">
        <v>4</v>
      </c>
      <c r="H1113" s="4" t="n">
        <v>17</v>
      </c>
      <c r="I1113" s="4" t="n">
        <v>0</v>
      </c>
      <c r="J1113" s="4" t="n">
        <v>1293</v>
      </c>
      <c r="K1113" s="4" t="n">
        <v>0</v>
      </c>
      <c r="L1113" s="12" t="n">
        <v>0.538819</v>
      </c>
      <c r="M1113" s="12" t="n">
        <v>0.092063</v>
      </c>
      <c r="N1113" s="12" t="n">
        <v>0.124357</v>
      </c>
      <c r="O1113" s="12" t="n">
        <v>0.106183</v>
      </c>
      <c r="P1113" s="12" t="n">
        <v>0.132884</v>
      </c>
      <c r="Q1113" s="0" t="str">
        <f aca="false">IF(L1113&gt;=Models!$G$5,1+COUNTIF($L$5:$L$1517,"&gt;"&amp;L1113)+COUNTIFS($L$5:$L$1517,L1113,$B$5:$B$1517,"&lt;"&amp;B1113)+COUNTIFS($L$5:$L$1517,L1113,$B$5:$B$1517,B1113,$C$5:$C$1517,"&lt;"&amp;C1113),"")</f>
        <v/>
      </c>
      <c r="R1113" s="0" t="str">
        <f aca="false">IF(M1113&gt;=Models!$G$6,1+COUNTIF($M$5:$M$1517,"&gt;"&amp;M1113)+COUNTIFS($M$5:$M$1517,M1113,$B$5:$B$1517,"&lt;"&amp;B1113)+COUNTIFS($M$5:$M$1517,M1113,$B$5:$B$1517,B1113,$C$5:$C$1517,"&lt;"&amp;C1113),"")</f>
        <v/>
      </c>
      <c r="S1113" s="0" t="str">
        <f aca="false">IF(N1113&gt;=Models!$G$7,1+COUNTIF($N$5:$N$1517,"&gt;"&amp;N1113)+COUNTIFS($N$5:$N$1517,N1113,$B$5:$B$1517,"&lt;"&amp;B1113)+COUNTIFS($N$5:$N$1517,N1113,$B$5:$B$1517,B1113,$C$5:$C$1517,"&lt;"&amp;C1113),"")</f>
        <v/>
      </c>
      <c r="T1113" s="8" t="n">
        <f aca="false">IF(O1113&gt;=Models!$G$8,1+COUNTIF($O$5:$O$1517,"&gt;"&amp;O1113)+COUNTIFS($O$5:$O$1517,O1113,$B$5:$B$1517,"&lt;"&amp;B1113)+COUNTIFS($O$5:$O$1517,O1113,$B$5:$B$1517,B1113,$C$5:$C$1517,"&lt;"&amp;C1113),"")</f>
        <v>1460</v>
      </c>
      <c r="U1113" s="8" t="n">
        <f aca="false">IF($K1113=1,COUNTIFS($L$5:$L$1517,"&gt;="&amp;L1113,$K$5:$K$1517,1)/COUNTIF($L$5:$L$1517,"&gt;="&amp;L1113),0)</f>
        <v>0</v>
      </c>
      <c r="V1113" s="8" t="n">
        <f aca="false">IF($K1113=1,COUNTIFS($M$5:$M$1517,"&gt;="&amp;M1113,$K$5:$K$1517,1)/COUNTIF($M$5:$M$1517,"&gt;="&amp;M1113),0)</f>
        <v>0</v>
      </c>
      <c r="W1113" s="8" t="n">
        <f aca="false">IF($K1113=1,COUNTIFS($N$5:$N$1517,"&gt;="&amp;N1113,$K$5:$K$1517,1)/COUNTIF($N$5:$N$1517,"&gt;="&amp;N1113),0)</f>
        <v>0</v>
      </c>
      <c r="X1113" s="8" t="n">
        <f aca="false">IF($K1113=1,COUNTIFS($O$5:$O$1517,"&gt;="&amp;O1113,$K$5:$K$1517,1)/COUNTIF($O$5:$O$1517,"&gt;="&amp;O1113),0)</f>
        <v>0</v>
      </c>
      <c r="Y1113" s="8" t="n">
        <f aca="false">IF($K1113=1,COUNTIFS($P$5:$P$1517,"&gt;="&amp;P1113,$K$5:$K$1517,1)/COUNTIF($P$5:$P$1517,"&gt;="&amp;P1113),0)</f>
        <v>0</v>
      </c>
      <c r="Z1113" s="8" t="n">
        <f aca="false">(L1113-$K1113)^2</f>
        <v>0.290325914761</v>
      </c>
      <c r="AA1113" s="8" t="n">
        <f aca="false">(M1113-$K1113)^2</f>
        <v>0.008475595969</v>
      </c>
      <c r="AB1113" s="8" t="n">
        <f aca="false">(N1113-$K1113)^2</f>
        <v>0.015464663449</v>
      </c>
      <c r="AC1113" s="8" t="n">
        <f aca="false">(O1113-$K1113)^2</f>
        <v>0.011274829489</v>
      </c>
      <c r="AD1113" s="8" t="n">
        <f aca="false">(P1113-$K1113)^2</f>
        <v>0.017658157456</v>
      </c>
      <c r="AE1113" s="8" t="n">
        <f aca="false">MIN(INT(ROUND(N1113*1000000,0)/100000),9)</f>
        <v>1</v>
      </c>
      <c r="AF1113" s="8" t="n">
        <f aca="false">MIN(INT(ROUND(P1113*1000000,0)/100000),9)</f>
        <v>1</v>
      </c>
    </row>
    <row r="1114" customFormat="false" ht="15" hidden="false" customHeight="false" outlineLevel="0" collapsed="false">
      <c r="A1114" s="4" t="n">
        <v>1110</v>
      </c>
      <c r="B1114" s="4" t="n">
        <v>1740</v>
      </c>
      <c r="C1114" s="4" t="n">
        <v>2</v>
      </c>
      <c r="D1114" s="11" t="n">
        <v>46113</v>
      </c>
      <c r="E1114" s="4" t="s">
        <v>203</v>
      </c>
      <c r="F1114" s="4" t="s">
        <v>208</v>
      </c>
      <c r="G1114" s="4" t="n">
        <v>2</v>
      </c>
      <c r="H1114" s="4" t="n">
        <v>23</v>
      </c>
      <c r="I1114" s="4" t="n">
        <v>0</v>
      </c>
      <c r="J1114" s="4"/>
      <c r="K1114" s="4" t="n">
        <v>0</v>
      </c>
      <c r="L1114" s="12" t="n">
        <v>0.551884</v>
      </c>
      <c r="M1114" s="12" t="n">
        <v>0.092063</v>
      </c>
      <c r="N1114" s="12" t="n">
        <v>0.082843</v>
      </c>
      <c r="O1114" s="12" t="n">
        <v>0.106183</v>
      </c>
      <c r="P1114" s="12" t="n">
        <v>0.087086</v>
      </c>
      <c r="Q1114" s="0" t="str">
        <f aca="false">IF(L1114&gt;=Models!$G$5,1+COUNTIF($L$5:$L$1517,"&gt;"&amp;L1114)+COUNTIFS($L$5:$L$1517,L1114,$B$5:$B$1517,"&lt;"&amp;B1114)+COUNTIFS($L$5:$L$1517,L1114,$B$5:$B$1517,B1114,$C$5:$C$1517,"&lt;"&amp;C1114),"")</f>
        <v/>
      </c>
      <c r="R1114" s="0" t="str">
        <f aca="false">IF(M1114&gt;=Models!$G$6,1+COUNTIF($M$5:$M$1517,"&gt;"&amp;M1114)+COUNTIFS($M$5:$M$1517,M1114,$B$5:$B$1517,"&lt;"&amp;B1114)+COUNTIFS($M$5:$M$1517,M1114,$B$5:$B$1517,B1114,$C$5:$C$1517,"&lt;"&amp;C1114),"")</f>
        <v/>
      </c>
      <c r="S1114" s="0" t="str">
        <f aca="false">IF(N1114&gt;=Models!$G$7,1+COUNTIF($N$5:$N$1517,"&gt;"&amp;N1114)+COUNTIFS($N$5:$N$1517,N1114,$B$5:$B$1517,"&lt;"&amp;B1114)+COUNTIFS($N$5:$N$1517,N1114,$B$5:$B$1517,B1114,$C$5:$C$1517,"&lt;"&amp;C1114),"")</f>
        <v/>
      </c>
      <c r="T1114" s="8" t="n">
        <f aca="false">IF(O1114&gt;=Models!$G$8,1+COUNTIF($O$5:$O$1517,"&gt;"&amp;O1114)+COUNTIFS($O$5:$O$1517,O1114,$B$5:$B$1517,"&lt;"&amp;B1114)+COUNTIFS($O$5:$O$1517,O1114,$B$5:$B$1517,B1114,$C$5:$C$1517,"&lt;"&amp;C1114),"")</f>
        <v>1462</v>
      </c>
      <c r="U1114" s="8" t="n">
        <f aca="false">IF($K1114=1,COUNTIFS($L$5:$L$1517,"&gt;="&amp;L1114,$K$5:$K$1517,1)/COUNTIF($L$5:$L$1517,"&gt;="&amp;L1114),0)</f>
        <v>0</v>
      </c>
      <c r="V1114" s="8" t="n">
        <f aca="false">IF($K1114=1,COUNTIFS($M$5:$M$1517,"&gt;="&amp;M1114,$K$5:$K$1517,1)/COUNTIF($M$5:$M$1517,"&gt;="&amp;M1114),0)</f>
        <v>0</v>
      </c>
      <c r="W1114" s="8" t="n">
        <f aca="false">IF($K1114=1,COUNTIFS($N$5:$N$1517,"&gt;="&amp;N1114,$K$5:$K$1517,1)/COUNTIF($N$5:$N$1517,"&gt;="&amp;N1114),0)</f>
        <v>0</v>
      </c>
      <c r="X1114" s="8" t="n">
        <f aca="false">IF($K1114=1,COUNTIFS($O$5:$O$1517,"&gt;="&amp;O1114,$K$5:$K$1517,1)/COUNTIF($O$5:$O$1517,"&gt;="&amp;O1114),0)</f>
        <v>0</v>
      </c>
      <c r="Y1114" s="8" t="n">
        <f aca="false">IF($K1114=1,COUNTIFS($P$5:$P$1517,"&gt;="&amp;P1114,$K$5:$K$1517,1)/COUNTIF($P$5:$P$1517,"&gt;="&amp;P1114),0)</f>
        <v>0</v>
      </c>
      <c r="Z1114" s="8" t="n">
        <f aca="false">(L1114-$K1114)^2</f>
        <v>0.304575949456</v>
      </c>
      <c r="AA1114" s="8" t="n">
        <f aca="false">(M1114-$K1114)^2</f>
        <v>0.008475595969</v>
      </c>
      <c r="AB1114" s="8" t="n">
        <f aca="false">(N1114-$K1114)^2</f>
        <v>0.006862962649</v>
      </c>
      <c r="AC1114" s="8" t="n">
        <f aca="false">(O1114-$K1114)^2</f>
        <v>0.011274829489</v>
      </c>
      <c r="AD1114" s="8" t="n">
        <f aca="false">(P1114-$K1114)^2</f>
        <v>0.007583971396</v>
      </c>
      <c r="AE1114" s="8" t="n">
        <f aca="false">MIN(INT(ROUND(N1114*1000000,0)/100000),9)</f>
        <v>0</v>
      </c>
      <c r="AF1114" s="8" t="n">
        <f aca="false">MIN(INT(ROUND(P1114*1000000,0)/100000),9)</f>
        <v>0</v>
      </c>
    </row>
    <row r="1115" customFormat="false" ht="15" hidden="false" customHeight="false" outlineLevel="0" collapsed="false">
      <c r="A1115" s="4" t="n">
        <v>1111</v>
      </c>
      <c r="B1115" s="4" t="n">
        <v>1741</v>
      </c>
      <c r="C1115" s="4" t="n">
        <v>2</v>
      </c>
      <c r="D1115" s="11" t="n">
        <v>46113</v>
      </c>
      <c r="E1115" s="4" t="s">
        <v>203</v>
      </c>
      <c r="F1115" s="4" t="s">
        <v>209</v>
      </c>
      <c r="G1115" s="4" t="n">
        <v>7</v>
      </c>
      <c r="H1115" s="4" t="n">
        <v>2</v>
      </c>
      <c r="I1115" s="4" t="n">
        <v>0</v>
      </c>
      <c r="J1115" s="4" t="n">
        <v>294</v>
      </c>
      <c r="K1115" s="4" t="n">
        <v>0</v>
      </c>
      <c r="L1115" s="12" t="n">
        <v>0.043073</v>
      </c>
      <c r="M1115" s="12" t="n">
        <v>0.092063</v>
      </c>
      <c r="N1115" s="12" t="n">
        <v>0.092232</v>
      </c>
      <c r="O1115" s="12" t="n">
        <v>0.106183</v>
      </c>
      <c r="P1115" s="12" t="n">
        <v>0.097395</v>
      </c>
      <c r="Q1115" s="0" t="str">
        <f aca="false">IF(L1115&gt;=Models!$G$5,1+COUNTIF($L$5:$L$1517,"&gt;"&amp;L1115)+COUNTIFS($L$5:$L$1517,L1115,$B$5:$B$1517,"&lt;"&amp;B1115)+COUNTIFS($L$5:$L$1517,L1115,$B$5:$B$1517,B1115,$C$5:$C$1517,"&lt;"&amp;C1115),"")</f>
        <v/>
      </c>
      <c r="R1115" s="0" t="str">
        <f aca="false">IF(M1115&gt;=Models!$G$6,1+COUNTIF($M$5:$M$1517,"&gt;"&amp;M1115)+COUNTIFS($M$5:$M$1517,M1115,$B$5:$B$1517,"&lt;"&amp;B1115)+COUNTIFS($M$5:$M$1517,M1115,$B$5:$B$1517,B1115,$C$5:$C$1517,"&lt;"&amp;C1115),"")</f>
        <v/>
      </c>
      <c r="S1115" s="0" t="str">
        <f aca="false">IF(N1115&gt;=Models!$G$7,1+COUNTIF($N$5:$N$1517,"&gt;"&amp;N1115)+COUNTIFS($N$5:$N$1517,N1115,$B$5:$B$1517,"&lt;"&amp;B1115)+COUNTIFS($N$5:$N$1517,N1115,$B$5:$B$1517,B1115,$C$5:$C$1517,"&lt;"&amp;C1115),"")</f>
        <v/>
      </c>
      <c r="T1115" s="8" t="n">
        <f aca="false">IF(O1115&gt;=Models!$G$8,1+COUNTIF($O$5:$O$1517,"&gt;"&amp;O1115)+COUNTIFS($O$5:$O$1517,O1115,$B$5:$B$1517,"&lt;"&amp;B1115)+COUNTIFS($O$5:$O$1517,O1115,$B$5:$B$1517,B1115,$C$5:$C$1517,"&lt;"&amp;C1115),"")</f>
        <v>1464</v>
      </c>
      <c r="U1115" s="8" t="n">
        <f aca="false">IF($K1115=1,COUNTIFS($L$5:$L$1517,"&gt;="&amp;L1115,$K$5:$K$1517,1)/COUNTIF($L$5:$L$1517,"&gt;="&amp;L1115),0)</f>
        <v>0</v>
      </c>
      <c r="V1115" s="8" t="n">
        <f aca="false">IF($K1115=1,COUNTIFS($M$5:$M$1517,"&gt;="&amp;M1115,$K$5:$K$1517,1)/COUNTIF($M$5:$M$1517,"&gt;="&amp;M1115),0)</f>
        <v>0</v>
      </c>
      <c r="W1115" s="8" t="n">
        <f aca="false">IF($K1115=1,COUNTIFS($N$5:$N$1517,"&gt;="&amp;N1115,$K$5:$K$1517,1)/COUNTIF($N$5:$N$1517,"&gt;="&amp;N1115),0)</f>
        <v>0</v>
      </c>
      <c r="X1115" s="8" t="n">
        <f aca="false">IF($K1115=1,COUNTIFS($O$5:$O$1517,"&gt;="&amp;O1115,$K$5:$K$1517,1)/COUNTIF($O$5:$O$1517,"&gt;="&amp;O1115),0)</f>
        <v>0</v>
      </c>
      <c r="Y1115" s="8" t="n">
        <f aca="false">IF($K1115=1,COUNTIFS($P$5:$P$1517,"&gt;="&amp;P1115,$K$5:$K$1517,1)/COUNTIF($P$5:$P$1517,"&gt;="&amp;P1115),0)</f>
        <v>0</v>
      </c>
      <c r="Z1115" s="8" t="n">
        <f aca="false">(L1115-$K1115)^2</f>
        <v>0.001855283329</v>
      </c>
      <c r="AA1115" s="8" t="n">
        <f aca="false">(M1115-$K1115)^2</f>
        <v>0.008475595969</v>
      </c>
      <c r="AB1115" s="8" t="n">
        <f aca="false">(N1115-$K1115)^2</f>
        <v>0.008506741824</v>
      </c>
      <c r="AC1115" s="8" t="n">
        <f aca="false">(O1115-$K1115)^2</f>
        <v>0.011274829489</v>
      </c>
      <c r="AD1115" s="8" t="n">
        <f aca="false">(P1115-$K1115)^2</f>
        <v>0.009485786025</v>
      </c>
      <c r="AE1115" s="8" t="n">
        <f aca="false">MIN(INT(ROUND(N1115*1000000,0)/100000),9)</f>
        <v>0</v>
      </c>
      <c r="AF1115" s="8" t="n">
        <f aca="false">MIN(INT(ROUND(P1115*1000000,0)/100000),9)</f>
        <v>0</v>
      </c>
    </row>
    <row r="1116" customFormat="false" ht="15" hidden="false" customHeight="false" outlineLevel="0" collapsed="false">
      <c r="A1116" s="4" t="n">
        <v>1112</v>
      </c>
      <c r="B1116" s="4" t="n">
        <v>1743</v>
      </c>
      <c r="C1116" s="4" t="n">
        <v>2</v>
      </c>
      <c r="D1116" s="11" t="n">
        <v>46113</v>
      </c>
      <c r="E1116" s="4" t="s">
        <v>203</v>
      </c>
      <c r="F1116" s="4" t="s">
        <v>206</v>
      </c>
      <c r="G1116" s="4" t="n">
        <v>6</v>
      </c>
      <c r="H1116" s="4" t="n">
        <v>14</v>
      </c>
      <c r="I1116" s="4" t="n">
        <v>0</v>
      </c>
      <c r="J1116" s="4" t="n">
        <v>363</v>
      </c>
      <c r="K1116" s="4" t="n">
        <v>0</v>
      </c>
      <c r="L1116" s="12" t="n">
        <v>0.821095</v>
      </c>
      <c r="M1116" s="12" t="n">
        <v>0.092063</v>
      </c>
      <c r="N1116" s="12" t="n">
        <v>0.108867</v>
      </c>
      <c r="O1116" s="12" t="n">
        <v>0.106183</v>
      </c>
      <c r="P1116" s="12" t="n">
        <v>0.115738</v>
      </c>
      <c r="Q1116" s="0" t="str">
        <f aca="false">IF(L1116&gt;=Models!$G$5,1+COUNTIF($L$5:$L$1517,"&gt;"&amp;L1116)+COUNTIFS($L$5:$L$1517,L1116,$B$5:$B$1517,"&lt;"&amp;B1116)+COUNTIFS($L$5:$L$1517,L1116,$B$5:$B$1517,B1116,$C$5:$C$1517,"&lt;"&amp;C1116),"")</f>
        <v/>
      </c>
      <c r="R1116" s="0" t="str">
        <f aca="false">IF(M1116&gt;=Models!$G$6,1+COUNTIF($M$5:$M$1517,"&gt;"&amp;M1116)+COUNTIFS($M$5:$M$1517,M1116,$B$5:$B$1517,"&lt;"&amp;B1116)+COUNTIFS($M$5:$M$1517,M1116,$B$5:$B$1517,B1116,$C$5:$C$1517,"&lt;"&amp;C1116),"")</f>
        <v/>
      </c>
      <c r="S1116" s="0" t="str">
        <f aca="false">IF(N1116&gt;=Models!$G$7,1+COUNTIF($N$5:$N$1517,"&gt;"&amp;N1116)+COUNTIFS($N$5:$N$1517,N1116,$B$5:$B$1517,"&lt;"&amp;B1116)+COUNTIFS($N$5:$N$1517,N1116,$B$5:$B$1517,B1116,$C$5:$C$1517,"&lt;"&amp;C1116),"")</f>
        <v/>
      </c>
      <c r="T1116" s="8" t="n">
        <f aca="false">IF(O1116&gt;=Models!$G$8,1+COUNTIF($O$5:$O$1517,"&gt;"&amp;O1116)+COUNTIFS($O$5:$O$1517,O1116,$B$5:$B$1517,"&lt;"&amp;B1116)+COUNTIFS($O$5:$O$1517,O1116,$B$5:$B$1517,B1116,$C$5:$C$1517,"&lt;"&amp;C1116),"")</f>
        <v>1466</v>
      </c>
      <c r="U1116" s="8" t="n">
        <f aca="false">IF($K1116=1,COUNTIFS($L$5:$L$1517,"&gt;="&amp;L1116,$K$5:$K$1517,1)/COUNTIF($L$5:$L$1517,"&gt;="&amp;L1116),0)</f>
        <v>0</v>
      </c>
      <c r="V1116" s="8" t="n">
        <f aca="false">IF($K1116=1,COUNTIFS($M$5:$M$1517,"&gt;="&amp;M1116,$K$5:$K$1517,1)/COUNTIF($M$5:$M$1517,"&gt;="&amp;M1116),0)</f>
        <v>0</v>
      </c>
      <c r="W1116" s="8" t="n">
        <f aca="false">IF($K1116=1,COUNTIFS($N$5:$N$1517,"&gt;="&amp;N1116,$K$5:$K$1517,1)/COUNTIF($N$5:$N$1517,"&gt;="&amp;N1116),0)</f>
        <v>0</v>
      </c>
      <c r="X1116" s="8" t="n">
        <f aca="false">IF($K1116=1,COUNTIFS($O$5:$O$1517,"&gt;="&amp;O1116,$K$5:$K$1517,1)/COUNTIF($O$5:$O$1517,"&gt;="&amp;O1116),0)</f>
        <v>0</v>
      </c>
      <c r="Y1116" s="8" t="n">
        <f aca="false">IF($K1116=1,COUNTIFS($P$5:$P$1517,"&gt;="&amp;P1116,$K$5:$K$1517,1)/COUNTIF($P$5:$P$1517,"&gt;="&amp;P1116),0)</f>
        <v>0</v>
      </c>
      <c r="Z1116" s="8" t="n">
        <f aca="false">(L1116-$K1116)^2</f>
        <v>0.674196999025</v>
      </c>
      <c r="AA1116" s="8" t="n">
        <f aca="false">(M1116-$K1116)^2</f>
        <v>0.008475595969</v>
      </c>
      <c r="AB1116" s="8" t="n">
        <f aca="false">(N1116-$K1116)^2</f>
        <v>0.011852023689</v>
      </c>
      <c r="AC1116" s="8" t="n">
        <f aca="false">(O1116-$K1116)^2</f>
        <v>0.011274829489</v>
      </c>
      <c r="AD1116" s="8" t="n">
        <f aca="false">(P1116-$K1116)^2</f>
        <v>0.013395284644</v>
      </c>
      <c r="AE1116" s="8" t="n">
        <f aca="false">MIN(INT(ROUND(N1116*1000000,0)/100000),9)</f>
        <v>1</v>
      </c>
      <c r="AF1116" s="8" t="n">
        <f aca="false">MIN(INT(ROUND(P1116*1000000,0)/100000),9)</f>
        <v>1</v>
      </c>
    </row>
    <row r="1117" customFormat="false" ht="15" hidden="false" customHeight="false" outlineLevel="0" collapsed="false">
      <c r="A1117" s="4" t="n">
        <v>1113</v>
      </c>
      <c r="B1117" s="4" t="n">
        <v>1744</v>
      </c>
      <c r="C1117" s="4" t="n">
        <v>2</v>
      </c>
      <c r="D1117" s="11" t="n">
        <v>46113</v>
      </c>
      <c r="E1117" s="4" t="s">
        <v>201</v>
      </c>
      <c r="F1117" s="4" t="s">
        <v>207</v>
      </c>
      <c r="G1117" s="4" t="n">
        <v>15</v>
      </c>
      <c r="H1117" s="4" t="n">
        <v>1</v>
      </c>
      <c r="I1117" s="4" t="n">
        <v>0</v>
      </c>
      <c r="J1117" s="4"/>
      <c r="K1117" s="4" t="n">
        <v>0</v>
      </c>
      <c r="L1117" s="12" t="n">
        <v>0.270662</v>
      </c>
      <c r="M1117" s="12" t="n">
        <v>0.092063</v>
      </c>
      <c r="N1117" s="12" t="n">
        <v>0.022877</v>
      </c>
      <c r="O1117" s="12" t="n">
        <v>0.106183</v>
      </c>
      <c r="P1117" s="12" t="n">
        <v>0.022662</v>
      </c>
      <c r="Q1117" s="0" t="str">
        <f aca="false">IF(L1117&gt;=Models!$G$5,1+COUNTIF($L$5:$L$1517,"&gt;"&amp;L1117)+COUNTIFS($L$5:$L$1517,L1117,$B$5:$B$1517,"&lt;"&amp;B1117)+COUNTIFS($L$5:$L$1517,L1117,$B$5:$B$1517,B1117,$C$5:$C$1517,"&lt;"&amp;C1117),"")</f>
        <v/>
      </c>
      <c r="R1117" s="0" t="str">
        <f aca="false">IF(M1117&gt;=Models!$G$6,1+COUNTIF($M$5:$M$1517,"&gt;"&amp;M1117)+COUNTIFS($M$5:$M$1517,M1117,$B$5:$B$1517,"&lt;"&amp;B1117)+COUNTIFS($M$5:$M$1517,M1117,$B$5:$B$1517,B1117,$C$5:$C$1517,"&lt;"&amp;C1117),"")</f>
        <v/>
      </c>
      <c r="S1117" s="0" t="str">
        <f aca="false">IF(N1117&gt;=Models!$G$7,1+COUNTIF($N$5:$N$1517,"&gt;"&amp;N1117)+COUNTIFS($N$5:$N$1517,N1117,$B$5:$B$1517,"&lt;"&amp;B1117)+COUNTIFS($N$5:$N$1517,N1117,$B$5:$B$1517,B1117,$C$5:$C$1517,"&lt;"&amp;C1117),"")</f>
        <v/>
      </c>
      <c r="T1117" s="8" t="n">
        <f aca="false">IF(O1117&gt;=Models!$G$8,1+COUNTIF($O$5:$O$1517,"&gt;"&amp;O1117)+COUNTIFS($O$5:$O$1517,O1117,$B$5:$B$1517,"&lt;"&amp;B1117)+COUNTIFS($O$5:$O$1517,O1117,$B$5:$B$1517,B1117,$C$5:$C$1517,"&lt;"&amp;C1117),"")</f>
        <v>1468</v>
      </c>
      <c r="U1117" s="8" t="n">
        <f aca="false">IF($K1117=1,COUNTIFS($L$5:$L$1517,"&gt;="&amp;L1117,$K$5:$K$1517,1)/COUNTIF($L$5:$L$1517,"&gt;="&amp;L1117),0)</f>
        <v>0</v>
      </c>
      <c r="V1117" s="8" t="n">
        <f aca="false">IF($K1117=1,COUNTIFS($M$5:$M$1517,"&gt;="&amp;M1117,$K$5:$K$1517,1)/COUNTIF($M$5:$M$1517,"&gt;="&amp;M1117),0)</f>
        <v>0</v>
      </c>
      <c r="W1117" s="8" t="n">
        <f aca="false">IF($K1117=1,COUNTIFS($N$5:$N$1517,"&gt;="&amp;N1117,$K$5:$K$1517,1)/COUNTIF($N$5:$N$1517,"&gt;="&amp;N1117),0)</f>
        <v>0</v>
      </c>
      <c r="X1117" s="8" t="n">
        <f aca="false">IF($K1117=1,COUNTIFS($O$5:$O$1517,"&gt;="&amp;O1117,$K$5:$K$1517,1)/COUNTIF($O$5:$O$1517,"&gt;="&amp;O1117),0)</f>
        <v>0</v>
      </c>
      <c r="Y1117" s="8" t="n">
        <f aca="false">IF($K1117=1,COUNTIFS($P$5:$P$1517,"&gt;="&amp;P1117,$K$5:$K$1517,1)/COUNTIF($P$5:$P$1517,"&gt;="&amp;P1117),0)</f>
        <v>0</v>
      </c>
      <c r="Z1117" s="8" t="n">
        <f aca="false">(L1117-$K1117)^2</f>
        <v>0.073257918244</v>
      </c>
      <c r="AA1117" s="8" t="n">
        <f aca="false">(M1117-$K1117)^2</f>
        <v>0.008475595969</v>
      </c>
      <c r="AB1117" s="8" t="n">
        <f aca="false">(N1117-$K1117)^2</f>
        <v>0.000523357129</v>
      </c>
      <c r="AC1117" s="8" t="n">
        <f aca="false">(O1117-$K1117)^2</f>
        <v>0.011274829489</v>
      </c>
      <c r="AD1117" s="8" t="n">
        <f aca="false">(P1117-$K1117)^2</f>
        <v>0.000513566244</v>
      </c>
      <c r="AE1117" s="8" t="n">
        <f aca="false">MIN(INT(ROUND(N1117*1000000,0)/100000),9)</f>
        <v>0</v>
      </c>
      <c r="AF1117" s="8" t="n">
        <f aca="false">MIN(INT(ROUND(P1117*1000000,0)/100000),9)</f>
        <v>0</v>
      </c>
    </row>
    <row r="1118" customFormat="false" ht="15" hidden="false" customHeight="false" outlineLevel="0" collapsed="false">
      <c r="A1118" s="4" t="n">
        <v>1114</v>
      </c>
      <c r="B1118" s="4" t="n">
        <v>1753</v>
      </c>
      <c r="C1118" s="4" t="n">
        <v>2</v>
      </c>
      <c r="D1118" s="11" t="n">
        <v>46113</v>
      </c>
      <c r="E1118" s="4" t="s">
        <v>204</v>
      </c>
      <c r="F1118" s="4" t="s">
        <v>207</v>
      </c>
      <c r="G1118" s="4" t="n">
        <v>2</v>
      </c>
      <c r="H1118" s="4" t="n">
        <v>1</v>
      </c>
      <c r="I1118" s="4" t="n">
        <v>0</v>
      </c>
      <c r="J1118" s="4" t="n">
        <v>108</v>
      </c>
      <c r="K1118" s="4" t="n">
        <v>1</v>
      </c>
      <c r="L1118" s="12" t="n">
        <v>0.742895</v>
      </c>
      <c r="M1118" s="12" t="n">
        <v>0.092063</v>
      </c>
      <c r="N1118" s="12" t="n">
        <v>0.137748</v>
      </c>
      <c r="O1118" s="12" t="n">
        <v>0.106183</v>
      </c>
      <c r="P1118" s="12" t="n">
        <v>0.147743</v>
      </c>
      <c r="Q1118" s="0" t="str">
        <f aca="false">IF(L1118&gt;=Models!$G$5,1+COUNTIF($L$5:$L$1517,"&gt;"&amp;L1118)+COUNTIFS($L$5:$L$1517,L1118,$B$5:$B$1517,"&lt;"&amp;B1118)+COUNTIFS($L$5:$L$1517,L1118,$B$5:$B$1517,B1118,$C$5:$C$1517,"&lt;"&amp;C1118),"")</f>
        <v/>
      </c>
      <c r="R1118" s="0" t="str">
        <f aca="false">IF(M1118&gt;=Models!$G$6,1+COUNTIF($M$5:$M$1517,"&gt;"&amp;M1118)+COUNTIFS($M$5:$M$1517,M1118,$B$5:$B$1517,"&lt;"&amp;B1118)+COUNTIFS($M$5:$M$1517,M1118,$B$5:$B$1517,B1118,$C$5:$C$1517,"&lt;"&amp;C1118),"")</f>
        <v/>
      </c>
      <c r="S1118" s="0" t="str">
        <f aca="false">IF(N1118&gt;=Models!$G$7,1+COUNTIF($N$5:$N$1517,"&gt;"&amp;N1118)+COUNTIFS($N$5:$N$1517,N1118,$B$5:$B$1517,"&lt;"&amp;B1118)+COUNTIFS($N$5:$N$1517,N1118,$B$5:$B$1517,B1118,$C$5:$C$1517,"&lt;"&amp;C1118),"")</f>
        <v/>
      </c>
      <c r="T1118" s="8" t="n">
        <f aca="false">IF(O1118&gt;=Models!$G$8,1+COUNTIF($O$5:$O$1517,"&gt;"&amp;O1118)+COUNTIFS($O$5:$O$1517,O1118,$B$5:$B$1517,"&lt;"&amp;B1118)+COUNTIFS($O$5:$O$1517,O1118,$B$5:$B$1517,B1118,$C$5:$C$1517,"&lt;"&amp;C1118),"")</f>
        <v>1470</v>
      </c>
      <c r="U1118" s="8" t="n">
        <f aca="false">IF($K1118=1,COUNTIFS($L$5:$L$1517,"&gt;="&amp;L1118,$K$5:$K$1517,1)/COUNTIF($L$5:$L$1517,"&gt;="&amp;L1118),0)</f>
        <v>0.142857142857143</v>
      </c>
      <c r="V1118" s="8" t="n">
        <f aca="false">IF($K1118=1,COUNTIFS($M$5:$M$1517,"&gt;="&amp;M1118,$K$5:$K$1517,1)/COUNTIF($M$5:$M$1517,"&gt;="&amp;M1118),0)</f>
        <v>0.12491738268341</v>
      </c>
      <c r="W1118" s="8" t="n">
        <f aca="false">IF($K1118=1,COUNTIFS($N$5:$N$1517,"&gt;="&amp;N1118,$K$5:$K$1517,1)/COUNTIF($N$5:$N$1517,"&gt;="&amp;N1118),0)</f>
        <v>0.269102990033223</v>
      </c>
      <c r="X1118" s="8" t="n">
        <f aca="false">IF($K1118=1,COUNTIFS($O$5:$O$1517,"&gt;="&amp;O1118,$K$5:$K$1517,1)/COUNTIF($O$5:$O$1517,"&gt;="&amp;O1118),0)</f>
        <v>0.12491738268341</v>
      </c>
      <c r="Y1118" s="8" t="n">
        <f aca="false">IF($K1118=1,COUNTIFS($P$5:$P$1517,"&gt;="&amp;P1118,$K$5:$K$1517,1)/COUNTIF($P$5:$P$1517,"&gt;="&amp;P1118),0)</f>
        <v>0.269102990033223</v>
      </c>
      <c r="Z1118" s="8" t="n">
        <f aca="false">(L1118-$K1118)^2</f>
        <v>0.066102981025</v>
      </c>
      <c r="AA1118" s="8" t="n">
        <f aca="false">(M1118-$K1118)^2</f>
        <v>0.824349595969</v>
      </c>
      <c r="AB1118" s="8" t="n">
        <f aca="false">(N1118-$K1118)^2</f>
        <v>0.743478511504</v>
      </c>
      <c r="AC1118" s="8" t="n">
        <f aca="false">(O1118-$K1118)^2</f>
        <v>0.798908829489</v>
      </c>
      <c r="AD1118" s="8" t="n">
        <f aca="false">(P1118-$K1118)^2</f>
        <v>0.726341994049</v>
      </c>
      <c r="AE1118" s="8" t="n">
        <f aca="false">MIN(INT(ROUND(N1118*1000000,0)/100000),9)</f>
        <v>1</v>
      </c>
      <c r="AF1118" s="8" t="n">
        <f aca="false">MIN(INT(ROUND(P1118*1000000,0)/100000),9)</f>
        <v>1</v>
      </c>
    </row>
    <row r="1119" customFormat="false" ht="15" hidden="false" customHeight="false" outlineLevel="0" collapsed="false">
      <c r="A1119" s="4" t="n">
        <v>1115</v>
      </c>
      <c r="B1119" s="4" t="n">
        <v>1755</v>
      </c>
      <c r="C1119" s="4" t="n">
        <v>2</v>
      </c>
      <c r="D1119" s="11" t="n">
        <v>46113</v>
      </c>
      <c r="E1119" s="4" t="s">
        <v>202</v>
      </c>
      <c r="F1119" s="4" t="s">
        <v>206</v>
      </c>
      <c r="G1119" s="4" t="n">
        <v>3</v>
      </c>
      <c r="H1119" s="4" t="n">
        <v>0</v>
      </c>
      <c r="I1119" s="4" t="n">
        <v>0</v>
      </c>
      <c r="J1119" s="4" t="n">
        <v>1572</v>
      </c>
      <c r="K1119" s="4" t="n">
        <v>0</v>
      </c>
      <c r="L1119" s="12" t="n">
        <v>0.088629</v>
      </c>
      <c r="M1119" s="12" t="n">
        <v>0.092063</v>
      </c>
      <c r="N1119" s="12" t="n">
        <v>0.117396</v>
      </c>
      <c r="O1119" s="12" t="n">
        <v>0.106183</v>
      </c>
      <c r="P1119" s="12" t="n">
        <v>0.125173</v>
      </c>
      <c r="Q1119" s="0" t="str">
        <f aca="false">IF(L1119&gt;=Models!$G$5,1+COUNTIF($L$5:$L$1517,"&gt;"&amp;L1119)+COUNTIFS($L$5:$L$1517,L1119,$B$5:$B$1517,"&lt;"&amp;B1119)+COUNTIFS($L$5:$L$1517,L1119,$B$5:$B$1517,B1119,$C$5:$C$1517,"&lt;"&amp;C1119),"")</f>
        <v/>
      </c>
      <c r="R1119" s="0" t="str">
        <f aca="false">IF(M1119&gt;=Models!$G$6,1+COUNTIF($M$5:$M$1517,"&gt;"&amp;M1119)+COUNTIFS($M$5:$M$1517,M1119,$B$5:$B$1517,"&lt;"&amp;B1119)+COUNTIFS($M$5:$M$1517,M1119,$B$5:$B$1517,B1119,$C$5:$C$1517,"&lt;"&amp;C1119),"")</f>
        <v/>
      </c>
      <c r="S1119" s="0" t="str">
        <f aca="false">IF(N1119&gt;=Models!$G$7,1+COUNTIF($N$5:$N$1517,"&gt;"&amp;N1119)+COUNTIFS($N$5:$N$1517,N1119,$B$5:$B$1517,"&lt;"&amp;B1119)+COUNTIFS($N$5:$N$1517,N1119,$B$5:$B$1517,B1119,$C$5:$C$1517,"&lt;"&amp;C1119),"")</f>
        <v/>
      </c>
      <c r="T1119" s="8" t="n">
        <f aca="false">IF(O1119&gt;=Models!$G$8,1+COUNTIF($O$5:$O$1517,"&gt;"&amp;O1119)+COUNTIFS($O$5:$O$1517,O1119,$B$5:$B$1517,"&lt;"&amp;B1119)+COUNTIFS($O$5:$O$1517,O1119,$B$5:$B$1517,B1119,$C$5:$C$1517,"&lt;"&amp;C1119),"")</f>
        <v>1472</v>
      </c>
      <c r="U1119" s="8" t="n">
        <f aca="false">IF($K1119=1,COUNTIFS($L$5:$L$1517,"&gt;="&amp;L1119,$K$5:$K$1517,1)/COUNTIF($L$5:$L$1517,"&gt;="&amp;L1119),0)</f>
        <v>0</v>
      </c>
      <c r="V1119" s="8" t="n">
        <f aca="false">IF($K1119=1,COUNTIFS($M$5:$M$1517,"&gt;="&amp;M1119,$K$5:$K$1517,1)/COUNTIF($M$5:$M$1517,"&gt;="&amp;M1119),0)</f>
        <v>0</v>
      </c>
      <c r="W1119" s="8" t="n">
        <f aca="false">IF($K1119=1,COUNTIFS($N$5:$N$1517,"&gt;="&amp;N1119,$K$5:$K$1517,1)/COUNTIF($N$5:$N$1517,"&gt;="&amp;N1119),0)</f>
        <v>0</v>
      </c>
      <c r="X1119" s="8" t="n">
        <f aca="false">IF($K1119=1,COUNTIFS($O$5:$O$1517,"&gt;="&amp;O1119,$K$5:$K$1517,1)/COUNTIF($O$5:$O$1517,"&gt;="&amp;O1119),0)</f>
        <v>0</v>
      </c>
      <c r="Y1119" s="8" t="n">
        <f aca="false">IF($K1119=1,COUNTIFS($P$5:$P$1517,"&gt;="&amp;P1119,$K$5:$K$1517,1)/COUNTIF($P$5:$P$1517,"&gt;="&amp;P1119),0)</f>
        <v>0</v>
      </c>
      <c r="Z1119" s="8" t="n">
        <f aca="false">(L1119-$K1119)^2</f>
        <v>0.007855099641</v>
      </c>
      <c r="AA1119" s="8" t="n">
        <f aca="false">(M1119-$K1119)^2</f>
        <v>0.008475595969</v>
      </c>
      <c r="AB1119" s="8" t="n">
        <f aca="false">(N1119-$K1119)^2</f>
        <v>0.013781820816</v>
      </c>
      <c r="AC1119" s="8" t="n">
        <f aca="false">(O1119-$K1119)^2</f>
        <v>0.011274829489</v>
      </c>
      <c r="AD1119" s="8" t="n">
        <f aca="false">(P1119-$K1119)^2</f>
        <v>0.015668279929</v>
      </c>
      <c r="AE1119" s="8" t="n">
        <f aca="false">MIN(INT(ROUND(N1119*1000000,0)/100000),9)</f>
        <v>1</v>
      </c>
      <c r="AF1119" s="8" t="n">
        <f aca="false">MIN(INT(ROUND(P1119*1000000,0)/100000),9)</f>
        <v>1</v>
      </c>
    </row>
    <row r="1120" customFormat="false" ht="15" hidden="false" customHeight="false" outlineLevel="0" collapsed="false">
      <c r="A1120" s="4" t="n">
        <v>1116</v>
      </c>
      <c r="B1120" s="4" t="n">
        <v>1757</v>
      </c>
      <c r="C1120" s="4" t="n">
        <v>2</v>
      </c>
      <c r="D1120" s="11" t="n">
        <v>46113</v>
      </c>
      <c r="E1120" s="4" t="s">
        <v>203</v>
      </c>
      <c r="F1120" s="4" t="s">
        <v>207</v>
      </c>
      <c r="G1120" s="4" t="n">
        <v>3</v>
      </c>
      <c r="H1120" s="4" t="n">
        <v>4</v>
      </c>
      <c r="I1120" s="4" t="n">
        <v>0</v>
      </c>
      <c r="J1120" s="4"/>
      <c r="K1120" s="4" t="n">
        <v>0</v>
      </c>
      <c r="L1120" s="12" t="n">
        <v>0.805254</v>
      </c>
      <c r="M1120" s="12" t="n">
        <v>0.092063</v>
      </c>
      <c r="N1120" s="12" t="n">
        <v>0.065989</v>
      </c>
      <c r="O1120" s="12" t="n">
        <v>0.106183</v>
      </c>
      <c r="P1120" s="12" t="n">
        <v>0.068682</v>
      </c>
      <c r="Q1120" s="0" t="str">
        <f aca="false">IF(L1120&gt;=Models!$G$5,1+COUNTIF($L$5:$L$1517,"&gt;"&amp;L1120)+COUNTIFS($L$5:$L$1517,L1120,$B$5:$B$1517,"&lt;"&amp;B1120)+COUNTIFS($L$5:$L$1517,L1120,$B$5:$B$1517,B1120,$C$5:$C$1517,"&lt;"&amp;C1120),"")</f>
        <v/>
      </c>
      <c r="R1120" s="0" t="str">
        <f aca="false">IF(M1120&gt;=Models!$G$6,1+COUNTIF($M$5:$M$1517,"&gt;"&amp;M1120)+COUNTIFS($M$5:$M$1517,M1120,$B$5:$B$1517,"&lt;"&amp;B1120)+COUNTIFS($M$5:$M$1517,M1120,$B$5:$B$1517,B1120,$C$5:$C$1517,"&lt;"&amp;C1120),"")</f>
        <v/>
      </c>
      <c r="S1120" s="0" t="str">
        <f aca="false">IF(N1120&gt;=Models!$G$7,1+COUNTIF($N$5:$N$1517,"&gt;"&amp;N1120)+COUNTIFS($N$5:$N$1517,N1120,$B$5:$B$1517,"&lt;"&amp;B1120)+COUNTIFS($N$5:$N$1517,N1120,$B$5:$B$1517,B1120,$C$5:$C$1517,"&lt;"&amp;C1120),"")</f>
        <v/>
      </c>
      <c r="T1120" s="8" t="n">
        <f aca="false">IF(O1120&gt;=Models!$G$8,1+COUNTIF($O$5:$O$1517,"&gt;"&amp;O1120)+COUNTIFS($O$5:$O$1517,O1120,$B$5:$B$1517,"&lt;"&amp;B1120)+COUNTIFS($O$5:$O$1517,O1120,$B$5:$B$1517,B1120,$C$5:$C$1517,"&lt;"&amp;C1120),"")</f>
        <v>1474</v>
      </c>
      <c r="U1120" s="8" t="n">
        <f aca="false">IF($K1120=1,COUNTIFS($L$5:$L$1517,"&gt;="&amp;L1120,$K$5:$K$1517,1)/COUNTIF($L$5:$L$1517,"&gt;="&amp;L1120),0)</f>
        <v>0</v>
      </c>
      <c r="V1120" s="8" t="n">
        <f aca="false">IF($K1120=1,COUNTIFS($M$5:$M$1517,"&gt;="&amp;M1120,$K$5:$K$1517,1)/COUNTIF($M$5:$M$1517,"&gt;="&amp;M1120),0)</f>
        <v>0</v>
      </c>
      <c r="W1120" s="8" t="n">
        <f aca="false">IF($K1120=1,COUNTIFS($N$5:$N$1517,"&gt;="&amp;N1120,$K$5:$K$1517,1)/COUNTIF($N$5:$N$1517,"&gt;="&amp;N1120),0)</f>
        <v>0</v>
      </c>
      <c r="X1120" s="8" t="n">
        <f aca="false">IF($K1120=1,COUNTIFS($O$5:$O$1517,"&gt;="&amp;O1120,$K$5:$K$1517,1)/COUNTIF($O$5:$O$1517,"&gt;="&amp;O1120),0)</f>
        <v>0</v>
      </c>
      <c r="Y1120" s="8" t="n">
        <f aca="false">IF($K1120=1,COUNTIFS($P$5:$P$1517,"&gt;="&amp;P1120,$K$5:$K$1517,1)/COUNTIF($P$5:$P$1517,"&gt;="&amp;P1120),0)</f>
        <v>0</v>
      </c>
      <c r="Z1120" s="8" t="n">
        <f aca="false">(L1120-$K1120)^2</f>
        <v>0.648434004516</v>
      </c>
      <c r="AA1120" s="8" t="n">
        <f aca="false">(M1120-$K1120)^2</f>
        <v>0.008475595969</v>
      </c>
      <c r="AB1120" s="8" t="n">
        <f aca="false">(N1120-$K1120)^2</f>
        <v>0.004354548121</v>
      </c>
      <c r="AC1120" s="8" t="n">
        <f aca="false">(O1120-$K1120)^2</f>
        <v>0.011274829489</v>
      </c>
      <c r="AD1120" s="8" t="n">
        <f aca="false">(P1120-$K1120)^2</f>
        <v>0.004717217124</v>
      </c>
      <c r="AE1120" s="8" t="n">
        <f aca="false">MIN(INT(ROUND(N1120*1000000,0)/100000),9)</f>
        <v>0</v>
      </c>
      <c r="AF1120" s="8" t="n">
        <f aca="false">MIN(INT(ROUND(P1120*1000000,0)/100000),9)</f>
        <v>0</v>
      </c>
    </row>
    <row r="1121" customFormat="false" ht="15" hidden="false" customHeight="false" outlineLevel="0" collapsed="false">
      <c r="A1121" s="4" t="n">
        <v>1117</v>
      </c>
      <c r="B1121" s="4" t="n">
        <v>1768</v>
      </c>
      <c r="C1121" s="4" t="n">
        <v>2</v>
      </c>
      <c r="D1121" s="11" t="n">
        <v>46113</v>
      </c>
      <c r="E1121" s="4" t="s">
        <v>203</v>
      </c>
      <c r="F1121" s="4" t="s">
        <v>208</v>
      </c>
      <c r="G1121" s="4" t="n">
        <v>5</v>
      </c>
      <c r="H1121" s="4" t="n">
        <v>2</v>
      </c>
      <c r="I1121" s="4" t="n">
        <v>0</v>
      </c>
      <c r="J1121" s="4" t="n">
        <v>357</v>
      </c>
      <c r="K1121" s="4" t="n">
        <v>1</v>
      </c>
      <c r="L1121" s="12" t="n">
        <v>0.052266</v>
      </c>
      <c r="M1121" s="12" t="n">
        <v>0.092063</v>
      </c>
      <c r="N1121" s="12" t="n">
        <v>0.108094</v>
      </c>
      <c r="O1121" s="12" t="n">
        <v>0.106183</v>
      </c>
      <c r="P1121" s="12" t="n">
        <v>0.114884</v>
      </c>
      <c r="Q1121" s="0" t="str">
        <f aca="false">IF(L1121&gt;=Models!$G$5,1+COUNTIF($L$5:$L$1517,"&gt;"&amp;L1121)+COUNTIFS($L$5:$L$1517,L1121,$B$5:$B$1517,"&lt;"&amp;B1121)+COUNTIFS($L$5:$L$1517,L1121,$B$5:$B$1517,B1121,$C$5:$C$1517,"&lt;"&amp;C1121),"")</f>
        <v/>
      </c>
      <c r="R1121" s="0" t="str">
        <f aca="false">IF(M1121&gt;=Models!$G$6,1+COUNTIF($M$5:$M$1517,"&gt;"&amp;M1121)+COUNTIFS($M$5:$M$1517,M1121,$B$5:$B$1517,"&lt;"&amp;B1121)+COUNTIFS($M$5:$M$1517,M1121,$B$5:$B$1517,B1121,$C$5:$C$1517,"&lt;"&amp;C1121),"")</f>
        <v/>
      </c>
      <c r="S1121" s="0" t="str">
        <f aca="false">IF(N1121&gt;=Models!$G$7,1+COUNTIF($N$5:$N$1517,"&gt;"&amp;N1121)+COUNTIFS($N$5:$N$1517,N1121,$B$5:$B$1517,"&lt;"&amp;B1121)+COUNTIFS($N$5:$N$1517,N1121,$B$5:$B$1517,B1121,$C$5:$C$1517,"&lt;"&amp;C1121),"")</f>
        <v/>
      </c>
      <c r="T1121" s="8" t="n">
        <f aca="false">IF(O1121&gt;=Models!$G$8,1+COUNTIF($O$5:$O$1517,"&gt;"&amp;O1121)+COUNTIFS($O$5:$O$1517,O1121,$B$5:$B$1517,"&lt;"&amp;B1121)+COUNTIFS($O$5:$O$1517,O1121,$B$5:$B$1517,B1121,$C$5:$C$1517,"&lt;"&amp;C1121),"")</f>
        <v>1476</v>
      </c>
      <c r="U1121" s="8" t="n">
        <f aca="false">IF($K1121=1,COUNTIFS($L$5:$L$1517,"&gt;="&amp;L1121,$K$5:$K$1517,1)/COUNTIF($L$5:$L$1517,"&gt;="&amp;L1121),0)</f>
        <v>0.125528913963329</v>
      </c>
      <c r="V1121" s="8" t="n">
        <f aca="false">IF($K1121=1,COUNTIFS($M$5:$M$1517,"&gt;="&amp;M1121,$K$5:$K$1517,1)/COUNTIF($M$5:$M$1517,"&gt;="&amp;M1121),0)</f>
        <v>0.12491738268341</v>
      </c>
      <c r="W1121" s="8" t="n">
        <f aca="false">IF($K1121=1,COUNTIFS($N$5:$N$1517,"&gt;="&amp;N1121,$K$5:$K$1517,1)/COUNTIF($N$5:$N$1517,"&gt;="&amp;N1121),0)</f>
        <v>0.202635914332784</v>
      </c>
      <c r="X1121" s="8" t="n">
        <f aca="false">IF($K1121=1,COUNTIFS($O$5:$O$1517,"&gt;="&amp;O1121,$K$5:$K$1517,1)/COUNTIF($O$5:$O$1517,"&gt;="&amp;O1121),0)</f>
        <v>0.12491738268341</v>
      </c>
      <c r="Y1121" s="8" t="n">
        <f aca="false">IF($K1121=1,COUNTIFS($P$5:$P$1517,"&gt;="&amp;P1121,$K$5:$K$1517,1)/COUNTIF($P$5:$P$1517,"&gt;="&amp;P1121),0)</f>
        <v>0.202635914332784</v>
      </c>
      <c r="Z1121" s="8" t="n">
        <f aca="false">(L1121-$K1121)^2</f>
        <v>0.898199734756</v>
      </c>
      <c r="AA1121" s="8" t="n">
        <f aca="false">(M1121-$K1121)^2</f>
        <v>0.824349595969</v>
      </c>
      <c r="AB1121" s="8" t="n">
        <f aca="false">(N1121-$K1121)^2</f>
        <v>0.795496312836</v>
      </c>
      <c r="AC1121" s="8" t="n">
        <f aca="false">(O1121-$K1121)^2</f>
        <v>0.798908829489</v>
      </c>
      <c r="AD1121" s="8" t="n">
        <f aca="false">(P1121-$K1121)^2</f>
        <v>0.783430333456</v>
      </c>
      <c r="AE1121" s="8" t="n">
        <f aca="false">MIN(INT(ROUND(N1121*1000000,0)/100000),9)</f>
        <v>1</v>
      </c>
      <c r="AF1121" s="8" t="n">
        <f aca="false">MIN(INT(ROUND(P1121*1000000,0)/100000),9)</f>
        <v>1</v>
      </c>
    </row>
    <row r="1122" customFormat="false" ht="15" hidden="false" customHeight="false" outlineLevel="0" collapsed="false">
      <c r="A1122" s="4" t="n">
        <v>1118</v>
      </c>
      <c r="B1122" s="4" t="n">
        <v>1769</v>
      </c>
      <c r="C1122" s="4" t="n">
        <v>2</v>
      </c>
      <c r="D1122" s="11" t="n">
        <v>46113</v>
      </c>
      <c r="E1122" s="4" t="s">
        <v>202</v>
      </c>
      <c r="F1122" s="4" t="s">
        <v>210</v>
      </c>
      <c r="G1122" s="4" t="n">
        <v>9</v>
      </c>
      <c r="H1122" s="4" t="n">
        <v>2</v>
      </c>
      <c r="I1122" s="4" t="n">
        <v>0</v>
      </c>
      <c r="J1122" s="4" t="n">
        <v>520</v>
      </c>
      <c r="K1122" s="4" t="n">
        <v>0</v>
      </c>
      <c r="L1122" s="12" t="n">
        <v>0.850799</v>
      </c>
      <c r="M1122" s="12" t="n">
        <v>0.092063</v>
      </c>
      <c r="N1122" s="12" t="n">
        <v>0.077287</v>
      </c>
      <c r="O1122" s="12" t="n">
        <v>0.106183</v>
      </c>
      <c r="P1122" s="12" t="n">
        <v>0.081002</v>
      </c>
      <c r="Q1122" s="0" t="str">
        <f aca="false">IF(L1122&gt;=Models!$G$5,1+COUNTIF($L$5:$L$1517,"&gt;"&amp;L1122)+COUNTIFS($L$5:$L$1517,L1122,$B$5:$B$1517,"&lt;"&amp;B1122)+COUNTIFS($L$5:$L$1517,L1122,$B$5:$B$1517,B1122,$C$5:$C$1517,"&lt;"&amp;C1122),"")</f>
        <v/>
      </c>
      <c r="R1122" s="0" t="str">
        <f aca="false">IF(M1122&gt;=Models!$G$6,1+COUNTIF($M$5:$M$1517,"&gt;"&amp;M1122)+COUNTIFS($M$5:$M$1517,M1122,$B$5:$B$1517,"&lt;"&amp;B1122)+COUNTIFS($M$5:$M$1517,M1122,$B$5:$B$1517,B1122,$C$5:$C$1517,"&lt;"&amp;C1122),"")</f>
        <v/>
      </c>
      <c r="S1122" s="0" t="str">
        <f aca="false">IF(N1122&gt;=Models!$G$7,1+COUNTIF($N$5:$N$1517,"&gt;"&amp;N1122)+COUNTIFS($N$5:$N$1517,N1122,$B$5:$B$1517,"&lt;"&amp;B1122)+COUNTIFS($N$5:$N$1517,N1122,$B$5:$B$1517,B1122,$C$5:$C$1517,"&lt;"&amp;C1122),"")</f>
        <v/>
      </c>
      <c r="T1122" s="8" t="n">
        <f aca="false">IF(O1122&gt;=Models!$G$8,1+COUNTIF($O$5:$O$1517,"&gt;"&amp;O1122)+COUNTIFS($O$5:$O$1517,O1122,$B$5:$B$1517,"&lt;"&amp;B1122)+COUNTIFS($O$5:$O$1517,O1122,$B$5:$B$1517,B1122,$C$5:$C$1517,"&lt;"&amp;C1122),"")</f>
        <v>1477</v>
      </c>
      <c r="U1122" s="8" t="n">
        <f aca="false">IF($K1122=1,COUNTIFS($L$5:$L$1517,"&gt;="&amp;L1122,$K$5:$K$1517,1)/COUNTIF($L$5:$L$1517,"&gt;="&amp;L1122),0)</f>
        <v>0</v>
      </c>
      <c r="V1122" s="8" t="n">
        <f aca="false">IF($K1122=1,COUNTIFS($M$5:$M$1517,"&gt;="&amp;M1122,$K$5:$K$1517,1)/COUNTIF($M$5:$M$1517,"&gt;="&amp;M1122),0)</f>
        <v>0</v>
      </c>
      <c r="W1122" s="8" t="n">
        <f aca="false">IF($K1122=1,COUNTIFS($N$5:$N$1517,"&gt;="&amp;N1122,$K$5:$K$1517,1)/COUNTIF($N$5:$N$1517,"&gt;="&amp;N1122),0)</f>
        <v>0</v>
      </c>
      <c r="X1122" s="8" t="n">
        <f aca="false">IF($K1122=1,COUNTIFS($O$5:$O$1517,"&gt;="&amp;O1122,$K$5:$K$1517,1)/COUNTIF($O$5:$O$1517,"&gt;="&amp;O1122),0)</f>
        <v>0</v>
      </c>
      <c r="Y1122" s="8" t="n">
        <f aca="false">IF($K1122=1,COUNTIFS($P$5:$P$1517,"&gt;="&amp;P1122,$K$5:$K$1517,1)/COUNTIF($P$5:$P$1517,"&gt;="&amp;P1122),0)</f>
        <v>0</v>
      </c>
      <c r="Z1122" s="8" t="n">
        <f aca="false">(L1122-$K1122)^2</f>
        <v>0.723858938401</v>
      </c>
      <c r="AA1122" s="8" t="n">
        <f aca="false">(M1122-$K1122)^2</f>
        <v>0.008475595969</v>
      </c>
      <c r="AB1122" s="8" t="n">
        <f aca="false">(N1122-$K1122)^2</f>
        <v>0.005973280369</v>
      </c>
      <c r="AC1122" s="8" t="n">
        <f aca="false">(O1122-$K1122)^2</f>
        <v>0.011274829489</v>
      </c>
      <c r="AD1122" s="8" t="n">
        <f aca="false">(P1122-$K1122)^2</f>
        <v>0.006561324004</v>
      </c>
      <c r="AE1122" s="8" t="n">
        <f aca="false">MIN(INT(ROUND(N1122*1000000,0)/100000),9)</f>
        <v>0</v>
      </c>
      <c r="AF1122" s="8" t="n">
        <f aca="false">MIN(INT(ROUND(P1122*1000000,0)/100000),9)</f>
        <v>0</v>
      </c>
    </row>
    <row r="1123" customFormat="false" ht="15" hidden="false" customHeight="false" outlineLevel="0" collapsed="false">
      <c r="A1123" s="4" t="n">
        <v>1119</v>
      </c>
      <c r="B1123" s="4" t="n">
        <v>1772</v>
      </c>
      <c r="C1123" s="4" t="n">
        <v>2</v>
      </c>
      <c r="D1123" s="11" t="n">
        <v>46113</v>
      </c>
      <c r="E1123" s="4" t="s">
        <v>201</v>
      </c>
      <c r="F1123" s="4" t="s">
        <v>209</v>
      </c>
      <c r="G1123" s="4" t="n">
        <v>9</v>
      </c>
      <c r="H1123" s="4" t="n">
        <v>1</v>
      </c>
      <c r="I1123" s="4" t="n">
        <v>0</v>
      </c>
      <c r="J1123" s="4"/>
      <c r="K1123" s="4" t="n">
        <v>0</v>
      </c>
      <c r="L1123" s="12" t="n">
        <v>0.642262</v>
      </c>
      <c r="M1123" s="12" t="n">
        <v>0.092063</v>
      </c>
      <c r="N1123" s="12" t="n">
        <v>0.038622</v>
      </c>
      <c r="O1123" s="12" t="n">
        <v>0.106183</v>
      </c>
      <c r="P1123" s="12" t="n">
        <v>0.039222</v>
      </c>
      <c r="Q1123" s="0" t="str">
        <f aca="false">IF(L1123&gt;=Models!$G$5,1+COUNTIF($L$5:$L$1517,"&gt;"&amp;L1123)+COUNTIFS($L$5:$L$1517,L1123,$B$5:$B$1517,"&lt;"&amp;B1123)+COUNTIFS($L$5:$L$1517,L1123,$B$5:$B$1517,B1123,$C$5:$C$1517,"&lt;"&amp;C1123),"")</f>
        <v/>
      </c>
      <c r="R1123" s="0" t="str">
        <f aca="false">IF(M1123&gt;=Models!$G$6,1+COUNTIF($M$5:$M$1517,"&gt;"&amp;M1123)+COUNTIFS($M$5:$M$1517,M1123,$B$5:$B$1517,"&lt;"&amp;B1123)+COUNTIFS($M$5:$M$1517,M1123,$B$5:$B$1517,B1123,$C$5:$C$1517,"&lt;"&amp;C1123),"")</f>
        <v/>
      </c>
      <c r="S1123" s="0" t="str">
        <f aca="false">IF(N1123&gt;=Models!$G$7,1+COUNTIF($N$5:$N$1517,"&gt;"&amp;N1123)+COUNTIFS($N$5:$N$1517,N1123,$B$5:$B$1517,"&lt;"&amp;B1123)+COUNTIFS($N$5:$N$1517,N1123,$B$5:$B$1517,B1123,$C$5:$C$1517,"&lt;"&amp;C1123),"")</f>
        <v/>
      </c>
      <c r="T1123" s="8" t="n">
        <f aca="false">IF(O1123&gt;=Models!$G$8,1+COUNTIF($O$5:$O$1517,"&gt;"&amp;O1123)+COUNTIFS($O$5:$O$1517,O1123,$B$5:$B$1517,"&lt;"&amp;B1123)+COUNTIFS($O$5:$O$1517,O1123,$B$5:$B$1517,B1123,$C$5:$C$1517,"&lt;"&amp;C1123),"")</f>
        <v>1479</v>
      </c>
      <c r="U1123" s="8" t="n">
        <f aca="false">IF($K1123=1,COUNTIFS($L$5:$L$1517,"&gt;="&amp;L1123,$K$5:$K$1517,1)/COUNTIF($L$5:$L$1517,"&gt;="&amp;L1123),0)</f>
        <v>0</v>
      </c>
      <c r="V1123" s="8" t="n">
        <f aca="false">IF($K1123=1,COUNTIFS($M$5:$M$1517,"&gt;="&amp;M1123,$K$5:$K$1517,1)/COUNTIF($M$5:$M$1517,"&gt;="&amp;M1123),0)</f>
        <v>0</v>
      </c>
      <c r="W1123" s="8" t="n">
        <f aca="false">IF($K1123=1,COUNTIFS($N$5:$N$1517,"&gt;="&amp;N1123,$K$5:$K$1517,1)/COUNTIF($N$5:$N$1517,"&gt;="&amp;N1123),0)</f>
        <v>0</v>
      </c>
      <c r="X1123" s="8" t="n">
        <f aca="false">IF($K1123=1,COUNTIFS($O$5:$O$1517,"&gt;="&amp;O1123,$K$5:$K$1517,1)/COUNTIF($O$5:$O$1517,"&gt;="&amp;O1123),0)</f>
        <v>0</v>
      </c>
      <c r="Y1123" s="8" t="n">
        <f aca="false">IF($K1123=1,COUNTIFS($P$5:$P$1517,"&gt;="&amp;P1123,$K$5:$K$1517,1)/COUNTIF($P$5:$P$1517,"&gt;="&amp;P1123),0)</f>
        <v>0</v>
      </c>
      <c r="Z1123" s="8" t="n">
        <f aca="false">(L1123-$K1123)^2</f>
        <v>0.412500476644</v>
      </c>
      <c r="AA1123" s="8" t="n">
        <f aca="false">(M1123-$K1123)^2</f>
        <v>0.008475595969</v>
      </c>
      <c r="AB1123" s="8" t="n">
        <f aca="false">(N1123-$K1123)^2</f>
        <v>0.001491658884</v>
      </c>
      <c r="AC1123" s="8" t="n">
        <f aca="false">(O1123-$K1123)^2</f>
        <v>0.011274829489</v>
      </c>
      <c r="AD1123" s="8" t="n">
        <f aca="false">(P1123-$K1123)^2</f>
        <v>0.001538365284</v>
      </c>
      <c r="AE1123" s="8" t="n">
        <f aca="false">MIN(INT(ROUND(N1123*1000000,0)/100000),9)</f>
        <v>0</v>
      </c>
      <c r="AF1123" s="8" t="n">
        <f aca="false">MIN(INT(ROUND(P1123*1000000,0)/100000),9)</f>
        <v>0</v>
      </c>
    </row>
    <row r="1124" customFormat="false" ht="15" hidden="false" customHeight="false" outlineLevel="0" collapsed="false">
      <c r="A1124" s="4" t="n">
        <v>1120</v>
      </c>
      <c r="B1124" s="4" t="n">
        <v>1773</v>
      </c>
      <c r="C1124" s="4" t="n">
        <v>2</v>
      </c>
      <c r="D1124" s="11" t="n">
        <v>46113</v>
      </c>
      <c r="E1124" s="4" t="s">
        <v>202</v>
      </c>
      <c r="F1124" s="4" t="s">
        <v>206</v>
      </c>
      <c r="G1124" s="4" t="n">
        <v>6</v>
      </c>
      <c r="H1124" s="4" t="n">
        <v>4</v>
      </c>
      <c r="I1124" s="4" t="n">
        <v>0</v>
      </c>
      <c r="J1124" s="4"/>
      <c r="K1124" s="4" t="n">
        <v>0</v>
      </c>
      <c r="L1124" s="12" t="n">
        <v>0.197472</v>
      </c>
      <c r="M1124" s="12" t="n">
        <v>0.092063</v>
      </c>
      <c r="N1124" s="12" t="n">
        <v>0.051174</v>
      </c>
      <c r="O1124" s="12" t="n">
        <v>0.106183</v>
      </c>
      <c r="P1124" s="12" t="n">
        <v>0.052653</v>
      </c>
      <c r="Q1124" s="0" t="str">
        <f aca="false">IF(L1124&gt;=Models!$G$5,1+COUNTIF($L$5:$L$1517,"&gt;"&amp;L1124)+COUNTIFS($L$5:$L$1517,L1124,$B$5:$B$1517,"&lt;"&amp;B1124)+COUNTIFS($L$5:$L$1517,L1124,$B$5:$B$1517,B1124,$C$5:$C$1517,"&lt;"&amp;C1124),"")</f>
        <v/>
      </c>
      <c r="R1124" s="0" t="str">
        <f aca="false">IF(M1124&gt;=Models!$G$6,1+COUNTIF($M$5:$M$1517,"&gt;"&amp;M1124)+COUNTIFS($M$5:$M$1517,M1124,$B$5:$B$1517,"&lt;"&amp;B1124)+COUNTIFS($M$5:$M$1517,M1124,$B$5:$B$1517,B1124,$C$5:$C$1517,"&lt;"&amp;C1124),"")</f>
        <v/>
      </c>
      <c r="S1124" s="0" t="str">
        <f aca="false">IF(N1124&gt;=Models!$G$7,1+COUNTIF($N$5:$N$1517,"&gt;"&amp;N1124)+COUNTIFS($N$5:$N$1517,N1124,$B$5:$B$1517,"&lt;"&amp;B1124)+COUNTIFS($N$5:$N$1517,N1124,$B$5:$B$1517,B1124,$C$5:$C$1517,"&lt;"&amp;C1124),"")</f>
        <v/>
      </c>
      <c r="T1124" s="8" t="n">
        <f aca="false">IF(O1124&gt;=Models!$G$8,1+COUNTIF($O$5:$O$1517,"&gt;"&amp;O1124)+COUNTIFS($O$5:$O$1517,O1124,$B$5:$B$1517,"&lt;"&amp;B1124)+COUNTIFS($O$5:$O$1517,O1124,$B$5:$B$1517,B1124,$C$5:$C$1517,"&lt;"&amp;C1124),"")</f>
        <v>1481</v>
      </c>
      <c r="U1124" s="8" t="n">
        <f aca="false">IF($K1124=1,COUNTIFS($L$5:$L$1517,"&gt;="&amp;L1124,$K$5:$K$1517,1)/COUNTIF($L$5:$L$1517,"&gt;="&amp;L1124),0)</f>
        <v>0</v>
      </c>
      <c r="V1124" s="8" t="n">
        <f aca="false">IF($K1124=1,COUNTIFS($M$5:$M$1517,"&gt;="&amp;M1124,$K$5:$K$1517,1)/COUNTIF($M$5:$M$1517,"&gt;="&amp;M1124),0)</f>
        <v>0</v>
      </c>
      <c r="W1124" s="8" t="n">
        <f aca="false">IF($K1124=1,COUNTIFS($N$5:$N$1517,"&gt;="&amp;N1124,$K$5:$K$1517,1)/COUNTIF($N$5:$N$1517,"&gt;="&amp;N1124),0)</f>
        <v>0</v>
      </c>
      <c r="X1124" s="8" t="n">
        <f aca="false">IF($K1124=1,COUNTIFS($O$5:$O$1517,"&gt;="&amp;O1124,$K$5:$K$1517,1)/COUNTIF($O$5:$O$1517,"&gt;="&amp;O1124),0)</f>
        <v>0</v>
      </c>
      <c r="Y1124" s="8" t="n">
        <f aca="false">IF($K1124=1,COUNTIFS($P$5:$P$1517,"&gt;="&amp;P1124,$K$5:$K$1517,1)/COUNTIF($P$5:$P$1517,"&gt;="&amp;P1124),0)</f>
        <v>0</v>
      </c>
      <c r="Z1124" s="8" t="n">
        <f aca="false">(L1124-$K1124)^2</f>
        <v>0.038995190784</v>
      </c>
      <c r="AA1124" s="8" t="n">
        <f aca="false">(M1124-$K1124)^2</f>
        <v>0.008475595969</v>
      </c>
      <c r="AB1124" s="8" t="n">
        <f aca="false">(N1124-$K1124)^2</f>
        <v>0.002618778276</v>
      </c>
      <c r="AC1124" s="8" t="n">
        <f aca="false">(O1124-$K1124)^2</f>
        <v>0.011274829489</v>
      </c>
      <c r="AD1124" s="8" t="n">
        <f aca="false">(P1124-$K1124)^2</f>
        <v>0.002772338409</v>
      </c>
      <c r="AE1124" s="8" t="n">
        <f aca="false">MIN(INT(ROUND(N1124*1000000,0)/100000),9)</f>
        <v>0</v>
      </c>
      <c r="AF1124" s="8" t="n">
        <f aca="false">MIN(INT(ROUND(P1124*1000000,0)/100000),9)</f>
        <v>0</v>
      </c>
    </row>
    <row r="1125" customFormat="false" ht="15" hidden="false" customHeight="false" outlineLevel="0" collapsed="false">
      <c r="A1125" s="4" t="n">
        <v>1121</v>
      </c>
      <c r="B1125" s="4" t="n">
        <v>1776</v>
      </c>
      <c r="C1125" s="4" t="n">
        <v>2</v>
      </c>
      <c r="D1125" s="11" t="n">
        <v>46113</v>
      </c>
      <c r="E1125" s="4" t="s">
        <v>203</v>
      </c>
      <c r="F1125" s="4" t="s">
        <v>209</v>
      </c>
      <c r="G1125" s="4" t="n">
        <v>7</v>
      </c>
      <c r="H1125" s="4" t="n">
        <v>0</v>
      </c>
      <c r="I1125" s="4" t="n">
        <v>0</v>
      </c>
      <c r="J1125" s="4" t="n">
        <v>294</v>
      </c>
      <c r="K1125" s="4" t="n">
        <v>0</v>
      </c>
      <c r="L1125" s="12" t="n">
        <v>0.213091</v>
      </c>
      <c r="M1125" s="12" t="n">
        <v>0.092063</v>
      </c>
      <c r="N1125" s="12" t="n">
        <v>0.090869</v>
      </c>
      <c r="O1125" s="12" t="n">
        <v>0.106183</v>
      </c>
      <c r="P1125" s="12" t="n">
        <v>0.095896</v>
      </c>
      <c r="Q1125" s="0" t="str">
        <f aca="false">IF(L1125&gt;=Models!$G$5,1+COUNTIF($L$5:$L$1517,"&gt;"&amp;L1125)+COUNTIFS($L$5:$L$1517,L1125,$B$5:$B$1517,"&lt;"&amp;B1125)+COUNTIFS($L$5:$L$1517,L1125,$B$5:$B$1517,B1125,$C$5:$C$1517,"&lt;"&amp;C1125),"")</f>
        <v/>
      </c>
      <c r="R1125" s="0" t="str">
        <f aca="false">IF(M1125&gt;=Models!$G$6,1+COUNTIF($M$5:$M$1517,"&gt;"&amp;M1125)+COUNTIFS($M$5:$M$1517,M1125,$B$5:$B$1517,"&lt;"&amp;B1125)+COUNTIFS($M$5:$M$1517,M1125,$B$5:$B$1517,B1125,$C$5:$C$1517,"&lt;"&amp;C1125),"")</f>
        <v/>
      </c>
      <c r="S1125" s="0" t="str">
        <f aca="false">IF(N1125&gt;=Models!$G$7,1+COUNTIF($N$5:$N$1517,"&gt;"&amp;N1125)+COUNTIFS($N$5:$N$1517,N1125,$B$5:$B$1517,"&lt;"&amp;B1125)+COUNTIFS($N$5:$N$1517,N1125,$B$5:$B$1517,B1125,$C$5:$C$1517,"&lt;"&amp;C1125),"")</f>
        <v/>
      </c>
      <c r="T1125" s="8" t="n">
        <f aca="false">IF(O1125&gt;=Models!$G$8,1+COUNTIF($O$5:$O$1517,"&gt;"&amp;O1125)+COUNTIFS($O$5:$O$1517,O1125,$B$5:$B$1517,"&lt;"&amp;B1125)+COUNTIFS($O$5:$O$1517,O1125,$B$5:$B$1517,B1125,$C$5:$C$1517,"&lt;"&amp;C1125),"")</f>
        <v>1483</v>
      </c>
      <c r="U1125" s="8" t="n">
        <f aca="false">IF($K1125=1,COUNTIFS($L$5:$L$1517,"&gt;="&amp;L1125,$K$5:$K$1517,1)/COUNTIF($L$5:$L$1517,"&gt;="&amp;L1125),0)</f>
        <v>0</v>
      </c>
      <c r="V1125" s="8" t="n">
        <f aca="false">IF($K1125=1,COUNTIFS($M$5:$M$1517,"&gt;="&amp;M1125,$K$5:$K$1517,1)/COUNTIF($M$5:$M$1517,"&gt;="&amp;M1125),0)</f>
        <v>0</v>
      </c>
      <c r="W1125" s="8" t="n">
        <f aca="false">IF($K1125=1,COUNTIFS($N$5:$N$1517,"&gt;="&amp;N1125,$K$5:$K$1517,1)/COUNTIF($N$5:$N$1517,"&gt;="&amp;N1125),0)</f>
        <v>0</v>
      </c>
      <c r="X1125" s="8" t="n">
        <f aca="false">IF($K1125=1,COUNTIFS($O$5:$O$1517,"&gt;="&amp;O1125,$K$5:$K$1517,1)/COUNTIF($O$5:$O$1517,"&gt;="&amp;O1125),0)</f>
        <v>0</v>
      </c>
      <c r="Y1125" s="8" t="n">
        <f aca="false">IF($K1125=1,COUNTIFS($P$5:$P$1517,"&gt;="&amp;P1125,$K$5:$K$1517,1)/COUNTIF($P$5:$P$1517,"&gt;="&amp;P1125),0)</f>
        <v>0</v>
      </c>
      <c r="Z1125" s="8" t="n">
        <f aca="false">(L1125-$K1125)^2</f>
        <v>0.045407774281</v>
      </c>
      <c r="AA1125" s="8" t="n">
        <f aca="false">(M1125-$K1125)^2</f>
        <v>0.008475595969</v>
      </c>
      <c r="AB1125" s="8" t="n">
        <f aca="false">(N1125-$K1125)^2</f>
        <v>0.008257175161</v>
      </c>
      <c r="AC1125" s="8" t="n">
        <f aca="false">(O1125-$K1125)^2</f>
        <v>0.011274829489</v>
      </c>
      <c r="AD1125" s="8" t="n">
        <f aca="false">(P1125-$K1125)^2</f>
        <v>0.009196042816</v>
      </c>
      <c r="AE1125" s="8" t="n">
        <f aca="false">MIN(INT(ROUND(N1125*1000000,0)/100000),9)</f>
        <v>0</v>
      </c>
      <c r="AF1125" s="8" t="n">
        <f aca="false">MIN(INT(ROUND(P1125*1000000,0)/100000),9)</f>
        <v>0</v>
      </c>
    </row>
    <row r="1126" customFormat="false" ht="15" hidden="false" customHeight="false" outlineLevel="0" collapsed="false">
      <c r="A1126" s="4" t="n">
        <v>1122</v>
      </c>
      <c r="B1126" s="4" t="n">
        <v>10</v>
      </c>
      <c r="C1126" s="4" t="n">
        <v>3</v>
      </c>
      <c r="D1126" s="11" t="n">
        <v>46143</v>
      </c>
      <c r="E1126" s="4" t="s">
        <v>204</v>
      </c>
      <c r="F1126" s="4" t="s">
        <v>208</v>
      </c>
      <c r="G1126" s="4" t="n">
        <v>5</v>
      </c>
      <c r="H1126" s="4" t="n">
        <v>6</v>
      </c>
      <c r="I1126" s="4" t="n">
        <v>1</v>
      </c>
      <c r="J1126" s="4" t="n">
        <v>84</v>
      </c>
      <c r="K1126" s="4" t="n">
        <v>0</v>
      </c>
      <c r="L1126" s="12" t="n">
        <v>0.94444</v>
      </c>
      <c r="M1126" s="12" t="n">
        <v>0.184211</v>
      </c>
      <c r="N1126" s="12" t="n">
        <v>0.187599</v>
      </c>
      <c r="O1126" s="12" t="n">
        <v>0.106183</v>
      </c>
      <c r="P1126" s="12" t="n">
        <v>0.203193</v>
      </c>
      <c r="Q1126" s="0" t="str">
        <f aca="false">IF(L1126&gt;=Models!$G$5,1+COUNTIF($L$5:$L$1517,"&gt;"&amp;L1126)+COUNTIFS($L$5:$L$1517,L1126,$B$5:$B$1517,"&lt;"&amp;B1126)+COUNTIFS($L$5:$L$1517,L1126,$B$5:$B$1517,B1126,$C$5:$C$1517,"&lt;"&amp;C1126),"")</f>
        <v/>
      </c>
      <c r="R1126" s="8" t="n">
        <f aca="false">IF(M1126&gt;=Models!$G$6,1+COUNTIF($M$5:$M$1517,"&gt;"&amp;M1126)+COUNTIFS($M$5:$M$1517,M1126,$B$5:$B$1517,"&lt;"&amp;B1126)+COUNTIFS($M$5:$M$1517,M1126,$B$5:$B$1517,B1126,$C$5:$C$1517,"&lt;"&amp;C1126),"")</f>
        <v>1</v>
      </c>
      <c r="S1126" s="0" t="str">
        <f aca="false">IF(N1126&gt;=Models!$G$7,1+COUNTIF($N$5:$N$1517,"&gt;"&amp;N1126)+COUNTIFS($N$5:$N$1517,N1126,$B$5:$B$1517,"&lt;"&amp;B1126)+COUNTIFS($N$5:$N$1517,N1126,$B$5:$B$1517,B1126,$C$5:$C$1517,"&lt;"&amp;C1126),"")</f>
        <v/>
      </c>
      <c r="T1126" s="8" t="n">
        <f aca="false">IF(O1126&gt;=Models!$G$8,1+COUNTIF($O$5:$O$1517,"&gt;"&amp;O1126)+COUNTIFS($O$5:$O$1517,O1126,$B$5:$B$1517,"&lt;"&amp;B1126)+COUNTIFS($O$5:$O$1517,O1126,$B$5:$B$1517,B1126,$C$5:$C$1517,"&lt;"&amp;C1126),"")</f>
        <v>4</v>
      </c>
      <c r="U1126" s="8" t="n">
        <f aca="false">IF($K1126=1,COUNTIFS($L$5:$L$1517,"&gt;="&amp;L1126,$K$5:$K$1517,1)/COUNTIF($L$5:$L$1517,"&gt;="&amp;L1126),0)</f>
        <v>0</v>
      </c>
      <c r="V1126" s="8" t="n">
        <f aca="false">IF($K1126=1,COUNTIFS($M$5:$M$1517,"&gt;="&amp;M1126,$K$5:$K$1517,1)/COUNTIF($M$5:$M$1517,"&gt;="&amp;M1126),0)</f>
        <v>0</v>
      </c>
      <c r="W1126" s="8" t="n">
        <f aca="false">IF($K1126=1,COUNTIFS($N$5:$N$1517,"&gt;="&amp;N1126,$K$5:$K$1517,1)/COUNTIF($N$5:$N$1517,"&gt;="&amp;N1126),0)</f>
        <v>0</v>
      </c>
      <c r="X1126" s="8" t="n">
        <f aca="false">IF($K1126=1,COUNTIFS($O$5:$O$1517,"&gt;="&amp;O1126,$K$5:$K$1517,1)/COUNTIF($O$5:$O$1517,"&gt;="&amp;O1126),0)</f>
        <v>0</v>
      </c>
      <c r="Y1126" s="8" t="n">
        <f aca="false">IF($K1126=1,COUNTIFS($P$5:$P$1517,"&gt;="&amp;P1126,$K$5:$K$1517,1)/COUNTIF($P$5:$P$1517,"&gt;="&amp;P1126),0)</f>
        <v>0</v>
      </c>
      <c r="Z1126" s="8" t="n">
        <f aca="false">(L1126-$K1126)^2</f>
        <v>0.8919669136</v>
      </c>
      <c r="AA1126" s="8" t="n">
        <f aca="false">(M1126-$K1126)^2</f>
        <v>0.033933692521</v>
      </c>
      <c r="AB1126" s="8" t="n">
        <f aca="false">(N1126-$K1126)^2</f>
        <v>0.035193384801</v>
      </c>
      <c r="AC1126" s="8" t="n">
        <f aca="false">(O1126-$K1126)^2</f>
        <v>0.011274829489</v>
      </c>
      <c r="AD1126" s="8" t="n">
        <f aca="false">(P1126-$K1126)^2</f>
        <v>0.041287395249</v>
      </c>
      <c r="AE1126" s="8" t="n">
        <f aca="false">MIN(INT(ROUND(N1126*1000000,0)/100000),9)</f>
        <v>1</v>
      </c>
      <c r="AF1126" s="8" t="n">
        <f aca="false">MIN(INT(ROUND(P1126*1000000,0)/100000),9)</f>
        <v>2</v>
      </c>
    </row>
    <row r="1127" customFormat="false" ht="15" hidden="false" customHeight="false" outlineLevel="0" collapsed="false">
      <c r="A1127" s="4" t="n">
        <v>1123</v>
      </c>
      <c r="B1127" s="4" t="n">
        <v>11</v>
      </c>
      <c r="C1127" s="4" t="n">
        <v>3</v>
      </c>
      <c r="D1127" s="11" t="n">
        <v>46143</v>
      </c>
      <c r="E1127" s="4" t="s">
        <v>204</v>
      </c>
      <c r="F1127" s="4" t="s">
        <v>206</v>
      </c>
      <c r="G1127" s="4" t="n">
        <v>6</v>
      </c>
      <c r="H1127" s="4" t="n">
        <v>8</v>
      </c>
      <c r="I1127" s="4" t="n">
        <v>0</v>
      </c>
      <c r="J1127" s="4" t="n">
        <v>42</v>
      </c>
      <c r="K1127" s="4" t="n">
        <v>0</v>
      </c>
      <c r="L1127" s="12" t="n">
        <v>0.211469</v>
      </c>
      <c r="M1127" s="12" t="n">
        <v>0.092063</v>
      </c>
      <c r="N1127" s="12" t="n">
        <v>0.10594</v>
      </c>
      <c r="O1127" s="12" t="n">
        <v>0.106183</v>
      </c>
      <c r="P1127" s="12" t="n">
        <v>0.112505</v>
      </c>
      <c r="Q1127" s="0" t="str">
        <f aca="false">IF(L1127&gt;=Models!$G$5,1+COUNTIF($L$5:$L$1517,"&gt;"&amp;L1127)+COUNTIFS($L$5:$L$1517,L1127,$B$5:$B$1517,"&lt;"&amp;B1127)+COUNTIFS($L$5:$L$1517,L1127,$B$5:$B$1517,B1127,$C$5:$C$1517,"&lt;"&amp;C1127),"")</f>
        <v/>
      </c>
      <c r="R1127" s="0" t="str">
        <f aca="false">IF(M1127&gt;=Models!$G$6,1+COUNTIF($M$5:$M$1517,"&gt;"&amp;M1127)+COUNTIFS($M$5:$M$1517,M1127,$B$5:$B$1517,"&lt;"&amp;B1127)+COUNTIFS($M$5:$M$1517,M1127,$B$5:$B$1517,B1127,$C$5:$C$1517,"&lt;"&amp;C1127),"")</f>
        <v/>
      </c>
      <c r="S1127" s="0" t="str">
        <f aca="false">IF(N1127&gt;=Models!$G$7,1+COUNTIF($N$5:$N$1517,"&gt;"&amp;N1127)+COUNTIFS($N$5:$N$1517,N1127,$B$5:$B$1517,"&lt;"&amp;B1127)+COUNTIFS($N$5:$N$1517,N1127,$B$5:$B$1517,B1127,$C$5:$C$1517,"&lt;"&amp;C1127),"")</f>
        <v/>
      </c>
      <c r="T1127" s="8" t="n">
        <f aca="false">IF(O1127&gt;=Models!$G$8,1+COUNTIF($O$5:$O$1517,"&gt;"&amp;O1127)+COUNTIFS($O$5:$O$1517,O1127,$B$5:$B$1517,"&lt;"&amp;B1127)+COUNTIFS($O$5:$O$1517,O1127,$B$5:$B$1517,B1127,$C$5:$C$1517,"&lt;"&amp;C1127),"")</f>
        <v>8</v>
      </c>
      <c r="U1127" s="8" t="n">
        <f aca="false">IF($K1127=1,COUNTIFS($L$5:$L$1517,"&gt;="&amp;L1127,$K$5:$K$1517,1)/COUNTIF($L$5:$L$1517,"&gt;="&amp;L1127),0)</f>
        <v>0</v>
      </c>
      <c r="V1127" s="8" t="n">
        <f aca="false">IF($K1127=1,COUNTIFS($M$5:$M$1517,"&gt;="&amp;M1127,$K$5:$K$1517,1)/COUNTIF($M$5:$M$1517,"&gt;="&amp;M1127),0)</f>
        <v>0</v>
      </c>
      <c r="W1127" s="8" t="n">
        <f aca="false">IF($K1127=1,COUNTIFS($N$5:$N$1517,"&gt;="&amp;N1127,$K$5:$K$1517,1)/COUNTIF($N$5:$N$1517,"&gt;="&amp;N1127),0)</f>
        <v>0</v>
      </c>
      <c r="X1127" s="8" t="n">
        <f aca="false">IF($K1127=1,COUNTIFS($O$5:$O$1517,"&gt;="&amp;O1127,$K$5:$K$1517,1)/COUNTIF($O$5:$O$1517,"&gt;="&amp;O1127),0)</f>
        <v>0</v>
      </c>
      <c r="Y1127" s="8" t="n">
        <f aca="false">IF($K1127=1,COUNTIFS($P$5:$P$1517,"&gt;="&amp;P1127,$K$5:$K$1517,1)/COUNTIF($P$5:$P$1517,"&gt;="&amp;P1127),0)</f>
        <v>0</v>
      </c>
      <c r="Z1127" s="8" t="n">
        <f aca="false">(L1127-$K1127)^2</f>
        <v>0.044719137961</v>
      </c>
      <c r="AA1127" s="8" t="n">
        <f aca="false">(M1127-$K1127)^2</f>
        <v>0.008475595969</v>
      </c>
      <c r="AB1127" s="8" t="n">
        <f aca="false">(N1127-$K1127)^2</f>
        <v>0.0112232836</v>
      </c>
      <c r="AC1127" s="8" t="n">
        <f aca="false">(O1127-$K1127)^2</f>
        <v>0.011274829489</v>
      </c>
      <c r="AD1127" s="8" t="n">
        <f aca="false">(P1127-$K1127)^2</f>
        <v>0.012657375025</v>
      </c>
      <c r="AE1127" s="8" t="n">
        <f aca="false">MIN(INT(ROUND(N1127*1000000,0)/100000),9)</f>
        <v>1</v>
      </c>
      <c r="AF1127" s="8" t="n">
        <f aca="false">MIN(INT(ROUND(P1127*1000000,0)/100000),9)</f>
        <v>1</v>
      </c>
    </row>
    <row r="1128" customFormat="false" ht="15" hidden="false" customHeight="false" outlineLevel="0" collapsed="false">
      <c r="A1128" s="4" t="n">
        <v>1124</v>
      </c>
      <c r="B1128" s="4" t="n">
        <v>20</v>
      </c>
      <c r="C1128" s="4" t="n">
        <v>3</v>
      </c>
      <c r="D1128" s="11" t="n">
        <v>46143</v>
      </c>
      <c r="E1128" s="4" t="s">
        <v>204</v>
      </c>
      <c r="F1128" s="4" t="s">
        <v>210</v>
      </c>
      <c r="G1128" s="4" t="n">
        <v>6</v>
      </c>
      <c r="H1128" s="4" t="n">
        <v>0</v>
      </c>
      <c r="I1128" s="4" t="n">
        <v>0</v>
      </c>
      <c r="J1128" s="4" t="n">
        <v>105</v>
      </c>
      <c r="K1128" s="4" t="n">
        <v>0</v>
      </c>
      <c r="L1128" s="12" t="n">
        <v>0.170855</v>
      </c>
      <c r="M1128" s="12" t="n">
        <v>0.092063</v>
      </c>
      <c r="N1128" s="12" t="n">
        <v>0.099561</v>
      </c>
      <c r="O1128" s="12" t="n">
        <v>0.106183</v>
      </c>
      <c r="P1128" s="12" t="n">
        <v>0.105466</v>
      </c>
      <c r="Q1128" s="0" t="str">
        <f aca="false">IF(L1128&gt;=Models!$G$5,1+COUNTIF($L$5:$L$1517,"&gt;"&amp;L1128)+COUNTIFS($L$5:$L$1517,L1128,$B$5:$B$1517,"&lt;"&amp;B1128)+COUNTIFS($L$5:$L$1517,L1128,$B$5:$B$1517,B1128,$C$5:$C$1517,"&lt;"&amp;C1128),"")</f>
        <v/>
      </c>
      <c r="R1128" s="0" t="str">
        <f aca="false">IF(M1128&gt;=Models!$G$6,1+COUNTIF($M$5:$M$1517,"&gt;"&amp;M1128)+COUNTIFS($M$5:$M$1517,M1128,$B$5:$B$1517,"&lt;"&amp;B1128)+COUNTIFS($M$5:$M$1517,M1128,$B$5:$B$1517,B1128,$C$5:$C$1517,"&lt;"&amp;C1128),"")</f>
        <v/>
      </c>
      <c r="S1128" s="0" t="str">
        <f aca="false">IF(N1128&gt;=Models!$G$7,1+COUNTIF($N$5:$N$1517,"&gt;"&amp;N1128)+COUNTIFS($N$5:$N$1517,N1128,$B$5:$B$1517,"&lt;"&amp;B1128)+COUNTIFS($N$5:$N$1517,N1128,$B$5:$B$1517,B1128,$C$5:$C$1517,"&lt;"&amp;C1128),"")</f>
        <v/>
      </c>
      <c r="T1128" s="8" t="n">
        <f aca="false">IF(O1128&gt;=Models!$G$8,1+COUNTIF($O$5:$O$1517,"&gt;"&amp;O1128)+COUNTIFS($O$5:$O$1517,O1128,$B$5:$B$1517,"&lt;"&amp;B1128)+COUNTIFS($O$5:$O$1517,O1128,$B$5:$B$1517,B1128,$C$5:$C$1517,"&lt;"&amp;C1128),"")</f>
        <v>12</v>
      </c>
      <c r="U1128" s="8" t="n">
        <f aca="false">IF($K1128=1,COUNTIFS($L$5:$L$1517,"&gt;="&amp;L1128,$K$5:$K$1517,1)/COUNTIF($L$5:$L$1517,"&gt;="&amp;L1128),0)</f>
        <v>0</v>
      </c>
      <c r="V1128" s="8" t="n">
        <f aca="false">IF($K1128=1,COUNTIFS($M$5:$M$1517,"&gt;="&amp;M1128,$K$5:$K$1517,1)/COUNTIF($M$5:$M$1517,"&gt;="&amp;M1128),0)</f>
        <v>0</v>
      </c>
      <c r="W1128" s="8" t="n">
        <f aca="false">IF($K1128=1,COUNTIFS($N$5:$N$1517,"&gt;="&amp;N1128,$K$5:$K$1517,1)/COUNTIF($N$5:$N$1517,"&gt;="&amp;N1128),0)</f>
        <v>0</v>
      </c>
      <c r="X1128" s="8" t="n">
        <f aca="false">IF($K1128=1,COUNTIFS($O$5:$O$1517,"&gt;="&amp;O1128,$K$5:$K$1517,1)/COUNTIF($O$5:$O$1517,"&gt;="&amp;O1128),0)</f>
        <v>0</v>
      </c>
      <c r="Y1128" s="8" t="n">
        <f aca="false">IF($K1128=1,COUNTIFS($P$5:$P$1517,"&gt;="&amp;P1128,$K$5:$K$1517,1)/COUNTIF($P$5:$P$1517,"&gt;="&amp;P1128),0)</f>
        <v>0</v>
      </c>
      <c r="Z1128" s="8" t="n">
        <f aca="false">(L1128-$K1128)^2</f>
        <v>0.029191431025</v>
      </c>
      <c r="AA1128" s="8" t="n">
        <f aca="false">(M1128-$K1128)^2</f>
        <v>0.008475595969</v>
      </c>
      <c r="AB1128" s="8" t="n">
        <f aca="false">(N1128-$K1128)^2</f>
        <v>0.009912392721</v>
      </c>
      <c r="AC1128" s="8" t="n">
        <f aca="false">(O1128-$K1128)^2</f>
        <v>0.011274829489</v>
      </c>
      <c r="AD1128" s="8" t="n">
        <f aca="false">(P1128-$K1128)^2</f>
        <v>0.011123077156</v>
      </c>
      <c r="AE1128" s="8" t="n">
        <f aca="false">MIN(INT(ROUND(N1128*1000000,0)/100000),9)</f>
        <v>0</v>
      </c>
      <c r="AF1128" s="8" t="n">
        <f aca="false">MIN(INT(ROUND(P1128*1000000,0)/100000),9)</f>
        <v>1</v>
      </c>
    </row>
    <row r="1129" customFormat="false" ht="15" hidden="false" customHeight="false" outlineLevel="0" collapsed="false">
      <c r="A1129" s="4" t="n">
        <v>1125</v>
      </c>
      <c r="B1129" s="4" t="n">
        <v>26</v>
      </c>
      <c r="C1129" s="4" t="n">
        <v>3</v>
      </c>
      <c r="D1129" s="11" t="n">
        <v>46143</v>
      </c>
      <c r="E1129" s="4" t="s">
        <v>204</v>
      </c>
      <c r="F1129" s="4" t="s">
        <v>206</v>
      </c>
      <c r="G1129" s="4" t="n">
        <v>2</v>
      </c>
      <c r="H1129" s="4" t="n">
        <v>10</v>
      </c>
      <c r="I1129" s="4" t="n">
        <v>0</v>
      </c>
      <c r="J1129" s="4" t="n">
        <v>73.5</v>
      </c>
      <c r="K1129" s="4" t="n">
        <v>0</v>
      </c>
      <c r="L1129" s="12" t="n">
        <v>0.232119</v>
      </c>
      <c r="M1129" s="12" t="n">
        <v>0.092063</v>
      </c>
      <c r="N1129" s="12" t="n">
        <v>0.146995</v>
      </c>
      <c r="O1129" s="12" t="n">
        <v>0.106183</v>
      </c>
      <c r="P1129" s="12" t="n">
        <v>0.158017</v>
      </c>
      <c r="Q1129" s="0" t="str">
        <f aca="false">IF(L1129&gt;=Models!$G$5,1+COUNTIF($L$5:$L$1517,"&gt;"&amp;L1129)+COUNTIFS($L$5:$L$1517,L1129,$B$5:$B$1517,"&lt;"&amp;B1129)+COUNTIFS($L$5:$L$1517,L1129,$B$5:$B$1517,B1129,$C$5:$C$1517,"&lt;"&amp;C1129),"")</f>
        <v/>
      </c>
      <c r="R1129" s="0" t="str">
        <f aca="false">IF(M1129&gt;=Models!$G$6,1+COUNTIF($M$5:$M$1517,"&gt;"&amp;M1129)+COUNTIFS($M$5:$M$1517,M1129,$B$5:$B$1517,"&lt;"&amp;B1129)+COUNTIFS($M$5:$M$1517,M1129,$B$5:$B$1517,B1129,$C$5:$C$1517,"&lt;"&amp;C1129),"")</f>
        <v/>
      </c>
      <c r="S1129" s="0" t="str">
        <f aca="false">IF(N1129&gt;=Models!$G$7,1+COUNTIF($N$5:$N$1517,"&gt;"&amp;N1129)+COUNTIFS($N$5:$N$1517,N1129,$B$5:$B$1517,"&lt;"&amp;B1129)+COUNTIFS($N$5:$N$1517,N1129,$B$5:$B$1517,B1129,$C$5:$C$1517,"&lt;"&amp;C1129),"")</f>
        <v/>
      </c>
      <c r="T1129" s="8" t="n">
        <f aca="false">IF(O1129&gt;=Models!$G$8,1+COUNTIF($O$5:$O$1517,"&gt;"&amp;O1129)+COUNTIFS($O$5:$O$1517,O1129,$B$5:$B$1517,"&lt;"&amp;B1129)+COUNTIFS($O$5:$O$1517,O1129,$B$5:$B$1517,B1129,$C$5:$C$1517,"&lt;"&amp;C1129),"")</f>
        <v>16</v>
      </c>
      <c r="U1129" s="8" t="n">
        <f aca="false">IF($K1129=1,COUNTIFS($L$5:$L$1517,"&gt;="&amp;L1129,$K$5:$K$1517,1)/COUNTIF($L$5:$L$1517,"&gt;="&amp;L1129),0)</f>
        <v>0</v>
      </c>
      <c r="V1129" s="8" t="n">
        <f aca="false">IF($K1129=1,COUNTIFS($M$5:$M$1517,"&gt;="&amp;M1129,$K$5:$K$1517,1)/COUNTIF($M$5:$M$1517,"&gt;="&amp;M1129),0)</f>
        <v>0</v>
      </c>
      <c r="W1129" s="8" t="n">
        <f aca="false">IF($K1129=1,COUNTIFS($N$5:$N$1517,"&gt;="&amp;N1129,$K$5:$K$1517,1)/COUNTIF($N$5:$N$1517,"&gt;="&amp;N1129),0)</f>
        <v>0</v>
      </c>
      <c r="X1129" s="8" t="n">
        <f aca="false">IF($K1129=1,COUNTIFS($O$5:$O$1517,"&gt;="&amp;O1129,$K$5:$K$1517,1)/COUNTIF($O$5:$O$1517,"&gt;="&amp;O1129),0)</f>
        <v>0</v>
      </c>
      <c r="Y1129" s="8" t="n">
        <f aca="false">IF($K1129=1,COUNTIFS($P$5:$P$1517,"&gt;="&amp;P1129,$K$5:$K$1517,1)/COUNTIF($P$5:$P$1517,"&gt;="&amp;P1129),0)</f>
        <v>0</v>
      </c>
      <c r="Z1129" s="8" t="n">
        <f aca="false">(L1129-$K1129)^2</f>
        <v>0.053879230161</v>
      </c>
      <c r="AA1129" s="8" t="n">
        <f aca="false">(M1129-$K1129)^2</f>
        <v>0.008475595969</v>
      </c>
      <c r="AB1129" s="8" t="n">
        <f aca="false">(N1129-$K1129)^2</f>
        <v>0.021607530025</v>
      </c>
      <c r="AC1129" s="8" t="n">
        <f aca="false">(O1129-$K1129)^2</f>
        <v>0.011274829489</v>
      </c>
      <c r="AD1129" s="8" t="n">
        <f aca="false">(P1129-$K1129)^2</f>
        <v>0.024969372289</v>
      </c>
      <c r="AE1129" s="8" t="n">
        <f aca="false">MIN(INT(ROUND(N1129*1000000,0)/100000),9)</f>
        <v>1</v>
      </c>
      <c r="AF1129" s="8" t="n">
        <f aca="false">MIN(INT(ROUND(P1129*1000000,0)/100000),9)</f>
        <v>1</v>
      </c>
    </row>
    <row r="1130" customFormat="false" ht="15" hidden="false" customHeight="false" outlineLevel="0" collapsed="false">
      <c r="A1130" s="4" t="n">
        <v>1126</v>
      </c>
      <c r="B1130" s="4" t="n">
        <v>30</v>
      </c>
      <c r="C1130" s="4" t="n">
        <v>3</v>
      </c>
      <c r="D1130" s="11" t="n">
        <v>46143</v>
      </c>
      <c r="E1130" s="4" t="s">
        <v>203</v>
      </c>
      <c r="F1130" s="4" t="s">
        <v>209</v>
      </c>
      <c r="G1130" s="4" t="n">
        <v>7</v>
      </c>
      <c r="H1130" s="4" t="n">
        <v>4</v>
      </c>
      <c r="I1130" s="4" t="n">
        <v>0</v>
      </c>
      <c r="J1130" s="4"/>
      <c r="K1130" s="4" t="n">
        <v>0</v>
      </c>
      <c r="L1130" s="12" t="n">
        <v>0.432471</v>
      </c>
      <c r="M1130" s="12" t="n">
        <v>0.092063</v>
      </c>
      <c r="N1130" s="12" t="n">
        <v>0.046977</v>
      </c>
      <c r="O1130" s="12" t="n">
        <v>0.106183</v>
      </c>
      <c r="P1130" s="12" t="n">
        <v>0.048144</v>
      </c>
      <c r="Q1130" s="0" t="str">
        <f aca="false">IF(L1130&gt;=Models!$G$5,1+COUNTIF($L$5:$L$1517,"&gt;"&amp;L1130)+COUNTIFS($L$5:$L$1517,L1130,$B$5:$B$1517,"&lt;"&amp;B1130)+COUNTIFS($L$5:$L$1517,L1130,$B$5:$B$1517,B1130,$C$5:$C$1517,"&lt;"&amp;C1130),"")</f>
        <v/>
      </c>
      <c r="R1130" s="0" t="str">
        <f aca="false">IF(M1130&gt;=Models!$G$6,1+COUNTIF($M$5:$M$1517,"&gt;"&amp;M1130)+COUNTIFS($M$5:$M$1517,M1130,$B$5:$B$1517,"&lt;"&amp;B1130)+COUNTIFS($M$5:$M$1517,M1130,$B$5:$B$1517,B1130,$C$5:$C$1517,"&lt;"&amp;C1130),"")</f>
        <v/>
      </c>
      <c r="S1130" s="0" t="str">
        <f aca="false">IF(N1130&gt;=Models!$G$7,1+COUNTIF($N$5:$N$1517,"&gt;"&amp;N1130)+COUNTIFS($N$5:$N$1517,N1130,$B$5:$B$1517,"&lt;"&amp;B1130)+COUNTIFS($N$5:$N$1517,N1130,$B$5:$B$1517,B1130,$C$5:$C$1517,"&lt;"&amp;C1130),"")</f>
        <v/>
      </c>
      <c r="T1130" s="8" t="n">
        <f aca="false">IF(O1130&gt;=Models!$G$8,1+COUNTIF($O$5:$O$1517,"&gt;"&amp;O1130)+COUNTIFS($O$5:$O$1517,O1130,$B$5:$B$1517,"&lt;"&amp;B1130)+COUNTIFS($O$5:$O$1517,O1130,$B$5:$B$1517,B1130,$C$5:$C$1517,"&lt;"&amp;C1130),"")</f>
        <v>20</v>
      </c>
      <c r="U1130" s="8" t="n">
        <f aca="false">IF($K1130=1,COUNTIFS($L$5:$L$1517,"&gt;="&amp;L1130,$K$5:$K$1517,1)/COUNTIF($L$5:$L$1517,"&gt;="&amp;L1130),0)</f>
        <v>0</v>
      </c>
      <c r="V1130" s="8" t="n">
        <f aca="false">IF($K1130=1,COUNTIFS($M$5:$M$1517,"&gt;="&amp;M1130,$K$5:$K$1517,1)/COUNTIF($M$5:$M$1517,"&gt;="&amp;M1130),0)</f>
        <v>0</v>
      </c>
      <c r="W1130" s="8" t="n">
        <f aca="false">IF($K1130=1,COUNTIFS($N$5:$N$1517,"&gt;="&amp;N1130,$K$5:$K$1517,1)/COUNTIF($N$5:$N$1517,"&gt;="&amp;N1130),0)</f>
        <v>0</v>
      </c>
      <c r="X1130" s="8" t="n">
        <f aca="false">IF($K1130=1,COUNTIFS($O$5:$O$1517,"&gt;="&amp;O1130,$K$5:$K$1517,1)/COUNTIF($O$5:$O$1517,"&gt;="&amp;O1130),0)</f>
        <v>0</v>
      </c>
      <c r="Y1130" s="8" t="n">
        <f aca="false">IF($K1130=1,COUNTIFS($P$5:$P$1517,"&gt;="&amp;P1130,$K$5:$K$1517,1)/COUNTIF($P$5:$P$1517,"&gt;="&amp;P1130),0)</f>
        <v>0</v>
      </c>
      <c r="Z1130" s="8" t="n">
        <f aca="false">(L1130-$K1130)^2</f>
        <v>0.187031165841</v>
      </c>
      <c r="AA1130" s="8" t="n">
        <f aca="false">(M1130-$K1130)^2</f>
        <v>0.008475595969</v>
      </c>
      <c r="AB1130" s="8" t="n">
        <f aca="false">(N1130-$K1130)^2</f>
        <v>0.002206838529</v>
      </c>
      <c r="AC1130" s="8" t="n">
        <f aca="false">(O1130-$K1130)^2</f>
        <v>0.011274829489</v>
      </c>
      <c r="AD1130" s="8" t="n">
        <f aca="false">(P1130-$K1130)^2</f>
        <v>0.002317844736</v>
      </c>
      <c r="AE1130" s="8" t="n">
        <f aca="false">MIN(INT(ROUND(N1130*1000000,0)/100000),9)</f>
        <v>0</v>
      </c>
      <c r="AF1130" s="8" t="n">
        <f aca="false">MIN(INT(ROUND(P1130*1000000,0)/100000),9)</f>
        <v>0</v>
      </c>
    </row>
    <row r="1131" customFormat="false" ht="15" hidden="false" customHeight="false" outlineLevel="0" collapsed="false">
      <c r="A1131" s="4" t="n">
        <v>1127</v>
      </c>
      <c r="B1131" s="4" t="n">
        <v>31</v>
      </c>
      <c r="C1131" s="4" t="n">
        <v>3</v>
      </c>
      <c r="D1131" s="11" t="n">
        <v>46143</v>
      </c>
      <c r="E1131" s="4" t="s">
        <v>202</v>
      </c>
      <c r="F1131" s="4" t="s">
        <v>206</v>
      </c>
      <c r="G1131" s="4" t="n">
        <v>8</v>
      </c>
      <c r="H1131" s="4" t="n">
        <v>4</v>
      </c>
      <c r="I1131" s="4" t="n">
        <v>0</v>
      </c>
      <c r="J1131" s="4" t="n">
        <v>730.8</v>
      </c>
      <c r="K1131" s="4" t="n">
        <v>0</v>
      </c>
      <c r="L1131" s="12" t="n">
        <v>0.752157</v>
      </c>
      <c r="M1131" s="12" t="n">
        <v>0.092063</v>
      </c>
      <c r="N1131" s="12" t="n">
        <v>0.084274</v>
      </c>
      <c r="O1131" s="12" t="n">
        <v>0.106183</v>
      </c>
      <c r="P1131" s="12" t="n">
        <v>0.088654</v>
      </c>
      <c r="Q1131" s="0" t="str">
        <f aca="false">IF(L1131&gt;=Models!$G$5,1+COUNTIF($L$5:$L$1517,"&gt;"&amp;L1131)+COUNTIFS($L$5:$L$1517,L1131,$B$5:$B$1517,"&lt;"&amp;B1131)+COUNTIFS($L$5:$L$1517,L1131,$B$5:$B$1517,B1131,$C$5:$C$1517,"&lt;"&amp;C1131),"")</f>
        <v/>
      </c>
      <c r="R1131" s="0" t="str">
        <f aca="false">IF(M1131&gt;=Models!$G$6,1+COUNTIF($M$5:$M$1517,"&gt;"&amp;M1131)+COUNTIFS($M$5:$M$1517,M1131,$B$5:$B$1517,"&lt;"&amp;B1131)+COUNTIFS($M$5:$M$1517,M1131,$B$5:$B$1517,B1131,$C$5:$C$1517,"&lt;"&amp;C1131),"")</f>
        <v/>
      </c>
      <c r="S1131" s="0" t="str">
        <f aca="false">IF(N1131&gt;=Models!$G$7,1+COUNTIF($N$5:$N$1517,"&gt;"&amp;N1131)+COUNTIFS($N$5:$N$1517,N1131,$B$5:$B$1517,"&lt;"&amp;B1131)+COUNTIFS($N$5:$N$1517,N1131,$B$5:$B$1517,B1131,$C$5:$C$1517,"&lt;"&amp;C1131),"")</f>
        <v/>
      </c>
      <c r="T1131" s="8" t="n">
        <f aca="false">IF(O1131&gt;=Models!$G$8,1+COUNTIF($O$5:$O$1517,"&gt;"&amp;O1131)+COUNTIFS($O$5:$O$1517,O1131,$B$5:$B$1517,"&lt;"&amp;B1131)+COUNTIFS($O$5:$O$1517,O1131,$B$5:$B$1517,B1131,$C$5:$C$1517,"&lt;"&amp;C1131),"")</f>
        <v>24</v>
      </c>
      <c r="U1131" s="8" t="n">
        <f aca="false">IF($K1131=1,COUNTIFS($L$5:$L$1517,"&gt;="&amp;L1131,$K$5:$K$1517,1)/COUNTIF($L$5:$L$1517,"&gt;="&amp;L1131),0)</f>
        <v>0</v>
      </c>
      <c r="V1131" s="8" t="n">
        <f aca="false">IF($K1131=1,COUNTIFS($M$5:$M$1517,"&gt;="&amp;M1131,$K$5:$K$1517,1)/COUNTIF($M$5:$M$1517,"&gt;="&amp;M1131),0)</f>
        <v>0</v>
      </c>
      <c r="W1131" s="8" t="n">
        <f aca="false">IF($K1131=1,COUNTIFS($N$5:$N$1517,"&gt;="&amp;N1131,$K$5:$K$1517,1)/COUNTIF($N$5:$N$1517,"&gt;="&amp;N1131),0)</f>
        <v>0</v>
      </c>
      <c r="X1131" s="8" t="n">
        <f aca="false">IF($K1131=1,COUNTIFS($O$5:$O$1517,"&gt;="&amp;O1131,$K$5:$K$1517,1)/COUNTIF($O$5:$O$1517,"&gt;="&amp;O1131),0)</f>
        <v>0</v>
      </c>
      <c r="Y1131" s="8" t="n">
        <f aca="false">IF($K1131=1,COUNTIFS($P$5:$P$1517,"&gt;="&amp;P1131,$K$5:$K$1517,1)/COUNTIF($P$5:$P$1517,"&gt;="&amp;P1131),0)</f>
        <v>0</v>
      </c>
      <c r="Z1131" s="8" t="n">
        <f aca="false">(L1131-$K1131)^2</f>
        <v>0.565740152649</v>
      </c>
      <c r="AA1131" s="8" t="n">
        <f aca="false">(M1131-$K1131)^2</f>
        <v>0.008475595969</v>
      </c>
      <c r="AB1131" s="8" t="n">
        <f aca="false">(N1131-$K1131)^2</f>
        <v>0.007102107076</v>
      </c>
      <c r="AC1131" s="8" t="n">
        <f aca="false">(O1131-$K1131)^2</f>
        <v>0.011274829489</v>
      </c>
      <c r="AD1131" s="8" t="n">
        <f aca="false">(P1131-$K1131)^2</f>
        <v>0.007859531716</v>
      </c>
      <c r="AE1131" s="8" t="n">
        <f aca="false">MIN(INT(ROUND(N1131*1000000,0)/100000),9)</f>
        <v>0</v>
      </c>
      <c r="AF1131" s="8" t="n">
        <f aca="false">MIN(INT(ROUND(P1131*1000000,0)/100000),9)</f>
        <v>0</v>
      </c>
    </row>
    <row r="1132" customFormat="false" ht="15" hidden="false" customHeight="false" outlineLevel="0" collapsed="false">
      <c r="A1132" s="4" t="n">
        <v>1128</v>
      </c>
      <c r="B1132" s="4" t="n">
        <v>33</v>
      </c>
      <c r="C1132" s="4" t="n">
        <v>3</v>
      </c>
      <c r="D1132" s="11" t="n">
        <v>46143</v>
      </c>
      <c r="E1132" s="4" t="s">
        <v>202</v>
      </c>
      <c r="F1132" s="4" t="s">
        <v>208</v>
      </c>
      <c r="G1132" s="4" t="n">
        <v>5</v>
      </c>
      <c r="H1132" s="4" t="n">
        <v>8</v>
      </c>
      <c r="I1132" s="4" t="n">
        <v>0</v>
      </c>
      <c r="J1132" s="4" t="n">
        <v>1023</v>
      </c>
      <c r="K1132" s="4" t="n">
        <v>0</v>
      </c>
      <c r="L1132" s="12" t="n">
        <v>0.470192</v>
      </c>
      <c r="M1132" s="12" t="n">
        <v>0.092063</v>
      </c>
      <c r="N1132" s="12" t="n">
        <v>0.109109</v>
      </c>
      <c r="O1132" s="12" t="n">
        <v>0.106183</v>
      </c>
      <c r="P1132" s="12" t="n">
        <v>0.116006</v>
      </c>
      <c r="Q1132" s="0" t="str">
        <f aca="false">IF(L1132&gt;=Models!$G$5,1+COUNTIF($L$5:$L$1517,"&gt;"&amp;L1132)+COUNTIFS($L$5:$L$1517,L1132,$B$5:$B$1517,"&lt;"&amp;B1132)+COUNTIFS($L$5:$L$1517,L1132,$B$5:$B$1517,B1132,$C$5:$C$1517,"&lt;"&amp;C1132),"")</f>
        <v/>
      </c>
      <c r="R1132" s="0" t="str">
        <f aca="false">IF(M1132&gt;=Models!$G$6,1+COUNTIF($M$5:$M$1517,"&gt;"&amp;M1132)+COUNTIFS($M$5:$M$1517,M1132,$B$5:$B$1517,"&lt;"&amp;B1132)+COUNTIFS($M$5:$M$1517,M1132,$B$5:$B$1517,B1132,$C$5:$C$1517,"&lt;"&amp;C1132),"")</f>
        <v/>
      </c>
      <c r="S1132" s="0" t="str">
        <f aca="false">IF(N1132&gt;=Models!$G$7,1+COUNTIF($N$5:$N$1517,"&gt;"&amp;N1132)+COUNTIFS($N$5:$N$1517,N1132,$B$5:$B$1517,"&lt;"&amp;B1132)+COUNTIFS($N$5:$N$1517,N1132,$B$5:$B$1517,B1132,$C$5:$C$1517,"&lt;"&amp;C1132),"")</f>
        <v/>
      </c>
      <c r="T1132" s="8" t="n">
        <f aca="false">IF(O1132&gt;=Models!$G$8,1+COUNTIF($O$5:$O$1517,"&gt;"&amp;O1132)+COUNTIFS($O$5:$O$1517,O1132,$B$5:$B$1517,"&lt;"&amp;B1132)+COUNTIFS($O$5:$O$1517,O1132,$B$5:$B$1517,B1132,$C$5:$C$1517,"&lt;"&amp;C1132),"")</f>
        <v>28</v>
      </c>
      <c r="U1132" s="8" t="n">
        <f aca="false">IF($K1132=1,COUNTIFS($L$5:$L$1517,"&gt;="&amp;L1132,$K$5:$K$1517,1)/COUNTIF($L$5:$L$1517,"&gt;="&amp;L1132),0)</f>
        <v>0</v>
      </c>
      <c r="V1132" s="8" t="n">
        <f aca="false">IF($K1132=1,COUNTIFS($M$5:$M$1517,"&gt;="&amp;M1132,$K$5:$K$1517,1)/COUNTIF($M$5:$M$1517,"&gt;="&amp;M1132),0)</f>
        <v>0</v>
      </c>
      <c r="W1132" s="8" t="n">
        <f aca="false">IF($K1132=1,COUNTIFS($N$5:$N$1517,"&gt;="&amp;N1132,$K$5:$K$1517,1)/COUNTIF($N$5:$N$1517,"&gt;="&amp;N1132),0)</f>
        <v>0</v>
      </c>
      <c r="X1132" s="8" t="n">
        <f aca="false">IF($K1132=1,COUNTIFS($O$5:$O$1517,"&gt;="&amp;O1132,$K$5:$K$1517,1)/COUNTIF($O$5:$O$1517,"&gt;="&amp;O1132),0)</f>
        <v>0</v>
      </c>
      <c r="Y1132" s="8" t="n">
        <f aca="false">IF($K1132=1,COUNTIFS($P$5:$P$1517,"&gt;="&amp;P1132,$K$5:$K$1517,1)/COUNTIF($P$5:$P$1517,"&gt;="&amp;P1132),0)</f>
        <v>0</v>
      </c>
      <c r="Z1132" s="8" t="n">
        <f aca="false">(L1132-$K1132)^2</f>
        <v>0.221080516864</v>
      </c>
      <c r="AA1132" s="8" t="n">
        <f aca="false">(M1132-$K1132)^2</f>
        <v>0.008475595969</v>
      </c>
      <c r="AB1132" s="8" t="n">
        <f aca="false">(N1132-$K1132)^2</f>
        <v>0.011904773881</v>
      </c>
      <c r="AC1132" s="8" t="n">
        <f aca="false">(O1132-$K1132)^2</f>
        <v>0.011274829489</v>
      </c>
      <c r="AD1132" s="8" t="n">
        <f aca="false">(P1132-$K1132)^2</f>
        <v>0.013457392036</v>
      </c>
      <c r="AE1132" s="8" t="n">
        <f aca="false">MIN(INT(ROUND(N1132*1000000,0)/100000),9)</f>
        <v>1</v>
      </c>
      <c r="AF1132" s="8" t="n">
        <f aca="false">MIN(INT(ROUND(P1132*1000000,0)/100000),9)</f>
        <v>1</v>
      </c>
    </row>
    <row r="1133" customFormat="false" ht="15" hidden="false" customHeight="false" outlineLevel="0" collapsed="false">
      <c r="A1133" s="4" t="n">
        <v>1129</v>
      </c>
      <c r="B1133" s="4" t="n">
        <v>37</v>
      </c>
      <c r="C1133" s="4" t="n">
        <v>3</v>
      </c>
      <c r="D1133" s="11" t="n">
        <v>46143</v>
      </c>
      <c r="E1133" s="4" t="s">
        <v>202</v>
      </c>
      <c r="F1133" s="4" t="s">
        <v>209</v>
      </c>
      <c r="G1133" s="4" t="n">
        <v>4</v>
      </c>
      <c r="H1133" s="4" t="n">
        <v>4</v>
      </c>
      <c r="I1133" s="4" t="n">
        <v>0</v>
      </c>
      <c r="J1133" s="4"/>
      <c r="K1133" s="4" t="n">
        <v>0</v>
      </c>
      <c r="L1133" s="12" t="n">
        <v>0.326308</v>
      </c>
      <c r="M1133" s="12" t="n">
        <v>0.092063</v>
      </c>
      <c r="N1133" s="12" t="n">
        <v>0.060654</v>
      </c>
      <c r="O1133" s="12" t="n">
        <v>0.106183</v>
      </c>
      <c r="P1133" s="12" t="n">
        <v>0.062891</v>
      </c>
      <c r="Q1133" s="0" t="str">
        <f aca="false">IF(L1133&gt;=Models!$G$5,1+COUNTIF($L$5:$L$1517,"&gt;"&amp;L1133)+COUNTIFS($L$5:$L$1517,L1133,$B$5:$B$1517,"&lt;"&amp;B1133)+COUNTIFS($L$5:$L$1517,L1133,$B$5:$B$1517,B1133,$C$5:$C$1517,"&lt;"&amp;C1133),"")</f>
        <v/>
      </c>
      <c r="R1133" s="0" t="str">
        <f aca="false">IF(M1133&gt;=Models!$G$6,1+COUNTIF($M$5:$M$1517,"&gt;"&amp;M1133)+COUNTIFS($M$5:$M$1517,M1133,$B$5:$B$1517,"&lt;"&amp;B1133)+COUNTIFS($M$5:$M$1517,M1133,$B$5:$B$1517,B1133,$C$5:$C$1517,"&lt;"&amp;C1133),"")</f>
        <v/>
      </c>
      <c r="S1133" s="0" t="str">
        <f aca="false">IF(N1133&gt;=Models!$G$7,1+COUNTIF($N$5:$N$1517,"&gt;"&amp;N1133)+COUNTIFS($N$5:$N$1517,N1133,$B$5:$B$1517,"&lt;"&amp;B1133)+COUNTIFS($N$5:$N$1517,N1133,$B$5:$B$1517,B1133,$C$5:$C$1517,"&lt;"&amp;C1133),"")</f>
        <v/>
      </c>
      <c r="T1133" s="8" t="n">
        <f aca="false">IF(O1133&gt;=Models!$G$8,1+COUNTIF($O$5:$O$1517,"&gt;"&amp;O1133)+COUNTIFS($O$5:$O$1517,O1133,$B$5:$B$1517,"&lt;"&amp;B1133)+COUNTIFS($O$5:$O$1517,O1133,$B$5:$B$1517,B1133,$C$5:$C$1517,"&lt;"&amp;C1133),"")</f>
        <v>32</v>
      </c>
      <c r="U1133" s="8" t="n">
        <f aca="false">IF($K1133=1,COUNTIFS($L$5:$L$1517,"&gt;="&amp;L1133,$K$5:$K$1517,1)/COUNTIF($L$5:$L$1517,"&gt;="&amp;L1133),0)</f>
        <v>0</v>
      </c>
      <c r="V1133" s="8" t="n">
        <f aca="false">IF($K1133=1,COUNTIFS($M$5:$M$1517,"&gt;="&amp;M1133,$K$5:$K$1517,1)/COUNTIF($M$5:$M$1517,"&gt;="&amp;M1133),0)</f>
        <v>0</v>
      </c>
      <c r="W1133" s="8" t="n">
        <f aca="false">IF($K1133=1,COUNTIFS($N$5:$N$1517,"&gt;="&amp;N1133,$K$5:$K$1517,1)/COUNTIF($N$5:$N$1517,"&gt;="&amp;N1133),0)</f>
        <v>0</v>
      </c>
      <c r="X1133" s="8" t="n">
        <f aca="false">IF($K1133=1,COUNTIFS($O$5:$O$1517,"&gt;="&amp;O1133,$K$5:$K$1517,1)/COUNTIF($O$5:$O$1517,"&gt;="&amp;O1133),0)</f>
        <v>0</v>
      </c>
      <c r="Y1133" s="8" t="n">
        <f aca="false">IF($K1133=1,COUNTIFS($P$5:$P$1517,"&gt;="&amp;P1133,$K$5:$K$1517,1)/COUNTIF($P$5:$P$1517,"&gt;="&amp;P1133),0)</f>
        <v>0</v>
      </c>
      <c r="Z1133" s="8" t="n">
        <f aca="false">(L1133-$K1133)^2</f>
        <v>0.106476910864</v>
      </c>
      <c r="AA1133" s="8" t="n">
        <f aca="false">(M1133-$K1133)^2</f>
        <v>0.008475595969</v>
      </c>
      <c r="AB1133" s="8" t="n">
        <f aca="false">(N1133-$K1133)^2</f>
        <v>0.003678907716</v>
      </c>
      <c r="AC1133" s="8" t="n">
        <f aca="false">(O1133-$K1133)^2</f>
        <v>0.011274829489</v>
      </c>
      <c r="AD1133" s="8" t="n">
        <f aca="false">(P1133-$K1133)^2</f>
        <v>0.003955277881</v>
      </c>
      <c r="AE1133" s="8" t="n">
        <f aca="false">MIN(INT(ROUND(N1133*1000000,0)/100000),9)</f>
        <v>0</v>
      </c>
      <c r="AF1133" s="8" t="n">
        <f aca="false">MIN(INT(ROUND(P1133*1000000,0)/100000),9)</f>
        <v>0</v>
      </c>
    </row>
    <row r="1134" customFormat="false" ht="15" hidden="false" customHeight="false" outlineLevel="0" collapsed="false">
      <c r="A1134" s="4" t="n">
        <v>1130</v>
      </c>
      <c r="B1134" s="4" t="n">
        <v>44</v>
      </c>
      <c r="C1134" s="4" t="n">
        <v>3</v>
      </c>
      <c r="D1134" s="11" t="n">
        <v>46143</v>
      </c>
      <c r="E1134" s="4" t="s">
        <v>202</v>
      </c>
      <c r="F1134" s="4" t="s">
        <v>206</v>
      </c>
      <c r="G1134" s="4" t="n">
        <v>9</v>
      </c>
      <c r="H1134" s="4" t="n">
        <v>1</v>
      </c>
      <c r="I1134" s="4" t="n">
        <v>0</v>
      </c>
      <c r="J1134" s="4" t="n">
        <v>1016.4</v>
      </c>
      <c r="K1134" s="4" t="n">
        <v>0</v>
      </c>
      <c r="L1134" s="12" t="n">
        <v>0.251725</v>
      </c>
      <c r="M1134" s="12" t="n">
        <v>0.092063</v>
      </c>
      <c r="N1134" s="12" t="n">
        <v>0.074688</v>
      </c>
      <c r="O1134" s="12" t="n">
        <v>0.106183</v>
      </c>
      <c r="P1134" s="12" t="n">
        <v>0.078162</v>
      </c>
      <c r="Q1134" s="0" t="str">
        <f aca="false">IF(L1134&gt;=Models!$G$5,1+COUNTIF($L$5:$L$1517,"&gt;"&amp;L1134)+COUNTIFS($L$5:$L$1517,L1134,$B$5:$B$1517,"&lt;"&amp;B1134)+COUNTIFS($L$5:$L$1517,L1134,$B$5:$B$1517,B1134,$C$5:$C$1517,"&lt;"&amp;C1134),"")</f>
        <v/>
      </c>
      <c r="R1134" s="0" t="str">
        <f aca="false">IF(M1134&gt;=Models!$G$6,1+COUNTIF($M$5:$M$1517,"&gt;"&amp;M1134)+COUNTIFS($M$5:$M$1517,M1134,$B$5:$B$1517,"&lt;"&amp;B1134)+COUNTIFS($M$5:$M$1517,M1134,$B$5:$B$1517,B1134,$C$5:$C$1517,"&lt;"&amp;C1134),"")</f>
        <v/>
      </c>
      <c r="S1134" s="0" t="str">
        <f aca="false">IF(N1134&gt;=Models!$G$7,1+COUNTIF($N$5:$N$1517,"&gt;"&amp;N1134)+COUNTIFS($N$5:$N$1517,N1134,$B$5:$B$1517,"&lt;"&amp;B1134)+COUNTIFS($N$5:$N$1517,N1134,$B$5:$B$1517,B1134,$C$5:$C$1517,"&lt;"&amp;C1134),"")</f>
        <v/>
      </c>
      <c r="T1134" s="8" t="n">
        <f aca="false">IF(O1134&gt;=Models!$G$8,1+COUNTIF($O$5:$O$1517,"&gt;"&amp;O1134)+COUNTIFS($O$5:$O$1517,O1134,$B$5:$B$1517,"&lt;"&amp;B1134)+COUNTIFS($O$5:$O$1517,O1134,$B$5:$B$1517,B1134,$C$5:$C$1517,"&lt;"&amp;C1134),"")</f>
        <v>36</v>
      </c>
      <c r="U1134" s="8" t="n">
        <f aca="false">IF($K1134=1,COUNTIFS($L$5:$L$1517,"&gt;="&amp;L1134,$K$5:$K$1517,1)/COUNTIF($L$5:$L$1517,"&gt;="&amp;L1134),0)</f>
        <v>0</v>
      </c>
      <c r="V1134" s="8" t="n">
        <f aca="false">IF($K1134=1,COUNTIFS($M$5:$M$1517,"&gt;="&amp;M1134,$K$5:$K$1517,1)/COUNTIF($M$5:$M$1517,"&gt;="&amp;M1134),0)</f>
        <v>0</v>
      </c>
      <c r="W1134" s="8" t="n">
        <f aca="false">IF($K1134=1,COUNTIFS($N$5:$N$1517,"&gt;="&amp;N1134,$K$5:$K$1517,1)/COUNTIF($N$5:$N$1517,"&gt;="&amp;N1134),0)</f>
        <v>0</v>
      </c>
      <c r="X1134" s="8" t="n">
        <f aca="false">IF($K1134=1,COUNTIFS($O$5:$O$1517,"&gt;="&amp;O1134,$K$5:$K$1517,1)/COUNTIF($O$5:$O$1517,"&gt;="&amp;O1134),0)</f>
        <v>0</v>
      </c>
      <c r="Y1134" s="8" t="n">
        <f aca="false">IF($K1134=1,COUNTIFS($P$5:$P$1517,"&gt;="&amp;P1134,$K$5:$K$1517,1)/COUNTIF($P$5:$P$1517,"&gt;="&amp;P1134),0)</f>
        <v>0</v>
      </c>
      <c r="Z1134" s="8" t="n">
        <f aca="false">(L1134-$K1134)^2</f>
        <v>0.063365475625</v>
      </c>
      <c r="AA1134" s="8" t="n">
        <f aca="false">(M1134-$K1134)^2</f>
        <v>0.008475595969</v>
      </c>
      <c r="AB1134" s="8" t="n">
        <f aca="false">(N1134-$K1134)^2</f>
        <v>0.005578297344</v>
      </c>
      <c r="AC1134" s="8" t="n">
        <f aca="false">(O1134-$K1134)^2</f>
        <v>0.011274829489</v>
      </c>
      <c r="AD1134" s="8" t="n">
        <f aca="false">(P1134-$K1134)^2</f>
        <v>0.006109298244</v>
      </c>
      <c r="AE1134" s="8" t="n">
        <f aca="false">MIN(INT(ROUND(N1134*1000000,0)/100000),9)</f>
        <v>0</v>
      </c>
      <c r="AF1134" s="8" t="n">
        <f aca="false">MIN(INT(ROUND(P1134*1000000,0)/100000),9)</f>
        <v>0</v>
      </c>
    </row>
    <row r="1135" customFormat="false" ht="15" hidden="false" customHeight="false" outlineLevel="0" collapsed="false">
      <c r="A1135" s="4" t="n">
        <v>1131</v>
      </c>
      <c r="B1135" s="4" t="n">
        <v>50</v>
      </c>
      <c r="C1135" s="4" t="n">
        <v>3</v>
      </c>
      <c r="D1135" s="11" t="n">
        <v>46143</v>
      </c>
      <c r="E1135" s="4" t="s">
        <v>203</v>
      </c>
      <c r="F1135" s="4" t="s">
        <v>208</v>
      </c>
      <c r="G1135" s="4" t="n">
        <v>7</v>
      </c>
      <c r="H1135" s="4" t="n">
        <v>6</v>
      </c>
      <c r="I1135" s="4" t="n">
        <v>0</v>
      </c>
      <c r="J1135" s="4" t="n">
        <v>318</v>
      </c>
      <c r="K1135" s="4" t="n">
        <v>0</v>
      </c>
      <c r="L1135" s="12" t="n">
        <v>0.866157</v>
      </c>
      <c r="M1135" s="12" t="n">
        <v>0.092063</v>
      </c>
      <c r="N1135" s="12" t="n">
        <v>0.094893</v>
      </c>
      <c r="O1135" s="12" t="n">
        <v>0.106183</v>
      </c>
      <c r="P1135" s="12" t="n">
        <v>0.100324</v>
      </c>
      <c r="Q1135" s="0" t="str">
        <f aca="false">IF(L1135&gt;=Models!$G$5,1+COUNTIF($L$5:$L$1517,"&gt;"&amp;L1135)+COUNTIFS($L$5:$L$1517,L1135,$B$5:$B$1517,"&lt;"&amp;B1135)+COUNTIFS($L$5:$L$1517,L1135,$B$5:$B$1517,B1135,$C$5:$C$1517,"&lt;"&amp;C1135),"")</f>
        <v/>
      </c>
      <c r="R1135" s="0" t="str">
        <f aca="false">IF(M1135&gt;=Models!$G$6,1+COUNTIF($M$5:$M$1517,"&gt;"&amp;M1135)+COUNTIFS($M$5:$M$1517,M1135,$B$5:$B$1517,"&lt;"&amp;B1135)+COUNTIFS($M$5:$M$1517,M1135,$B$5:$B$1517,B1135,$C$5:$C$1517,"&lt;"&amp;C1135),"")</f>
        <v/>
      </c>
      <c r="S1135" s="0" t="str">
        <f aca="false">IF(N1135&gt;=Models!$G$7,1+COUNTIF($N$5:$N$1517,"&gt;"&amp;N1135)+COUNTIFS($N$5:$N$1517,N1135,$B$5:$B$1517,"&lt;"&amp;B1135)+COUNTIFS($N$5:$N$1517,N1135,$B$5:$B$1517,B1135,$C$5:$C$1517,"&lt;"&amp;C1135),"")</f>
        <v/>
      </c>
      <c r="T1135" s="8" t="n">
        <f aca="false">IF(O1135&gt;=Models!$G$8,1+COUNTIF($O$5:$O$1517,"&gt;"&amp;O1135)+COUNTIFS($O$5:$O$1517,O1135,$B$5:$B$1517,"&lt;"&amp;B1135)+COUNTIFS($O$5:$O$1517,O1135,$B$5:$B$1517,B1135,$C$5:$C$1517,"&lt;"&amp;C1135),"")</f>
        <v>40</v>
      </c>
      <c r="U1135" s="8" t="n">
        <f aca="false">IF($K1135=1,COUNTIFS($L$5:$L$1517,"&gt;="&amp;L1135,$K$5:$K$1517,1)/COUNTIF($L$5:$L$1517,"&gt;="&amp;L1135),0)</f>
        <v>0</v>
      </c>
      <c r="V1135" s="8" t="n">
        <f aca="false">IF($K1135=1,COUNTIFS($M$5:$M$1517,"&gt;="&amp;M1135,$K$5:$K$1517,1)/COUNTIF($M$5:$M$1517,"&gt;="&amp;M1135),0)</f>
        <v>0</v>
      </c>
      <c r="W1135" s="8" t="n">
        <f aca="false">IF($K1135=1,COUNTIFS($N$5:$N$1517,"&gt;="&amp;N1135,$K$5:$K$1517,1)/COUNTIF($N$5:$N$1517,"&gt;="&amp;N1135),0)</f>
        <v>0</v>
      </c>
      <c r="X1135" s="8" t="n">
        <f aca="false">IF($K1135=1,COUNTIFS($O$5:$O$1517,"&gt;="&amp;O1135,$K$5:$K$1517,1)/COUNTIF($O$5:$O$1517,"&gt;="&amp;O1135),0)</f>
        <v>0</v>
      </c>
      <c r="Y1135" s="8" t="n">
        <f aca="false">IF($K1135=1,COUNTIFS($P$5:$P$1517,"&gt;="&amp;P1135,$K$5:$K$1517,1)/COUNTIF($P$5:$P$1517,"&gt;="&amp;P1135),0)</f>
        <v>0</v>
      </c>
      <c r="Z1135" s="8" t="n">
        <f aca="false">(L1135-$K1135)^2</f>
        <v>0.750227948649</v>
      </c>
      <c r="AA1135" s="8" t="n">
        <f aca="false">(M1135-$K1135)^2</f>
        <v>0.008475595969</v>
      </c>
      <c r="AB1135" s="8" t="n">
        <f aca="false">(N1135-$K1135)^2</f>
        <v>0.009004681449</v>
      </c>
      <c r="AC1135" s="8" t="n">
        <f aca="false">(O1135-$K1135)^2</f>
        <v>0.011274829489</v>
      </c>
      <c r="AD1135" s="8" t="n">
        <f aca="false">(P1135-$K1135)^2</f>
        <v>0.010064904976</v>
      </c>
      <c r="AE1135" s="8" t="n">
        <f aca="false">MIN(INT(ROUND(N1135*1000000,0)/100000),9)</f>
        <v>0</v>
      </c>
      <c r="AF1135" s="8" t="n">
        <f aca="false">MIN(INT(ROUND(P1135*1000000,0)/100000),9)</f>
        <v>1</v>
      </c>
    </row>
    <row r="1136" customFormat="false" ht="15" hidden="false" customHeight="false" outlineLevel="0" collapsed="false">
      <c r="A1136" s="4" t="n">
        <v>1132</v>
      </c>
      <c r="B1136" s="4" t="n">
        <v>56</v>
      </c>
      <c r="C1136" s="4" t="n">
        <v>3</v>
      </c>
      <c r="D1136" s="11" t="n">
        <v>46143</v>
      </c>
      <c r="E1136" s="4" t="s">
        <v>203</v>
      </c>
      <c r="F1136" s="4" t="s">
        <v>208</v>
      </c>
      <c r="G1136" s="4" t="n">
        <v>5</v>
      </c>
      <c r="H1136" s="4" t="n">
        <v>0</v>
      </c>
      <c r="I1136" s="4" t="n">
        <v>0</v>
      </c>
      <c r="J1136" s="4" t="n">
        <v>291.9</v>
      </c>
      <c r="K1136" s="4" t="n">
        <v>0</v>
      </c>
      <c r="L1136" s="12" t="n">
        <v>0.939729</v>
      </c>
      <c r="M1136" s="12" t="n">
        <v>0.092063</v>
      </c>
      <c r="N1136" s="12" t="n">
        <v>0.106884</v>
      </c>
      <c r="O1136" s="12" t="n">
        <v>0.106183</v>
      </c>
      <c r="P1136" s="12" t="n">
        <v>0.113547</v>
      </c>
      <c r="Q1136" s="0" t="str">
        <f aca="false">IF(L1136&gt;=Models!$G$5,1+COUNTIF($L$5:$L$1517,"&gt;"&amp;L1136)+COUNTIFS($L$5:$L$1517,L1136,$B$5:$B$1517,"&lt;"&amp;B1136)+COUNTIFS($L$5:$L$1517,L1136,$B$5:$B$1517,B1136,$C$5:$C$1517,"&lt;"&amp;C1136),"")</f>
        <v/>
      </c>
      <c r="R1136" s="0" t="str">
        <f aca="false">IF(M1136&gt;=Models!$G$6,1+COUNTIF($M$5:$M$1517,"&gt;"&amp;M1136)+COUNTIFS($M$5:$M$1517,M1136,$B$5:$B$1517,"&lt;"&amp;B1136)+COUNTIFS($M$5:$M$1517,M1136,$B$5:$B$1517,B1136,$C$5:$C$1517,"&lt;"&amp;C1136),"")</f>
        <v/>
      </c>
      <c r="S1136" s="0" t="str">
        <f aca="false">IF(N1136&gt;=Models!$G$7,1+COUNTIF($N$5:$N$1517,"&gt;"&amp;N1136)+COUNTIFS($N$5:$N$1517,N1136,$B$5:$B$1517,"&lt;"&amp;B1136)+COUNTIFS($N$5:$N$1517,N1136,$B$5:$B$1517,B1136,$C$5:$C$1517,"&lt;"&amp;C1136),"")</f>
        <v/>
      </c>
      <c r="T1136" s="8" t="n">
        <f aca="false">IF(O1136&gt;=Models!$G$8,1+COUNTIF($O$5:$O$1517,"&gt;"&amp;O1136)+COUNTIFS($O$5:$O$1517,O1136,$B$5:$B$1517,"&lt;"&amp;B1136)+COUNTIFS($O$5:$O$1517,O1136,$B$5:$B$1517,B1136,$C$5:$C$1517,"&lt;"&amp;C1136),"")</f>
        <v>44</v>
      </c>
      <c r="U1136" s="8" t="n">
        <f aca="false">IF($K1136=1,COUNTIFS($L$5:$L$1517,"&gt;="&amp;L1136,$K$5:$K$1517,1)/COUNTIF($L$5:$L$1517,"&gt;="&amp;L1136),0)</f>
        <v>0</v>
      </c>
      <c r="V1136" s="8" t="n">
        <f aca="false">IF($K1136=1,COUNTIFS($M$5:$M$1517,"&gt;="&amp;M1136,$K$5:$K$1517,1)/COUNTIF($M$5:$M$1517,"&gt;="&amp;M1136),0)</f>
        <v>0</v>
      </c>
      <c r="W1136" s="8" t="n">
        <f aca="false">IF($K1136=1,COUNTIFS($N$5:$N$1517,"&gt;="&amp;N1136,$K$5:$K$1517,1)/COUNTIF($N$5:$N$1517,"&gt;="&amp;N1136),0)</f>
        <v>0</v>
      </c>
      <c r="X1136" s="8" t="n">
        <f aca="false">IF($K1136=1,COUNTIFS($O$5:$O$1517,"&gt;="&amp;O1136,$K$5:$K$1517,1)/COUNTIF($O$5:$O$1517,"&gt;="&amp;O1136),0)</f>
        <v>0</v>
      </c>
      <c r="Y1136" s="8" t="n">
        <f aca="false">IF($K1136=1,COUNTIFS($P$5:$P$1517,"&gt;="&amp;P1136,$K$5:$K$1517,1)/COUNTIF($P$5:$P$1517,"&gt;="&amp;P1136),0)</f>
        <v>0</v>
      </c>
      <c r="Z1136" s="8" t="n">
        <f aca="false">(L1136-$K1136)^2</f>
        <v>0.883090593441</v>
      </c>
      <c r="AA1136" s="8" t="n">
        <f aca="false">(M1136-$K1136)^2</f>
        <v>0.008475595969</v>
      </c>
      <c r="AB1136" s="8" t="n">
        <f aca="false">(N1136-$K1136)^2</f>
        <v>0.011424189456</v>
      </c>
      <c r="AC1136" s="8" t="n">
        <f aca="false">(O1136-$K1136)^2</f>
        <v>0.011274829489</v>
      </c>
      <c r="AD1136" s="8" t="n">
        <f aca="false">(P1136-$K1136)^2</f>
        <v>0.012892921209</v>
      </c>
      <c r="AE1136" s="8" t="n">
        <f aca="false">MIN(INT(ROUND(N1136*1000000,0)/100000),9)</f>
        <v>1</v>
      </c>
      <c r="AF1136" s="8" t="n">
        <f aca="false">MIN(INT(ROUND(P1136*1000000,0)/100000),9)</f>
        <v>1</v>
      </c>
    </row>
    <row r="1137" customFormat="false" ht="15" hidden="false" customHeight="false" outlineLevel="0" collapsed="false">
      <c r="A1137" s="4" t="n">
        <v>1133</v>
      </c>
      <c r="B1137" s="4" t="n">
        <v>61</v>
      </c>
      <c r="C1137" s="4" t="n">
        <v>3</v>
      </c>
      <c r="D1137" s="11" t="n">
        <v>46143</v>
      </c>
      <c r="E1137" s="4" t="s">
        <v>203</v>
      </c>
      <c r="F1137" s="4" t="s">
        <v>207</v>
      </c>
      <c r="G1137" s="4" t="n">
        <v>7</v>
      </c>
      <c r="H1137" s="4" t="n">
        <v>0</v>
      </c>
      <c r="I1137" s="4" t="n">
        <v>0</v>
      </c>
      <c r="J1137" s="4" t="n">
        <v>354</v>
      </c>
      <c r="K1137" s="4" t="n">
        <v>0</v>
      </c>
      <c r="L1137" s="12" t="n">
        <v>0.186894</v>
      </c>
      <c r="M1137" s="12" t="n">
        <v>0.092063</v>
      </c>
      <c r="N1137" s="12" t="n">
        <v>0.090581</v>
      </c>
      <c r="O1137" s="12" t="n">
        <v>0.106183</v>
      </c>
      <c r="P1137" s="12" t="n">
        <v>0.09558</v>
      </c>
      <c r="Q1137" s="0" t="str">
        <f aca="false">IF(L1137&gt;=Models!$G$5,1+COUNTIF($L$5:$L$1517,"&gt;"&amp;L1137)+COUNTIFS($L$5:$L$1517,L1137,$B$5:$B$1517,"&lt;"&amp;B1137)+COUNTIFS($L$5:$L$1517,L1137,$B$5:$B$1517,B1137,$C$5:$C$1517,"&lt;"&amp;C1137),"")</f>
        <v/>
      </c>
      <c r="R1137" s="0" t="str">
        <f aca="false">IF(M1137&gt;=Models!$G$6,1+COUNTIF($M$5:$M$1517,"&gt;"&amp;M1137)+COUNTIFS($M$5:$M$1517,M1137,$B$5:$B$1517,"&lt;"&amp;B1137)+COUNTIFS($M$5:$M$1517,M1137,$B$5:$B$1517,B1137,$C$5:$C$1517,"&lt;"&amp;C1137),"")</f>
        <v/>
      </c>
      <c r="S1137" s="0" t="str">
        <f aca="false">IF(N1137&gt;=Models!$G$7,1+COUNTIF($N$5:$N$1517,"&gt;"&amp;N1137)+COUNTIFS($N$5:$N$1517,N1137,$B$5:$B$1517,"&lt;"&amp;B1137)+COUNTIFS($N$5:$N$1517,N1137,$B$5:$B$1517,B1137,$C$5:$C$1517,"&lt;"&amp;C1137),"")</f>
        <v/>
      </c>
      <c r="T1137" s="8" t="n">
        <f aca="false">IF(O1137&gt;=Models!$G$8,1+COUNTIF($O$5:$O$1517,"&gt;"&amp;O1137)+COUNTIFS($O$5:$O$1517,O1137,$B$5:$B$1517,"&lt;"&amp;B1137)+COUNTIFS($O$5:$O$1517,O1137,$B$5:$B$1517,B1137,$C$5:$C$1517,"&lt;"&amp;C1137),"")</f>
        <v>51</v>
      </c>
      <c r="U1137" s="8" t="n">
        <f aca="false">IF($K1137=1,COUNTIFS($L$5:$L$1517,"&gt;="&amp;L1137,$K$5:$K$1517,1)/COUNTIF($L$5:$L$1517,"&gt;="&amp;L1137),0)</f>
        <v>0</v>
      </c>
      <c r="V1137" s="8" t="n">
        <f aca="false">IF($K1137=1,COUNTIFS($M$5:$M$1517,"&gt;="&amp;M1137,$K$5:$K$1517,1)/COUNTIF($M$5:$M$1517,"&gt;="&amp;M1137),0)</f>
        <v>0</v>
      </c>
      <c r="W1137" s="8" t="n">
        <f aca="false">IF($K1137=1,COUNTIFS($N$5:$N$1517,"&gt;="&amp;N1137,$K$5:$K$1517,1)/COUNTIF($N$5:$N$1517,"&gt;="&amp;N1137),0)</f>
        <v>0</v>
      </c>
      <c r="X1137" s="8" t="n">
        <f aca="false">IF($K1137=1,COUNTIFS($O$5:$O$1517,"&gt;="&amp;O1137,$K$5:$K$1517,1)/COUNTIF($O$5:$O$1517,"&gt;="&amp;O1137),0)</f>
        <v>0</v>
      </c>
      <c r="Y1137" s="8" t="n">
        <f aca="false">IF($K1137=1,COUNTIFS($P$5:$P$1517,"&gt;="&amp;P1137,$K$5:$K$1517,1)/COUNTIF($P$5:$P$1517,"&gt;="&amp;P1137),0)</f>
        <v>0</v>
      </c>
      <c r="Z1137" s="8" t="n">
        <f aca="false">(L1137-$K1137)^2</f>
        <v>0.034929367236</v>
      </c>
      <c r="AA1137" s="8" t="n">
        <f aca="false">(M1137-$K1137)^2</f>
        <v>0.008475595969</v>
      </c>
      <c r="AB1137" s="8" t="n">
        <f aca="false">(N1137-$K1137)^2</f>
        <v>0.008204917561</v>
      </c>
      <c r="AC1137" s="8" t="n">
        <f aca="false">(O1137-$K1137)^2</f>
        <v>0.011274829489</v>
      </c>
      <c r="AD1137" s="8" t="n">
        <f aca="false">(P1137-$K1137)^2</f>
        <v>0.0091355364</v>
      </c>
      <c r="AE1137" s="8" t="n">
        <f aca="false">MIN(INT(ROUND(N1137*1000000,0)/100000),9)</f>
        <v>0</v>
      </c>
      <c r="AF1137" s="8" t="n">
        <f aca="false">MIN(INT(ROUND(P1137*1000000,0)/100000),9)</f>
        <v>0</v>
      </c>
    </row>
    <row r="1138" customFormat="false" ht="15" hidden="false" customHeight="false" outlineLevel="0" collapsed="false">
      <c r="A1138" s="4" t="n">
        <v>1134</v>
      </c>
      <c r="B1138" s="4" t="n">
        <v>62</v>
      </c>
      <c r="C1138" s="4" t="n">
        <v>3</v>
      </c>
      <c r="D1138" s="11" t="n">
        <v>46143</v>
      </c>
      <c r="E1138" s="4" t="s">
        <v>204</v>
      </c>
      <c r="F1138" s="4" t="s">
        <v>209</v>
      </c>
      <c r="G1138" s="4" t="n">
        <v>5</v>
      </c>
      <c r="H1138" s="4" t="n">
        <v>0</v>
      </c>
      <c r="I1138" s="4" t="n">
        <v>0</v>
      </c>
      <c r="J1138" s="4" t="n">
        <v>69</v>
      </c>
      <c r="K1138" s="4" t="n">
        <v>0</v>
      </c>
      <c r="L1138" s="12" t="n">
        <v>0.605157</v>
      </c>
      <c r="M1138" s="12" t="n">
        <v>0.092063</v>
      </c>
      <c r="N1138" s="12" t="n">
        <v>0.108126</v>
      </c>
      <c r="O1138" s="12" t="n">
        <v>0.106183</v>
      </c>
      <c r="P1138" s="12" t="n">
        <v>0.114919</v>
      </c>
      <c r="Q1138" s="0" t="str">
        <f aca="false">IF(L1138&gt;=Models!$G$5,1+COUNTIF($L$5:$L$1517,"&gt;"&amp;L1138)+COUNTIFS($L$5:$L$1517,L1138,$B$5:$B$1517,"&lt;"&amp;B1138)+COUNTIFS($L$5:$L$1517,L1138,$B$5:$B$1517,B1138,$C$5:$C$1517,"&lt;"&amp;C1138),"")</f>
        <v/>
      </c>
      <c r="R1138" s="0" t="str">
        <f aca="false">IF(M1138&gt;=Models!$G$6,1+COUNTIF($M$5:$M$1517,"&gt;"&amp;M1138)+COUNTIFS($M$5:$M$1517,M1138,$B$5:$B$1517,"&lt;"&amp;B1138)+COUNTIFS($M$5:$M$1517,M1138,$B$5:$B$1517,B1138,$C$5:$C$1517,"&lt;"&amp;C1138),"")</f>
        <v/>
      </c>
      <c r="S1138" s="0" t="str">
        <f aca="false">IF(N1138&gt;=Models!$G$7,1+COUNTIF($N$5:$N$1517,"&gt;"&amp;N1138)+COUNTIFS($N$5:$N$1517,N1138,$B$5:$B$1517,"&lt;"&amp;B1138)+COUNTIFS($N$5:$N$1517,N1138,$B$5:$B$1517,B1138,$C$5:$C$1517,"&lt;"&amp;C1138),"")</f>
        <v/>
      </c>
      <c r="T1138" s="8" t="n">
        <f aca="false">IF(O1138&gt;=Models!$G$8,1+COUNTIF($O$5:$O$1517,"&gt;"&amp;O1138)+COUNTIFS($O$5:$O$1517,O1138,$B$5:$B$1517,"&lt;"&amp;B1138)+COUNTIFS($O$5:$O$1517,O1138,$B$5:$B$1517,B1138,$C$5:$C$1517,"&lt;"&amp;C1138),"")</f>
        <v>55</v>
      </c>
      <c r="U1138" s="8" t="n">
        <f aca="false">IF($K1138=1,COUNTIFS($L$5:$L$1517,"&gt;="&amp;L1138,$K$5:$K$1517,1)/COUNTIF($L$5:$L$1517,"&gt;="&amp;L1138),0)</f>
        <v>0</v>
      </c>
      <c r="V1138" s="8" t="n">
        <f aca="false">IF($K1138=1,COUNTIFS($M$5:$M$1517,"&gt;="&amp;M1138,$K$5:$K$1517,1)/COUNTIF($M$5:$M$1517,"&gt;="&amp;M1138),0)</f>
        <v>0</v>
      </c>
      <c r="W1138" s="8" t="n">
        <f aca="false">IF($K1138=1,COUNTIFS($N$5:$N$1517,"&gt;="&amp;N1138,$K$5:$K$1517,1)/COUNTIF($N$5:$N$1517,"&gt;="&amp;N1138),0)</f>
        <v>0</v>
      </c>
      <c r="X1138" s="8" t="n">
        <f aca="false">IF($K1138=1,COUNTIFS($O$5:$O$1517,"&gt;="&amp;O1138,$K$5:$K$1517,1)/COUNTIF($O$5:$O$1517,"&gt;="&amp;O1138),0)</f>
        <v>0</v>
      </c>
      <c r="Y1138" s="8" t="n">
        <f aca="false">IF($K1138=1,COUNTIFS($P$5:$P$1517,"&gt;="&amp;P1138,$K$5:$K$1517,1)/COUNTIF($P$5:$P$1517,"&gt;="&amp;P1138),0)</f>
        <v>0</v>
      </c>
      <c r="Z1138" s="8" t="n">
        <f aca="false">(L1138-$K1138)^2</f>
        <v>0.366214994649</v>
      </c>
      <c r="AA1138" s="8" t="n">
        <f aca="false">(M1138-$K1138)^2</f>
        <v>0.008475595969</v>
      </c>
      <c r="AB1138" s="8" t="n">
        <f aca="false">(N1138-$K1138)^2</f>
        <v>0.011691231876</v>
      </c>
      <c r="AC1138" s="8" t="n">
        <f aca="false">(O1138-$K1138)^2</f>
        <v>0.011274829489</v>
      </c>
      <c r="AD1138" s="8" t="n">
        <f aca="false">(P1138-$K1138)^2</f>
        <v>0.013206376561</v>
      </c>
      <c r="AE1138" s="8" t="n">
        <f aca="false">MIN(INT(ROUND(N1138*1000000,0)/100000),9)</f>
        <v>1</v>
      </c>
      <c r="AF1138" s="8" t="n">
        <f aca="false">MIN(INT(ROUND(P1138*1000000,0)/100000),9)</f>
        <v>1</v>
      </c>
    </row>
    <row r="1139" customFormat="false" ht="15" hidden="false" customHeight="false" outlineLevel="0" collapsed="false">
      <c r="A1139" s="4" t="n">
        <v>1135</v>
      </c>
      <c r="B1139" s="4" t="n">
        <v>70</v>
      </c>
      <c r="C1139" s="4" t="n">
        <v>3</v>
      </c>
      <c r="D1139" s="11" t="n">
        <v>46143</v>
      </c>
      <c r="E1139" s="4" t="s">
        <v>203</v>
      </c>
      <c r="F1139" s="4" t="s">
        <v>207</v>
      </c>
      <c r="G1139" s="4" t="n">
        <v>7</v>
      </c>
      <c r="H1139" s="4" t="n">
        <v>2</v>
      </c>
      <c r="I1139" s="4" t="n">
        <v>0</v>
      </c>
      <c r="J1139" s="4" t="n">
        <v>390</v>
      </c>
      <c r="K1139" s="4" t="n">
        <v>0</v>
      </c>
      <c r="L1139" s="12" t="n">
        <v>0.081074</v>
      </c>
      <c r="M1139" s="12" t="n">
        <v>0.092063</v>
      </c>
      <c r="N1139" s="12" t="n">
        <v>0.091766</v>
      </c>
      <c r="O1139" s="12" t="n">
        <v>0.106183</v>
      </c>
      <c r="P1139" s="12" t="n">
        <v>0.096883</v>
      </c>
      <c r="Q1139" s="0" t="str">
        <f aca="false">IF(L1139&gt;=Models!$G$5,1+COUNTIF($L$5:$L$1517,"&gt;"&amp;L1139)+COUNTIFS($L$5:$L$1517,L1139,$B$5:$B$1517,"&lt;"&amp;B1139)+COUNTIFS($L$5:$L$1517,L1139,$B$5:$B$1517,B1139,$C$5:$C$1517,"&lt;"&amp;C1139),"")</f>
        <v/>
      </c>
      <c r="R1139" s="0" t="str">
        <f aca="false">IF(M1139&gt;=Models!$G$6,1+COUNTIF($M$5:$M$1517,"&gt;"&amp;M1139)+COUNTIFS($M$5:$M$1517,M1139,$B$5:$B$1517,"&lt;"&amp;B1139)+COUNTIFS($M$5:$M$1517,M1139,$B$5:$B$1517,B1139,$C$5:$C$1517,"&lt;"&amp;C1139),"")</f>
        <v/>
      </c>
      <c r="S1139" s="0" t="str">
        <f aca="false">IF(N1139&gt;=Models!$G$7,1+COUNTIF($N$5:$N$1517,"&gt;"&amp;N1139)+COUNTIFS($N$5:$N$1517,N1139,$B$5:$B$1517,"&lt;"&amp;B1139)+COUNTIFS($N$5:$N$1517,N1139,$B$5:$B$1517,B1139,$C$5:$C$1517,"&lt;"&amp;C1139),"")</f>
        <v/>
      </c>
      <c r="T1139" s="8" t="n">
        <f aca="false">IF(O1139&gt;=Models!$G$8,1+COUNTIF($O$5:$O$1517,"&gt;"&amp;O1139)+COUNTIFS($O$5:$O$1517,O1139,$B$5:$B$1517,"&lt;"&amp;B1139)+COUNTIFS($O$5:$O$1517,O1139,$B$5:$B$1517,B1139,$C$5:$C$1517,"&lt;"&amp;C1139),"")</f>
        <v>59</v>
      </c>
      <c r="U1139" s="8" t="n">
        <f aca="false">IF($K1139=1,COUNTIFS($L$5:$L$1517,"&gt;="&amp;L1139,$K$5:$K$1517,1)/COUNTIF($L$5:$L$1517,"&gt;="&amp;L1139),0)</f>
        <v>0</v>
      </c>
      <c r="V1139" s="8" t="n">
        <f aca="false">IF($K1139=1,COUNTIFS($M$5:$M$1517,"&gt;="&amp;M1139,$K$5:$K$1517,1)/COUNTIF($M$5:$M$1517,"&gt;="&amp;M1139),0)</f>
        <v>0</v>
      </c>
      <c r="W1139" s="8" t="n">
        <f aca="false">IF($K1139=1,COUNTIFS($N$5:$N$1517,"&gt;="&amp;N1139,$K$5:$K$1517,1)/COUNTIF($N$5:$N$1517,"&gt;="&amp;N1139),0)</f>
        <v>0</v>
      </c>
      <c r="X1139" s="8" t="n">
        <f aca="false">IF($K1139=1,COUNTIFS($O$5:$O$1517,"&gt;="&amp;O1139,$K$5:$K$1517,1)/COUNTIF($O$5:$O$1517,"&gt;="&amp;O1139),0)</f>
        <v>0</v>
      </c>
      <c r="Y1139" s="8" t="n">
        <f aca="false">IF($K1139=1,COUNTIFS($P$5:$P$1517,"&gt;="&amp;P1139,$K$5:$K$1517,1)/COUNTIF($P$5:$P$1517,"&gt;="&amp;P1139),0)</f>
        <v>0</v>
      </c>
      <c r="Z1139" s="8" t="n">
        <f aca="false">(L1139-$K1139)^2</f>
        <v>0.006572993476</v>
      </c>
      <c r="AA1139" s="8" t="n">
        <f aca="false">(M1139-$K1139)^2</f>
        <v>0.008475595969</v>
      </c>
      <c r="AB1139" s="8" t="n">
        <f aca="false">(N1139-$K1139)^2</f>
        <v>0.008420998756</v>
      </c>
      <c r="AC1139" s="8" t="n">
        <f aca="false">(O1139-$K1139)^2</f>
        <v>0.011274829489</v>
      </c>
      <c r="AD1139" s="8" t="n">
        <f aca="false">(P1139-$K1139)^2</f>
        <v>0.009386315689</v>
      </c>
      <c r="AE1139" s="8" t="n">
        <f aca="false">MIN(INT(ROUND(N1139*1000000,0)/100000),9)</f>
        <v>0</v>
      </c>
      <c r="AF1139" s="8" t="n">
        <f aca="false">MIN(INT(ROUND(P1139*1000000,0)/100000),9)</f>
        <v>0</v>
      </c>
    </row>
    <row r="1140" customFormat="false" ht="15" hidden="false" customHeight="false" outlineLevel="0" collapsed="false">
      <c r="A1140" s="4" t="n">
        <v>1136</v>
      </c>
      <c r="B1140" s="4" t="n">
        <v>80</v>
      </c>
      <c r="C1140" s="4" t="n">
        <v>3</v>
      </c>
      <c r="D1140" s="11" t="n">
        <v>46143</v>
      </c>
      <c r="E1140" s="4" t="s">
        <v>203</v>
      </c>
      <c r="F1140" s="4" t="s">
        <v>208</v>
      </c>
      <c r="G1140" s="4" t="n">
        <v>0</v>
      </c>
      <c r="H1140" s="4" t="n">
        <v>33</v>
      </c>
      <c r="I1140" s="4" t="n">
        <v>0</v>
      </c>
      <c r="J1140" s="4" t="n">
        <v>277.2</v>
      </c>
      <c r="K1140" s="4" t="n">
        <v>0</v>
      </c>
      <c r="L1140" s="12" t="n">
        <v>0.557999</v>
      </c>
      <c r="M1140" s="12" t="n">
        <v>0.184211</v>
      </c>
      <c r="N1140" s="12" t="n">
        <v>0.197542</v>
      </c>
      <c r="O1140" s="12" t="n">
        <v>0.106183</v>
      </c>
      <c r="P1140" s="12" t="n">
        <v>0.214257</v>
      </c>
      <c r="Q1140" s="0" t="str">
        <f aca="false">IF(L1140&gt;=Models!$G$5,1+COUNTIF($L$5:$L$1517,"&gt;"&amp;L1140)+COUNTIFS($L$5:$L$1517,L1140,$B$5:$B$1517,"&lt;"&amp;B1140)+COUNTIFS($L$5:$L$1517,L1140,$B$5:$B$1517,B1140,$C$5:$C$1517,"&lt;"&amp;C1140),"")</f>
        <v/>
      </c>
      <c r="R1140" s="8" t="n">
        <f aca="false">IF(M1140&gt;=Models!$G$6,1+COUNTIF($M$5:$M$1517,"&gt;"&amp;M1140)+COUNTIFS($M$5:$M$1517,M1140,$B$5:$B$1517,"&lt;"&amp;B1140)+COUNTIFS($M$5:$M$1517,M1140,$B$5:$B$1517,B1140,$C$5:$C$1517,"&lt;"&amp;C1140),"")</f>
        <v>4</v>
      </c>
      <c r="S1140" s="0" t="str">
        <f aca="false">IF(N1140&gt;=Models!$G$7,1+COUNTIF($N$5:$N$1517,"&gt;"&amp;N1140)+COUNTIFS($N$5:$N$1517,N1140,$B$5:$B$1517,"&lt;"&amp;B1140)+COUNTIFS($N$5:$N$1517,N1140,$B$5:$B$1517,B1140,$C$5:$C$1517,"&lt;"&amp;C1140),"")</f>
        <v/>
      </c>
      <c r="T1140" s="8" t="n">
        <f aca="false">IF(O1140&gt;=Models!$G$8,1+COUNTIF($O$5:$O$1517,"&gt;"&amp;O1140)+COUNTIFS($O$5:$O$1517,O1140,$B$5:$B$1517,"&lt;"&amp;B1140)+COUNTIFS($O$5:$O$1517,O1140,$B$5:$B$1517,B1140,$C$5:$C$1517,"&lt;"&amp;C1140),"")</f>
        <v>63</v>
      </c>
      <c r="U1140" s="8" t="n">
        <f aca="false">IF($K1140=1,COUNTIFS($L$5:$L$1517,"&gt;="&amp;L1140,$K$5:$K$1517,1)/COUNTIF($L$5:$L$1517,"&gt;="&amp;L1140),0)</f>
        <v>0</v>
      </c>
      <c r="V1140" s="8" t="n">
        <f aca="false">IF($K1140=1,COUNTIFS($M$5:$M$1517,"&gt;="&amp;M1140,$K$5:$K$1517,1)/COUNTIF($M$5:$M$1517,"&gt;="&amp;M1140),0)</f>
        <v>0</v>
      </c>
      <c r="W1140" s="8" t="n">
        <f aca="false">IF($K1140=1,COUNTIFS($N$5:$N$1517,"&gt;="&amp;N1140,$K$5:$K$1517,1)/COUNTIF($N$5:$N$1517,"&gt;="&amp;N1140),0)</f>
        <v>0</v>
      </c>
      <c r="X1140" s="8" t="n">
        <f aca="false">IF($K1140=1,COUNTIFS($O$5:$O$1517,"&gt;="&amp;O1140,$K$5:$K$1517,1)/COUNTIF($O$5:$O$1517,"&gt;="&amp;O1140),0)</f>
        <v>0</v>
      </c>
      <c r="Y1140" s="8" t="n">
        <f aca="false">IF($K1140=1,COUNTIFS($P$5:$P$1517,"&gt;="&amp;P1140,$K$5:$K$1517,1)/COUNTIF($P$5:$P$1517,"&gt;="&amp;P1140),0)</f>
        <v>0</v>
      </c>
      <c r="Z1140" s="8" t="n">
        <f aca="false">(L1140-$K1140)^2</f>
        <v>0.311362884001</v>
      </c>
      <c r="AA1140" s="8" t="n">
        <f aca="false">(M1140-$K1140)^2</f>
        <v>0.033933692521</v>
      </c>
      <c r="AB1140" s="8" t="n">
        <f aca="false">(N1140-$K1140)^2</f>
        <v>0.039022841764</v>
      </c>
      <c r="AC1140" s="8" t="n">
        <f aca="false">(O1140-$K1140)^2</f>
        <v>0.011274829489</v>
      </c>
      <c r="AD1140" s="8" t="n">
        <f aca="false">(P1140-$K1140)^2</f>
        <v>0.045906062049</v>
      </c>
      <c r="AE1140" s="8" t="n">
        <f aca="false">MIN(INT(ROUND(N1140*1000000,0)/100000),9)</f>
        <v>1</v>
      </c>
      <c r="AF1140" s="8" t="n">
        <f aca="false">MIN(INT(ROUND(P1140*1000000,0)/100000),9)</f>
        <v>2</v>
      </c>
    </row>
    <row r="1141" customFormat="false" ht="15" hidden="false" customHeight="false" outlineLevel="0" collapsed="false">
      <c r="A1141" s="4" t="n">
        <v>1137</v>
      </c>
      <c r="B1141" s="4" t="n">
        <v>86</v>
      </c>
      <c r="C1141" s="4" t="n">
        <v>3</v>
      </c>
      <c r="D1141" s="11" t="n">
        <v>46143</v>
      </c>
      <c r="E1141" s="4" t="s">
        <v>201</v>
      </c>
      <c r="F1141" s="4" t="s">
        <v>206</v>
      </c>
      <c r="G1141" s="4" t="n">
        <v>20</v>
      </c>
      <c r="H1141" s="4" t="n">
        <v>2</v>
      </c>
      <c r="I1141" s="4" t="n">
        <v>0</v>
      </c>
      <c r="J1141" s="4" t="n">
        <v>21440.4</v>
      </c>
      <c r="K1141" s="4" t="n">
        <v>0</v>
      </c>
      <c r="L1141" s="12" t="n">
        <v>0.590559</v>
      </c>
      <c r="M1141" s="12" t="n">
        <v>0.092063</v>
      </c>
      <c r="N1141" s="12" t="n">
        <v>0.009152</v>
      </c>
      <c r="O1141" s="12" t="n">
        <v>0.106183</v>
      </c>
      <c r="P1141" s="12" t="n">
        <v>0.008676</v>
      </c>
      <c r="Q1141" s="0" t="str">
        <f aca="false">IF(L1141&gt;=Models!$G$5,1+COUNTIF($L$5:$L$1517,"&gt;"&amp;L1141)+COUNTIFS($L$5:$L$1517,L1141,$B$5:$B$1517,"&lt;"&amp;B1141)+COUNTIFS($L$5:$L$1517,L1141,$B$5:$B$1517,B1141,$C$5:$C$1517,"&lt;"&amp;C1141),"")</f>
        <v/>
      </c>
      <c r="R1141" s="0" t="str">
        <f aca="false">IF(M1141&gt;=Models!$G$6,1+COUNTIF($M$5:$M$1517,"&gt;"&amp;M1141)+COUNTIFS($M$5:$M$1517,M1141,$B$5:$B$1517,"&lt;"&amp;B1141)+COUNTIFS($M$5:$M$1517,M1141,$B$5:$B$1517,B1141,$C$5:$C$1517,"&lt;"&amp;C1141),"")</f>
        <v/>
      </c>
      <c r="S1141" s="0" t="str">
        <f aca="false">IF(N1141&gt;=Models!$G$7,1+COUNTIF($N$5:$N$1517,"&gt;"&amp;N1141)+COUNTIFS($N$5:$N$1517,N1141,$B$5:$B$1517,"&lt;"&amp;B1141)+COUNTIFS($N$5:$N$1517,N1141,$B$5:$B$1517,B1141,$C$5:$C$1517,"&lt;"&amp;C1141),"")</f>
        <v/>
      </c>
      <c r="T1141" s="8" t="n">
        <f aca="false">IF(O1141&gt;=Models!$G$8,1+COUNTIF($O$5:$O$1517,"&gt;"&amp;O1141)+COUNTIFS($O$5:$O$1517,O1141,$B$5:$B$1517,"&lt;"&amp;B1141)+COUNTIFS($O$5:$O$1517,O1141,$B$5:$B$1517,B1141,$C$5:$C$1517,"&lt;"&amp;C1141),"")</f>
        <v>67</v>
      </c>
      <c r="U1141" s="8" t="n">
        <f aca="false">IF($K1141=1,COUNTIFS($L$5:$L$1517,"&gt;="&amp;L1141,$K$5:$K$1517,1)/COUNTIF($L$5:$L$1517,"&gt;="&amp;L1141),0)</f>
        <v>0</v>
      </c>
      <c r="V1141" s="8" t="n">
        <f aca="false">IF($K1141=1,COUNTIFS($M$5:$M$1517,"&gt;="&amp;M1141,$K$5:$K$1517,1)/COUNTIF($M$5:$M$1517,"&gt;="&amp;M1141),0)</f>
        <v>0</v>
      </c>
      <c r="W1141" s="8" t="n">
        <f aca="false">IF($K1141=1,COUNTIFS($N$5:$N$1517,"&gt;="&amp;N1141,$K$5:$K$1517,1)/COUNTIF($N$5:$N$1517,"&gt;="&amp;N1141),0)</f>
        <v>0</v>
      </c>
      <c r="X1141" s="8" t="n">
        <f aca="false">IF($K1141=1,COUNTIFS($O$5:$O$1517,"&gt;="&amp;O1141,$K$5:$K$1517,1)/COUNTIF($O$5:$O$1517,"&gt;="&amp;O1141),0)</f>
        <v>0</v>
      </c>
      <c r="Y1141" s="8" t="n">
        <f aca="false">IF($K1141=1,COUNTIFS($P$5:$P$1517,"&gt;="&amp;P1141,$K$5:$K$1517,1)/COUNTIF($P$5:$P$1517,"&gt;="&amp;P1141),0)</f>
        <v>0</v>
      </c>
      <c r="Z1141" s="8" t="n">
        <f aca="false">(L1141-$K1141)^2</f>
        <v>0.348759932481</v>
      </c>
      <c r="AA1141" s="8" t="n">
        <f aca="false">(M1141-$K1141)^2</f>
        <v>0.008475595969</v>
      </c>
      <c r="AB1141" s="8" t="n">
        <f aca="false">(N1141-$K1141)^2</f>
        <v>8.3759104E-005</v>
      </c>
      <c r="AC1141" s="8" t="n">
        <f aca="false">(O1141-$K1141)^2</f>
        <v>0.011274829489</v>
      </c>
      <c r="AD1141" s="8" t="n">
        <f aca="false">(P1141-$K1141)^2</f>
        <v>7.5272976E-005</v>
      </c>
      <c r="AE1141" s="8" t="n">
        <f aca="false">MIN(INT(ROUND(N1141*1000000,0)/100000),9)</f>
        <v>0</v>
      </c>
      <c r="AF1141" s="8" t="n">
        <f aca="false">MIN(INT(ROUND(P1141*1000000,0)/100000),9)</f>
        <v>0</v>
      </c>
    </row>
    <row r="1142" customFormat="false" ht="15" hidden="false" customHeight="false" outlineLevel="0" collapsed="false">
      <c r="A1142" s="4" t="n">
        <v>1138</v>
      </c>
      <c r="B1142" s="4" t="n">
        <v>87</v>
      </c>
      <c r="C1142" s="4" t="n">
        <v>3</v>
      </c>
      <c r="D1142" s="11" t="n">
        <v>46143</v>
      </c>
      <c r="E1142" s="4" t="s">
        <v>202</v>
      </c>
      <c r="F1142" s="4" t="s">
        <v>206</v>
      </c>
      <c r="G1142" s="4" t="n">
        <v>6</v>
      </c>
      <c r="H1142" s="4" t="n">
        <v>0</v>
      </c>
      <c r="I1142" s="4" t="n">
        <v>1</v>
      </c>
      <c r="J1142" s="4" t="n">
        <v>4773.6</v>
      </c>
      <c r="K1142" s="4" t="n">
        <v>0</v>
      </c>
      <c r="L1142" s="12" t="n">
        <v>0.502796</v>
      </c>
      <c r="M1142" s="12" t="n">
        <v>0.184211</v>
      </c>
      <c r="N1142" s="12" t="n">
        <v>0.132714</v>
      </c>
      <c r="O1142" s="12" t="n">
        <v>0.106183</v>
      </c>
      <c r="P1142" s="12" t="n">
        <v>0.142154</v>
      </c>
      <c r="Q1142" s="0" t="str">
        <f aca="false">IF(L1142&gt;=Models!$G$5,1+COUNTIF($L$5:$L$1517,"&gt;"&amp;L1142)+COUNTIFS($L$5:$L$1517,L1142,$B$5:$B$1517,"&lt;"&amp;B1142)+COUNTIFS($L$5:$L$1517,L1142,$B$5:$B$1517,B1142,$C$5:$C$1517,"&lt;"&amp;C1142),"")</f>
        <v/>
      </c>
      <c r="R1142" s="8" t="n">
        <f aca="false">IF(M1142&gt;=Models!$G$6,1+COUNTIF($M$5:$M$1517,"&gt;"&amp;M1142)+COUNTIFS($M$5:$M$1517,M1142,$B$5:$B$1517,"&lt;"&amp;B1142)+COUNTIFS($M$5:$M$1517,M1142,$B$5:$B$1517,B1142,$C$5:$C$1517,"&lt;"&amp;C1142),"")</f>
        <v>5</v>
      </c>
      <c r="S1142" s="0" t="str">
        <f aca="false">IF(N1142&gt;=Models!$G$7,1+COUNTIF($N$5:$N$1517,"&gt;"&amp;N1142)+COUNTIFS($N$5:$N$1517,N1142,$B$5:$B$1517,"&lt;"&amp;B1142)+COUNTIFS($N$5:$N$1517,N1142,$B$5:$B$1517,B1142,$C$5:$C$1517,"&lt;"&amp;C1142),"")</f>
        <v/>
      </c>
      <c r="T1142" s="8" t="n">
        <f aca="false">IF(O1142&gt;=Models!$G$8,1+COUNTIF($O$5:$O$1517,"&gt;"&amp;O1142)+COUNTIFS($O$5:$O$1517,O1142,$B$5:$B$1517,"&lt;"&amp;B1142)+COUNTIFS($O$5:$O$1517,O1142,$B$5:$B$1517,B1142,$C$5:$C$1517,"&lt;"&amp;C1142),"")</f>
        <v>71</v>
      </c>
      <c r="U1142" s="8" t="n">
        <f aca="false">IF($K1142=1,COUNTIFS($L$5:$L$1517,"&gt;="&amp;L1142,$K$5:$K$1517,1)/COUNTIF($L$5:$L$1517,"&gt;="&amp;L1142),0)</f>
        <v>0</v>
      </c>
      <c r="V1142" s="8" t="n">
        <f aca="false">IF($K1142=1,COUNTIFS($M$5:$M$1517,"&gt;="&amp;M1142,$K$5:$K$1517,1)/COUNTIF($M$5:$M$1517,"&gt;="&amp;M1142),0)</f>
        <v>0</v>
      </c>
      <c r="W1142" s="8" t="n">
        <f aca="false">IF($K1142=1,COUNTIFS($N$5:$N$1517,"&gt;="&amp;N1142,$K$5:$K$1517,1)/COUNTIF($N$5:$N$1517,"&gt;="&amp;N1142),0)</f>
        <v>0</v>
      </c>
      <c r="X1142" s="8" t="n">
        <f aca="false">IF($K1142=1,COUNTIFS($O$5:$O$1517,"&gt;="&amp;O1142,$K$5:$K$1517,1)/COUNTIF($O$5:$O$1517,"&gt;="&amp;O1142),0)</f>
        <v>0</v>
      </c>
      <c r="Y1142" s="8" t="n">
        <f aca="false">IF($K1142=1,COUNTIFS($P$5:$P$1517,"&gt;="&amp;P1142,$K$5:$K$1517,1)/COUNTIF($P$5:$P$1517,"&gt;="&amp;P1142),0)</f>
        <v>0</v>
      </c>
      <c r="Z1142" s="8" t="n">
        <f aca="false">(L1142-$K1142)^2</f>
        <v>0.252803817616</v>
      </c>
      <c r="AA1142" s="8" t="n">
        <f aca="false">(M1142-$K1142)^2</f>
        <v>0.033933692521</v>
      </c>
      <c r="AB1142" s="8" t="n">
        <f aca="false">(N1142-$K1142)^2</f>
        <v>0.017613005796</v>
      </c>
      <c r="AC1142" s="8" t="n">
        <f aca="false">(O1142-$K1142)^2</f>
        <v>0.011274829489</v>
      </c>
      <c r="AD1142" s="8" t="n">
        <f aca="false">(P1142-$K1142)^2</f>
        <v>0.020207759716</v>
      </c>
      <c r="AE1142" s="8" t="n">
        <f aca="false">MIN(INT(ROUND(N1142*1000000,0)/100000),9)</f>
        <v>1</v>
      </c>
      <c r="AF1142" s="8" t="n">
        <f aca="false">MIN(INT(ROUND(P1142*1000000,0)/100000),9)</f>
        <v>1</v>
      </c>
    </row>
    <row r="1143" customFormat="false" ht="15" hidden="false" customHeight="false" outlineLevel="0" collapsed="false">
      <c r="A1143" s="4" t="n">
        <v>1139</v>
      </c>
      <c r="B1143" s="4" t="n">
        <v>95</v>
      </c>
      <c r="C1143" s="4" t="n">
        <v>3</v>
      </c>
      <c r="D1143" s="11" t="n">
        <v>46143</v>
      </c>
      <c r="E1143" s="4" t="s">
        <v>203</v>
      </c>
      <c r="F1143" s="4" t="s">
        <v>209</v>
      </c>
      <c r="G1143" s="4" t="n">
        <v>6</v>
      </c>
      <c r="H1143" s="4" t="n">
        <v>3</v>
      </c>
      <c r="I1143" s="4" t="n">
        <v>1</v>
      </c>
      <c r="J1143" s="4" t="n">
        <v>1356.6</v>
      </c>
      <c r="K1143" s="4" t="n">
        <v>0</v>
      </c>
      <c r="L1143" s="12" t="n">
        <v>0.984479</v>
      </c>
      <c r="M1143" s="12" t="n">
        <v>0.184211</v>
      </c>
      <c r="N1143" s="12" t="n">
        <v>0.160547</v>
      </c>
      <c r="O1143" s="12" t="n">
        <v>0.106183</v>
      </c>
      <c r="P1143" s="12" t="n">
        <v>0.173088</v>
      </c>
      <c r="Q1143" s="8" t="n">
        <f aca="false">IF(L1143&gt;=Models!$G$5,1+COUNTIF($L$5:$L$1517,"&gt;"&amp;L1143)+COUNTIFS($L$5:$L$1517,L1143,$B$5:$B$1517,"&lt;"&amp;B1143)+COUNTIFS($L$5:$L$1517,L1143,$B$5:$B$1517,B1143,$C$5:$C$1517,"&lt;"&amp;C1143),"")</f>
        <v>19</v>
      </c>
      <c r="R1143" s="8" t="n">
        <f aca="false">IF(M1143&gt;=Models!$G$6,1+COUNTIF($M$5:$M$1517,"&gt;"&amp;M1143)+COUNTIFS($M$5:$M$1517,M1143,$B$5:$B$1517,"&lt;"&amp;B1143)+COUNTIFS($M$5:$M$1517,M1143,$B$5:$B$1517,B1143,$C$5:$C$1517,"&lt;"&amp;C1143),"")</f>
        <v>9</v>
      </c>
      <c r="S1143" s="0" t="str">
        <f aca="false">IF(N1143&gt;=Models!$G$7,1+COUNTIF($N$5:$N$1517,"&gt;"&amp;N1143)+COUNTIFS($N$5:$N$1517,N1143,$B$5:$B$1517,"&lt;"&amp;B1143)+COUNTIFS($N$5:$N$1517,N1143,$B$5:$B$1517,B1143,$C$5:$C$1517,"&lt;"&amp;C1143),"")</f>
        <v/>
      </c>
      <c r="T1143" s="8" t="n">
        <f aca="false">IF(O1143&gt;=Models!$G$8,1+COUNTIF($O$5:$O$1517,"&gt;"&amp;O1143)+COUNTIFS($O$5:$O$1517,O1143,$B$5:$B$1517,"&lt;"&amp;B1143)+COUNTIFS($O$5:$O$1517,O1143,$B$5:$B$1517,B1143,$C$5:$C$1517,"&lt;"&amp;C1143),"")</f>
        <v>78</v>
      </c>
      <c r="U1143" s="8" t="n">
        <f aca="false">IF($K1143=1,COUNTIFS($L$5:$L$1517,"&gt;="&amp;L1143,$K$5:$K$1517,1)/COUNTIF($L$5:$L$1517,"&gt;="&amp;L1143),0)</f>
        <v>0</v>
      </c>
      <c r="V1143" s="8" t="n">
        <f aca="false">IF($K1143=1,COUNTIFS($M$5:$M$1517,"&gt;="&amp;M1143,$K$5:$K$1517,1)/COUNTIF($M$5:$M$1517,"&gt;="&amp;M1143),0)</f>
        <v>0</v>
      </c>
      <c r="W1143" s="8" t="n">
        <f aca="false">IF($K1143=1,COUNTIFS($N$5:$N$1517,"&gt;="&amp;N1143,$K$5:$K$1517,1)/COUNTIF($N$5:$N$1517,"&gt;="&amp;N1143),0)</f>
        <v>0</v>
      </c>
      <c r="X1143" s="8" t="n">
        <f aca="false">IF($K1143=1,COUNTIFS($O$5:$O$1517,"&gt;="&amp;O1143,$K$5:$K$1517,1)/COUNTIF($O$5:$O$1517,"&gt;="&amp;O1143),0)</f>
        <v>0</v>
      </c>
      <c r="Y1143" s="8" t="n">
        <f aca="false">IF($K1143=1,COUNTIFS($P$5:$P$1517,"&gt;="&amp;P1143,$K$5:$K$1517,1)/COUNTIF($P$5:$P$1517,"&gt;="&amp;P1143),0)</f>
        <v>0</v>
      </c>
      <c r="Z1143" s="8" t="n">
        <f aca="false">(L1143-$K1143)^2</f>
        <v>0.969198901441</v>
      </c>
      <c r="AA1143" s="8" t="n">
        <f aca="false">(M1143-$K1143)^2</f>
        <v>0.033933692521</v>
      </c>
      <c r="AB1143" s="8" t="n">
        <f aca="false">(N1143-$K1143)^2</f>
        <v>0.025775339209</v>
      </c>
      <c r="AC1143" s="8" t="n">
        <f aca="false">(O1143-$K1143)^2</f>
        <v>0.011274829489</v>
      </c>
      <c r="AD1143" s="8" t="n">
        <f aca="false">(P1143-$K1143)^2</f>
        <v>0.029959455744</v>
      </c>
      <c r="AE1143" s="8" t="n">
        <f aca="false">MIN(INT(ROUND(N1143*1000000,0)/100000),9)</f>
        <v>1</v>
      </c>
      <c r="AF1143" s="8" t="n">
        <f aca="false">MIN(INT(ROUND(P1143*1000000,0)/100000),9)</f>
        <v>1</v>
      </c>
    </row>
    <row r="1144" customFormat="false" ht="15" hidden="false" customHeight="false" outlineLevel="0" collapsed="false">
      <c r="A1144" s="4" t="n">
        <v>1140</v>
      </c>
      <c r="B1144" s="4" t="n">
        <v>98</v>
      </c>
      <c r="C1144" s="4" t="n">
        <v>3</v>
      </c>
      <c r="D1144" s="11" t="n">
        <v>46143</v>
      </c>
      <c r="E1144" s="4" t="s">
        <v>202</v>
      </c>
      <c r="F1144" s="4" t="s">
        <v>206</v>
      </c>
      <c r="G1144" s="4" t="n">
        <v>13</v>
      </c>
      <c r="H1144" s="4" t="n">
        <v>8</v>
      </c>
      <c r="I1144" s="4" t="n">
        <v>0</v>
      </c>
      <c r="J1144" s="4" t="n">
        <v>1479</v>
      </c>
      <c r="K1144" s="4" t="n">
        <v>0</v>
      </c>
      <c r="L1144" s="12" t="n">
        <v>0.021611</v>
      </c>
      <c r="M1144" s="12" t="n">
        <v>0.092063</v>
      </c>
      <c r="N1144" s="12" t="n">
        <v>0.054874</v>
      </c>
      <c r="O1144" s="12" t="n">
        <v>0.106183</v>
      </c>
      <c r="P1144" s="12" t="n">
        <v>0.05664</v>
      </c>
      <c r="Q1144" s="0" t="str">
        <f aca="false">IF(L1144&gt;=Models!$G$5,1+COUNTIF($L$5:$L$1517,"&gt;"&amp;L1144)+COUNTIFS($L$5:$L$1517,L1144,$B$5:$B$1517,"&lt;"&amp;B1144)+COUNTIFS($L$5:$L$1517,L1144,$B$5:$B$1517,B1144,$C$5:$C$1517,"&lt;"&amp;C1144),"")</f>
        <v/>
      </c>
      <c r="R1144" s="0" t="str">
        <f aca="false">IF(M1144&gt;=Models!$G$6,1+COUNTIF($M$5:$M$1517,"&gt;"&amp;M1144)+COUNTIFS($M$5:$M$1517,M1144,$B$5:$B$1517,"&lt;"&amp;B1144)+COUNTIFS($M$5:$M$1517,M1144,$B$5:$B$1517,B1144,$C$5:$C$1517,"&lt;"&amp;C1144),"")</f>
        <v/>
      </c>
      <c r="S1144" s="0" t="str">
        <f aca="false">IF(N1144&gt;=Models!$G$7,1+COUNTIF($N$5:$N$1517,"&gt;"&amp;N1144)+COUNTIFS($N$5:$N$1517,N1144,$B$5:$B$1517,"&lt;"&amp;B1144)+COUNTIFS($N$5:$N$1517,N1144,$B$5:$B$1517,B1144,$C$5:$C$1517,"&lt;"&amp;C1144),"")</f>
        <v/>
      </c>
      <c r="T1144" s="8" t="n">
        <f aca="false">IF(O1144&gt;=Models!$G$8,1+COUNTIF($O$5:$O$1517,"&gt;"&amp;O1144)+COUNTIFS($O$5:$O$1517,O1144,$B$5:$B$1517,"&lt;"&amp;B1144)+COUNTIFS($O$5:$O$1517,O1144,$B$5:$B$1517,B1144,$C$5:$C$1517,"&lt;"&amp;C1144),"")</f>
        <v>82</v>
      </c>
      <c r="U1144" s="8" t="n">
        <f aca="false">IF($K1144=1,COUNTIFS($L$5:$L$1517,"&gt;="&amp;L1144,$K$5:$K$1517,1)/COUNTIF($L$5:$L$1517,"&gt;="&amp;L1144),0)</f>
        <v>0</v>
      </c>
      <c r="V1144" s="8" t="n">
        <f aca="false">IF($K1144=1,COUNTIFS($M$5:$M$1517,"&gt;="&amp;M1144,$K$5:$K$1517,1)/COUNTIF($M$5:$M$1517,"&gt;="&amp;M1144),0)</f>
        <v>0</v>
      </c>
      <c r="W1144" s="8" t="n">
        <f aca="false">IF($K1144=1,COUNTIFS($N$5:$N$1517,"&gt;="&amp;N1144,$K$5:$K$1517,1)/COUNTIF($N$5:$N$1517,"&gt;="&amp;N1144),0)</f>
        <v>0</v>
      </c>
      <c r="X1144" s="8" t="n">
        <f aca="false">IF($K1144=1,COUNTIFS($O$5:$O$1517,"&gt;="&amp;O1144,$K$5:$K$1517,1)/COUNTIF($O$5:$O$1517,"&gt;="&amp;O1144),0)</f>
        <v>0</v>
      </c>
      <c r="Y1144" s="8" t="n">
        <f aca="false">IF($K1144=1,COUNTIFS($P$5:$P$1517,"&gt;="&amp;P1144,$K$5:$K$1517,1)/COUNTIF($P$5:$P$1517,"&gt;="&amp;P1144),0)</f>
        <v>0</v>
      </c>
      <c r="Z1144" s="8" t="n">
        <f aca="false">(L1144-$K1144)^2</f>
        <v>0.000467035321</v>
      </c>
      <c r="AA1144" s="8" t="n">
        <f aca="false">(M1144-$K1144)^2</f>
        <v>0.008475595969</v>
      </c>
      <c r="AB1144" s="8" t="n">
        <f aca="false">(N1144-$K1144)^2</f>
        <v>0.003011155876</v>
      </c>
      <c r="AC1144" s="8" t="n">
        <f aca="false">(O1144-$K1144)^2</f>
        <v>0.011274829489</v>
      </c>
      <c r="AD1144" s="8" t="n">
        <f aca="false">(P1144-$K1144)^2</f>
        <v>0.0032080896</v>
      </c>
      <c r="AE1144" s="8" t="n">
        <f aca="false">MIN(INT(ROUND(N1144*1000000,0)/100000),9)</f>
        <v>0</v>
      </c>
      <c r="AF1144" s="8" t="n">
        <f aca="false">MIN(INT(ROUND(P1144*1000000,0)/100000),9)</f>
        <v>0</v>
      </c>
    </row>
    <row r="1145" customFormat="false" ht="15" hidden="false" customHeight="false" outlineLevel="0" collapsed="false">
      <c r="A1145" s="4" t="n">
        <v>1141</v>
      </c>
      <c r="B1145" s="4" t="n">
        <v>99</v>
      </c>
      <c r="C1145" s="4" t="n">
        <v>3</v>
      </c>
      <c r="D1145" s="11" t="n">
        <v>46143</v>
      </c>
      <c r="E1145" s="4" t="s">
        <v>203</v>
      </c>
      <c r="F1145" s="4" t="s">
        <v>208</v>
      </c>
      <c r="G1145" s="4" t="n">
        <v>3</v>
      </c>
      <c r="H1145" s="4" t="n">
        <v>12</v>
      </c>
      <c r="I1145" s="4" t="n">
        <v>0</v>
      </c>
      <c r="J1145" s="4" t="n">
        <v>1438.2</v>
      </c>
      <c r="K1145" s="4" t="n">
        <v>1</v>
      </c>
      <c r="L1145" s="12" t="n">
        <v>0.778545</v>
      </c>
      <c r="M1145" s="12" t="n">
        <v>0.092063</v>
      </c>
      <c r="N1145" s="12" t="n">
        <v>0.128844</v>
      </c>
      <c r="O1145" s="12" t="n">
        <v>0.106183</v>
      </c>
      <c r="P1145" s="12" t="n">
        <v>0.13786</v>
      </c>
      <c r="Q1145" s="0" t="str">
        <f aca="false">IF(L1145&gt;=Models!$G$5,1+COUNTIF($L$5:$L$1517,"&gt;"&amp;L1145)+COUNTIFS($L$5:$L$1517,L1145,$B$5:$B$1517,"&lt;"&amp;B1145)+COUNTIFS($L$5:$L$1517,L1145,$B$5:$B$1517,B1145,$C$5:$C$1517,"&lt;"&amp;C1145),"")</f>
        <v/>
      </c>
      <c r="R1145" s="0" t="str">
        <f aca="false">IF(M1145&gt;=Models!$G$6,1+COUNTIF($M$5:$M$1517,"&gt;"&amp;M1145)+COUNTIFS($M$5:$M$1517,M1145,$B$5:$B$1517,"&lt;"&amp;B1145)+COUNTIFS($M$5:$M$1517,M1145,$B$5:$B$1517,B1145,$C$5:$C$1517,"&lt;"&amp;C1145),"")</f>
        <v/>
      </c>
      <c r="S1145" s="0" t="str">
        <f aca="false">IF(N1145&gt;=Models!$G$7,1+COUNTIF($N$5:$N$1517,"&gt;"&amp;N1145)+COUNTIFS($N$5:$N$1517,N1145,$B$5:$B$1517,"&lt;"&amp;B1145)+COUNTIFS($N$5:$N$1517,N1145,$B$5:$B$1517,B1145,$C$5:$C$1517,"&lt;"&amp;C1145),"")</f>
        <v/>
      </c>
      <c r="T1145" s="8" t="n">
        <f aca="false">IF(O1145&gt;=Models!$G$8,1+COUNTIF($O$5:$O$1517,"&gt;"&amp;O1145)+COUNTIFS($O$5:$O$1517,O1145,$B$5:$B$1517,"&lt;"&amp;B1145)+COUNTIFS($O$5:$O$1517,O1145,$B$5:$B$1517,B1145,$C$5:$C$1517,"&lt;"&amp;C1145),"")</f>
        <v>86</v>
      </c>
      <c r="U1145" s="8" t="n">
        <f aca="false">IF($K1145=1,COUNTIFS($L$5:$L$1517,"&gt;="&amp;L1145,$K$5:$K$1517,1)/COUNTIF($L$5:$L$1517,"&gt;="&amp;L1145),0)</f>
        <v>0.137931034482759</v>
      </c>
      <c r="V1145" s="8" t="n">
        <f aca="false">IF($K1145=1,COUNTIFS($M$5:$M$1517,"&gt;="&amp;M1145,$K$5:$K$1517,1)/COUNTIF($M$5:$M$1517,"&gt;="&amp;M1145),0)</f>
        <v>0.12491738268341</v>
      </c>
      <c r="W1145" s="8" t="n">
        <f aca="false">IF($K1145=1,COUNTIFS($N$5:$N$1517,"&gt;="&amp;N1145,$K$5:$K$1517,1)/COUNTIF($N$5:$N$1517,"&gt;="&amp;N1145),0)</f>
        <v>0.236559139784946</v>
      </c>
      <c r="X1145" s="8" t="n">
        <f aca="false">IF($K1145=1,COUNTIFS($O$5:$O$1517,"&gt;="&amp;O1145,$K$5:$K$1517,1)/COUNTIF($O$5:$O$1517,"&gt;="&amp;O1145),0)</f>
        <v>0.12491738268341</v>
      </c>
      <c r="Y1145" s="8" t="n">
        <f aca="false">IF($K1145=1,COUNTIFS($P$5:$P$1517,"&gt;="&amp;P1145,$K$5:$K$1517,1)/COUNTIF($P$5:$P$1517,"&gt;="&amp;P1145),0)</f>
        <v>0.236559139784946</v>
      </c>
      <c r="Z1145" s="8" t="n">
        <f aca="false">(L1145-$K1145)^2</f>
        <v>0.049042317025</v>
      </c>
      <c r="AA1145" s="8" t="n">
        <f aca="false">(M1145-$K1145)^2</f>
        <v>0.824349595969</v>
      </c>
      <c r="AB1145" s="8" t="n">
        <f aca="false">(N1145-$K1145)^2</f>
        <v>0.758912776336</v>
      </c>
      <c r="AC1145" s="8" t="n">
        <f aca="false">(O1145-$K1145)^2</f>
        <v>0.798908829489</v>
      </c>
      <c r="AD1145" s="8" t="n">
        <f aca="false">(P1145-$K1145)^2</f>
        <v>0.7432853796</v>
      </c>
      <c r="AE1145" s="8" t="n">
        <f aca="false">MIN(INT(ROUND(N1145*1000000,0)/100000),9)</f>
        <v>1</v>
      </c>
      <c r="AF1145" s="8" t="n">
        <f aca="false">MIN(INT(ROUND(P1145*1000000,0)/100000),9)</f>
        <v>1</v>
      </c>
    </row>
    <row r="1146" customFormat="false" ht="15" hidden="false" customHeight="false" outlineLevel="0" collapsed="false">
      <c r="A1146" s="4" t="n">
        <v>1142</v>
      </c>
      <c r="B1146" s="4" t="n">
        <v>113</v>
      </c>
      <c r="C1146" s="4" t="n">
        <v>3</v>
      </c>
      <c r="D1146" s="11" t="n">
        <v>46143</v>
      </c>
      <c r="E1146" s="4" t="s">
        <v>202</v>
      </c>
      <c r="F1146" s="4" t="s">
        <v>210</v>
      </c>
      <c r="G1146" s="4" t="n">
        <v>9</v>
      </c>
      <c r="H1146" s="4" t="n">
        <v>2</v>
      </c>
      <c r="I1146" s="4" t="n">
        <v>0</v>
      </c>
      <c r="J1146" s="4" t="n">
        <v>914</v>
      </c>
      <c r="K1146" s="4" t="n">
        <v>0</v>
      </c>
      <c r="L1146" s="12" t="n">
        <v>0.50874</v>
      </c>
      <c r="M1146" s="12" t="n">
        <v>0.092063</v>
      </c>
      <c r="N1146" s="12" t="n">
        <v>0.075671</v>
      </c>
      <c r="O1146" s="12" t="n">
        <v>0.106183</v>
      </c>
      <c r="P1146" s="12" t="n">
        <v>0.079236</v>
      </c>
      <c r="Q1146" s="0" t="str">
        <f aca="false">IF(L1146&gt;=Models!$G$5,1+COUNTIF($L$5:$L$1517,"&gt;"&amp;L1146)+COUNTIFS($L$5:$L$1517,L1146,$B$5:$B$1517,"&lt;"&amp;B1146)+COUNTIFS($L$5:$L$1517,L1146,$B$5:$B$1517,B1146,$C$5:$C$1517,"&lt;"&amp;C1146),"")</f>
        <v/>
      </c>
      <c r="R1146" s="0" t="str">
        <f aca="false">IF(M1146&gt;=Models!$G$6,1+COUNTIF($M$5:$M$1517,"&gt;"&amp;M1146)+COUNTIFS($M$5:$M$1517,M1146,$B$5:$B$1517,"&lt;"&amp;B1146)+COUNTIFS($M$5:$M$1517,M1146,$B$5:$B$1517,B1146,$C$5:$C$1517,"&lt;"&amp;C1146),"")</f>
        <v/>
      </c>
      <c r="S1146" s="0" t="str">
        <f aca="false">IF(N1146&gt;=Models!$G$7,1+COUNTIF($N$5:$N$1517,"&gt;"&amp;N1146)+COUNTIFS($N$5:$N$1517,N1146,$B$5:$B$1517,"&lt;"&amp;B1146)+COUNTIFS($N$5:$N$1517,N1146,$B$5:$B$1517,B1146,$C$5:$C$1517,"&lt;"&amp;C1146),"")</f>
        <v/>
      </c>
      <c r="T1146" s="8" t="n">
        <f aca="false">IF(O1146&gt;=Models!$G$8,1+COUNTIF($O$5:$O$1517,"&gt;"&amp;O1146)+COUNTIFS($O$5:$O$1517,O1146,$B$5:$B$1517,"&lt;"&amp;B1146)+COUNTIFS($O$5:$O$1517,O1146,$B$5:$B$1517,B1146,$C$5:$C$1517,"&lt;"&amp;C1146),"")</f>
        <v>90</v>
      </c>
      <c r="U1146" s="8" t="n">
        <f aca="false">IF($K1146=1,COUNTIFS($L$5:$L$1517,"&gt;="&amp;L1146,$K$5:$K$1517,1)/COUNTIF($L$5:$L$1517,"&gt;="&amp;L1146),0)</f>
        <v>0</v>
      </c>
      <c r="V1146" s="8" t="n">
        <f aca="false">IF($K1146=1,COUNTIFS($M$5:$M$1517,"&gt;="&amp;M1146,$K$5:$K$1517,1)/COUNTIF($M$5:$M$1517,"&gt;="&amp;M1146),0)</f>
        <v>0</v>
      </c>
      <c r="W1146" s="8" t="n">
        <f aca="false">IF($K1146=1,COUNTIFS($N$5:$N$1517,"&gt;="&amp;N1146,$K$5:$K$1517,1)/COUNTIF($N$5:$N$1517,"&gt;="&amp;N1146),0)</f>
        <v>0</v>
      </c>
      <c r="X1146" s="8" t="n">
        <f aca="false">IF($K1146=1,COUNTIFS($O$5:$O$1517,"&gt;="&amp;O1146,$K$5:$K$1517,1)/COUNTIF($O$5:$O$1517,"&gt;="&amp;O1146),0)</f>
        <v>0</v>
      </c>
      <c r="Y1146" s="8" t="n">
        <f aca="false">IF($K1146=1,COUNTIFS($P$5:$P$1517,"&gt;="&amp;P1146,$K$5:$K$1517,1)/COUNTIF($P$5:$P$1517,"&gt;="&amp;P1146),0)</f>
        <v>0</v>
      </c>
      <c r="Z1146" s="8" t="n">
        <f aca="false">(L1146-$K1146)^2</f>
        <v>0.2588163876</v>
      </c>
      <c r="AA1146" s="8" t="n">
        <f aca="false">(M1146-$K1146)^2</f>
        <v>0.008475595969</v>
      </c>
      <c r="AB1146" s="8" t="n">
        <f aca="false">(N1146-$K1146)^2</f>
        <v>0.005726100241</v>
      </c>
      <c r="AC1146" s="8" t="n">
        <f aca="false">(O1146-$K1146)^2</f>
        <v>0.011274829489</v>
      </c>
      <c r="AD1146" s="8" t="n">
        <f aca="false">(P1146-$K1146)^2</f>
        <v>0.006278343696</v>
      </c>
      <c r="AE1146" s="8" t="n">
        <f aca="false">MIN(INT(ROUND(N1146*1000000,0)/100000),9)</f>
        <v>0</v>
      </c>
      <c r="AF1146" s="8" t="n">
        <f aca="false">MIN(INT(ROUND(P1146*1000000,0)/100000),9)</f>
        <v>0</v>
      </c>
    </row>
    <row r="1147" customFormat="false" ht="15" hidden="false" customHeight="false" outlineLevel="0" collapsed="false">
      <c r="A1147" s="4" t="n">
        <v>1143</v>
      </c>
      <c r="B1147" s="4" t="n">
        <v>114</v>
      </c>
      <c r="C1147" s="4" t="n">
        <v>3</v>
      </c>
      <c r="D1147" s="11" t="n">
        <v>46143</v>
      </c>
      <c r="E1147" s="4" t="s">
        <v>202</v>
      </c>
      <c r="F1147" s="4" t="s">
        <v>206</v>
      </c>
      <c r="G1147" s="4" t="n">
        <v>14</v>
      </c>
      <c r="H1147" s="4" t="n">
        <v>0</v>
      </c>
      <c r="I1147" s="4" t="n">
        <v>0</v>
      </c>
      <c r="J1147" s="4" t="n">
        <v>2621.4</v>
      </c>
      <c r="K1147" s="4" t="n">
        <v>0</v>
      </c>
      <c r="L1147" s="12" t="n">
        <v>0.060189</v>
      </c>
      <c r="M1147" s="12" t="n">
        <v>0.092063</v>
      </c>
      <c r="N1147" s="12" t="n">
        <v>0.044439</v>
      </c>
      <c r="O1147" s="12" t="n">
        <v>0.106183</v>
      </c>
      <c r="P1147" s="12" t="n">
        <v>0.045426</v>
      </c>
      <c r="Q1147" s="0" t="str">
        <f aca="false">IF(L1147&gt;=Models!$G$5,1+COUNTIF($L$5:$L$1517,"&gt;"&amp;L1147)+COUNTIFS($L$5:$L$1517,L1147,$B$5:$B$1517,"&lt;"&amp;B1147)+COUNTIFS($L$5:$L$1517,L1147,$B$5:$B$1517,B1147,$C$5:$C$1517,"&lt;"&amp;C1147),"")</f>
        <v/>
      </c>
      <c r="R1147" s="0" t="str">
        <f aca="false">IF(M1147&gt;=Models!$G$6,1+COUNTIF($M$5:$M$1517,"&gt;"&amp;M1147)+COUNTIFS($M$5:$M$1517,M1147,$B$5:$B$1517,"&lt;"&amp;B1147)+COUNTIFS($M$5:$M$1517,M1147,$B$5:$B$1517,B1147,$C$5:$C$1517,"&lt;"&amp;C1147),"")</f>
        <v/>
      </c>
      <c r="S1147" s="0" t="str">
        <f aca="false">IF(N1147&gt;=Models!$G$7,1+COUNTIF($N$5:$N$1517,"&gt;"&amp;N1147)+COUNTIFS($N$5:$N$1517,N1147,$B$5:$B$1517,"&lt;"&amp;B1147)+COUNTIFS($N$5:$N$1517,N1147,$B$5:$B$1517,B1147,$C$5:$C$1517,"&lt;"&amp;C1147),"")</f>
        <v/>
      </c>
      <c r="T1147" s="8" t="n">
        <f aca="false">IF(O1147&gt;=Models!$G$8,1+COUNTIF($O$5:$O$1517,"&gt;"&amp;O1147)+COUNTIFS($O$5:$O$1517,O1147,$B$5:$B$1517,"&lt;"&amp;B1147)+COUNTIFS($O$5:$O$1517,O1147,$B$5:$B$1517,B1147,$C$5:$C$1517,"&lt;"&amp;C1147),"")</f>
        <v>94</v>
      </c>
      <c r="U1147" s="8" t="n">
        <f aca="false">IF($K1147=1,COUNTIFS($L$5:$L$1517,"&gt;="&amp;L1147,$K$5:$K$1517,1)/COUNTIF($L$5:$L$1517,"&gt;="&amp;L1147),0)</f>
        <v>0</v>
      </c>
      <c r="V1147" s="8" t="n">
        <f aca="false">IF($K1147=1,COUNTIFS($M$5:$M$1517,"&gt;="&amp;M1147,$K$5:$K$1517,1)/COUNTIF($M$5:$M$1517,"&gt;="&amp;M1147),0)</f>
        <v>0</v>
      </c>
      <c r="W1147" s="8" t="n">
        <f aca="false">IF($K1147=1,COUNTIFS($N$5:$N$1517,"&gt;="&amp;N1147,$K$5:$K$1517,1)/COUNTIF($N$5:$N$1517,"&gt;="&amp;N1147),0)</f>
        <v>0</v>
      </c>
      <c r="X1147" s="8" t="n">
        <f aca="false">IF($K1147=1,COUNTIFS($O$5:$O$1517,"&gt;="&amp;O1147,$K$5:$K$1517,1)/COUNTIF($O$5:$O$1517,"&gt;="&amp;O1147),0)</f>
        <v>0</v>
      </c>
      <c r="Y1147" s="8" t="n">
        <f aca="false">IF($K1147=1,COUNTIFS($P$5:$P$1517,"&gt;="&amp;P1147,$K$5:$K$1517,1)/COUNTIF($P$5:$P$1517,"&gt;="&amp;P1147),0)</f>
        <v>0</v>
      </c>
      <c r="Z1147" s="8" t="n">
        <f aca="false">(L1147-$K1147)^2</f>
        <v>0.003622715721</v>
      </c>
      <c r="AA1147" s="8" t="n">
        <f aca="false">(M1147-$K1147)^2</f>
        <v>0.008475595969</v>
      </c>
      <c r="AB1147" s="8" t="n">
        <f aca="false">(N1147-$K1147)^2</f>
        <v>0.001974824721</v>
      </c>
      <c r="AC1147" s="8" t="n">
        <f aca="false">(O1147-$K1147)^2</f>
        <v>0.011274829489</v>
      </c>
      <c r="AD1147" s="8" t="n">
        <f aca="false">(P1147-$K1147)^2</f>
        <v>0.002063521476</v>
      </c>
      <c r="AE1147" s="8" t="n">
        <f aca="false">MIN(INT(ROUND(N1147*1000000,0)/100000),9)</f>
        <v>0</v>
      </c>
      <c r="AF1147" s="8" t="n">
        <f aca="false">MIN(INT(ROUND(P1147*1000000,0)/100000),9)</f>
        <v>0</v>
      </c>
    </row>
    <row r="1148" customFormat="false" ht="15" hidden="false" customHeight="false" outlineLevel="0" collapsed="false">
      <c r="A1148" s="4" t="n">
        <v>1144</v>
      </c>
      <c r="B1148" s="4" t="n">
        <v>146</v>
      </c>
      <c r="C1148" s="4" t="n">
        <v>3</v>
      </c>
      <c r="D1148" s="11" t="n">
        <v>46143</v>
      </c>
      <c r="E1148" s="4" t="s">
        <v>202</v>
      </c>
      <c r="F1148" s="4" t="s">
        <v>206</v>
      </c>
      <c r="G1148" s="4" t="n">
        <v>11</v>
      </c>
      <c r="H1148" s="4" t="n">
        <v>1</v>
      </c>
      <c r="I1148" s="4" t="n">
        <v>0</v>
      </c>
      <c r="J1148" s="4" t="n">
        <v>5548.8</v>
      </c>
      <c r="K1148" s="4" t="n">
        <v>0</v>
      </c>
      <c r="L1148" s="12" t="n">
        <v>0.045712</v>
      </c>
      <c r="M1148" s="12" t="n">
        <v>0.092063</v>
      </c>
      <c r="N1148" s="12" t="n">
        <v>0.049267</v>
      </c>
      <c r="O1148" s="12" t="n">
        <v>0.106183</v>
      </c>
      <c r="P1148" s="12" t="n">
        <v>0.050602</v>
      </c>
      <c r="Q1148" s="0" t="str">
        <f aca="false">IF(L1148&gt;=Models!$G$5,1+COUNTIF($L$5:$L$1517,"&gt;"&amp;L1148)+COUNTIFS($L$5:$L$1517,L1148,$B$5:$B$1517,"&lt;"&amp;B1148)+COUNTIFS($L$5:$L$1517,L1148,$B$5:$B$1517,B1148,$C$5:$C$1517,"&lt;"&amp;C1148),"")</f>
        <v/>
      </c>
      <c r="R1148" s="0" t="str">
        <f aca="false">IF(M1148&gt;=Models!$G$6,1+COUNTIF($M$5:$M$1517,"&gt;"&amp;M1148)+COUNTIFS($M$5:$M$1517,M1148,$B$5:$B$1517,"&lt;"&amp;B1148)+COUNTIFS($M$5:$M$1517,M1148,$B$5:$B$1517,B1148,$C$5:$C$1517,"&lt;"&amp;C1148),"")</f>
        <v/>
      </c>
      <c r="S1148" s="0" t="str">
        <f aca="false">IF(N1148&gt;=Models!$G$7,1+COUNTIF($N$5:$N$1517,"&gt;"&amp;N1148)+COUNTIFS($N$5:$N$1517,N1148,$B$5:$B$1517,"&lt;"&amp;B1148)+COUNTIFS($N$5:$N$1517,N1148,$B$5:$B$1517,B1148,$C$5:$C$1517,"&lt;"&amp;C1148),"")</f>
        <v/>
      </c>
      <c r="T1148" s="8" t="n">
        <f aca="false">IF(O1148&gt;=Models!$G$8,1+COUNTIF($O$5:$O$1517,"&gt;"&amp;O1148)+COUNTIFS($O$5:$O$1517,O1148,$B$5:$B$1517,"&lt;"&amp;B1148)+COUNTIFS($O$5:$O$1517,O1148,$B$5:$B$1517,B1148,$C$5:$C$1517,"&lt;"&amp;C1148),"")</f>
        <v>98</v>
      </c>
      <c r="U1148" s="8" t="n">
        <f aca="false">IF($K1148=1,COUNTIFS($L$5:$L$1517,"&gt;="&amp;L1148,$K$5:$K$1517,1)/COUNTIF($L$5:$L$1517,"&gt;="&amp;L1148),0)</f>
        <v>0</v>
      </c>
      <c r="V1148" s="8" t="n">
        <f aca="false">IF($K1148=1,COUNTIFS($M$5:$M$1517,"&gt;="&amp;M1148,$K$5:$K$1517,1)/COUNTIF($M$5:$M$1517,"&gt;="&amp;M1148),0)</f>
        <v>0</v>
      </c>
      <c r="W1148" s="8" t="n">
        <f aca="false">IF($K1148=1,COUNTIFS($N$5:$N$1517,"&gt;="&amp;N1148,$K$5:$K$1517,1)/COUNTIF($N$5:$N$1517,"&gt;="&amp;N1148),0)</f>
        <v>0</v>
      </c>
      <c r="X1148" s="8" t="n">
        <f aca="false">IF($K1148=1,COUNTIFS($O$5:$O$1517,"&gt;="&amp;O1148,$K$5:$K$1517,1)/COUNTIF($O$5:$O$1517,"&gt;="&amp;O1148),0)</f>
        <v>0</v>
      </c>
      <c r="Y1148" s="8" t="n">
        <f aca="false">IF($K1148=1,COUNTIFS($P$5:$P$1517,"&gt;="&amp;P1148,$K$5:$K$1517,1)/COUNTIF($P$5:$P$1517,"&gt;="&amp;P1148),0)</f>
        <v>0</v>
      </c>
      <c r="Z1148" s="8" t="n">
        <f aca="false">(L1148-$K1148)^2</f>
        <v>0.002089586944</v>
      </c>
      <c r="AA1148" s="8" t="n">
        <f aca="false">(M1148-$K1148)^2</f>
        <v>0.008475595969</v>
      </c>
      <c r="AB1148" s="8" t="n">
        <f aca="false">(N1148-$K1148)^2</f>
        <v>0.002427237289</v>
      </c>
      <c r="AC1148" s="8" t="n">
        <f aca="false">(O1148-$K1148)^2</f>
        <v>0.011274829489</v>
      </c>
      <c r="AD1148" s="8" t="n">
        <f aca="false">(P1148-$K1148)^2</f>
        <v>0.002560562404</v>
      </c>
      <c r="AE1148" s="8" t="n">
        <f aca="false">MIN(INT(ROUND(N1148*1000000,0)/100000),9)</f>
        <v>0</v>
      </c>
      <c r="AF1148" s="8" t="n">
        <f aca="false">MIN(INT(ROUND(P1148*1000000,0)/100000),9)</f>
        <v>0</v>
      </c>
    </row>
    <row r="1149" customFormat="false" ht="15" hidden="false" customHeight="false" outlineLevel="0" collapsed="false">
      <c r="A1149" s="4" t="n">
        <v>1145</v>
      </c>
      <c r="B1149" s="4" t="n">
        <v>147</v>
      </c>
      <c r="C1149" s="4" t="n">
        <v>3</v>
      </c>
      <c r="D1149" s="11" t="n">
        <v>46143</v>
      </c>
      <c r="E1149" s="4" t="s">
        <v>202</v>
      </c>
      <c r="F1149" s="4" t="s">
        <v>206</v>
      </c>
      <c r="G1149" s="4" t="n">
        <v>8</v>
      </c>
      <c r="H1149" s="4" t="n">
        <v>0</v>
      </c>
      <c r="I1149" s="4" t="n">
        <v>0</v>
      </c>
      <c r="J1149" s="4" t="n">
        <v>4171.8</v>
      </c>
      <c r="K1149" s="4" t="n">
        <v>0</v>
      </c>
      <c r="L1149" s="12" t="n">
        <v>0.958499</v>
      </c>
      <c r="M1149" s="12" t="n">
        <v>0.092063</v>
      </c>
      <c r="N1149" s="12" t="n">
        <v>0.067973</v>
      </c>
      <c r="O1149" s="12" t="n">
        <v>0.106183</v>
      </c>
      <c r="P1149" s="12" t="n">
        <v>0.070841</v>
      </c>
      <c r="Q1149" s="0" t="str">
        <f aca="false">IF(L1149&gt;=Models!$G$5,1+COUNTIF($L$5:$L$1517,"&gt;"&amp;L1149)+COUNTIFS($L$5:$L$1517,L1149,$B$5:$B$1517,"&lt;"&amp;B1149)+COUNTIFS($L$5:$L$1517,L1149,$B$5:$B$1517,B1149,$C$5:$C$1517,"&lt;"&amp;C1149),"")</f>
        <v/>
      </c>
      <c r="R1149" s="0" t="str">
        <f aca="false">IF(M1149&gt;=Models!$G$6,1+COUNTIF($M$5:$M$1517,"&gt;"&amp;M1149)+COUNTIFS($M$5:$M$1517,M1149,$B$5:$B$1517,"&lt;"&amp;B1149)+COUNTIFS($M$5:$M$1517,M1149,$B$5:$B$1517,B1149,$C$5:$C$1517,"&lt;"&amp;C1149),"")</f>
        <v/>
      </c>
      <c r="S1149" s="0" t="str">
        <f aca="false">IF(N1149&gt;=Models!$G$7,1+COUNTIF($N$5:$N$1517,"&gt;"&amp;N1149)+COUNTIFS($N$5:$N$1517,N1149,$B$5:$B$1517,"&lt;"&amp;B1149)+COUNTIFS($N$5:$N$1517,N1149,$B$5:$B$1517,B1149,$C$5:$C$1517,"&lt;"&amp;C1149),"")</f>
        <v/>
      </c>
      <c r="T1149" s="8" t="n">
        <f aca="false">IF(O1149&gt;=Models!$G$8,1+COUNTIF($O$5:$O$1517,"&gt;"&amp;O1149)+COUNTIFS($O$5:$O$1517,O1149,$B$5:$B$1517,"&lt;"&amp;B1149)+COUNTIFS($O$5:$O$1517,O1149,$B$5:$B$1517,B1149,$C$5:$C$1517,"&lt;"&amp;C1149),"")</f>
        <v>102</v>
      </c>
      <c r="U1149" s="8" t="n">
        <f aca="false">IF($K1149=1,COUNTIFS($L$5:$L$1517,"&gt;="&amp;L1149,$K$5:$K$1517,1)/COUNTIF($L$5:$L$1517,"&gt;="&amp;L1149),0)</f>
        <v>0</v>
      </c>
      <c r="V1149" s="8" t="n">
        <f aca="false">IF($K1149=1,COUNTIFS($M$5:$M$1517,"&gt;="&amp;M1149,$K$5:$K$1517,1)/COUNTIF($M$5:$M$1517,"&gt;="&amp;M1149),0)</f>
        <v>0</v>
      </c>
      <c r="W1149" s="8" t="n">
        <f aca="false">IF($K1149=1,COUNTIFS($N$5:$N$1517,"&gt;="&amp;N1149,$K$5:$K$1517,1)/COUNTIF($N$5:$N$1517,"&gt;="&amp;N1149),0)</f>
        <v>0</v>
      </c>
      <c r="X1149" s="8" t="n">
        <f aca="false">IF($K1149=1,COUNTIFS($O$5:$O$1517,"&gt;="&amp;O1149,$K$5:$K$1517,1)/COUNTIF($O$5:$O$1517,"&gt;="&amp;O1149),0)</f>
        <v>0</v>
      </c>
      <c r="Y1149" s="8" t="n">
        <f aca="false">IF($K1149=1,COUNTIFS($P$5:$P$1517,"&gt;="&amp;P1149,$K$5:$K$1517,1)/COUNTIF($P$5:$P$1517,"&gt;="&amp;P1149),0)</f>
        <v>0</v>
      </c>
      <c r="Z1149" s="8" t="n">
        <f aca="false">(L1149-$K1149)^2</f>
        <v>0.918720333001</v>
      </c>
      <c r="AA1149" s="8" t="n">
        <f aca="false">(M1149-$K1149)^2</f>
        <v>0.008475595969</v>
      </c>
      <c r="AB1149" s="8" t="n">
        <f aca="false">(N1149-$K1149)^2</f>
        <v>0.004620328729</v>
      </c>
      <c r="AC1149" s="8" t="n">
        <f aca="false">(O1149-$K1149)^2</f>
        <v>0.011274829489</v>
      </c>
      <c r="AD1149" s="8" t="n">
        <f aca="false">(P1149-$K1149)^2</f>
        <v>0.005018447281</v>
      </c>
      <c r="AE1149" s="8" t="n">
        <f aca="false">MIN(INT(ROUND(N1149*1000000,0)/100000),9)</f>
        <v>0</v>
      </c>
      <c r="AF1149" s="8" t="n">
        <f aca="false">MIN(INT(ROUND(P1149*1000000,0)/100000),9)</f>
        <v>0</v>
      </c>
    </row>
    <row r="1150" customFormat="false" ht="15" hidden="false" customHeight="false" outlineLevel="0" collapsed="false">
      <c r="A1150" s="4" t="n">
        <v>1146</v>
      </c>
      <c r="B1150" s="4" t="n">
        <v>148</v>
      </c>
      <c r="C1150" s="4" t="n">
        <v>3</v>
      </c>
      <c r="D1150" s="11" t="n">
        <v>46143</v>
      </c>
      <c r="E1150" s="4" t="s">
        <v>204</v>
      </c>
      <c r="F1150" s="4" t="s">
        <v>206</v>
      </c>
      <c r="G1150" s="4" t="n">
        <v>5</v>
      </c>
      <c r="H1150" s="4" t="n">
        <v>0</v>
      </c>
      <c r="I1150" s="4" t="n">
        <v>0</v>
      </c>
      <c r="J1150" s="4" t="n">
        <v>117</v>
      </c>
      <c r="K1150" s="4" t="n">
        <v>0</v>
      </c>
      <c r="L1150" s="12" t="n">
        <v>0.023575</v>
      </c>
      <c r="M1150" s="12" t="n">
        <v>0.092063</v>
      </c>
      <c r="N1150" s="12" t="n">
        <v>0.107858</v>
      </c>
      <c r="O1150" s="12" t="n">
        <v>0.106183</v>
      </c>
      <c r="P1150" s="12" t="n">
        <v>0.114623</v>
      </c>
      <c r="Q1150" s="0" t="str">
        <f aca="false">IF(L1150&gt;=Models!$G$5,1+COUNTIF($L$5:$L$1517,"&gt;"&amp;L1150)+COUNTIFS($L$5:$L$1517,L1150,$B$5:$B$1517,"&lt;"&amp;B1150)+COUNTIFS($L$5:$L$1517,L1150,$B$5:$B$1517,B1150,$C$5:$C$1517,"&lt;"&amp;C1150),"")</f>
        <v/>
      </c>
      <c r="R1150" s="0" t="str">
        <f aca="false">IF(M1150&gt;=Models!$G$6,1+COUNTIF($M$5:$M$1517,"&gt;"&amp;M1150)+COUNTIFS($M$5:$M$1517,M1150,$B$5:$B$1517,"&lt;"&amp;B1150)+COUNTIFS($M$5:$M$1517,M1150,$B$5:$B$1517,B1150,$C$5:$C$1517,"&lt;"&amp;C1150),"")</f>
        <v/>
      </c>
      <c r="S1150" s="0" t="str">
        <f aca="false">IF(N1150&gt;=Models!$G$7,1+COUNTIF($N$5:$N$1517,"&gt;"&amp;N1150)+COUNTIFS($N$5:$N$1517,N1150,$B$5:$B$1517,"&lt;"&amp;B1150)+COUNTIFS($N$5:$N$1517,N1150,$B$5:$B$1517,B1150,$C$5:$C$1517,"&lt;"&amp;C1150),"")</f>
        <v/>
      </c>
      <c r="T1150" s="8" t="n">
        <f aca="false">IF(O1150&gt;=Models!$G$8,1+COUNTIF($O$5:$O$1517,"&gt;"&amp;O1150)+COUNTIFS($O$5:$O$1517,O1150,$B$5:$B$1517,"&lt;"&amp;B1150)+COUNTIFS($O$5:$O$1517,O1150,$B$5:$B$1517,B1150,$C$5:$C$1517,"&lt;"&amp;C1150),"")</f>
        <v>106</v>
      </c>
      <c r="U1150" s="8" t="n">
        <f aca="false">IF($K1150=1,COUNTIFS($L$5:$L$1517,"&gt;="&amp;L1150,$K$5:$K$1517,1)/COUNTIF($L$5:$L$1517,"&gt;="&amp;L1150),0)</f>
        <v>0</v>
      </c>
      <c r="V1150" s="8" t="n">
        <f aca="false">IF($K1150=1,COUNTIFS($M$5:$M$1517,"&gt;="&amp;M1150,$K$5:$K$1517,1)/COUNTIF($M$5:$M$1517,"&gt;="&amp;M1150),0)</f>
        <v>0</v>
      </c>
      <c r="W1150" s="8" t="n">
        <f aca="false">IF($K1150=1,COUNTIFS($N$5:$N$1517,"&gt;="&amp;N1150,$K$5:$K$1517,1)/COUNTIF($N$5:$N$1517,"&gt;="&amp;N1150),0)</f>
        <v>0</v>
      </c>
      <c r="X1150" s="8" t="n">
        <f aca="false">IF($K1150=1,COUNTIFS($O$5:$O$1517,"&gt;="&amp;O1150,$K$5:$K$1517,1)/COUNTIF($O$5:$O$1517,"&gt;="&amp;O1150),0)</f>
        <v>0</v>
      </c>
      <c r="Y1150" s="8" t="n">
        <f aca="false">IF($K1150=1,COUNTIFS($P$5:$P$1517,"&gt;="&amp;P1150,$K$5:$K$1517,1)/COUNTIF($P$5:$P$1517,"&gt;="&amp;P1150),0)</f>
        <v>0</v>
      </c>
      <c r="Z1150" s="8" t="n">
        <f aca="false">(L1150-$K1150)^2</f>
        <v>0.000555780625</v>
      </c>
      <c r="AA1150" s="8" t="n">
        <f aca="false">(M1150-$K1150)^2</f>
        <v>0.008475595969</v>
      </c>
      <c r="AB1150" s="8" t="n">
        <f aca="false">(N1150-$K1150)^2</f>
        <v>0.011633348164</v>
      </c>
      <c r="AC1150" s="8" t="n">
        <f aca="false">(O1150-$K1150)^2</f>
        <v>0.011274829489</v>
      </c>
      <c r="AD1150" s="8" t="n">
        <f aca="false">(P1150-$K1150)^2</f>
        <v>0.013138432129</v>
      </c>
      <c r="AE1150" s="8" t="n">
        <f aca="false">MIN(INT(ROUND(N1150*1000000,0)/100000),9)</f>
        <v>1</v>
      </c>
      <c r="AF1150" s="8" t="n">
        <f aca="false">MIN(INT(ROUND(P1150*1000000,0)/100000),9)</f>
        <v>1</v>
      </c>
    </row>
    <row r="1151" customFormat="false" ht="15" hidden="false" customHeight="false" outlineLevel="0" collapsed="false">
      <c r="A1151" s="4" t="n">
        <v>1147</v>
      </c>
      <c r="B1151" s="4" t="n">
        <v>159</v>
      </c>
      <c r="C1151" s="4" t="n">
        <v>3</v>
      </c>
      <c r="D1151" s="11" t="n">
        <v>46143</v>
      </c>
      <c r="E1151" s="4" t="s">
        <v>203</v>
      </c>
      <c r="F1151" s="4" t="s">
        <v>210</v>
      </c>
      <c r="G1151" s="4" t="n">
        <v>8</v>
      </c>
      <c r="H1151" s="4" t="n">
        <v>0</v>
      </c>
      <c r="I1151" s="4" t="n">
        <v>1</v>
      </c>
      <c r="J1151" s="4" t="n">
        <v>1040.4</v>
      </c>
      <c r="K1151" s="4" t="n">
        <v>0</v>
      </c>
      <c r="L1151" s="12" t="n">
        <v>0.279669</v>
      </c>
      <c r="M1151" s="12" t="n">
        <v>0.184211</v>
      </c>
      <c r="N1151" s="12" t="n">
        <v>0.137007</v>
      </c>
      <c r="O1151" s="12" t="n">
        <v>0.106183</v>
      </c>
      <c r="P1151" s="12" t="n">
        <v>0.14692</v>
      </c>
      <c r="Q1151" s="0" t="str">
        <f aca="false">IF(L1151&gt;=Models!$G$5,1+COUNTIF($L$5:$L$1517,"&gt;"&amp;L1151)+COUNTIFS($L$5:$L$1517,L1151,$B$5:$B$1517,"&lt;"&amp;B1151)+COUNTIFS($L$5:$L$1517,L1151,$B$5:$B$1517,B1151,$C$5:$C$1517,"&lt;"&amp;C1151),"")</f>
        <v/>
      </c>
      <c r="R1151" s="8" t="n">
        <f aca="false">IF(M1151&gt;=Models!$G$6,1+COUNTIF($M$5:$M$1517,"&gt;"&amp;M1151)+COUNTIFS($M$5:$M$1517,M1151,$B$5:$B$1517,"&lt;"&amp;B1151)+COUNTIFS($M$5:$M$1517,M1151,$B$5:$B$1517,B1151,$C$5:$C$1517,"&lt;"&amp;C1151),"")</f>
        <v>12</v>
      </c>
      <c r="S1151" s="0" t="str">
        <f aca="false">IF(N1151&gt;=Models!$G$7,1+COUNTIF($N$5:$N$1517,"&gt;"&amp;N1151)+COUNTIFS($N$5:$N$1517,N1151,$B$5:$B$1517,"&lt;"&amp;B1151)+COUNTIFS($N$5:$N$1517,N1151,$B$5:$B$1517,B1151,$C$5:$C$1517,"&lt;"&amp;C1151),"")</f>
        <v/>
      </c>
      <c r="T1151" s="8" t="n">
        <f aca="false">IF(O1151&gt;=Models!$G$8,1+COUNTIF($O$5:$O$1517,"&gt;"&amp;O1151)+COUNTIFS($O$5:$O$1517,O1151,$B$5:$B$1517,"&lt;"&amp;B1151)+COUNTIFS($O$5:$O$1517,O1151,$B$5:$B$1517,B1151,$C$5:$C$1517,"&lt;"&amp;C1151),"")</f>
        <v>110</v>
      </c>
      <c r="U1151" s="8" t="n">
        <f aca="false">IF($K1151=1,COUNTIFS($L$5:$L$1517,"&gt;="&amp;L1151,$K$5:$K$1517,1)/COUNTIF($L$5:$L$1517,"&gt;="&amp;L1151),0)</f>
        <v>0</v>
      </c>
      <c r="V1151" s="8" t="n">
        <f aca="false">IF($K1151=1,COUNTIFS($M$5:$M$1517,"&gt;="&amp;M1151,$K$5:$K$1517,1)/COUNTIF($M$5:$M$1517,"&gt;="&amp;M1151),0)</f>
        <v>0</v>
      </c>
      <c r="W1151" s="8" t="n">
        <f aca="false">IF($K1151=1,COUNTIFS($N$5:$N$1517,"&gt;="&amp;N1151,$K$5:$K$1517,1)/COUNTIF($N$5:$N$1517,"&gt;="&amp;N1151),0)</f>
        <v>0</v>
      </c>
      <c r="X1151" s="8" t="n">
        <f aca="false">IF($K1151=1,COUNTIFS($O$5:$O$1517,"&gt;="&amp;O1151,$K$5:$K$1517,1)/COUNTIF($O$5:$O$1517,"&gt;="&amp;O1151),0)</f>
        <v>0</v>
      </c>
      <c r="Y1151" s="8" t="n">
        <f aca="false">IF($K1151=1,COUNTIFS($P$5:$P$1517,"&gt;="&amp;P1151,$K$5:$K$1517,1)/COUNTIF($P$5:$P$1517,"&gt;="&amp;P1151),0)</f>
        <v>0</v>
      </c>
      <c r="Z1151" s="8" t="n">
        <f aca="false">(L1151-$K1151)^2</f>
        <v>0.078214749561</v>
      </c>
      <c r="AA1151" s="8" t="n">
        <f aca="false">(M1151-$K1151)^2</f>
        <v>0.033933692521</v>
      </c>
      <c r="AB1151" s="8" t="n">
        <f aca="false">(N1151-$K1151)^2</f>
        <v>0.018770918049</v>
      </c>
      <c r="AC1151" s="8" t="n">
        <f aca="false">(O1151-$K1151)^2</f>
        <v>0.011274829489</v>
      </c>
      <c r="AD1151" s="8" t="n">
        <f aca="false">(P1151-$K1151)^2</f>
        <v>0.0215854864</v>
      </c>
      <c r="AE1151" s="8" t="n">
        <f aca="false">MIN(INT(ROUND(N1151*1000000,0)/100000),9)</f>
        <v>1</v>
      </c>
      <c r="AF1151" s="8" t="n">
        <f aca="false">MIN(INT(ROUND(P1151*1000000,0)/100000),9)</f>
        <v>1</v>
      </c>
    </row>
    <row r="1152" customFormat="false" ht="15" hidden="false" customHeight="false" outlineLevel="0" collapsed="false">
      <c r="A1152" s="4" t="n">
        <v>1148</v>
      </c>
      <c r="B1152" s="4" t="n">
        <v>160</v>
      </c>
      <c r="C1152" s="4" t="n">
        <v>3</v>
      </c>
      <c r="D1152" s="11" t="n">
        <v>46143</v>
      </c>
      <c r="E1152" s="4" t="s">
        <v>203</v>
      </c>
      <c r="F1152" s="4" t="s">
        <v>206</v>
      </c>
      <c r="G1152" s="4" t="n">
        <v>4</v>
      </c>
      <c r="H1152" s="4" t="n">
        <v>7</v>
      </c>
      <c r="I1152" s="4" t="n">
        <v>0</v>
      </c>
      <c r="J1152" s="4" t="n">
        <v>1071</v>
      </c>
      <c r="K1152" s="4" t="n">
        <v>0</v>
      </c>
      <c r="L1152" s="12" t="n">
        <v>0.166251</v>
      </c>
      <c r="M1152" s="12" t="n">
        <v>0.092063</v>
      </c>
      <c r="N1152" s="12" t="n">
        <v>0.117031</v>
      </c>
      <c r="O1152" s="12" t="n">
        <v>0.106183</v>
      </c>
      <c r="P1152" s="12" t="n">
        <v>0.124768</v>
      </c>
      <c r="Q1152" s="0" t="str">
        <f aca="false">IF(L1152&gt;=Models!$G$5,1+COUNTIF($L$5:$L$1517,"&gt;"&amp;L1152)+COUNTIFS($L$5:$L$1517,L1152,$B$5:$B$1517,"&lt;"&amp;B1152)+COUNTIFS($L$5:$L$1517,L1152,$B$5:$B$1517,B1152,$C$5:$C$1517,"&lt;"&amp;C1152),"")</f>
        <v/>
      </c>
      <c r="R1152" s="0" t="str">
        <f aca="false">IF(M1152&gt;=Models!$G$6,1+COUNTIF($M$5:$M$1517,"&gt;"&amp;M1152)+COUNTIFS($M$5:$M$1517,M1152,$B$5:$B$1517,"&lt;"&amp;B1152)+COUNTIFS($M$5:$M$1517,M1152,$B$5:$B$1517,B1152,$C$5:$C$1517,"&lt;"&amp;C1152),"")</f>
        <v/>
      </c>
      <c r="S1152" s="0" t="str">
        <f aca="false">IF(N1152&gt;=Models!$G$7,1+COUNTIF($N$5:$N$1517,"&gt;"&amp;N1152)+COUNTIFS($N$5:$N$1517,N1152,$B$5:$B$1517,"&lt;"&amp;B1152)+COUNTIFS($N$5:$N$1517,N1152,$B$5:$B$1517,B1152,$C$5:$C$1517,"&lt;"&amp;C1152),"")</f>
        <v/>
      </c>
      <c r="T1152" s="8" t="n">
        <f aca="false">IF(O1152&gt;=Models!$G$8,1+COUNTIF($O$5:$O$1517,"&gt;"&amp;O1152)+COUNTIFS($O$5:$O$1517,O1152,$B$5:$B$1517,"&lt;"&amp;B1152)+COUNTIFS($O$5:$O$1517,O1152,$B$5:$B$1517,B1152,$C$5:$C$1517,"&lt;"&amp;C1152),"")</f>
        <v>114</v>
      </c>
      <c r="U1152" s="8" t="n">
        <f aca="false">IF($K1152=1,COUNTIFS($L$5:$L$1517,"&gt;="&amp;L1152,$K$5:$K$1517,1)/COUNTIF($L$5:$L$1517,"&gt;="&amp;L1152),0)</f>
        <v>0</v>
      </c>
      <c r="V1152" s="8" t="n">
        <f aca="false">IF($K1152=1,COUNTIFS($M$5:$M$1517,"&gt;="&amp;M1152,$K$5:$K$1517,1)/COUNTIF($M$5:$M$1517,"&gt;="&amp;M1152),0)</f>
        <v>0</v>
      </c>
      <c r="W1152" s="8" t="n">
        <f aca="false">IF($K1152=1,COUNTIFS($N$5:$N$1517,"&gt;="&amp;N1152,$K$5:$K$1517,1)/COUNTIF($N$5:$N$1517,"&gt;="&amp;N1152),0)</f>
        <v>0</v>
      </c>
      <c r="X1152" s="8" t="n">
        <f aca="false">IF($K1152=1,COUNTIFS($O$5:$O$1517,"&gt;="&amp;O1152,$K$5:$K$1517,1)/COUNTIF($O$5:$O$1517,"&gt;="&amp;O1152),0)</f>
        <v>0</v>
      </c>
      <c r="Y1152" s="8" t="n">
        <f aca="false">IF($K1152=1,COUNTIFS($P$5:$P$1517,"&gt;="&amp;P1152,$K$5:$K$1517,1)/COUNTIF($P$5:$P$1517,"&gt;="&amp;P1152),0)</f>
        <v>0</v>
      </c>
      <c r="Z1152" s="8" t="n">
        <f aca="false">(L1152-$K1152)^2</f>
        <v>0.027639395001</v>
      </c>
      <c r="AA1152" s="8" t="n">
        <f aca="false">(M1152-$K1152)^2</f>
        <v>0.008475595969</v>
      </c>
      <c r="AB1152" s="8" t="n">
        <f aca="false">(N1152-$K1152)^2</f>
        <v>0.013696254961</v>
      </c>
      <c r="AC1152" s="8" t="n">
        <f aca="false">(O1152-$K1152)^2</f>
        <v>0.011274829489</v>
      </c>
      <c r="AD1152" s="8" t="n">
        <f aca="false">(P1152-$K1152)^2</f>
        <v>0.015567053824</v>
      </c>
      <c r="AE1152" s="8" t="n">
        <f aca="false">MIN(INT(ROUND(N1152*1000000,0)/100000),9)</f>
        <v>1</v>
      </c>
      <c r="AF1152" s="8" t="n">
        <f aca="false">MIN(INT(ROUND(P1152*1000000,0)/100000),9)</f>
        <v>1</v>
      </c>
    </row>
    <row r="1153" customFormat="false" ht="15" hidden="false" customHeight="false" outlineLevel="0" collapsed="false">
      <c r="A1153" s="4" t="n">
        <v>1149</v>
      </c>
      <c r="B1153" s="4" t="n">
        <v>167</v>
      </c>
      <c r="C1153" s="4" t="n">
        <v>3</v>
      </c>
      <c r="D1153" s="11" t="n">
        <v>46143</v>
      </c>
      <c r="E1153" s="4" t="s">
        <v>204</v>
      </c>
      <c r="F1153" s="4" t="s">
        <v>209</v>
      </c>
      <c r="G1153" s="4" t="n">
        <v>4</v>
      </c>
      <c r="H1153" s="4" t="n">
        <v>1</v>
      </c>
      <c r="I1153" s="4" t="n">
        <v>0</v>
      </c>
      <c r="J1153" s="4" t="n">
        <v>397.8</v>
      </c>
      <c r="K1153" s="4" t="n">
        <v>0</v>
      </c>
      <c r="L1153" s="12" t="n">
        <v>0.533311</v>
      </c>
      <c r="M1153" s="12" t="n">
        <v>0.092063</v>
      </c>
      <c r="N1153" s="12" t="n">
        <v>0.115994</v>
      </c>
      <c r="O1153" s="12" t="n">
        <v>0.106183</v>
      </c>
      <c r="P1153" s="12" t="n">
        <v>0.12362</v>
      </c>
      <c r="Q1153" s="0" t="str">
        <f aca="false">IF(L1153&gt;=Models!$G$5,1+COUNTIF($L$5:$L$1517,"&gt;"&amp;L1153)+COUNTIFS($L$5:$L$1517,L1153,$B$5:$B$1517,"&lt;"&amp;B1153)+COUNTIFS($L$5:$L$1517,L1153,$B$5:$B$1517,B1153,$C$5:$C$1517,"&lt;"&amp;C1153),"")</f>
        <v/>
      </c>
      <c r="R1153" s="0" t="str">
        <f aca="false">IF(M1153&gt;=Models!$G$6,1+COUNTIF($M$5:$M$1517,"&gt;"&amp;M1153)+COUNTIFS($M$5:$M$1517,M1153,$B$5:$B$1517,"&lt;"&amp;B1153)+COUNTIFS($M$5:$M$1517,M1153,$B$5:$B$1517,B1153,$C$5:$C$1517,"&lt;"&amp;C1153),"")</f>
        <v/>
      </c>
      <c r="S1153" s="0" t="str">
        <f aca="false">IF(N1153&gt;=Models!$G$7,1+COUNTIF($N$5:$N$1517,"&gt;"&amp;N1153)+COUNTIFS($N$5:$N$1517,N1153,$B$5:$B$1517,"&lt;"&amp;B1153)+COUNTIFS($N$5:$N$1517,N1153,$B$5:$B$1517,B1153,$C$5:$C$1517,"&lt;"&amp;C1153),"")</f>
        <v/>
      </c>
      <c r="T1153" s="8" t="n">
        <f aca="false">IF(O1153&gt;=Models!$G$8,1+COUNTIF($O$5:$O$1517,"&gt;"&amp;O1153)+COUNTIFS($O$5:$O$1517,O1153,$B$5:$B$1517,"&lt;"&amp;B1153)+COUNTIFS($O$5:$O$1517,O1153,$B$5:$B$1517,B1153,$C$5:$C$1517,"&lt;"&amp;C1153),"")</f>
        <v>118</v>
      </c>
      <c r="U1153" s="8" t="n">
        <f aca="false">IF($K1153=1,COUNTIFS($L$5:$L$1517,"&gt;="&amp;L1153,$K$5:$K$1517,1)/COUNTIF($L$5:$L$1517,"&gt;="&amp;L1153),0)</f>
        <v>0</v>
      </c>
      <c r="V1153" s="8" t="n">
        <f aca="false">IF($K1153=1,COUNTIFS($M$5:$M$1517,"&gt;="&amp;M1153,$K$5:$K$1517,1)/COUNTIF($M$5:$M$1517,"&gt;="&amp;M1153),0)</f>
        <v>0</v>
      </c>
      <c r="W1153" s="8" t="n">
        <f aca="false">IF($K1153=1,COUNTIFS($N$5:$N$1517,"&gt;="&amp;N1153,$K$5:$K$1517,1)/COUNTIF($N$5:$N$1517,"&gt;="&amp;N1153),0)</f>
        <v>0</v>
      </c>
      <c r="X1153" s="8" t="n">
        <f aca="false">IF($K1153=1,COUNTIFS($O$5:$O$1517,"&gt;="&amp;O1153,$K$5:$K$1517,1)/COUNTIF($O$5:$O$1517,"&gt;="&amp;O1153),0)</f>
        <v>0</v>
      </c>
      <c r="Y1153" s="8" t="n">
        <f aca="false">IF($K1153=1,COUNTIFS($P$5:$P$1517,"&gt;="&amp;P1153,$K$5:$K$1517,1)/COUNTIF($P$5:$P$1517,"&gt;="&amp;P1153),0)</f>
        <v>0</v>
      </c>
      <c r="Z1153" s="8" t="n">
        <f aca="false">(L1153-$K1153)^2</f>
        <v>0.284420622721</v>
      </c>
      <c r="AA1153" s="8" t="n">
        <f aca="false">(M1153-$K1153)^2</f>
        <v>0.008475595969</v>
      </c>
      <c r="AB1153" s="8" t="n">
        <f aca="false">(N1153-$K1153)^2</f>
        <v>0.013454608036</v>
      </c>
      <c r="AC1153" s="8" t="n">
        <f aca="false">(O1153-$K1153)^2</f>
        <v>0.011274829489</v>
      </c>
      <c r="AD1153" s="8" t="n">
        <f aca="false">(P1153-$K1153)^2</f>
        <v>0.0152819044</v>
      </c>
      <c r="AE1153" s="8" t="n">
        <f aca="false">MIN(INT(ROUND(N1153*1000000,0)/100000),9)</f>
        <v>1</v>
      </c>
      <c r="AF1153" s="8" t="n">
        <f aca="false">MIN(INT(ROUND(P1153*1000000,0)/100000),9)</f>
        <v>1</v>
      </c>
    </row>
    <row r="1154" customFormat="false" ht="15" hidden="false" customHeight="false" outlineLevel="0" collapsed="false">
      <c r="A1154" s="4" t="n">
        <v>1150</v>
      </c>
      <c r="B1154" s="4" t="n">
        <v>171</v>
      </c>
      <c r="C1154" s="4" t="n">
        <v>3</v>
      </c>
      <c r="D1154" s="11" t="n">
        <v>46143</v>
      </c>
      <c r="E1154" s="4" t="s">
        <v>204</v>
      </c>
      <c r="F1154" s="4" t="s">
        <v>209</v>
      </c>
      <c r="G1154" s="4" t="n">
        <v>2</v>
      </c>
      <c r="H1154" s="4" t="n">
        <v>7</v>
      </c>
      <c r="I1154" s="4" t="n">
        <v>0</v>
      </c>
      <c r="J1154" s="4" t="n">
        <v>76</v>
      </c>
      <c r="K1154" s="4" t="n">
        <v>0</v>
      </c>
      <c r="L1154" s="12" t="n">
        <v>0.33899</v>
      </c>
      <c r="M1154" s="12" t="n">
        <v>0.092063</v>
      </c>
      <c r="N1154" s="12" t="n">
        <v>0.143922</v>
      </c>
      <c r="O1154" s="12" t="n">
        <v>0.106183</v>
      </c>
      <c r="P1154" s="12" t="n">
        <v>0.154601</v>
      </c>
      <c r="Q1154" s="0" t="str">
        <f aca="false">IF(L1154&gt;=Models!$G$5,1+COUNTIF($L$5:$L$1517,"&gt;"&amp;L1154)+COUNTIFS($L$5:$L$1517,L1154,$B$5:$B$1517,"&lt;"&amp;B1154)+COUNTIFS($L$5:$L$1517,L1154,$B$5:$B$1517,B1154,$C$5:$C$1517,"&lt;"&amp;C1154),"")</f>
        <v/>
      </c>
      <c r="R1154" s="0" t="str">
        <f aca="false">IF(M1154&gt;=Models!$G$6,1+COUNTIF($M$5:$M$1517,"&gt;"&amp;M1154)+COUNTIFS($M$5:$M$1517,M1154,$B$5:$B$1517,"&lt;"&amp;B1154)+COUNTIFS($M$5:$M$1517,M1154,$B$5:$B$1517,B1154,$C$5:$C$1517,"&lt;"&amp;C1154),"")</f>
        <v/>
      </c>
      <c r="S1154" s="0" t="str">
        <f aca="false">IF(N1154&gt;=Models!$G$7,1+COUNTIF($N$5:$N$1517,"&gt;"&amp;N1154)+COUNTIFS($N$5:$N$1517,N1154,$B$5:$B$1517,"&lt;"&amp;B1154)+COUNTIFS($N$5:$N$1517,N1154,$B$5:$B$1517,B1154,$C$5:$C$1517,"&lt;"&amp;C1154),"")</f>
        <v/>
      </c>
      <c r="T1154" s="8" t="n">
        <f aca="false">IF(O1154&gt;=Models!$G$8,1+COUNTIF($O$5:$O$1517,"&gt;"&amp;O1154)+COUNTIFS($O$5:$O$1517,O1154,$B$5:$B$1517,"&lt;"&amp;B1154)+COUNTIFS($O$5:$O$1517,O1154,$B$5:$B$1517,B1154,$C$5:$C$1517,"&lt;"&amp;C1154),"")</f>
        <v>122</v>
      </c>
      <c r="U1154" s="8" t="n">
        <f aca="false">IF($K1154=1,COUNTIFS($L$5:$L$1517,"&gt;="&amp;L1154,$K$5:$K$1517,1)/COUNTIF($L$5:$L$1517,"&gt;="&amp;L1154),0)</f>
        <v>0</v>
      </c>
      <c r="V1154" s="8" t="n">
        <f aca="false">IF($K1154=1,COUNTIFS($M$5:$M$1517,"&gt;="&amp;M1154,$K$5:$K$1517,1)/COUNTIF($M$5:$M$1517,"&gt;="&amp;M1154),0)</f>
        <v>0</v>
      </c>
      <c r="W1154" s="8" t="n">
        <f aca="false">IF($K1154=1,COUNTIFS($N$5:$N$1517,"&gt;="&amp;N1154,$K$5:$K$1517,1)/COUNTIF($N$5:$N$1517,"&gt;="&amp;N1154),0)</f>
        <v>0</v>
      </c>
      <c r="X1154" s="8" t="n">
        <f aca="false">IF($K1154=1,COUNTIFS($O$5:$O$1517,"&gt;="&amp;O1154,$K$5:$K$1517,1)/COUNTIF($O$5:$O$1517,"&gt;="&amp;O1154),0)</f>
        <v>0</v>
      </c>
      <c r="Y1154" s="8" t="n">
        <f aca="false">IF($K1154=1,COUNTIFS($P$5:$P$1517,"&gt;="&amp;P1154,$K$5:$K$1517,1)/COUNTIF($P$5:$P$1517,"&gt;="&amp;P1154),0)</f>
        <v>0</v>
      </c>
      <c r="Z1154" s="8" t="n">
        <f aca="false">(L1154-$K1154)^2</f>
        <v>0.1149142201</v>
      </c>
      <c r="AA1154" s="8" t="n">
        <f aca="false">(M1154-$K1154)^2</f>
        <v>0.008475595969</v>
      </c>
      <c r="AB1154" s="8" t="n">
        <f aca="false">(N1154-$K1154)^2</f>
        <v>0.020713542084</v>
      </c>
      <c r="AC1154" s="8" t="n">
        <f aca="false">(O1154-$K1154)^2</f>
        <v>0.011274829489</v>
      </c>
      <c r="AD1154" s="8" t="n">
        <f aca="false">(P1154-$K1154)^2</f>
        <v>0.023901469201</v>
      </c>
      <c r="AE1154" s="8" t="n">
        <f aca="false">MIN(INT(ROUND(N1154*1000000,0)/100000),9)</f>
        <v>1</v>
      </c>
      <c r="AF1154" s="8" t="n">
        <f aca="false">MIN(INT(ROUND(P1154*1000000,0)/100000),9)</f>
        <v>1</v>
      </c>
    </row>
    <row r="1155" customFormat="false" ht="15" hidden="false" customHeight="false" outlineLevel="0" collapsed="false">
      <c r="A1155" s="4" t="n">
        <v>1151</v>
      </c>
      <c r="B1155" s="4" t="n">
        <v>176</v>
      </c>
      <c r="C1155" s="4" t="n">
        <v>3</v>
      </c>
      <c r="D1155" s="11" t="n">
        <v>46143</v>
      </c>
      <c r="E1155" s="4" t="s">
        <v>201</v>
      </c>
      <c r="F1155" s="4" t="s">
        <v>206</v>
      </c>
      <c r="G1155" s="4" t="n">
        <v>14</v>
      </c>
      <c r="H1155" s="4" t="n">
        <v>3</v>
      </c>
      <c r="I1155" s="4" t="n">
        <v>1</v>
      </c>
      <c r="J1155" s="4" t="n">
        <v>28458</v>
      </c>
      <c r="K1155" s="4" t="n">
        <v>0</v>
      </c>
      <c r="L1155" s="12" t="n">
        <v>0.319229</v>
      </c>
      <c r="M1155" s="12" t="n">
        <v>0.184211</v>
      </c>
      <c r="N1155" s="12" t="n">
        <v>0.018931</v>
      </c>
      <c r="O1155" s="12" t="n">
        <v>0.106183</v>
      </c>
      <c r="P1155" s="12" t="n">
        <v>0.018584</v>
      </c>
      <c r="Q1155" s="0" t="str">
        <f aca="false">IF(L1155&gt;=Models!$G$5,1+COUNTIF($L$5:$L$1517,"&gt;"&amp;L1155)+COUNTIFS($L$5:$L$1517,L1155,$B$5:$B$1517,"&lt;"&amp;B1155)+COUNTIFS($L$5:$L$1517,L1155,$B$5:$B$1517,B1155,$C$5:$C$1517,"&lt;"&amp;C1155),"")</f>
        <v/>
      </c>
      <c r="R1155" s="8" t="n">
        <f aca="false">IF(M1155&gt;=Models!$G$6,1+COUNTIF($M$5:$M$1517,"&gt;"&amp;M1155)+COUNTIFS($M$5:$M$1517,M1155,$B$5:$B$1517,"&lt;"&amp;B1155)+COUNTIFS($M$5:$M$1517,M1155,$B$5:$B$1517,B1155,$C$5:$C$1517,"&lt;"&amp;C1155),"")</f>
        <v>17</v>
      </c>
      <c r="S1155" s="0" t="str">
        <f aca="false">IF(N1155&gt;=Models!$G$7,1+COUNTIF($N$5:$N$1517,"&gt;"&amp;N1155)+COUNTIFS($N$5:$N$1517,N1155,$B$5:$B$1517,"&lt;"&amp;B1155)+COUNTIFS($N$5:$N$1517,N1155,$B$5:$B$1517,B1155,$C$5:$C$1517,"&lt;"&amp;C1155),"")</f>
        <v/>
      </c>
      <c r="T1155" s="8" t="n">
        <f aca="false">IF(O1155&gt;=Models!$G$8,1+COUNTIF($O$5:$O$1517,"&gt;"&amp;O1155)+COUNTIFS($O$5:$O$1517,O1155,$B$5:$B$1517,"&lt;"&amp;B1155)+COUNTIFS($O$5:$O$1517,O1155,$B$5:$B$1517,B1155,$C$5:$C$1517,"&lt;"&amp;C1155),"")</f>
        <v>126</v>
      </c>
      <c r="U1155" s="8" t="n">
        <f aca="false">IF($K1155=1,COUNTIFS($L$5:$L$1517,"&gt;="&amp;L1155,$K$5:$K$1517,1)/COUNTIF($L$5:$L$1517,"&gt;="&amp;L1155),0)</f>
        <v>0</v>
      </c>
      <c r="V1155" s="8" t="n">
        <f aca="false">IF($K1155=1,COUNTIFS($M$5:$M$1517,"&gt;="&amp;M1155,$K$5:$K$1517,1)/COUNTIF($M$5:$M$1517,"&gt;="&amp;M1155),0)</f>
        <v>0</v>
      </c>
      <c r="W1155" s="8" t="n">
        <f aca="false">IF($K1155=1,COUNTIFS($N$5:$N$1517,"&gt;="&amp;N1155,$K$5:$K$1517,1)/COUNTIF($N$5:$N$1517,"&gt;="&amp;N1155),0)</f>
        <v>0</v>
      </c>
      <c r="X1155" s="8" t="n">
        <f aca="false">IF($K1155=1,COUNTIFS($O$5:$O$1517,"&gt;="&amp;O1155,$K$5:$K$1517,1)/COUNTIF($O$5:$O$1517,"&gt;="&amp;O1155),0)</f>
        <v>0</v>
      </c>
      <c r="Y1155" s="8" t="n">
        <f aca="false">IF($K1155=1,COUNTIFS($P$5:$P$1517,"&gt;="&amp;P1155,$K$5:$K$1517,1)/COUNTIF($P$5:$P$1517,"&gt;="&amp;P1155),0)</f>
        <v>0</v>
      </c>
      <c r="Z1155" s="8" t="n">
        <f aca="false">(L1155-$K1155)^2</f>
        <v>0.101907154441</v>
      </c>
      <c r="AA1155" s="8" t="n">
        <f aca="false">(M1155-$K1155)^2</f>
        <v>0.033933692521</v>
      </c>
      <c r="AB1155" s="8" t="n">
        <f aca="false">(N1155-$K1155)^2</f>
        <v>0.000358382761</v>
      </c>
      <c r="AC1155" s="8" t="n">
        <f aca="false">(O1155-$K1155)^2</f>
        <v>0.011274829489</v>
      </c>
      <c r="AD1155" s="8" t="n">
        <f aca="false">(P1155-$K1155)^2</f>
        <v>0.000345365056</v>
      </c>
      <c r="AE1155" s="8" t="n">
        <f aca="false">MIN(INT(ROUND(N1155*1000000,0)/100000),9)</f>
        <v>0</v>
      </c>
      <c r="AF1155" s="8" t="n">
        <f aca="false">MIN(INT(ROUND(P1155*1000000,0)/100000),9)</f>
        <v>0</v>
      </c>
    </row>
    <row r="1156" customFormat="false" ht="15" hidden="false" customHeight="false" outlineLevel="0" collapsed="false">
      <c r="A1156" s="4" t="n">
        <v>1152</v>
      </c>
      <c r="B1156" s="4" t="n">
        <v>177</v>
      </c>
      <c r="C1156" s="4" t="n">
        <v>3</v>
      </c>
      <c r="D1156" s="11" t="n">
        <v>46143</v>
      </c>
      <c r="E1156" s="4" t="s">
        <v>203</v>
      </c>
      <c r="F1156" s="4" t="s">
        <v>209</v>
      </c>
      <c r="G1156" s="4" t="n">
        <v>9</v>
      </c>
      <c r="H1156" s="4" t="n">
        <v>4</v>
      </c>
      <c r="I1156" s="4" t="n">
        <v>0</v>
      </c>
      <c r="J1156" s="4" t="n">
        <v>390</v>
      </c>
      <c r="K1156" s="4" t="n">
        <v>0</v>
      </c>
      <c r="L1156" s="12" t="n">
        <v>0.311861</v>
      </c>
      <c r="M1156" s="12" t="n">
        <v>0.092063</v>
      </c>
      <c r="N1156" s="12" t="n">
        <v>0.079012</v>
      </c>
      <c r="O1156" s="12" t="n">
        <v>0.106183</v>
      </c>
      <c r="P1156" s="12" t="n">
        <v>0.082889</v>
      </c>
      <c r="Q1156" s="0" t="str">
        <f aca="false">IF(L1156&gt;=Models!$G$5,1+COUNTIF($L$5:$L$1517,"&gt;"&amp;L1156)+COUNTIFS($L$5:$L$1517,L1156,$B$5:$B$1517,"&lt;"&amp;B1156)+COUNTIFS($L$5:$L$1517,L1156,$B$5:$B$1517,B1156,$C$5:$C$1517,"&lt;"&amp;C1156),"")</f>
        <v/>
      </c>
      <c r="R1156" s="0" t="str">
        <f aca="false">IF(M1156&gt;=Models!$G$6,1+COUNTIF($M$5:$M$1517,"&gt;"&amp;M1156)+COUNTIFS($M$5:$M$1517,M1156,$B$5:$B$1517,"&lt;"&amp;B1156)+COUNTIFS($M$5:$M$1517,M1156,$B$5:$B$1517,B1156,$C$5:$C$1517,"&lt;"&amp;C1156),"")</f>
        <v/>
      </c>
      <c r="S1156" s="0" t="str">
        <f aca="false">IF(N1156&gt;=Models!$G$7,1+COUNTIF($N$5:$N$1517,"&gt;"&amp;N1156)+COUNTIFS($N$5:$N$1517,N1156,$B$5:$B$1517,"&lt;"&amp;B1156)+COUNTIFS($N$5:$N$1517,N1156,$B$5:$B$1517,B1156,$C$5:$C$1517,"&lt;"&amp;C1156),"")</f>
        <v/>
      </c>
      <c r="T1156" s="8" t="n">
        <f aca="false">IF(O1156&gt;=Models!$G$8,1+COUNTIF($O$5:$O$1517,"&gt;"&amp;O1156)+COUNTIFS($O$5:$O$1517,O1156,$B$5:$B$1517,"&lt;"&amp;B1156)+COUNTIFS($O$5:$O$1517,O1156,$B$5:$B$1517,B1156,$C$5:$C$1517,"&lt;"&amp;C1156),"")</f>
        <v>130</v>
      </c>
      <c r="U1156" s="8" t="n">
        <f aca="false">IF($K1156=1,COUNTIFS($L$5:$L$1517,"&gt;="&amp;L1156,$K$5:$K$1517,1)/COUNTIF($L$5:$L$1517,"&gt;="&amp;L1156),0)</f>
        <v>0</v>
      </c>
      <c r="V1156" s="8" t="n">
        <f aca="false">IF($K1156=1,COUNTIFS($M$5:$M$1517,"&gt;="&amp;M1156,$K$5:$K$1517,1)/COUNTIF($M$5:$M$1517,"&gt;="&amp;M1156),0)</f>
        <v>0</v>
      </c>
      <c r="W1156" s="8" t="n">
        <f aca="false">IF($K1156=1,COUNTIFS($N$5:$N$1517,"&gt;="&amp;N1156,$K$5:$K$1517,1)/COUNTIF($N$5:$N$1517,"&gt;="&amp;N1156),0)</f>
        <v>0</v>
      </c>
      <c r="X1156" s="8" t="n">
        <f aca="false">IF($K1156=1,COUNTIFS($O$5:$O$1517,"&gt;="&amp;O1156,$K$5:$K$1517,1)/COUNTIF($O$5:$O$1517,"&gt;="&amp;O1156),0)</f>
        <v>0</v>
      </c>
      <c r="Y1156" s="8" t="n">
        <f aca="false">IF($K1156=1,COUNTIFS($P$5:$P$1517,"&gt;="&amp;P1156,$K$5:$K$1517,1)/COUNTIF($P$5:$P$1517,"&gt;="&amp;P1156),0)</f>
        <v>0</v>
      </c>
      <c r="Z1156" s="8" t="n">
        <f aca="false">(L1156-$K1156)^2</f>
        <v>0.097257283321</v>
      </c>
      <c r="AA1156" s="8" t="n">
        <f aca="false">(M1156-$K1156)^2</f>
        <v>0.008475595969</v>
      </c>
      <c r="AB1156" s="8" t="n">
        <f aca="false">(N1156-$K1156)^2</f>
        <v>0.006242896144</v>
      </c>
      <c r="AC1156" s="8" t="n">
        <f aca="false">(O1156-$K1156)^2</f>
        <v>0.011274829489</v>
      </c>
      <c r="AD1156" s="8" t="n">
        <f aca="false">(P1156-$K1156)^2</f>
        <v>0.006870586321</v>
      </c>
      <c r="AE1156" s="8" t="n">
        <f aca="false">MIN(INT(ROUND(N1156*1000000,0)/100000),9)</f>
        <v>0</v>
      </c>
      <c r="AF1156" s="8" t="n">
        <f aca="false">MIN(INT(ROUND(P1156*1000000,0)/100000),9)</f>
        <v>0</v>
      </c>
    </row>
    <row r="1157" customFormat="false" ht="15" hidden="false" customHeight="false" outlineLevel="0" collapsed="false">
      <c r="A1157" s="4" t="n">
        <v>1153</v>
      </c>
      <c r="B1157" s="4" t="n">
        <v>183</v>
      </c>
      <c r="C1157" s="4" t="n">
        <v>3</v>
      </c>
      <c r="D1157" s="11" t="n">
        <v>46143</v>
      </c>
      <c r="E1157" s="4" t="s">
        <v>203</v>
      </c>
      <c r="F1157" s="4" t="s">
        <v>206</v>
      </c>
      <c r="G1157" s="4" t="n">
        <v>4</v>
      </c>
      <c r="H1157" s="4" t="n">
        <v>12</v>
      </c>
      <c r="I1157" s="4" t="n">
        <v>0</v>
      </c>
      <c r="J1157" s="4" t="n">
        <v>339</v>
      </c>
      <c r="K1157" s="4" t="n">
        <v>0</v>
      </c>
      <c r="L1157" s="12" t="n">
        <v>0.007303</v>
      </c>
      <c r="M1157" s="12" t="n">
        <v>0.092063</v>
      </c>
      <c r="N1157" s="12" t="n">
        <v>0.125936</v>
      </c>
      <c r="O1157" s="12" t="n">
        <v>0.106183</v>
      </c>
      <c r="P1157" s="12" t="n">
        <v>0.134635</v>
      </c>
      <c r="Q1157" s="0" t="str">
        <f aca="false">IF(L1157&gt;=Models!$G$5,1+COUNTIF($L$5:$L$1517,"&gt;"&amp;L1157)+COUNTIFS($L$5:$L$1517,L1157,$B$5:$B$1517,"&lt;"&amp;B1157)+COUNTIFS($L$5:$L$1517,L1157,$B$5:$B$1517,B1157,$C$5:$C$1517,"&lt;"&amp;C1157),"")</f>
        <v/>
      </c>
      <c r="R1157" s="0" t="str">
        <f aca="false">IF(M1157&gt;=Models!$G$6,1+COUNTIF($M$5:$M$1517,"&gt;"&amp;M1157)+COUNTIFS($M$5:$M$1517,M1157,$B$5:$B$1517,"&lt;"&amp;B1157)+COUNTIFS($M$5:$M$1517,M1157,$B$5:$B$1517,B1157,$C$5:$C$1517,"&lt;"&amp;C1157),"")</f>
        <v/>
      </c>
      <c r="S1157" s="0" t="str">
        <f aca="false">IF(N1157&gt;=Models!$G$7,1+COUNTIF($N$5:$N$1517,"&gt;"&amp;N1157)+COUNTIFS($N$5:$N$1517,N1157,$B$5:$B$1517,"&lt;"&amp;B1157)+COUNTIFS($N$5:$N$1517,N1157,$B$5:$B$1517,B1157,$C$5:$C$1517,"&lt;"&amp;C1157),"")</f>
        <v/>
      </c>
      <c r="T1157" s="8" t="n">
        <f aca="false">IF(O1157&gt;=Models!$G$8,1+COUNTIF($O$5:$O$1517,"&gt;"&amp;O1157)+COUNTIFS($O$5:$O$1517,O1157,$B$5:$B$1517,"&lt;"&amp;B1157)+COUNTIFS($O$5:$O$1517,O1157,$B$5:$B$1517,B1157,$C$5:$C$1517,"&lt;"&amp;C1157),"")</f>
        <v>134</v>
      </c>
      <c r="U1157" s="8" t="n">
        <f aca="false">IF($K1157=1,COUNTIFS($L$5:$L$1517,"&gt;="&amp;L1157,$K$5:$K$1517,1)/COUNTIF($L$5:$L$1517,"&gt;="&amp;L1157),0)</f>
        <v>0</v>
      </c>
      <c r="V1157" s="8" t="n">
        <f aca="false">IF($K1157=1,COUNTIFS($M$5:$M$1517,"&gt;="&amp;M1157,$K$5:$K$1517,1)/COUNTIF($M$5:$M$1517,"&gt;="&amp;M1157),0)</f>
        <v>0</v>
      </c>
      <c r="W1157" s="8" t="n">
        <f aca="false">IF($K1157=1,COUNTIFS($N$5:$N$1517,"&gt;="&amp;N1157,$K$5:$K$1517,1)/COUNTIF($N$5:$N$1517,"&gt;="&amp;N1157),0)</f>
        <v>0</v>
      </c>
      <c r="X1157" s="8" t="n">
        <f aca="false">IF($K1157=1,COUNTIFS($O$5:$O$1517,"&gt;="&amp;O1157,$K$5:$K$1517,1)/COUNTIF($O$5:$O$1517,"&gt;="&amp;O1157),0)</f>
        <v>0</v>
      </c>
      <c r="Y1157" s="8" t="n">
        <f aca="false">IF($K1157=1,COUNTIFS($P$5:$P$1517,"&gt;="&amp;P1157,$K$5:$K$1517,1)/COUNTIF($P$5:$P$1517,"&gt;="&amp;P1157),0)</f>
        <v>0</v>
      </c>
      <c r="Z1157" s="8" t="n">
        <f aca="false">(L1157-$K1157)^2</f>
        <v>5.3333809E-005</v>
      </c>
      <c r="AA1157" s="8" t="n">
        <f aca="false">(M1157-$K1157)^2</f>
        <v>0.008475595969</v>
      </c>
      <c r="AB1157" s="8" t="n">
        <f aca="false">(N1157-$K1157)^2</f>
        <v>0.015859876096</v>
      </c>
      <c r="AC1157" s="8" t="n">
        <f aca="false">(O1157-$K1157)^2</f>
        <v>0.011274829489</v>
      </c>
      <c r="AD1157" s="8" t="n">
        <f aca="false">(P1157-$K1157)^2</f>
        <v>0.018126583225</v>
      </c>
      <c r="AE1157" s="8" t="n">
        <f aca="false">MIN(INT(ROUND(N1157*1000000,0)/100000),9)</f>
        <v>1</v>
      </c>
      <c r="AF1157" s="8" t="n">
        <f aca="false">MIN(INT(ROUND(P1157*1000000,0)/100000),9)</f>
        <v>1</v>
      </c>
    </row>
    <row r="1158" customFormat="false" ht="15" hidden="false" customHeight="false" outlineLevel="0" collapsed="false">
      <c r="A1158" s="4" t="n">
        <v>1154</v>
      </c>
      <c r="B1158" s="4" t="n">
        <v>184</v>
      </c>
      <c r="C1158" s="4" t="n">
        <v>3</v>
      </c>
      <c r="D1158" s="11" t="n">
        <v>46143</v>
      </c>
      <c r="E1158" s="4" t="s">
        <v>204</v>
      </c>
      <c r="F1158" s="4" t="s">
        <v>206</v>
      </c>
      <c r="G1158" s="4" t="n">
        <v>1</v>
      </c>
      <c r="H1158" s="4" t="n">
        <v>25</v>
      </c>
      <c r="I1158" s="4" t="n">
        <v>0</v>
      </c>
      <c r="J1158" s="4" t="n">
        <v>102</v>
      </c>
      <c r="K1158" s="4" t="n">
        <v>1</v>
      </c>
      <c r="L1158" s="12" t="n">
        <v>0.804861</v>
      </c>
      <c r="M1158" s="12" t="n">
        <v>0.092063</v>
      </c>
      <c r="N1158" s="12" t="n">
        <v>0.175505</v>
      </c>
      <c r="O1158" s="12" t="n">
        <v>0.106183</v>
      </c>
      <c r="P1158" s="12" t="n">
        <v>0.189733</v>
      </c>
      <c r="Q1158" s="0" t="str">
        <f aca="false">IF(L1158&gt;=Models!$G$5,1+COUNTIF($L$5:$L$1517,"&gt;"&amp;L1158)+COUNTIFS($L$5:$L$1517,L1158,$B$5:$B$1517,"&lt;"&amp;B1158)+COUNTIFS($L$5:$L$1517,L1158,$B$5:$B$1517,B1158,$C$5:$C$1517,"&lt;"&amp;C1158),"")</f>
        <v/>
      </c>
      <c r="R1158" s="0" t="str">
        <f aca="false">IF(M1158&gt;=Models!$G$6,1+COUNTIF($M$5:$M$1517,"&gt;"&amp;M1158)+COUNTIFS($M$5:$M$1517,M1158,$B$5:$B$1517,"&lt;"&amp;B1158)+COUNTIFS($M$5:$M$1517,M1158,$B$5:$B$1517,B1158,$C$5:$C$1517,"&lt;"&amp;C1158),"")</f>
        <v/>
      </c>
      <c r="S1158" s="0" t="str">
        <f aca="false">IF(N1158&gt;=Models!$G$7,1+COUNTIF($N$5:$N$1517,"&gt;"&amp;N1158)+COUNTIFS($N$5:$N$1517,N1158,$B$5:$B$1517,"&lt;"&amp;B1158)+COUNTIFS($N$5:$N$1517,N1158,$B$5:$B$1517,B1158,$C$5:$C$1517,"&lt;"&amp;C1158),"")</f>
        <v/>
      </c>
      <c r="T1158" s="8" t="n">
        <f aca="false">IF(O1158&gt;=Models!$G$8,1+COUNTIF($O$5:$O$1517,"&gt;"&amp;O1158)+COUNTIFS($O$5:$O$1517,O1158,$B$5:$B$1517,"&lt;"&amp;B1158)+COUNTIFS($O$5:$O$1517,O1158,$B$5:$B$1517,B1158,$C$5:$C$1517,"&lt;"&amp;C1158),"")</f>
        <v>138</v>
      </c>
      <c r="U1158" s="8" t="n">
        <f aca="false">IF($K1158=1,COUNTIFS($L$5:$L$1517,"&gt;="&amp;L1158,$K$5:$K$1517,1)/COUNTIF($L$5:$L$1517,"&gt;="&amp;L1158),0)</f>
        <v>0.136363636363636</v>
      </c>
      <c r="V1158" s="8" t="n">
        <f aca="false">IF($K1158=1,COUNTIFS($M$5:$M$1517,"&gt;="&amp;M1158,$K$5:$K$1517,1)/COUNTIF($M$5:$M$1517,"&gt;="&amp;M1158),0)</f>
        <v>0.12491738268341</v>
      </c>
      <c r="W1158" s="8" t="n">
        <f aca="false">IF($K1158=1,COUNTIFS($N$5:$N$1517,"&gt;="&amp;N1158,$K$5:$K$1517,1)/COUNTIF($N$5:$N$1517,"&gt;="&amp;N1158),0)</f>
        <v>0.336538461538462</v>
      </c>
      <c r="X1158" s="8" t="n">
        <f aca="false">IF($K1158=1,COUNTIFS($O$5:$O$1517,"&gt;="&amp;O1158,$K$5:$K$1517,1)/COUNTIF($O$5:$O$1517,"&gt;="&amp;O1158),0)</f>
        <v>0.12491738268341</v>
      </c>
      <c r="Y1158" s="8" t="n">
        <f aca="false">IF($K1158=1,COUNTIFS($P$5:$P$1517,"&gt;="&amp;P1158,$K$5:$K$1517,1)/COUNTIF($P$5:$P$1517,"&gt;="&amp;P1158),0)</f>
        <v>0.336538461538462</v>
      </c>
      <c r="Z1158" s="8" t="n">
        <f aca="false">(L1158-$K1158)^2</f>
        <v>0.038079229321</v>
      </c>
      <c r="AA1158" s="8" t="n">
        <f aca="false">(M1158-$K1158)^2</f>
        <v>0.824349595969</v>
      </c>
      <c r="AB1158" s="8" t="n">
        <f aca="false">(N1158-$K1158)^2</f>
        <v>0.679792005025</v>
      </c>
      <c r="AC1158" s="8" t="n">
        <f aca="false">(O1158-$K1158)^2</f>
        <v>0.798908829489</v>
      </c>
      <c r="AD1158" s="8" t="n">
        <f aca="false">(P1158-$K1158)^2</f>
        <v>0.656532611289</v>
      </c>
      <c r="AE1158" s="8" t="n">
        <f aca="false">MIN(INT(ROUND(N1158*1000000,0)/100000),9)</f>
        <v>1</v>
      </c>
      <c r="AF1158" s="8" t="n">
        <f aca="false">MIN(INT(ROUND(P1158*1000000,0)/100000),9)</f>
        <v>1</v>
      </c>
    </row>
    <row r="1159" customFormat="false" ht="15" hidden="false" customHeight="false" outlineLevel="0" collapsed="false">
      <c r="A1159" s="4" t="n">
        <v>1155</v>
      </c>
      <c r="B1159" s="4" t="n">
        <v>204</v>
      </c>
      <c r="C1159" s="4" t="n">
        <v>3</v>
      </c>
      <c r="D1159" s="11" t="n">
        <v>46143</v>
      </c>
      <c r="E1159" s="4" t="s">
        <v>203</v>
      </c>
      <c r="F1159" s="4" t="s">
        <v>210</v>
      </c>
      <c r="G1159" s="4" t="n">
        <v>4</v>
      </c>
      <c r="H1159" s="4" t="n">
        <v>10</v>
      </c>
      <c r="I1159" s="4" t="n">
        <v>0</v>
      </c>
      <c r="J1159" s="4" t="n">
        <v>887.4</v>
      </c>
      <c r="K1159" s="4" t="n">
        <v>0</v>
      </c>
      <c r="L1159" s="12" t="n">
        <v>0.709484</v>
      </c>
      <c r="M1159" s="12" t="n">
        <v>0.092063</v>
      </c>
      <c r="N1159" s="12" t="n">
        <v>0.120722</v>
      </c>
      <c r="O1159" s="12" t="n">
        <v>0.106183</v>
      </c>
      <c r="P1159" s="12" t="n">
        <v>0.128856</v>
      </c>
      <c r="Q1159" s="0" t="str">
        <f aca="false">IF(L1159&gt;=Models!$G$5,1+COUNTIF($L$5:$L$1517,"&gt;"&amp;L1159)+COUNTIFS($L$5:$L$1517,L1159,$B$5:$B$1517,"&lt;"&amp;B1159)+COUNTIFS($L$5:$L$1517,L1159,$B$5:$B$1517,B1159,$C$5:$C$1517,"&lt;"&amp;C1159),"")</f>
        <v/>
      </c>
      <c r="R1159" s="0" t="str">
        <f aca="false">IF(M1159&gt;=Models!$G$6,1+COUNTIF($M$5:$M$1517,"&gt;"&amp;M1159)+COUNTIFS($M$5:$M$1517,M1159,$B$5:$B$1517,"&lt;"&amp;B1159)+COUNTIFS($M$5:$M$1517,M1159,$B$5:$B$1517,B1159,$C$5:$C$1517,"&lt;"&amp;C1159),"")</f>
        <v/>
      </c>
      <c r="S1159" s="0" t="str">
        <f aca="false">IF(N1159&gt;=Models!$G$7,1+COUNTIF($N$5:$N$1517,"&gt;"&amp;N1159)+COUNTIFS($N$5:$N$1517,N1159,$B$5:$B$1517,"&lt;"&amp;B1159)+COUNTIFS($N$5:$N$1517,N1159,$B$5:$B$1517,B1159,$C$5:$C$1517,"&lt;"&amp;C1159),"")</f>
        <v/>
      </c>
      <c r="T1159" s="8" t="n">
        <f aca="false">IF(O1159&gt;=Models!$G$8,1+COUNTIF($O$5:$O$1517,"&gt;"&amp;O1159)+COUNTIFS($O$5:$O$1517,O1159,$B$5:$B$1517,"&lt;"&amp;B1159)+COUNTIFS($O$5:$O$1517,O1159,$B$5:$B$1517,B1159,$C$5:$C$1517,"&lt;"&amp;C1159),"")</f>
        <v>142</v>
      </c>
      <c r="U1159" s="8" t="n">
        <f aca="false">IF($K1159=1,COUNTIFS($L$5:$L$1517,"&gt;="&amp;L1159,$K$5:$K$1517,1)/COUNTIF($L$5:$L$1517,"&gt;="&amp;L1159),0)</f>
        <v>0</v>
      </c>
      <c r="V1159" s="8" t="n">
        <f aca="false">IF($K1159=1,COUNTIFS($M$5:$M$1517,"&gt;="&amp;M1159,$K$5:$K$1517,1)/COUNTIF($M$5:$M$1517,"&gt;="&amp;M1159),0)</f>
        <v>0</v>
      </c>
      <c r="W1159" s="8" t="n">
        <f aca="false">IF($K1159=1,COUNTIFS($N$5:$N$1517,"&gt;="&amp;N1159,$K$5:$K$1517,1)/COUNTIF($N$5:$N$1517,"&gt;="&amp;N1159),0)</f>
        <v>0</v>
      </c>
      <c r="X1159" s="8" t="n">
        <f aca="false">IF($K1159=1,COUNTIFS($O$5:$O$1517,"&gt;="&amp;O1159,$K$5:$K$1517,1)/COUNTIF($O$5:$O$1517,"&gt;="&amp;O1159),0)</f>
        <v>0</v>
      </c>
      <c r="Y1159" s="8" t="n">
        <f aca="false">IF($K1159=1,COUNTIFS($P$5:$P$1517,"&gt;="&amp;P1159,$K$5:$K$1517,1)/COUNTIF($P$5:$P$1517,"&gt;="&amp;P1159),0)</f>
        <v>0</v>
      </c>
      <c r="Z1159" s="8" t="n">
        <f aca="false">(L1159-$K1159)^2</f>
        <v>0.503367546256</v>
      </c>
      <c r="AA1159" s="8" t="n">
        <f aca="false">(M1159-$K1159)^2</f>
        <v>0.008475595969</v>
      </c>
      <c r="AB1159" s="8" t="n">
        <f aca="false">(N1159-$K1159)^2</f>
        <v>0.014573801284</v>
      </c>
      <c r="AC1159" s="8" t="n">
        <f aca="false">(O1159-$K1159)^2</f>
        <v>0.011274829489</v>
      </c>
      <c r="AD1159" s="8" t="n">
        <f aca="false">(P1159-$K1159)^2</f>
        <v>0.016603868736</v>
      </c>
      <c r="AE1159" s="8" t="n">
        <f aca="false">MIN(INT(ROUND(N1159*1000000,0)/100000),9)</f>
        <v>1</v>
      </c>
      <c r="AF1159" s="8" t="n">
        <f aca="false">MIN(INT(ROUND(P1159*1000000,0)/100000),9)</f>
        <v>1</v>
      </c>
    </row>
    <row r="1160" customFormat="false" ht="15" hidden="false" customHeight="false" outlineLevel="0" collapsed="false">
      <c r="A1160" s="4" t="n">
        <v>1156</v>
      </c>
      <c r="B1160" s="4" t="n">
        <v>220</v>
      </c>
      <c r="C1160" s="4" t="n">
        <v>3</v>
      </c>
      <c r="D1160" s="11" t="n">
        <v>46143</v>
      </c>
      <c r="E1160" s="4" t="s">
        <v>203</v>
      </c>
      <c r="F1160" s="4" t="s">
        <v>206</v>
      </c>
      <c r="G1160" s="4" t="n">
        <v>3</v>
      </c>
      <c r="H1160" s="4" t="n">
        <v>8</v>
      </c>
      <c r="I1160" s="4" t="n">
        <v>0</v>
      </c>
      <c r="J1160" s="4"/>
      <c r="K1160" s="4" t="n">
        <v>0</v>
      </c>
      <c r="L1160" s="12" t="n">
        <v>0.457435</v>
      </c>
      <c r="M1160" s="12" t="n">
        <v>0.092063</v>
      </c>
      <c r="N1160" s="12" t="n">
        <v>0.068038</v>
      </c>
      <c r="O1160" s="12" t="n">
        <v>0.106183</v>
      </c>
      <c r="P1160" s="12" t="n">
        <v>0.070911</v>
      </c>
      <c r="Q1160" s="0" t="str">
        <f aca="false">IF(L1160&gt;=Models!$G$5,1+COUNTIF($L$5:$L$1517,"&gt;"&amp;L1160)+COUNTIFS($L$5:$L$1517,L1160,$B$5:$B$1517,"&lt;"&amp;B1160)+COUNTIFS($L$5:$L$1517,L1160,$B$5:$B$1517,B1160,$C$5:$C$1517,"&lt;"&amp;C1160),"")</f>
        <v/>
      </c>
      <c r="R1160" s="0" t="str">
        <f aca="false">IF(M1160&gt;=Models!$G$6,1+COUNTIF($M$5:$M$1517,"&gt;"&amp;M1160)+COUNTIFS($M$5:$M$1517,M1160,$B$5:$B$1517,"&lt;"&amp;B1160)+COUNTIFS($M$5:$M$1517,M1160,$B$5:$B$1517,B1160,$C$5:$C$1517,"&lt;"&amp;C1160),"")</f>
        <v/>
      </c>
      <c r="S1160" s="0" t="str">
        <f aca="false">IF(N1160&gt;=Models!$G$7,1+COUNTIF($N$5:$N$1517,"&gt;"&amp;N1160)+COUNTIFS($N$5:$N$1517,N1160,$B$5:$B$1517,"&lt;"&amp;B1160)+COUNTIFS($N$5:$N$1517,N1160,$B$5:$B$1517,B1160,$C$5:$C$1517,"&lt;"&amp;C1160),"")</f>
        <v/>
      </c>
      <c r="T1160" s="8" t="n">
        <f aca="false">IF(O1160&gt;=Models!$G$8,1+COUNTIF($O$5:$O$1517,"&gt;"&amp;O1160)+COUNTIFS($O$5:$O$1517,O1160,$B$5:$B$1517,"&lt;"&amp;B1160)+COUNTIFS($O$5:$O$1517,O1160,$B$5:$B$1517,B1160,$C$5:$C$1517,"&lt;"&amp;C1160),"")</f>
        <v>146</v>
      </c>
      <c r="U1160" s="8" t="n">
        <f aca="false">IF($K1160=1,COUNTIFS($L$5:$L$1517,"&gt;="&amp;L1160,$K$5:$K$1517,1)/COUNTIF($L$5:$L$1517,"&gt;="&amp;L1160),0)</f>
        <v>0</v>
      </c>
      <c r="V1160" s="8" t="n">
        <f aca="false">IF($K1160=1,COUNTIFS($M$5:$M$1517,"&gt;="&amp;M1160,$K$5:$K$1517,1)/COUNTIF($M$5:$M$1517,"&gt;="&amp;M1160),0)</f>
        <v>0</v>
      </c>
      <c r="W1160" s="8" t="n">
        <f aca="false">IF($K1160=1,COUNTIFS($N$5:$N$1517,"&gt;="&amp;N1160,$K$5:$K$1517,1)/COUNTIF($N$5:$N$1517,"&gt;="&amp;N1160),0)</f>
        <v>0</v>
      </c>
      <c r="X1160" s="8" t="n">
        <f aca="false">IF($K1160=1,COUNTIFS($O$5:$O$1517,"&gt;="&amp;O1160,$K$5:$K$1517,1)/COUNTIF($O$5:$O$1517,"&gt;="&amp;O1160),0)</f>
        <v>0</v>
      </c>
      <c r="Y1160" s="8" t="n">
        <f aca="false">IF($K1160=1,COUNTIFS($P$5:$P$1517,"&gt;="&amp;P1160,$K$5:$K$1517,1)/COUNTIF($P$5:$P$1517,"&gt;="&amp;P1160),0)</f>
        <v>0</v>
      </c>
      <c r="Z1160" s="8" t="n">
        <f aca="false">(L1160-$K1160)^2</f>
        <v>0.209246779225</v>
      </c>
      <c r="AA1160" s="8" t="n">
        <f aca="false">(M1160-$K1160)^2</f>
        <v>0.008475595969</v>
      </c>
      <c r="AB1160" s="8" t="n">
        <f aca="false">(N1160-$K1160)^2</f>
        <v>0.004629169444</v>
      </c>
      <c r="AC1160" s="8" t="n">
        <f aca="false">(O1160-$K1160)^2</f>
        <v>0.011274829489</v>
      </c>
      <c r="AD1160" s="8" t="n">
        <f aca="false">(P1160-$K1160)^2</f>
        <v>0.005028369921</v>
      </c>
      <c r="AE1160" s="8" t="n">
        <f aca="false">MIN(INT(ROUND(N1160*1000000,0)/100000),9)</f>
        <v>0</v>
      </c>
      <c r="AF1160" s="8" t="n">
        <f aca="false">MIN(INT(ROUND(P1160*1000000,0)/100000),9)</f>
        <v>0</v>
      </c>
    </row>
    <row r="1161" customFormat="false" ht="15" hidden="false" customHeight="false" outlineLevel="0" collapsed="false">
      <c r="A1161" s="4" t="n">
        <v>1157</v>
      </c>
      <c r="B1161" s="4" t="n">
        <v>228</v>
      </c>
      <c r="C1161" s="4" t="n">
        <v>3</v>
      </c>
      <c r="D1161" s="11" t="n">
        <v>46143</v>
      </c>
      <c r="E1161" s="4" t="s">
        <v>204</v>
      </c>
      <c r="F1161" s="4" t="s">
        <v>206</v>
      </c>
      <c r="G1161" s="4" t="n">
        <v>6</v>
      </c>
      <c r="H1161" s="4" t="n">
        <v>2</v>
      </c>
      <c r="I1161" s="4" t="n">
        <v>0</v>
      </c>
      <c r="J1161" s="4"/>
      <c r="K1161" s="4" t="n">
        <v>0</v>
      </c>
      <c r="L1161" s="12" t="n">
        <v>0.09438</v>
      </c>
      <c r="M1161" s="12" t="n">
        <v>0.092063</v>
      </c>
      <c r="N1161" s="12" t="n">
        <v>0.050384</v>
      </c>
      <c r="O1161" s="12" t="n">
        <v>0.106183</v>
      </c>
      <c r="P1161" s="12" t="n">
        <v>0.051803</v>
      </c>
      <c r="Q1161" s="0" t="str">
        <f aca="false">IF(L1161&gt;=Models!$G$5,1+COUNTIF($L$5:$L$1517,"&gt;"&amp;L1161)+COUNTIFS($L$5:$L$1517,L1161,$B$5:$B$1517,"&lt;"&amp;B1161)+COUNTIFS($L$5:$L$1517,L1161,$B$5:$B$1517,B1161,$C$5:$C$1517,"&lt;"&amp;C1161),"")</f>
        <v/>
      </c>
      <c r="R1161" s="0" t="str">
        <f aca="false">IF(M1161&gt;=Models!$G$6,1+COUNTIF($M$5:$M$1517,"&gt;"&amp;M1161)+COUNTIFS($M$5:$M$1517,M1161,$B$5:$B$1517,"&lt;"&amp;B1161)+COUNTIFS($M$5:$M$1517,M1161,$B$5:$B$1517,B1161,$C$5:$C$1517,"&lt;"&amp;C1161),"")</f>
        <v/>
      </c>
      <c r="S1161" s="0" t="str">
        <f aca="false">IF(N1161&gt;=Models!$G$7,1+COUNTIF($N$5:$N$1517,"&gt;"&amp;N1161)+COUNTIFS($N$5:$N$1517,N1161,$B$5:$B$1517,"&lt;"&amp;B1161)+COUNTIFS($N$5:$N$1517,N1161,$B$5:$B$1517,B1161,$C$5:$C$1517,"&lt;"&amp;C1161),"")</f>
        <v/>
      </c>
      <c r="T1161" s="8" t="n">
        <f aca="false">IF(O1161&gt;=Models!$G$8,1+COUNTIF($O$5:$O$1517,"&gt;"&amp;O1161)+COUNTIFS($O$5:$O$1517,O1161,$B$5:$B$1517,"&lt;"&amp;B1161)+COUNTIFS($O$5:$O$1517,O1161,$B$5:$B$1517,B1161,$C$5:$C$1517,"&lt;"&amp;C1161),"")</f>
        <v>150</v>
      </c>
      <c r="U1161" s="8" t="n">
        <f aca="false">IF($K1161=1,COUNTIFS($L$5:$L$1517,"&gt;="&amp;L1161,$K$5:$K$1517,1)/COUNTIF($L$5:$L$1517,"&gt;="&amp;L1161),0)</f>
        <v>0</v>
      </c>
      <c r="V1161" s="8" t="n">
        <f aca="false">IF($K1161=1,COUNTIFS($M$5:$M$1517,"&gt;="&amp;M1161,$K$5:$K$1517,1)/COUNTIF($M$5:$M$1517,"&gt;="&amp;M1161),0)</f>
        <v>0</v>
      </c>
      <c r="W1161" s="8" t="n">
        <f aca="false">IF($K1161=1,COUNTIFS($N$5:$N$1517,"&gt;="&amp;N1161,$K$5:$K$1517,1)/COUNTIF($N$5:$N$1517,"&gt;="&amp;N1161),0)</f>
        <v>0</v>
      </c>
      <c r="X1161" s="8" t="n">
        <f aca="false">IF($K1161=1,COUNTIFS($O$5:$O$1517,"&gt;="&amp;O1161,$K$5:$K$1517,1)/COUNTIF($O$5:$O$1517,"&gt;="&amp;O1161),0)</f>
        <v>0</v>
      </c>
      <c r="Y1161" s="8" t="n">
        <f aca="false">IF($K1161=1,COUNTIFS($P$5:$P$1517,"&gt;="&amp;P1161,$K$5:$K$1517,1)/COUNTIF($P$5:$P$1517,"&gt;="&amp;P1161),0)</f>
        <v>0</v>
      </c>
      <c r="Z1161" s="8" t="n">
        <f aca="false">(L1161-$K1161)^2</f>
        <v>0.0089075844</v>
      </c>
      <c r="AA1161" s="8" t="n">
        <f aca="false">(M1161-$K1161)^2</f>
        <v>0.008475595969</v>
      </c>
      <c r="AB1161" s="8" t="n">
        <f aca="false">(N1161-$K1161)^2</f>
        <v>0.002538547456</v>
      </c>
      <c r="AC1161" s="8" t="n">
        <f aca="false">(O1161-$K1161)^2</f>
        <v>0.011274829489</v>
      </c>
      <c r="AD1161" s="8" t="n">
        <f aca="false">(P1161-$K1161)^2</f>
        <v>0.002683550809</v>
      </c>
      <c r="AE1161" s="8" t="n">
        <f aca="false">MIN(INT(ROUND(N1161*1000000,0)/100000),9)</f>
        <v>0</v>
      </c>
      <c r="AF1161" s="8" t="n">
        <f aca="false">MIN(INT(ROUND(P1161*1000000,0)/100000),9)</f>
        <v>0</v>
      </c>
    </row>
    <row r="1162" customFormat="false" ht="15" hidden="false" customHeight="false" outlineLevel="0" collapsed="false">
      <c r="A1162" s="4" t="n">
        <v>1158</v>
      </c>
      <c r="B1162" s="4" t="n">
        <v>229</v>
      </c>
      <c r="C1162" s="4" t="n">
        <v>3</v>
      </c>
      <c r="D1162" s="11" t="n">
        <v>46143</v>
      </c>
      <c r="E1162" s="4" t="s">
        <v>204</v>
      </c>
      <c r="F1162" s="4" t="s">
        <v>206</v>
      </c>
      <c r="G1162" s="4" t="n">
        <v>2</v>
      </c>
      <c r="H1162" s="4" t="n">
        <v>1</v>
      </c>
      <c r="I1162" s="4" t="n">
        <v>0</v>
      </c>
      <c r="J1162" s="4"/>
      <c r="K1162" s="4" t="n">
        <v>0</v>
      </c>
      <c r="L1162" s="12" t="n">
        <v>0.99596</v>
      </c>
      <c r="M1162" s="12" t="n">
        <v>0.092063</v>
      </c>
      <c r="N1162" s="12" t="n">
        <v>0.070136</v>
      </c>
      <c r="O1162" s="12" t="n">
        <v>0.106183</v>
      </c>
      <c r="P1162" s="12" t="n">
        <v>0.073196</v>
      </c>
      <c r="Q1162" s="8" t="n">
        <f aca="false">IF(L1162&gt;=Models!$G$5,1+COUNTIF($L$5:$L$1517,"&gt;"&amp;L1162)+COUNTIFS($L$5:$L$1517,L1162,$B$5:$B$1517,"&lt;"&amp;B1162)+COUNTIFS($L$5:$L$1517,L1162,$B$5:$B$1517,B1162,$C$5:$C$1517,"&lt;"&amp;C1162),"")</f>
        <v>5</v>
      </c>
      <c r="R1162" s="0" t="str">
        <f aca="false">IF(M1162&gt;=Models!$G$6,1+COUNTIF($M$5:$M$1517,"&gt;"&amp;M1162)+COUNTIFS($M$5:$M$1517,M1162,$B$5:$B$1517,"&lt;"&amp;B1162)+COUNTIFS($M$5:$M$1517,M1162,$B$5:$B$1517,B1162,$C$5:$C$1517,"&lt;"&amp;C1162),"")</f>
        <v/>
      </c>
      <c r="S1162" s="0" t="str">
        <f aca="false">IF(N1162&gt;=Models!$G$7,1+COUNTIF($N$5:$N$1517,"&gt;"&amp;N1162)+COUNTIFS($N$5:$N$1517,N1162,$B$5:$B$1517,"&lt;"&amp;B1162)+COUNTIFS($N$5:$N$1517,N1162,$B$5:$B$1517,B1162,$C$5:$C$1517,"&lt;"&amp;C1162),"")</f>
        <v/>
      </c>
      <c r="T1162" s="8" t="n">
        <f aca="false">IF(O1162&gt;=Models!$G$8,1+COUNTIF($O$5:$O$1517,"&gt;"&amp;O1162)+COUNTIFS($O$5:$O$1517,O1162,$B$5:$B$1517,"&lt;"&amp;B1162)+COUNTIFS($O$5:$O$1517,O1162,$B$5:$B$1517,B1162,$C$5:$C$1517,"&lt;"&amp;C1162),"")</f>
        <v>154</v>
      </c>
      <c r="U1162" s="8" t="n">
        <f aca="false">IF($K1162=1,COUNTIFS($L$5:$L$1517,"&gt;="&amp;L1162,$K$5:$K$1517,1)/COUNTIF($L$5:$L$1517,"&gt;="&amp;L1162),0)</f>
        <v>0</v>
      </c>
      <c r="V1162" s="8" t="n">
        <f aca="false">IF($K1162=1,COUNTIFS($M$5:$M$1517,"&gt;="&amp;M1162,$K$5:$K$1517,1)/COUNTIF($M$5:$M$1517,"&gt;="&amp;M1162),0)</f>
        <v>0</v>
      </c>
      <c r="W1162" s="8" t="n">
        <f aca="false">IF($K1162=1,COUNTIFS($N$5:$N$1517,"&gt;="&amp;N1162,$K$5:$K$1517,1)/COUNTIF($N$5:$N$1517,"&gt;="&amp;N1162),0)</f>
        <v>0</v>
      </c>
      <c r="X1162" s="8" t="n">
        <f aca="false">IF($K1162=1,COUNTIFS($O$5:$O$1517,"&gt;="&amp;O1162,$K$5:$K$1517,1)/COUNTIF($O$5:$O$1517,"&gt;="&amp;O1162),0)</f>
        <v>0</v>
      </c>
      <c r="Y1162" s="8" t="n">
        <f aca="false">IF($K1162=1,COUNTIFS($P$5:$P$1517,"&gt;="&amp;P1162,$K$5:$K$1517,1)/COUNTIF($P$5:$P$1517,"&gt;="&amp;P1162),0)</f>
        <v>0</v>
      </c>
      <c r="Z1162" s="8" t="n">
        <f aca="false">(L1162-$K1162)^2</f>
        <v>0.9919363216</v>
      </c>
      <c r="AA1162" s="8" t="n">
        <f aca="false">(M1162-$K1162)^2</f>
        <v>0.008475595969</v>
      </c>
      <c r="AB1162" s="8" t="n">
        <f aca="false">(N1162-$K1162)^2</f>
        <v>0.004919058496</v>
      </c>
      <c r="AC1162" s="8" t="n">
        <f aca="false">(O1162-$K1162)^2</f>
        <v>0.011274829489</v>
      </c>
      <c r="AD1162" s="8" t="n">
        <f aca="false">(P1162-$K1162)^2</f>
        <v>0.005357654416</v>
      </c>
      <c r="AE1162" s="8" t="n">
        <f aca="false">MIN(INT(ROUND(N1162*1000000,0)/100000),9)</f>
        <v>0</v>
      </c>
      <c r="AF1162" s="8" t="n">
        <f aca="false">MIN(INT(ROUND(P1162*1000000,0)/100000),9)</f>
        <v>0</v>
      </c>
    </row>
    <row r="1163" customFormat="false" ht="15" hidden="false" customHeight="false" outlineLevel="0" collapsed="false">
      <c r="A1163" s="4" t="n">
        <v>1159</v>
      </c>
      <c r="B1163" s="4" t="n">
        <v>232</v>
      </c>
      <c r="C1163" s="4" t="n">
        <v>3</v>
      </c>
      <c r="D1163" s="11" t="n">
        <v>46143</v>
      </c>
      <c r="E1163" s="4" t="s">
        <v>202</v>
      </c>
      <c r="F1163" s="4" t="s">
        <v>206</v>
      </c>
      <c r="G1163" s="4" t="n">
        <v>4</v>
      </c>
      <c r="H1163" s="4" t="n">
        <v>7</v>
      </c>
      <c r="I1163" s="4" t="n">
        <v>0</v>
      </c>
      <c r="J1163" s="4"/>
      <c r="K1163" s="4" t="n">
        <v>0</v>
      </c>
      <c r="L1163" s="12" t="n">
        <v>0.013363</v>
      </c>
      <c r="M1163" s="12" t="n">
        <v>0.092063</v>
      </c>
      <c r="N1163" s="12" t="n">
        <v>0.062069</v>
      </c>
      <c r="O1163" s="12" t="n">
        <v>0.106183</v>
      </c>
      <c r="P1163" s="12" t="n">
        <v>0.064426</v>
      </c>
      <c r="Q1163" s="0" t="str">
        <f aca="false">IF(L1163&gt;=Models!$G$5,1+COUNTIF($L$5:$L$1517,"&gt;"&amp;L1163)+COUNTIFS($L$5:$L$1517,L1163,$B$5:$B$1517,"&lt;"&amp;B1163)+COUNTIFS($L$5:$L$1517,L1163,$B$5:$B$1517,B1163,$C$5:$C$1517,"&lt;"&amp;C1163),"")</f>
        <v/>
      </c>
      <c r="R1163" s="0" t="str">
        <f aca="false">IF(M1163&gt;=Models!$G$6,1+COUNTIF($M$5:$M$1517,"&gt;"&amp;M1163)+COUNTIFS($M$5:$M$1517,M1163,$B$5:$B$1517,"&lt;"&amp;B1163)+COUNTIFS($M$5:$M$1517,M1163,$B$5:$B$1517,B1163,$C$5:$C$1517,"&lt;"&amp;C1163),"")</f>
        <v/>
      </c>
      <c r="S1163" s="0" t="str">
        <f aca="false">IF(N1163&gt;=Models!$G$7,1+COUNTIF($N$5:$N$1517,"&gt;"&amp;N1163)+COUNTIFS($N$5:$N$1517,N1163,$B$5:$B$1517,"&lt;"&amp;B1163)+COUNTIFS($N$5:$N$1517,N1163,$B$5:$B$1517,B1163,$C$5:$C$1517,"&lt;"&amp;C1163),"")</f>
        <v/>
      </c>
      <c r="T1163" s="8" t="n">
        <f aca="false">IF(O1163&gt;=Models!$G$8,1+COUNTIF($O$5:$O$1517,"&gt;"&amp;O1163)+COUNTIFS($O$5:$O$1517,O1163,$B$5:$B$1517,"&lt;"&amp;B1163)+COUNTIFS($O$5:$O$1517,O1163,$B$5:$B$1517,B1163,$C$5:$C$1517,"&lt;"&amp;C1163),"")</f>
        <v>161</v>
      </c>
      <c r="U1163" s="8" t="n">
        <f aca="false">IF($K1163=1,COUNTIFS($L$5:$L$1517,"&gt;="&amp;L1163,$K$5:$K$1517,1)/COUNTIF($L$5:$L$1517,"&gt;="&amp;L1163),0)</f>
        <v>0</v>
      </c>
      <c r="V1163" s="8" t="n">
        <f aca="false">IF($K1163=1,COUNTIFS($M$5:$M$1517,"&gt;="&amp;M1163,$K$5:$K$1517,1)/COUNTIF($M$5:$M$1517,"&gt;="&amp;M1163),0)</f>
        <v>0</v>
      </c>
      <c r="W1163" s="8" t="n">
        <f aca="false">IF($K1163=1,COUNTIFS($N$5:$N$1517,"&gt;="&amp;N1163,$K$5:$K$1517,1)/COUNTIF($N$5:$N$1517,"&gt;="&amp;N1163),0)</f>
        <v>0</v>
      </c>
      <c r="X1163" s="8" t="n">
        <f aca="false">IF($K1163=1,COUNTIFS($O$5:$O$1517,"&gt;="&amp;O1163,$K$5:$K$1517,1)/COUNTIF($O$5:$O$1517,"&gt;="&amp;O1163),0)</f>
        <v>0</v>
      </c>
      <c r="Y1163" s="8" t="n">
        <f aca="false">IF($K1163=1,COUNTIFS($P$5:$P$1517,"&gt;="&amp;P1163,$K$5:$K$1517,1)/COUNTIF($P$5:$P$1517,"&gt;="&amp;P1163),0)</f>
        <v>0</v>
      </c>
      <c r="Z1163" s="8" t="n">
        <f aca="false">(L1163-$K1163)^2</f>
        <v>0.000178569769</v>
      </c>
      <c r="AA1163" s="8" t="n">
        <f aca="false">(M1163-$K1163)^2</f>
        <v>0.008475595969</v>
      </c>
      <c r="AB1163" s="8" t="n">
        <f aca="false">(N1163-$K1163)^2</f>
        <v>0.003852560761</v>
      </c>
      <c r="AC1163" s="8" t="n">
        <f aca="false">(O1163-$K1163)^2</f>
        <v>0.011274829489</v>
      </c>
      <c r="AD1163" s="8" t="n">
        <f aca="false">(P1163-$K1163)^2</f>
        <v>0.004150709476</v>
      </c>
      <c r="AE1163" s="8" t="n">
        <f aca="false">MIN(INT(ROUND(N1163*1000000,0)/100000),9)</f>
        <v>0</v>
      </c>
      <c r="AF1163" s="8" t="n">
        <f aca="false">MIN(INT(ROUND(P1163*1000000,0)/100000),9)</f>
        <v>0</v>
      </c>
    </row>
    <row r="1164" customFormat="false" ht="15" hidden="false" customHeight="false" outlineLevel="0" collapsed="false">
      <c r="A1164" s="4" t="n">
        <v>1160</v>
      </c>
      <c r="B1164" s="4" t="n">
        <v>236</v>
      </c>
      <c r="C1164" s="4" t="n">
        <v>3</v>
      </c>
      <c r="D1164" s="11" t="n">
        <v>46143</v>
      </c>
      <c r="E1164" s="4" t="s">
        <v>201</v>
      </c>
      <c r="F1164" s="4" t="s">
        <v>210</v>
      </c>
      <c r="G1164" s="4" t="n">
        <v>7</v>
      </c>
      <c r="H1164" s="4" t="n">
        <v>0</v>
      </c>
      <c r="I1164" s="4" t="n">
        <v>0</v>
      </c>
      <c r="J1164" s="4" t="n">
        <v>8850</v>
      </c>
      <c r="K1164" s="4" t="n">
        <v>0</v>
      </c>
      <c r="L1164" s="12" t="n">
        <v>0.353861</v>
      </c>
      <c r="M1164" s="12" t="n">
        <v>0.092063</v>
      </c>
      <c r="N1164" s="12" t="n">
        <v>0.057329</v>
      </c>
      <c r="O1164" s="12" t="n">
        <v>0.106183</v>
      </c>
      <c r="P1164" s="12" t="n">
        <v>0.059292</v>
      </c>
      <c r="Q1164" s="0" t="str">
        <f aca="false">IF(L1164&gt;=Models!$G$5,1+COUNTIF($L$5:$L$1517,"&gt;"&amp;L1164)+COUNTIFS($L$5:$L$1517,L1164,$B$5:$B$1517,"&lt;"&amp;B1164)+COUNTIFS($L$5:$L$1517,L1164,$B$5:$B$1517,B1164,$C$5:$C$1517,"&lt;"&amp;C1164),"")</f>
        <v/>
      </c>
      <c r="R1164" s="0" t="str">
        <f aca="false">IF(M1164&gt;=Models!$G$6,1+COUNTIF($M$5:$M$1517,"&gt;"&amp;M1164)+COUNTIFS($M$5:$M$1517,M1164,$B$5:$B$1517,"&lt;"&amp;B1164)+COUNTIFS($M$5:$M$1517,M1164,$B$5:$B$1517,B1164,$C$5:$C$1517,"&lt;"&amp;C1164),"")</f>
        <v/>
      </c>
      <c r="S1164" s="0" t="str">
        <f aca="false">IF(N1164&gt;=Models!$G$7,1+COUNTIF($N$5:$N$1517,"&gt;"&amp;N1164)+COUNTIFS($N$5:$N$1517,N1164,$B$5:$B$1517,"&lt;"&amp;B1164)+COUNTIFS($N$5:$N$1517,N1164,$B$5:$B$1517,B1164,$C$5:$C$1517,"&lt;"&amp;C1164),"")</f>
        <v/>
      </c>
      <c r="T1164" s="8" t="n">
        <f aca="false">IF(O1164&gt;=Models!$G$8,1+COUNTIF($O$5:$O$1517,"&gt;"&amp;O1164)+COUNTIFS($O$5:$O$1517,O1164,$B$5:$B$1517,"&lt;"&amp;B1164)+COUNTIFS($O$5:$O$1517,O1164,$B$5:$B$1517,B1164,$C$5:$C$1517,"&lt;"&amp;C1164),"")</f>
        <v>165</v>
      </c>
      <c r="U1164" s="8" t="n">
        <f aca="false">IF($K1164=1,COUNTIFS($L$5:$L$1517,"&gt;="&amp;L1164,$K$5:$K$1517,1)/COUNTIF($L$5:$L$1517,"&gt;="&amp;L1164),0)</f>
        <v>0</v>
      </c>
      <c r="V1164" s="8" t="n">
        <f aca="false">IF($K1164=1,COUNTIFS($M$5:$M$1517,"&gt;="&amp;M1164,$K$5:$K$1517,1)/COUNTIF($M$5:$M$1517,"&gt;="&amp;M1164),0)</f>
        <v>0</v>
      </c>
      <c r="W1164" s="8" t="n">
        <f aca="false">IF($K1164=1,COUNTIFS($N$5:$N$1517,"&gt;="&amp;N1164,$K$5:$K$1517,1)/COUNTIF($N$5:$N$1517,"&gt;="&amp;N1164),0)</f>
        <v>0</v>
      </c>
      <c r="X1164" s="8" t="n">
        <f aca="false">IF($K1164=1,COUNTIFS($O$5:$O$1517,"&gt;="&amp;O1164,$K$5:$K$1517,1)/COUNTIF($O$5:$O$1517,"&gt;="&amp;O1164),0)</f>
        <v>0</v>
      </c>
      <c r="Y1164" s="8" t="n">
        <f aca="false">IF($K1164=1,COUNTIFS($P$5:$P$1517,"&gt;="&amp;P1164,$K$5:$K$1517,1)/COUNTIF($P$5:$P$1517,"&gt;="&amp;P1164),0)</f>
        <v>0</v>
      </c>
      <c r="Z1164" s="8" t="n">
        <f aca="false">(L1164-$K1164)^2</f>
        <v>0.125217607321</v>
      </c>
      <c r="AA1164" s="8" t="n">
        <f aca="false">(M1164-$K1164)^2</f>
        <v>0.008475595969</v>
      </c>
      <c r="AB1164" s="8" t="n">
        <f aca="false">(N1164-$K1164)^2</f>
        <v>0.003286614241</v>
      </c>
      <c r="AC1164" s="8" t="n">
        <f aca="false">(O1164-$K1164)^2</f>
        <v>0.011274829489</v>
      </c>
      <c r="AD1164" s="8" t="n">
        <f aca="false">(P1164-$K1164)^2</f>
        <v>0.003515541264</v>
      </c>
      <c r="AE1164" s="8" t="n">
        <f aca="false">MIN(INT(ROUND(N1164*1000000,0)/100000),9)</f>
        <v>0</v>
      </c>
      <c r="AF1164" s="8" t="n">
        <f aca="false">MIN(INT(ROUND(P1164*1000000,0)/100000),9)</f>
        <v>0</v>
      </c>
    </row>
    <row r="1165" customFormat="false" ht="15" hidden="false" customHeight="false" outlineLevel="0" collapsed="false">
      <c r="A1165" s="4" t="n">
        <v>1161</v>
      </c>
      <c r="B1165" s="4" t="n">
        <v>237</v>
      </c>
      <c r="C1165" s="4" t="n">
        <v>3</v>
      </c>
      <c r="D1165" s="11" t="n">
        <v>46143</v>
      </c>
      <c r="E1165" s="4" t="s">
        <v>202</v>
      </c>
      <c r="F1165" s="4" t="s">
        <v>206</v>
      </c>
      <c r="G1165" s="4" t="n">
        <v>6</v>
      </c>
      <c r="H1165" s="4" t="n">
        <v>9</v>
      </c>
      <c r="I1165" s="4" t="n">
        <v>0</v>
      </c>
      <c r="J1165" s="4"/>
      <c r="K1165" s="4" t="n">
        <v>0</v>
      </c>
      <c r="L1165" s="12" t="n">
        <v>0.623852</v>
      </c>
      <c r="M1165" s="12" t="n">
        <v>0.092063</v>
      </c>
      <c r="N1165" s="12" t="n">
        <v>0.053201</v>
      </c>
      <c r="O1165" s="12" t="n">
        <v>0.106183</v>
      </c>
      <c r="P1165" s="12" t="n">
        <v>0.054836</v>
      </c>
      <c r="Q1165" s="0" t="str">
        <f aca="false">IF(L1165&gt;=Models!$G$5,1+COUNTIF($L$5:$L$1517,"&gt;"&amp;L1165)+COUNTIFS($L$5:$L$1517,L1165,$B$5:$B$1517,"&lt;"&amp;B1165)+COUNTIFS($L$5:$L$1517,L1165,$B$5:$B$1517,B1165,$C$5:$C$1517,"&lt;"&amp;C1165),"")</f>
        <v/>
      </c>
      <c r="R1165" s="0" t="str">
        <f aca="false">IF(M1165&gt;=Models!$G$6,1+COUNTIF($M$5:$M$1517,"&gt;"&amp;M1165)+COUNTIFS($M$5:$M$1517,M1165,$B$5:$B$1517,"&lt;"&amp;B1165)+COUNTIFS($M$5:$M$1517,M1165,$B$5:$B$1517,B1165,$C$5:$C$1517,"&lt;"&amp;C1165),"")</f>
        <v/>
      </c>
      <c r="S1165" s="0" t="str">
        <f aca="false">IF(N1165&gt;=Models!$G$7,1+COUNTIF($N$5:$N$1517,"&gt;"&amp;N1165)+COUNTIFS($N$5:$N$1517,N1165,$B$5:$B$1517,"&lt;"&amp;B1165)+COUNTIFS($N$5:$N$1517,N1165,$B$5:$B$1517,B1165,$C$5:$C$1517,"&lt;"&amp;C1165),"")</f>
        <v/>
      </c>
      <c r="T1165" s="8" t="n">
        <f aca="false">IF(O1165&gt;=Models!$G$8,1+COUNTIF($O$5:$O$1517,"&gt;"&amp;O1165)+COUNTIFS($O$5:$O$1517,O1165,$B$5:$B$1517,"&lt;"&amp;B1165)+COUNTIFS($O$5:$O$1517,O1165,$B$5:$B$1517,B1165,$C$5:$C$1517,"&lt;"&amp;C1165),"")</f>
        <v>169</v>
      </c>
      <c r="U1165" s="8" t="n">
        <f aca="false">IF($K1165=1,COUNTIFS($L$5:$L$1517,"&gt;="&amp;L1165,$K$5:$K$1517,1)/COUNTIF($L$5:$L$1517,"&gt;="&amp;L1165),0)</f>
        <v>0</v>
      </c>
      <c r="V1165" s="8" t="n">
        <f aca="false">IF($K1165=1,COUNTIFS($M$5:$M$1517,"&gt;="&amp;M1165,$K$5:$K$1517,1)/COUNTIF($M$5:$M$1517,"&gt;="&amp;M1165),0)</f>
        <v>0</v>
      </c>
      <c r="W1165" s="8" t="n">
        <f aca="false">IF($K1165=1,COUNTIFS($N$5:$N$1517,"&gt;="&amp;N1165,$K$5:$K$1517,1)/COUNTIF($N$5:$N$1517,"&gt;="&amp;N1165),0)</f>
        <v>0</v>
      </c>
      <c r="X1165" s="8" t="n">
        <f aca="false">IF($K1165=1,COUNTIFS($O$5:$O$1517,"&gt;="&amp;O1165,$K$5:$K$1517,1)/COUNTIF($O$5:$O$1517,"&gt;="&amp;O1165),0)</f>
        <v>0</v>
      </c>
      <c r="Y1165" s="8" t="n">
        <f aca="false">IF($K1165=1,COUNTIFS($P$5:$P$1517,"&gt;="&amp;P1165,$K$5:$K$1517,1)/COUNTIF($P$5:$P$1517,"&gt;="&amp;P1165),0)</f>
        <v>0</v>
      </c>
      <c r="Z1165" s="8" t="n">
        <f aca="false">(L1165-$K1165)^2</f>
        <v>0.389191317904</v>
      </c>
      <c r="AA1165" s="8" t="n">
        <f aca="false">(M1165-$K1165)^2</f>
        <v>0.008475595969</v>
      </c>
      <c r="AB1165" s="8" t="n">
        <f aca="false">(N1165-$K1165)^2</f>
        <v>0.002830346401</v>
      </c>
      <c r="AC1165" s="8" t="n">
        <f aca="false">(O1165-$K1165)^2</f>
        <v>0.011274829489</v>
      </c>
      <c r="AD1165" s="8" t="n">
        <f aca="false">(P1165-$K1165)^2</f>
        <v>0.003006986896</v>
      </c>
      <c r="AE1165" s="8" t="n">
        <f aca="false">MIN(INT(ROUND(N1165*1000000,0)/100000),9)</f>
        <v>0</v>
      </c>
      <c r="AF1165" s="8" t="n">
        <f aca="false">MIN(INT(ROUND(P1165*1000000,0)/100000),9)</f>
        <v>0</v>
      </c>
    </row>
    <row r="1166" customFormat="false" ht="15" hidden="false" customHeight="false" outlineLevel="0" collapsed="false">
      <c r="A1166" s="4" t="n">
        <v>1162</v>
      </c>
      <c r="B1166" s="4" t="n">
        <v>249</v>
      </c>
      <c r="C1166" s="4" t="n">
        <v>3</v>
      </c>
      <c r="D1166" s="11" t="n">
        <v>46143</v>
      </c>
      <c r="E1166" s="4" t="s">
        <v>203</v>
      </c>
      <c r="F1166" s="4" t="s">
        <v>206</v>
      </c>
      <c r="G1166" s="4" t="n">
        <v>4</v>
      </c>
      <c r="H1166" s="4" t="n">
        <v>9</v>
      </c>
      <c r="I1166" s="4" t="n">
        <v>0</v>
      </c>
      <c r="J1166" s="4" t="n">
        <v>315</v>
      </c>
      <c r="K1166" s="4" t="n">
        <v>0</v>
      </c>
      <c r="L1166" s="12" t="n">
        <v>0.358864</v>
      </c>
      <c r="M1166" s="12" t="n">
        <v>0.092063</v>
      </c>
      <c r="N1166" s="12" t="n">
        <v>0.123406</v>
      </c>
      <c r="O1166" s="12" t="n">
        <v>0.106183</v>
      </c>
      <c r="P1166" s="12" t="n">
        <v>0.13183</v>
      </c>
      <c r="Q1166" s="0" t="str">
        <f aca="false">IF(L1166&gt;=Models!$G$5,1+COUNTIF($L$5:$L$1517,"&gt;"&amp;L1166)+COUNTIFS($L$5:$L$1517,L1166,$B$5:$B$1517,"&lt;"&amp;B1166)+COUNTIFS($L$5:$L$1517,L1166,$B$5:$B$1517,B1166,$C$5:$C$1517,"&lt;"&amp;C1166),"")</f>
        <v/>
      </c>
      <c r="R1166" s="0" t="str">
        <f aca="false">IF(M1166&gt;=Models!$G$6,1+COUNTIF($M$5:$M$1517,"&gt;"&amp;M1166)+COUNTIFS($M$5:$M$1517,M1166,$B$5:$B$1517,"&lt;"&amp;B1166)+COUNTIFS($M$5:$M$1517,M1166,$B$5:$B$1517,B1166,$C$5:$C$1517,"&lt;"&amp;C1166),"")</f>
        <v/>
      </c>
      <c r="S1166" s="0" t="str">
        <f aca="false">IF(N1166&gt;=Models!$G$7,1+COUNTIF($N$5:$N$1517,"&gt;"&amp;N1166)+COUNTIFS($N$5:$N$1517,N1166,$B$5:$B$1517,"&lt;"&amp;B1166)+COUNTIFS($N$5:$N$1517,N1166,$B$5:$B$1517,B1166,$C$5:$C$1517,"&lt;"&amp;C1166),"")</f>
        <v/>
      </c>
      <c r="T1166" s="8" t="n">
        <f aca="false">IF(O1166&gt;=Models!$G$8,1+COUNTIF($O$5:$O$1517,"&gt;"&amp;O1166)+COUNTIFS($O$5:$O$1517,O1166,$B$5:$B$1517,"&lt;"&amp;B1166)+COUNTIFS($O$5:$O$1517,O1166,$B$5:$B$1517,B1166,$C$5:$C$1517,"&lt;"&amp;C1166),"")</f>
        <v>173</v>
      </c>
      <c r="U1166" s="8" t="n">
        <f aca="false">IF($K1166=1,COUNTIFS($L$5:$L$1517,"&gt;="&amp;L1166,$K$5:$K$1517,1)/COUNTIF($L$5:$L$1517,"&gt;="&amp;L1166),0)</f>
        <v>0</v>
      </c>
      <c r="V1166" s="8" t="n">
        <f aca="false">IF($K1166=1,COUNTIFS($M$5:$M$1517,"&gt;="&amp;M1166,$K$5:$K$1517,1)/COUNTIF($M$5:$M$1517,"&gt;="&amp;M1166),0)</f>
        <v>0</v>
      </c>
      <c r="W1166" s="8" t="n">
        <f aca="false">IF($K1166=1,COUNTIFS($N$5:$N$1517,"&gt;="&amp;N1166,$K$5:$K$1517,1)/COUNTIF($N$5:$N$1517,"&gt;="&amp;N1166),0)</f>
        <v>0</v>
      </c>
      <c r="X1166" s="8" t="n">
        <f aca="false">IF($K1166=1,COUNTIFS($O$5:$O$1517,"&gt;="&amp;O1166,$K$5:$K$1517,1)/COUNTIF($O$5:$O$1517,"&gt;="&amp;O1166),0)</f>
        <v>0</v>
      </c>
      <c r="Y1166" s="8" t="n">
        <f aca="false">IF($K1166=1,COUNTIFS($P$5:$P$1517,"&gt;="&amp;P1166,$K$5:$K$1517,1)/COUNTIF($P$5:$P$1517,"&gt;="&amp;P1166),0)</f>
        <v>0</v>
      </c>
      <c r="Z1166" s="8" t="n">
        <f aca="false">(L1166-$K1166)^2</f>
        <v>0.128783370496</v>
      </c>
      <c r="AA1166" s="8" t="n">
        <f aca="false">(M1166-$K1166)^2</f>
        <v>0.008475595969</v>
      </c>
      <c r="AB1166" s="8" t="n">
        <f aca="false">(N1166-$K1166)^2</f>
        <v>0.015229040836</v>
      </c>
      <c r="AC1166" s="8" t="n">
        <f aca="false">(O1166-$K1166)^2</f>
        <v>0.011274829489</v>
      </c>
      <c r="AD1166" s="8" t="n">
        <f aca="false">(P1166-$K1166)^2</f>
        <v>0.0173791489</v>
      </c>
      <c r="AE1166" s="8" t="n">
        <f aca="false">MIN(INT(ROUND(N1166*1000000,0)/100000),9)</f>
        <v>1</v>
      </c>
      <c r="AF1166" s="8" t="n">
        <f aca="false">MIN(INT(ROUND(P1166*1000000,0)/100000),9)</f>
        <v>1</v>
      </c>
    </row>
    <row r="1167" customFormat="false" ht="15" hidden="false" customHeight="false" outlineLevel="0" collapsed="false">
      <c r="A1167" s="4" t="n">
        <v>1163</v>
      </c>
      <c r="B1167" s="4" t="n">
        <v>253</v>
      </c>
      <c r="C1167" s="4" t="n">
        <v>3</v>
      </c>
      <c r="D1167" s="11" t="n">
        <v>46143</v>
      </c>
      <c r="E1167" s="4" t="s">
        <v>201</v>
      </c>
      <c r="F1167" s="4" t="s">
        <v>206</v>
      </c>
      <c r="G1167" s="4" t="n">
        <v>13</v>
      </c>
      <c r="H1167" s="4" t="n">
        <v>3</v>
      </c>
      <c r="I1167" s="4" t="n">
        <v>1</v>
      </c>
      <c r="J1167" s="4"/>
      <c r="K1167" s="4" t="n">
        <v>0</v>
      </c>
      <c r="L1167" s="12" t="n">
        <v>0.839229</v>
      </c>
      <c r="M1167" s="12" t="n">
        <v>0.184211</v>
      </c>
      <c r="N1167" s="12" t="n">
        <v>0.049168</v>
      </c>
      <c r="O1167" s="12" t="n">
        <v>0.106183</v>
      </c>
      <c r="P1167" s="12" t="n">
        <v>0.050496</v>
      </c>
      <c r="Q1167" s="0" t="str">
        <f aca="false">IF(L1167&gt;=Models!$G$5,1+COUNTIF($L$5:$L$1517,"&gt;"&amp;L1167)+COUNTIFS($L$5:$L$1517,L1167,$B$5:$B$1517,"&lt;"&amp;B1167)+COUNTIFS($L$5:$L$1517,L1167,$B$5:$B$1517,B1167,$C$5:$C$1517,"&lt;"&amp;C1167),"")</f>
        <v/>
      </c>
      <c r="R1167" s="8" t="n">
        <f aca="false">IF(M1167&gt;=Models!$G$6,1+COUNTIF($M$5:$M$1517,"&gt;"&amp;M1167)+COUNTIFS($M$5:$M$1517,M1167,$B$5:$B$1517,"&lt;"&amp;B1167)+COUNTIFS($M$5:$M$1517,M1167,$B$5:$B$1517,B1167,$C$5:$C$1517,"&lt;"&amp;C1167),"")</f>
        <v>22</v>
      </c>
      <c r="S1167" s="0" t="str">
        <f aca="false">IF(N1167&gt;=Models!$G$7,1+COUNTIF($N$5:$N$1517,"&gt;"&amp;N1167)+COUNTIFS($N$5:$N$1517,N1167,$B$5:$B$1517,"&lt;"&amp;B1167)+COUNTIFS($N$5:$N$1517,N1167,$B$5:$B$1517,B1167,$C$5:$C$1517,"&lt;"&amp;C1167),"")</f>
        <v/>
      </c>
      <c r="T1167" s="8" t="n">
        <f aca="false">IF(O1167&gt;=Models!$G$8,1+COUNTIF($O$5:$O$1517,"&gt;"&amp;O1167)+COUNTIFS($O$5:$O$1517,O1167,$B$5:$B$1517,"&lt;"&amp;B1167)+COUNTIFS($O$5:$O$1517,O1167,$B$5:$B$1517,B1167,$C$5:$C$1517,"&lt;"&amp;C1167),"")</f>
        <v>177</v>
      </c>
      <c r="U1167" s="8" t="n">
        <f aca="false">IF($K1167=1,COUNTIFS($L$5:$L$1517,"&gt;="&amp;L1167,$K$5:$K$1517,1)/COUNTIF($L$5:$L$1517,"&gt;="&amp;L1167),0)</f>
        <v>0</v>
      </c>
      <c r="V1167" s="8" t="n">
        <f aca="false">IF($K1167=1,COUNTIFS($M$5:$M$1517,"&gt;="&amp;M1167,$K$5:$K$1517,1)/COUNTIF($M$5:$M$1517,"&gt;="&amp;M1167),0)</f>
        <v>0</v>
      </c>
      <c r="W1167" s="8" t="n">
        <f aca="false">IF($K1167=1,COUNTIFS($N$5:$N$1517,"&gt;="&amp;N1167,$K$5:$K$1517,1)/COUNTIF($N$5:$N$1517,"&gt;="&amp;N1167),0)</f>
        <v>0</v>
      </c>
      <c r="X1167" s="8" t="n">
        <f aca="false">IF($K1167=1,COUNTIFS($O$5:$O$1517,"&gt;="&amp;O1167,$K$5:$K$1517,1)/COUNTIF($O$5:$O$1517,"&gt;="&amp;O1167),0)</f>
        <v>0</v>
      </c>
      <c r="Y1167" s="8" t="n">
        <f aca="false">IF($K1167=1,COUNTIFS($P$5:$P$1517,"&gt;="&amp;P1167,$K$5:$K$1517,1)/COUNTIF($P$5:$P$1517,"&gt;="&amp;P1167),0)</f>
        <v>0</v>
      </c>
      <c r="Z1167" s="8" t="n">
        <f aca="false">(L1167-$K1167)^2</f>
        <v>0.704305314441</v>
      </c>
      <c r="AA1167" s="8" t="n">
        <f aca="false">(M1167-$K1167)^2</f>
        <v>0.033933692521</v>
      </c>
      <c r="AB1167" s="8" t="n">
        <f aca="false">(N1167-$K1167)^2</f>
        <v>0.002417492224</v>
      </c>
      <c r="AC1167" s="8" t="n">
        <f aca="false">(O1167-$K1167)^2</f>
        <v>0.011274829489</v>
      </c>
      <c r="AD1167" s="8" t="n">
        <f aca="false">(P1167-$K1167)^2</f>
        <v>0.002549846016</v>
      </c>
      <c r="AE1167" s="8" t="n">
        <f aca="false">MIN(INT(ROUND(N1167*1000000,0)/100000),9)</f>
        <v>0</v>
      </c>
      <c r="AF1167" s="8" t="n">
        <f aca="false">MIN(INT(ROUND(P1167*1000000,0)/100000),9)</f>
        <v>0</v>
      </c>
    </row>
    <row r="1168" customFormat="false" ht="15" hidden="false" customHeight="false" outlineLevel="0" collapsed="false">
      <c r="A1168" s="4" t="n">
        <v>1164</v>
      </c>
      <c r="B1168" s="4" t="n">
        <v>265</v>
      </c>
      <c r="C1168" s="4" t="n">
        <v>3</v>
      </c>
      <c r="D1168" s="11" t="n">
        <v>46143</v>
      </c>
      <c r="E1168" s="4" t="s">
        <v>203</v>
      </c>
      <c r="F1168" s="4" t="s">
        <v>206</v>
      </c>
      <c r="G1168" s="4" t="n">
        <v>5</v>
      </c>
      <c r="H1168" s="4" t="n">
        <v>8</v>
      </c>
      <c r="I1168" s="4" t="n">
        <v>0</v>
      </c>
      <c r="J1168" s="4" t="n">
        <v>321</v>
      </c>
      <c r="K1168" s="4" t="n">
        <v>0</v>
      </c>
      <c r="L1168" s="12" t="n">
        <v>0.046732</v>
      </c>
      <c r="M1168" s="12" t="n">
        <v>0.092063</v>
      </c>
      <c r="N1168" s="12" t="n">
        <v>0.113136</v>
      </c>
      <c r="O1168" s="12" t="n">
        <v>0.106183</v>
      </c>
      <c r="P1168" s="12" t="n">
        <v>0.120458</v>
      </c>
      <c r="Q1168" s="0" t="str">
        <f aca="false">IF(L1168&gt;=Models!$G$5,1+COUNTIF($L$5:$L$1517,"&gt;"&amp;L1168)+COUNTIFS($L$5:$L$1517,L1168,$B$5:$B$1517,"&lt;"&amp;B1168)+COUNTIFS($L$5:$L$1517,L1168,$B$5:$B$1517,B1168,$C$5:$C$1517,"&lt;"&amp;C1168),"")</f>
        <v/>
      </c>
      <c r="R1168" s="0" t="str">
        <f aca="false">IF(M1168&gt;=Models!$G$6,1+COUNTIF($M$5:$M$1517,"&gt;"&amp;M1168)+COUNTIFS($M$5:$M$1517,M1168,$B$5:$B$1517,"&lt;"&amp;B1168)+COUNTIFS($M$5:$M$1517,M1168,$B$5:$B$1517,B1168,$C$5:$C$1517,"&lt;"&amp;C1168),"")</f>
        <v/>
      </c>
      <c r="S1168" s="0" t="str">
        <f aca="false">IF(N1168&gt;=Models!$G$7,1+COUNTIF($N$5:$N$1517,"&gt;"&amp;N1168)+COUNTIFS($N$5:$N$1517,N1168,$B$5:$B$1517,"&lt;"&amp;B1168)+COUNTIFS($N$5:$N$1517,N1168,$B$5:$B$1517,B1168,$C$5:$C$1517,"&lt;"&amp;C1168),"")</f>
        <v/>
      </c>
      <c r="T1168" s="8" t="n">
        <f aca="false">IF(O1168&gt;=Models!$G$8,1+COUNTIF($O$5:$O$1517,"&gt;"&amp;O1168)+COUNTIFS($O$5:$O$1517,O1168,$B$5:$B$1517,"&lt;"&amp;B1168)+COUNTIFS($O$5:$O$1517,O1168,$B$5:$B$1517,B1168,$C$5:$C$1517,"&lt;"&amp;C1168),"")</f>
        <v>183</v>
      </c>
      <c r="U1168" s="8" t="n">
        <f aca="false">IF($K1168=1,COUNTIFS($L$5:$L$1517,"&gt;="&amp;L1168,$K$5:$K$1517,1)/COUNTIF($L$5:$L$1517,"&gt;="&amp;L1168),0)</f>
        <v>0</v>
      </c>
      <c r="V1168" s="8" t="n">
        <f aca="false">IF($K1168=1,COUNTIFS($M$5:$M$1517,"&gt;="&amp;M1168,$K$5:$K$1517,1)/COUNTIF($M$5:$M$1517,"&gt;="&amp;M1168),0)</f>
        <v>0</v>
      </c>
      <c r="W1168" s="8" t="n">
        <f aca="false">IF($K1168=1,COUNTIFS($N$5:$N$1517,"&gt;="&amp;N1168,$K$5:$K$1517,1)/COUNTIF($N$5:$N$1517,"&gt;="&amp;N1168),0)</f>
        <v>0</v>
      </c>
      <c r="X1168" s="8" t="n">
        <f aca="false">IF($K1168=1,COUNTIFS($O$5:$O$1517,"&gt;="&amp;O1168,$K$5:$K$1517,1)/COUNTIF($O$5:$O$1517,"&gt;="&amp;O1168),0)</f>
        <v>0</v>
      </c>
      <c r="Y1168" s="8" t="n">
        <f aca="false">IF($K1168=1,COUNTIFS($P$5:$P$1517,"&gt;="&amp;P1168,$K$5:$K$1517,1)/COUNTIF($P$5:$P$1517,"&gt;="&amp;P1168),0)</f>
        <v>0</v>
      </c>
      <c r="Z1168" s="8" t="n">
        <f aca="false">(L1168-$K1168)^2</f>
        <v>0.002183879824</v>
      </c>
      <c r="AA1168" s="8" t="n">
        <f aca="false">(M1168-$K1168)^2</f>
        <v>0.008475595969</v>
      </c>
      <c r="AB1168" s="8" t="n">
        <f aca="false">(N1168-$K1168)^2</f>
        <v>0.012799754496</v>
      </c>
      <c r="AC1168" s="8" t="n">
        <f aca="false">(O1168-$K1168)^2</f>
        <v>0.011274829489</v>
      </c>
      <c r="AD1168" s="8" t="n">
        <f aca="false">(P1168-$K1168)^2</f>
        <v>0.014510129764</v>
      </c>
      <c r="AE1168" s="8" t="n">
        <f aca="false">MIN(INT(ROUND(N1168*1000000,0)/100000),9)</f>
        <v>1</v>
      </c>
      <c r="AF1168" s="8" t="n">
        <f aca="false">MIN(INT(ROUND(P1168*1000000,0)/100000),9)</f>
        <v>1</v>
      </c>
    </row>
    <row r="1169" customFormat="false" ht="15" hidden="false" customHeight="false" outlineLevel="0" collapsed="false">
      <c r="A1169" s="4" t="n">
        <v>1165</v>
      </c>
      <c r="B1169" s="4" t="n">
        <v>266</v>
      </c>
      <c r="C1169" s="4" t="n">
        <v>3</v>
      </c>
      <c r="D1169" s="11" t="n">
        <v>46143</v>
      </c>
      <c r="E1169" s="4" t="s">
        <v>203</v>
      </c>
      <c r="F1169" s="4" t="s">
        <v>209</v>
      </c>
      <c r="G1169" s="4" t="n">
        <v>11</v>
      </c>
      <c r="H1169" s="4" t="n">
        <v>2</v>
      </c>
      <c r="I1169" s="4" t="n">
        <v>0</v>
      </c>
      <c r="J1169" s="4" t="n">
        <v>303</v>
      </c>
      <c r="K1169" s="4" t="n">
        <v>0</v>
      </c>
      <c r="L1169" s="12" t="n">
        <v>0.437022</v>
      </c>
      <c r="M1169" s="12" t="n">
        <v>0.092063</v>
      </c>
      <c r="N1169" s="12" t="n">
        <v>0.066163</v>
      </c>
      <c r="O1169" s="12" t="n">
        <v>0.106183</v>
      </c>
      <c r="P1169" s="12" t="n">
        <v>0.068872</v>
      </c>
      <c r="Q1169" s="0" t="str">
        <f aca="false">IF(L1169&gt;=Models!$G$5,1+COUNTIF($L$5:$L$1517,"&gt;"&amp;L1169)+COUNTIFS($L$5:$L$1517,L1169,$B$5:$B$1517,"&lt;"&amp;B1169)+COUNTIFS($L$5:$L$1517,L1169,$B$5:$B$1517,B1169,$C$5:$C$1517,"&lt;"&amp;C1169),"")</f>
        <v/>
      </c>
      <c r="R1169" s="0" t="str">
        <f aca="false">IF(M1169&gt;=Models!$G$6,1+COUNTIF($M$5:$M$1517,"&gt;"&amp;M1169)+COUNTIFS($M$5:$M$1517,M1169,$B$5:$B$1517,"&lt;"&amp;B1169)+COUNTIFS($M$5:$M$1517,M1169,$B$5:$B$1517,B1169,$C$5:$C$1517,"&lt;"&amp;C1169),"")</f>
        <v/>
      </c>
      <c r="S1169" s="0" t="str">
        <f aca="false">IF(N1169&gt;=Models!$G$7,1+COUNTIF($N$5:$N$1517,"&gt;"&amp;N1169)+COUNTIFS($N$5:$N$1517,N1169,$B$5:$B$1517,"&lt;"&amp;B1169)+COUNTIFS($N$5:$N$1517,N1169,$B$5:$B$1517,B1169,$C$5:$C$1517,"&lt;"&amp;C1169),"")</f>
        <v/>
      </c>
      <c r="T1169" s="8" t="n">
        <f aca="false">IF(O1169&gt;=Models!$G$8,1+COUNTIF($O$5:$O$1517,"&gt;"&amp;O1169)+COUNTIFS($O$5:$O$1517,O1169,$B$5:$B$1517,"&lt;"&amp;B1169)+COUNTIFS($O$5:$O$1517,O1169,$B$5:$B$1517,B1169,$C$5:$C$1517,"&lt;"&amp;C1169),"")</f>
        <v>187</v>
      </c>
      <c r="U1169" s="8" t="n">
        <f aca="false">IF($K1169=1,COUNTIFS($L$5:$L$1517,"&gt;="&amp;L1169,$K$5:$K$1517,1)/COUNTIF($L$5:$L$1517,"&gt;="&amp;L1169),0)</f>
        <v>0</v>
      </c>
      <c r="V1169" s="8" t="n">
        <f aca="false">IF($K1169=1,COUNTIFS($M$5:$M$1517,"&gt;="&amp;M1169,$K$5:$K$1517,1)/COUNTIF($M$5:$M$1517,"&gt;="&amp;M1169),0)</f>
        <v>0</v>
      </c>
      <c r="W1169" s="8" t="n">
        <f aca="false">IF($K1169=1,COUNTIFS($N$5:$N$1517,"&gt;="&amp;N1169,$K$5:$K$1517,1)/COUNTIF($N$5:$N$1517,"&gt;="&amp;N1169),0)</f>
        <v>0</v>
      </c>
      <c r="X1169" s="8" t="n">
        <f aca="false">IF($K1169=1,COUNTIFS($O$5:$O$1517,"&gt;="&amp;O1169,$K$5:$K$1517,1)/COUNTIF($O$5:$O$1517,"&gt;="&amp;O1169),0)</f>
        <v>0</v>
      </c>
      <c r="Y1169" s="8" t="n">
        <f aca="false">IF($K1169=1,COUNTIFS($P$5:$P$1517,"&gt;="&amp;P1169,$K$5:$K$1517,1)/COUNTIF($P$5:$P$1517,"&gt;="&amp;P1169),0)</f>
        <v>0</v>
      </c>
      <c r="Z1169" s="8" t="n">
        <f aca="false">(L1169-$K1169)^2</f>
        <v>0.190988228484</v>
      </c>
      <c r="AA1169" s="8" t="n">
        <f aca="false">(M1169-$K1169)^2</f>
        <v>0.008475595969</v>
      </c>
      <c r="AB1169" s="8" t="n">
        <f aca="false">(N1169-$K1169)^2</f>
        <v>0.004377542569</v>
      </c>
      <c r="AC1169" s="8" t="n">
        <f aca="false">(O1169-$K1169)^2</f>
        <v>0.011274829489</v>
      </c>
      <c r="AD1169" s="8" t="n">
        <f aca="false">(P1169-$K1169)^2</f>
        <v>0.004743352384</v>
      </c>
      <c r="AE1169" s="8" t="n">
        <f aca="false">MIN(INT(ROUND(N1169*1000000,0)/100000),9)</f>
        <v>0</v>
      </c>
      <c r="AF1169" s="8" t="n">
        <f aca="false">MIN(INT(ROUND(P1169*1000000,0)/100000),9)</f>
        <v>0</v>
      </c>
    </row>
    <row r="1170" customFormat="false" ht="15" hidden="false" customHeight="false" outlineLevel="0" collapsed="false">
      <c r="A1170" s="4" t="n">
        <v>1166</v>
      </c>
      <c r="B1170" s="4" t="n">
        <v>270</v>
      </c>
      <c r="C1170" s="4" t="n">
        <v>3</v>
      </c>
      <c r="D1170" s="11" t="n">
        <v>46143</v>
      </c>
      <c r="E1170" s="4" t="s">
        <v>203</v>
      </c>
      <c r="F1170" s="4" t="s">
        <v>207</v>
      </c>
      <c r="G1170" s="4" t="n">
        <v>1</v>
      </c>
      <c r="H1170" s="4" t="n">
        <v>3</v>
      </c>
      <c r="I1170" s="4" t="n">
        <v>0</v>
      </c>
      <c r="J1170" s="4"/>
      <c r="K1170" s="4" t="n">
        <v>0</v>
      </c>
      <c r="L1170" s="12" t="n">
        <v>0.873995</v>
      </c>
      <c r="M1170" s="12" t="n">
        <v>0.092063</v>
      </c>
      <c r="N1170" s="12" t="n">
        <v>0.077399</v>
      </c>
      <c r="O1170" s="12" t="n">
        <v>0.106183</v>
      </c>
      <c r="P1170" s="12" t="n">
        <v>0.081125</v>
      </c>
      <c r="Q1170" s="0" t="str">
        <f aca="false">IF(L1170&gt;=Models!$G$5,1+COUNTIF($L$5:$L$1517,"&gt;"&amp;L1170)+COUNTIFS($L$5:$L$1517,L1170,$B$5:$B$1517,"&lt;"&amp;B1170)+COUNTIFS($L$5:$L$1517,L1170,$B$5:$B$1517,B1170,$C$5:$C$1517,"&lt;"&amp;C1170),"")</f>
        <v/>
      </c>
      <c r="R1170" s="0" t="str">
        <f aca="false">IF(M1170&gt;=Models!$G$6,1+COUNTIF($M$5:$M$1517,"&gt;"&amp;M1170)+COUNTIFS($M$5:$M$1517,M1170,$B$5:$B$1517,"&lt;"&amp;B1170)+COUNTIFS($M$5:$M$1517,M1170,$B$5:$B$1517,B1170,$C$5:$C$1517,"&lt;"&amp;C1170),"")</f>
        <v/>
      </c>
      <c r="S1170" s="0" t="str">
        <f aca="false">IF(N1170&gt;=Models!$G$7,1+COUNTIF($N$5:$N$1517,"&gt;"&amp;N1170)+COUNTIFS($N$5:$N$1517,N1170,$B$5:$B$1517,"&lt;"&amp;B1170)+COUNTIFS($N$5:$N$1517,N1170,$B$5:$B$1517,B1170,$C$5:$C$1517,"&lt;"&amp;C1170),"")</f>
        <v/>
      </c>
      <c r="T1170" s="8" t="n">
        <f aca="false">IF(O1170&gt;=Models!$G$8,1+COUNTIF($O$5:$O$1517,"&gt;"&amp;O1170)+COUNTIFS($O$5:$O$1517,O1170,$B$5:$B$1517,"&lt;"&amp;B1170)+COUNTIFS($O$5:$O$1517,O1170,$B$5:$B$1517,B1170,$C$5:$C$1517,"&lt;"&amp;C1170),"")</f>
        <v>191</v>
      </c>
      <c r="U1170" s="8" t="n">
        <f aca="false">IF($K1170=1,COUNTIFS($L$5:$L$1517,"&gt;="&amp;L1170,$K$5:$K$1517,1)/COUNTIF($L$5:$L$1517,"&gt;="&amp;L1170),0)</f>
        <v>0</v>
      </c>
      <c r="V1170" s="8" t="n">
        <f aca="false">IF($K1170=1,COUNTIFS($M$5:$M$1517,"&gt;="&amp;M1170,$K$5:$K$1517,1)/COUNTIF($M$5:$M$1517,"&gt;="&amp;M1170),0)</f>
        <v>0</v>
      </c>
      <c r="W1170" s="8" t="n">
        <f aca="false">IF($K1170=1,COUNTIFS($N$5:$N$1517,"&gt;="&amp;N1170,$K$5:$K$1517,1)/COUNTIF($N$5:$N$1517,"&gt;="&amp;N1170),0)</f>
        <v>0</v>
      </c>
      <c r="X1170" s="8" t="n">
        <f aca="false">IF($K1170=1,COUNTIFS($O$5:$O$1517,"&gt;="&amp;O1170,$K$5:$K$1517,1)/COUNTIF($O$5:$O$1517,"&gt;="&amp;O1170),0)</f>
        <v>0</v>
      </c>
      <c r="Y1170" s="8" t="n">
        <f aca="false">IF($K1170=1,COUNTIFS($P$5:$P$1517,"&gt;="&amp;P1170,$K$5:$K$1517,1)/COUNTIF($P$5:$P$1517,"&gt;="&amp;P1170),0)</f>
        <v>0</v>
      </c>
      <c r="Z1170" s="8" t="n">
        <f aca="false">(L1170-$K1170)^2</f>
        <v>0.763867260025</v>
      </c>
      <c r="AA1170" s="8" t="n">
        <f aca="false">(M1170-$K1170)^2</f>
        <v>0.008475595969</v>
      </c>
      <c r="AB1170" s="8" t="n">
        <f aca="false">(N1170-$K1170)^2</f>
        <v>0.005990605201</v>
      </c>
      <c r="AC1170" s="8" t="n">
        <f aca="false">(O1170-$K1170)^2</f>
        <v>0.011274829489</v>
      </c>
      <c r="AD1170" s="8" t="n">
        <f aca="false">(P1170-$K1170)^2</f>
        <v>0.006581265625</v>
      </c>
      <c r="AE1170" s="8" t="n">
        <f aca="false">MIN(INT(ROUND(N1170*1000000,0)/100000),9)</f>
        <v>0</v>
      </c>
      <c r="AF1170" s="8" t="n">
        <f aca="false">MIN(INT(ROUND(P1170*1000000,0)/100000),9)</f>
        <v>0</v>
      </c>
    </row>
    <row r="1171" customFormat="false" ht="15" hidden="false" customHeight="false" outlineLevel="0" collapsed="false">
      <c r="A1171" s="4" t="n">
        <v>1167</v>
      </c>
      <c r="B1171" s="4" t="n">
        <v>271</v>
      </c>
      <c r="C1171" s="4" t="n">
        <v>3</v>
      </c>
      <c r="D1171" s="11" t="n">
        <v>46143</v>
      </c>
      <c r="E1171" s="4" t="s">
        <v>202</v>
      </c>
      <c r="F1171" s="4" t="s">
        <v>206</v>
      </c>
      <c r="G1171" s="4" t="n">
        <v>4</v>
      </c>
      <c r="H1171" s="4" t="n">
        <v>3</v>
      </c>
      <c r="I1171" s="4" t="n">
        <v>0</v>
      </c>
      <c r="J1171" s="4"/>
      <c r="K1171" s="4" t="n">
        <v>0</v>
      </c>
      <c r="L1171" s="12" t="n">
        <v>0.161449</v>
      </c>
      <c r="M1171" s="12" t="n">
        <v>0.092063</v>
      </c>
      <c r="N1171" s="12" t="n">
        <v>0.060188</v>
      </c>
      <c r="O1171" s="12" t="n">
        <v>0.106183</v>
      </c>
      <c r="P1171" s="12" t="n">
        <v>0.062387</v>
      </c>
      <c r="Q1171" s="0" t="str">
        <f aca="false">IF(L1171&gt;=Models!$G$5,1+COUNTIF($L$5:$L$1517,"&gt;"&amp;L1171)+COUNTIFS($L$5:$L$1517,L1171,$B$5:$B$1517,"&lt;"&amp;B1171)+COUNTIFS($L$5:$L$1517,L1171,$B$5:$B$1517,B1171,$C$5:$C$1517,"&lt;"&amp;C1171),"")</f>
        <v/>
      </c>
      <c r="R1171" s="0" t="str">
        <f aca="false">IF(M1171&gt;=Models!$G$6,1+COUNTIF($M$5:$M$1517,"&gt;"&amp;M1171)+COUNTIFS($M$5:$M$1517,M1171,$B$5:$B$1517,"&lt;"&amp;B1171)+COUNTIFS($M$5:$M$1517,M1171,$B$5:$B$1517,B1171,$C$5:$C$1517,"&lt;"&amp;C1171),"")</f>
        <v/>
      </c>
      <c r="S1171" s="0" t="str">
        <f aca="false">IF(N1171&gt;=Models!$G$7,1+COUNTIF($N$5:$N$1517,"&gt;"&amp;N1171)+COUNTIFS($N$5:$N$1517,N1171,$B$5:$B$1517,"&lt;"&amp;B1171)+COUNTIFS($N$5:$N$1517,N1171,$B$5:$B$1517,B1171,$C$5:$C$1517,"&lt;"&amp;C1171),"")</f>
        <v/>
      </c>
      <c r="T1171" s="8" t="n">
        <f aca="false">IF(O1171&gt;=Models!$G$8,1+COUNTIF($O$5:$O$1517,"&gt;"&amp;O1171)+COUNTIFS($O$5:$O$1517,O1171,$B$5:$B$1517,"&lt;"&amp;B1171)+COUNTIFS($O$5:$O$1517,O1171,$B$5:$B$1517,B1171,$C$5:$C$1517,"&lt;"&amp;C1171),"")</f>
        <v>195</v>
      </c>
      <c r="U1171" s="8" t="n">
        <f aca="false">IF($K1171=1,COUNTIFS($L$5:$L$1517,"&gt;="&amp;L1171,$K$5:$K$1517,1)/COUNTIF($L$5:$L$1517,"&gt;="&amp;L1171),0)</f>
        <v>0</v>
      </c>
      <c r="V1171" s="8" t="n">
        <f aca="false">IF($K1171=1,COUNTIFS($M$5:$M$1517,"&gt;="&amp;M1171,$K$5:$K$1517,1)/COUNTIF($M$5:$M$1517,"&gt;="&amp;M1171),0)</f>
        <v>0</v>
      </c>
      <c r="W1171" s="8" t="n">
        <f aca="false">IF($K1171=1,COUNTIFS($N$5:$N$1517,"&gt;="&amp;N1171,$K$5:$K$1517,1)/COUNTIF($N$5:$N$1517,"&gt;="&amp;N1171),0)</f>
        <v>0</v>
      </c>
      <c r="X1171" s="8" t="n">
        <f aca="false">IF($K1171=1,COUNTIFS($O$5:$O$1517,"&gt;="&amp;O1171,$K$5:$K$1517,1)/COUNTIF($O$5:$O$1517,"&gt;="&amp;O1171),0)</f>
        <v>0</v>
      </c>
      <c r="Y1171" s="8" t="n">
        <f aca="false">IF($K1171=1,COUNTIFS($P$5:$P$1517,"&gt;="&amp;P1171,$K$5:$K$1517,1)/COUNTIF($P$5:$P$1517,"&gt;="&amp;P1171),0)</f>
        <v>0</v>
      </c>
      <c r="Z1171" s="8" t="n">
        <f aca="false">(L1171-$K1171)^2</f>
        <v>0.026065779601</v>
      </c>
      <c r="AA1171" s="8" t="n">
        <f aca="false">(M1171-$K1171)^2</f>
        <v>0.008475595969</v>
      </c>
      <c r="AB1171" s="8" t="n">
        <f aca="false">(N1171-$K1171)^2</f>
        <v>0.003622595344</v>
      </c>
      <c r="AC1171" s="8" t="n">
        <f aca="false">(O1171-$K1171)^2</f>
        <v>0.011274829489</v>
      </c>
      <c r="AD1171" s="8" t="n">
        <f aca="false">(P1171-$K1171)^2</f>
        <v>0.003892137769</v>
      </c>
      <c r="AE1171" s="8" t="n">
        <f aca="false">MIN(INT(ROUND(N1171*1000000,0)/100000),9)</f>
        <v>0</v>
      </c>
      <c r="AF1171" s="8" t="n">
        <f aca="false">MIN(INT(ROUND(P1171*1000000,0)/100000),9)</f>
        <v>0</v>
      </c>
    </row>
    <row r="1172" customFormat="false" ht="15" hidden="false" customHeight="false" outlineLevel="0" collapsed="false">
      <c r="A1172" s="4" t="n">
        <v>1168</v>
      </c>
      <c r="B1172" s="4" t="n">
        <v>277</v>
      </c>
      <c r="C1172" s="4" t="n">
        <v>3</v>
      </c>
      <c r="D1172" s="11" t="n">
        <v>46143</v>
      </c>
      <c r="E1172" s="4" t="s">
        <v>203</v>
      </c>
      <c r="F1172" s="4" t="s">
        <v>210</v>
      </c>
      <c r="G1172" s="4" t="n">
        <v>4</v>
      </c>
      <c r="H1172" s="4" t="n">
        <v>0</v>
      </c>
      <c r="I1172" s="4" t="n">
        <v>0</v>
      </c>
      <c r="J1172" s="4" t="n">
        <v>378</v>
      </c>
      <c r="K1172" s="4" t="n">
        <v>1</v>
      </c>
      <c r="L1172" s="12" t="n">
        <v>0.68983</v>
      </c>
      <c r="M1172" s="12" t="n">
        <v>0.092063</v>
      </c>
      <c r="N1172" s="12" t="n">
        <v>0.115272</v>
      </c>
      <c r="O1172" s="12" t="n">
        <v>0.106183</v>
      </c>
      <c r="P1172" s="12" t="n">
        <v>0.122822</v>
      </c>
      <c r="Q1172" s="0" t="str">
        <f aca="false">IF(L1172&gt;=Models!$G$5,1+COUNTIF($L$5:$L$1517,"&gt;"&amp;L1172)+COUNTIFS($L$5:$L$1517,L1172,$B$5:$B$1517,"&lt;"&amp;B1172)+COUNTIFS($L$5:$L$1517,L1172,$B$5:$B$1517,B1172,$C$5:$C$1517,"&lt;"&amp;C1172),"")</f>
        <v/>
      </c>
      <c r="R1172" s="0" t="str">
        <f aca="false">IF(M1172&gt;=Models!$G$6,1+COUNTIF($M$5:$M$1517,"&gt;"&amp;M1172)+COUNTIFS($M$5:$M$1517,M1172,$B$5:$B$1517,"&lt;"&amp;B1172)+COUNTIFS($M$5:$M$1517,M1172,$B$5:$B$1517,B1172,$C$5:$C$1517,"&lt;"&amp;C1172),"")</f>
        <v/>
      </c>
      <c r="S1172" s="0" t="str">
        <f aca="false">IF(N1172&gt;=Models!$G$7,1+COUNTIF($N$5:$N$1517,"&gt;"&amp;N1172)+COUNTIFS($N$5:$N$1517,N1172,$B$5:$B$1517,"&lt;"&amp;B1172)+COUNTIFS($N$5:$N$1517,N1172,$B$5:$B$1517,B1172,$C$5:$C$1517,"&lt;"&amp;C1172),"")</f>
        <v/>
      </c>
      <c r="T1172" s="8" t="n">
        <f aca="false">IF(O1172&gt;=Models!$G$8,1+COUNTIF($O$5:$O$1517,"&gt;"&amp;O1172)+COUNTIFS($O$5:$O$1517,O1172,$B$5:$B$1517,"&lt;"&amp;B1172)+COUNTIFS($O$5:$O$1517,O1172,$B$5:$B$1517,B1172,$C$5:$C$1517,"&lt;"&amp;C1172),"")</f>
        <v>199</v>
      </c>
      <c r="U1172" s="8" t="n">
        <f aca="false">IF($K1172=1,COUNTIFS($L$5:$L$1517,"&gt;="&amp;L1172,$K$5:$K$1517,1)/COUNTIF($L$5:$L$1517,"&gt;="&amp;L1172),0)</f>
        <v>0.130530973451327</v>
      </c>
      <c r="V1172" s="8" t="n">
        <f aca="false">IF($K1172=1,COUNTIFS($M$5:$M$1517,"&gt;="&amp;M1172,$K$5:$K$1517,1)/COUNTIF($M$5:$M$1517,"&gt;="&amp;M1172),0)</f>
        <v>0.12491738268341</v>
      </c>
      <c r="W1172" s="8" t="n">
        <f aca="false">IF($K1172=1,COUNTIFS($N$5:$N$1517,"&gt;="&amp;N1172,$K$5:$K$1517,1)/COUNTIF($N$5:$N$1517,"&gt;="&amp;N1172),0)</f>
        <v>0.214015151515152</v>
      </c>
      <c r="X1172" s="8" t="n">
        <f aca="false">IF($K1172=1,COUNTIFS($O$5:$O$1517,"&gt;="&amp;O1172,$K$5:$K$1517,1)/COUNTIF($O$5:$O$1517,"&gt;="&amp;O1172),0)</f>
        <v>0.12491738268341</v>
      </c>
      <c r="Y1172" s="8" t="n">
        <f aca="false">IF($K1172=1,COUNTIFS($P$5:$P$1517,"&gt;="&amp;P1172,$K$5:$K$1517,1)/COUNTIF($P$5:$P$1517,"&gt;="&amp;P1172),0)</f>
        <v>0.214015151515152</v>
      </c>
      <c r="Z1172" s="8" t="n">
        <f aca="false">(L1172-$K1172)^2</f>
        <v>0.0962054289</v>
      </c>
      <c r="AA1172" s="8" t="n">
        <f aca="false">(M1172-$K1172)^2</f>
        <v>0.824349595969</v>
      </c>
      <c r="AB1172" s="8" t="n">
        <f aca="false">(N1172-$K1172)^2</f>
        <v>0.782743633984</v>
      </c>
      <c r="AC1172" s="8" t="n">
        <f aca="false">(O1172-$K1172)^2</f>
        <v>0.798908829489</v>
      </c>
      <c r="AD1172" s="8" t="n">
        <f aca="false">(P1172-$K1172)^2</f>
        <v>0.769441243684</v>
      </c>
      <c r="AE1172" s="8" t="n">
        <f aca="false">MIN(INT(ROUND(N1172*1000000,0)/100000),9)</f>
        <v>1</v>
      </c>
      <c r="AF1172" s="8" t="n">
        <f aca="false">MIN(INT(ROUND(P1172*1000000,0)/100000),9)</f>
        <v>1</v>
      </c>
    </row>
    <row r="1173" customFormat="false" ht="15" hidden="false" customHeight="false" outlineLevel="0" collapsed="false">
      <c r="A1173" s="4" t="n">
        <v>1169</v>
      </c>
      <c r="B1173" s="4" t="n">
        <v>289</v>
      </c>
      <c r="C1173" s="4" t="n">
        <v>3</v>
      </c>
      <c r="D1173" s="11" t="n">
        <v>46143</v>
      </c>
      <c r="E1173" s="4" t="s">
        <v>201</v>
      </c>
      <c r="F1173" s="4" t="s">
        <v>208</v>
      </c>
      <c r="G1173" s="4" t="n">
        <v>8</v>
      </c>
      <c r="H1173" s="4" t="n">
        <v>0</v>
      </c>
      <c r="I1173" s="4" t="n">
        <v>0</v>
      </c>
      <c r="J1173" s="4"/>
      <c r="K1173" s="4" t="n">
        <v>0</v>
      </c>
      <c r="L1173" s="12" t="n">
        <v>0.172288</v>
      </c>
      <c r="M1173" s="12" t="n">
        <v>0.092063</v>
      </c>
      <c r="N1173" s="12" t="n">
        <v>0.041776</v>
      </c>
      <c r="O1173" s="12" t="n">
        <v>0.106183</v>
      </c>
      <c r="P1173" s="12" t="n">
        <v>0.042581</v>
      </c>
      <c r="Q1173" s="0" t="str">
        <f aca="false">IF(L1173&gt;=Models!$G$5,1+COUNTIF($L$5:$L$1517,"&gt;"&amp;L1173)+COUNTIFS($L$5:$L$1517,L1173,$B$5:$B$1517,"&lt;"&amp;B1173)+COUNTIFS($L$5:$L$1517,L1173,$B$5:$B$1517,B1173,$C$5:$C$1517,"&lt;"&amp;C1173),"")</f>
        <v/>
      </c>
      <c r="R1173" s="0" t="str">
        <f aca="false">IF(M1173&gt;=Models!$G$6,1+COUNTIF($M$5:$M$1517,"&gt;"&amp;M1173)+COUNTIFS($M$5:$M$1517,M1173,$B$5:$B$1517,"&lt;"&amp;B1173)+COUNTIFS($M$5:$M$1517,M1173,$B$5:$B$1517,B1173,$C$5:$C$1517,"&lt;"&amp;C1173),"")</f>
        <v/>
      </c>
      <c r="S1173" s="0" t="str">
        <f aca="false">IF(N1173&gt;=Models!$G$7,1+COUNTIF($N$5:$N$1517,"&gt;"&amp;N1173)+COUNTIFS($N$5:$N$1517,N1173,$B$5:$B$1517,"&lt;"&amp;B1173)+COUNTIFS($N$5:$N$1517,N1173,$B$5:$B$1517,B1173,$C$5:$C$1517,"&lt;"&amp;C1173),"")</f>
        <v/>
      </c>
      <c r="T1173" s="8" t="n">
        <f aca="false">IF(O1173&gt;=Models!$G$8,1+COUNTIF($O$5:$O$1517,"&gt;"&amp;O1173)+COUNTIFS($O$5:$O$1517,O1173,$B$5:$B$1517,"&lt;"&amp;B1173)+COUNTIFS($O$5:$O$1517,O1173,$B$5:$B$1517,B1173,$C$5:$C$1517,"&lt;"&amp;C1173),"")</f>
        <v>205</v>
      </c>
      <c r="U1173" s="8" t="n">
        <f aca="false">IF($K1173=1,COUNTIFS($L$5:$L$1517,"&gt;="&amp;L1173,$K$5:$K$1517,1)/COUNTIF($L$5:$L$1517,"&gt;="&amp;L1173),0)</f>
        <v>0</v>
      </c>
      <c r="V1173" s="8" t="n">
        <f aca="false">IF($K1173=1,COUNTIFS($M$5:$M$1517,"&gt;="&amp;M1173,$K$5:$K$1517,1)/COUNTIF($M$5:$M$1517,"&gt;="&amp;M1173),0)</f>
        <v>0</v>
      </c>
      <c r="W1173" s="8" t="n">
        <f aca="false">IF($K1173=1,COUNTIFS($N$5:$N$1517,"&gt;="&amp;N1173,$K$5:$K$1517,1)/COUNTIF($N$5:$N$1517,"&gt;="&amp;N1173),0)</f>
        <v>0</v>
      </c>
      <c r="X1173" s="8" t="n">
        <f aca="false">IF($K1173=1,COUNTIFS($O$5:$O$1517,"&gt;="&amp;O1173,$K$5:$K$1517,1)/COUNTIF($O$5:$O$1517,"&gt;="&amp;O1173),0)</f>
        <v>0</v>
      </c>
      <c r="Y1173" s="8" t="n">
        <f aca="false">IF($K1173=1,COUNTIFS($P$5:$P$1517,"&gt;="&amp;P1173,$K$5:$K$1517,1)/COUNTIF($P$5:$P$1517,"&gt;="&amp;P1173),0)</f>
        <v>0</v>
      </c>
      <c r="Z1173" s="8" t="n">
        <f aca="false">(L1173-$K1173)^2</f>
        <v>0.029683154944</v>
      </c>
      <c r="AA1173" s="8" t="n">
        <f aca="false">(M1173-$K1173)^2</f>
        <v>0.008475595969</v>
      </c>
      <c r="AB1173" s="8" t="n">
        <f aca="false">(N1173-$K1173)^2</f>
        <v>0.001745234176</v>
      </c>
      <c r="AC1173" s="8" t="n">
        <f aca="false">(O1173-$K1173)^2</f>
        <v>0.011274829489</v>
      </c>
      <c r="AD1173" s="8" t="n">
        <f aca="false">(P1173-$K1173)^2</f>
        <v>0.001813141561</v>
      </c>
      <c r="AE1173" s="8" t="n">
        <f aca="false">MIN(INT(ROUND(N1173*1000000,0)/100000),9)</f>
        <v>0</v>
      </c>
      <c r="AF1173" s="8" t="n">
        <f aca="false">MIN(INT(ROUND(P1173*1000000,0)/100000),9)</f>
        <v>0</v>
      </c>
    </row>
    <row r="1174" customFormat="false" ht="15" hidden="false" customHeight="false" outlineLevel="0" collapsed="false">
      <c r="A1174" s="4" t="n">
        <v>1170</v>
      </c>
      <c r="B1174" s="4" t="n">
        <v>293</v>
      </c>
      <c r="C1174" s="4" t="n">
        <v>3</v>
      </c>
      <c r="D1174" s="11" t="n">
        <v>46143</v>
      </c>
      <c r="E1174" s="4" t="s">
        <v>204</v>
      </c>
      <c r="F1174" s="4" t="s">
        <v>208</v>
      </c>
      <c r="G1174" s="4" t="n">
        <v>1</v>
      </c>
      <c r="H1174" s="4" t="n">
        <v>29</v>
      </c>
      <c r="I1174" s="4" t="n">
        <v>0</v>
      </c>
      <c r="J1174" s="4" t="n">
        <v>99</v>
      </c>
      <c r="K1174" s="4" t="n">
        <v>0</v>
      </c>
      <c r="L1174" s="12" t="n">
        <v>0.236926</v>
      </c>
      <c r="M1174" s="12" t="n">
        <v>0.092063</v>
      </c>
      <c r="N1174" s="12" t="n">
        <v>0.180324</v>
      </c>
      <c r="O1174" s="12" t="n">
        <v>0.106183</v>
      </c>
      <c r="P1174" s="12" t="n">
        <v>0.195097</v>
      </c>
      <c r="Q1174" s="0" t="str">
        <f aca="false">IF(L1174&gt;=Models!$G$5,1+COUNTIF($L$5:$L$1517,"&gt;"&amp;L1174)+COUNTIFS($L$5:$L$1517,L1174,$B$5:$B$1517,"&lt;"&amp;B1174)+COUNTIFS($L$5:$L$1517,L1174,$B$5:$B$1517,B1174,$C$5:$C$1517,"&lt;"&amp;C1174),"")</f>
        <v/>
      </c>
      <c r="R1174" s="0" t="str">
        <f aca="false">IF(M1174&gt;=Models!$G$6,1+COUNTIF($M$5:$M$1517,"&gt;"&amp;M1174)+COUNTIFS($M$5:$M$1517,M1174,$B$5:$B$1517,"&lt;"&amp;B1174)+COUNTIFS($M$5:$M$1517,M1174,$B$5:$B$1517,B1174,$C$5:$C$1517,"&lt;"&amp;C1174),"")</f>
        <v/>
      </c>
      <c r="S1174" s="0" t="str">
        <f aca="false">IF(N1174&gt;=Models!$G$7,1+COUNTIF($N$5:$N$1517,"&gt;"&amp;N1174)+COUNTIFS($N$5:$N$1517,N1174,$B$5:$B$1517,"&lt;"&amp;B1174)+COUNTIFS($N$5:$N$1517,N1174,$B$5:$B$1517,B1174,$C$5:$C$1517,"&lt;"&amp;C1174),"")</f>
        <v/>
      </c>
      <c r="T1174" s="8" t="n">
        <f aca="false">IF(O1174&gt;=Models!$G$8,1+COUNTIF($O$5:$O$1517,"&gt;"&amp;O1174)+COUNTIFS($O$5:$O$1517,O1174,$B$5:$B$1517,"&lt;"&amp;B1174)+COUNTIFS($O$5:$O$1517,O1174,$B$5:$B$1517,B1174,$C$5:$C$1517,"&lt;"&amp;C1174),"")</f>
        <v>209</v>
      </c>
      <c r="U1174" s="8" t="n">
        <f aca="false">IF($K1174=1,COUNTIFS($L$5:$L$1517,"&gt;="&amp;L1174,$K$5:$K$1517,1)/COUNTIF($L$5:$L$1517,"&gt;="&amp;L1174),0)</f>
        <v>0</v>
      </c>
      <c r="V1174" s="8" t="n">
        <f aca="false">IF($K1174=1,COUNTIFS($M$5:$M$1517,"&gt;="&amp;M1174,$K$5:$K$1517,1)/COUNTIF($M$5:$M$1517,"&gt;="&amp;M1174),0)</f>
        <v>0</v>
      </c>
      <c r="W1174" s="8" t="n">
        <f aca="false">IF($K1174=1,COUNTIFS($N$5:$N$1517,"&gt;="&amp;N1174,$K$5:$K$1517,1)/COUNTIF($N$5:$N$1517,"&gt;="&amp;N1174),0)</f>
        <v>0</v>
      </c>
      <c r="X1174" s="8" t="n">
        <f aca="false">IF($K1174=1,COUNTIFS($O$5:$O$1517,"&gt;="&amp;O1174,$K$5:$K$1517,1)/COUNTIF($O$5:$O$1517,"&gt;="&amp;O1174),0)</f>
        <v>0</v>
      </c>
      <c r="Y1174" s="8" t="n">
        <f aca="false">IF($K1174=1,COUNTIFS($P$5:$P$1517,"&gt;="&amp;P1174,$K$5:$K$1517,1)/COUNTIF($P$5:$P$1517,"&gt;="&amp;P1174),0)</f>
        <v>0</v>
      </c>
      <c r="Z1174" s="8" t="n">
        <f aca="false">(L1174-$K1174)^2</f>
        <v>0.056133929476</v>
      </c>
      <c r="AA1174" s="8" t="n">
        <f aca="false">(M1174-$K1174)^2</f>
        <v>0.008475595969</v>
      </c>
      <c r="AB1174" s="8" t="n">
        <f aca="false">(N1174-$K1174)^2</f>
        <v>0.032516744976</v>
      </c>
      <c r="AC1174" s="8" t="n">
        <f aca="false">(O1174-$K1174)^2</f>
        <v>0.011274829489</v>
      </c>
      <c r="AD1174" s="8" t="n">
        <f aca="false">(P1174-$K1174)^2</f>
        <v>0.038062839409</v>
      </c>
      <c r="AE1174" s="8" t="n">
        <f aca="false">MIN(INT(ROUND(N1174*1000000,0)/100000),9)</f>
        <v>1</v>
      </c>
      <c r="AF1174" s="8" t="n">
        <f aca="false">MIN(INT(ROUND(P1174*1000000,0)/100000),9)</f>
        <v>1</v>
      </c>
    </row>
    <row r="1175" customFormat="false" ht="15" hidden="false" customHeight="false" outlineLevel="0" collapsed="false">
      <c r="A1175" s="4" t="n">
        <v>1171</v>
      </c>
      <c r="B1175" s="4" t="n">
        <v>304</v>
      </c>
      <c r="C1175" s="4" t="n">
        <v>3</v>
      </c>
      <c r="D1175" s="11" t="n">
        <v>46143</v>
      </c>
      <c r="E1175" s="4" t="s">
        <v>204</v>
      </c>
      <c r="F1175" s="4" t="s">
        <v>206</v>
      </c>
      <c r="G1175" s="4" t="n">
        <v>1</v>
      </c>
      <c r="H1175" s="4" t="n">
        <v>18</v>
      </c>
      <c r="I1175" s="4" t="n">
        <v>0</v>
      </c>
      <c r="J1175" s="4" t="n">
        <v>69</v>
      </c>
      <c r="K1175" s="4" t="n">
        <v>0</v>
      </c>
      <c r="L1175" s="12" t="n">
        <v>0.86614</v>
      </c>
      <c r="M1175" s="12" t="n">
        <v>0.092063</v>
      </c>
      <c r="N1175" s="12" t="n">
        <v>0.167625</v>
      </c>
      <c r="O1175" s="12" t="n">
        <v>0.106183</v>
      </c>
      <c r="P1175" s="12" t="n">
        <v>0.180964</v>
      </c>
      <c r="Q1175" s="0" t="str">
        <f aca="false">IF(L1175&gt;=Models!$G$5,1+COUNTIF($L$5:$L$1517,"&gt;"&amp;L1175)+COUNTIFS($L$5:$L$1517,L1175,$B$5:$B$1517,"&lt;"&amp;B1175)+COUNTIFS($L$5:$L$1517,L1175,$B$5:$B$1517,B1175,$C$5:$C$1517,"&lt;"&amp;C1175),"")</f>
        <v/>
      </c>
      <c r="R1175" s="0" t="str">
        <f aca="false">IF(M1175&gt;=Models!$G$6,1+COUNTIF($M$5:$M$1517,"&gt;"&amp;M1175)+COUNTIFS($M$5:$M$1517,M1175,$B$5:$B$1517,"&lt;"&amp;B1175)+COUNTIFS($M$5:$M$1517,M1175,$B$5:$B$1517,B1175,$C$5:$C$1517,"&lt;"&amp;C1175),"")</f>
        <v/>
      </c>
      <c r="S1175" s="0" t="str">
        <f aca="false">IF(N1175&gt;=Models!$G$7,1+COUNTIF($N$5:$N$1517,"&gt;"&amp;N1175)+COUNTIFS($N$5:$N$1517,N1175,$B$5:$B$1517,"&lt;"&amp;B1175)+COUNTIFS($N$5:$N$1517,N1175,$B$5:$B$1517,B1175,$C$5:$C$1517,"&lt;"&amp;C1175),"")</f>
        <v/>
      </c>
      <c r="T1175" s="8" t="n">
        <f aca="false">IF(O1175&gt;=Models!$G$8,1+COUNTIF($O$5:$O$1517,"&gt;"&amp;O1175)+COUNTIFS($O$5:$O$1517,O1175,$B$5:$B$1517,"&lt;"&amp;B1175)+COUNTIFS($O$5:$O$1517,O1175,$B$5:$B$1517,B1175,$C$5:$C$1517,"&lt;"&amp;C1175),"")</f>
        <v>213</v>
      </c>
      <c r="U1175" s="8" t="n">
        <f aca="false">IF($K1175=1,COUNTIFS($L$5:$L$1517,"&gt;="&amp;L1175,$K$5:$K$1517,1)/COUNTIF($L$5:$L$1517,"&gt;="&amp;L1175),0)</f>
        <v>0</v>
      </c>
      <c r="V1175" s="8" t="n">
        <f aca="false">IF($K1175=1,COUNTIFS($M$5:$M$1517,"&gt;="&amp;M1175,$K$5:$K$1517,1)/COUNTIF($M$5:$M$1517,"&gt;="&amp;M1175),0)</f>
        <v>0</v>
      </c>
      <c r="W1175" s="8" t="n">
        <f aca="false">IF($K1175=1,COUNTIFS($N$5:$N$1517,"&gt;="&amp;N1175,$K$5:$K$1517,1)/COUNTIF($N$5:$N$1517,"&gt;="&amp;N1175),0)</f>
        <v>0</v>
      </c>
      <c r="X1175" s="8" t="n">
        <f aca="false">IF($K1175=1,COUNTIFS($O$5:$O$1517,"&gt;="&amp;O1175,$K$5:$K$1517,1)/COUNTIF($O$5:$O$1517,"&gt;="&amp;O1175),0)</f>
        <v>0</v>
      </c>
      <c r="Y1175" s="8" t="n">
        <f aca="false">IF($K1175=1,COUNTIFS($P$5:$P$1517,"&gt;="&amp;P1175,$K$5:$K$1517,1)/COUNTIF($P$5:$P$1517,"&gt;="&amp;P1175),0)</f>
        <v>0</v>
      </c>
      <c r="Z1175" s="8" t="n">
        <f aca="false">(L1175-$K1175)^2</f>
        <v>0.7501984996</v>
      </c>
      <c r="AA1175" s="8" t="n">
        <f aca="false">(M1175-$K1175)^2</f>
        <v>0.008475595969</v>
      </c>
      <c r="AB1175" s="8" t="n">
        <f aca="false">(N1175-$K1175)^2</f>
        <v>0.028098140625</v>
      </c>
      <c r="AC1175" s="8" t="n">
        <f aca="false">(O1175-$K1175)^2</f>
        <v>0.011274829489</v>
      </c>
      <c r="AD1175" s="8" t="n">
        <f aca="false">(P1175-$K1175)^2</f>
        <v>0.032747969296</v>
      </c>
      <c r="AE1175" s="8" t="n">
        <f aca="false">MIN(INT(ROUND(N1175*1000000,0)/100000),9)</f>
        <v>1</v>
      </c>
      <c r="AF1175" s="8" t="n">
        <f aca="false">MIN(INT(ROUND(P1175*1000000,0)/100000),9)</f>
        <v>1</v>
      </c>
    </row>
    <row r="1176" customFormat="false" ht="15" hidden="false" customHeight="false" outlineLevel="0" collapsed="false">
      <c r="A1176" s="4" t="n">
        <v>1172</v>
      </c>
      <c r="B1176" s="4" t="n">
        <v>317</v>
      </c>
      <c r="C1176" s="4" t="n">
        <v>3</v>
      </c>
      <c r="D1176" s="11" t="n">
        <v>46143</v>
      </c>
      <c r="E1176" s="4" t="s">
        <v>204</v>
      </c>
      <c r="F1176" s="4" t="s">
        <v>206</v>
      </c>
      <c r="G1176" s="4" t="n">
        <v>4</v>
      </c>
      <c r="H1176" s="4" t="n">
        <v>5</v>
      </c>
      <c r="I1176" s="4" t="n">
        <v>0</v>
      </c>
      <c r="J1176" s="4" t="n">
        <v>78</v>
      </c>
      <c r="K1176" s="4" t="n">
        <v>0</v>
      </c>
      <c r="L1176" s="12" t="n">
        <v>0.077765</v>
      </c>
      <c r="M1176" s="12" t="n">
        <v>0.092063</v>
      </c>
      <c r="N1176" s="12" t="n">
        <v>0.121363</v>
      </c>
      <c r="O1176" s="12" t="n">
        <v>0.106183</v>
      </c>
      <c r="P1176" s="12" t="n">
        <v>0.129566</v>
      </c>
      <c r="Q1176" s="0" t="str">
        <f aca="false">IF(L1176&gt;=Models!$G$5,1+COUNTIF($L$5:$L$1517,"&gt;"&amp;L1176)+COUNTIFS($L$5:$L$1517,L1176,$B$5:$B$1517,"&lt;"&amp;B1176)+COUNTIFS($L$5:$L$1517,L1176,$B$5:$B$1517,B1176,$C$5:$C$1517,"&lt;"&amp;C1176),"")</f>
        <v/>
      </c>
      <c r="R1176" s="0" t="str">
        <f aca="false">IF(M1176&gt;=Models!$G$6,1+COUNTIF($M$5:$M$1517,"&gt;"&amp;M1176)+COUNTIFS($M$5:$M$1517,M1176,$B$5:$B$1517,"&lt;"&amp;B1176)+COUNTIFS($M$5:$M$1517,M1176,$B$5:$B$1517,B1176,$C$5:$C$1517,"&lt;"&amp;C1176),"")</f>
        <v/>
      </c>
      <c r="S1176" s="0" t="str">
        <f aca="false">IF(N1176&gt;=Models!$G$7,1+COUNTIF($N$5:$N$1517,"&gt;"&amp;N1176)+COUNTIFS($N$5:$N$1517,N1176,$B$5:$B$1517,"&lt;"&amp;B1176)+COUNTIFS($N$5:$N$1517,N1176,$B$5:$B$1517,B1176,$C$5:$C$1517,"&lt;"&amp;C1176),"")</f>
        <v/>
      </c>
      <c r="T1176" s="8" t="n">
        <f aca="false">IF(O1176&gt;=Models!$G$8,1+COUNTIF($O$5:$O$1517,"&gt;"&amp;O1176)+COUNTIFS($O$5:$O$1517,O1176,$B$5:$B$1517,"&lt;"&amp;B1176)+COUNTIFS($O$5:$O$1517,O1176,$B$5:$B$1517,B1176,$C$5:$C$1517,"&lt;"&amp;C1176),"")</f>
        <v>217</v>
      </c>
      <c r="U1176" s="8" t="n">
        <f aca="false">IF($K1176=1,COUNTIFS($L$5:$L$1517,"&gt;="&amp;L1176,$K$5:$K$1517,1)/COUNTIF($L$5:$L$1517,"&gt;="&amp;L1176),0)</f>
        <v>0</v>
      </c>
      <c r="V1176" s="8" t="n">
        <f aca="false">IF($K1176=1,COUNTIFS($M$5:$M$1517,"&gt;="&amp;M1176,$K$5:$K$1517,1)/COUNTIF($M$5:$M$1517,"&gt;="&amp;M1176),0)</f>
        <v>0</v>
      </c>
      <c r="W1176" s="8" t="n">
        <f aca="false">IF($K1176=1,COUNTIFS($N$5:$N$1517,"&gt;="&amp;N1176,$K$5:$K$1517,1)/COUNTIF($N$5:$N$1517,"&gt;="&amp;N1176),0)</f>
        <v>0</v>
      </c>
      <c r="X1176" s="8" t="n">
        <f aca="false">IF($K1176=1,COUNTIFS($O$5:$O$1517,"&gt;="&amp;O1176,$K$5:$K$1517,1)/COUNTIF($O$5:$O$1517,"&gt;="&amp;O1176),0)</f>
        <v>0</v>
      </c>
      <c r="Y1176" s="8" t="n">
        <f aca="false">IF($K1176=1,COUNTIFS($P$5:$P$1517,"&gt;="&amp;P1176,$K$5:$K$1517,1)/COUNTIF($P$5:$P$1517,"&gt;="&amp;P1176),0)</f>
        <v>0</v>
      </c>
      <c r="Z1176" s="8" t="n">
        <f aca="false">(L1176-$K1176)^2</f>
        <v>0.006047395225</v>
      </c>
      <c r="AA1176" s="8" t="n">
        <f aca="false">(M1176-$K1176)^2</f>
        <v>0.008475595969</v>
      </c>
      <c r="AB1176" s="8" t="n">
        <f aca="false">(N1176-$K1176)^2</f>
        <v>0.014728977769</v>
      </c>
      <c r="AC1176" s="8" t="n">
        <f aca="false">(O1176-$K1176)^2</f>
        <v>0.011274829489</v>
      </c>
      <c r="AD1176" s="8" t="n">
        <f aca="false">(P1176-$K1176)^2</f>
        <v>0.016787348356</v>
      </c>
      <c r="AE1176" s="8" t="n">
        <f aca="false">MIN(INT(ROUND(N1176*1000000,0)/100000),9)</f>
        <v>1</v>
      </c>
      <c r="AF1176" s="8" t="n">
        <f aca="false">MIN(INT(ROUND(P1176*1000000,0)/100000),9)</f>
        <v>1</v>
      </c>
    </row>
    <row r="1177" customFormat="false" ht="15" hidden="false" customHeight="false" outlineLevel="0" collapsed="false">
      <c r="A1177" s="4" t="n">
        <v>1173</v>
      </c>
      <c r="B1177" s="4" t="n">
        <v>319</v>
      </c>
      <c r="C1177" s="4" t="n">
        <v>3</v>
      </c>
      <c r="D1177" s="11" t="n">
        <v>46143</v>
      </c>
      <c r="E1177" s="4" t="s">
        <v>203</v>
      </c>
      <c r="F1177" s="4" t="s">
        <v>210</v>
      </c>
      <c r="G1177" s="4" t="n">
        <v>8</v>
      </c>
      <c r="H1177" s="4" t="n">
        <v>0</v>
      </c>
      <c r="I1177" s="4" t="n">
        <v>0</v>
      </c>
      <c r="J1177" s="4" t="n">
        <v>321</v>
      </c>
      <c r="K1177" s="4" t="n">
        <v>0</v>
      </c>
      <c r="L1177" s="12" t="n">
        <v>0.686608</v>
      </c>
      <c r="M1177" s="12" t="n">
        <v>0.092063</v>
      </c>
      <c r="N1177" s="12" t="n">
        <v>0.083582</v>
      </c>
      <c r="O1177" s="12" t="n">
        <v>0.106183</v>
      </c>
      <c r="P1177" s="12" t="n">
        <v>0.087896</v>
      </c>
      <c r="Q1177" s="0" t="str">
        <f aca="false">IF(L1177&gt;=Models!$G$5,1+COUNTIF($L$5:$L$1517,"&gt;"&amp;L1177)+COUNTIFS($L$5:$L$1517,L1177,$B$5:$B$1517,"&lt;"&amp;B1177)+COUNTIFS($L$5:$L$1517,L1177,$B$5:$B$1517,B1177,$C$5:$C$1517,"&lt;"&amp;C1177),"")</f>
        <v/>
      </c>
      <c r="R1177" s="0" t="str">
        <f aca="false">IF(M1177&gt;=Models!$G$6,1+COUNTIF($M$5:$M$1517,"&gt;"&amp;M1177)+COUNTIFS($M$5:$M$1517,M1177,$B$5:$B$1517,"&lt;"&amp;B1177)+COUNTIFS($M$5:$M$1517,M1177,$B$5:$B$1517,B1177,$C$5:$C$1517,"&lt;"&amp;C1177),"")</f>
        <v/>
      </c>
      <c r="S1177" s="0" t="str">
        <f aca="false">IF(N1177&gt;=Models!$G$7,1+COUNTIF($N$5:$N$1517,"&gt;"&amp;N1177)+COUNTIFS($N$5:$N$1517,N1177,$B$5:$B$1517,"&lt;"&amp;B1177)+COUNTIFS($N$5:$N$1517,N1177,$B$5:$B$1517,B1177,$C$5:$C$1517,"&lt;"&amp;C1177),"")</f>
        <v/>
      </c>
      <c r="T1177" s="8" t="n">
        <f aca="false">IF(O1177&gt;=Models!$G$8,1+COUNTIF($O$5:$O$1517,"&gt;"&amp;O1177)+COUNTIFS($O$5:$O$1517,O1177,$B$5:$B$1517,"&lt;"&amp;B1177)+COUNTIFS($O$5:$O$1517,O1177,$B$5:$B$1517,B1177,$C$5:$C$1517,"&lt;"&amp;C1177),"")</f>
        <v>223</v>
      </c>
      <c r="U1177" s="8" t="n">
        <f aca="false">IF($K1177=1,COUNTIFS($L$5:$L$1517,"&gt;="&amp;L1177,$K$5:$K$1517,1)/COUNTIF($L$5:$L$1517,"&gt;="&amp;L1177),0)</f>
        <v>0</v>
      </c>
      <c r="V1177" s="8" t="n">
        <f aca="false">IF($K1177=1,COUNTIFS($M$5:$M$1517,"&gt;="&amp;M1177,$K$5:$K$1517,1)/COUNTIF($M$5:$M$1517,"&gt;="&amp;M1177),0)</f>
        <v>0</v>
      </c>
      <c r="W1177" s="8" t="n">
        <f aca="false">IF($K1177=1,COUNTIFS($N$5:$N$1517,"&gt;="&amp;N1177,$K$5:$K$1517,1)/COUNTIF($N$5:$N$1517,"&gt;="&amp;N1177),0)</f>
        <v>0</v>
      </c>
      <c r="X1177" s="8" t="n">
        <f aca="false">IF($K1177=1,COUNTIFS($O$5:$O$1517,"&gt;="&amp;O1177,$K$5:$K$1517,1)/COUNTIF($O$5:$O$1517,"&gt;="&amp;O1177),0)</f>
        <v>0</v>
      </c>
      <c r="Y1177" s="8" t="n">
        <f aca="false">IF($K1177=1,COUNTIFS($P$5:$P$1517,"&gt;="&amp;P1177,$K$5:$K$1517,1)/COUNTIF($P$5:$P$1517,"&gt;="&amp;P1177),0)</f>
        <v>0</v>
      </c>
      <c r="Z1177" s="8" t="n">
        <f aca="false">(L1177-$K1177)^2</f>
        <v>0.471430545664</v>
      </c>
      <c r="AA1177" s="8" t="n">
        <f aca="false">(M1177-$K1177)^2</f>
        <v>0.008475595969</v>
      </c>
      <c r="AB1177" s="8" t="n">
        <f aca="false">(N1177-$K1177)^2</f>
        <v>0.006985950724</v>
      </c>
      <c r="AC1177" s="8" t="n">
        <f aca="false">(O1177-$K1177)^2</f>
        <v>0.011274829489</v>
      </c>
      <c r="AD1177" s="8" t="n">
        <f aca="false">(P1177-$K1177)^2</f>
        <v>0.007725706816</v>
      </c>
      <c r="AE1177" s="8" t="n">
        <f aca="false">MIN(INT(ROUND(N1177*1000000,0)/100000),9)</f>
        <v>0</v>
      </c>
      <c r="AF1177" s="8" t="n">
        <f aca="false">MIN(INT(ROUND(P1177*1000000,0)/100000),9)</f>
        <v>0</v>
      </c>
    </row>
    <row r="1178" customFormat="false" ht="15" hidden="false" customHeight="false" outlineLevel="0" collapsed="false">
      <c r="A1178" s="4" t="n">
        <v>1174</v>
      </c>
      <c r="B1178" s="4" t="n">
        <v>324</v>
      </c>
      <c r="C1178" s="4" t="n">
        <v>3</v>
      </c>
      <c r="D1178" s="11" t="n">
        <v>46143</v>
      </c>
      <c r="E1178" s="4" t="s">
        <v>202</v>
      </c>
      <c r="F1178" s="4" t="s">
        <v>207</v>
      </c>
      <c r="G1178" s="4" t="n">
        <v>10</v>
      </c>
      <c r="H1178" s="4" t="n">
        <v>5</v>
      </c>
      <c r="I1178" s="4" t="n">
        <v>0</v>
      </c>
      <c r="J1178" s="4"/>
      <c r="K1178" s="4" t="n">
        <v>0</v>
      </c>
      <c r="L1178" s="12" t="n">
        <v>0.55502</v>
      </c>
      <c r="M1178" s="12" t="n">
        <v>0.092063</v>
      </c>
      <c r="N1178" s="12" t="n">
        <v>0.036552</v>
      </c>
      <c r="O1178" s="12" t="n">
        <v>0.106183</v>
      </c>
      <c r="P1178" s="12" t="n">
        <v>0.037024</v>
      </c>
      <c r="Q1178" s="0" t="str">
        <f aca="false">IF(L1178&gt;=Models!$G$5,1+COUNTIF($L$5:$L$1517,"&gt;"&amp;L1178)+COUNTIFS($L$5:$L$1517,L1178,$B$5:$B$1517,"&lt;"&amp;B1178)+COUNTIFS($L$5:$L$1517,L1178,$B$5:$B$1517,B1178,$C$5:$C$1517,"&lt;"&amp;C1178),"")</f>
        <v/>
      </c>
      <c r="R1178" s="0" t="str">
        <f aca="false">IF(M1178&gt;=Models!$G$6,1+COUNTIF($M$5:$M$1517,"&gt;"&amp;M1178)+COUNTIFS($M$5:$M$1517,M1178,$B$5:$B$1517,"&lt;"&amp;B1178)+COUNTIFS($M$5:$M$1517,M1178,$B$5:$B$1517,B1178,$C$5:$C$1517,"&lt;"&amp;C1178),"")</f>
        <v/>
      </c>
      <c r="S1178" s="0" t="str">
        <f aca="false">IF(N1178&gt;=Models!$G$7,1+COUNTIF($N$5:$N$1517,"&gt;"&amp;N1178)+COUNTIFS($N$5:$N$1517,N1178,$B$5:$B$1517,"&lt;"&amp;B1178)+COUNTIFS($N$5:$N$1517,N1178,$B$5:$B$1517,B1178,$C$5:$C$1517,"&lt;"&amp;C1178),"")</f>
        <v/>
      </c>
      <c r="T1178" s="8" t="n">
        <f aca="false">IF(O1178&gt;=Models!$G$8,1+COUNTIF($O$5:$O$1517,"&gt;"&amp;O1178)+COUNTIFS($O$5:$O$1517,O1178,$B$5:$B$1517,"&lt;"&amp;B1178)+COUNTIFS($O$5:$O$1517,O1178,$B$5:$B$1517,B1178,$C$5:$C$1517,"&lt;"&amp;C1178),"")</f>
        <v>227</v>
      </c>
      <c r="U1178" s="8" t="n">
        <f aca="false">IF($K1178=1,COUNTIFS($L$5:$L$1517,"&gt;="&amp;L1178,$K$5:$K$1517,1)/COUNTIF($L$5:$L$1517,"&gt;="&amp;L1178),0)</f>
        <v>0</v>
      </c>
      <c r="V1178" s="8" t="n">
        <f aca="false">IF($K1178=1,COUNTIFS($M$5:$M$1517,"&gt;="&amp;M1178,$K$5:$K$1517,1)/COUNTIF($M$5:$M$1517,"&gt;="&amp;M1178),0)</f>
        <v>0</v>
      </c>
      <c r="W1178" s="8" t="n">
        <f aca="false">IF($K1178=1,COUNTIFS($N$5:$N$1517,"&gt;="&amp;N1178,$K$5:$K$1517,1)/COUNTIF($N$5:$N$1517,"&gt;="&amp;N1178),0)</f>
        <v>0</v>
      </c>
      <c r="X1178" s="8" t="n">
        <f aca="false">IF($K1178=1,COUNTIFS($O$5:$O$1517,"&gt;="&amp;O1178,$K$5:$K$1517,1)/COUNTIF($O$5:$O$1517,"&gt;="&amp;O1178),0)</f>
        <v>0</v>
      </c>
      <c r="Y1178" s="8" t="n">
        <f aca="false">IF($K1178=1,COUNTIFS($P$5:$P$1517,"&gt;="&amp;P1178,$K$5:$K$1517,1)/COUNTIF($P$5:$P$1517,"&gt;="&amp;P1178),0)</f>
        <v>0</v>
      </c>
      <c r="Z1178" s="8" t="n">
        <f aca="false">(L1178-$K1178)^2</f>
        <v>0.3080472004</v>
      </c>
      <c r="AA1178" s="8" t="n">
        <f aca="false">(M1178-$K1178)^2</f>
        <v>0.008475595969</v>
      </c>
      <c r="AB1178" s="8" t="n">
        <f aca="false">(N1178-$K1178)^2</f>
        <v>0.001336048704</v>
      </c>
      <c r="AC1178" s="8" t="n">
        <f aca="false">(O1178-$K1178)^2</f>
        <v>0.011274829489</v>
      </c>
      <c r="AD1178" s="8" t="n">
        <f aca="false">(P1178-$K1178)^2</f>
        <v>0.001370776576</v>
      </c>
      <c r="AE1178" s="8" t="n">
        <f aca="false">MIN(INT(ROUND(N1178*1000000,0)/100000),9)</f>
        <v>0</v>
      </c>
      <c r="AF1178" s="8" t="n">
        <f aca="false">MIN(INT(ROUND(P1178*1000000,0)/100000),9)</f>
        <v>0</v>
      </c>
    </row>
    <row r="1179" customFormat="false" ht="15" hidden="false" customHeight="false" outlineLevel="0" collapsed="false">
      <c r="A1179" s="4" t="n">
        <v>1175</v>
      </c>
      <c r="B1179" s="4" t="n">
        <v>325</v>
      </c>
      <c r="C1179" s="4" t="n">
        <v>3</v>
      </c>
      <c r="D1179" s="11" t="n">
        <v>46143</v>
      </c>
      <c r="E1179" s="4" t="s">
        <v>202</v>
      </c>
      <c r="F1179" s="4" t="s">
        <v>210</v>
      </c>
      <c r="G1179" s="4" t="n">
        <v>9</v>
      </c>
      <c r="H1179" s="4" t="n">
        <v>1</v>
      </c>
      <c r="I1179" s="4" t="n">
        <v>0</v>
      </c>
      <c r="J1179" s="4"/>
      <c r="K1179" s="4" t="n">
        <v>1</v>
      </c>
      <c r="L1179" s="12" t="n">
        <v>0.220355</v>
      </c>
      <c r="M1179" s="12" t="n">
        <v>0.092063</v>
      </c>
      <c r="N1179" s="12" t="n">
        <v>0.038622</v>
      </c>
      <c r="O1179" s="12" t="n">
        <v>0.106183</v>
      </c>
      <c r="P1179" s="12" t="n">
        <v>0.039222</v>
      </c>
      <c r="Q1179" s="0" t="str">
        <f aca="false">IF(L1179&gt;=Models!$G$5,1+COUNTIF($L$5:$L$1517,"&gt;"&amp;L1179)+COUNTIFS($L$5:$L$1517,L1179,$B$5:$B$1517,"&lt;"&amp;B1179)+COUNTIFS($L$5:$L$1517,L1179,$B$5:$B$1517,B1179,$C$5:$C$1517,"&lt;"&amp;C1179),"")</f>
        <v/>
      </c>
      <c r="R1179" s="0" t="str">
        <f aca="false">IF(M1179&gt;=Models!$G$6,1+COUNTIF($M$5:$M$1517,"&gt;"&amp;M1179)+COUNTIFS($M$5:$M$1517,M1179,$B$5:$B$1517,"&lt;"&amp;B1179)+COUNTIFS($M$5:$M$1517,M1179,$B$5:$B$1517,B1179,$C$5:$C$1517,"&lt;"&amp;C1179),"")</f>
        <v/>
      </c>
      <c r="S1179" s="0" t="str">
        <f aca="false">IF(N1179&gt;=Models!$G$7,1+COUNTIF($N$5:$N$1517,"&gt;"&amp;N1179)+COUNTIFS($N$5:$N$1517,N1179,$B$5:$B$1517,"&lt;"&amp;B1179)+COUNTIFS($N$5:$N$1517,N1179,$B$5:$B$1517,B1179,$C$5:$C$1517,"&lt;"&amp;C1179),"")</f>
        <v/>
      </c>
      <c r="T1179" s="8" t="n">
        <f aca="false">IF(O1179&gt;=Models!$G$8,1+COUNTIF($O$5:$O$1517,"&gt;"&amp;O1179)+COUNTIFS($O$5:$O$1517,O1179,$B$5:$B$1517,"&lt;"&amp;B1179)+COUNTIFS($O$5:$O$1517,O1179,$B$5:$B$1517,B1179,$C$5:$C$1517,"&lt;"&amp;C1179),"")</f>
        <v>231</v>
      </c>
      <c r="U1179" s="8" t="n">
        <f aca="false">IF($K1179=1,COUNTIFS($L$5:$L$1517,"&gt;="&amp;L1179,$K$5:$K$1517,1)/COUNTIF($L$5:$L$1517,"&gt;="&amp;L1179),0)</f>
        <v>0.129803586678053</v>
      </c>
      <c r="V1179" s="8" t="n">
        <f aca="false">IF($K1179=1,COUNTIFS($M$5:$M$1517,"&gt;="&amp;M1179,$K$5:$K$1517,1)/COUNTIF($M$5:$M$1517,"&gt;="&amp;M1179),0)</f>
        <v>0.12491738268341</v>
      </c>
      <c r="W1179" s="8" t="n">
        <f aca="false">IF($K1179=1,COUNTIFS($N$5:$N$1517,"&gt;="&amp;N1179,$K$5:$K$1517,1)/COUNTIF($N$5:$N$1517,"&gt;="&amp;N1179),0)</f>
        <v>0.139356814701378</v>
      </c>
      <c r="X1179" s="8" t="n">
        <f aca="false">IF($K1179=1,COUNTIFS($O$5:$O$1517,"&gt;="&amp;O1179,$K$5:$K$1517,1)/COUNTIF($O$5:$O$1517,"&gt;="&amp;O1179),0)</f>
        <v>0.12491738268341</v>
      </c>
      <c r="Y1179" s="8" t="n">
        <f aca="false">IF($K1179=1,COUNTIFS($P$5:$P$1517,"&gt;="&amp;P1179,$K$5:$K$1517,1)/COUNTIF($P$5:$P$1517,"&gt;="&amp;P1179),0)</f>
        <v>0.139356814701378</v>
      </c>
      <c r="Z1179" s="8" t="n">
        <f aca="false">(L1179-$K1179)^2</f>
        <v>0.607846326025</v>
      </c>
      <c r="AA1179" s="8" t="n">
        <f aca="false">(M1179-$K1179)^2</f>
        <v>0.824349595969</v>
      </c>
      <c r="AB1179" s="8" t="n">
        <f aca="false">(N1179-$K1179)^2</f>
        <v>0.924247658884</v>
      </c>
      <c r="AC1179" s="8" t="n">
        <f aca="false">(O1179-$K1179)^2</f>
        <v>0.798908829489</v>
      </c>
      <c r="AD1179" s="8" t="n">
        <f aca="false">(P1179-$K1179)^2</f>
        <v>0.923094365284</v>
      </c>
      <c r="AE1179" s="8" t="n">
        <f aca="false">MIN(INT(ROUND(N1179*1000000,0)/100000),9)</f>
        <v>0</v>
      </c>
      <c r="AF1179" s="8" t="n">
        <f aca="false">MIN(INT(ROUND(P1179*1000000,0)/100000),9)</f>
        <v>0</v>
      </c>
    </row>
    <row r="1180" customFormat="false" ht="15" hidden="false" customHeight="false" outlineLevel="0" collapsed="false">
      <c r="A1180" s="4" t="n">
        <v>1176</v>
      </c>
      <c r="B1180" s="4" t="n">
        <v>335</v>
      </c>
      <c r="C1180" s="4" t="n">
        <v>3</v>
      </c>
      <c r="D1180" s="11" t="n">
        <v>46143</v>
      </c>
      <c r="E1180" s="4" t="s">
        <v>203</v>
      </c>
      <c r="F1180" s="4" t="s">
        <v>206</v>
      </c>
      <c r="G1180" s="4" t="n">
        <v>3</v>
      </c>
      <c r="H1180" s="4" t="n">
        <v>5</v>
      </c>
      <c r="I1180" s="4" t="n">
        <v>0</v>
      </c>
      <c r="J1180" s="4" t="n">
        <v>423</v>
      </c>
      <c r="K1180" s="4" t="n">
        <v>0</v>
      </c>
      <c r="L1180" s="12" t="n">
        <v>0.948909</v>
      </c>
      <c r="M1180" s="12" t="n">
        <v>0.092063</v>
      </c>
      <c r="N1180" s="12" t="n">
        <v>0.129023</v>
      </c>
      <c r="O1180" s="12" t="n">
        <v>0.106183</v>
      </c>
      <c r="P1180" s="12" t="n">
        <v>0.138058</v>
      </c>
      <c r="Q1180" s="0" t="str">
        <f aca="false">IF(L1180&gt;=Models!$G$5,1+COUNTIF($L$5:$L$1517,"&gt;"&amp;L1180)+COUNTIFS($L$5:$L$1517,L1180,$B$5:$B$1517,"&lt;"&amp;B1180)+COUNTIFS($L$5:$L$1517,L1180,$B$5:$B$1517,B1180,$C$5:$C$1517,"&lt;"&amp;C1180),"")</f>
        <v/>
      </c>
      <c r="R1180" s="0" t="str">
        <f aca="false">IF(M1180&gt;=Models!$G$6,1+COUNTIF($M$5:$M$1517,"&gt;"&amp;M1180)+COUNTIFS($M$5:$M$1517,M1180,$B$5:$B$1517,"&lt;"&amp;B1180)+COUNTIFS($M$5:$M$1517,M1180,$B$5:$B$1517,B1180,$C$5:$C$1517,"&lt;"&amp;C1180),"")</f>
        <v/>
      </c>
      <c r="S1180" s="0" t="str">
        <f aca="false">IF(N1180&gt;=Models!$G$7,1+COUNTIF($N$5:$N$1517,"&gt;"&amp;N1180)+COUNTIFS($N$5:$N$1517,N1180,$B$5:$B$1517,"&lt;"&amp;B1180)+COUNTIFS($N$5:$N$1517,N1180,$B$5:$B$1517,B1180,$C$5:$C$1517,"&lt;"&amp;C1180),"")</f>
        <v/>
      </c>
      <c r="T1180" s="8" t="n">
        <f aca="false">IF(O1180&gt;=Models!$G$8,1+COUNTIF($O$5:$O$1517,"&gt;"&amp;O1180)+COUNTIFS($O$5:$O$1517,O1180,$B$5:$B$1517,"&lt;"&amp;B1180)+COUNTIFS($O$5:$O$1517,O1180,$B$5:$B$1517,B1180,$C$5:$C$1517,"&lt;"&amp;C1180),"")</f>
        <v>235</v>
      </c>
      <c r="U1180" s="8" t="n">
        <f aca="false">IF($K1180=1,COUNTIFS($L$5:$L$1517,"&gt;="&amp;L1180,$K$5:$K$1517,1)/COUNTIF($L$5:$L$1517,"&gt;="&amp;L1180),0)</f>
        <v>0</v>
      </c>
      <c r="V1180" s="8" t="n">
        <f aca="false">IF($K1180=1,COUNTIFS($M$5:$M$1517,"&gt;="&amp;M1180,$K$5:$K$1517,1)/COUNTIF($M$5:$M$1517,"&gt;="&amp;M1180),0)</f>
        <v>0</v>
      </c>
      <c r="W1180" s="8" t="n">
        <f aca="false">IF($K1180=1,COUNTIFS($N$5:$N$1517,"&gt;="&amp;N1180,$K$5:$K$1517,1)/COUNTIF($N$5:$N$1517,"&gt;="&amp;N1180),0)</f>
        <v>0</v>
      </c>
      <c r="X1180" s="8" t="n">
        <f aca="false">IF($K1180=1,COUNTIFS($O$5:$O$1517,"&gt;="&amp;O1180,$K$5:$K$1517,1)/COUNTIF($O$5:$O$1517,"&gt;="&amp;O1180),0)</f>
        <v>0</v>
      </c>
      <c r="Y1180" s="8" t="n">
        <f aca="false">IF($K1180=1,COUNTIFS($P$5:$P$1517,"&gt;="&amp;P1180,$K$5:$K$1517,1)/COUNTIF($P$5:$P$1517,"&gt;="&amp;P1180),0)</f>
        <v>0</v>
      </c>
      <c r="Z1180" s="8" t="n">
        <f aca="false">(L1180-$K1180)^2</f>
        <v>0.900428290281</v>
      </c>
      <c r="AA1180" s="8" t="n">
        <f aca="false">(M1180-$K1180)^2</f>
        <v>0.008475595969</v>
      </c>
      <c r="AB1180" s="8" t="n">
        <f aca="false">(N1180-$K1180)^2</f>
        <v>0.016646934529</v>
      </c>
      <c r="AC1180" s="8" t="n">
        <f aca="false">(O1180-$K1180)^2</f>
        <v>0.011274829489</v>
      </c>
      <c r="AD1180" s="8" t="n">
        <f aca="false">(P1180-$K1180)^2</f>
        <v>0.019060011364</v>
      </c>
      <c r="AE1180" s="8" t="n">
        <f aca="false">MIN(INT(ROUND(N1180*1000000,0)/100000),9)</f>
        <v>1</v>
      </c>
      <c r="AF1180" s="8" t="n">
        <f aca="false">MIN(INT(ROUND(P1180*1000000,0)/100000),9)</f>
        <v>1</v>
      </c>
    </row>
    <row r="1181" customFormat="false" ht="15" hidden="false" customHeight="false" outlineLevel="0" collapsed="false">
      <c r="A1181" s="4" t="n">
        <v>1177</v>
      </c>
      <c r="B1181" s="4" t="n">
        <v>336</v>
      </c>
      <c r="C1181" s="4" t="n">
        <v>3</v>
      </c>
      <c r="D1181" s="11" t="n">
        <v>46143</v>
      </c>
      <c r="E1181" s="4" t="s">
        <v>202</v>
      </c>
      <c r="F1181" s="4" t="s">
        <v>206</v>
      </c>
      <c r="G1181" s="4" t="n">
        <v>9</v>
      </c>
      <c r="H1181" s="4" t="n">
        <v>2</v>
      </c>
      <c r="I1181" s="4" t="n">
        <v>0</v>
      </c>
      <c r="J1181" s="4" t="n">
        <v>1176</v>
      </c>
      <c r="K1181" s="4" t="n">
        <v>0</v>
      </c>
      <c r="L1181" s="12" t="n">
        <v>0.369263</v>
      </c>
      <c r="M1181" s="12" t="n">
        <v>0.092063</v>
      </c>
      <c r="N1181" s="12" t="n">
        <v>0.074614</v>
      </c>
      <c r="O1181" s="12" t="n">
        <v>0.106183</v>
      </c>
      <c r="P1181" s="12" t="n">
        <v>0.078081</v>
      </c>
      <c r="Q1181" s="0" t="str">
        <f aca="false">IF(L1181&gt;=Models!$G$5,1+COUNTIF($L$5:$L$1517,"&gt;"&amp;L1181)+COUNTIFS($L$5:$L$1517,L1181,$B$5:$B$1517,"&lt;"&amp;B1181)+COUNTIFS($L$5:$L$1517,L1181,$B$5:$B$1517,B1181,$C$5:$C$1517,"&lt;"&amp;C1181),"")</f>
        <v/>
      </c>
      <c r="R1181" s="0" t="str">
        <f aca="false">IF(M1181&gt;=Models!$G$6,1+COUNTIF($M$5:$M$1517,"&gt;"&amp;M1181)+COUNTIFS($M$5:$M$1517,M1181,$B$5:$B$1517,"&lt;"&amp;B1181)+COUNTIFS($M$5:$M$1517,M1181,$B$5:$B$1517,B1181,$C$5:$C$1517,"&lt;"&amp;C1181),"")</f>
        <v/>
      </c>
      <c r="S1181" s="0" t="str">
        <f aca="false">IF(N1181&gt;=Models!$G$7,1+COUNTIF($N$5:$N$1517,"&gt;"&amp;N1181)+COUNTIFS($N$5:$N$1517,N1181,$B$5:$B$1517,"&lt;"&amp;B1181)+COUNTIFS($N$5:$N$1517,N1181,$B$5:$B$1517,B1181,$C$5:$C$1517,"&lt;"&amp;C1181),"")</f>
        <v/>
      </c>
      <c r="T1181" s="8" t="n">
        <f aca="false">IF(O1181&gt;=Models!$G$8,1+COUNTIF($O$5:$O$1517,"&gt;"&amp;O1181)+COUNTIFS($O$5:$O$1517,O1181,$B$5:$B$1517,"&lt;"&amp;B1181)+COUNTIFS($O$5:$O$1517,O1181,$B$5:$B$1517,B1181,$C$5:$C$1517,"&lt;"&amp;C1181),"")</f>
        <v>239</v>
      </c>
      <c r="U1181" s="8" t="n">
        <f aca="false">IF($K1181=1,COUNTIFS($L$5:$L$1517,"&gt;="&amp;L1181,$K$5:$K$1517,1)/COUNTIF($L$5:$L$1517,"&gt;="&amp;L1181),0)</f>
        <v>0</v>
      </c>
      <c r="V1181" s="8" t="n">
        <f aca="false">IF($K1181=1,COUNTIFS($M$5:$M$1517,"&gt;="&amp;M1181,$K$5:$K$1517,1)/COUNTIF($M$5:$M$1517,"&gt;="&amp;M1181),0)</f>
        <v>0</v>
      </c>
      <c r="W1181" s="8" t="n">
        <f aca="false">IF($K1181=1,COUNTIFS($N$5:$N$1517,"&gt;="&amp;N1181,$K$5:$K$1517,1)/COUNTIF($N$5:$N$1517,"&gt;="&amp;N1181),0)</f>
        <v>0</v>
      </c>
      <c r="X1181" s="8" t="n">
        <f aca="false">IF($K1181=1,COUNTIFS($O$5:$O$1517,"&gt;="&amp;O1181,$K$5:$K$1517,1)/COUNTIF($O$5:$O$1517,"&gt;="&amp;O1181),0)</f>
        <v>0</v>
      </c>
      <c r="Y1181" s="8" t="n">
        <f aca="false">IF($K1181=1,COUNTIFS($P$5:$P$1517,"&gt;="&amp;P1181,$K$5:$K$1517,1)/COUNTIF($P$5:$P$1517,"&gt;="&amp;P1181),0)</f>
        <v>0</v>
      </c>
      <c r="Z1181" s="8" t="n">
        <f aca="false">(L1181-$K1181)^2</f>
        <v>0.136355163169</v>
      </c>
      <c r="AA1181" s="8" t="n">
        <f aca="false">(M1181-$K1181)^2</f>
        <v>0.008475595969</v>
      </c>
      <c r="AB1181" s="8" t="n">
        <f aca="false">(N1181-$K1181)^2</f>
        <v>0.005567248996</v>
      </c>
      <c r="AC1181" s="8" t="n">
        <f aca="false">(O1181-$K1181)^2</f>
        <v>0.011274829489</v>
      </c>
      <c r="AD1181" s="8" t="n">
        <f aca="false">(P1181-$K1181)^2</f>
        <v>0.006096642561</v>
      </c>
      <c r="AE1181" s="8" t="n">
        <f aca="false">MIN(INT(ROUND(N1181*1000000,0)/100000),9)</f>
        <v>0</v>
      </c>
      <c r="AF1181" s="8" t="n">
        <f aca="false">MIN(INT(ROUND(P1181*1000000,0)/100000),9)</f>
        <v>0</v>
      </c>
    </row>
    <row r="1182" customFormat="false" ht="15" hidden="false" customHeight="false" outlineLevel="0" collapsed="false">
      <c r="A1182" s="4" t="n">
        <v>1178</v>
      </c>
      <c r="B1182" s="4" t="n">
        <v>345</v>
      </c>
      <c r="C1182" s="4" t="n">
        <v>3</v>
      </c>
      <c r="D1182" s="11" t="n">
        <v>46143</v>
      </c>
      <c r="E1182" s="4" t="s">
        <v>203</v>
      </c>
      <c r="F1182" s="4" t="s">
        <v>207</v>
      </c>
      <c r="G1182" s="4" t="n">
        <v>5</v>
      </c>
      <c r="H1182" s="4" t="n">
        <v>2</v>
      </c>
      <c r="I1182" s="4" t="n">
        <v>0</v>
      </c>
      <c r="J1182" s="4" t="n">
        <v>264</v>
      </c>
      <c r="K1182" s="4" t="n">
        <v>0</v>
      </c>
      <c r="L1182" s="12" t="n">
        <v>0.088386</v>
      </c>
      <c r="M1182" s="12" t="n">
        <v>0.092063</v>
      </c>
      <c r="N1182" s="12" t="n">
        <v>0.108615</v>
      </c>
      <c r="O1182" s="12" t="n">
        <v>0.106183</v>
      </c>
      <c r="P1182" s="12" t="n">
        <v>0.11546</v>
      </c>
      <c r="Q1182" s="0" t="str">
        <f aca="false">IF(L1182&gt;=Models!$G$5,1+COUNTIF($L$5:$L$1517,"&gt;"&amp;L1182)+COUNTIFS($L$5:$L$1517,L1182,$B$5:$B$1517,"&lt;"&amp;B1182)+COUNTIFS($L$5:$L$1517,L1182,$B$5:$B$1517,B1182,$C$5:$C$1517,"&lt;"&amp;C1182),"")</f>
        <v/>
      </c>
      <c r="R1182" s="0" t="str">
        <f aca="false">IF(M1182&gt;=Models!$G$6,1+COUNTIF($M$5:$M$1517,"&gt;"&amp;M1182)+COUNTIFS($M$5:$M$1517,M1182,$B$5:$B$1517,"&lt;"&amp;B1182)+COUNTIFS($M$5:$M$1517,M1182,$B$5:$B$1517,B1182,$C$5:$C$1517,"&lt;"&amp;C1182),"")</f>
        <v/>
      </c>
      <c r="S1182" s="0" t="str">
        <f aca="false">IF(N1182&gt;=Models!$G$7,1+COUNTIF($N$5:$N$1517,"&gt;"&amp;N1182)+COUNTIFS($N$5:$N$1517,N1182,$B$5:$B$1517,"&lt;"&amp;B1182)+COUNTIFS($N$5:$N$1517,N1182,$B$5:$B$1517,B1182,$C$5:$C$1517,"&lt;"&amp;C1182),"")</f>
        <v/>
      </c>
      <c r="T1182" s="8" t="n">
        <f aca="false">IF(O1182&gt;=Models!$G$8,1+COUNTIF($O$5:$O$1517,"&gt;"&amp;O1182)+COUNTIFS($O$5:$O$1517,O1182,$B$5:$B$1517,"&lt;"&amp;B1182)+COUNTIFS($O$5:$O$1517,O1182,$B$5:$B$1517,B1182,$C$5:$C$1517,"&lt;"&amp;C1182),"")</f>
        <v>243</v>
      </c>
      <c r="U1182" s="8" t="n">
        <f aca="false">IF($K1182=1,COUNTIFS($L$5:$L$1517,"&gt;="&amp;L1182,$K$5:$K$1517,1)/COUNTIF($L$5:$L$1517,"&gt;="&amp;L1182),0)</f>
        <v>0</v>
      </c>
      <c r="V1182" s="8" t="n">
        <f aca="false">IF($K1182=1,COUNTIFS($M$5:$M$1517,"&gt;="&amp;M1182,$K$5:$K$1517,1)/COUNTIF($M$5:$M$1517,"&gt;="&amp;M1182),0)</f>
        <v>0</v>
      </c>
      <c r="W1182" s="8" t="n">
        <f aca="false">IF($K1182=1,COUNTIFS($N$5:$N$1517,"&gt;="&amp;N1182,$K$5:$K$1517,1)/COUNTIF($N$5:$N$1517,"&gt;="&amp;N1182),0)</f>
        <v>0</v>
      </c>
      <c r="X1182" s="8" t="n">
        <f aca="false">IF($K1182=1,COUNTIFS($O$5:$O$1517,"&gt;="&amp;O1182,$K$5:$K$1517,1)/COUNTIF($O$5:$O$1517,"&gt;="&amp;O1182),0)</f>
        <v>0</v>
      </c>
      <c r="Y1182" s="8" t="n">
        <f aca="false">IF($K1182=1,COUNTIFS($P$5:$P$1517,"&gt;="&amp;P1182,$K$5:$K$1517,1)/COUNTIF($P$5:$P$1517,"&gt;="&amp;P1182),0)</f>
        <v>0</v>
      </c>
      <c r="Z1182" s="8" t="n">
        <f aca="false">(L1182-$K1182)^2</f>
        <v>0.007812084996</v>
      </c>
      <c r="AA1182" s="8" t="n">
        <f aca="false">(M1182-$K1182)^2</f>
        <v>0.008475595969</v>
      </c>
      <c r="AB1182" s="8" t="n">
        <f aca="false">(N1182-$K1182)^2</f>
        <v>0.011797218225</v>
      </c>
      <c r="AC1182" s="8" t="n">
        <f aca="false">(O1182-$K1182)^2</f>
        <v>0.011274829489</v>
      </c>
      <c r="AD1182" s="8" t="n">
        <f aca="false">(P1182-$K1182)^2</f>
        <v>0.0133310116</v>
      </c>
      <c r="AE1182" s="8" t="n">
        <f aca="false">MIN(INT(ROUND(N1182*1000000,0)/100000),9)</f>
        <v>1</v>
      </c>
      <c r="AF1182" s="8" t="n">
        <f aca="false">MIN(INT(ROUND(P1182*1000000,0)/100000),9)</f>
        <v>1</v>
      </c>
    </row>
    <row r="1183" customFormat="false" ht="15" hidden="false" customHeight="false" outlineLevel="0" collapsed="false">
      <c r="A1183" s="4" t="n">
        <v>1179</v>
      </c>
      <c r="B1183" s="4" t="n">
        <v>353</v>
      </c>
      <c r="C1183" s="4" t="n">
        <v>3</v>
      </c>
      <c r="D1183" s="11" t="n">
        <v>46143</v>
      </c>
      <c r="E1183" s="4" t="s">
        <v>201</v>
      </c>
      <c r="F1183" s="4" t="s">
        <v>210</v>
      </c>
      <c r="G1183" s="4" t="n">
        <v>13</v>
      </c>
      <c r="H1183" s="4" t="n">
        <v>15</v>
      </c>
      <c r="I1183" s="4" t="n">
        <v>0</v>
      </c>
      <c r="J1183" s="4"/>
      <c r="K1183" s="4" t="n">
        <v>0</v>
      </c>
      <c r="L1183" s="12" t="n">
        <v>0.185625</v>
      </c>
      <c r="M1183" s="12" t="n">
        <v>0.092063</v>
      </c>
      <c r="N1183" s="12" t="n">
        <v>0.030479</v>
      </c>
      <c r="O1183" s="12" t="n">
        <v>0.106183</v>
      </c>
      <c r="P1183" s="12" t="n">
        <v>0.030608</v>
      </c>
      <c r="Q1183" s="0" t="str">
        <f aca="false">IF(L1183&gt;=Models!$G$5,1+COUNTIF($L$5:$L$1517,"&gt;"&amp;L1183)+COUNTIFS($L$5:$L$1517,L1183,$B$5:$B$1517,"&lt;"&amp;B1183)+COUNTIFS($L$5:$L$1517,L1183,$B$5:$B$1517,B1183,$C$5:$C$1517,"&lt;"&amp;C1183),"")</f>
        <v/>
      </c>
      <c r="R1183" s="0" t="str">
        <f aca="false">IF(M1183&gt;=Models!$G$6,1+COUNTIF($M$5:$M$1517,"&gt;"&amp;M1183)+COUNTIFS($M$5:$M$1517,M1183,$B$5:$B$1517,"&lt;"&amp;B1183)+COUNTIFS($M$5:$M$1517,M1183,$B$5:$B$1517,B1183,$C$5:$C$1517,"&lt;"&amp;C1183),"")</f>
        <v/>
      </c>
      <c r="S1183" s="0" t="str">
        <f aca="false">IF(N1183&gt;=Models!$G$7,1+COUNTIF($N$5:$N$1517,"&gt;"&amp;N1183)+COUNTIFS($N$5:$N$1517,N1183,$B$5:$B$1517,"&lt;"&amp;B1183)+COUNTIFS($N$5:$N$1517,N1183,$B$5:$B$1517,B1183,$C$5:$C$1517,"&lt;"&amp;C1183),"")</f>
        <v/>
      </c>
      <c r="T1183" s="8" t="n">
        <f aca="false">IF(O1183&gt;=Models!$G$8,1+COUNTIF($O$5:$O$1517,"&gt;"&amp;O1183)+COUNTIFS($O$5:$O$1517,O1183,$B$5:$B$1517,"&lt;"&amp;B1183)+COUNTIFS($O$5:$O$1517,O1183,$B$5:$B$1517,B1183,$C$5:$C$1517,"&lt;"&amp;C1183),"")</f>
        <v>247</v>
      </c>
      <c r="U1183" s="8" t="n">
        <f aca="false">IF($K1183=1,COUNTIFS($L$5:$L$1517,"&gt;="&amp;L1183,$K$5:$K$1517,1)/COUNTIF($L$5:$L$1517,"&gt;="&amp;L1183),0)</f>
        <v>0</v>
      </c>
      <c r="V1183" s="8" t="n">
        <f aca="false">IF($K1183=1,COUNTIFS($M$5:$M$1517,"&gt;="&amp;M1183,$K$5:$K$1517,1)/COUNTIF($M$5:$M$1517,"&gt;="&amp;M1183),0)</f>
        <v>0</v>
      </c>
      <c r="W1183" s="8" t="n">
        <f aca="false">IF($K1183=1,COUNTIFS($N$5:$N$1517,"&gt;="&amp;N1183,$K$5:$K$1517,1)/COUNTIF($N$5:$N$1517,"&gt;="&amp;N1183),0)</f>
        <v>0</v>
      </c>
      <c r="X1183" s="8" t="n">
        <f aca="false">IF($K1183=1,COUNTIFS($O$5:$O$1517,"&gt;="&amp;O1183,$K$5:$K$1517,1)/COUNTIF($O$5:$O$1517,"&gt;="&amp;O1183),0)</f>
        <v>0</v>
      </c>
      <c r="Y1183" s="8" t="n">
        <f aca="false">IF($K1183=1,COUNTIFS($P$5:$P$1517,"&gt;="&amp;P1183,$K$5:$K$1517,1)/COUNTIF($P$5:$P$1517,"&gt;="&amp;P1183),0)</f>
        <v>0</v>
      </c>
      <c r="Z1183" s="8" t="n">
        <f aca="false">(L1183-$K1183)^2</f>
        <v>0.034456640625</v>
      </c>
      <c r="AA1183" s="8" t="n">
        <f aca="false">(M1183-$K1183)^2</f>
        <v>0.008475595969</v>
      </c>
      <c r="AB1183" s="8" t="n">
        <f aca="false">(N1183-$K1183)^2</f>
        <v>0.000928969441</v>
      </c>
      <c r="AC1183" s="8" t="n">
        <f aca="false">(O1183-$K1183)^2</f>
        <v>0.011274829489</v>
      </c>
      <c r="AD1183" s="8" t="n">
        <f aca="false">(P1183-$K1183)^2</f>
        <v>0.000936849664</v>
      </c>
      <c r="AE1183" s="8" t="n">
        <f aca="false">MIN(INT(ROUND(N1183*1000000,0)/100000),9)</f>
        <v>0</v>
      </c>
      <c r="AF1183" s="8" t="n">
        <f aca="false">MIN(INT(ROUND(P1183*1000000,0)/100000),9)</f>
        <v>0</v>
      </c>
    </row>
    <row r="1184" customFormat="false" ht="15" hidden="false" customHeight="false" outlineLevel="0" collapsed="false">
      <c r="A1184" s="4" t="n">
        <v>1180</v>
      </c>
      <c r="B1184" s="4" t="n">
        <v>361</v>
      </c>
      <c r="C1184" s="4" t="n">
        <v>3</v>
      </c>
      <c r="D1184" s="11" t="n">
        <v>46143</v>
      </c>
      <c r="E1184" s="4" t="s">
        <v>202</v>
      </c>
      <c r="F1184" s="4" t="s">
        <v>209</v>
      </c>
      <c r="G1184" s="4" t="n">
        <v>14</v>
      </c>
      <c r="H1184" s="4" t="n">
        <v>0</v>
      </c>
      <c r="I1184" s="4" t="n">
        <v>0</v>
      </c>
      <c r="J1184" s="4" t="n">
        <v>1563</v>
      </c>
      <c r="K1184" s="4" t="n">
        <v>0</v>
      </c>
      <c r="L1184" s="12" t="n">
        <v>0.606287</v>
      </c>
      <c r="M1184" s="12" t="n">
        <v>0.092063</v>
      </c>
      <c r="N1184" s="12" t="n">
        <v>0.047123</v>
      </c>
      <c r="O1184" s="12" t="n">
        <v>0.106183</v>
      </c>
      <c r="P1184" s="12" t="n">
        <v>0.048301</v>
      </c>
      <c r="Q1184" s="0" t="str">
        <f aca="false">IF(L1184&gt;=Models!$G$5,1+COUNTIF($L$5:$L$1517,"&gt;"&amp;L1184)+COUNTIFS($L$5:$L$1517,L1184,$B$5:$B$1517,"&lt;"&amp;B1184)+COUNTIFS($L$5:$L$1517,L1184,$B$5:$B$1517,B1184,$C$5:$C$1517,"&lt;"&amp;C1184),"")</f>
        <v/>
      </c>
      <c r="R1184" s="0" t="str">
        <f aca="false">IF(M1184&gt;=Models!$G$6,1+COUNTIF($M$5:$M$1517,"&gt;"&amp;M1184)+COUNTIFS($M$5:$M$1517,M1184,$B$5:$B$1517,"&lt;"&amp;B1184)+COUNTIFS($M$5:$M$1517,M1184,$B$5:$B$1517,B1184,$C$5:$C$1517,"&lt;"&amp;C1184),"")</f>
        <v/>
      </c>
      <c r="S1184" s="0" t="str">
        <f aca="false">IF(N1184&gt;=Models!$G$7,1+COUNTIF($N$5:$N$1517,"&gt;"&amp;N1184)+COUNTIFS($N$5:$N$1517,N1184,$B$5:$B$1517,"&lt;"&amp;B1184)+COUNTIFS($N$5:$N$1517,N1184,$B$5:$B$1517,B1184,$C$5:$C$1517,"&lt;"&amp;C1184),"")</f>
        <v/>
      </c>
      <c r="T1184" s="8" t="n">
        <f aca="false">IF(O1184&gt;=Models!$G$8,1+COUNTIF($O$5:$O$1517,"&gt;"&amp;O1184)+COUNTIFS($O$5:$O$1517,O1184,$B$5:$B$1517,"&lt;"&amp;B1184)+COUNTIFS($O$5:$O$1517,O1184,$B$5:$B$1517,B1184,$C$5:$C$1517,"&lt;"&amp;C1184),"")</f>
        <v>251</v>
      </c>
      <c r="U1184" s="8" t="n">
        <f aca="false">IF($K1184=1,COUNTIFS($L$5:$L$1517,"&gt;="&amp;L1184,$K$5:$K$1517,1)/COUNTIF($L$5:$L$1517,"&gt;="&amp;L1184),0)</f>
        <v>0</v>
      </c>
      <c r="V1184" s="8" t="n">
        <f aca="false">IF($K1184=1,COUNTIFS($M$5:$M$1517,"&gt;="&amp;M1184,$K$5:$K$1517,1)/COUNTIF($M$5:$M$1517,"&gt;="&amp;M1184),0)</f>
        <v>0</v>
      </c>
      <c r="W1184" s="8" t="n">
        <f aca="false">IF($K1184=1,COUNTIFS($N$5:$N$1517,"&gt;="&amp;N1184,$K$5:$K$1517,1)/COUNTIF($N$5:$N$1517,"&gt;="&amp;N1184),0)</f>
        <v>0</v>
      </c>
      <c r="X1184" s="8" t="n">
        <f aca="false">IF($K1184=1,COUNTIFS($O$5:$O$1517,"&gt;="&amp;O1184,$K$5:$K$1517,1)/COUNTIF($O$5:$O$1517,"&gt;="&amp;O1184),0)</f>
        <v>0</v>
      </c>
      <c r="Y1184" s="8" t="n">
        <f aca="false">IF($K1184=1,COUNTIFS($P$5:$P$1517,"&gt;="&amp;P1184,$K$5:$K$1517,1)/COUNTIF($P$5:$P$1517,"&gt;="&amp;P1184),0)</f>
        <v>0</v>
      </c>
      <c r="Z1184" s="8" t="n">
        <f aca="false">(L1184-$K1184)^2</f>
        <v>0.367583926369</v>
      </c>
      <c r="AA1184" s="8" t="n">
        <f aca="false">(M1184-$K1184)^2</f>
        <v>0.008475595969</v>
      </c>
      <c r="AB1184" s="8" t="n">
        <f aca="false">(N1184-$K1184)^2</f>
        <v>0.002220577129</v>
      </c>
      <c r="AC1184" s="8" t="n">
        <f aca="false">(O1184-$K1184)^2</f>
        <v>0.011274829489</v>
      </c>
      <c r="AD1184" s="8" t="n">
        <f aca="false">(P1184-$K1184)^2</f>
        <v>0.002332986601</v>
      </c>
      <c r="AE1184" s="8" t="n">
        <f aca="false">MIN(INT(ROUND(N1184*1000000,0)/100000),9)</f>
        <v>0</v>
      </c>
      <c r="AF1184" s="8" t="n">
        <f aca="false">MIN(INT(ROUND(P1184*1000000,0)/100000),9)</f>
        <v>0</v>
      </c>
    </row>
    <row r="1185" customFormat="false" ht="15" hidden="false" customHeight="false" outlineLevel="0" collapsed="false">
      <c r="A1185" s="4" t="n">
        <v>1181</v>
      </c>
      <c r="B1185" s="4" t="n">
        <v>381</v>
      </c>
      <c r="C1185" s="4" t="n">
        <v>3</v>
      </c>
      <c r="D1185" s="11" t="n">
        <v>46143</v>
      </c>
      <c r="E1185" s="4" t="s">
        <v>202</v>
      </c>
      <c r="F1185" s="4" t="s">
        <v>210</v>
      </c>
      <c r="G1185" s="4" t="n">
        <v>9</v>
      </c>
      <c r="H1185" s="4" t="n">
        <v>0</v>
      </c>
      <c r="I1185" s="4" t="n">
        <v>0</v>
      </c>
      <c r="J1185" s="4"/>
      <c r="K1185" s="4" t="n">
        <v>0</v>
      </c>
      <c r="L1185" s="12" t="n">
        <v>0.401355</v>
      </c>
      <c r="M1185" s="12" t="n">
        <v>0.092063</v>
      </c>
      <c r="N1185" s="12" t="n">
        <v>0.038318</v>
      </c>
      <c r="O1185" s="12" t="n">
        <v>0.106183</v>
      </c>
      <c r="P1185" s="12" t="n">
        <v>0.038899</v>
      </c>
      <c r="Q1185" s="0" t="str">
        <f aca="false">IF(L1185&gt;=Models!$G$5,1+COUNTIF($L$5:$L$1517,"&gt;"&amp;L1185)+COUNTIFS($L$5:$L$1517,L1185,$B$5:$B$1517,"&lt;"&amp;B1185)+COUNTIFS($L$5:$L$1517,L1185,$B$5:$B$1517,B1185,$C$5:$C$1517,"&lt;"&amp;C1185),"")</f>
        <v/>
      </c>
      <c r="R1185" s="0" t="str">
        <f aca="false">IF(M1185&gt;=Models!$G$6,1+COUNTIF($M$5:$M$1517,"&gt;"&amp;M1185)+COUNTIFS($M$5:$M$1517,M1185,$B$5:$B$1517,"&lt;"&amp;B1185)+COUNTIFS($M$5:$M$1517,M1185,$B$5:$B$1517,B1185,$C$5:$C$1517,"&lt;"&amp;C1185),"")</f>
        <v/>
      </c>
      <c r="S1185" s="0" t="str">
        <f aca="false">IF(N1185&gt;=Models!$G$7,1+COUNTIF($N$5:$N$1517,"&gt;"&amp;N1185)+COUNTIFS($N$5:$N$1517,N1185,$B$5:$B$1517,"&lt;"&amp;B1185)+COUNTIFS($N$5:$N$1517,N1185,$B$5:$B$1517,B1185,$C$5:$C$1517,"&lt;"&amp;C1185),"")</f>
        <v/>
      </c>
      <c r="T1185" s="8" t="n">
        <f aca="false">IF(O1185&gt;=Models!$G$8,1+COUNTIF($O$5:$O$1517,"&gt;"&amp;O1185)+COUNTIFS($O$5:$O$1517,O1185,$B$5:$B$1517,"&lt;"&amp;B1185)+COUNTIFS($O$5:$O$1517,O1185,$B$5:$B$1517,B1185,$C$5:$C$1517,"&lt;"&amp;C1185),"")</f>
        <v>257</v>
      </c>
      <c r="U1185" s="8" t="n">
        <f aca="false">IF($K1185=1,COUNTIFS($L$5:$L$1517,"&gt;="&amp;L1185,$K$5:$K$1517,1)/COUNTIF($L$5:$L$1517,"&gt;="&amp;L1185),0)</f>
        <v>0</v>
      </c>
      <c r="V1185" s="8" t="n">
        <f aca="false">IF($K1185=1,COUNTIFS($M$5:$M$1517,"&gt;="&amp;M1185,$K$5:$K$1517,1)/COUNTIF($M$5:$M$1517,"&gt;="&amp;M1185),0)</f>
        <v>0</v>
      </c>
      <c r="W1185" s="8" t="n">
        <f aca="false">IF($K1185=1,COUNTIFS($N$5:$N$1517,"&gt;="&amp;N1185,$K$5:$K$1517,1)/COUNTIF($N$5:$N$1517,"&gt;="&amp;N1185),0)</f>
        <v>0</v>
      </c>
      <c r="X1185" s="8" t="n">
        <f aca="false">IF($K1185=1,COUNTIFS($O$5:$O$1517,"&gt;="&amp;O1185,$K$5:$K$1517,1)/COUNTIF($O$5:$O$1517,"&gt;="&amp;O1185),0)</f>
        <v>0</v>
      </c>
      <c r="Y1185" s="8" t="n">
        <f aca="false">IF($K1185=1,COUNTIFS($P$5:$P$1517,"&gt;="&amp;P1185,$K$5:$K$1517,1)/COUNTIF($P$5:$P$1517,"&gt;="&amp;P1185),0)</f>
        <v>0</v>
      </c>
      <c r="Z1185" s="8" t="n">
        <f aca="false">(L1185-$K1185)^2</f>
        <v>0.161085836025</v>
      </c>
      <c r="AA1185" s="8" t="n">
        <f aca="false">(M1185-$K1185)^2</f>
        <v>0.008475595969</v>
      </c>
      <c r="AB1185" s="8" t="n">
        <f aca="false">(N1185-$K1185)^2</f>
        <v>0.001468269124</v>
      </c>
      <c r="AC1185" s="8" t="n">
        <f aca="false">(O1185-$K1185)^2</f>
        <v>0.011274829489</v>
      </c>
      <c r="AD1185" s="8" t="n">
        <f aca="false">(P1185-$K1185)^2</f>
        <v>0.001513132201</v>
      </c>
      <c r="AE1185" s="8" t="n">
        <f aca="false">MIN(INT(ROUND(N1185*1000000,0)/100000),9)</f>
        <v>0</v>
      </c>
      <c r="AF1185" s="8" t="n">
        <f aca="false">MIN(INT(ROUND(P1185*1000000,0)/100000),9)</f>
        <v>0</v>
      </c>
    </row>
    <row r="1186" customFormat="false" ht="15" hidden="false" customHeight="false" outlineLevel="0" collapsed="false">
      <c r="A1186" s="4" t="n">
        <v>1182</v>
      </c>
      <c r="B1186" s="4" t="n">
        <v>383</v>
      </c>
      <c r="C1186" s="4" t="n">
        <v>3</v>
      </c>
      <c r="D1186" s="11" t="n">
        <v>46143</v>
      </c>
      <c r="E1186" s="4" t="s">
        <v>203</v>
      </c>
      <c r="F1186" s="4" t="s">
        <v>209</v>
      </c>
      <c r="G1186" s="4" t="n">
        <v>5</v>
      </c>
      <c r="H1186" s="4" t="n">
        <v>2</v>
      </c>
      <c r="I1186" s="4" t="n">
        <v>0</v>
      </c>
      <c r="J1186" s="4"/>
      <c r="K1186" s="4" t="n">
        <v>0</v>
      </c>
      <c r="L1186" s="12" t="n">
        <v>0.445919</v>
      </c>
      <c r="M1186" s="12" t="n">
        <v>0.092063</v>
      </c>
      <c r="N1186" s="12" t="n">
        <v>0.054868</v>
      </c>
      <c r="O1186" s="12" t="n">
        <v>0.106183</v>
      </c>
      <c r="P1186" s="12" t="n">
        <v>0.056634</v>
      </c>
      <c r="Q1186" s="0" t="str">
        <f aca="false">IF(L1186&gt;=Models!$G$5,1+COUNTIF($L$5:$L$1517,"&gt;"&amp;L1186)+COUNTIFS($L$5:$L$1517,L1186,$B$5:$B$1517,"&lt;"&amp;B1186)+COUNTIFS($L$5:$L$1517,L1186,$B$5:$B$1517,B1186,$C$5:$C$1517,"&lt;"&amp;C1186),"")</f>
        <v/>
      </c>
      <c r="R1186" s="0" t="str">
        <f aca="false">IF(M1186&gt;=Models!$G$6,1+COUNTIF($M$5:$M$1517,"&gt;"&amp;M1186)+COUNTIFS($M$5:$M$1517,M1186,$B$5:$B$1517,"&lt;"&amp;B1186)+COUNTIFS($M$5:$M$1517,M1186,$B$5:$B$1517,B1186,$C$5:$C$1517,"&lt;"&amp;C1186),"")</f>
        <v/>
      </c>
      <c r="S1186" s="0" t="str">
        <f aca="false">IF(N1186&gt;=Models!$G$7,1+COUNTIF($N$5:$N$1517,"&gt;"&amp;N1186)+COUNTIFS($N$5:$N$1517,N1186,$B$5:$B$1517,"&lt;"&amp;B1186)+COUNTIFS($N$5:$N$1517,N1186,$B$5:$B$1517,B1186,$C$5:$C$1517,"&lt;"&amp;C1186),"")</f>
        <v/>
      </c>
      <c r="T1186" s="8" t="n">
        <f aca="false">IF(O1186&gt;=Models!$G$8,1+COUNTIF($O$5:$O$1517,"&gt;"&amp;O1186)+COUNTIFS($O$5:$O$1517,O1186,$B$5:$B$1517,"&lt;"&amp;B1186)+COUNTIFS($O$5:$O$1517,O1186,$B$5:$B$1517,B1186,$C$5:$C$1517,"&lt;"&amp;C1186),"")</f>
        <v>261</v>
      </c>
      <c r="U1186" s="8" t="n">
        <f aca="false">IF($K1186=1,COUNTIFS($L$5:$L$1517,"&gt;="&amp;L1186,$K$5:$K$1517,1)/COUNTIF($L$5:$L$1517,"&gt;="&amp;L1186),0)</f>
        <v>0</v>
      </c>
      <c r="V1186" s="8" t="n">
        <f aca="false">IF($K1186=1,COUNTIFS($M$5:$M$1517,"&gt;="&amp;M1186,$K$5:$K$1517,1)/COUNTIF($M$5:$M$1517,"&gt;="&amp;M1186),0)</f>
        <v>0</v>
      </c>
      <c r="W1186" s="8" t="n">
        <f aca="false">IF($K1186=1,COUNTIFS($N$5:$N$1517,"&gt;="&amp;N1186,$K$5:$K$1517,1)/COUNTIF($N$5:$N$1517,"&gt;="&amp;N1186),0)</f>
        <v>0</v>
      </c>
      <c r="X1186" s="8" t="n">
        <f aca="false">IF($K1186=1,COUNTIFS($O$5:$O$1517,"&gt;="&amp;O1186,$K$5:$K$1517,1)/COUNTIF($O$5:$O$1517,"&gt;="&amp;O1186),0)</f>
        <v>0</v>
      </c>
      <c r="Y1186" s="8" t="n">
        <f aca="false">IF($K1186=1,COUNTIFS($P$5:$P$1517,"&gt;="&amp;P1186,$K$5:$K$1517,1)/COUNTIF($P$5:$P$1517,"&gt;="&amp;P1186),0)</f>
        <v>0</v>
      </c>
      <c r="Z1186" s="8" t="n">
        <f aca="false">(L1186-$K1186)^2</f>
        <v>0.198843754561</v>
      </c>
      <c r="AA1186" s="8" t="n">
        <f aca="false">(M1186-$K1186)^2</f>
        <v>0.008475595969</v>
      </c>
      <c r="AB1186" s="8" t="n">
        <f aca="false">(N1186-$K1186)^2</f>
        <v>0.003010497424</v>
      </c>
      <c r="AC1186" s="8" t="n">
        <f aca="false">(O1186-$K1186)^2</f>
        <v>0.011274829489</v>
      </c>
      <c r="AD1186" s="8" t="n">
        <f aca="false">(P1186-$K1186)^2</f>
        <v>0.003207409956</v>
      </c>
      <c r="AE1186" s="8" t="n">
        <f aca="false">MIN(INT(ROUND(N1186*1000000,0)/100000),9)</f>
        <v>0</v>
      </c>
      <c r="AF1186" s="8" t="n">
        <f aca="false">MIN(INT(ROUND(P1186*1000000,0)/100000),9)</f>
        <v>0</v>
      </c>
    </row>
    <row r="1187" customFormat="false" ht="15" hidden="false" customHeight="false" outlineLevel="0" collapsed="false">
      <c r="A1187" s="4" t="n">
        <v>1183</v>
      </c>
      <c r="B1187" s="4" t="n">
        <v>385</v>
      </c>
      <c r="C1187" s="4" t="n">
        <v>3</v>
      </c>
      <c r="D1187" s="11" t="n">
        <v>46143</v>
      </c>
      <c r="E1187" s="4" t="s">
        <v>203</v>
      </c>
      <c r="F1187" s="4" t="s">
        <v>207</v>
      </c>
      <c r="G1187" s="4" t="n">
        <v>2</v>
      </c>
      <c r="H1187" s="4" t="n">
        <v>2</v>
      </c>
      <c r="I1187" s="4" t="n">
        <v>1</v>
      </c>
      <c r="J1187" s="4" t="n">
        <v>208.8</v>
      </c>
      <c r="K1187" s="4" t="n">
        <v>0</v>
      </c>
      <c r="L1187" s="12" t="n">
        <v>0.122263</v>
      </c>
      <c r="M1187" s="12" t="n">
        <v>0.184211</v>
      </c>
      <c r="N1187" s="12" t="n">
        <v>0.225178</v>
      </c>
      <c r="O1187" s="12" t="n">
        <v>0.106183</v>
      </c>
      <c r="P1187" s="12" t="n">
        <v>0.24498</v>
      </c>
      <c r="Q1187" s="0" t="str">
        <f aca="false">IF(L1187&gt;=Models!$G$5,1+COUNTIF($L$5:$L$1517,"&gt;"&amp;L1187)+COUNTIFS($L$5:$L$1517,L1187,$B$5:$B$1517,"&lt;"&amp;B1187)+COUNTIFS($L$5:$L$1517,L1187,$B$5:$B$1517,B1187,$C$5:$C$1517,"&lt;"&amp;C1187),"")</f>
        <v/>
      </c>
      <c r="R1187" s="8" t="n">
        <f aca="false">IF(M1187&gt;=Models!$G$6,1+COUNTIF($M$5:$M$1517,"&gt;"&amp;M1187)+COUNTIFS($M$5:$M$1517,M1187,$B$5:$B$1517,"&lt;"&amp;B1187)+COUNTIFS($M$5:$M$1517,M1187,$B$5:$B$1517,B1187,$C$5:$C$1517,"&lt;"&amp;C1187),"")</f>
        <v>29</v>
      </c>
      <c r="S1187" s="0" t="str">
        <f aca="false">IF(N1187&gt;=Models!$G$7,1+COUNTIF($N$5:$N$1517,"&gt;"&amp;N1187)+COUNTIFS($N$5:$N$1517,N1187,$B$5:$B$1517,"&lt;"&amp;B1187)+COUNTIFS($N$5:$N$1517,N1187,$B$5:$B$1517,B1187,$C$5:$C$1517,"&lt;"&amp;C1187),"")</f>
        <v/>
      </c>
      <c r="T1187" s="8" t="n">
        <f aca="false">IF(O1187&gt;=Models!$G$8,1+COUNTIF($O$5:$O$1517,"&gt;"&amp;O1187)+COUNTIFS($O$5:$O$1517,O1187,$B$5:$B$1517,"&lt;"&amp;B1187)+COUNTIFS($O$5:$O$1517,O1187,$B$5:$B$1517,B1187,$C$5:$C$1517,"&lt;"&amp;C1187),"")</f>
        <v>265</v>
      </c>
      <c r="U1187" s="8" t="n">
        <f aca="false">IF($K1187=1,COUNTIFS($L$5:$L$1517,"&gt;="&amp;L1187,$K$5:$K$1517,1)/COUNTIF($L$5:$L$1517,"&gt;="&amp;L1187),0)</f>
        <v>0</v>
      </c>
      <c r="V1187" s="8" t="n">
        <f aca="false">IF($K1187=1,COUNTIFS($M$5:$M$1517,"&gt;="&amp;M1187,$K$5:$K$1517,1)/COUNTIF($M$5:$M$1517,"&gt;="&amp;M1187),0)</f>
        <v>0</v>
      </c>
      <c r="W1187" s="8" t="n">
        <f aca="false">IF($K1187=1,COUNTIFS($N$5:$N$1517,"&gt;="&amp;N1187,$K$5:$K$1517,1)/COUNTIF($N$5:$N$1517,"&gt;="&amp;N1187),0)</f>
        <v>0</v>
      </c>
      <c r="X1187" s="8" t="n">
        <f aca="false">IF($K1187=1,COUNTIFS($O$5:$O$1517,"&gt;="&amp;O1187,$K$5:$K$1517,1)/COUNTIF($O$5:$O$1517,"&gt;="&amp;O1187),0)</f>
        <v>0</v>
      </c>
      <c r="Y1187" s="8" t="n">
        <f aca="false">IF($K1187=1,COUNTIFS($P$5:$P$1517,"&gt;="&amp;P1187,$K$5:$K$1517,1)/COUNTIF($P$5:$P$1517,"&gt;="&amp;P1187),0)</f>
        <v>0</v>
      </c>
      <c r="Z1187" s="8" t="n">
        <f aca="false">(L1187-$K1187)^2</f>
        <v>0.014948241169</v>
      </c>
      <c r="AA1187" s="8" t="n">
        <f aca="false">(M1187-$K1187)^2</f>
        <v>0.033933692521</v>
      </c>
      <c r="AB1187" s="8" t="n">
        <f aca="false">(N1187-$K1187)^2</f>
        <v>0.050705131684</v>
      </c>
      <c r="AC1187" s="8" t="n">
        <f aca="false">(O1187-$K1187)^2</f>
        <v>0.011274829489</v>
      </c>
      <c r="AD1187" s="8" t="n">
        <f aca="false">(P1187-$K1187)^2</f>
        <v>0.0600152004</v>
      </c>
      <c r="AE1187" s="8" t="n">
        <f aca="false">MIN(INT(ROUND(N1187*1000000,0)/100000),9)</f>
        <v>2</v>
      </c>
      <c r="AF1187" s="8" t="n">
        <f aca="false">MIN(INT(ROUND(P1187*1000000,0)/100000),9)</f>
        <v>2</v>
      </c>
    </row>
    <row r="1188" customFormat="false" ht="15" hidden="false" customHeight="false" outlineLevel="0" collapsed="false">
      <c r="A1188" s="4" t="n">
        <v>1184</v>
      </c>
      <c r="B1188" s="4" t="n">
        <v>401</v>
      </c>
      <c r="C1188" s="4" t="n">
        <v>3</v>
      </c>
      <c r="D1188" s="11" t="n">
        <v>46143</v>
      </c>
      <c r="E1188" s="4" t="s">
        <v>202</v>
      </c>
      <c r="F1188" s="4" t="s">
        <v>206</v>
      </c>
      <c r="G1188" s="4" t="n">
        <v>11</v>
      </c>
      <c r="H1188" s="4" t="n">
        <v>7</v>
      </c>
      <c r="I1188" s="4" t="n">
        <v>0</v>
      </c>
      <c r="J1188" s="4" t="n">
        <v>1500</v>
      </c>
      <c r="K1188" s="4" t="n">
        <v>0</v>
      </c>
      <c r="L1188" s="12" t="n">
        <v>0.828297</v>
      </c>
      <c r="M1188" s="12" t="n">
        <v>0.092063</v>
      </c>
      <c r="N1188" s="12" t="n">
        <v>0.064422</v>
      </c>
      <c r="O1188" s="12" t="n">
        <v>0.106183</v>
      </c>
      <c r="P1188" s="12" t="n">
        <v>0.066979</v>
      </c>
      <c r="Q1188" s="0" t="str">
        <f aca="false">IF(L1188&gt;=Models!$G$5,1+COUNTIF($L$5:$L$1517,"&gt;"&amp;L1188)+COUNTIFS($L$5:$L$1517,L1188,$B$5:$B$1517,"&lt;"&amp;B1188)+COUNTIFS($L$5:$L$1517,L1188,$B$5:$B$1517,B1188,$C$5:$C$1517,"&lt;"&amp;C1188),"")</f>
        <v/>
      </c>
      <c r="R1188" s="0" t="str">
        <f aca="false">IF(M1188&gt;=Models!$G$6,1+COUNTIF($M$5:$M$1517,"&gt;"&amp;M1188)+COUNTIFS($M$5:$M$1517,M1188,$B$5:$B$1517,"&lt;"&amp;B1188)+COUNTIFS($M$5:$M$1517,M1188,$B$5:$B$1517,B1188,$C$5:$C$1517,"&lt;"&amp;C1188),"")</f>
        <v/>
      </c>
      <c r="S1188" s="0" t="str">
        <f aca="false">IF(N1188&gt;=Models!$G$7,1+COUNTIF($N$5:$N$1517,"&gt;"&amp;N1188)+COUNTIFS($N$5:$N$1517,N1188,$B$5:$B$1517,"&lt;"&amp;B1188)+COUNTIFS($N$5:$N$1517,N1188,$B$5:$B$1517,B1188,$C$5:$C$1517,"&lt;"&amp;C1188),"")</f>
        <v/>
      </c>
      <c r="T1188" s="8" t="n">
        <f aca="false">IF(O1188&gt;=Models!$G$8,1+COUNTIF($O$5:$O$1517,"&gt;"&amp;O1188)+COUNTIFS($O$5:$O$1517,O1188,$B$5:$B$1517,"&lt;"&amp;B1188)+COUNTIFS($O$5:$O$1517,O1188,$B$5:$B$1517,B1188,$C$5:$C$1517,"&lt;"&amp;C1188),"")</f>
        <v>269</v>
      </c>
      <c r="U1188" s="8" t="n">
        <f aca="false">IF($K1188=1,COUNTIFS($L$5:$L$1517,"&gt;="&amp;L1188,$K$5:$K$1517,1)/COUNTIF($L$5:$L$1517,"&gt;="&amp;L1188),0)</f>
        <v>0</v>
      </c>
      <c r="V1188" s="8" t="n">
        <f aca="false">IF($K1188=1,COUNTIFS($M$5:$M$1517,"&gt;="&amp;M1188,$K$5:$K$1517,1)/COUNTIF($M$5:$M$1517,"&gt;="&amp;M1188),0)</f>
        <v>0</v>
      </c>
      <c r="W1188" s="8" t="n">
        <f aca="false">IF($K1188=1,COUNTIFS($N$5:$N$1517,"&gt;="&amp;N1188,$K$5:$K$1517,1)/COUNTIF($N$5:$N$1517,"&gt;="&amp;N1188),0)</f>
        <v>0</v>
      </c>
      <c r="X1188" s="8" t="n">
        <f aca="false">IF($K1188=1,COUNTIFS($O$5:$O$1517,"&gt;="&amp;O1188,$K$5:$K$1517,1)/COUNTIF($O$5:$O$1517,"&gt;="&amp;O1188),0)</f>
        <v>0</v>
      </c>
      <c r="Y1188" s="8" t="n">
        <f aca="false">IF($K1188=1,COUNTIFS($P$5:$P$1517,"&gt;="&amp;P1188,$K$5:$K$1517,1)/COUNTIF($P$5:$P$1517,"&gt;="&amp;P1188),0)</f>
        <v>0</v>
      </c>
      <c r="Z1188" s="8" t="n">
        <f aca="false">(L1188-$K1188)^2</f>
        <v>0.686075920209</v>
      </c>
      <c r="AA1188" s="8" t="n">
        <f aca="false">(M1188-$K1188)^2</f>
        <v>0.008475595969</v>
      </c>
      <c r="AB1188" s="8" t="n">
        <f aca="false">(N1188-$K1188)^2</f>
        <v>0.004150194084</v>
      </c>
      <c r="AC1188" s="8" t="n">
        <f aca="false">(O1188-$K1188)^2</f>
        <v>0.011274829489</v>
      </c>
      <c r="AD1188" s="8" t="n">
        <f aca="false">(P1188-$K1188)^2</f>
        <v>0.004486186441</v>
      </c>
      <c r="AE1188" s="8" t="n">
        <f aca="false">MIN(INT(ROUND(N1188*1000000,0)/100000),9)</f>
        <v>0</v>
      </c>
      <c r="AF1188" s="8" t="n">
        <f aca="false">MIN(INT(ROUND(P1188*1000000,0)/100000),9)</f>
        <v>0</v>
      </c>
    </row>
    <row r="1189" customFormat="false" ht="15" hidden="false" customHeight="false" outlineLevel="0" collapsed="false">
      <c r="A1189" s="4" t="n">
        <v>1185</v>
      </c>
      <c r="B1189" s="4" t="n">
        <v>402</v>
      </c>
      <c r="C1189" s="4" t="n">
        <v>3</v>
      </c>
      <c r="D1189" s="11" t="n">
        <v>46143</v>
      </c>
      <c r="E1189" s="4" t="s">
        <v>201</v>
      </c>
      <c r="F1189" s="4" t="s">
        <v>206</v>
      </c>
      <c r="G1189" s="4" t="n">
        <v>10</v>
      </c>
      <c r="H1189" s="4" t="n">
        <v>9</v>
      </c>
      <c r="I1189" s="4" t="n">
        <v>0</v>
      </c>
      <c r="J1189" s="4"/>
      <c r="K1189" s="4" t="n">
        <v>0</v>
      </c>
      <c r="L1189" s="12" t="n">
        <v>0.887835</v>
      </c>
      <c r="M1189" s="12" t="n">
        <v>0.092063</v>
      </c>
      <c r="N1189" s="12" t="n">
        <v>0.037724</v>
      </c>
      <c r="O1189" s="12" t="n">
        <v>0.106183</v>
      </c>
      <c r="P1189" s="12" t="n">
        <v>0.038268</v>
      </c>
      <c r="Q1189" s="0" t="str">
        <f aca="false">IF(L1189&gt;=Models!$G$5,1+COUNTIF($L$5:$L$1517,"&gt;"&amp;L1189)+COUNTIFS($L$5:$L$1517,L1189,$B$5:$B$1517,"&lt;"&amp;B1189)+COUNTIFS($L$5:$L$1517,L1189,$B$5:$B$1517,B1189,$C$5:$C$1517,"&lt;"&amp;C1189),"")</f>
        <v/>
      </c>
      <c r="R1189" s="0" t="str">
        <f aca="false">IF(M1189&gt;=Models!$G$6,1+COUNTIF($M$5:$M$1517,"&gt;"&amp;M1189)+COUNTIFS($M$5:$M$1517,M1189,$B$5:$B$1517,"&lt;"&amp;B1189)+COUNTIFS($M$5:$M$1517,M1189,$B$5:$B$1517,B1189,$C$5:$C$1517,"&lt;"&amp;C1189),"")</f>
        <v/>
      </c>
      <c r="S1189" s="0" t="str">
        <f aca="false">IF(N1189&gt;=Models!$G$7,1+COUNTIF($N$5:$N$1517,"&gt;"&amp;N1189)+COUNTIFS($N$5:$N$1517,N1189,$B$5:$B$1517,"&lt;"&amp;B1189)+COUNTIFS($N$5:$N$1517,N1189,$B$5:$B$1517,B1189,$C$5:$C$1517,"&lt;"&amp;C1189),"")</f>
        <v/>
      </c>
      <c r="T1189" s="8" t="n">
        <f aca="false">IF(O1189&gt;=Models!$G$8,1+COUNTIF($O$5:$O$1517,"&gt;"&amp;O1189)+COUNTIFS($O$5:$O$1517,O1189,$B$5:$B$1517,"&lt;"&amp;B1189)+COUNTIFS($O$5:$O$1517,O1189,$B$5:$B$1517,B1189,$C$5:$C$1517,"&lt;"&amp;C1189),"")</f>
        <v>273</v>
      </c>
      <c r="U1189" s="8" t="n">
        <f aca="false">IF($K1189=1,COUNTIFS($L$5:$L$1517,"&gt;="&amp;L1189,$K$5:$K$1517,1)/COUNTIF($L$5:$L$1517,"&gt;="&amp;L1189),0)</f>
        <v>0</v>
      </c>
      <c r="V1189" s="8" t="n">
        <f aca="false">IF($K1189=1,COUNTIFS($M$5:$M$1517,"&gt;="&amp;M1189,$K$5:$K$1517,1)/COUNTIF($M$5:$M$1517,"&gt;="&amp;M1189),0)</f>
        <v>0</v>
      </c>
      <c r="W1189" s="8" t="n">
        <f aca="false">IF($K1189=1,COUNTIFS($N$5:$N$1517,"&gt;="&amp;N1189,$K$5:$K$1517,1)/COUNTIF($N$5:$N$1517,"&gt;="&amp;N1189),0)</f>
        <v>0</v>
      </c>
      <c r="X1189" s="8" t="n">
        <f aca="false">IF($K1189=1,COUNTIFS($O$5:$O$1517,"&gt;="&amp;O1189,$K$5:$K$1517,1)/COUNTIF($O$5:$O$1517,"&gt;="&amp;O1189),0)</f>
        <v>0</v>
      </c>
      <c r="Y1189" s="8" t="n">
        <f aca="false">IF($K1189=1,COUNTIFS($P$5:$P$1517,"&gt;="&amp;P1189,$K$5:$K$1517,1)/COUNTIF($P$5:$P$1517,"&gt;="&amp;P1189),0)</f>
        <v>0</v>
      </c>
      <c r="Z1189" s="8" t="n">
        <f aca="false">(L1189-$K1189)^2</f>
        <v>0.788250987225</v>
      </c>
      <c r="AA1189" s="8" t="n">
        <f aca="false">(M1189-$K1189)^2</f>
        <v>0.008475595969</v>
      </c>
      <c r="AB1189" s="8" t="n">
        <f aca="false">(N1189-$K1189)^2</f>
        <v>0.001423100176</v>
      </c>
      <c r="AC1189" s="8" t="n">
        <f aca="false">(O1189-$K1189)^2</f>
        <v>0.011274829489</v>
      </c>
      <c r="AD1189" s="8" t="n">
        <f aca="false">(P1189-$K1189)^2</f>
        <v>0.001464439824</v>
      </c>
      <c r="AE1189" s="8" t="n">
        <f aca="false">MIN(INT(ROUND(N1189*1000000,0)/100000),9)</f>
        <v>0</v>
      </c>
      <c r="AF1189" s="8" t="n">
        <f aca="false">MIN(INT(ROUND(P1189*1000000,0)/100000),9)</f>
        <v>0</v>
      </c>
    </row>
    <row r="1190" customFormat="false" ht="15" hidden="false" customHeight="false" outlineLevel="0" collapsed="false">
      <c r="A1190" s="4" t="n">
        <v>1186</v>
      </c>
      <c r="B1190" s="4" t="n">
        <v>403</v>
      </c>
      <c r="C1190" s="4" t="n">
        <v>3</v>
      </c>
      <c r="D1190" s="11" t="n">
        <v>46143</v>
      </c>
      <c r="E1190" s="4" t="s">
        <v>202</v>
      </c>
      <c r="F1190" s="4" t="s">
        <v>208</v>
      </c>
      <c r="G1190" s="4" t="n">
        <v>0</v>
      </c>
      <c r="H1190" s="4" t="n">
        <v>38</v>
      </c>
      <c r="I1190" s="4" t="n">
        <v>1</v>
      </c>
      <c r="J1190" s="4"/>
      <c r="K1190" s="4" t="n">
        <v>1</v>
      </c>
      <c r="L1190" s="12" t="n">
        <v>0.152952</v>
      </c>
      <c r="M1190" s="12" t="n">
        <v>0.184211</v>
      </c>
      <c r="N1190" s="12" t="n">
        <v>0.181624</v>
      </c>
      <c r="O1190" s="12" t="n">
        <v>0.106183</v>
      </c>
      <c r="P1190" s="12" t="n">
        <v>0.196544</v>
      </c>
      <c r="Q1190" s="0" t="str">
        <f aca="false">IF(L1190&gt;=Models!$G$5,1+COUNTIF($L$5:$L$1517,"&gt;"&amp;L1190)+COUNTIFS($L$5:$L$1517,L1190,$B$5:$B$1517,"&lt;"&amp;B1190)+COUNTIFS($L$5:$L$1517,L1190,$B$5:$B$1517,B1190,$C$5:$C$1517,"&lt;"&amp;C1190),"")</f>
        <v/>
      </c>
      <c r="R1190" s="8" t="n">
        <f aca="false">IF(M1190&gt;=Models!$G$6,1+COUNTIF($M$5:$M$1517,"&gt;"&amp;M1190)+COUNTIFS($M$5:$M$1517,M1190,$B$5:$B$1517,"&lt;"&amp;B1190)+COUNTIFS($M$5:$M$1517,M1190,$B$5:$B$1517,B1190,$C$5:$C$1517,"&lt;"&amp;C1190),"")</f>
        <v>32</v>
      </c>
      <c r="S1190" s="0" t="str">
        <f aca="false">IF(N1190&gt;=Models!$G$7,1+COUNTIF($N$5:$N$1517,"&gt;"&amp;N1190)+COUNTIFS($N$5:$N$1517,N1190,$B$5:$B$1517,"&lt;"&amp;B1190)+COUNTIFS($N$5:$N$1517,N1190,$B$5:$B$1517,B1190,$C$5:$C$1517,"&lt;"&amp;C1190),"")</f>
        <v/>
      </c>
      <c r="T1190" s="8" t="n">
        <f aca="false">IF(O1190&gt;=Models!$G$8,1+COUNTIF($O$5:$O$1517,"&gt;"&amp;O1190)+COUNTIFS($O$5:$O$1517,O1190,$B$5:$B$1517,"&lt;"&amp;B1190)+COUNTIFS($O$5:$O$1517,O1190,$B$5:$B$1517,B1190,$C$5:$C$1517,"&lt;"&amp;C1190),"")</f>
        <v>277</v>
      </c>
      <c r="U1190" s="8" t="n">
        <f aca="false">IF($K1190=1,COUNTIFS($L$5:$L$1517,"&gt;="&amp;L1190,$K$5:$K$1517,1)/COUNTIF($L$5:$L$1517,"&gt;="&amp;L1190),0)</f>
        <v>0.124110671936759</v>
      </c>
      <c r="V1190" s="8" t="n">
        <f aca="false">IF($K1190=1,COUNTIFS($M$5:$M$1517,"&gt;="&amp;M1190,$K$5:$K$1517,1)/COUNTIF($M$5:$M$1517,"&gt;="&amp;M1190),0)</f>
        <v>0.186528497409326</v>
      </c>
      <c r="W1190" s="8" t="n">
        <f aca="false">IF($K1190=1,COUNTIFS($N$5:$N$1517,"&gt;="&amp;N1190,$K$5:$K$1517,1)/COUNTIF($N$5:$N$1517,"&gt;="&amp;N1190),0)</f>
        <v>0.313953488372093</v>
      </c>
      <c r="X1190" s="8" t="n">
        <f aca="false">IF($K1190=1,COUNTIFS($O$5:$O$1517,"&gt;="&amp;O1190,$K$5:$K$1517,1)/COUNTIF($O$5:$O$1517,"&gt;="&amp;O1190),0)</f>
        <v>0.12491738268341</v>
      </c>
      <c r="Y1190" s="8" t="n">
        <f aca="false">IF($K1190=1,COUNTIFS($P$5:$P$1517,"&gt;="&amp;P1190,$K$5:$K$1517,1)/COUNTIF($P$5:$P$1517,"&gt;="&amp;P1190),0)</f>
        <v>0.313953488372093</v>
      </c>
      <c r="Z1190" s="8" t="n">
        <f aca="false">(L1190-$K1190)^2</f>
        <v>0.717490314304</v>
      </c>
      <c r="AA1190" s="8" t="n">
        <f aca="false">(M1190-$K1190)^2</f>
        <v>0.665511692521</v>
      </c>
      <c r="AB1190" s="8" t="n">
        <f aca="false">(N1190-$K1190)^2</f>
        <v>0.669739277376</v>
      </c>
      <c r="AC1190" s="8" t="n">
        <f aca="false">(O1190-$K1190)^2</f>
        <v>0.798908829489</v>
      </c>
      <c r="AD1190" s="8" t="n">
        <f aca="false">(P1190-$K1190)^2</f>
        <v>0.645541543936</v>
      </c>
      <c r="AE1190" s="8" t="n">
        <f aca="false">MIN(INT(ROUND(N1190*1000000,0)/100000),9)</f>
        <v>1</v>
      </c>
      <c r="AF1190" s="8" t="n">
        <f aca="false">MIN(INT(ROUND(P1190*1000000,0)/100000),9)</f>
        <v>1</v>
      </c>
    </row>
    <row r="1191" customFormat="false" ht="15" hidden="false" customHeight="false" outlineLevel="0" collapsed="false">
      <c r="A1191" s="4" t="n">
        <v>1187</v>
      </c>
      <c r="B1191" s="4" t="n">
        <v>406</v>
      </c>
      <c r="C1191" s="4" t="n">
        <v>3</v>
      </c>
      <c r="D1191" s="11" t="n">
        <v>46143</v>
      </c>
      <c r="E1191" s="4" t="s">
        <v>204</v>
      </c>
      <c r="F1191" s="4" t="s">
        <v>206</v>
      </c>
      <c r="G1191" s="4" t="n">
        <v>1</v>
      </c>
      <c r="H1191" s="4" t="n">
        <v>29</v>
      </c>
      <c r="I1191" s="4" t="n">
        <v>0</v>
      </c>
      <c r="J1191" s="4" t="n">
        <v>75</v>
      </c>
      <c r="K1191" s="4" t="n">
        <v>0</v>
      </c>
      <c r="L1191" s="12" t="n">
        <v>0.865803</v>
      </c>
      <c r="M1191" s="12" t="n">
        <v>0.092063</v>
      </c>
      <c r="N1191" s="12" t="n">
        <v>0.18053</v>
      </c>
      <c r="O1191" s="12" t="n">
        <v>0.106183</v>
      </c>
      <c r="P1191" s="12" t="n">
        <v>0.195326</v>
      </c>
      <c r="Q1191" s="0" t="str">
        <f aca="false">IF(L1191&gt;=Models!$G$5,1+COUNTIF($L$5:$L$1517,"&gt;"&amp;L1191)+COUNTIFS($L$5:$L$1517,L1191,$B$5:$B$1517,"&lt;"&amp;B1191)+COUNTIFS($L$5:$L$1517,L1191,$B$5:$B$1517,B1191,$C$5:$C$1517,"&lt;"&amp;C1191),"")</f>
        <v/>
      </c>
      <c r="R1191" s="0" t="str">
        <f aca="false">IF(M1191&gt;=Models!$G$6,1+COUNTIF($M$5:$M$1517,"&gt;"&amp;M1191)+COUNTIFS($M$5:$M$1517,M1191,$B$5:$B$1517,"&lt;"&amp;B1191)+COUNTIFS($M$5:$M$1517,M1191,$B$5:$B$1517,B1191,$C$5:$C$1517,"&lt;"&amp;C1191),"")</f>
        <v/>
      </c>
      <c r="S1191" s="0" t="str">
        <f aca="false">IF(N1191&gt;=Models!$G$7,1+COUNTIF($N$5:$N$1517,"&gt;"&amp;N1191)+COUNTIFS($N$5:$N$1517,N1191,$B$5:$B$1517,"&lt;"&amp;B1191)+COUNTIFS($N$5:$N$1517,N1191,$B$5:$B$1517,B1191,$C$5:$C$1517,"&lt;"&amp;C1191),"")</f>
        <v/>
      </c>
      <c r="T1191" s="8" t="n">
        <f aca="false">IF(O1191&gt;=Models!$G$8,1+COUNTIF($O$5:$O$1517,"&gt;"&amp;O1191)+COUNTIFS($O$5:$O$1517,O1191,$B$5:$B$1517,"&lt;"&amp;B1191)+COUNTIFS($O$5:$O$1517,O1191,$B$5:$B$1517,B1191,$C$5:$C$1517,"&lt;"&amp;C1191),"")</f>
        <v>281</v>
      </c>
      <c r="U1191" s="8" t="n">
        <f aca="false">IF($K1191=1,COUNTIFS($L$5:$L$1517,"&gt;="&amp;L1191,$K$5:$K$1517,1)/COUNTIF($L$5:$L$1517,"&gt;="&amp;L1191),0)</f>
        <v>0</v>
      </c>
      <c r="V1191" s="8" t="n">
        <f aca="false">IF($K1191=1,COUNTIFS($M$5:$M$1517,"&gt;="&amp;M1191,$K$5:$K$1517,1)/COUNTIF($M$5:$M$1517,"&gt;="&amp;M1191),0)</f>
        <v>0</v>
      </c>
      <c r="W1191" s="8" t="n">
        <f aca="false">IF($K1191=1,COUNTIFS($N$5:$N$1517,"&gt;="&amp;N1191,$K$5:$K$1517,1)/COUNTIF($N$5:$N$1517,"&gt;="&amp;N1191),0)</f>
        <v>0</v>
      </c>
      <c r="X1191" s="8" t="n">
        <f aca="false">IF($K1191=1,COUNTIFS($O$5:$O$1517,"&gt;="&amp;O1191,$K$5:$K$1517,1)/COUNTIF($O$5:$O$1517,"&gt;="&amp;O1191),0)</f>
        <v>0</v>
      </c>
      <c r="Y1191" s="8" t="n">
        <f aca="false">IF($K1191=1,COUNTIFS($P$5:$P$1517,"&gt;="&amp;P1191,$K$5:$K$1517,1)/COUNTIF($P$5:$P$1517,"&gt;="&amp;P1191),0)</f>
        <v>0</v>
      </c>
      <c r="Z1191" s="8" t="n">
        <f aca="false">(L1191-$K1191)^2</f>
        <v>0.749614834809</v>
      </c>
      <c r="AA1191" s="8" t="n">
        <f aca="false">(M1191-$K1191)^2</f>
        <v>0.008475595969</v>
      </c>
      <c r="AB1191" s="8" t="n">
        <f aca="false">(N1191-$K1191)^2</f>
        <v>0.0325910809</v>
      </c>
      <c r="AC1191" s="8" t="n">
        <f aca="false">(O1191-$K1191)^2</f>
        <v>0.011274829489</v>
      </c>
      <c r="AD1191" s="8" t="n">
        <f aca="false">(P1191-$K1191)^2</f>
        <v>0.038152246276</v>
      </c>
      <c r="AE1191" s="8" t="n">
        <f aca="false">MIN(INT(ROUND(N1191*1000000,0)/100000),9)</f>
        <v>1</v>
      </c>
      <c r="AF1191" s="8" t="n">
        <f aca="false">MIN(INT(ROUND(P1191*1000000,0)/100000),9)</f>
        <v>1</v>
      </c>
    </row>
    <row r="1192" customFormat="false" ht="15" hidden="false" customHeight="false" outlineLevel="0" collapsed="false">
      <c r="A1192" s="4" t="n">
        <v>1188</v>
      </c>
      <c r="B1192" s="4" t="n">
        <v>415</v>
      </c>
      <c r="C1192" s="4" t="n">
        <v>3</v>
      </c>
      <c r="D1192" s="11" t="n">
        <v>46143</v>
      </c>
      <c r="E1192" s="4" t="s">
        <v>204</v>
      </c>
      <c r="F1192" s="4" t="s">
        <v>206</v>
      </c>
      <c r="G1192" s="4" t="n">
        <v>1</v>
      </c>
      <c r="H1192" s="4" t="n">
        <v>5</v>
      </c>
      <c r="I1192" s="4" t="n">
        <v>0</v>
      </c>
      <c r="J1192" s="4" t="n">
        <v>117</v>
      </c>
      <c r="K1192" s="4" t="n">
        <v>1</v>
      </c>
      <c r="L1192" s="12" t="n">
        <v>0.958548</v>
      </c>
      <c r="M1192" s="12" t="n">
        <v>0.092063</v>
      </c>
      <c r="N1192" s="12" t="n">
        <v>0.152921</v>
      </c>
      <c r="O1192" s="12" t="n">
        <v>0.106183</v>
      </c>
      <c r="P1192" s="12" t="n">
        <v>0.164606</v>
      </c>
      <c r="Q1192" s="0" t="str">
        <f aca="false">IF(L1192&gt;=Models!$G$5,1+COUNTIF($L$5:$L$1517,"&gt;"&amp;L1192)+COUNTIFS($L$5:$L$1517,L1192,$B$5:$B$1517,"&lt;"&amp;B1192)+COUNTIFS($L$5:$L$1517,L1192,$B$5:$B$1517,B1192,$C$5:$C$1517,"&lt;"&amp;C1192),"")</f>
        <v/>
      </c>
      <c r="R1192" s="0" t="str">
        <f aca="false">IF(M1192&gt;=Models!$G$6,1+COUNTIF($M$5:$M$1517,"&gt;"&amp;M1192)+COUNTIFS($M$5:$M$1517,M1192,$B$5:$B$1517,"&lt;"&amp;B1192)+COUNTIFS($M$5:$M$1517,M1192,$B$5:$B$1517,B1192,$C$5:$C$1517,"&lt;"&amp;C1192),"")</f>
        <v/>
      </c>
      <c r="S1192" s="0" t="str">
        <f aca="false">IF(N1192&gt;=Models!$G$7,1+COUNTIF($N$5:$N$1517,"&gt;"&amp;N1192)+COUNTIFS($N$5:$N$1517,N1192,$B$5:$B$1517,"&lt;"&amp;B1192)+COUNTIFS($N$5:$N$1517,N1192,$B$5:$B$1517,B1192,$C$5:$C$1517,"&lt;"&amp;C1192),"")</f>
        <v/>
      </c>
      <c r="T1192" s="8" t="n">
        <f aca="false">IF(O1192&gt;=Models!$G$8,1+COUNTIF($O$5:$O$1517,"&gt;"&amp;O1192)+COUNTIFS($O$5:$O$1517,O1192,$B$5:$B$1517,"&lt;"&amp;B1192)+COUNTIFS($O$5:$O$1517,O1192,$B$5:$B$1517,B1192,$C$5:$C$1517,"&lt;"&amp;C1192),"")</f>
        <v>286</v>
      </c>
      <c r="U1192" s="8" t="n">
        <f aca="false">IF($K1192=1,COUNTIFS($L$5:$L$1517,"&gt;="&amp;L1192,$K$5:$K$1517,1)/COUNTIF($L$5:$L$1517,"&gt;="&amp;L1192),0)</f>
        <v>0.0757575757575758</v>
      </c>
      <c r="V1192" s="8" t="n">
        <f aca="false">IF($K1192=1,COUNTIFS($M$5:$M$1517,"&gt;="&amp;M1192,$K$5:$K$1517,1)/COUNTIF($M$5:$M$1517,"&gt;="&amp;M1192),0)</f>
        <v>0.12491738268341</v>
      </c>
      <c r="W1192" s="8" t="n">
        <f aca="false">IF($K1192=1,COUNTIFS($N$5:$N$1517,"&gt;="&amp;N1192,$K$5:$K$1517,1)/COUNTIF($N$5:$N$1517,"&gt;="&amp;N1192),0)</f>
        <v>0.286458333333333</v>
      </c>
      <c r="X1192" s="8" t="n">
        <f aca="false">IF($K1192=1,COUNTIFS($O$5:$O$1517,"&gt;="&amp;O1192,$K$5:$K$1517,1)/COUNTIF($O$5:$O$1517,"&gt;="&amp;O1192),0)</f>
        <v>0.12491738268341</v>
      </c>
      <c r="Y1192" s="8" t="n">
        <f aca="false">IF($K1192=1,COUNTIFS($P$5:$P$1517,"&gt;="&amp;P1192,$K$5:$K$1517,1)/COUNTIF($P$5:$P$1517,"&gt;="&amp;P1192),0)</f>
        <v>0.286458333333333</v>
      </c>
      <c r="Z1192" s="8" t="n">
        <f aca="false">(L1192-$K1192)^2</f>
        <v>0.001718268304</v>
      </c>
      <c r="AA1192" s="8" t="n">
        <f aca="false">(M1192-$K1192)^2</f>
        <v>0.824349595969</v>
      </c>
      <c r="AB1192" s="8" t="n">
        <f aca="false">(N1192-$K1192)^2</f>
        <v>0.717542832241</v>
      </c>
      <c r="AC1192" s="8" t="n">
        <f aca="false">(O1192-$K1192)^2</f>
        <v>0.798908829489</v>
      </c>
      <c r="AD1192" s="8" t="n">
        <f aca="false">(P1192-$K1192)^2</f>
        <v>0.697883135236</v>
      </c>
      <c r="AE1192" s="8" t="n">
        <f aca="false">MIN(INT(ROUND(N1192*1000000,0)/100000),9)</f>
        <v>1</v>
      </c>
      <c r="AF1192" s="8" t="n">
        <f aca="false">MIN(INT(ROUND(P1192*1000000,0)/100000),9)</f>
        <v>1</v>
      </c>
    </row>
    <row r="1193" customFormat="false" ht="15" hidden="false" customHeight="false" outlineLevel="0" collapsed="false">
      <c r="A1193" s="4" t="n">
        <v>1189</v>
      </c>
      <c r="B1193" s="4" t="n">
        <v>418</v>
      </c>
      <c r="C1193" s="4" t="n">
        <v>3</v>
      </c>
      <c r="D1193" s="11" t="n">
        <v>46143</v>
      </c>
      <c r="E1193" s="4" t="s">
        <v>204</v>
      </c>
      <c r="F1193" s="4" t="s">
        <v>208</v>
      </c>
      <c r="G1193" s="4" t="n">
        <v>0</v>
      </c>
      <c r="H1193" s="4" t="n">
        <v>51</v>
      </c>
      <c r="I1193" s="4" t="n">
        <v>0</v>
      </c>
      <c r="J1193" s="4" t="n">
        <v>87</v>
      </c>
      <c r="K1193" s="4" t="n">
        <v>0</v>
      </c>
      <c r="L1193" s="12" t="n">
        <v>0.056462</v>
      </c>
      <c r="M1193" s="12" t="n">
        <v>0.184211</v>
      </c>
      <c r="N1193" s="12" t="n">
        <v>0.223883</v>
      </c>
      <c r="O1193" s="12" t="n">
        <v>0.106183</v>
      </c>
      <c r="P1193" s="12" t="n">
        <v>0.243541</v>
      </c>
      <c r="Q1193" s="0" t="str">
        <f aca="false">IF(L1193&gt;=Models!$G$5,1+COUNTIF($L$5:$L$1517,"&gt;"&amp;L1193)+COUNTIFS($L$5:$L$1517,L1193,$B$5:$B$1517,"&lt;"&amp;B1193)+COUNTIFS($L$5:$L$1517,L1193,$B$5:$B$1517,B1193,$C$5:$C$1517,"&lt;"&amp;C1193),"")</f>
        <v/>
      </c>
      <c r="R1193" s="8" t="n">
        <f aca="false">IF(M1193&gt;=Models!$G$6,1+COUNTIF($M$5:$M$1517,"&gt;"&amp;M1193)+COUNTIFS($M$5:$M$1517,M1193,$B$5:$B$1517,"&lt;"&amp;B1193)+COUNTIFS($M$5:$M$1517,M1193,$B$5:$B$1517,B1193,$C$5:$C$1517,"&lt;"&amp;C1193),"")</f>
        <v>33</v>
      </c>
      <c r="S1193" s="0" t="str">
        <f aca="false">IF(N1193&gt;=Models!$G$7,1+COUNTIF($N$5:$N$1517,"&gt;"&amp;N1193)+COUNTIFS($N$5:$N$1517,N1193,$B$5:$B$1517,"&lt;"&amp;B1193)+COUNTIFS($N$5:$N$1517,N1193,$B$5:$B$1517,B1193,$C$5:$C$1517,"&lt;"&amp;C1193),"")</f>
        <v/>
      </c>
      <c r="T1193" s="8" t="n">
        <f aca="false">IF(O1193&gt;=Models!$G$8,1+COUNTIF($O$5:$O$1517,"&gt;"&amp;O1193)+COUNTIFS($O$5:$O$1517,O1193,$B$5:$B$1517,"&lt;"&amp;B1193)+COUNTIFS($O$5:$O$1517,O1193,$B$5:$B$1517,B1193,$C$5:$C$1517,"&lt;"&amp;C1193),"")</f>
        <v>290</v>
      </c>
      <c r="U1193" s="8" t="n">
        <f aca="false">IF($K1193=1,COUNTIFS($L$5:$L$1517,"&gt;="&amp;L1193,$K$5:$K$1517,1)/COUNTIF($L$5:$L$1517,"&gt;="&amp;L1193),0)</f>
        <v>0</v>
      </c>
      <c r="V1193" s="8" t="n">
        <f aca="false">IF($K1193=1,COUNTIFS($M$5:$M$1517,"&gt;="&amp;M1193,$K$5:$K$1517,1)/COUNTIF($M$5:$M$1517,"&gt;="&amp;M1193),0)</f>
        <v>0</v>
      </c>
      <c r="W1193" s="8" t="n">
        <f aca="false">IF($K1193=1,COUNTIFS($N$5:$N$1517,"&gt;="&amp;N1193,$K$5:$K$1517,1)/COUNTIF($N$5:$N$1517,"&gt;="&amp;N1193),0)</f>
        <v>0</v>
      </c>
      <c r="X1193" s="8" t="n">
        <f aca="false">IF($K1193=1,COUNTIFS($O$5:$O$1517,"&gt;="&amp;O1193,$K$5:$K$1517,1)/COUNTIF($O$5:$O$1517,"&gt;="&amp;O1193),0)</f>
        <v>0</v>
      </c>
      <c r="Y1193" s="8" t="n">
        <f aca="false">IF($K1193=1,COUNTIFS($P$5:$P$1517,"&gt;="&amp;P1193,$K$5:$K$1517,1)/COUNTIF($P$5:$P$1517,"&gt;="&amp;P1193),0)</f>
        <v>0</v>
      </c>
      <c r="Z1193" s="8" t="n">
        <f aca="false">(L1193-$K1193)^2</f>
        <v>0.003187957444</v>
      </c>
      <c r="AA1193" s="8" t="n">
        <f aca="false">(M1193-$K1193)^2</f>
        <v>0.033933692521</v>
      </c>
      <c r="AB1193" s="8" t="n">
        <f aca="false">(N1193-$K1193)^2</f>
        <v>0.050123597689</v>
      </c>
      <c r="AC1193" s="8" t="n">
        <f aca="false">(O1193-$K1193)^2</f>
        <v>0.011274829489</v>
      </c>
      <c r="AD1193" s="8" t="n">
        <f aca="false">(P1193-$K1193)^2</f>
        <v>0.059312218681</v>
      </c>
      <c r="AE1193" s="8" t="n">
        <f aca="false">MIN(INT(ROUND(N1193*1000000,0)/100000),9)</f>
        <v>2</v>
      </c>
      <c r="AF1193" s="8" t="n">
        <f aca="false">MIN(INT(ROUND(P1193*1000000,0)/100000),9)</f>
        <v>2</v>
      </c>
    </row>
    <row r="1194" customFormat="false" ht="15" hidden="false" customHeight="false" outlineLevel="0" collapsed="false">
      <c r="A1194" s="4" t="n">
        <v>1190</v>
      </c>
      <c r="B1194" s="4" t="n">
        <v>420</v>
      </c>
      <c r="C1194" s="4" t="n">
        <v>3</v>
      </c>
      <c r="D1194" s="11" t="n">
        <v>46143</v>
      </c>
      <c r="E1194" s="4" t="s">
        <v>203</v>
      </c>
      <c r="F1194" s="4" t="s">
        <v>206</v>
      </c>
      <c r="G1194" s="4" t="n">
        <v>7</v>
      </c>
      <c r="H1194" s="4" t="n">
        <v>2</v>
      </c>
      <c r="I1194" s="4" t="n">
        <v>0</v>
      </c>
      <c r="J1194" s="4" t="n">
        <v>198</v>
      </c>
      <c r="K1194" s="4" t="n">
        <v>0</v>
      </c>
      <c r="L1194" s="12" t="n">
        <v>0.279031</v>
      </c>
      <c r="M1194" s="12" t="n">
        <v>0.092063</v>
      </c>
      <c r="N1194" s="12" t="n">
        <v>0.092699</v>
      </c>
      <c r="O1194" s="12" t="n">
        <v>0.106183</v>
      </c>
      <c r="P1194" s="12" t="n">
        <v>0.097909</v>
      </c>
      <c r="Q1194" s="0" t="str">
        <f aca="false">IF(L1194&gt;=Models!$G$5,1+COUNTIF($L$5:$L$1517,"&gt;"&amp;L1194)+COUNTIFS($L$5:$L$1517,L1194,$B$5:$B$1517,"&lt;"&amp;B1194)+COUNTIFS($L$5:$L$1517,L1194,$B$5:$B$1517,B1194,$C$5:$C$1517,"&lt;"&amp;C1194),"")</f>
        <v/>
      </c>
      <c r="R1194" s="0" t="str">
        <f aca="false">IF(M1194&gt;=Models!$G$6,1+COUNTIF($M$5:$M$1517,"&gt;"&amp;M1194)+COUNTIFS($M$5:$M$1517,M1194,$B$5:$B$1517,"&lt;"&amp;B1194)+COUNTIFS($M$5:$M$1517,M1194,$B$5:$B$1517,B1194,$C$5:$C$1517,"&lt;"&amp;C1194),"")</f>
        <v/>
      </c>
      <c r="S1194" s="0" t="str">
        <f aca="false">IF(N1194&gt;=Models!$G$7,1+COUNTIF($N$5:$N$1517,"&gt;"&amp;N1194)+COUNTIFS($N$5:$N$1517,N1194,$B$5:$B$1517,"&lt;"&amp;B1194)+COUNTIFS($N$5:$N$1517,N1194,$B$5:$B$1517,B1194,$C$5:$C$1517,"&lt;"&amp;C1194),"")</f>
        <v/>
      </c>
      <c r="T1194" s="8" t="n">
        <f aca="false">IF(O1194&gt;=Models!$G$8,1+COUNTIF($O$5:$O$1517,"&gt;"&amp;O1194)+COUNTIFS($O$5:$O$1517,O1194,$B$5:$B$1517,"&lt;"&amp;B1194)+COUNTIFS($O$5:$O$1517,O1194,$B$5:$B$1517,B1194,$C$5:$C$1517,"&lt;"&amp;C1194),"")</f>
        <v>294</v>
      </c>
      <c r="U1194" s="8" t="n">
        <f aca="false">IF($K1194=1,COUNTIFS($L$5:$L$1517,"&gt;="&amp;L1194,$K$5:$K$1517,1)/COUNTIF($L$5:$L$1517,"&gt;="&amp;L1194),0)</f>
        <v>0</v>
      </c>
      <c r="V1194" s="8" t="n">
        <f aca="false">IF($K1194=1,COUNTIFS($M$5:$M$1517,"&gt;="&amp;M1194,$K$5:$K$1517,1)/COUNTIF($M$5:$M$1517,"&gt;="&amp;M1194),0)</f>
        <v>0</v>
      </c>
      <c r="W1194" s="8" t="n">
        <f aca="false">IF($K1194=1,COUNTIFS($N$5:$N$1517,"&gt;="&amp;N1194,$K$5:$K$1517,1)/COUNTIF($N$5:$N$1517,"&gt;="&amp;N1194),0)</f>
        <v>0</v>
      </c>
      <c r="X1194" s="8" t="n">
        <f aca="false">IF($K1194=1,COUNTIFS($O$5:$O$1517,"&gt;="&amp;O1194,$K$5:$K$1517,1)/COUNTIF($O$5:$O$1517,"&gt;="&amp;O1194),0)</f>
        <v>0</v>
      </c>
      <c r="Y1194" s="8" t="n">
        <f aca="false">IF($K1194=1,COUNTIFS($P$5:$P$1517,"&gt;="&amp;P1194,$K$5:$K$1517,1)/COUNTIF($P$5:$P$1517,"&gt;="&amp;P1194),0)</f>
        <v>0</v>
      </c>
      <c r="Z1194" s="8" t="n">
        <f aca="false">(L1194-$K1194)^2</f>
        <v>0.077858298961</v>
      </c>
      <c r="AA1194" s="8" t="n">
        <f aca="false">(M1194-$K1194)^2</f>
        <v>0.008475595969</v>
      </c>
      <c r="AB1194" s="8" t="n">
        <f aca="false">(N1194-$K1194)^2</f>
        <v>0.008593104601</v>
      </c>
      <c r="AC1194" s="8" t="n">
        <f aca="false">(O1194-$K1194)^2</f>
        <v>0.011274829489</v>
      </c>
      <c r="AD1194" s="8" t="n">
        <f aca="false">(P1194-$K1194)^2</f>
        <v>0.009586172281</v>
      </c>
      <c r="AE1194" s="8" t="n">
        <f aca="false">MIN(INT(ROUND(N1194*1000000,0)/100000),9)</f>
        <v>0</v>
      </c>
      <c r="AF1194" s="8" t="n">
        <f aca="false">MIN(INT(ROUND(P1194*1000000,0)/100000),9)</f>
        <v>0</v>
      </c>
    </row>
    <row r="1195" customFormat="false" ht="15" hidden="false" customHeight="false" outlineLevel="0" collapsed="false">
      <c r="A1195" s="4" t="n">
        <v>1191</v>
      </c>
      <c r="B1195" s="4" t="n">
        <v>430</v>
      </c>
      <c r="C1195" s="4" t="n">
        <v>3</v>
      </c>
      <c r="D1195" s="11" t="n">
        <v>46143</v>
      </c>
      <c r="E1195" s="4" t="s">
        <v>204</v>
      </c>
      <c r="F1195" s="4" t="s">
        <v>210</v>
      </c>
      <c r="G1195" s="4" t="n">
        <v>3</v>
      </c>
      <c r="H1195" s="4" t="n">
        <v>10</v>
      </c>
      <c r="I1195" s="4" t="n">
        <v>0</v>
      </c>
      <c r="J1195" s="4" t="n">
        <v>93</v>
      </c>
      <c r="K1195" s="4" t="n">
        <v>0</v>
      </c>
      <c r="L1195" s="12" t="n">
        <v>0.467254</v>
      </c>
      <c r="M1195" s="12" t="n">
        <v>0.092063</v>
      </c>
      <c r="N1195" s="12" t="n">
        <v>0.135933</v>
      </c>
      <c r="O1195" s="12" t="n">
        <v>0.106183</v>
      </c>
      <c r="P1195" s="12" t="n">
        <v>0.145727</v>
      </c>
      <c r="Q1195" s="0" t="str">
        <f aca="false">IF(L1195&gt;=Models!$G$5,1+COUNTIF($L$5:$L$1517,"&gt;"&amp;L1195)+COUNTIFS($L$5:$L$1517,L1195,$B$5:$B$1517,"&lt;"&amp;B1195)+COUNTIFS($L$5:$L$1517,L1195,$B$5:$B$1517,B1195,$C$5:$C$1517,"&lt;"&amp;C1195),"")</f>
        <v/>
      </c>
      <c r="R1195" s="0" t="str">
        <f aca="false">IF(M1195&gt;=Models!$G$6,1+COUNTIF($M$5:$M$1517,"&gt;"&amp;M1195)+COUNTIFS($M$5:$M$1517,M1195,$B$5:$B$1517,"&lt;"&amp;B1195)+COUNTIFS($M$5:$M$1517,M1195,$B$5:$B$1517,B1195,$C$5:$C$1517,"&lt;"&amp;C1195),"")</f>
        <v/>
      </c>
      <c r="S1195" s="0" t="str">
        <f aca="false">IF(N1195&gt;=Models!$G$7,1+COUNTIF($N$5:$N$1517,"&gt;"&amp;N1195)+COUNTIFS($N$5:$N$1517,N1195,$B$5:$B$1517,"&lt;"&amp;B1195)+COUNTIFS($N$5:$N$1517,N1195,$B$5:$B$1517,B1195,$C$5:$C$1517,"&lt;"&amp;C1195),"")</f>
        <v/>
      </c>
      <c r="T1195" s="8" t="n">
        <f aca="false">IF(O1195&gt;=Models!$G$8,1+COUNTIF($O$5:$O$1517,"&gt;"&amp;O1195)+COUNTIFS($O$5:$O$1517,O1195,$B$5:$B$1517,"&lt;"&amp;B1195)+COUNTIFS($O$5:$O$1517,O1195,$B$5:$B$1517,B1195,$C$5:$C$1517,"&lt;"&amp;C1195),"")</f>
        <v>300</v>
      </c>
      <c r="U1195" s="8" t="n">
        <f aca="false">IF($K1195=1,COUNTIFS($L$5:$L$1517,"&gt;="&amp;L1195,$K$5:$K$1517,1)/COUNTIF($L$5:$L$1517,"&gt;="&amp;L1195),0)</f>
        <v>0</v>
      </c>
      <c r="V1195" s="8" t="n">
        <f aca="false">IF($K1195=1,COUNTIFS($M$5:$M$1517,"&gt;="&amp;M1195,$K$5:$K$1517,1)/COUNTIF($M$5:$M$1517,"&gt;="&amp;M1195),0)</f>
        <v>0</v>
      </c>
      <c r="W1195" s="8" t="n">
        <f aca="false">IF($K1195=1,COUNTIFS($N$5:$N$1517,"&gt;="&amp;N1195,$K$5:$K$1517,1)/COUNTIF($N$5:$N$1517,"&gt;="&amp;N1195),0)</f>
        <v>0</v>
      </c>
      <c r="X1195" s="8" t="n">
        <f aca="false">IF($K1195=1,COUNTIFS($O$5:$O$1517,"&gt;="&amp;O1195,$K$5:$K$1517,1)/COUNTIF($O$5:$O$1517,"&gt;="&amp;O1195),0)</f>
        <v>0</v>
      </c>
      <c r="Y1195" s="8" t="n">
        <f aca="false">IF($K1195=1,COUNTIFS($P$5:$P$1517,"&gt;="&amp;P1195,$K$5:$K$1517,1)/COUNTIF($P$5:$P$1517,"&gt;="&amp;P1195),0)</f>
        <v>0</v>
      </c>
      <c r="Z1195" s="8" t="n">
        <f aca="false">(L1195-$K1195)^2</f>
        <v>0.218326300516</v>
      </c>
      <c r="AA1195" s="8" t="n">
        <f aca="false">(M1195-$K1195)^2</f>
        <v>0.008475595969</v>
      </c>
      <c r="AB1195" s="8" t="n">
        <f aca="false">(N1195-$K1195)^2</f>
        <v>0.018477780489</v>
      </c>
      <c r="AC1195" s="8" t="n">
        <f aca="false">(O1195-$K1195)^2</f>
        <v>0.011274829489</v>
      </c>
      <c r="AD1195" s="8" t="n">
        <f aca="false">(P1195-$K1195)^2</f>
        <v>0.021236358529</v>
      </c>
      <c r="AE1195" s="8" t="n">
        <f aca="false">MIN(INT(ROUND(N1195*1000000,0)/100000),9)</f>
        <v>1</v>
      </c>
      <c r="AF1195" s="8" t="n">
        <f aca="false">MIN(INT(ROUND(P1195*1000000,0)/100000),9)</f>
        <v>1</v>
      </c>
    </row>
    <row r="1196" customFormat="false" ht="15" hidden="false" customHeight="false" outlineLevel="0" collapsed="false">
      <c r="A1196" s="4" t="n">
        <v>1192</v>
      </c>
      <c r="B1196" s="4" t="n">
        <v>431</v>
      </c>
      <c r="C1196" s="4" t="n">
        <v>3</v>
      </c>
      <c r="D1196" s="11" t="n">
        <v>46143</v>
      </c>
      <c r="E1196" s="4" t="s">
        <v>203</v>
      </c>
      <c r="F1196" s="4" t="s">
        <v>206</v>
      </c>
      <c r="G1196" s="4" t="n">
        <v>2</v>
      </c>
      <c r="H1196" s="4" t="n">
        <v>1</v>
      </c>
      <c r="I1196" s="4" t="n">
        <v>0</v>
      </c>
      <c r="J1196" s="4"/>
      <c r="K1196" s="4" t="n">
        <v>0</v>
      </c>
      <c r="L1196" s="12" t="n">
        <v>0.923471</v>
      </c>
      <c r="M1196" s="12" t="n">
        <v>0.092063</v>
      </c>
      <c r="N1196" s="12" t="n">
        <v>0.070136</v>
      </c>
      <c r="O1196" s="12" t="n">
        <v>0.106183</v>
      </c>
      <c r="P1196" s="12" t="n">
        <v>0.073196</v>
      </c>
      <c r="Q1196" s="0" t="str">
        <f aca="false">IF(L1196&gt;=Models!$G$5,1+COUNTIF($L$5:$L$1517,"&gt;"&amp;L1196)+COUNTIFS($L$5:$L$1517,L1196,$B$5:$B$1517,"&lt;"&amp;B1196)+COUNTIFS($L$5:$L$1517,L1196,$B$5:$B$1517,B1196,$C$5:$C$1517,"&lt;"&amp;C1196),"")</f>
        <v/>
      </c>
      <c r="R1196" s="0" t="str">
        <f aca="false">IF(M1196&gt;=Models!$G$6,1+COUNTIF($M$5:$M$1517,"&gt;"&amp;M1196)+COUNTIFS($M$5:$M$1517,M1196,$B$5:$B$1517,"&lt;"&amp;B1196)+COUNTIFS($M$5:$M$1517,M1196,$B$5:$B$1517,B1196,$C$5:$C$1517,"&lt;"&amp;C1196),"")</f>
        <v/>
      </c>
      <c r="S1196" s="0" t="str">
        <f aca="false">IF(N1196&gt;=Models!$G$7,1+COUNTIF($N$5:$N$1517,"&gt;"&amp;N1196)+COUNTIFS($N$5:$N$1517,N1196,$B$5:$B$1517,"&lt;"&amp;B1196)+COUNTIFS($N$5:$N$1517,N1196,$B$5:$B$1517,B1196,$C$5:$C$1517,"&lt;"&amp;C1196),"")</f>
        <v/>
      </c>
      <c r="T1196" s="8" t="n">
        <f aca="false">IF(O1196&gt;=Models!$G$8,1+COUNTIF($O$5:$O$1517,"&gt;"&amp;O1196)+COUNTIFS($O$5:$O$1517,O1196,$B$5:$B$1517,"&lt;"&amp;B1196)+COUNTIFS($O$5:$O$1517,O1196,$B$5:$B$1517,B1196,$C$5:$C$1517,"&lt;"&amp;C1196),"")</f>
        <v>304</v>
      </c>
      <c r="U1196" s="8" t="n">
        <f aca="false">IF($K1196=1,COUNTIFS($L$5:$L$1517,"&gt;="&amp;L1196,$K$5:$K$1517,1)/COUNTIF($L$5:$L$1517,"&gt;="&amp;L1196),0)</f>
        <v>0</v>
      </c>
      <c r="V1196" s="8" t="n">
        <f aca="false">IF($K1196=1,COUNTIFS($M$5:$M$1517,"&gt;="&amp;M1196,$K$5:$K$1517,1)/COUNTIF($M$5:$M$1517,"&gt;="&amp;M1196),0)</f>
        <v>0</v>
      </c>
      <c r="W1196" s="8" t="n">
        <f aca="false">IF($K1196=1,COUNTIFS($N$5:$N$1517,"&gt;="&amp;N1196,$K$5:$K$1517,1)/COUNTIF($N$5:$N$1517,"&gt;="&amp;N1196),0)</f>
        <v>0</v>
      </c>
      <c r="X1196" s="8" t="n">
        <f aca="false">IF($K1196=1,COUNTIFS($O$5:$O$1517,"&gt;="&amp;O1196,$K$5:$K$1517,1)/COUNTIF($O$5:$O$1517,"&gt;="&amp;O1196),0)</f>
        <v>0</v>
      </c>
      <c r="Y1196" s="8" t="n">
        <f aca="false">IF($K1196=1,COUNTIFS($P$5:$P$1517,"&gt;="&amp;P1196,$K$5:$K$1517,1)/COUNTIF($P$5:$P$1517,"&gt;="&amp;P1196),0)</f>
        <v>0</v>
      </c>
      <c r="Z1196" s="8" t="n">
        <f aca="false">(L1196-$K1196)^2</f>
        <v>0.852798687841</v>
      </c>
      <c r="AA1196" s="8" t="n">
        <f aca="false">(M1196-$K1196)^2</f>
        <v>0.008475595969</v>
      </c>
      <c r="AB1196" s="8" t="n">
        <f aca="false">(N1196-$K1196)^2</f>
        <v>0.004919058496</v>
      </c>
      <c r="AC1196" s="8" t="n">
        <f aca="false">(O1196-$K1196)^2</f>
        <v>0.011274829489</v>
      </c>
      <c r="AD1196" s="8" t="n">
        <f aca="false">(P1196-$K1196)^2</f>
        <v>0.005357654416</v>
      </c>
      <c r="AE1196" s="8" t="n">
        <f aca="false">MIN(INT(ROUND(N1196*1000000,0)/100000),9)</f>
        <v>0</v>
      </c>
      <c r="AF1196" s="8" t="n">
        <f aca="false">MIN(INT(ROUND(P1196*1000000,0)/100000),9)</f>
        <v>0</v>
      </c>
    </row>
    <row r="1197" customFormat="false" ht="15" hidden="false" customHeight="false" outlineLevel="0" collapsed="false">
      <c r="A1197" s="4" t="n">
        <v>1193</v>
      </c>
      <c r="B1197" s="4" t="n">
        <v>432</v>
      </c>
      <c r="C1197" s="4" t="n">
        <v>3</v>
      </c>
      <c r="D1197" s="11" t="n">
        <v>46143</v>
      </c>
      <c r="E1197" s="4" t="s">
        <v>202</v>
      </c>
      <c r="F1197" s="4" t="s">
        <v>208</v>
      </c>
      <c r="G1197" s="4" t="n">
        <v>0</v>
      </c>
      <c r="H1197" s="4" t="n">
        <v>38</v>
      </c>
      <c r="I1197" s="4" t="n">
        <v>0</v>
      </c>
      <c r="J1197" s="4"/>
      <c r="K1197" s="4" t="n">
        <v>0</v>
      </c>
      <c r="L1197" s="12" t="n">
        <v>0.742927</v>
      </c>
      <c r="M1197" s="12" t="n">
        <v>0.184211</v>
      </c>
      <c r="N1197" s="12" t="n">
        <v>0.108959</v>
      </c>
      <c r="O1197" s="12" t="n">
        <v>0.106183</v>
      </c>
      <c r="P1197" s="12" t="n">
        <v>0.11584</v>
      </c>
      <c r="Q1197" s="0" t="str">
        <f aca="false">IF(L1197&gt;=Models!$G$5,1+COUNTIF($L$5:$L$1517,"&gt;"&amp;L1197)+COUNTIFS($L$5:$L$1517,L1197,$B$5:$B$1517,"&lt;"&amp;B1197)+COUNTIFS($L$5:$L$1517,L1197,$B$5:$B$1517,B1197,$C$5:$C$1517,"&lt;"&amp;C1197),"")</f>
        <v/>
      </c>
      <c r="R1197" s="8" t="n">
        <f aca="false">IF(M1197&gt;=Models!$G$6,1+COUNTIF($M$5:$M$1517,"&gt;"&amp;M1197)+COUNTIFS($M$5:$M$1517,M1197,$B$5:$B$1517,"&lt;"&amp;B1197)+COUNTIFS($M$5:$M$1517,M1197,$B$5:$B$1517,B1197,$C$5:$C$1517,"&lt;"&amp;C1197),"")</f>
        <v>35</v>
      </c>
      <c r="S1197" s="0" t="str">
        <f aca="false">IF(N1197&gt;=Models!$G$7,1+COUNTIF($N$5:$N$1517,"&gt;"&amp;N1197)+COUNTIFS($N$5:$N$1517,N1197,$B$5:$B$1517,"&lt;"&amp;B1197)+COUNTIFS($N$5:$N$1517,N1197,$B$5:$B$1517,B1197,$C$5:$C$1517,"&lt;"&amp;C1197),"")</f>
        <v/>
      </c>
      <c r="T1197" s="8" t="n">
        <f aca="false">IF(O1197&gt;=Models!$G$8,1+COUNTIF($O$5:$O$1517,"&gt;"&amp;O1197)+COUNTIFS($O$5:$O$1517,O1197,$B$5:$B$1517,"&lt;"&amp;B1197)+COUNTIFS($O$5:$O$1517,O1197,$B$5:$B$1517,B1197,$C$5:$C$1517,"&lt;"&amp;C1197),"")</f>
        <v>308</v>
      </c>
      <c r="U1197" s="8" t="n">
        <f aca="false">IF($K1197=1,COUNTIFS($L$5:$L$1517,"&gt;="&amp;L1197,$K$5:$K$1517,1)/COUNTIF($L$5:$L$1517,"&gt;="&amp;L1197),0)</f>
        <v>0</v>
      </c>
      <c r="V1197" s="8" t="n">
        <f aca="false">IF($K1197=1,COUNTIFS($M$5:$M$1517,"&gt;="&amp;M1197,$K$5:$K$1517,1)/COUNTIF($M$5:$M$1517,"&gt;="&amp;M1197),0)</f>
        <v>0</v>
      </c>
      <c r="W1197" s="8" t="n">
        <f aca="false">IF($K1197=1,COUNTIFS($N$5:$N$1517,"&gt;="&amp;N1197,$K$5:$K$1517,1)/COUNTIF($N$5:$N$1517,"&gt;="&amp;N1197),0)</f>
        <v>0</v>
      </c>
      <c r="X1197" s="8" t="n">
        <f aca="false">IF($K1197=1,COUNTIFS($O$5:$O$1517,"&gt;="&amp;O1197,$K$5:$K$1517,1)/COUNTIF($O$5:$O$1517,"&gt;="&amp;O1197),0)</f>
        <v>0</v>
      </c>
      <c r="Y1197" s="8" t="n">
        <f aca="false">IF($K1197=1,COUNTIFS($P$5:$P$1517,"&gt;="&amp;P1197,$K$5:$K$1517,1)/COUNTIF($P$5:$P$1517,"&gt;="&amp;P1197),0)</f>
        <v>0</v>
      </c>
      <c r="Z1197" s="8" t="n">
        <f aca="false">(L1197-$K1197)^2</f>
        <v>0.551940527329</v>
      </c>
      <c r="AA1197" s="8" t="n">
        <f aca="false">(M1197-$K1197)^2</f>
        <v>0.033933692521</v>
      </c>
      <c r="AB1197" s="8" t="n">
        <f aca="false">(N1197-$K1197)^2</f>
        <v>0.011872063681</v>
      </c>
      <c r="AC1197" s="8" t="n">
        <f aca="false">(O1197-$K1197)^2</f>
        <v>0.011274829489</v>
      </c>
      <c r="AD1197" s="8" t="n">
        <f aca="false">(P1197-$K1197)^2</f>
        <v>0.0134189056</v>
      </c>
      <c r="AE1197" s="8" t="n">
        <f aca="false">MIN(INT(ROUND(N1197*1000000,0)/100000),9)</f>
        <v>1</v>
      </c>
      <c r="AF1197" s="8" t="n">
        <f aca="false">MIN(INT(ROUND(P1197*1000000,0)/100000),9)</f>
        <v>1</v>
      </c>
    </row>
    <row r="1198" customFormat="false" ht="15" hidden="false" customHeight="false" outlineLevel="0" collapsed="false">
      <c r="A1198" s="4" t="n">
        <v>1194</v>
      </c>
      <c r="B1198" s="4" t="n">
        <v>440</v>
      </c>
      <c r="C1198" s="4" t="n">
        <v>3</v>
      </c>
      <c r="D1198" s="11" t="n">
        <v>46143</v>
      </c>
      <c r="E1198" s="4" t="s">
        <v>202</v>
      </c>
      <c r="F1198" s="4" t="s">
        <v>207</v>
      </c>
      <c r="G1198" s="4" t="n">
        <v>15</v>
      </c>
      <c r="H1198" s="4" t="n">
        <v>0</v>
      </c>
      <c r="I1198" s="4" t="n">
        <v>0</v>
      </c>
      <c r="J1198" s="4"/>
      <c r="K1198" s="4" t="n">
        <v>0</v>
      </c>
      <c r="L1198" s="12" t="n">
        <v>0.628031</v>
      </c>
      <c r="M1198" s="12" t="n">
        <v>0.092063</v>
      </c>
      <c r="N1198" s="12" t="n">
        <v>0.022694</v>
      </c>
      <c r="O1198" s="12" t="n">
        <v>0.106183</v>
      </c>
      <c r="P1198" s="12" t="n">
        <v>0.022472</v>
      </c>
      <c r="Q1198" s="0" t="str">
        <f aca="false">IF(L1198&gt;=Models!$G$5,1+COUNTIF($L$5:$L$1517,"&gt;"&amp;L1198)+COUNTIFS($L$5:$L$1517,L1198,$B$5:$B$1517,"&lt;"&amp;B1198)+COUNTIFS($L$5:$L$1517,L1198,$B$5:$B$1517,B1198,$C$5:$C$1517,"&lt;"&amp;C1198),"")</f>
        <v/>
      </c>
      <c r="R1198" s="0" t="str">
        <f aca="false">IF(M1198&gt;=Models!$G$6,1+COUNTIF($M$5:$M$1517,"&gt;"&amp;M1198)+COUNTIFS($M$5:$M$1517,M1198,$B$5:$B$1517,"&lt;"&amp;B1198)+COUNTIFS($M$5:$M$1517,M1198,$B$5:$B$1517,B1198,$C$5:$C$1517,"&lt;"&amp;C1198),"")</f>
        <v/>
      </c>
      <c r="S1198" s="0" t="str">
        <f aca="false">IF(N1198&gt;=Models!$G$7,1+COUNTIF($N$5:$N$1517,"&gt;"&amp;N1198)+COUNTIFS($N$5:$N$1517,N1198,$B$5:$B$1517,"&lt;"&amp;B1198)+COUNTIFS($N$5:$N$1517,N1198,$B$5:$B$1517,B1198,$C$5:$C$1517,"&lt;"&amp;C1198),"")</f>
        <v/>
      </c>
      <c r="T1198" s="8" t="n">
        <f aca="false">IF(O1198&gt;=Models!$G$8,1+COUNTIF($O$5:$O$1517,"&gt;"&amp;O1198)+COUNTIFS($O$5:$O$1517,O1198,$B$5:$B$1517,"&lt;"&amp;B1198)+COUNTIFS($O$5:$O$1517,O1198,$B$5:$B$1517,B1198,$C$5:$C$1517,"&lt;"&amp;C1198),"")</f>
        <v>315</v>
      </c>
      <c r="U1198" s="8" t="n">
        <f aca="false">IF($K1198=1,COUNTIFS($L$5:$L$1517,"&gt;="&amp;L1198,$K$5:$K$1517,1)/COUNTIF($L$5:$L$1517,"&gt;="&amp;L1198),0)</f>
        <v>0</v>
      </c>
      <c r="V1198" s="8" t="n">
        <f aca="false">IF($K1198=1,COUNTIFS($M$5:$M$1517,"&gt;="&amp;M1198,$K$5:$K$1517,1)/COUNTIF($M$5:$M$1517,"&gt;="&amp;M1198),0)</f>
        <v>0</v>
      </c>
      <c r="W1198" s="8" t="n">
        <f aca="false">IF($K1198=1,COUNTIFS($N$5:$N$1517,"&gt;="&amp;N1198,$K$5:$K$1517,1)/COUNTIF($N$5:$N$1517,"&gt;="&amp;N1198),0)</f>
        <v>0</v>
      </c>
      <c r="X1198" s="8" t="n">
        <f aca="false">IF($K1198=1,COUNTIFS($O$5:$O$1517,"&gt;="&amp;O1198,$K$5:$K$1517,1)/COUNTIF($O$5:$O$1517,"&gt;="&amp;O1198),0)</f>
        <v>0</v>
      </c>
      <c r="Y1198" s="8" t="n">
        <f aca="false">IF($K1198=1,COUNTIFS($P$5:$P$1517,"&gt;="&amp;P1198,$K$5:$K$1517,1)/COUNTIF($P$5:$P$1517,"&gt;="&amp;P1198),0)</f>
        <v>0</v>
      </c>
      <c r="Z1198" s="8" t="n">
        <f aca="false">(L1198-$K1198)^2</f>
        <v>0.394422936961</v>
      </c>
      <c r="AA1198" s="8" t="n">
        <f aca="false">(M1198-$K1198)^2</f>
        <v>0.008475595969</v>
      </c>
      <c r="AB1198" s="8" t="n">
        <f aca="false">(N1198-$K1198)^2</f>
        <v>0.000515017636</v>
      </c>
      <c r="AC1198" s="8" t="n">
        <f aca="false">(O1198-$K1198)^2</f>
        <v>0.011274829489</v>
      </c>
      <c r="AD1198" s="8" t="n">
        <f aca="false">(P1198-$K1198)^2</f>
        <v>0.000504990784</v>
      </c>
      <c r="AE1198" s="8" t="n">
        <f aca="false">MIN(INT(ROUND(N1198*1000000,0)/100000),9)</f>
        <v>0</v>
      </c>
      <c r="AF1198" s="8" t="n">
        <f aca="false">MIN(INT(ROUND(P1198*1000000,0)/100000),9)</f>
        <v>0</v>
      </c>
    </row>
    <row r="1199" customFormat="false" ht="15" hidden="false" customHeight="false" outlineLevel="0" collapsed="false">
      <c r="A1199" s="4" t="n">
        <v>1195</v>
      </c>
      <c r="B1199" s="4" t="n">
        <v>443</v>
      </c>
      <c r="C1199" s="4" t="n">
        <v>3</v>
      </c>
      <c r="D1199" s="11" t="n">
        <v>46143</v>
      </c>
      <c r="E1199" s="4" t="s">
        <v>203</v>
      </c>
      <c r="F1199" s="4" t="s">
        <v>209</v>
      </c>
      <c r="G1199" s="4" t="n">
        <v>5</v>
      </c>
      <c r="H1199" s="4" t="n">
        <v>7</v>
      </c>
      <c r="I1199" s="4" t="n">
        <v>0</v>
      </c>
      <c r="J1199" s="4" t="n">
        <v>224.7</v>
      </c>
      <c r="K1199" s="4" t="n">
        <v>0</v>
      </c>
      <c r="L1199" s="12" t="n">
        <v>0.948475</v>
      </c>
      <c r="M1199" s="12" t="n">
        <v>0.092063</v>
      </c>
      <c r="N1199" s="12" t="n">
        <v>0.112875</v>
      </c>
      <c r="O1199" s="12" t="n">
        <v>0.106183</v>
      </c>
      <c r="P1199" s="12" t="n">
        <v>0.120169</v>
      </c>
      <c r="Q1199" s="0" t="str">
        <f aca="false">IF(L1199&gt;=Models!$G$5,1+COUNTIF($L$5:$L$1517,"&gt;"&amp;L1199)+COUNTIFS($L$5:$L$1517,L1199,$B$5:$B$1517,"&lt;"&amp;B1199)+COUNTIFS($L$5:$L$1517,L1199,$B$5:$B$1517,B1199,$C$5:$C$1517,"&lt;"&amp;C1199),"")</f>
        <v/>
      </c>
      <c r="R1199" s="0" t="str">
        <f aca="false">IF(M1199&gt;=Models!$G$6,1+COUNTIF($M$5:$M$1517,"&gt;"&amp;M1199)+COUNTIFS($M$5:$M$1517,M1199,$B$5:$B$1517,"&lt;"&amp;B1199)+COUNTIFS($M$5:$M$1517,M1199,$B$5:$B$1517,B1199,$C$5:$C$1517,"&lt;"&amp;C1199),"")</f>
        <v/>
      </c>
      <c r="S1199" s="0" t="str">
        <f aca="false">IF(N1199&gt;=Models!$G$7,1+COUNTIF($N$5:$N$1517,"&gt;"&amp;N1199)+COUNTIFS($N$5:$N$1517,N1199,$B$5:$B$1517,"&lt;"&amp;B1199)+COUNTIFS($N$5:$N$1517,N1199,$B$5:$B$1517,B1199,$C$5:$C$1517,"&lt;"&amp;C1199),"")</f>
        <v/>
      </c>
      <c r="T1199" s="8" t="n">
        <f aca="false">IF(O1199&gt;=Models!$G$8,1+COUNTIF($O$5:$O$1517,"&gt;"&amp;O1199)+COUNTIFS($O$5:$O$1517,O1199,$B$5:$B$1517,"&lt;"&amp;B1199)+COUNTIFS($O$5:$O$1517,O1199,$B$5:$B$1517,B1199,$C$5:$C$1517,"&lt;"&amp;C1199),"")</f>
        <v>322</v>
      </c>
      <c r="U1199" s="8" t="n">
        <f aca="false">IF($K1199=1,COUNTIFS($L$5:$L$1517,"&gt;="&amp;L1199,$K$5:$K$1517,1)/COUNTIF($L$5:$L$1517,"&gt;="&amp;L1199),0)</f>
        <v>0</v>
      </c>
      <c r="V1199" s="8" t="n">
        <f aca="false">IF($K1199=1,COUNTIFS($M$5:$M$1517,"&gt;="&amp;M1199,$K$5:$K$1517,1)/COUNTIF($M$5:$M$1517,"&gt;="&amp;M1199),0)</f>
        <v>0</v>
      </c>
      <c r="W1199" s="8" t="n">
        <f aca="false">IF($K1199=1,COUNTIFS($N$5:$N$1517,"&gt;="&amp;N1199,$K$5:$K$1517,1)/COUNTIF($N$5:$N$1517,"&gt;="&amp;N1199),0)</f>
        <v>0</v>
      </c>
      <c r="X1199" s="8" t="n">
        <f aca="false">IF($K1199=1,COUNTIFS($O$5:$O$1517,"&gt;="&amp;O1199,$K$5:$K$1517,1)/COUNTIF($O$5:$O$1517,"&gt;="&amp;O1199),0)</f>
        <v>0</v>
      </c>
      <c r="Y1199" s="8" t="n">
        <f aca="false">IF($K1199=1,COUNTIFS($P$5:$P$1517,"&gt;="&amp;P1199,$K$5:$K$1517,1)/COUNTIF($P$5:$P$1517,"&gt;="&amp;P1199),0)</f>
        <v>0</v>
      </c>
      <c r="Z1199" s="8" t="n">
        <f aca="false">(L1199-$K1199)^2</f>
        <v>0.899604825625</v>
      </c>
      <c r="AA1199" s="8" t="n">
        <f aca="false">(M1199-$K1199)^2</f>
        <v>0.008475595969</v>
      </c>
      <c r="AB1199" s="8" t="n">
        <f aca="false">(N1199-$K1199)^2</f>
        <v>0.012740765625</v>
      </c>
      <c r="AC1199" s="8" t="n">
        <f aca="false">(O1199-$K1199)^2</f>
        <v>0.011274829489</v>
      </c>
      <c r="AD1199" s="8" t="n">
        <f aca="false">(P1199-$K1199)^2</f>
        <v>0.014440588561</v>
      </c>
      <c r="AE1199" s="8" t="n">
        <f aca="false">MIN(INT(ROUND(N1199*1000000,0)/100000),9)</f>
        <v>1</v>
      </c>
      <c r="AF1199" s="8" t="n">
        <f aca="false">MIN(INT(ROUND(P1199*1000000,0)/100000),9)</f>
        <v>1</v>
      </c>
    </row>
    <row r="1200" customFormat="false" ht="15" hidden="false" customHeight="false" outlineLevel="0" collapsed="false">
      <c r="A1200" s="4" t="n">
        <v>1196</v>
      </c>
      <c r="B1200" s="4" t="n">
        <v>445</v>
      </c>
      <c r="C1200" s="4" t="n">
        <v>3</v>
      </c>
      <c r="D1200" s="11" t="n">
        <v>46143</v>
      </c>
      <c r="E1200" s="4" t="s">
        <v>203</v>
      </c>
      <c r="F1200" s="4" t="s">
        <v>207</v>
      </c>
      <c r="G1200" s="4" t="n">
        <v>5</v>
      </c>
      <c r="H1200" s="4" t="n">
        <v>0</v>
      </c>
      <c r="I1200" s="4" t="n">
        <v>0</v>
      </c>
      <c r="J1200" s="4"/>
      <c r="K1200" s="4" t="n">
        <v>0</v>
      </c>
      <c r="L1200" s="12" t="n">
        <v>0.599263</v>
      </c>
      <c r="M1200" s="12" t="n">
        <v>0.092063</v>
      </c>
      <c r="N1200" s="12" t="n">
        <v>0.054025</v>
      </c>
      <c r="O1200" s="12" t="n">
        <v>0.106183</v>
      </c>
      <c r="P1200" s="12" t="n">
        <v>0.055724</v>
      </c>
      <c r="Q1200" s="0" t="str">
        <f aca="false">IF(L1200&gt;=Models!$G$5,1+COUNTIF($L$5:$L$1517,"&gt;"&amp;L1200)+COUNTIFS($L$5:$L$1517,L1200,$B$5:$B$1517,"&lt;"&amp;B1200)+COUNTIFS($L$5:$L$1517,L1200,$B$5:$B$1517,B1200,$C$5:$C$1517,"&lt;"&amp;C1200),"")</f>
        <v/>
      </c>
      <c r="R1200" s="0" t="str">
        <f aca="false">IF(M1200&gt;=Models!$G$6,1+COUNTIF($M$5:$M$1517,"&gt;"&amp;M1200)+COUNTIFS($M$5:$M$1517,M1200,$B$5:$B$1517,"&lt;"&amp;B1200)+COUNTIFS($M$5:$M$1517,M1200,$B$5:$B$1517,B1200,$C$5:$C$1517,"&lt;"&amp;C1200),"")</f>
        <v/>
      </c>
      <c r="S1200" s="0" t="str">
        <f aca="false">IF(N1200&gt;=Models!$G$7,1+COUNTIF($N$5:$N$1517,"&gt;"&amp;N1200)+COUNTIFS($N$5:$N$1517,N1200,$B$5:$B$1517,"&lt;"&amp;B1200)+COUNTIFS($N$5:$N$1517,N1200,$B$5:$B$1517,B1200,$C$5:$C$1517,"&lt;"&amp;C1200),"")</f>
        <v/>
      </c>
      <c r="T1200" s="8" t="n">
        <f aca="false">IF(O1200&gt;=Models!$G$8,1+COUNTIF($O$5:$O$1517,"&gt;"&amp;O1200)+COUNTIFS($O$5:$O$1517,O1200,$B$5:$B$1517,"&lt;"&amp;B1200)+COUNTIFS($O$5:$O$1517,O1200,$B$5:$B$1517,B1200,$C$5:$C$1517,"&lt;"&amp;C1200),"")</f>
        <v>326</v>
      </c>
      <c r="U1200" s="8" t="n">
        <f aca="false">IF($K1200=1,COUNTIFS($L$5:$L$1517,"&gt;="&amp;L1200,$K$5:$K$1517,1)/COUNTIF($L$5:$L$1517,"&gt;="&amp;L1200),0)</f>
        <v>0</v>
      </c>
      <c r="V1200" s="8" t="n">
        <f aca="false">IF($K1200=1,COUNTIFS($M$5:$M$1517,"&gt;="&amp;M1200,$K$5:$K$1517,1)/COUNTIF($M$5:$M$1517,"&gt;="&amp;M1200),0)</f>
        <v>0</v>
      </c>
      <c r="W1200" s="8" t="n">
        <f aca="false">IF($K1200=1,COUNTIFS($N$5:$N$1517,"&gt;="&amp;N1200,$K$5:$K$1517,1)/COUNTIF($N$5:$N$1517,"&gt;="&amp;N1200),0)</f>
        <v>0</v>
      </c>
      <c r="X1200" s="8" t="n">
        <f aca="false">IF($K1200=1,COUNTIFS($O$5:$O$1517,"&gt;="&amp;O1200,$K$5:$K$1517,1)/COUNTIF($O$5:$O$1517,"&gt;="&amp;O1200),0)</f>
        <v>0</v>
      </c>
      <c r="Y1200" s="8" t="n">
        <f aca="false">IF($K1200=1,COUNTIFS($P$5:$P$1517,"&gt;="&amp;P1200,$K$5:$K$1517,1)/COUNTIF($P$5:$P$1517,"&gt;="&amp;P1200),0)</f>
        <v>0</v>
      </c>
      <c r="Z1200" s="8" t="n">
        <f aca="false">(L1200-$K1200)^2</f>
        <v>0.359116143169</v>
      </c>
      <c r="AA1200" s="8" t="n">
        <f aca="false">(M1200-$K1200)^2</f>
        <v>0.008475595969</v>
      </c>
      <c r="AB1200" s="8" t="n">
        <f aca="false">(N1200-$K1200)^2</f>
        <v>0.002918700625</v>
      </c>
      <c r="AC1200" s="8" t="n">
        <f aca="false">(O1200-$K1200)^2</f>
        <v>0.011274829489</v>
      </c>
      <c r="AD1200" s="8" t="n">
        <f aca="false">(P1200-$K1200)^2</f>
        <v>0.003105164176</v>
      </c>
      <c r="AE1200" s="8" t="n">
        <f aca="false">MIN(INT(ROUND(N1200*1000000,0)/100000),9)</f>
        <v>0</v>
      </c>
      <c r="AF1200" s="8" t="n">
        <f aca="false">MIN(INT(ROUND(P1200*1000000,0)/100000),9)</f>
        <v>0</v>
      </c>
    </row>
    <row r="1201" customFormat="false" ht="15" hidden="false" customHeight="false" outlineLevel="0" collapsed="false">
      <c r="A1201" s="4" t="n">
        <v>1197</v>
      </c>
      <c r="B1201" s="4" t="n">
        <v>450</v>
      </c>
      <c r="C1201" s="4" t="n">
        <v>3</v>
      </c>
      <c r="D1201" s="11" t="n">
        <v>46143</v>
      </c>
      <c r="E1201" s="4" t="s">
        <v>203</v>
      </c>
      <c r="F1201" s="4" t="s">
        <v>206</v>
      </c>
      <c r="G1201" s="4" t="n">
        <v>8</v>
      </c>
      <c r="H1201" s="4" t="n">
        <v>3</v>
      </c>
      <c r="I1201" s="4" t="n">
        <v>0</v>
      </c>
      <c r="J1201" s="4" t="n">
        <v>375</v>
      </c>
      <c r="K1201" s="4" t="n">
        <v>0</v>
      </c>
      <c r="L1201" s="12" t="n">
        <v>0.828995</v>
      </c>
      <c r="M1201" s="12" t="n">
        <v>0.092063</v>
      </c>
      <c r="N1201" s="12" t="n">
        <v>0.08524</v>
      </c>
      <c r="O1201" s="12" t="n">
        <v>0.106183</v>
      </c>
      <c r="P1201" s="12" t="n">
        <v>0.089714</v>
      </c>
      <c r="Q1201" s="0" t="str">
        <f aca="false">IF(L1201&gt;=Models!$G$5,1+COUNTIF($L$5:$L$1517,"&gt;"&amp;L1201)+COUNTIFS($L$5:$L$1517,L1201,$B$5:$B$1517,"&lt;"&amp;B1201)+COUNTIFS($L$5:$L$1517,L1201,$B$5:$B$1517,B1201,$C$5:$C$1517,"&lt;"&amp;C1201),"")</f>
        <v/>
      </c>
      <c r="R1201" s="0" t="str">
        <f aca="false">IF(M1201&gt;=Models!$G$6,1+COUNTIF($M$5:$M$1517,"&gt;"&amp;M1201)+COUNTIFS($M$5:$M$1517,M1201,$B$5:$B$1517,"&lt;"&amp;B1201)+COUNTIFS($M$5:$M$1517,M1201,$B$5:$B$1517,B1201,$C$5:$C$1517,"&lt;"&amp;C1201),"")</f>
        <v/>
      </c>
      <c r="S1201" s="0" t="str">
        <f aca="false">IF(N1201&gt;=Models!$G$7,1+COUNTIF($N$5:$N$1517,"&gt;"&amp;N1201)+COUNTIFS($N$5:$N$1517,N1201,$B$5:$B$1517,"&lt;"&amp;B1201)+COUNTIFS($N$5:$N$1517,N1201,$B$5:$B$1517,B1201,$C$5:$C$1517,"&lt;"&amp;C1201),"")</f>
        <v/>
      </c>
      <c r="T1201" s="8" t="n">
        <f aca="false">IF(O1201&gt;=Models!$G$8,1+COUNTIF($O$5:$O$1517,"&gt;"&amp;O1201)+COUNTIFS($O$5:$O$1517,O1201,$B$5:$B$1517,"&lt;"&amp;B1201)+COUNTIFS($O$5:$O$1517,O1201,$B$5:$B$1517,B1201,$C$5:$C$1517,"&lt;"&amp;C1201),"")</f>
        <v>330</v>
      </c>
      <c r="U1201" s="8" t="n">
        <f aca="false">IF($K1201=1,COUNTIFS($L$5:$L$1517,"&gt;="&amp;L1201,$K$5:$K$1517,1)/COUNTIF($L$5:$L$1517,"&gt;="&amp;L1201),0)</f>
        <v>0</v>
      </c>
      <c r="V1201" s="8" t="n">
        <f aca="false">IF($K1201=1,COUNTIFS($M$5:$M$1517,"&gt;="&amp;M1201,$K$5:$K$1517,1)/COUNTIF($M$5:$M$1517,"&gt;="&amp;M1201),0)</f>
        <v>0</v>
      </c>
      <c r="W1201" s="8" t="n">
        <f aca="false">IF($K1201=1,COUNTIFS($N$5:$N$1517,"&gt;="&amp;N1201,$K$5:$K$1517,1)/COUNTIF($N$5:$N$1517,"&gt;="&amp;N1201),0)</f>
        <v>0</v>
      </c>
      <c r="X1201" s="8" t="n">
        <f aca="false">IF($K1201=1,COUNTIFS($O$5:$O$1517,"&gt;="&amp;O1201,$K$5:$K$1517,1)/COUNTIF($O$5:$O$1517,"&gt;="&amp;O1201),0)</f>
        <v>0</v>
      </c>
      <c r="Y1201" s="8" t="n">
        <f aca="false">IF($K1201=1,COUNTIFS($P$5:$P$1517,"&gt;="&amp;P1201,$K$5:$K$1517,1)/COUNTIF($P$5:$P$1517,"&gt;="&amp;P1201),0)</f>
        <v>0</v>
      </c>
      <c r="Z1201" s="8" t="n">
        <f aca="false">(L1201-$K1201)^2</f>
        <v>0.687232710025</v>
      </c>
      <c r="AA1201" s="8" t="n">
        <f aca="false">(M1201-$K1201)^2</f>
        <v>0.008475595969</v>
      </c>
      <c r="AB1201" s="8" t="n">
        <f aca="false">(N1201-$K1201)^2</f>
        <v>0.0072658576</v>
      </c>
      <c r="AC1201" s="8" t="n">
        <f aca="false">(O1201-$K1201)^2</f>
        <v>0.011274829489</v>
      </c>
      <c r="AD1201" s="8" t="n">
        <f aca="false">(P1201-$K1201)^2</f>
        <v>0.008048601796</v>
      </c>
      <c r="AE1201" s="8" t="n">
        <f aca="false">MIN(INT(ROUND(N1201*1000000,0)/100000),9)</f>
        <v>0</v>
      </c>
      <c r="AF1201" s="8" t="n">
        <f aca="false">MIN(INT(ROUND(P1201*1000000,0)/100000),9)</f>
        <v>0</v>
      </c>
    </row>
    <row r="1202" customFormat="false" ht="15" hidden="false" customHeight="false" outlineLevel="0" collapsed="false">
      <c r="A1202" s="4" t="n">
        <v>1198</v>
      </c>
      <c r="B1202" s="4" t="n">
        <v>461</v>
      </c>
      <c r="C1202" s="4" t="n">
        <v>3</v>
      </c>
      <c r="D1202" s="11" t="n">
        <v>46143</v>
      </c>
      <c r="E1202" s="4" t="s">
        <v>204</v>
      </c>
      <c r="F1202" s="4" t="s">
        <v>206</v>
      </c>
      <c r="G1202" s="4" t="n">
        <v>4</v>
      </c>
      <c r="H1202" s="4" t="n">
        <v>2</v>
      </c>
      <c r="I1202" s="4" t="n">
        <v>0</v>
      </c>
      <c r="J1202" s="4" t="n">
        <v>90</v>
      </c>
      <c r="K1202" s="4" t="n">
        <v>0</v>
      </c>
      <c r="L1202" s="12" t="n">
        <v>0.494844</v>
      </c>
      <c r="M1202" s="12" t="n">
        <v>0.092063</v>
      </c>
      <c r="N1202" s="12" t="n">
        <v>0.118693</v>
      </c>
      <c r="O1202" s="12" t="n">
        <v>0.106183</v>
      </c>
      <c r="P1202" s="12" t="n">
        <v>0.126609</v>
      </c>
      <c r="Q1202" s="0" t="str">
        <f aca="false">IF(L1202&gt;=Models!$G$5,1+COUNTIF($L$5:$L$1517,"&gt;"&amp;L1202)+COUNTIFS($L$5:$L$1517,L1202,$B$5:$B$1517,"&lt;"&amp;B1202)+COUNTIFS($L$5:$L$1517,L1202,$B$5:$B$1517,B1202,$C$5:$C$1517,"&lt;"&amp;C1202),"")</f>
        <v/>
      </c>
      <c r="R1202" s="0" t="str">
        <f aca="false">IF(M1202&gt;=Models!$G$6,1+COUNTIF($M$5:$M$1517,"&gt;"&amp;M1202)+COUNTIFS($M$5:$M$1517,M1202,$B$5:$B$1517,"&lt;"&amp;B1202)+COUNTIFS($M$5:$M$1517,M1202,$B$5:$B$1517,B1202,$C$5:$C$1517,"&lt;"&amp;C1202),"")</f>
        <v/>
      </c>
      <c r="S1202" s="0" t="str">
        <f aca="false">IF(N1202&gt;=Models!$G$7,1+COUNTIF($N$5:$N$1517,"&gt;"&amp;N1202)+COUNTIFS($N$5:$N$1517,N1202,$B$5:$B$1517,"&lt;"&amp;B1202)+COUNTIFS($N$5:$N$1517,N1202,$B$5:$B$1517,B1202,$C$5:$C$1517,"&lt;"&amp;C1202),"")</f>
        <v/>
      </c>
      <c r="T1202" s="8" t="n">
        <f aca="false">IF(O1202&gt;=Models!$G$8,1+COUNTIF($O$5:$O$1517,"&gt;"&amp;O1202)+COUNTIFS($O$5:$O$1517,O1202,$B$5:$B$1517,"&lt;"&amp;B1202)+COUNTIFS($O$5:$O$1517,O1202,$B$5:$B$1517,B1202,$C$5:$C$1517,"&lt;"&amp;C1202),"")</f>
        <v>334</v>
      </c>
      <c r="U1202" s="8" t="n">
        <f aca="false">IF($K1202=1,COUNTIFS($L$5:$L$1517,"&gt;="&amp;L1202,$K$5:$K$1517,1)/COUNTIF($L$5:$L$1517,"&gt;="&amp;L1202),0)</f>
        <v>0</v>
      </c>
      <c r="V1202" s="8" t="n">
        <f aca="false">IF($K1202=1,COUNTIFS($M$5:$M$1517,"&gt;="&amp;M1202,$K$5:$K$1517,1)/COUNTIF($M$5:$M$1517,"&gt;="&amp;M1202),0)</f>
        <v>0</v>
      </c>
      <c r="W1202" s="8" t="n">
        <f aca="false">IF($K1202=1,COUNTIFS($N$5:$N$1517,"&gt;="&amp;N1202,$K$5:$K$1517,1)/COUNTIF($N$5:$N$1517,"&gt;="&amp;N1202),0)</f>
        <v>0</v>
      </c>
      <c r="X1202" s="8" t="n">
        <f aca="false">IF($K1202=1,COUNTIFS($O$5:$O$1517,"&gt;="&amp;O1202,$K$5:$K$1517,1)/COUNTIF($O$5:$O$1517,"&gt;="&amp;O1202),0)</f>
        <v>0</v>
      </c>
      <c r="Y1202" s="8" t="n">
        <f aca="false">IF($K1202=1,COUNTIFS($P$5:$P$1517,"&gt;="&amp;P1202,$K$5:$K$1517,1)/COUNTIF($P$5:$P$1517,"&gt;="&amp;P1202),0)</f>
        <v>0</v>
      </c>
      <c r="Z1202" s="8" t="n">
        <f aca="false">(L1202-$K1202)^2</f>
        <v>0.244870584336</v>
      </c>
      <c r="AA1202" s="8" t="n">
        <f aca="false">(M1202-$K1202)^2</f>
        <v>0.008475595969</v>
      </c>
      <c r="AB1202" s="8" t="n">
        <f aca="false">(N1202-$K1202)^2</f>
        <v>0.014088028249</v>
      </c>
      <c r="AC1202" s="8" t="n">
        <f aca="false">(O1202-$K1202)^2</f>
        <v>0.011274829489</v>
      </c>
      <c r="AD1202" s="8" t="n">
        <f aca="false">(P1202-$K1202)^2</f>
        <v>0.016029838881</v>
      </c>
      <c r="AE1202" s="8" t="n">
        <f aca="false">MIN(INT(ROUND(N1202*1000000,0)/100000),9)</f>
        <v>1</v>
      </c>
      <c r="AF1202" s="8" t="n">
        <f aca="false">MIN(INT(ROUND(P1202*1000000,0)/100000),9)</f>
        <v>1</v>
      </c>
    </row>
    <row r="1203" customFormat="false" ht="15" hidden="false" customHeight="false" outlineLevel="0" collapsed="false">
      <c r="A1203" s="4" t="n">
        <v>1199</v>
      </c>
      <c r="B1203" s="4" t="n">
        <v>462</v>
      </c>
      <c r="C1203" s="4" t="n">
        <v>3</v>
      </c>
      <c r="D1203" s="11" t="n">
        <v>46143</v>
      </c>
      <c r="E1203" s="4" t="s">
        <v>203</v>
      </c>
      <c r="F1203" s="4" t="s">
        <v>210</v>
      </c>
      <c r="G1203" s="4" t="n">
        <v>4</v>
      </c>
      <c r="H1203" s="4" t="n">
        <v>0</v>
      </c>
      <c r="I1203" s="4" t="n">
        <v>0</v>
      </c>
      <c r="J1203" s="4" t="n">
        <v>408</v>
      </c>
      <c r="K1203" s="4" t="n">
        <v>0</v>
      </c>
      <c r="L1203" s="12" t="n">
        <v>0.685411</v>
      </c>
      <c r="M1203" s="12" t="n">
        <v>0.092063</v>
      </c>
      <c r="N1203" s="12" t="n">
        <v>0.115095</v>
      </c>
      <c r="O1203" s="12" t="n">
        <v>0.106183</v>
      </c>
      <c r="P1203" s="12" t="n">
        <v>0.122626</v>
      </c>
      <c r="Q1203" s="0" t="str">
        <f aca="false">IF(L1203&gt;=Models!$G$5,1+COUNTIF($L$5:$L$1517,"&gt;"&amp;L1203)+COUNTIFS($L$5:$L$1517,L1203,$B$5:$B$1517,"&lt;"&amp;B1203)+COUNTIFS($L$5:$L$1517,L1203,$B$5:$B$1517,B1203,$C$5:$C$1517,"&lt;"&amp;C1203),"")</f>
        <v/>
      </c>
      <c r="R1203" s="0" t="str">
        <f aca="false">IF(M1203&gt;=Models!$G$6,1+COUNTIF($M$5:$M$1517,"&gt;"&amp;M1203)+COUNTIFS($M$5:$M$1517,M1203,$B$5:$B$1517,"&lt;"&amp;B1203)+COUNTIFS($M$5:$M$1517,M1203,$B$5:$B$1517,B1203,$C$5:$C$1517,"&lt;"&amp;C1203),"")</f>
        <v/>
      </c>
      <c r="S1203" s="0" t="str">
        <f aca="false">IF(N1203&gt;=Models!$G$7,1+COUNTIF($N$5:$N$1517,"&gt;"&amp;N1203)+COUNTIFS($N$5:$N$1517,N1203,$B$5:$B$1517,"&lt;"&amp;B1203)+COUNTIFS($N$5:$N$1517,N1203,$B$5:$B$1517,B1203,$C$5:$C$1517,"&lt;"&amp;C1203),"")</f>
        <v/>
      </c>
      <c r="T1203" s="8" t="n">
        <f aca="false">IF(O1203&gt;=Models!$G$8,1+COUNTIF($O$5:$O$1517,"&gt;"&amp;O1203)+COUNTIFS($O$5:$O$1517,O1203,$B$5:$B$1517,"&lt;"&amp;B1203)+COUNTIFS($O$5:$O$1517,O1203,$B$5:$B$1517,B1203,$C$5:$C$1517,"&lt;"&amp;C1203),"")</f>
        <v>338</v>
      </c>
      <c r="U1203" s="8" t="n">
        <f aca="false">IF($K1203=1,COUNTIFS($L$5:$L$1517,"&gt;="&amp;L1203,$K$5:$K$1517,1)/COUNTIF($L$5:$L$1517,"&gt;="&amp;L1203),0)</f>
        <v>0</v>
      </c>
      <c r="V1203" s="8" t="n">
        <f aca="false">IF($K1203=1,COUNTIFS($M$5:$M$1517,"&gt;="&amp;M1203,$K$5:$K$1517,1)/COUNTIF($M$5:$M$1517,"&gt;="&amp;M1203),0)</f>
        <v>0</v>
      </c>
      <c r="W1203" s="8" t="n">
        <f aca="false">IF($K1203=1,COUNTIFS($N$5:$N$1517,"&gt;="&amp;N1203,$K$5:$K$1517,1)/COUNTIF($N$5:$N$1517,"&gt;="&amp;N1203),0)</f>
        <v>0</v>
      </c>
      <c r="X1203" s="8" t="n">
        <f aca="false">IF($K1203=1,COUNTIFS($O$5:$O$1517,"&gt;="&amp;O1203,$K$5:$K$1517,1)/COUNTIF($O$5:$O$1517,"&gt;="&amp;O1203),0)</f>
        <v>0</v>
      </c>
      <c r="Y1203" s="8" t="n">
        <f aca="false">IF($K1203=1,COUNTIFS($P$5:$P$1517,"&gt;="&amp;P1203,$K$5:$K$1517,1)/COUNTIF($P$5:$P$1517,"&gt;="&amp;P1203),0)</f>
        <v>0</v>
      </c>
      <c r="Z1203" s="8" t="n">
        <f aca="false">(L1203-$K1203)^2</f>
        <v>0.469788238921</v>
      </c>
      <c r="AA1203" s="8" t="n">
        <f aca="false">(M1203-$K1203)^2</f>
        <v>0.008475595969</v>
      </c>
      <c r="AB1203" s="8" t="n">
        <f aca="false">(N1203-$K1203)^2</f>
        <v>0.013246859025</v>
      </c>
      <c r="AC1203" s="8" t="n">
        <f aca="false">(O1203-$K1203)^2</f>
        <v>0.011274829489</v>
      </c>
      <c r="AD1203" s="8" t="n">
        <f aca="false">(P1203-$K1203)^2</f>
        <v>0.015037135876</v>
      </c>
      <c r="AE1203" s="8" t="n">
        <f aca="false">MIN(INT(ROUND(N1203*1000000,0)/100000),9)</f>
        <v>1</v>
      </c>
      <c r="AF1203" s="8" t="n">
        <f aca="false">MIN(INT(ROUND(P1203*1000000,0)/100000),9)</f>
        <v>1</v>
      </c>
    </row>
    <row r="1204" customFormat="false" ht="15" hidden="false" customHeight="false" outlineLevel="0" collapsed="false">
      <c r="A1204" s="4" t="n">
        <v>1200</v>
      </c>
      <c r="B1204" s="4" t="n">
        <v>463</v>
      </c>
      <c r="C1204" s="4" t="n">
        <v>3</v>
      </c>
      <c r="D1204" s="11" t="n">
        <v>46143</v>
      </c>
      <c r="E1204" s="4" t="s">
        <v>204</v>
      </c>
      <c r="F1204" s="4" t="s">
        <v>206</v>
      </c>
      <c r="G1204" s="4" t="n">
        <v>6</v>
      </c>
      <c r="H1204" s="4" t="n">
        <v>3</v>
      </c>
      <c r="I1204" s="4" t="n">
        <v>0</v>
      </c>
      <c r="J1204" s="4"/>
      <c r="K1204" s="4" t="n">
        <v>0</v>
      </c>
      <c r="L1204" s="12" t="n">
        <v>0.109566</v>
      </c>
      <c r="M1204" s="12" t="n">
        <v>0.092063</v>
      </c>
      <c r="N1204" s="12" t="n">
        <v>0.050778</v>
      </c>
      <c r="O1204" s="12" t="n">
        <v>0.106183</v>
      </c>
      <c r="P1204" s="12" t="n">
        <v>0.052227</v>
      </c>
      <c r="Q1204" s="0" t="str">
        <f aca="false">IF(L1204&gt;=Models!$G$5,1+COUNTIF($L$5:$L$1517,"&gt;"&amp;L1204)+COUNTIFS($L$5:$L$1517,L1204,$B$5:$B$1517,"&lt;"&amp;B1204)+COUNTIFS($L$5:$L$1517,L1204,$B$5:$B$1517,B1204,$C$5:$C$1517,"&lt;"&amp;C1204),"")</f>
        <v/>
      </c>
      <c r="R1204" s="0" t="str">
        <f aca="false">IF(M1204&gt;=Models!$G$6,1+COUNTIF($M$5:$M$1517,"&gt;"&amp;M1204)+COUNTIFS($M$5:$M$1517,M1204,$B$5:$B$1517,"&lt;"&amp;B1204)+COUNTIFS($M$5:$M$1517,M1204,$B$5:$B$1517,B1204,$C$5:$C$1517,"&lt;"&amp;C1204),"")</f>
        <v/>
      </c>
      <c r="S1204" s="0" t="str">
        <f aca="false">IF(N1204&gt;=Models!$G$7,1+COUNTIF($N$5:$N$1517,"&gt;"&amp;N1204)+COUNTIFS($N$5:$N$1517,N1204,$B$5:$B$1517,"&lt;"&amp;B1204)+COUNTIFS($N$5:$N$1517,N1204,$B$5:$B$1517,B1204,$C$5:$C$1517,"&lt;"&amp;C1204),"")</f>
        <v/>
      </c>
      <c r="T1204" s="8" t="n">
        <f aca="false">IF(O1204&gt;=Models!$G$8,1+COUNTIF($O$5:$O$1517,"&gt;"&amp;O1204)+COUNTIFS($O$5:$O$1517,O1204,$B$5:$B$1517,"&lt;"&amp;B1204)+COUNTIFS($O$5:$O$1517,O1204,$B$5:$B$1517,B1204,$C$5:$C$1517,"&lt;"&amp;C1204),"")</f>
        <v>342</v>
      </c>
      <c r="U1204" s="8" t="n">
        <f aca="false">IF($K1204=1,COUNTIFS($L$5:$L$1517,"&gt;="&amp;L1204,$K$5:$K$1517,1)/COUNTIF($L$5:$L$1517,"&gt;="&amp;L1204),0)</f>
        <v>0</v>
      </c>
      <c r="V1204" s="8" t="n">
        <f aca="false">IF($K1204=1,COUNTIFS($M$5:$M$1517,"&gt;="&amp;M1204,$K$5:$K$1517,1)/COUNTIF($M$5:$M$1517,"&gt;="&amp;M1204),0)</f>
        <v>0</v>
      </c>
      <c r="W1204" s="8" t="n">
        <f aca="false">IF($K1204=1,COUNTIFS($N$5:$N$1517,"&gt;="&amp;N1204,$K$5:$K$1517,1)/COUNTIF($N$5:$N$1517,"&gt;="&amp;N1204),0)</f>
        <v>0</v>
      </c>
      <c r="X1204" s="8" t="n">
        <f aca="false">IF($K1204=1,COUNTIFS($O$5:$O$1517,"&gt;="&amp;O1204,$K$5:$K$1517,1)/COUNTIF($O$5:$O$1517,"&gt;="&amp;O1204),0)</f>
        <v>0</v>
      </c>
      <c r="Y1204" s="8" t="n">
        <f aca="false">IF($K1204=1,COUNTIFS($P$5:$P$1517,"&gt;="&amp;P1204,$K$5:$K$1517,1)/COUNTIF($P$5:$P$1517,"&gt;="&amp;P1204),0)</f>
        <v>0</v>
      </c>
      <c r="Z1204" s="8" t="n">
        <f aca="false">(L1204-$K1204)^2</f>
        <v>0.012004708356</v>
      </c>
      <c r="AA1204" s="8" t="n">
        <f aca="false">(M1204-$K1204)^2</f>
        <v>0.008475595969</v>
      </c>
      <c r="AB1204" s="8" t="n">
        <f aca="false">(N1204-$K1204)^2</f>
        <v>0.002578405284</v>
      </c>
      <c r="AC1204" s="8" t="n">
        <f aca="false">(O1204-$K1204)^2</f>
        <v>0.011274829489</v>
      </c>
      <c r="AD1204" s="8" t="n">
        <f aca="false">(P1204-$K1204)^2</f>
        <v>0.002727659529</v>
      </c>
      <c r="AE1204" s="8" t="n">
        <f aca="false">MIN(INT(ROUND(N1204*1000000,0)/100000),9)</f>
        <v>0</v>
      </c>
      <c r="AF1204" s="8" t="n">
        <f aca="false">MIN(INT(ROUND(P1204*1000000,0)/100000),9)</f>
        <v>0</v>
      </c>
    </row>
    <row r="1205" customFormat="false" ht="15" hidden="false" customHeight="false" outlineLevel="0" collapsed="false">
      <c r="A1205" s="4" t="n">
        <v>1201</v>
      </c>
      <c r="B1205" s="4" t="n">
        <v>466</v>
      </c>
      <c r="C1205" s="4" t="n">
        <v>3</v>
      </c>
      <c r="D1205" s="11" t="n">
        <v>46143</v>
      </c>
      <c r="E1205" s="4" t="s">
        <v>202</v>
      </c>
      <c r="F1205" s="4" t="s">
        <v>207</v>
      </c>
      <c r="G1205" s="4" t="n">
        <v>10</v>
      </c>
      <c r="H1205" s="4" t="n">
        <v>5</v>
      </c>
      <c r="I1205" s="4" t="n">
        <v>0</v>
      </c>
      <c r="J1205" s="4"/>
      <c r="K1205" s="4" t="n">
        <v>0</v>
      </c>
      <c r="L1205" s="12" t="n">
        <v>0.39799</v>
      </c>
      <c r="M1205" s="12" t="n">
        <v>0.092063</v>
      </c>
      <c r="N1205" s="12" t="n">
        <v>0.036552</v>
      </c>
      <c r="O1205" s="12" t="n">
        <v>0.106183</v>
      </c>
      <c r="P1205" s="12" t="n">
        <v>0.037024</v>
      </c>
      <c r="Q1205" s="0" t="str">
        <f aca="false">IF(L1205&gt;=Models!$G$5,1+COUNTIF($L$5:$L$1517,"&gt;"&amp;L1205)+COUNTIFS($L$5:$L$1517,L1205,$B$5:$B$1517,"&lt;"&amp;B1205)+COUNTIFS($L$5:$L$1517,L1205,$B$5:$B$1517,B1205,$C$5:$C$1517,"&lt;"&amp;C1205),"")</f>
        <v/>
      </c>
      <c r="R1205" s="0" t="str">
        <f aca="false">IF(M1205&gt;=Models!$G$6,1+COUNTIF($M$5:$M$1517,"&gt;"&amp;M1205)+COUNTIFS($M$5:$M$1517,M1205,$B$5:$B$1517,"&lt;"&amp;B1205)+COUNTIFS($M$5:$M$1517,M1205,$B$5:$B$1517,B1205,$C$5:$C$1517,"&lt;"&amp;C1205),"")</f>
        <v/>
      </c>
      <c r="S1205" s="0" t="str">
        <f aca="false">IF(N1205&gt;=Models!$G$7,1+COUNTIF($N$5:$N$1517,"&gt;"&amp;N1205)+COUNTIFS($N$5:$N$1517,N1205,$B$5:$B$1517,"&lt;"&amp;B1205)+COUNTIFS($N$5:$N$1517,N1205,$B$5:$B$1517,B1205,$C$5:$C$1517,"&lt;"&amp;C1205),"")</f>
        <v/>
      </c>
      <c r="T1205" s="8" t="n">
        <f aca="false">IF(O1205&gt;=Models!$G$8,1+COUNTIF($O$5:$O$1517,"&gt;"&amp;O1205)+COUNTIFS($O$5:$O$1517,O1205,$B$5:$B$1517,"&lt;"&amp;B1205)+COUNTIFS($O$5:$O$1517,O1205,$B$5:$B$1517,B1205,$C$5:$C$1517,"&lt;"&amp;C1205),"")</f>
        <v>346</v>
      </c>
      <c r="U1205" s="8" t="n">
        <f aca="false">IF($K1205=1,COUNTIFS($L$5:$L$1517,"&gt;="&amp;L1205,$K$5:$K$1517,1)/COUNTIF($L$5:$L$1517,"&gt;="&amp;L1205),0)</f>
        <v>0</v>
      </c>
      <c r="V1205" s="8" t="n">
        <f aca="false">IF($K1205=1,COUNTIFS($M$5:$M$1517,"&gt;="&amp;M1205,$K$5:$K$1517,1)/COUNTIF($M$5:$M$1517,"&gt;="&amp;M1205),0)</f>
        <v>0</v>
      </c>
      <c r="W1205" s="8" t="n">
        <f aca="false">IF($K1205=1,COUNTIFS($N$5:$N$1517,"&gt;="&amp;N1205,$K$5:$K$1517,1)/COUNTIF($N$5:$N$1517,"&gt;="&amp;N1205),0)</f>
        <v>0</v>
      </c>
      <c r="X1205" s="8" t="n">
        <f aca="false">IF($K1205=1,COUNTIFS($O$5:$O$1517,"&gt;="&amp;O1205,$K$5:$K$1517,1)/COUNTIF($O$5:$O$1517,"&gt;="&amp;O1205),0)</f>
        <v>0</v>
      </c>
      <c r="Y1205" s="8" t="n">
        <f aca="false">IF($K1205=1,COUNTIFS($P$5:$P$1517,"&gt;="&amp;P1205,$K$5:$K$1517,1)/COUNTIF($P$5:$P$1517,"&gt;="&amp;P1205),0)</f>
        <v>0</v>
      </c>
      <c r="Z1205" s="8" t="n">
        <f aca="false">(L1205-$K1205)^2</f>
        <v>0.1583960401</v>
      </c>
      <c r="AA1205" s="8" t="n">
        <f aca="false">(M1205-$K1205)^2</f>
        <v>0.008475595969</v>
      </c>
      <c r="AB1205" s="8" t="n">
        <f aca="false">(N1205-$K1205)^2</f>
        <v>0.001336048704</v>
      </c>
      <c r="AC1205" s="8" t="n">
        <f aca="false">(O1205-$K1205)^2</f>
        <v>0.011274829489</v>
      </c>
      <c r="AD1205" s="8" t="n">
        <f aca="false">(P1205-$K1205)^2</f>
        <v>0.001370776576</v>
      </c>
      <c r="AE1205" s="8" t="n">
        <f aca="false">MIN(INT(ROUND(N1205*1000000,0)/100000),9)</f>
        <v>0</v>
      </c>
      <c r="AF1205" s="8" t="n">
        <f aca="false">MIN(INT(ROUND(P1205*1000000,0)/100000),9)</f>
        <v>0</v>
      </c>
    </row>
    <row r="1206" customFormat="false" ht="15" hidden="false" customHeight="false" outlineLevel="0" collapsed="false">
      <c r="A1206" s="4" t="n">
        <v>1202</v>
      </c>
      <c r="B1206" s="4" t="n">
        <v>477</v>
      </c>
      <c r="C1206" s="4" t="n">
        <v>3</v>
      </c>
      <c r="D1206" s="11" t="n">
        <v>46143</v>
      </c>
      <c r="E1206" s="4" t="s">
        <v>204</v>
      </c>
      <c r="F1206" s="4" t="s">
        <v>206</v>
      </c>
      <c r="G1206" s="4" t="n">
        <v>6</v>
      </c>
      <c r="H1206" s="4" t="n">
        <v>2</v>
      </c>
      <c r="I1206" s="4" t="n">
        <v>0</v>
      </c>
      <c r="J1206" s="4"/>
      <c r="K1206" s="4" t="n">
        <v>0</v>
      </c>
      <c r="L1206" s="12" t="n">
        <v>0.039049</v>
      </c>
      <c r="M1206" s="12" t="n">
        <v>0.092063</v>
      </c>
      <c r="N1206" s="12" t="n">
        <v>0.050384</v>
      </c>
      <c r="O1206" s="12" t="n">
        <v>0.106183</v>
      </c>
      <c r="P1206" s="12" t="n">
        <v>0.051803</v>
      </c>
      <c r="Q1206" s="0" t="str">
        <f aca="false">IF(L1206&gt;=Models!$G$5,1+COUNTIF($L$5:$L$1517,"&gt;"&amp;L1206)+COUNTIFS($L$5:$L$1517,L1206,$B$5:$B$1517,"&lt;"&amp;B1206)+COUNTIFS($L$5:$L$1517,L1206,$B$5:$B$1517,B1206,$C$5:$C$1517,"&lt;"&amp;C1206),"")</f>
        <v/>
      </c>
      <c r="R1206" s="0" t="str">
        <f aca="false">IF(M1206&gt;=Models!$G$6,1+COUNTIF($M$5:$M$1517,"&gt;"&amp;M1206)+COUNTIFS($M$5:$M$1517,M1206,$B$5:$B$1517,"&lt;"&amp;B1206)+COUNTIFS($M$5:$M$1517,M1206,$B$5:$B$1517,B1206,$C$5:$C$1517,"&lt;"&amp;C1206),"")</f>
        <v/>
      </c>
      <c r="S1206" s="0" t="str">
        <f aca="false">IF(N1206&gt;=Models!$G$7,1+COUNTIF($N$5:$N$1517,"&gt;"&amp;N1206)+COUNTIFS($N$5:$N$1517,N1206,$B$5:$B$1517,"&lt;"&amp;B1206)+COUNTIFS($N$5:$N$1517,N1206,$B$5:$B$1517,B1206,$C$5:$C$1517,"&lt;"&amp;C1206),"")</f>
        <v/>
      </c>
      <c r="T1206" s="8" t="n">
        <f aca="false">IF(O1206&gt;=Models!$G$8,1+COUNTIF($O$5:$O$1517,"&gt;"&amp;O1206)+COUNTIFS($O$5:$O$1517,O1206,$B$5:$B$1517,"&lt;"&amp;B1206)+COUNTIFS($O$5:$O$1517,O1206,$B$5:$B$1517,B1206,$C$5:$C$1517,"&lt;"&amp;C1206),"")</f>
        <v>350</v>
      </c>
      <c r="U1206" s="8" t="n">
        <f aca="false">IF($K1206=1,COUNTIFS($L$5:$L$1517,"&gt;="&amp;L1206,$K$5:$K$1517,1)/COUNTIF($L$5:$L$1517,"&gt;="&amp;L1206),0)</f>
        <v>0</v>
      </c>
      <c r="V1206" s="8" t="n">
        <f aca="false">IF($K1206=1,COUNTIFS($M$5:$M$1517,"&gt;="&amp;M1206,$K$5:$K$1517,1)/COUNTIF($M$5:$M$1517,"&gt;="&amp;M1206),0)</f>
        <v>0</v>
      </c>
      <c r="W1206" s="8" t="n">
        <f aca="false">IF($K1206=1,COUNTIFS($N$5:$N$1517,"&gt;="&amp;N1206,$K$5:$K$1517,1)/COUNTIF($N$5:$N$1517,"&gt;="&amp;N1206),0)</f>
        <v>0</v>
      </c>
      <c r="X1206" s="8" t="n">
        <f aca="false">IF($K1206=1,COUNTIFS($O$5:$O$1517,"&gt;="&amp;O1206,$K$5:$K$1517,1)/COUNTIF($O$5:$O$1517,"&gt;="&amp;O1206),0)</f>
        <v>0</v>
      </c>
      <c r="Y1206" s="8" t="n">
        <f aca="false">IF($K1206=1,COUNTIFS($P$5:$P$1517,"&gt;="&amp;P1206,$K$5:$K$1517,1)/COUNTIF($P$5:$P$1517,"&gt;="&amp;P1206),0)</f>
        <v>0</v>
      </c>
      <c r="Z1206" s="8" t="n">
        <f aca="false">(L1206-$K1206)^2</f>
        <v>0.001524824401</v>
      </c>
      <c r="AA1206" s="8" t="n">
        <f aca="false">(M1206-$K1206)^2</f>
        <v>0.008475595969</v>
      </c>
      <c r="AB1206" s="8" t="n">
        <f aca="false">(N1206-$K1206)^2</f>
        <v>0.002538547456</v>
      </c>
      <c r="AC1206" s="8" t="n">
        <f aca="false">(O1206-$K1206)^2</f>
        <v>0.011274829489</v>
      </c>
      <c r="AD1206" s="8" t="n">
        <f aca="false">(P1206-$K1206)^2</f>
        <v>0.002683550809</v>
      </c>
      <c r="AE1206" s="8" t="n">
        <f aca="false">MIN(INT(ROUND(N1206*1000000,0)/100000),9)</f>
        <v>0</v>
      </c>
      <c r="AF1206" s="8" t="n">
        <f aca="false">MIN(INT(ROUND(P1206*1000000,0)/100000),9)</f>
        <v>0</v>
      </c>
    </row>
    <row r="1207" customFormat="false" ht="15" hidden="false" customHeight="false" outlineLevel="0" collapsed="false">
      <c r="A1207" s="4" t="n">
        <v>1203</v>
      </c>
      <c r="B1207" s="4" t="n">
        <v>493</v>
      </c>
      <c r="C1207" s="4" t="n">
        <v>3</v>
      </c>
      <c r="D1207" s="11" t="n">
        <v>46143</v>
      </c>
      <c r="E1207" s="4" t="s">
        <v>204</v>
      </c>
      <c r="F1207" s="4" t="s">
        <v>208</v>
      </c>
      <c r="G1207" s="4" t="n">
        <v>1</v>
      </c>
      <c r="H1207" s="4" t="n">
        <v>26</v>
      </c>
      <c r="I1207" s="4" t="n">
        <v>0</v>
      </c>
      <c r="J1207" s="4" t="n">
        <v>81</v>
      </c>
      <c r="K1207" s="4" t="n">
        <v>1</v>
      </c>
      <c r="L1207" s="12" t="n">
        <v>0.041405</v>
      </c>
      <c r="M1207" s="12" t="n">
        <v>0.092063</v>
      </c>
      <c r="N1207" s="12" t="n">
        <v>0.176871</v>
      </c>
      <c r="O1207" s="12" t="n">
        <v>0.106183</v>
      </c>
      <c r="P1207" s="12" t="n">
        <v>0.191254</v>
      </c>
      <c r="Q1207" s="0" t="str">
        <f aca="false">IF(L1207&gt;=Models!$G$5,1+COUNTIF($L$5:$L$1517,"&gt;"&amp;L1207)+COUNTIFS($L$5:$L$1517,L1207,$B$5:$B$1517,"&lt;"&amp;B1207)+COUNTIFS($L$5:$L$1517,L1207,$B$5:$B$1517,B1207,$C$5:$C$1517,"&lt;"&amp;C1207),"")</f>
        <v/>
      </c>
      <c r="R1207" s="0" t="str">
        <f aca="false">IF(M1207&gt;=Models!$G$6,1+COUNTIF($M$5:$M$1517,"&gt;"&amp;M1207)+COUNTIFS($M$5:$M$1517,M1207,$B$5:$B$1517,"&lt;"&amp;B1207)+COUNTIFS($M$5:$M$1517,M1207,$B$5:$B$1517,B1207,$C$5:$C$1517,"&lt;"&amp;C1207),"")</f>
        <v/>
      </c>
      <c r="S1207" s="0" t="str">
        <f aca="false">IF(N1207&gt;=Models!$G$7,1+COUNTIF($N$5:$N$1517,"&gt;"&amp;N1207)+COUNTIFS($N$5:$N$1517,N1207,$B$5:$B$1517,"&lt;"&amp;B1207)+COUNTIFS($N$5:$N$1517,N1207,$B$5:$B$1517,B1207,$C$5:$C$1517,"&lt;"&amp;C1207),"")</f>
        <v/>
      </c>
      <c r="T1207" s="8" t="n">
        <f aca="false">IF(O1207&gt;=Models!$G$8,1+COUNTIF($O$5:$O$1517,"&gt;"&amp;O1207)+COUNTIFS($O$5:$O$1517,O1207,$B$5:$B$1517,"&lt;"&amp;B1207)+COUNTIFS($O$5:$O$1517,O1207,$B$5:$B$1517,B1207,$C$5:$C$1517,"&lt;"&amp;C1207),"")</f>
        <v>354</v>
      </c>
      <c r="U1207" s="8" t="n">
        <f aca="false">IF($K1207=1,COUNTIFS($L$5:$L$1517,"&gt;="&amp;L1207,$K$5:$K$1517,1)/COUNTIF($L$5:$L$1517,"&gt;="&amp;L1207),0)</f>
        <v>0.125781792911744</v>
      </c>
      <c r="V1207" s="8" t="n">
        <f aca="false">IF($K1207=1,COUNTIFS($M$5:$M$1517,"&gt;="&amp;M1207,$K$5:$K$1517,1)/COUNTIF($M$5:$M$1517,"&gt;="&amp;M1207),0)</f>
        <v>0.12491738268341</v>
      </c>
      <c r="W1207" s="8" t="n">
        <f aca="false">IF($K1207=1,COUNTIFS($N$5:$N$1517,"&gt;="&amp;N1207,$K$5:$K$1517,1)/COUNTIF($N$5:$N$1517,"&gt;="&amp;N1207),0)</f>
        <v>0.326732673267327</v>
      </c>
      <c r="X1207" s="8" t="n">
        <f aca="false">IF($K1207=1,COUNTIFS($O$5:$O$1517,"&gt;="&amp;O1207,$K$5:$K$1517,1)/COUNTIF($O$5:$O$1517,"&gt;="&amp;O1207),0)</f>
        <v>0.12491738268341</v>
      </c>
      <c r="Y1207" s="8" t="n">
        <f aca="false">IF($K1207=1,COUNTIFS($P$5:$P$1517,"&gt;="&amp;P1207,$K$5:$K$1517,1)/COUNTIF($P$5:$P$1517,"&gt;="&amp;P1207),0)</f>
        <v>0.326732673267327</v>
      </c>
      <c r="Z1207" s="8" t="n">
        <f aca="false">(L1207-$K1207)^2</f>
        <v>0.918904374025</v>
      </c>
      <c r="AA1207" s="8" t="n">
        <f aca="false">(M1207-$K1207)^2</f>
        <v>0.824349595969</v>
      </c>
      <c r="AB1207" s="8" t="n">
        <f aca="false">(N1207-$K1207)^2</f>
        <v>0.677541350641</v>
      </c>
      <c r="AC1207" s="8" t="n">
        <f aca="false">(O1207-$K1207)^2</f>
        <v>0.798908829489</v>
      </c>
      <c r="AD1207" s="8" t="n">
        <f aca="false">(P1207-$K1207)^2</f>
        <v>0.654070092516</v>
      </c>
      <c r="AE1207" s="8" t="n">
        <f aca="false">MIN(INT(ROUND(N1207*1000000,0)/100000),9)</f>
        <v>1</v>
      </c>
      <c r="AF1207" s="8" t="n">
        <f aca="false">MIN(INT(ROUND(P1207*1000000,0)/100000),9)</f>
        <v>1</v>
      </c>
    </row>
    <row r="1208" customFormat="false" ht="15" hidden="false" customHeight="false" outlineLevel="0" collapsed="false">
      <c r="A1208" s="4" t="n">
        <v>1204</v>
      </c>
      <c r="B1208" s="4" t="n">
        <v>496</v>
      </c>
      <c r="C1208" s="4" t="n">
        <v>3</v>
      </c>
      <c r="D1208" s="11" t="n">
        <v>46143</v>
      </c>
      <c r="E1208" s="4" t="s">
        <v>204</v>
      </c>
      <c r="F1208" s="4" t="s">
        <v>206</v>
      </c>
      <c r="G1208" s="4" t="n">
        <v>1</v>
      </c>
      <c r="H1208" s="4" t="n">
        <v>21</v>
      </c>
      <c r="I1208" s="4" t="n">
        <v>0</v>
      </c>
      <c r="J1208" s="4" t="n">
        <v>63</v>
      </c>
      <c r="K1208" s="4" t="n">
        <v>0</v>
      </c>
      <c r="L1208" s="12" t="n">
        <v>0.046826</v>
      </c>
      <c r="M1208" s="12" t="n">
        <v>0.092063</v>
      </c>
      <c r="N1208" s="12" t="n">
        <v>0.171133</v>
      </c>
      <c r="O1208" s="12" t="n">
        <v>0.106183</v>
      </c>
      <c r="P1208" s="12" t="n">
        <v>0.184867</v>
      </c>
      <c r="Q1208" s="0" t="str">
        <f aca="false">IF(L1208&gt;=Models!$G$5,1+COUNTIF($L$5:$L$1517,"&gt;"&amp;L1208)+COUNTIFS($L$5:$L$1517,L1208,$B$5:$B$1517,"&lt;"&amp;B1208)+COUNTIFS($L$5:$L$1517,L1208,$B$5:$B$1517,B1208,$C$5:$C$1517,"&lt;"&amp;C1208),"")</f>
        <v/>
      </c>
      <c r="R1208" s="0" t="str">
        <f aca="false">IF(M1208&gt;=Models!$G$6,1+COUNTIF($M$5:$M$1517,"&gt;"&amp;M1208)+COUNTIFS($M$5:$M$1517,M1208,$B$5:$B$1517,"&lt;"&amp;B1208)+COUNTIFS($M$5:$M$1517,M1208,$B$5:$B$1517,B1208,$C$5:$C$1517,"&lt;"&amp;C1208),"")</f>
        <v/>
      </c>
      <c r="S1208" s="0" t="str">
        <f aca="false">IF(N1208&gt;=Models!$G$7,1+COUNTIF($N$5:$N$1517,"&gt;"&amp;N1208)+COUNTIFS($N$5:$N$1517,N1208,$B$5:$B$1517,"&lt;"&amp;B1208)+COUNTIFS($N$5:$N$1517,N1208,$B$5:$B$1517,B1208,$C$5:$C$1517,"&lt;"&amp;C1208),"")</f>
        <v/>
      </c>
      <c r="T1208" s="8" t="n">
        <f aca="false">IF(O1208&gt;=Models!$G$8,1+COUNTIF($O$5:$O$1517,"&gt;"&amp;O1208)+COUNTIFS($O$5:$O$1517,O1208,$B$5:$B$1517,"&lt;"&amp;B1208)+COUNTIFS($O$5:$O$1517,O1208,$B$5:$B$1517,B1208,$C$5:$C$1517,"&lt;"&amp;C1208),"")</f>
        <v>361</v>
      </c>
      <c r="U1208" s="8" t="n">
        <f aca="false">IF($K1208=1,COUNTIFS($L$5:$L$1517,"&gt;="&amp;L1208,$K$5:$K$1517,1)/COUNTIF($L$5:$L$1517,"&gt;="&amp;L1208),0)</f>
        <v>0</v>
      </c>
      <c r="V1208" s="8" t="n">
        <f aca="false">IF($K1208=1,COUNTIFS($M$5:$M$1517,"&gt;="&amp;M1208,$K$5:$K$1517,1)/COUNTIF($M$5:$M$1517,"&gt;="&amp;M1208),0)</f>
        <v>0</v>
      </c>
      <c r="W1208" s="8" t="n">
        <f aca="false">IF($K1208=1,COUNTIFS($N$5:$N$1517,"&gt;="&amp;N1208,$K$5:$K$1517,1)/COUNTIF($N$5:$N$1517,"&gt;="&amp;N1208),0)</f>
        <v>0</v>
      </c>
      <c r="X1208" s="8" t="n">
        <f aca="false">IF($K1208=1,COUNTIFS($O$5:$O$1517,"&gt;="&amp;O1208,$K$5:$K$1517,1)/COUNTIF($O$5:$O$1517,"&gt;="&amp;O1208),0)</f>
        <v>0</v>
      </c>
      <c r="Y1208" s="8" t="n">
        <f aca="false">IF($K1208=1,COUNTIFS($P$5:$P$1517,"&gt;="&amp;P1208,$K$5:$K$1517,1)/COUNTIF($P$5:$P$1517,"&gt;="&amp;P1208),0)</f>
        <v>0</v>
      </c>
      <c r="Z1208" s="8" t="n">
        <f aca="false">(L1208-$K1208)^2</f>
        <v>0.002192674276</v>
      </c>
      <c r="AA1208" s="8" t="n">
        <f aca="false">(M1208-$K1208)^2</f>
        <v>0.008475595969</v>
      </c>
      <c r="AB1208" s="8" t="n">
        <f aca="false">(N1208-$K1208)^2</f>
        <v>0.029286503689</v>
      </c>
      <c r="AC1208" s="8" t="n">
        <f aca="false">(O1208-$K1208)^2</f>
        <v>0.011274829489</v>
      </c>
      <c r="AD1208" s="8" t="n">
        <f aca="false">(P1208-$K1208)^2</f>
        <v>0.034175807689</v>
      </c>
      <c r="AE1208" s="8" t="n">
        <f aca="false">MIN(INT(ROUND(N1208*1000000,0)/100000),9)</f>
        <v>1</v>
      </c>
      <c r="AF1208" s="8" t="n">
        <f aca="false">MIN(INT(ROUND(P1208*1000000,0)/100000),9)</f>
        <v>1</v>
      </c>
    </row>
    <row r="1209" customFormat="false" ht="15" hidden="false" customHeight="false" outlineLevel="0" collapsed="false">
      <c r="A1209" s="4" t="n">
        <v>1205</v>
      </c>
      <c r="B1209" s="4" t="n">
        <v>497</v>
      </c>
      <c r="C1209" s="4" t="n">
        <v>3</v>
      </c>
      <c r="D1209" s="11" t="n">
        <v>46143</v>
      </c>
      <c r="E1209" s="4" t="s">
        <v>203</v>
      </c>
      <c r="F1209" s="4" t="s">
        <v>206</v>
      </c>
      <c r="G1209" s="4" t="n">
        <v>2</v>
      </c>
      <c r="H1209" s="4" t="n">
        <v>18</v>
      </c>
      <c r="I1209" s="4" t="n">
        <v>1</v>
      </c>
      <c r="J1209" s="4" t="n">
        <v>369</v>
      </c>
      <c r="K1209" s="4" t="n">
        <v>0</v>
      </c>
      <c r="L1209" s="12" t="n">
        <v>0.35604</v>
      </c>
      <c r="M1209" s="12" t="n">
        <v>0.184211</v>
      </c>
      <c r="N1209" s="12" t="n">
        <v>0.247139</v>
      </c>
      <c r="O1209" s="12" t="n">
        <v>0.106183</v>
      </c>
      <c r="P1209" s="12" t="n">
        <v>0.269342</v>
      </c>
      <c r="Q1209" s="0" t="str">
        <f aca="false">IF(L1209&gt;=Models!$G$5,1+COUNTIF($L$5:$L$1517,"&gt;"&amp;L1209)+COUNTIFS($L$5:$L$1517,L1209,$B$5:$B$1517,"&lt;"&amp;B1209)+COUNTIFS($L$5:$L$1517,L1209,$B$5:$B$1517,B1209,$C$5:$C$1517,"&lt;"&amp;C1209),"")</f>
        <v/>
      </c>
      <c r="R1209" s="8" t="n">
        <f aca="false">IF(M1209&gt;=Models!$G$6,1+COUNTIF($M$5:$M$1517,"&gt;"&amp;M1209)+COUNTIFS($M$5:$M$1517,M1209,$B$5:$B$1517,"&lt;"&amp;B1209)+COUNTIFS($M$5:$M$1517,M1209,$B$5:$B$1517,B1209,$C$5:$C$1517,"&lt;"&amp;C1209),"")</f>
        <v>40</v>
      </c>
      <c r="S1209" s="8" t="n">
        <f aca="false">IF(N1209&gt;=Models!$G$7,1+COUNTIF($N$5:$N$1517,"&gt;"&amp;N1209)+COUNTIFS($N$5:$N$1517,N1209,$B$5:$B$1517,"&lt;"&amp;B1209)+COUNTIFS($N$5:$N$1517,N1209,$B$5:$B$1517,B1209,$C$5:$C$1517,"&lt;"&amp;C1209),"")</f>
        <v>20</v>
      </c>
      <c r="T1209" s="8" t="n">
        <f aca="false">IF(O1209&gt;=Models!$G$8,1+COUNTIF($O$5:$O$1517,"&gt;"&amp;O1209)+COUNTIFS($O$5:$O$1517,O1209,$B$5:$B$1517,"&lt;"&amp;B1209)+COUNTIFS($O$5:$O$1517,O1209,$B$5:$B$1517,B1209,$C$5:$C$1517,"&lt;"&amp;C1209),"")</f>
        <v>365</v>
      </c>
      <c r="U1209" s="8" t="n">
        <f aca="false">IF($K1209=1,COUNTIFS($L$5:$L$1517,"&gt;="&amp;L1209,$K$5:$K$1517,1)/COUNTIF($L$5:$L$1517,"&gt;="&amp;L1209),0)</f>
        <v>0</v>
      </c>
      <c r="V1209" s="8" t="n">
        <f aca="false">IF($K1209=1,COUNTIFS($M$5:$M$1517,"&gt;="&amp;M1209,$K$5:$K$1517,1)/COUNTIF($M$5:$M$1517,"&gt;="&amp;M1209),0)</f>
        <v>0</v>
      </c>
      <c r="W1209" s="8" t="n">
        <f aca="false">IF($K1209=1,COUNTIFS($N$5:$N$1517,"&gt;="&amp;N1209,$K$5:$K$1517,1)/COUNTIF($N$5:$N$1517,"&gt;="&amp;N1209),0)</f>
        <v>0</v>
      </c>
      <c r="X1209" s="8" t="n">
        <f aca="false">IF($K1209=1,COUNTIFS($O$5:$O$1517,"&gt;="&amp;O1209,$K$5:$K$1517,1)/COUNTIF($O$5:$O$1517,"&gt;="&amp;O1209),0)</f>
        <v>0</v>
      </c>
      <c r="Y1209" s="8" t="n">
        <f aca="false">IF($K1209=1,COUNTIFS($P$5:$P$1517,"&gt;="&amp;P1209,$K$5:$K$1517,1)/COUNTIF($P$5:$P$1517,"&gt;="&amp;P1209),0)</f>
        <v>0</v>
      </c>
      <c r="Z1209" s="8" t="n">
        <f aca="false">(L1209-$K1209)^2</f>
        <v>0.1267644816</v>
      </c>
      <c r="AA1209" s="8" t="n">
        <f aca="false">(M1209-$K1209)^2</f>
        <v>0.033933692521</v>
      </c>
      <c r="AB1209" s="8" t="n">
        <f aca="false">(N1209-$K1209)^2</f>
        <v>0.061077685321</v>
      </c>
      <c r="AC1209" s="8" t="n">
        <f aca="false">(O1209-$K1209)^2</f>
        <v>0.011274829489</v>
      </c>
      <c r="AD1209" s="8" t="n">
        <f aca="false">(P1209-$K1209)^2</f>
        <v>0.072545112964</v>
      </c>
      <c r="AE1209" s="8" t="n">
        <f aca="false">MIN(INT(ROUND(N1209*1000000,0)/100000),9)</f>
        <v>2</v>
      </c>
      <c r="AF1209" s="8" t="n">
        <f aca="false">MIN(INT(ROUND(P1209*1000000,0)/100000),9)</f>
        <v>2</v>
      </c>
    </row>
    <row r="1210" customFormat="false" ht="15" hidden="false" customHeight="false" outlineLevel="0" collapsed="false">
      <c r="A1210" s="4" t="n">
        <v>1206</v>
      </c>
      <c r="B1210" s="4" t="n">
        <v>499</v>
      </c>
      <c r="C1210" s="4" t="n">
        <v>3</v>
      </c>
      <c r="D1210" s="11" t="n">
        <v>46143</v>
      </c>
      <c r="E1210" s="4" t="s">
        <v>201</v>
      </c>
      <c r="F1210" s="4" t="s">
        <v>208</v>
      </c>
      <c r="G1210" s="4" t="n">
        <v>4</v>
      </c>
      <c r="H1210" s="4" t="n">
        <v>10</v>
      </c>
      <c r="I1210" s="4" t="n">
        <v>0</v>
      </c>
      <c r="J1210" s="4"/>
      <c r="K1210" s="4" t="n">
        <v>0</v>
      </c>
      <c r="L1210" s="12" t="n">
        <v>0.247087</v>
      </c>
      <c r="M1210" s="12" t="n">
        <v>0.092063</v>
      </c>
      <c r="N1210" s="12" t="n">
        <v>0.063516</v>
      </c>
      <c r="O1210" s="12" t="n">
        <v>0.106183</v>
      </c>
      <c r="P1210" s="12" t="n">
        <v>0.065996</v>
      </c>
      <c r="Q1210" s="0" t="str">
        <f aca="false">IF(L1210&gt;=Models!$G$5,1+COUNTIF($L$5:$L$1517,"&gt;"&amp;L1210)+COUNTIFS($L$5:$L$1517,L1210,$B$5:$B$1517,"&lt;"&amp;B1210)+COUNTIFS($L$5:$L$1517,L1210,$B$5:$B$1517,B1210,$C$5:$C$1517,"&lt;"&amp;C1210),"")</f>
        <v/>
      </c>
      <c r="R1210" s="0" t="str">
        <f aca="false">IF(M1210&gt;=Models!$G$6,1+COUNTIF($M$5:$M$1517,"&gt;"&amp;M1210)+COUNTIFS($M$5:$M$1517,M1210,$B$5:$B$1517,"&lt;"&amp;B1210)+COUNTIFS($M$5:$M$1517,M1210,$B$5:$B$1517,B1210,$C$5:$C$1517,"&lt;"&amp;C1210),"")</f>
        <v/>
      </c>
      <c r="S1210" s="0" t="str">
        <f aca="false">IF(N1210&gt;=Models!$G$7,1+COUNTIF($N$5:$N$1517,"&gt;"&amp;N1210)+COUNTIFS($N$5:$N$1517,N1210,$B$5:$B$1517,"&lt;"&amp;B1210)+COUNTIFS($N$5:$N$1517,N1210,$B$5:$B$1517,B1210,$C$5:$C$1517,"&lt;"&amp;C1210),"")</f>
        <v/>
      </c>
      <c r="T1210" s="8" t="n">
        <f aca="false">IF(O1210&gt;=Models!$G$8,1+COUNTIF($O$5:$O$1517,"&gt;"&amp;O1210)+COUNTIFS($O$5:$O$1517,O1210,$B$5:$B$1517,"&lt;"&amp;B1210)+COUNTIFS($O$5:$O$1517,O1210,$B$5:$B$1517,B1210,$C$5:$C$1517,"&lt;"&amp;C1210),"")</f>
        <v>369</v>
      </c>
      <c r="U1210" s="8" t="n">
        <f aca="false">IF($K1210=1,COUNTIFS($L$5:$L$1517,"&gt;="&amp;L1210,$K$5:$K$1517,1)/COUNTIF($L$5:$L$1517,"&gt;="&amp;L1210),0)</f>
        <v>0</v>
      </c>
      <c r="V1210" s="8" t="n">
        <f aca="false">IF($K1210=1,COUNTIFS($M$5:$M$1517,"&gt;="&amp;M1210,$K$5:$K$1517,1)/COUNTIF($M$5:$M$1517,"&gt;="&amp;M1210),0)</f>
        <v>0</v>
      </c>
      <c r="W1210" s="8" t="n">
        <f aca="false">IF($K1210=1,COUNTIFS($N$5:$N$1517,"&gt;="&amp;N1210,$K$5:$K$1517,1)/COUNTIF($N$5:$N$1517,"&gt;="&amp;N1210),0)</f>
        <v>0</v>
      </c>
      <c r="X1210" s="8" t="n">
        <f aca="false">IF($K1210=1,COUNTIFS($O$5:$O$1517,"&gt;="&amp;O1210,$K$5:$K$1517,1)/COUNTIF($O$5:$O$1517,"&gt;="&amp;O1210),0)</f>
        <v>0</v>
      </c>
      <c r="Y1210" s="8" t="n">
        <f aca="false">IF($K1210=1,COUNTIFS($P$5:$P$1517,"&gt;="&amp;P1210,$K$5:$K$1517,1)/COUNTIF($P$5:$P$1517,"&gt;="&amp;P1210),0)</f>
        <v>0</v>
      </c>
      <c r="Z1210" s="8" t="n">
        <f aca="false">(L1210-$K1210)^2</f>
        <v>0.061051985569</v>
      </c>
      <c r="AA1210" s="8" t="n">
        <f aca="false">(M1210-$K1210)^2</f>
        <v>0.008475595969</v>
      </c>
      <c r="AB1210" s="8" t="n">
        <f aca="false">(N1210-$K1210)^2</f>
        <v>0.004034282256</v>
      </c>
      <c r="AC1210" s="8" t="n">
        <f aca="false">(O1210-$K1210)^2</f>
        <v>0.011274829489</v>
      </c>
      <c r="AD1210" s="8" t="n">
        <f aca="false">(P1210-$K1210)^2</f>
        <v>0.004355472016</v>
      </c>
      <c r="AE1210" s="8" t="n">
        <f aca="false">MIN(INT(ROUND(N1210*1000000,0)/100000),9)</f>
        <v>0</v>
      </c>
      <c r="AF1210" s="8" t="n">
        <f aca="false">MIN(INT(ROUND(P1210*1000000,0)/100000),9)</f>
        <v>0</v>
      </c>
    </row>
    <row r="1211" customFormat="false" ht="15" hidden="false" customHeight="false" outlineLevel="0" collapsed="false">
      <c r="A1211" s="4" t="n">
        <v>1207</v>
      </c>
      <c r="B1211" s="4" t="n">
        <v>500</v>
      </c>
      <c r="C1211" s="4" t="n">
        <v>3</v>
      </c>
      <c r="D1211" s="11" t="n">
        <v>46143</v>
      </c>
      <c r="E1211" s="4" t="s">
        <v>204</v>
      </c>
      <c r="F1211" s="4" t="s">
        <v>206</v>
      </c>
      <c r="G1211" s="4" t="n">
        <v>3</v>
      </c>
      <c r="H1211" s="4" t="n">
        <v>10</v>
      </c>
      <c r="I1211" s="4" t="n">
        <v>0</v>
      </c>
      <c r="J1211" s="4" t="n">
        <v>78</v>
      </c>
      <c r="K1211" s="4" t="n">
        <v>0</v>
      </c>
      <c r="L1211" s="12" t="n">
        <v>0.27199</v>
      </c>
      <c r="M1211" s="12" t="n">
        <v>0.092063</v>
      </c>
      <c r="N1211" s="12" t="n">
        <v>0.136035</v>
      </c>
      <c r="O1211" s="12" t="n">
        <v>0.106183</v>
      </c>
      <c r="P1211" s="12" t="n">
        <v>0.145841</v>
      </c>
      <c r="Q1211" s="0" t="str">
        <f aca="false">IF(L1211&gt;=Models!$G$5,1+COUNTIF($L$5:$L$1517,"&gt;"&amp;L1211)+COUNTIFS($L$5:$L$1517,L1211,$B$5:$B$1517,"&lt;"&amp;B1211)+COUNTIFS($L$5:$L$1517,L1211,$B$5:$B$1517,B1211,$C$5:$C$1517,"&lt;"&amp;C1211),"")</f>
        <v/>
      </c>
      <c r="R1211" s="0" t="str">
        <f aca="false">IF(M1211&gt;=Models!$G$6,1+COUNTIF($M$5:$M$1517,"&gt;"&amp;M1211)+COUNTIFS($M$5:$M$1517,M1211,$B$5:$B$1517,"&lt;"&amp;B1211)+COUNTIFS($M$5:$M$1517,M1211,$B$5:$B$1517,B1211,$C$5:$C$1517,"&lt;"&amp;C1211),"")</f>
        <v/>
      </c>
      <c r="S1211" s="0" t="str">
        <f aca="false">IF(N1211&gt;=Models!$G$7,1+COUNTIF($N$5:$N$1517,"&gt;"&amp;N1211)+COUNTIFS($N$5:$N$1517,N1211,$B$5:$B$1517,"&lt;"&amp;B1211)+COUNTIFS($N$5:$N$1517,N1211,$B$5:$B$1517,B1211,$C$5:$C$1517,"&lt;"&amp;C1211),"")</f>
        <v/>
      </c>
      <c r="T1211" s="8" t="n">
        <f aca="false">IF(O1211&gt;=Models!$G$8,1+COUNTIF($O$5:$O$1517,"&gt;"&amp;O1211)+COUNTIFS($O$5:$O$1517,O1211,$B$5:$B$1517,"&lt;"&amp;B1211)+COUNTIFS($O$5:$O$1517,O1211,$B$5:$B$1517,B1211,$C$5:$C$1517,"&lt;"&amp;C1211),"")</f>
        <v>373</v>
      </c>
      <c r="U1211" s="8" t="n">
        <f aca="false">IF($K1211=1,COUNTIFS($L$5:$L$1517,"&gt;="&amp;L1211,$K$5:$K$1517,1)/COUNTIF($L$5:$L$1517,"&gt;="&amp;L1211),0)</f>
        <v>0</v>
      </c>
      <c r="V1211" s="8" t="n">
        <f aca="false">IF($K1211=1,COUNTIFS($M$5:$M$1517,"&gt;="&amp;M1211,$K$5:$K$1517,1)/COUNTIF($M$5:$M$1517,"&gt;="&amp;M1211),0)</f>
        <v>0</v>
      </c>
      <c r="W1211" s="8" t="n">
        <f aca="false">IF($K1211=1,COUNTIFS($N$5:$N$1517,"&gt;="&amp;N1211,$K$5:$K$1517,1)/COUNTIF($N$5:$N$1517,"&gt;="&amp;N1211),0)</f>
        <v>0</v>
      </c>
      <c r="X1211" s="8" t="n">
        <f aca="false">IF($K1211=1,COUNTIFS($O$5:$O$1517,"&gt;="&amp;O1211,$K$5:$K$1517,1)/COUNTIF($O$5:$O$1517,"&gt;="&amp;O1211),0)</f>
        <v>0</v>
      </c>
      <c r="Y1211" s="8" t="n">
        <f aca="false">IF($K1211=1,COUNTIFS($P$5:$P$1517,"&gt;="&amp;P1211,$K$5:$K$1517,1)/COUNTIF($P$5:$P$1517,"&gt;="&amp;P1211),0)</f>
        <v>0</v>
      </c>
      <c r="Z1211" s="8" t="n">
        <f aca="false">(L1211-$K1211)^2</f>
        <v>0.0739785601</v>
      </c>
      <c r="AA1211" s="8" t="n">
        <f aca="false">(M1211-$K1211)^2</f>
        <v>0.008475595969</v>
      </c>
      <c r="AB1211" s="8" t="n">
        <f aca="false">(N1211-$K1211)^2</f>
        <v>0.018505521225</v>
      </c>
      <c r="AC1211" s="8" t="n">
        <f aca="false">(O1211-$K1211)^2</f>
        <v>0.011274829489</v>
      </c>
      <c r="AD1211" s="8" t="n">
        <f aca="false">(P1211-$K1211)^2</f>
        <v>0.021269597281</v>
      </c>
      <c r="AE1211" s="8" t="n">
        <f aca="false">MIN(INT(ROUND(N1211*1000000,0)/100000),9)</f>
        <v>1</v>
      </c>
      <c r="AF1211" s="8" t="n">
        <f aca="false">MIN(INT(ROUND(P1211*1000000,0)/100000),9)</f>
        <v>1</v>
      </c>
    </row>
    <row r="1212" customFormat="false" ht="15" hidden="false" customHeight="false" outlineLevel="0" collapsed="false">
      <c r="A1212" s="4" t="n">
        <v>1208</v>
      </c>
      <c r="B1212" s="4" t="n">
        <v>508</v>
      </c>
      <c r="C1212" s="4" t="n">
        <v>3</v>
      </c>
      <c r="D1212" s="11" t="n">
        <v>46143</v>
      </c>
      <c r="E1212" s="4" t="s">
        <v>204</v>
      </c>
      <c r="F1212" s="4" t="s">
        <v>209</v>
      </c>
      <c r="G1212" s="4" t="n">
        <v>1</v>
      </c>
      <c r="H1212" s="4" t="n">
        <v>20</v>
      </c>
      <c r="I1212" s="4" t="n">
        <v>0</v>
      </c>
      <c r="J1212" s="4" t="n">
        <v>75</v>
      </c>
      <c r="K1212" s="4" t="n">
        <v>0</v>
      </c>
      <c r="L1212" s="12" t="n">
        <v>0.497661</v>
      </c>
      <c r="M1212" s="12" t="n">
        <v>0.092063</v>
      </c>
      <c r="N1212" s="12" t="n">
        <v>0.169875</v>
      </c>
      <c r="O1212" s="12" t="n">
        <v>0.106183</v>
      </c>
      <c r="P1212" s="12" t="n">
        <v>0.183468</v>
      </c>
      <c r="Q1212" s="0" t="str">
        <f aca="false">IF(L1212&gt;=Models!$G$5,1+COUNTIF($L$5:$L$1517,"&gt;"&amp;L1212)+COUNTIFS($L$5:$L$1517,L1212,$B$5:$B$1517,"&lt;"&amp;B1212)+COUNTIFS($L$5:$L$1517,L1212,$B$5:$B$1517,B1212,$C$5:$C$1517,"&lt;"&amp;C1212),"")</f>
        <v/>
      </c>
      <c r="R1212" s="0" t="str">
        <f aca="false">IF(M1212&gt;=Models!$G$6,1+COUNTIF($M$5:$M$1517,"&gt;"&amp;M1212)+COUNTIFS($M$5:$M$1517,M1212,$B$5:$B$1517,"&lt;"&amp;B1212)+COUNTIFS($M$5:$M$1517,M1212,$B$5:$B$1517,B1212,$C$5:$C$1517,"&lt;"&amp;C1212),"")</f>
        <v/>
      </c>
      <c r="S1212" s="0" t="str">
        <f aca="false">IF(N1212&gt;=Models!$G$7,1+COUNTIF($N$5:$N$1517,"&gt;"&amp;N1212)+COUNTIFS($N$5:$N$1517,N1212,$B$5:$B$1517,"&lt;"&amp;B1212)+COUNTIFS($N$5:$N$1517,N1212,$B$5:$B$1517,B1212,$C$5:$C$1517,"&lt;"&amp;C1212),"")</f>
        <v/>
      </c>
      <c r="T1212" s="8" t="n">
        <f aca="false">IF(O1212&gt;=Models!$G$8,1+COUNTIF($O$5:$O$1517,"&gt;"&amp;O1212)+COUNTIFS($O$5:$O$1517,O1212,$B$5:$B$1517,"&lt;"&amp;B1212)+COUNTIFS($O$5:$O$1517,O1212,$B$5:$B$1517,B1212,$C$5:$C$1517,"&lt;"&amp;C1212),"")</f>
        <v>377</v>
      </c>
      <c r="U1212" s="8" t="n">
        <f aca="false">IF($K1212=1,COUNTIFS($L$5:$L$1517,"&gt;="&amp;L1212,$K$5:$K$1517,1)/COUNTIF($L$5:$L$1517,"&gt;="&amp;L1212),0)</f>
        <v>0</v>
      </c>
      <c r="V1212" s="8" t="n">
        <f aca="false">IF($K1212=1,COUNTIFS($M$5:$M$1517,"&gt;="&amp;M1212,$K$5:$K$1517,1)/COUNTIF($M$5:$M$1517,"&gt;="&amp;M1212),0)</f>
        <v>0</v>
      </c>
      <c r="W1212" s="8" t="n">
        <f aca="false">IF($K1212=1,COUNTIFS($N$5:$N$1517,"&gt;="&amp;N1212,$K$5:$K$1517,1)/COUNTIF($N$5:$N$1517,"&gt;="&amp;N1212),0)</f>
        <v>0</v>
      </c>
      <c r="X1212" s="8" t="n">
        <f aca="false">IF($K1212=1,COUNTIFS($O$5:$O$1517,"&gt;="&amp;O1212,$K$5:$K$1517,1)/COUNTIF($O$5:$O$1517,"&gt;="&amp;O1212),0)</f>
        <v>0</v>
      </c>
      <c r="Y1212" s="8" t="n">
        <f aca="false">IF($K1212=1,COUNTIFS($P$5:$P$1517,"&gt;="&amp;P1212,$K$5:$K$1517,1)/COUNTIF($P$5:$P$1517,"&gt;="&amp;P1212),0)</f>
        <v>0</v>
      </c>
      <c r="Z1212" s="8" t="n">
        <f aca="false">(L1212-$K1212)^2</f>
        <v>0.247666470921</v>
      </c>
      <c r="AA1212" s="8" t="n">
        <f aca="false">(M1212-$K1212)^2</f>
        <v>0.008475595969</v>
      </c>
      <c r="AB1212" s="8" t="n">
        <f aca="false">(N1212-$K1212)^2</f>
        <v>0.028857515625</v>
      </c>
      <c r="AC1212" s="8" t="n">
        <f aca="false">(O1212-$K1212)^2</f>
        <v>0.011274829489</v>
      </c>
      <c r="AD1212" s="8" t="n">
        <f aca="false">(P1212-$K1212)^2</f>
        <v>0.033660507024</v>
      </c>
      <c r="AE1212" s="8" t="n">
        <f aca="false">MIN(INT(ROUND(N1212*1000000,0)/100000),9)</f>
        <v>1</v>
      </c>
      <c r="AF1212" s="8" t="n">
        <f aca="false">MIN(INT(ROUND(P1212*1000000,0)/100000),9)</f>
        <v>1</v>
      </c>
    </row>
    <row r="1213" customFormat="false" ht="15" hidden="false" customHeight="false" outlineLevel="0" collapsed="false">
      <c r="A1213" s="4" t="n">
        <v>1209</v>
      </c>
      <c r="B1213" s="4" t="n">
        <v>510</v>
      </c>
      <c r="C1213" s="4" t="n">
        <v>3</v>
      </c>
      <c r="D1213" s="11" t="n">
        <v>46143</v>
      </c>
      <c r="E1213" s="4" t="s">
        <v>204</v>
      </c>
      <c r="F1213" s="4" t="s">
        <v>210</v>
      </c>
      <c r="G1213" s="4" t="n">
        <v>1</v>
      </c>
      <c r="H1213" s="4" t="n">
        <v>29</v>
      </c>
      <c r="I1213" s="4" t="n">
        <v>0</v>
      </c>
      <c r="J1213" s="4" t="n">
        <v>71.4</v>
      </c>
      <c r="K1213" s="4" t="n">
        <v>1</v>
      </c>
      <c r="L1213" s="12" t="n">
        <v>0.267557</v>
      </c>
      <c r="M1213" s="12" t="n">
        <v>0.092063</v>
      </c>
      <c r="N1213" s="12" t="n">
        <v>0.180561</v>
      </c>
      <c r="O1213" s="12" t="n">
        <v>0.106183</v>
      </c>
      <c r="P1213" s="12" t="n">
        <v>0.19536</v>
      </c>
      <c r="Q1213" s="0" t="str">
        <f aca="false">IF(L1213&gt;=Models!$G$5,1+COUNTIF($L$5:$L$1517,"&gt;"&amp;L1213)+COUNTIFS($L$5:$L$1517,L1213,$B$5:$B$1517,"&lt;"&amp;B1213)+COUNTIFS($L$5:$L$1517,L1213,$B$5:$B$1517,B1213,$C$5:$C$1517,"&lt;"&amp;C1213),"")</f>
        <v/>
      </c>
      <c r="R1213" s="0" t="str">
        <f aca="false">IF(M1213&gt;=Models!$G$6,1+COUNTIF($M$5:$M$1517,"&gt;"&amp;M1213)+COUNTIFS($M$5:$M$1517,M1213,$B$5:$B$1517,"&lt;"&amp;B1213)+COUNTIFS($M$5:$M$1517,M1213,$B$5:$B$1517,B1213,$C$5:$C$1517,"&lt;"&amp;C1213),"")</f>
        <v/>
      </c>
      <c r="S1213" s="0" t="str">
        <f aca="false">IF(N1213&gt;=Models!$G$7,1+COUNTIF($N$5:$N$1517,"&gt;"&amp;N1213)+COUNTIFS($N$5:$N$1517,N1213,$B$5:$B$1517,"&lt;"&amp;B1213)+COUNTIFS($N$5:$N$1517,N1213,$B$5:$B$1517,B1213,$C$5:$C$1517,"&lt;"&amp;C1213),"")</f>
        <v/>
      </c>
      <c r="T1213" s="8" t="n">
        <f aca="false">IF(O1213&gt;=Models!$G$8,1+COUNTIF($O$5:$O$1517,"&gt;"&amp;O1213)+COUNTIFS($O$5:$O$1517,O1213,$B$5:$B$1517,"&lt;"&amp;B1213)+COUNTIFS($O$5:$O$1517,O1213,$B$5:$B$1517,B1213,$C$5:$C$1517,"&lt;"&amp;C1213),"")</f>
        <v>381</v>
      </c>
      <c r="U1213" s="8" t="n">
        <f aca="false">IF($K1213=1,COUNTIFS($L$5:$L$1517,"&gt;="&amp;L1213,$K$5:$K$1517,1)/COUNTIF($L$5:$L$1517,"&gt;="&amp;L1213),0)</f>
        <v>0.128767123287671</v>
      </c>
      <c r="V1213" s="8" t="n">
        <f aca="false">IF($K1213=1,COUNTIFS($M$5:$M$1517,"&gt;="&amp;M1213,$K$5:$K$1517,1)/COUNTIF($M$5:$M$1517,"&gt;="&amp;M1213),0)</f>
        <v>0.12491738268341</v>
      </c>
      <c r="W1213" s="8" t="n">
        <f aca="false">IF($K1213=1,COUNTIFS($N$5:$N$1517,"&gt;="&amp;N1213,$K$5:$K$1517,1)/COUNTIF($N$5:$N$1517,"&gt;="&amp;N1213),0)</f>
        <v>0.329545454545455</v>
      </c>
      <c r="X1213" s="8" t="n">
        <f aca="false">IF($K1213=1,COUNTIFS($O$5:$O$1517,"&gt;="&amp;O1213,$K$5:$K$1517,1)/COUNTIF($O$5:$O$1517,"&gt;="&amp;O1213),0)</f>
        <v>0.12491738268341</v>
      </c>
      <c r="Y1213" s="8" t="n">
        <f aca="false">IF($K1213=1,COUNTIFS($P$5:$P$1517,"&gt;="&amp;P1213,$K$5:$K$1517,1)/COUNTIF($P$5:$P$1517,"&gt;="&amp;P1213),0)</f>
        <v>0.329545454545455</v>
      </c>
      <c r="Z1213" s="8" t="n">
        <f aca="false">(L1213-$K1213)^2</f>
        <v>0.536472748249</v>
      </c>
      <c r="AA1213" s="8" t="n">
        <f aca="false">(M1213-$K1213)^2</f>
        <v>0.824349595969</v>
      </c>
      <c r="AB1213" s="8" t="n">
        <f aca="false">(N1213-$K1213)^2</f>
        <v>0.671480274721</v>
      </c>
      <c r="AC1213" s="8" t="n">
        <f aca="false">(O1213-$K1213)^2</f>
        <v>0.798908829489</v>
      </c>
      <c r="AD1213" s="8" t="n">
        <f aca="false">(P1213-$K1213)^2</f>
        <v>0.6474455296</v>
      </c>
      <c r="AE1213" s="8" t="n">
        <f aca="false">MIN(INT(ROUND(N1213*1000000,0)/100000),9)</f>
        <v>1</v>
      </c>
      <c r="AF1213" s="8" t="n">
        <f aca="false">MIN(INT(ROUND(P1213*1000000,0)/100000),9)</f>
        <v>1</v>
      </c>
    </row>
    <row r="1214" customFormat="false" ht="15" hidden="false" customHeight="false" outlineLevel="0" collapsed="false">
      <c r="A1214" s="4" t="n">
        <v>1210</v>
      </c>
      <c r="B1214" s="4" t="n">
        <v>513</v>
      </c>
      <c r="C1214" s="4" t="n">
        <v>3</v>
      </c>
      <c r="D1214" s="11" t="n">
        <v>46143</v>
      </c>
      <c r="E1214" s="4" t="s">
        <v>204</v>
      </c>
      <c r="F1214" s="4" t="s">
        <v>206</v>
      </c>
      <c r="G1214" s="4" t="n">
        <v>2</v>
      </c>
      <c r="H1214" s="4" t="n">
        <v>17</v>
      </c>
      <c r="I1214" s="4" t="n">
        <v>0</v>
      </c>
      <c r="J1214" s="4" t="n">
        <v>117</v>
      </c>
      <c r="K1214" s="4" t="n">
        <v>0</v>
      </c>
      <c r="L1214" s="12" t="n">
        <v>0.517149</v>
      </c>
      <c r="M1214" s="12" t="n">
        <v>0.092063</v>
      </c>
      <c r="N1214" s="12" t="n">
        <v>0.154005</v>
      </c>
      <c r="O1214" s="12" t="n">
        <v>0.106183</v>
      </c>
      <c r="P1214" s="12" t="n">
        <v>0.165811</v>
      </c>
      <c r="Q1214" s="0" t="str">
        <f aca="false">IF(L1214&gt;=Models!$G$5,1+COUNTIF($L$5:$L$1517,"&gt;"&amp;L1214)+COUNTIFS($L$5:$L$1517,L1214,$B$5:$B$1517,"&lt;"&amp;B1214)+COUNTIFS($L$5:$L$1517,L1214,$B$5:$B$1517,B1214,$C$5:$C$1517,"&lt;"&amp;C1214),"")</f>
        <v/>
      </c>
      <c r="R1214" s="0" t="str">
        <f aca="false">IF(M1214&gt;=Models!$G$6,1+COUNTIF($M$5:$M$1517,"&gt;"&amp;M1214)+COUNTIFS($M$5:$M$1517,M1214,$B$5:$B$1517,"&lt;"&amp;B1214)+COUNTIFS($M$5:$M$1517,M1214,$B$5:$B$1517,B1214,$C$5:$C$1517,"&lt;"&amp;C1214),"")</f>
        <v/>
      </c>
      <c r="S1214" s="0" t="str">
        <f aca="false">IF(N1214&gt;=Models!$G$7,1+COUNTIF($N$5:$N$1517,"&gt;"&amp;N1214)+COUNTIFS($N$5:$N$1517,N1214,$B$5:$B$1517,"&lt;"&amp;B1214)+COUNTIFS($N$5:$N$1517,N1214,$B$5:$B$1517,B1214,$C$5:$C$1517,"&lt;"&amp;C1214),"")</f>
        <v/>
      </c>
      <c r="T1214" s="8" t="n">
        <f aca="false">IF(O1214&gt;=Models!$G$8,1+COUNTIF($O$5:$O$1517,"&gt;"&amp;O1214)+COUNTIFS($O$5:$O$1517,O1214,$B$5:$B$1517,"&lt;"&amp;B1214)+COUNTIFS($O$5:$O$1517,O1214,$B$5:$B$1517,B1214,$C$5:$C$1517,"&lt;"&amp;C1214),"")</f>
        <v>388</v>
      </c>
      <c r="U1214" s="8" t="n">
        <f aca="false">IF($K1214=1,COUNTIFS($L$5:$L$1517,"&gt;="&amp;L1214,$K$5:$K$1517,1)/COUNTIF($L$5:$L$1517,"&gt;="&amp;L1214),0)</f>
        <v>0</v>
      </c>
      <c r="V1214" s="8" t="n">
        <f aca="false">IF($K1214=1,COUNTIFS($M$5:$M$1517,"&gt;="&amp;M1214,$K$5:$K$1517,1)/COUNTIF($M$5:$M$1517,"&gt;="&amp;M1214),0)</f>
        <v>0</v>
      </c>
      <c r="W1214" s="8" t="n">
        <f aca="false">IF($K1214=1,COUNTIFS($N$5:$N$1517,"&gt;="&amp;N1214,$K$5:$K$1517,1)/COUNTIF($N$5:$N$1517,"&gt;="&amp;N1214),0)</f>
        <v>0</v>
      </c>
      <c r="X1214" s="8" t="n">
        <f aca="false">IF($K1214=1,COUNTIFS($O$5:$O$1517,"&gt;="&amp;O1214,$K$5:$K$1517,1)/COUNTIF($O$5:$O$1517,"&gt;="&amp;O1214),0)</f>
        <v>0</v>
      </c>
      <c r="Y1214" s="8" t="n">
        <f aca="false">IF($K1214=1,COUNTIFS($P$5:$P$1517,"&gt;="&amp;P1214,$K$5:$K$1517,1)/COUNTIF($P$5:$P$1517,"&gt;="&amp;P1214),0)</f>
        <v>0</v>
      </c>
      <c r="Z1214" s="8" t="n">
        <f aca="false">(L1214-$K1214)^2</f>
        <v>0.267443088201</v>
      </c>
      <c r="AA1214" s="8" t="n">
        <f aca="false">(M1214-$K1214)^2</f>
        <v>0.008475595969</v>
      </c>
      <c r="AB1214" s="8" t="n">
        <f aca="false">(N1214-$K1214)^2</f>
        <v>0.023717540025</v>
      </c>
      <c r="AC1214" s="8" t="n">
        <f aca="false">(O1214-$K1214)^2</f>
        <v>0.011274829489</v>
      </c>
      <c r="AD1214" s="8" t="n">
        <f aca="false">(P1214-$K1214)^2</f>
        <v>0.027493287721</v>
      </c>
      <c r="AE1214" s="8" t="n">
        <f aca="false">MIN(INT(ROUND(N1214*1000000,0)/100000),9)</f>
        <v>1</v>
      </c>
      <c r="AF1214" s="8" t="n">
        <f aca="false">MIN(INT(ROUND(P1214*1000000,0)/100000),9)</f>
        <v>1</v>
      </c>
    </row>
    <row r="1215" customFormat="false" ht="15" hidden="false" customHeight="false" outlineLevel="0" collapsed="false">
      <c r="A1215" s="4" t="n">
        <v>1211</v>
      </c>
      <c r="B1215" s="4" t="n">
        <v>514</v>
      </c>
      <c r="C1215" s="4" t="n">
        <v>3</v>
      </c>
      <c r="D1215" s="11" t="n">
        <v>46143</v>
      </c>
      <c r="E1215" s="4" t="s">
        <v>203</v>
      </c>
      <c r="F1215" s="4" t="s">
        <v>208</v>
      </c>
      <c r="G1215" s="4" t="n">
        <v>3</v>
      </c>
      <c r="H1215" s="4" t="n">
        <v>5</v>
      </c>
      <c r="I1215" s="4" t="n">
        <v>0</v>
      </c>
      <c r="J1215" s="4"/>
      <c r="K1215" s="4" t="n">
        <v>0</v>
      </c>
      <c r="L1215" s="12" t="n">
        <v>0.13533</v>
      </c>
      <c r="M1215" s="12" t="n">
        <v>0.092063</v>
      </c>
      <c r="N1215" s="12" t="n">
        <v>0.066495</v>
      </c>
      <c r="O1215" s="12" t="n">
        <v>0.106183</v>
      </c>
      <c r="P1215" s="12" t="n">
        <v>0.069233</v>
      </c>
      <c r="Q1215" s="0" t="str">
        <f aca="false">IF(L1215&gt;=Models!$G$5,1+COUNTIF($L$5:$L$1517,"&gt;"&amp;L1215)+COUNTIFS($L$5:$L$1517,L1215,$B$5:$B$1517,"&lt;"&amp;B1215)+COUNTIFS($L$5:$L$1517,L1215,$B$5:$B$1517,B1215,$C$5:$C$1517,"&lt;"&amp;C1215),"")</f>
        <v/>
      </c>
      <c r="R1215" s="0" t="str">
        <f aca="false">IF(M1215&gt;=Models!$G$6,1+COUNTIF($M$5:$M$1517,"&gt;"&amp;M1215)+COUNTIFS($M$5:$M$1517,M1215,$B$5:$B$1517,"&lt;"&amp;B1215)+COUNTIFS($M$5:$M$1517,M1215,$B$5:$B$1517,B1215,$C$5:$C$1517,"&lt;"&amp;C1215),"")</f>
        <v/>
      </c>
      <c r="S1215" s="0" t="str">
        <f aca="false">IF(N1215&gt;=Models!$G$7,1+COUNTIF($N$5:$N$1517,"&gt;"&amp;N1215)+COUNTIFS($N$5:$N$1517,N1215,$B$5:$B$1517,"&lt;"&amp;B1215)+COUNTIFS($N$5:$N$1517,N1215,$B$5:$B$1517,B1215,$C$5:$C$1517,"&lt;"&amp;C1215),"")</f>
        <v/>
      </c>
      <c r="T1215" s="8" t="n">
        <f aca="false">IF(O1215&gt;=Models!$G$8,1+COUNTIF($O$5:$O$1517,"&gt;"&amp;O1215)+COUNTIFS($O$5:$O$1517,O1215,$B$5:$B$1517,"&lt;"&amp;B1215)+COUNTIFS($O$5:$O$1517,O1215,$B$5:$B$1517,B1215,$C$5:$C$1517,"&lt;"&amp;C1215),"")</f>
        <v>392</v>
      </c>
      <c r="U1215" s="8" t="n">
        <f aca="false">IF($K1215=1,COUNTIFS($L$5:$L$1517,"&gt;="&amp;L1215,$K$5:$K$1517,1)/COUNTIF($L$5:$L$1517,"&gt;="&amp;L1215),0)</f>
        <v>0</v>
      </c>
      <c r="V1215" s="8" t="n">
        <f aca="false">IF($K1215=1,COUNTIFS($M$5:$M$1517,"&gt;="&amp;M1215,$K$5:$K$1517,1)/COUNTIF($M$5:$M$1517,"&gt;="&amp;M1215),0)</f>
        <v>0</v>
      </c>
      <c r="W1215" s="8" t="n">
        <f aca="false">IF($K1215=1,COUNTIFS($N$5:$N$1517,"&gt;="&amp;N1215,$K$5:$K$1517,1)/COUNTIF($N$5:$N$1517,"&gt;="&amp;N1215),0)</f>
        <v>0</v>
      </c>
      <c r="X1215" s="8" t="n">
        <f aca="false">IF($K1215=1,COUNTIFS($O$5:$O$1517,"&gt;="&amp;O1215,$K$5:$K$1517,1)/COUNTIF($O$5:$O$1517,"&gt;="&amp;O1215),0)</f>
        <v>0</v>
      </c>
      <c r="Y1215" s="8" t="n">
        <f aca="false">IF($K1215=1,COUNTIFS($P$5:$P$1517,"&gt;="&amp;P1215,$K$5:$K$1517,1)/COUNTIF($P$5:$P$1517,"&gt;="&amp;P1215),0)</f>
        <v>0</v>
      </c>
      <c r="Z1215" s="8" t="n">
        <f aca="false">(L1215-$K1215)^2</f>
        <v>0.0183142089</v>
      </c>
      <c r="AA1215" s="8" t="n">
        <f aca="false">(M1215-$K1215)^2</f>
        <v>0.008475595969</v>
      </c>
      <c r="AB1215" s="8" t="n">
        <f aca="false">(N1215-$K1215)^2</f>
        <v>0.004421585025</v>
      </c>
      <c r="AC1215" s="8" t="n">
        <f aca="false">(O1215-$K1215)^2</f>
        <v>0.011274829489</v>
      </c>
      <c r="AD1215" s="8" t="n">
        <f aca="false">(P1215-$K1215)^2</f>
        <v>0.004793208289</v>
      </c>
      <c r="AE1215" s="8" t="n">
        <f aca="false">MIN(INT(ROUND(N1215*1000000,0)/100000),9)</f>
        <v>0</v>
      </c>
      <c r="AF1215" s="8" t="n">
        <f aca="false">MIN(INT(ROUND(P1215*1000000,0)/100000),9)</f>
        <v>0</v>
      </c>
    </row>
    <row r="1216" customFormat="false" ht="15" hidden="false" customHeight="false" outlineLevel="0" collapsed="false">
      <c r="A1216" s="4" t="n">
        <v>1212</v>
      </c>
      <c r="B1216" s="4" t="n">
        <v>515</v>
      </c>
      <c r="C1216" s="4" t="n">
        <v>3</v>
      </c>
      <c r="D1216" s="11" t="n">
        <v>46143</v>
      </c>
      <c r="E1216" s="4" t="s">
        <v>201</v>
      </c>
      <c r="F1216" s="4" t="s">
        <v>209</v>
      </c>
      <c r="G1216" s="4" t="n">
        <v>6</v>
      </c>
      <c r="H1216" s="4" t="n">
        <v>1</v>
      </c>
      <c r="I1216" s="4" t="n">
        <v>0</v>
      </c>
      <c r="J1216" s="4"/>
      <c r="K1216" s="4" t="n">
        <v>0</v>
      </c>
      <c r="L1216" s="12" t="n">
        <v>0.359945</v>
      </c>
      <c r="M1216" s="12" t="n">
        <v>0.092063</v>
      </c>
      <c r="N1216" s="12" t="n">
        <v>0.049993</v>
      </c>
      <c r="O1216" s="12" t="n">
        <v>0.106183</v>
      </c>
      <c r="P1216" s="12" t="n">
        <v>0.051383</v>
      </c>
      <c r="Q1216" s="0" t="str">
        <f aca="false">IF(L1216&gt;=Models!$G$5,1+COUNTIF($L$5:$L$1517,"&gt;"&amp;L1216)+COUNTIFS($L$5:$L$1517,L1216,$B$5:$B$1517,"&lt;"&amp;B1216)+COUNTIFS($L$5:$L$1517,L1216,$B$5:$B$1517,B1216,$C$5:$C$1517,"&lt;"&amp;C1216),"")</f>
        <v/>
      </c>
      <c r="R1216" s="0" t="str">
        <f aca="false">IF(M1216&gt;=Models!$G$6,1+COUNTIF($M$5:$M$1517,"&gt;"&amp;M1216)+COUNTIFS($M$5:$M$1517,M1216,$B$5:$B$1517,"&lt;"&amp;B1216)+COUNTIFS($M$5:$M$1517,M1216,$B$5:$B$1517,B1216,$C$5:$C$1517,"&lt;"&amp;C1216),"")</f>
        <v/>
      </c>
      <c r="S1216" s="0" t="str">
        <f aca="false">IF(N1216&gt;=Models!$G$7,1+COUNTIF($N$5:$N$1517,"&gt;"&amp;N1216)+COUNTIFS($N$5:$N$1517,N1216,$B$5:$B$1517,"&lt;"&amp;B1216)+COUNTIFS($N$5:$N$1517,N1216,$B$5:$B$1517,B1216,$C$5:$C$1517,"&lt;"&amp;C1216),"")</f>
        <v/>
      </c>
      <c r="T1216" s="8" t="n">
        <f aca="false">IF(O1216&gt;=Models!$G$8,1+COUNTIF($O$5:$O$1517,"&gt;"&amp;O1216)+COUNTIFS($O$5:$O$1517,O1216,$B$5:$B$1517,"&lt;"&amp;B1216)+COUNTIFS($O$5:$O$1517,O1216,$B$5:$B$1517,B1216,$C$5:$C$1517,"&lt;"&amp;C1216),"")</f>
        <v>396</v>
      </c>
      <c r="U1216" s="8" t="n">
        <f aca="false">IF($K1216=1,COUNTIFS($L$5:$L$1517,"&gt;="&amp;L1216,$K$5:$K$1517,1)/COUNTIF($L$5:$L$1517,"&gt;="&amp;L1216),0)</f>
        <v>0</v>
      </c>
      <c r="V1216" s="8" t="n">
        <f aca="false">IF($K1216=1,COUNTIFS($M$5:$M$1517,"&gt;="&amp;M1216,$K$5:$K$1517,1)/COUNTIF($M$5:$M$1517,"&gt;="&amp;M1216),0)</f>
        <v>0</v>
      </c>
      <c r="W1216" s="8" t="n">
        <f aca="false">IF($K1216=1,COUNTIFS($N$5:$N$1517,"&gt;="&amp;N1216,$K$5:$K$1517,1)/COUNTIF($N$5:$N$1517,"&gt;="&amp;N1216),0)</f>
        <v>0</v>
      </c>
      <c r="X1216" s="8" t="n">
        <f aca="false">IF($K1216=1,COUNTIFS($O$5:$O$1517,"&gt;="&amp;O1216,$K$5:$K$1517,1)/COUNTIF($O$5:$O$1517,"&gt;="&amp;O1216),0)</f>
        <v>0</v>
      </c>
      <c r="Y1216" s="8" t="n">
        <f aca="false">IF($K1216=1,COUNTIFS($P$5:$P$1517,"&gt;="&amp;P1216,$K$5:$K$1517,1)/COUNTIF($P$5:$P$1517,"&gt;="&amp;P1216),0)</f>
        <v>0</v>
      </c>
      <c r="Z1216" s="8" t="n">
        <f aca="false">(L1216-$K1216)^2</f>
        <v>0.129560403025</v>
      </c>
      <c r="AA1216" s="8" t="n">
        <f aca="false">(M1216-$K1216)^2</f>
        <v>0.008475595969</v>
      </c>
      <c r="AB1216" s="8" t="n">
        <f aca="false">(N1216-$K1216)^2</f>
        <v>0.002499300049</v>
      </c>
      <c r="AC1216" s="8" t="n">
        <f aca="false">(O1216-$K1216)^2</f>
        <v>0.011274829489</v>
      </c>
      <c r="AD1216" s="8" t="n">
        <f aca="false">(P1216-$K1216)^2</f>
        <v>0.002640212689</v>
      </c>
      <c r="AE1216" s="8" t="n">
        <f aca="false">MIN(INT(ROUND(N1216*1000000,0)/100000),9)</f>
        <v>0</v>
      </c>
      <c r="AF1216" s="8" t="n">
        <f aca="false">MIN(INT(ROUND(P1216*1000000,0)/100000),9)</f>
        <v>0</v>
      </c>
    </row>
    <row r="1217" customFormat="false" ht="15" hidden="false" customHeight="false" outlineLevel="0" collapsed="false">
      <c r="A1217" s="4" t="n">
        <v>1213</v>
      </c>
      <c r="B1217" s="4" t="n">
        <v>528</v>
      </c>
      <c r="C1217" s="4" t="n">
        <v>3</v>
      </c>
      <c r="D1217" s="11" t="n">
        <v>46143</v>
      </c>
      <c r="E1217" s="4" t="s">
        <v>201</v>
      </c>
      <c r="F1217" s="4" t="s">
        <v>206</v>
      </c>
      <c r="G1217" s="4" t="n">
        <v>23</v>
      </c>
      <c r="H1217" s="4" t="n">
        <v>2</v>
      </c>
      <c r="I1217" s="4" t="n">
        <v>0</v>
      </c>
      <c r="J1217" s="4" t="n">
        <v>5820</v>
      </c>
      <c r="K1217" s="4" t="n">
        <v>0</v>
      </c>
      <c r="L1217" s="12" t="n">
        <v>0.328415</v>
      </c>
      <c r="M1217" s="12" t="n">
        <v>0.092063</v>
      </c>
      <c r="N1217" s="12" t="n">
        <v>0.017167</v>
      </c>
      <c r="O1217" s="12" t="n">
        <v>0.106183</v>
      </c>
      <c r="P1217" s="12" t="n">
        <v>0.016774</v>
      </c>
      <c r="Q1217" s="0" t="str">
        <f aca="false">IF(L1217&gt;=Models!$G$5,1+COUNTIF($L$5:$L$1517,"&gt;"&amp;L1217)+COUNTIFS($L$5:$L$1517,L1217,$B$5:$B$1517,"&lt;"&amp;B1217)+COUNTIFS($L$5:$L$1517,L1217,$B$5:$B$1517,B1217,$C$5:$C$1517,"&lt;"&amp;C1217),"")</f>
        <v/>
      </c>
      <c r="R1217" s="0" t="str">
        <f aca="false">IF(M1217&gt;=Models!$G$6,1+COUNTIF($M$5:$M$1517,"&gt;"&amp;M1217)+COUNTIFS($M$5:$M$1517,M1217,$B$5:$B$1517,"&lt;"&amp;B1217)+COUNTIFS($M$5:$M$1517,M1217,$B$5:$B$1517,B1217,$C$5:$C$1517,"&lt;"&amp;C1217),"")</f>
        <v/>
      </c>
      <c r="S1217" s="0" t="str">
        <f aca="false">IF(N1217&gt;=Models!$G$7,1+COUNTIF($N$5:$N$1517,"&gt;"&amp;N1217)+COUNTIFS($N$5:$N$1517,N1217,$B$5:$B$1517,"&lt;"&amp;B1217)+COUNTIFS($N$5:$N$1517,N1217,$B$5:$B$1517,B1217,$C$5:$C$1517,"&lt;"&amp;C1217),"")</f>
        <v/>
      </c>
      <c r="T1217" s="8" t="n">
        <f aca="false">IF(O1217&gt;=Models!$G$8,1+COUNTIF($O$5:$O$1517,"&gt;"&amp;O1217)+COUNTIFS($O$5:$O$1517,O1217,$B$5:$B$1517,"&lt;"&amp;B1217)+COUNTIFS($O$5:$O$1517,O1217,$B$5:$B$1517,B1217,$C$5:$C$1517,"&lt;"&amp;C1217),"")</f>
        <v>400</v>
      </c>
      <c r="U1217" s="8" t="n">
        <f aca="false">IF($K1217=1,COUNTIFS($L$5:$L$1517,"&gt;="&amp;L1217,$K$5:$K$1517,1)/COUNTIF($L$5:$L$1517,"&gt;="&amp;L1217),0)</f>
        <v>0</v>
      </c>
      <c r="V1217" s="8" t="n">
        <f aca="false">IF($K1217=1,COUNTIFS($M$5:$M$1517,"&gt;="&amp;M1217,$K$5:$K$1517,1)/COUNTIF($M$5:$M$1517,"&gt;="&amp;M1217),0)</f>
        <v>0</v>
      </c>
      <c r="W1217" s="8" t="n">
        <f aca="false">IF($K1217=1,COUNTIFS($N$5:$N$1517,"&gt;="&amp;N1217,$K$5:$K$1517,1)/COUNTIF($N$5:$N$1517,"&gt;="&amp;N1217),0)</f>
        <v>0</v>
      </c>
      <c r="X1217" s="8" t="n">
        <f aca="false">IF($K1217=1,COUNTIFS($O$5:$O$1517,"&gt;="&amp;O1217,$K$5:$K$1517,1)/COUNTIF($O$5:$O$1517,"&gt;="&amp;O1217),0)</f>
        <v>0</v>
      </c>
      <c r="Y1217" s="8" t="n">
        <f aca="false">IF($K1217=1,COUNTIFS($P$5:$P$1517,"&gt;="&amp;P1217,$K$5:$K$1517,1)/COUNTIF($P$5:$P$1517,"&gt;="&amp;P1217),0)</f>
        <v>0</v>
      </c>
      <c r="Z1217" s="8" t="n">
        <f aca="false">(L1217-$K1217)^2</f>
        <v>0.107856412225</v>
      </c>
      <c r="AA1217" s="8" t="n">
        <f aca="false">(M1217-$K1217)^2</f>
        <v>0.008475595969</v>
      </c>
      <c r="AB1217" s="8" t="n">
        <f aca="false">(N1217-$K1217)^2</f>
        <v>0.000294705889</v>
      </c>
      <c r="AC1217" s="8" t="n">
        <f aca="false">(O1217-$K1217)^2</f>
        <v>0.011274829489</v>
      </c>
      <c r="AD1217" s="8" t="n">
        <f aca="false">(P1217-$K1217)^2</f>
        <v>0.000281367076</v>
      </c>
      <c r="AE1217" s="8" t="n">
        <f aca="false">MIN(INT(ROUND(N1217*1000000,0)/100000),9)</f>
        <v>0</v>
      </c>
      <c r="AF1217" s="8" t="n">
        <f aca="false">MIN(INT(ROUND(P1217*1000000,0)/100000),9)</f>
        <v>0</v>
      </c>
    </row>
    <row r="1218" customFormat="false" ht="15" hidden="false" customHeight="false" outlineLevel="0" collapsed="false">
      <c r="A1218" s="4" t="n">
        <v>1214</v>
      </c>
      <c r="B1218" s="4" t="n">
        <v>536</v>
      </c>
      <c r="C1218" s="4" t="n">
        <v>3</v>
      </c>
      <c r="D1218" s="11" t="n">
        <v>46143</v>
      </c>
      <c r="E1218" s="4" t="s">
        <v>204</v>
      </c>
      <c r="F1218" s="4" t="s">
        <v>206</v>
      </c>
      <c r="G1218" s="4" t="n">
        <v>4</v>
      </c>
      <c r="H1218" s="4" t="n">
        <v>1</v>
      </c>
      <c r="I1218" s="4" t="n">
        <v>0</v>
      </c>
      <c r="J1218" s="4"/>
      <c r="K1218" s="4" t="n">
        <v>0</v>
      </c>
      <c r="L1218" s="12" t="n">
        <v>0.98915</v>
      </c>
      <c r="M1218" s="12" t="n">
        <v>0.092063</v>
      </c>
      <c r="N1218" s="12" t="n">
        <v>0.059268</v>
      </c>
      <c r="O1218" s="12" t="n">
        <v>0.106183</v>
      </c>
      <c r="P1218" s="12" t="n">
        <v>0.06139</v>
      </c>
      <c r="Q1218" s="8" t="n">
        <f aca="false">IF(L1218&gt;=Models!$G$5,1+COUNTIF($L$5:$L$1517,"&gt;"&amp;L1218)+COUNTIFS($L$5:$L$1517,L1218,$B$5:$B$1517,"&lt;"&amp;B1218)+COUNTIFS($L$5:$L$1517,L1218,$B$5:$B$1517,B1218,$C$5:$C$1517,"&lt;"&amp;C1218),"")</f>
        <v>15</v>
      </c>
      <c r="R1218" s="0" t="str">
        <f aca="false">IF(M1218&gt;=Models!$G$6,1+COUNTIF($M$5:$M$1517,"&gt;"&amp;M1218)+COUNTIFS($M$5:$M$1517,M1218,$B$5:$B$1517,"&lt;"&amp;B1218)+COUNTIFS($M$5:$M$1517,M1218,$B$5:$B$1517,B1218,$C$5:$C$1517,"&lt;"&amp;C1218),"")</f>
        <v/>
      </c>
      <c r="S1218" s="0" t="str">
        <f aca="false">IF(N1218&gt;=Models!$G$7,1+COUNTIF($N$5:$N$1517,"&gt;"&amp;N1218)+COUNTIFS($N$5:$N$1517,N1218,$B$5:$B$1517,"&lt;"&amp;B1218)+COUNTIFS($N$5:$N$1517,N1218,$B$5:$B$1517,B1218,$C$5:$C$1517,"&lt;"&amp;C1218),"")</f>
        <v/>
      </c>
      <c r="T1218" s="8" t="n">
        <f aca="false">IF(O1218&gt;=Models!$G$8,1+COUNTIF($O$5:$O$1517,"&gt;"&amp;O1218)+COUNTIFS($O$5:$O$1517,O1218,$B$5:$B$1517,"&lt;"&amp;B1218)+COUNTIFS($O$5:$O$1517,O1218,$B$5:$B$1517,B1218,$C$5:$C$1517,"&lt;"&amp;C1218),"")</f>
        <v>404</v>
      </c>
      <c r="U1218" s="8" t="n">
        <f aca="false">IF($K1218=1,COUNTIFS($L$5:$L$1517,"&gt;="&amp;L1218,$K$5:$K$1517,1)/COUNTIF($L$5:$L$1517,"&gt;="&amp;L1218),0)</f>
        <v>0</v>
      </c>
      <c r="V1218" s="8" t="n">
        <f aca="false">IF($K1218=1,COUNTIFS($M$5:$M$1517,"&gt;="&amp;M1218,$K$5:$K$1517,1)/COUNTIF($M$5:$M$1517,"&gt;="&amp;M1218),0)</f>
        <v>0</v>
      </c>
      <c r="W1218" s="8" t="n">
        <f aca="false">IF($K1218=1,COUNTIFS($N$5:$N$1517,"&gt;="&amp;N1218,$K$5:$K$1517,1)/COUNTIF($N$5:$N$1517,"&gt;="&amp;N1218),0)</f>
        <v>0</v>
      </c>
      <c r="X1218" s="8" t="n">
        <f aca="false">IF($K1218=1,COUNTIFS($O$5:$O$1517,"&gt;="&amp;O1218,$K$5:$K$1517,1)/COUNTIF($O$5:$O$1517,"&gt;="&amp;O1218),0)</f>
        <v>0</v>
      </c>
      <c r="Y1218" s="8" t="n">
        <f aca="false">IF($K1218=1,COUNTIFS($P$5:$P$1517,"&gt;="&amp;P1218,$K$5:$K$1517,1)/COUNTIF($P$5:$P$1517,"&gt;="&amp;P1218),0)</f>
        <v>0</v>
      </c>
      <c r="Z1218" s="8" t="n">
        <f aca="false">(L1218-$K1218)^2</f>
        <v>0.9784177225</v>
      </c>
      <c r="AA1218" s="8" t="n">
        <f aca="false">(M1218-$K1218)^2</f>
        <v>0.008475595969</v>
      </c>
      <c r="AB1218" s="8" t="n">
        <f aca="false">(N1218-$K1218)^2</f>
        <v>0.003512695824</v>
      </c>
      <c r="AC1218" s="8" t="n">
        <f aca="false">(O1218-$K1218)^2</f>
        <v>0.011274829489</v>
      </c>
      <c r="AD1218" s="8" t="n">
        <f aca="false">(P1218-$K1218)^2</f>
        <v>0.0037687321</v>
      </c>
      <c r="AE1218" s="8" t="n">
        <f aca="false">MIN(INT(ROUND(N1218*1000000,0)/100000),9)</f>
        <v>0</v>
      </c>
      <c r="AF1218" s="8" t="n">
        <f aca="false">MIN(INT(ROUND(P1218*1000000,0)/100000),9)</f>
        <v>0</v>
      </c>
    </row>
    <row r="1219" customFormat="false" ht="15" hidden="false" customHeight="false" outlineLevel="0" collapsed="false">
      <c r="A1219" s="4" t="n">
        <v>1215</v>
      </c>
      <c r="B1219" s="4" t="n">
        <v>537</v>
      </c>
      <c r="C1219" s="4" t="n">
        <v>3</v>
      </c>
      <c r="D1219" s="11" t="n">
        <v>46143</v>
      </c>
      <c r="E1219" s="4" t="s">
        <v>202</v>
      </c>
      <c r="F1219" s="4" t="s">
        <v>208</v>
      </c>
      <c r="G1219" s="4" t="n">
        <v>3</v>
      </c>
      <c r="H1219" s="4" t="n">
        <v>5</v>
      </c>
      <c r="I1219" s="4" t="n">
        <v>1</v>
      </c>
      <c r="J1219" s="4"/>
      <c r="K1219" s="4" t="n">
        <v>0</v>
      </c>
      <c r="L1219" s="12" t="n">
        <v>0.445373</v>
      </c>
      <c r="M1219" s="12" t="n">
        <v>0.184211</v>
      </c>
      <c r="N1219" s="12" t="n">
        <v>0.11448</v>
      </c>
      <c r="O1219" s="12" t="n">
        <v>0.106183</v>
      </c>
      <c r="P1219" s="12" t="n">
        <v>0.121945</v>
      </c>
      <c r="Q1219" s="0" t="str">
        <f aca="false">IF(L1219&gt;=Models!$G$5,1+COUNTIF($L$5:$L$1517,"&gt;"&amp;L1219)+COUNTIFS($L$5:$L$1517,L1219,$B$5:$B$1517,"&lt;"&amp;B1219)+COUNTIFS($L$5:$L$1517,L1219,$B$5:$B$1517,B1219,$C$5:$C$1517,"&lt;"&amp;C1219),"")</f>
        <v/>
      </c>
      <c r="R1219" s="8" t="n">
        <f aca="false">IF(M1219&gt;=Models!$G$6,1+COUNTIF($M$5:$M$1517,"&gt;"&amp;M1219)+COUNTIFS($M$5:$M$1517,M1219,$B$5:$B$1517,"&lt;"&amp;B1219)+COUNTIFS($M$5:$M$1517,M1219,$B$5:$B$1517,B1219,$C$5:$C$1517,"&lt;"&amp;C1219),"")</f>
        <v>45</v>
      </c>
      <c r="S1219" s="0" t="str">
        <f aca="false">IF(N1219&gt;=Models!$G$7,1+COUNTIF($N$5:$N$1517,"&gt;"&amp;N1219)+COUNTIFS($N$5:$N$1517,N1219,$B$5:$B$1517,"&lt;"&amp;B1219)+COUNTIFS($N$5:$N$1517,N1219,$B$5:$B$1517,B1219,$C$5:$C$1517,"&lt;"&amp;C1219),"")</f>
        <v/>
      </c>
      <c r="T1219" s="8" t="n">
        <f aca="false">IF(O1219&gt;=Models!$G$8,1+COUNTIF($O$5:$O$1517,"&gt;"&amp;O1219)+COUNTIFS($O$5:$O$1517,O1219,$B$5:$B$1517,"&lt;"&amp;B1219)+COUNTIFS($O$5:$O$1517,O1219,$B$5:$B$1517,B1219,$C$5:$C$1517,"&lt;"&amp;C1219),"")</f>
        <v>408</v>
      </c>
      <c r="U1219" s="8" t="n">
        <f aca="false">IF($K1219=1,COUNTIFS($L$5:$L$1517,"&gt;="&amp;L1219,$K$5:$K$1517,1)/COUNTIF($L$5:$L$1517,"&gt;="&amp;L1219),0)</f>
        <v>0</v>
      </c>
      <c r="V1219" s="8" t="n">
        <f aca="false">IF($K1219=1,COUNTIFS($M$5:$M$1517,"&gt;="&amp;M1219,$K$5:$K$1517,1)/COUNTIF($M$5:$M$1517,"&gt;="&amp;M1219),0)</f>
        <v>0</v>
      </c>
      <c r="W1219" s="8" t="n">
        <f aca="false">IF($K1219=1,COUNTIFS($N$5:$N$1517,"&gt;="&amp;N1219,$K$5:$K$1517,1)/COUNTIF($N$5:$N$1517,"&gt;="&amp;N1219),0)</f>
        <v>0</v>
      </c>
      <c r="X1219" s="8" t="n">
        <f aca="false">IF($K1219=1,COUNTIFS($O$5:$O$1517,"&gt;="&amp;O1219,$K$5:$K$1517,1)/COUNTIF($O$5:$O$1517,"&gt;="&amp;O1219),0)</f>
        <v>0</v>
      </c>
      <c r="Y1219" s="8" t="n">
        <f aca="false">IF($K1219=1,COUNTIFS($P$5:$P$1517,"&gt;="&amp;P1219,$K$5:$K$1517,1)/COUNTIF($P$5:$P$1517,"&gt;="&amp;P1219),0)</f>
        <v>0</v>
      </c>
      <c r="Z1219" s="8" t="n">
        <f aca="false">(L1219-$K1219)^2</f>
        <v>0.198357109129</v>
      </c>
      <c r="AA1219" s="8" t="n">
        <f aca="false">(M1219-$K1219)^2</f>
        <v>0.033933692521</v>
      </c>
      <c r="AB1219" s="8" t="n">
        <f aca="false">(N1219-$K1219)^2</f>
        <v>0.0131056704</v>
      </c>
      <c r="AC1219" s="8" t="n">
        <f aca="false">(O1219-$K1219)^2</f>
        <v>0.011274829489</v>
      </c>
      <c r="AD1219" s="8" t="n">
        <f aca="false">(P1219-$K1219)^2</f>
        <v>0.014870583025</v>
      </c>
      <c r="AE1219" s="8" t="n">
        <f aca="false">MIN(INT(ROUND(N1219*1000000,0)/100000),9)</f>
        <v>1</v>
      </c>
      <c r="AF1219" s="8" t="n">
        <f aca="false">MIN(INT(ROUND(P1219*1000000,0)/100000),9)</f>
        <v>1</v>
      </c>
    </row>
    <row r="1220" customFormat="false" ht="15" hidden="false" customHeight="false" outlineLevel="0" collapsed="false">
      <c r="A1220" s="4" t="n">
        <v>1216</v>
      </c>
      <c r="B1220" s="4" t="n">
        <v>540</v>
      </c>
      <c r="C1220" s="4" t="n">
        <v>3</v>
      </c>
      <c r="D1220" s="11" t="n">
        <v>46143</v>
      </c>
      <c r="E1220" s="4" t="s">
        <v>204</v>
      </c>
      <c r="F1220" s="4" t="s">
        <v>210</v>
      </c>
      <c r="G1220" s="4" t="n">
        <v>6</v>
      </c>
      <c r="H1220" s="4" t="n">
        <v>6</v>
      </c>
      <c r="I1220" s="4" t="n">
        <v>0</v>
      </c>
      <c r="J1220" s="4" t="n">
        <v>108</v>
      </c>
      <c r="K1220" s="4" t="n">
        <v>0</v>
      </c>
      <c r="L1220" s="12" t="n">
        <v>0.782357</v>
      </c>
      <c r="M1220" s="12" t="n">
        <v>0.092063</v>
      </c>
      <c r="N1220" s="12" t="n">
        <v>0.104041</v>
      </c>
      <c r="O1220" s="12" t="n">
        <v>0.106183</v>
      </c>
      <c r="P1220" s="12" t="n">
        <v>0.110408</v>
      </c>
      <c r="Q1220" s="0" t="str">
        <f aca="false">IF(L1220&gt;=Models!$G$5,1+COUNTIF($L$5:$L$1517,"&gt;"&amp;L1220)+COUNTIFS($L$5:$L$1517,L1220,$B$5:$B$1517,"&lt;"&amp;B1220)+COUNTIFS($L$5:$L$1517,L1220,$B$5:$B$1517,B1220,$C$5:$C$1517,"&lt;"&amp;C1220),"")</f>
        <v/>
      </c>
      <c r="R1220" s="0" t="str">
        <f aca="false">IF(M1220&gt;=Models!$G$6,1+COUNTIF($M$5:$M$1517,"&gt;"&amp;M1220)+COUNTIFS($M$5:$M$1517,M1220,$B$5:$B$1517,"&lt;"&amp;B1220)+COUNTIFS($M$5:$M$1517,M1220,$B$5:$B$1517,B1220,$C$5:$C$1517,"&lt;"&amp;C1220),"")</f>
        <v/>
      </c>
      <c r="S1220" s="0" t="str">
        <f aca="false">IF(N1220&gt;=Models!$G$7,1+COUNTIF($N$5:$N$1517,"&gt;"&amp;N1220)+COUNTIFS($N$5:$N$1517,N1220,$B$5:$B$1517,"&lt;"&amp;B1220)+COUNTIFS($N$5:$N$1517,N1220,$B$5:$B$1517,B1220,$C$5:$C$1517,"&lt;"&amp;C1220),"")</f>
        <v/>
      </c>
      <c r="T1220" s="8" t="n">
        <f aca="false">IF(O1220&gt;=Models!$G$8,1+COUNTIF($O$5:$O$1517,"&gt;"&amp;O1220)+COUNTIFS($O$5:$O$1517,O1220,$B$5:$B$1517,"&lt;"&amp;B1220)+COUNTIFS($O$5:$O$1517,O1220,$B$5:$B$1517,B1220,$C$5:$C$1517,"&lt;"&amp;C1220),"")</f>
        <v>412</v>
      </c>
      <c r="U1220" s="8" t="n">
        <f aca="false">IF($K1220=1,COUNTIFS($L$5:$L$1517,"&gt;="&amp;L1220,$K$5:$K$1517,1)/COUNTIF($L$5:$L$1517,"&gt;="&amp;L1220),0)</f>
        <v>0</v>
      </c>
      <c r="V1220" s="8" t="n">
        <f aca="false">IF($K1220=1,COUNTIFS($M$5:$M$1517,"&gt;="&amp;M1220,$K$5:$K$1517,1)/COUNTIF($M$5:$M$1517,"&gt;="&amp;M1220),0)</f>
        <v>0</v>
      </c>
      <c r="W1220" s="8" t="n">
        <f aca="false">IF($K1220=1,COUNTIFS($N$5:$N$1517,"&gt;="&amp;N1220,$K$5:$K$1517,1)/COUNTIF($N$5:$N$1517,"&gt;="&amp;N1220),0)</f>
        <v>0</v>
      </c>
      <c r="X1220" s="8" t="n">
        <f aca="false">IF($K1220=1,COUNTIFS($O$5:$O$1517,"&gt;="&amp;O1220,$K$5:$K$1517,1)/COUNTIF($O$5:$O$1517,"&gt;="&amp;O1220),0)</f>
        <v>0</v>
      </c>
      <c r="Y1220" s="8" t="n">
        <f aca="false">IF($K1220=1,COUNTIFS($P$5:$P$1517,"&gt;="&amp;P1220,$K$5:$K$1517,1)/COUNTIF($P$5:$P$1517,"&gt;="&amp;P1220),0)</f>
        <v>0</v>
      </c>
      <c r="Z1220" s="8" t="n">
        <f aca="false">(L1220-$K1220)^2</f>
        <v>0.612082475449</v>
      </c>
      <c r="AA1220" s="8" t="n">
        <f aca="false">(M1220-$K1220)^2</f>
        <v>0.008475595969</v>
      </c>
      <c r="AB1220" s="8" t="n">
        <f aca="false">(N1220-$K1220)^2</f>
        <v>0.010824529681</v>
      </c>
      <c r="AC1220" s="8" t="n">
        <f aca="false">(O1220-$K1220)^2</f>
        <v>0.011274829489</v>
      </c>
      <c r="AD1220" s="8" t="n">
        <f aca="false">(P1220-$K1220)^2</f>
        <v>0.012189926464</v>
      </c>
      <c r="AE1220" s="8" t="n">
        <f aca="false">MIN(INT(ROUND(N1220*1000000,0)/100000),9)</f>
        <v>1</v>
      </c>
      <c r="AF1220" s="8" t="n">
        <f aca="false">MIN(INT(ROUND(P1220*1000000,0)/100000),9)</f>
        <v>1</v>
      </c>
    </row>
    <row r="1221" customFormat="false" ht="15" hidden="false" customHeight="false" outlineLevel="0" collapsed="false">
      <c r="A1221" s="4" t="n">
        <v>1217</v>
      </c>
      <c r="B1221" s="4" t="n">
        <v>556</v>
      </c>
      <c r="C1221" s="4" t="n">
        <v>3</v>
      </c>
      <c r="D1221" s="11" t="n">
        <v>46143</v>
      </c>
      <c r="E1221" s="4" t="s">
        <v>202</v>
      </c>
      <c r="F1221" s="4" t="s">
        <v>206</v>
      </c>
      <c r="G1221" s="4" t="n">
        <v>2</v>
      </c>
      <c r="H1221" s="4" t="n">
        <v>4</v>
      </c>
      <c r="I1221" s="4" t="n">
        <v>0</v>
      </c>
      <c r="J1221" s="4"/>
      <c r="K1221" s="4" t="n">
        <v>1</v>
      </c>
      <c r="L1221" s="12" t="n">
        <v>0.771054</v>
      </c>
      <c r="M1221" s="12" t="n">
        <v>0.092063</v>
      </c>
      <c r="N1221" s="12" t="n">
        <v>0.071756</v>
      </c>
      <c r="O1221" s="12" t="n">
        <v>0.106183</v>
      </c>
      <c r="P1221" s="12" t="n">
        <v>0.074962</v>
      </c>
      <c r="Q1221" s="0" t="str">
        <f aca="false">IF(L1221&gt;=Models!$G$5,1+COUNTIF($L$5:$L$1517,"&gt;"&amp;L1221)+COUNTIFS($L$5:$L$1517,L1221,$B$5:$B$1517,"&lt;"&amp;B1221)+COUNTIFS($L$5:$L$1517,L1221,$B$5:$B$1517,B1221,$C$5:$C$1517,"&lt;"&amp;C1221),"")</f>
        <v/>
      </c>
      <c r="R1221" s="0" t="str">
        <f aca="false">IF(M1221&gt;=Models!$G$6,1+COUNTIF($M$5:$M$1517,"&gt;"&amp;M1221)+COUNTIFS($M$5:$M$1517,M1221,$B$5:$B$1517,"&lt;"&amp;B1221)+COUNTIFS($M$5:$M$1517,M1221,$B$5:$B$1517,B1221,$C$5:$C$1517,"&lt;"&amp;C1221),"")</f>
        <v/>
      </c>
      <c r="S1221" s="0" t="str">
        <f aca="false">IF(N1221&gt;=Models!$G$7,1+COUNTIF($N$5:$N$1517,"&gt;"&amp;N1221)+COUNTIFS($N$5:$N$1517,N1221,$B$5:$B$1517,"&lt;"&amp;B1221)+COUNTIFS($N$5:$N$1517,N1221,$B$5:$B$1517,B1221,$C$5:$C$1517,"&lt;"&amp;C1221),"")</f>
        <v/>
      </c>
      <c r="T1221" s="8" t="n">
        <f aca="false">IF(O1221&gt;=Models!$G$8,1+COUNTIF($O$5:$O$1517,"&gt;"&amp;O1221)+COUNTIFS($O$5:$O$1517,O1221,$B$5:$B$1517,"&lt;"&amp;B1221)+COUNTIFS($O$5:$O$1517,O1221,$B$5:$B$1517,B1221,$C$5:$C$1517,"&lt;"&amp;C1221),"")</f>
        <v>416</v>
      </c>
      <c r="U1221" s="8" t="n">
        <f aca="false">IF($K1221=1,COUNTIFS($L$5:$L$1517,"&gt;="&amp;L1221,$K$5:$K$1517,1)/COUNTIF($L$5:$L$1517,"&gt;="&amp;L1221),0)</f>
        <v>0.141993957703928</v>
      </c>
      <c r="V1221" s="8" t="n">
        <f aca="false">IF($K1221=1,COUNTIFS($M$5:$M$1517,"&gt;="&amp;M1221,$K$5:$K$1517,1)/COUNTIF($M$5:$M$1517,"&gt;="&amp;M1221),0)</f>
        <v>0.12491738268341</v>
      </c>
      <c r="W1221" s="8" t="n">
        <f aca="false">IF($K1221=1,COUNTIFS($N$5:$N$1517,"&gt;="&amp;N1221,$K$5:$K$1517,1)/COUNTIF($N$5:$N$1517,"&gt;="&amp;N1221),0)</f>
        <v>0.164397905759162</v>
      </c>
      <c r="X1221" s="8" t="n">
        <f aca="false">IF($K1221=1,COUNTIFS($O$5:$O$1517,"&gt;="&amp;O1221,$K$5:$K$1517,1)/COUNTIF($O$5:$O$1517,"&gt;="&amp;O1221),0)</f>
        <v>0.12491738268341</v>
      </c>
      <c r="Y1221" s="8" t="n">
        <f aca="false">IF($K1221=1,COUNTIFS($P$5:$P$1517,"&gt;="&amp;P1221,$K$5:$K$1517,1)/COUNTIF($P$5:$P$1517,"&gt;="&amp;P1221),0)</f>
        <v>0.164397905759162</v>
      </c>
      <c r="Z1221" s="8" t="n">
        <f aca="false">(L1221-$K1221)^2</f>
        <v>0.052416270916</v>
      </c>
      <c r="AA1221" s="8" t="n">
        <f aca="false">(M1221-$K1221)^2</f>
        <v>0.824349595969</v>
      </c>
      <c r="AB1221" s="8" t="n">
        <f aca="false">(N1221-$K1221)^2</f>
        <v>0.861636923536</v>
      </c>
      <c r="AC1221" s="8" t="n">
        <f aca="false">(O1221-$K1221)^2</f>
        <v>0.798908829489</v>
      </c>
      <c r="AD1221" s="8" t="n">
        <f aca="false">(P1221-$K1221)^2</f>
        <v>0.855695301444</v>
      </c>
      <c r="AE1221" s="8" t="n">
        <f aca="false">MIN(INT(ROUND(N1221*1000000,0)/100000),9)</f>
        <v>0</v>
      </c>
      <c r="AF1221" s="8" t="n">
        <f aca="false">MIN(INT(ROUND(P1221*1000000,0)/100000),9)</f>
        <v>0</v>
      </c>
    </row>
    <row r="1222" customFormat="false" ht="15" hidden="false" customHeight="false" outlineLevel="0" collapsed="false">
      <c r="A1222" s="4" t="n">
        <v>1218</v>
      </c>
      <c r="B1222" s="4" t="n">
        <v>567</v>
      </c>
      <c r="C1222" s="4" t="n">
        <v>3</v>
      </c>
      <c r="D1222" s="11" t="n">
        <v>46143</v>
      </c>
      <c r="E1222" s="4" t="s">
        <v>203</v>
      </c>
      <c r="F1222" s="4" t="s">
        <v>209</v>
      </c>
      <c r="G1222" s="4" t="n">
        <v>8</v>
      </c>
      <c r="H1222" s="4" t="n">
        <v>0</v>
      </c>
      <c r="I1222" s="4" t="n">
        <v>0</v>
      </c>
      <c r="J1222" s="4"/>
      <c r="K1222" s="4" t="n">
        <v>0</v>
      </c>
      <c r="L1222" s="12" t="n">
        <v>0.527222</v>
      </c>
      <c r="M1222" s="12" t="n">
        <v>0.092063</v>
      </c>
      <c r="N1222" s="12" t="n">
        <v>0.041776</v>
      </c>
      <c r="O1222" s="12" t="n">
        <v>0.106183</v>
      </c>
      <c r="P1222" s="12" t="n">
        <v>0.042581</v>
      </c>
      <c r="Q1222" s="0" t="str">
        <f aca="false">IF(L1222&gt;=Models!$G$5,1+COUNTIF($L$5:$L$1517,"&gt;"&amp;L1222)+COUNTIFS($L$5:$L$1517,L1222,$B$5:$B$1517,"&lt;"&amp;B1222)+COUNTIFS($L$5:$L$1517,L1222,$B$5:$B$1517,B1222,$C$5:$C$1517,"&lt;"&amp;C1222),"")</f>
        <v/>
      </c>
      <c r="R1222" s="0" t="str">
        <f aca="false">IF(M1222&gt;=Models!$G$6,1+COUNTIF($M$5:$M$1517,"&gt;"&amp;M1222)+COUNTIFS($M$5:$M$1517,M1222,$B$5:$B$1517,"&lt;"&amp;B1222)+COUNTIFS($M$5:$M$1517,M1222,$B$5:$B$1517,B1222,$C$5:$C$1517,"&lt;"&amp;C1222),"")</f>
        <v/>
      </c>
      <c r="S1222" s="0" t="str">
        <f aca="false">IF(N1222&gt;=Models!$G$7,1+COUNTIF($N$5:$N$1517,"&gt;"&amp;N1222)+COUNTIFS($N$5:$N$1517,N1222,$B$5:$B$1517,"&lt;"&amp;B1222)+COUNTIFS($N$5:$N$1517,N1222,$B$5:$B$1517,B1222,$C$5:$C$1517,"&lt;"&amp;C1222),"")</f>
        <v/>
      </c>
      <c r="T1222" s="8" t="n">
        <f aca="false">IF(O1222&gt;=Models!$G$8,1+COUNTIF($O$5:$O$1517,"&gt;"&amp;O1222)+COUNTIFS($O$5:$O$1517,O1222,$B$5:$B$1517,"&lt;"&amp;B1222)+COUNTIFS($O$5:$O$1517,O1222,$B$5:$B$1517,B1222,$C$5:$C$1517,"&lt;"&amp;C1222),"")</f>
        <v>420</v>
      </c>
      <c r="U1222" s="8" t="n">
        <f aca="false">IF($K1222=1,COUNTIFS($L$5:$L$1517,"&gt;="&amp;L1222,$K$5:$K$1517,1)/COUNTIF($L$5:$L$1517,"&gt;="&amp;L1222),0)</f>
        <v>0</v>
      </c>
      <c r="V1222" s="8" t="n">
        <f aca="false">IF($K1222=1,COUNTIFS($M$5:$M$1517,"&gt;="&amp;M1222,$K$5:$K$1517,1)/COUNTIF($M$5:$M$1517,"&gt;="&amp;M1222),0)</f>
        <v>0</v>
      </c>
      <c r="W1222" s="8" t="n">
        <f aca="false">IF($K1222=1,COUNTIFS($N$5:$N$1517,"&gt;="&amp;N1222,$K$5:$K$1517,1)/COUNTIF($N$5:$N$1517,"&gt;="&amp;N1222),0)</f>
        <v>0</v>
      </c>
      <c r="X1222" s="8" t="n">
        <f aca="false">IF($K1222=1,COUNTIFS($O$5:$O$1517,"&gt;="&amp;O1222,$K$5:$K$1517,1)/COUNTIF($O$5:$O$1517,"&gt;="&amp;O1222),0)</f>
        <v>0</v>
      </c>
      <c r="Y1222" s="8" t="n">
        <f aca="false">IF($K1222=1,COUNTIFS($P$5:$P$1517,"&gt;="&amp;P1222,$K$5:$K$1517,1)/COUNTIF($P$5:$P$1517,"&gt;="&amp;P1222),0)</f>
        <v>0</v>
      </c>
      <c r="Z1222" s="8" t="n">
        <f aca="false">(L1222-$K1222)^2</f>
        <v>0.277963037284</v>
      </c>
      <c r="AA1222" s="8" t="n">
        <f aca="false">(M1222-$K1222)^2</f>
        <v>0.008475595969</v>
      </c>
      <c r="AB1222" s="8" t="n">
        <f aca="false">(N1222-$K1222)^2</f>
        <v>0.001745234176</v>
      </c>
      <c r="AC1222" s="8" t="n">
        <f aca="false">(O1222-$K1222)^2</f>
        <v>0.011274829489</v>
      </c>
      <c r="AD1222" s="8" t="n">
        <f aca="false">(P1222-$K1222)^2</f>
        <v>0.001813141561</v>
      </c>
      <c r="AE1222" s="8" t="n">
        <f aca="false">MIN(INT(ROUND(N1222*1000000,0)/100000),9)</f>
        <v>0</v>
      </c>
      <c r="AF1222" s="8" t="n">
        <f aca="false">MIN(INT(ROUND(P1222*1000000,0)/100000),9)</f>
        <v>0</v>
      </c>
    </row>
    <row r="1223" customFormat="false" ht="15" hidden="false" customHeight="false" outlineLevel="0" collapsed="false">
      <c r="A1223" s="4" t="n">
        <v>1219</v>
      </c>
      <c r="B1223" s="4" t="n">
        <v>570</v>
      </c>
      <c r="C1223" s="4" t="n">
        <v>3</v>
      </c>
      <c r="D1223" s="11" t="n">
        <v>46143</v>
      </c>
      <c r="E1223" s="4" t="s">
        <v>202</v>
      </c>
      <c r="F1223" s="4" t="s">
        <v>210</v>
      </c>
      <c r="G1223" s="4" t="n">
        <v>10</v>
      </c>
      <c r="H1223" s="4" t="n">
        <v>0</v>
      </c>
      <c r="I1223" s="4" t="n">
        <v>0</v>
      </c>
      <c r="J1223" s="4"/>
      <c r="K1223" s="4" t="n">
        <v>0</v>
      </c>
      <c r="L1223" s="12" t="n">
        <v>0.012074</v>
      </c>
      <c r="M1223" s="12" t="n">
        <v>0.092063</v>
      </c>
      <c r="N1223" s="12" t="n">
        <v>0.035137</v>
      </c>
      <c r="O1223" s="12" t="n">
        <v>0.106183</v>
      </c>
      <c r="P1223" s="12" t="n">
        <v>0.035524</v>
      </c>
      <c r="Q1223" s="0" t="str">
        <f aca="false">IF(L1223&gt;=Models!$G$5,1+COUNTIF($L$5:$L$1517,"&gt;"&amp;L1223)+COUNTIFS($L$5:$L$1517,L1223,$B$5:$B$1517,"&lt;"&amp;B1223)+COUNTIFS($L$5:$L$1517,L1223,$B$5:$B$1517,B1223,$C$5:$C$1517,"&lt;"&amp;C1223),"")</f>
        <v/>
      </c>
      <c r="R1223" s="0" t="str">
        <f aca="false">IF(M1223&gt;=Models!$G$6,1+COUNTIF($M$5:$M$1517,"&gt;"&amp;M1223)+COUNTIFS($M$5:$M$1517,M1223,$B$5:$B$1517,"&lt;"&amp;B1223)+COUNTIFS($M$5:$M$1517,M1223,$B$5:$B$1517,B1223,$C$5:$C$1517,"&lt;"&amp;C1223),"")</f>
        <v/>
      </c>
      <c r="S1223" s="0" t="str">
        <f aca="false">IF(N1223&gt;=Models!$G$7,1+COUNTIF($N$5:$N$1517,"&gt;"&amp;N1223)+COUNTIFS($N$5:$N$1517,N1223,$B$5:$B$1517,"&lt;"&amp;B1223)+COUNTIFS($N$5:$N$1517,N1223,$B$5:$B$1517,B1223,$C$5:$C$1517,"&lt;"&amp;C1223),"")</f>
        <v/>
      </c>
      <c r="T1223" s="8" t="n">
        <f aca="false">IF(O1223&gt;=Models!$G$8,1+COUNTIF($O$5:$O$1517,"&gt;"&amp;O1223)+COUNTIFS($O$5:$O$1517,O1223,$B$5:$B$1517,"&lt;"&amp;B1223)+COUNTIFS($O$5:$O$1517,O1223,$B$5:$B$1517,B1223,$C$5:$C$1517,"&lt;"&amp;C1223),"")</f>
        <v>424</v>
      </c>
      <c r="U1223" s="8" t="n">
        <f aca="false">IF($K1223=1,COUNTIFS($L$5:$L$1517,"&gt;="&amp;L1223,$K$5:$K$1517,1)/COUNTIF($L$5:$L$1517,"&gt;="&amp;L1223),0)</f>
        <v>0</v>
      </c>
      <c r="V1223" s="8" t="n">
        <f aca="false">IF($K1223=1,COUNTIFS($M$5:$M$1517,"&gt;="&amp;M1223,$K$5:$K$1517,1)/COUNTIF($M$5:$M$1517,"&gt;="&amp;M1223),0)</f>
        <v>0</v>
      </c>
      <c r="W1223" s="8" t="n">
        <f aca="false">IF($K1223=1,COUNTIFS($N$5:$N$1517,"&gt;="&amp;N1223,$K$5:$K$1517,1)/COUNTIF($N$5:$N$1517,"&gt;="&amp;N1223),0)</f>
        <v>0</v>
      </c>
      <c r="X1223" s="8" t="n">
        <f aca="false">IF($K1223=1,COUNTIFS($O$5:$O$1517,"&gt;="&amp;O1223,$K$5:$K$1517,1)/COUNTIF($O$5:$O$1517,"&gt;="&amp;O1223),0)</f>
        <v>0</v>
      </c>
      <c r="Y1223" s="8" t="n">
        <f aca="false">IF($K1223=1,COUNTIFS($P$5:$P$1517,"&gt;="&amp;P1223,$K$5:$K$1517,1)/COUNTIF($P$5:$P$1517,"&gt;="&amp;P1223),0)</f>
        <v>0</v>
      </c>
      <c r="Z1223" s="8" t="n">
        <f aca="false">(L1223-$K1223)^2</f>
        <v>0.000145781476</v>
      </c>
      <c r="AA1223" s="8" t="n">
        <f aca="false">(M1223-$K1223)^2</f>
        <v>0.008475595969</v>
      </c>
      <c r="AB1223" s="8" t="n">
        <f aca="false">(N1223-$K1223)^2</f>
        <v>0.001234608769</v>
      </c>
      <c r="AC1223" s="8" t="n">
        <f aca="false">(O1223-$K1223)^2</f>
        <v>0.011274829489</v>
      </c>
      <c r="AD1223" s="8" t="n">
        <f aca="false">(P1223-$K1223)^2</f>
        <v>0.001261954576</v>
      </c>
      <c r="AE1223" s="8" t="n">
        <f aca="false">MIN(INT(ROUND(N1223*1000000,0)/100000),9)</f>
        <v>0</v>
      </c>
      <c r="AF1223" s="8" t="n">
        <f aca="false">MIN(INT(ROUND(P1223*1000000,0)/100000),9)</f>
        <v>0</v>
      </c>
    </row>
    <row r="1224" customFormat="false" ht="15" hidden="false" customHeight="false" outlineLevel="0" collapsed="false">
      <c r="A1224" s="4" t="n">
        <v>1220</v>
      </c>
      <c r="B1224" s="4" t="n">
        <v>572</v>
      </c>
      <c r="C1224" s="4" t="n">
        <v>3</v>
      </c>
      <c r="D1224" s="11" t="n">
        <v>46143</v>
      </c>
      <c r="E1224" s="4" t="s">
        <v>203</v>
      </c>
      <c r="F1224" s="4" t="s">
        <v>210</v>
      </c>
      <c r="G1224" s="4" t="n">
        <v>1</v>
      </c>
      <c r="H1224" s="4" t="n">
        <v>13</v>
      </c>
      <c r="I1224" s="4" t="n">
        <v>0</v>
      </c>
      <c r="J1224" s="4" t="n">
        <v>384</v>
      </c>
      <c r="K1224" s="4" t="n">
        <v>0</v>
      </c>
      <c r="L1224" s="12" t="n">
        <v>0.561786</v>
      </c>
      <c r="M1224" s="12" t="n">
        <v>0.092063</v>
      </c>
      <c r="N1224" s="12" t="n">
        <v>0.159518</v>
      </c>
      <c r="O1224" s="12" t="n">
        <v>0.106183</v>
      </c>
      <c r="P1224" s="12" t="n">
        <v>0.171943</v>
      </c>
      <c r="Q1224" s="0" t="str">
        <f aca="false">IF(L1224&gt;=Models!$G$5,1+COUNTIF($L$5:$L$1517,"&gt;"&amp;L1224)+COUNTIFS($L$5:$L$1517,L1224,$B$5:$B$1517,"&lt;"&amp;B1224)+COUNTIFS($L$5:$L$1517,L1224,$B$5:$B$1517,B1224,$C$5:$C$1517,"&lt;"&amp;C1224),"")</f>
        <v/>
      </c>
      <c r="R1224" s="0" t="str">
        <f aca="false">IF(M1224&gt;=Models!$G$6,1+COUNTIF($M$5:$M$1517,"&gt;"&amp;M1224)+COUNTIFS($M$5:$M$1517,M1224,$B$5:$B$1517,"&lt;"&amp;B1224)+COUNTIFS($M$5:$M$1517,M1224,$B$5:$B$1517,B1224,$C$5:$C$1517,"&lt;"&amp;C1224),"")</f>
        <v/>
      </c>
      <c r="S1224" s="0" t="str">
        <f aca="false">IF(N1224&gt;=Models!$G$7,1+COUNTIF($N$5:$N$1517,"&gt;"&amp;N1224)+COUNTIFS($N$5:$N$1517,N1224,$B$5:$B$1517,"&lt;"&amp;B1224)+COUNTIFS($N$5:$N$1517,N1224,$B$5:$B$1517,B1224,$C$5:$C$1517,"&lt;"&amp;C1224),"")</f>
        <v/>
      </c>
      <c r="T1224" s="8" t="n">
        <f aca="false">IF(O1224&gt;=Models!$G$8,1+COUNTIF($O$5:$O$1517,"&gt;"&amp;O1224)+COUNTIFS($O$5:$O$1517,O1224,$B$5:$B$1517,"&lt;"&amp;B1224)+COUNTIFS($O$5:$O$1517,O1224,$B$5:$B$1517,B1224,$C$5:$C$1517,"&lt;"&amp;C1224),"")</f>
        <v>428</v>
      </c>
      <c r="U1224" s="8" t="n">
        <f aca="false">IF($K1224=1,COUNTIFS($L$5:$L$1517,"&gt;="&amp;L1224,$K$5:$K$1517,1)/COUNTIF($L$5:$L$1517,"&gt;="&amp;L1224),0)</f>
        <v>0</v>
      </c>
      <c r="V1224" s="8" t="n">
        <f aca="false">IF($K1224=1,COUNTIFS($M$5:$M$1517,"&gt;="&amp;M1224,$K$5:$K$1517,1)/COUNTIF($M$5:$M$1517,"&gt;="&amp;M1224),0)</f>
        <v>0</v>
      </c>
      <c r="W1224" s="8" t="n">
        <f aca="false">IF($K1224=1,COUNTIFS($N$5:$N$1517,"&gt;="&amp;N1224,$K$5:$K$1517,1)/COUNTIF($N$5:$N$1517,"&gt;="&amp;N1224),0)</f>
        <v>0</v>
      </c>
      <c r="X1224" s="8" t="n">
        <f aca="false">IF($K1224=1,COUNTIFS($O$5:$O$1517,"&gt;="&amp;O1224,$K$5:$K$1517,1)/COUNTIF($O$5:$O$1517,"&gt;="&amp;O1224),0)</f>
        <v>0</v>
      </c>
      <c r="Y1224" s="8" t="n">
        <f aca="false">IF($K1224=1,COUNTIFS($P$5:$P$1517,"&gt;="&amp;P1224,$K$5:$K$1517,1)/COUNTIF($P$5:$P$1517,"&gt;="&amp;P1224),0)</f>
        <v>0</v>
      </c>
      <c r="Z1224" s="8" t="n">
        <f aca="false">(L1224-$K1224)^2</f>
        <v>0.315603509796</v>
      </c>
      <c r="AA1224" s="8" t="n">
        <f aca="false">(M1224-$K1224)^2</f>
        <v>0.008475595969</v>
      </c>
      <c r="AB1224" s="8" t="n">
        <f aca="false">(N1224-$K1224)^2</f>
        <v>0.025445992324</v>
      </c>
      <c r="AC1224" s="8" t="n">
        <f aca="false">(O1224-$K1224)^2</f>
        <v>0.011274829489</v>
      </c>
      <c r="AD1224" s="8" t="n">
        <f aca="false">(P1224-$K1224)^2</f>
        <v>0.029564395249</v>
      </c>
      <c r="AE1224" s="8" t="n">
        <f aca="false">MIN(INT(ROUND(N1224*1000000,0)/100000),9)</f>
        <v>1</v>
      </c>
      <c r="AF1224" s="8" t="n">
        <f aca="false">MIN(INT(ROUND(P1224*1000000,0)/100000),9)</f>
        <v>1</v>
      </c>
    </row>
    <row r="1225" customFormat="false" ht="15" hidden="false" customHeight="false" outlineLevel="0" collapsed="false">
      <c r="A1225" s="4" t="n">
        <v>1221</v>
      </c>
      <c r="B1225" s="4" t="n">
        <v>573</v>
      </c>
      <c r="C1225" s="4" t="n">
        <v>3</v>
      </c>
      <c r="D1225" s="11" t="n">
        <v>46143</v>
      </c>
      <c r="E1225" s="4" t="s">
        <v>202</v>
      </c>
      <c r="F1225" s="4" t="s">
        <v>206</v>
      </c>
      <c r="G1225" s="4" t="n">
        <v>11</v>
      </c>
      <c r="H1225" s="4" t="n">
        <v>0</v>
      </c>
      <c r="I1225" s="4" t="n">
        <v>0</v>
      </c>
      <c r="J1225" s="4" t="n">
        <v>1293</v>
      </c>
      <c r="K1225" s="4" t="n">
        <v>0</v>
      </c>
      <c r="L1225" s="12" t="n">
        <v>0.858012</v>
      </c>
      <c r="M1225" s="12" t="n">
        <v>0.092063</v>
      </c>
      <c r="N1225" s="12" t="n">
        <v>0.061742</v>
      </c>
      <c r="O1225" s="12" t="n">
        <v>0.106183</v>
      </c>
      <c r="P1225" s="12" t="n">
        <v>0.064071</v>
      </c>
      <c r="Q1225" s="0" t="str">
        <f aca="false">IF(L1225&gt;=Models!$G$5,1+COUNTIF($L$5:$L$1517,"&gt;"&amp;L1225)+COUNTIFS($L$5:$L$1517,L1225,$B$5:$B$1517,"&lt;"&amp;B1225)+COUNTIFS($L$5:$L$1517,L1225,$B$5:$B$1517,B1225,$C$5:$C$1517,"&lt;"&amp;C1225),"")</f>
        <v/>
      </c>
      <c r="R1225" s="0" t="str">
        <f aca="false">IF(M1225&gt;=Models!$G$6,1+COUNTIF($M$5:$M$1517,"&gt;"&amp;M1225)+COUNTIFS($M$5:$M$1517,M1225,$B$5:$B$1517,"&lt;"&amp;B1225)+COUNTIFS($M$5:$M$1517,M1225,$B$5:$B$1517,B1225,$C$5:$C$1517,"&lt;"&amp;C1225),"")</f>
        <v/>
      </c>
      <c r="S1225" s="0" t="str">
        <f aca="false">IF(N1225&gt;=Models!$G$7,1+COUNTIF($N$5:$N$1517,"&gt;"&amp;N1225)+COUNTIFS($N$5:$N$1517,N1225,$B$5:$B$1517,"&lt;"&amp;B1225)+COUNTIFS($N$5:$N$1517,N1225,$B$5:$B$1517,B1225,$C$5:$C$1517,"&lt;"&amp;C1225),"")</f>
        <v/>
      </c>
      <c r="T1225" s="8" t="n">
        <f aca="false">IF(O1225&gt;=Models!$G$8,1+COUNTIF($O$5:$O$1517,"&gt;"&amp;O1225)+COUNTIFS($O$5:$O$1517,O1225,$B$5:$B$1517,"&lt;"&amp;B1225)+COUNTIFS($O$5:$O$1517,O1225,$B$5:$B$1517,B1225,$C$5:$C$1517,"&lt;"&amp;C1225),"")</f>
        <v>432</v>
      </c>
      <c r="U1225" s="8" t="n">
        <f aca="false">IF($K1225=1,COUNTIFS($L$5:$L$1517,"&gt;="&amp;L1225,$K$5:$K$1517,1)/COUNTIF($L$5:$L$1517,"&gt;="&amp;L1225),0)</f>
        <v>0</v>
      </c>
      <c r="V1225" s="8" t="n">
        <f aca="false">IF($K1225=1,COUNTIFS($M$5:$M$1517,"&gt;="&amp;M1225,$K$5:$K$1517,1)/COUNTIF($M$5:$M$1517,"&gt;="&amp;M1225),0)</f>
        <v>0</v>
      </c>
      <c r="W1225" s="8" t="n">
        <f aca="false">IF($K1225=1,COUNTIFS($N$5:$N$1517,"&gt;="&amp;N1225,$K$5:$K$1517,1)/COUNTIF($N$5:$N$1517,"&gt;="&amp;N1225),0)</f>
        <v>0</v>
      </c>
      <c r="X1225" s="8" t="n">
        <f aca="false">IF($K1225=1,COUNTIFS($O$5:$O$1517,"&gt;="&amp;O1225,$K$5:$K$1517,1)/COUNTIF($O$5:$O$1517,"&gt;="&amp;O1225),0)</f>
        <v>0</v>
      </c>
      <c r="Y1225" s="8" t="n">
        <f aca="false">IF($K1225=1,COUNTIFS($P$5:$P$1517,"&gt;="&amp;P1225,$K$5:$K$1517,1)/COUNTIF($P$5:$P$1517,"&gt;="&amp;P1225),0)</f>
        <v>0</v>
      </c>
      <c r="Z1225" s="8" t="n">
        <f aca="false">(L1225-$K1225)^2</f>
        <v>0.736184592144</v>
      </c>
      <c r="AA1225" s="8" t="n">
        <f aca="false">(M1225-$K1225)^2</f>
        <v>0.008475595969</v>
      </c>
      <c r="AB1225" s="8" t="n">
        <f aca="false">(N1225-$K1225)^2</f>
        <v>0.003812074564</v>
      </c>
      <c r="AC1225" s="8" t="n">
        <f aca="false">(O1225-$K1225)^2</f>
        <v>0.011274829489</v>
      </c>
      <c r="AD1225" s="8" t="n">
        <f aca="false">(P1225-$K1225)^2</f>
        <v>0.004105093041</v>
      </c>
      <c r="AE1225" s="8" t="n">
        <f aca="false">MIN(INT(ROUND(N1225*1000000,0)/100000),9)</f>
        <v>0</v>
      </c>
      <c r="AF1225" s="8" t="n">
        <f aca="false">MIN(INT(ROUND(P1225*1000000,0)/100000),9)</f>
        <v>0</v>
      </c>
    </row>
    <row r="1226" customFormat="false" ht="15" hidden="false" customHeight="false" outlineLevel="0" collapsed="false">
      <c r="A1226" s="4" t="n">
        <v>1222</v>
      </c>
      <c r="B1226" s="4" t="n">
        <v>575</v>
      </c>
      <c r="C1226" s="4" t="n">
        <v>3</v>
      </c>
      <c r="D1226" s="11" t="n">
        <v>46143</v>
      </c>
      <c r="E1226" s="4" t="s">
        <v>203</v>
      </c>
      <c r="F1226" s="4" t="s">
        <v>208</v>
      </c>
      <c r="G1226" s="4" t="n">
        <v>6</v>
      </c>
      <c r="H1226" s="4" t="n">
        <v>4</v>
      </c>
      <c r="I1226" s="4" t="n">
        <v>0</v>
      </c>
      <c r="J1226" s="4" t="n">
        <v>354</v>
      </c>
      <c r="K1226" s="4" t="n">
        <v>1</v>
      </c>
      <c r="L1226" s="12" t="n">
        <v>0.811704</v>
      </c>
      <c r="M1226" s="12" t="n">
        <v>0.092063</v>
      </c>
      <c r="N1226" s="12" t="n">
        <v>0.101216</v>
      </c>
      <c r="O1226" s="12" t="n">
        <v>0.106183</v>
      </c>
      <c r="P1226" s="12" t="n">
        <v>0.107291</v>
      </c>
      <c r="Q1226" s="0" t="str">
        <f aca="false">IF(L1226&gt;=Models!$G$5,1+COUNTIF($L$5:$L$1517,"&gt;"&amp;L1226)+COUNTIFS($L$5:$L$1517,L1226,$B$5:$B$1517,"&lt;"&amp;B1226)+COUNTIFS($L$5:$L$1517,L1226,$B$5:$B$1517,B1226,$C$5:$C$1517,"&lt;"&amp;C1226),"")</f>
        <v/>
      </c>
      <c r="R1226" s="0" t="str">
        <f aca="false">IF(M1226&gt;=Models!$G$6,1+COUNTIF($M$5:$M$1517,"&gt;"&amp;M1226)+COUNTIFS($M$5:$M$1517,M1226,$B$5:$B$1517,"&lt;"&amp;B1226)+COUNTIFS($M$5:$M$1517,M1226,$B$5:$B$1517,B1226,$C$5:$C$1517,"&lt;"&amp;C1226),"")</f>
        <v/>
      </c>
      <c r="S1226" s="0" t="str">
        <f aca="false">IF(N1226&gt;=Models!$G$7,1+COUNTIF($N$5:$N$1517,"&gt;"&amp;N1226)+COUNTIFS($N$5:$N$1517,N1226,$B$5:$B$1517,"&lt;"&amp;B1226)+COUNTIFS($N$5:$N$1517,N1226,$B$5:$B$1517,B1226,$C$5:$C$1517,"&lt;"&amp;C1226),"")</f>
        <v/>
      </c>
      <c r="T1226" s="8" t="n">
        <f aca="false">IF(O1226&gt;=Models!$G$8,1+COUNTIF($O$5:$O$1517,"&gt;"&amp;O1226)+COUNTIFS($O$5:$O$1517,O1226,$B$5:$B$1517,"&lt;"&amp;B1226)+COUNTIFS($O$5:$O$1517,O1226,$B$5:$B$1517,B1226,$C$5:$C$1517,"&lt;"&amp;C1226),"")</f>
        <v>436</v>
      </c>
      <c r="U1226" s="8" t="n">
        <f aca="false">IF($K1226=1,COUNTIFS($L$5:$L$1517,"&gt;="&amp;L1226,$K$5:$K$1517,1)/COUNTIF($L$5:$L$1517,"&gt;="&amp;L1226),0)</f>
        <v>0.132841328413284</v>
      </c>
      <c r="V1226" s="8" t="n">
        <f aca="false">IF($K1226=1,COUNTIFS($M$5:$M$1517,"&gt;="&amp;M1226,$K$5:$K$1517,1)/COUNTIF($M$5:$M$1517,"&gt;="&amp;M1226),0)</f>
        <v>0.12491738268341</v>
      </c>
      <c r="W1226" s="8" t="n">
        <f aca="false">IF($K1226=1,COUNTIFS($N$5:$N$1517,"&gt;="&amp;N1226,$K$5:$K$1517,1)/COUNTIF($N$5:$N$1517,"&gt;="&amp;N1226),0)</f>
        <v>0.190895741556535</v>
      </c>
      <c r="X1226" s="8" t="n">
        <f aca="false">IF($K1226=1,COUNTIFS($O$5:$O$1517,"&gt;="&amp;O1226,$K$5:$K$1517,1)/COUNTIF($O$5:$O$1517,"&gt;="&amp;O1226),0)</f>
        <v>0.12491738268341</v>
      </c>
      <c r="Y1226" s="8" t="n">
        <f aca="false">IF($K1226=1,COUNTIFS($P$5:$P$1517,"&gt;="&amp;P1226,$K$5:$K$1517,1)/COUNTIF($P$5:$P$1517,"&gt;="&amp;P1226),0)</f>
        <v>0.190895741556535</v>
      </c>
      <c r="Z1226" s="8" t="n">
        <f aca="false">(L1226-$K1226)^2</f>
        <v>0.035455383616</v>
      </c>
      <c r="AA1226" s="8" t="n">
        <f aca="false">(M1226-$K1226)^2</f>
        <v>0.824349595969</v>
      </c>
      <c r="AB1226" s="8" t="n">
        <f aca="false">(N1226-$K1226)^2</f>
        <v>0.807812678656</v>
      </c>
      <c r="AC1226" s="8" t="n">
        <f aca="false">(O1226-$K1226)^2</f>
        <v>0.798908829489</v>
      </c>
      <c r="AD1226" s="8" t="n">
        <f aca="false">(P1226-$K1226)^2</f>
        <v>0.796929358681</v>
      </c>
      <c r="AE1226" s="8" t="n">
        <f aca="false">MIN(INT(ROUND(N1226*1000000,0)/100000),9)</f>
        <v>1</v>
      </c>
      <c r="AF1226" s="8" t="n">
        <f aca="false">MIN(INT(ROUND(P1226*1000000,0)/100000),9)</f>
        <v>1</v>
      </c>
    </row>
    <row r="1227" customFormat="false" ht="15" hidden="false" customHeight="false" outlineLevel="0" collapsed="false">
      <c r="A1227" s="4" t="n">
        <v>1223</v>
      </c>
      <c r="B1227" s="4" t="n">
        <v>577</v>
      </c>
      <c r="C1227" s="4" t="n">
        <v>3</v>
      </c>
      <c r="D1227" s="11" t="n">
        <v>46143</v>
      </c>
      <c r="E1227" s="4" t="s">
        <v>203</v>
      </c>
      <c r="F1227" s="4" t="s">
        <v>206</v>
      </c>
      <c r="G1227" s="4" t="n">
        <v>4</v>
      </c>
      <c r="H1227" s="4" t="n">
        <v>1</v>
      </c>
      <c r="I1227" s="4" t="n">
        <v>0</v>
      </c>
      <c r="J1227" s="4" t="n">
        <v>441</v>
      </c>
      <c r="K1227" s="4" t="n">
        <v>0</v>
      </c>
      <c r="L1227" s="12" t="n">
        <v>0.368032</v>
      </c>
      <c r="M1227" s="12" t="n">
        <v>0.092063</v>
      </c>
      <c r="N1227" s="12" t="n">
        <v>0.115736</v>
      </c>
      <c r="O1227" s="12" t="n">
        <v>0.106183</v>
      </c>
      <c r="P1227" s="12" t="n">
        <v>0.123335</v>
      </c>
      <c r="Q1227" s="0" t="str">
        <f aca="false">IF(L1227&gt;=Models!$G$5,1+COUNTIF($L$5:$L$1517,"&gt;"&amp;L1227)+COUNTIFS($L$5:$L$1517,L1227,$B$5:$B$1517,"&lt;"&amp;B1227)+COUNTIFS($L$5:$L$1517,L1227,$B$5:$B$1517,B1227,$C$5:$C$1517,"&lt;"&amp;C1227),"")</f>
        <v/>
      </c>
      <c r="R1227" s="0" t="str">
        <f aca="false">IF(M1227&gt;=Models!$G$6,1+COUNTIF($M$5:$M$1517,"&gt;"&amp;M1227)+COUNTIFS($M$5:$M$1517,M1227,$B$5:$B$1517,"&lt;"&amp;B1227)+COUNTIFS($M$5:$M$1517,M1227,$B$5:$B$1517,B1227,$C$5:$C$1517,"&lt;"&amp;C1227),"")</f>
        <v/>
      </c>
      <c r="S1227" s="0" t="str">
        <f aca="false">IF(N1227&gt;=Models!$G$7,1+COUNTIF($N$5:$N$1517,"&gt;"&amp;N1227)+COUNTIFS($N$5:$N$1517,N1227,$B$5:$B$1517,"&lt;"&amp;B1227)+COUNTIFS($N$5:$N$1517,N1227,$B$5:$B$1517,B1227,$C$5:$C$1517,"&lt;"&amp;C1227),"")</f>
        <v/>
      </c>
      <c r="T1227" s="8" t="n">
        <f aca="false">IF(O1227&gt;=Models!$G$8,1+COUNTIF($O$5:$O$1517,"&gt;"&amp;O1227)+COUNTIFS($O$5:$O$1517,O1227,$B$5:$B$1517,"&lt;"&amp;B1227)+COUNTIFS($O$5:$O$1517,O1227,$B$5:$B$1517,B1227,$C$5:$C$1517,"&lt;"&amp;C1227),"")</f>
        <v>440</v>
      </c>
      <c r="U1227" s="8" t="n">
        <f aca="false">IF($K1227=1,COUNTIFS($L$5:$L$1517,"&gt;="&amp;L1227,$K$5:$K$1517,1)/COUNTIF($L$5:$L$1517,"&gt;="&amp;L1227),0)</f>
        <v>0</v>
      </c>
      <c r="V1227" s="8" t="n">
        <f aca="false">IF($K1227=1,COUNTIFS($M$5:$M$1517,"&gt;="&amp;M1227,$K$5:$K$1517,1)/COUNTIF($M$5:$M$1517,"&gt;="&amp;M1227),0)</f>
        <v>0</v>
      </c>
      <c r="W1227" s="8" t="n">
        <f aca="false">IF($K1227=1,COUNTIFS($N$5:$N$1517,"&gt;="&amp;N1227,$K$5:$K$1517,1)/COUNTIF($N$5:$N$1517,"&gt;="&amp;N1227),0)</f>
        <v>0</v>
      </c>
      <c r="X1227" s="8" t="n">
        <f aca="false">IF($K1227=1,COUNTIFS($O$5:$O$1517,"&gt;="&amp;O1227,$K$5:$K$1517,1)/COUNTIF($O$5:$O$1517,"&gt;="&amp;O1227),0)</f>
        <v>0</v>
      </c>
      <c r="Y1227" s="8" t="n">
        <f aca="false">IF($K1227=1,COUNTIFS($P$5:$P$1517,"&gt;="&amp;P1227,$K$5:$K$1517,1)/COUNTIF($P$5:$P$1517,"&gt;="&amp;P1227),0)</f>
        <v>0</v>
      </c>
      <c r="Z1227" s="8" t="n">
        <f aca="false">(L1227-$K1227)^2</f>
        <v>0.135447553024</v>
      </c>
      <c r="AA1227" s="8" t="n">
        <f aca="false">(M1227-$K1227)^2</f>
        <v>0.008475595969</v>
      </c>
      <c r="AB1227" s="8" t="n">
        <f aca="false">(N1227-$K1227)^2</f>
        <v>0.013394821696</v>
      </c>
      <c r="AC1227" s="8" t="n">
        <f aca="false">(O1227-$K1227)^2</f>
        <v>0.011274829489</v>
      </c>
      <c r="AD1227" s="8" t="n">
        <f aca="false">(P1227-$K1227)^2</f>
        <v>0.015211522225</v>
      </c>
      <c r="AE1227" s="8" t="n">
        <f aca="false">MIN(INT(ROUND(N1227*1000000,0)/100000),9)</f>
        <v>1</v>
      </c>
      <c r="AF1227" s="8" t="n">
        <f aca="false">MIN(INT(ROUND(P1227*1000000,0)/100000),9)</f>
        <v>1</v>
      </c>
    </row>
    <row r="1228" customFormat="false" ht="15" hidden="false" customHeight="false" outlineLevel="0" collapsed="false">
      <c r="A1228" s="4" t="n">
        <v>1224</v>
      </c>
      <c r="B1228" s="4" t="n">
        <v>586</v>
      </c>
      <c r="C1228" s="4" t="n">
        <v>3</v>
      </c>
      <c r="D1228" s="11" t="n">
        <v>46143</v>
      </c>
      <c r="E1228" s="4" t="s">
        <v>202</v>
      </c>
      <c r="F1228" s="4" t="s">
        <v>206</v>
      </c>
      <c r="G1228" s="4" t="n">
        <v>10</v>
      </c>
      <c r="H1228" s="4" t="n">
        <v>0</v>
      </c>
      <c r="I1228" s="4" t="n">
        <v>0</v>
      </c>
      <c r="J1228" s="4"/>
      <c r="K1228" s="4" t="n">
        <v>0</v>
      </c>
      <c r="L1228" s="12" t="n">
        <v>0.98135</v>
      </c>
      <c r="M1228" s="12" t="n">
        <v>0.092063</v>
      </c>
      <c r="N1228" s="12" t="n">
        <v>0.035137</v>
      </c>
      <c r="O1228" s="12" t="n">
        <v>0.106183</v>
      </c>
      <c r="P1228" s="12" t="n">
        <v>0.035524</v>
      </c>
      <c r="Q1228" s="8" t="n">
        <f aca="false">IF(L1228&gt;=Models!$G$5,1+COUNTIF($L$5:$L$1517,"&gt;"&amp;L1228)+COUNTIFS($L$5:$L$1517,L1228,$B$5:$B$1517,"&lt;"&amp;B1228)+COUNTIFS($L$5:$L$1517,L1228,$B$5:$B$1517,B1228,$C$5:$C$1517,"&lt;"&amp;C1228),"")</f>
        <v>24</v>
      </c>
      <c r="R1228" s="0" t="str">
        <f aca="false">IF(M1228&gt;=Models!$G$6,1+COUNTIF($M$5:$M$1517,"&gt;"&amp;M1228)+COUNTIFS($M$5:$M$1517,M1228,$B$5:$B$1517,"&lt;"&amp;B1228)+COUNTIFS($M$5:$M$1517,M1228,$B$5:$B$1517,B1228,$C$5:$C$1517,"&lt;"&amp;C1228),"")</f>
        <v/>
      </c>
      <c r="S1228" s="0" t="str">
        <f aca="false">IF(N1228&gt;=Models!$G$7,1+COUNTIF($N$5:$N$1517,"&gt;"&amp;N1228)+COUNTIFS($N$5:$N$1517,N1228,$B$5:$B$1517,"&lt;"&amp;B1228)+COUNTIFS($N$5:$N$1517,N1228,$B$5:$B$1517,B1228,$C$5:$C$1517,"&lt;"&amp;C1228),"")</f>
        <v/>
      </c>
      <c r="T1228" s="8" t="n">
        <f aca="false">IF(O1228&gt;=Models!$G$8,1+COUNTIF($O$5:$O$1517,"&gt;"&amp;O1228)+COUNTIFS($O$5:$O$1517,O1228,$B$5:$B$1517,"&lt;"&amp;B1228)+COUNTIFS($O$5:$O$1517,O1228,$B$5:$B$1517,B1228,$C$5:$C$1517,"&lt;"&amp;C1228),"")</f>
        <v>444</v>
      </c>
      <c r="U1228" s="8" t="n">
        <f aca="false">IF($K1228=1,COUNTIFS($L$5:$L$1517,"&gt;="&amp;L1228,$K$5:$K$1517,1)/COUNTIF($L$5:$L$1517,"&gt;="&amp;L1228),0)</f>
        <v>0</v>
      </c>
      <c r="V1228" s="8" t="n">
        <f aca="false">IF($K1228=1,COUNTIFS($M$5:$M$1517,"&gt;="&amp;M1228,$K$5:$K$1517,1)/COUNTIF($M$5:$M$1517,"&gt;="&amp;M1228),0)</f>
        <v>0</v>
      </c>
      <c r="W1228" s="8" t="n">
        <f aca="false">IF($K1228=1,COUNTIFS($N$5:$N$1517,"&gt;="&amp;N1228,$K$5:$K$1517,1)/COUNTIF($N$5:$N$1517,"&gt;="&amp;N1228),0)</f>
        <v>0</v>
      </c>
      <c r="X1228" s="8" t="n">
        <f aca="false">IF($K1228=1,COUNTIFS($O$5:$O$1517,"&gt;="&amp;O1228,$K$5:$K$1517,1)/COUNTIF($O$5:$O$1517,"&gt;="&amp;O1228),0)</f>
        <v>0</v>
      </c>
      <c r="Y1228" s="8" t="n">
        <f aca="false">IF($K1228=1,COUNTIFS($P$5:$P$1517,"&gt;="&amp;P1228,$K$5:$K$1517,1)/COUNTIF($P$5:$P$1517,"&gt;="&amp;P1228),0)</f>
        <v>0</v>
      </c>
      <c r="Z1228" s="8" t="n">
        <f aca="false">(L1228-$K1228)^2</f>
        <v>0.9630478225</v>
      </c>
      <c r="AA1228" s="8" t="n">
        <f aca="false">(M1228-$K1228)^2</f>
        <v>0.008475595969</v>
      </c>
      <c r="AB1228" s="8" t="n">
        <f aca="false">(N1228-$K1228)^2</f>
        <v>0.001234608769</v>
      </c>
      <c r="AC1228" s="8" t="n">
        <f aca="false">(O1228-$K1228)^2</f>
        <v>0.011274829489</v>
      </c>
      <c r="AD1228" s="8" t="n">
        <f aca="false">(P1228-$K1228)^2</f>
        <v>0.001261954576</v>
      </c>
      <c r="AE1228" s="8" t="n">
        <f aca="false">MIN(INT(ROUND(N1228*1000000,0)/100000),9)</f>
        <v>0</v>
      </c>
      <c r="AF1228" s="8" t="n">
        <f aca="false">MIN(INT(ROUND(P1228*1000000,0)/100000),9)</f>
        <v>0</v>
      </c>
    </row>
    <row r="1229" customFormat="false" ht="15" hidden="false" customHeight="false" outlineLevel="0" collapsed="false">
      <c r="A1229" s="4" t="n">
        <v>1225</v>
      </c>
      <c r="B1229" s="4" t="n">
        <v>591</v>
      </c>
      <c r="C1229" s="4" t="n">
        <v>3</v>
      </c>
      <c r="D1229" s="11" t="n">
        <v>46143</v>
      </c>
      <c r="E1229" s="4" t="s">
        <v>204</v>
      </c>
      <c r="F1229" s="4" t="s">
        <v>210</v>
      </c>
      <c r="G1229" s="4" t="n">
        <v>2</v>
      </c>
      <c r="H1229" s="4" t="n">
        <v>13</v>
      </c>
      <c r="I1229" s="4" t="n">
        <v>0</v>
      </c>
      <c r="J1229" s="4"/>
      <c r="K1229" s="4" t="n">
        <v>0</v>
      </c>
      <c r="L1229" s="12" t="n">
        <v>0.142048</v>
      </c>
      <c r="M1229" s="12" t="n">
        <v>0.092063</v>
      </c>
      <c r="N1229" s="12" t="n">
        <v>0.076827</v>
      </c>
      <c r="O1229" s="12" t="n">
        <v>0.106183</v>
      </c>
      <c r="P1229" s="12" t="n">
        <v>0.080499</v>
      </c>
      <c r="Q1229" s="0" t="str">
        <f aca="false">IF(L1229&gt;=Models!$G$5,1+COUNTIF($L$5:$L$1517,"&gt;"&amp;L1229)+COUNTIFS($L$5:$L$1517,L1229,$B$5:$B$1517,"&lt;"&amp;B1229)+COUNTIFS($L$5:$L$1517,L1229,$B$5:$B$1517,B1229,$C$5:$C$1517,"&lt;"&amp;C1229),"")</f>
        <v/>
      </c>
      <c r="R1229" s="0" t="str">
        <f aca="false">IF(M1229&gt;=Models!$G$6,1+COUNTIF($M$5:$M$1517,"&gt;"&amp;M1229)+COUNTIFS($M$5:$M$1517,M1229,$B$5:$B$1517,"&lt;"&amp;B1229)+COUNTIFS($M$5:$M$1517,M1229,$B$5:$B$1517,B1229,$C$5:$C$1517,"&lt;"&amp;C1229),"")</f>
        <v/>
      </c>
      <c r="S1229" s="0" t="str">
        <f aca="false">IF(N1229&gt;=Models!$G$7,1+COUNTIF($N$5:$N$1517,"&gt;"&amp;N1229)+COUNTIFS($N$5:$N$1517,N1229,$B$5:$B$1517,"&lt;"&amp;B1229)+COUNTIFS($N$5:$N$1517,N1229,$B$5:$B$1517,B1229,$C$5:$C$1517,"&lt;"&amp;C1229),"")</f>
        <v/>
      </c>
      <c r="T1229" s="8" t="n">
        <f aca="false">IF(O1229&gt;=Models!$G$8,1+COUNTIF($O$5:$O$1517,"&gt;"&amp;O1229)+COUNTIFS($O$5:$O$1517,O1229,$B$5:$B$1517,"&lt;"&amp;B1229)+COUNTIFS($O$5:$O$1517,O1229,$B$5:$B$1517,B1229,$C$5:$C$1517,"&lt;"&amp;C1229),"")</f>
        <v>448</v>
      </c>
      <c r="U1229" s="8" t="n">
        <f aca="false">IF($K1229=1,COUNTIFS($L$5:$L$1517,"&gt;="&amp;L1229,$K$5:$K$1517,1)/COUNTIF($L$5:$L$1517,"&gt;="&amp;L1229),0)</f>
        <v>0</v>
      </c>
      <c r="V1229" s="8" t="n">
        <f aca="false">IF($K1229=1,COUNTIFS($M$5:$M$1517,"&gt;="&amp;M1229,$K$5:$K$1517,1)/COUNTIF($M$5:$M$1517,"&gt;="&amp;M1229),0)</f>
        <v>0</v>
      </c>
      <c r="W1229" s="8" t="n">
        <f aca="false">IF($K1229=1,COUNTIFS($N$5:$N$1517,"&gt;="&amp;N1229,$K$5:$K$1517,1)/COUNTIF($N$5:$N$1517,"&gt;="&amp;N1229),0)</f>
        <v>0</v>
      </c>
      <c r="X1229" s="8" t="n">
        <f aca="false">IF($K1229=1,COUNTIFS($O$5:$O$1517,"&gt;="&amp;O1229,$K$5:$K$1517,1)/COUNTIF($O$5:$O$1517,"&gt;="&amp;O1229),0)</f>
        <v>0</v>
      </c>
      <c r="Y1229" s="8" t="n">
        <f aca="false">IF($K1229=1,COUNTIFS($P$5:$P$1517,"&gt;="&amp;P1229,$K$5:$K$1517,1)/COUNTIF($P$5:$P$1517,"&gt;="&amp;P1229),0)</f>
        <v>0</v>
      </c>
      <c r="Z1229" s="8" t="n">
        <f aca="false">(L1229-$K1229)^2</f>
        <v>0.020177634304</v>
      </c>
      <c r="AA1229" s="8" t="n">
        <f aca="false">(M1229-$K1229)^2</f>
        <v>0.008475595969</v>
      </c>
      <c r="AB1229" s="8" t="n">
        <f aca="false">(N1229-$K1229)^2</f>
        <v>0.005902387929</v>
      </c>
      <c r="AC1229" s="8" t="n">
        <f aca="false">(O1229-$K1229)^2</f>
        <v>0.011274829489</v>
      </c>
      <c r="AD1229" s="8" t="n">
        <f aca="false">(P1229-$K1229)^2</f>
        <v>0.006480089001</v>
      </c>
      <c r="AE1229" s="8" t="n">
        <f aca="false">MIN(INT(ROUND(N1229*1000000,0)/100000),9)</f>
        <v>0</v>
      </c>
      <c r="AF1229" s="8" t="n">
        <f aca="false">MIN(INT(ROUND(P1229*1000000,0)/100000),9)</f>
        <v>0</v>
      </c>
    </row>
    <row r="1230" customFormat="false" ht="15" hidden="false" customHeight="false" outlineLevel="0" collapsed="false">
      <c r="A1230" s="4" t="n">
        <v>1226</v>
      </c>
      <c r="B1230" s="4" t="n">
        <v>596</v>
      </c>
      <c r="C1230" s="4" t="n">
        <v>3</v>
      </c>
      <c r="D1230" s="11" t="n">
        <v>46143</v>
      </c>
      <c r="E1230" s="4" t="s">
        <v>202</v>
      </c>
      <c r="F1230" s="4" t="s">
        <v>208</v>
      </c>
      <c r="G1230" s="4" t="n">
        <v>4</v>
      </c>
      <c r="H1230" s="4" t="n">
        <v>1</v>
      </c>
      <c r="I1230" s="4" t="n">
        <v>0</v>
      </c>
      <c r="J1230" s="4"/>
      <c r="K1230" s="4" t="n">
        <v>0</v>
      </c>
      <c r="L1230" s="12" t="n">
        <v>0.532605</v>
      </c>
      <c r="M1230" s="12" t="n">
        <v>0.092063</v>
      </c>
      <c r="N1230" s="12" t="n">
        <v>0.059268</v>
      </c>
      <c r="O1230" s="12" t="n">
        <v>0.106183</v>
      </c>
      <c r="P1230" s="12" t="n">
        <v>0.06139</v>
      </c>
      <c r="Q1230" s="0" t="str">
        <f aca="false">IF(L1230&gt;=Models!$G$5,1+COUNTIF($L$5:$L$1517,"&gt;"&amp;L1230)+COUNTIFS($L$5:$L$1517,L1230,$B$5:$B$1517,"&lt;"&amp;B1230)+COUNTIFS($L$5:$L$1517,L1230,$B$5:$B$1517,B1230,$C$5:$C$1517,"&lt;"&amp;C1230),"")</f>
        <v/>
      </c>
      <c r="R1230" s="0" t="str">
        <f aca="false">IF(M1230&gt;=Models!$G$6,1+COUNTIF($M$5:$M$1517,"&gt;"&amp;M1230)+COUNTIFS($M$5:$M$1517,M1230,$B$5:$B$1517,"&lt;"&amp;B1230)+COUNTIFS($M$5:$M$1517,M1230,$B$5:$B$1517,B1230,$C$5:$C$1517,"&lt;"&amp;C1230),"")</f>
        <v/>
      </c>
      <c r="S1230" s="0" t="str">
        <f aca="false">IF(N1230&gt;=Models!$G$7,1+COUNTIF($N$5:$N$1517,"&gt;"&amp;N1230)+COUNTIFS($N$5:$N$1517,N1230,$B$5:$B$1517,"&lt;"&amp;B1230)+COUNTIFS($N$5:$N$1517,N1230,$B$5:$B$1517,B1230,$C$5:$C$1517,"&lt;"&amp;C1230),"")</f>
        <v/>
      </c>
      <c r="T1230" s="8" t="n">
        <f aca="false">IF(O1230&gt;=Models!$G$8,1+COUNTIF($O$5:$O$1517,"&gt;"&amp;O1230)+COUNTIFS($O$5:$O$1517,O1230,$B$5:$B$1517,"&lt;"&amp;B1230)+COUNTIFS($O$5:$O$1517,O1230,$B$5:$B$1517,B1230,$C$5:$C$1517,"&lt;"&amp;C1230),"")</f>
        <v>452</v>
      </c>
      <c r="U1230" s="8" t="n">
        <f aca="false">IF($K1230=1,COUNTIFS($L$5:$L$1517,"&gt;="&amp;L1230,$K$5:$K$1517,1)/COUNTIF($L$5:$L$1517,"&gt;="&amp;L1230),0)</f>
        <v>0</v>
      </c>
      <c r="V1230" s="8" t="n">
        <f aca="false">IF($K1230=1,COUNTIFS($M$5:$M$1517,"&gt;="&amp;M1230,$K$5:$K$1517,1)/COUNTIF($M$5:$M$1517,"&gt;="&amp;M1230),0)</f>
        <v>0</v>
      </c>
      <c r="W1230" s="8" t="n">
        <f aca="false">IF($K1230=1,COUNTIFS($N$5:$N$1517,"&gt;="&amp;N1230,$K$5:$K$1517,1)/COUNTIF($N$5:$N$1517,"&gt;="&amp;N1230),0)</f>
        <v>0</v>
      </c>
      <c r="X1230" s="8" t="n">
        <f aca="false">IF($K1230=1,COUNTIFS($O$5:$O$1517,"&gt;="&amp;O1230,$K$5:$K$1517,1)/COUNTIF($O$5:$O$1517,"&gt;="&amp;O1230),0)</f>
        <v>0</v>
      </c>
      <c r="Y1230" s="8" t="n">
        <f aca="false">IF($K1230=1,COUNTIFS($P$5:$P$1517,"&gt;="&amp;P1230,$K$5:$K$1517,1)/COUNTIF($P$5:$P$1517,"&gt;="&amp;P1230),0)</f>
        <v>0</v>
      </c>
      <c r="Z1230" s="8" t="n">
        <f aca="false">(L1230-$K1230)^2</f>
        <v>0.283668086025</v>
      </c>
      <c r="AA1230" s="8" t="n">
        <f aca="false">(M1230-$K1230)^2</f>
        <v>0.008475595969</v>
      </c>
      <c r="AB1230" s="8" t="n">
        <f aca="false">(N1230-$K1230)^2</f>
        <v>0.003512695824</v>
      </c>
      <c r="AC1230" s="8" t="n">
        <f aca="false">(O1230-$K1230)^2</f>
        <v>0.011274829489</v>
      </c>
      <c r="AD1230" s="8" t="n">
        <f aca="false">(P1230-$K1230)^2</f>
        <v>0.0037687321</v>
      </c>
      <c r="AE1230" s="8" t="n">
        <f aca="false">MIN(INT(ROUND(N1230*1000000,0)/100000),9)</f>
        <v>0</v>
      </c>
      <c r="AF1230" s="8" t="n">
        <f aca="false">MIN(INT(ROUND(P1230*1000000,0)/100000),9)</f>
        <v>0</v>
      </c>
    </row>
    <row r="1231" customFormat="false" ht="15" hidden="false" customHeight="false" outlineLevel="0" collapsed="false">
      <c r="A1231" s="4" t="n">
        <v>1227</v>
      </c>
      <c r="B1231" s="4" t="n">
        <v>604</v>
      </c>
      <c r="C1231" s="4" t="n">
        <v>3</v>
      </c>
      <c r="D1231" s="11" t="n">
        <v>46143</v>
      </c>
      <c r="E1231" s="4" t="s">
        <v>202</v>
      </c>
      <c r="F1231" s="4" t="s">
        <v>208</v>
      </c>
      <c r="G1231" s="4" t="n">
        <v>2</v>
      </c>
      <c r="H1231" s="4" t="n">
        <v>18</v>
      </c>
      <c r="I1231" s="4" t="n">
        <v>0</v>
      </c>
      <c r="J1231" s="4"/>
      <c r="K1231" s="4" t="n">
        <v>1</v>
      </c>
      <c r="L1231" s="12" t="n">
        <v>0.229258</v>
      </c>
      <c r="M1231" s="12" t="n">
        <v>0.092063</v>
      </c>
      <c r="N1231" s="12" t="n">
        <v>0.079784</v>
      </c>
      <c r="O1231" s="12" t="n">
        <v>0.106183</v>
      </c>
      <c r="P1231" s="12" t="n">
        <v>0.083734</v>
      </c>
      <c r="Q1231" s="0" t="str">
        <f aca="false">IF(L1231&gt;=Models!$G$5,1+COUNTIF($L$5:$L$1517,"&gt;"&amp;L1231)+COUNTIFS($L$5:$L$1517,L1231,$B$5:$B$1517,"&lt;"&amp;B1231)+COUNTIFS($L$5:$L$1517,L1231,$B$5:$B$1517,B1231,$C$5:$C$1517,"&lt;"&amp;C1231),"")</f>
        <v/>
      </c>
      <c r="R1231" s="0" t="str">
        <f aca="false">IF(M1231&gt;=Models!$G$6,1+COUNTIF($M$5:$M$1517,"&gt;"&amp;M1231)+COUNTIFS($M$5:$M$1517,M1231,$B$5:$B$1517,"&lt;"&amp;B1231)+COUNTIFS($M$5:$M$1517,M1231,$B$5:$B$1517,B1231,$C$5:$C$1517,"&lt;"&amp;C1231),"")</f>
        <v/>
      </c>
      <c r="S1231" s="0" t="str">
        <f aca="false">IF(N1231&gt;=Models!$G$7,1+COUNTIF($N$5:$N$1517,"&gt;"&amp;N1231)+COUNTIFS($N$5:$N$1517,N1231,$B$5:$B$1517,"&lt;"&amp;B1231)+COUNTIFS($N$5:$N$1517,N1231,$B$5:$B$1517,B1231,$C$5:$C$1517,"&lt;"&amp;C1231),"")</f>
        <v/>
      </c>
      <c r="T1231" s="8" t="n">
        <f aca="false">IF(O1231&gt;=Models!$G$8,1+COUNTIF($O$5:$O$1517,"&gt;"&amp;O1231)+COUNTIFS($O$5:$O$1517,O1231,$B$5:$B$1517,"&lt;"&amp;B1231)+COUNTIFS($O$5:$O$1517,O1231,$B$5:$B$1517,B1231,$C$5:$C$1517,"&lt;"&amp;C1231),"")</f>
        <v>456</v>
      </c>
      <c r="U1231" s="8" t="n">
        <f aca="false">IF($K1231=1,COUNTIFS($L$5:$L$1517,"&gt;="&amp;L1231,$K$5:$K$1517,1)/COUNTIF($L$5:$L$1517,"&gt;="&amp;L1231),0)</f>
        <v>0.130321459600348</v>
      </c>
      <c r="V1231" s="8" t="n">
        <f aca="false">IF($K1231=1,COUNTIFS($M$5:$M$1517,"&gt;="&amp;M1231,$K$5:$K$1517,1)/COUNTIF($M$5:$M$1517,"&gt;="&amp;M1231),0)</f>
        <v>0.12491738268341</v>
      </c>
      <c r="W1231" s="8" t="n">
        <f aca="false">IF($K1231=1,COUNTIFS($N$5:$N$1517,"&gt;="&amp;N1231,$K$5:$K$1517,1)/COUNTIF($N$5:$N$1517,"&gt;="&amp;N1231),0)</f>
        <v>0.173363949483352</v>
      </c>
      <c r="X1231" s="8" t="n">
        <f aca="false">IF($K1231=1,COUNTIFS($O$5:$O$1517,"&gt;="&amp;O1231,$K$5:$K$1517,1)/COUNTIF($O$5:$O$1517,"&gt;="&amp;O1231),0)</f>
        <v>0.12491738268341</v>
      </c>
      <c r="Y1231" s="8" t="n">
        <f aca="false">IF($K1231=1,COUNTIFS($P$5:$P$1517,"&gt;="&amp;P1231,$K$5:$K$1517,1)/COUNTIF($P$5:$P$1517,"&gt;="&amp;P1231),0)</f>
        <v>0.173363949483352</v>
      </c>
      <c r="Z1231" s="8" t="n">
        <f aca="false">(L1231-$K1231)^2</f>
        <v>0.594043230564</v>
      </c>
      <c r="AA1231" s="8" t="n">
        <f aca="false">(M1231-$K1231)^2</f>
        <v>0.824349595969</v>
      </c>
      <c r="AB1231" s="8" t="n">
        <f aca="false">(N1231-$K1231)^2</f>
        <v>0.846797486656</v>
      </c>
      <c r="AC1231" s="8" t="n">
        <f aca="false">(O1231-$K1231)^2</f>
        <v>0.798908829489</v>
      </c>
      <c r="AD1231" s="8" t="n">
        <f aca="false">(P1231-$K1231)^2</f>
        <v>0.839543382756</v>
      </c>
      <c r="AE1231" s="8" t="n">
        <f aca="false">MIN(INT(ROUND(N1231*1000000,0)/100000),9)</f>
        <v>0</v>
      </c>
      <c r="AF1231" s="8" t="n">
        <f aca="false">MIN(INT(ROUND(P1231*1000000,0)/100000),9)</f>
        <v>0</v>
      </c>
    </row>
    <row r="1232" customFormat="false" ht="15" hidden="false" customHeight="false" outlineLevel="0" collapsed="false">
      <c r="A1232" s="4" t="n">
        <v>1228</v>
      </c>
      <c r="B1232" s="4" t="n">
        <v>607</v>
      </c>
      <c r="C1232" s="4" t="n">
        <v>3</v>
      </c>
      <c r="D1232" s="11" t="n">
        <v>46143</v>
      </c>
      <c r="E1232" s="4" t="s">
        <v>201</v>
      </c>
      <c r="F1232" s="4" t="s">
        <v>210</v>
      </c>
      <c r="G1232" s="4" t="n">
        <v>8</v>
      </c>
      <c r="H1232" s="4" t="n">
        <v>2</v>
      </c>
      <c r="I1232" s="4" t="n">
        <v>2</v>
      </c>
      <c r="J1232" s="4"/>
      <c r="K1232" s="4" t="n">
        <v>0</v>
      </c>
      <c r="L1232" s="12" t="n">
        <v>0.300427</v>
      </c>
      <c r="M1232" s="12" t="n">
        <v>0.184211</v>
      </c>
      <c r="N1232" s="12" t="n">
        <v>0.127385</v>
      </c>
      <c r="O1232" s="12" t="n">
        <v>0.106183</v>
      </c>
      <c r="P1232" s="12" t="n">
        <v>0.136241</v>
      </c>
      <c r="Q1232" s="0" t="str">
        <f aca="false">IF(L1232&gt;=Models!$G$5,1+COUNTIF($L$5:$L$1517,"&gt;"&amp;L1232)+COUNTIFS($L$5:$L$1517,L1232,$B$5:$B$1517,"&lt;"&amp;B1232)+COUNTIFS($L$5:$L$1517,L1232,$B$5:$B$1517,B1232,$C$5:$C$1517,"&lt;"&amp;C1232),"")</f>
        <v/>
      </c>
      <c r="R1232" s="8" t="n">
        <f aca="false">IF(M1232&gt;=Models!$G$6,1+COUNTIF($M$5:$M$1517,"&gt;"&amp;M1232)+COUNTIFS($M$5:$M$1517,M1232,$B$5:$B$1517,"&lt;"&amp;B1232)+COUNTIFS($M$5:$M$1517,M1232,$B$5:$B$1517,B1232,$C$5:$C$1517,"&lt;"&amp;C1232),"")</f>
        <v>49</v>
      </c>
      <c r="S1232" s="0" t="str">
        <f aca="false">IF(N1232&gt;=Models!$G$7,1+COUNTIF($N$5:$N$1517,"&gt;"&amp;N1232)+COUNTIFS($N$5:$N$1517,N1232,$B$5:$B$1517,"&lt;"&amp;B1232)+COUNTIFS($N$5:$N$1517,N1232,$B$5:$B$1517,B1232,$C$5:$C$1517,"&lt;"&amp;C1232),"")</f>
        <v/>
      </c>
      <c r="T1232" s="8" t="n">
        <f aca="false">IF(O1232&gt;=Models!$G$8,1+COUNTIF($O$5:$O$1517,"&gt;"&amp;O1232)+COUNTIFS($O$5:$O$1517,O1232,$B$5:$B$1517,"&lt;"&amp;B1232)+COUNTIFS($O$5:$O$1517,O1232,$B$5:$B$1517,B1232,$C$5:$C$1517,"&lt;"&amp;C1232),"")</f>
        <v>460</v>
      </c>
      <c r="U1232" s="8" t="n">
        <f aca="false">IF($K1232=1,COUNTIFS($L$5:$L$1517,"&gt;="&amp;L1232,$K$5:$K$1517,1)/COUNTIF($L$5:$L$1517,"&gt;="&amp;L1232),0)</f>
        <v>0</v>
      </c>
      <c r="V1232" s="8" t="n">
        <f aca="false">IF($K1232=1,COUNTIFS($M$5:$M$1517,"&gt;="&amp;M1232,$K$5:$K$1517,1)/COUNTIF($M$5:$M$1517,"&gt;="&amp;M1232),0)</f>
        <v>0</v>
      </c>
      <c r="W1232" s="8" t="n">
        <f aca="false">IF($K1232=1,COUNTIFS($N$5:$N$1517,"&gt;="&amp;N1232,$K$5:$K$1517,1)/COUNTIF($N$5:$N$1517,"&gt;="&amp;N1232),0)</f>
        <v>0</v>
      </c>
      <c r="X1232" s="8" t="n">
        <f aca="false">IF($K1232=1,COUNTIFS($O$5:$O$1517,"&gt;="&amp;O1232,$K$5:$K$1517,1)/COUNTIF($O$5:$O$1517,"&gt;="&amp;O1232),0)</f>
        <v>0</v>
      </c>
      <c r="Y1232" s="8" t="n">
        <f aca="false">IF($K1232=1,COUNTIFS($P$5:$P$1517,"&gt;="&amp;P1232,$K$5:$K$1517,1)/COUNTIF($P$5:$P$1517,"&gt;="&amp;P1232),0)</f>
        <v>0</v>
      </c>
      <c r="Z1232" s="8" t="n">
        <f aca="false">(L1232-$K1232)^2</f>
        <v>0.090256382329</v>
      </c>
      <c r="AA1232" s="8" t="n">
        <f aca="false">(M1232-$K1232)^2</f>
        <v>0.033933692521</v>
      </c>
      <c r="AB1232" s="8" t="n">
        <f aca="false">(N1232-$K1232)^2</f>
        <v>0.016226938225</v>
      </c>
      <c r="AC1232" s="8" t="n">
        <f aca="false">(O1232-$K1232)^2</f>
        <v>0.011274829489</v>
      </c>
      <c r="AD1232" s="8" t="n">
        <f aca="false">(P1232-$K1232)^2</f>
        <v>0.018561610081</v>
      </c>
      <c r="AE1232" s="8" t="n">
        <f aca="false">MIN(INT(ROUND(N1232*1000000,0)/100000),9)</f>
        <v>1</v>
      </c>
      <c r="AF1232" s="8" t="n">
        <f aca="false">MIN(INT(ROUND(P1232*1000000,0)/100000),9)</f>
        <v>1</v>
      </c>
    </row>
    <row r="1233" customFormat="false" ht="15" hidden="false" customHeight="false" outlineLevel="0" collapsed="false">
      <c r="A1233" s="4" t="n">
        <v>1229</v>
      </c>
      <c r="B1233" s="4" t="n">
        <v>618</v>
      </c>
      <c r="C1233" s="4" t="n">
        <v>3</v>
      </c>
      <c r="D1233" s="11" t="n">
        <v>46143</v>
      </c>
      <c r="E1233" s="4" t="s">
        <v>203</v>
      </c>
      <c r="F1233" s="4" t="s">
        <v>206</v>
      </c>
      <c r="G1233" s="4" t="n">
        <v>11</v>
      </c>
      <c r="H1233" s="4" t="n">
        <v>1</v>
      </c>
      <c r="I1233" s="4" t="n">
        <v>0</v>
      </c>
      <c r="J1233" s="4" t="n">
        <v>441</v>
      </c>
      <c r="K1233" s="4" t="n">
        <v>0</v>
      </c>
      <c r="L1233" s="12" t="n">
        <v>0.320187</v>
      </c>
      <c r="M1233" s="12" t="n">
        <v>0.092063</v>
      </c>
      <c r="N1233" s="12" t="n">
        <v>0.065169</v>
      </c>
      <c r="O1233" s="12" t="n">
        <v>0.106183</v>
      </c>
      <c r="P1233" s="12" t="n">
        <v>0.067791</v>
      </c>
      <c r="Q1233" s="0" t="str">
        <f aca="false">IF(L1233&gt;=Models!$G$5,1+COUNTIF($L$5:$L$1517,"&gt;"&amp;L1233)+COUNTIFS($L$5:$L$1517,L1233,$B$5:$B$1517,"&lt;"&amp;B1233)+COUNTIFS($L$5:$L$1517,L1233,$B$5:$B$1517,B1233,$C$5:$C$1517,"&lt;"&amp;C1233),"")</f>
        <v/>
      </c>
      <c r="R1233" s="0" t="str">
        <f aca="false">IF(M1233&gt;=Models!$G$6,1+COUNTIF($M$5:$M$1517,"&gt;"&amp;M1233)+COUNTIFS($M$5:$M$1517,M1233,$B$5:$B$1517,"&lt;"&amp;B1233)+COUNTIFS($M$5:$M$1517,M1233,$B$5:$B$1517,B1233,$C$5:$C$1517,"&lt;"&amp;C1233),"")</f>
        <v/>
      </c>
      <c r="S1233" s="0" t="str">
        <f aca="false">IF(N1233&gt;=Models!$G$7,1+COUNTIF($N$5:$N$1517,"&gt;"&amp;N1233)+COUNTIFS($N$5:$N$1517,N1233,$B$5:$B$1517,"&lt;"&amp;B1233)+COUNTIFS($N$5:$N$1517,N1233,$B$5:$B$1517,B1233,$C$5:$C$1517,"&lt;"&amp;C1233),"")</f>
        <v/>
      </c>
      <c r="T1233" s="8" t="n">
        <f aca="false">IF(O1233&gt;=Models!$G$8,1+COUNTIF($O$5:$O$1517,"&gt;"&amp;O1233)+COUNTIFS($O$5:$O$1517,O1233,$B$5:$B$1517,"&lt;"&amp;B1233)+COUNTIFS($O$5:$O$1517,O1233,$B$5:$B$1517,B1233,$C$5:$C$1517,"&lt;"&amp;C1233),"")</f>
        <v>464</v>
      </c>
      <c r="U1233" s="8" t="n">
        <f aca="false">IF($K1233=1,COUNTIFS($L$5:$L$1517,"&gt;="&amp;L1233,$K$5:$K$1517,1)/COUNTIF($L$5:$L$1517,"&gt;="&amp;L1233),0)</f>
        <v>0</v>
      </c>
      <c r="V1233" s="8" t="n">
        <f aca="false">IF($K1233=1,COUNTIFS($M$5:$M$1517,"&gt;="&amp;M1233,$K$5:$K$1517,1)/COUNTIF($M$5:$M$1517,"&gt;="&amp;M1233),0)</f>
        <v>0</v>
      </c>
      <c r="W1233" s="8" t="n">
        <f aca="false">IF($K1233=1,COUNTIFS($N$5:$N$1517,"&gt;="&amp;N1233,$K$5:$K$1517,1)/COUNTIF($N$5:$N$1517,"&gt;="&amp;N1233),0)</f>
        <v>0</v>
      </c>
      <c r="X1233" s="8" t="n">
        <f aca="false">IF($K1233=1,COUNTIFS($O$5:$O$1517,"&gt;="&amp;O1233,$K$5:$K$1517,1)/COUNTIF($O$5:$O$1517,"&gt;="&amp;O1233),0)</f>
        <v>0</v>
      </c>
      <c r="Y1233" s="8" t="n">
        <f aca="false">IF($K1233=1,COUNTIFS($P$5:$P$1517,"&gt;="&amp;P1233,$K$5:$K$1517,1)/COUNTIF($P$5:$P$1517,"&gt;="&amp;P1233),0)</f>
        <v>0</v>
      </c>
      <c r="Z1233" s="8" t="n">
        <f aca="false">(L1233-$K1233)^2</f>
        <v>0.102519714969</v>
      </c>
      <c r="AA1233" s="8" t="n">
        <f aca="false">(M1233-$K1233)^2</f>
        <v>0.008475595969</v>
      </c>
      <c r="AB1233" s="8" t="n">
        <f aca="false">(N1233-$K1233)^2</f>
        <v>0.004246998561</v>
      </c>
      <c r="AC1233" s="8" t="n">
        <f aca="false">(O1233-$K1233)^2</f>
        <v>0.011274829489</v>
      </c>
      <c r="AD1233" s="8" t="n">
        <f aca="false">(P1233-$K1233)^2</f>
        <v>0.004595619681</v>
      </c>
      <c r="AE1233" s="8" t="n">
        <f aca="false">MIN(INT(ROUND(N1233*1000000,0)/100000),9)</f>
        <v>0</v>
      </c>
      <c r="AF1233" s="8" t="n">
        <f aca="false">MIN(INT(ROUND(P1233*1000000,0)/100000),9)</f>
        <v>0</v>
      </c>
    </row>
    <row r="1234" customFormat="false" ht="15" hidden="false" customHeight="false" outlineLevel="0" collapsed="false">
      <c r="A1234" s="4" t="n">
        <v>1230</v>
      </c>
      <c r="B1234" s="4" t="n">
        <v>621</v>
      </c>
      <c r="C1234" s="4" t="n">
        <v>3</v>
      </c>
      <c r="D1234" s="11" t="n">
        <v>46143</v>
      </c>
      <c r="E1234" s="4" t="s">
        <v>201</v>
      </c>
      <c r="F1234" s="4" t="s">
        <v>209</v>
      </c>
      <c r="G1234" s="4" t="n">
        <v>3</v>
      </c>
      <c r="H1234" s="4" t="n">
        <v>2</v>
      </c>
      <c r="I1234" s="4" t="n">
        <v>0</v>
      </c>
      <c r="J1234" s="4" t="n">
        <v>6883.8</v>
      </c>
      <c r="K1234" s="4" t="n">
        <v>0</v>
      </c>
      <c r="L1234" s="12" t="n">
        <v>0.240468</v>
      </c>
      <c r="M1234" s="12" t="n">
        <v>0.092063</v>
      </c>
      <c r="N1234" s="12" t="n">
        <v>0.090349</v>
      </c>
      <c r="O1234" s="12" t="n">
        <v>0.106183</v>
      </c>
      <c r="P1234" s="12" t="n">
        <v>0.095325</v>
      </c>
      <c r="Q1234" s="0" t="str">
        <f aca="false">IF(L1234&gt;=Models!$G$5,1+COUNTIF($L$5:$L$1517,"&gt;"&amp;L1234)+COUNTIFS($L$5:$L$1517,L1234,$B$5:$B$1517,"&lt;"&amp;B1234)+COUNTIFS($L$5:$L$1517,L1234,$B$5:$B$1517,B1234,$C$5:$C$1517,"&lt;"&amp;C1234),"")</f>
        <v/>
      </c>
      <c r="R1234" s="0" t="str">
        <f aca="false">IF(M1234&gt;=Models!$G$6,1+COUNTIF($M$5:$M$1517,"&gt;"&amp;M1234)+COUNTIFS($M$5:$M$1517,M1234,$B$5:$B$1517,"&lt;"&amp;B1234)+COUNTIFS($M$5:$M$1517,M1234,$B$5:$B$1517,B1234,$C$5:$C$1517,"&lt;"&amp;C1234),"")</f>
        <v/>
      </c>
      <c r="S1234" s="0" t="str">
        <f aca="false">IF(N1234&gt;=Models!$G$7,1+COUNTIF($N$5:$N$1517,"&gt;"&amp;N1234)+COUNTIFS($N$5:$N$1517,N1234,$B$5:$B$1517,"&lt;"&amp;B1234)+COUNTIFS($N$5:$N$1517,N1234,$B$5:$B$1517,B1234,$C$5:$C$1517,"&lt;"&amp;C1234),"")</f>
        <v/>
      </c>
      <c r="T1234" s="8" t="n">
        <f aca="false">IF(O1234&gt;=Models!$G$8,1+COUNTIF($O$5:$O$1517,"&gt;"&amp;O1234)+COUNTIFS($O$5:$O$1517,O1234,$B$5:$B$1517,"&lt;"&amp;B1234)+COUNTIFS($O$5:$O$1517,O1234,$B$5:$B$1517,B1234,$C$5:$C$1517,"&lt;"&amp;C1234),"")</f>
        <v>468</v>
      </c>
      <c r="U1234" s="8" t="n">
        <f aca="false">IF($K1234=1,COUNTIFS($L$5:$L$1517,"&gt;="&amp;L1234,$K$5:$K$1517,1)/COUNTIF($L$5:$L$1517,"&gt;="&amp;L1234),0)</f>
        <v>0</v>
      </c>
      <c r="V1234" s="8" t="n">
        <f aca="false">IF($K1234=1,COUNTIFS($M$5:$M$1517,"&gt;="&amp;M1234,$K$5:$K$1517,1)/COUNTIF($M$5:$M$1517,"&gt;="&amp;M1234),0)</f>
        <v>0</v>
      </c>
      <c r="W1234" s="8" t="n">
        <f aca="false">IF($K1234=1,COUNTIFS($N$5:$N$1517,"&gt;="&amp;N1234,$K$5:$K$1517,1)/COUNTIF($N$5:$N$1517,"&gt;="&amp;N1234),0)</f>
        <v>0</v>
      </c>
      <c r="X1234" s="8" t="n">
        <f aca="false">IF($K1234=1,COUNTIFS($O$5:$O$1517,"&gt;="&amp;O1234,$K$5:$K$1517,1)/COUNTIF($O$5:$O$1517,"&gt;="&amp;O1234),0)</f>
        <v>0</v>
      </c>
      <c r="Y1234" s="8" t="n">
        <f aca="false">IF($K1234=1,COUNTIFS($P$5:$P$1517,"&gt;="&amp;P1234,$K$5:$K$1517,1)/COUNTIF($P$5:$P$1517,"&gt;="&amp;P1234),0)</f>
        <v>0</v>
      </c>
      <c r="Z1234" s="8" t="n">
        <f aca="false">(L1234-$K1234)^2</f>
        <v>0.057824859024</v>
      </c>
      <c r="AA1234" s="8" t="n">
        <f aca="false">(M1234-$K1234)^2</f>
        <v>0.008475595969</v>
      </c>
      <c r="AB1234" s="8" t="n">
        <f aca="false">(N1234-$K1234)^2</f>
        <v>0.008162941801</v>
      </c>
      <c r="AC1234" s="8" t="n">
        <f aca="false">(O1234-$K1234)^2</f>
        <v>0.011274829489</v>
      </c>
      <c r="AD1234" s="8" t="n">
        <f aca="false">(P1234-$K1234)^2</f>
        <v>0.009086855625</v>
      </c>
      <c r="AE1234" s="8" t="n">
        <f aca="false">MIN(INT(ROUND(N1234*1000000,0)/100000),9)</f>
        <v>0</v>
      </c>
      <c r="AF1234" s="8" t="n">
        <f aca="false">MIN(INT(ROUND(P1234*1000000,0)/100000),9)</f>
        <v>0</v>
      </c>
    </row>
    <row r="1235" customFormat="false" ht="15" hidden="false" customHeight="false" outlineLevel="0" collapsed="false">
      <c r="A1235" s="4" t="n">
        <v>1231</v>
      </c>
      <c r="B1235" s="4" t="n">
        <v>629</v>
      </c>
      <c r="C1235" s="4" t="n">
        <v>3</v>
      </c>
      <c r="D1235" s="11" t="n">
        <v>46143</v>
      </c>
      <c r="E1235" s="4" t="s">
        <v>201</v>
      </c>
      <c r="F1235" s="4" t="s">
        <v>210</v>
      </c>
      <c r="G1235" s="4" t="n">
        <v>18</v>
      </c>
      <c r="H1235" s="4" t="n">
        <v>3</v>
      </c>
      <c r="I1235" s="4" t="n">
        <v>0</v>
      </c>
      <c r="J1235" s="4"/>
      <c r="K1235" s="4" t="n">
        <v>0</v>
      </c>
      <c r="L1235" s="12" t="n">
        <v>0.173357</v>
      </c>
      <c r="M1235" s="12" t="n">
        <v>0.092063</v>
      </c>
      <c r="N1235" s="12" t="n">
        <v>0.017844</v>
      </c>
      <c r="O1235" s="12" t="n">
        <v>0.106183</v>
      </c>
      <c r="P1235" s="12" t="n">
        <v>0.017467</v>
      </c>
      <c r="Q1235" s="0" t="str">
        <f aca="false">IF(L1235&gt;=Models!$G$5,1+COUNTIF($L$5:$L$1517,"&gt;"&amp;L1235)+COUNTIFS($L$5:$L$1517,L1235,$B$5:$B$1517,"&lt;"&amp;B1235)+COUNTIFS($L$5:$L$1517,L1235,$B$5:$B$1517,B1235,$C$5:$C$1517,"&lt;"&amp;C1235),"")</f>
        <v/>
      </c>
      <c r="R1235" s="0" t="str">
        <f aca="false">IF(M1235&gt;=Models!$G$6,1+COUNTIF($M$5:$M$1517,"&gt;"&amp;M1235)+COUNTIFS($M$5:$M$1517,M1235,$B$5:$B$1517,"&lt;"&amp;B1235)+COUNTIFS($M$5:$M$1517,M1235,$B$5:$B$1517,B1235,$C$5:$C$1517,"&lt;"&amp;C1235),"")</f>
        <v/>
      </c>
      <c r="S1235" s="0" t="str">
        <f aca="false">IF(N1235&gt;=Models!$G$7,1+COUNTIF($N$5:$N$1517,"&gt;"&amp;N1235)+COUNTIFS($N$5:$N$1517,N1235,$B$5:$B$1517,"&lt;"&amp;B1235)+COUNTIFS($N$5:$N$1517,N1235,$B$5:$B$1517,B1235,$C$5:$C$1517,"&lt;"&amp;C1235),"")</f>
        <v/>
      </c>
      <c r="T1235" s="8" t="n">
        <f aca="false">IF(O1235&gt;=Models!$G$8,1+COUNTIF($O$5:$O$1517,"&gt;"&amp;O1235)+COUNTIFS($O$5:$O$1517,O1235,$B$5:$B$1517,"&lt;"&amp;B1235)+COUNTIFS($O$5:$O$1517,O1235,$B$5:$B$1517,B1235,$C$5:$C$1517,"&lt;"&amp;C1235),"")</f>
        <v>472</v>
      </c>
      <c r="U1235" s="8" t="n">
        <f aca="false">IF($K1235=1,COUNTIFS($L$5:$L$1517,"&gt;="&amp;L1235,$K$5:$K$1517,1)/COUNTIF($L$5:$L$1517,"&gt;="&amp;L1235),0)</f>
        <v>0</v>
      </c>
      <c r="V1235" s="8" t="n">
        <f aca="false">IF($K1235=1,COUNTIFS($M$5:$M$1517,"&gt;="&amp;M1235,$K$5:$K$1517,1)/COUNTIF($M$5:$M$1517,"&gt;="&amp;M1235),0)</f>
        <v>0</v>
      </c>
      <c r="W1235" s="8" t="n">
        <f aca="false">IF($K1235=1,COUNTIFS($N$5:$N$1517,"&gt;="&amp;N1235,$K$5:$K$1517,1)/COUNTIF($N$5:$N$1517,"&gt;="&amp;N1235),0)</f>
        <v>0</v>
      </c>
      <c r="X1235" s="8" t="n">
        <f aca="false">IF($K1235=1,COUNTIFS($O$5:$O$1517,"&gt;="&amp;O1235,$K$5:$K$1517,1)/COUNTIF($O$5:$O$1517,"&gt;="&amp;O1235),0)</f>
        <v>0</v>
      </c>
      <c r="Y1235" s="8" t="n">
        <f aca="false">IF($K1235=1,COUNTIFS($P$5:$P$1517,"&gt;="&amp;P1235,$K$5:$K$1517,1)/COUNTIF($P$5:$P$1517,"&gt;="&amp;P1235),0)</f>
        <v>0</v>
      </c>
      <c r="Z1235" s="8" t="n">
        <f aca="false">(L1235-$K1235)^2</f>
        <v>0.030052649449</v>
      </c>
      <c r="AA1235" s="8" t="n">
        <f aca="false">(M1235-$K1235)^2</f>
        <v>0.008475595969</v>
      </c>
      <c r="AB1235" s="8" t="n">
        <f aca="false">(N1235-$K1235)^2</f>
        <v>0.000318408336</v>
      </c>
      <c r="AC1235" s="8" t="n">
        <f aca="false">(O1235-$K1235)^2</f>
        <v>0.011274829489</v>
      </c>
      <c r="AD1235" s="8" t="n">
        <f aca="false">(P1235-$K1235)^2</f>
        <v>0.000305096089</v>
      </c>
      <c r="AE1235" s="8" t="n">
        <f aca="false">MIN(INT(ROUND(N1235*1000000,0)/100000),9)</f>
        <v>0</v>
      </c>
      <c r="AF1235" s="8" t="n">
        <f aca="false">MIN(INT(ROUND(P1235*1000000,0)/100000),9)</f>
        <v>0</v>
      </c>
    </row>
    <row r="1236" customFormat="false" ht="15" hidden="false" customHeight="false" outlineLevel="0" collapsed="false">
      <c r="A1236" s="4" t="n">
        <v>1232</v>
      </c>
      <c r="B1236" s="4" t="n">
        <v>633</v>
      </c>
      <c r="C1236" s="4" t="n">
        <v>3</v>
      </c>
      <c r="D1236" s="11" t="n">
        <v>46143</v>
      </c>
      <c r="E1236" s="4" t="s">
        <v>201</v>
      </c>
      <c r="F1236" s="4" t="s">
        <v>206</v>
      </c>
      <c r="G1236" s="4" t="n">
        <v>25</v>
      </c>
      <c r="H1236" s="4" t="n">
        <v>3</v>
      </c>
      <c r="I1236" s="4" t="n">
        <v>0</v>
      </c>
      <c r="J1236" s="4"/>
      <c r="K1236" s="4" t="n">
        <v>0</v>
      </c>
      <c r="L1236" s="12" t="n">
        <v>0.105363</v>
      </c>
      <c r="M1236" s="12" t="n">
        <v>0.092063</v>
      </c>
      <c r="N1236" s="12" t="n">
        <v>0.009584</v>
      </c>
      <c r="O1236" s="12" t="n">
        <v>0.106183</v>
      </c>
      <c r="P1236" s="12" t="n">
        <v>0.009106</v>
      </c>
      <c r="Q1236" s="0" t="str">
        <f aca="false">IF(L1236&gt;=Models!$G$5,1+COUNTIF($L$5:$L$1517,"&gt;"&amp;L1236)+COUNTIFS($L$5:$L$1517,L1236,$B$5:$B$1517,"&lt;"&amp;B1236)+COUNTIFS($L$5:$L$1517,L1236,$B$5:$B$1517,B1236,$C$5:$C$1517,"&lt;"&amp;C1236),"")</f>
        <v/>
      </c>
      <c r="R1236" s="0" t="str">
        <f aca="false">IF(M1236&gt;=Models!$G$6,1+COUNTIF($M$5:$M$1517,"&gt;"&amp;M1236)+COUNTIFS($M$5:$M$1517,M1236,$B$5:$B$1517,"&lt;"&amp;B1236)+COUNTIFS($M$5:$M$1517,M1236,$B$5:$B$1517,B1236,$C$5:$C$1517,"&lt;"&amp;C1236),"")</f>
        <v/>
      </c>
      <c r="S1236" s="0" t="str">
        <f aca="false">IF(N1236&gt;=Models!$G$7,1+COUNTIF($N$5:$N$1517,"&gt;"&amp;N1236)+COUNTIFS($N$5:$N$1517,N1236,$B$5:$B$1517,"&lt;"&amp;B1236)+COUNTIFS($N$5:$N$1517,N1236,$B$5:$B$1517,B1236,$C$5:$C$1517,"&lt;"&amp;C1236),"")</f>
        <v/>
      </c>
      <c r="T1236" s="8" t="n">
        <f aca="false">IF(O1236&gt;=Models!$G$8,1+COUNTIF($O$5:$O$1517,"&gt;"&amp;O1236)+COUNTIFS($O$5:$O$1517,O1236,$B$5:$B$1517,"&lt;"&amp;B1236)+COUNTIFS($O$5:$O$1517,O1236,$B$5:$B$1517,B1236,$C$5:$C$1517,"&lt;"&amp;C1236),"")</f>
        <v>476</v>
      </c>
      <c r="U1236" s="8" t="n">
        <f aca="false">IF($K1236=1,COUNTIFS($L$5:$L$1517,"&gt;="&amp;L1236,$K$5:$K$1517,1)/COUNTIF($L$5:$L$1517,"&gt;="&amp;L1236),0)</f>
        <v>0</v>
      </c>
      <c r="V1236" s="8" t="n">
        <f aca="false">IF($K1236=1,COUNTIFS($M$5:$M$1517,"&gt;="&amp;M1236,$K$5:$K$1517,1)/COUNTIF($M$5:$M$1517,"&gt;="&amp;M1236),0)</f>
        <v>0</v>
      </c>
      <c r="W1236" s="8" t="n">
        <f aca="false">IF($K1236=1,COUNTIFS($N$5:$N$1517,"&gt;="&amp;N1236,$K$5:$K$1517,1)/COUNTIF($N$5:$N$1517,"&gt;="&amp;N1236),0)</f>
        <v>0</v>
      </c>
      <c r="X1236" s="8" t="n">
        <f aca="false">IF($K1236=1,COUNTIFS($O$5:$O$1517,"&gt;="&amp;O1236,$K$5:$K$1517,1)/COUNTIF($O$5:$O$1517,"&gt;="&amp;O1236),0)</f>
        <v>0</v>
      </c>
      <c r="Y1236" s="8" t="n">
        <f aca="false">IF($K1236=1,COUNTIFS($P$5:$P$1517,"&gt;="&amp;P1236,$K$5:$K$1517,1)/COUNTIF($P$5:$P$1517,"&gt;="&amp;P1236),0)</f>
        <v>0</v>
      </c>
      <c r="Z1236" s="8" t="n">
        <f aca="false">(L1236-$K1236)^2</f>
        <v>0.011101361769</v>
      </c>
      <c r="AA1236" s="8" t="n">
        <f aca="false">(M1236-$K1236)^2</f>
        <v>0.008475595969</v>
      </c>
      <c r="AB1236" s="8" t="n">
        <f aca="false">(N1236-$K1236)^2</f>
        <v>9.1853056E-005</v>
      </c>
      <c r="AC1236" s="8" t="n">
        <f aca="false">(O1236-$K1236)^2</f>
        <v>0.011274829489</v>
      </c>
      <c r="AD1236" s="8" t="n">
        <f aca="false">(P1236-$K1236)^2</f>
        <v>8.2919236E-005</v>
      </c>
      <c r="AE1236" s="8" t="n">
        <f aca="false">MIN(INT(ROUND(N1236*1000000,0)/100000),9)</f>
        <v>0</v>
      </c>
      <c r="AF1236" s="8" t="n">
        <f aca="false">MIN(INT(ROUND(P1236*1000000,0)/100000),9)</f>
        <v>0</v>
      </c>
    </row>
    <row r="1237" customFormat="false" ht="15" hidden="false" customHeight="false" outlineLevel="0" collapsed="false">
      <c r="A1237" s="4" t="n">
        <v>1233</v>
      </c>
      <c r="B1237" s="4" t="n">
        <v>635</v>
      </c>
      <c r="C1237" s="4" t="n">
        <v>3</v>
      </c>
      <c r="D1237" s="11" t="n">
        <v>46143</v>
      </c>
      <c r="E1237" s="4" t="s">
        <v>201</v>
      </c>
      <c r="F1237" s="4" t="s">
        <v>208</v>
      </c>
      <c r="G1237" s="4" t="n">
        <v>5</v>
      </c>
      <c r="H1237" s="4" t="n">
        <v>0</v>
      </c>
      <c r="I1237" s="4" t="n">
        <v>0</v>
      </c>
      <c r="J1237" s="4"/>
      <c r="K1237" s="4" t="n">
        <v>0</v>
      </c>
      <c r="L1237" s="12" t="n">
        <v>0.430823</v>
      </c>
      <c r="M1237" s="12" t="n">
        <v>0.092063</v>
      </c>
      <c r="N1237" s="12" t="n">
        <v>0.054025</v>
      </c>
      <c r="O1237" s="12" t="n">
        <v>0.106183</v>
      </c>
      <c r="P1237" s="12" t="n">
        <v>0.055724</v>
      </c>
      <c r="Q1237" s="0" t="str">
        <f aca="false">IF(L1237&gt;=Models!$G$5,1+COUNTIF($L$5:$L$1517,"&gt;"&amp;L1237)+COUNTIFS($L$5:$L$1517,L1237,$B$5:$B$1517,"&lt;"&amp;B1237)+COUNTIFS($L$5:$L$1517,L1237,$B$5:$B$1517,B1237,$C$5:$C$1517,"&lt;"&amp;C1237),"")</f>
        <v/>
      </c>
      <c r="R1237" s="0" t="str">
        <f aca="false">IF(M1237&gt;=Models!$G$6,1+COUNTIF($M$5:$M$1517,"&gt;"&amp;M1237)+COUNTIFS($M$5:$M$1517,M1237,$B$5:$B$1517,"&lt;"&amp;B1237)+COUNTIFS($M$5:$M$1517,M1237,$B$5:$B$1517,B1237,$C$5:$C$1517,"&lt;"&amp;C1237),"")</f>
        <v/>
      </c>
      <c r="S1237" s="0" t="str">
        <f aca="false">IF(N1237&gt;=Models!$G$7,1+COUNTIF($N$5:$N$1517,"&gt;"&amp;N1237)+COUNTIFS($N$5:$N$1517,N1237,$B$5:$B$1517,"&lt;"&amp;B1237)+COUNTIFS($N$5:$N$1517,N1237,$B$5:$B$1517,B1237,$C$5:$C$1517,"&lt;"&amp;C1237),"")</f>
        <v/>
      </c>
      <c r="T1237" s="8" t="n">
        <f aca="false">IF(O1237&gt;=Models!$G$8,1+COUNTIF($O$5:$O$1517,"&gt;"&amp;O1237)+COUNTIFS($O$5:$O$1517,O1237,$B$5:$B$1517,"&lt;"&amp;B1237)+COUNTIFS($O$5:$O$1517,O1237,$B$5:$B$1517,B1237,$C$5:$C$1517,"&lt;"&amp;C1237),"")</f>
        <v>481</v>
      </c>
      <c r="U1237" s="8" t="n">
        <f aca="false">IF($K1237=1,COUNTIFS($L$5:$L$1517,"&gt;="&amp;L1237,$K$5:$K$1517,1)/COUNTIF($L$5:$L$1517,"&gt;="&amp;L1237),0)</f>
        <v>0</v>
      </c>
      <c r="V1237" s="8" t="n">
        <f aca="false">IF($K1237=1,COUNTIFS($M$5:$M$1517,"&gt;="&amp;M1237,$K$5:$K$1517,1)/COUNTIF($M$5:$M$1517,"&gt;="&amp;M1237),0)</f>
        <v>0</v>
      </c>
      <c r="W1237" s="8" t="n">
        <f aca="false">IF($K1237=1,COUNTIFS($N$5:$N$1517,"&gt;="&amp;N1237,$K$5:$K$1517,1)/COUNTIF($N$5:$N$1517,"&gt;="&amp;N1237),0)</f>
        <v>0</v>
      </c>
      <c r="X1237" s="8" t="n">
        <f aca="false">IF($K1237=1,COUNTIFS($O$5:$O$1517,"&gt;="&amp;O1237,$K$5:$K$1517,1)/COUNTIF($O$5:$O$1517,"&gt;="&amp;O1237),0)</f>
        <v>0</v>
      </c>
      <c r="Y1237" s="8" t="n">
        <f aca="false">IF($K1237=1,COUNTIFS($P$5:$P$1517,"&gt;="&amp;P1237,$K$5:$K$1517,1)/COUNTIF($P$5:$P$1517,"&gt;="&amp;P1237),0)</f>
        <v>0</v>
      </c>
      <c r="Z1237" s="8" t="n">
        <f aca="false">(L1237-$K1237)^2</f>
        <v>0.185608457329</v>
      </c>
      <c r="AA1237" s="8" t="n">
        <f aca="false">(M1237-$K1237)^2</f>
        <v>0.008475595969</v>
      </c>
      <c r="AB1237" s="8" t="n">
        <f aca="false">(N1237-$K1237)^2</f>
        <v>0.002918700625</v>
      </c>
      <c r="AC1237" s="8" t="n">
        <f aca="false">(O1237-$K1237)^2</f>
        <v>0.011274829489</v>
      </c>
      <c r="AD1237" s="8" t="n">
        <f aca="false">(P1237-$K1237)^2</f>
        <v>0.003105164176</v>
      </c>
      <c r="AE1237" s="8" t="n">
        <f aca="false">MIN(INT(ROUND(N1237*1000000,0)/100000),9)</f>
        <v>0</v>
      </c>
      <c r="AF1237" s="8" t="n">
        <f aca="false">MIN(INT(ROUND(P1237*1000000,0)/100000),9)</f>
        <v>0</v>
      </c>
    </row>
    <row r="1238" customFormat="false" ht="15" hidden="false" customHeight="false" outlineLevel="0" collapsed="false">
      <c r="A1238" s="4" t="n">
        <v>1234</v>
      </c>
      <c r="B1238" s="4" t="n">
        <v>642</v>
      </c>
      <c r="C1238" s="4" t="n">
        <v>3</v>
      </c>
      <c r="D1238" s="11" t="n">
        <v>46143</v>
      </c>
      <c r="E1238" s="4" t="s">
        <v>201</v>
      </c>
      <c r="F1238" s="4" t="s">
        <v>209</v>
      </c>
      <c r="G1238" s="4" t="n">
        <v>15</v>
      </c>
      <c r="H1238" s="4" t="n">
        <v>3</v>
      </c>
      <c r="I1238" s="4" t="n">
        <v>0</v>
      </c>
      <c r="J1238" s="4" t="n">
        <v>7773</v>
      </c>
      <c r="K1238" s="4" t="n">
        <v>0</v>
      </c>
      <c r="L1238" s="12" t="n">
        <v>0.213605</v>
      </c>
      <c r="M1238" s="12" t="n">
        <v>0.092063</v>
      </c>
      <c r="N1238" s="12" t="n">
        <v>0.031288</v>
      </c>
      <c r="O1238" s="12" t="n">
        <v>0.106183</v>
      </c>
      <c r="P1238" s="12" t="n">
        <v>0.03146</v>
      </c>
      <c r="Q1238" s="0" t="str">
        <f aca="false">IF(L1238&gt;=Models!$G$5,1+COUNTIF($L$5:$L$1517,"&gt;"&amp;L1238)+COUNTIFS($L$5:$L$1517,L1238,$B$5:$B$1517,"&lt;"&amp;B1238)+COUNTIFS($L$5:$L$1517,L1238,$B$5:$B$1517,B1238,$C$5:$C$1517,"&lt;"&amp;C1238),"")</f>
        <v/>
      </c>
      <c r="R1238" s="0" t="str">
        <f aca="false">IF(M1238&gt;=Models!$G$6,1+COUNTIF($M$5:$M$1517,"&gt;"&amp;M1238)+COUNTIFS($M$5:$M$1517,M1238,$B$5:$B$1517,"&lt;"&amp;B1238)+COUNTIFS($M$5:$M$1517,M1238,$B$5:$B$1517,B1238,$C$5:$C$1517,"&lt;"&amp;C1238),"")</f>
        <v/>
      </c>
      <c r="S1238" s="0" t="str">
        <f aca="false">IF(N1238&gt;=Models!$G$7,1+COUNTIF($N$5:$N$1517,"&gt;"&amp;N1238)+COUNTIFS($N$5:$N$1517,N1238,$B$5:$B$1517,"&lt;"&amp;B1238)+COUNTIFS($N$5:$N$1517,N1238,$B$5:$B$1517,B1238,$C$5:$C$1517,"&lt;"&amp;C1238),"")</f>
        <v/>
      </c>
      <c r="T1238" s="8" t="n">
        <f aca="false">IF(O1238&gt;=Models!$G$8,1+COUNTIF($O$5:$O$1517,"&gt;"&amp;O1238)+COUNTIFS($O$5:$O$1517,O1238,$B$5:$B$1517,"&lt;"&amp;B1238)+COUNTIFS($O$5:$O$1517,O1238,$B$5:$B$1517,B1238,$C$5:$C$1517,"&lt;"&amp;C1238),"")</f>
        <v>485</v>
      </c>
      <c r="U1238" s="8" t="n">
        <f aca="false">IF($K1238=1,COUNTIFS($L$5:$L$1517,"&gt;="&amp;L1238,$K$5:$K$1517,1)/COUNTIF($L$5:$L$1517,"&gt;="&amp;L1238),0)</f>
        <v>0</v>
      </c>
      <c r="V1238" s="8" t="n">
        <f aca="false">IF($K1238=1,COUNTIFS($M$5:$M$1517,"&gt;="&amp;M1238,$K$5:$K$1517,1)/COUNTIF($M$5:$M$1517,"&gt;="&amp;M1238),0)</f>
        <v>0</v>
      </c>
      <c r="W1238" s="8" t="n">
        <f aca="false">IF($K1238=1,COUNTIFS($N$5:$N$1517,"&gt;="&amp;N1238,$K$5:$K$1517,1)/COUNTIF($N$5:$N$1517,"&gt;="&amp;N1238),0)</f>
        <v>0</v>
      </c>
      <c r="X1238" s="8" t="n">
        <f aca="false">IF($K1238=1,COUNTIFS($O$5:$O$1517,"&gt;="&amp;O1238,$K$5:$K$1517,1)/COUNTIF($O$5:$O$1517,"&gt;="&amp;O1238),0)</f>
        <v>0</v>
      </c>
      <c r="Y1238" s="8" t="n">
        <f aca="false">IF($K1238=1,COUNTIFS($P$5:$P$1517,"&gt;="&amp;P1238,$K$5:$K$1517,1)/COUNTIF($P$5:$P$1517,"&gt;="&amp;P1238),0)</f>
        <v>0</v>
      </c>
      <c r="Z1238" s="8" t="n">
        <f aca="false">(L1238-$K1238)^2</f>
        <v>0.045627096025</v>
      </c>
      <c r="AA1238" s="8" t="n">
        <f aca="false">(M1238-$K1238)^2</f>
        <v>0.008475595969</v>
      </c>
      <c r="AB1238" s="8" t="n">
        <f aca="false">(N1238-$K1238)^2</f>
        <v>0.000978938944</v>
      </c>
      <c r="AC1238" s="8" t="n">
        <f aca="false">(O1238-$K1238)^2</f>
        <v>0.011274829489</v>
      </c>
      <c r="AD1238" s="8" t="n">
        <f aca="false">(P1238-$K1238)^2</f>
        <v>0.0009897316</v>
      </c>
      <c r="AE1238" s="8" t="n">
        <f aca="false">MIN(INT(ROUND(N1238*1000000,0)/100000),9)</f>
        <v>0</v>
      </c>
      <c r="AF1238" s="8" t="n">
        <f aca="false">MIN(INT(ROUND(P1238*1000000,0)/100000),9)</f>
        <v>0</v>
      </c>
    </row>
    <row r="1239" customFormat="false" ht="15" hidden="false" customHeight="false" outlineLevel="0" collapsed="false">
      <c r="A1239" s="4" t="n">
        <v>1235</v>
      </c>
      <c r="B1239" s="4" t="n">
        <v>646</v>
      </c>
      <c r="C1239" s="4" t="n">
        <v>3</v>
      </c>
      <c r="D1239" s="11" t="n">
        <v>46143</v>
      </c>
      <c r="E1239" s="4" t="s">
        <v>203</v>
      </c>
      <c r="F1239" s="4" t="s">
        <v>210</v>
      </c>
      <c r="G1239" s="4" t="n">
        <v>8</v>
      </c>
      <c r="H1239" s="4" t="n">
        <v>9</v>
      </c>
      <c r="I1239" s="4" t="n">
        <v>0</v>
      </c>
      <c r="J1239" s="4"/>
      <c r="K1239" s="4" t="n">
        <v>0</v>
      </c>
      <c r="L1239" s="12" t="n">
        <v>0.990588</v>
      </c>
      <c r="M1239" s="12" t="n">
        <v>0.092063</v>
      </c>
      <c r="N1239" s="12" t="n">
        <v>0.044831</v>
      </c>
      <c r="O1239" s="12" t="n">
        <v>0.106183</v>
      </c>
      <c r="P1239" s="12" t="n">
        <v>0.045845</v>
      </c>
      <c r="Q1239" s="8" t="n">
        <f aca="false">IF(L1239&gt;=Models!$G$5,1+COUNTIF($L$5:$L$1517,"&gt;"&amp;L1239)+COUNTIFS($L$5:$L$1517,L1239,$B$5:$B$1517,"&lt;"&amp;B1239)+COUNTIFS($L$5:$L$1517,L1239,$B$5:$B$1517,B1239,$C$5:$C$1517,"&lt;"&amp;C1239),"")</f>
        <v>13</v>
      </c>
      <c r="R1239" s="0" t="str">
        <f aca="false">IF(M1239&gt;=Models!$G$6,1+COUNTIF($M$5:$M$1517,"&gt;"&amp;M1239)+COUNTIFS($M$5:$M$1517,M1239,$B$5:$B$1517,"&lt;"&amp;B1239)+COUNTIFS($M$5:$M$1517,M1239,$B$5:$B$1517,B1239,$C$5:$C$1517,"&lt;"&amp;C1239),"")</f>
        <v/>
      </c>
      <c r="S1239" s="0" t="str">
        <f aca="false">IF(N1239&gt;=Models!$G$7,1+COUNTIF($N$5:$N$1517,"&gt;"&amp;N1239)+COUNTIFS($N$5:$N$1517,N1239,$B$5:$B$1517,"&lt;"&amp;B1239)+COUNTIFS($N$5:$N$1517,N1239,$B$5:$B$1517,B1239,$C$5:$C$1517,"&lt;"&amp;C1239),"")</f>
        <v/>
      </c>
      <c r="T1239" s="8" t="n">
        <f aca="false">IF(O1239&gt;=Models!$G$8,1+COUNTIF($O$5:$O$1517,"&gt;"&amp;O1239)+COUNTIFS($O$5:$O$1517,O1239,$B$5:$B$1517,"&lt;"&amp;B1239)+COUNTIFS($O$5:$O$1517,O1239,$B$5:$B$1517,B1239,$C$5:$C$1517,"&lt;"&amp;C1239),"")</f>
        <v>489</v>
      </c>
      <c r="U1239" s="8" t="n">
        <f aca="false">IF($K1239=1,COUNTIFS($L$5:$L$1517,"&gt;="&amp;L1239,$K$5:$K$1517,1)/COUNTIF($L$5:$L$1517,"&gt;="&amp;L1239),0)</f>
        <v>0</v>
      </c>
      <c r="V1239" s="8" t="n">
        <f aca="false">IF($K1239=1,COUNTIFS($M$5:$M$1517,"&gt;="&amp;M1239,$K$5:$K$1517,1)/COUNTIF($M$5:$M$1517,"&gt;="&amp;M1239),0)</f>
        <v>0</v>
      </c>
      <c r="W1239" s="8" t="n">
        <f aca="false">IF($K1239=1,COUNTIFS($N$5:$N$1517,"&gt;="&amp;N1239,$K$5:$K$1517,1)/COUNTIF($N$5:$N$1517,"&gt;="&amp;N1239),0)</f>
        <v>0</v>
      </c>
      <c r="X1239" s="8" t="n">
        <f aca="false">IF($K1239=1,COUNTIFS($O$5:$O$1517,"&gt;="&amp;O1239,$K$5:$K$1517,1)/COUNTIF($O$5:$O$1517,"&gt;="&amp;O1239),0)</f>
        <v>0</v>
      </c>
      <c r="Y1239" s="8" t="n">
        <f aca="false">IF($K1239=1,COUNTIFS($P$5:$P$1517,"&gt;="&amp;P1239,$K$5:$K$1517,1)/COUNTIF($P$5:$P$1517,"&gt;="&amp;P1239),0)</f>
        <v>0</v>
      </c>
      <c r="Z1239" s="8" t="n">
        <f aca="false">(L1239-$K1239)^2</f>
        <v>0.981264585744</v>
      </c>
      <c r="AA1239" s="8" t="n">
        <f aca="false">(M1239-$K1239)^2</f>
        <v>0.008475595969</v>
      </c>
      <c r="AB1239" s="8" t="n">
        <f aca="false">(N1239-$K1239)^2</f>
        <v>0.002009818561</v>
      </c>
      <c r="AC1239" s="8" t="n">
        <f aca="false">(O1239-$K1239)^2</f>
        <v>0.011274829489</v>
      </c>
      <c r="AD1239" s="8" t="n">
        <f aca="false">(P1239-$K1239)^2</f>
        <v>0.002101764025</v>
      </c>
      <c r="AE1239" s="8" t="n">
        <f aca="false">MIN(INT(ROUND(N1239*1000000,0)/100000),9)</f>
        <v>0</v>
      </c>
      <c r="AF1239" s="8" t="n">
        <f aca="false">MIN(INT(ROUND(P1239*1000000,0)/100000),9)</f>
        <v>0</v>
      </c>
    </row>
    <row r="1240" customFormat="false" ht="15" hidden="false" customHeight="false" outlineLevel="0" collapsed="false">
      <c r="A1240" s="4" t="n">
        <v>1236</v>
      </c>
      <c r="B1240" s="4" t="n">
        <v>649</v>
      </c>
      <c r="C1240" s="4" t="n">
        <v>3</v>
      </c>
      <c r="D1240" s="11" t="n">
        <v>46143</v>
      </c>
      <c r="E1240" s="4" t="s">
        <v>201</v>
      </c>
      <c r="F1240" s="4" t="s">
        <v>209</v>
      </c>
      <c r="G1240" s="4" t="n">
        <v>16</v>
      </c>
      <c r="H1240" s="4" t="n">
        <v>1</v>
      </c>
      <c r="I1240" s="4" t="n">
        <v>0</v>
      </c>
      <c r="J1240" s="4" t="n">
        <v>7632</v>
      </c>
      <c r="K1240" s="4" t="n">
        <v>0</v>
      </c>
      <c r="L1240" s="12" t="n">
        <v>0.453761</v>
      </c>
      <c r="M1240" s="12" t="n">
        <v>0.092063</v>
      </c>
      <c r="N1240" s="12" t="n">
        <v>0.028445</v>
      </c>
      <c r="O1240" s="12" t="n">
        <v>0.106183</v>
      </c>
      <c r="P1240" s="12" t="n">
        <v>0.028472</v>
      </c>
      <c r="Q1240" s="0" t="str">
        <f aca="false">IF(L1240&gt;=Models!$G$5,1+COUNTIF($L$5:$L$1517,"&gt;"&amp;L1240)+COUNTIFS($L$5:$L$1517,L1240,$B$5:$B$1517,"&lt;"&amp;B1240)+COUNTIFS($L$5:$L$1517,L1240,$B$5:$B$1517,B1240,$C$5:$C$1517,"&lt;"&amp;C1240),"")</f>
        <v/>
      </c>
      <c r="R1240" s="0" t="str">
        <f aca="false">IF(M1240&gt;=Models!$G$6,1+COUNTIF($M$5:$M$1517,"&gt;"&amp;M1240)+COUNTIFS($M$5:$M$1517,M1240,$B$5:$B$1517,"&lt;"&amp;B1240)+COUNTIFS($M$5:$M$1517,M1240,$B$5:$B$1517,B1240,$C$5:$C$1517,"&lt;"&amp;C1240),"")</f>
        <v/>
      </c>
      <c r="S1240" s="0" t="str">
        <f aca="false">IF(N1240&gt;=Models!$G$7,1+COUNTIF($N$5:$N$1517,"&gt;"&amp;N1240)+COUNTIFS($N$5:$N$1517,N1240,$B$5:$B$1517,"&lt;"&amp;B1240)+COUNTIFS($N$5:$N$1517,N1240,$B$5:$B$1517,B1240,$C$5:$C$1517,"&lt;"&amp;C1240),"")</f>
        <v/>
      </c>
      <c r="T1240" s="8" t="n">
        <f aca="false">IF(O1240&gt;=Models!$G$8,1+COUNTIF($O$5:$O$1517,"&gt;"&amp;O1240)+COUNTIFS($O$5:$O$1517,O1240,$B$5:$B$1517,"&lt;"&amp;B1240)+COUNTIFS($O$5:$O$1517,O1240,$B$5:$B$1517,B1240,$C$5:$C$1517,"&lt;"&amp;C1240),"")</f>
        <v>493</v>
      </c>
      <c r="U1240" s="8" t="n">
        <f aca="false">IF($K1240=1,COUNTIFS($L$5:$L$1517,"&gt;="&amp;L1240,$K$5:$K$1517,1)/COUNTIF($L$5:$L$1517,"&gt;="&amp;L1240),0)</f>
        <v>0</v>
      </c>
      <c r="V1240" s="8" t="n">
        <f aca="false">IF($K1240=1,COUNTIFS($M$5:$M$1517,"&gt;="&amp;M1240,$K$5:$K$1517,1)/COUNTIF($M$5:$M$1517,"&gt;="&amp;M1240),0)</f>
        <v>0</v>
      </c>
      <c r="W1240" s="8" t="n">
        <f aca="false">IF($K1240=1,COUNTIFS($N$5:$N$1517,"&gt;="&amp;N1240,$K$5:$K$1517,1)/COUNTIF($N$5:$N$1517,"&gt;="&amp;N1240),0)</f>
        <v>0</v>
      </c>
      <c r="X1240" s="8" t="n">
        <f aca="false">IF($K1240=1,COUNTIFS($O$5:$O$1517,"&gt;="&amp;O1240,$K$5:$K$1517,1)/COUNTIF($O$5:$O$1517,"&gt;="&amp;O1240),0)</f>
        <v>0</v>
      </c>
      <c r="Y1240" s="8" t="n">
        <f aca="false">IF($K1240=1,COUNTIFS($P$5:$P$1517,"&gt;="&amp;P1240,$K$5:$K$1517,1)/COUNTIF($P$5:$P$1517,"&gt;="&amp;P1240),0)</f>
        <v>0</v>
      </c>
      <c r="Z1240" s="8" t="n">
        <f aca="false">(L1240-$K1240)^2</f>
        <v>0.205899045121</v>
      </c>
      <c r="AA1240" s="8" t="n">
        <f aca="false">(M1240-$K1240)^2</f>
        <v>0.008475595969</v>
      </c>
      <c r="AB1240" s="8" t="n">
        <f aca="false">(N1240-$K1240)^2</f>
        <v>0.000809118025</v>
      </c>
      <c r="AC1240" s="8" t="n">
        <f aca="false">(O1240-$K1240)^2</f>
        <v>0.011274829489</v>
      </c>
      <c r="AD1240" s="8" t="n">
        <f aca="false">(P1240-$K1240)^2</f>
        <v>0.000810654784</v>
      </c>
      <c r="AE1240" s="8" t="n">
        <f aca="false">MIN(INT(ROUND(N1240*1000000,0)/100000),9)</f>
        <v>0</v>
      </c>
      <c r="AF1240" s="8" t="n">
        <f aca="false">MIN(INT(ROUND(P1240*1000000,0)/100000),9)</f>
        <v>0</v>
      </c>
    </row>
    <row r="1241" customFormat="false" ht="15" hidden="false" customHeight="false" outlineLevel="0" collapsed="false">
      <c r="A1241" s="4" t="n">
        <v>1237</v>
      </c>
      <c r="B1241" s="4" t="n">
        <v>657</v>
      </c>
      <c r="C1241" s="4" t="n">
        <v>3</v>
      </c>
      <c r="D1241" s="11" t="n">
        <v>46143</v>
      </c>
      <c r="E1241" s="4" t="s">
        <v>203</v>
      </c>
      <c r="F1241" s="4" t="s">
        <v>209</v>
      </c>
      <c r="G1241" s="4" t="n">
        <v>5</v>
      </c>
      <c r="H1241" s="4" t="n">
        <v>6</v>
      </c>
      <c r="I1241" s="4" t="n">
        <v>1</v>
      </c>
      <c r="J1241" s="4" t="n">
        <v>339</v>
      </c>
      <c r="K1241" s="4" t="n">
        <v>0</v>
      </c>
      <c r="L1241" s="12" t="n">
        <v>0.490465</v>
      </c>
      <c r="M1241" s="12" t="n">
        <v>0.184211</v>
      </c>
      <c r="N1241" s="12" t="n">
        <v>0.185352</v>
      </c>
      <c r="O1241" s="12" t="n">
        <v>0.106183</v>
      </c>
      <c r="P1241" s="12" t="n">
        <v>0.200693</v>
      </c>
      <c r="Q1241" s="0" t="str">
        <f aca="false">IF(L1241&gt;=Models!$G$5,1+COUNTIF($L$5:$L$1517,"&gt;"&amp;L1241)+COUNTIFS($L$5:$L$1517,L1241,$B$5:$B$1517,"&lt;"&amp;B1241)+COUNTIFS($L$5:$L$1517,L1241,$B$5:$B$1517,B1241,$C$5:$C$1517,"&lt;"&amp;C1241),"")</f>
        <v/>
      </c>
      <c r="R1241" s="8" t="n">
        <f aca="false">IF(M1241&gt;=Models!$G$6,1+COUNTIF($M$5:$M$1517,"&gt;"&amp;M1241)+COUNTIFS($M$5:$M$1517,M1241,$B$5:$B$1517,"&lt;"&amp;B1241)+COUNTIFS($M$5:$M$1517,M1241,$B$5:$B$1517,B1241,$C$5:$C$1517,"&lt;"&amp;C1241),"")</f>
        <v>50</v>
      </c>
      <c r="S1241" s="0" t="str">
        <f aca="false">IF(N1241&gt;=Models!$G$7,1+COUNTIF($N$5:$N$1517,"&gt;"&amp;N1241)+COUNTIFS($N$5:$N$1517,N1241,$B$5:$B$1517,"&lt;"&amp;B1241)+COUNTIFS($N$5:$N$1517,N1241,$B$5:$B$1517,B1241,$C$5:$C$1517,"&lt;"&amp;C1241),"")</f>
        <v/>
      </c>
      <c r="T1241" s="8" t="n">
        <f aca="false">IF(O1241&gt;=Models!$G$8,1+COUNTIF($O$5:$O$1517,"&gt;"&amp;O1241)+COUNTIFS($O$5:$O$1517,O1241,$B$5:$B$1517,"&lt;"&amp;B1241)+COUNTIFS($O$5:$O$1517,O1241,$B$5:$B$1517,B1241,$C$5:$C$1517,"&lt;"&amp;C1241),"")</f>
        <v>497</v>
      </c>
      <c r="U1241" s="8" t="n">
        <f aca="false">IF($K1241=1,COUNTIFS($L$5:$L$1517,"&gt;="&amp;L1241,$K$5:$K$1517,1)/COUNTIF($L$5:$L$1517,"&gt;="&amp;L1241),0)</f>
        <v>0</v>
      </c>
      <c r="V1241" s="8" t="n">
        <f aca="false">IF($K1241=1,COUNTIFS($M$5:$M$1517,"&gt;="&amp;M1241,$K$5:$K$1517,1)/COUNTIF($M$5:$M$1517,"&gt;="&amp;M1241),0)</f>
        <v>0</v>
      </c>
      <c r="W1241" s="8" t="n">
        <f aca="false">IF($K1241=1,COUNTIFS($N$5:$N$1517,"&gt;="&amp;N1241,$K$5:$K$1517,1)/COUNTIF($N$5:$N$1517,"&gt;="&amp;N1241),0)</f>
        <v>0</v>
      </c>
      <c r="X1241" s="8" t="n">
        <f aca="false">IF($K1241=1,COUNTIFS($O$5:$O$1517,"&gt;="&amp;O1241,$K$5:$K$1517,1)/COUNTIF($O$5:$O$1517,"&gt;="&amp;O1241),0)</f>
        <v>0</v>
      </c>
      <c r="Y1241" s="8" t="n">
        <f aca="false">IF($K1241=1,COUNTIFS($P$5:$P$1517,"&gt;="&amp;P1241,$K$5:$K$1517,1)/COUNTIF($P$5:$P$1517,"&gt;="&amp;P1241),0)</f>
        <v>0</v>
      </c>
      <c r="Z1241" s="8" t="n">
        <f aca="false">(L1241-$K1241)^2</f>
        <v>0.240555916225</v>
      </c>
      <c r="AA1241" s="8" t="n">
        <f aca="false">(M1241-$K1241)^2</f>
        <v>0.033933692521</v>
      </c>
      <c r="AB1241" s="8" t="n">
        <f aca="false">(N1241-$K1241)^2</f>
        <v>0.034355363904</v>
      </c>
      <c r="AC1241" s="8" t="n">
        <f aca="false">(O1241-$K1241)^2</f>
        <v>0.011274829489</v>
      </c>
      <c r="AD1241" s="8" t="n">
        <f aca="false">(P1241-$K1241)^2</f>
        <v>0.040277680249</v>
      </c>
      <c r="AE1241" s="8" t="n">
        <f aca="false">MIN(INT(ROUND(N1241*1000000,0)/100000),9)</f>
        <v>1</v>
      </c>
      <c r="AF1241" s="8" t="n">
        <f aca="false">MIN(INT(ROUND(P1241*1000000,0)/100000),9)</f>
        <v>2</v>
      </c>
    </row>
    <row r="1242" customFormat="false" ht="15" hidden="false" customHeight="false" outlineLevel="0" collapsed="false">
      <c r="A1242" s="4" t="n">
        <v>1238</v>
      </c>
      <c r="B1242" s="4" t="n">
        <v>659</v>
      </c>
      <c r="C1242" s="4" t="n">
        <v>3</v>
      </c>
      <c r="D1242" s="11" t="n">
        <v>46143</v>
      </c>
      <c r="E1242" s="4" t="s">
        <v>203</v>
      </c>
      <c r="F1242" s="4" t="s">
        <v>206</v>
      </c>
      <c r="G1242" s="4" t="n">
        <v>2</v>
      </c>
      <c r="H1242" s="4" t="n">
        <v>3</v>
      </c>
      <c r="I1242" s="4" t="n">
        <v>0</v>
      </c>
      <c r="J1242" s="4" t="n">
        <v>244.8</v>
      </c>
      <c r="K1242" s="4" t="n">
        <v>0</v>
      </c>
      <c r="L1242" s="12" t="n">
        <v>0.976515</v>
      </c>
      <c r="M1242" s="12" t="n">
        <v>0.092063</v>
      </c>
      <c r="N1242" s="12" t="n">
        <v>0.138754</v>
      </c>
      <c r="O1242" s="12" t="n">
        <v>0.106183</v>
      </c>
      <c r="P1242" s="12" t="n">
        <v>0.14886</v>
      </c>
      <c r="Q1242" s="0" t="str">
        <f aca="false">IF(L1242&gt;=Models!$G$5,1+COUNTIF($L$5:$L$1517,"&gt;"&amp;L1242)+COUNTIFS($L$5:$L$1517,L1242,$B$5:$B$1517,"&lt;"&amp;B1242)+COUNTIFS($L$5:$L$1517,L1242,$B$5:$B$1517,B1242,$C$5:$C$1517,"&lt;"&amp;C1242),"")</f>
        <v/>
      </c>
      <c r="R1242" s="0" t="str">
        <f aca="false">IF(M1242&gt;=Models!$G$6,1+COUNTIF($M$5:$M$1517,"&gt;"&amp;M1242)+COUNTIFS($M$5:$M$1517,M1242,$B$5:$B$1517,"&lt;"&amp;B1242)+COUNTIFS($M$5:$M$1517,M1242,$B$5:$B$1517,B1242,$C$5:$C$1517,"&lt;"&amp;C1242),"")</f>
        <v/>
      </c>
      <c r="S1242" s="0" t="str">
        <f aca="false">IF(N1242&gt;=Models!$G$7,1+COUNTIF($N$5:$N$1517,"&gt;"&amp;N1242)+COUNTIFS($N$5:$N$1517,N1242,$B$5:$B$1517,"&lt;"&amp;B1242)+COUNTIFS($N$5:$N$1517,N1242,$B$5:$B$1517,B1242,$C$5:$C$1517,"&lt;"&amp;C1242),"")</f>
        <v/>
      </c>
      <c r="T1242" s="8" t="n">
        <f aca="false">IF(O1242&gt;=Models!$G$8,1+COUNTIF($O$5:$O$1517,"&gt;"&amp;O1242)+COUNTIFS($O$5:$O$1517,O1242,$B$5:$B$1517,"&lt;"&amp;B1242)+COUNTIFS($O$5:$O$1517,O1242,$B$5:$B$1517,B1242,$C$5:$C$1517,"&lt;"&amp;C1242),"")</f>
        <v>501</v>
      </c>
      <c r="U1242" s="8" t="n">
        <f aca="false">IF($K1242=1,COUNTIFS($L$5:$L$1517,"&gt;="&amp;L1242,$K$5:$K$1517,1)/COUNTIF($L$5:$L$1517,"&gt;="&amp;L1242),0)</f>
        <v>0</v>
      </c>
      <c r="V1242" s="8" t="n">
        <f aca="false">IF($K1242=1,COUNTIFS($M$5:$M$1517,"&gt;="&amp;M1242,$K$5:$K$1517,1)/COUNTIF($M$5:$M$1517,"&gt;="&amp;M1242),0)</f>
        <v>0</v>
      </c>
      <c r="W1242" s="8" t="n">
        <f aca="false">IF($K1242=1,COUNTIFS($N$5:$N$1517,"&gt;="&amp;N1242,$K$5:$K$1517,1)/COUNTIF($N$5:$N$1517,"&gt;="&amp;N1242),0)</f>
        <v>0</v>
      </c>
      <c r="X1242" s="8" t="n">
        <f aca="false">IF($K1242=1,COUNTIFS($O$5:$O$1517,"&gt;="&amp;O1242,$K$5:$K$1517,1)/COUNTIF($O$5:$O$1517,"&gt;="&amp;O1242),0)</f>
        <v>0</v>
      </c>
      <c r="Y1242" s="8" t="n">
        <f aca="false">IF($K1242=1,COUNTIFS($P$5:$P$1517,"&gt;="&amp;P1242,$K$5:$K$1517,1)/COUNTIF($P$5:$P$1517,"&gt;="&amp;P1242),0)</f>
        <v>0</v>
      </c>
      <c r="Z1242" s="8" t="n">
        <f aca="false">(L1242-$K1242)^2</f>
        <v>0.953581545225</v>
      </c>
      <c r="AA1242" s="8" t="n">
        <f aca="false">(M1242-$K1242)^2</f>
        <v>0.008475595969</v>
      </c>
      <c r="AB1242" s="8" t="n">
        <f aca="false">(N1242-$K1242)^2</f>
        <v>0.019252672516</v>
      </c>
      <c r="AC1242" s="8" t="n">
        <f aca="false">(O1242-$K1242)^2</f>
        <v>0.011274829489</v>
      </c>
      <c r="AD1242" s="8" t="n">
        <f aca="false">(P1242-$K1242)^2</f>
        <v>0.0221592996</v>
      </c>
      <c r="AE1242" s="8" t="n">
        <f aca="false">MIN(INT(ROUND(N1242*1000000,0)/100000),9)</f>
        <v>1</v>
      </c>
      <c r="AF1242" s="8" t="n">
        <f aca="false">MIN(INT(ROUND(P1242*1000000,0)/100000),9)</f>
        <v>1</v>
      </c>
    </row>
    <row r="1243" customFormat="false" ht="15" hidden="false" customHeight="false" outlineLevel="0" collapsed="false">
      <c r="A1243" s="4" t="n">
        <v>1239</v>
      </c>
      <c r="B1243" s="4" t="n">
        <v>665</v>
      </c>
      <c r="C1243" s="4" t="n">
        <v>3</v>
      </c>
      <c r="D1243" s="11" t="n">
        <v>46143</v>
      </c>
      <c r="E1243" s="4" t="s">
        <v>204</v>
      </c>
      <c r="F1243" s="4" t="s">
        <v>206</v>
      </c>
      <c r="G1243" s="4" t="n">
        <v>2</v>
      </c>
      <c r="H1243" s="4" t="n">
        <v>18</v>
      </c>
      <c r="I1243" s="4" t="n">
        <v>0</v>
      </c>
      <c r="J1243" s="4" t="n">
        <v>93</v>
      </c>
      <c r="K1243" s="4" t="n">
        <v>0</v>
      </c>
      <c r="L1243" s="12" t="n">
        <v>0.996604</v>
      </c>
      <c r="M1243" s="12" t="n">
        <v>0.092063</v>
      </c>
      <c r="N1243" s="12" t="n">
        <v>0.155258</v>
      </c>
      <c r="O1243" s="12" t="n">
        <v>0.106183</v>
      </c>
      <c r="P1243" s="12" t="n">
        <v>0.167205</v>
      </c>
      <c r="Q1243" s="8" t="n">
        <f aca="false">IF(L1243&gt;=Models!$G$5,1+COUNTIF($L$5:$L$1517,"&gt;"&amp;L1243)+COUNTIFS($L$5:$L$1517,L1243,$B$5:$B$1517,"&lt;"&amp;B1243)+COUNTIFS($L$5:$L$1517,L1243,$B$5:$B$1517,B1243,$C$5:$C$1517,"&lt;"&amp;C1243),"")</f>
        <v>2</v>
      </c>
      <c r="R1243" s="0" t="str">
        <f aca="false">IF(M1243&gt;=Models!$G$6,1+COUNTIF($M$5:$M$1517,"&gt;"&amp;M1243)+COUNTIFS($M$5:$M$1517,M1243,$B$5:$B$1517,"&lt;"&amp;B1243)+COUNTIFS($M$5:$M$1517,M1243,$B$5:$B$1517,B1243,$C$5:$C$1517,"&lt;"&amp;C1243),"")</f>
        <v/>
      </c>
      <c r="S1243" s="0" t="str">
        <f aca="false">IF(N1243&gt;=Models!$G$7,1+COUNTIF($N$5:$N$1517,"&gt;"&amp;N1243)+COUNTIFS($N$5:$N$1517,N1243,$B$5:$B$1517,"&lt;"&amp;B1243)+COUNTIFS($N$5:$N$1517,N1243,$B$5:$B$1517,B1243,$C$5:$C$1517,"&lt;"&amp;C1243),"")</f>
        <v/>
      </c>
      <c r="T1243" s="8" t="n">
        <f aca="false">IF(O1243&gt;=Models!$G$8,1+COUNTIF($O$5:$O$1517,"&gt;"&amp;O1243)+COUNTIFS($O$5:$O$1517,O1243,$B$5:$B$1517,"&lt;"&amp;B1243)+COUNTIFS($O$5:$O$1517,O1243,$B$5:$B$1517,B1243,$C$5:$C$1517,"&lt;"&amp;C1243),"")</f>
        <v>505</v>
      </c>
      <c r="U1243" s="8" t="n">
        <f aca="false">IF($K1243=1,COUNTIFS($L$5:$L$1517,"&gt;="&amp;L1243,$K$5:$K$1517,1)/COUNTIF($L$5:$L$1517,"&gt;="&amp;L1243),0)</f>
        <v>0</v>
      </c>
      <c r="V1243" s="8" t="n">
        <f aca="false">IF($K1243=1,COUNTIFS($M$5:$M$1517,"&gt;="&amp;M1243,$K$5:$K$1517,1)/COUNTIF($M$5:$M$1517,"&gt;="&amp;M1243),0)</f>
        <v>0</v>
      </c>
      <c r="W1243" s="8" t="n">
        <f aca="false">IF($K1243=1,COUNTIFS($N$5:$N$1517,"&gt;="&amp;N1243,$K$5:$K$1517,1)/COUNTIF($N$5:$N$1517,"&gt;="&amp;N1243),0)</f>
        <v>0</v>
      </c>
      <c r="X1243" s="8" t="n">
        <f aca="false">IF($K1243=1,COUNTIFS($O$5:$O$1517,"&gt;="&amp;O1243,$K$5:$K$1517,1)/COUNTIF($O$5:$O$1517,"&gt;="&amp;O1243),0)</f>
        <v>0</v>
      </c>
      <c r="Y1243" s="8" t="n">
        <f aca="false">IF($K1243=1,COUNTIFS($P$5:$P$1517,"&gt;="&amp;P1243,$K$5:$K$1517,1)/COUNTIF($P$5:$P$1517,"&gt;="&amp;P1243),0)</f>
        <v>0</v>
      </c>
      <c r="Z1243" s="8" t="n">
        <f aca="false">(L1243-$K1243)^2</f>
        <v>0.993219532816</v>
      </c>
      <c r="AA1243" s="8" t="n">
        <f aca="false">(M1243-$K1243)^2</f>
        <v>0.008475595969</v>
      </c>
      <c r="AB1243" s="8" t="n">
        <f aca="false">(N1243-$K1243)^2</f>
        <v>0.024105046564</v>
      </c>
      <c r="AC1243" s="8" t="n">
        <f aca="false">(O1243-$K1243)^2</f>
        <v>0.011274829489</v>
      </c>
      <c r="AD1243" s="8" t="n">
        <f aca="false">(P1243-$K1243)^2</f>
        <v>0.027957512025</v>
      </c>
      <c r="AE1243" s="8" t="n">
        <f aca="false">MIN(INT(ROUND(N1243*1000000,0)/100000),9)</f>
        <v>1</v>
      </c>
      <c r="AF1243" s="8" t="n">
        <f aca="false">MIN(INT(ROUND(P1243*1000000,0)/100000),9)</f>
        <v>1</v>
      </c>
    </row>
    <row r="1244" customFormat="false" ht="15" hidden="false" customHeight="false" outlineLevel="0" collapsed="false">
      <c r="A1244" s="4" t="n">
        <v>1240</v>
      </c>
      <c r="B1244" s="4" t="n">
        <v>670</v>
      </c>
      <c r="C1244" s="4" t="n">
        <v>3</v>
      </c>
      <c r="D1244" s="11" t="n">
        <v>46143</v>
      </c>
      <c r="E1244" s="4" t="s">
        <v>201</v>
      </c>
      <c r="F1244" s="4" t="s">
        <v>208</v>
      </c>
      <c r="G1244" s="4" t="n">
        <v>5</v>
      </c>
      <c r="H1244" s="4" t="n">
        <v>14</v>
      </c>
      <c r="I1244" s="4" t="n">
        <v>0</v>
      </c>
      <c r="J1244" s="4"/>
      <c r="K1244" s="4" t="n">
        <v>0</v>
      </c>
      <c r="L1244" s="12" t="n">
        <v>0.649883</v>
      </c>
      <c r="M1244" s="12" t="n">
        <v>0.092063</v>
      </c>
      <c r="N1244" s="12" t="n">
        <v>0.060197</v>
      </c>
      <c r="O1244" s="12" t="n">
        <v>0.106183</v>
      </c>
      <c r="P1244" s="12" t="n">
        <v>0.062396</v>
      </c>
      <c r="Q1244" s="0" t="str">
        <f aca="false">IF(L1244&gt;=Models!$G$5,1+COUNTIF($L$5:$L$1517,"&gt;"&amp;L1244)+COUNTIFS($L$5:$L$1517,L1244,$B$5:$B$1517,"&lt;"&amp;B1244)+COUNTIFS($L$5:$L$1517,L1244,$B$5:$B$1517,B1244,$C$5:$C$1517,"&lt;"&amp;C1244),"")</f>
        <v/>
      </c>
      <c r="R1244" s="0" t="str">
        <f aca="false">IF(M1244&gt;=Models!$G$6,1+COUNTIF($M$5:$M$1517,"&gt;"&amp;M1244)+COUNTIFS($M$5:$M$1517,M1244,$B$5:$B$1517,"&lt;"&amp;B1244)+COUNTIFS($M$5:$M$1517,M1244,$B$5:$B$1517,B1244,$C$5:$C$1517,"&lt;"&amp;C1244),"")</f>
        <v/>
      </c>
      <c r="S1244" s="0" t="str">
        <f aca="false">IF(N1244&gt;=Models!$G$7,1+COUNTIF($N$5:$N$1517,"&gt;"&amp;N1244)+COUNTIFS($N$5:$N$1517,N1244,$B$5:$B$1517,"&lt;"&amp;B1244)+COUNTIFS($N$5:$N$1517,N1244,$B$5:$B$1517,B1244,$C$5:$C$1517,"&lt;"&amp;C1244),"")</f>
        <v/>
      </c>
      <c r="T1244" s="8" t="n">
        <f aca="false">IF(O1244&gt;=Models!$G$8,1+COUNTIF($O$5:$O$1517,"&gt;"&amp;O1244)+COUNTIFS($O$5:$O$1517,O1244,$B$5:$B$1517,"&lt;"&amp;B1244)+COUNTIFS($O$5:$O$1517,O1244,$B$5:$B$1517,B1244,$C$5:$C$1517,"&lt;"&amp;C1244),"")</f>
        <v>509</v>
      </c>
      <c r="U1244" s="8" t="n">
        <f aca="false">IF($K1244=1,COUNTIFS($L$5:$L$1517,"&gt;="&amp;L1244,$K$5:$K$1517,1)/COUNTIF($L$5:$L$1517,"&gt;="&amp;L1244),0)</f>
        <v>0</v>
      </c>
      <c r="V1244" s="8" t="n">
        <f aca="false">IF($K1244=1,COUNTIFS($M$5:$M$1517,"&gt;="&amp;M1244,$K$5:$K$1517,1)/COUNTIF($M$5:$M$1517,"&gt;="&amp;M1244),0)</f>
        <v>0</v>
      </c>
      <c r="W1244" s="8" t="n">
        <f aca="false">IF($K1244=1,COUNTIFS($N$5:$N$1517,"&gt;="&amp;N1244,$K$5:$K$1517,1)/COUNTIF($N$5:$N$1517,"&gt;="&amp;N1244),0)</f>
        <v>0</v>
      </c>
      <c r="X1244" s="8" t="n">
        <f aca="false">IF($K1244=1,COUNTIFS($O$5:$O$1517,"&gt;="&amp;O1244,$K$5:$K$1517,1)/COUNTIF($O$5:$O$1517,"&gt;="&amp;O1244),0)</f>
        <v>0</v>
      </c>
      <c r="Y1244" s="8" t="n">
        <f aca="false">IF($K1244=1,COUNTIFS($P$5:$P$1517,"&gt;="&amp;P1244,$K$5:$K$1517,1)/COUNTIF($P$5:$P$1517,"&gt;="&amp;P1244),0)</f>
        <v>0</v>
      </c>
      <c r="Z1244" s="8" t="n">
        <f aca="false">(L1244-$K1244)^2</f>
        <v>0.422347913689</v>
      </c>
      <c r="AA1244" s="8" t="n">
        <f aca="false">(M1244-$K1244)^2</f>
        <v>0.008475595969</v>
      </c>
      <c r="AB1244" s="8" t="n">
        <f aca="false">(N1244-$K1244)^2</f>
        <v>0.003623678809</v>
      </c>
      <c r="AC1244" s="8" t="n">
        <f aca="false">(O1244-$K1244)^2</f>
        <v>0.011274829489</v>
      </c>
      <c r="AD1244" s="8" t="n">
        <f aca="false">(P1244-$K1244)^2</f>
        <v>0.003893260816</v>
      </c>
      <c r="AE1244" s="8" t="n">
        <f aca="false">MIN(INT(ROUND(N1244*1000000,0)/100000),9)</f>
        <v>0</v>
      </c>
      <c r="AF1244" s="8" t="n">
        <f aca="false">MIN(INT(ROUND(P1244*1000000,0)/100000),9)</f>
        <v>0</v>
      </c>
    </row>
    <row r="1245" customFormat="false" ht="15" hidden="false" customHeight="false" outlineLevel="0" collapsed="false">
      <c r="A1245" s="4" t="n">
        <v>1241</v>
      </c>
      <c r="B1245" s="4" t="n">
        <v>671</v>
      </c>
      <c r="C1245" s="4" t="n">
        <v>3</v>
      </c>
      <c r="D1245" s="11" t="n">
        <v>46143</v>
      </c>
      <c r="E1245" s="4" t="s">
        <v>203</v>
      </c>
      <c r="F1245" s="4" t="s">
        <v>209</v>
      </c>
      <c r="G1245" s="4" t="n">
        <v>2</v>
      </c>
      <c r="H1245" s="4" t="n">
        <v>13</v>
      </c>
      <c r="I1245" s="4" t="n">
        <v>0</v>
      </c>
      <c r="J1245" s="4"/>
      <c r="K1245" s="4" t="n">
        <v>1</v>
      </c>
      <c r="L1245" s="12" t="n">
        <v>0.681741</v>
      </c>
      <c r="M1245" s="12" t="n">
        <v>0.092063</v>
      </c>
      <c r="N1245" s="12" t="n">
        <v>0.076827</v>
      </c>
      <c r="O1245" s="12" t="n">
        <v>0.106183</v>
      </c>
      <c r="P1245" s="12" t="n">
        <v>0.080499</v>
      </c>
      <c r="Q1245" s="0" t="str">
        <f aca="false">IF(L1245&gt;=Models!$G$5,1+COUNTIF($L$5:$L$1517,"&gt;"&amp;L1245)+COUNTIFS($L$5:$L$1517,L1245,$B$5:$B$1517,"&lt;"&amp;B1245)+COUNTIFS($L$5:$L$1517,L1245,$B$5:$B$1517,B1245,$C$5:$C$1517,"&lt;"&amp;C1245),"")</f>
        <v/>
      </c>
      <c r="R1245" s="0" t="str">
        <f aca="false">IF(M1245&gt;=Models!$G$6,1+COUNTIF($M$5:$M$1517,"&gt;"&amp;M1245)+COUNTIFS($M$5:$M$1517,M1245,$B$5:$B$1517,"&lt;"&amp;B1245)+COUNTIFS($M$5:$M$1517,M1245,$B$5:$B$1517,B1245,$C$5:$C$1517,"&lt;"&amp;C1245),"")</f>
        <v/>
      </c>
      <c r="S1245" s="0" t="str">
        <f aca="false">IF(N1245&gt;=Models!$G$7,1+COUNTIF($N$5:$N$1517,"&gt;"&amp;N1245)+COUNTIFS($N$5:$N$1517,N1245,$B$5:$B$1517,"&lt;"&amp;B1245)+COUNTIFS($N$5:$N$1517,N1245,$B$5:$B$1517,B1245,$C$5:$C$1517,"&lt;"&amp;C1245),"")</f>
        <v/>
      </c>
      <c r="T1245" s="8" t="n">
        <f aca="false">IF(O1245&gt;=Models!$G$8,1+COUNTIF($O$5:$O$1517,"&gt;"&amp;O1245)+COUNTIFS($O$5:$O$1517,O1245,$B$5:$B$1517,"&lt;"&amp;B1245)+COUNTIFS($O$5:$O$1517,O1245,$B$5:$B$1517,B1245,$C$5:$C$1517,"&lt;"&amp;C1245),"")</f>
        <v>513</v>
      </c>
      <c r="U1245" s="8" t="n">
        <f aca="false">IF($K1245=1,COUNTIFS($L$5:$L$1517,"&gt;="&amp;L1245,$K$5:$K$1517,1)/COUNTIF($L$5:$L$1517,"&gt;="&amp;L1245),0)</f>
        <v>0.131465517241379</v>
      </c>
      <c r="V1245" s="8" t="n">
        <f aca="false">IF($K1245=1,COUNTIFS($M$5:$M$1517,"&gt;="&amp;M1245,$K$5:$K$1517,1)/COUNTIF($M$5:$M$1517,"&gt;="&amp;M1245),0)</f>
        <v>0.12491738268341</v>
      </c>
      <c r="W1245" s="8" t="n">
        <f aca="false">IF($K1245=1,COUNTIFS($N$5:$N$1517,"&gt;="&amp;N1245,$K$5:$K$1517,1)/COUNTIF($N$5:$N$1517,"&gt;="&amp;N1245),0)</f>
        <v>0.169247787610619</v>
      </c>
      <c r="X1245" s="8" t="n">
        <f aca="false">IF($K1245=1,COUNTIFS($O$5:$O$1517,"&gt;="&amp;O1245,$K$5:$K$1517,1)/COUNTIF($O$5:$O$1517,"&gt;="&amp;O1245),0)</f>
        <v>0.12491738268341</v>
      </c>
      <c r="Y1245" s="8" t="n">
        <f aca="false">IF($K1245=1,COUNTIFS($P$5:$P$1517,"&gt;="&amp;P1245,$K$5:$K$1517,1)/COUNTIF($P$5:$P$1517,"&gt;="&amp;P1245),0)</f>
        <v>0.169247787610619</v>
      </c>
      <c r="Z1245" s="8" t="n">
        <f aca="false">(L1245-$K1245)^2</f>
        <v>0.101288791081</v>
      </c>
      <c r="AA1245" s="8" t="n">
        <f aca="false">(M1245-$K1245)^2</f>
        <v>0.824349595969</v>
      </c>
      <c r="AB1245" s="8" t="n">
        <f aca="false">(N1245-$K1245)^2</f>
        <v>0.852248387929</v>
      </c>
      <c r="AC1245" s="8" t="n">
        <f aca="false">(O1245-$K1245)^2</f>
        <v>0.798908829489</v>
      </c>
      <c r="AD1245" s="8" t="n">
        <f aca="false">(P1245-$K1245)^2</f>
        <v>0.845482089001</v>
      </c>
      <c r="AE1245" s="8" t="n">
        <f aca="false">MIN(INT(ROUND(N1245*1000000,0)/100000),9)</f>
        <v>0</v>
      </c>
      <c r="AF1245" s="8" t="n">
        <f aca="false">MIN(INT(ROUND(P1245*1000000,0)/100000),9)</f>
        <v>0</v>
      </c>
    </row>
    <row r="1246" customFormat="false" ht="15" hidden="false" customHeight="false" outlineLevel="0" collapsed="false">
      <c r="A1246" s="4" t="n">
        <v>1242</v>
      </c>
      <c r="B1246" s="4" t="n">
        <v>675</v>
      </c>
      <c r="C1246" s="4" t="n">
        <v>3</v>
      </c>
      <c r="D1246" s="11" t="n">
        <v>46143</v>
      </c>
      <c r="E1246" s="4" t="s">
        <v>201</v>
      </c>
      <c r="F1246" s="4" t="s">
        <v>207</v>
      </c>
      <c r="G1246" s="4" t="n">
        <v>15</v>
      </c>
      <c r="H1246" s="4" t="n">
        <v>3</v>
      </c>
      <c r="I1246" s="4" t="n">
        <v>0</v>
      </c>
      <c r="J1246" s="4" t="n">
        <v>3960</v>
      </c>
      <c r="K1246" s="4" t="n">
        <v>0</v>
      </c>
      <c r="L1246" s="12" t="n">
        <v>0.834051</v>
      </c>
      <c r="M1246" s="12" t="n">
        <v>0.092063</v>
      </c>
      <c r="N1246" s="12" t="n">
        <v>0.038743</v>
      </c>
      <c r="O1246" s="12" t="n">
        <v>0.106183</v>
      </c>
      <c r="P1246" s="12" t="n">
        <v>0.03935</v>
      </c>
      <c r="Q1246" s="0" t="str">
        <f aca="false">IF(L1246&gt;=Models!$G$5,1+COUNTIF($L$5:$L$1517,"&gt;"&amp;L1246)+COUNTIFS($L$5:$L$1517,L1246,$B$5:$B$1517,"&lt;"&amp;B1246)+COUNTIFS($L$5:$L$1517,L1246,$B$5:$B$1517,B1246,$C$5:$C$1517,"&lt;"&amp;C1246),"")</f>
        <v/>
      </c>
      <c r="R1246" s="0" t="str">
        <f aca="false">IF(M1246&gt;=Models!$G$6,1+COUNTIF($M$5:$M$1517,"&gt;"&amp;M1246)+COUNTIFS($M$5:$M$1517,M1246,$B$5:$B$1517,"&lt;"&amp;B1246)+COUNTIFS($M$5:$M$1517,M1246,$B$5:$B$1517,B1246,$C$5:$C$1517,"&lt;"&amp;C1246),"")</f>
        <v/>
      </c>
      <c r="S1246" s="0" t="str">
        <f aca="false">IF(N1246&gt;=Models!$G$7,1+COUNTIF($N$5:$N$1517,"&gt;"&amp;N1246)+COUNTIFS($N$5:$N$1517,N1246,$B$5:$B$1517,"&lt;"&amp;B1246)+COUNTIFS($N$5:$N$1517,N1246,$B$5:$B$1517,B1246,$C$5:$C$1517,"&lt;"&amp;C1246),"")</f>
        <v/>
      </c>
      <c r="T1246" s="8" t="n">
        <f aca="false">IF(O1246&gt;=Models!$G$8,1+COUNTIF($O$5:$O$1517,"&gt;"&amp;O1246)+COUNTIFS($O$5:$O$1517,O1246,$B$5:$B$1517,"&lt;"&amp;B1246)+COUNTIFS($O$5:$O$1517,O1246,$B$5:$B$1517,B1246,$C$5:$C$1517,"&lt;"&amp;C1246),"")</f>
        <v>517</v>
      </c>
      <c r="U1246" s="8" t="n">
        <f aca="false">IF($K1246=1,COUNTIFS($L$5:$L$1517,"&gt;="&amp;L1246,$K$5:$K$1517,1)/COUNTIF($L$5:$L$1517,"&gt;="&amp;L1246),0)</f>
        <v>0</v>
      </c>
      <c r="V1246" s="8" t="n">
        <f aca="false">IF($K1246=1,COUNTIFS($M$5:$M$1517,"&gt;="&amp;M1246,$K$5:$K$1517,1)/COUNTIF($M$5:$M$1517,"&gt;="&amp;M1246),0)</f>
        <v>0</v>
      </c>
      <c r="W1246" s="8" t="n">
        <f aca="false">IF($K1246=1,COUNTIFS($N$5:$N$1517,"&gt;="&amp;N1246,$K$5:$K$1517,1)/COUNTIF($N$5:$N$1517,"&gt;="&amp;N1246),0)</f>
        <v>0</v>
      </c>
      <c r="X1246" s="8" t="n">
        <f aca="false">IF($K1246=1,COUNTIFS($O$5:$O$1517,"&gt;="&amp;O1246,$K$5:$K$1517,1)/COUNTIF($O$5:$O$1517,"&gt;="&amp;O1246),0)</f>
        <v>0</v>
      </c>
      <c r="Y1246" s="8" t="n">
        <f aca="false">IF($K1246=1,COUNTIFS($P$5:$P$1517,"&gt;="&amp;P1246,$K$5:$K$1517,1)/COUNTIF($P$5:$P$1517,"&gt;="&amp;P1246),0)</f>
        <v>0</v>
      </c>
      <c r="Z1246" s="8" t="n">
        <f aca="false">(L1246-$K1246)^2</f>
        <v>0.695641070601</v>
      </c>
      <c r="AA1246" s="8" t="n">
        <f aca="false">(M1246-$K1246)^2</f>
        <v>0.008475595969</v>
      </c>
      <c r="AB1246" s="8" t="n">
        <f aca="false">(N1246-$K1246)^2</f>
        <v>0.001501020049</v>
      </c>
      <c r="AC1246" s="8" t="n">
        <f aca="false">(O1246-$K1246)^2</f>
        <v>0.011274829489</v>
      </c>
      <c r="AD1246" s="8" t="n">
        <f aca="false">(P1246-$K1246)^2</f>
        <v>0.0015484225</v>
      </c>
      <c r="AE1246" s="8" t="n">
        <f aca="false">MIN(INT(ROUND(N1246*1000000,0)/100000),9)</f>
        <v>0</v>
      </c>
      <c r="AF1246" s="8" t="n">
        <f aca="false">MIN(INT(ROUND(P1246*1000000,0)/100000),9)</f>
        <v>0</v>
      </c>
    </row>
    <row r="1247" customFormat="false" ht="15" hidden="false" customHeight="false" outlineLevel="0" collapsed="false">
      <c r="A1247" s="4" t="n">
        <v>1243</v>
      </c>
      <c r="B1247" s="4" t="n">
        <v>677</v>
      </c>
      <c r="C1247" s="4" t="n">
        <v>3</v>
      </c>
      <c r="D1247" s="11" t="n">
        <v>46143</v>
      </c>
      <c r="E1247" s="4" t="s">
        <v>201</v>
      </c>
      <c r="F1247" s="4" t="s">
        <v>210</v>
      </c>
      <c r="G1247" s="4" t="n">
        <v>9</v>
      </c>
      <c r="H1247" s="4" t="n">
        <v>1</v>
      </c>
      <c r="I1247" s="4" t="n">
        <v>0</v>
      </c>
      <c r="J1247" s="4"/>
      <c r="K1247" s="4" t="n">
        <v>0</v>
      </c>
      <c r="L1247" s="12" t="n">
        <v>0.274365</v>
      </c>
      <c r="M1247" s="12" t="n">
        <v>0.092063</v>
      </c>
      <c r="N1247" s="12" t="n">
        <v>0.038622</v>
      </c>
      <c r="O1247" s="12" t="n">
        <v>0.106183</v>
      </c>
      <c r="P1247" s="12" t="n">
        <v>0.039222</v>
      </c>
      <c r="Q1247" s="0" t="str">
        <f aca="false">IF(L1247&gt;=Models!$G$5,1+COUNTIF($L$5:$L$1517,"&gt;"&amp;L1247)+COUNTIFS($L$5:$L$1517,L1247,$B$5:$B$1517,"&lt;"&amp;B1247)+COUNTIFS($L$5:$L$1517,L1247,$B$5:$B$1517,B1247,$C$5:$C$1517,"&lt;"&amp;C1247),"")</f>
        <v/>
      </c>
      <c r="R1247" s="0" t="str">
        <f aca="false">IF(M1247&gt;=Models!$G$6,1+COUNTIF($M$5:$M$1517,"&gt;"&amp;M1247)+COUNTIFS($M$5:$M$1517,M1247,$B$5:$B$1517,"&lt;"&amp;B1247)+COUNTIFS($M$5:$M$1517,M1247,$B$5:$B$1517,B1247,$C$5:$C$1517,"&lt;"&amp;C1247),"")</f>
        <v/>
      </c>
      <c r="S1247" s="0" t="str">
        <f aca="false">IF(N1247&gt;=Models!$G$7,1+COUNTIF($N$5:$N$1517,"&gt;"&amp;N1247)+COUNTIFS($N$5:$N$1517,N1247,$B$5:$B$1517,"&lt;"&amp;B1247)+COUNTIFS($N$5:$N$1517,N1247,$B$5:$B$1517,B1247,$C$5:$C$1517,"&lt;"&amp;C1247),"")</f>
        <v/>
      </c>
      <c r="T1247" s="8" t="n">
        <f aca="false">IF(O1247&gt;=Models!$G$8,1+COUNTIF($O$5:$O$1517,"&gt;"&amp;O1247)+COUNTIFS($O$5:$O$1517,O1247,$B$5:$B$1517,"&lt;"&amp;B1247)+COUNTIFS($O$5:$O$1517,O1247,$B$5:$B$1517,B1247,$C$5:$C$1517,"&lt;"&amp;C1247),"")</f>
        <v>521</v>
      </c>
      <c r="U1247" s="8" t="n">
        <f aca="false">IF($K1247=1,COUNTIFS($L$5:$L$1517,"&gt;="&amp;L1247,$K$5:$K$1517,1)/COUNTIF($L$5:$L$1517,"&gt;="&amp;L1247),0)</f>
        <v>0</v>
      </c>
      <c r="V1247" s="8" t="n">
        <f aca="false">IF($K1247=1,COUNTIFS($M$5:$M$1517,"&gt;="&amp;M1247,$K$5:$K$1517,1)/COUNTIF($M$5:$M$1517,"&gt;="&amp;M1247),0)</f>
        <v>0</v>
      </c>
      <c r="W1247" s="8" t="n">
        <f aca="false">IF($K1247=1,COUNTIFS($N$5:$N$1517,"&gt;="&amp;N1247,$K$5:$K$1517,1)/COUNTIF($N$5:$N$1517,"&gt;="&amp;N1247),0)</f>
        <v>0</v>
      </c>
      <c r="X1247" s="8" t="n">
        <f aca="false">IF($K1247=1,COUNTIFS($O$5:$O$1517,"&gt;="&amp;O1247,$K$5:$K$1517,1)/COUNTIF($O$5:$O$1517,"&gt;="&amp;O1247),0)</f>
        <v>0</v>
      </c>
      <c r="Y1247" s="8" t="n">
        <f aca="false">IF($K1247=1,COUNTIFS($P$5:$P$1517,"&gt;="&amp;P1247,$K$5:$K$1517,1)/COUNTIF($P$5:$P$1517,"&gt;="&amp;P1247),0)</f>
        <v>0</v>
      </c>
      <c r="Z1247" s="8" t="n">
        <f aca="false">(L1247-$K1247)^2</f>
        <v>0.075276153225</v>
      </c>
      <c r="AA1247" s="8" t="n">
        <f aca="false">(M1247-$K1247)^2</f>
        <v>0.008475595969</v>
      </c>
      <c r="AB1247" s="8" t="n">
        <f aca="false">(N1247-$K1247)^2</f>
        <v>0.001491658884</v>
      </c>
      <c r="AC1247" s="8" t="n">
        <f aca="false">(O1247-$K1247)^2</f>
        <v>0.011274829489</v>
      </c>
      <c r="AD1247" s="8" t="n">
        <f aca="false">(P1247-$K1247)^2</f>
        <v>0.001538365284</v>
      </c>
      <c r="AE1247" s="8" t="n">
        <f aca="false">MIN(INT(ROUND(N1247*1000000,0)/100000),9)</f>
        <v>0</v>
      </c>
      <c r="AF1247" s="8" t="n">
        <f aca="false">MIN(INT(ROUND(P1247*1000000,0)/100000),9)</f>
        <v>0</v>
      </c>
    </row>
    <row r="1248" customFormat="false" ht="15" hidden="false" customHeight="false" outlineLevel="0" collapsed="false">
      <c r="A1248" s="4" t="n">
        <v>1244</v>
      </c>
      <c r="B1248" s="4" t="n">
        <v>680</v>
      </c>
      <c r="C1248" s="4" t="n">
        <v>3</v>
      </c>
      <c r="D1248" s="11" t="n">
        <v>46143</v>
      </c>
      <c r="E1248" s="4" t="s">
        <v>201</v>
      </c>
      <c r="F1248" s="4" t="s">
        <v>207</v>
      </c>
      <c r="G1248" s="4" t="n">
        <v>13</v>
      </c>
      <c r="H1248" s="4" t="n">
        <v>0</v>
      </c>
      <c r="I1248" s="4" t="n">
        <v>1</v>
      </c>
      <c r="J1248" s="4" t="n">
        <v>3843</v>
      </c>
      <c r="K1248" s="4" t="n">
        <v>0</v>
      </c>
      <c r="L1248" s="12" t="n">
        <v>0.512893</v>
      </c>
      <c r="M1248" s="12" t="n">
        <v>0.184211</v>
      </c>
      <c r="N1248" s="12" t="n">
        <v>0.079213</v>
      </c>
      <c r="O1248" s="12" t="n">
        <v>0.106183</v>
      </c>
      <c r="P1248" s="12" t="n">
        <v>0.08311</v>
      </c>
      <c r="Q1248" s="0" t="str">
        <f aca="false">IF(L1248&gt;=Models!$G$5,1+COUNTIF($L$5:$L$1517,"&gt;"&amp;L1248)+COUNTIFS($L$5:$L$1517,L1248,$B$5:$B$1517,"&lt;"&amp;B1248)+COUNTIFS($L$5:$L$1517,L1248,$B$5:$B$1517,B1248,$C$5:$C$1517,"&lt;"&amp;C1248),"")</f>
        <v/>
      </c>
      <c r="R1248" s="8" t="n">
        <f aca="false">IF(M1248&gt;=Models!$G$6,1+COUNTIF($M$5:$M$1517,"&gt;"&amp;M1248)+COUNTIFS($M$5:$M$1517,M1248,$B$5:$B$1517,"&lt;"&amp;B1248)+COUNTIFS($M$5:$M$1517,M1248,$B$5:$B$1517,B1248,$C$5:$C$1517,"&lt;"&amp;C1248),"")</f>
        <v>54</v>
      </c>
      <c r="S1248" s="0" t="str">
        <f aca="false">IF(N1248&gt;=Models!$G$7,1+COUNTIF($N$5:$N$1517,"&gt;"&amp;N1248)+COUNTIFS($N$5:$N$1517,N1248,$B$5:$B$1517,"&lt;"&amp;B1248)+COUNTIFS($N$5:$N$1517,N1248,$B$5:$B$1517,B1248,$C$5:$C$1517,"&lt;"&amp;C1248),"")</f>
        <v/>
      </c>
      <c r="T1248" s="8" t="n">
        <f aca="false">IF(O1248&gt;=Models!$G$8,1+COUNTIF($O$5:$O$1517,"&gt;"&amp;O1248)+COUNTIFS($O$5:$O$1517,O1248,$B$5:$B$1517,"&lt;"&amp;B1248)+COUNTIFS($O$5:$O$1517,O1248,$B$5:$B$1517,B1248,$C$5:$C$1517,"&lt;"&amp;C1248),"")</f>
        <v>525</v>
      </c>
      <c r="U1248" s="8" t="n">
        <f aca="false">IF($K1248=1,COUNTIFS($L$5:$L$1517,"&gt;="&amp;L1248,$K$5:$K$1517,1)/COUNTIF($L$5:$L$1517,"&gt;="&amp;L1248),0)</f>
        <v>0</v>
      </c>
      <c r="V1248" s="8" t="n">
        <f aca="false">IF($K1248=1,COUNTIFS($M$5:$M$1517,"&gt;="&amp;M1248,$K$5:$K$1517,1)/COUNTIF($M$5:$M$1517,"&gt;="&amp;M1248),0)</f>
        <v>0</v>
      </c>
      <c r="W1248" s="8" t="n">
        <f aca="false">IF($K1248=1,COUNTIFS($N$5:$N$1517,"&gt;="&amp;N1248,$K$5:$K$1517,1)/COUNTIF($N$5:$N$1517,"&gt;="&amp;N1248),0)</f>
        <v>0</v>
      </c>
      <c r="X1248" s="8" t="n">
        <f aca="false">IF($K1248=1,COUNTIFS($O$5:$O$1517,"&gt;="&amp;O1248,$K$5:$K$1517,1)/COUNTIF($O$5:$O$1517,"&gt;="&amp;O1248),0)</f>
        <v>0</v>
      </c>
      <c r="Y1248" s="8" t="n">
        <f aca="false">IF($K1248=1,COUNTIFS($P$5:$P$1517,"&gt;="&amp;P1248,$K$5:$K$1517,1)/COUNTIF($P$5:$P$1517,"&gt;="&amp;P1248),0)</f>
        <v>0</v>
      </c>
      <c r="Z1248" s="8" t="n">
        <f aca="false">(L1248-$K1248)^2</f>
        <v>0.263059229449</v>
      </c>
      <c r="AA1248" s="8" t="n">
        <f aca="false">(M1248-$K1248)^2</f>
        <v>0.033933692521</v>
      </c>
      <c r="AB1248" s="8" t="n">
        <f aca="false">(N1248-$K1248)^2</f>
        <v>0.006274699369</v>
      </c>
      <c r="AC1248" s="8" t="n">
        <f aca="false">(O1248-$K1248)^2</f>
        <v>0.011274829489</v>
      </c>
      <c r="AD1248" s="8" t="n">
        <f aca="false">(P1248-$K1248)^2</f>
        <v>0.0069072721</v>
      </c>
      <c r="AE1248" s="8" t="n">
        <f aca="false">MIN(INT(ROUND(N1248*1000000,0)/100000),9)</f>
        <v>0</v>
      </c>
      <c r="AF1248" s="8" t="n">
        <f aca="false">MIN(INT(ROUND(P1248*1000000,0)/100000),9)</f>
        <v>0</v>
      </c>
    </row>
    <row r="1249" customFormat="false" ht="15" hidden="false" customHeight="false" outlineLevel="0" collapsed="false">
      <c r="A1249" s="4" t="n">
        <v>1245</v>
      </c>
      <c r="B1249" s="4" t="n">
        <v>683</v>
      </c>
      <c r="C1249" s="4" t="n">
        <v>3</v>
      </c>
      <c r="D1249" s="11" t="n">
        <v>46143</v>
      </c>
      <c r="E1249" s="4" t="s">
        <v>204</v>
      </c>
      <c r="F1249" s="4" t="s">
        <v>206</v>
      </c>
      <c r="G1249" s="4" t="n">
        <v>5</v>
      </c>
      <c r="H1249" s="4" t="n">
        <v>0</v>
      </c>
      <c r="I1249" s="4" t="n">
        <v>0</v>
      </c>
      <c r="J1249" s="4" t="n">
        <v>114</v>
      </c>
      <c r="K1249" s="4" t="n">
        <v>0</v>
      </c>
      <c r="L1249" s="12" t="n">
        <v>0.396935</v>
      </c>
      <c r="M1249" s="12" t="n">
        <v>0.092063</v>
      </c>
      <c r="N1249" s="12" t="n">
        <v>0.107874</v>
      </c>
      <c r="O1249" s="12" t="n">
        <v>0.106183</v>
      </c>
      <c r="P1249" s="12" t="n">
        <v>0.114641</v>
      </c>
      <c r="Q1249" s="0" t="str">
        <f aca="false">IF(L1249&gt;=Models!$G$5,1+COUNTIF($L$5:$L$1517,"&gt;"&amp;L1249)+COUNTIFS($L$5:$L$1517,L1249,$B$5:$B$1517,"&lt;"&amp;B1249)+COUNTIFS($L$5:$L$1517,L1249,$B$5:$B$1517,B1249,$C$5:$C$1517,"&lt;"&amp;C1249),"")</f>
        <v/>
      </c>
      <c r="R1249" s="0" t="str">
        <f aca="false">IF(M1249&gt;=Models!$G$6,1+COUNTIF($M$5:$M$1517,"&gt;"&amp;M1249)+COUNTIFS($M$5:$M$1517,M1249,$B$5:$B$1517,"&lt;"&amp;B1249)+COUNTIFS($M$5:$M$1517,M1249,$B$5:$B$1517,B1249,$C$5:$C$1517,"&lt;"&amp;C1249),"")</f>
        <v/>
      </c>
      <c r="S1249" s="0" t="str">
        <f aca="false">IF(N1249&gt;=Models!$G$7,1+COUNTIF($N$5:$N$1517,"&gt;"&amp;N1249)+COUNTIFS($N$5:$N$1517,N1249,$B$5:$B$1517,"&lt;"&amp;B1249)+COUNTIFS($N$5:$N$1517,N1249,$B$5:$B$1517,B1249,$C$5:$C$1517,"&lt;"&amp;C1249),"")</f>
        <v/>
      </c>
      <c r="T1249" s="8" t="n">
        <f aca="false">IF(O1249&gt;=Models!$G$8,1+COUNTIF($O$5:$O$1517,"&gt;"&amp;O1249)+COUNTIFS($O$5:$O$1517,O1249,$B$5:$B$1517,"&lt;"&amp;B1249)+COUNTIFS($O$5:$O$1517,O1249,$B$5:$B$1517,B1249,$C$5:$C$1517,"&lt;"&amp;C1249),"")</f>
        <v>529</v>
      </c>
      <c r="U1249" s="8" t="n">
        <f aca="false">IF($K1249=1,COUNTIFS($L$5:$L$1517,"&gt;="&amp;L1249,$K$5:$K$1517,1)/COUNTIF($L$5:$L$1517,"&gt;="&amp;L1249),0)</f>
        <v>0</v>
      </c>
      <c r="V1249" s="8" t="n">
        <f aca="false">IF($K1249=1,COUNTIFS($M$5:$M$1517,"&gt;="&amp;M1249,$K$5:$K$1517,1)/COUNTIF($M$5:$M$1517,"&gt;="&amp;M1249),0)</f>
        <v>0</v>
      </c>
      <c r="W1249" s="8" t="n">
        <f aca="false">IF($K1249=1,COUNTIFS($N$5:$N$1517,"&gt;="&amp;N1249,$K$5:$K$1517,1)/COUNTIF($N$5:$N$1517,"&gt;="&amp;N1249),0)</f>
        <v>0</v>
      </c>
      <c r="X1249" s="8" t="n">
        <f aca="false">IF($K1249=1,COUNTIFS($O$5:$O$1517,"&gt;="&amp;O1249,$K$5:$K$1517,1)/COUNTIF($O$5:$O$1517,"&gt;="&amp;O1249),0)</f>
        <v>0</v>
      </c>
      <c r="Y1249" s="8" t="n">
        <f aca="false">IF($K1249=1,COUNTIFS($P$5:$P$1517,"&gt;="&amp;P1249,$K$5:$K$1517,1)/COUNTIF($P$5:$P$1517,"&gt;="&amp;P1249),0)</f>
        <v>0</v>
      </c>
      <c r="Z1249" s="8" t="n">
        <f aca="false">(L1249-$K1249)^2</f>
        <v>0.157557394225</v>
      </c>
      <c r="AA1249" s="8" t="n">
        <f aca="false">(M1249-$K1249)^2</f>
        <v>0.008475595969</v>
      </c>
      <c r="AB1249" s="8" t="n">
        <f aca="false">(N1249-$K1249)^2</f>
        <v>0.011636799876</v>
      </c>
      <c r="AC1249" s="8" t="n">
        <f aca="false">(O1249-$K1249)^2</f>
        <v>0.011274829489</v>
      </c>
      <c r="AD1249" s="8" t="n">
        <f aca="false">(P1249-$K1249)^2</f>
        <v>0.013142558881</v>
      </c>
      <c r="AE1249" s="8" t="n">
        <f aca="false">MIN(INT(ROUND(N1249*1000000,0)/100000),9)</f>
        <v>1</v>
      </c>
      <c r="AF1249" s="8" t="n">
        <f aca="false">MIN(INT(ROUND(P1249*1000000,0)/100000),9)</f>
        <v>1</v>
      </c>
    </row>
    <row r="1250" customFormat="false" ht="15" hidden="false" customHeight="false" outlineLevel="0" collapsed="false">
      <c r="A1250" s="4" t="n">
        <v>1246</v>
      </c>
      <c r="B1250" s="4" t="n">
        <v>701</v>
      </c>
      <c r="C1250" s="4" t="n">
        <v>3</v>
      </c>
      <c r="D1250" s="11" t="n">
        <v>46143</v>
      </c>
      <c r="E1250" s="4" t="s">
        <v>202</v>
      </c>
      <c r="F1250" s="4" t="s">
        <v>207</v>
      </c>
      <c r="G1250" s="4" t="n">
        <v>12</v>
      </c>
      <c r="H1250" s="4" t="n">
        <v>0</v>
      </c>
      <c r="I1250" s="4" t="n">
        <v>1</v>
      </c>
      <c r="J1250" s="4"/>
      <c r="K1250" s="4" t="n">
        <v>0</v>
      </c>
      <c r="L1250" s="12" t="n">
        <v>0.435988</v>
      </c>
      <c r="M1250" s="12" t="n">
        <v>0.184211</v>
      </c>
      <c r="N1250" s="12" t="n">
        <v>0.052318</v>
      </c>
      <c r="O1250" s="12" t="n">
        <v>0.106183</v>
      </c>
      <c r="P1250" s="12" t="n">
        <v>0.053884</v>
      </c>
      <c r="Q1250" s="0" t="str">
        <f aca="false">IF(L1250&gt;=Models!$G$5,1+COUNTIF($L$5:$L$1517,"&gt;"&amp;L1250)+COUNTIFS($L$5:$L$1517,L1250,$B$5:$B$1517,"&lt;"&amp;B1250)+COUNTIFS($L$5:$L$1517,L1250,$B$5:$B$1517,B1250,$C$5:$C$1517,"&lt;"&amp;C1250),"")</f>
        <v/>
      </c>
      <c r="R1250" s="8" t="n">
        <f aca="false">IF(M1250&gt;=Models!$G$6,1+COUNTIF($M$5:$M$1517,"&gt;"&amp;M1250)+COUNTIFS($M$5:$M$1517,M1250,$B$5:$B$1517,"&lt;"&amp;B1250)+COUNTIFS($M$5:$M$1517,M1250,$B$5:$B$1517,B1250,$C$5:$C$1517,"&lt;"&amp;C1250),"")</f>
        <v>57</v>
      </c>
      <c r="S1250" s="0" t="str">
        <f aca="false">IF(N1250&gt;=Models!$G$7,1+COUNTIF($N$5:$N$1517,"&gt;"&amp;N1250)+COUNTIFS($N$5:$N$1517,N1250,$B$5:$B$1517,"&lt;"&amp;B1250)+COUNTIFS($N$5:$N$1517,N1250,$B$5:$B$1517,B1250,$C$5:$C$1517,"&lt;"&amp;C1250),"")</f>
        <v/>
      </c>
      <c r="T1250" s="8" t="n">
        <f aca="false">IF(O1250&gt;=Models!$G$8,1+COUNTIF($O$5:$O$1517,"&gt;"&amp;O1250)+COUNTIFS($O$5:$O$1517,O1250,$B$5:$B$1517,"&lt;"&amp;B1250)+COUNTIFS($O$5:$O$1517,O1250,$B$5:$B$1517,B1250,$C$5:$C$1517,"&lt;"&amp;C1250),"")</f>
        <v>533</v>
      </c>
      <c r="U1250" s="8" t="n">
        <f aca="false">IF($K1250=1,COUNTIFS($L$5:$L$1517,"&gt;="&amp;L1250,$K$5:$K$1517,1)/COUNTIF($L$5:$L$1517,"&gt;="&amp;L1250),0)</f>
        <v>0</v>
      </c>
      <c r="V1250" s="8" t="n">
        <f aca="false">IF($K1250=1,COUNTIFS($M$5:$M$1517,"&gt;="&amp;M1250,$K$5:$K$1517,1)/COUNTIF($M$5:$M$1517,"&gt;="&amp;M1250),0)</f>
        <v>0</v>
      </c>
      <c r="W1250" s="8" t="n">
        <f aca="false">IF($K1250=1,COUNTIFS($N$5:$N$1517,"&gt;="&amp;N1250,$K$5:$K$1517,1)/COUNTIF($N$5:$N$1517,"&gt;="&amp;N1250),0)</f>
        <v>0</v>
      </c>
      <c r="X1250" s="8" t="n">
        <f aca="false">IF($K1250=1,COUNTIFS($O$5:$O$1517,"&gt;="&amp;O1250,$K$5:$K$1517,1)/COUNTIF($O$5:$O$1517,"&gt;="&amp;O1250),0)</f>
        <v>0</v>
      </c>
      <c r="Y1250" s="8" t="n">
        <f aca="false">IF($K1250=1,COUNTIFS($P$5:$P$1517,"&gt;="&amp;P1250,$K$5:$K$1517,1)/COUNTIF($P$5:$P$1517,"&gt;="&amp;P1250),0)</f>
        <v>0</v>
      </c>
      <c r="Z1250" s="8" t="n">
        <f aca="false">(L1250-$K1250)^2</f>
        <v>0.190085536144</v>
      </c>
      <c r="AA1250" s="8" t="n">
        <f aca="false">(M1250-$K1250)^2</f>
        <v>0.033933692521</v>
      </c>
      <c r="AB1250" s="8" t="n">
        <f aca="false">(N1250-$K1250)^2</f>
        <v>0.002737173124</v>
      </c>
      <c r="AC1250" s="8" t="n">
        <f aca="false">(O1250-$K1250)^2</f>
        <v>0.011274829489</v>
      </c>
      <c r="AD1250" s="8" t="n">
        <f aca="false">(P1250-$K1250)^2</f>
        <v>0.002903485456</v>
      </c>
      <c r="AE1250" s="8" t="n">
        <f aca="false">MIN(INT(ROUND(N1250*1000000,0)/100000),9)</f>
        <v>0</v>
      </c>
      <c r="AF1250" s="8" t="n">
        <f aca="false">MIN(INT(ROUND(P1250*1000000,0)/100000),9)</f>
        <v>0</v>
      </c>
    </row>
    <row r="1251" customFormat="false" ht="15" hidden="false" customHeight="false" outlineLevel="0" collapsed="false">
      <c r="A1251" s="4" t="n">
        <v>1247</v>
      </c>
      <c r="B1251" s="4" t="n">
        <v>706</v>
      </c>
      <c r="C1251" s="4" t="n">
        <v>3</v>
      </c>
      <c r="D1251" s="11" t="n">
        <v>46143</v>
      </c>
      <c r="E1251" s="4" t="s">
        <v>202</v>
      </c>
      <c r="F1251" s="4" t="s">
        <v>206</v>
      </c>
      <c r="G1251" s="4" t="n">
        <v>6</v>
      </c>
      <c r="H1251" s="4" t="n">
        <v>3</v>
      </c>
      <c r="I1251" s="4" t="n">
        <v>0</v>
      </c>
      <c r="J1251" s="4"/>
      <c r="K1251" s="4" t="n">
        <v>0</v>
      </c>
      <c r="L1251" s="12" t="n">
        <v>0.095385</v>
      </c>
      <c r="M1251" s="12" t="n">
        <v>0.092063</v>
      </c>
      <c r="N1251" s="12" t="n">
        <v>0.050778</v>
      </c>
      <c r="O1251" s="12" t="n">
        <v>0.106183</v>
      </c>
      <c r="P1251" s="12" t="n">
        <v>0.052227</v>
      </c>
      <c r="Q1251" s="0" t="str">
        <f aca="false">IF(L1251&gt;=Models!$G$5,1+COUNTIF($L$5:$L$1517,"&gt;"&amp;L1251)+COUNTIFS($L$5:$L$1517,L1251,$B$5:$B$1517,"&lt;"&amp;B1251)+COUNTIFS($L$5:$L$1517,L1251,$B$5:$B$1517,B1251,$C$5:$C$1517,"&lt;"&amp;C1251),"")</f>
        <v/>
      </c>
      <c r="R1251" s="0" t="str">
        <f aca="false">IF(M1251&gt;=Models!$G$6,1+COUNTIF($M$5:$M$1517,"&gt;"&amp;M1251)+COUNTIFS($M$5:$M$1517,M1251,$B$5:$B$1517,"&lt;"&amp;B1251)+COUNTIFS($M$5:$M$1517,M1251,$B$5:$B$1517,B1251,$C$5:$C$1517,"&lt;"&amp;C1251),"")</f>
        <v/>
      </c>
      <c r="S1251" s="0" t="str">
        <f aca="false">IF(N1251&gt;=Models!$G$7,1+COUNTIF($N$5:$N$1517,"&gt;"&amp;N1251)+COUNTIFS($N$5:$N$1517,N1251,$B$5:$B$1517,"&lt;"&amp;B1251)+COUNTIFS($N$5:$N$1517,N1251,$B$5:$B$1517,B1251,$C$5:$C$1517,"&lt;"&amp;C1251),"")</f>
        <v/>
      </c>
      <c r="T1251" s="8" t="n">
        <f aca="false">IF(O1251&gt;=Models!$G$8,1+COUNTIF($O$5:$O$1517,"&gt;"&amp;O1251)+COUNTIFS($O$5:$O$1517,O1251,$B$5:$B$1517,"&lt;"&amp;B1251)+COUNTIFS($O$5:$O$1517,O1251,$B$5:$B$1517,B1251,$C$5:$C$1517,"&lt;"&amp;C1251),"")</f>
        <v>537</v>
      </c>
      <c r="U1251" s="8" t="n">
        <f aca="false">IF($K1251=1,COUNTIFS($L$5:$L$1517,"&gt;="&amp;L1251,$K$5:$K$1517,1)/COUNTIF($L$5:$L$1517,"&gt;="&amp;L1251),0)</f>
        <v>0</v>
      </c>
      <c r="V1251" s="8" t="n">
        <f aca="false">IF($K1251=1,COUNTIFS($M$5:$M$1517,"&gt;="&amp;M1251,$K$5:$K$1517,1)/COUNTIF($M$5:$M$1517,"&gt;="&amp;M1251),0)</f>
        <v>0</v>
      </c>
      <c r="W1251" s="8" t="n">
        <f aca="false">IF($K1251=1,COUNTIFS($N$5:$N$1517,"&gt;="&amp;N1251,$K$5:$K$1517,1)/COUNTIF($N$5:$N$1517,"&gt;="&amp;N1251),0)</f>
        <v>0</v>
      </c>
      <c r="X1251" s="8" t="n">
        <f aca="false">IF($K1251=1,COUNTIFS($O$5:$O$1517,"&gt;="&amp;O1251,$K$5:$K$1517,1)/COUNTIF($O$5:$O$1517,"&gt;="&amp;O1251),0)</f>
        <v>0</v>
      </c>
      <c r="Y1251" s="8" t="n">
        <f aca="false">IF($K1251=1,COUNTIFS($P$5:$P$1517,"&gt;="&amp;P1251,$K$5:$K$1517,1)/COUNTIF($P$5:$P$1517,"&gt;="&amp;P1251),0)</f>
        <v>0</v>
      </c>
      <c r="Z1251" s="8" t="n">
        <f aca="false">(L1251-$K1251)^2</f>
        <v>0.009098298225</v>
      </c>
      <c r="AA1251" s="8" t="n">
        <f aca="false">(M1251-$K1251)^2</f>
        <v>0.008475595969</v>
      </c>
      <c r="AB1251" s="8" t="n">
        <f aca="false">(N1251-$K1251)^2</f>
        <v>0.002578405284</v>
      </c>
      <c r="AC1251" s="8" t="n">
        <f aca="false">(O1251-$K1251)^2</f>
        <v>0.011274829489</v>
      </c>
      <c r="AD1251" s="8" t="n">
        <f aca="false">(P1251-$K1251)^2</f>
        <v>0.002727659529</v>
      </c>
      <c r="AE1251" s="8" t="n">
        <f aca="false">MIN(INT(ROUND(N1251*1000000,0)/100000),9)</f>
        <v>0</v>
      </c>
      <c r="AF1251" s="8" t="n">
        <f aca="false">MIN(INT(ROUND(P1251*1000000,0)/100000),9)</f>
        <v>0</v>
      </c>
    </row>
    <row r="1252" customFormat="false" ht="15" hidden="false" customHeight="false" outlineLevel="0" collapsed="false">
      <c r="A1252" s="4" t="n">
        <v>1248</v>
      </c>
      <c r="B1252" s="4" t="n">
        <v>708</v>
      </c>
      <c r="C1252" s="4" t="n">
        <v>3</v>
      </c>
      <c r="D1252" s="11" t="n">
        <v>46143</v>
      </c>
      <c r="E1252" s="4" t="s">
        <v>201</v>
      </c>
      <c r="F1252" s="4" t="s">
        <v>206</v>
      </c>
      <c r="G1252" s="4" t="n">
        <v>16</v>
      </c>
      <c r="H1252" s="4" t="n">
        <v>5</v>
      </c>
      <c r="I1252" s="4" t="n">
        <v>0</v>
      </c>
      <c r="J1252" s="4"/>
      <c r="K1252" s="4" t="n">
        <v>0</v>
      </c>
      <c r="L1252" s="12" t="n">
        <v>0.970846</v>
      </c>
      <c r="M1252" s="12" t="n">
        <v>0.092063</v>
      </c>
      <c r="N1252" s="12" t="n">
        <v>0.021632</v>
      </c>
      <c r="O1252" s="12" t="n">
        <v>0.106183</v>
      </c>
      <c r="P1252" s="12" t="n">
        <v>0.021372</v>
      </c>
      <c r="Q1252" s="0" t="str">
        <f aca="false">IF(L1252&gt;=Models!$G$5,1+COUNTIF($L$5:$L$1517,"&gt;"&amp;L1252)+COUNTIFS($L$5:$L$1517,L1252,$B$5:$B$1517,"&lt;"&amp;B1252)+COUNTIFS($L$5:$L$1517,L1252,$B$5:$B$1517,B1252,$C$5:$C$1517,"&lt;"&amp;C1252),"")</f>
        <v/>
      </c>
      <c r="R1252" s="0" t="str">
        <f aca="false">IF(M1252&gt;=Models!$G$6,1+COUNTIF($M$5:$M$1517,"&gt;"&amp;M1252)+COUNTIFS($M$5:$M$1517,M1252,$B$5:$B$1517,"&lt;"&amp;B1252)+COUNTIFS($M$5:$M$1517,M1252,$B$5:$B$1517,B1252,$C$5:$C$1517,"&lt;"&amp;C1252),"")</f>
        <v/>
      </c>
      <c r="S1252" s="0" t="str">
        <f aca="false">IF(N1252&gt;=Models!$G$7,1+COUNTIF($N$5:$N$1517,"&gt;"&amp;N1252)+COUNTIFS($N$5:$N$1517,N1252,$B$5:$B$1517,"&lt;"&amp;B1252)+COUNTIFS($N$5:$N$1517,N1252,$B$5:$B$1517,B1252,$C$5:$C$1517,"&lt;"&amp;C1252),"")</f>
        <v/>
      </c>
      <c r="T1252" s="8" t="n">
        <f aca="false">IF(O1252&gt;=Models!$G$8,1+COUNTIF($O$5:$O$1517,"&gt;"&amp;O1252)+COUNTIFS($O$5:$O$1517,O1252,$B$5:$B$1517,"&lt;"&amp;B1252)+COUNTIFS($O$5:$O$1517,O1252,$B$5:$B$1517,B1252,$C$5:$C$1517,"&lt;"&amp;C1252),"")</f>
        <v>541</v>
      </c>
      <c r="U1252" s="8" t="n">
        <f aca="false">IF($K1252=1,COUNTIFS($L$5:$L$1517,"&gt;="&amp;L1252,$K$5:$K$1517,1)/COUNTIF($L$5:$L$1517,"&gt;="&amp;L1252),0)</f>
        <v>0</v>
      </c>
      <c r="V1252" s="8" t="n">
        <f aca="false">IF($K1252=1,COUNTIFS($M$5:$M$1517,"&gt;="&amp;M1252,$K$5:$K$1517,1)/COUNTIF($M$5:$M$1517,"&gt;="&amp;M1252),0)</f>
        <v>0</v>
      </c>
      <c r="W1252" s="8" t="n">
        <f aca="false">IF($K1252=1,COUNTIFS($N$5:$N$1517,"&gt;="&amp;N1252,$K$5:$K$1517,1)/COUNTIF($N$5:$N$1517,"&gt;="&amp;N1252),0)</f>
        <v>0</v>
      </c>
      <c r="X1252" s="8" t="n">
        <f aca="false">IF($K1252=1,COUNTIFS($O$5:$O$1517,"&gt;="&amp;O1252,$K$5:$K$1517,1)/COUNTIF($O$5:$O$1517,"&gt;="&amp;O1252),0)</f>
        <v>0</v>
      </c>
      <c r="Y1252" s="8" t="n">
        <f aca="false">IF($K1252=1,COUNTIFS($P$5:$P$1517,"&gt;="&amp;P1252,$K$5:$K$1517,1)/COUNTIF($P$5:$P$1517,"&gt;="&amp;P1252),0)</f>
        <v>0</v>
      </c>
      <c r="Z1252" s="8" t="n">
        <f aca="false">(L1252-$K1252)^2</f>
        <v>0.942541955716</v>
      </c>
      <c r="AA1252" s="8" t="n">
        <f aca="false">(M1252-$K1252)^2</f>
        <v>0.008475595969</v>
      </c>
      <c r="AB1252" s="8" t="n">
        <f aca="false">(N1252-$K1252)^2</f>
        <v>0.000467943424</v>
      </c>
      <c r="AC1252" s="8" t="n">
        <f aca="false">(O1252-$K1252)^2</f>
        <v>0.011274829489</v>
      </c>
      <c r="AD1252" s="8" t="n">
        <f aca="false">(P1252-$K1252)^2</f>
        <v>0.000456762384</v>
      </c>
      <c r="AE1252" s="8" t="n">
        <f aca="false">MIN(INT(ROUND(N1252*1000000,0)/100000),9)</f>
        <v>0</v>
      </c>
      <c r="AF1252" s="8" t="n">
        <f aca="false">MIN(INT(ROUND(P1252*1000000,0)/100000),9)</f>
        <v>0</v>
      </c>
    </row>
    <row r="1253" customFormat="false" ht="15" hidden="false" customHeight="false" outlineLevel="0" collapsed="false">
      <c r="A1253" s="4" t="n">
        <v>1249</v>
      </c>
      <c r="B1253" s="4" t="n">
        <v>712</v>
      </c>
      <c r="C1253" s="4" t="n">
        <v>3</v>
      </c>
      <c r="D1253" s="11" t="n">
        <v>46143</v>
      </c>
      <c r="E1253" s="4" t="s">
        <v>201</v>
      </c>
      <c r="F1253" s="4" t="s">
        <v>209</v>
      </c>
      <c r="G1253" s="4" t="n">
        <v>8</v>
      </c>
      <c r="H1253" s="4" t="n">
        <v>5</v>
      </c>
      <c r="I1253" s="4" t="n">
        <v>0</v>
      </c>
      <c r="J1253" s="4"/>
      <c r="K1253" s="4" t="n">
        <v>0</v>
      </c>
      <c r="L1253" s="12" t="n">
        <v>0.60493</v>
      </c>
      <c r="M1253" s="12" t="n">
        <v>0.092063</v>
      </c>
      <c r="N1253" s="12" t="n">
        <v>0.043448</v>
      </c>
      <c r="O1253" s="12" t="n">
        <v>0.106183</v>
      </c>
      <c r="P1253" s="12" t="n">
        <v>0.044366</v>
      </c>
      <c r="Q1253" s="0" t="str">
        <f aca="false">IF(L1253&gt;=Models!$G$5,1+COUNTIF($L$5:$L$1517,"&gt;"&amp;L1253)+COUNTIFS($L$5:$L$1517,L1253,$B$5:$B$1517,"&lt;"&amp;B1253)+COUNTIFS($L$5:$L$1517,L1253,$B$5:$B$1517,B1253,$C$5:$C$1517,"&lt;"&amp;C1253),"")</f>
        <v/>
      </c>
      <c r="R1253" s="0" t="str">
        <f aca="false">IF(M1253&gt;=Models!$G$6,1+COUNTIF($M$5:$M$1517,"&gt;"&amp;M1253)+COUNTIFS($M$5:$M$1517,M1253,$B$5:$B$1517,"&lt;"&amp;B1253)+COUNTIFS($M$5:$M$1517,M1253,$B$5:$B$1517,B1253,$C$5:$C$1517,"&lt;"&amp;C1253),"")</f>
        <v/>
      </c>
      <c r="S1253" s="0" t="str">
        <f aca="false">IF(N1253&gt;=Models!$G$7,1+COUNTIF($N$5:$N$1517,"&gt;"&amp;N1253)+COUNTIFS($N$5:$N$1517,N1253,$B$5:$B$1517,"&lt;"&amp;B1253)+COUNTIFS($N$5:$N$1517,N1253,$B$5:$B$1517,B1253,$C$5:$C$1517,"&lt;"&amp;C1253),"")</f>
        <v/>
      </c>
      <c r="T1253" s="8" t="n">
        <f aca="false">IF(O1253&gt;=Models!$G$8,1+COUNTIF($O$5:$O$1517,"&gt;"&amp;O1253)+COUNTIFS($O$5:$O$1517,O1253,$B$5:$B$1517,"&lt;"&amp;B1253)+COUNTIFS($O$5:$O$1517,O1253,$B$5:$B$1517,B1253,$C$5:$C$1517,"&lt;"&amp;C1253),"")</f>
        <v>545</v>
      </c>
      <c r="U1253" s="8" t="n">
        <f aca="false">IF($K1253=1,COUNTIFS($L$5:$L$1517,"&gt;="&amp;L1253,$K$5:$K$1517,1)/COUNTIF($L$5:$L$1517,"&gt;="&amp;L1253),0)</f>
        <v>0</v>
      </c>
      <c r="V1253" s="8" t="n">
        <f aca="false">IF($K1253=1,COUNTIFS($M$5:$M$1517,"&gt;="&amp;M1253,$K$5:$K$1517,1)/COUNTIF($M$5:$M$1517,"&gt;="&amp;M1253),0)</f>
        <v>0</v>
      </c>
      <c r="W1253" s="8" t="n">
        <f aca="false">IF($K1253=1,COUNTIFS($N$5:$N$1517,"&gt;="&amp;N1253,$K$5:$K$1517,1)/COUNTIF($N$5:$N$1517,"&gt;="&amp;N1253),0)</f>
        <v>0</v>
      </c>
      <c r="X1253" s="8" t="n">
        <f aca="false">IF($K1253=1,COUNTIFS($O$5:$O$1517,"&gt;="&amp;O1253,$K$5:$K$1517,1)/COUNTIF($O$5:$O$1517,"&gt;="&amp;O1253),0)</f>
        <v>0</v>
      </c>
      <c r="Y1253" s="8" t="n">
        <f aca="false">IF($K1253=1,COUNTIFS($P$5:$P$1517,"&gt;="&amp;P1253,$K$5:$K$1517,1)/COUNTIF($P$5:$P$1517,"&gt;="&amp;P1253),0)</f>
        <v>0</v>
      </c>
      <c r="Z1253" s="8" t="n">
        <f aca="false">(L1253-$K1253)^2</f>
        <v>0.3659403049</v>
      </c>
      <c r="AA1253" s="8" t="n">
        <f aca="false">(M1253-$K1253)^2</f>
        <v>0.008475595969</v>
      </c>
      <c r="AB1253" s="8" t="n">
        <f aca="false">(N1253-$K1253)^2</f>
        <v>0.001887728704</v>
      </c>
      <c r="AC1253" s="8" t="n">
        <f aca="false">(O1253-$K1253)^2</f>
        <v>0.011274829489</v>
      </c>
      <c r="AD1253" s="8" t="n">
        <f aca="false">(P1253-$K1253)^2</f>
        <v>0.001968341956</v>
      </c>
      <c r="AE1253" s="8" t="n">
        <f aca="false">MIN(INT(ROUND(N1253*1000000,0)/100000),9)</f>
        <v>0</v>
      </c>
      <c r="AF1253" s="8" t="n">
        <f aca="false">MIN(INT(ROUND(P1253*1000000,0)/100000),9)</f>
        <v>0</v>
      </c>
    </row>
    <row r="1254" customFormat="false" ht="15" hidden="false" customHeight="false" outlineLevel="0" collapsed="false">
      <c r="A1254" s="4" t="n">
        <v>1250</v>
      </c>
      <c r="B1254" s="4" t="n">
        <v>715</v>
      </c>
      <c r="C1254" s="4" t="n">
        <v>3</v>
      </c>
      <c r="D1254" s="11" t="n">
        <v>46143</v>
      </c>
      <c r="E1254" s="4" t="s">
        <v>201</v>
      </c>
      <c r="F1254" s="4" t="s">
        <v>209</v>
      </c>
      <c r="G1254" s="4" t="n">
        <v>8</v>
      </c>
      <c r="H1254" s="4" t="n">
        <v>0</v>
      </c>
      <c r="I1254" s="4" t="n">
        <v>0</v>
      </c>
      <c r="J1254" s="4"/>
      <c r="K1254" s="4" t="n">
        <v>0</v>
      </c>
      <c r="L1254" s="12" t="n">
        <v>0.939182</v>
      </c>
      <c r="M1254" s="12" t="n">
        <v>0.092063</v>
      </c>
      <c r="N1254" s="12" t="n">
        <v>0.041776</v>
      </c>
      <c r="O1254" s="12" t="n">
        <v>0.106183</v>
      </c>
      <c r="P1254" s="12" t="n">
        <v>0.042581</v>
      </c>
      <c r="Q1254" s="0" t="str">
        <f aca="false">IF(L1254&gt;=Models!$G$5,1+COUNTIF($L$5:$L$1517,"&gt;"&amp;L1254)+COUNTIFS($L$5:$L$1517,L1254,$B$5:$B$1517,"&lt;"&amp;B1254)+COUNTIFS($L$5:$L$1517,L1254,$B$5:$B$1517,B1254,$C$5:$C$1517,"&lt;"&amp;C1254),"")</f>
        <v/>
      </c>
      <c r="R1254" s="0" t="str">
        <f aca="false">IF(M1254&gt;=Models!$G$6,1+COUNTIF($M$5:$M$1517,"&gt;"&amp;M1254)+COUNTIFS($M$5:$M$1517,M1254,$B$5:$B$1517,"&lt;"&amp;B1254)+COUNTIFS($M$5:$M$1517,M1254,$B$5:$B$1517,B1254,$C$5:$C$1517,"&lt;"&amp;C1254),"")</f>
        <v/>
      </c>
      <c r="S1254" s="0" t="str">
        <f aca="false">IF(N1254&gt;=Models!$G$7,1+COUNTIF($N$5:$N$1517,"&gt;"&amp;N1254)+COUNTIFS($N$5:$N$1517,N1254,$B$5:$B$1517,"&lt;"&amp;B1254)+COUNTIFS($N$5:$N$1517,N1254,$B$5:$B$1517,B1254,$C$5:$C$1517,"&lt;"&amp;C1254),"")</f>
        <v/>
      </c>
      <c r="T1254" s="8" t="n">
        <f aca="false">IF(O1254&gt;=Models!$G$8,1+COUNTIF($O$5:$O$1517,"&gt;"&amp;O1254)+COUNTIFS($O$5:$O$1517,O1254,$B$5:$B$1517,"&lt;"&amp;B1254)+COUNTIFS($O$5:$O$1517,O1254,$B$5:$B$1517,B1254,$C$5:$C$1517,"&lt;"&amp;C1254),"")</f>
        <v>549</v>
      </c>
      <c r="U1254" s="8" t="n">
        <f aca="false">IF($K1254=1,COUNTIFS($L$5:$L$1517,"&gt;="&amp;L1254,$K$5:$K$1517,1)/COUNTIF($L$5:$L$1517,"&gt;="&amp;L1254),0)</f>
        <v>0</v>
      </c>
      <c r="V1254" s="8" t="n">
        <f aca="false">IF($K1254=1,COUNTIFS($M$5:$M$1517,"&gt;="&amp;M1254,$K$5:$K$1517,1)/COUNTIF($M$5:$M$1517,"&gt;="&amp;M1254),0)</f>
        <v>0</v>
      </c>
      <c r="W1254" s="8" t="n">
        <f aca="false">IF($K1254=1,COUNTIFS($N$5:$N$1517,"&gt;="&amp;N1254,$K$5:$K$1517,1)/COUNTIF($N$5:$N$1517,"&gt;="&amp;N1254),0)</f>
        <v>0</v>
      </c>
      <c r="X1254" s="8" t="n">
        <f aca="false">IF($K1254=1,COUNTIFS($O$5:$O$1517,"&gt;="&amp;O1254,$K$5:$K$1517,1)/COUNTIF($O$5:$O$1517,"&gt;="&amp;O1254),0)</f>
        <v>0</v>
      </c>
      <c r="Y1254" s="8" t="n">
        <f aca="false">IF($K1254=1,COUNTIFS($P$5:$P$1517,"&gt;="&amp;P1254,$K$5:$K$1517,1)/COUNTIF($P$5:$P$1517,"&gt;="&amp;P1254),0)</f>
        <v>0</v>
      </c>
      <c r="Z1254" s="8" t="n">
        <f aca="false">(L1254-$K1254)^2</f>
        <v>0.882062829124</v>
      </c>
      <c r="AA1254" s="8" t="n">
        <f aca="false">(M1254-$K1254)^2</f>
        <v>0.008475595969</v>
      </c>
      <c r="AB1254" s="8" t="n">
        <f aca="false">(N1254-$K1254)^2</f>
        <v>0.001745234176</v>
      </c>
      <c r="AC1254" s="8" t="n">
        <f aca="false">(O1254-$K1254)^2</f>
        <v>0.011274829489</v>
      </c>
      <c r="AD1254" s="8" t="n">
        <f aca="false">(P1254-$K1254)^2</f>
        <v>0.001813141561</v>
      </c>
      <c r="AE1254" s="8" t="n">
        <f aca="false">MIN(INT(ROUND(N1254*1000000,0)/100000),9)</f>
        <v>0</v>
      </c>
      <c r="AF1254" s="8" t="n">
        <f aca="false">MIN(INT(ROUND(P1254*1000000,0)/100000),9)</f>
        <v>0</v>
      </c>
    </row>
    <row r="1255" customFormat="false" ht="15" hidden="false" customHeight="false" outlineLevel="0" collapsed="false">
      <c r="A1255" s="4" t="n">
        <v>1251</v>
      </c>
      <c r="B1255" s="4" t="n">
        <v>717</v>
      </c>
      <c r="C1255" s="4" t="n">
        <v>3</v>
      </c>
      <c r="D1255" s="11" t="n">
        <v>46143</v>
      </c>
      <c r="E1255" s="4" t="s">
        <v>203</v>
      </c>
      <c r="F1255" s="4" t="s">
        <v>209</v>
      </c>
      <c r="G1255" s="4" t="n">
        <v>6</v>
      </c>
      <c r="H1255" s="4" t="n">
        <v>2</v>
      </c>
      <c r="I1255" s="4" t="n">
        <v>0</v>
      </c>
      <c r="J1255" s="4" t="n">
        <v>285</v>
      </c>
      <c r="K1255" s="4" t="n">
        <v>0</v>
      </c>
      <c r="L1255" s="12" t="n">
        <v>0.787952</v>
      </c>
      <c r="M1255" s="12" t="n">
        <v>0.092063</v>
      </c>
      <c r="N1255" s="12" t="n">
        <v>0.100095</v>
      </c>
      <c r="O1255" s="12" t="n">
        <v>0.106183</v>
      </c>
      <c r="P1255" s="12" t="n">
        <v>0.106055</v>
      </c>
      <c r="Q1255" s="0" t="str">
        <f aca="false">IF(L1255&gt;=Models!$G$5,1+COUNTIF($L$5:$L$1517,"&gt;"&amp;L1255)+COUNTIFS($L$5:$L$1517,L1255,$B$5:$B$1517,"&lt;"&amp;B1255)+COUNTIFS($L$5:$L$1517,L1255,$B$5:$B$1517,B1255,$C$5:$C$1517,"&lt;"&amp;C1255),"")</f>
        <v/>
      </c>
      <c r="R1255" s="0" t="str">
        <f aca="false">IF(M1255&gt;=Models!$G$6,1+COUNTIF($M$5:$M$1517,"&gt;"&amp;M1255)+COUNTIFS($M$5:$M$1517,M1255,$B$5:$B$1517,"&lt;"&amp;B1255)+COUNTIFS($M$5:$M$1517,M1255,$B$5:$B$1517,B1255,$C$5:$C$1517,"&lt;"&amp;C1255),"")</f>
        <v/>
      </c>
      <c r="S1255" s="0" t="str">
        <f aca="false">IF(N1255&gt;=Models!$G$7,1+COUNTIF($N$5:$N$1517,"&gt;"&amp;N1255)+COUNTIFS($N$5:$N$1517,N1255,$B$5:$B$1517,"&lt;"&amp;B1255)+COUNTIFS($N$5:$N$1517,N1255,$B$5:$B$1517,B1255,$C$5:$C$1517,"&lt;"&amp;C1255),"")</f>
        <v/>
      </c>
      <c r="T1255" s="8" t="n">
        <f aca="false">IF(O1255&gt;=Models!$G$8,1+COUNTIF($O$5:$O$1517,"&gt;"&amp;O1255)+COUNTIFS($O$5:$O$1517,O1255,$B$5:$B$1517,"&lt;"&amp;B1255)+COUNTIFS($O$5:$O$1517,O1255,$B$5:$B$1517,B1255,$C$5:$C$1517,"&lt;"&amp;C1255),"")</f>
        <v>553</v>
      </c>
      <c r="U1255" s="8" t="n">
        <f aca="false">IF($K1255=1,COUNTIFS($L$5:$L$1517,"&gt;="&amp;L1255,$K$5:$K$1517,1)/COUNTIF($L$5:$L$1517,"&gt;="&amp;L1255),0)</f>
        <v>0</v>
      </c>
      <c r="V1255" s="8" t="n">
        <f aca="false">IF($K1255=1,COUNTIFS($M$5:$M$1517,"&gt;="&amp;M1255,$K$5:$K$1517,1)/COUNTIF($M$5:$M$1517,"&gt;="&amp;M1255),0)</f>
        <v>0</v>
      </c>
      <c r="W1255" s="8" t="n">
        <f aca="false">IF($K1255=1,COUNTIFS($N$5:$N$1517,"&gt;="&amp;N1255,$K$5:$K$1517,1)/COUNTIF($N$5:$N$1517,"&gt;="&amp;N1255),0)</f>
        <v>0</v>
      </c>
      <c r="X1255" s="8" t="n">
        <f aca="false">IF($K1255=1,COUNTIFS($O$5:$O$1517,"&gt;="&amp;O1255,$K$5:$K$1517,1)/COUNTIF($O$5:$O$1517,"&gt;="&amp;O1255),0)</f>
        <v>0</v>
      </c>
      <c r="Y1255" s="8" t="n">
        <f aca="false">IF($K1255=1,COUNTIFS($P$5:$P$1517,"&gt;="&amp;P1255,$K$5:$K$1517,1)/COUNTIF($P$5:$P$1517,"&gt;="&amp;P1255),0)</f>
        <v>0</v>
      </c>
      <c r="Z1255" s="8" t="n">
        <f aca="false">(L1255-$K1255)^2</f>
        <v>0.620868354304</v>
      </c>
      <c r="AA1255" s="8" t="n">
        <f aca="false">(M1255-$K1255)^2</f>
        <v>0.008475595969</v>
      </c>
      <c r="AB1255" s="8" t="n">
        <f aca="false">(N1255-$K1255)^2</f>
        <v>0.010019009025</v>
      </c>
      <c r="AC1255" s="8" t="n">
        <f aca="false">(O1255-$K1255)^2</f>
        <v>0.011274829489</v>
      </c>
      <c r="AD1255" s="8" t="n">
        <f aca="false">(P1255-$K1255)^2</f>
        <v>0.011247663025</v>
      </c>
      <c r="AE1255" s="8" t="n">
        <f aca="false">MIN(INT(ROUND(N1255*1000000,0)/100000),9)</f>
        <v>1</v>
      </c>
      <c r="AF1255" s="8" t="n">
        <f aca="false">MIN(INT(ROUND(P1255*1000000,0)/100000),9)</f>
        <v>1</v>
      </c>
    </row>
    <row r="1256" customFormat="false" ht="15" hidden="false" customHeight="false" outlineLevel="0" collapsed="false">
      <c r="A1256" s="4" t="n">
        <v>1252</v>
      </c>
      <c r="B1256" s="4" t="n">
        <v>722</v>
      </c>
      <c r="C1256" s="4" t="n">
        <v>3</v>
      </c>
      <c r="D1256" s="11" t="n">
        <v>46143</v>
      </c>
      <c r="E1256" s="4" t="s">
        <v>204</v>
      </c>
      <c r="F1256" s="4" t="s">
        <v>208</v>
      </c>
      <c r="G1256" s="4" t="n">
        <v>0</v>
      </c>
      <c r="H1256" s="4"/>
      <c r="I1256" s="4" t="n">
        <v>0</v>
      </c>
      <c r="J1256" s="4"/>
      <c r="K1256" s="4" t="n">
        <v>0</v>
      </c>
      <c r="L1256" s="12" t="n">
        <v>0.462497</v>
      </c>
      <c r="M1256" s="12" t="n">
        <v>0.184211</v>
      </c>
      <c r="N1256" s="12" t="n">
        <v>0.084708</v>
      </c>
      <c r="O1256" s="12" t="n">
        <v>0.106183</v>
      </c>
      <c r="P1256" s="12" t="n">
        <v>0.08913</v>
      </c>
      <c r="Q1256" s="0" t="str">
        <f aca="false">IF(L1256&gt;=Models!$G$5,1+COUNTIF($L$5:$L$1517,"&gt;"&amp;L1256)+COUNTIFS($L$5:$L$1517,L1256,$B$5:$B$1517,"&lt;"&amp;B1256)+COUNTIFS($L$5:$L$1517,L1256,$B$5:$B$1517,B1256,$C$5:$C$1517,"&lt;"&amp;C1256),"")</f>
        <v/>
      </c>
      <c r="R1256" s="8" t="n">
        <f aca="false">IF(M1256&gt;=Models!$G$6,1+COUNTIF($M$5:$M$1517,"&gt;"&amp;M1256)+COUNTIFS($M$5:$M$1517,M1256,$B$5:$B$1517,"&lt;"&amp;B1256)+COUNTIFS($M$5:$M$1517,M1256,$B$5:$B$1517,B1256,$C$5:$C$1517,"&lt;"&amp;C1256),"")</f>
        <v>62</v>
      </c>
      <c r="S1256" s="0" t="str">
        <f aca="false">IF(N1256&gt;=Models!$G$7,1+COUNTIF($N$5:$N$1517,"&gt;"&amp;N1256)+COUNTIFS($N$5:$N$1517,N1256,$B$5:$B$1517,"&lt;"&amp;B1256)+COUNTIFS($N$5:$N$1517,N1256,$B$5:$B$1517,B1256,$C$5:$C$1517,"&lt;"&amp;C1256),"")</f>
        <v/>
      </c>
      <c r="T1256" s="8" t="n">
        <f aca="false">IF(O1256&gt;=Models!$G$8,1+COUNTIF($O$5:$O$1517,"&gt;"&amp;O1256)+COUNTIFS($O$5:$O$1517,O1256,$B$5:$B$1517,"&lt;"&amp;B1256)+COUNTIFS($O$5:$O$1517,O1256,$B$5:$B$1517,B1256,$C$5:$C$1517,"&lt;"&amp;C1256),"")</f>
        <v>557</v>
      </c>
      <c r="U1256" s="8" t="n">
        <f aca="false">IF($K1256=1,COUNTIFS($L$5:$L$1517,"&gt;="&amp;L1256,$K$5:$K$1517,1)/COUNTIF($L$5:$L$1517,"&gt;="&amp;L1256),0)</f>
        <v>0</v>
      </c>
      <c r="V1256" s="8" t="n">
        <f aca="false">IF($K1256=1,COUNTIFS($M$5:$M$1517,"&gt;="&amp;M1256,$K$5:$K$1517,1)/COUNTIF($M$5:$M$1517,"&gt;="&amp;M1256),0)</f>
        <v>0</v>
      </c>
      <c r="W1256" s="8" t="n">
        <f aca="false">IF($K1256=1,COUNTIFS($N$5:$N$1517,"&gt;="&amp;N1256,$K$5:$K$1517,1)/COUNTIF($N$5:$N$1517,"&gt;="&amp;N1256),0)</f>
        <v>0</v>
      </c>
      <c r="X1256" s="8" t="n">
        <f aca="false">IF($K1256=1,COUNTIFS($O$5:$O$1517,"&gt;="&amp;O1256,$K$5:$K$1517,1)/COUNTIF($O$5:$O$1517,"&gt;="&amp;O1256),0)</f>
        <v>0</v>
      </c>
      <c r="Y1256" s="8" t="n">
        <f aca="false">IF($K1256=1,COUNTIFS($P$5:$P$1517,"&gt;="&amp;P1256,$K$5:$K$1517,1)/COUNTIF($P$5:$P$1517,"&gt;="&amp;P1256),0)</f>
        <v>0</v>
      </c>
      <c r="Z1256" s="8" t="n">
        <f aca="false">(L1256-$K1256)^2</f>
        <v>0.213903475009</v>
      </c>
      <c r="AA1256" s="8" t="n">
        <f aca="false">(M1256-$K1256)^2</f>
        <v>0.033933692521</v>
      </c>
      <c r="AB1256" s="8" t="n">
        <f aca="false">(N1256-$K1256)^2</f>
        <v>0.007175445264</v>
      </c>
      <c r="AC1256" s="8" t="n">
        <f aca="false">(O1256-$K1256)^2</f>
        <v>0.011274829489</v>
      </c>
      <c r="AD1256" s="8" t="n">
        <f aca="false">(P1256-$K1256)^2</f>
        <v>0.0079441569</v>
      </c>
      <c r="AE1256" s="8" t="n">
        <f aca="false">MIN(INT(ROUND(N1256*1000000,0)/100000),9)</f>
        <v>0</v>
      </c>
      <c r="AF1256" s="8" t="n">
        <f aca="false">MIN(INT(ROUND(P1256*1000000,0)/100000),9)</f>
        <v>0</v>
      </c>
    </row>
    <row r="1257" customFormat="false" ht="15" hidden="false" customHeight="false" outlineLevel="0" collapsed="false">
      <c r="A1257" s="4" t="n">
        <v>1253</v>
      </c>
      <c r="B1257" s="4" t="n">
        <v>734</v>
      </c>
      <c r="C1257" s="4" t="n">
        <v>3</v>
      </c>
      <c r="D1257" s="11" t="n">
        <v>46143</v>
      </c>
      <c r="E1257" s="4" t="s">
        <v>202</v>
      </c>
      <c r="F1257" s="4" t="s">
        <v>209</v>
      </c>
      <c r="G1257" s="4" t="n">
        <v>8</v>
      </c>
      <c r="H1257" s="4" t="n">
        <v>0</v>
      </c>
      <c r="I1257" s="4" t="n">
        <v>0</v>
      </c>
      <c r="J1257" s="4" t="n">
        <v>810</v>
      </c>
      <c r="K1257" s="4" t="n">
        <v>0</v>
      </c>
      <c r="L1257" s="12" t="n">
        <v>0.647761</v>
      </c>
      <c r="M1257" s="12" t="n">
        <v>0.092063</v>
      </c>
      <c r="N1257" s="12" t="n">
        <v>0.081434</v>
      </c>
      <c r="O1257" s="12" t="n">
        <v>0.106183</v>
      </c>
      <c r="P1257" s="12" t="n">
        <v>0.085541</v>
      </c>
      <c r="Q1257" s="0" t="str">
        <f aca="false">IF(L1257&gt;=Models!$G$5,1+COUNTIF($L$5:$L$1517,"&gt;"&amp;L1257)+COUNTIFS($L$5:$L$1517,L1257,$B$5:$B$1517,"&lt;"&amp;B1257)+COUNTIFS($L$5:$L$1517,L1257,$B$5:$B$1517,B1257,$C$5:$C$1517,"&lt;"&amp;C1257),"")</f>
        <v/>
      </c>
      <c r="R1257" s="0" t="str">
        <f aca="false">IF(M1257&gt;=Models!$G$6,1+COUNTIF($M$5:$M$1517,"&gt;"&amp;M1257)+COUNTIFS($M$5:$M$1517,M1257,$B$5:$B$1517,"&lt;"&amp;B1257)+COUNTIFS($M$5:$M$1517,M1257,$B$5:$B$1517,B1257,$C$5:$C$1517,"&lt;"&amp;C1257),"")</f>
        <v/>
      </c>
      <c r="S1257" s="0" t="str">
        <f aca="false">IF(N1257&gt;=Models!$G$7,1+COUNTIF($N$5:$N$1517,"&gt;"&amp;N1257)+COUNTIFS($N$5:$N$1517,N1257,$B$5:$B$1517,"&lt;"&amp;B1257)+COUNTIFS($N$5:$N$1517,N1257,$B$5:$B$1517,B1257,$C$5:$C$1517,"&lt;"&amp;C1257),"")</f>
        <v/>
      </c>
      <c r="T1257" s="8" t="n">
        <f aca="false">IF(O1257&gt;=Models!$G$8,1+COUNTIF($O$5:$O$1517,"&gt;"&amp;O1257)+COUNTIFS($O$5:$O$1517,O1257,$B$5:$B$1517,"&lt;"&amp;B1257)+COUNTIFS($O$5:$O$1517,O1257,$B$5:$B$1517,B1257,$C$5:$C$1517,"&lt;"&amp;C1257),"")</f>
        <v>561</v>
      </c>
      <c r="U1257" s="8" t="n">
        <f aca="false">IF($K1257=1,COUNTIFS($L$5:$L$1517,"&gt;="&amp;L1257,$K$5:$K$1517,1)/COUNTIF($L$5:$L$1517,"&gt;="&amp;L1257),0)</f>
        <v>0</v>
      </c>
      <c r="V1257" s="8" t="n">
        <f aca="false">IF($K1257=1,COUNTIFS($M$5:$M$1517,"&gt;="&amp;M1257,$K$5:$K$1517,1)/COUNTIF($M$5:$M$1517,"&gt;="&amp;M1257),0)</f>
        <v>0</v>
      </c>
      <c r="W1257" s="8" t="n">
        <f aca="false">IF($K1257=1,COUNTIFS($N$5:$N$1517,"&gt;="&amp;N1257,$K$5:$K$1517,1)/COUNTIF($N$5:$N$1517,"&gt;="&amp;N1257),0)</f>
        <v>0</v>
      </c>
      <c r="X1257" s="8" t="n">
        <f aca="false">IF($K1257=1,COUNTIFS($O$5:$O$1517,"&gt;="&amp;O1257,$K$5:$K$1517,1)/COUNTIF($O$5:$O$1517,"&gt;="&amp;O1257),0)</f>
        <v>0</v>
      </c>
      <c r="Y1257" s="8" t="n">
        <f aca="false">IF($K1257=1,COUNTIFS($P$5:$P$1517,"&gt;="&amp;P1257,$K$5:$K$1517,1)/COUNTIF($P$5:$P$1517,"&gt;="&amp;P1257),0)</f>
        <v>0</v>
      </c>
      <c r="Z1257" s="8" t="n">
        <f aca="false">(L1257-$K1257)^2</f>
        <v>0.419594313121</v>
      </c>
      <c r="AA1257" s="8" t="n">
        <f aca="false">(M1257-$K1257)^2</f>
        <v>0.008475595969</v>
      </c>
      <c r="AB1257" s="8" t="n">
        <f aca="false">(N1257-$K1257)^2</f>
        <v>0.006631496356</v>
      </c>
      <c r="AC1257" s="8" t="n">
        <f aca="false">(O1257-$K1257)^2</f>
        <v>0.011274829489</v>
      </c>
      <c r="AD1257" s="8" t="n">
        <f aca="false">(P1257-$K1257)^2</f>
        <v>0.007317262681</v>
      </c>
      <c r="AE1257" s="8" t="n">
        <f aca="false">MIN(INT(ROUND(N1257*1000000,0)/100000),9)</f>
        <v>0</v>
      </c>
      <c r="AF1257" s="8" t="n">
        <f aca="false">MIN(INT(ROUND(P1257*1000000,0)/100000),9)</f>
        <v>0</v>
      </c>
    </row>
    <row r="1258" customFormat="false" ht="15" hidden="false" customHeight="false" outlineLevel="0" collapsed="false">
      <c r="A1258" s="4" t="n">
        <v>1254</v>
      </c>
      <c r="B1258" s="4" t="n">
        <v>742</v>
      </c>
      <c r="C1258" s="4" t="n">
        <v>3</v>
      </c>
      <c r="D1258" s="11" t="n">
        <v>46143</v>
      </c>
      <c r="E1258" s="4" t="s">
        <v>202</v>
      </c>
      <c r="F1258" s="4" t="s">
        <v>206</v>
      </c>
      <c r="G1258" s="4" t="n">
        <v>8</v>
      </c>
      <c r="H1258" s="4" t="n">
        <v>0</v>
      </c>
      <c r="I1258" s="4" t="n">
        <v>0</v>
      </c>
      <c r="J1258" s="4"/>
      <c r="K1258" s="4" t="n">
        <v>0</v>
      </c>
      <c r="L1258" s="12" t="n">
        <v>0.897844</v>
      </c>
      <c r="M1258" s="12" t="n">
        <v>0.092063</v>
      </c>
      <c r="N1258" s="12" t="n">
        <v>0.041776</v>
      </c>
      <c r="O1258" s="12" t="n">
        <v>0.106183</v>
      </c>
      <c r="P1258" s="12" t="n">
        <v>0.042581</v>
      </c>
      <c r="Q1258" s="0" t="str">
        <f aca="false">IF(L1258&gt;=Models!$G$5,1+COUNTIF($L$5:$L$1517,"&gt;"&amp;L1258)+COUNTIFS($L$5:$L$1517,L1258,$B$5:$B$1517,"&lt;"&amp;B1258)+COUNTIFS($L$5:$L$1517,L1258,$B$5:$B$1517,B1258,$C$5:$C$1517,"&lt;"&amp;C1258),"")</f>
        <v/>
      </c>
      <c r="R1258" s="0" t="str">
        <f aca="false">IF(M1258&gt;=Models!$G$6,1+COUNTIF($M$5:$M$1517,"&gt;"&amp;M1258)+COUNTIFS($M$5:$M$1517,M1258,$B$5:$B$1517,"&lt;"&amp;B1258)+COUNTIFS($M$5:$M$1517,M1258,$B$5:$B$1517,B1258,$C$5:$C$1517,"&lt;"&amp;C1258),"")</f>
        <v/>
      </c>
      <c r="S1258" s="0" t="str">
        <f aca="false">IF(N1258&gt;=Models!$G$7,1+COUNTIF($N$5:$N$1517,"&gt;"&amp;N1258)+COUNTIFS($N$5:$N$1517,N1258,$B$5:$B$1517,"&lt;"&amp;B1258)+COUNTIFS($N$5:$N$1517,N1258,$B$5:$B$1517,B1258,$C$5:$C$1517,"&lt;"&amp;C1258),"")</f>
        <v/>
      </c>
      <c r="T1258" s="8" t="n">
        <f aca="false">IF(O1258&gt;=Models!$G$8,1+COUNTIF($O$5:$O$1517,"&gt;"&amp;O1258)+COUNTIFS($O$5:$O$1517,O1258,$B$5:$B$1517,"&lt;"&amp;B1258)+COUNTIFS($O$5:$O$1517,O1258,$B$5:$B$1517,B1258,$C$5:$C$1517,"&lt;"&amp;C1258),"")</f>
        <v>568</v>
      </c>
      <c r="U1258" s="8" t="n">
        <f aca="false">IF($K1258=1,COUNTIFS($L$5:$L$1517,"&gt;="&amp;L1258,$K$5:$K$1517,1)/COUNTIF($L$5:$L$1517,"&gt;="&amp;L1258),0)</f>
        <v>0</v>
      </c>
      <c r="V1258" s="8" t="n">
        <f aca="false">IF($K1258=1,COUNTIFS($M$5:$M$1517,"&gt;="&amp;M1258,$K$5:$K$1517,1)/COUNTIF($M$5:$M$1517,"&gt;="&amp;M1258),0)</f>
        <v>0</v>
      </c>
      <c r="W1258" s="8" t="n">
        <f aca="false">IF($K1258=1,COUNTIFS($N$5:$N$1517,"&gt;="&amp;N1258,$K$5:$K$1517,1)/COUNTIF($N$5:$N$1517,"&gt;="&amp;N1258),0)</f>
        <v>0</v>
      </c>
      <c r="X1258" s="8" t="n">
        <f aca="false">IF($K1258=1,COUNTIFS($O$5:$O$1517,"&gt;="&amp;O1258,$K$5:$K$1517,1)/COUNTIF($O$5:$O$1517,"&gt;="&amp;O1258),0)</f>
        <v>0</v>
      </c>
      <c r="Y1258" s="8" t="n">
        <f aca="false">IF($K1258=1,COUNTIFS($P$5:$P$1517,"&gt;="&amp;P1258,$K$5:$K$1517,1)/COUNTIF($P$5:$P$1517,"&gt;="&amp;P1258),0)</f>
        <v>0</v>
      </c>
      <c r="Z1258" s="8" t="n">
        <f aca="false">(L1258-$K1258)^2</f>
        <v>0.806123848336</v>
      </c>
      <c r="AA1258" s="8" t="n">
        <f aca="false">(M1258-$K1258)^2</f>
        <v>0.008475595969</v>
      </c>
      <c r="AB1258" s="8" t="n">
        <f aca="false">(N1258-$K1258)^2</f>
        <v>0.001745234176</v>
      </c>
      <c r="AC1258" s="8" t="n">
        <f aca="false">(O1258-$K1258)^2</f>
        <v>0.011274829489</v>
      </c>
      <c r="AD1258" s="8" t="n">
        <f aca="false">(P1258-$K1258)^2</f>
        <v>0.001813141561</v>
      </c>
      <c r="AE1258" s="8" t="n">
        <f aca="false">MIN(INT(ROUND(N1258*1000000,0)/100000),9)</f>
        <v>0</v>
      </c>
      <c r="AF1258" s="8" t="n">
        <f aca="false">MIN(INT(ROUND(P1258*1000000,0)/100000),9)</f>
        <v>0</v>
      </c>
    </row>
    <row r="1259" customFormat="false" ht="15" hidden="false" customHeight="false" outlineLevel="0" collapsed="false">
      <c r="A1259" s="4" t="n">
        <v>1255</v>
      </c>
      <c r="B1259" s="4" t="n">
        <v>745</v>
      </c>
      <c r="C1259" s="4" t="n">
        <v>3</v>
      </c>
      <c r="D1259" s="11" t="n">
        <v>46143</v>
      </c>
      <c r="E1259" s="4" t="s">
        <v>204</v>
      </c>
      <c r="F1259" s="4" t="s">
        <v>210</v>
      </c>
      <c r="G1259" s="4" t="n">
        <v>2</v>
      </c>
      <c r="H1259" s="4" t="n">
        <v>13</v>
      </c>
      <c r="I1259" s="4" t="n">
        <v>0</v>
      </c>
      <c r="J1259" s="4" t="n">
        <v>79.8</v>
      </c>
      <c r="K1259" s="4" t="n">
        <v>0</v>
      </c>
      <c r="L1259" s="12" t="n">
        <v>0.898523</v>
      </c>
      <c r="M1259" s="12" t="n">
        <v>0.092063</v>
      </c>
      <c r="N1259" s="12" t="n">
        <v>0.150058</v>
      </c>
      <c r="O1259" s="12" t="n">
        <v>0.106183</v>
      </c>
      <c r="P1259" s="12" t="n">
        <v>0.161422</v>
      </c>
      <c r="Q1259" s="0" t="str">
        <f aca="false">IF(L1259&gt;=Models!$G$5,1+COUNTIF($L$5:$L$1517,"&gt;"&amp;L1259)+COUNTIFS($L$5:$L$1517,L1259,$B$5:$B$1517,"&lt;"&amp;B1259)+COUNTIFS($L$5:$L$1517,L1259,$B$5:$B$1517,B1259,$C$5:$C$1517,"&lt;"&amp;C1259),"")</f>
        <v/>
      </c>
      <c r="R1259" s="0" t="str">
        <f aca="false">IF(M1259&gt;=Models!$G$6,1+COUNTIF($M$5:$M$1517,"&gt;"&amp;M1259)+COUNTIFS($M$5:$M$1517,M1259,$B$5:$B$1517,"&lt;"&amp;B1259)+COUNTIFS($M$5:$M$1517,M1259,$B$5:$B$1517,B1259,$C$5:$C$1517,"&lt;"&amp;C1259),"")</f>
        <v/>
      </c>
      <c r="S1259" s="0" t="str">
        <f aca="false">IF(N1259&gt;=Models!$G$7,1+COUNTIF($N$5:$N$1517,"&gt;"&amp;N1259)+COUNTIFS($N$5:$N$1517,N1259,$B$5:$B$1517,"&lt;"&amp;B1259)+COUNTIFS($N$5:$N$1517,N1259,$B$5:$B$1517,B1259,$C$5:$C$1517,"&lt;"&amp;C1259),"")</f>
        <v/>
      </c>
      <c r="T1259" s="8" t="n">
        <f aca="false">IF(O1259&gt;=Models!$G$8,1+COUNTIF($O$5:$O$1517,"&gt;"&amp;O1259)+COUNTIFS($O$5:$O$1517,O1259,$B$5:$B$1517,"&lt;"&amp;B1259)+COUNTIFS($O$5:$O$1517,O1259,$B$5:$B$1517,B1259,$C$5:$C$1517,"&lt;"&amp;C1259),"")</f>
        <v>572</v>
      </c>
      <c r="U1259" s="8" t="n">
        <f aca="false">IF($K1259=1,COUNTIFS($L$5:$L$1517,"&gt;="&amp;L1259,$K$5:$K$1517,1)/COUNTIF($L$5:$L$1517,"&gt;="&amp;L1259),0)</f>
        <v>0</v>
      </c>
      <c r="V1259" s="8" t="n">
        <f aca="false">IF($K1259=1,COUNTIFS($M$5:$M$1517,"&gt;="&amp;M1259,$K$5:$K$1517,1)/COUNTIF($M$5:$M$1517,"&gt;="&amp;M1259),0)</f>
        <v>0</v>
      </c>
      <c r="W1259" s="8" t="n">
        <f aca="false">IF($K1259=1,COUNTIFS($N$5:$N$1517,"&gt;="&amp;N1259,$K$5:$K$1517,1)/COUNTIF($N$5:$N$1517,"&gt;="&amp;N1259),0)</f>
        <v>0</v>
      </c>
      <c r="X1259" s="8" t="n">
        <f aca="false">IF($K1259=1,COUNTIFS($O$5:$O$1517,"&gt;="&amp;O1259,$K$5:$K$1517,1)/COUNTIF($O$5:$O$1517,"&gt;="&amp;O1259),0)</f>
        <v>0</v>
      </c>
      <c r="Y1259" s="8" t="n">
        <f aca="false">IF($K1259=1,COUNTIFS($P$5:$P$1517,"&gt;="&amp;P1259,$K$5:$K$1517,1)/COUNTIF($P$5:$P$1517,"&gt;="&amp;P1259),0)</f>
        <v>0</v>
      </c>
      <c r="Z1259" s="8" t="n">
        <f aca="false">(L1259-$K1259)^2</f>
        <v>0.807343581529</v>
      </c>
      <c r="AA1259" s="8" t="n">
        <f aca="false">(M1259-$K1259)^2</f>
        <v>0.008475595969</v>
      </c>
      <c r="AB1259" s="8" t="n">
        <f aca="false">(N1259-$K1259)^2</f>
        <v>0.022517403364</v>
      </c>
      <c r="AC1259" s="8" t="n">
        <f aca="false">(O1259-$K1259)^2</f>
        <v>0.011274829489</v>
      </c>
      <c r="AD1259" s="8" t="n">
        <f aca="false">(P1259-$K1259)^2</f>
        <v>0.026057062084</v>
      </c>
      <c r="AE1259" s="8" t="n">
        <f aca="false">MIN(INT(ROUND(N1259*1000000,0)/100000),9)</f>
        <v>1</v>
      </c>
      <c r="AF1259" s="8" t="n">
        <f aca="false">MIN(INT(ROUND(P1259*1000000,0)/100000),9)</f>
        <v>1</v>
      </c>
    </row>
    <row r="1260" customFormat="false" ht="15" hidden="false" customHeight="false" outlineLevel="0" collapsed="false">
      <c r="A1260" s="4" t="n">
        <v>1256</v>
      </c>
      <c r="B1260" s="4" t="n">
        <v>746</v>
      </c>
      <c r="C1260" s="4" t="n">
        <v>3</v>
      </c>
      <c r="D1260" s="11" t="n">
        <v>46143</v>
      </c>
      <c r="E1260" s="4" t="s">
        <v>204</v>
      </c>
      <c r="F1260" s="4" t="s">
        <v>209</v>
      </c>
      <c r="G1260" s="4" t="n">
        <v>5</v>
      </c>
      <c r="H1260" s="4" t="n">
        <v>0</v>
      </c>
      <c r="I1260" s="4" t="n">
        <v>0</v>
      </c>
      <c r="J1260" s="4" t="n">
        <v>78</v>
      </c>
      <c r="K1260" s="4" t="n">
        <v>0</v>
      </c>
      <c r="L1260" s="12" t="n">
        <v>0.92048</v>
      </c>
      <c r="M1260" s="12" t="n">
        <v>0.092063</v>
      </c>
      <c r="N1260" s="12" t="n">
        <v>0.108076</v>
      </c>
      <c r="O1260" s="12" t="n">
        <v>0.106183</v>
      </c>
      <c r="P1260" s="12" t="n">
        <v>0.114864</v>
      </c>
      <c r="Q1260" s="0" t="str">
        <f aca="false">IF(L1260&gt;=Models!$G$5,1+COUNTIF($L$5:$L$1517,"&gt;"&amp;L1260)+COUNTIFS($L$5:$L$1517,L1260,$B$5:$B$1517,"&lt;"&amp;B1260)+COUNTIFS($L$5:$L$1517,L1260,$B$5:$B$1517,B1260,$C$5:$C$1517,"&lt;"&amp;C1260),"")</f>
        <v/>
      </c>
      <c r="R1260" s="0" t="str">
        <f aca="false">IF(M1260&gt;=Models!$G$6,1+COUNTIF($M$5:$M$1517,"&gt;"&amp;M1260)+COUNTIFS($M$5:$M$1517,M1260,$B$5:$B$1517,"&lt;"&amp;B1260)+COUNTIFS($M$5:$M$1517,M1260,$B$5:$B$1517,B1260,$C$5:$C$1517,"&lt;"&amp;C1260),"")</f>
        <v/>
      </c>
      <c r="S1260" s="0" t="str">
        <f aca="false">IF(N1260&gt;=Models!$G$7,1+COUNTIF($N$5:$N$1517,"&gt;"&amp;N1260)+COUNTIFS($N$5:$N$1517,N1260,$B$5:$B$1517,"&lt;"&amp;B1260)+COUNTIFS($N$5:$N$1517,N1260,$B$5:$B$1517,B1260,$C$5:$C$1517,"&lt;"&amp;C1260),"")</f>
        <v/>
      </c>
      <c r="T1260" s="8" t="n">
        <f aca="false">IF(O1260&gt;=Models!$G$8,1+COUNTIF($O$5:$O$1517,"&gt;"&amp;O1260)+COUNTIFS($O$5:$O$1517,O1260,$B$5:$B$1517,"&lt;"&amp;B1260)+COUNTIFS($O$5:$O$1517,O1260,$B$5:$B$1517,B1260,$C$5:$C$1517,"&lt;"&amp;C1260),"")</f>
        <v>576</v>
      </c>
      <c r="U1260" s="8" t="n">
        <f aca="false">IF($K1260=1,COUNTIFS($L$5:$L$1517,"&gt;="&amp;L1260,$K$5:$K$1517,1)/COUNTIF($L$5:$L$1517,"&gt;="&amp;L1260),0)</f>
        <v>0</v>
      </c>
      <c r="V1260" s="8" t="n">
        <f aca="false">IF($K1260=1,COUNTIFS($M$5:$M$1517,"&gt;="&amp;M1260,$K$5:$K$1517,1)/COUNTIF($M$5:$M$1517,"&gt;="&amp;M1260),0)</f>
        <v>0</v>
      </c>
      <c r="W1260" s="8" t="n">
        <f aca="false">IF($K1260=1,COUNTIFS($N$5:$N$1517,"&gt;="&amp;N1260,$K$5:$K$1517,1)/COUNTIF($N$5:$N$1517,"&gt;="&amp;N1260),0)</f>
        <v>0</v>
      </c>
      <c r="X1260" s="8" t="n">
        <f aca="false">IF($K1260=1,COUNTIFS($O$5:$O$1517,"&gt;="&amp;O1260,$K$5:$K$1517,1)/COUNTIF($O$5:$O$1517,"&gt;="&amp;O1260),0)</f>
        <v>0</v>
      </c>
      <c r="Y1260" s="8" t="n">
        <f aca="false">IF($K1260=1,COUNTIFS($P$5:$P$1517,"&gt;="&amp;P1260,$K$5:$K$1517,1)/COUNTIF($P$5:$P$1517,"&gt;="&amp;P1260),0)</f>
        <v>0</v>
      </c>
      <c r="Z1260" s="8" t="n">
        <f aca="false">(L1260-$K1260)^2</f>
        <v>0.8472834304</v>
      </c>
      <c r="AA1260" s="8" t="n">
        <f aca="false">(M1260-$K1260)^2</f>
        <v>0.008475595969</v>
      </c>
      <c r="AB1260" s="8" t="n">
        <f aca="false">(N1260-$K1260)^2</f>
        <v>0.011680421776</v>
      </c>
      <c r="AC1260" s="8" t="n">
        <f aca="false">(O1260-$K1260)^2</f>
        <v>0.011274829489</v>
      </c>
      <c r="AD1260" s="8" t="n">
        <f aca="false">(P1260-$K1260)^2</f>
        <v>0.013193738496</v>
      </c>
      <c r="AE1260" s="8" t="n">
        <f aca="false">MIN(INT(ROUND(N1260*1000000,0)/100000),9)</f>
        <v>1</v>
      </c>
      <c r="AF1260" s="8" t="n">
        <f aca="false">MIN(INT(ROUND(P1260*1000000,0)/100000),9)</f>
        <v>1</v>
      </c>
    </row>
    <row r="1261" customFormat="false" ht="15" hidden="false" customHeight="false" outlineLevel="0" collapsed="false">
      <c r="A1261" s="4" t="n">
        <v>1257</v>
      </c>
      <c r="B1261" s="4" t="n">
        <v>751</v>
      </c>
      <c r="C1261" s="4" t="n">
        <v>3</v>
      </c>
      <c r="D1261" s="11" t="n">
        <v>46143</v>
      </c>
      <c r="E1261" s="4" t="s">
        <v>204</v>
      </c>
      <c r="F1261" s="4" t="s">
        <v>209</v>
      </c>
      <c r="G1261" s="4" t="n">
        <v>7</v>
      </c>
      <c r="H1261" s="4" t="n">
        <v>1</v>
      </c>
      <c r="I1261" s="4" t="n">
        <v>0</v>
      </c>
      <c r="J1261" s="4" t="n">
        <v>87</v>
      </c>
      <c r="K1261" s="4" t="n">
        <v>0</v>
      </c>
      <c r="L1261" s="12" t="n">
        <v>0.426286</v>
      </c>
      <c r="M1261" s="12" t="n">
        <v>0.092063</v>
      </c>
      <c r="N1261" s="12" t="n">
        <v>0.092553</v>
      </c>
      <c r="O1261" s="12" t="n">
        <v>0.106183</v>
      </c>
      <c r="P1261" s="12" t="n">
        <v>0.097748</v>
      </c>
      <c r="Q1261" s="0" t="str">
        <f aca="false">IF(L1261&gt;=Models!$G$5,1+COUNTIF($L$5:$L$1517,"&gt;"&amp;L1261)+COUNTIFS($L$5:$L$1517,L1261,$B$5:$B$1517,"&lt;"&amp;B1261)+COUNTIFS($L$5:$L$1517,L1261,$B$5:$B$1517,B1261,$C$5:$C$1517,"&lt;"&amp;C1261),"")</f>
        <v/>
      </c>
      <c r="R1261" s="0" t="str">
        <f aca="false">IF(M1261&gt;=Models!$G$6,1+COUNTIF($M$5:$M$1517,"&gt;"&amp;M1261)+COUNTIFS($M$5:$M$1517,M1261,$B$5:$B$1517,"&lt;"&amp;B1261)+COUNTIFS($M$5:$M$1517,M1261,$B$5:$B$1517,B1261,$C$5:$C$1517,"&lt;"&amp;C1261),"")</f>
        <v/>
      </c>
      <c r="S1261" s="0" t="str">
        <f aca="false">IF(N1261&gt;=Models!$G$7,1+COUNTIF($N$5:$N$1517,"&gt;"&amp;N1261)+COUNTIFS($N$5:$N$1517,N1261,$B$5:$B$1517,"&lt;"&amp;B1261)+COUNTIFS($N$5:$N$1517,N1261,$B$5:$B$1517,B1261,$C$5:$C$1517,"&lt;"&amp;C1261),"")</f>
        <v/>
      </c>
      <c r="T1261" s="8" t="n">
        <f aca="false">IF(O1261&gt;=Models!$G$8,1+COUNTIF($O$5:$O$1517,"&gt;"&amp;O1261)+COUNTIFS($O$5:$O$1517,O1261,$B$5:$B$1517,"&lt;"&amp;B1261)+COUNTIFS($O$5:$O$1517,O1261,$B$5:$B$1517,B1261,$C$5:$C$1517,"&lt;"&amp;C1261),"")</f>
        <v>580</v>
      </c>
      <c r="U1261" s="8" t="n">
        <f aca="false">IF($K1261=1,COUNTIFS($L$5:$L$1517,"&gt;="&amp;L1261,$K$5:$K$1517,1)/COUNTIF($L$5:$L$1517,"&gt;="&amp;L1261),0)</f>
        <v>0</v>
      </c>
      <c r="V1261" s="8" t="n">
        <f aca="false">IF($K1261=1,COUNTIFS($M$5:$M$1517,"&gt;="&amp;M1261,$K$5:$K$1517,1)/COUNTIF($M$5:$M$1517,"&gt;="&amp;M1261),0)</f>
        <v>0</v>
      </c>
      <c r="W1261" s="8" t="n">
        <f aca="false">IF($K1261=1,COUNTIFS($N$5:$N$1517,"&gt;="&amp;N1261,$K$5:$K$1517,1)/COUNTIF($N$5:$N$1517,"&gt;="&amp;N1261),0)</f>
        <v>0</v>
      </c>
      <c r="X1261" s="8" t="n">
        <f aca="false">IF($K1261=1,COUNTIFS($O$5:$O$1517,"&gt;="&amp;O1261,$K$5:$K$1517,1)/COUNTIF($O$5:$O$1517,"&gt;="&amp;O1261),0)</f>
        <v>0</v>
      </c>
      <c r="Y1261" s="8" t="n">
        <f aca="false">IF($K1261=1,COUNTIFS($P$5:$P$1517,"&gt;="&amp;P1261,$K$5:$K$1517,1)/COUNTIF($P$5:$P$1517,"&gt;="&amp;P1261),0)</f>
        <v>0</v>
      </c>
      <c r="Z1261" s="8" t="n">
        <f aca="false">(L1261-$K1261)^2</f>
        <v>0.181719753796</v>
      </c>
      <c r="AA1261" s="8" t="n">
        <f aca="false">(M1261-$K1261)^2</f>
        <v>0.008475595969</v>
      </c>
      <c r="AB1261" s="8" t="n">
        <f aca="false">(N1261-$K1261)^2</f>
        <v>0.008566057809</v>
      </c>
      <c r="AC1261" s="8" t="n">
        <f aca="false">(O1261-$K1261)^2</f>
        <v>0.011274829489</v>
      </c>
      <c r="AD1261" s="8" t="n">
        <f aca="false">(P1261-$K1261)^2</f>
        <v>0.009554671504</v>
      </c>
      <c r="AE1261" s="8" t="n">
        <f aca="false">MIN(INT(ROUND(N1261*1000000,0)/100000),9)</f>
        <v>0</v>
      </c>
      <c r="AF1261" s="8" t="n">
        <f aca="false">MIN(INT(ROUND(P1261*1000000,0)/100000),9)</f>
        <v>0</v>
      </c>
    </row>
    <row r="1262" customFormat="false" ht="15" hidden="false" customHeight="false" outlineLevel="0" collapsed="false">
      <c r="A1262" s="4" t="n">
        <v>1258</v>
      </c>
      <c r="B1262" s="4" t="n">
        <v>754</v>
      </c>
      <c r="C1262" s="4" t="n">
        <v>3</v>
      </c>
      <c r="D1262" s="11" t="n">
        <v>46143</v>
      </c>
      <c r="E1262" s="4" t="s">
        <v>201</v>
      </c>
      <c r="F1262" s="4" t="s">
        <v>209</v>
      </c>
      <c r="G1262" s="4" t="n">
        <v>24</v>
      </c>
      <c r="H1262" s="4" t="n">
        <v>0</v>
      </c>
      <c r="I1262" s="4" t="n">
        <v>0</v>
      </c>
      <c r="J1262" s="4"/>
      <c r="K1262" s="4" t="n">
        <v>0</v>
      </c>
      <c r="L1262" s="12" t="n">
        <v>0.642961</v>
      </c>
      <c r="M1262" s="12" t="n">
        <v>0.092063</v>
      </c>
      <c r="N1262" s="12" t="n">
        <v>0.010225</v>
      </c>
      <c r="O1262" s="12" t="n">
        <v>0.106183</v>
      </c>
      <c r="P1262" s="12" t="n">
        <v>0.009745</v>
      </c>
      <c r="Q1262" s="0" t="str">
        <f aca="false">IF(L1262&gt;=Models!$G$5,1+COUNTIF($L$5:$L$1517,"&gt;"&amp;L1262)+COUNTIFS($L$5:$L$1517,L1262,$B$5:$B$1517,"&lt;"&amp;B1262)+COUNTIFS($L$5:$L$1517,L1262,$B$5:$B$1517,B1262,$C$5:$C$1517,"&lt;"&amp;C1262),"")</f>
        <v/>
      </c>
      <c r="R1262" s="0" t="str">
        <f aca="false">IF(M1262&gt;=Models!$G$6,1+COUNTIF($M$5:$M$1517,"&gt;"&amp;M1262)+COUNTIFS($M$5:$M$1517,M1262,$B$5:$B$1517,"&lt;"&amp;B1262)+COUNTIFS($M$5:$M$1517,M1262,$B$5:$B$1517,B1262,$C$5:$C$1517,"&lt;"&amp;C1262),"")</f>
        <v/>
      </c>
      <c r="S1262" s="0" t="str">
        <f aca="false">IF(N1262&gt;=Models!$G$7,1+COUNTIF($N$5:$N$1517,"&gt;"&amp;N1262)+COUNTIFS($N$5:$N$1517,N1262,$B$5:$B$1517,"&lt;"&amp;B1262)+COUNTIFS($N$5:$N$1517,N1262,$B$5:$B$1517,B1262,$C$5:$C$1517,"&lt;"&amp;C1262),"")</f>
        <v/>
      </c>
      <c r="T1262" s="8" t="n">
        <f aca="false">IF(O1262&gt;=Models!$G$8,1+COUNTIF($O$5:$O$1517,"&gt;"&amp;O1262)+COUNTIFS($O$5:$O$1517,O1262,$B$5:$B$1517,"&lt;"&amp;B1262)+COUNTIFS($O$5:$O$1517,O1262,$B$5:$B$1517,B1262,$C$5:$C$1517,"&lt;"&amp;C1262),"")</f>
        <v>584</v>
      </c>
      <c r="U1262" s="8" t="n">
        <f aca="false">IF($K1262=1,COUNTIFS($L$5:$L$1517,"&gt;="&amp;L1262,$K$5:$K$1517,1)/COUNTIF($L$5:$L$1517,"&gt;="&amp;L1262),0)</f>
        <v>0</v>
      </c>
      <c r="V1262" s="8" t="n">
        <f aca="false">IF($K1262=1,COUNTIFS($M$5:$M$1517,"&gt;="&amp;M1262,$K$5:$K$1517,1)/COUNTIF($M$5:$M$1517,"&gt;="&amp;M1262),0)</f>
        <v>0</v>
      </c>
      <c r="W1262" s="8" t="n">
        <f aca="false">IF($K1262=1,COUNTIFS($N$5:$N$1517,"&gt;="&amp;N1262,$K$5:$K$1517,1)/COUNTIF($N$5:$N$1517,"&gt;="&amp;N1262),0)</f>
        <v>0</v>
      </c>
      <c r="X1262" s="8" t="n">
        <f aca="false">IF($K1262=1,COUNTIFS($O$5:$O$1517,"&gt;="&amp;O1262,$K$5:$K$1517,1)/COUNTIF($O$5:$O$1517,"&gt;="&amp;O1262),0)</f>
        <v>0</v>
      </c>
      <c r="Y1262" s="8" t="n">
        <f aca="false">IF($K1262=1,COUNTIFS($P$5:$P$1517,"&gt;="&amp;P1262,$K$5:$K$1517,1)/COUNTIF($P$5:$P$1517,"&gt;="&amp;P1262),0)</f>
        <v>0</v>
      </c>
      <c r="Z1262" s="8" t="n">
        <f aca="false">(L1262-$K1262)^2</f>
        <v>0.413398847521</v>
      </c>
      <c r="AA1262" s="8" t="n">
        <f aca="false">(M1262-$K1262)^2</f>
        <v>0.008475595969</v>
      </c>
      <c r="AB1262" s="8" t="n">
        <f aca="false">(N1262-$K1262)^2</f>
        <v>0.000104550625</v>
      </c>
      <c r="AC1262" s="8" t="n">
        <f aca="false">(O1262-$K1262)^2</f>
        <v>0.011274829489</v>
      </c>
      <c r="AD1262" s="8" t="n">
        <f aca="false">(P1262-$K1262)^2</f>
        <v>9.4965025E-005</v>
      </c>
      <c r="AE1262" s="8" t="n">
        <f aca="false">MIN(INT(ROUND(N1262*1000000,0)/100000),9)</f>
        <v>0</v>
      </c>
      <c r="AF1262" s="8" t="n">
        <f aca="false">MIN(INT(ROUND(P1262*1000000,0)/100000),9)</f>
        <v>0</v>
      </c>
    </row>
    <row r="1263" customFormat="false" ht="15" hidden="false" customHeight="false" outlineLevel="0" collapsed="false">
      <c r="A1263" s="4" t="n">
        <v>1259</v>
      </c>
      <c r="B1263" s="4" t="n">
        <v>759</v>
      </c>
      <c r="C1263" s="4" t="n">
        <v>3</v>
      </c>
      <c r="D1263" s="11" t="n">
        <v>46143</v>
      </c>
      <c r="E1263" s="4" t="s">
        <v>202</v>
      </c>
      <c r="F1263" s="4" t="s">
        <v>206</v>
      </c>
      <c r="G1263" s="4" t="n">
        <v>7</v>
      </c>
      <c r="H1263" s="4" t="n">
        <v>3</v>
      </c>
      <c r="I1263" s="4" t="n">
        <v>0</v>
      </c>
      <c r="J1263" s="4"/>
      <c r="K1263" s="4" t="n">
        <v>0</v>
      </c>
      <c r="L1263" s="12" t="n">
        <v>0.135046</v>
      </c>
      <c r="M1263" s="12" t="n">
        <v>0.092063</v>
      </c>
      <c r="N1263" s="12" t="n">
        <v>0.046611</v>
      </c>
      <c r="O1263" s="12" t="n">
        <v>0.106183</v>
      </c>
      <c r="P1263" s="12" t="n">
        <v>0.047752</v>
      </c>
      <c r="Q1263" s="0" t="str">
        <f aca="false">IF(L1263&gt;=Models!$G$5,1+COUNTIF($L$5:$L$1517,"&gt;"&amp;L1263)+COUNTIFS($L$5:$L$1517,L1263,$B$5:$B$1517,"&lt;"&amp;B1263)+COUNTIFS($L$5:$L$1517,L1263,$B$5:$B$1517,B1263,$C$5:$C$1517,"&lt;"&amp;C1263),"")</f>
        <v/>
      </c>
      <c r="R1263" s="0" t="str">
        <f aca="false">IF(M1263&gt;=Models!$G$6,1+COUNTIF($M$5:$M$1517,"&gt;"&amp;M1263)+COUNTIFS($M$5:$M$1517,M1263,$B$5:$B$1517,"&lt;"&amp;B1263)+COUNTIFS($M$5:$M$1517,M1263,$B$5:$B$1517,B1263,$C$5:$C$1517,"&lt;"&amp;C1263),"")</f>
        <v/>
      </c>
      <c r="S1263" s="0" t="str">
        <f aca="false">IF(N1263&gt;=Models!$G$7,1+COUNTIF($N$5:$N$1517,"&gt;"&amp;N1263)+COUNTIFS($N$5:$N$1517,N1263,$B$5:$B$1517,"&lt;"&amp;B1263)+COUNTIFS($N$5:$N$1517,N1263,$B$5:$B$1517,B1263,$C$5:$C$1517,"&lt;"&amp;C1263),"")</f>
        <v/>
      </c>
      <c r="T1263" s="8" t="n">
        <f aca="false">IF(O1263&gt;=Models!$G$8,1+COUNTIF($O$5:$O$1517,"&gt;"&amp;O1263)+COUNTIFS($O$5:$O$1517,O1263,$B$5:$B$1517,"&lt;"&amp;B1263)+COUNTIFS($O$5:$O$1517,O1263,$B$5:$B$1517,B1263,$C$5:$C$1517,"&lt;"&amp;C1263),"")</f>
        <v>589</v>
      </c>
      <c r="U1263" s="8" t="n">
        <f aca="false">IF($K1263=1,COUNTIFS($L$5:$L$1517,"&gt;="&amp;L1263,$K$5:$K$1517,1)/COUNTIF($L$5:$L$1517,"&gt;="&amp;L1263),0)</f>
        <v>0</v>
      </c>
      <c r="V1263" s="8" t="n">
        <f aca="false">IF($K1263=1,COUNTIFS($M$5:$M$1517,"&gt;="&amp;M1263,$K$5:$K$1517,1)/COUNTIF($M$5:$M$1517,"&gt;="&amp;M1263),0)</f>
        <v>0</v>
      </c>
      <c r="W1263" s="8" t="n">
        <f aca="false">IF($K1263=1,COUNTIFS($N$5:$N$1517,"&gt;="&amp;N1263,$K$5:$K$1517,1)/COUNTIF($N$5:$N$1517,"&gt;="&amp;N1263),0)</f>
        <v>0</v>
      </c>
      <c r="X1263" s="8" t="n">
        <f aca="false">IF($K1263=1,COUNTIFS($O$5:$O$1517,"&gt;="&amp;O1263,$K$5:$K$1517,1)/COUNTIF($O$5:$O$1517,"&gt;="&amp;O1263),0)</f>
        <v>0</v>
      </c>
      <c r="Y1263" s="8" t="n">
        <f aca="false">IF($K1263=1,COUNTIFS($P$5:$P$1517,"&gt;="&amp;P1263,$K$5:$K$1517,1)/COUNTIF($P$5:$P$1517,"&gt;="&amp;P1263),0)</f>
        <v>0</v>
      </c>
      <c r="Z1263" s="8" t="n">
        <f aca="false">(L1263-$K1263)^2</f>
        <v>0.018237422116</v>
      </c>
      <c r="AA1263" s="8" t="n">
        <f aca="false">(M1263-$K1263)^2</f>
        <v>0.008475595969</v>
      </c>
      <c r="AB1263" s="8" t="n">
        <f aca="false">(N1263-$K1263)^2</f>
        <v>0.002172585321</v>
      </c>
      <c r="AC1263" s="8" t="n">
        <f aca="false">(O1263-$K1263)^2</f>
        <v>0.011274829489</v>
      </c>
      <c r="AD1263" s="8" t="n">
        <f aca="false">(P1263-$K1263)^2</f>
        <v>0.002280253504</v>
      </c>
      <c r="AE1263" s="8" t="n">
        <f aca="false">MIN(INT(ROUND(N1263*1000000,0)/100000),9)</f>
        <v>0</v>
      </c>
      <c r="AF1263" s="8" t="n">
        <f aca="false">MIN(INT(ROUND(P1263*1000000,0)/100000),9)</f>
        <v>0</v>
      </c>
    </row>
    <row r="1264" customFormat="false" ht="15" hidden="false" customHeight="false" outlineLevel="0" collapsed="false">
      <c r="A1264" s="4" t="n">
        <v>1260</v>
      </c>
      <c r="B1264" s="4" t="n">
        <v>768</v>
      </c>
      <c r="C1264" s="4" t="n">
        <v>3</v>
      </c>
      <c r="D1264" s="11" t="n">
        <v>46143</v>
      </c>
      <c r="E1264" s="4" t="s">
        <v>201</v>
      </c>
      <c r="F1264" s="4" t="s">
        <v>207</v>
      </c>
      <c r="G1264" s="4" t="n">
        <v>13</v>
      </c>
      <c r="H1264" s="4" t="n">
        <v>1</v>
      </c>
      <c r="I1264" s="4" t="n">
        <v>0</v>
      </c>
      <c r="J1264" s="4"/>
      <c r="K1264" s="4" t="n">
        <v>0</v>
      </c>
      <c r="L1264" s="12" t="n">
        <v>0.376808</v>
      </c>
      <c r="M1264" s="12" t="n">
        <v>0.092063</v>
      </c>
      <c r="N1264" s="12" t="n">
        <v>0.027265</v>
      </c>
      <c r="O1264" s="12" t="n">
        <v>0.106183</v>
      </c>
      <c r="P1264" s="12" t="n">
        <v>0.027236</v>
      </c>
      <c r="Q1264" s="0" t="str">
        <f aca="false">IF(L1264&gt;=Models!$G$5,1+COUNTIF($L$5:$L$1517,"&gt;"&amp;L1264)+COUNTIFS($L$5:$L$1517,L1264,$B$5:$B$1517,"&lt;"&amp;B1264)+COUNTIFS($L$5:$L$1517,L1264,$B$5:$B$1517,B1264,$C$5:$C$1517,"&lt;"&amp;C1264),"")</f>
        <v/>
      </c>
      <c r="R1264" s="0" t="str">
        <f aca="false">IF(M1264&gt;=Models!$G$6,1+COUNTIF($M$5:$M$1517,"&gt;"&amp;M1264)+COUNTIFS($M$5:$M$1517,M1264,$B$5:$B$1517,"&lt;"&amp;B1264)+COUNTIFS($M$5:$M$1517,M1264,$B$5:$B$1517,B1264,$C$5:$C$1517,"&lt;"&amp;C1264),"")</f>
        <v/>
      </c>
      <c r="S1264" s="0" t="str">
        <f aca="false">IF(N1264&gt;=Models!$G$7,1+COUNTIF($N$5:$N$1517,"&gt;"&amp;N1264)+COUNTIFS($N$5:$N$1517,N1264,$B$5:$B$1517,"&lt;"&amp;B1264)+COUNTIFS($N$5:$N$1517,N1264,$B$5:$B$1517,B1264,$C$5:$C$1517,"&lt;"&amp;C1264),"")</f>
        <v/>
      </c>
      <c r="T1264" s="8" t="n">
        <f aca="false">IF(O1264&gt;=Models!$G$8,1+COUNTIF($O$5:$O$1517,"&gt;"&amp;O1264)+COUNTIFS($O$5:$O$1517,O1264,$B$5:$B$1517,"&lt;"&amp;B1264)+COUNTIFS($O$5:$O$1517,O1264,$B$5:$B$1517,B1264,$C$5:$C$1517,"&lt;"&amp;C1264),"")</f>
        <v>595</v>
      </c>
      <c r="U1264" s="8" t="n">
        <f aca="false">IF($K1264=1,COUNTIFS($L$5:$L$1517,"&gt;="&amp;L1264,$K$5:$K$1517,1)/COUNTIF($L$5:$L$1517,"&gt;="&amp;L1264),0)</f>
        <v>0</v>
      </c>
      <c r="V1264" s="8" t="n">
        <f aca="false">IF($K1264=1,COUNTIFS($M$5:$M$1517,"&gt;="&amp;M1264,$K$5:$K$1517,1)/COUNTIF($M$5:$M$1517,"&gt;="&amp;M1264),0)</f>
        <v>0</v>
      </c>
      <c r="W1264" s="8" t="n">
        <f aca="false">IF($K1264=1,COUNTIFS($N$5:$N$1517,"&gt;="&amp;N1264,$K$5:$K$1517,1)/COUNTIF($N$5:$N$1517,"&gt;="&amp;N1264),0)</f>
        <v>0</v>
      </c>
      <c r="X1264" s="8" t="n">
        <f aca="false">IF($K1264=1,COUNTIFS($O$5:$O$1517,"&gt;="&amp;O1264,$K$5:$K$1517,1)/COUNTIF($O$5:$O$1517,"&gt;="&amp;O1264),0)</f>
        <v>0</v>
      </c>
      <c r="Y1264" s="8" t="n">
        <f aca="false">IF($K1264=1,COUNTIFS($P$5:$P$1517,"&gt;="&amp;P1264,$K$5:$K$1517,1)/COUNTIF($P$5:$P$1517,"&gt;="&amp;P1264),0)</f>
        <v>0</v>
      </c>
      <c r="Z1264" s="8" t="n">
        <f aca="false">(L1264-$K1264)^2</f>
        <v>0.141984268864</v>
      </c>
      <c r="AA1264" s="8" t="n">
        <f aca="false">(M1264-$K1264)^2</f>
        <v>0.008475595969</v>
      </c>
      <c r="AB1264" s="8" t="n">
        <f aca="false">(N1264-$K1264)^2</f>
        <v>0.000743380225</v>
      </c>
      <c r="AC1264" s="8" t="n">
        <f aca="false">(O1264-$K1264)^2</f>
        <v>0.011274829489</v>
      </c>
      <c r="AD1264" s="8" t="n">
        <f aca="false">(P1264-$K1264)^2</f>
        <v>0.000741799696</v>
      </c>
      <c r="AE1264" s="8" t="n">
        <f aca="false">MIN(INT(ROUND(N1264*1000000,0)/100000),9)</f>
        <v>0</v>
      </c>
      <c r="AF1264" s="8" t="n">
        <f aca="false">MIN(INT(ROUND(P1264*1000000,0)/100000),9)</f>
        <v>0</v>
      </c>
    </row>
    <row r="1265" customFormat="false" ht="15" hidden="false" customHeight="false" outlineLevel="0" collapsed="false">
      <c r="A1265" s="4" t="n">
        <v>1261</v>
      </c>
      <c r="B1265" s="4" t="n">
        <v>771</v>
      </c>
      <c r="C1265" s="4" t="n">
        <v>3</v>
      </c>
      <c r="D1265" s="11" t="n">
        <v>46143</v>
      </c>
      <c r="E1265" s="4" t="s">
        <v>202</v>
      </c>
      <c r="F1265" s="4" t="s">
        <v>209</v>
      </c>
      <c r="G1265" s="4" t="n">
        <v>13</v>
      </c>
      <c r="H1265" s="4" t="n">
        <v>0</v>
      </c>
      <c r="I1265" s="4" t="n">
        <v>0</v>
      </c>
      <c r="J1265" s="4" t="n">
        <v>1116</v>
      </c>
      <c r="K1265" s="4" t="n">
        <v>0</v>
      </c>
      <c r="L1265" s="12" t="n">
        <v>0.737648</v>
      </c>
      <c r="M1265" s="12" t="n">
        <v>0.092063</v>
      </c>
      <c r="N1265" s="12" t="n">
        <v>0.052612</v>
      </c>
      <c r="O1265" s="12" t="n">
        <v>0.106183</v>
      </c>
      <c r="P1265" s="12" t="n">
        <v>0.054201</v>
      </c>
      <c r="Q1265" s="0" t="str">
        <f aca="false">IF(L1265&gt;=Models!$G$5,1+COUNTIF($L$5:$L$1517,"&gt;"&amp;L1265)+COUNTIFS($L$5:$L$1517,L1265,$B$5:$B$1517,"&lt;"&amp;B1265)+COUNTIFS($L$5:$L$1517,L1265,$B$5:$B$1517,B1265,$C$5:$C$1517,"&lt;"&amp;C1265),"")</f>
        <v/>
      </c>
      <c r="R1265" s="0" t="str">
        <f aca="false">IF(M1265&gt;=Models!$G$6,1+COUNTIF($M$5:$M$1517,"&gt;"&amp;M1265)+COUNTIFS($M$5:$M$1517,M1265,$B$5:$B$1517,"&lt;"&amp;B1265)+COUNTIFS($M$5:$M$1517,M1265,$B$5:$B$1517,B1265,$C$5:$C$1517,"&lt;"&amp;C1265),"")</f>
        <v/>
      </c>
      <c r="S1265" s="0" t="str">
        <f aca="false">IF(N1265&gt;=Models!$G$7,1+COUNTIF($N$5:$N$1517,"&gt;"&amp;N1265)+COUNTIFS($N$5:$N$1517,N1265,$B$5:$B$1517,"&lt;"&amp;B1265)+COUNTIFS($N$5:$N$1517,N1265,$B$5:$B$1517,B1265,$C$5:$C$1517,"&lt;"&amp;C1265),"")</f>
        <v/>
      </c>
      <c r="T1265" s="8" t="n">
        <f aca="false">IF(O1265&gt;=Models!$G$8,1+COUNTIF($O$5:$O$1517,"&gt;"&amp;O1265)+COUNTIFS($O$5:$O$1517,O1265,$B$5:$B$1517,"&lt;"&amp;B1265)+COUNTIFS($O$5:$O$1517,O1265,$B$5:$B$1517,B1265,$C$5:$C$1517,"&lt;"&amp;C1265),"")</f>
        <v>599</v>
      </c>
      <c r="U1265" s="8" t="n">
        <f aca="false">IF($K1265=1,COUNTIFS($L$5:$L$1517,"&gt;="&amp;L1265,$K$5:$K$1517,1)/COUNTIF($L$5:$L$1517,"&gt;="&amp;L1265),0)</f>
        <v>0</v>
      </c>
      <c r="V1265" s="8" t="n">
        <f aca="false">IF($K1265=1,COUNTIFS($M$5:$M$1517,"&gt;="&amp;M1265,$K$5:$K$1517,1)/COUNTIF($M$5:$M$1517,"&gt;="&amp;M1265),0)</f>
        <v>0</v>
      </c>
      <c r="W1265" s="8" t="n">
        <f aca="false">IF($K1265=1,COUNTIFS($N$5:$N$1517,"&gt;="&amp;N1265,$K$5:$K$1517,1)/COUNTIF($N$5:$N$1517,"&gt;="&amp;N1265),0)</f>
        <v>0</v>
      </c>
      <c r="X1265" s="8" t="n">
        <f aca="false">IF($K1265=1,COUNTIFS($O$5:$O$1517,"&gt;="&amp;O1265,$K$5:$K$1517,1)/COUNTIF($O$5:$O$1517,"&gt;="&amp;O1265),0)</f>
        <v>0</v>
      </c>
      <c r="Y1265" s="8" t="n">
        <f aca="false">IF($K1265=1,COUNTIFS($P$5:$P$1517,"&gt;="&amp;P1265,$K$5:$K$1517,1)/COUNTIF($P$5:$P$1517,"&gt;="&amp;P1265),0)</f>
        <v>0</v>
      </c>
      <c r="Z1265" s="8" t="n">
        <f aca="false">(L1265-$K1265)^2</f>
        <v>0.544124571904</v>
      </c>
      <c r="AA1265" s="8" t="n">
        <f aca="false">(M1265-$K1265)^2</f>
        <v>0.008475595969</v>
      </c>
      <c r="AB1265" s="8" t="n">
        <f aca="false">(N1265-$K1265)^2</f>
        <v>0.002768022544</v>
      </c>
      <c r="AC1265" s="8" t="n">
        <f aca="false">(O1265-$K1265)^2</f>
        <v>0.011274829489</v>
      </c>
      <c r="AD1265" s="8" t="n">
        <f aca="false">(P1265-$K1265)^2</f>
        <v>0.002937748401</v>
      </c>
      <c r="AE1265" s="8" t="n">
        <f aca="false">MIN(INT(ROUND(N1265*1000000,0)/100000),9)</f>
        <v>0</v>
      </c>
      <c r="AF1265" s="8" t="n">
        <f aca="false">MIN(INT(ROUND(P1265*1000000,0)/100000),9)</f>
        <v>0</v>
      </c>
    </row>
    <row r="1266" customFormat="false" ht="15" hidden="false" customHeight="false" outlineLevel="0" collapsed="false">
      <c r="A1266" s="4" t="n">
        <v>1262</v>
      </c>
      <c r="B1266" s="4" t="n">
        <v>774</v>
      </c>
      <c r="C1266" s="4" t="n">
        <v>3</v>
      </c>
      <c r="D1266" s="11" t="n">
        <v>46143</v>
      </c>
      <c r="E1266" s="4" t="s">
        <v>201</v>
      </c>
      <c r="F1266" s="4" t="s">
        <v>207</v>
      </c>
      <c r="G1266" s="4" t="n">
        <v>10</v>
      </c>
      <c r="H1266" s="4" t="n">
        <v>4</v>
      </c>
      <c r="I1266" s="4" t="n">
        <v>0</v>
      </c>
      <c r="J1266" s="4"/>
      <c r="K1266" s="4" t="n">
        <v>1</v>
      </c>
      <c r="L1266" s="12" t="n">
        <v>0.95332</v>
      </c>
      <c r="M1266" s="12" t="n">
        <v>0.092063</v>
      </c>
      <c r="N1266" s="12" t="n">
        <v>0.036266</v>
      </c>
      <c r="O1266" s="12" t="n">
        <v>0.106183</v>
      </c>
      <c r="P1266" s="12" t="n">
        <v>0.03672</v>
      </c>
      <c r="Q1266" s="0" t="str">
        <f aca="false">IF(L1266&gt;=Models!$G$5,1+COUNTIF($L$5:$L$1517,"&gt;"&amp;L1266)+COUNTIFS($L$5:$L$1517,L1266,$B$5:$B$1517,"&lt;"&amp;B1266)+COUNTIFS($L$5:$L$1517,L1266,$B$5:$B$1517,B1266,$C$5:$C$1517,"&lt;"&amp;C1266),"")</f>
        <v/>
      </c>
      <c r="R1266" s="0" t="str">
        <f aca="false">IF(M1266&gt;=Models!$G$6,1+COUNTIF($M$5:$M$1517,"&gt;"&amp;M1266)+COUNTIFS($M$5:$M$1517,M1266,$B$5:$B$1517,"&lt;"&amp;B1266)+COUNTIFS($M$5:$M$1517,M1266,$B$5:$B$1517,B1266,$C$5:$C$1517,"&lt;"&amp;C1266),"")</f>
        <v/>
      </c>
      <c r="S1266" s="0" t="str">
        <f aca="false">IF(N1266&gt;=Models!$G$7,1+COUNTIF($N$5:$N$1517,"&gt;"&amp;N1266)+COUNTIFS($N$5:$N$1517,N1266,$B$5:$B$1517,"&lt;"&amp;B1266)+COUNTIFS($N$5:$N$1517,N1266,$B$5:$B$1517,B1266,$C$5:$C$1517,"&lt;"&amp;C1266),"")</f>
        <v/>
      </c>
      <c r="T1266" s="8" t="n">
        <f aca="false">IF(O1266&gt;=Models!$G$8,1+COUNTIF($O$5:$O$1517,"&gt;"&amp;O1266)+COUNTIFS($O$5:$O$1517,O1266,$B$5:$B$1517,"&lt;"&amp;B1266)+COUNTIFS($O$5:$O$1517,O1266,$B$5:$B$1517,B1266,$C$5:$C$1517,"&lt;"&amp;C1266),"")</f>
        <v>604</v>
      </c>
      <c r="U1266" s="8" t="n">
        <f aca="false">IF($K1266=1,COUNTIFS($L$5:$L$1517,"&gt;="&amp;L1266,$K$5:$K$1517,1)/COUNTIF($L$5:$L$1517,"&gt;="&amp;L1266),0)</f>
        <v>0.0789473684210526</v>
      </c>
      <c r="V1266" s="8" t="n">
        <f aca="false">IF($K1266=1,COUNTIFS($M$5:$M$1517,"&gt;="&amp;M1266,$K$5:$K$1517,1)/COUNTIF($M$5:$M$1517,"&gt;="&amp;M1266),0)</f>
        <v>0.12491738268341</v>
      </c>
      <c r="W1266" s="8" t="n">
        <f aca="false">IF($K1266=1,COUNTIFS($N$5:$N$1517,"&gt;="&amp;N1266,$K$5:$K$1517,1)/COUNTIF($N$5:$N$1517,"&gt;="&amp;N1266),0)</f>
        <v>0.137801204819277</v>
      </c>
      <c r="X1266" s="8" t="n">
        <f aca="false">IF($K1266=1,COUNTIFS($O$5:$O$1517,"&gt;="&amp;O1266,$K$5:$K$1517,1)/COUNTIF($O$5:$O$1517,"&gt;="&amp;O1266),0)</f>
        <v>0.12491738268341</v>
      </c>
      <c r="Y1266" s="8" t="n">
        <f aca="false">IF($K1266=1,COUNTIFS($P$5:$P$1517,"&gt;="&amp;P1266,$K$5:$K$1517,1)/COUNTIF($P$5:$P$1517,"&gt;="&amp;P1266),0)</f>
        <v>0.137801204819277</v>
      </c>
      <c r="Z1266" s="8" t="n">
        <f aca="false">(L1266-$K1266)^2</f>
        <v>0.00217902240000001</v>
      </c>
      <c r="AA1266" s="8" t="n">
        <f aca="false">(M1266-$K1266)^2</f>
        <v>0.824349595969</v>
      </c>
      <c r="AB1266" s="8" t="n">
        <f aca="false">(N1266-$K1266)^2</f>
        <v>0.928783222756</v>
      </c>
      <c r="AC1266" s="8" t="n">
        <f aca="false">(O1266-$K1266)^2</f>
        <v>0.798908829489</v>
      </c>
      <c r="AD1266" s="8" t="n">
        <f aca="false">(P1266-$K1266)^2</f>
        <v>0.9279083584</v>
      </c>
      <c r="AE1266" s="8" t="n">
        <f aca="false">MIN(INT(ROUND(N1266*1000000,0)/100000),9)</f>
        <v>0</v>
      </c>
      <c r="AF1266" s="8" t="n">
        <f aca="false">MIN(INT(ROUND(P1266*1000000,0)/100000),9)</f>
        <v>0</v>
      </c>
    </row>
    <row r="1267" customFormat="false" ht="15" hidden="false" customHeight="false" outlineLevel="0" collapsed="false">
      <c r="A1267" s="4" t="n">
        <v>1263</v>
      </c>
      <c r="B1267" s="4" t="n">
        <v>775</v>
      </c>
      <c r="C1267" s="4" t="n">
        <v>3</v>
      </c>
      <c r="D1267" s="11" t="n">
        <v>46143</v>
      </c>
      <c r="E1267" s="4" t="s">
        <v>203</v>
      </c>
      <c r="F1267" s="4" t="s">
        <v>206</v>
      </c>
      <c r="G1267" s="4" t="n">
        <v>1</v>
      </c>
      <c r="H1267" s="4" t="n">
        <v>6</v>
      </c>
      <c r="I1267" s="4" t="n">
        <v>0</v>
      </c>
      <c r="J1267" s="4" t="n">
        <v>220.5</v>
      </c>
      <c r="K1267" s="4" t="n">
        <v>0</v>
      </c>
      <c r="L1267" s="12" t="n">
        <v>0.217465</v>
      </c>
      <c r="M1267" s="12" t="n">
        <v>0.092063</v>
      </c>
      <c r="N1267" s="12" t="n">
        <v>0.153205</v>
      </c>
      <c r="O1267" s="12" t="n">
        <v>0.106183</v>
      </c>
      <c r="P1267" s="12" t="n">
        <v>0.164921</v>
      </c>
      <c r="Q1267" s="0" t="str">
        <f aca="false">IF(L1267&gt;=Models!$G$5,1+COUNTIF($L$5:$L$1517,"&gt;"&amp;L1267)+COUNTIFS($L$5:$L$1517,L1267,$B$5:$B$1517,"&lt;"&amp;B1267)+COUNTIFS($L$5:$L$1517,L1267,$B$5:$B$1517,B1267,$C$5:$C$1517,"&lt;"&amp;C1267),"")</f>
        <v/>
      </c>
      <c r="R1267" s="0" t="str">
        <f aca="false">IF(M1267&gt;=Models!$G$6,1+COUNTIF($M$5:$M$1517,"&gt;"&amp;M1267)+COUNTIFS($M$5:$M$1517,M1267,$B$5:$B$1517,"&lt;"&amp;B1267)+COUNTIFS($M$5:$M$1517,M1267,$B$5:$B$1517,B1267,$C$5:$C$1517,"&lt;"&amp;C1267),"")</f>
        <v/>
      </c>
      <c r="S1267" s="0" t="str">
        <f aca="false">IF(N1267&gt;=Models!$G$7,1+COUNTIF($N$5:$N$1517,"&gt;"&amp;N1267)+COUNTIFS($N$5:$N$1517,N1267,$B$5:$B$1517,"&lt;"&amp;B1267)+COUNTIFS($N$5:$N$1517,N1267,$B$5:$B$1517,B1267,$C$5:$C$1517,"&lt;"&amp;C1267),"")</f>
        <v/>
      </c>
      <c r="T1267" s="8" t="n">
        <f aca="false">IF(O1267&gt;=Models!$G$8,1+COUNTIF($O$5:$O$1517,"&gt;"&amp;O1267)+COUNTIFS($O$5:$O$1517,O1267,$B$5:$B$1517,"&lt;"&amp;B1267)+COUNTIFS($O$5:$O$1517,O1267,$B$5:$B$1517,B1267,$C$5:$C$1517,"&lt;"&amp;C1267),"")</f>
        <v>608</v>
      </c>
      <c r="U1267" s="8" t="n">
        <f aca="false">IF($K1267=1,COUNTIFS($L$5:$L$1517,"&gt;="&amp;L1267,$K$5:$K$1517,1)/COUNTIF($L$5:$L$1517,"&gt;="&amp;L1267),0)</f>
        <v>0</v>
      </c>
      <c r="V1267" s="8" t="n">
        <f aca="false">IF($K1267=1,COUNTIFS($M$5:$M$1517,"&gt;="&amp;M1267,$K$5:$K$1517,1)/COUNTIF($M$5:$M$1517,"&gt;="&amp;M1267),0)</f>
        <v>0</v>
      </c>
      <c r="W1267" s="8" t="n">
        <f aca="false">IF($K1267=1,COUNTIFS($N$5:$N$1517,"&gt;="&amp;N1267,$K$5:$K$1517,1)/COUNTIF($N$5:$N$1517,"&gt;="&amp;N1267),0)</f>
        <v>0</v>
      </c>
      <c r="X1267" s="8" t="n">
        <f aca="false">IF($K1267=1,COUNTIFS($O$5:$O$1517,"&gt;="&amp;O1267,$K$5:$K$1517,1)/COUNTIF($O$5:$O$1517,"&gt;="&amp;O1267),0)</f>
        <v>0</v>
      </c>
      <c r="Y1267" s="8" t="n">
        <f aca="false">IF($K1267=1,COUNTIFS($P$5:$P$1517,"&gt;="&amp;P1267,$K$5:$K$1517,1)/COUNTIF($P$5:$P$1517,"&gt;="&amp;P1267),0)</f>
        <v>0</v>
      </c>
      <c r="Z1267" s="8" t="n">
        <f aca="false">(L1267-$K1267)^2</f>
        <v>0.047291026225</v>
      </c>
      <c r="AA1267" s="8" t="n">
        <f aca="false">(M1267-$K1267)^2</f>
        <v>0.008475595969</v>
      </c>
      <c r="AB1267" s="8" t="n">
        <f aca="false">(N1267-$K1267)^2</f>
        <v>0.023471772025</v>
      </c>
      <c r="AC1267" s="8" t="n">
        <f aca="false">(O1267-$K1267)^2</f>
        <v>0.011274829489</v>
      </c>
      <c r="AD1267" s="8" t="n">
        <f aca="false">(P1267-$K1267)^2</f>
        <v>0.027198936241</v>
      </c>
      <c r="AE1267" s="8" t="n">
        <f aca="false">MIN(INT(ROUND(N1267*1000000,0)/100000),9)</f>
        <v>1</v>
      </c>
      <c r="AF1267" s="8" t="n">
        <f aca="false">MIN(INT(ROUND(P1267*1000000,0)/100000),9)</f>
        <v>1</v>
      </c>
    </row>
    <row r="1268" customFormat="false" ht="15" hidden="false" customHeight="false" outlineLevel="0" collapsed="false">
      <c r="A1268" s="4" t="n">
        <v>1264</v>
      </c>
      <c r="B1268" s="4" t="n">
        <v>784</v>
      </c>
      <c r="C1268" s="4" t="n">
        <v>3</v>
      </c>
      <c r="D1268" s="11" t="n">
        <v>46143</v>
      </c>
      <c r="E1268" s="4" t="s">
        <v>204</v>
      </c>
      <c r="F1268" s="4" t="s">
        <v>209</v>
      </c>
      <c r="G1268" s="4" t="n">
        <v>1</v>
      </c>
      <c r="H1268" s="4" t="n">
        <v>13</v>
      </c>
      <c r="I1268" s="4" t="n">
        <v>1</v>
      </c>
      <c r="J1268" s="4" t="n">
        <v>102</v>
      </c>
      <c r="K1268" s="4" t="n">
        <v>0</v>
      </c>
      <c r="L1268" s="12" t="n">
        <v>0.337863</v>
      </c>
      <c r="M1268" s="12" t="n">
        <v>0.184211</v>
      </c>
      <c r="N1268" s="12" t="n">
        <v>0.259339</v>
      </c>
      <c r="O1268" s="12" t="n">
        <v>0.106183</v>
      </c>
      <c r="P1268" s="12" t="n">
        <v>0.28285</v>
      </c>
      <c r="Q1268" s="0" t="str">
        <f aca="false">IF(L1268&gt;=Models!$G$5,1+COUNTIF($L$5:$L$1517,"&gt;"&amp;L1268)+COUNTIFS($L$5:$L$1517,L1268,$B$5:$B$1517,"&lt;"&amp;B1268)+COUNTIFS($L$5:$L$1517,L1268,$B$5:$B$1517,B1268,$C$5:$C$1517,"&lt;"&amp;C1268),"")</f>
        <v/>
      </c>
      <c r="R1268" s="8" t="n">
        <f aca="false">IF(M1268&gt;=Models!$G$6,1+COUNTIF($M$5:$M$1517,"&gt;"&amp;M1268)+COUNTIFS($M$5:$M$1517,M1268,$B$5:$B$1517,"&lt;"&amp;B1268)+COUNTIFS($M$5:$M$1517,M1268,$B$5:$B$1517,B1268,$C$5:$C$1517,"&lt;"&amp;C1268),"")</f>
        <v>68</v>
      </c>
      <c r="S1268" s="8" t="n">
        <f aca="false">IF(N1268&gt;=Models!$G$7,1+COUNTIF($N$5:$N$1517,"&gt;"&amp;N1268)+COUNTIFS($N$5:$N$1517,N1268,$B$5:$B$1517,"&lt;"&amp;B1268)+COUNTIFS($N$5:$N$1517,N1268,$B$5:$B$1517,B1268,$C$5:$C$1517,"&lt;"&amp;C1268),"")</f>
        <v>13</v>
      </c>
      <c r="T1268" s="8" t="n">
        <f aca="false">IF(O1268&gt;=Models!$G$8,1+COUNTIF($O$5:$O$1517,"&gt;"&amp;O1268)+COUNTIFS($O$5:$O$1517,O1268,$B$5:$B$1517,"&lt;"&amp;B1268)+COUNTIFS($O$5:$O$1517,O1268,$B$5:$B$1517,B1268,$C$5:$C$1517,"&lt;"&amp;C1268),"")</f>
        <v>612</v>
      </c>
      <c r="U1268" s="8" t="n">
        <f aca="false">IF($K1268=1,COUNTIFS($L$5:$L$1517,"&gt;="&amp;L1268,$K$5:$K$1517,1)/COUNTIF($L$5:$L$1517,"&gt;="&amp;L1268),0)</f>
        <v>0</v>
      </c>
      <c r="V1268" s="8" t="n">
        <f aca="false">IF($K1268=1,COUNTIFS($M$5:$M$1517,"&gt;="&amp;M1268,$K$5:$K$1517,1)/COUNTIF($M$5:$M$1517,"&gt;="&amp;M1268),0)</f>
        <v>0</v>
      </c>
      <c r="W1268" s="8" t="n">
        <f aca="false">IF($K1268=1,COUNTIFS($N$5:$N$1517,"&gt;="&amp;N1268,$K$5:$K$1517,1)/COUNTIF($N$5:$N$1517,"&gt;="&amp;N1268),0)</f>
        <v>0</v>
      </c>
      <c r="X1268" s="8" t="n">
        <f aca="false">IF($K1268=1,COUNTIFS($O$5:$O$1517,"&gt;="&amp;O1268,$K$5:$K$1517,1)/COUNTIF($O$5:$O$1517,"&gt;="&amp;O1268),0)</f>
        <v>0</v>
      </c>
      <c r="Y1268" s="8" t="n">
        <f aca="false">IF($K1268=1,COUNTIFS($P$5:$P$1517,"&gt;="&amp;P1268,$K$5:$K$1517,1)/COUNTIF($P$5:$P$1517,"&gt;="&amp;P1268),0)</f>
        <v>0</v>
      </c>
      <c r="Z1268" s="8" t="n">
        <f aca="false">(L1268-$K1268)^2</f>
        <v>0.114151406769</v>
      </c>
      <c r="AA1268" s="8" t="n">
        <f aca="false">(M1268-$K1268)^2</f>
        <v>0.033933692521</v>
      </c>
      <c r="AB1268" s="8" t="n">
        <f aca="false">(N1268-$K1268)^2</f>
        <v>0.067256716921</v>
      </c>
      <c r="AC1268" s="8" t="n">
        <f aca="false">(O1268-$K1268)^2</f>
        <v>0.011274829489</v>
      </c>
      <c r="AD1268" s="8" t="n">
        <f aca="false">(P1268-$K1268)^2</f>
        <v>0.0800041225</v>
      </c>
      <c r="AE1268" s="8" t="n">
        <f aca="false">MIN(INT(ROUND(N1268*1000000,0)/100000),9)</f>
        <v>2</v>
      </c>
      <c r="AF1268" s="8" t="n">
        <f aca="false">MIN(INT(ROUND(P1268*1000000,0)/100000),9)</f>
        <v>2</v>
      </c>
    </row>
    <row r="1269" customFormat="false" ht="15" hidden="false" customHeight="false" outlineLevel="0" collapsed="false">
      <c r="A1269" s="4" t="n">
        <v>1265</v>
      </c>
      <c r="B1269" s="4" t="n">
        <v>791</v>
      </c>
      <c r="C1269" s="4" t="n">
        <v>3</v>
      </c>
      <c r="D1269" s="11" t="n">
        <v>46143</v>
      </c>
      <c r="E1269" s="4" t="s">
        <v>204</v>
      </c>
      <c r="F1269" s="4" t="s">
        <v>209</v>
      </c>
      <c r="G1269" s="4" t="n">
        <v>5</v>
      </c>
      <c r="H1269" s="4" t="n">
        <v>0</v>
      </c>
      <c r="I1269" s="4" t="n">
        <v>0</v>
      </c>
      <c r="J1269" s="4" t="n">
        <v>57</v>
      </c>
      <c r="K1269" s="4" t="n">
        <v>0</v>
      </c>
      <c r="L1269" s="12" t="n">
        <v>0.966468</v>
      </c>
      <c r="M1269" s="12" t="n">
        <v>0.092063</v>
      </c>
      <c r="N1269" s="12" t="n">
        <v>0.108194</v>
      </c>
      <c r="O1269" s="12" t="n">
        <v>0.106183</v>
      </c>
      <c r="P1269" s="12" t="n">
        <v>0.114994</v>
      </c>
      <c r="Q1269" s="0" t="str">
        <f aca="false">IF(L1269&gt;=Models!$G$5,1+COUNTIF($L$5:$L$1517,"&gt;"&amp;L1269)+COUNTIFS($L$5:$L$1517,L1269,$B$5:$B$1517,"&lt;"&amp;B1269)+COUNTIFS($L$5:$L$1517,L1269,$B$5:$B$1517,B1269,$C$5:$C$1517,"&lt;"&amp;C1269),"")</f>
        <v/>
      </c>
      <c r="R1269" s="0" t="str">
        <f aca="false">IF(M1269&gt;=Models!$G$6,1+COUNTIF($M$5:$M$1517,"&gt;"&amp;M1269)+COUNTIFS($M$5:$M$1517,M1269,$B$5:$B$1517,"&lt;"&amp;B1269)+COUNTIFS($M$5:$M$1517,M1269,$B$5:$B$1517,B1269,$C$5:$C$1517,"&lt;"&amp;C1269),"")</f>
        <v/>
      </c>
      <c r="S1269" s="0" t="str">
        <f aca="false">IF(N1269&gt;=Models!$G$7,1+COUNTIF($N$5:$N$1517,"&gt;"&amp;N1269)+COUNTIFS($N$5:$N$1517,N1269,$B$5:$B$1517,"&lt;"&amp;B1269)+COUNTIFS($N$5:$N$1517,N1269,$B$5:$B$1517,B1269,$C$5:$C$1517,"&lt;"&amp;C1269),"")</f>
        <v/>
      </c>
      <c r="T1269" s="8" t="n">
        <f aca="false">IF(O1269&gt;=Models!$G$8,1+COUNTIF($O$5:$O$1517,"&gt;"&amp;O1269)+COUNTIFS($O$5:$O$1517,O1269,$B$5:$B$1517,"&lt;"&amp;B1269)+COUNTIFS($O$5:$O$1517,O1269,$B$5:$B$1517,B1269,$C$5:$C$1517,"&lt;"&amp;C1269),"")</f>
        <v>616</v>
      </c>
      <c r="U1269" s="8" t="n">
        <f aca="false">IF($K1269=1,COUNTIFS($L$5:$L$1517,"&gt;="&amp;L1269,$K$5:$K$1517,1)/COUNTIF($L$5:$L$1517,"&gt;="&amp;L1269),0)</f>
        <v>0</v>
      </c>
      <c r="V1269" s="8" t="n">
        <f aca="false">IF($K1269=1,COUNTIFS($M$5:$M$1517,"&gt;="&amp;M1269,$K$5:$K$1517,1)/COUNTIF($M$5:$M$1517,"&gt;="&amp;M1269),0)</f>
        <v>0</v>
      </c>
      <c r="W1269" s="8" t="n">
        <f aca="false">IF($K1269=1,COUNTIFS($N$5:$N$1517,"&gt;="&amp;N1269,$K$5:$K$1517,1)/COUNTIF($N$5:$N$1517,"&gt;="&amp;N1269),0)</f>
        <v>0</v>
      </c>
      <c r="X1269" s="8" t="n">
        <f aca="false">IF($K1269=1,COUNTIFS($O$5:$O$1517,"&gt;="&amp;O1269,$K$5:$K$1517,1)/COUNTIF($O$5:$O$1517,"&gt;="&amp;O1269),0)</f>
        <v>0</v>
      </c>
      <c r="Y1269" s="8" t="n">
        <f aca="false">IF($K1269=1,COUNTIFS($P$5:$P$1517,"&gt;="&amp;P1269,$K$5:$K$1517,1)/COUNTIF($P$5:$P$1517,"&gt;="&amp;P1269),0)</f>
        <v>0</v>
      </c>
      <c r="Z1269" s="8" t="n">
        <f aca="false">(L1269-$K1269)^2</f>
        <v>0.934060395024</v>
      </c>
      <c r="AA1269" s="8" t="n">
        <f aca="false">(M1269-$K1269)^2</f>
        <v>0.008475595969</v>
      </c>
      <c r="AB1269" s="8" t="n">
        <f aca="false">(N1269-$K1269)^2</f>
        <v>0.011705941636</v>
      </c>
      <c r="AC1269" s="8" t="n">
        <f aca="false">(O1269-$K1269)^2</f>
        <v>0.011274829489</v>
      </c>
      <c r="AD1269" s="8" t="n">
        <f aca="false">(P1269-$K1269)^2</f>
        <v>0.013223620036</v>
      </c>
      <c r="AE1269" s="8" t="n">
        <f aca="false">MIN(INT(ROUND(N1269*1000000,0)/100000),9)</f>
        <v>1</v>
      </c>
      <c r="AF1269" s="8" t="n">
        <f aca="false">MIN(INT(ROUND(P1269*1000000,0)/100000),9)</f>
        <v>1</v>
      </c>
    </row>
    <row r="1270" customFormat="false" ht="15" hidden="false" customHeight="false" outlineLevel="0" collapsed="false">
      <c r="A1270" s="4" t="n">
        <v>1266</v>
      </c>
      <c r="B1270" s="4" t="n">
        <v>793</v>
      </c>
      <c r="C1270" s="4" t="n">
        <v>3</v>
      </c>
      <c r="D1270" s="11" t="n">
        <v>46143</v>
      </c>
      <c r="E1270" s="4" t="s">
        <v>204</v>
      </c>
      <c r="F1270" s="4" t="s">
        <v>206</v>
      </c>
      <c r="G1270" s="4" t="n">
        <v>4</v>
      </c>
      <c r="H1270" s="4" t="n">
        <v>1</v>
      </c>
      <c r="I1270" s="4" t="n">
        <v>0</v>
      </c>
      <c r="J1270" s="4" t="n">
        <v>96</v>
      </c>
      <c r="K1270" s="4" t="n">
        <v>0</v>
      </c>
      <c r="L1270" s="12" t="n">
        <v>0.919118</v>
      </c>
      <c r="M1270" s="12" t="n">
        <v>0.092063</v>
      </c>
      <c r="N1270" s="12" t="n">
        <v>0.117802</v>
      </c>
      <c r="O1270" s="12" t="n">
        <v>0.106183</v>
      </c>
      <c r="P1270" s="12" t="n">
        <v>0.125622</v>
      </c>
      <c r="Q1270" s="0" t="str">
        <f aca="false">IF(L1270&gt;=Models!$G$5,1+COUNTIF($L$5:$L$1517,"&gt;"&amp;L1270)+COUNTIFS($L$5:$L$1517,L1270,$B$5:$B$1517,"&lt;"&amp;B1270)+COUNTIFS($L$5:$L$1517,L1270,$B$5:$B$1517,B1270,$C$5:$C$1517,"&lt;"&amp;C1270),"")</f>
        <v/>
      </c>
      <c r="R1270" s="0" t="str">
        <f aca="false">IF(M1270&gt;=Models!$G$6,1+COUNTIF($M$5:$M$1517,"&gt;"&amp;M1270)+COUNTIFS($M$5:$M$1517,M1270,$B$5:$B$1517,"&lt;"&amp;B1270)+COUNTIFS($M$5:$M$1517,M1270,$B$5:$B$1517,B1270,$C$5:$C$1517,"&lt;"&amp;C1270),"")</f>
        <v/>
      </c>
      <c r="S1270" s="0" t="str">
        <f aca="false">IF(N1270&gt;=Models!$G$7,1+COUNTIF($N$5:$N$1517,"&gt;"&amp;N1270)+COUNTIFS($N$5:$N$1517,N1270,$B$5:$B$1517,"&lt;"&amp;B1270)+COUNTIFS($N$5:$N$1517,N1270,$B$5:$B$1517,B1270,$C$5:$C$1517,"&lt;"&amp;C1270),"")</f>
        <v/>
      </c>
      <c r="T1270" s="8" t="n">
        <f aca="false">IF(O1270&gt;=Models!$G$8,1+COUNTIF($O$5:$O$1517,"&gt;"&amp;O1270)+COUNTIFS($O$5:$O$1517,O1270,$B$5:$B$1517,"&lt;"&amp;B1270)+COUNTIFS($O$5:$O$1517,O1270,$B$5:$B$1517,B1270,$C$5:$C$1517,"&lt;"&amp;C1270),"")</f>
        <v>620</v>
      </c>
      <c r="U1270" s="8" t="n">
        <f aca="false">IF($K1270=1,COUNTIFS($L$5:$L$1517,"&gt;="&amp;L1270,$K$5:$K$1517,1)/COUNTIF($L$5:$L$1517,"&gt;="&amp;L1270),0)</f>
        <v>0</v>
      </c>
      <c r="V1270" s="8" t="n">
        <f aca="false">IF($K1270=1,COUNTIFS($M$5:$M$1517,"&gt;="&amp;M1270,$K$5:$K$1517,1)/COUNTIF($M$5:$M$1517,"&gt;="&amp;M1270),0)</f>
        <v>0</v>
      </c>
      <c r="W1270" s="8" t="n">
        <f aca="false">IF($K1270=1,COUNTIFS($N$5:$N$1517,"&gt;="&amp;N1270,$K$5:$K$1517,1)/COUNTIF($N$5:$N$1517,"&gt;="&amp;N1270),0)</f>
        <v>0</v>
      </c>
      <c r="X1270" s="8" t="n">
        <f aca="false">IF($K1270=1,COUNTIFS($O$5:$O$1517,"&gt;="&amp;O1270,$K$5:$K$1517,1)/COUNTIF($O$5:$O$1517,"&gt;="&amp;O1270),0)</f>
        <v>0</v>
      </c>
      <c r="Y1270" s="8" t="n">
        <f aca="false">IF($K1270=1,COUNTIFS($P$5:$P$1517,"&gt;="&amp;P1270,$K$5:$K$1517,1)/COUNTIF($P$5:$P$1517,"&gt;="&amp;P1270),0)</f>
        <v>0</v>
      </c>
      <c r="Z1270" s="8" t="n">
        <f aca="false">(L1270-$K1270)^2</f>
        <v>0.844777897924</v>
      </c>
      <c r="AA1270" s="8" t="n">
        <f aca="false">(M1270-$K1270)^2</f>
        <v>0.008475595969</v>
      </c>
      <c r="AB1270" s="8" t="n">
        <f aca="false">(N1270-$K1270)^2</f>
        <v>0.013877311204</v>
      </c>
      <c r="AC1270" s="8" t="n">
        <f aca="false">(O1270-$K1270)^2</f>
        <v>0.011274829489</v>
      </c>
      <c r="AD1270" s="8" t="n">
        <f aca="false">(P1270-$K1270)^2</f>
        <v>0.015780886884</v>
      </c>
      <c r="AE1270" s="8" t="n">
        <f aca="false">MIN(INT(ROUND(N1270*1000000,0)/100000),9)</f>
        <v>1</v>
      </c>
      <c r="AF1270" s="8" t="n">
        <f aca="false">MIN(INT(ROUND(P1270*1000000,0)/100000),9)</f>
        <v>1</v>
      </c>
    </row>
    <row r="1271" customFormat="false" ht="15" hidden="false" customHeight="false" outlineLevel="0" collapsed="false">
      <c r="A1271" s="4" t="n">
        <v>1267</v>
      </c>
      <c r="B1271" s="4" t="n">
        <v>807</v>
      </c>
      <c r="C1271" s="4" t="n">
        <v>3</v>
      </c>
      <c r="D1271" s="11" t="n">
        <v>46143</v>
      </c>
      <c r="E1271" s="4" t="s">
        <v>203</v>
      </c>
      <c r="F1271" s="4" t="s">
        <v>209</v>
      </c>
      <c r="G1271" s="4" t="n">
        <v>4</v>
      </c>
      <c r="H1271" s="4" t="n">
        <v>5</v>
      </c>
      <c r="I1271" s="4" t="n">
        <v>0</v>
      </c>
      <c r="J1271" s="4" t="n">
        <v>258</v>
      </c>
      <c r="K1271" s="4" t="n">
        <v>0</v>
      </c>
      <c r="L1271" s="12" t="n">
        <v>0.613198</v>
      </c>
      <c r="M1271" s="12" t="n">
        <v>0.092063</v>
      </c>
      <c r="N1271" s="12" t="n">
        <v>0.120253</v>
      </c>
      <c r="O1271" s="12" t="n">
        <v>0.106183</v>
      </c>
      <c r="P1271" s="12" t="n">
        <v>0.128336</v>
      </c>
      <c r="Q1271" s="0" t="str">
        <f aca="false">IF(L1271&gt;=Models!$G$5,1+COUNTIF($L$5:$L$1517,"&gt;"&amp;L1271)+COUNTIFS($L$5:$L$1517,L1271,$B$5:$B$1517,"&lt;"&amp;B1271)+COUNTIFS($L$5:$L$1517,L1271,$B$5:$B$1517,B1271,$C$5:$C$1517,"&lt;"&amp;C1271),"")</f>
        <v/>
      </c>
      <c r="R1271" s="0" t="str">
        <f aca="false">IF(M1271&gt;=Models!$G$6,1+COUNTIF($M$5:$M$1517,"&gt;"&amp;M1271)+COUNTIFS($M$5:$M$1517,M1271,$B$5:$B$1517,"&lt;"&amp;B1271)+COUNTIFS($M$5:$M$1517,M1271,$B$5:$B$1517,B1271,$C$5:$C$1517,"&lt;"&amp;C1271),"")</f>
        <v/>
      </c>
      <c r="S1271" s="0" t="str">
        <f aca="false">IF(N1271&gt;=Models!$G$7,1+COUNTIF($N$5:$N$1517,"&gt;"&amp;N1271)+COUNTIFS($N$5:$N$1517,N1271,$B$5:$B$1517,"&lt;"&amp;B1271)+COUNTIFS($N$5:$N$1517,N1271,$B$5:$B$1517,B1271,$C$5:$C$1517,"&lt;"&amp;C1271),"")</f>
        <v/>
      </c>
      <c r="T1271" s="8" t="n">
        <f aca="false">IF(O1271&gt;=Models!$G$8,1+COUNTIF($O$5:$O$1517,"&gt;"&amp;O1271)+COUNTIFS($O$5:$O$1517,O1271,$B$5:$B$1517,"&lt;"&amp;B1271)+COUNTIFS($O$5:$O$1517,O1271,$B$5:$B$1517,B1271,$C$5:$C$1517,"&lt;"&amp;C1271),"")</f>
        <v>624</v>
      </c>
      <c r="U1271" s="8" t="n">
        <f aca="false">IF($K1271=1,COUNTIFS($L$5:$L$1517,"&gt;="&amp;L1271,$K$5:$K$1517,1)/COUNTIF($L$5:$L$1517,"&gt;="&amp;L1271),0)</f>
        <v>0</v>
      </c>
      <c r="V1271" s="8" t="n">
        <f aca="false">IF($K1271=1,COUNTIFS($M$5:$M$1517,"&gt;="&amp;M1271,$K$5:$K$1517,1)/COUNTIF($M$5:$M$1517,"&gt;="&amp;M1271),0)</f>
        <v>0</v>
      </c>
      <c r="W1271" s="8" t="n">
        <f aca="false">IF($K1271=1,COUNTIFS($N$5:$N$1517,"&gt;="&amp;N1271,$K$5:$K$1517,1)/COUNTIF($N$5:$N$1517,"&gt;="&amp;N1271),0)</f>
        <v>0</v>
      </c>
      <c r="X1271" s="8" t="n">
        <f aca="false">IF($K1271=1,COUNTIFS($O$5:$O$1517,"&gt;="&amp;O1271,$K$5:$K$1517,1)/COUNTIF($O$5:$O$1517,"&gt;="&amp;O1271),0)</f>
        <v>0</v>
      </c>
      <c r="Y1271" s="8" t="n">
        <f aca="false">IF($K1271=1,COUNTIFS($P$5:$P$1517,"&gt;="&amp;P1271,$K$5:$K$1517,1)/COUNTIF($P$5:$P$1517,"&gt;="&amp;P1271),0)</f>
        <v>0</v>
      </c>
      <c r="Z1271" s="8" t="n">
        <f aca="false">(L1271-$K1271)^2</f>
        <v>0.376011787204</v>
      </c>
      <c r="AA1271" s="8" t="n">
        <f aca="false">(M1271-$K1271)^2</f>
        <v>0.008475595969</v>
      </c>
      <c r="AB1271" s="8" t="n">
        <f aca="false">(N1271-$K1271)^2</f>
        <v>0.014460784009</v>
      </c>
      <c r="AC1271" s="8" t="n">
        <f aca="false">(O1271-$K1271)^2</f>
        <v>0.011274829489</v>
      </c>
      <c r="AD1271" s="8" t="n">
        <f aca="false">(P1271-$K1271)^2</f>
        <v>0.016470128896</v>
      </c>
      <c r="AE1271" s="8" t="n">
        <f aca="false">MIN(INT(ROUND(N1271*1000000,0)/100000),9)</f>
        <v>1</v>
      </c>
      <c r="AF1271" s="8" t="n">
        <f aca="false">MIN(INT(ROUND(P1271*1000000,0)/100000),9)</f>
        <v>1</v>
      </c>
    </row>
    <row r="1272" customFormat="false" ht="15" hidden="false" customHeight="false" outlineLevel="0" collapsed="false">
      <c r="A1272" s="4" t="n">
        <v>1268</v>
      </c>
      <c r="B1272" s="4" t="n">
        <v>808</v>
      </c>
      <c r="C1272" s="4" t="n">
        <v>3</v>
      </c>
      <c r="D1272" s="11" t="n">
        <v>46143</v>
      </c>
      <c r="E1272" s="4" t="s">
        <v>202</v>
      </c>
      <c r="F1272" s="4" t="s">
        <v>206</v>
      </c>
      <c r="G1272" s="4" t="n">
        <v>2</v>
      </c>
      <c r="H1272" s="4" t="n">
        <v>5</v>
      </c>
      <c r="I1272" s="4" t="n">
        <v>0</v>
      </c>
      <c r="J1272" s="4" t="n">
        <v>1002</v>
      </c>
      <c r="K1272" s="4" t="n">
        <v>0</v>
      </c>
      <c r="L1272" s="12" t="n">
        <v>0.655551</v>
      </c>
      <c r="M1272" s="12" t="n">
        <v>0.092063</v>
      </c>
      <c r="N1272" s="12" t="n">
        <v>0.135491</v>
      </c>
      <c r="O1272" s="12" t="n">
        <v>0.106183</v>
      </c>
      <c r="P1272" s="12" t="n">
        <v>0.145237</v>
      </c>
      <c r="Q1272" s="0" t="str">
        <f aca="false">IF(L1272&gt;=Models!$G$5,1+COUNTIF($L$5:$L$1517,"&gt;"&amp;L1272)+COUNTIFS($L$5:$L$1517,L1272,$B$5:$B$1517,"&lt;"&amp;B1272)+COUNTIFS($L$5:$L$1517,L1272,$B$5:$B$1517,B1272,$C$5:$C$1517,"&lt;"&amp;C1272),"")</f>
        <v/>
      </c>
      <c r="R1272" s="0" t="str">
        <f aca="false">IF(M1272&gt;=Models!$G$6,1+COUNTIF($M$5:$M$1517,"&gt;"&amp;M1272)+COUNTIFS($M$5:$M$1517,M1272,$B$5:$B$1517,"&lt;"&amp;B1272)+COUNTIFS($M$5:$M$1517,M1272,$B$5:$B$1517,B1272,$C$5:$C$1517,"&lt;"&amp;C1272),"")</f>
        <v/>
      </c>
      <c r="S1272" s="0" t="str">
        <f aca="false">IF(N1272&gt;=Models!$G$7,1+COUNTIF($N$5:$N$1517,"&gt;"&amp;N1272)+COUNTIFS($N$5:$N$1517,N1272,$B$5:$B$1517,"&lt;"&amp;B1272)+COUNTIFS($N$5:$N$1517,N1272,$B$5:$B$1517,B1272,$C$5:$C$1517,"&lt;"&amp;C1272),"")</f>
        <v/>
      </c>
      <c r="T1272" s="8" t="n">
        <f aca="false">IF(O1272&gt;=Models!$G$8,1+COUNTIF($O$5:$O$1517,"&gt;"&amp;O1272)+COUNTIFS($O$5:$O$1517,O1272,$B$5:$B$1517,"&lt;"&amp;B1272)+COUNTIFS($O$5:$O$1517,O1272,$B$5:$B$1517,B1272,$C$5:$C$1517,"&lt;"&amp;C1272),"")</f>
        <v>628</v>
      </c>
      <c r="U1272" s="8" t="n">
        <f aca="false">IF($K1272=1,COUNTIFS($L$5:$L$1517,"&gt;="&amp;L1272,$K$5:$K$1517,1)/COUNTIF($L$5:$L$1517,"&gt;="&amp;L1272),0)</f>
        <v>0</v>
      </c>
      <c r="V1272" s="8" t="n">
        <f aca="false">IF($K1272=1,COUNTIFS($M$5:$M$1517,"&gt;="&amp;M1272,$K$5:$K$1517,1)/COUNTIF($M$5:$M$1517,"&gt;="&amp;M1272),0)</f>
        <v>0</v>
      </c>
      <c r="W1272" s="8" t="n">
        <f aca="false">IF($K1272=1,COUNTIFS($N$5:$N$1517,"&gt;="&amp;N1272,$K$5:$K$1517,1)/COUNTIF($N$5:$N$1517,"&gt;="&amp;N1272),0)</f>
        <v>0</v>
      </c>
      <c r="X1272" s="8" t="n">
        <f aca="false">IF($K1272=1,COUNTIFS($O$5:$O$1517,"&gt;="&amp;O1272,$K$5:$K$1517,1)/COUNTIF($O$5:$O$1517,"&gt;="&amp;O1272),0)</f>
        <v>0</v>
      </c>
      <c r="Y1272" s="8" t="n">
        <f aca="false">IF($K1272=1,COUNTIFS($P$5:$P$1517,"&gt;="&amp;P1272,$K$5:$K$1517,1)/COUNTIF($P$5:$P$1517,"&gt;="&amp;P1272),0)</f>
        <v>0</v>
      </c>
      <c r="Z1272" s="8" t="n">
        <f aca="false">(L1272-$K1272)^2</f>
        <v>0.429747113601</v>
      </c>
      <c r="AA1272" s="8" t="n">
        <f aca="false">(M1272-$K1272)^2</f>
        <v>0.008475595969</v>
      </c>
      <c r="AB1272" s="8" t="n">
        <f aca="false">(N1272-$K1272)^2</f>
        <v>0.018357811081</v>
      </c>
      <c r="AC1272" s="8" t="n">
        <f aca="false">(O1272-$K1272)^2</f>
        <v>0.011274829489</v>
      </c>
      <c r="AD1272" s="8" t="n">
        <f aca="false">(P1272-$K1272)^2</f>
        <v>0.021093786169</v>
      </c>
      <c r="AE1272" s="8" t="n">
        <f aca="false">MIN(INT(ROUND(N1272*1000000,0)/100000),9)</f>
        <v>1</v>
      </c>
      <c r="AF1272" s="8" t="n">
        <f aca="false">MIN(INT(ROUND(P1272*1000000,0)/100000),9)</f>
        <v>1</v>
      </c>
    </row>
    <row r="1273" customFormat="false" ht="15" hidden="false" customHeight="false" outlineLevel="0" collapsed="false">
      <c r="A1273" s="4" t="n">
        <v>1269</v>
      </c>
      <c r="B1273" s="4" t="n">
        <v>809</v>
      </c>
      <c r="C1273" s="4" t="n">
        <v>3</v>
      </c>
      <c r="D1273" s="11" t="n">
        <v>46143</v>
      </c>
      <c r="E1273" s="4" t="s">
        <v>204</v>
      </c>
      <c r="F1273" s="4" t="s">
        <v>207</v>
      </c>
      <c r="G1273" s="4" t="n">
        <v>4</v>
      </c>
      <c r="H1273" s="4" t="n">
        <v>6</v>
      </c>
      <c r="I1273" s="4" t="n">
        <v>0</v>
      </c>
      <c r="J1273" s="4" t="n">
        <v>52.5</v>
      </c>
      <c r="K1273" s="4" t="n">
        <v>1</v>
      </c>
      <c r="L1273" s="12" t="n">
        <v>0.41429</v>
      </c>
      <c r="M1273" s="12" t="n">
        <v>0.092063</v>
      </c>
      <c r="N1273" s="12" t="n">
        <v>0.122399</v>
      </c>
      <c r="O1273" s="12" t="n">
        <v>0.106183</v>
      </c>
      <c r="P1273" s="12" t="n">
        <v>0.130714</v>
      </c>
      <c r="Q1273" s="0" t="str">
        <f aca="false">IF(L1273&gt;=Models!$G$5,1+COUNTIF($L$5:$L$1517,"&gt;"&amp;L1273)+COUNTIFS($L$5:$L$1517,L1273,$B$5:$B$1517,"&lt;"&amp;B1273)+COUNTIFS($L$5:$L$1517,L1273,$B$5:$B$1517,B1273,$C$5:$C$1517,"&lt;"&amp;C1273),"")</f>
        <v/>
      </c>
      <c r="R1273" s="0" t="str">
        <f aca="false">IF(M1273&gt;=Models!$G$6,1+COUNTIF($M$5:$M$1517,"&gt;"&amp;M1273)+COUNTIFS($M$5:$M$1517,M1273,$B$5:$B$1517,"&lt;"&amp;B1273)+COUNTIFS($M$5:$M$1517,M1273,$B$5:$B$1517,B1273,$C$5:$C$1517,"&lt;"&amp;C1273),"")</f>
        <v/>
      </c>
      <c r="S1273" s="0" t="str">
        <f aca="false">IF(N1273&gt;=Models!$G$7,1+COUNTIF($N$5:$N$1517,"&gt;"&amp;N1273)+COUNTIFS($N$5:$N$1517,N1273,$B$5:$B$1517,"&lt;"&amp;B1273)+COUNTIFS($N$5:$N$1517,N1273,$B$5:$B$1517,B1273,$C$5:$C$1517,"&lt;"&amp;C1273),"")</f>
        <v/>
      </c>
      <c r="T1273" s="8" t="n">
        <f aca="false">IF(O1273&gt;=Models!$G$8,1+COUNTIF($O$5:$O$1517,"&gt;"&amp;O1273)+COUNTIFS($O$5:$O$1517,O1273,$B$5:$B$1517,"&lt;"&amp;B1273)+COUNTIFS($O$5:$O$1517,O1273,$B$5:$B$1517,B1273,$C$5:$C$1517,"&lt;"&amp;C1273),"")</f>
        <v>632</v>
      </c>
      <c r="U1273" s="8" t="n">
        <f aca="false">IF($K1273=1,COUNTIFS($L$5:$L$1517,"&gt;="&amp;L1273,$K$5:$K$1517,1)/COUNTIF($L$5:$L$1517,"&gt;="&amp;L1273),0)</f>
        <v>0.126712328767123</v>
      </c>
      <c r="V1273" s="8" t="n">
        <f aca="false">IF($K1273=1,COUNTIFS($M$5:$M$1517,"&gt;="&amp;M1273,$K$5:$K$1517,1)/COUNTIF($M$5:$M$1517,"&gt;="&amp;M1273),0)</f>
        <v>0.12491738268341</v>
      </c>
      <c r="W1273" s="8" t="n">
        <f aca="false">IF($K1273=1,COUNTIFS($N$5:$N$1517,"&gt;="&amp;N1273,$K$5:$K$1517,1)/COUNTIF($N$5:$N$1517,"&gt;="&amp;N1273),0)</f>
        <v>0.233256351039261</v>
      </c>
      <c r="X1273" s="8" t="n">
        <f aca="false">IF($K1273=1,COUNTIFS($O$5:$O$1517,"&gt;="&amp;O1273,$K$5:$K$1517,1)/COUNTIF($O$5:$O$1517,"&gt;="&amp;O1273),0)</f>
        <v>0.12491738268341</v>
      </c>
      <c r="Y1273" s="8" t="n">
        <f aca="false">IF($K1273=1,COUNTIFS($P$5:$P$1517,"&gt;="&amp;P1273,$K$5:$K$1517,1)/COUNTIF($P$5:$P$1517,"&gt;="&amp;P1273),0)</f>
        <v>0.233256351039261</v>
      </c>
      <c r="Z1273" s="8" t="n">
        <f aca="false">(L1273-$K1273)^2</f>
        <v>0.3430562041</v>
      </c>
      <c r="AA1273" s="8" t="n">
        <f aca="false">(M1273-$K1273)^2</f>
        <v>0.824349595969</v>
      </c>
      <c r="AB1273" s="8" t="n">
        <f aca="false">(N1273-$K1273)^2</f>
        <v>0.770183515201</v>
      </c>
      <c r="AC1273" s="8" t="n">
        <f aca="false">(O1273-$K1273)^2</f>
        <v>0.798908829489</v>
      </c>
      <c r="AD1273" s="8" t="n">
        <f aca="false">(P1273-$K1273)^2</f>
        <v>0.755658149796</v>
      </c>
      <c r="AE1273" s="8" t="n">
        <f aca="false">MIN(INT(ROUND(N1273*1000000,0)/100000),9)</f>
        <v>1</v>
      </c>
      <c r="AF1273" s="8" t="n">
        <f aca="false">MIN(INT(ROUND(P1273*1000000,0)/100000),9)</f>
        <v>1</v>
      </c>
    </row>
    <row r="1274" customFormat="false" ht="15" hidden="false" customHeight="false" outlineLevel="0" collapsed="false">
      <c r="A1274" s="4" t="n">
        <v>1270</v>
      </c>
      <c r="B1274" s="4" t="n">
        <v>813</v>
      </c>
      <c r="C1274" s="4" t="n">
        <v>3</v>
      </c>
      <c r="D1274" s="11" t="n">
        <v>46143</v>
      </c>
      <c r="E1274" s="4" t="s">
        <v>203</v>
      </c>
      <c r="F1274" s="4" t="s">
        <v>208</v>
      </c>
      <c r="G1274" s="4" t="n">
        <v>2</v>
      </c>
      <c r="H1274" s="4" t="n">
        <v>2</v>
      </c>
      <c r="I1274" s="4" t="n">
        <v>0</v>
      </c>
      <c r="J1274" s="4" t="n">
        <v>378</v>
      </c>
      <c r="K1274" s="4" t="n">
        <v>0</v>
      </c>
      <c r="L1274" s="12" t="n">
        <v>0.573235</v>
      </c>
      <c r="M1274" s="12" t="n">
        <v>0.092063</v>
      </c>
      <c r="N1274" s="12" t="n">
        <v>0.136861</v>
      </c>
      <c r="O1274" s="12" t="n">
        <v>0.106183</v>
      </c>
      <c r="P1274" s="12" t="n">
        <v>0.146758</v>
      </c>
      <c r="Q1274" s="0" t="str">
        <f aca="false">IF(L1274&gt;=Models!$G$5,1+COUNTIF($L$5:$L$1517,"&gt;"&amp;L1274)+COUNTIFS($L$5:$L$1517,L1274,$B$5:$B$1517,"&lt;"&amp;B1274)+COUNTIFS($L$5:$L$1517,L1274,$B$5:$B$1517,B1274,$C$5:$C$1517,"&lt;"&amp;C1274),"")</f>
        <v/>
      </c>
      <c r="R1274" s="0" t="str">
        <f aca="false">IF(M1274&gt;=Models!$G$6,1+COUNTIF($M$5:$M$1517,"&gt;"&amp;M1274)+COUNTIFS($M$5:$M$1517,M1274,$B$5:$B$1517,"&lt;"&amp;B1274)+COUNTIFS($M$5:$M$1517,M1274,$B$5:$B$1517,B1274,$C$5:$C$1517,"&lt;"&amp;C1274),"")</f>
        <v/>
      </c>
      <c r="S1274" s="0" t="str">
        <f aca="false">IF(N1274&gt;=Models!$G$7,1+COUNTIF($N$5:$N$1517,"&gt;"&amp;N1274)+COUNTIFS($N$5:$N$1517,N1274,$B$5:$B$1517,"&lt;"&amp;B1274)+COUNTIFS($N$5:$N$1517,N1274,$B$5:$B$1517,B1274,$C$5:$C$1517,"&lt;"&amp;C1274),"")</f>
        <v/>
      </c>
      <c r="T1274" s="8" t="n">
        <f aca="false">IF(O1274&gt;=Models!$G$8,1+COUNTIF($O$5:$O$1517,"&gt;"&amp;O1274)+COUNTIFS($O$5:$O$1517,O1274,$B$5:$B$1517,"&lt;"&amp;B1274)+COUNTIFS($O$5:$O$1517,O1274,$B$5:$B$1517,B1274,$C$5:$C$1517,"&lt;"&amp;C1274),"")</f>
        <v>636</v>
      </c>
      <c r="U1274" s="8" t="n">
        <f aca="false">IF($K1274=1,COUNTIFS($L$5:$L$1517,"&gt;="&amp;L1274,$K$5:$K$1517,1)/COUNTIF($L$5:$L$1517,"&gt;="&amp;L1274),0)</f>
        <v>0</v>
      </c>
      <c r="V1274" s="8" t="n">
        <f aca="false">IF($K1274=1,COUNTIFS($M$5:$M$1517,"&gt;="&amp;M1274,$K$5:$K$1517,1)/COUNTIF($M$5:$M$1517,"&gt;="&amp;M1274),0)</f>
        <v>0</v>
      </c>
      <c r="W1274" s="8" t="n">
        <f aca="false">IF($K1274=1,COUNTIFS($N$5:$N$1517,"&gt;="&amp;N1274,$K$5:$K$1517,1)/COUNTIF($N$5:$N$1517,"&gt;="&amp;N1274),0)</f>
        <v>0</v>
      </c>
      <c r="X1274" s="8" t="n">
        <f aca="false">IF($K1274=1,COUNTIFS($O$5:$O$1517,"&gt;="&amp;O1274,$K$5:$K$1517,1)/COUNTIF($O$5:$O$1517,"&gt;="&amp;O1274),0)</f>
        <v>0</v>
      </c>
      <c r="Y1274" s="8" t="n">
        <f aca="false">IF($K1274=1,COUNTIFS($P$5:$P$1517,"&gt;="&amp;P1274,$K$5:$K$1517,1)/COUNTIF($P$5:$P$1517,"&gt;="&amp;P1274),0)</f>
        <v>0</v>
      </c>
      <c r="Z1274" s="8" t="n">
        <f aca="false">(L1274-$K1274)^2</f>
        <v>0.328598365225</v>
      </c>
      <c r="AA1274" s="8" t="n">
        <f aca="false">(M1274-$K1274)^2</f>
        <v>0.008475595969</v>
      </c>
      <c r="AB1274" s="8" t="n">
        <f aca="false">(N1274-$K1274)^2</f>
        <v>0.018730933321</v>
      </c>
      <c r="AC1274" s="8" t="n">
        <f aca="false">(O1274-$K1274)^2</f>
        <v>0.011274829489</v>
      </c>
      <c r="AD1274" s="8" t="n">
        <f aca="false">(P1274-$K1274)^2</f>
        <v>0.021537910564</v>
      </c>
      <c r="AE1274" s="8" t="n">
        <f aca="false">MIN(INT(ROUND(N1274*1000000,0)/100000),9)</f>
        <v>1</v>
      </c>
      <c r="AF1274" s="8" t="n">
        <f aca="false">MIN(INT(ROUND(P1274*1000000,0)/100000),9)</f>
        <v>1</v>
      </c>
    </row>
    <row r="1275" customFormat="false" ht="15" hidden="false" customHeight="false" outlineLevel="0" collapsed="false">
      <c r="A1275" s="4" t="n">
        <v>1271</v>
      </c>
      <c r="B1275" s="4" t="n">
        <v>814</v>
      </c>
      <c r="C1275" s="4" t="n">
        <v>3</v>
      </c>
      <c r="D1275" s="11" t="n">
        <v>46143</v>
      </c>
      <c r="E1275" s="4" t="s">
        <v>201</v>
      </c>
      <c r="F1275" s="4" t="s">
        <v>209</v>
      </c>
      <c r="G1275" s="4" t="n">
        <v>12</v>
      </c>
      <c r="H1275" s="4" t="n">
        <v>4</v>
      </c>
      <c r="I1275" s="4" t="n">
        <v>0</v>
      </c>
      <c r="J1275" s="4"/>
      <c r="K1275" s="4" t="n">
        <v>0</v>
      </c>
      <c r="L1275" s="12" t="n">
        <v>0.590773</v>
      </c>
      <c r="M1275" s="12" t="n">
        <v>0.092063</v>
      </c>
      <c r="N1275" s="12" t="n">
        <v>0.030474</v>
      </c>
      <c r="O1275" s="12" t="n">
        <v>0.106183</v>
      </c>
      <c r="P1275" s="12" t="n">
        <v>0.030603</v>
      </c>
      <c r="Q1275" s="0" t="str">
        <f aca="false">IF(L1275&gt;=Models!$G$5,1+COUNTIF($L$5:$L$1517,"&gt;"&amp;L1275)+COUNTIFS($L$5:$L$1517,L1275,$B$5:$B$1517,"&lt;"&amp;B1275)+COUNTIFS($L$5:$L$1517,L1275,$B$5:$B$1517,B1275,$C$5:$C$1517,"&lt;"&amp;C1275),"")</f>
        <v/>
      </c>
      <c r="R1275" s="0" t="str">
        <f aca="false">IF(M1275&gt;=Models!$G$6,1+COUNTIF($M$5:$M$1517,"&gt;"&amp;M1275)+COUNTIFS($M$5:$M$1517,M1275,$B$5:$B$1517,"&lt;"&amp;B1275)+COUNTIFS($M$5:$M$1517,M1275,$B$5:$B$1517,B1275,$C$5:$C$1517,"&lt;"&amp;C1275),"")</f>
        <v/>
      </c>
      <c r="S1275" s="0" t="str">
        <f aca="false">IF(N1275&gt;=Models!$G$7,1+COUNTIF($N$5:$N$1517,"&gt;"&amp;N1275)+COUNTIFS($N$5:$N$1517,N1275,$B$5:$B$1517,"&lt;"&amp;B1275)+COUNTIFS($N$5:$N$1517,N1275,$B$5:$B$1517,B1275,$C$5:$C$1517,"&lt;"&amp;C1275),"")</f>
        <v/>
      </c>
      <c r="T1275" s="8" t="n">
        <f aca="false">IF(O1275&gt;=Models!$G$8,1+COUNTIF($O$5:$O$1517,"&gt;"&amp;O1275)+COUNTIFS($O$5:$O$1517,O1275,$B$5:$B$1517,"&lt;"&amp;B1275)+COUNTIFS($O$5:$O$1517,O1275,$B$5:$B$1517,B1275,$C$5:$C$1517,"&lt;"&amp;C1275),"")</f>
        <v>640</v>
      </c>
      <c r="U1275" s="8" t="n">
        <f aca="false">IF($K1275=1,COUNTIFS($L$5:$L$1517,"&gt;="&amp;L1275,$K$5:$K$1517,1)/COUNTIF($L$5:$L$1517,"&gt;="&amp;L1275),0)</f>
        <v>0</v>
      </c>
      <c r="V1275" s="8" t="n">
        <f aca="false">IF($K1275=1,COUNTIFS($M$5:$M$1517,"&gt;="&amp;M1275,$K$5:$K$1517,1)/COUNTIF($M$5:$M$1517,"&gt;="&amp;M1275),0)</f>
        <v>0</v>
      </c>
      <c r="W1275" s="8" t="n">
        <f aca="false">IF($K1275=1,COUNTIFS($N$5:$N$1517,"&gt;="&amp;N1275,$K$5:$K$1517,1)/COUNTIF($N$5:$N$1517,"&gt;="&amp;N1275),0)</f>
        <v>0</v>
      </c>
      <c r="X1275" s="8" t="n">
        <f aca="false">IF($K1275=1,COUNTIFS($O$5:$O$1517,"&gt;="&amp;O1275,$K$5:$K$1517,1)/COUNTIF($O$5:$O$1517,"&gt;="&amp;O1275),0)</f>
        <v>0</v>
      </c>
      <c r="Y1275" s="8" t="n">
        <f aca="false">IF($K1275=1,COUNTIFS($P$5:$P$1517,"&gt;="&amp;P1275,$K$5:$K$1517,1)/COUNTIF($P$5:$P$1517,"&gt;="&amp;P1275),0)</f>
        <v>0</v>
      </c>
      <c r="Z1275" s="8" t="n">
        <f aca="false">(L1275-$K1275)^2</f>
        <v>0.349012737529</v>
      </c>
      <c r="AA1275" s="8" t="n">
        <f aca="false">(M1275-$K1275)^2</f>
        <v>0.008475595969</v>
      </c>
      <c r="AB1275" s="8" t="n">
        <f aca="false">(N1275-$K1275)^2</f>
        <v>0.000928664676</v>
      </c>
      <c r="AC1275" s="8" t="n">
        <f aca="false">(O1275-$K1275)^2</f>
        <v>0.011274829489</v>
      </c>
      <c r="AD1275" s="8" t="n">
        <f aca="false">(P1275-$K1275)^2</f>
        <v>0.000936543609</v>
      </c>
      <c r="AE1275" s="8" t="n">
        <f aca="false">MIN(INT(ROUND(N1275*1000000,0)/100000),9)</f>
        <v>0</v>
      </c>
      <c r="AF1275" s="8" t="n">
        <f aca="false">MIN(INT(ROUND(P1275*1000000,0)/100000),9)</f>
        <v>0</v>
      </c>
    </row>
    <row r="1276" customFormat="false" ht="15" hidden="false" customHeight="false" outlineLevel="0" collapsed="false">
      <c r="A1276" s="4" t="n">
        <v>1272</v>
      </c>
      <c r="B1276" s="4" t="n">
        <v>818</v>
      </c>
      <c r="C1276" s="4" t="n">
        <v>3</v>
      </c>
      <c r="D1276" s="11" t="n">
        <v>46143</v>
      </c>
      <c r="E1276" s="4" t="s">
        <v>204</v>
      </c>
      <c r="F1276" s="4" t="s">
        <v>209</v>
      </c>
      <c r="G1276" s="4" t="n">
        <v>4</v>
      </c>
      <c r="H1276" s="4" t="n">
        <v>5</v>
      </c>
      <c r="I1276" s="4" t="n">
        <v>0</v>
      </c>
      <c r="J1276" s="4" t="n">
        <v>214.2</v>
      </c>
      <c r="K1276" s="4" t="n">
        <v>0</v>
      </c>
      <c r="L1276" s="12" t="n">
        <v>0.700921</v>
      </c>
      <c r="M1276" s="12" t="n">
        <v>0.092063</v>
      </c>
      <c r="N1276" s="12" t="n">
        <v>0.120523</v>
      </c>
      <c r="O1276" s="12" t="n">
        <v>0.106183</v>
      </c>
      <c r="P1276" s="12" t="n">
        <v>0.128635</v>
      </c>
      <c r="Q1276" s="0" t="str">
        <f aca="false">IF(L1276&gt;=Models!$G$5,1+COUNTIF($L$5:$L$1517,"&gt;"&amp;L1276)+COUNTIFS($L$5:$L$1517,L1276,$B$5:$B$1517,"&lt;"&amp;B1276)+COUNTIFS($L$5:$L$1517,L1276,$B$5:$B$1517,B1276,$C$5:$C$1517,"&lt;"&amp;C1276),"")</f>
        <v/>
      </c>
      <c r="R1276" s="0" t="str">
        <f aca="false">IF(M1276&gt;=Models!$G$6,1+COUNTIF($M$5:$M$1517,"&gt;"&amp;M1276)+COUNTIFS($M$5:$M$1517,M1276,$B$5:$B$1517,"&lt;"&amp;B1276)+COUNTIFS($M$5:$M$1517,M1276,$B$5:$B$1517,B1276,$C$5:$C$1517,"&lt;"&amp;C1276),"")</f>
        <v/>
      </c>
      <c r="S1276" s="0" t="str">
        <f aca="false">IF(N1276&gt;=Models!$G$7,1+COUNTIF($N$5:$N$1517,"&gt;"&amp;N1276)+COUNTIFS($N$5:$N$1517,N1276,$B$5:$B$1517,"&lt;"&amp;B1276)+COUNTIFS($N$5:$N$1517,N1276,$B$5:$B$1517,B1276,$C$5:$C$1517,"&lt;"&amp;C1276),"")</f>
        <v/>
      </c>
      <c r="T1276" s="8" t="n">
        <f aca="false">IF(O1276&gt;=Models!$G$8,1+COUNTIF($O$5:$O$1517,"&gt;"&amp;O1276)+COUNTIFS($O$5:$O$1517,O1276,$B$5:$B$1517,"&lt;"&amp;B1276)+COUNTIFS($O$5:$O$1517,O1276,$B$5:$B$1517,B1276,$C$5:$C$1517,"&lt;"&amp;C1276),"")</f>
        <v>644</v>
      </c>
      <c r="U1276" s="8" t="n">
        <f aca="false">IF($K1276=1,COUNTIFS($L$5:$L$1517,"&gt;="&amp;L1276,$K$5:$K$1517,1)/COUNTIF($L$5:$L$1517,"&gt;="&amp;L1276),0)</f>
        <v>0</v>
      </c>
      <c r="V1276" s="8" t="n">
        <f aca="false">IF($K1276=1,COUNTIFS($M$5:$M$1517,"&gt;="&amp;M1276,$K$5:$K$1517,1)/COUNTIF($M$5:$M$1517,"&gt;="&amp;M1276),0)</f>
        <v>0</v>
      </c>
      <c r="W1276" s="8" t="n">
        <f aca="false">IF($K1276=1,COUNTIFS($N$5:$N$1517,"&gt;="&amp;N1276,$K$5:$K$1517,1)/COUNTIF($N$5:$N$1517,"&gt;="&amp;N1276),0)</f>
        <v>0</v>
      </c>
      <c r="X1276" s="8" t="n">
        <f aca="false">IF($K1276=1,COUNTIFS($O$5:$O$1517,"&gt;="&amp;O1276,$K$5:$K$1517,1)/COUNTIF($O$5:$O$1517,"&gt;="&amp;O1276),0)</f>
        <v>0</v>
      </c>
      <c r="Y1276" s="8" t="n">
        <f aca="false">IF($K1276=1,COUNTIFS($P$5:$P$1517,"&gt;="&amp;P1276,$K$5:$K$1517,1)/COUNTIF($P$5:$P$1517,"&gt;="&amp;P1276),0)</f>
        <v>0</v>
      </c>
      <c r="Z1276" s="8" t="n">
        <f aca="false">(L1276-$K1276)^2</f>
        <v>0.491290248241</v>
      </c>
      <c r="AA1276" s="8" t="n">
        <f aca="false">(M1276-$K1276)^2</f>
        <v>0.008475595969</v>
      </c>
      <c r="AB1276" s="8" t="n">
        <f aca="false">(N1276-$K1276)^2</f>
        <v>0.014525793529</v>
      </c>
      <c r="AC1276" s="8" t="n">
        <f aca="false">(O1276-$K1276)^2</f>
        <v>0.011274829489</v>
      </c>
      <c r="AD1276" s="8" t="n">
        <f aca="false">(P1276-$K1276)^2</f>
        <v>0.016546963225</v>
      </c>
      <c r="AE1276" s="8" t="n">
        <f aca="false">MIN(INT(ROUND(N1276*1000000,0)/100000),9)</f>
        <v>1</v>
      </c>
      <c r="AF1276" s="8" t="n">
        <f aca="false">MIN(INT(ROUND(P1276*1000000,0)/100000),9)</f>
        <v>1</v>
      </c>
    </row>
    <row r="1277" customFormat="false" ht="15" hidden="false" customHeight="false" outlineLevel="0" collapsed="false">
      <c r="A1277" s="4" t="n">
        <v>1273</v>
      </c>
      <c r="B1277" s="4" t="n">
        <v>820</v>
      </c>
      <c r="C1277" s="4" t="n">
        <v>3</v>
      </c>
      <c r="D1277" s="11" t="n">
        <v>46143</v>
      </c>
      <c r="E1277" s="4" t="s">
        <v>204</v>
      </c>
      <c r="F1277" s="4" t="s">
        <v>206</v>
      </c>
      <c r="G1277" s="4" t="n">
        <v>2</v>
      </c>
      <c r="H1277" s="4" t="n">
        <v>4</v>
      </c>
      <c r="I1277" s="4" t="n">
        <v>0</v>
      </c>
      <c r="J1277" s="4" t="n">
        <v>102</v>
      </c>
      <c r="K1277" s="4" t="n">
        <v>0</v>
      </c>
      <c r="L1277" s="12" t="n">
        <v>0.227259</v>
      </c>
      <c r="M1277" s="12" t="n">
        <v>0.092063</v>
      </c>
      <c r="N1277" s="12" t="n">
        <v>0.140736</v>
      </c>
      <c r="O1277" s="12" t="n">
        <v>0.106183</v>
      </c>
      <c r="P1277" s="12" t="n">
        <v>0.151062</v>
      </c>
      <c r="Q1277" s="0" t="str">
        <f aca="false">IF(L1277&gt;=Models!$G$5,1+COUNTIF($L$5:$L$1517,"&gt;"&amp;L1277)+COUNTIFS($L$5:$L$1517,L1277,$B$5:$B$1517,"&lt;"&amp;B1277)+COUNTIFS($L$5:$L$1517,L1277,$B$5:$B$1517,B1277,$C$5:$C$1517,"&lt;"&amp;C1277),"")</f>
        <v/>
      </c>
      <c r="R1277" s="0" t="str">
        <f aca="false">IF(M1277&gt;=Models!$G$6,1+COUNTIF($M$5:$M$1517,"&gt;"&amp;M1277)+COUNTIFS($M$5:$M$1517,M1277,$B$5:$B$1517,"&lt;"&amp;B1277)+COUNTIFS($M$5:$M$1517,M1277,$B$5:$B$1517,B1277,$C$5:$C$1517,"&lt;"&amp;C1277),"")</f>
        <v/>
      </c>
      <c r="S1277" s="0" t="str">
        <f aca="false">IF(N1277&gt;=Models!$G$7,1+COUNTIF($N$5:$N$1517,"&gt;"&amp;N1277)+COUNTIFS($N$5:$N$1517,N1277,$B$5:$B$1517,"&lt;"&amp;B1277)+COUNTIFS($N$5:$N$1517,N1277,$B$5:$B$1517,B1277,$C$5:$C$1517,"&lt;"&amp;C1277),"")</f>
        <v/>
      </c>
      <c r="T1277" s="8" t="n">
        <f aca="false">IF(O1277&gt;=Models!$G$8,1+COUNTIF($O$5:$O$1517,"&gt;"&amp;O1277)+COUNTIFS($O$5:$O$1517,O1277,$B$5:$B$1517,"&lt;"&amp;B1277)+COUNTIFS($O$5:$O$1517,O1277,$B$5:$B$1517,B1277,$C$5:$C$1517,"&lt;"&amp;C1277),"")</f>
        <v>648</v>
      </c>
      <c r="U1277" s="8" t="n">
        <f aca="false">IF($K1277=1,COUNTIFS($L$5:$L$1517,"&gt;="&amp;L1277,$K$5:$K$1517,1)/COUNTIF($L$5:$L$1517,"&gt;="&amp;L1277),0)</f>
        <v>0</v>
      </c>
      <c r="V1277" s="8" t="n">
        <f aca="false">IF($K1277=1,COUNTIFS($M$5:$M$1517,"&gt;="&amp;M1277,$K$5:$K$1517,1)/COUNTIF($M$5:$M$1517,"&gt;="&amp;M1277),0)</f>
        <v>0</v>
      </c>
      <c r="W1277" s="8" t="n">
        <f aca="false">IF($K1277=1,COUNTIFS($N$5:$N$1517,"&gt;="&amp;N1277,$K$5:$K$1517,1)/COUNTIF($N$5:$N$1517,"&gt;="&amp;N1277),0)</f>
        <v>0</v>
      </c>
      <c r="X1277" s="8" t="n">
        <f aca="false">IF($K1277=1,COUNTIFS($O$5:$O$1517,"&gt;="&amp;O1277,$K$5:$K$1517,1)/COUNTIF($O$5:$O$1517,"&gt;="&amp;O1277),0)</f>
        <v>0</v>
      </c>
      <c r="Y1277" s="8" t="n">
        <f aca="false">IF($K1277=1,COUNTIFS($P$5:$P$1517,"&gt;="&amp;P1277,$K$5:$K$1517,1)/COUNTIF($P$5:$P$1517,"&gt;="&amp;P1277),0)</f>
        <v>0</v>
      </c>
      <c r="Z1277" s="8" t="n">
        <f aca="false">(L1277-$K1277)^2</f>
        <v>0.051646653081</v>
      </c>
      <c r="AA1277" s="8" t="n">
        <f aca="false">(M1277-$K1277)^2</f>
        <v>0.008475595969</v>
      </c>
      <c r="AB1277" s="8" t="n">
        <f aca="false">(N1277-$K1277)^2</f>
        <v>0.019806621696</v>
      </c>
      <c r="AC1277" s="8" t="n">
        <f aca="false">(O1277-$K1277)^2</f>
        <v>0.011274829489</v>
      </c>
      <c r="AD1277" s="8" t="n">
        <f aca="false">(P1277-$K1277)^2</f>
        <v>0.022819727844</v>
      </c>
      <c r="AE1277" s="8" t="n">
        <f aca="false">MIN(INT(ROUND(N1277*1000000,0)/100000),9)</f>
        <v>1</v>
      </c>
      <c r="AF1277" s="8" t="n">
        <f aca="false">MIN(INT(ROUND(P1277*1000000,0)/100000),9)</f>
        <v>1</v>
      </c>
    </row>
    <row r="1278" customFormat="false" ht="15" hidden="false" customHeight="false" outlineLevel="0" collapsed="false">
      <c r="A1278" s="4" t="n">
        <v>1274</v>
      </c>
      <c r="B1278" s="4" t="n">
        <v>830</v>
      </c>
      <c r="C1278" s="4" t="n">
        <v>3</v>
      </c>
      <c r="D1278" s="11" t="n">
        <v>46143</v>
      </c>
      <c r="E1278" s="4" t="s">
        <v>203</v>
      </c>
      <c r="F1278" s="4" t="s">
        <v>207</v>
      </c>
      <c r="G1278" s="4" t="n">
        <v>2</v>
      </c>
      <c r="H1278" s="4" t="n">
        <v>19</v>
      </c>
      <c r="I1278" s="4" t="n">
        <v>0</v>
      </c>
      <c r="J1278" s="4" t="n">
        <v>399</v>
      </c>
      <c r="K1278" s="4" t="n">
        <v>0</v>
      </c>
      <c r="L1278" s="12" t="n">
        <v>0.72035</v>
      </c>
      <c r="M1278" s="12" t="n">
        <v>0.092063</v>
      </c>
      <c r="N1278" s="12" t="n">
        <v>0.154007</v>
      </c>
      <c r="O1278" s="12" t="n">
        <v>0.106183</v>
      </c>
      <c r="P1278" s="12" t="n">
        <v>0.165813</v>
      </c>
      <c r="Q1278" s="0" t="str">
        <f aca="false">IF(L1278&gt;=Models!$G$5,1+COUNTIF($L$5:$L$1517,"&gt;"&amp;L1278)+COUNTIFS($L$5:$L$1517,L1278,$B$5:$B$1517,"&lt;"&amp;B1278)+COUNTIFS($L$5:$L$1517,L1278,$B$5:$B$1517,B1278,$C$5:$C$1517,"&lt;"&amp;C1278),"")</f>
        <v/>
      </c>
      <c r="R1278" s="0" t="str">
        <f aca="false">IF(M1278&gt;=Models!$G$6,1+COUNTIF($M$5:$M$1517,"&gt;"&amp;M1278)+COUNTIFS($M$5:$M$1517,M1278,$B$5:$B$1517,"&lt;"&amp;B1278)+COUNTIFS($M$5:$M$1517,M1278,$B$5:$B$1517,B1278,$C$5:$C$1517,"&lt;"&amp;C1278),"")</f>
        <v/>
      </c>
      <c r="S1278" s="0" t="str">
        <f aca="false">IF(N1278&gt;=Models!$G$7,1+COUNTIF($N$5:$N$1517,"&gt;"&amp;N1278)+COUNTIFS($N$5:$N$1517,N1278,$B$5:$B$1517,"&lt;"&amp;B1278)+COUNTIFS($N$5:$N$1517,N1278,$B$5:$B$1517,B1278,$C$5:$C$1517,"&lt;"&amp;C1278),"")</f>
        <v/>
      </c>
      <c r="T1278" s="8" t="n">
        <f aca="false">IF(O1278&gt;=Models!$G$8,1+COUNTIF($O$5:$O$1517,"&gt;"&amp;O1278)+COUNTIFS($O$5:$O$1517,O1278,$B$5:$B$1517,"&lt;"&amp;B1278)+COUNTIFS($O$5:$O$1517,O1278,$B$5:$B$1517,B1278,$C$5:$C$1517,"&lt;"&amp;C1278),"")</f>
        <v>653</v>
      </c>
      <c r="U1278" s="8" t="n">
        <f aca="false">IF($K1278=1,COUNTIFS($L$5:$L$1517,"&gt;="&amp;L1278,$K$5:$K$1517,1)/COUNTIF($L$5:$L$1517,"&gt;="&amp;L1278),0)</f>
        <v>0</v>
      </c>
      <c r="V1278" s="8" t="n">
        <f aca="false">IF($K1278=1,COUNTIFS($M$5:$M$1517,"&gt;="&amp;M1278,$K$5:$K$1517,1)/COUNTIF($M$5:$M$1517,"&gt;="&amp;M1278),0)</f>
        <v>0</v>
      </c>
      <c r="W1278" s="8" t="n">
        <f aca="false">IF($K1278=1,COUNTIFS($N$5:$N$1517,"&gt;="&amp;N1278,$K$5:$K$1517,1)/COUNTIF($N$5:$N$1517,"&gt;="&amp;N1278),0)</f>
        <v>0</v>
      </c>
      <c r="X1278" s="8" t="n">
        <f aca="false">IF($K1278=1,COUNTIFS($O$5:$O$1517,"&gt;="&amp;O1278,$K$5:$K$1517,1)/COUNTIF($O$5:$O$1517,"&gt;="&amp;O1278),0)</f>
        <v>0</v>
      </c>
      <c r="Y1278" s="8" t="n">
        <f aca="false">IF($K1278=1,COUNTIFS($P$5:$P$1517,"&gt;="&amp;P1278,$K$5:$K$1517,1)/COUNTIF($P$5:$P$1517,"&gt;="&amp;P1278),0)</f>
        <v>0</v>
      </c>
      <c r="Z1278" s="8" t="n">
        <f aca="false">(L1278-$K1278)^2</f>
        <v>0.5189041225</v>
      </c>
      <c r="AA1278" s="8" t="n">
        <f aca="false">(M1278-$K1278)^2</f>
        <v>0.008475595969</v>
      </c>
      <c r="AB1278" s="8" t="n">
        <f aca="false">(N1278-$K1278)^2</f>
        <v>0.023718156049</v>
      </c>
      <c r="AC1278" s="8" t="n">
        <f aca="false">(O1278-$K1278)^2</f>
        <v>0.011274829489</v>
      </c>
      <c r="AD1278" s="8" t="n">
        <f aca="false">(P1278-$K1278)^2</f>
        <v>0.027493950969</v>
      </c>
      <c r="AE1278" s="8" t="n">
        <f aca="false">MIN(INT(ROUND(N1278*1000000,0)/100000),9)</f>
        <v>1</v>
      </c>
      <c r="AF1278" s="8" t="n">
        <f aca="false">MIN(INT(ROUND(P1278*1000000,0)/100000),9)</f>
        <v>1</v>
      </c>
    </row>
    <row r="1279" customFormat="false" ht="15" hidden="false" customHeight="false" outlineLevel="0" collapsed="false">
      <c r="A1279" s="4" t="n">
        <v>1275</v>
      </c>
      <c r="B1279" s="4" t="n">
        <v>844</v>
      </c>
      <c r="C1279" s="4" t="n">
        <v>3</v>
      </c>
      <c r="D1279" s="11" t="n">
        <v>46143</v>
      </c>
      <c r="E1279" s="4" t="s">
        <v>201</v>
      </c>
      <c r="F1279" s="4" t="s">
        <v>208</v>
      </c>
      <c r="G1279" s="4" t="n">
        <v>2</v>
      </c>
      <c r="H1279" s="4" t="n">
        <v>1</v>
      </c>
      <c r="I1279" s="4" t="n">
        <v>0</v>
      </c>
      <c r="J1279" s="4" t="n">
        <v>18339.6</v>
      </c>
      <c r="K1279" s="4" t="n">
        <v>0</v>
      </c>
      <c r="L1279" s="12" t="n">
        <v>0.278873</v>
      </c>
      <c r="M1279" s="12" t="n">
        <v>0.092063</v>
      </c>
      <c r="N1279" s="12" t="n">
        <v>0.05251</v>
      </c>
      <c r="O1279" s="12" t="n">
        <v>0.106183</v>
      </c>
      <c r="P1279" s="12" t="n">
        <v>0.054091</v>
      </c>
      <c r="Q1279" s="0" t="str">
        <f aca="false">IF(L1279&gt;=Models!$G$5,1+COUNTIF($L$5:$L$1517,"&gt;"&amp;L1279)+COUNTIFS($L$5:$L$1517,L1279,$B$5:$B$1517,"&lt;"&amp;B1279)+COUNTIFS($L$5:$L$1517,L1279,$B$5:$B$1517,B1279,$C$5:$C$1517,"&lt;"&amp;C1279),"")</f>
        <v/>
      </c>
      <c r="R1279" s="0" t="str">
        <f aca="false">IF(M1279&gt;=Models!$G$6,1+COUNTIF($M$5:$M$1517,"&gt;"&amp;M1279)+COUNTIFS($M$5:$M$1517,M1279,$B$5:$B$1517,"&lt;"&amp;B1279)+COUNTIFS($M$5:$M$1517,M1279,$B$5:$B$1517,B1279,$C$5:$C$1517,"&lt;"&amp;C1279),"")</f>
        <v/>
      </c>
      <c r="S1279" s="0" t="str">
        <f aca="false">IF(N1279&gt;=Models!$G$7,1+COUNTIF($N$5:$N$1517,"&gt;"&amp;N1279)+COUNTIFS($N$5:$N$1517,N1279,$B$5:$B$1517,"&lt;"&amp;B1279)+COUNTIFS($N$5:$N$1517,N1279,$B$5:$B$1517,B1279,$C$5:$C$1517,"&lt;"&amp;C1279),"")</f>
        <v/>
      </c>
      <c r="T1279" s="8" t="n">
        <f aca="false">IF(O1279&gt;=Models!$G$8,1+COUNTIF($O$5:$O$1517,"&gt;"&amp;O1279)+COUNTIFS($O$5:$O$1517,O1279,$B$5:$B$1517,"&lt;"&amp;B1279)+COUNTIFS($O$5:$O$1517,O1279,$B$5:$B$1517,B1279,$C$5:$C$1517,"&lt;"&amp;C1279),"")</f>
        <v>660</v>
      </c>
      <c r="U1279" s="8" t="n">
        <f aca="false">IF($K1279=1,COUNTIFS($L$5:$L$1517,"&gt;="&amp;L1279,$K$5:$K$1517,1)/COUNTIF($L$5:$L$1517,"&gt;="&amp;L1279),0)</f>
        <v>0</v>
      </c>
      <c r="V1279" s="8" t="n">
        <f aca="false">IF($K1279=1,COUNTIFS($M$5:$M$1517,"&gt;="&amp;M1279,$K$5:$K$1517,1)/COUNTIF($M$5:$M$1517,"&gt;="&amp;M1279),0)</f>
        <v>0</v>
      </c>
      <c r="W1279" s="8" t="n">
        <f aca="false">IF($K1279=1,COUNTIFS($N$5:$N$1517,"&gt;="&amp;N1279,$K$5:$K$1517,1)/COUNTIF($N$5:$N$1517,"&gt;="&amp;N1279),0)</f>
        <v>0</v>
      </c>
      <c r="X1279" s="8" t="n">
        <f aca="false">IF($K1279=1,COUNTIFS($O$5:$O$1517,"&gt;="&amp;O1279,$K$5:$K$1517,1)/COUNTIF($O$5:$O$1517,"&gt;="&amp;O1279),0)</f>
        <v>0</v>
      </c>
      <c r="Y1279" s="8" t="n">
        <f aca="false">IF($K1279=1,COUNTIFS($P$5:$P$1517,"&gt;="&amp;P1279,$K$5:$K$1517,1)/COUNTIF($P$5:$P$1517,"&gt;="&amp;P1279),0)</f>
        <v>0</v>
      </c>
      <c r="Z1279" s="8" t="n">
        <f aca="false">(L1279-$K1279)^2</f>
        <v>0.077770150129</v>
      </c>
      <c r="AA1279" s="8" t="n">
        <f aca="false">(M1279-$K1279)^2</f>
        <v>0.008475595969</v>
      </c>
      <c r="AB1279" s="8" t="n">
        <f aca="false">(N1279-$K1279)^2</f>
        <v>0.0027573001</v>
      </c>
      <c r="AC1279" s="8" t="n">
        <f aca="false">(O1279-$K1279)^2</f>
        <v>0.011274829489</v>
      </c>
      <c r="AD1279" s="8" t="n">
        <f aca="false">(P1279-$K1279)^2</f>
        <v>0.002925836281</v>
      </c>
      <c r="AE1279" s="8" t="n">
        <f aca="false">MIN(INT(ROUND(N1279*1000000,0)/100000),9)</f>
        <v>0</v>
      </c>
      <c r="AF1279" s="8" t="n">
        <f aca="false">MIN(INT(ROUND(P1279*1000000,0)/100000),9)</f>
        <v>0</v>
      </c>
    </row>
    <row r="1280" customFormat="false" ht="15" hidden="false" customHeight="false" outlineLevel="0" collapsed="false">
      <c r="A1280" s="4" t="n">
        <v>1276</v>
      </c>
      <c r="B1280" s="4" t="n">
        <v>859</v>
      </c>
      <c r="C1280" s="4" t="n">
        <v>3</v>
      </c>
      <c r="D1280" s="11" t="n">
        <v>46143</v>
      </c>
      <c r="E1280" s="4" t="s">
        <v>204</v>
      </c>
      <c r="F1280" s="4" t="s">
        <v>206</v>
      </c>
      <c r="G1280" s="4" t="n">
        <v>4</v>
      </c>
      <c r="H1280" s="4" t="n">
        <v>2</v>
      </c>
      <c r="I1280" s="4" t="n">
        <v>0</v>
      </c>
      <c r="J1280" s="4" t="n">
        <v>397.8</v>
      </c>
      <c r="K1280" s="4" t="n">
        <v>0</v>
      </c>
      <c r="L1280" s="12" t="n">
        <v>0.881761</v>
      </c>
      <c r="M1280" s="12" t="n">
        <v>0.092063</v>
      </c>
      <c r="N1280" s="12" t="n">
        <v>0.116836</v>
      </c>
      <c r="O1280" s="12" t="n">
        <v>0.106183</v>
      </c>
      <c r="P1280" s="12" t="n">
        <v>0.124553</v>
      </c>
      <c r="Q1280" s="0" t="str">
        <f aca="false">IF(L1280&gt;=Models!$G$5,1+COUNTIF($L$5:$L$1517,"&gt;"&amp;L1280)+COUNTIFS($L$5:$L$1517,L1280,$B$5:$B$1517,"&lt;"&amp;B1280)+COUNTIFS($L$5:$L$1517,L1280,$B$5:$B$1517,B1280,$C$5:$C$1517,"&lt;"&amp;C1280),"")</f>
        <v/>
      </c>
      <c r="R1280" s="0" t="str">
        <f aca="false">IF(M1280&gt;=Models!$G$6,1+COUNTIF($M$5:$M$1517,"&gt;"&amp;M1280)+COUNTIFS($M$5:$M$1517,M1280,$B$5:$B$1517,"&lt;"&amp;B1280)+COUNTIFS($M$5:$M$1517,M1280,$B$5:$B$1517,B1280,$C$5:$C$1517,"&lt;"&amp;C1280),"")</f>
        <v/>
      </c>
      <c r="S1280" s="0" t="str">
        <f aca="false">IF(N1280&gt;=Models!$G$7,1+COUNTIF($N$5:$N$1517,"&gt;"&amp;N1280)+COUNTIFS($N$5:$N$1517,N1280,$B$5:$B$1517,"&lt;"&amp;B1280)+COUNTIFS($N$5:$N$1517,N1280,$B$5:$B$1517,B1280,$C$5:$C$1517,"&lt;"&amp;C1280),"")</f>
        <v/>
      </c>
      <c r="T1280" s="8" t="n">
        <f aca="false">IF(O1280&gt;=Models!$G$8,1+COUNTIF($O$5:$O$1517,"&gt;"&amp;O1280)+COUNTIFS($O$5:$O$1517,O1280,$B$5:$B$1517,"&lt;"&amp;B1280)+COUNTIFS($O$5:$O$1517,O1280,$B$5:$B$1517,B1280,$C$5:$C$1517,"&lt;"&amp;C1280),"")</f>
        <v>664</v>
      </c>
      <c r="U1280" s="8" t="n">
        <f aca="false">IF($K1280=1,COUNTIFS($L$5:$L$1517,"&gt;="&amp;L1280,$K$5:$K$1517,1)/COUNTIF($L$5:$L$1517,"&gt;="&amp;L1280),0)</f>
        <v>0</v>
      </c>
      <c r="V1280" s="8" t="n">
        <f aca="false">IF($K1280=1,COUNTIFS($M$5:$M$1517,"&gt;="&amp;M1280,$K$5:$K$1517,1)/COUNTIF($M$5:$M$1517,"&gt;="&amp;M1280),0)</f>
        <v>0</v>
      </c>
      <c r="W1280" s="8" t="n">
        <f aca="false">IF($K1280=1,COUNTIFS($N$5:$N$1517,"&gt;="&amp;N1280,$K$5:$K$1517,1)/COUNTIF($N$5:$N$1517,"&gt;="&amp;N1280),0)</f>
        <v>0</v>
      </c>
      <c r="X1280" s="8" t="n">
        <f aca="false">IF($K1280=1,COUNTIFS($O$5:$O$1517,"&gt;="&amp;O1280,$K$5:$K$1517,1)/COUNTIF($O$5:$O$1517,"&gt;="&amp;O1280),0)</f>
        <v>0</v>
      </c>
      <c r="Y1280" s="8" t="n">
        <f aca="false">IF($K1280=1,COUNTIFS($P$5:$P$1517,"&gt;="&amp;P1280,$K$5:$K$1517,1)/COUNTIF($P$5:$P$1517,"&gt;="&amp;P1280),0)</f>
        <v>0</v>
      </c>
      <c r="Z1280" s="8" t="n">
        <f aca="false">(L1280-$K1280)^2</f>
        <v>0.777502461121</v>
      </c>
      <c r="AA1280" s="8" t="n">
        <f aca="false">(M1280-$K1280)^2</f>
        <v>0.008475595969</v>
      </c>
      <c r="AB1280" s="8" t="n">
        <f aca="false">(N1280-$K1280)^2</f>
        <v>0.013650650896</v>
      </c>
      <c r="AC1280" s="8" t="n">
        <f aca="false">(O1280-$K1280)^2</f>
        <v>0.011274829489</v>
      </c>
      <c r="AD1280" s="8" t="n">
        <f aca="false">(P1280-$K1280)^2</f>
        <v>0.015513449809</v>
      </c>
      <c r="AE1280" s="8" t="n">
        <f aca="false">MIN(INT(ROUND(N1280*1000000,0)/100000),9)</f>
        <v>1</v>
      </c>
      <c r="AF1280" s="8" t="n">
        <f aca="false">MIN(INT(ROUND(P1280*1000000,0)/100000),9)</f>
        <v>1</v>
      </c>
    </row>
    <row r="1281" customFormat="false" ht="15" hidden="false" customHeight="false" outlineLevel="0" collapsed="false">
      <c r="A1281" s="4" t="n">
        <v>1277</v>
      </c>
      <c r="B1281" s="4" t="n">
        <v>863</v>
      </c>
      <c r="C1281" s="4" t="n">
        <v>3</v>
      </c>
      <c r="D1281" s="11" t="n">
        <v>46143</v>
      </c>
      <c r="E1281" s="4" t="s">
        <v>203</v>
      </c>
      <c r="F1281" s="4" t="s">
        <v>206</v>
      </c>
      <c r="G1281" s="4" t="n">
        <v>6</v>
      </c>
      <c r="H1281" s="4" t="n">
        <v>4</v>
      </c>
      <c r="I1281" s="4" t="n">
        <v>0</v>
      </c>
      <c r="J1281" s="4" t="n">
        <v>444</v>
      </c>
      <c r="K1281" s="4" t="n">
        <v>1</v>
      </c>
      <c r="L1281" s="12" t="n">
        <v>0.588579</v>
      </c>
      <c r="M1281" s="12" t="n">
        <v>0.092063</v>
      </c>
      <c r="N1281" s="12" t="n">
        <v>0.100741</v>
      </c>
      <c r="O1281" s="12" t="n">
        <v>0.106183</v>
      </c>
      <c r="P1281" s="12" t="n">
        <v>0.106767</v>
      </c>
      <c r="Q1281" s="0" t="str">
        <f aca="false">IF(L1281&gt;=Models!$G$5,1+COUNTIF($L$5:$L$1517,"&gt;"&amp;L1281)+COUNTIFS($L$5:$L$1517,L1281,$B$5:$B$1517,"&lt;"&amp;B1281)+COUNTIFS($L$5:$L$1517,L1281,$B$5:$B$1517,B1281,$C$5:$C$1517,"&lt;"&amp;C1281),"")</f>
        <v/>
      </c>
      <c r="R1281" s="0" t="str">
        <f aca="false">IF(M1281&gt;=Models!$G$6,1+COUNTIF($M$5:$M$1517,"&gt;"&amp;M1281)+COUNTIFS($M$5:$M$1517,M1281,$B$5:$B$1517,"&lt;"&amp;B1281)+COUNTIFS($M$5:$M$1517,M1281,$B$5:$B$1517,B1281,$C$5:$C$1517,"&lt;"&amp;C1281),"")</f>
        <v/>
      </c>
      <c r="S1281" s="0" t="str">
        <f aca="false">IF(N1281&gt;=Models!$G$7,1+COUNTIF($N$5:$N$1517,"&gt;"&amp;N1281)+COUNTIFS($N$5:$N$1517,N1281,$B$5:$B$1517,"&lt;"&amp;B1281)+COUNTIFS($N$5:$N$1517,N1281,$B$5:$B$1517,B1281,$C$5:$C$1517,"&lt;"&amp;C1281),"")</f>
        <v/>
      </c>
      <c r="T1281" s="8" t="n">
        <f aca="false">IF(O1281&gt;=Models!$G$8,1+COUNTIF($O$5:$O$1517,"&gt;"&amp;O1281)+COUNTIFS($O$5:$O$1517,O1281,$B$5:$B$1517,"&lt;"&amp;B1281)+COUNTIFS($O$5:$O$1517,O1281,$B$5:$B$1517,B1281,$C$5:$C$1517,"&lt;"&amp;C1281),"")</f>
        <v>668</v>
      </c>
      <c r="U1281" s="8" t="n">
        <f aca="false">IF($K1281=1,COUNTIFS($L$5:$L$1517,"&gt;="&amp;L1281,$K$5:$K$1517,1)/COUNTIF($L$5:$L$1517,"&gt;="&amp;L1281),0)</f>
        <v>0.124386252045827</v>
      </c>
      <c r="V1281" s="8" t="n">
        <f aca="false">IF($K1281=1,COUNTIFS($M$5:$M$1517,"&gt;="&amp;M1281,$K$5:$K$1517,1)/COUNTIF($M$5:$M$1517,"&gt;="&amp;M1281),0)</f>
        <v>0.12491738268341</v>
      </c>
      <c r="W1281" s="8" t="n">
        <f aca="false">IF($K1281=1,COUNTIFS($N$5:$N$1517,"&gt;="&amp;N1281,$K$5:$K$1517,1)/COUNTIF($N$5:$N$1517,"&gt;="&amp;N1281),0)</f>
        <v>0.190684133915575</v>
      </c>
      <c r="X1281" s="8" t="n">
        <f aca="false">IF($K1281=1,COUNTIFS($O$5:$O$1517,"&gt;="&amp;O1281,$K$5:$K$1517,1)/COUNTIF($O$5:$O$1517,"&gt;="&amp;O1281),0)</f>
        <v>0.12491738268341</v>
      </c>
      <c r="Y1281" s="8" t="n">
        <f aca="false">IF($K1281=1,COUNTIFS($P$5:$P$1517,"&gt;="&amp;P1281,$K$5:$K$1517,1)/COUNTIF($P$5:$P$1517,"&gt;="&amp;P1281),0)</f>
        <v>0.190684133915575</v>
      </c>
      <c r="Z1281" s="8" t="n">
        <f aca="false">(L1281-$K1281)^2</f>
        <v>0.169267239241</v>
      </c>
      <c r="AA1281" s="8" t="n">
        <f aca="false">(M1281-$K1281)^2</f>
        <v>0.824349595969</v>
      </c>
      <c r="AB1281" s="8" t="n">
        <f aca="false">(N1281-$K1281)^2</f>
        <v>0.808666749081</v>
      </c>
      <c r="AC1281" s="8" t="n">
        <f aca="false">(O1281-$K1281)^2</f>
        <v>0.798908829489</v>
      </c>
      <c r="AD1281" s="8" t="n">
        <f aca="false">(P1281-$K1281)^2</f>
        <v>0.797865192289</v>
      </c>
      <c r="AE1281" s="8" t="n">
        <f aca="false">MIN(INT(ROUND(N1281*1000000,0)/100000),9)</f>
        <v>1</v>
      </c>
      <c r="AF1281" s="8" t="n">
        <f aca="false">MIN(INT(ROUND(P1281*1000000,0)/100000),9)</f>
        <v>1</v>
      </c>
    </row>
    <row r="1282" customFormat="false" ht="15" hidden="false" customHeight="false" outlineLevel="0" collapsed="false">
      <c r="A1282" s="4" t="n">
        <v>1278</v>
      </c>
      <c r="B1282" s="4" t="n">
        <v>864</v>
      </c>
      <c r="C1282" s="4" t="n">
        <v>3</v>
      </c>
      <c r="D1282" s="11" t="n">
        <v>46143</v>
      </c>
      <c r="E1282" s="4" t="s">
        <v>203</v>
      </c>
      <c r="F1282" s="4" t="s">
        <v>206</v>
      </c>
      <c r="G1282" s="4" t="n">
        <v>13</v>
      </c>
      <c r="H1282" s="4" t="n">
        <v>2</v>
      </c>
      <c r="I1282" s="4" t="n">
        <v>0</v>
      </c>
      <c r="J1282" s="4" t="n">
        <v>918</v>
      </c>
      <c r="K1282" s="4" t="n">
        <v>0</v>
      </c>
      <c r="L1282" s="12" t="n">
        <v>0.579513</v>
      </c>
      <c r="M1282" s="12" t="n">
        <v>0.092063</v>
      </c>
      <c r="N1282" s="12" t="n">
        <v>0.05402</v>
      </c>
      <c r="O1282" s="12" t="n">
        <v>0.106183</v>
      </c>
      <c r="P1282" s="12" t="n">
        <v>0.055719</v>
      </c>
      <c r="Q1282" s="0" t="str">
        <f aca="false">IF(L1282&gt;=Models!$G$5,1+COUNTIF($L$5:$L$1517,"&gt;"&amp;L1282)+COUNTIFS($L$5:$L$1517,L1282,$B$5:$B$1517,"&lt;"&amp;B1282)+COUNTIFS($L$5:$L$1517,L1282,$B$5:$B$1517,B1282,$C$5:$C$1517,"&lt;"&amp;C1282),"")</f>
        <v/>
      </c>
      <c r="R1282" s="0" t="str">
        <f aca="false">IF(M1282&gt;=Models!$G$6,1+COUNTIF($M$5:$M$1517,"&gt;"&amp;M1282)+COUNTIFS($M$5:$M$1517,M1282,$B$5:$B$1517,"&lt;"&amp;B1282)+COUNTIFS($M$5:$M$1517,M1282,$B$5:$B$1517,B1282,$C$5:$C$1517,"&lt;"&amp;C1282),"")</f>
        <v/>
      </c>
      <c r="S1282" s="0" t="str">
        <f aca="false">IF(N1282&gt;=Models!$G$7,1+COUNTIF($N$5:$N$1517,"&gt;"&amp;N1282)+COUNTIFS($N$5:$N$1517,N1282,$B$5:$B$1517,"&lt;"&amp;B1282)+COUNTIFS($N$5:$N$1517,N1282,$B$5:$B$1517,B1282,$C$5:$C$1517,"&lt;"&amp;C1282),"")</f>
        <v/>
      </c>
      <c r="T1282" s="8" t="n">
        <f aca="false">IF(O1282&gt;=Models!$G$8,1+COUNTIF($O$5:$O$1517,"&gt;"&amp;O1282)+COUNTIFS($O$5:$O$1517,O1282,$B$5:$B$1517,"&lt;"&amp;B1282)+COUNTIFS($O$5:$O$1517,O1282,$B$5:$B$1517,B1282,$C$5:$C$1517,"&lt;"&amp;C1282),"")</f>
        <v>672</v>
      </c>
      <c r="U1282" s="8" t="n">
        <f aca="false">IF($K1282=1,COUNTIFS($L$5:$L$1517,"&gt;="&amp;L1282,$K$5:$K$1517,1)/COUNTIF($L$5:$L$1517,"&gt;="&amp;L1282),0)</f>
        <v>0</v>
      </c>
      <c r="V1282" s="8" t="n">
        <f aca="false">IF($K1282=1,COUNTIFS($M$5:$M$1517,"&gt;="&amp;M1282,$K$5:$K$1517,1)/COUNTIF($M$5:$M$1517,"&gt;="&amp;M1282),0)</f>
        <v>0</v>
      </c>
      <c r="W1282" s="8" t="n">
        <f aca="false">IF($K1282=1,COUNTIFS($N$5:$N$1517,"&gt;="&amp;N1282,$K$5:$K$1517,1)/COUNTIF($N$5:$N$1517,"&gt;="&amp;N1282),0)</f>
        <v>0</v>
      </c>
      <c r="X1282" s="8" t="n">
        <f aca="false">IF($K1282=1,COUNTIFS($O$5:$O$1517,"&gt;="&amp;O1282,$K$5:$K$1517,1)/COUNTIF($O$5:$O$1517,"&gt;="&amp;O1282),0)</f>
        <v>0</v>
      </c>
      <c r="Y1282" s="8" t="n">
        <f aca="false">IF($K1282=1,COUNTIFS($P$5:$P$1517,"&gt;="&amp;P1282,$K$5:$K$1517,1)/COUNTIF($P$5:$P$1517,"&gt;="&amp;P1282),0)</f>
        <v>0</v>
      </c>
      <c r="Z1282" s="8" t="n">
        <f aca="false">(L1282-$K1282)^2</f>
        <v>0.335835317169</v>
      </c>
      <c r="AA1282" s="8" t="n">
        <f aca="false">(M1282-$K1282)^2</f>
        <v>0.008475595969</v>
      </c>
      <c r="AB1282" s="8" t="n">
        <f aca="false">(N1282-$K1282)^2</f>
        <v>0.0029181604</v>
      </c>
      <c r="AC1282" s="8" t="n">
        <f aca="false">(O1282-$K1282)^2</f>
        <v>0.011274829489</v>
      </c>
      <c r="AD1282" s="8" t="n">
        <f aca="false">(P1282-$K1282)^2</f>
        <v>0.003104606961</v>
      </c>
      <c r="AE1282" s="8" t="n">
        <f aca="false">MIN(INT(ROUND(N1282*1000000,0)/100000),9)</f>
        <v>0</v>
      </c>
      <c r="AF1282" s="8" t="n">
        <f aca="false">MIN(INT(ROUND(P1282*1000000,0)/100000),9)</f>
        <v>0</v>
      </c>
    </row>
    <row r="1283" customFormat="false" ht="15" hidden="false" customHeight="false" outlineLevel="0" collapsed="false">
      <c r="A1283" s="4" t="n">
        <v>1279</v>
      </c>
      <c r="B1283" s="4" t="n">
        <v>865</v>
      </c>
      <c r="C1283" s="4" t="n">
        <v>3</v>
      </c>
      <c r="D1283" s="11" t="n">
        <v>46143</v>
      </c>
      <c r="E1283" s="4" t="s">
        <v>203</v>
      </c>
      <c r="F1283" s="4" t="s">
        <v>206</v>
      </c>
      <c r="G1283" s="4" t="n">
        <v>13</v>
      </c>
      <c r="H1283" s="4" t="n">
        <v>8</v>
      </c>
      <c r="I1283" s="4" t="n">
        <v>0</v>
      </c>
      <c r="J1283" s="4" t="n">
        <v>1509.6</v>
      </c>
      <c r="K1283" s="4" t="n">
        <v>1</v>
      </c>
      <c r="L1283" s="12" t="n">
        <v>0.850705</v>
      </c>
      <c r="M1283" s="12" t="n">
        <v>0.092063</v>
      </c>
      <c r="N1283" s="12" t="n">
        <v>0.054782</v>
      </c>
      <c r="O1283" s="12" t="n">
        <v>0.106183</v>
      </c>
      <c r="P1283" s="12" t="n">
        <v>0.056541</v>
      </c>
      <c r="Q1283" s="0" t="str">
        <f aca="false">IF(L1283&gt;=Models!$G$5,1+COUNTIF($L$5:$L$1517,"&gt;"&amp;L1283)+COUNTIFS($L$5:$L$1517,L1283,$B$5:$B$1517,"&lt;"&amp;B1283)+COUNTIFS($L$5:$L$1517,L1283,$B$5:$B$1517,B1283,$C$5:$C$1517,"&lt;"&amp;C1283),"")</f>
        <v/>
      </c>
      <c r="R1283" s="0" t="str">
        <f aca="false">IF(M1283&gt;=Models!$G$6,1+COUNTIF($M$5:$M$1517,"&gt;"&amp;M1283)+COUNTIFS($M$5:$M$1517,M1283,$B$5:$B$1517,"&lt;"&amp;B1283)+COUNTIFS($M$5:$M$1517,M1283,$B$5:$B$1517,B1283,$C$5:$C$1517,"&lt;"&amp;C1283),"")</f>
        <v/>
      </c>
      <c r="S1283" s="0" t="str">
        <f aca="false">IF(N1283&gt;=Models!$G$7,1+COUNTIF($N$5:$N$1517,"&gt;"&amp;N1283)+COUNTIFS($N$5:$N$1517,N1283,$B$5:$B$1517,"&lt;"&amp;B1283)+COUNTIFS($N$5:$N$1517,N1283,$B$5:$B$1517,B1283,$C$5:$C$1517,"&lt;"&amp;C1283),"")</f>
        <v/>
      </c>
      <c r="T1283" s="8" t="n">
        <f aca="false">IF(O1283&gt;=Models!$G$8,1+COUNTIF($O$5:$O$1517,"&gt;"&amp;O1283)+COUNTIFS($O$5:$O$1517,O1283,$B$5:$B$1517,"&lt;"&amp;B1283)+COUNTIFS($O$5:$O$1517,O1283,$B$5:$B$1517,B1283,$C$5:$C$1517,"&lt;"&amp;C1283),"")</f>
        <v>676</v>
      </c>
      <c r="U1283" s="8" t="n">
        <f aca="false">IF($K1283=1,COUNTIFS($L$5:$L$1517,"&gt;="&amp;L1283,$K$5:$K$1517,1)/COUNTIF($L$5:$L$1517,"&gt;="&amp;L1283),0)</f>
        <v>0.136363636363636</v>
      </c>
      <c r="V1283" s="8" t="n">
        <f aca="false">IF($K1283=1,COUNTIFS($M$5:$M$1517,"&gt;="&amp;M1283,$K$5:$K$1517,1)/COUNTIF($M$5:$M$1517,"&gt;="&amp;M1283),0)</f>
        <v>0.12491738268341</v>
      </c>
      <c r="W1283" s="8" t="n">
        <f aca="false">IF($K1283=1,COUNTIFS($N$5:$N$1517,"&gt;="&amp;N1283,$K$5:$K$1517,1)/COUNTIF($N$5:$N$1517,"&gt;="&amp;N1283),0)</f>
        <v>0.154118689105403</v>
      </c>
      <c r="X1283" s="8" t="n">
        <f aca="false">IF($K1283=1,COUNTIFS($O$5:$O$1517,"&gt;="&amp;O1283,$K$5:$K$1517,1)/COUNTIF($O$5:$O$1517,"&gt;="&amp;O1283),0)</f>
        <v>0.12491738268341</v>
      </c>
      <c r="Y1283" s="8" t="n">
        <f aca="false">IF($K1283=1,COUNTIFS($P$5:$P$1517,"&gt;="&amp;P1283,$K$5:$K$1517,1)/COUNTIF($P$5:$P$1517,"&gt;="&amp;P1283),0)</f>
        <v>0.154118689105403</v>
      </c>
      <c r="Z1283" s="8" t="n">
        <f aca="false">(L1283-$K1283)^2</f>
        <v>0.022288997025</v>
      </c>
      <c r="AA1283" s="8" t="n">
        <f aca="false">(M1283-$K1283)^2</f>
        <v>0.824349595969</v>
      </c>
      <c r="AB1283" s="8" t="n">
        <f aca="false">(N1283-$K1283)^2</f>
        <v>0.893437067524</v>
      </c>
      <c r="AC1283" s="8" t="n">
        <f aca="false">(O1283-$K1283)^2</f>
        <v>0.798908829489</v>
      </c>
      <c r="AD1283" s="8" t="n">
        <f aca="false">(P1283-$K1283)^2</f>
        <v>0.890114884681</v>
      </c>
      <c r="AE1283" s="8" t="n">
        <f aca="false">MIN(INT(ROUND(N1283*1000000,0)/100000),9)</f>
        <v>0</v>
      </c>
      <c r="AF1283" s="8" t="n">
        <f aca="false">MIN(INT(ROUND(P1283*1000000,0)/100000),9)</f>
        <v>0</v>
      </c>
    </row>
    <row r="1284" customFormat="false" ht="15" hidden="false" customHeight="false" outlineLevel="0" collapsed="false">
      <c r="A1284" s="4" t="n">
        <v>1280</v>
      </c>
      <c r="B1284" s="4" t="n">
        <v>874</v>
      </c>
      <c r="C1284" s="4" t="n">
        <v>3</v>
      </c>
      <c r="D1284" s="11" t="n">
        <v>46143</v>
      </c>
      <c r="E1284" s="4" t="s">
        <v>201</v>
      </c>
      <c r="F1284" s="4" t="s">
        <v>206</v>
      </c>
      <c r="G1284" s="4" t="n">
        <v>13</v>
      </c>
      <c r="H1284" s="4" t="n">
        <v>2</v>
      </c>
      <c r="I1284" s="4" t="n">
        <v>0</v>
      </c>
      <c r="J1284" s="4" t="n">
        <v>4269</v>
      </c>
      <c r="K1284" s="4" t="n">
        <v>0</v>
      </c>
      <c r="L1284" s="12" t="n">
        <v>0.262708</v>
      </c>
      <c r="M1284" s="12" t="n">
        <v>0.092063</v>
      </c>
      <c r="N1284" s="12" t="n">
        <v>0.044896</v>
      </c>
      <c r="O1284" s="12" t="n">
        <v>0.106183</v>
      </c>
      <c r="P1284" s="12" t="n">
        <v>0.045915</v>
      </c>
      <c r="Q1284" s="0" t="str">
        <f aca="false">IF(L1284&gt;=Models!$G$5,1+COUNTIF($L$5:$L$1517,"&gt;"&amp;L1284)+COUNTIFS($L$5:$L$1517,L1284,$B$5:$B$1517,"&lt;"&amp;B1284)+COUNTIFS($L$5:$L$1517,L1284,$B$5:$B$1517,B1284,$C$5:$C$1517,"&lt;"&amp;C1284),"")</f>
        <v/>
      </c>
      <c r="R1284" s="0" t="str">
        <f aca="false">IF(M1284&gt;=Models!$G$6,1+COUNTIF($M$5:$M$1517,"&gt;"&amp;M1284)+COUNTIFS($M$5:$M$1517,M1284,$B$5:$B$1517,"&lt;"&amp;B1284)+COUNTIFS($M$5:$M$1517,M1284,$B$5:$B$1517,B1284,$C$5:$C$1517,"&lt;"&amp;C1284),"")</f>
        <v/>
      </c>
      <c r="S1284" s="0" t="str">
        <f aca="false">IF(N1284&gt;=Models!$G$7,1+COUNTIF($N$5:$N$1517,"&gt;"&amp;N1284)+COUNTIFS($N$5:$N$1517,N1284,$B$5:$B$1517,"&lt;"&amp;B1284)+COUNTIFS($N$5:$N$1517,N1284,$B$5:$B$1517,B1284,$C$5:$C$1517,"&lt;"&amp;C1284),"")</f>
        <v/>
      </c>
      <c r="T1284" s="8" t="n">
        <f aca="false">IF(O1284&gt;=Models!$G$8,1+COUNTIF($O$5:$O$1517,"&gt;"&amp;O1284)+COUNTIFS($O$5:$O$1517,O1284,$B$5:$B$1517,"&lt;"&amp;B1284)+COUNTIFS($O$5:$O$1517,O1284,$B$5:$B$1517,B1284,$C$5:$C$1517,"&lt;"&amp;C1284),"")</f>
        <v>683</v>
      </c>
      <c r="U1284" s="8" t="n">
        <f aca="false">IF($K1284=1,COUNTIFS($L$5:$L$1517,"&gt;="&amp;L1284,$K$5:$K$1517,1)/COUNTIF($L$5:$L$1517,"&gt;="&amp;L1284),0)</f>
        <v>0</v>
      </c>
      <c r="V1284" s="8" t="n">
        <f aca="false">IF($K1284=1,COUNTIFS($M$5:$M$1517,"&gt;="&amp;M1284,$K$5:$K$1517,1)/COUNTIF($M$5:$M$1517,"&gt;="&amp;M1284),0)</f>
        <v>0</v>
      </c>
      <c r="W1284" s="8" t="n">
        <f aca="false">IF($K1284=1,COUNTIFS($N$5:$N$1517,"&gt;="&amp;N1284,$K$5:$K$1517,1)/COUNTIF($N$5:$N$1517,"&gt;="&amp;N1284),0)</f>
        <v>0</v>
      </c>
      <c r="X1284" s="8" t="n">
        <f aca="false">IF($K1284=1,COUNTIFS($O$5:$O$1517,"&gt;="&amp;O1284,$K$5:$K$1517,1)/COUNTIF($O$5:$O$1517,"&gt;="&amp;O1284),0)</f>
        <v>0</v>
      </c>
      <c r="Y1284" s="8" t="n">
        <f aca="false">IF($K1284=1,COUNTIFS($P$5:$P$1517,"&gt;="&amp;P1284,$K$5:$K$1517,1)/COUNTIF($P$5:$P$1517,"&gt;="&amp;P1284),0)</f>
        <v>0</v>
      </c>
      <c r="Z1284" s="8" t="n">
        <f aca="false">(L1284-$K1284)^2</f>
        <v>0.069015493264</v>
      </c>
      <c r="AA1284" s="8" t="n">
        <f aca="false">(M1284-$K1284)^2</f>
        <v>0.008475595969</v>
      </c>
      <c r="AB1284" s="8" t="n">
        <f aca="false">(N1284-$K1284)^2</f>
        <v>0.002015650816</v>
      </c>
      <c r="AC1284" s="8" t="n">
        <f aca="false">(O1284-$K1284)^2</f>
        <v>0.011274829489</v>
      </c>
      <c r="AD1284" s="8" t="n">
        <f aca="false">(P1284-$K1284)^2</f>
        <v>0.002108187225</v>
      </c>
      <c r="AE1284" s="8" t="n">
        <f aca="false">MIN(INT(ROUND(N1284*1000000,0)/100000),9)</f>
        <v>0</v>
      </c>
      <c r="AF1284" s="8" t="n">
        <f aca="false">MIN(INT(ROUND(P1284*1000000,0)/100000),9)</f>
        <v>0</v>
      </c>
    </row>
    <row r="1285" customFormat="false" ht="15" hidden="false" customHeight="false" outlineLevel="0" collapsed="false">
      <c r="A1285" s="4" t="n">
        <v>1281</v>
      </c>
      <c r="B1285" s="4" t="n">
        <v>876</v>
      </c>
      <c r="C1285" s="4" t="n">
        <v>3</v>
      </c>
      <c r="D1285" s="11" t="n">
        <v>46143</v>
      </c>
      <c r="E1285" s="4" t="s">
        <v>203</v>
      </c>
      <c r="F1285" s="4" t="s">
        <v>209</v>
      </c>
      <c r="G1285" s="4" t="n">
        <v>10</v>
      </c>
      <c r="H1285" s="4" t="n">
        <v>0</v>
      </c>
      <c r="I1285" s="4" t="n">
        <v>0</v>
      </c>
      <c r="J1285" s="4" t="n">
        <v>264</v>
      </c>
      <c r="K1285" s="4" t="n">
        <v>0</v>
      </c>
      <c r="L1285" s="12" t="n">
        <v>0.879423</v>
      </c>
      <c r="M1285" s="12" t="n">
        <v>0.092063</v>
      </c>
      <c r="N1285" s="12" t="n">
        <v>0.071007</v>
      </c>
      <c r="O1285" s="12" t="n">
        <v>0.106183</v>
      </c>
      <c r="P1285" s="12" t="n">
        <v>0.074146</v>
      </c>
      <c r="Q1285" s="0" t="str">
        <f aca="false">IF(L1285&gt;=Models!$G$5,1+COUNTIF($L$5:$L$1517,"&gt;"&amp;L1285)+COUNTIFS($L$5:$L$1517,L1285,$B$5:$B$1517,"&lt;"&amp;B1285)+COUNTIFS($L$5:$L$1517,L1285,$B$5:$B$1517,B1285,$C$5:$C$1517,"&lt;"&amp;C1285),"")</f>
        <v/>
      </c>
      <c r="R1285" s="0" t="str">
        <f aca="false">IF(M1285&gt;=Models!$G$6,1+COUNTIF($M$5:$M$1517,"&gt;"&amp;M1285)+COUNTIFS($M$5:$M$1517,M1285,$B$5:$B$1517,"&lt;"&amp;B1285)+COUNTIFS($M$5:$M$1517,M1285,$B$5:$B$1517,B1285,$C$5:$C$1517,"&lt;"&amp;C1285),"")</f>
        <v/>
      </c>
      <c r="S1285" s="0" t="str">
        <f aca="false">IF(N1285&gt;=Models!$G$7,1+COUNTIF($N$5:$N$1517,"&gt;"&amp;N1285)+COUNTIFS($N$5:$N$1517,N1285,$B$5:$B$1517,"&lt;"&amp;B1285)+COUNTIFS($N$5:$N$1517,N1285,$B$5:$B$1517,B1285,$C$5:$C$1517,"&lt;"&amp;C1285),"")</f>
        <v/>
      </c>
      <c r="T1285" s="8" t="n">
        <f aca="false">IF(O1285&gt;=Models!$G$8,1+COUNTIF($O$5:$O$1517,"&gt;"&amp;O1285)+COUNTIFS($O$5:$O$1517,O1285,$B$5:$B$1517,"&lt;"&amp;B1285)+COUNTIFS($O$5:$O$1517,O1285,$B$5:$B$1517,B1285,$C$5:$C$1517,"&lt;"&amp;C1285),"")</f>
        <v>688</v>
      </c>
      <c r="U1285" s="8" t="n">
        <f aca="false">IF($K1285=1,COUNTIFS($L$5:$L$1517,"&gt;="&amp;L1285,$K$5:$K$1517,1)/COUNTIF($L$5:$L$1517,"&gt;="&amp;L1285),0)</f>
        <v>0</v>
      </c>
      <c r="V1285" s="8" t="n">
        <f aca="false">IF($K1285=1,COUNTIFS($M$5:$M$1517,"&gt;="&amp;M1285,$K$5:$K$1517,1)/COUNTIF($M$5:$M$1517,"&gt;="&amp;M1285),0)</f>
        <v>0</v>
      </c>
      <c r="W1285" s="8" t="n">
        <f aca="false">IF($K1285=1,COUNTIFS($N$5:$N$1517,"&gt;="&amp;N1285,$K$5:$K$1517,1)/COUNTIF($N$5:$N$1517,"&gt;="&amp;N1285),0)</f>
        <v>0</v>
      </c>
      <c r="X1285" s="8" t="n">
        <f aca="false">IF($K1285=1,COUNTIFS($O$5:$O$1517,"&gt;="&amp;O1285,$K$5:$K$1517,1)/COUNTIF($O$5:$O$1517,"&gt;="&amp;O1285),0)</f>
        <v>0</v>
      </c>
      <c r="Y1285" s="8" t="n">
        <f aca="false">IF($K1285=1,COUNTIFS($P$5:$P$1517,"&gt;="&amp;P1285,$K$5:$K$1517,1)/COUNTIF($P$5:$P$1517,"&gt;="&amp;P1285),0)</f>
        <v>0</v>
      </c>
      <c r="Z1285" s="8" t="n">
        <f aca="false">(L1285-$K1285)^2</f>
        <v>0.773384812929</v>
      </c>
      <c r="AA1285" s="8" t="n">
        <f aca="false">(M1285-$K1285)^2</f>
        <v>0.008475595969</v>
      </c>
      <c r="AB1285" s="8" t="n">
        <f aca="false">(N1285-$K1285)^2</f>
        <v>0.005041994049</v>
      </c>
      <c r="AC1285" s="8" t="n">
        <f aca="false">(O1285-$K1285)^2</f>
        <v>0.011274829489</v>
      </c>
      <c r="AD1285" s="8" t="n">
        <f aca="false">(P1285-$K1285)^2</f>
        <v>0.005497629316</v>
      </c>
      <c r="AE1285" s="8" t="n">
        <f aca="false">MIN(INT(ROUND(N1285*1000000,0)/100000),9)</f>
        <v>0</v>
      </c>
      <c r="AF1285" s="8" t="n">
        <f aca="false">MIN(INT(ROUND(P1285*1000000,0)/100000),9)</f>
        <v>0</v>
      </c>
    </row>
    <row r="1286" customFormat="false" ht="15" hidden="false" customHeight="false" outlineLevel="0" collapsed="false">
      <c r="A1286" s="4" t="n">
        <v>1282</v>
      </c>
      <c r="B1286" s="4" t="n">
        <v>877</v>
      </c>
      <c r="C1286" s="4" t="n">
        <v>3</v>
      </c>
      <c r="D1286" s="11" t="n">
        <v>46143</v>
      </c>
      <c r="E1286" s="4" t="s">
        <v>203</v>
      </c>
      <c r="F1286" s="4" t="s">
        <v>210</v>
      </c>
      <c r="G1286" s="4" t="n">
        <v>4</v>
      </c>
      <c r="H1286" s="4" t="n">
        <v>17</v>
      </c>
      <c r="I1286" s="4" t="n">
        <v>0</v>
      </c>
      <c r="J1286" s="4" t="n">
        <v>420</v>
      </c>
      <c r="K1286" s="4" t="n">
        <v>1</v>
      </c>
      <c r="L1286" s="12" t="n">
        <v>0.247214</v>
      </c>
      <c r="M1286" s="12" t="n">
        <v>0.092063</v>
      </c>
      <c r="N1286" s="12" t="n">
        <v>0.129984</v>
      </c>
      <c r="O1286" s="12" t="n">
        <v>0.106183</v>
      </c>
      <c r="P1286" s="12" t="n">
        <v>0.139124</v>
      </c>
      <c r="Q1286" s="0" t="str">
        <f aca="false">IF(L1286&gt;=Models!$G$5,1+COUNTIF($L$5:$L$1517,"&gt;"&amp;L1286)+COUNTIFS($L$5:$L$1517,L1286,$B$5:$B$1517,"&lt;"&amp;B1286)+COUNTIFS($L$5:$L$1517,L1286,$B$5:$B$1517,B1286,$C$5:$C$1517,"&lt;"&amp;C1286),"")</f>
        <v/>
      </c>
      <c r="R1286" s="0" t="str">
        <f aca="false">IF(M1286&gt;=Models!$G$6,1+COUNTIF($M$5:$M$1517,"&gt;"&amp;M1286)+COUNTIFS($M$5:$M$1517,M1286,$B$5:$B$1517,"&lt;"&amp;B1286)+COUNTIFS($M$5:$M$1517,M1286,$B$5:$B$1517,B1286,$C$5:$C$1517,"&lt;"&amp;C1286),"")</f>
        <v/>
      </c>
      <c r="S1286" s="0" t="str">
        <f aca="false">IF(N1286&gt;=Models!$G$7,1+COUNTIF($N$5:$N$1517,"&gt;"&amp;N1286)+COUNTIFS($N$5:$N$1517,N1286,$B$5:$B$1517,"&lt;"&amp;B1286)+COUNTIFS($N$5:$N$1517,N1286,$B$5:$B$1517,B1286,$C$5:$C$1517,"&lt;"&amp;C1286),"")</f>
        <v/>
      </c>
      <c r="T1286" s="8" t="n">
        <f aca="false">IF(O1286&gt;=Models!$G$8,1+COUNTIF($O$5:$O$1517,"&gt;"&amp;O1286)+COUNTIFS($O$5:$O$1517,O1286,$B$5:$B$1517,"&lt;"&amp;B1286)+COUNTIFS($O$5:$O$1517,O1286,$B$5:$B$1517,B1286,$C$5:$C$1517,"&lt;"&amp;C1286),"")</f>
        <v>692</v>
      </c>
      <c r="U1286" s="8" t="n">
        <f aca="false">IF($K1286=1,COUNTIFS($L$5:$L$1517,"&gt;="&amp;L1286,$K$5:$K$1517,1)/COUNTIF($L$5:$L$1517,"&gt;="&amp;L1286),0)</f>
        <v>0.129118432769368</v>
      </c>
      <c r="V1286" s="8" t="n">
        <f aca="false">IF($K1286=1,COUNTIFS($M$5:$M$1517,"&gt;="&amp;M1286,$K$5:$K$1517,1)/COUNTIF($M$5:$M$1517,"&gt;="&amp;M1286),0)</f>
        <v>0.12491738268341</v>
      </c>
      <c r="W1286" s="8" t="n">
        <f aca="false">IF($K1286=1,COUNTIFS($N$5:$N$1517,"&gt;="&amp;N1286,$K$5:$K$1517,1)/COUNTIF($N$5:$N$1517,"&gt;="&amp;N1286),0)</f>
        <v>0.240331491712707</v>
      </c>
      <c r="X1286" s="8" t="n">
        <f aca="false">IF($K1286=1,COUNTIFS($O$5:$O$1517,"&gt;="&amp;O1286,$K$5:$K$1517,1)/COUNTIF($O$5:$O$1517,"&gt;="&amp;O1286),0)</f>
        <v>0.12491738268341</v>
      </c>
      <c r="Y1286" s="8" t="n">
        <f aca="false">IF($K1286=1,COUNTIFS($P$5:$P$1517,"&gt;="&amp;P1286,$K$5:$K$1517,1)/COUNTIF($P$5:$P$1517,"&gt;="&amp;P1286),0)</f>
        <v>0.240331491712707</v>
      </c>
      <c r="Z1286" s="8" t="n">
        <f aca="false">(L1286-$K1286)^2</f>
        <v>0.566686761796</v>
      </c>
      <c r="AA1286" s="8" t="n">
        <f aca="false">(M1286-$K1286)^2</f>
        <v>0.824349595969</v>
      </c>
      <c r="AB1286" s="8" t="n">
        <f aca="false">(N1286-$K1286)^2</f>
        <v>0.756927840256</v>
      </c>
      <c r="AC1286" s="8" t="n">
        <f aca="false">(O1286-$K1286)^2</f>
        <v>0.798908829489</v>
      </c>
      <c r="AD1286" s="8" t="n">
        <f aca="false">(P1286-$K1286)^2</f>
        <v>0.741107487376</v>
      </c>
      <c r="AE1286" s="8" t="n">
        <f aca="false">MIN(INT(ROUND(N1286*1000000,0)/100000),9)</f>
        <v>1</v>
      </c>
      <c r="AF1286" s="8" t="n">
        <f aca="false">MIN(INT(ROUND(P1286*1000000,0)/100000),9)</f>
        <v>1</v>
      </c>
    </row>
    <row r="1287" customFormat="false" ht="15" hidden="false" customHeight="false" outlineLevel="0" collapsed="false">
      <c r="A1287" s="4" t="n">
        <v>1283</v>
      </c>
      <c r="B1287" s="4" t="n">
        <v>880</v>
      </c>
      <c r="C1287" s="4" t="n">
        <v>3</v>
      </c>
      <c r="D1287" s="11" t="n">
        <v>46143</v>
      </c>
      <c r="E1287" s="4" t="s">
        <v>201</v>
      </c>
      <c r="F1287" s="4" t="s">
        <v>206</v>
      </c>
      <c r="G1287" s="4" t="n">
        <v>14</v>
      </c>
      <c r="H1287" s="4" t="n">
        <v>2</v>
      </c>
      <c r="I1287" s="4" t="n">
        <v>0</v>
      </c>
      <c r="J1287" s="4" t="n">
        <v>30365.4</v>
      </c>
      <c r="K1287" s="4" t="n">
        <v>0</v>
      </c>
      <c r="L1287" s="12" t="n">
        <v>0.981705</v>
      </c>
      <c r="M1287" s="12" t="n">
        <v>0.092063</v>
      </c>
      <c r="N1287" s="12" t="n">
        <v>0.009351</v>
      </c>
      <c r="O1287" s="12" t="n">
        <v>0.106183</v>
      </c>
      <c r="P1287" s="12" t="n">
        <v>0.008874</v>
      </c>
      <c r="Q1287" s="8" t="n">
        <f aca="false">IF(L1287&gt;=Models!$G$5,1+COUNTIF($L$5:$L$1517,"&gt;"&amp;L1287)+COUNTIFS($L$5:$L$1517,L1287,$B$5:$B$1517,"&lt;"&amp;B1287)+COUNTIFS($L$5:$L$1517,L1287,$B$5:$B$1517,B1287,$C$5:$C$1517,"&lt;"&amp;C1287),"")</f>
        <v>23</v>
      </c>
      <c r="R1287" s="0" t="str">
        <f aca="false">IF(M1287&gt;=Models!$G$6,1+COUNTIF($M$5:$M$1517,"&gt;"&amp;M1287)+COUNTIFS($M$5:$M$1517,M1287,$B$5:$B$1517,"&lt;"&amp;B1287)+COUNTIFS($M$5:$M$1517,M1287,$B$5:$B$1517,B1287,$C$5:$C$1517,"&lt;"&amp;C1287),"")</f>
        <v/>
      </c>
      <c r="S1287" s="0" t="str">
        <f aca="false">IF(N1287&gt;=Models!$G$7,1+COUNTIF($N$5:$N$1517,"&gt;"&amp;N1287)+COUNTIFS($N$5:$N$1517,N1287,$B$5:$B$1517,"&lt;"&amp;B1287)+COUNTIFS($N$5:$N$1517,N1287,$B$5:$B$1517,B1287,$C$5:$C$1517,"&lt;"&amp;C1287),"")</f>
        <v/>
      </c>
      <c r="T1287" s="8" t="n">
        <f aca="false">IF(O1287&gt;=Models!$G$8,1+COUNTIF($O$5:$O$1517,"&gt;"&amp;O1287)+COUNTIFS($O$5:$O$1517,O1287,$B$5:$B$1517,"&lt;"&amp;B1287)+COUNTIFS($O$5:$O$1517,O1287,$B$5:$B$1517,B1287,$C$5:$C$1517,"&lt;"&amp;C1287),"")</f>
        <v>696</v>
      </c>
      <c r="U1287" s="8" t="n">
        <f aca="false">IF($K1287=1,COUNTIFS($L$5:$L$1517,"&gt;="&amp;L1287,$K$5:$K$1517,1)/COUNTIF($L$5:$L$1517,"&gt;="&amp;L1287),0)</f>
        <v>0</v>
      </c>
      <c r="V1287" s="8" t="n">
        <f aca="false">IF($K1287=1,COUNTIFS($M$5:$M$1517,"&gt;="&amp;M1287,$K$5:$K$1517,1)/COUNTIF($M$5:$M$1517,"&gt;="&amp;M1287),0)</f>
        <v>0</v>
      </c>
      <c r="W1287" s="8" t="n">
        <f aca="false">IF($K1287=1,COUNTIFS($N$5:$N$1517,"&gt;="&amp;N1287,$K$5:$K$1517,1)/COUNTIF($N$5:$N$1517,"&gt;="&amp;N1287),0)</f>
        <v>0</v>
      </c>
      <c r="X1287" s="8" t="n">
        <f aca="false">IF($K1287=1,COUNTIFS($O$5:$O$1517,"&gt;="&amp;O1287,$K$5:$K$1517,1)/COUNTIF($O$5:$O$1517,"&gt;="&amp;O1287),0)</f>
        <v>0</v>
      </c>
      <c r="Y1287" s="8" t="n">
        <f aca="false">IF($K1287=1,COUNTIFS($P$5:$P$1517,"&gt;="&amp;P1287,$K$5:$K$1517,1)/COUNTIF($P$5:$P$1517,"&gt;="&amp;P1287),0)</f>
        <v>0</v>
      </c>
      <c r="Z1287" s="8" t="n">
        <f aca="false">(L1287-$K1287)^2</f>
        <v>0.963744707025</v>
      </c>
      <c r="AA1287" s="8" t="n">
        <f aca="false">(M1287-$K1287)^2</f>
        <v>0.008475595969</v>
      </c>
      <c r="AB1287" s="8" t="n">
        <f aca="false">(N1287-$K1287)^2</f>
        <v>8.7441201E-005</v>
      </c>
      <c r="AC1287" s="8" t="n">
        <f aca="false">(O1287-$K1287)^2</f>
        <v>0.011274829489</v>
      </c>
      <c r="AD1287" s="8" t="n">
        <f aca="false">(P1287-$K1287)^2</f>
        <v>7.8747876E-005</v>
      </c>
      <c r="AE1287" s="8" t="n">
        <f aca="false">MIN(INT(ROUND(N1287*1000000,0)/100000),9)</f>
        <v>0</v>
      </c>
      <c r="AF1287" s="8" t="n">
        <f aca="false">MIN(INT(ROUND(P1287*1000000,0)/100000),9)</f>
        <v>0</v>
      </c>
    </row>
    <row r="1288" customFormat="false" ht="15" hidden="false" customHeight="false" outlineLevel="0" collapsed="false">
      <c r="A1288" s="4" t="n">
        <v>1284</v>
      </c>
      <c r="B1288" s="4" t="n">
        <v>881</v>
      </c>
      <c r="C1288" s="4" t="n">
        <v>3</v>
      </c>
      <c r="D1288" s="11" t="n">
        <v>46143</v>
      </c>
      <c r="E1288" s="4" t="s">
        <v>203</v>
      </c>
      <c r="F1288" s="4" t="s">
        <v>209</v>
      </c>
      <c r="G1288" s="4" t="n">
        <v>1</v>
      </c>
      <c r="H1288" s="4" t="n">
        <v>25</v>
      </c>
      <c r="I1288" s="4" t="n">
        <v>0</v>
      </c>
      <c r="J1288" s="4" t="n">
        <v>390</v>
      </c>
      <c r="K1288" s="4" t="n">
        <v>0</v>
      </c>
      <c r="L1288" s="12" t="n">
        <v>0.067579</v>
      </c>
      <c r="M1288" s="12" t="n">
        <v>0.092063</v>
      </c>
      <c r="N1288" s="12" t="n">
        <v>0.173098</v>
      </c>
      <c r="O1288" s="12" t="n">
        <v>0.106183</v>
      </c>
      <c r="P1288" s="12" t="n">
        <v>0.187054</v>
      </c>
      <c r="Q1288" s="0" t="str">
        <f aca="false">IF(L1288&gt;=Models!$G$5,1+COUNTIF($L$5:$L$1517,"&gt;"&amp;L1288)+COUNTIFS($L$5:$L$1517,L1288,$B$5:$B$1517,"&lt;"&amp;B1288)+COUNTIFS($L$5:$L$1517,L1288,$B$5:$B$1517,B1288,$C$5:$C$1517,"&lt;"&amp;C1288),"")</f>
        <v/>
      </c>
      <c r="R1288" s="0" t="str">
        <f aca="false">IF(M1288&gt;=Models!$G$6,1+COUNTIF($M$5:$M$1517,"&gt;"&amp;M1288)+COUNTIFS($M$5:$M$1517,M1288,$B$5:$B$1517,"&lt;"&amp;B1288)+COUNTIFS($M$5:$M$1517,M1288,$B$5:$B$1517,B1288,$C$5:$C$1517,"&lt;"&amp;C1288),"")</f>
        <v/>
      </c>
      <c r="S1288" s="0" t="str">
        <f aca="false">IF(N1288&gt;=Models!$G$7,1+COUNTIF($N$5:$N$1517,"&gt;"&amp;N1288)+COUNTIFS($N$5:$N$1517,N1288,$B$5:$B$1517,"&lt;"&amp;B1288)+COUNTIFS($N$5:$N$1517,N1288,$B$5:$B$1517,B1288,$C$5:$C$1517,"&lt;"&amp;C1288),"")</f>
        <v/>
      </c>
      <c r="T1288" s="8" t="n">
        <f aca="false">IF(O1288&gt;=Models!$G$8,1+COUNTIF($O$5:$O$1517,"&gt;"&amp;O1288)+COUNTIFS($O$5:$O$1517,O1288,$B$5:$B$1517,"&lt;"&amp;B1288)+COUNTIFS($O$5:$O$1517,O1288,$B$5:$B$1517,B1288,$C$5:$C$1517,"&lt;"&amp;C1288),"")</f>
        <v>700</v>
      </c>
      <c r="U1288" s="8" t="n">
        <f aca="false">IF($K1288=1,COUNTIFS($L$5:$L$1517,"&gt;="&amp;L1288,$K$5:$K$1517,1)/COUNTIF($L$5:$L$1517,"&gt;="&amp;L1288),0)</f>
        <v>0</v>
      </c>
      <c r="V1288" s="8" t="n">
        <f aca="false">IF($K1288=1,COUNTIFS($M$5:$M$1517,"&gt;="&amp;M1288,$K$5:$K$1517,1)/COUNTIF($M$5:$M$1517,"&gt;="&amp;M1288),0)</f>
        <v>0</v>
      </c>
      <c r="W1288" s="8" t="n">
        <f aca="false">IF($K1288=1,COUNTIFS($N$5:$N$1517,"&gt;="&amp;N1288,$K$5:$K$1517,1)/COUNTIF($N$5:$N$1517,"&gt;="&amp;N1288),0)</f>
        <v>0</v>
      </c>
      <c r="X1288" s="8" t="n">
        <f aca="false">IF($K1288=1,COUNTIFS($O$5:$O$1517,"&gt;="&amp;O1288,$K$5:$K$1517,1)/COUNTIF($O$5:$O$1517,"&gt;="&amp;O1288),0)</f>
        <v>0</v>
      </c>
      <c r="Y1288" s="8" t="n">
        <f aca="false">IF($K1288=1,COUNTIFS($P$5:$P$1517,"&gt;="&amp;P1288,$K$5:$K$1517,1)/COUNTIF($P$5:$P$1517,"&gt;="&amp;P1288),0)</f>
        <v>0</v>
      </c>
      <c r="Z1288" s="8" t="n">
        <f aca="false">(L1288-$K1288)^2</f>
        <v>0.004566921241</v>
      </c>
      <c r="AA1288" s="8" t="n">
        <f aca="false">(M1288-$K1288)^2</f>
        <v>0.008475595969</v>
      </c>
      <c r="AB1288" s="8" t="n">
        <f aca="false">(N1288-$K1288)^2</f>
        <v>0.029962917604</v>
      </c>
      <c r="AC1288" s="8" t="n">
        <f aca="false">(O1288-$K1288)^2</f>
        <v>0.011274829489</v>
      </c>
      <c r="AD1288" s="8" t="n">
        <f aca="false">(P1288-$K1288)^2</f>
        <v>0.034989198916</v>
      </c>
      <c r="AE1288" s="8" t="n">
        <f aca="false">MIN(INT(ROUND(N1288*1000000,0)/100000),9)</f>
        <v>1</v>
      </c>
      <c r="AF1288" s="8" t="n">
        <f aca="false">MIN(INT(ROUND(P1288*1000000,0)/100000),9)</f>
        <v>1</v>
      </c>
    </row>
    <row r="1289" customFormat="false" ht="15" hidden="false" customHeight="false" outlineLevel="0" collapsed="false">
      <c r="A1289" s="4" t="n">
        <v>1285</v>
      </c>
      <c r="B1289" s="4" t="n">
        <v>912</v>
      </c>
      <c r="C1289" s="4" t="n">
        <v>3</v>
      </c>
      <c r="D1289" s="11" t="n">
        <v>46143</v>
      </c>
      <c r="E1289" s="4" t="s">
        <v>204</v>
      </c>
      <c r="F1289" s="4" t="s">
        <v>209</v>
      </c>
      <c r="G1289" s="4" t="n">
        <v>2</v>
      </c>
      <c r="H1289" s="4" t="n">
        <v>7</v>
      </c>
      <c r="I1289" s="4" t="n">
        <v>1</v>
      </c>
      <c r="J1289" s="4" t="n">
        <v>57</v>
      </c>
      <c r="K1289" s="4" t="n">
        <v>1</v>
      </c>
      <c r="L1289" s="12" t="n">
        <v>0.112927</v>
      </c>
      <c r="M1289" s="12" t="n">
        <v>0.184211</v>
      </c>
      <c r="N1289" s="12" t="n">
        <v>0.233984</v>
      </c>
      <c r="O1289" s="12" t="n">
        <v>0.106183</v>
      </c>
      <c r="P1289" s="12" t="n">
        <v>0.254755</v>
      </c>
      <c r="Q1289" s="0" t="str">
        <f aca="false">IF(L1289&gt;=Models!$G$5,1+COUNTIF($L$5:$L$1517,"&gt;"&amp;L1289)+COUNTIFS($L$5:$L$1517,L1289,$B$5:$B$1517,"&lt;"&amp;B1289)+COUNTIFS($L$5:$L$1517,L1289,$B$5:$B$1517,B1289,$C$5:$C$1517,"&lt;"&amp;C1289),"")</f>
        <v/>
      </c>
      <c r="R1289" s="8" t="n">
        <f aca="false">IF(M1289&gt;=Models!$G$6,1+COUNTIF($M$5:$M$1517,"&gt;"&amp;M1289)+COUNTIFS($M$5:$M$1517,M1289,$B$5:$B$1517,"&lt;"&amp;B1289)+COUNTIFS($M$5:$M$1517,M1289,$B$5:$B$1517,B1289,$C$5:$C$1517,"&lt;"&amp;C1289),"")</f>
        <v>78</v>
      </c>
      <c r="S1289" s="0" t="str">
        <f aca="false">IF(N1289&gt;=Models!$G$7,1+COUNTIF($N$5:$N$1517,"&gt;"&amp;N1289)+COUNTIFS($N$5:$N$1517,N1289,$B$5:$B$1517,"&lt;"&amp;B1289)+COUNTIFS($N$5:$N$1517,N1289,$B$5:$B$1517,B1289,$C$5:$C$1517,"&lt;"&amp;C1289),"")</f>
        <v/>
      </c>
      <c r="T1289" s="8" t="n">
        <f aca="false">IF(O1289&gt;=Models!$G$8,1+COUNTIF($O$5:$O$1517,"&gt;"&amp;O1289)+COUNTIFS($O$5:$O$1517,O1289,$B$5:$B$1517,"&lt;"&amp;B1289)+COUNTIFS($O$5:$O$1517,O1289,$B$5:$B$1517,B1289,$C$5:$C$1517,"&lt;"&amp;C1289),"")</f>
        <v>706</v>
      </c>
      <c r="U1289" s="8" t="n">
        <f aca="false">IF($K1289=1,COUNTIFS($L$5:$L$1517,"&gt;="&amp;L1289,$K$5:$K$1517,1)/COUNTIF($L$5:$L$1517,"&gt;="&amp;L1289),0)</f>
        <v>0.122648607975922</v>
      </c>
      <c r="V1289" s="8" t="n">
        <f aca="false">IF($K1289=1,COUNTIFS($M$5:$M$1517,"&gt;="&amp;M1289,$K$5:$K$1517,1)/COUNTIF($M$5:$M$1517,"&gt;="&amp;M1289),0)</f>
        <v>0.186528497409326</v>
      </c>
      <c r="W1289" s="8" t="n">
        <f aca="false">IF($K1289=1,COUNTIFS($N$5:$N$1517,"&gt;="&amp;N1289,$K$5:$K$1517,1)/COUNTIF($N$5:$N$1517,"&gt;="&amp;N1289),0)</f>
        <v>0.333333333333333</v>
      </c>
      <c r="X1289" s="8" t="n">
        <f aca="false">IF($K1289=1,COUNTIFS($O$5:$O$1517,"&gt;="&amp;O1289,$K$5:$K$1517,1)/COUNTIF($O$5:$O$1517,"&gt;="&amp;O1289),0)</f>
        <v>0.12491738268341</v>
      </c>
      <c r="Y1289" s="8" t="n">
        <f aca="false">IF($K1289=1,COUNTIFS($P$5:$P$1517,"&gt;="&amp;P1289,$K$5:$K$1517,1)/COUNTIF($P$5:$P$1517,"&gt;="&amp;P1289),0)</f>
        <v>0.333333333333333</v>
      </c>
      <c r="Z1289" s="8" t="n">
        <f aca="false">(L1289-$K1289)^2</f>
        <v>0.786898507329</v>
      </c>
      <c r="AA1289" s="8" t="n">
        <f aca="false">(M1289-$K1289)^2</f>
        <v>0.665511692521</v>
      </c>
      <c r="AB1289" s="8" t="n">
        <f aca="false">(N1289-$K1289)^2</f>
        <v>0.586780512256</v>
      </c>
      <c r="AC1289" s="8" t="n">
        <f aca="false">(O1289-$K1289)^2</f>
        <v>0.798908829489</v>
      </c>
      <c r="AD1289" s="8" t="n">
        <f aca="false">(P1289-$K1289)^2</f>
        <v>0.555390110025</v>
      </c>
      <c r="AE1289" s="8" t="n">
        <f aca="false">MIN(INT(ROUND(N1289*1000000,0)/100000),9)</f>
        <v>2</v>
      </c>
      <c r="AF1289" s="8" t="n">
        <f aca="false">MIN(INT(ROUND(P1289*1000000,0)/100000),9)</f>
        <v>2</v>
      </c>
    </row>
    <row r="1290" customFormat="false" ht="15" hidden="false" customHeight="false" outlineLevel="0" collapsed="false">
      <c r="A1290" s="4" t="n">
        <v>1286</v>
      </c>
      <c r="B1290" s="4" t="n">
        <v>915</v>
      </c>
      <c r="C1290" s="4" t="n">
        <v>3</v>
      </c>
      <c r="D1290" s="11" t="n">
        <v>46143</v>
      </c>
      <c r="E1290" s="4" t="s">
        <v>202</v>
      </c>
      <c r="F1290" s="4" t="s">
        <v>206</v>
      </c>
      <c r="G1290" s="4" t="n">
        <v>5</v>
      </c>
      <c r="H1290" s="4" t="n">
        <v>0</v>
      </c>
      <c r="I1290" s="4" t="n">
        <v>0</v>
      </c>
      <c r="J1290" s="4" t="n">
        <v>1230</v>
      </c>
      <c r="K1290" s="4" t="n">
        <v>1</v>
      </c>
      <c r="L1290" s="12" t="n">
        <v>0.607876</v>
      </c>
      <c r="M1290" s="12" t="n">
        <v>0.092063</v>
      </c>
      <c r="N1290" s="12" t="n">
        <v>0.101794</v>
      </c>
      <c r="O1290" s="12" t="n">
        <v>0.106183</v>
      </c>
      <c r="P1290" s="12" t="n">
        <v>0.107929</v>
      </c>
      <c r="Q1290" s="0" t="str">
        <f aca="false">IF(L1290&gt;=Models!$G$5,1+COUNTIF($L$5:$L$1517,"&gt;"&amp;L1290)+COUNTIFS($L$5:$L$1517,L1290,$B$5:$B$1517,"&lt;"&amp;B1290)+COUNTIFS($L$5:$L$1517,L1290,$B$5:$B$1517,B1290,$C$5:$C$1517,"&lt;"&amp;C1290),"")</f>
        <v/>
      </c>
      <c r="R1290" s="0" t="str">
        <f aca="false">IF(M1290&gt;=Models!$G$6,1+COUNTIF($M$5:$M$1517,"&gt;"&amp;M1290)+COUNTIFS($M$5:$M$1517,M1290,$B$5:$B$1517,"&lt;"&amp;B1290)+COUNTIFS($M$5:$M$1517,M1290,$B$5:$B$1517,B1290,$C$5:$C$1517,"&lt;"&amp;C1290),"")</f>
        <v/>
      </c>
      <c r="S1290" s="0" t="str">
        <f aca="false">IF(N1290&gt;=Models!$G$7,1+COUNTIF($N$5:$N$1517,"&gt;"&amp;N1290)+COUNTIFS($N$5:$N$1517,N1290,$B$5:$B$1517,"&lt;"&amp;B1290)+COUNTIFS($N$5:$N$1517,N1290,$B$5:$B$1517,B1290,$C$5:$C$1517,"&lt;"&amp;C1290),"")</f>
        <v/>
      </c>
      <c r="T1290" s="8" t="n">
        <f aca="false">IF(O1290&gt;=Models!$G$8,1+COUNTIF($O$5:$O$1517,"&gt;"&amp;O1290)+COUNTIFS($O$5:$O$1517,O1290,$B$5:$B$1517,"&lt;"&amp;B1290)+COUNTIFS($O$5:$O$1517,O1290,$B$5:$B$1517,B1290,$C$5:$C$1517,"&lt;"&amp;C1290),"")</f>
        <v>710</v>
      </c>
      <c r="U1290" s="8" t="n">
        <f aca="false">IF($K1290=1,COUNTIFS($L$5:$L$1517,"&gt;="&amp;L1290,$K$5:$K$1517,1)/COUNTIF($L$5:$L$1517,"&gt;="&amp;L1290),0)</f>
        <v>0.128249566724437</v>
      </c>
      <c r="V1290" s="8" t="n">
        <f aca="false">IF($K1290=1,COUNTIFS($M$5:$M$1517,"&gt;="&amp;M1290,$K$5:$K$1517,1)/COUNTIF($M$5:$M$1517,"&gt;="&amp;M1290),0)</f>
        <v>0.12491738268341</v>
      </c>
      <c r="W1290" s="8" t="n">
        <f aca="false">IF($K1290=1,COUNTIFS($N$5:$N$1517,"&gt;="&amp;N1290,$K$5:$K$1517,1)/COUNTIF($N$5:$N$1517,"&gt;="&amp;N1290),0)</f>
        <v>0.190828402366864</v>
      </c>
      <c r="X1290" s="8" t="n">
        <f aca="false">IF($K1290=1,COUNTIFS($O$5:$O$1517,"&gt;="&amp;O1290,$K$5:$K$1517,1)/COUNTIF($O$5:$O$1517,"&gt;="&amp;O1290),0)</f>
        <v>0.12491738268341</v>
      </c>
      <c r="Y1290" s="8" t="n">
        <f aca="false">IF($K1290=1,COUNTIFS($P$5:$P$1517,"&gt;="&amp;P1290,$K$5:$K$1517,1)/COUNTIF($P$5:$P$1517,"&gt;="&amp;P1290),0)</f>
        <v>0.190828402366864</v>
      </c>
      <c r="Z1290" s="8" t="n">
        <f aca="false">(L1290-$K1290)^2</f>
        <v>0.153761231376</v>
      </c>
      <c r="AA1290" s="8" t="n">
        <f aca="false">(M1290-$K1290)^2</f>
        <v>0.824349595969</v>
      </c>
      <c r="AB1290" s="8" t="n">
        <f aca="false">(N1290-$K1290)^2</f>
        <v>0.806774018436</v>
      </c>
      <c r="AC1290" s="8" t="n">
        <f aca="false">(O1290-$K1290)^2</f>
        <v>0.798908829489</v>
      </c>
      <c r="AD1290" s="8" t="n">
        <f aca="false">(P1290-$K1290)^2</f>
        <v>0.795790669041</v>
      </c>
      <c r="AE1290" s="8" t="n">
        <f aca="false">MIN(INT(ROUND(N1290*1000000,0)/100000),9)</f>
        <v>1</v>
      </c>
      <c r="AF1290" s="8" t="n">
        <f aca="false">MIN(INT(ROUND(P1290*1000000,0)/100000),9)</f>
        <v>1</v>
      </c>
    </row>
    <row r="1291" customFormat="false" ht="15" hidden="false" customHeight="false" outlineLevel="0" collapsed="false">
      <c r="A1291" s="4" t="n">
        <v>1287</v>
      </c>
      <c r="B1291" s="4" t="n">
        <v>918</v>
      </c>
      <c r="C1291" s="4" t="n">
        <v>3</v>
      </c>
      <c r="D1291" s="11" t="n">
        <v>46143</v>
      </c>
      <c r="E1291" s="4" t="s">
        <v>203</v>
      </c>
      <c r="F1291" s="4" t="s">
        <v>209</v>
      </c>
      <c r="G1291" s="4" t="n">
        <v>1</v>
      </c>
      <c r="H1291" s="4" t="n">
        <v>3</v>
      </c>
      <c r="I1291" s="4" t="n">
        <v>0</v>
      </c>
      <c r="J1291" s="4" t="n">
        <v>384</v>
      </c>
      <c r="K1291" s="4" t="n">
        <v>0</v>
      </c>
      <c r="L1291" s="12" t="n">
        <v>0.16694</v>
      </c>
      <c r="M1291" s="12" t="n">
        <v>0.092063</v>
      </c>
      <c r="N1291" s="12" t="n">
        <v>0.148836</v>
      </c>
      <c r="O1291" s="12" t="n">
        <v>0.106183</v>
      </c>
      <c r="P1291" s="12" t="n">
        <v>0.160063</v>
      </c>
      <c r="Q1291" s="0" t="str">
        <f aca="false">IF(L1291&gt;=Models!$G$5,1+COUNTIF($L$5:$L$1517,"&gt;"&amp;L1291)+COUNTIFS($L$5:$L$1517,L1291,$B$5:$B$1517,"&lt;"&amp;B1291)+COUNTIFS($L$5:$L$1517,L1291,$B$5:$B$1517,B1291,$C$5:$C$1517,"&lt;"&amp;C1291),"")</f>
        <v/>
      </c>
      <c r="R1291" s="0" t="str">
        <f aca="false">IF(M1291&gt;=Models!$G$6,1+COUNTIF($M$5:$M$1517,"&gt;"&amp;M1291)+COUNTIFS($M$5:$M$1517,M1291,$B$5:$B$1517,"&lt;"&amp;B1291)+COUNTIFS($M$5:$M$1517,M1291,$B$5:$B$1517,B1291,$C$5:$C$1517,"&lt;"&amp;C1291),"")</f>
        <v/>
      </c>
      <c r="S1291" s="0" t="str">
        <f aca="false">IF(N1291&gt;=Models!$G$7,1+COUNTIF($N$5:$N$1517,"&gt;"&amp;N1291)+COUNTIFS($N$5:$N$1517,N1291,$B$5:$B$1517,"&lt;"&amp;B1291)+COUNTIFS($N$5:$N$1517,N1291,$B$5:$B$1517,B1291,$C$5:$C$1517,"&lt;"&amp;C1291),"")</f>
        <v/>
      </c>
      <c r="T1291" s="8" t="n">
        <f aca="false">IF(O1291&gt;=Models!$G$8,1+COUNTIF($O$5:$O$1517,"&gt;"&amp;O1291)+COUNTIFS($O$5:$O$1517,O1291,$B$5:$B$1517,"&lt;"&amp;B1291)+COUNTIFS($O$5:$O$1517,O1291,$B$5:$B$1517,B1291,$C$5:$C$1517,"&lt;"&amp;C1291),"")</f>
        <v>715</v>
      </c>
      <c r="U1291" s="8" t="n">
        <f aca="false">IF($K1291=1,COUNTIFS($L$5:$L$1517,"&gt;="&amp;L1291,$K$5:$K$1517,1)/COUNTIF($L$5:$L$1517,"&gt;="&amp;L1291),0)</f>
        <v>0</v>
      </c>
      <c r="V1291" s="8" t="n">
        <f aca="false">IF($K1291=1,COUNTIFS($M$5:$M$1517,"&gt;="&amp;M1291,$K$5:$K$1517,1)/COUNTIF($M$5:$M$1517,"&gt;="&amp;M1291),0)</f>
        <v>0</v>
      </c>
      <c r="W1291" s="8" t="n">
        <f aca="false">IF($K1291=1,COUNTIFS($N$5:$N$1517,"&gt;="&amp;N1291,$K$5:$K$1517,1)/COUNTIF($N$5:$N$1517,"&gt;="&amp;N1291),0)</f>
        <v>0</v>
      </c>
      <c r="X1291" s="8" t="n">
        <f aca="false">IF($K1291=1,COUNTIFS($O$5:$O$1517,"&gt;="&amp;O1291,$K$5:$K$1517,1)/COUNTIF($O$5:$O$1517,"&gt;="&amp;O1291),0)</f>
        <v>0</v>
      </c>
      <c r="Y1291" s="8" t="n">
        <f aca="false">IF($K1291=1,COUNTIFS($P$5:$P$1517,"&gt;="&amp;P1291,$K$5:$K$1517,1)/COUNTIF($P$5:$P$1517,"&gt;="&amp;P1291),0)</f>
        <v>0</v>
      </c>
      <c r="Z1291" s="8" t="n">
        <f aca="false">(L1291-$K1291)^2</f>
        <v>0.0278689636</v>
      </c>
      <c r="AA1291" s="8" t="n">
        <f aca="false">(M1291-$K1291)^2</f>
        <v>0.008475595969</v>
      </c>
      <c r="AB1291" s="8" t="n">
        <f aca="false">(N1291-$K1291)^2</f>
        <v>0.022152154896</v>
      </c>
      <c r="AC1291" s="8" t="n">
        <f aca="false">(O1291-$K1291)^2</f>
        <v>0.011274829489</v>
      </c>
      <c r="AD1291" s="8" t="n">
        <f aca="false">(P1291-$K1291)^2</f>
        <v>0.025620163969</v>
      </c>
      <c r="AE1291" s="8" t="n">
        <f aca="false">MIN(INT(ROUND(N1291*1000000,0)/100000),9)</f>
        <v>1</v>
      </c>
      <c r="AF1291" s="8" t="n">
        <f aca="false">MIN(INT(ROUND(P1291*1000000,0)/100000),9)</f>
        <v>1</v>
      </c>
    </row>
    <row r="1292" customFormat="false" ht="15" hidden="false" customHeight="false" outlineLevel="0" collapsed="false">
      <c r="A1292" s="4" t="n">
        <v>1288</v>
      </c>
      <c r="B1292" s="4" t="n">
        <v>920</v>
      </c>
      <c r="C1292" s="4" t="n">
        <v>3</v>
      </c>
      <c r="D1292" s="11" t="n">
        <v>46143</v>
      </c>
      <c r="E1292" s="4" t="s">
        <v>202</v>
      </c>
      <c r="F1292" s="4" t="s">
        <v>206</v>
      </c>
      <c r="G1292" s="4" t="n">
        <v>7</v>
      </c>
      <c r="H1292" s="4" t="n">
        <v>3</v>
      </c>
      <c r="I1292" s="4" t="n">
        <v>1</v>
      </c>
      <c r="J1292" s="4" t="n">
        <v>813</v>
      </c>
      <c r="K1292" s="4" t="n">
        <v>0</v>
      </c>
      <c r="L1292" s="12" t="n">
        <v>0.239233</v>
      </c>
      <c r="M1292" s="12" t="n">
        <v>0.184211</v>
      </c>
      <c r="N1292" s="12" t="n">
        <v>0.152828</v>
      </c>
      <c r="O1292" s="12" t="n">
        <v>0.106183</v>
      </c>
      <c r="P1292" s="12" t="n">
        <v>0.164502</v>
      </c>
      <c r="Q1292" s="0" t="str">
        <f aca="false">IF(L1292&gt;=Models!$G$5,1+COUNTIF($L$5:$L$1517,"&gt;"&amp;L1292)+COUNTIFS($L$5:$L$1517,L1292,$B$5:$B$1517,"&lt;"&amp;B1292)+COUNTIFS($L$5:$L$1517,L1292,$B$5:$B$1517,B1292,$C$5:$C$1517,"&lt;"&amp;C1292),"")</f>
        <v/>
      </c>
      <c r="R1292" s="8" t="n">
        <f aca="false">IF(M1292&gt;=Models!$G$6,1+COUNTIF($M$5:$M$1517,"&gt;"&amp;M1292)+COUNTIFS($M$5:$M$1517,M1292,$B$5:$B$1517,"&lt;"&amp;B1292)+COUNTIFS($M$5:$M$1517,M1292,$B$5:$B$1517,B1292,$C$5:$C$1517,"&lt;"&amp;C1292),"")</f>
        <v>80</v>
      </c>
      <c r="S1292" s="0" t="str">
        <f aca="false">IF(N1292&gt;=Models!$G$7,1+COUNTIF($N$5:$N$1517,"&gt;"&amp;N1292)+COUNTIFS($N$5:$N$1517,N1292,$B$5:$B$1517,"&lt;"&amp;B1292)+COUNTIFS($N$5:$N$1517,N1292,$B$5:$B$1517,B1292,$C$5:$C$1517,"&lt;"&amp;C1292),"")</f>
        <v/>
      </c>
      <c r="T1292" s="8" t="n">
        <f aca="false">IF(O1292&gt;=Models!$G$8,1+COUNTIF($O$5:$O$1517,"&gt;"&amp;O1292)+COUNTIFS($O$5:$O$1517,O1292,$B$5:$B$1517,"&lt;"&amp;B1292)+COUNTIFS($O$5:$O$1517,O1292,$B$5:$B$1517,B1292,$C$5:$C$1517,"&lt;"&amp;C1292),"")</f>
        <v>719</v>
      </c>
      <c r="U1292" s="8" t="n">
        <f aca="false">IF($K1292=1,COUNTIFS($L$5:$L$1517,"&gt;="&amp;L1292,$K$5:$K$1517,1)/COUNTIF($L$5:$L$1517,"&gt;="&amp;L1292),0)</f>
        <v>0</v>
      </c>
      <c r="V1292" s="8" t="n">
        <f aca="false">IF($K1292=1,COUNTIFS($M$5:$M$1517,"&gt;="&amp;M1292,$K$5:$K$1517,1)/COUNTIF($M$5:$M$1517,"&gt;="&amp;M1292),0)</f>
        <v>0</v>
      </c>
      <c r="W1292" s="8" t="n">
        <f aca="false">IF($K1292=1,COUNTIFS($N$5:$N$1517,"&gt;="&amp;N1292,$K$5:$K$1517,1)/COUNTIF($N$5:$N$1517,"&gt;="&amp;N1292),0)</f>
        <v>0</v>
      </c>
      <c r="X1292" s="8" t="n">
        <f aca="false">IF($K1292=1,COUNTIFS($O$5:$O$1517,"&gt;="&amp;O1292,$K$5:$K$1517,1)/COUNTIF($O$5:$O$1517,"&gt;="&amp;O1292),0)</f>
        <v>0</v>
      </c>
      <c r="Y1292" s="8" t="n">
        <f aca="false">IF($K1292=1,COUNTIFS($P$5:$P$1517,"&gt;="&amp;P1292,$K$5:$K$1517,1)/COUNTIF($P$5:$P$1517,"&gt;="&amp;P1292),0)</f>
        <v>0</v>
      </c>
      <c r="Z1292" s="8" t="n">
        <f aca="false">(L1292-$K1292)^2</f>
        <v>0.057232428289</v>
      </c>
      <c r="AA1292" s="8" t="n">
        <f aca="false">(M1292-$K1292)^2</f>
        <v>0.033933692521</v>
      </c>
      <c r="AB1292" s="8" t="n">
        <f aca="false">(N1292-$K1292)^2</f>
        <v>0.023356397584</v>
      </c>
      <c r="AC1292" s="8" t="n">
        <f aca="false">(O1292-$K1292)^2</f>
        <v>0.011274829489</v>
      </c>
      <c r="AD1292" s="8" t="n">
        <f aca="false">(P1292-$K1292)^2</f>
        <v>0.027060908004</v>
      </c>
      <c r="AE1292" s="8" t="n">
        <f aca="false">MIN(INT(ROUND(N1292*1000000,0)/100000),9)</f>
        <v>1</v>
      </c>
      <c r="AF1292" s="8" t="n">
        <f aca="false">MIN(INT(ROUND(P1292*1000000,0)/100000),9)</f>
        <v>1</v>
      </c>
    </row>
    <row r="1293" customFormat="false" ht="15" hidden="false" customHeight="false" outlineLevel="0" collapsed="false">
      <c r="A1293" s="4" t="n">
        <v>1289</v>
      </c>
      <c r="B1293" s="4" t="n">
        <v>926</v>
      </c>
      <c r="C1293" s="4" t="n">
        <v>3</v>
      </c>
      <c r="D1293" s="11" t="n">
        <v>46143</v>
      </c>
      <c r="E1293" s="4" t="s">
        <v>204</v>
      </c>
      <c r="F1293" s="4" t="s">
        <v>206</v>
      </c>
      <c r="G1293" s="4" t="n">
        <v>4</v>
      </c>
      <c r="H1293" s="4" t="n">
        <v>2</v>
      </c>
      <c r="I1293" s="4" t="n">
        <v>0</v>
      </c>
      <c r="J1293" s="4" t="n">
        <v>224.4</v>
      </c>
      <c r="K1293" s="4" t="n">
        <v>0</v>
      </c>
      <c r="L1293" s="12" t="n">
        <v>0.600344</v>
      </c>
      <c r="M1293" s="12" t="n">
        <v>0.092063</v>
      </c>
      <c r="N1293" s="12" t="n">
        <v>0.117879</v>
      </c>
      <c r="O1293" s="12" t="n">
        <v>0.106183</v>
      </c>
      <c r="P1293" s="12" t="n">
        <v>0.125707</v>
      </c>
      <c r="Q1293" s="0" t="str">
        <f aca="false">IF(L1293&gt;=Models!$G$5,1+COUNTIF($L$5:$L$1517,"&gt;"&amp;L1293)+COUNTIFS($L$5:$L$1517,L1293,$B$5:$B$1517,"&lt;"&amp;B1293)+COUNTIFS($L$5:$L$1517,L1293,$B$5:$B$1517,B1293,$C$5:$C$1517,"&lt;"&amp;C1293),"")</f>
        <v/>
      </c>
      <c r="R1293" s="0" t="str">
        <f aca="false">IF(M1293&gt;=Models!$G$6,1+COUNTIF($M$5:$M$1517,"&gt;"&amp;M1293)+COUNTIFS($M$5:$M$1517,M1293,$B$5:$B$1517,"&lt;"&amp;B1293)+COUNTIFS($M$5:$M$1517,M1293,$B$5:$B$1517,B1293,$C$5:$C$1517,"&lt;"&amp;C1293),"")</f>
        <v/>
      </c>
      <c r="S1293" s="0" t="str">
        <f aca="false">IF(N1293&gt;=Models!$G$7,1+COUNTIF($N$5:$N$1517,"&gt;"&amp;N1293)+COUNTIFS($N$5:$N$1517,N1293,$B$5:$B$1517,"&lt;"&amp;B1293)+COUNTIFS($N$5:$N$1517,N1293,$B$5:$B$1517,B1293,$C$5:$C$1517,"&lt;"&amp;C1293),"")</f>
        <v/>
      </c>
      <c r="T1293" s="8" t="n">
        <f aca="false">IF(O1293&gt;=Models!$G$8,1+COUNTIF($O$5:$O$1517,"&gt;"&amp;O1293)+COUNTIFS($O$5:$O$1517,O1293,$B$5:$B$1517,"&lt;"&amp;B1293)+COUNTIFS($O$5:$O$1517,O1293,$B$5:$B$1517,B1293,$C$5:$C$1517,"&lt;"&amp;C1293),"")</f>
        <v>723</v>
      </c>
      <c r="U1293" s="8" t="n">
        <f aca="false">IF($K1293=1,COUNTIFS($L$5:$L$1517,"&gt;="&amp;L1293,$K$5:$K$1517,1)/COUNTIF($L$5:$L$1517,"&gt;="&amp;L1293),0)</f>
        <v>0</v>
      </c>
      <c r="V1293" s="8" t="n">
        <f aca="false">IF($K1293=1,COUNTIFS($M$5:$M$1517,"&gt;="&amp;M1293,$K$5:$K$1517,1)/COUNTIF($M$5:$M$1517,"&gt;="&amp;M1293),0)</f>
        <v>0</v>
      </c>
      <c r="W1293" s="8" t="n">
        <f aca="false">IF($K1293=1,COUNTIFS($N$5:$N$1517,"&gt;="&amp;N1293,$K$5:$K$1517,1)/COUNTIF($N$5:$N$1517,"&gt;="&amp;N1293),0)</f>
        <v>0</v>
      </c>
      <c r="X1293" s="8" t="n">
        <f aca="false">IF($K1293=1,COUNTIFS($O$5:$O$1517,"&gt;="&amp;O1293,$K$5:$K$1517,1)/COUNTIF($O$5:$O$1517,"&gt;="&amp;O1293),0)</f>
        <v>0</v>
      </c>
      <c r="Y1293" s="8" t="n">
        <f aca="false">IF($K1293=1,COUNTIFS($P$5:$P$1517,"&gt;="&amp;P1293,$K$5:$K$1517,1)/COUNTIF($P$5:$P$1517,"&gt;="&amp;P1293),0)</f>
        <v>0</v>
      </c>
      <c r="Z1293" s="8" t="n">
        <f aca="false">(L1293-$K1293)^2</f>
        <v>0.360412918336</v>
      </c>
      <c r="AA1293" s="8" t="n">
        <f aca="false">(M1293-$K1293)^2</f>
        <v>0.008475595969</v>
      </c>
      <c r="AB1293" s="8" t="n">
        <f aca="false">(N1293-$K1293)^2</f>
        <v>0.013895458641</v>
      </c>
      <c r="AC1293" s="8" t="n">
        <f aca="false">(O1293-$K1293)^2</f>
        <v>0.011274829489</v>
      </c>
      <c r="AD1293" s="8" t="n">
        <f aca="false">(P1293-$K1293)^2</f>
        <v>0.015802249849</v>
      </c>
      <c r="AE1293" s="8" t="n">
        <f aca="false">MIN(INT(ROUND(N1293*1000000,0)/100000),9)</f>
        <v>1</v>
      </c>
      <c r="AF1293" s="8" t="n">
        <f aca="false">MIN(INT(ROUND(P1293*1000000,0)/100000),9)</f>
        <v>1</v>
      </c>
    </row>
    <row r="1294" customFormat="false" ht="15" hidden="false" customHeight="false" outlineLevel="0" collapsed="false">
      <c r="A1294" s="4" t="n">
        <v>1290</v>
      </c>
      <c r="B1294" s="4" t="n">
        <v>930</v>
      </c>
      <c r="C1294" s="4" t="n">
        <v>3</v>
      </c>
      <c r="D1294" s="11" t="n">
        <v>46143</v>
      </c>
      <c r="E1294" s="4" t="s">
        <v>204</v>
      </c>
      <c r="F1294" s="4" t="s">
        <v>208</v>
      </c>
      <c r="G1294" s="4" t="n">
        <v>1</v>
      </c>
      <c r="H1294" s="4" t="n">
        <v>11</v>
      </c>
      <c r="I1294" s="4" t="n">
        <v>0</v>
      </c>
      <c r="J1294" s="4" t="n">
        <v>117</v>
      </c>
      <c r="K1294" s="4" t="n">
        <v>0</v>
      </c>
      <c r="L1294" s="12" t="n">
        <v>0.39931</v>
      </c>
      <c r="M1294" s="12" t="n">
        <v>0.092063</v>
      </c>
      <c r="N1294" s="12" t="n">
        <v>0.159399</v>
      </c>
      <c r="O1294" s="12" t="n">
        <v>0.106183</v>
      </c>
      <c r="P1294" s="12" t="n">
        <v>0.171811</v>
      </c>
      <c r="Q1294" s="0" t="str">
        <f aca="false">IF(L1294&gt;=Models!$G$5,1+COUNTIF($L$5:$L$1517,"&gt;"&amp;L1294)+COUNTIFS($L$5:$L$1517,L1294,$B$5:$B$1517,"&lt;"&amp;B1294)+COUNTIFS($L$5:$L$1517,L1294,$B$5:$B$1517,B1294,$C$5:$C$1517,"&lt;"&amp;C1294),"")</f>
        <v/>
      </c>
      <c r="R1294" s="0" t="str">
        <f aca="false">IF(M1294&gt;=Models!$G$6,1+COUNTIF($M$5:$M$1517,"&gt;"&amp;M1294)+COUNTIFS($M$5:$M$1517,M1294,$B$5:$B$1517,"&lt;"&amp;B1294)+COUNTIFS($M$5:$M$1517,M1294,$B$5:$B$1517,B1294,$C$5:$C$1517,"&lt;"&amp;C1294),"")</f>
        <v/>
      </c>
      <c r="S1294" s="0" t="str">
        <f aca="false">IF(N1294&gt;=Models!$G$7,1+COUNTIF($N$5:$N$1517,"&gt;"&amp;N1294)+COUNTIFS($N$5:$N$1517,N1294,$B$5:$B$1517,"&lt;"&amp;B1294)+COUNTIFS($N$5:$N$1517,N1294,$B$5:$B$1517,B1294,$C$5:$C$1517,"&lt;"&amp;C1294),"")</f>
        <v/>
      </c>
      <c r="T1294" s="8" t="n">
        <f aca="false">IF(O1294&gt;=Models!$G$8,1+COUNTIF($O$5:$O$1517,"&gt;"&amp;O1294)+COUNTIFS($O$5:$O$1517,O1294,$B$5:$B$1517,"&lt;"&amp;B1294)+COUNTIFS($O$5:$O$1517,O1294,$B$5:$B$1517,B1294,$C$5:$C$1517,"&lt;"&amp;C1294),"")</f>
        <v>727</v>
      </c>
      <c r="U1294" s="8" t="n">
        <f aca="false">IF($K1294=1,COUNTIFS($L$5:$L$1517,"&gt;="&amp;L1294,$K$5:$K$1517,1)/COUNTIF($L$5:$L$1517,"&gt;="&amp;L1294),0)</f>
        <v>0</v>
      </c>
      <c r="V1294" s="8" t="n">
        <f aca="false">IF($K1294=1,COUNTIFS($M$5:$M$1517,"&gt;="&amp;M1294,$K$5:$K$1517,1)/COUNTIF($M$5:$M$1517,"&gt;="&amp;M1294),0)</f>
        <v>0</v>
      </c>
      <c r="W1294" s="8" t="n">
        <f aca="false">IF($K1294=1,COUNTIFS($N$5:$N$1517,"&gt;="&amp;N1294,$K$5:$K$1517,1)/COUNTIF($N$5:$N$1517,"&gt;="&amp;N1294),0)</f>
        <v>0</v>
      </c>
      <c r="X1294" s="8" t="n">
        <f aca="false">IF($K1294=1,COUNTIFS($O$5:$O$1517,"&gt;="&amp;O1294,$K$5:$K$1517,1)/COUNTIF($O$5:$O$1517,"&gt;="&amp;O1294),0)</f>
        <v>0</v>
      </c>
      <c r="Y1294" s="8" t="n">
        <f aca="false">IF($K1294=1,COUNTIFS($P$5:$P$1517,"&gt;="&amp;P1294,$K$5:$K$1517,1)/COUNTIF($P$5:$P$1517,"&gt;="&amp;P1294),0)</f>
        <v>0</v>
      </c>
      <c r="Z1294" s="8" t="n">
        <f aca="false">(L1294-$K1294)^2</f>
        <v>0.1594484761</v>
      </c>
      <c r="AA1294" s="8" t="n">
        <f aca="false">(M1294-$K1294)^2</f>
        <v>0.008475595969</v>
      </c>
      <c r="AB1294" s="8" t="n">
        <f aca="false">(N1294-$K1294)^2</f>
        <v>0.025408041201</v>
      </c>
      <c r="AC1294" s="8" t="n">
        <f aca="false">(O1294-$K1294)^2</f>
        <v>0.011274829489</v>
      </c>
      <c r="AD1294" s="8" t="n">
        <f aca="false">(P1294-$K1294)^2</f>
        <v>0.029519019721</v>
      </c>
      <c r="AE1294" s="8" t="n">
        <f aca="false">MIN(INT(ROUND(N1294*1000000,0)/100000),9)</f>
        <v>1</v>
      </c>
      <c r="AF1294" s="8" t="n">
        <f aca="false">MIN(INT(ROUND(P1294*1000000,0)/100000),9)</f>
        <v>1</v>
      </c>
    </row>
    <row r="1295" customFormat="false" ht="15" hidden="false" customHeight="false" outlineLevel="0" collapsed="false">
      <c r="A1295" s="4" t="n">
        <v>1291</v>
      </c>
      <c r="B1295" s="4" t="n">
        <v>934</v>
      </c>
      <c r="C1295" s="4" t="n">
        <v>3</v>
      </c>
      <c r="D1295" s="11" t="n">
        <v>46143</v>
      </c>
      <c r="E1295" s="4" t="s">
        <v>204</v>
      </c>
      <c r="F1295" s="4" t="s">
        <v>206</v>
      </c>
      <c r="G1295" s="4" t="n">
        <v>4</v>
      </c>
      <c r="H1295" s="4" t="n">
        <v>5</v>
      </c>
      <c r="I1295" s="4" t="n">
        <v>0</v>
      </c>
      <c r="J1295" s="4" t="n">
        <v>326.4</v>
      </c>
      <c r="K1295" s="4" t="n">
        <v>0</v>
      </c>
      <c r="L1295" s="12" t="n">
        <v>0.065704</v>
      </c>
      <c r="M1295" s="12" t="n">
        <v>0.092063</v>
      </c>
      <c r="N1295" s="12" t="n">
        <v>0.119834</v>
      </c>
      <c r="O1295" s="12" t="n">
        <v>0.106183</v>
      </c>
      <c r="P1295" s="12" t="n">
        <v>0.127872</v>
      </c>
      <c r="Q1295" s="0" t="str">
        <f aca="false">IF(L1295&gt;=Models!$G$5,1+COUNTIF($L$5:$L$1517,"&gt;"&amp;L1295)+COUNTIFS($L$5:$L$1517,L1295,$B$5:$B$1517,"&lt;"&amp;B1295)+COUNTIFS($L$5:$L$1517,L1295,$B$5:$B$1517,B1295,$C$5:$C$1517,"&lt;"&amp;C1295),"")</f>
        <v/>
      </c>
      <c r="R1295" s="0" t="str">
        <f aca="false">IF(M1295&gt;=Models!$G$6,1+COUNTIF($M$5:$M$1517,"&gt;"&amp;M1295)+COUNTIFS($M$5:$M$1517,M1295,$B$5:$B$1517,"&lt;"&amp;B1295)+COUNTIFS($M$5:$M$1517,M1295,$B$5:$B$1517,B1295,$C$5:$C$1517,"&lt;"&amp;C1295),"")</f>
        <v/>
      </c>
      <c r="S1295" s="0" t="str">
        <f aca="false">IF(N1295&gt;=Models!$G$7,1+COUNTIF($N$5:$N$1517,"&gt;"&amp;N1295)+COUNTIFS($N$5:$N$1517,N1295,$B$5:$B$1517,"&lt;"&amp;B1295)+COUNTIFS($N$5:$N$1517,N1295,$B$5:$B$1517,B1295,$C$5:$C$1517,"&lt;"&amp;C1295),"")</f>
        <v/>
      </c>
      <c r="T1295" s="8" t="n">
        <f aca="false">IF(O1295&gt;=Models!$G$8,1+COUNTIF($O$5:$O$1517,"&gt;"&amp;O1295)+COUNTIFS($O$5:$O$1517,O1295,$B$5:$B$1517,"&lt;"&amp;B1295)+COUNTIFS($O$5:$O$1517,O1295,$B$5:$B$1517,B1295,$C$5:$C$1517,"&lt;"&amp;C1295),"")</f>
        <v>731</v>
      </c>
      <c r="U1295" s="8" t="n">
        <f aca="false">IF($K1295=1,COUNTIFS($L$5:$L$1517,"&gt;="&amp;L1295,$K$5:$K$1517,1)/COUNTIF($L$5:$L$1517,"&gt;="&amp;L1295),0)</f>
        <v>0</v>
      </c>
      <c r="V1295" s="8" t="n">
        <f aca="false">IF($K1295=1,COUNTIFS($M$5:$M$1517,"&gt;="&amp;M1295,$K$5:$K$1517,1)/COUNTIF($M$5:$M$1517,"&gt;="&amp;M1295),0)</f>
        <v>0</v>
      </c>
      <c r="W1295" s="8" t="n">
        <f aca="false">IF($K1295=1,COUNTIFS($N$5:$N$1517,"&gt;="&amp;N1295,$K$5:$K$1517,1)/COUNTIF($N$5:$N$1517,"&gt;="&amp;N1295),0)</f>
        <v>0</v>
      </c>
      <c r="X1295" s="8" t="n">
        <f aca="false">IF($K1295=1,COUNTIFS($O$5:$O$1517,"&gt;="&amp;O1295,$K$5:$K$1517,1)/COUNTIF($O$5:$O$1517,"&gt;="&amp;O1295),0)</f>
        <v>0</v>
      </c>
      <c r="Y1295" s="8" t="n">
        <f aca="false">IF($K1295=1,COUNTIFS($P$5:$P$1517,"&gt;="&amp;P1295,$K$5:$K$1517,1)/COUNTIF($P$5:$P$1517,"&gt;="&amp;P1295),0)</f>
        <v>0</v>
      </c>
      <c r="Z1295" s="8" t="n">
        <f aca="false">(L1295-$K1295)^2</f>
        <v>0.004317015616</v>
      </c>
      <c r="AA1295" s="8" t="n">
        <f aca="false">(M1295-$K1295)^2</f>
        <v>0.008475595969</v>
      </c>
      <c r="AB1295" s="8" t="n">
        <f aca="false">(N1295-$K1295)^2</f>
        <v>0.014360187556</v>
      </c>
      <c r="AC1295" s="8" t="n">
        <f aca="false">(O1295-$K1295)^2</f>
        <v>0.011274829489</v>
      </c>
      <c r="AD1295" s="8" t="n">
        <f aca="false">(P1295-$K1295)^2</f>
        <v>0.016351248384</v>
      </c>
      <c r="AE1295" s="8" t="n">
        <f aca="false">MIN(INT(ROUND(N1295*1000000,0)/100000),9)</f>
        <v>1</v>
      </c>
      <c r="AF1295" s="8" t="n">
        <f aca="false">MIN(INT(ROUND(P1295*1000000,0)/100000),9)</f>
        <v>1</v>
      </c>
    </row>
    <row r="1296" customFormat="false" ht="15" hidden="false" customHeight="false" outlineLevel="0" collapsed="false">
      <c r="A1296" s="4" t="n">
        <v>1292</v>
      </c>
      <c r="B1296" s="4" t="n">
        <v>935</v>
      </c>
      <c r="C1296" s="4" t="n">
        <v>3</v>
      </c>
      <c r="D1296" s="11" t="n">
        <v>46143</v>
      </c>
      <c r="E1296" s="4" t="s">
        <v>201</v>
      </c>
      <c r="F1296" s="4" t="s">
        <v>208</v>
      </c>
      <c r="G1296" s="4" t="n">
        <v>11</v>
      </c>
      <c r="H1296" s="4" t="n">
        <v>2</v>
      </c>
      <c r="I1296" s="4" t="n">
        <v>0</v>
      </c>
      <c r="J1296" s="4" t="n">
        <v>29488.2</v>
      </c>
      <c r="K1296" s="4" t="n">
        <v>0</v>
      </c>
      <c r="L1296" s="12" t="n">
        <v>0.805474</v>
      </c>
      <c r="M1296" s="12" t="n">
        <v>0.092063</v>
      </c>
      <c r="N1296" s="12" t="n">
        <v>0.012844</v>
      </c>
      <c r="O1296" s="12" t="n">
        <v>0.106183</v>
      </c>
      <c r="P1296" s="12" t="n">
        <v>0.012376</v>
      </c>
      <c r="Q1296" s="0" t="str">
        <f aca="false">IF(L1296&gt;=Models!$G$5,1+COUNTIF($L$5:$L$1517,"&gt;"&amp;L1296)+COUNTIFS($L$5:$L$1517,L1296,$B$5:$B$1517,"&lt;"&amp;B1296)+COUNTIFS($L$5:$L$1517,L1296,$B$5:$B$1517,B1296,$C$5:$C$1517,"&lt;"&amp;C1296),"")</f>
        <v/>
      </c>
      <c r="R1296" s="0" t="str">
        <f aca="false">IF(M1296&gt;=Models!$G$6,1+COUNTIF($M$5:$M$1517,"&gt;"&amp;M1296)+COUNTIFS($M$5:$M$1517,M1296,$B$5:$B$1517,"&lt;"&amp;B1296)+COUNTIFS($M$5:$M$1517,M1296,$B$5:$B$1517,B1296,$C$5:$C$1517,"&lt;"&amp;C1296),"")</f>
        <v/>
      </c>
      <c r="S1296" s="0" t="str">
        <f aca="false">IF(N1296&gt;=Models!$G$7,1+COUNTIF($N$5:$N$1517,"&gt;"&amp;N1296)+COUNTIFS($N$5:$N$1517,N1296,$B$5:$B$1517,"&lt;"&amp;B1296)+COUNTIFS($N$5:$N$1517,N1296,$B$5:$B$1517,B1296,$C$5:$C$1517,"&lt;"&amp;C1296),"")</f>
        <v/>
      </c>
      <c r="T1296" s="8" t="n">
        <f aca="false">IF(O1296&gt;=Models!$G$8,1+COUNTIF($O$5:$O$1517,"&gt;"&amp;O1296)+COUNTIFS($O$5:$O$1517,O1296,$B$5:$B$1517,"&lt;"&amp;B1296)+COUNTIFS($O$5:$O$1517,O1296,$B$5:$B$1517,B1296,$C$5:$C$1517,"&lt;"&amp;C1296),"")</f>
        <v>735</v>
      </c>
      <c r="U1296" s="8" t="n">
        <f aca="false">IF($K1296=1,COUNTIFS($L$5:$L$1517,"&gt;="&amp;L1296,$K$5:$K$1517,1)/COUNTIF($L$5:$L$1517,"&gt;="&amp;L1296),0)</f>
        <v>0</v>
      </c>
      <c r="V1296" s="8" t="n">
        <f aca="false">IF($K1296=1,COUNTIFS($M$5:$M$1517,"&gt;="&amp;M1296,$K$5:$K$1517,1)/COUNTIF($M$5:$M$1517,"&gt;="&amp;M1296),0)</f>
        <v>0</v>
      </c>
      <c r="W1296" s="8" t="n">
        <f aca="false">IF($K1296=1,COUNTIFS($N$5:$N$1517,"&gt;="&amp;N1296,$K$5:$K$1517,1)/COUNTIF($N$5:$N$1517,"&gt;="&amp;N1296),0)</f>
        <v>0</v>
      </c>
      <c r="X1296" s="8" t="n">
        <f aca="false">IF($K1296=1,COUNTIFS($O$5:$O$1517,"&gt;="&amp;O1296,$K$5:$K$1517,1)/COUNTIF($O$5:$O$1517,"&gt;="&amp;O1296),0)</f>
        <v>0</v>
      </c>
      <c r="Y1296" s="8" t="n">
        <f aca="false">IF($K1296=1,COUNTIFS($P$5:$P$1517,"&gt;="&amp;P1296,$K$5:$K$1517,1)/COUNTIF($P$5:$P$1517,"&gt;="&amp;P1296),0)</f>
        <v>0</v>
      </c>
      <c r="Z1296" s="8" t="n">
        <f aca="false">(L1296-$K1296)^2</f>
        <v>0.648788364676</v>
      </c>
      <c r="AA1296" s="8" t="n">
        <f aca="false">(M1296-$K1296)^2</f>
        <v>0.008475595969</v>
      </c>
      <c r="AB1296" s="8" t="n">
        <f aca="false">(N1296-$K1296)^2</f>
        <v>0.000164968336</v>
      </c>
      <c r="AC1296" s="8" t="n">
        <f aca="false">(O1296-$K1296)^2</f>
        <v>0.011274829489</v>
      </c>
      <c r="AD1296" s="8" t="n">
        <f aca="false">(P1296-$K1296)^2</f>
        <v>0.000153165376</v>
      </c>
      <c r="AE1296" s="8" t="n">
        <f aca="false">MIN(INT(ROUND(N1296*1000000,0)/100000),9)</f>
        <v>0</v>
      </c>
      <c r="AF1296" s="8" t="n">
        <f aca="false">MIN(INT(ROUND(P1296*1000000,0)/100000),9)</f>
        <v>0</v>
      </c>
    </row>
    <row r="1297" customFormat="false" ht="15" hidden="false" customHeight="false" outlineLevel="0" collapsed="false">
      <c r="A1297" s="4" t="n">
        <v>1293</v>
      </c>
      <c r="B1297" s="4" t="n">
        <v>937</v>
      </c>
      <c r="C1297" s="4" t="n">
        <v>3</v>
      </c>
      <c r="D1297" s="11" t="n">
        <v>46143</v>
      </c>
      <c r="E1297" s="4" t="s">
        <v>203</v>
      </c>
      <c r="F1297" s="4" t="s">
        <v>209</v>
      </c>
      <c r="G1297" s="4" t="n">
        <v>3</v>
      </c>
      <c r="H1297" s="4" t="n">
        <v>8</v>
      </c>
      <c r="I1297" s="4" t="n">
        <v>0</v>
      </c>
      <c r="J1297" s="4" t="n">
        <v>1315.8</v>
      </c>
      <c r="K1297" s="4" t="n">
        <v>0</v>
      </c>
      <c r="L1297" s="12" t="n">
        <v>0.62715</v>
      </c>
      <c r="M1297" s="12" t="n">
        <v>0.092063</v>
      </c>
      <c r="N1297" s="12" t="n">
        <v>0.12599</v>
      </c>
      <c r="O1297" s="12" t="n">
        <v>0.106183</v>
      </c>
      <c r="P1297" s="12" t="n">
        <v>0.134695</v>
      </c>
      <c r="Q1297" s="0" t="str">
        <f aca="false">IF(L1297&gt;=Models!$G$5,1+COUNTIF($L$5:$L$1517,"&gt;"&amp;L1297)+COUNTIFS($L$5:$L$1517,L1297,$B$5:$B$1517,"&lt;"&amp;B1297)+COUNTIFS($L$5:$L$1517,L1297,$B$5:$B$1517,B1297,$C$5:$C$1517,"&lt;"&amp;C1297),"")</f>
        <v/>
      </c>
      <c r="R1297" s="0" t="str">
        <f aca="false">IF(M1297&gt;=Models!$G$6,1+COUNTIF($M$5:$M$1517,"&gt;"&amp;M1297)+COUNTIFS($M$5:$M$1517,M1297,$B$5:$B$1517,"&lt;"&amp;B1297)+COUNTIFS($M$5:$M$1517,M1297,$B$5:$B$1517,B1297,$C$5:$C$1517,"&lt;"&amp;C1297),"")</f>
        <v/>
      </c>
      <c r="S1297" s="0" t="str">
        <f aca="false">IF(N1297&gt;=Models!$G$7,1+COUNTIF($N$5:$N$1517,"&gt;"&amp;N1297)+COUNTIFS($N$5:$N$1517,N1297,$B$5:$B$1517,"&lt;"&amp;B1297)+COUNTIFS($N$5:$N$1517,N1297,$B$5:$B$1517,B1297,$C$5:$C$1517,"&lt;"&amp;C1297),"")</f>
        <v/>
      </c>
      <c r="T1297" s="8" t="n">
        <f aca="false">IF(O1297&gt;=Models!$G$8,1+COUNTIF($O$5:$O$1517,"&gt;"&amp;O1297)+COUNTIFS($O$5:$O$1517,O1297,$B$5:$B$1517,"&lt;"&amp;B1297)+COUNTIFS($O$5:$O$1517,O1297,$B$5:$B$1517,B1297,$C$5:$C$1517,"&lt;"&amp;C1297),"")</f>
        <v>739</v>
      </c>
      <c r="U1297" s="8" t="n">
        <f aca="false">IF($K1297=1,COUNTIFS($L$5:$L$1517,"&gt;="&amp;L1297,$K$5:$K$1517,1)/COUNTIF($L$5:$L$1517,"&gt;="&amp;L1297),0)</f>
        <v>0</v>
      </c>
      <c r="V1297" s="8" t="n">
        <f aca="false">IF($K1297=1,COUNTIFS($M$5:$M$1517,"&gt;="&amp;M1297,$K$5:$K$1517,1)/COUNTIF($M$5:$M$1517,"&gt;="&amp;M1297),0)</f>
        <v>0</v>
      </c>
      <c r="W1297" s="8" t="n">
        <f aca="false">IF($K1297=1,COUNTIFS($N$5:$N$1517,"&gt;="&amp;N1297,$K$5:$K$1517,1)/COUNTIF($N$5:$N$1517,"&gt;="&amp;N1297),0)</f>
        <v>0</v>
      </c>
      <c r="X1297" s="8" t="n">
        <f aca="false">IF($K1297=1,COUNTIFS($O$5:$O$1517,"&gt;="&amp;O1297,$K$5:$K$1517,1)/COUNTIF($O$5:$O$1517,"&gt;="&amp;O1297),0)</f>
        <v>0</v>
      </c>
      <c r="Y1297" s="8" t="n">
        <f aca="false">IF($K1297=1,COUNTIFS($P$5:$P$1517,"&gt;="&amp;P1297,$K$5:$K$1517,1)/COUNTIF($P$5:$P$1517,"&gt;="&amp;P1297),0)</f>
        <v>0</v>
      </c>
      <c r="Z1297" s="8" t="n">
        <f aca="false">(L1297-$K1297)^2</f>
        <v>0.3933171225</v>
      </c>
      <c r="AA1297" s="8" t="n">
        <f aca="false">(M1297-$K1297)^2</f>
        <v>0.008475595969</v>
      </c>
      <c r="AB1297" s="8" t="n">
        <f aca="false">(N1297-$K1297)^2</f>
        <v>0.0158734801</v>
      </c>
      <c r="AC1297" s="8" t="n">
        <f aca="false">(O1297-$K1297)^2</f>
        <v>0.011274829489</v>
      </c>
      <c r="AD1297" s="8" t="n">
        <f aca="false">(P1297-$K1297)^2</f>
        <v>0.018142743025</v>
      </c>
      <c r="AE1297" s="8" t="n">
        <f aca="false">MIN(INT(ROUND(N1297*1000000,0)/100000),9)</f>
        <v>1</v>
      </c>
      <c r="AF1297" s="8" t="n">
        <f aca="false">MIN(INT(ROUND(P1297*1000000,0)/100000),9)</f>
        <v>1</v>
      </c>
    </row>
    <row r="1298" customFormat="false" ht="15" hidden="false" customHeight="false" outlineLevel="0" collapsed="false">
      <c r="A1298" s="4" t="n">
        <v>1294</v>
      </c>
      <c r="B1298" s="4" t="n">
        <v>942</v>
      </c>
      <c r="C1298" s="4" t="n">
        <v>3</v>
      </c>
      <c r="D1298" s="11" t="n">
        <v>46143</v>
      </c>
      <c r="E1298" s="4" t="s">
        <v>203</v>
      </c>
      <c r="F1298" s="4" t="s">
        <v>209</v>
      </c>
      <c r="G1298" s="4" t="n">
        <v>4</v>
      </c>
      <c r="H1298" s="4" t="n">
        <v>7</v>
      </c>
      <c r="I1298" s="4" t="n">
        <v>0</v>
      </c>
      <c r="J1298" s="4" t="n">
        <v>381</v>
      </c>
      <c r="K1298" s="4" t="n">
        <v>0</v>
      </c>
      <c r="L1298" s="12" t="n">
        <v>0.711485</v>
      </c>
      <c r="M1298" s="12" t="n">
        <v>0.092063</v>
      </c>
      <c r="N1298" s="12" t="n">
        <v>0.121235</v>
      </c>
      <c r="O1298" s="12" t="n">
        <v>0.106183</v>
      </c>
      <c r="P1298" s="12" t="n">
        <v>0.129424</v>
      </c>
      <c r="Q1298" s="0" t="str">
        <f aca="false">IF(L1298&gt;=Models!$G$5,1+COUNTIF($L$5:$L$1517,"&gt;"&amp;L1298)+COUNTIFS($L$5:$L$1517,L1298,$B$5:$B$1517,"&lt;"&amp;B1298)+COUNTIFS($L$5:$L$1517,L1298,$B$5:$B$1517,B1298,$C$5:$C$1517,"&lt;"&amp;C1298),"")</f>
        <v/>
      </c>
      <c r="R1298" s="0" t="str">
        <f aca="false">IF(M1298&gt;=Models!$G$6,1+COUNTIF($M$5:$M$1517,"&gt;"&amp;M1298)+COUNTIFS($M$5:$M$1517,M1298,$B$5:$B$1517,"&lt;"&amp;B1298)+COUNTIFS($M$5:$M$1517,M1298,$B$5:$B$1517,B1298,$C$5:$C$1517,"&lt;"&amp;C1298),"")</f>
        <v/>
      </c>
      <c r="S1298" s="0" t="str">
        <f aca="false">IF(N1298&gt;=Models!$G$7,1+COUNTIF($N$5:$N$1517,"&gt;"&amp;N1298)+COUNTIFS($N$5:$N$1517,N1298,$B$5:$B$1517,"&lt;"&amp;B1298)+COUNTIFS($N$5:$N$1517,N1298,$B$5:$B$1517,B1298,$C$5:$C$1517,"&lt;"&amp;C1298),"")</f>
        <v/>
      </c>
      <c r="T1298" s="8" t="n">
        <f aca="false">IF(O1298&gt;=Models!$G$8,1+COUNTIF($O$5:$O$1517,"&gt;"&amp;O1298)+COUNTIFS($O$5:$O$1517,O1298,$B$5:$B$1517,"&lt;"&amp;B1298)+COUNTIFS($O$5:$O$1517,O1298,$B$5:$B$1517,B1298,$C$5:$C$1517,"&lt;"&amp;C1298),"")</f>
        <v>746</v>
      </c>
      <c r="U1298" s="8" t="n">
        <f aca="false">IF($K1298=1,COUNTIFS($L$5:$L$1517,"&gt;="&amp;L1298,$K$5:$K$1517,1)/COUNTIF($L$5:$L$1517,"&gt;="&amp;L1298),0)</f>
        <v>0</v>
      </c>
      <c r="V1298" s="8" t="n">
        <f aca="false">IF($K1298=1,COUNTIFS($M$5:$M$1517,"&gt;="&amp;M1298,$K$5:$K$1517,1)/COUNTIF($M$5:$M$1517,"&gt;="&amp;M1298),0)</f>
        <v>0</v>
      </c>
      <c r="W1298" s="8" t="n">
        <f aca="false">IF($K1298=1,COUNTIFS($N$5:$N$1517,"&gt;="&amp;N1298,$K$5:$K$1517,1)/COUNTIF($N$5:$N$1517,"&gt;="&amp;N1298),0)</f>
        <v>0</v>
      </c>
      <c r="X1298" s="8" t="n">
        <f aca="false">IF($K1298=1,COUNTIFS($O$5:$O$1517,"&gt;="&amp;O1298,$K$5:$K$1517,1)/COUNTIF($O$5:$O$1517,"&gt;="&amp;O1298),0)</f>
        <v>0</v>
      </c>
      <c r="Y1298" s="8" t="n">
        <f aca="false">IF($K1298=1,COUNTIFS($P$5:$P$1517,"&gt;="&amp;P1298,$K$5:$K$1517,1)/COUNTIF($P$5:$P$1517,"&gt;="&amp;P1298),0)</f>
        <v>0</v>
      </c>
      <c r="Z1298" s="8" t="n">
        <f aca="false">(L1298-$K1298)^2</f>
        <v>0.506210905225</v>
      </c>
      <c r="AA1298" s="8" t="n">
        <f aca="false">(M1298-$K1298)^2</f>
        <v>0.008475595969</v>
      </c>
      <c r="AB1298" s="8" t="n">
        <f aca="false">(N1298-$K1298)^2</f>
        <v>0.014697925225</v>
      </c>
      <c r="AC1298" s="8" t="n">
        <f aca="false">(O1298-$K1298)^2</f>
        <v>0.011274829489</v>
      </c>
      <c r="AD1298" s="8" t="n">
        <f aca="false">(P1298-$K1298)^2</f>
        <v>0.016750571776</v>
      </c>
      <c r="AE1298" s="8" t="n">
        <f aca="false">MIN(INT(ROUND(N1298*1000000,0)/100000),9)</f>
        <v>1</v>
      </c>
      <c r="AF1298" s="8" t="n">
        <f aca="false">MIN(INT(ROUND(P1298*1000000,0)/100000),9)</f>
        <v>1</v>
      </c>
    </row>
    <row r="1299" customFormat="false" ht="15" hidden="false" customHeight="false" outlineLevel="0" collapsed="false">
      <c r="A1299" s="4" t="n">
        <v>1295</v>
      </c>
      <c r="B1299" s="4" t="n">
        <v>943</v>
      </c>
      <c r="C1299" s="4" t="n">
        <v>3</v>
      </c>
      <c r="D1299" s="11" t="n">
        <v>46143</v>
      </c>
      <c r="E1299" s="4" t="s">
        <v>204</v>
      </c>
      <c r="F1299" s="4" t="s">
        <v>208</v>
      </c>
      <c r="G1299" s="4" t="n">
        <v>1</v>
      </c>
      <c r="H1299" s="4" t="n">
        <v>8</v>
      </c>
      <c r="I1299" s="4" t="n">
        <v>0</v>
      </c>
      <c r="J1299" s="4" t="n">
        <v>78</v>
      </c>
      <c r="K1299" s="4" t="n">
        <v>1</v>
      </c>
      <c r="L1299" s="12" t="n">
        <v>0.927249</v>
      </c>
      <c r="M1299" s="12" t="n">
        <v>0.092063</v>
      </c>
      <c r="N1299" s="12" t="n">
        <v>0.156432</v>
      </c>
      <c r="O1299" s="12" t="n">
        <v>0.106183</v>
      </c>
      <c r="P1299" s="12" t="n">
        <v>0.16851</v>
      </c>
      <c r="Q1299" s="0" t="str">
        <f aca="false">IF(L1299&gt;=Models!$G$5,1+COUNTIF($L$5:$L$1517,"&gt;"&amp;L1299)+COUNTIFS($L$5:$L$1517,L1299,$B$5:$B$1517,"&lt;"&amp;B1299)+COUNTIFS($L$5:$L$1517,L1299,$B$5:$B$1517,B1299,$C$5:$C$1517,"&lt;"&amp;C1299),"")</f>
        <v/>
      </c>
      <c r="R1299" s="0" t="str">
        <f aca="false">IF(M1299&gt;=Models!$G$6,1+COUNTIF($M$5:$M$1517,"&gt;"&amp;M1299)+COUNTIFS($M$5:$M$1517,M1299,$B$5:$B$1517,"&lt;"&amp;B1299)+COUNTIFS($M$5:$M$1517,M1299,$B$5:$B$1517,B1299,$C$5:$C$1517,"&lt;"&amp;C1299),"")</f>
        <v/>
      </c>
      <c r="S1299" s="0" t="str">
        <f aca="false">IF(N1299&gt;=Models!$G$7,1+COUNTIF($N$5:$N$1517,"&gt;"&amp;N1299)+COUNTIFS($N$5:$N$1517,N1299,$B$5:$B$1517,"&lt;"&amp;B1299)+COUNTIFS($N$5:$N$1517,N1299,$B$5:$B$1517,B1299,$C$5:$C$1517,"&lt;"&amp;C1299),"")</f>
        <v/>
      </c>
      <c r="T1299" s="8" t="n">
        <f aca="false">IF(O1299&gt;=Models!$G$8,1+COUNTIF($O$5:$O$1517,"&gt;"&amp;O1299)+COUNTIFS($O$5:$O$1517,O1299,$B$5:$B$1517,"&lt;"&amp;B1299)+COUNTIFS($O$5:$O$1517,O1299,$B$5:$B$1517,B1299,$C$5:$C$1517,"&lt;"&amp;C1299),"")</f>
        <v>750</v>
      </c>
      <c r="U1299" s="8" t="n">
        <f aca="false">IF($K1299=1,COUNTIFS($L$5:$L$1517,"&gt;="&amp;L1299,$K$5:$K$1517,1)/COUNTIF($L$5:$L$1517,"&gt;="&amp;L1299),0)</f>
        <v>0.139130434782609</v>
      </c>
      <c r="V1299" s="8" t="n">
        <f aca="false">IF($K1299=1,COUNTIFS($M$5:$M$1517,"&gt;="&amp;M1299,$K$5:$K$1517,1)/COUNTIF($M$5:$M$1517,"&gt;="&amp;M1299),0)</f>
        <v>0.12491738268341</v>
      </c>
      <c r="W1299" s="8" t="n">
        <f aca="false">IF($K1299=1,COUNTIFS($N$5:$N$1517,"&gt;="&amp;N1299,$K$5:$K$1517,1)/COUNTIF($N$5:$N$1517,"&gt;="&amp;N1299),0)</f>
        <v>0.305389221556886</v>
      </c>
      <c r="X1299" s="8" t="n">
        <f aca="false">IF($K1299=1,COUNTIFS($O$5:$O$1517,"&gt;="&amp;O1299,$K$5:$K$1517,1)/COUNTIF($O$5:$O$1517,"&gt;="&amp;O1299),0)</f>
        <v>0.12491738268341</v>
      </c>
      <c r="Y1299" s="8" t="n">
        <f aca="false">IF($K1299=1,COUNTIFS($P$5:$P$1517,"&gt;="&amp;P1299,$K$5:$K$1517,1)/COUNTIF($P$5:$P$1517,"&gt;="&amp;P1299),0)</f>
        <v>0.305389221556886</v>
      </c>
      <c r="Z1299" s="8" t="n">
        <f aca="false">(L1299-$K1299)^2</f>
        <v>0.005292708001</v>
      </c>
      <c r="AA1299" s="8" t="n">
        <f aca="false">(M1299-$K1299)^2</f>
        <v>0.824349595969</v>
      </c>
      <c r="AB1299" s="8" t="n">
        <f aca="false">(N1299-$K1299)^2</f>
        <v>0.711606970624</v>
      </c>
      <c r="AC1299" s="8" t="n">
        <f aca="false">(O1299-$K1299)^2</f>
        <v>0.798908829489</v>
      </c>
      <c r="AD1299" s="8" t="n">
        <f aca="false">(P1299-$K1299)^2</f>
        <v>0.6913756201</v>
      </c>
      <c r="AE1299" s="8" t="n">
        <f aca="false">MIN(INT(ROUND(N1299*1000000,0)/100000),9)</f>
        <v>1</v>
      </c>
      <c r="AF1299" s="8" t="n">
        <f aca="false">MIN(INT(ROUND(P1299*1000000,0)/100000),9)</f>
        <v>1</v>
      </c>
    </row>
    <row r="1300" customFormat="false" ht="15" hidden="false" customHeight="false" outlineLevel="0" collapsed="false">
      <c r="A1300" s="4" t="n">
        <v>1296</v>
      </c>
      <c r="B1300" s="4" t="n">
        <v>950</v>
      </c>
      <c r="C1300" s="4" t="n">
        <v>3</v>
      </c>
      <c r="D1300" s="11" t="n">
        <v>46143</v>
      </c>
      <c r="E1300" s="4" t="s">
        <v>202</v>
      </c>
      <c r="F1300" s="4" t="s">
        <v>208</v>
      </c>
      <c r="G1300" s="4" t="n">
        <v>3</v>
      </c>
      <c r="H1300" s="4" t="n">
        <v>4</v>
      </c>
      <c r="I1300" s="4" t="n">
        <v>0</v>
      </c>
      <c r="J1300" s="4" t="n">
        <v>5803.8</v>
      </c>
      <c r="K1300" s="4" t="n">
        <v>0</v>
      </c>
      <c r="L1300" s="12" t="n">
        <v>0.225123</v>
      </c>
      <c r="M1300" s="12" t="n">
        <v>0.092063</v>
      </c>
      <c r="N1300" s="12" t="n">
        <v>0.097065</v>
      </c>
      <c r="O1300" s="12" t="n">
        <v>0.106183</v>
      </c>
      <c r="P1300" s="12" t="n">
        <v>0.102715</v>
      </c>
      <c r="Q1300" s="0" t="str">
        <f aca="false">IF(L1300&gt;=Models!$G$5,1+COUNTIF($L$5:$L$1517,"&gt;"&amp;L1300)+COUNTIFS($L$5:$L$1517,L1300,$B$5:$B$1517,"&lt;"&amp;B1300)+COUNTIFS($L$5:$L$1517,L1300,$B$5:$B$1517,B1300,$C$5:$C$1517,"&lt;"&amp;C1300),"")</f>
        <v/>
      </c>
      <c r="R1300" s="0" t="str">
        <f aca="false">IF(M1300&gt;=Models!$G$6,1+COUNTIF($M$5:$M$1517,"&gt;"&amp;M1300)+COUNTIFS($M$5:$M$1517,M1300,$B$5:$B$1517,"&lt;"&amp;B1300)+COUNTIFS($M$5:$M$1517,M1300,$B$5:$B$1517,B1300,$C$5:$C$1517,"&lt;"&amp;C1300),"")</f>
        <v/>
      </c>
      <c r="S1300" s="0" t="str">
        <f aca="false">IF(N1300&gt;=Models!$G$7,1+COUNTIF($N$5:$N$1517,"&gt;"&amp;N1300)+COUNTIFS($N$5:$N$1517,N1300,$B$5:$B$1517,"&lt;"&amp;B1300)+COUNTIFS($N$5:$N$1517,N1300,$B$5:$B$1517,B1300,$C$5:$C$1517,"&lt;"&amp;C1300),"")</f>
        <v/>
      </c>
      <c r="T1300" s="8" t="n">
        <f aca="false">IF(O1300&gt;=Models!$G$8,1+COUNTIF($O$5:$O$1517,"&gt;"&amp;O1300)+COUNTIFS($O$5:$O$1517,O1300,$B$5:$B$1517,"&lt;"&amp;B1300)+COUNTIFS($O$5:$O$1517,O1300,$B$5:$B$1517,B1300,$C$5:$C$1517,"&lt;"&amp;C1300),"")</f>
        <v>757</v>
      </c>
      <c r="U1300" s="8" t="n">
        <f aca="false">IF($K1300=1,COUNTIFS($L$5:$L$1517,"&gt;="&amp;L1300,$K$5:$K$1517,1)/COUNTIF($L$5:$L$1517,"&gt;="&amp;L1300),0)</f>
        <v>0</v>
      </c>
      <c r="V1300" s="8" t="n">
        <f aca="false">IF($K1300=1,COUNTIFS($M$5:$M$1517,"&gt;="&amp;M1300,$K$5:$K$1517,1)/COUNTIF($M$5:$M$1517,"&gt;="&amp;M1300),0)</f>
        <v>0</v>
      </c>
      <c r="W1300" s="8" t="n">
        <f aca="false">IF($K1300=1,COUNTIFS($N$5:$N$1517,"&gt;="&amp;N1300,$K$5:$K$1517,1)/COUNTIF($N$5:$N$1517,"&gt;="&amp;N1300),0)</f>
        <v>0</v>
      </c>
      <c r="X1300" s="8" t="n">
        <f aca="false">IF($K1300=1,COUNTIFS($O$5:$O$1517,"&gt;="&amp;O1300,$K$5:$K$1517,1)/COUNTIF($O$5:$O$1517,"&gt;="&amp;O1300),0)</f>
        <v>0</v>
      </c>
      <c r="Y1300" s="8" t="n">
        <f aca="false">IF($K1300=1,COUNTIFS($P$5:$P$1517,"&gt;="&amp;P1300,$K$5:$K$1517,1)/COUNTIF($P$5:$P$1517,"&gt;="&amp;P1300),0)</f>
        <v>0</v>
      </c>
      <c r="Z1300" s="8" t="n">
        <f aca="false">(L1300-$K1300)^2</f>
        <v>0.050680365129</v>
      </c>
      <c r="AA1300" s="8" t="n">
        <f aca="false">(M1300-$K1300)^2</f>
        <v>0.008475595969</v>
      </c>
      <c r="AB1300" s="8" t="n">
        <f aca="false">(N1300-$K1300)^2</f>
        <v>0.009421614225</v>
      </c>
      <c r="AC1300" s="8" t="n">
        <f aca="false">(O1300-$K1300)^2</f>
        <v>0.011274829489</v>
      </c>
      <c r="AD1300" s="8" t="n">
        <f aca="false">(P1300-$K1300)^2</f>
        <v>0.010550371225</v>
      </c>
      <c r="AE1300" s="8" t="n">
        <f aca="false">MIN(INT(ROUND(N1300*1000000,0)/100000),9)</f>
        <v>0</v>
      </c>
      <c r="AF1300" s="8" t="n">
        <f aca="false">MIN(INT(ROUND(P1300*1000000,0)/100000),9)</f>
        <v>1</v>
      </c>
    </row>
    <row r="1301" customFormat="false" ht="15" hidden="false" customHeight="false" outlineLevel="0" collapsed="false">
      <c r="A1301" s="4" t="n">
        <v>1297</v>
      </c>
      <c r="B1301" s="4" t="n">
        <v>951</v>
      </c>
      <c r="C1301" s="4" t="n">
        <v>3</v>
      </c>
      <c r="D1301" s="11" t="n">
        <v>46143</v>
      </c>
      <c r="E1301" s="4" t="s">
        <v>202</v>
      </c>
      <c r="F1301" s="4" t="s">
        <v>206</v>
      </c>
      <c r="G1301" s="4" t="n">
        <v>9</v>
      </c>
      <c r="H1301" s="4" t="n">
        <v>1</v>
      </c>
      <c r="I1301" s="4" t="n">
        <v>0</v>
      </c>
      <c r="J1301" s="4" t="n">
        <v>1186.5</v>
      </c>
      <c r="K1301" s="4" t="n">
        <v>0</v>
      </c>
      <c r="L1301" s="12" t="n">
        <v>0.047831</v>
      </c>
      <c r="M1301" s="12" t="n">
        <v>0.092063</v>
      </c>
      <c r="N1301" s="12" t="n">
        <v>0.074008</v>
      </c>
      <c r="O1301" s="12" t="n">
        <v>0.106183</v>
      </c>
      <c r="P1301" s="12" t="n">
        <v>0.07742</v>
      </c>
      <c r="Q1301" s="0" t="str">
        <f aca="false">IF(L1301&gt;=Models!$G$5,1+COUNTIF($L$5:$L$1517,"&gt;"&amp;L1301)+COUNTIFS($L$5:$L$1517,L1301,$B$5:$B$1517,"&lt;"&amp;B1301)+COUNTIFS($L$5:$L$1517,L1301,$B$5:$B$1517,B1301,$C$5:$C$1517,"&lt;"&amp;C1301),"")</f>
        <v/>
      </c>
      <c r="R1301" s="0" t="str">
        <f aca="false">IF(M1301&gt;=Models!$G$6,1+COUNTIF($M$5:$M$1517,"&gt;"&amp;M1301)+COUNTIFS($M$5:$M$1517,M1301,$B$5:$B$1517,"&lt;"&amp;B1301)+COUNTIFS($M$5:$M$1517,M1301,$B$5:$B$1517,B1301,$C$5:$C$1517,"&lt;"&amp;C1301),"")</f>
        <v/>
      </c>
      <c r="S1301" s="0" t="str">
        <f aca="false">IF(N1301&gt;=Models!$G$7,1+COUNTIF($N$5:$N$1517,"&gt;"&amp;N1301)+COUNTIFS($N$5:$N$1517,N1301,$B$5:$B$1517,"&lt;"&amp;B1301)+COUNTIFS($N$5:$N$1517,N1301,$B$5:$B$1517,B1301,$C$5:$C$1517,"&lt;"&amp;C1301),"")</f>
        <v/>
      </c>
      <c r="T1301" s="8" t="n">
        <f aca="false">IF(O1301&gt;=Models!$G$8,1+COUNTIF($O$5:$O$1517,"&gt;"&amp;O1301)+COUNTIFS($O$5:$O$1517,O1301,$B$5:$B$1517,"&lt;"&amp;B1301)+COUNTIFS($O$5:$O$1517,O1301,$B$5:$B$1517,B1301,$C$5:$C$1517,"&lt;"&amp;C1301),"")</f>
        <v>761</v>
      </c>
      <c r="U1301" s="8" t="n">
        <f aca="false">IF($K1301=1,COUNTIFS($L$5:$L$1517,"&gt;="&amp;L1301,$K$5:$K$1517,1)/COUNTIF($L$5:$L$1517,"&gt;="&amp;L1301),0)</f>
        <v>0</v>
      </c>
      <c r="V1301" s="8" t="n">
        <f aca="false">IF($K1301=1,COUNTIFS($M$5:$M$1517,"&gt;="&amp;M1301,$K$5:$K$1517,1)/COUNTIF($M$5:$M$1517,"&gt;="&amp;M1301),0)</f>
        <v>0</v>
      </c>
      <c r="W1301" s="8" t="n">
        <f aca="false">IF($K1301=1,COUNTIFS($N$5:$N$1517,"&gt;="&amp;N1301,$K$5:$K$1517,1)/COUNTIF($N$5:$N$1517,"&gt;="&amp;N1301),0)</f>
        <v>0</v>
      </c>
      <c r="X1301" s="8" t="n">
        <f aca="false">IF($K1301=1,COUNTIFS($O$5:$O$1517,"&gt;="&amp;O1301,$K$5:$K$1517,1)/COUNTIF($O$5:$O$1517,"&gt;="&amp;O1301),0)</f>
        <v>0</v>
      </c>
      <c r="Y1301" s="8" t="n">
        <f aca="false">IF($K1301=1,COUNTIFS($P$5:$P$1517,"&gt;="&amp;P1301,$K$5:$K$1517,1)/COUNTIF($P$5:$P$1517,"&gt;="&amp;P1301),0)</f>
        <v>0</v>
      </c>
      <c r="Z1301" s="8" t="n">
        <f aca="false">(L1301-$K1301)^2</f>
        <v>0.002287804561</v>
      </c>
      <c r="AA1301" s="8" t="n">
        <f aca="false">(M1301-$K1301)^2</f>
        <v>0.008475595969</v>
      </c>
      <c r="AB1301" s="8" t="n">
        <f aca="false">(N1301-$K1301)^2</f>
        <v>0.005477184064</v>
      </c>
      <c r="AC1301" s="8" t="n">
        <f aca="false">(O1301-$K1301)^2</f>
        <v>0.011274829489</v>
      </c>
      <c r="AD1301" s="8" t="n">
        <f aca="false">(P1301-$K1301)^2</f>
        <v>0.0059938564</v>
      </c>
      <c r="AE1301" s="8" t="n">
        <f aca="false">MIN(INT(ROUND(N1301*1000000,0)/100000),9)</f>
        <v>0</v>
      </c>
      <c r="AF1301" s="8" t="n">
        <f aca="false">MIN(INT(ROUND(P1301*1000000,0)/100000),9)</f>
        <v>0</v>
      </c>
    </row>
    <row r="1302" customFormat="false" ht="15" hidden="false" customHeight="false" outlineLevel="0" collapsed="false">
      <c r="A1302" s="4" t="n">
        <v>1298</v>
      </c>
      <c r="B1302" s="4" t="n">
        <v>953</v>
      </c>
      <c r="C1302" s="4" t="n">
        <v>3</v>
      </c>
      <c r="D1302" s="11" t="n">
        <v>46143</v>
      </c>
      <c r="E1302" s="4" t="s">
        <v>204</v>
      </c>
      <c r="F1302" s="4" t="s">
        <v>209</v>
      </c>
      <c r="G1302" s="4" t="n">
        <v>0</v>
      </c>
      <c r="H1302" s="4" t="n">
        <v>57</v>
      </c>
      <c r="I1302" s="4" t="n">
        <v>0</v>
      </c>
      <c r="J1302" s="4" t="n">
        <v>96</v>
      </c>
      <c r="K1302" s="4" t="n">
        <v>0</v>
      </c>
      <c r="L1302" s="12" t="n">
        <v>0.812907</v>
      </c>
      <c r="M1302" s="12" t="n">
        <v>0.184211</v>
      </c>
      <c r="N1302" s="12" t="n">
        <v>0.232448</v>
      </c>
      <c r="O1302" s="12" t="n">
        <v>0.106183</v>
      </c>
      <c r="P1302" s="12" t="n">
        <v>0.253051</v>
      </c>
      <c r="Q1302" s="0" t="str">
        <f aca="false">IF(L1302&gt;=Models!$G$5,1+COUNTIF($L$5:$L$1517,"&gt;"&amp;L1302)+COUNTIFS($L$5:$L$1517,L1302,$B$5:$B$1517,"&lt;"&amp;B1302)+COUNTIFS($L$5:$L$1517,L1302,$B$5:$B$1517,B1302,$C$5:$C$1517,"&lt;"&amp;C1302),"")</f>
        <v/>
      </c>
      <c r="R1302" s="8" t="n">
        <f aca="false">IF(M1302&gt;=Models!$G$6,1+COUNTIF($M$5:$M$1517,"&gt;"&amp;M1302)+COUNTIFS($M$5:$M$1517,M1302,$B$5:$B$1517,"&lt;"&amp;B1302)+COUNTIFS($M$5:$M$1517,M1302,$B$5:$B$1517,B1302,$C$5:$C$1517,"&lt;"&amp;C1302),"")</f>
        <v>82</v>
      </c>
      <c r="S1302" s="0" t="str">
        <f aca="false">IF(N1302&gt;=Models!$G$7,1+COUNTIF($N$5:$N$1517,"&gt;"&amp;N1302)+COUNTIFS($N$5:$N$1517,N1302,$B$5:$B$1517,"&lt;"&amp;B1302)+COUNTIFS($N$5:$N$1517,N1302,$B$5:$B$1517,B1302,$C$5:$C$1517,"&lt;"&amp;C1302),"")</f>
        <v/>
      </c>
      <c r="T1302" s="8" t="n">
        <f aca="false">IF(O1302&gt;=Models!$G$8,1+COUNTIF($O$5:$O$1517,"&gt;"&amp;O1302)+COUNTIFS($O$5:$O$1517,O1302,$B$5:$B$1517,"&lt;"&amp;B1302)+COUNTIFS($O$5:$O$1517,O1302,$B$5:$B$1517,B1302,$C$5:$C$1517,"&lt;"&amp;C1302),"")</f>
        <v>765</v>
      </c>
      <c r="U1302" s="8" t="n">
        <f aca="false">IF($K1302=1,COUNTIFS($L$5:$L$1517,"&gt;="&amp;L1302,$K$5:$K$1517,1)/COUNTIF($L$5:$L$1517,"&gt;="&amp;L1302),0)</f>
        <v>0</v>
      </c>
      <c r="V1302" s="8" t="n">
        <f aca="false">IF($K1302=1,COUNTIFS($M$5:$M$1517,"&gt;="&amp;M1302,$K$5:$K$1517,1)/COUNTIF($M$5:$M$1517,"&gt;="&amp;M1302),0)</f>
        <v>0</v>
      </c>
      <c r="W1302" s="8" t="n">
        <f aca="false">IF($K1302=1,COUNTIFS($N$5:$N$1517,"&gt;="&amp;N1302,$K$5:$K$1517,1)/COUNTIF($N$5:$N$1517,"&gt;="&amp;N1302),0)</f>
        <v>0</v>
      </c>
      <c r="X1302" s="8" t="n">
        <f aca="false">IF($K1302=1,COUNTIFS($O$5:$O$1517,"&gt;="&amp;O1302,$K$5:$K$1517,1)/COUNTIF($O$5:$O$1517,"&gt;="&amp;O1302),0)</f>
        <v>0</v>
      </c>
      <c r="Y1302" s="8" t="n">
        <f aca="false">IF($K1302=1,COUNTIFS($P$5:$P$1517,"&gt;="&amp;P1302,$K$5:$K$1517,1)/COUNTIF($P$5:$P$1517,"&gt;="&amp;P1302),0)</f>
        <v>0</v>
      </c>
      <c r="Z1302" s="8" t="n">
        <f aca="false">(L1302-$K1302)^2</f>
        <v>0.660817790649</v>
      </c>
      <c r="AA1302" s="8" t="n">
        <f aca="false">(M1302-$K1302)^2</f>
        <v>0.033933692521</v>
      </c>
      <c r="AB1302" s="8" t="n">
        <f aca="false">(N1302-$K1302)^2</f>
        <v>0.054032072704</v>
      </c>
      <c r="AC1302" s="8" t="n">
        <f aca="false">(O1302-$K1302)^2</f>
        <v>0.011274829489</v>
      </c>
      <c r="AD1302" s="8" t="n">
        <f aca="false">(P1302-$K1302)^2</f>
        <v>0.064034808601</v>
      </c>
      <c r="AE1302" s="8" t="n">
        <f aca="false">MIN(INT(ROUND(N1302*1000000,0)/100000),9)</f>
        <v>2</v>
      </c>
      <c r="AF1302" s="8" t="n">
        <f aca="false">MIN(INT(ROUND(P1302*1000000,0)/100000),9)</f>
        <v>2</v>
      </c>
    </row>
    <row r="1303" customFormat="false" ht="15" hidden="false" customHeight="false" outlineLevel="0" collapsed="false">
      <c r="A1303" s="4" t="n">
        <v>1299</v>
      </c>
      <c r="B1303" s="4" t="n">
        <v>973</v>
      </c>
      <c r="C1303" s="4" t="n">
        <v>3</v>
      </c>
      <c r="D1303" s="11" t="n">
        <v>46143</v>
      </c>
      <c r="E1303" s="4" t="s">
        <v>201</v>
      </c>
      <c r="F1303" s="4" t="s">
        <v>209</v>
      </c>
      <c r="G1303" s="4" t="n">
        <v>13</v>
      </c>
      <c r="H1303" s="4" t="n">
        <v>1</v>
      </c>
      <c r="I1303" s="4" t="n">
        <v>0</v>
      </c>
      <c r="J1303" s="4" t="n">
        <v>31324.2</v>
      </c>
      <c r="K1303" s="4" t="n">
        <v>0</v>
      </c>
      <c r="L1303" s="12" t="n">
        <v>0.713149</v>
      </c>
      <c r="M1303" s="12" t="n">
        <v>0.092063</v>
      </c>
      <c r="N1303" s="12" t="n">
        <v>0.009596</v>
      </c>
      <c r="O1303" s="12" t="n">
        <v>0.106183</v>
      </c>
      <c r="P1303" s="12" t="n">
        <v>0.009118</v>
      </c>
      <c r="Q1303" s="0" t="str">
        <f aca="false">IF(L1303&gt;=Models!$G$5,1+COUNTIF($L$5:$L$1517,"&gt;"&amp;L1303)+COUNTIFS($L$5:$L$1517,L1303,$B$5:$B$1517,"&lt;"&amp;B1303)+COUNTIFS($L$5:$L$1517,L1303,$B$5:$B$1517,B1303,$C$5:$C$1517,"&lt;"&amp;C1303),"")</f>
        <v/>
      </c>
      <c r="R1303" s="0" t="str">
        <f aca="false">IF(M1303&gt;=Models!$G$6,1+COUNTIF($M$5:$M$1517,"&gt;"&amp;M1303)+COUNTIFS($M$5:$M$1517,M1303,$B$5:$B$1517,"&lt;"&amp;B1303)+COUNTIFS($M$5:$M$1517,M1303,$B$5:$B$1517,B1303,$C$5:$C$1517,"&lt;"&amp;C1303),"")</f>
        <v/>
      </c>
      <c r="S1303" s="0" t="str">
        <f aca="false">IF(N1303&gt;=Models!$G$7,1+COUNTIF($N$5:$N$1517,"&gt;"&amp;N1303)+COUNTIFS($N$5:$N$1517,N1303,$B$5:$B$1517,"&lt;"&amp;B1303)+COUNTIFS($N$5:$N$1517,N1303,$B$5:$B$1517,B1303,$C$5:$C$1517,"&lt;"&amp;C1303),"")</f>
        <v/>
      </c>
      <c r="T1303" s="8" t="n">
        <f aca="false">IF(O1303&gt;=Models!$G$8,1+COUNTIF($O$5:$O$1517,"&gt;"&amp;O1303)+COUNTIFS($O$5:$O$1517,O1303,$B$5:$B$1517,"&lt;"&amp;B1303)+COUNTIFS($O$5:$O$1517,O1303,$B$5:$B$1517,B1303,$C$5:$C$1517,"&lt;"&amp;C1303),"")</f>
        <v>772</v>
      </c>
      <c r="U1303" s="8" t="n">
        <f aca="false">IF($K1303=1,COUNTIFS($L$5:$L$1517,"&gt;="&amp;L1303,$K$5:$K$1517,1)/COUNTIF($L$5:$L$1517,"&gt;="&amp;L1303),0)</f>
        <v>0</v>
      </c>
      <c r="V1303" s="8" t="n">
        <f aca="false">IF($K1303=1,COUNTIFS($M$5:$M$1517,"&gt;="&amp;M1303,$K$5:$K$1517,1)/COUNTIF($M$5:$M$1517,"&gt;="&amp;M1303),0)</f>
        <v>0</v>
      </c>
      <c r="W1303" s="8" t="n">
        <f aca="false">IF($K1303=1,COUNTIFS($N$5:$N$1517,"&gt;="&amp;N1303,$K$5:$K$1517,1)/COUNTIF($N$5:$N$1517,"&gt;="&amp;N1303),0)</f>
        <v>0</v>
      </c>
      <c r="X1303" s="8" t="n">
        <f aca="false">IF($K1303=1,COUNTIFS($O$5:$O$1517,"&gt;="&amp;O1303,$K$5:$K$1517,1)/COUNTIF($O$5:$O$1517,"&gt;="&amp;O1303),0)</f>
        <v>0</v>
      </c>
      <c r="Y1303" s="8" t="n">
        <f aca="false">IF($K1303=1,COUNTIFS($P$5:$P$1517,"&gt;="&amp;P1303,$K$5:$K$1517,1)/COUNTIF($P$5:$P$1517,"&gt;="&amp;P1303),0)</f>
        <v>0</v>
      </c>
      <c r="Z1303" s="8" t="n">
        <f aca="false">(L1303-$K1303)^2</f>
        <v>0.508581496201</v>
      </c>
      <c r="AA1303" s="8" t="n">
        <f aca="false">(M1303-$K1303)^2</f>
        <v>0.008475595969</v>
      </c>
      <c r="AB1303" s="8" t="n">
        <f aca="false">(N1303-$K1303)^2</f>
        <v>9.2083216E-005</v>
      </c>
      <c r="AC1303" s="8" t="n">
        <f aca="false">(O1303-$K1303)^2</f>
        <v>0.011274829489</v>
      </c>
      <c r="AD1303" s="8" t="n">
        <f aca="false">(P1303-$K1303)^2</f>
        <v>8.3137924E-005</v>
      </c>
      <c r="AE1303" s="8" t="n">
        <f aca="false">MIN(INT(ROUND(N1303*1000000,0)/100000),9)</f>
        <v>0</v>
      </c>
      <c r="AF1303" s="8" t="n">
        <f aca="false">MIN(INT(ROUND(P1303*1000000,0)/100000),9)</f>
        <v>0</v>
      </c>
    </row>
    <row r="1304" customFormat="false" ht="15" hidden="false" customHeight="false" outlineLevel="0" collapsed="false">
      <c r="A1304" s="4" t="n">
        <v>1300</v>
      </c>
      <c r="B1304" s="4" t="n">
        <v>978</v>
      </c>
      <c r="C1304" s="4" t="n">
        <v>3</v>
      </c>
      <c r="D1304" s="11" t="n">
        <v>46143</v>
      </c>
      <c r="E1304" s="4" t="s">
        <v>204</v>
      </c>
      <c r="F1304" s="4" t="s">
        <v>206</v>
      </c>
      <c r="G1304" s="4" t="n">
        <v>1</v>
      </c>
      <c r="H1304" s="4" t="n">
        <v>15</v>
      </c>
      <c r="I1304" s="4" t="n">
        <v>0</v>
      </c>
      <c r="J1304" s="4" t="n">
        <v>63</v>
      </c>
      <c r="K1304" s="4" t="n">
        <v>0</v>
      </c>
      <c r="L1304" s="12" t="n">
        <v>0.30825</v>
      </c>
      <c r="M1304" s="12" t="n">
        <v>0.092063</v>
      </c>
      <c r="N1304" s="12" t="n">
        <v>0.164271</v>
      </c>
      <c r="O1304" s="12" t="n">
        <v>0.106183</v>
      </c>
      <c r="P1304" s="12" t="n">
        <v>0.177231</v>
      </c>
      <c r="Q1304" s="0" t="str">
        <f aca="false">IF(L1304&gt;=Models!$G$5,1+COUNTIF($L$5:$L$1517,"&gt;"&amp;L1304)+COUNTIFS($L$5:$L$1517,L1304,$B$5:$B$1517,"&lt;"&amp;B1304)+COUNTIFS($L$5:$L$1517,L1304,$B$5:$B$1517,B1304,$C$5:$C$1517,"&lt;"&amp;C1304),"")</f>
        <v/>
      </c>
      <c r="R1304" s="0" t="str">
        <f aca="false">IF(M1304&gt;=Models!$G$6,1+COUNTIF($M$5:$M$1517,"&gt;"&amp;M1304)+COUNTIFS($M$5:$M$1517,M1304,$B$5:$B$1517,"&lt;"&amp;B1304)+COUNTIFS($M$5:$M$1517,M1304,$B$5:$B$1517,B1304,$C$5:$C$1517,"&lt;"&amp;C1304),"")</f>
        <v/>
      </c>
      <c r="S1304" s="0" t="str">
        <f aca="false">IF(N1304&gt;=Models!$G$7,1+COUNTIF($N$5:$N$1517,"&gt;"&amp;N1304)+COUNTIFS($N$5:$N$1517,N1304,$B$5:$B$1517,"&lt;"&amp;B1304)+COUNTIFS($N$5:$N$1517,N1304,$B$5:$B$1517,B1304,$C$5:$C$1517,"&lt;"&amp;C1304),"")</f>
        <v/>
      </c>
      <c r="T1304" s="8" t="n">
        <f aca="false">IF(O1304&gt;=Models!$G$8,1+COUNTIF($O$5:$O$1517,"&gt;"&amp;O1304)+COUNTIFS($O$5:$O$1517,O1304,$B$5:$B$1517,"&lt;"&amp;B1304)+COUNTIFS($O$5:$O$1517,O1304,$B$5:$B$1517,B1304,$C$5:$C$1517,"&lt;"&amp;C1304),"")</f>
        <v>776</v>
      </c>
      <c r="U1304" s="8" t="n">
        <f aca="false">IF($K1304=1,COUNTIFS($L$5:$L$1517,"&gt;="&amp;L1304,$K$5:$K$1517,1)/COUNTIF($L$5:$L$1517,"&gt;="&amp;L1304),0)</f>
        <v>0</v>
      </c>
      <c r="V1304" s="8" t="n">
        <f aca="false">IF($K1304=1,COUNTIFS($M$5:$M$1517,"&gt;="&amp;M1304,$K$5:$K$1517,1)/COUNTIF($M$5:$M$1517,"&gt;="&amp;M1304),0)</f>
        <v>0</v>
      </c>
      <c r="W1304" s="8" t="n">
        <f aca="false">IF($K1304=1,COUNTIFS($N$5:$N$1517,"&gt;="&amp;N1304,$K$5:$K$1517,1)/COUNTIF($N$5:$N$1517,"&gt;="&amp;N1304),0)</f>
        <v>0</v>
      </c>
      <c r="X1304" s="8" t="n">
        <f aca="false">IF($K1304=1,COUNTIFS($O$5:$O$1517,"&gt;="&amp;O1304,$K$5:$K$1517,1)/COUNTIF($O$5:$O$1517,"&gt;="&amp;O1304),0)</f>
        <v>0</v>
      </c>
      <c r="Y1304" s="8" t="n">
        <f aca="false">IF($K1304=1,COUNTIFS($P$5:$P$1517,"&gt;="&amp;P1304,$K$5:$K$1517,1)/COUNTIF($P$5:$P$1517,"&gt;="&amp;P1304),0)</f>
        <v>0</v>
      </c>
      <c r="Z1304" s="8" t="n">
        <f aca="false">(L1304-$K1304)^2</f>
        <v>0.0950180625</v>
      </c>
      <c r="AA1304" s="8" t="n">
        <f aca="false">(M1304-$K1304)^2</f>
        <v>0.008475595969</v>
      </c>
      <c r="AB1304" s="8" t="n">
        <f aca="false">(N1304-$K1304)^2</f>
        <v>0.026984961441</v>
      </c>
      <c r="AC1304" s="8" t="n">
        <f aca="false">(O1304-$K1304)^2</f>
        <v>0.011274829489</v>
      </c>
      <c r="AD1304" s="8" t="n">
        <f aca="false">(P1304-$K1304)^2</f>
        <v>0.031410827361</v>
      </c>
      <c r="AE1304" s="8" t="n">
        <f aca="false">MIN(INT(ROUND(N1304*1000000,0)/100000),9)</f>
        <v>1</v>
      </c>
      <c r="AF1304" s="8" t="n">
        <f aca="false">MIN(INT(ROUND(P1304*1000000,0)/100000),9)</f>
        <v>1</v>
      </c>
    </row>
    <row r="1305" customFormat="false" ht="15" hidden="false" customHeight="false" outlineLevel="0" collapsed="false">
      <c r="A1305" s="4" t="n">
        <v>1301</v>
      </c>
      <c r="B1305" s="4" t="n">
        <v>985</v>
      </c>
      <c r="C1305" s="4" t="n">
        <v>3</v>
      </c>
      <c r="D1305" s="11" t="n">
        <v>46143</v>
      </c>
      <c r="E1305" s="4" t="s">
        <v>203</v>
      </c>
      <c r="F1305" s="4" t="s">
        <v>206</v>
      </c>
      <c r="G1305" s="4" t="n">
        <v>8</v>
      </c>
      <c r="H1305" s="4" t="n">
        <v>2</v>
      </c>
      <c r="I1305" s="4" t="n">
        <v>0</v>
      </c>
      <c r="J1305" s="4" t="n">
        <v>1111.8</v>
      </c>
      <c r="K1305" s="4" t="n">
        <v>0</v>
      </c>
      <c r="L1305" s="12" t="n">
        <v>0.821306</v>
      </c>
      <c r="M1305" s="12" t="n">
        <v>0.092063</v>
      </c>
      <c r="N1305" s="12" t="n">
        <v>0.081348</v>
      </c>
      <c r="O1305" s="12" t="n">
        <v>0.106183</v>
      </c>
      <c r="P1305" s="12" t="n">
        <v>0.085447</v>
      </c>
      <c r="Q1305" s="0" t="str">
        <f aca="false">IF(L1305&gt;=Models!$G$5,1+COUNTIF($L$5:$L$1517,"&gt;"&amp;L1305)+COUNTIFS($L$5:$L$1517,L1305,$B$5:$B$1517,"&lt;"&amp;B1305)+COUNTIFS($L$5:$L$1517,L1305,$B$5:$B$1517,B1305,$C$5:$C$1517,"&lt;"&amp;C1305),"")</f>
        <v/>
      </c>
      <c r="R1305" s="0" t="str">
        <f aca="false">IF(M1305&gt;=Models!$G$6,1+COUNTIF($M$5:$M$1517,"&gt;"&amp;M1305)+COUNTIFS($M$5:$M$1517,M1305,$B$5:$B$1517,"&lt;"&amp;B1305)+COUNTIFS($M$5:$M$1517,M1305,$B$5:$B$1517,B1305,$C$5:$C$1517,"&lt;"&amp;C1305),"")</f>
        <v/>
      </c>
      <c r="S1305" s="0" t="str">
        <f aca="false">IF(N1305&gt;=Models!$G$7,1+COUNTIF($N$5:$N$1517,"&gt;"&amp;N1305)+COUNTIFS($N$5:$N$1517,N1305,$B$5:$B$1517,"&lt;"&amp;B1305)+COUNTIFS($N$5:$N$1517,N1305,$B$5:$B$1517,B1305,$C$5:$C$1517,"&lt;"&amp;C1305),"")</f>
        <v/>
      </c>
      <c r="T1305" s="8" t="n">
        <f aca="false">IF(O1305&gt;=Models!$G$8,1+COUNTIF($O$5:$O$1517,"&gt;"&amp;O1305)+COUNTIFS($O$5:$O$1517,O1305,$B$5:$B$1517,"&lt;"&amp;B1305)+COUNTIFS($O$5:$O$1517,O1305,$B$5:$B$1517,B1305,$C$5:$C$1517,"&lt;"&amp;C1305),"")</f>
        <v>780</v>
      </c>
      <c r="U1305" s="8" t="n">
        <f aca="false">IF($K1305=1,COUNTIFS($L$5:$L$1517,"&gt;="&amp;L1305,$K$5:$K$1517,1)/COUNTIF($L$5:$L$1517,"&gt;="&amp;L1305),0)</f>
        <v>0</v>
      </c>
      <c r="V1305" s="8" t="n">
        <f aca="false">IF($K1305=1,COUNTIFS($M$5:$M$1517,"&gt;="&amp;M1305,$K$5:$K$1517,1)/COUNTIF($M$5:$M$1517,"&gt;="&amp;M1305),0)</f>
        <v>0</v>
      </c>
      <c r="W1305" s="8" t="n">
        <f aca="false">IF($K1305=1,COUNTIFS($N$5:$N$1517,"&gt;="&amp;N1305,$K$5:$K$1517,1)/COUNTIF($N$5:$N$1517,"&gt;="&amp;N1305),0)</f>
        <v>0</v>
      </c>
      <c r="X1305" s="8" t="n">
        <f aca="false">IF($K1305=1,COUNTIFS($O$5:$O$1517,"&gt;="&amp;O1305,$K$5:$K$1517,1)/COUNTIF($O$5:$O$1517,"&gt;="&amp;O1305),0)</f>
        <v>0</v>
      </c>
      <c r="Y1305" s="8" t="n">
        <f aca="false">IF($K1305=1,COUNTIFS($P$5:$P$1517,"&gt;="&amp;P1305,$K$5:$K$1517,1)/COUNTIF($P$5:$P$1517,"&gt;="&amp;P1305),0)</f>
        <v>0</v>
      </c>
      <c r="Z1305" s="8" t="n">
        <f aca="false">(L1305-$K1305)^2</f>
        <v>0.674543545636</v>
      </c>
      <c r="AA1305" s="8" t="n">
        <f aca="false">(M1305-$K1305)^2</f>
        <v>0.008475595969</v>
      </c>
      <c r="AB1305" s="8" t="n">
        <f aca="false">(N1305-$K1305)^2</f>
        <v>0.006617497104</v>
      </c>
      <c r="AC1305" s="8" t="n">
        <f aca="false">(O1305-$K1305)^2</f>
        <v>0.011274829489</v>
      </c>
      <c r="AD1305" s="8" t="n">
        <f aca="false">(P1305-$K1305)^2</f>
        <v>0.007301189809</v>
      </c>
      <c r="AE1305" s="8" t="n">
        <f aca="false">MIN(INT(ROUND(N1305*1000000,0)/100000),9)</f>
        <v>0</v>
      </c>
      <c r="AF1305" s="8" t="n">
        <f aca="false">MIN(INT(ROUND(P1305*1000000,0)/100000),9)</f>
        <v>0</v>
      </c>
    </row>
    <row r="1306" customFormat="false" ht="15" hidden="false" customHeight="false" outlineLevel="0" collapsed="false">
      <c r="A1306" s="4" t="n">
        <v>1302</v>
      </c>
      <c r="B1306" s="4" t="n">
        <v>986</v>
      </c>
      <c r="C1306" s="4" t="n">
        <v>3</v>
      </c>
      <c r="D1306" s="11" t="n">
        <v>46143</v>
      </c>
      <c r="E1306" s="4" t="s">
        <v>202</v>
      </c>
      <c r="F1306" s="4" t="s">
        <v>207</v>
      </c>
      <c r="G1306" s="4" t="n">
        <v>1</v>
      </c>
      <c r="H1306" s="4" t="n">
        <v>2</v>
      </c>
      <c r="I1306" s="4" t="n">
        <v>0</v>
      </c>
      <c r="J1306" s="4" t="n">
        <v>630</v>
      </c>
      <c r="K1306" s="4" t="n">
        <v>0</v>
      </c>
      <c r="L1306" s="12" t="n">
        <v>0.520495</v>
      </c>
      <c r="M1306" s="12" t="n">
        <v>0.092063</v>
      </c>
      <c r="N1306" s="12" t="n">
        <v>0.14601</v>
      </c>
      <c r="O1306" s="12" t="n">
        <v>0.106183</v>
      </c>
      <c r="P1306" s="12" t="n">
        <v>0.156922</v>
      </c>
      <c r="Q1306" s="0" t="str">
        <f aca="false">IF(L1306&gt;=Models!$G$5,1+COUNTIF($L$5:$L$1517,"&gt;"&amp;L1306)+COUNTIFS($L$5:$L$1517,L1306,$B$5:$B$1517,"&lt;"&amp;B1306)+COUNTIFS($L$5:$L$1517,L1306,$B$5:$B$1517,B1306,$C$5:$C$1517,"&lt;"&amp;C1306),"")</f>
        <v/>
      </c>
      <c r="R1306" s="0" t="str">
        <f aca="false">IF(M1306&gt;=Models!$G$6,1+COUNTIF($M$5:$M$1517,"&gt;"&amp;M1306)+COUNTIFS($M$5:$M$1517,M1306,$B$5:$B$1517,"&lt;"&amp;B1306)+COUNTIFS($M$5:$M$1517,M1306,$B$5:$B$1517,B1306,$C$5:$C$1517,"&lt;"&amp;C1306),"")</f>
        <v/>
      </c>
      <c r="S1306" s="0" t="str">
        <f aca="false">IF(N1306&gt;=Models!$G$7,1+COUNTIF($N$5:$N$1517,"&gt;"&amp;N1306)+COUNTIFS($N$5:$N$1517,N1306,$B$5:$B$1517,"&lt;"&amp;B1306)+COUNTIFS($N$5:$N$1517,N1306,$B$5:$B$1517,B1306,$C$5:$C$1517,"&lt;"&amp;C1306),"")</f>
        <v/>
      </c>
      <c r="T1306" s="8" t="n">
        <f aca="false">IF(O1306&gt;=Models!$G$8,1+COUNTIF($O$5:$O$1517,"&gt;"&amp;O1306)+COUNTIFS($O$5:$O$1517,O1306,$B$5:$B$1517,"&lt;"&amp;B1306)+COUNTIFS($O$5:$O$1517,O1306,$B$5:$B$1517,B1306,$C$5:$C$1517,"&lt;"&amp;C1306),"")</f>
        <v>784</v>
      </c>
      <c r="U1306" s="8" t="n">
        <f aca="false">IF($K1306=1,COUNTIFS($L$5:$L$1517,"&gt;="&amp;L1306,$K$5:$K$1517,1)/COUNTIF($L$5:$L$1517,"&gt;="&amp;L1306),0)</f>
        <v>0</v>
      </c>
      <c r="V1306" s="8" t="n">
        <f aca="false">IF($K1306=1,COUNTIFS($M$5:$M$1517,"&gt;="&amp;M1306,$K$5:$K$1517,1)/COUNTIF($M$5:$M$1517,"&gt;="&amp;M1306),0)</f>
        <v>0</v>
      </c>
      <c r="W1306" s="8" t="n">
        <f aca="false">IF($K1306=1,COUNTIFS($N$5:$N$1517,"&gt;="&amp;N1306,$K$5:$K$1517,1)/COUNTIF($N$5:$N$1517,"&gt;="&amp;N1306),0)</f>
        <v>0</v>
      </c>
      <c r="X1306" s="8" t="n">
        <f aca="false">IF($K1306=1,COUNTIFS($O$5:$O$1517,"&gt;="&amp;O1306,$K$5:$K$1517,1)/COUNTIF($O$5:$O$1517,"&gt;="&amp;O1306),0)</f>
        <v>0</v>
      </c>
      <c r="Y1306" s="8" t="n">
        <f aca="false">IF($K1306=1,COUNTIFS($P$5:$P$1517,"&gt;="&amp;P1306,$K$5:$K$1517,1)/COUNTIF($P$5:$P$1517,"&gt;="&amp;P1306),0)</f>
        <v>0</v>
      </c>
      <c r="Z1306" s="8" t="n">
        <f aca="false">(L1306-$K1306)^2</f>
        <v>0.270915045025</v>
      </c>
      <c r="AA1306" s="8" t="n">
        <f aca="false">(M1306-$K1306)^2</f>
        <v>0.008475595969</v>
      </c>
      <c r="AB1306" s="8" t="n">
        <f aca="false">(N1306-$K1306)^2</f>
        <v>0.0213189201</v>
      </c>
      <c r="AC1306" s="8" t="n">
        <f aca="false">(O1306-$K1306)^2</f>
        <v>0.011274829489</v>
      </c>
      <c r="AD1306" s="8" t="n">
        <f aca="false">(P1306-$K1306)^2</f>
        <v>0.024624514084</v>
      </c>
      <c r="AE1306" s="8" t="n">
        <f aca="false">MIN(INT(ROUND(N1306*1000000,0)/100000),9)</f>
        <v>1</v>
      </c>
      <c r="AF1306" s="8" t="n">
        <f aca="false">MIN(INT(ROUND(P1306*1000000,0)/100000),9)</f>
        <v>1</v>
      </c>
    </row>
    <row r="1307" customFormat="false" ht="15" hidden="false" customHeight="false" outlineLevel="0" collapsed="false">
      <c r="A1307" s="4" t="n">
        <v>1303</v>
      </c>
      <c r="B1307" s="4" t="n">
        <v>987</v>
      </c>
      <c r="C1307" s="4" t="n">
        <v>3</v>
      </c>
      <c r="D1307" s="11" t="n">
        <v>46143</v>
      </c>
      <c r="E1307" s="4" t="s">
        <v>201</v>
      </c>
      <c r="F1307" s="4" t="s">
        <v>206</v>
      </c>
      <c r="G1307" s="4" t="n">
        <v>22</v>
      </c>
      <c r="H1307" s="4" t="n">
        <v>1</v>
      </c>
      <c r="I1307" s="4" t="n">
        <v>0</v>
      </c>
      <c r="J1307" s="4" t="n">
        <v>26764.8</v>
      </c>
      <c r="K1307" s="4" t="n">
        <v>0</v>
      </c>
      <c r="L1307" s="12" t="n">
        <v>0.030068</v>
      </c>
      <c r="M1307" s="12" t="n">
        <v>0.092063</v>
      </c>
      <c r="N1307" s="12" t="n">
        <v>0.005586</v>
      </c>
      <c r="O1307" s="12" t="n">
        <v>0.106183</v>
      </c>
      <c r="P1307" s="12" t="n">
        <v>0.005171</v>
      </c>
      <c r="Q1307" s="0" t="str">
        <f aca="false">IF(L1307&gt;=Models!$G$5,1+COUNTIF($L$5:$L$1517,"&gt;"&amp;L1307)+COUNTIFS($L$5:$L$1517,L1307,$B$5:$B$1517,"&lt;"&amp;B1307)+COUNTIFS($L$5:$L$1517,L1307,$B$5:$B$1517,B1307,$C$5:$C$1517,"&lt;"&amp;C1307),"")</f>
        <v/>
      </c>
      <c r="R1307" s="0" t="str">
        <f aca="false">IF(M1307&gt;=Models!$G$6,1+COUNTIF($M$5:$M$1517,"&gt;"&amp;M1307)+COUNTIFS($M$5:$M$1517,M1307,$B$5:$B$1517,"&lt;"&amp;B1307)+COUNTIFS($M$5:$M$1517,M1307,$B$5:$B$1517,B1307,$C$5:$C$1517,"&lt;"&amp;C1307),"")</f>
        <v/>
      </c>
      <c r="S1307" s="0" t="str">
        <f aca="false">IF(N1307&gt;=Models!$G$7,1+COUNTIF($N$5:$N$1517,"&gt;"&amp;N1307)+COUNTIFS($N$5:$N$1517,N1307,$B$5:$B$1517,"&lt;"&amp;B1307)+COUNTIFS($N$5:$N$1517,N1307,$B$5:$B$1517,B1307,$C$5:$C$1517,"&lt;"&amp;C1307),"")</f>
        <v/>
      </c>
      <c r="T1307" s="8" t="n">
        <f aca="false">IF(O1307&gt;=Models!$G$8,1+COUNTIF($O$5:$O$1517,"&gt;"&amp;O1307)+COUNTIFS($O$5:$O$1517,O1307,$B$5:$B$1517,"&lt;"&amp;B1307)+COUNTIFS($O$5:$O$1517,O1307,$B$5:$B$1517,B1307,$C$5:$C$1517,"&lt;"&amp;C1307),"")</f>
        <v>788</v>
      </c>
      <c r="U1307" s="8" t="n">
        <f aca="false">IF($K1307=1,COUNTIFS($L$5:$L$1517,"&gt;="&amp;L1307,$K$5:$K$1517,1)/COUNTIF($L$5:$L$1517,"&gt;="&amp;L1307),0)</f>
        <v>0</v>
      </c>
      <c r="V1307" s="8" t="n">
        <f aca="false">IF($K1307=1,COUNTIFS($M$5:$M$1517,"&gt;="&amp;M1307,$K$5:$K$1517,1)/COUNTIF($M$5:$M$1517,"&gt;="&amp;M1307),0)</f>
        <v>0</v>
      </c>
      <c r="W1307" s="8" t="n">
        <f aca="false">IF($K1307=1,COUNTIFS($N$5:$N$1517,"&gt;="&amp;N1307,$K$5:$K$1517,1)/COUNTIF($N$5:$N$1517,"&gt;="&amp;N1307),0)</f>
        <v>0</v>
      </c>
      <c r="X1307" s="8" t="n">
        <f aca="false">IF($K1307=1,COUNTIFS($O$5:$O$1517,"&gt;="&amp;O1307,$K$5:$K$1517,1)/COUNTIF($O$5:$O$1517,"&gt;="&amp;O1307),0)</f>
        <v>0</v>
      </c>
      <c r="Y1307" s="8" t="n">
        <f aca="false">IF($K1307=1,COUNTIFS($P$5:$P$1517,"&gt;="&amp;P1307,$K$5:$K$1517,1)/COUNTIF($P$5:$P$1517,"&gt;="&amp;P1307),0)</f>
        <v>0</v>
      </c>
      <c r="Z1307" s="8" t="n">
        <f aca="false">(L1307-$K1307)^2</f>
        <v>0.000904084624</v>
      </c>
      <c r="AA1307" s="8" t="n">
        <f aca="false">(M1307-$K1307)^2</f>
        <v>0.008475595969</v>
      </c>
      <c r="AB1307" s="8" t="n">
        <f aca="false">(N1307-$K1307)^2</f>
        <v>3.1203396E-005</v>
      </c>
      <c r="AC1307" s="8" t="n">
        <f aca="false">(O1307-$K1307)^2</f>
        <v>0.011274829489</v>
      </c>
      <c r="AD1307" s="8" t="n">
        <f aca="false">(P1307-$K1307)^2</f>
        <v>2.6739241E-005</v>
      </c>
      <c r="AE1307" s="8" t="n">
        <f aca="false">MIN(INT(ROUND(N1307*1000000,0)/100000),9)</f>
        <v>0</v>
      </c>
      <c r="AF1307" s="8" t="n">
        <f aca="false">MIN(INT(ROUND(P1307*1000000,0)/100000),9)</f>
        <v>0</v>
      </c>
    </row>
    <row r="1308" customFormat="false" ht="15" hidden="false" customHeight="false" outlineLevel="0" collapsed="false">
      <c r="A1308" s="4" t="n">
        <v>1304</v>
      </c>
      <c r="B1308" s="4" t="n">
        <v>989</v>
      </c>
      <c r="C1308" s="4" t="n">
        <v>3</v>
      </c>
      <c r="D1308" s="11" t="n">
        <v>46143</v>
      </c>
      <c r="E1308" s="4" t="s">
        <v>202</v>
      </c>
      <c r="F1308" s="4" t="s">
        <v>209</v>
      </c>
      <c r="G1308" s="4" t="n">
        <v>14</v>
      </c>
      <c r="H1308" s="4" t="n">
        <v>2</v>
      </c>
      <c r="I1308" s="4" t="n">
        <v>0</v>
      </c>
      <c r="J1308" s="4" t="n">
        <v>742</v>
      </c>
      <c r="K1308" s="4" t="n">
        <v>0</v>
      </c>
      <c r="L1308" s="12" t="n">
        <v>0.599816</v>
      </c>
      <c r="M1308" s="12" t="n">
        <v>0.092063</v>
      </c>
      <c r="N1308" s="12" t="n">
        <v>0.050086</v>
      </c>
      <c r="O1308" s="12" t="n">
        <v>0.106183</v>
      </c>
      <c r="P1308" s="12" t="n">
        <v>0.051482</v>
      </c>
      <c r="Q1308" s="0" t="str">
        <f aca="false">IF(L1308&gt;=Models!$G$5,1+COUNTIF($L$5:$L$1517,"&gt;"&amp;L1308)+COUNTIFS($L$5:$L$1517,L1308,$B$5:$B$1517,"&lt;"&amp;B1308)+COUNTIFS($L$5:$L$1517,L1308,$B$5:$B$1517,B1308,$C$5:$C$1517,"&lt;"&amp;C1308),"")</f>
        <v/>
      </c>
      <c r="R1308" s="0" t="str">
        <f aca="false">IF(M1308&gt;=Models!$G$6,1+COUNTIF($M$5:$M$1517,"&gt;"&amp;M1308)+COUNTIFS($M$5:$M$1517,M1308,$B$5:$B$1517,"&lt;"&amp;B1308)+COUNTIFS($M$5:$M$1517,M1308,$B$5:$B$1517,B1308,$C$5:$C$1517,"&lt;"&amp;C1308),"")</f>
        <v/>
      </c>
      <c r="S1308" s="0" t="str">
        <f aca="false">IF(N1308&gt;=Models!$G$7,1+COUNTIF($N$5:$N$1517,"&gt;"&amp;N1308)+COUNTIFS($N$5:$N$1517,N1308,$B$5:$B$1517,"&lt;"&amp;B1308)+COUNTIFS($N$5:$N$1517,N1308,$B$5:$B$1517,B1308,$C$5:$C$1517,"&lt;"&amp;C1308),"")</f>
        <v/>
      </c>
      <c r="T1308" s="8" t="n">
        <f aca="false">IF(O1308&gt;=Models!$G$8,1+COUNTIF($O$5:$O$1517,"&gt;"&amp;O1308)+COUNTIFS($O$5:$O$1517,O1308,$B$5:$B$1517,"&lt;"&amp;B1308)+COUNTIFS($O$5:$O$1517,O1308,$B$5:$B$1517,B1308,$C$5:$C$1517,"&lt;"&amp;C1308),"")</f>
        <v>792</v>
      </c>
      <c r="U1308" s="8" t="n">
        <f aca="false">IF($K1308=1,COUNTIFS($L$5:$L$1517,"&gt;="&amp;L1308,$K$5:$K$1517,1)/COUNTIF($L$5:$L$1517,"&gt;="&amp;L1308),0)</f>
        <v>0</v>
      </c>
      <c r="V1308" s="8" t="n">
        <f aca="false">IF($K1308=1,COUNTIFS($M$5:$M$1517,"&gt;="&amp;M1308,$K$5:$K$1517,1)/COUNTIF($M$5:$M$1517,"&gt;="&amp;M1308),0)</f>
        <v>0</v>
      </c>
      <c r="W1308" s="8" t="n">
        <f aca="false">IF($K1308=1,COUNTIFS($N$5:$N$1517,"&gt;="&amp;N1308,$K$5:$K$1517,1)/COUNTIF($N$5:$N$1517,"&gt;="&amp;N1308),0)</f>
        <v>0</v>
      </c>
      <c r="X1308" s="8" t="n">
        <f aca="false">IF($K1308=1,COUNTIFS($O$5:$O$1517,"&gt;="&amp;O1308,$K$5:$K$1517,1)/COUNTIF($O$5:$O$1517,"&gt;="&amp;O1308),0)</f>
        <v>0</v>
      </c>
      <c r="Y1308" s="8" t="n">
        <f aca="false">IF($K1308=1,COUNTIFS($P$5:$P$1517,"&gt;="&amp;P1308,$K$5:$K$1517,1)/COUNTIF($P$5:$P$1517,"&gt;="&amp;P1308),0)</f>
        <v>0</v>
      </c>
      <c r="Z1308" s="8" t="n">
        <f aca="false">(L1308-$K1308)^2</f>
        <v>0.359779233856</v>
      </c>
      <c r="AA1308" s="8" t="n">
        <f aca="false">(M1308-$K1308)^2</f>
        <v>0.008475595969</v>
      </c>
      <c r="AB1308" s="8" t="n">
        <f aca="false">(N1308-$K1308)^2</f>
        <v>0.002508607396</v>
      </c>
      <c r="AC1308" s="8" t="n">
        <f aca="false">(O1308-$K1308)^2</f>
        <v>0.011274829489</v>
      </c>
      <c r="AD1308" s="8" t="n">
        <f aca="false">(P1308-$K1308)^2</f>
        <v>0.002650396324</v>
      </c>
      <c r="AE1308" s="8" t="n">
        <f aca="false">MIN(INT(ROUND(N1308*1000000,0)/100000),9)</f>
        <v>0</v>
      </c>
      <c r="AF1308" s="8" t="n">
        <f aca="false">MIN(INT(ROUND(P1308*1000000,0)/100000),9)</f>
        <v>0</v>
      </c>
    </row>
    <row r="1309" customFormat="false" ht="15" hidden="false" customHeight="false" outlineLevel="0" collapsed="false">
      <c r="A1309" s="4" t="n">
        <v>1305</v>
      </c>
      <c r="B1309" s="4" t="n">
        <v>997</v>
      </c>
      <c r="C1309" s="4" t="n">
        <v>3</v>
      </c>
      <c r="D1309" s="11" t="n">
        <v>46143</v>
      </c>
      <c r="E1309" s="4" t="s">
        <v>202</v>
      </c>
      <c r="F1309" s="4" t="s">
        <v>206</v>
      </c>
      <c r="G1309" s="4" t="n">
        <v>9</v>
      </c>
      <c r="H1309" s="4" t="n">
        <v>2</v>
      </c>
      <c r="I1309" s="4" t="n">
        <v>0</v>
      </c>
      <c r="J1309" s="4" t="n">
        <v>1064.7</v>
      </c>
      <c r="K1309" s="4" t="n">
        <v>1</v>
      </c>
      <c r="L1309" s="12" t="n">
        <v>0.138448</v>
      </c>
      <c r="M1309" s="12" t="n">
        <v>0.092063</v>
      </c>
      <c r="N1309" s="12" t="n">
        <v>0.075061</v>
      </c>
      <c r="O1309" s="12" t="n">
        <v>0.106183</v>
      </c>
      <c r="P1309" s="12" t="n">
        <v>0.07857</v>
      </c>
      <c r="Q1309" s="0" t="str">
        <f aca="false">IF(L1309&gt;=Models!$G$5,1+COUNTIF($L$5:$L$1517,"&gt;"&amp;L1309)+COUNTIFS($L$5:$L$1517,L1309,$B$5:$B$1517,"&lt;"&amp;B1309)+COUNTIFS($L$5:$L$1517,L1309,$B$5:$B$1517,B1309,$C$5:$C$1517,"&lt;"&amp;C1309),"")</f>
        <v/>
      </c>
      <c r="R1309" s="0" t="str">
        <f aca="false">IF(M1309&gt;=Models!$G$6,1+COUNTIF($M$5:$M$1517,"&gt;"&amp;M1309)+COUNTIFS($M$5:$M$1517,M1309,$B$5:$B$1517,"&lt;"&amp;B1309)+COUNTIFS($M$5:$M$1517,M1309,$B$5:$B$1517,B1309,$C$5:$C$1517,"&lt;"&amp;C1309),"")</f>
        <v/>
      </c>
      <c r="S1309" s="0" t="str">
        <f aca="false">IF(N1309&gt;=Models!$G$7,1+COUNTIF($N$5:$N$1517,"&gt;"&amp;N1309)+COUNTIFS($N$5:$N$1517,N1309,$B$5:$B$1517,"&lt;"&amp;B1309)+COUNTIFS($N$5:$N$1517,N1309,$B$5:$B$1517,B1309,$C$5:$C$1517,"&lt;"&amp;C1309),"")</f>
        <v/>
      </c>
      <c r="T1309" s="8" t="n">
        <f aca="false">IF(O1309&gt;=Models!$G$8,1+COUNTIF($O$5:$O$1517,"&gt;"&amp;O1309)+COUNTIFS($O$5:$O$1517,O1309,$B$5:$B$1517,"&lt;"&amp;B1309)+COUNTIFS($O$5:$O$1517,O1309,$B$5:$B$1517,B1309,$C$5:$C$1517,"&lt;"&amp;C1309),"")</f>
        <v>796</v>
      </c>
      <c r="U1309" s="8" t="n">
        <f aca="false">IF($K1309=1,COUNTIFS($L$5:$L$1517,"&gt;="&amp;L1309,$K$5:$K$1517,1)/COUNTIF($L$5:$L$1517,"&gt;="&amp;L1309),0)</f>
        <v>0.123052959501558</v>
      </c>
      <c r="V1309" s="8" t="n">
        <f aca="false">IF($K1309=1,COUNTIFS($M$5:$M$1517,"&gt;="&amp;M1309,$K$5:$K$1517,1)/COUNTIF($M$5:$M$1517,"&gt;="&amp;M1309),0)</f>
        <v>0.12491738268341</v>
      </c>
      <c r="W1309" s="8" t="n">
        <f aca="false">IF($K1309=1,COUNTIFS($N$5:$N$1517,"&gt;="&amp;N1309,$K$5:$K$1517,1)/COUNTIF($N$5:$N$1517,"&gt;="&amp;N1309),0)</f>
        <v>0.169197396963124</v>
      </c>
      <c r="X1309" s="8" t="n">
        <f aca="false">IF($K1309=1,COUNTIFS($O$5:$O$1517,"&gt;="&amp;O1309,$K$5:$K$1517,1)/COUNTIF($O$5:$O$1517,"&gt;="&amp;O1309),0)</f>
        <v>0.12491738268341</v>
      </c>
      <c r="Y1309" s="8" t="n">
        <f aca="false">IF($K1309=1,COUNTIFS($P$5:$P$1517,"&gt;="&amp;P1309,$K$5:$K$1517,1)/COUNTIF($P$5:$P$1517,"&gt;="&amp;P1309),0)</f>
        <v>0.169197396963124</v>
      </c>
      <c r="Z1309" s="8" t="n">
        <f aca="false">(L1309-$K1309)^2</f>
        <v>0.742271848704</v>
      </c>
      <c r="AA1309" s="8" t="n">
        <f aca="false">(M1309-$K1309)^2</f>
        <v>0.824349595969</v>
      </c>
      <c r="AB1309" s="8" t="n">
        <f aca="false">(N1309-$K1309)^2</f>
        <v>0.855512153721</v>
      </c>
      <c r="AC1309" s="8" t="n">
        <f aca="false">(O1309-$K1309)^2</f>
        <v>0.798908829489</v>
      </c>
      <c r="AD1309" s="8" t="n">
        <f aca="false">(P1309-$K1309)^2</f>
        <v>0.8490332449</v>
      </c>
      <c r="AE1309" s="8" t="n">
        <f aca="false">MIN(INT(ROUND(N1309*1000000,0)/100000),9)</f>
        <v>0</v>
      </c>
      <c r="AF1309" s="8" t="n">
        <f aca="false">MIN(INT(ROUND(P1309*1000000,0)/100000),9)</f>
        <v>0</v>
      </c>
    </row>
    <row r="1310" customFormat="false" ht="15" hidden="false" customHeight="false" outlineLevel="0" collapsed="false">
      <c r="A1310" s="4" t="n">
        <v>1306</v>
      </c>
      <c r="B1310" s="4" t="n">
        <v>999</v>
      </c>
      <c r="C1310" s="4" t="n">
        <v>3</v>
      </c>
      <c r="D1310" s="11" t="n">
        <v>46143</v>
      </c>
      <c r="E1310" s="4" t="s">
        <v>202</v>
      </c>
      <c r="F1310" s="4" t="s">
        <v>206</v>
      </c>
      <c r="G1310" s="4" t="n">
        <v>4</v>
      </c>
      <c r="H1310" s="4" t="n">
        <v>11</v>
      </c>
      <c r="I1310" s="4" t="n">
        <v>0</v>
      </c>
      <c r="J1310" s="4" t="n">
        <v>5987.4</v>
      </c>
      <c r="K1310" s="4" t="n">
        <v>0</v>
      </c>
      <c r="L1310" s="12" t="n">
        <v>0.296832</v>
      </c>
      <c r="M1310" s="12" t="n">
        <v>0.092063</v>
      </c>
      <c r="N1310" s="12" t="n">
        <v>0.093336</v>
      </c>
      <c r="O1310" s="12" t="n">
        <v>0.106183</v>
      </c>
      <c r="P1310" s="12" t="n">
        <v>0.09861</v>
      </c>
      <c r="Q1310" s="0" t="str">
        <f aca="false">IF(L1310&gt;=Models!$G$5,1+COUNTIF($L$5:$L$1517,"&gt;"&amp;L1310)+COUNTIFS($L$5:$L$1517,L1310,$B$5:$B$1517,"&lt;"&amp;B1310)+COUNTIFS($L$5:$L$1517,L1310,$B$5:$B$1517,B1310,$C$5:$C$1517,"&lt;"&amp;C1310),"")</f>
        <v/>
      </c>
      <c r="R1310" s="0" t="str">
        <f aca="false">IF(M1310&gt;=Models!$G$6,1+COUNTIF($M$5:$M$1517,"&gt;"&amp;M1310)+COUNTIFS($M$5:$M$1517,M1310,$B$5:$B$1517,"&lt;"&amp;B1310)+COUNTIFS($M$5:$M$1517,M1310,$B$5:$B$1517,B1310,$C$5:$C$1517,"&lt;"&amp;C1310),"")</f>
        <v/>
      </c>
      <c r="S1310" s="0" t="str">
        <f aca="false">IF(N1310&gt;=Models!$G$7,1+COUNTIF($N$5:$N$1517,"&gt;"&amp;N1310)+COUNTIFS($N$5:$N$1517,N1310,$B$5:$B$1517,"&lt;"&amp;B1310)+COUNTIFS($N$5:$N$1517,N1310,$B$5:$B$1517,B1310,$C$5:$C$1517,"&lt;"&amp;C1310),"")</f>
        <v/>
      </c>
      <c r="T1310" s="8" t="n">
        <f aca="false">IF(O1310&gt;=Models!$G$8,1+COUNTIF($O$5:$O$1517,"&gt;"&amp;O1310)+COUNTIFS($O$5:$O$1517,O1310,$B$5:$B$1517,"&lt;"&amp;B1310)+COUNTIFS($O$5:$O$1517,O1310,$B$5:$B$1517,B1310,$C$5:$C$1517,"&lt;"&amp;C1310),"")</f>
        <v>800</v>
      </c>
      <c r="U1310" s="8" t="n">
        <f aca="false">IF($K1310=1,COUNTIFS($L$5:$L$1517,"&gt;="&amp;L1310,$K$5:$K$1517,1)/COUNTIF($L$5:$L$1517,"&gt;="&amp;L1310),0)</f>
        <v>0</v>
      </c>
      <c r="V1310" s="8" t="n">
        <f aca="false">IF($K1310=1,COUNTIFS($M$5:$M$1517,"&gt;="&amp;M1310,$K$5:$K$1517,1)/COUNTIF($M$5:$M$1517,"&gt;="&amp;M1310),0)</f>
        <v>0</v>
      </c>
      <c r="W1310" s="8" t="n">
        <f aca="false">IF($K1310=1,COUNTIFS($N$5:$N$1517,"&gt;="&amp;N1310,$K$5:$K$1517,1)/COUNTIF($N$5:$N$1517,"&gt;="&amp;N1310),0)</f>
        <v>0</v>
      </c>
      <c r="X1310" s="8" t="n">
        <f aca="false">IF($K1310=1,COUNTIFS($O$5:$O$1517,"&gt;="&amp;O1310,$K$5:$K$1517,1)/COUNTIF($O$5:$O$1517,"&gt;="&amp;O1310),0)</f>
        <v>0</v>
      </c>
      <c r="Y1310" s="8" t="n">
        <f aca="false">IF($K1310=1,COUNTIFS($P$5:$P$1517,"&gt;="&amp;P1310,$K$5:$K$1517,1)/COUNTIF($P$5:$P$1517,"&gt;="&amp;P1310),0)</f>
        <v>0</v>
      </c>
      <c r="Z1310" s="8" t="n">
        <f aca="false">(L1310-$K1310)^2</f>
        <v>0.088109236224</v>
      </c>
      <c r="AA1310" s="8" t="n">
        <f aca="false">(M1310-$K1310)^2</f>
        <v>0.008475595969</v>
      </c>
      <c r="AB1310" s="8" t="n">
        <f aca="false">(N1310-$K1310)^2</f>
        <v>0.008711608896</v>
      </c>
      <c r="AC1310" s="8" t="n">
        <f aca="false">(O1310-$K1310)^2</f>
        <v>0.011274829489</v>
      </c>
      <c r="AD1310" s="8" t="n">
        <f aca="false">(P1310-$K1310)^2</f>
        <v>0.0097239321</v>
      </c>
      <c r="AE1310" s="8" t="n">
        <f aca="false">MIN(INT(ROUND(N1310*1000000,0)/100000),9)</f>
        <v>0</v>
      </c>
      <c r="AF1310" s="8" t="n">
        <f aca="false">MIN(INT(ROUND(P1310*1000000,0)/100000),9)</f>
        <v>0</v>
      </c>
    </row>
    <row r="1311" customFormat="false" ht="15" hidden="false" customHeight="false" outlineLevel="0" collapsed="false">
      <c r="A1311" s="4" t="n">
        <v>1307</v>
      </c>
      <c r="B1311" s="4" t="n">
        <v>1009</v>
      </c>
      <c r="C1311" s="4" t="n">
        <v>3</v>
      </c>
      <c r="D1311" s="11" t="n">
        <v>46143</v>
      </c>
      <c r="E1311" s="4" t="s">
        <v>204</v>
      </c>
      <c r="F1311" s="4" t="s">
        <v>208</v>
      </c>
      <c r="G1311" s="4" t="n">
        <v>1</v>
      </c>
      <c r="H1311" s="4" t="n">
        <v>1</v>
      </c>
      <c r="I1311" s="4" t="n">
        <v>1</v>
      </c>
      <c r="J1311" s="4" t="n">
        <v>117</v>
      </c>
      <c r="K1311" s="4" t="n">
        <v>0</v>
      </c>
      <c r="L1311" s="12" t="n">
        <v>0.207822</v>
      </c>
      <c r="M1311" s="12" t="n">
        <v>0.184211</v>
      </c>
      <c r="N1311" s="12" t="n">
        <v>0.240743</v>
      </c>
      <c r="O1311" s="12" t="n">
        <v>0.106183</v>
      </c>
      <c r="P1311" s="12" t="n">
        <v>0.262252</v>
      </c>
      <c r="Q1311" s="0" t="str">
        <f aca="false">IF(L1311&gt;=Models!$G$5,1+COUNTIF($L$5:$L$1517,"&gt;"&amp;L1311)+COUNTIFS($L$5:$L$1517,L1311,$B$5:$B$1517,"&lt;"&amp;B1311)+COUNTIFS($L$5:$L$1517,L1311,$B$5:$B$1517,B1311,$C$5:$C$1517,"&lt;"&amp;C1311),"")</f>
        <v/>
      </c>
      <c r="R1311" s="8" t="n">
        <f aca="false">IF(M1311&gt;=Models!$G$6,1+COUNTIF($M$5:$M$1517,"&gt;"&amp;M1311)+COUNTIFS($M$5:$M$1517,M1311,$B$5:$B$1517,"&lt;"&amp;B1311)+COUNTIFS($M$5:$M$1517,M1311,$B$5:$B$1517,B1311,$C$5:$C$1517,"&lt;"&amp;C1311),"")</f>
        <v>89</v>
      </c>
      <c r="S1311" s="8" t="n">
        <f aca="false">IF(N1311&gt;=Models!$G$7,1+COUNTIF($N$5:$N$1517,"&gt;"&amp;N1311)+COUNTIFS($N$5:$N$1517,N1311,$B$5:$B$1517,"&lt;"&amp;B1311)+COUNTIFS($N$5:$N$1517,N1311,$B$5:$B$1517,B1311,$C$5:$C$1517,"&lt;"&amp;C1311),"")</f>
        <v>24</v>
      </c>
      <c r="T1311" s="8" t="n">
        <f aca="false">IF(O1311&gt;=Models!$G$8,1+COUNTIF($O$5:$O$1517,"&gt;"&amp;O1311)+COUNTIFS($O$5:$O$1517,O1311,$B$5:$B$1517,"&lt;"&amp;B1311)+COUNTIFS($O$5:$O$1517,O1311,$B$5:$B$1517,B1311,$C$5:$C$1517,"&lt;"&amp;C1311),"")</f>
        <v>804</v>
      </c>
      <c r="U1311" s="8" t="n">
        <f aca="false">IF($K1311=1,COUNTIFS($L$5:$L$1517,"&gt;="&amp;L1311,$K$5:$K$1517,1)/COUNTIF($L$5:$L$1517,"&gt;="&amp;L1311),0)</f>
        <v>0</v>
      </c>
      <c r="V1311" s="8" t="n">
        <f aca="false">IF($K1311=1,COUNTIFS($M$5:$M$1517,"&gt;="&amp;M1311,$K$5:$K$1517,1)/COUNTIF($M$5:$M$1517,"&gt;="&amp;M1311),0)</f>
        <v>0</v>
      </c>
      <c r="W1311" s="8" t="n">
        <f aca="false">IF($K1311=1,COUNTIFS($N$5:$N$1517,"&gt;="&amp;N1311,$K$5:$K$1517,1)/COUNTIF($N$5:$N$1517,"&gt;="&amp;N1311),0)</f>
        <v>0</v>
      </c>
      <c r="X1311" s="8" t="n">
        <f aca="false">IF($K1311=1,COUNTIFS($O$5:$O$1517,"&gt;="&amp;O1311,$K$5:$K$1517,1)/COUNTIF($O$5:$O$1517,"&gt;="&amp;O1311),0)</f>
        <v>0</v>
      </c>
      <c r="Y1311" s="8" t="n">
        <f aca="false">IF($K1311=1,COUNTIFS($P$5:$P$1517,"&gt;="&amp;P1311,$K$5:$K$1517,1)/COUNTIF($P$5:$P$1517,"&gt;="&amp;P1311),0)</f>
        <v>0</v>
      </c>
      <c r="Z1311" s="8" t="n">
        <f aca="false">(L1311-$K1311)^2</f>
        <v>0.043189983684</v>
      </c>
      <c r="AA1311" s="8" t="n">
        <f aca="false">(M1311-$K1311)^2</f>
        <v>0.033933692521</v>
      </c>
      <c r="AB1311" s="8" t="n">
        <f aca="false">(N1311-$K1311)^2</f>
        <v>0.057957192049</v>
      </c>
      <c r="AC1311" s="8" t="n">
        <f aca="false">(O1311-$K1311)^2</f>
        <v>0.011274829489</v>
      </c>
      <c r="AD1311" s="8" t="n">
        <f aca="false">(P1311-$K1311)^2</f>
        <v>0.068776111504</v>
      </c>
      <c r="AE1311" s="8" t="n">
        <f aca="false">MIN(INT(ROUND(N1311*1000000,0)/100000),9)</f>
        <v>2</v>
      </c>
      <c r="AF1311" s="8" t="n">
        <f aca="false">MIN(INT(ROUND(P1311*1000000,0)/100000),9)</f>
        <v>2</v>
      </c>
    </row>
    <row r="1312" customFormat="false" ht="15" hidden="false" customHeight="false" outlineLevel="0" collapsed="false">
      <c r="A1312" s="4" t="n">
        <v>1308</v>
      </c>
      <c r="B1312" s="4" t="n">
        <v>1015</v>
      </c>
      <c r="C1312" s="4" t="n">
        <v>3</v>
      </c>
      <c r="D1312" s="11" t="n">
        <v>46143</v>
      </c>
      <c r="E1312" s="4" t="s">
        <v>204</v>
      </c>
      <c r="F1312" s="4" t="s">
        <v>209</v>
      </c>
      <c r="G1312" s="4" t="n">
        <v>2</v>
      </c>
      <c r="H1312" s="4" t="n">
        <v>9</v>
      </c>
      <c r="I1312" s="4" t="n">
        <v>0</v>
      </c>
      <c r="J1312" s="4" t="n">
        <v>224.4</v>
      </c>
      <c r="K1312" s="4" t="n">
        <v>0</v>
      </c>
      <c r="L1312" s="12" t="n">
        <v>0.210624</v>
      </c>
      <c r="M1312" s="12" t="n">
        <v>0.092063</v>
      </c>
      <c r="N1312" s="12" t="n">
        <v>0.144882</v>
      </c>
      <c r="O1312" s="12" t="n">
        <v>0.106183</v>
      </c>
      <c r="P1312" s="12" t="n">
        <v>0.155668</v>
      </c>
      <c r="Q1312" s="0" t="str">
        <f aca="false">IF(L1312&gt;=Models!$G$5,1+COUNTIF($L$5:$L$1517,"&gt;"&amp;L1312)+COUNTIFS($L$5:$L$1517,L1312,$B$5:$B$1517,"&lt;"&amp;B1312)+COUNTIFS($L$5:$L$1517,L1312,$B$5:$B$1517,B1312,$C$5:$C$1517,"&lt;"&amp;C1312),"")</f>
        <v/>
      </c>
      <c r="R1312" s="0" t="str">
        <f aca="false">IF(M1312&gt;=Models!$G$6,1+COUNTIF($M$5:$M$1517,"&gt;"&amp;M1312)+COUNTIFS($M$5:$M$1517,M1312,$B$5:$B$1517,"&lt;"&amp;B1312)+COUNTIFS($M$5:$M$1517,M1312,$B$5:$B$1517,B1312,$C$5:$C$1517,"&lt;"&amp;C1312),"")</f>
        <v/>
      </c>
      <c r="S1312" s="0" t="str">
        <f aca="false">IF(N1312&gt;=Models!$G$7,1+COUNTIF($N$5:$N$1517,"&gt;"&amp;N1312)+COUNTIFS($N$5:$N$1517,N1312,$B$5:$B$1517,"&lt;"&amp;B1312)+COUNTIFS($N$5:$N$1517,N1312,$B$5:$B$1517,B1312,$C$5:$C$1517,"&lt;"&amp;C1312),"")</f>
        <v/>
      </c>
      <c r="T1312" s="8" t="n">
        <f aca="false">IF(O1312&gt;=Models!$G$8,1+COUNTIF($O$5:$O$1517,"&gt;"&amp;O1312)+COUNTIFS($O$5:$O$1517,O1312,$B$5:$B$1517,"&lt;"&amp;B1312)+COUNTIFS($O$5:$O$1517,O1312,$B$5:$B$1517,B1312,$C$5:$C$1517,"&lt;"&amp;C1312),"")</f>
        <v>810</v>
      </c>
      <c r="U1312" s="8" t="n">
        <f aca="false">IF($K1312=1,COUNTIFS($L$5:$L$1517,"&gt;="&amp;L1312,$K$5:$K$1517,1)/COUNTIF($L$5:$L$1517,"&gt;="&amp;L1312),0)</f>
        <v>0</v>
      </c>
      <c r="V1312" s="8" t="n">
        <f aca="false">IF($K1312=1,COUNTIFS($M$5:$M$1517,"&gt;="&amp;M1312,$K$5:$K$1517,1)/COUNTIF($M$5:$M$1517,"&gt;="&amp;M1312),0)</f>
        <v>0</v>
      </c>
      <c r="W1312" s="8" t="n">
        <f aca="false">IF($K1312=1,COUNTIFS($N$5:$N$1517,"&gt;="&amp;N1312,$K$5:$K$1517,1)/COUNTIF($N$5:$N$1517,"&gt;="&amp;N1312),0)</f>
        <v>0</v>
      </c>
      <c r="X1312" s="8" t="n">
        <f aca="false">IF($K1312=1,COUNTIFS($O$5:$O$1517,"&gt;="&amp;O1312,$K$5:$K$1517,1)/COUNTIF($O$5:$O$1517,"&gt;="&amp;O1312),0)</f>
        <v>0</v>
      </c>
      <c r="Y1312" s="8" t="n">
        <f aca="false">IF($K1312=1,COUNTIFS($P$5:$P$1517,"&gt;="&amp;P1312,$K$5:$K$1517,1)/COUNTIF($P$5:$P$1517,"&gt;="&amp;P1312),0)</f>
        <v>0</v>
      </c>
      <c r="Z1312" s="8" t="n">
        <f aca="false">(L1312-$K1312)^2</f>
        <v>0.044362469376</v>
      </c>
      <c r="AA1312" s="8" t="n">
        <f aca="false">(M1312-$K1312)^2</f>
        <v>0.008475595969</v>
      </c>
      <c r="AB1312" s="8" t="n">
        <f aca="false">(N1312-$K1312)^2</f>
        <v>0.020990793924</v>
      </c>
      <c r="AC1312" s="8" t="n">
        <f aca="false">(O1312-$K1312)^2</f>
        <v>0.011274829489</v>
      </c>
      <c r="AD1312" s="8" t="n">
        <f aca="false">(P1312-$K1312)^2</f>
        <v>0.024232526224</v>
      </c>
      <c r="AE1312" s="8" t="n">
        <f aca="false">MIN(INT(ROUND(N1312*1000000,0)/100000),9)</f>
        <v>1</v>
      </c>
      <c r="AF1312" s="8" t="n">
        <f aca="false">MIN(INT(ROUND(P1312*1000000,0)/100000),9)</f>
        <v>1</v>
      </c>
    </row>
    <row r="1313" customFormat="false" ht="15" hidden="false" customHeight="false" outlineLevel="0" collapsed="false">
      <c r="A1313" s="4" t="n">
        <v>1309</v>
      </c>
      <c r="B1313" s="4" t="n">
        <v>1017</v>
      </c>
      <c r="C1313" s="4" t="n">
        <v>3</v>
      </c>
      <c r="D1313" s="11" t="n">
        <v>46143</v>
      </c>
      <c r="E1313" s="4" t="s">
        <v>203</v>
      </c>
      <c r="F1313" s="4" t="s">
        <v>209</v>
      </c>
      <c r="G1313" s="4" t="n">
        <v>1</v>
      </c>
      <c r="H1313" s="4" t="n">
        <v>19</v>
      </c>
      <c r="I1313" s="4" t="n">
        <v>0</v>
      </c>
      <c r="J1313" s="4" t="n">
        <v>203.7</v>
      </c>
      <c r="K1313" s="4" t="n">
        <v>0</v>
      </c>
      <c r="L1313" s="12" t="n">
        <v>0.936894</v>
      </c>
      <c r="M1313" s="12" t="n">
        <v>0.092063</v>
      </c>
      <c r="N1313" s="12" t="n">
        <v>0.167677</v>
      </c>
      <c r="O1313" s="12" t="n">
        <v>0.106183</v>
      </c>
      <c r="P1313" s="12" t="n">
        <v>0.181022</v>
      </c>
      <c r="Q1313" s="0" t="str">
        <f aca="false">IF(L1313&gt;=Models!$G$5,1+COUNTIF($L$5:$L$1517,"&gt;"&amp;L1313)+COUNTIFS($L$5:$L$1517,L1313,$B$5:$B$1517,"&lt;"&amp;B1313)+COUNTIFS($L$5:$L$1517,L1313,$B$5:$B$1517,B1313,$C$5:$C$1517,"&lt;"&amp;C1313),"")</f>
        <v/>
      </c>
      <c r="R1313" s="0" t="str">
        <f aca="false">IF(M1313&gt;=Models!$G$6,1+COUNTIF($M$5:$M$1517,"&gt;"&amp;M1313)+COUNTIFS($M$5:$M$1517,M1313,$B$5:$B$1517,"&lt;"&amp;B1313)+COUNTIFS($M$5:$M$1517,M1313,$B$5:$B$1517,B1313,$C$5:$C$1517,"&lt;"&amp;C1313),"")</f>
        <v/>
      </c>
      <c r="S1313" s="0" t="str">
        <f aca="false">IF(N1313&gt;=Models!$G$7,1+COUNTIF($N$5:$N$1517,"&gt;"&amp;N1313)+COUNTIFS($N$5:$N$1517,N1313,$B$5:$B$1517,"&lt;"&amp;B1313)+COUNTIFS($N$5:$N$1517,N1313,$B$5:$B$1517,B1313,$C$5:$C$1517,"&lt;"&amp;C1313),"")</f>
        <v/>
      </c>
      <c r="T1313" s="8" t="n">
        <f aca="false">IF(O1313&gt;=Models!$G$8,1+COUNTIF($O$5:$O$1517,"&gt;"&amp;O1313)+COUNTIFS($O$5:$O$1517,O1313,$B$5:$B$1517,"&lt;"&amp;B1313)+COUNTIFS($O$5:$O$1517,O1313,$B$5:$B$1517,B1313,$C$5:$C$1517,"&lt;"&amp;C1313),"")</f>
        <v>814</v>
      </c>
      <c r="U1313" s="8" t="n">
        <f aca="false">IF($K1313=1,COUNTIFS($L$5:$L$1517,"&gt;="&amp;L1313,$K$5:$K$1517,1)/COUNTIF($L$5:$L$1517,"&gt;="&amp;L1313),0)</f>
        <v>0</v>
      </c>
      <c r="V1313" s="8" t="n">
        <f aca="false">IF($K1313=1,COUNTIFS($M$5:$M$1517,"&gt;="&amp;M1313,$K$5:$K$1517,1)/COUNTIF($M$5:$M$1517,"&gt;="&amp;M1313),0)</f>
        <v>0</v>
      </c>
      <c r="W1313" s="8" t="n">
        <f aca="false">IF($K1313=1,COUNTIFS($N$5:$N$1517,"&gt;="&amp;N1313,$K$5:$K$1517,1)/COUNTIF($N$5:$N$1517,"&gt;="&amp;N1313),0)</f>
        <v>0</v>
      </c>
      <c r="X1313" s="8" t="n">
        <f aca="false">IF($K1313=1,COUNTIFS($O$5:$O$1517,"&gt;="&amp;O1313,$K$5:$K$1517,1)/COUNTIF($O$5:$O$1517,"&gt;="&amp;O1313),0)</f>
        <v>0</v>
      </c>
      <c r="Y1313" s="8" t="n">
        <f aca="false">IF($K1313=1,COUNTIFS($P$5:$P$1517,"&gt;="&amp;P1313,$K$5:$K$1517,1)/COUNTIF($P$5:$P$1517,"&gt;="&amp;P1313),0)</f>
        <v>0</v>
      </c>
      <c r="Z1313" s="8" t="n">
        <f aca="false">(L1313-$K1313)^2</f>
        <v>0.877770367236</v>
      </c>
      <c r="AA1313" s="8" t="n">
        <f aca="false">(M1313-$K1313)^2</f>
        <v>0.008475595969</v>
      </c>
      <c r="AB1313" s="8" t="n">
        <f aca="false">(N1313-$K1313)^2</f>
        <v>0.028115576329</v>
      </c>
      <c r="AC1313" s="8" t="n">
        <f aca="false">(O1313-$K1313)^2</f>
        <v>0.011274829489</v>
      </c>
      <c r="AD1313" s="8" t="n">
        <f aca="false">(P1313-$K1313)^2</f>
        <v>0.032768964484</v>
      </c>
      <c r="AE1313" s="8" t="n">
        <f aca="false">MIN(INT(ROUND(N1313*1000000,0)/100000),9)</f>
        <v>1</v>
      </c>
      <c r="AF1313" s="8" t="n">
        <f aca="false">MIN(INT(ROUND(P1313*1000000,0)/100000),9)</f>
        <v>1</v>
      </c>
    </row>
    <row r="1314" customFormat="false" ht="15" hidden="false" customHeight="false" outlineLevel="0" collapsed="false">
      <c r="A1314" s="4" t="n">
        <v>1310</v>
      </c>
      <c r="B1314" s="4" t="n">
        <v>1019</v>
      </c>
      <c r="C1314" s="4" t="n">
        <v>3</v>
      </c>
      <c r="D1314" s="11" t="n">
        <v>46143</v>
      </c>
      <c r="E1314" s="4" t="s">
        <v>204</v>
      </c>
      <c r="F1314" s="4" t="s">
        <v>206</v>
      </c>
      <c r="G1314" s="4" t="n">
        <v>11</v>
      </c>
      <c r="H1314" s="4" t="n">
        <v>1</v>
      </c>
      <c r="I1314" s="4" t="n">
        <v>0</v>
      </c>
      <c r="J1314" s="4" t="n">
        <v>72</v>
      </c>
      <c r="K1314" s="4" t="n">
        <v>0</v>
      </c>
      <c r="L1314" s="12" t="n">
        <v>0.117982</v>
      </c>
      <c r="M1314" s="12" t="n">
        <v>0.092063</v>
      </c>
      <c r="N1314" s="12" t="n">
        <v>0.066486</v>
      </c>
      <c r="O1314" s="12" t="n">
        <v>0.106183</v>
      </c>
      <c r="P1314" s="12" t="n">
        <v>0.069223</v>
      </c>
      <c r="Q1314" s="0" t="str">
        <f aca="false">IF(L1314&gt;=Models!$G$5,1+COUNTIF($L$5:$L$1517,"&gt;"&amp;L1314)+COUNTIFS($L$5:$L$1517,L1314,$B$5:$B$1517,"&lt;"&amp;B1314)+COUNTIFS($L$5:$L$1517,L1314,$B$5:$B$1517,B1314,$C$5:$C$1517,"&lt;"&amp;C1314),"")</f>
        <v/>
      </c>
      <c r="R1314" s="0" t="str">
        <f aca="false">IF(M1314&gt;=Models!$G$6,1+COUNTIF($M$5:$M$1517,"&gt;"&amp;M1314)+COUNTIFS($M$5:$M$1517,M1314,$B$5:$B$1517,"&lt;"&amp;B1314)+COUNTIFS($M$5:$M$1517,M1314,$B$5:$B$1517,B1314,$C$5:$C$1517,"&lt;"&amp;C1314),"")</f>
        <v/>
      </c>
      <c r="S1314" s="0" t="str">
        <f aca="false">IF(N1314&gt;=Models!$G$7,1+COUNTIF($N$5:$N$1517,"&gt;"&amp;N1314)+COUNTIFS($N$5:$N$1517,N1314,$B$5:$B$1517,"&lt;"&amp;B1314)+COUNTIFS($N$5:$N$1517,N1314,$B$5:$B$1517,B1314,$C$5:$C$1517,"&lt;"&amp;C1314),"")</f>
        <v/>
      </c>
      <c r="T1314" s="8" t="n">
        <f aca="false">IF(O1314&gt;=Models!$G$8,1+COUNTIF($O$5:$O$1517,"&gt;"&amp;O1314)+COUNTIFS($O$5:$O$1517,O1314,$B$5:$B$1517,"&lt;"&amp;B1314)+COUNTIFS($O$5:$O$1517,O1314,$B$5:$B$1517,B1314,$C$5:$C$1517,"&lt;"&amp;C1314),"")</f>
        <v>818</v>
      </c>
      <c r="U1314" s="8" t="n">
        <f aca="false">IF($K1314=1,COUNTIFS($L$5:$L$1517,"&gt;="&amp;L1314,$K$5:$K$1517,1)/COUNTIF($L$5:$L$1517,"&gt;="&amp;L1314),0)</f>
        <v>0</v>
      </c>
      <c r="V1314" s="8" t="n">
        <f aca="false">IF($K1314=1,COUNTIFS($M$5:$M$1517,"&gt;="&amp;M1314,$K$5:$K$1517,1)/COUNTIF($M$5:$M$1517,"&gt;="&amp;M1314),0)</f>
        <v>0</v>
      </c>
      <c r="W1314" s="8" t="n">
        <f aca="false">IF($K1314=1,COUNTIFS($N$5:$N$1517,"&gt;="&amp;N1314,$K$5:$K$1517,1)/COUNTIF($N$5:$N$1517,"&gt;="&amp;N1314),0)</f>
        <v>0</v>
      </c>
      <c r="X1314" s="8" t="n">
        <f aca="false">IF($K1314=1,COUNTIFS($O$5:$O$1517,"&gt;="&amp;O1314,$K$5:$K$1517,1)/COUNTIF($O$5:$O$1517,"&gt;="&amp;O1314),0)</f>
        <v>0</v>
      </c>
      <c r="Y1314" s="8" t="n">
        <f aca="false">IF($K1314=1,COUNTIFS($P$5:$P$1517,"&gt;="&amp;P1314,$K$5:$K$1517,1)/COUNTIF($P$5:$P$1517,"&gt;="&amp;P1314),0)</f>
        <v>0</v>
      </c>
      <c r="Z1314" s="8" t="n">
        <f aca="false">(L1314-$K1314)^2</f>
        <v>0.013919752324</v>
      </c>
      <c r="AA1314" s="8" t="n">
        <f aca="false">(M1314-$K1314)^2</f>
        <v>0.008475595969</v>
      </c>
      <c r="AB1314" s="8" t="n">
        <f aca="false">(N1314-$K1314)^2</f>
        <v>0.004420388196</v>
      </c>
      <c r="AC1314" s="8" t="n">
        <f aca="false">(O1314-$K1314)^2</f>
        <v>0.011274829489</v>
      </c>
      <c r="AD1314" s="8" t="n">
        <f aca="false">(P1314-$K1314)^2</f>
        <v>0.004791823729</v>
      </c>
      <c r="AE1314" s="8" t="n">
        <f aca="false">MIN(INT(ROUND(N1314*1000000,0)/100000),9)</f>
        <v>0</v>
      </c>
      <c r="AF1314" s="8" t="n">
        <f aca="false">MIN(INT(ROUND(P1314*1000000,0)/100000),9)</f>
        <v>0</v>
      </c>
    </row>
    <row r="1315" customFormat="false" ht="15" hidden="false" customHeight="false" outlineLevel="0" collapsed="false">
      <c r="A1315" s="4" t="n">
        <v>1311</v>
      </c>
      <c r="B1315" s="4" t="n">
        <v>1020</v>
      </c>
      <c r="C1315" s="4" t="n">
        <v>3</v>
      </c>
      <c r="D1315" s="11" t="n">
        <v>46143</v>
      </c>
      <c r="E1315" s="4" t="s">
        <v>201</v>
      </c>
      <c r="F1315" s="4" t="s">
        <v>209</v>
      </c>
      <c r="G1315" s="4" t="n">
        <v>20</v>
      </c>
      <c r="H1315" s="4" t="n">
        <v>1</v>
      </c>
      <c r="I1315" s="4" t="n">
        <v>1</v>
      </c>
      <c r="J1315" s="4" t="n">
        <v>9615</v>
      </c>
      <c r="K1315" s="4" t="n">
        <v>0</v>
      </c>
      <c r="L1315" s="12" t="n">
        <v>0.350564</v>
      </c>
      <c r="M1315" s="12" t="n">
        <v>0.184211</v>
      </c>
      <c r="N1315" s="12" t="n">
        <v>0.031985</v>
      </c>
      <c r="O1315" s="12" t="n">
        <v>0.106183</v>
      </c>
      <c r="P1315" s="12" t="n">
        <v>0.032194</v>
      </c>
      <c r="Q1315" s="0" t="str">
        <f aca="false">IF(L1315&gt;=Models!$G$5,1+COUNTIF($L$5:$L$1517,"&gt;"&amp;L1315)+COUNTIFS($L$5:$L$1517,L1315,$B$5:$B$1517,"&lt;"&amp;B1315)+COUNTIFS($L$5:$L$1517,L1315,$B$5:$B$1517,B1315,$C$5:$C$1517,"&lt;"&amp;C1315),"")</f>
        <v/>
      </c>
      <c r="R1315" s="8" t="n">
        <f aca="false">IF(M1315&gt;=Models!$G$6,1+COUNTIF($M$5:$M$1517,"&gt;"&amp;M1315)+COUNTIFS($M$5:$M$1517,M1315,$B$5:$B$1517,"&lt;"&amp;B1315)+COUNTIFS($M$5:$M$1517,M1315,$B$5:$B$1517,B1315,$C$5:$C$1517,"&lt;"&amp;C1315),"")</f>
        <v>92</v>
      </c>
      <c r="S1315" s="0" t="str">
        <f aca="false">IF(N1315&gt;=Models!$G$7,1+COUNTIF($N$5:$N$1517,"&gt;"&amp;N1315)+COUNTIFS($N$5:$N$1517,N1315,$B$5:$B$1517,"&lt;"&amp;B1315)+COUNTIFS($N$5:$N$1517,N1315,$B$5:$B$1517,B1315,$C$5:$C$1517,"&lt;"&amp;C1315),"")</f>
        <v/>
      </c>
      <c r="T1315" s="8" t="n">
        <f aca="false">IF(O1315&gt;=Models!$G$8,1+COUNTIF($O$5:$O$1517,"&gt;"&amp;O1315)+COUNTIFS($O$5:$O$1517,O1315,$B$5:$B$1517,"&lt;"&amp;B1315)+COUNTIFS($O$5:$O$1517,O1315,$B$5:$B$1517,B1315,$C$5:$C$1517,"&lt;"&amp;C1315),"")</f>
        <v>822</v>
      </c>
      <c r="U1315" s="8" t="n">
        <f aca="false">IF($K1315=1,COUNTIFS($L$5:$L$1517,"&gt;="&amp;L1315,$K$5:$K$1517,1)/COUNTIF($L$5:$L$1517,"&gt;="&amp;L1315),0)</f>
        <v>0</v>
      </c>
      <c r="V1315" s="8" t="n">
        <f aca="false">IF($K1315=1,COUNTIFS($M$5:$M$1517,"&gt;="&amp;M1315,$K$5:$K$1517,1)/COUNTIF($M$5:$M$1517,"&gt;="&amp;M1315),0)</f>
        <v>0</v>
      </c>
      <c r="W1315" s="8" t="n">
        <f aca="false">IF($K1315=1,COUNTIFS($N$5:$N$1517,"&gt;="&amp;N1315,$K$5:$K$1517,1)/COUNTIF($N$5:$N$1517,"&gt;="&amp;N1315),0)</f>
        <v>0</v>
      </c>
      <c r="X1315" s="8" t="n">
        <f aca="false">IF($K1315=1,COUNTIFS($O$5:$O$1517,"&gt;="&amp;O1315,$K$5:$K$1517,1)/COUNTIF($O$5:$O$1517,"&gt;="&amp;O1315),0)</f>
        <v>0</v>
      </c>
      <c r="Y1315" s="8" t="n">
        <f aca="false">IF($K1315=1,COUNTIFS($P$5:$P$1517,"&gt;="&amp;P1315,$K$5:$K$1517,1)/COUNTIF($P$5:$P$1517,"&gt;="&amp;P1315),0)</f>
        <v>0</v>
      </c>
      <c r="Z1315" s="8" t="n">
        <f aca="false">(L1315-$K1315)^2</f>
        <v>0.122895118096</v>
      </c>
      <c r="AA1315" s="8" t="n">
        <f aca="false">(M1315-$K1315)^2</f>
        <v>0.033933692521</v>
      </c>
      <c r="AB1315" s="8" t="n">
        <f aca="false">(N1315-$K1315)^2</f>
        <v>0.001023040225</v>
      </c>
      <c r="AC1315" s="8" t="n">
        <f aca="false">(O1315-$K1315)^2</f>
        <v>0.011274829489</v>
      </c>
      <c r="AD1315" s="8" t="n">
        <f aca="false">(P1315-$K1315)^2</f>
        <v>0.001036453636</v>
      </c>
      <c r="AE1315" s="8" t="n">
        <f aca="false">MIN(INT(ROUND(N1315*1000000,0)/100000),9)</f>
        <v>0</v>
      </c>
      <c r="AF1315" s="8" t="n">
        <f aca="false">MIN(INT(ROUND(P1315*1000000,0)/100000),9)</f>
        <v>0</v>
      </c>
    </row>
    <row r="1316" customFormat="false" ht="15" hidden="false" customHeight="false" outlineLevel="0" collapsed="false">
      <c r="A1316" s="4" t="n">
        <v>1312</v>
      </c>
      <c r="B1316" s="4" t="n">
        <v>1025</v>
      </c>
      <c r="C1316" s="4" t="n">
        <v>3</v>
      </c>
      <c r="D1316" s="11" t="n">
        <v>46143</v>
      </c>
      <c r="E1316" s="4" t="s">
        <v>201</v>
      </c>
      <c r="F1316" s="4" t="s">
        <v>206</v>
      </c>
      <c r="G1316" s="4" t="n">
        <v>22</v>
      </c>
      <c r="H1316" s="4" t="n">
        <v>2</v>
      </c>
      <c r="I1316" s="4" t="n">
        <v>0</v>
      </c>
      <c r="J1316" s="4" t="n">
        <v>32191.2</v>
      </c>
      <c r="K1316" s="4" t="n">
        <v>0</v>
      </c>
      <c r="L1316" s="12" t="n">
        <v>0.373345</v>
      </c>
      <c r="M1316" s="12" t="n">
        <v>0.092063</v>
      </c>
      <c r="N1316" s="12" t="n">
        <v>0.004116</v>
      </c>
      <c r="O1316" s="12" t="n">
        <v>0.106183</v>
      </c>
      <c r="P1316" s="12" t="n">
        <v>0.003755</v>
      </c>
      <c r="Q1316" s="0" t="str">
        <f aca="false">IF(L1316&gt;=Models!$G$5,1+COUNTIF($L$5:$L$1517,"&gt;"&amp;L1316)+COUNTIFS($L$5:$L$1517,L1316,$B$5:$B$1517,"&lt;"&amp;B1316)+COUNTIFS($L$5:$L$1517,L1316,$B$5:$B$1517,B1316,$C$5:$C$1517,"&lt;"&amp;C1316),"")</f>
        <v/>
      </c>
      <c r="R1316" s="0" t="str">
        <f aca="false">IF(M1316&gt;=Models!$G$6,1+COUNTIF($M$5:$M$1517,"&gt;"&amp;M1316)+COUNTIFS($M$5:$M$1517,M1316,$B$5:$B$1517,"&lt;"&amp;B1316)+COUNTIFS($M$5:$M$1517,M1316,$B$5:$B$1517,B1316,$C$5:$C$1517,"&lt;"&amp;C1316),"")</f>
        <v/>
      </c>
      <c r="S1316" s="0" t="str">
        <f aca="false">IF(N1316&gt;=Models!$G$7,1+COUNTIF($N$5:$N$1517,"&gt;"&amp;N1316)+COUNTIFS($N$5:$N$1517,N1316,$B$5:$B$1517,"&lt;"&amp;B1316)+COUNTIFS($N$5:$N$1517,N1316,$B$5:$B$1517,B1316,$C$5:$C$1517,"&lt;"&amp;C1316),"")</f>
        <v/>
      </c>
      <c r="T1316" s="8" t="n">
        <f aca="false">IF(O1316&gt;=Models!$G$8,1+COUNTIF($O$5:$O$1517,"&gt;"&amp;O1316)+COUNTIFS($O$5:$O$1517,O1316,$B$5:$B$1517,"&lt;"&amp;B1316)+COUNTIFS($O$5:$O$1517,O1316,$B$5:$B$1517,B1316,$C$5:$C$1517,"&lt;"&amp;C1316),"")</f>
        <v>826</v>
      </c>
      <c r="U1316" s="8" t="n">
        <f aca="false">IF($K1316=1,COUNTIFS($L$5:$L$1517,"&gt;="&amp;L1316,$K$5:$K$1517,1)/COUNTIF($L$5:$L$1517,"&gt;="&amp;L1316),0)</f>
        <v>0</v>
      </c>
      <c r="V1316" s="8" t="n">
        <f aca="false">IF($K1316=1,COUNTIFS($M$5:$M$1517,"&gt;="&amp;M1316,$K$5:$K$1517,1)/COUNTIF($M$5:$M$1517,"&gt;="&amp;M1316),0)</f>
        <v>0</v>
      </c>
      <c r="W1316" s="8" t="n">
        <f aca="false">IF($K1316=1,COUNTIFS($N$5:$N$1517,"&gt;="&amp;N1316,$K$5:$K$1517,1)/COUNTIF($N$5:$N$1517,"&gt;="&amp;N1316),0)</f>
        <v>0</v>
      </c>
      <c r="X1316" s="8" t="n">
        <f aca="false">IF($K1316=1,COUNTIFS($O$5:$O$1517,"&gt;="&amp;O1316,$K$5:$K$1517,1)/COUNTIF($O$5:$O$1517,"&gt;="&amp;O1316),0)</f>
        <v>0</v>
      </c>
      <c r="Y1316" s="8" t="n">
        <f aca="false">IF($K1316=1,COUNTIFS($P$5:$P$1517,"&gt;="&amp;P1316,$K$5:$K$1517,1)/COUNTIF($P$5:$P$1517,"&gt;="&amp;P1316),0)</f>
        <v>0</v>
      </c>
      <c r="Z1316" s="8" t="n">
        <f aca="false">(L1316-$K1316)^2</f>
        <v>0.139386489025</v>
      </c>
      <c r="AA1316" s="8" t="n">
        <f aca="false">(M1316-$K1316)^2</f>
        <v>0.008475595969</v>
      </c>
      <c r="AB1316" s="8" t="n">
        <f aca="false">(N1316-$K1316)^2</f>
        <v>1.6941456E-005</v>
      </c>
      <c r="AC1316" s="8" t="n">
        <f aca="false">(O1316-$K1316)^2</f>
        <v>0.011274829489</v>
      </c>
      <c r="AD1316" s="8" t="n">
        <f aca="false">(P1316-$K1316)^2</f>
        <v>1.4100025E-005</v>
      </c>
      <c r="AE1316" s="8" t="n">
        <f aca="false">MIN(INT(ROUND(N1316*1000000,0)/100000),9)</f>
        <v>0</v>
      </c>
      <c r="AF1316" s="8" t="n">
        <f aca="false">MIN(INT(ROUND(P1316*1000000,0)/100000),9)</f>
        <v>0</v>
      </c>
    </row>
    <row r="1317" customFormat="false" ht="15" hidden="false" customHeight="false" outlineLevel="0" collapsed="false">
      <c r="A1317" s="4" t="n">
        <v>1313</v>
      </c>
      <c r="B1317" s="4" t="n">
        <v>1031</v>
      </c>
      <c r="C1317" s="4" t="n">
        <v>3</v>
      </c>
      <c r="D1317" s="11" t="n">
        <v>46143</v>
      </c>
      <c r="E1317" s="4" t="s">
        <v>203</v>
      </c>
      <c r="F1317" s="4" t="s">
        <v>209</v>
      </c>
      <c r="G1317" s="4" t="n">
        <v>1</v>
      </c>
      <c r="H1317" s="4" t="n">
        <v>8</v>
      </c>
      <c r="I1317" s="4" t="n">
        <v>0</v>
      </c>
      <c r="J1317" s="4" t="n">
        <v>333</v>
      </c>
      <c r="K1317" s="4" t="n">
        <v>0</v>
      </c>
      <c r="L1317" s="12" t="n">
        <v>0.481349</v>
      </c>
      <c r="M1317" s="12" t="n">
        <v>0.092063</v>
      </c>
      <c r="N1317" s="12" t="n">
        <v>0.154488</v>
      </c>
      <c r="O1317" s="12" t="n">
        <v>0.106183</v>
      </c>
      <c r="P1317" s="12" t="n">
        <v>0.166348</v>
      </c>
      <c r="Q1317" s="0" t="str">
        <f aca="false">IF(L1317&gt;=Models!$G$5,1+COUNTIF($L$5:$L$1517,"&gt;"&amp;L1317)+COUNTIFS($L$5:$L$1517,L1317,$B$5:$B$1517,"&lt;"&amp;B1317)+COUNTIFS($L$5:$L$1517,L1317,$B$5:$B$1517,B1317,$C$5:$C$1517,"&lt;"&amp;C1317),"")</f>
        <v/>
      </c>
      <c r="R1317" s="0" t="str">
        <f aca="false">IF(M1317&gt;=Models!$G$6,1+COUNTIF($M$5:$M$1517,"&gt;"&amp;M1317)+COUNTIFS($M$5:$M$1517,M1317,$B$5:$B$1517,"&lt;"&amp;B1317)+COUNTIFS($M$5:$M$1517,M1317,$B$5:$B$1517,B1317,$C$5:$C$1517,"&lt;"&amp;C1317),"")</f>
        <v/>
      </c>
      <c r="S1317" s="0" t="str">
        <f aca="false">IF(N1317&gt;=Models!$G$7,1+COUNTIF($N$5:$N$1517,"&gt;"&amp;N1317)+COUNTIFS($N$5:$N$1517,N1317,$B$5:$B$1517,"&lt;"&amp;B1317)+COUNTIFS($N$5:$N$1517,N1317,$B$5:$B$1517,B1317,$C$5:$C$1517,"&lt;"&amp;C1317),"")</f>
        <v/>
      </c>
      <c r="T1317" s="8" t="n">
        <f aca="false">IF(O1317&gt;=Models!$G$8,1+COUNTIF($O$5:$O$1517,"&gt;"&amp;O1317)+COUNTIFS($O$5:$O$1517,O1317,$B$5:$B$1517,"&lt;"&amp;B1317)+COUNTIFS($O$5:$O$1517,O1317,$B$5:$B$1517,B1317,$C$5:$C$1517,"&lt;"&amp;C1317),"")</f>
        <v>830</v>
      </c>
      <c r="U1317" s="8" t="n">
        <f aca="false">IF($K1317=1,COUNTIFS($L$5:$L$1517,"&gt;="&amp;L1317,$K$5:$K$1517,1)/COUNTIF($L$5:$L$1517,"&gt;="&amp;L1317),0)</f>
        <v>0</v>
      </c>
      <c r="V1317" s="8" t="n">
        <f aca="false">IF($K1317=1,COUNTIFS($M$5:$M$1517,"&gt;="&amp;M1317,$K$5:$K$1517,1)/COUNTIF($M$5:$M$1517,"&gt;="&amp;M1317),0)</f>
        <v>0</v>
      </c>
      <c r="W1317" s="8" t="n">
        <f aca="false">IF($K1317=1,COUNTIFS($N$5:$N$1517,"&gt;="&amp;N1317,$K$5:$K$1517,1)/COUNTIF($N$5:$N$1517,"&gt;="&amp;N1317),0)</f>
        <v>0</v>
      </c>
      <c r="X1317" s="8" t="n">
        <f aca="false">IF($K1317=1,COUNTIFS($O$5:$O$1517,"&gt;="&amp;O1317,$K$5:$K$1517,1)/COUNTIF($O$5:$O$1517,"&gt;="&amp;O1317),0)</f>
        <v>0</v>
      </c>
      <c r="Y1317" s="8" t="n">
        <f aca="false">IF($K1317=1,COUNTIFS($P$5:$P$1517,"&gt;="&amp;P1317,$K$5:$K$1517,1)/COUNTIF($P$5:$P$1517,"&gt;="&amp;P1317),0)</f>
        <v>0</v>
      </c>
      <c r="Z1317" s="8" t="n">
        <f aca="false">(L1317-$K1317)^2</f>
        <v>0.231696859801</v>
      </c>
      <c r="AA1317" s="8" t="n">
        <f aca="false">(M1317-$K1317)^2</f>
        <v>0.008475595969</v>
      </c>
      <c r="AB1317" s="8" t="n">
        <f aca="false">(N1317-$K1317)^2</f>
        <v>0.023866542144</v>
      </c>
      <c r="AC1317" s="8" t="n">
        <f aca="false">(O1317-$K1317)^2</f>
        <v>0.011274829489</v>
      </c>
      <c r="AD1317" s="8" t="n">
        <f aca="false">(P1317-$K1317)^2</f>
        <v>0.027671657104</v>
      </c>
      <c r="AE1317" s="8" t="n">
        <f aca="false">MIN(INT(ROUND(N1317*1000000,0)/100000),9)</f>
        <v>1</v>
      </c>
      <c r="AF1317" s="8" t="n">
        <f aca="false">MIN(INT(ROUND(P1317*1000000,0)/100000),9)</f>
        <v>1</v>
      </c>
    </row>
    <row r="1318" customFormat="false" ht="15" hidden="false" customHeight="false" outlineLevel="0" collapsed="false">
      <c r="A1318" s="4" t="n">
        <v>1314</v>
      </c>
      <c r="B1318" s="4" t="n">
        <v>1038</v>
      </c>
      <c r="C1318" s="4" t="n">
        <v>3</v>
      </c>
      <c r="D1318" s="11" t="n">
        <v>46143</v>
      </c>
      <c r="E1318" s="4" t="s">
        <v>203</v>
      </c>
      <c r="F1318" s="4" t="s">
        <v>209</v>
      </c>
      <c r="G1318" s="4" t="n">
        <v>4</v>
      </c>
      <c r="H1318" s="4" t="n">
        <v>2</v>
      </c>
      <c r="I1318" s="4" t="n">
        <v>0</v>
      </c>
      <c r="J1318" s="4" t="n">
        <v>324</v>
      </c>
      <c r="K1318" s="4" t="n">
        <v>0</v>
      </c>
      <c r="L1318" s="12" t="n">
        <v>0.963367</v>
      </c>
      <c r="M1318" s="12" t="n">
        <v>0.092063</v>
      </c>
      <c r="N1318" s="12" t="n">
        <v>0.117279</v>
      </c>
      <c r="O1318" s="12" t="n">
        <v>0.106183</v>
      </c>
      <c r="P1318" s="12" t="n">
        <v>0.125043</v>
      </c>
      <c r="Q1318" s="0" t="str">
        <f aca="false">IF(L1318&gt;=Models!$G$5,1+COUNTIF($L$5:$L$1517,"&gt;"&amp;L1318)+COUNTIFS($L$5:$L$1517,L1318,$B$5:$B$1517,"&lt;"&amp;B1318)+COUNTIFS($L$5:$L$1517,L1318,$B$5:$B$1517,B1318,$C$5:$C$1517,"&lt;"&amp;C1318),"")</f>
        <v/>
      </c>
      <c r="R1318" s="0" t="str">
        <f aca="false">IF(M1318&gt;=Models!$G$6,1+COUNTIF($M$5:$M$1517,"&gt;"&amp;M1318)+COUNTIFS($M$5:$M$1517,M1318,$B$5:$B$1517,"&lt;"&amp;B1318)+COUNTIFS($M$5:$M$1517,M1318,$B$5:$B$1517,B1318,$C$5:$C$1517,"&lt;"&amp;C1318),"")</f>
        <v/>
      </c>
      <c r="S1318" s="0" t="str">
        <f aca="false">IF(N1318&gt;=Models!$G$7,1+COUNTIF($N$5:$N$1517,"&gt;"&amp;N1318)+COUNTIFS($N$5:$N$1517,N1318,$B$5:$B$1517,"&lt;"&amp;B1318)+COUNTIFS($N$5:$N$1517,N1318,$B$5:$B$1517,B1318,$C$5:$C$1517,"&lt;"&amp;C1318),"")</f>
        <v/>
      </c>
      <c r="T1318" s="8" t="n">
        <f aca="false">IF(O1318&gt;=Models!$G$8,1+COUNTIF($O$5:$O$1517,"&gt;"&amp;O1318)+COUNTIFS($O$5:$O$1517,O1318,$B$5:$B$1517,"&lt;"&amp;B1318)+COUNTIFS($O$5:$O$1517,O1318,$B$5:$B$1517,B1318,$C$5:$C$1517,"&lt;"&amp;C1318),"")</f>
        <v>834</v>
      </c>
      <c r="U1318" s="8" t="n">
        <f aca="false">IF($K1318=1,COUNTIFS($L$5:$L$1517,"&gt;="&amp;L1318,$K$5:$K$1517,1)/COUNTIF($L$5:$L$1517,"&gt;="&amp;L1318),0)</f>
        <v>0</v>
      </c>
      <c r="V1318" s="8" t="n">
        <f aca="false">IF($K1318=1,COUNTIFS($M$5:$M$1517,"&gt;="&amp;M1318,$K$5:$K$1517,1)/COUNTIF($M$5:$M$1517,"&gt;="&amp;M1318),0)</f>
        <v>0</v>
      </c>
      <c r="W1318" s="8" t="n">
        <f aca="false">IF($K1318=1,COUNTIFS($N$5:$N$1517,"&gt;="&amp;N1318,$K$5:$K$1517,1)/COUNTIF($N$5:$N$1517,"&gt;="&amp;N1318),0)</f>
        <v>0</v>
      </c>
      <c r="X1318" s="8" t="n">
        <f aca="false">IF($K1318=1,COUNTIFS($O$5:$O$1517,"&gt;="&amp;O1318,$K$5:$K$1517,1)/COUNTIF($O$5:$O$1517,"&gt;="&amp;O1318),0)</f>
        <v>0</v>
      </c>
      <c r="Y1318" s="8" t="n">
        <f aca="false">IF($K1318=1,COUNTIFS($P$5:$P$1517,"&gt;="&amp;P1318,$K$5:$K$1517,1)/COUNTIF($P$5:$P$1517,"&gt;="&amp;P1318),0)</f>
        <v>0</v>
      </c>
      <c r="Z1318" s="8" t="n">
        <f aca="false">(L1318-$K1318)^2</f>
        <v>0.928075976689</v>
      </c>
      <c r="AA1318" s="8" t="n">
        <f aca="false">(M1318-$K1318)^2</f>
        <v>0.008475595969</v>
      </c>
      <c r="AB1318" s="8" t="n">
        <f aca="false">(N1318-$K1318)^2</f>
        <v>0.013754363841</v>
      </c>
      <c r="AC1318" s="8" t="n">
        <f aca="false">(O1318-$K1318)^2</f>
        <v>0.011274829489</v>
      </c>
      <c r="AD1318" s="8" t="n">
        <f aca="false">(P1318-$K1318)^2</f>
        <v>0.015635751849</v>
      </c>
      <c r="AE1318" s="8" t="n">
        <f aca="false">MIN(INT(ROUND(N1318*1000000,0)/100000),9)</f>
        <v>1</v>
      </c>
      <c r="AF1318" s="8" t="n">
        <f aca="false">MIN(INT(ROUND(P1318*1000000,0)/100000),9)</f>
        <v>1</v>
      </c>
    </row>
    <row r="1319" customFormat="false" ht="15" hidden="false" customHeight="false" outlineLevel="0" collapsed="false">
      <c r="A1319" s="4" t="n">
        <v>1315</v>
      </c>
      <c r="B1319" s="4" t="n">
        <v>1039</v>
      </c>
      <c r="C1319" s="4" t="n">
        <v>3</v>
      </c>
      <c r="D1319" s="11" t="n">
        <v>46143</v>
      </c>
      <c r="E1319" s="4" t="s">
        <v>203</v>
      </c>
      <c r="F1319" s="4" t="s">
        <v>206</v>
      </c>
      <c r="G1319" s="4" t="n">
        <v>5</v>
      </c>
      <c r="H1319" s="4" t="n">
        <v>0</v>
      </c>
      <c r="I1319" s="4" t="n">
        <v>1</v>
      </c>
      <c r="J1319" s="4" t="n">
        <v>969</v>
      </c>
      <c r="K1319" s="4" t="n">
        <v>0</v>
      </c>
      <c r="L1319" s="12" t="n">
        <v>0.584236</v>
      </c>
      <c r="M1319" s="12" t="n">
        <v>0.184211</v>
      </c>
      <c r="N1319" s="12" t="n">
        <v>0.172752</v>
      </c>
      <c r="O1319" s="12" t="n">
        <v>0.106183</v>
      </c>
      <c r="P1319" s="12" t="n">
        <v>0.186669</v>
      </c>
      <c r="Q1319" s="0" t="str">
        <f aca="false">IF(L1319&gt;=Models!$G$5,1+COUNTIF($L$5:$L$1517,"&gt;"&amp;L1319)+COUNTIFS($L$5:$L$1517,L1319,$B$5:$B$1517,"&lt;"&amp;B1319)+COUNTIFS($L$5:$L$1517,L1319,$B$5:$B$1517,B1319,$C$5:$C$1517,"&lt;"&amp;C1319),"")</f>
        <v/>
      </c>
      <c r="R1319" s="8" t="n">
        <f aca="false">IF(M1319&gt;=Models!$G$6,1+COUNTIF($M$5:$M$1517,"&gt;"&amp;M1319)+COUNTIFS($M$5:$M$1517,M1319,$B$5:$B$1517,"&lt;"&amp;B1319)+COUNTIFS($M$5:$M$1517,M1319,$B$5:$B$1517,B1319,$C$5:$C$1517,"&lt;"&amp;C1319),"")</f>
        <v>95</v>
      </c>
      <c r="S1319" s="0" t="str">
        <f aca="false">IF(N1319&gt;=Models!$G$7,1+COUNTIF($N$5:$N$1517,"&gt;"&amp;N1319)+COUNTIFS($N$5:$N$1517,N1319,$B$5:$B$1517,"&lt;"&amp;B1319)+COUNTIFS($N$5:$N$1517,N1319,$B$5:$B$1517,B1319,$C$5:$C$1517,"&lt;"&amp;C1319),"")</f>
        <v/>
      </c>
      <c r="T1319" s="8" t="n">
        <f aca="false">IF(O1319&gt;=Models!$G$8,1+COUNTIF($O$5:$O$1517,"&gt;"&amp;O1319)+COUNTIFS($O$5:$O$1517,O1319,$B$5:$B$1517,"&lt;"&amp;B1319)+COUNTIFS($O$5:$O$1517,O1319,$B$5:$B$1517,B1319,$C$5:$C$1517,"&lt;"&amp;C1319),"")</f>
        <v>838</v>
      </c>
      <c r="U1319" s="8" t="n">
        <f aca="false">IF($K1319=1,COUNTIFS($L$5:$L$1517,"&gt;="&amp;L1319,$K$5:$K$1517,1)/COUNTIF($L$5:$L$1517,"&gt;="&amp;L1319),0)</f>
        <v>0</v>
      </c>
      <c r="V1319" s="8" t="n">
        <f aca="false">IF($K1319=1,COUNTIFS($M$5:$M$1517,"&gt;="&amp;M1319,$K$5:$K$1517,1)/COUNTIF($M$5:$M$1517,"&gt;="&amp;M1319),0)</f>
        <v>0</v>
      </c>
      <c r="W1319" s="8" t="n">
        <f aca="false">IF($K1319=1,COUNTIFS($N$5:$N$1517,"&gt;="&amp;N1319,$K$5:$K$1517,1)/COUNTIF($N$5:$N$1517,"&gt;="&amp;N1319),0)</f>
        <v>0</v>
      </c>
      <c r="X1319" s="8" t="n">
        <f aca="false">IF($K1319=1,COUNTIFS($O$5:$O$1517,"&gt;="&amp;O1319,$K$5:$K$1517,1)/COUNTIF($O$5:$O$1517,"&gt;="&amp;O1319),0)</f>
        <v>0</v>
      </c>
      <c r="Y1319" s="8" t="n">
        <f aca="false">IF($K1319=1,COUNTIFS($P$5:$P$1517,"&gt;="&amp;P1319,$K$5:$K$1517,1)/COUNTIF($P$5:$P$1517,"&gt;="&amp;P1319),0)</f>
        <v>0</v>
      </c>
      <c r="Z1319" s="8" t="n">
        <f aca="false">(L1319-$K1319)^2</f>
        <v>0.341331703696</v>
      </c>
      <c r="AA1319" s="8" t="n">
        <f aca="false">(M1319-$K1319)^2</f>
        <v>0.033933692521</v>
      </c>
      <c r="AB1319" s="8" t="n">
        <f aca="false">(N1319-$K1319)^2</f>
        <v>0.029843253504</v>
      </c>
      <c r="AC1319" s="8" t="n">
        <f aca="false">(O1319-$K1319)^2</f>
        <v>0.011274829489</v>
      </c>
      <c r="AD1319" s="8" t="n">
        <f aca="false">(P1319-$K1319)^2</f>
        <v>0.034845315561</v>
      </c>
      <c r="AE1319" s="8" t="n">
        <f aca="false">MIN(INT(ROUND(N1319*1000000,0)/100000),9)</f>
        <v>1</v>
      </c>
      <c r="AF1319" s="8" t="n">
        <f aca="false">MIN(INT(ROUND(P1319*1000000,0)/100000),9)</f>
        <v>1</v>
      </c>
    </row>
    <row r="1320" customFormat="false" ht="15" hidden="false" customHeight="false" outlineLevel="0" collapsed="false">
      <c r="A1320" s="4" t="n">
        <v>1316</v>
      </c>
      <c r="B1320" s="4" t="n">
        <v>1042</v>
      </c>
      <c r="C1320" s="4" t="n">
        <v>3</v>
      </c>
      <c r="D1320" s="11" t="n">
        <v>46143</v>
      </c>
      <c r="E1320" s="4" t="s">
        <v>202</v>
      </c>
      <c r="F1320" s="4" t="s">
        <v>206</v>
      </c>
      <c r="G1320" s="4" t="n">
        <v>7</v>
      </c>
      <c r="H1320" s="4" t="n">
        <v>2</v>
      </c>
      <c r="I1320" s="4" t="n">
        <v>0</v>
      </c>
      <c r="J1320" s="4" t="n">
        <v>3529.2</v>
      </c>
      <c r="K1320" s="4" t="n">
        <v>0</v>
      </c>
      <c r="L1320" s="12" t="n">
        <v>0.075099</v>
      </c>
      <c r="M1320" s="12" t="n">
        <v>0.092063</v>
      </c>
      <c r="N1320" s="12" t="n">
        <v>0.077661</v>
      </c>
      <c r="O1320" s="12" t="n">
        <v>0.106183</v>
      </c>
      <c r="P1320" s="12" t="n">
        <v>0.081412</v>
      </c>
      <c r="Q1320" s="0" t="str">
        <f aca="false">IF(L1320&gt;=Models!$G$5,1+COUNTIF($L$5:$L$1517,"&gt;"&amp;L1320)+COUNTIFS($L$5:$L$1517,L1320,$B$5:$B$1517,"&lt;"&amp;B1320)+COUNTIFS($L$5:$L$1517,L1320,$B$5:$B$1517,B1320,$C$5:$C$1517,"&lt;"&amp;C1320),"")</f>
        <v/>
      </c>
      <c r="R1320" s="0" t="str">
        <f aca="false">IF(M1320&gt;=Models!$G$6,1+COUNTIF($M$5:$M$1517,"&gt;"&amp;M1320)+COUNTIFS($M$5:$M$1517,M1320,$B$5:$B$1517,"&lt;"&amp;B1320)+COUNTIFS($M$5:$M$1517,M1320,$B$5:$B$1517,B1320,$C$5:$C$1517,"&lt;"&amp;C1320),"")</f>
        <v/>
      </c>
      <c r="S1320" s="0" t="str">
        <f aca="false">IF(N1320&gt;=Models!$G$7,1+COUNTIF($N$5:$N$1517,"&gt;"&amp;N1320)+COUNTIFS($N$5:$N$1517,N1320,$B$5:$B$1517,"&lt;"&amp;B1320)+COUNTIFS($N$5:$N$1517,N1320,$B$5:$B$1517,B1320,$C$5:$C$1517,"&lt;"&amp;C1320),"")</f>
        <v/>
      </c>
      <c r="T1320" s="8" t="n">
        <f aca="false">IF(O1320&gt;=Models!$G$8,1+COUNTIF($O$5:$O$1517,"&gt;"&amp;O1320)+COUNTIFS($O$5:$O$1517,O1320,$B$5:$B$1517,"&lt;"&amp;B1320)+COUNTIFS($O$5:$O$1517,O1320,$B$5:$B$1517,B1320,$C$5:$C$1517,"&lt;"&amp;C1320),"")</f>
        <v>842</v>
      </c>
      <c r="U1320" s="8" t="n">
        <f aca="false">IF($K1320=1,COUNTIFS($L$5:$L$1517,"&gt;="&amp;L1320,$K$5:$K$1517,1)/COUNTIF($L$5:$L$1517,"&gt;="&amp;L1320),0)</f>
        <v>0</v>
      </c>
      <c r="V1320" s="8" t="n">
        <f aca="false">IF($K1320=1,COUNTIFS($M$5:$M$1517,"&gt;="&amp;M1320,$K$5:$K$1517,1)/COUNTIF($M$5:$M$1517,"&gt;="&amp;M1320),0)</f>
        <v>0</v>
      </c>
      <c r="W1320" s="8" t="n">
        <f aca="false">IF($K1320=1,COUNTIFS($N$5:$N$1517,"&gt;="&amp;N1320,$K$5:$K$1517,1)/COUNTIF($N$5:$N$1517,"&gt;="&amp;N1320),0)</f>
        <v>0</v>
      </c>
      <c r="X1320" s="8" t="n">
        <f aca="false">IF($K1320=1,COUNTIFS($O$5:$O$1517,"&gt;="&amp;O1320,$K$5:$K$1517,1)/COUNTIF($O$5:$O$1517,"&gt;="&amp;O1320),0)</f>
        <v>0</v>
      </c>
      <c r="Y1320" s="8" t="n">
        <f aca="false">IF($K1320=1,COUNTIFS($P$5:$P$1517,"&gt;="&amp;P1320,$K$5:$K$1517,1)/COUNTIF($P$5:$P$1517,"&gt;="&amp;P1320),0)</f>
        <v>0</v>
      </c>
      <c r="Z1320" s="8" t="n">
        <f aca="false">(L1320-$K1320)^2</f>
        <v>0.005639859801</v>
      </c>
      <c r="AA1320" s="8" t="n">
        <f aca="false">(M1320-$K1320)^2</f>
        <v>0.008475595969</v>
      </c>
      <c r="AB1320" s="8" t="n">
        <f aca="false">(N1320-$K1320)^2</f>
        <v>0.006031230921</v>
      </c>
      <c r="AC1320" s="8" t="n">
        <f aca="false">(O1320-$K1320)^2</f>
        <v>0.011274829489</v>
      </c>
      <c r="AD1320" s="8" t="n">
        <f aca="false">(P1320-$K1320)^2</f>
        <v>0.006627913744</v>
      </c>
      <c r="AE1320" s="8" t="n">
        <f aca="false">MIN(INT(ROUND(N1320*1000000,0)/100000),9)</f>
        <v>0</v>
      </c>
      <c r="AF1320" s="8" t="n">
        <f aca="false">MIN(INT(ROUND(P1320*1000000,0)/100000),9)</f>
        <v>0</v>
      </c>
    </row>
    <row r="1321" customFormat="false" ht="15" hidden="false" customHeight="false" outlineLevel="0" collapsed="false">
      <c r="A1321" s="4" t="n">
        <v>1317</v>
      </c>
      <c r="B1321" s="4" t="n">
        <v>1044</v>
      </c>
      <c r="C1321" s="4" t="n">
        <v>3</v>
      </c>
      <c r="D1321" s="11" t="n">
        <v>46143</v>
      </c>
      <c r="E1321" s="4" t="s">
        <v>204</v>
      </c>
      <c r="F1321" s="4" t="s">
        <v>206</v>
      </c>
      <c r="G1321" s="4" t="n">
        <v>0</v>
      </c>
      <c r="H1321" s="4" t="n">
        <v>76</v>
      </c>
      <c r="I1321" s="4" t="n">
        <v>0</v>
      </c>
      <c r="J1321" s="4" t="n">
        <v>387.6</v>
      </c>
      <c r="K1321" s="4" t="n">
        <v>0</v>
      </c>
      <c r="L1321" s="12" t="n">
        <v>0.909133</v>
      </c>
      <c r="M1321" s="12" t="n">
        <v>0.184211</v>
      </c>
      <c r="N1321" s="12" t="n">
        <v>0.258118</v>
      </c>
      <c r="O1321" s="12" t="n">
        <v>0.106183</v>
      </c>
      <c r="P1321" s="12" t="n">
        <v>0.281499</v>
      </c>
      <c r="Q1321" s="0" t="str">
        <f aca="false">IF(L1321&gt;=Models!$G$5,1+COUNTIF($L$5:$L$1517,"&gt;"&amp;L1321)+COUNTIFS($L$5:$L$1517,L1321,$B$5:$B$1517,"&lt;"&amp;B1321)+COUNTIFS($L$5:$L$1517,L1321,$B$5:$B$1517,B1321,$C$5:$C$1517,"&lt;"&amp;C1321),"")</f>
        <v/>
      </c>
      <c r="R1321" s="8" t="n">
        <f aca="false">IF(M1321&gt;=Models!$G$6,1+COUNTIF($M$5:$M$1517,"&gt;"&amp;M1321)+COUNTIFS($M$5:$M$1517,M1321,$B$5:$B$1517,"&lt;"&amp;B1321)+COUNTIFS($M$5:$M$1517,M1321,$B$5:$B$1517,B1321,$C$5:$C$1517,"&lt;"&amp;C1321),"")</f>
        <v>97</v>
      </c>
      <c r="S1321" s="8" t="n">
        <f aca="false">IF(N1321&gt;=Models!$G$7,1+COUNTIF($N$5:$N$1517,"&gt;"&amp;N1321)+COUNTIFS($N$5:$N$1517,N1321,$B$5:$B$1517,"&lt;"&amp;B1321)+COUNTIFS($N$5:$N$1517,N1321,$B$5:$B$1517,B1321,$C$5:$C$1517,"&lt;"&amp;C1321),"")</f>
        <v>14</v>
      </c>
      <c r="T1321" s="8" t="n">
        <f aca="false">IF(O1321&gt;=Models!$G$8,1+COUNTIF($O$5:$O$1517,"&gt;"&amp;O1321)+COUNTIFS($O$5:$O$1517,O1321,$B$5:$B$1517,"&lt;"&amp;B1321)+COUNTIFS($O$5:$O$1517,O1321,$B$5:$B$1517,B1321,$C$5:$C$1517,"&lt;"&amp;C1321),"")</f>
        <v>846</v>
      </c>
      <c r="U1321" s="8" t="n">
        <f aca="false">IF($K1321=1,COUNTIFS($L$5:$L$1517,"&gt;="&amp;L1321,$K$5:$K$1517,1)/COUNTIF($L$5:$L$1517,"&gt;="&amp;L1321),0)</f>
        <v>0</v>
      </c>
      <c r="V1321" s="8" t="n">
        <f aca="false">IF($K1321=1,COUNTIFS($M$5:$M$1517,"&gt;="&amp;M1321,$K$5:$K$1517,1)/COUNTIF($M$5:$M$1517,"&gt;="&amp;M1321),0)</f>
        <v>0</v>
      </c>
      <c r="W1321" s="8" t="n">
        <f aca="false">IF($K1321=1,COUNTIFS($N$5:$N$1517,"&gt;="&amp;N1321,$K$5:$K$1517,1)/COUNTIF($N$5:$N$1517,"&gt;="&amp;N1321),0)</f>
        <v>0</v>
      </c>
      <c r="X1321" s="8" t="n">
        <f aca="false">IF($K1321=1,COUNTIFS($O$5:$O$1517,"&gt;="&amp;O1321,$K$5:$K$1517,1)/COUNTIF($O$5:$O$1517,"&gt;="&amp;O1321),0)</f>
        <v>0</v>
      </c>
      <c r="Y1321" s="8" t="n">
        <f aca="false">IF($K1321=1,COUNTIFS($P$5:$P$1517,"&gt;="&amp;P1321,$K$5:$K$1517,1)/COUNTIF($P$5:$P$1517,"&gt;="&amp;P1321),0)</f>
        <v>0</v>
      </c>
      <c r="Z1321" s="8" t="n">
        <f aca="false">(L1321-$K1321)^2</f>
        <v>0.826522811689</v>
      </c>
      <c r="AA1321" s="8" t="n">
        <f aca="false">(M1321-$K1321)^2</f>
        <v>0.033933692521</v>
      </c>
      <c r="AB1321" s="8" t="n">
        <f aca="false">(N1321-$K1321)^2</f>
        <v>0.066624901924</v>
      </c>
      <c r="AC1321" s="8" t="n">
        <f aca="false">(O1321-$K1321)^2</f>
        <v>0.011274829489</v>
      </c>
      <c r="AD1321" s="8" t="n">
        <f aca="false">(P1321-$K1321)^2</f>
        <v>0.079241687001</v>
      </c>
      <c r="AE1321" s="8" t="n">
        <f aca="false">MIN(INT(ROUND(N1321*1000000,0)/100000),9)</f>
        <v>2</v>
      </c>
      <c r="AF1321" s="8" t="n">
        <f aca="false">MIN(INT(ROUND(P1321*1000000,0)/100000),9)</f>
        <v>2</v>
      </c>
    </row>
    <row r="1322" customFormat="false" ht="15" hidden="false" customHeight="false" outlineLevel="0" collapsed="false">
      <c r="A1322" s="4" t="n">
        <v>1318</v>
      </c>
      <c r="B1322" s="4" t="n">
        <v>1048</v>
      </c>
      <c r="C1322" s="4" t="n">
        <v>3</v>
      </c>
      <c r="D1322" s="11" t="n">
        <v>46143</v>
      </c>
      <c r="E1322" s="4" t="s">
        <v>203</v>
      </c>
      <c r="F1322" s="4" t="s">
        <v>207</v>
      </c>
      <c r="G1322" s="4" t="n">
        <v>8</v>
      </c>
      <c r="H1322" s="4" t="n">
        <v>4</v>
      </c>
      <c r="I1322" s="4" t="n">
        <v>0</v>
      </c>
      <c r="J1322" s="4" t="n">
        <v>414</v>
      </c>
      <c r="K1322" s="4" t="n">
        <v>0</v>
      </c>
      <c r="L1322" s="12" t="n">
        <v>0.412706</v>
      </c>
      <c r="M1322" s="12" t="n">
        <v>0.092063</v>
      </c>
      <c r="N1322" s="12" t="n">
        <v>0.085704</v>
      </c>
      <c r="O1322" s="12" t="n">
        <v>0.106183</v>
      </c>
      <c r="P1322" s="12" t="n">
        <v>0.090223</v>
      </c>
      <c r="Q1322" s="0" t="str">
        <f aca="false">IF(L1322&gt;=Models!$G$5,1+COUNTIF($L$5:$L$1517,"&gt;"&amp;L1322)+COUNTIFS($L$5:$L$1517,L1322,$B$5:$B$1517,"&lt;"&amp;B1322)+COUNTIFS($L$5:$L$1517,L1322,$B$5:$B$1517,B1322,$C$5:$C$1517,"&lt;"&amp;C1322),"")</f>
        <v/>
      </c>
      <c r="R1322" s="0" t="str">
        <f aca="false">IF(M1322&gt;=Models!$G$6,1+COUNTIF($M$5:$M$1517,"&gt;"&amp;M1322)+COUNTIFS($M$5:$M$1517,M1322,$B$5:$B$1517,"&lt;"&amp;B1322)+COUNTIFS($M$5:$M$1517,M1322,$B$5:$B$1517,B1322,$C$5:$C$1517,"&lt;"&amp;C1322),"")</f>
        <v/>
      </c>
      <c r="S1322" s="0" t="str">
        <f aca="false">IF(N1322&gt;=Models!$G$7,1+COUNTIF($N$5:$N$1517,"&gt;"&amp;N1322)+COUNTIFS($N$5:$N$1517,N1322,$B$5:$B$1517,"&lt;"&amp;B1322)+COUNTIFS($N$5:$N$1517,N1322,$B$5:$B$1517,B1322,$C$5:$C$1517,"&lt;"&amp;C1322),"")</f>
        <v/>
      </c>
      <c r="T1322" s="8" t="n">
        <f aca="false">IF(O1322&gt;=Models!$G$8,1+COUNTIF($O$5:$O$1517,"&gt;"&amp;O1322)+COUNTIFS($O$5:$O$1517,O1322,$B$5:$B$1517,"&lt;"&amp;B1322)+COUNTIFS($O$5:$O$1517,O1322,$B$5:$B$1517,B1322,$C$5:$C$1517,"&lt;"&amp;C1322),"")</f>
        <v>850</v>
      </c>
      <c r="U1322" s="8" t="n">
        <f aca="false">IF($K1322=1,COUNTIFS($L$5:$L$1517,"&gt;="&amp;L1322,$K$5:$K$1517,1)/COUNTIF($L$5:$L$1517,"&gt;="&amp;L1322),0)</f>
        <v>0</v>
      </c>
      <c r="V1322" s="8" t="n">
        <f aca="false">IF($K1322=1,COUNTIFS($M$5:$M$1517,"&gt;="&amp;M1322,$K$5:$K$1517,1)/COUNTIF($M$5:$M$1517,"&gt;="&amp;M1322),0)</f>
        <v>0</v>
      </c>
      <c r="W1322" s="8" t="n">
        <f aca="false">IF($K1322=1,COUNTIFS($N$5:$N$1517,"&gt;="&amp;N1322,$K$5:$K$1517,1)/COUNTIF($N$5:$N$1517,"&gt;="&amp;N1322),0)</f>
        <v>0</v>
      </c>
      <c r="X1322" s="8" t="n">
        <f aca="false">IF($K1322=1,COUNTIFS($O$5:$O$1517,"&gt;="&amp;O1322,$K$5:$K$1517,1)/COUNTIF($O$5:$O$1517,"&gt;="&amp;O1322),0)</f>
        <v>0</v>
      </c>
      <c r="Y1322" s="8" t="n">
        <f aca="false">IF($K1322=1,COUNTIFS($P$5:$P$1517,"&gt;="&amp;P1322,$K$5:$K$1517,1)/COUNTIF($P$5:$P$1517,"&gt;="&amp;P1322),0)</f>
        <v>0</v>
      </c>
      <c r="Z1322" s="8" t="n">
        <f aca="false">(L1322-$K1322)^2</f>
        <v>0.170326242436</v>
      </c>
      <c r="AA1322" s="8" t="n">
        <f aca="false">(M1322-$K1322)^2</f>
        <v>0.008475595969</v>
      </c>
      <c r="AB1322" s="8" t="n">
        <f aca="false">(N1322-$K1322)^2</f>
        <v>0.007345175616</v>
      </c>
      <c r="AC1322" s="8" t="n">
        <f aca="false">(O1322-$K1322)^2</f>
        <v>0.011274829489</v>
      </c>
      <c r="AD1322" s="8" t="n">
        <f aca="false">(P1322-$K1322)^2</f>
        <v>0.008140189729</v>
      </c>
      <c r="AE1322" s="8" t="n">
        <f aca="false">MIN(INT(ROUND(N1322*1000000,0)/100000),9)</f>
        <v>0</v>
      </c>
      <c r="AF1322" s="8" t="n">
        <f aca="false">MIN(INT(ROUND(P1322*1000000,0)/100000),9)</f>
        <v>0</v>
      </c>
    </row>
    <row r="1323" customFormat="false" ht="15" hidden="false" customHeight="false" outlineLevel="0" collapsed="false">
      <c r="A1323" s="4" t="n">
        <v>1319</v>
      </c>
      <c r="B1323" s="4" t="n">
        <v>1066</v>
      </c>
      <c r="C1323" s="4" t="n">
        <v>3</v>
      </c>
      <c r="D1323" s="11" t="n">
        <v>46143</v>
      </c>
      <c r="E1323" s="4" t="s">
        <v>203</v>
      </c>
      <c r="F1323" s="4" t="s">
        <v>206</v>
      </c>
      <c r="G1323" s="4" t="n">
        <v>4</v>
      </c>
      <c r="H1323" s="4" t="n">
        <v>11</v>
      </c>
      <c r="I1323" s="4" t="n">
        <v>1</v>
      </c>
      <c r="J1323" s="4" t="n">
        <v>432</v>
      </c>
      <c r="K1323" s="4" t="n">
        <v>0</v>
      </c>
      <c r="L1323" s="12" t="n">
        <v>0.265923</v>
      </c>
      <c r="M1323" s="12" t="n">
        <v>0.184211</v>
      </c>
      <c r="N1323" s="12" t="n">
        <v>0.205065</v>
      </c>
      <c r="O1323" s="12" t="n">
        <v>0.106183</v>
      </c>
      <c r="P1323" s="12" t="n">
        <v>0.222625</v>
      </c>
      <c r="Q1323" s="0" t="str">
        <f aca="false">IF(L1323&gt;=Models!$G$5,1+COUNTIF($L$5:$L$1517,"&gt;"&amp;L1323)+COUNTIFS($L$5:$L$1517,L1323,$B$5:$B$1517,"&lt;"&amp;B1323)+COUNTIFS($L$5:$L$1517,L1323,$B$5:$B$1517,B1323,$C$5:$C$1517,"&lt;"&amp;C1323),"")</f>
        <v/>
      </c>
      <c r="R1323" s="8" t="n">
        <f aca="false">IF(M1323&gt;=Models!$G$6,1+COUNTIF($M$5:$M$1517,"&gt;"&amp;M1323)+COUNTIFS($M$5:$M$1517,M1323,$B$5:$B$1517,"&lt;"&amp;B1323)+COUNTIFS($M$5:$M$1517,M1323,$B$5:$B$1517,B1323,$C$5:$C$1517,"&lt;"&amp;C1323),"")</f>
        <v>98</v>
      </c>
      <c r="S1323" s="0" t="str">
        <f aca="false">IF(N1323&gt;=Models!$G$7,1+COUNTIF($N$5:$N$1517,"&gt;"&amp;N1323)+COUNTIFS($N$5:$N$1517,N1323,$B$5:$B$1517,"&lt;"&amp;B1323)+COUNTIFS($N$5:$N$1517,N1323,$B$5:$B$1517,B1323,$C$5:$C$1517,"&lt;"&amp;C1323),"")</f>
        <v/>
      </c>
      <c r="T1323" s="8" t="n">
        <f aca="false">IF(O1323&gt;=Models!$G$8,1+COUNTIF($O$5:$O$1517,"&gt;"&amp;O1323)+COUNTIFS($O$5:$O$1517,O1323,$B$5:$B$1517,"&lt;"&amp;B1323)+COUNTIFS($O$5:$O$1517,O1323,$B$5:$B$1517,B1323,$C$5:$C$1517,"&lt;"&amp;C1323),"")</f>
        <v>854</v>
      </c>
      <c r="U1323" s="8" t="n">
        <f aca="false">IF($K1323=1,COUNTIFS($L$5:$L$1517,"&gt;="&amp;L1323,$K$5:$K$1517,1)/COUNTIF($L$5:$L$1517,"&gt;="&amp;L1323),0)</f>
        <v>0</v>
      </c>
      <c r="V1323" s="8" t="n">
        <f aca="false">IF($K1323=1,COUNTIFS($M$5:$M$1517,"&gt;="&amp;M1323,$K$5:$K$1517,1)/COUNTIF($M$5:$M$1517,"&gt;="&amp;M1323),0)</f>
        <v>0</v>
      </c>
      <c r="W1323" s="8" t="n">
        <f aca="false">IF($K1323=1,COUNTIFS($N$5:$N$1517,"&gt;="&amp;N1323,$K$5:$K$1517,1)/COUNTIF($N$5:$N$1517,"&gt;="&amp;N1323),0)</f>
        <v>0</v>
      </c>
      <c r="X1323" s="8" t="n">
        <f aca="false">IF($K1323=1,COUNTIFS($O$5:$O$1517,"&gt;="&amp;O1323,$K$5:$K$1517,1)/COUNTIF($O$5:$O$1517,"&gt;="&amp;O1323),0)</f>
        <v>0</v>
      </c>
      <c r="Y1323" s="8" t="n">
        <f aca="false">IF($K1323=1,COUNTIFS($P$5:$P$1517,"&gt;="&amp;P1323,$K$5:$K$1517,1)/COUNTIF($P$5:$P$1517,"&gt;="&amp;P1323),0)</f>
        <v>0</v>
      </c>
      <c r="Z1323" s="8" t="n">
        <f aca="false">(L1323-$K1323)^2</f>
        <v>0.070715041929</v>
      </c>
      <c r="AA1323" s="8" t="n">
        <f aca="false">(M1323-$K1323)^2</f>
        <v>0.033933692521</v>
      </c>
      <c r="AB1323" s="8" t="n">
        <f aca="false">(N1323-$K1323)^2</f>
        <v>0.042051654225</v>
      </c>
      <c r="AC1323" s="8" t="n">
        <f aca="false">(O1323-$K1323)^2</f>
        <v>0.011274829489</v>
      </c>
      <c r="AD1323" s="8" t="n">
        <f aca="false">(P1323-$K1323)^2</f>
        <v>0.049561890625</v>
      </c>
      <c r="AE1323" s="8" t="n">
        <f aca="false">MIN(INT(ROUND(N1323*1000000,0)/100000),9)</f>
        <v>2</v>
      </c>
      <c r="AF1323" s="8" t="n">
        <f aca="false">MIN(INT(ROUND(P1323*1000000,0)/100000),9)</f>
        <v>2</v>
      </c>
    </row>
    <row r="1324" customFormat="false" ht="15" hidden="false" customHeight="false" outlineLevel="0" collapsed="false">
      <c r="A1324" s="4" t="n">
        <v>1320</v>
      </c>
      <c r="B1324" s="4" t="n">
        <v>1073</v>
      </c>
      <c r="C1324" s="4" t="n">
        <v>3</v>
      </c>
      <c r="D1324" s="11" t="n">
        <v>46143</v>
      </c>
      <c r="E1324" s="4" t="s">
        <v>204</v>
      </c>
      <c r="F1324" s="4" t="s">
        <v>209</v>
      </c>
      <c r="G1324" s="4" t="n">
        <v>1</v>
      </c>
      <c r="H1324" s="4" t="n">
        <v>22</v>
      </c>
      <c r="I1324" s="4" t="n">
        <v>0</v>
      </c>
      <c r="J1324" s="4" t="n">
        <v>60</v>
      </c>
      <c r="K1324" s="4" t="n">
        <v>0</v>
      </c>
      <c r="L1324" s="12" t="n">
        <v>0.679159</v>
      </c>
      <c r="M1324" s="12" t="n">
        <v>0.092063</v>
      </c>
      <c r="N1324" s="12" t="n">
        <v>0.172323</v>
      </c>
      <c r="O1324" s="12" t="n">
        <v>0.106183</v>
      </c>
      <c r="P1324" s="12" t="n">
        <v>0.186192</v>
      </c>
      <c r="Q1324" s="0" t="str">
        <f aca="false">IF(L1324&gt;=Models!$G$5,1+COUNTIF($L$5:$L$1517,"&gt;"&amp;L1324)+COUNTIFS($L$5:$L$1517,L1324,$B$5:$B$1517,"&lt;"&amp;B1324)+COUNTIFS($L$5:$L$1517,L1324,$B$5:$B$1517,B1324,$C$5:$C$1517,"&lt;"&amp;C1324),"")</f>
        <v/>
      </c>
      <c r="R1324" s="0" t="str">
        <f aca="false">IF(M1324&gt;=Models!$G$6,1+COUNTIF($M$5:$M$1517,"&gt;"&amp;M1324)+COUNTIFS($M$5:$M$1517,M1324,$B$5:$B$1517,"&lt;"&amp;B1324)+COUNTIFS($M$5:$M$1517,M1324,$B$5:$B$1517,B1324,$C$5:$C$1517,"&lt;"&amp;C1324),"")</f>
        <v/>
      </c>
      <c r="S1324" s="0" t="str">
        <f aca="false">IF(N1324&gt;=Models!$G$7,1+COUNTIF($N$5:$N$1517,"&gt;"&amp;N1324)+COUNTIFS($N$5:$N$1517,N1324,$B$5:$B$1517,"&lt;"&amp;B1324)+COUNTIFS($N$5:$N$1517,N1324,$B$5:$B$1517,B1324,$C$5:$C$1517,"&lt;"&amp;C1324),"")</f>
        <v/>
      </c>
      <c r="T1324" s="8" t="n">
        <f aca="false">IF(O1324&gt;=Models!$G$8,1+COUNTIF($O$5:$O$1517,"&gt;"&amp;O1324)+COUNTIFS($O$5:$O$1517,O1324,$B$5:$B$1517,"&lt;"&amp;B1324)+COUNTIFS($O$5:$O$1517,O1324,$B$5:$B$1517,B1324,$C$5:$C$1517,"&lt;"&amp;C1324),"")</f>
        <v>858</v>
      </c>
      <c r="U1324" s="8" t="n">
        <f aca="false">IF($K1324=1,COUNTIFS($L$5:$L$1517,"&gt;="&amp;L1324,$K$5:$K$1517,1)/COUNTIF($L$5:$L$1517,"&gt;="&amp;L1324),0)</f>
        <v>0</v>
      </c>
      <c r="V1324" s="8" t="n">
        <f aca="false">IF($K1324=1,COUNTIFS($M$5:$M$1517,"&gt;="&amp;M1324,$K$5:$K$1517,1)/COUNTIF($M$5:$M$1517,"&gt;="&amp;M1324),0)</f>
        <v>0</v>
      </c>
      <c r="W1324" s="8" t="n">
        <f aca="false">IF($K1324=1,COUNTIFS($N$5:$N$1517,"&gt;="&amp;N1324,$K$5:$K$1517,1)/COUNTIF($N$5:$N$1517,"&gt;="&amp;N1324),0)</f>
        <v>0</v>
      </c>
      <c r="X1324" s="8" t="n">
        <f aca="false">IF($K1324=1,COUNTIFS($O$5:$O$1517,"&gt;="&amp;O1324,$K$5:$K$1517,1)/COUNTIF($O$5:$O$1517,"&gt;="&amp;O1324),0)</f>
        <v>0</v>
      </c>
      <c r="Y1324" s="8" t="n">
        <f aca="false">IF($K1324=1,COUNTIFS($P$5:$P$1517,"&gt;="&amp;P1324,$K$5:$K$1517,1)/COUNTIF($P$5:$P$1517,"&gt;="&amp;P1324),0)</f>
        <v>0</v>
      </c>
      <c r="Z1324" s="8" t="n">
        <f aca="false">(L1324-$K1324)^2</f>
        <v>0.461256947281</v>
      </c>
      <c r="AA1324" s="8" t="n">
        <f aca="false">(M1324-$K1324)^2</f>
        <v>0.008475595969</v>
      </c>
      <c r="AB1324" s="8" t="n">
        <f aca="false">(N1324-$K1324)^2</f>
        <v>0.029695216329</v>
      </c>
      <c r="AC1324" s="8" t="n">
        <f aca="false">(O1324-$K1324)^2</f>
        <v>0.011274829489</v>
      </c>
      <c r="AD1324" s="8" t="n">
        <f aca="false">(P1324-$K1324)^2</f>
        <v>0.034667460864</v>
      </c>
      <c r="AE1324" s="8" t="n">
        <f aca="false">MIN(INT(ROUND(N1324*1000000,0)/100000),9)</f>
        <v>1</v>
      </c>
      <c r="AF1324" s="8" t="n">
        <f aca="false">MIN(INT(ROUND(P1324*1000000,0)/100000),9)</f>
        <v>1</v>
      </c>
    </row>
    <row r="1325" customFormat="false" ht="15" hidden="false" customHeight="false" outlineLevel="0" collapsed="false">
      <c r="A1325" s="4" t="n">
        <v>1321</v>
      </c>
      <c r="B1325" s="4" t="n">
        <v>1076</v>
      </c>
      <c r="C1325" s="4" t="n">
        <v>3</v>
      </c>
      <c r="D1325" s="11" t="n">
        <v>46143</v>
      </c>
      <c r="E1325" s="4" t="s">
        <v>204</v>
      </c>
      <c r="F1325" s="4" t="s">
        <v>209</v>
      </c>
      <c r="G1325" s="4" t="n">
        <v>4</v>
      </c>
      <c r="H1325" s="4" t="n">
        <v>1</v>
      </c>
      <c r="I1325" s="4" t="n">
        <v>0</v>
      </c>
      <c r="J1325" s="4" t="n">
        <v>117</v>
      </c>
      <c r="K1325" s="4" t="n">
        <v>0</v>
      </c>
      <c r="L1325" s="12" t="n">
        <v>0.685256</v>
      </c>
      <c r="M1325" s="12" t="n">
        <v>0.092063</v>
      </c>
      <c r="N1325" s="12" t="n">
        <v>0.117676</v>
      </c>
      <c r="O1325" s="12" t="n">
        <v>0.106183</v>
      </c>
      <c r="P1325" s="12" t="n">
        <v>0.125482</v>
      </c>
      <c r="Q1325" s="0" t="str">
        <f aca="false">IF(L1325&gt;=Models!$G$5,1+COUNTIF($L$5:$L$1517,"&gt;"&amp;L1325)+COUNTIFS($L$5:$L$1517,L1325,$B$5:$B$1517,"&lt;"&amp;B1325)+COUNTIFS($L$5:$L$1517,L1325,$B$5:$B$1517,B1325,$C$5:$C$1517,"&lt;"&amp;C1325),"")</f>
        <v/>
      </c>
      <c r="R1325" s="0" t="str">
        <f aca="false">IF(M1325&gt;=Models!$G$6,1+COUNTIF($M$5:$M$1517,"&gt;"&amp;M1325)+COUNTIFS($M$5:$M$1517,M1325,$B$5:$B$1517,"&lt;"&amp;B1325)+COUNTIFS($M$5:$M$1517,M1325,$B$5:$B$1517,B1325,$C$5:$C$1517,"&lt;"&amp;C1325),"")</f>
        <v/>
      </c>
      <c r="S1325" s="0" t="str">
        <f aca="false">IF(N1325&gt;=Models!$G$7,1+COUNTIF($N$5:$N$1517,"&gt;"&amp;N1325)+COUNTIFS($N$5:$N$1517,N1325,$B$5:$B$1517,"&lt;"&amp;B1325)+COUNTIFS($N$5:$N$1517,N1325,$B$5:$B$1517,B1325,$C$5:$C$1517,"&lt;"&amp;C1325),"")</f>
        <v/>
      </c>
      <c r="T1325" s="8" t="n">
        <f aca="false">IF(O1325&gt;=Models!$G$8,1+COUNTIF($O$5:$O$1517,"&gt;"&amp;O1325)+COUNTIFS($O$5:$O$1517,O1325,$B$5:$B$1517,"&lt;"&amp;B1325)+COUNTIFS($O$5:$O$1517,O1325,$B$5:$B$1517,B1325,$C$5:$C$1517,"&lt;"&amp;C1325),"")</f>
        <v>862</v>
      </c>
      <c r="U1325" s="8" t="n">
        <f aca="false">IF($K1325=1,COUNTIFS($L$5:$L$1517,"&gt;="&amp;L1325,$K$5:$K$1517,1)/COUNTIF($L$5:$L$1517,"&gt;="&amp;L1325),0)</f>
        <v>0</v>
      </c>
      <c r="V1325" s="8" t="n">
        <f aca="false">IF($K1325=1,COUNTIFS($M$5:$M$1517,"&gt;="&amp;M1325,$K$5:$K$1517,1)/COUNTIF($M$5:$M$1517,"&gt;="&amp;M1325),0)</f>
        <v>0</v>
      </c>
      <c r="W1325" s="8" t="n">
        <f aca="false">IF($K1325=1,COUNTIFS($N$5:$N$1517,"&gt;="&amp;N1325,$K$5:$K$1517,1)/COUNTIF($N$5:$N$1517,"&gt;="&amp;N1325),0)</f>
        <v>0</v>
      </c>
      <c r="X1325" s="8" t="n">
        <f aca="false">IF($K1325=1,COUNTIFS($O$5:$O$1517,"&gt;="&amp;O1325,$K$5:$K$1517,1)/COUNTIF($O$5:$O$1517,"&gt;="&amp;O1325),0)</f>
        <v>0</v>
      </c>
      <c r="Y1325" s="8" t="n">
        <f aca="false">IF($K1325=1,COUNTIFS($P$5:$P$1517,"&gt;="&amp;P1325,$K$5:$K$1517,1)/COUNTIF($P$5:$P$1517,"&gt;="&amp;P1325),0)</f>
        <v>0</v>
      </c>
      <c r="Z1325" s="8" t="n">
        <f aca="false">(L1325-$K1325)^2</f>
        <v>0.469575785536</v>
      </c>
      <c r="AA1325" s="8" t="n">
        <f aca="false">(M1325-$K1325)^2</f>
        <v>0.008475595969</v>
      </c>
      <c r="AB1325" s="8" t="n">
        <f aca="false">(N1325-$K1325)^2</f>
        <v>0.013847640976</v>
      </c>
      <c r="AC1325" s="8" t="n">
        <f aca="false">(O1325-$K1325)^2</f>
        <v>0.011274829489</v>
      </c>
      <c r="AD1325" s="8" t="n">
        <f aca="false">(P1325-$K1325)^2</f>
        <v>0.015745732324</v>
      </c>
      <c r="AE1325" s="8" t="n">
        <f aca="false">MIN(INT(ROUND(N1325*1000000,0)/100000),9)</f>
        <v>1</v>
      </c>
      <c r="AF1325" s="8" t="n">
        <f aca="false">MIN(INT(ROUND(P1325*1000000,0)/100000),9)</f>
        <v>1</v>
      </c>
    </row>
    <row r="1326" customFormat="false" ht="15" hidden="false" customHeight="false" outlineLevel="0" collapsed="false">
      <c r="A1326" s="4" t="n">
        <v>1322</v>
      </c>
      <c r="B1326" s="4" t="n">
        <v>1080</v>
      </c>
      <c r="C1326" s="4" t="n">
        <v>3</v>
      </c>
      <c r="D1326" s="11" t="n">
        <v>46143</v>
      </c>
      <c r="E1326" s="4" t="s">
        <v>202</v>
      </c>
      <c r="F1326" s="4" t="s">
        <v>209</v>
      </c>
      <c r="G1326" s="4" t="n">
        <v>10</v>
      </c>
      <c r="H1326" s="4" t="n">
        <v>4</v>
      </c>
      <c r="I1326" s="4" t="n">
        <v>0</v>
      </c>
      <c r="J1326" s="4"/>
      <c r="K1326" s="4" t="n">
        <v>0</v>
      </c>
      <c r="L1326" s="12" t="n">
        <v>0.77816</v>
      </c>
      <c r="M1326" s="12" t="n">
        <v>0.092063</v>
      </c>
      <c r="N1326" s="12" t="n">
        <v>0.036266</v>
      </c>
      <c r="O1326" s="12" t="n">
        <v>0.106183</v>
      </c>
      <c r="P1326" s="12" t="n">
        <v>0.03672</v>
      </c>
      <c r="Q1326" s="0" t="str">
        <f aca="false">IF(L1326&gt;=Models!$G$5,1+COUNTIF($L$5:$L$1517,"&gt;"&amp;L1326)+COUNTIFS($L$5:$L$1517,L1326,$B$5:$B$1517,"&lt;"&amp;B1326)+COUNTIFS($L$5:$L$1517,L1326,$B$5:$B$1517,B1326,$C$5:$C$1517,"&lt;"&amp;C1326),"")</f>
        <v/>
      </c>
      <c r="R1326" s="0" t="str">
        <f aca="false">IF(M1326&gt;=Models!$G$6,1+COUNTIF($M$5:$M$1517,"&gt;"&amp;M1326)+COUNTIFS($M$5:$M$1517,M1326,$B$5:$B$1517,"&lt;"&amp;B1326)+COUNTIFS($M$5:$M$1517,M1326,$B$5:$B$1517,B1326,$C$5:$C$1517,"&lt;"&amp;C1326),"")</f>
        <v/>
      </c>
      <c r="S1326" s="0" t="str">
        <f aca="false">IF(N1326&gt;=Models!$G$7,1+COUNTIF($N$5:$N$1517,"&gt;"&amp;N1326)+COUNTIFS($N$5:$N$1517,N1326,$B$5:$B$1517,"&lt;"&amp;B1326)+COUNTIFS($N$5:$N$1517,N1326,$B$5:$B$1517,B1326,$C$5:$C$1517,"&lt;"&amp;C1326),"")</f>
        <v/>
      </c>
      <c r="T1326" s="8" t="n">
        <f aca="false">IF(O1326&gt;=Models!$G$8,1+COUNTIF($O$5:$O$1517,"&gt;"&amp;O1326)+COUNTIFS($O$5:$O$1517,O1326,$B$5:$B$1517,"&lt;"&amp;B1326)+COUNTIFS($O$5:$O$1517,O1326,$B$5:$B$1517,B1326,$C$5:$C$1517,"&lt;"&amp;C1326),"")</f>
        <v>866</v>
      </c>
      <c r="U1326" s="8" t="n">
        <f aca="false">IF($K1326=1,COUNTIFS($L$5:$L$1517,"&gt;="&amp;L1326,$K$5:$K$1517,1)/COUNTIF($L$5:$L$1517,"&gt;="&amp;L1326),0)</f>
        <v>0</v>
      </c>
      <c r="V1326" s="8" t="n">
        <f aca="false">IF($K1326=1,COUNTIFS($M$5:$M$1517,"&gt;="&amp;M1326,$K$5:$K$1517,1)/COUNTIF($M$5:$M$1517,"&gt;="&amp;M1326),0)</f>
        <v>0</v>
      </c>
      <c r="W1326" s="8" t="n">
        <f aca="false">IF($K1326=1,COUNTIFS($N$5:$N$1517,"&gt;="&amp;N1326,$K$5:$K$1517,1)/COUNTIF($N$5:$N$1517,"&gt;="&amp;N1326),0)</f>
        <v>0</v>
      </c>
      <c r="X1326" s="8" t="n">
        <f aca="false">IF($K1326=1,COUNTIFS($O$5:$O$1517,"&gt;="&amp;O1326,$K$5:$K$1517,1)/COUNTIF($O$5:$O$1517,"&gt;="&amp;O1326),0)</f>
        <v>0</v>
      </c>
      <c r="Y1326" s="8" t="n">
        <f aca="false">IF($K1326=1,COUNTIFS($P$5:$P$1517,"&gt;="&amp;P1326,$K$5:$K$1517,1)/COUNTIF($P$5:$P$1517,"&gt;="&amp;P1326),0)</f>
        <v>0</v>
      </c>
      <c r="Z1326" s="8" t="n">
        <f aca="false">(L1326-$K1326)^2</f>
        <v>0.6055329856</v>
      </c>
      <c r="AA1326" s="8" t="n">
        <f aca="false">(M1326-$K1326)^2</f>
        <v>0.008475595969</v>
      </c>
      <c r="AB1326" s="8" t="n">
        <f aca="false">(N1326-$K1326)^2</f>
        <v>0.001315222756</v>
      </c>
      <c r="AC1326" s="8" t="n">
        <f aca="false">(O1326-$K1326)^2</f>
        <v>0.011274829489</v>
      </c>
      <c r="AD1326" s="8" t="n">
        <f aca="false">(P1326-$K1326)^2</f>
        <v>0.0013483584</v>
      </c>
      <c r="AE1326" s="8" t="n">
        <f aca="false">MIN(INT(ROUND(N1326*1000000,0)/100000),9)</f>
        <v>0</v>
      </c>
      <c r="AF1326" s="8" t="n">
        <f aca="false">MIN(INT(ROUND(P1326*1000000,0)/100000),9)</f>
        <v>0</v>
      </c>
    </row>
    <row r="1327" customFormat="false" ht="15" hidden="false" customHeight="false" outlineLevel="0" collapsed="false">
      <c r="A1327" s="4" t="n">
        <v>1323</v>
      </c>
      <c r="B1327" s="4" t="n">
        <v>1091</v>
      </c>
      <c r="C1327" s="4" t="n">
        <v>3</v>
      </c>
      <c r="D1327" s="11" t="n">
        <v>46143</v>
      </c>
      <c r="E1327" s="4" t="s">
        <v>204</v>
      </c>
      <c r="F1327" s="4" t="s">
        <v>208</v>
      </c>
      <c r="G1327" s="4" t="n">
        <v>0</v>
      </c>
      <c r="H1327" s="4" t="n">
        <v>32</v>
      </c>
      <c r="I1327" s="4" t="n">
        <v>0</v>
      </c>
      <c r="J1327" s="4" t="n">
        <v>69</v>
      </c>
      <c r="K1327" s="4" t="n">
        <v>1</v>
      </c>
      <c r="L1327" s="12" t="n">
        <v>0.513612</v>
      </c>
      <c r="M1327" s="12" t="n">
        <v>0.184211</v>
      </c>
      <c r="N1327" s="12" t="n">
        <v>0.198159</v>
      </c>
      <c r="O1327" s="12" t="n">
        <v>0.106183</v>
      </c>
      <c r="P1327" s="12" t="n">
        <v>0.214944</v>
      </c>
      <c r="Q1327" s="0" t="str">
        <f aca="false">IF(L1327&gt;=Models!$G$5,1+COUNTIF($L$5:$L$1517,"&gt;"&amp;L1327)+COUNTIFS($L$5:$L$1517,L1327,$B$5:$B$1517,"&lt;"&amp;B1327)+COUNTIFS($L$5:$L$1517,L1327,$B$5:$B$1517,B1327,$C$5:$C$1517,"&lt;"&amp;C1327),"")</f>
        <v/>
      </c>
      <c r="R1327" s="8" t="n">
        <f aca="false">IF(M1327&gt;=Models!$G$6,1+COUNTIF($M$5:$M$1517,"&gt;"&amp;M1327)+COUNTIFS($M$5:$M$1517,M1327,$B$5:$B$1517,"&lt;"&amp;B1327)+COUNTIFS($M$5:$M$1517,M1327,$B$5:$B$1517,B1327,$C$5:$C$1517,"&lt;"&amp;C1327),"")</f>
        <v>99</v>
      </c>
      <c r="S1327" s="0" t="str">
        <f aca="false">IF(N1327&gt;=Models!$G$7,1+COUNTIF($N$5:$N$1517,"&gt;"&amp;N1327)+COUNTIFS($N$5:$N$1517,N1327,$B$5:$B$1517,"&lt;"&amp;B1327)+COUNTIFS($N$5:$N$1517,N1327,$B$5:$B$1517,B1327,$C$5:$C$1517,"&lt;"&amp;C1327),"")</f>
        <v/>
      </c>
      <c r="T1327" s="8" t="n">
        <f aca="false">IF(O1327&gt;=Models!$G$8,1+COUNTIF($O$5:$O$1517,"&gt;"&amp;O1327)+COUNTIFS($O$5:$O$1517,O1327,$B$5:$B$1517,"&lt;"&amp;B1327)+COUNTIFS($O$5:$O$1517,O1327,$B$5:$B$1517,B1327,$C$5:$C$1517,"&lt;"&amp;C1327),"")</f>
        <v>870</v>
      </c>
      <c r="U1327" s="8" t="n">
        <f aca="false">IF($K1327=1,COUNTIFS($L$5:$L$1517,"&gt;="&amp;L1327,$K$5:$K$1517,1)/COUNTIF($L$5:$L$1517,"&gt;="&amp;L1327),0)</f>
        <v>0.11878453038674</v>
      </c>
      <c r="V1327" s="8" t="n">
        <f aca="false">IF($K1327=1,COUNTIFS($M$5:$M$1517,"&gt;="&amp;M1327,$K$5:$K$1517,1)/COUNTIF($M$5:$M$1517,"&gt;="&amp;M1327),0)</f>
        <v>0.186528497409326</v>
      </c>
      <c r="W1327" s="8" t="n">
        <f aca="false">IF($K1327=1,COUNTIFS($N$5:$N$1517,"&gt;="&amp;N1327,$K$5:$K$1517,1)/COUNTIF($N$5:$N$1517,"&gt;="&amp;N1327),0)</f>
        <v>0.28125</v>
      </c>
      <c r="X1327" s="8" t="n">
        <f aca="false">IF($K1327=1,COUNTIFS($O$5:$O$1517,"&gt;="&amp;O1327,$K$5:$K$1517,1)/COUNTIF($O$5:$O$1517,"&gt;="&amp;O1327),0)</f>
        <v>0.12491738268341</v>
      </c>
      <c r="Y1327" s="8" t="n">
        <f aca="false">IF($K1327=1,COUNTIFS($P$5:$P$1517,"&gt;="&amp;P1327,$K$5:$K$1517,1)/COUNTIF($P$5:$P$1517,"&gt;="&amp;P1327),0)</f>
        <v>0.28125</v>
      </c>
      <c r="Z1327" s="8" t="n">
        <f aca="false">(L1327-$K1327)^2</f>
        <v>0.236573286544</v>
      </c>
      <c r="AA1327" s="8" t="n">
        <f aca="false">(M1327-$K1327)^2</f>
        <v>0.665511692521</v>
      </c>
      <c r="AB1327" s="8" t="n">
        <f aca="false">(N1327-$K1327)^2</f>
        <v>0.642948989281</v>
      </c>
      <c r="AC1327" s="8" t="n">
        <f aca="false">(O1327-$K1327)^2</f>
        <v>0.798908829489</v>
      </c>
      <c r="AD1327" s="8" t="n">
        <f aca="false">(P1327-$K1327)^2</f>
        <v>0.616312923136</v>
      </c>
      <c r="AE1327" s="8" t="n">
        <f aca="false">MIN(INT(ROUND(N1327*1000000,0)/100000),9)</f>
        <v>1</v>
      </c>
      <c r="AF1327" s="8" t="n">
        <f aca="false">MIN(INT(ROUND(P1327*1000000,0)/100000),9)</f>
        <v>2</v>
      </c>
    </row>
    <row r="1328" customFormat="false" ht="15" hidden="false" customHeight="false" outlineLevel="0" collapsed="false">
      <c r="A1328" s="4" t="n">
        <v>1324</v>
      </c>
      <c r="B1328" s="4" t="n">
        <v>1094</v>
      </c>
      <c r="C1328" s="4" t="n">
        <v>3</v>
      </c>
      <c r="D1328" s="11" t="n">
        <v>46143</v>
      </c>
      <c r="E1328" s="4" t="s">
        <v>202</v>
      </c>
      <c r="F1328" s="4" t="s">
        <v>210</v>
      </c>
      <c r="G1328" s="4" t="n">
        <v>25</v>
      </c>
      <c r="H1328" s="4" t="n">
        <v>0</v>
      </c>
      <c r="I1328" s="4" t="n">
        <v>1</v>
      </c>
      <c r="J1328" s="4" t="n">
        <v>1746</v>
      </c>
      <c r="K1328" s="4" t="n">
        <v>0</v>
      </c>
      <c r="L1328" s="12" t="n">
        <v>0.299241</v>
      </c>
      <c r="M1328" s="12" t="n">
        <v>0.184211</v>
      </c>
      <c r="N1328" s="12" t="n">
        <v>0.031947</v>
      </c>
      <c r="O1328" s="12" t="n">
        <v>0.106183</v>
      </c>
      <c r="P1328" s="12" t="n">
        <v>0.032154</v>
      </c>
      <c r="Q1328" s="0" t="str">
        <f aca="false">IF(L1328&gt;=Models!$G$5,1+COUNTIF($L$5:$L$1517,"&gt;"&amp;L1328)+COUNTIFS($L$5:$L$1517,L1328,$B$5:$B$1517,"&lt;"&amp;B1328)+COUNTIFS($L$5:$L$1517,L1328,$B$5:$B$1517,B1328,$C$5:$C$1517,"&lt;"&amp;C1328),"")</f>
        <v/>
      </c>
      <c r="R1328" s="8" t="n">
        <f aca="false">IF(M1328&gt;=Models!$G$6,1+COUNTIF($M$5:$M$1517,"&gt;"&amp;M1328)+COUNTIFS($M$5:$M$1517,M1328,$B$5:$B$1517,"&lt;"&amp;B1328)+COUNTIFS($M$5:$M$1517,M1328,$B$5:$B$1517,B1328,$C$5:$C$1517,"&lt;"&amp;C1328),"")</f>
        <v>102</v>
      </c>
      <c r="S1328" s="0" t="str">
        <f aca="false">IF(N1328&gt;=Models!$G$7,1+COUNTIF($N$5:$N$1517,"&gt;"&amp;N1328)+COUNTIFS($N$5:$N$1517,N1328,$B$5:$B$1517,"&lt;"&amp;B1328)+COUNTIFS($N$5:$N$1517,N1328,$B$5:$B$1517,B1328,$C$5:$C$1517,"&lt;"&amp;C1328),"")</f>
        <v/>
      </c>
      <c r="T1328" s="8" t="n">
        <f aca="false">IF(O1328&gt;=Models!$G$8,1+COUNTIF($O$5:$O$1517,"&gt;"&amp;O1328)+COUNTIFS($O$5:$O$1517,O1328,$B$5:$B$1517,"&lt;"&amp;B1328)+COUNTIFS($O$5:$O$1517,O1328,$B$5:$B$1517,B1328,$C$5:$C$1517,"&lt;"&amp;C1328),"")</f>
        <v>877</v>
      </c>
      <c r="U1328" s="8" t="n">
        <f aca="false">IF($K1328=1,COUNTIFS($L$5:$L$1517,"&gt;="&amp;L1328,$K$5:$K$1517,1)/COUNTIF($L$5:$L$1517,"&gt;="&amp;L1328),0)</f>
        <v>0</v>
      </c>
      <c r="V1328" s="8" t="n">
        <f aca="false">IF($K1328=1,COUNTIFS($M$5:$M$1517,"&gt;="&amp;M1328,$K$5:$K$1517,1)/COUNTIF($M$5:$M$1517,"&gt;="&amp;M1328),0)</f>
        <v>0</v>
      </c>
      <c r="W1328" s="8" t="n">
        <f aca="false">IF($K1328=1,COUNTIFS($N$5:$N$1517,"&gt;="&amp;N1328,$K$5:$K$1517,1)/COUNTIF($N$5:$N$1517,"&gt;="&amp;N1328),0)</f>
        <v>0</v>
      </c>
      <c r="X1328" s="8" t="n">
        <f aca="false">IF($K1328=1,COUNTIFS($O$5:$O$1517,"&gt;="&amp;O1328,$K$5:$K$1517,1)/COUNTIF($O$5:$O$1517,"&gt;="&amp;O1328),0)</f>
        <v>0</v>
      </c>
      <c r="Y1328" s="8" t="n">
        <f aca="false">IF($K1328=1,COUNTIFS($P$5:$P$1517,"&gt;="&amp;P1328,$K$5:$K$1517,1)/COUNTIF($P$5:$P$1517,"&gt;="&amp;P1328),0)</f>
        <v>0</v>
      </c>
      <c r="Z1328" s="8" t="n">
        <f aca="false">(L1328-$K1328)^2</f>
        <v>0.089545176081</v>
      </c>
      <c r="AA1328" s="8" t="n">
        <f aca="false">(M1328-$K1328)^2</f>
        <v>0.033933692521</v>
      </c>
      <c r="AB1328" s="8" t="n">
        <f aca="false">(N1328-$K1328)^2</f>
        <v>0.001020610809</v>
      </c>
      <c r="AC1328" s="8" t="n">
        <f aca="false">(O1328-$K1328)^2</f>
        <v>0.011274829489</v>
      </c>
      <c r="AD1328" s="8" t="n">
        <f aca="false">(P1328-$K1328)^2</f>
        <v>0.001033879716</v>
      </c>
      <c r="AE1328" s="8" t="n">
        <f aca="false">MIN(INT(ROUND(N1328*1000000,0)/100000),9)</f>
        <v>0</v>
      </c>
      <c r="AF1328" s="8" t="n">
        <f aca="false">MIN(INT(ROUND(P1328*1000000,0)/100000),9)</f>
        <v>0</v>
      </c>
    </row>
    <row r="1329" customFormat="false" ht="15" hidden="false" customHeight="false" outlineLevel="0" collapsed="false">
      <c r="A1329" s="4" t="n">
        <v>1325</v>
      </c>
      <c r="B1329" s="4" t="n">
        <v>1096</v>
      </c>
      <c r="C1329" s="4" t="n">
        <v>3</v>
      </c>
      <c r="D1329" s="11" t="n">
        <v>46143</v>
      </c>
      <c r="E1329" s="4" t="s">
        <v>203</v>
      </c>
      <c r="F1329" s="4" t="s">
        <v>206</v>
      </c>
      <c r="G1329" s="4" t="n">
        <v>3</v>
      </c>
      <c r="H1329" s="4" t="n">
        <v>1</v>
      </c>
      <c r="I1329" s="4" t="n">
        <v>0</v>
      </c>
      <c r="J1329" s="4" t="n">
        <v>333</v>
      </c>
      <c r="K1329" s="4" t="n">
        <v>0</v>
      </c>
      <c r="L1329" s="12" t="n">
        <v>0.190957</v>
      </c>
      <c r="M1329" s="12" t="n">
        <v>0.092063</v>
      </c>
      <c r="N1329" s="12" t="n">
        <v>0.125958</v>
      </c>
      <c r="O1329" s="12" t="n">
        <v>0.106183</v>
      </c>
      <c r="P1329" s="12" t="n">
        <v>0.134659</v>
      </c>
      <c r="Q1329" s="0" t="str">
        <f aca="false">IF(L1329&gt;=Models!$G$5,1+COUNTIF($L$5:$L$1517,"&gt;"&amp;L1329)+COUNTIFS($L$5:$L$1517,L1329,$B$5:$B$1517,"&lt;"&amp;B1329)+COUNTIFS($L$5:$L$1517,L1329,$B$5:$B$1517,B1329,$C$5:$C$1517,"&lt;"&amp;C1329),"")</f>
        <v/>
      </c>
      <c r="R1329" s="0" t="str">
        <f aca="false">IF(M1329&gt;=Models!$G$6,1+COUNTIF($M$5:$M$1517,"&gt;"&amp;M1329)+COUNTIFS($M$5:$M$1517,M1329,$B$5:$B$1517,"&lt;"&amp;B1329)+COUNTIFS($M$5:$M$1517,M1329,$B$5:$B$1517,B1329,$C$5:$C$1517,"&lt;"&amp;C1329),"")</f>
        <v/>
      </c>
      <c r="S1329" s="0" t="str">
        <f aca="false">IF(N1329&gt;=Models!$G$7,1+COUNTIF($N$5:$N$1517,"&gt;"&amp;N1329)+COUNTIFS($N$5:$N$1517,N1329,$B$5:$B$1517,"&lt;"&amp;B1329)+COUNTIFS($N$5:$N$1517,N1329,$B$5:$B$1517,B1329,$C$5:$C$1517,"&lt;"&amp;C1329),"")</f>
        <v/>
      </c>
      <c r="T1329" s="8" t="n">
        <f aca="false">IF(O1329&gt;=Models!$G$8,1+COUNTIF($O$5:$O$1517,"&gt;"&amp;O1329)+COUNTIFS($O$5:$O$1517,O1329,$B$5:$B$1517,"&lt;"&amp;B1329)+COUNTIFS($O$5:$O$1517,O1329,$B$5:$B$1517,B1329,$C$5:$C$1517,"&lt;"&amp;C1329),"")</f>
        <v>881</v>
      </c>
      <c r="U1329" s="8" t="n">
        <f aca="false">IF($K1329=1,COUNTIFS($L$5:$L$1517,"&gt;="&amp;L1329,$K$5:$K$1517,1)/COUNTIF($L$5:$L$1517,"&gt;="&amp;L1329),0)</f>
        <v>0</v>
      </c>
      <c r="V1329" s="8" t="n">
        <f aca="false">IF($K1329=1,COUNTIFS($M$5:$M$1517,"&gt;="&amp;M1329,$K$5:$K$1517,1)/COUNTIF($M$5:$M$1517,"&gt;="&amp;M1329),0)</f>
        <v>0</v>
      </c>
      <c r="W1329" s="8" t="n">
        <f aca="false">IF($K1329=1,COUNTIFS($N$5:$N$1517,"&gt;="&amp;N1329,$K$5:$K$1517,1)/COUNTIF($N$5:$N$1517,"&gt;="&amp;N1329),0)</f>
        <v>0</v>
      </c>
      <c r="X1329" s="8" t="n">
        <f aca="false">IF($K1329=1,COUNTIFS($O$5:$O$1517,"&gt;="&amp;O1329,$K$5:$K$1517,1)/COUNTIF($O$5:$O$1517,"&gt;="&amp;O1329),0)</f>
        <v>0</v>
      </c>
      <c r="Y1329" s="8" t="n">
        <f aca="false">IF($K1329=1,COUNTIFS($P$5:$P$1517,"&gt;="&amp;P1329,$K$5:$K$1517,1)/COUNTIF($P$5:$P$1517,"&gt;="&amp;P1329),0)</f>
        <v>0</v>
      </c>
      <c r="Z1329" s="8" t="n">
        <f aca="false">(L1329-$K1329)^2</f>
        <v>0.036464575849</v>
      </c>
      <c r="AA1329" s="8" t="n">
        <f aca="false">(M1329-$K1329)^2</f>
        <v>0.008475595969</v>
      </c>
      <c r="AB1329" s="8" t="n">
        <f aca="false">(N1329-$K1329)^2</f>
        <v>0.015865417764</v>
      </c>
      <c r="AC1329" s="8" t="n">
        <f aca="false">(O1329-$K1329)^2</f>
        <v>0.011274829489</v>
      </c>
      <c r="AD1329" s="8" t="n">
        <f aca="false">(P1329-$K1329)^2</f>
        <v>0.018133046281</v>
      </c>
      <c r="AE1329" s="8" t="n">
        <f aca="false">MIN(INT(ROUND(N1329*1000000,0)/100000),9)</f>
        <v>1</v>
      </c>
      <c r="AF1329" s="8" t="n">
        <f aca="false">MIN(INT(ROUND(P1329*1000000,0)/100000),9)</f>
        <v>1</v>
      </c>
    </row>
    <row r="1330" customFormat="false" ht="15" hidden="false" customHeight="false" outlineLevel="0" collapsed="false">
      <c r="A1330" s="4" t="n">
        <v>1326</v>
      </c>
      <c r="B1330" s="4" t="n">
        <v>1101</v>
      </c>
      <c r="C1330" s="4" t="n">
        <v>3</v>
      </c>
      <c r="D1330" s="11" t="n">
        <v>46143</v>
      </c>
      <c r="E1330" s="4" t="s">
        <v>203</v>
      </c>
      <c r="F1330" s="4" t="s">
        <v>209</v>
      </c>
      <c r="G1330" s="4" t="n">
        <v>5</v>
      </c>
      <c r="H1330" s="4" t="n">
        <v>2</v>
      </c>
      <c r="I1330" s="4" t="n">
        <v>1</v>
      </c>
      <c r="J1330" s="4" t="n">
        <v>402</v>
      </c>
      <c r="K1330" s="4" t="n">
        <v>0</v>
      </c>
      <c r="L1330" s="12" t="n">
        <v>0.968155</v>
      </c>
      <c r="M1330" s="12" t="n">
        <v>0.184211</v>
      </c>
      <c r="N1330" s="12" t="n">
        <v>0.179913</v>
      </c>
      <c r="O1330" s="12" t="n">
        <v>0.106183</v>
      </c>
      <c r="P1330" s="12" t="n">
        <v>0.194639</v>
      </c>
      <c r="Q1330" s="0" t="str">
        <f aca="false">IF(L1330&gt;=Models!$G$5,1+COUNTIF($L$5:$L$1517,"&gt;"&amp;L1330)+COUNTIFS($L$5:$L$1517,L1330,$B$5:$B$1517,"&lt;"&amp;B1330)+COUNTIFS($L$5:$L$1517,L1330,$B$5:$B$1517,B1330,$C$5:$C$1517,"&lt;"&amp;C1330),"")</f>
        <v/>
      </c>
      <c r="R1330" s="8" t="n">
        <f aca="false">IF(M1330&gt;=Models!$G$6,1+COUNTIF($M$5:$M$1517,"&gt;"&amp;M1330)+COUNTIFS($M$5:$M$1517,M1330,$B$5:$B$1517,"&lt;"&amp;B1330)+COUNTIFS($M$5:$M$1517,M1330,$B$5:$B$1517,B1330,$C$5:$C$1517,"&lt;"&amp;C1330),"")</f>
        <v>103</v>
      </c>
      <c r="S1330" s="0" t="str">
        <f aca="false">IF(N1330&gt;=Models!$G$7,1+COUNTIF($N$5:$N$1517,"&gt;"&amp;N1330)+COUNTIFS($N$5:$N$1517,N1330,$B$5:$B$1517,"&lt;"&amp;B1330)+COUNTIFS($N$5:$N$1517,N1330,$B$5:$B$1517,B1330,$C$5:$C$1517,"&lt;"&amp;C1330),"")</f>
        <v/>
      </c>
      <c r="T1330" s="8" t="n">
        <f aca="false">IF(O1330&gt;=Models!$G$8,1+COUNTIF($O$5:$O$1517,"&gt;"&amp;O1330)+COUNTIFS($O$5:$O$1517,O1330,$B$5:$B$1517,"&lt;"&amp;B1330)+COUNTIFS($O$5:$O$1517,O1330,$B$5:$B$1517,B1330,$C$5:$C$1517,"&lt;"&amp;C1330),"")</f>
        <v>885</v>
      </c>
      <c r="U1330" s="8" t="n">
        <f aca="false">IF($K1330=1,COUNTIFS($L$5:$L$1517,"&gt;="&amp;L1330,$K$5:$K$1517,1)/COUNTIF($L$5:$L$1517,"&gt;="&amp;L1330),0)</f>
        <v>0</v>
      </c>
      <c r="V1330" s="8" t="n">
        <f aca="false">IF($K1330=1,COUNTIFS($M$5:$M$1517,"&gt;="&amp;M1330,$K$5:$K$1517,1)/COUNTIF($M$5:$M$1517,"&gt;="&amp;M1330),0)</f>
        <v>0</v>
      </c>
      <c r="W1330" s="8" t="n">
        <f aca="false">IF($K1330=1,COUNTIFS($N$5:$N$1517,"&gt;="&amp;N1330,$K$5:$K$1517,1)/COUNTIF($N$5:$N$1517,"&gt;="&amp;N1330),0)</f>
        <v>0</v>
      </c>
      <c r="X1330" s="8" t="n">
        <f aca="false">IF($K1330=1,COUNTIFS($O$5:$O$1517,"&gt;="&amp;O1330,$K$5:$K$1517,1)/COUNTIF($O$5:$O$1517,"&gt;="&amp;O1330),0)</f>
        <v>0</v>
      </c>
      <c r="Y1330" s="8" t="n">
        <f aca="false">IF($K1330=1,COUNTIFS($P$5:$P$1517,"&gt;="&amp;P1330,$K$5:$K$1517,1)/COUNTIF($P$5:$P$1517,"&gt;="&amp;P1330),0)</f>
        <v>0</v>
      </c>
      <c r="Z1330" s="8" t="n">
        <f aca="false">(L1330-$K1330)^2</f>
        <v>0.937324104025</v>
      </c>
      <c r="AA1330" s="8" t="n">
        <f aca="false">(M1330-$K1330)^2</f>
        <v>0.033933692521</v>
      </c>
      <c r="AB1330" s="8" t="n">
        <f aca="false">(N1330-$K1330)^2</f>
        <v>0.032368687569</v>
      </c>
      <c r="AC1330" s="8" t="n">
        <f aca="false">(O1330-$K1330)^2</f>
        <v>0.011274829489</v>
      </c>
      <c r="AD1330" s="8" t="n">
        <f aca="false">(P1330-$K1330)^2</f>
        <v>0.037884340321</v>
      </c>
      <c r="AE1330" s="8" t="n">
        <f aca="false">MIN(INT(ROUND(N1330*1000000,0)/100000),9)</f>
        <v>1</v>
      </c>
      <c r="AF1330" s="8" t="n">
        <f aca="false">MIN(INT(ROUND(P1330*1000000,0)/100000),9)</f>
        <v>1</v>
      </c>
    </row>
    <row r="1331" customFormat="false" ht="15" hidden="false" customHeight="false" outlineLevel="0" collapsed="false">
      <c r="A1331" s="4" t="n">
        <v>1327</v>
      </c>
      <c r="B1331" s="4" t="n">
        <v>1102</v>
      </c>
      <c r="C1331" s="4" t="n">
        <v>3</v>
      </c>
      <c r="D1331" s="11" t="n">
        <v>46143</v>
      </c>
      <c r="E1331" s="4" t="s">
        <v>203</v>
      </c>
      <c r="F1331" s="4" t="s">
        <v>209</v>
      </c>
      <c r="G1331" s="4" t="n">
        <v>8</v>
      </c>
      <c r="H1331" s="4" t="n">
        <v>2</v>
      </c>
      <c r="I1331" s="4" t="n">
        <v>0</v>
      </c>
      <c r="J1331" s="4" t="n">
        <v>255</v>
      </c>
      <c r="K1331" s="4" t="n">
        <v>0</v>
      </c>
      <c r="L1331" s="12" t="n">
        <v>0.693613</v>
      </c>
      <c r="M1331" s="12" t="n">
        <v>0.092063</v>
      </c>
      <c r="N1331" s="12" t="n">
        <v>0.085145</v>
      </c>
      <c r="O1331" s="12" t="n">
        <v>0.106183</v>
      </c>
      <c r="P1331" s="12" t="n">
        <v>0.08961</v>
      </c>
      <c r="Q1331" s="0" t="str">
        <f aca="false">IF(L1331&gt;=Models!$G$5,1+COUNTIF($L$5:$L$1517,"&gt;"&amp;L1331)+COUNTIFS($L$5:$L$1517,L1331,$B$5:$B$1517,"&lt;"&amp;B1331)+COUNTIFS($L$5:$L$1517,L1331,$B$5:$B$1517,B1331,$C$5:$C$1517,"&lt;"&amp;C1331),"")</f>
        <v/>
      </c>
      <c r="R1331" s="0" t="str">
        <f aca="false">IF(M1331&gt;=Models!$G$6,1+COUNTIF($M$5:$M$1517,"&gt;"&amp;M1331)+COUNTIFS($M$5:$M$1517,M1331,$B$5:$B$1517,"&lt;"&amp;B1331)+COUNTIFS($M$5:$M$1517,M1331,$B$5:$B$1517,B1331,$C$5:$C$1517,"&lt;"&amp;C1331),"")</f>
        <v/>
      </c>
      <c r="S1331" s="0" t="str">
        <f aca="false">IF(N1331&gt;=Models!$G$7,1+COUNTIF($N$5:$N$1517,"&gt;"&amp;N1331)+COUNTIFS($N$5:$N$1517,N1331,$B$5:$B$1517,"&lt;"&amp;B1331)+COUNTIFS($N$5:$N$1517,N1331,$B$5:$B$1517,B1331,$C$5:$C$1517,"&lt;"&amp;C1331),"")</f>
        <v/>
      </c>
      <c r="T1331" s="8" t="n">
        <f aca="false">IF(O1331&gt;=Models!$G$8,1+COUNTIF($O$5:$O$1517,"&gt;"&amp;O1331)+COUNTIFS($O$5:$O$1517,O1331,$B$5:$B$1517,"&lt;"&amp;B1331)+COUNTIFS($O$5:$O$1517,O1331,$B$5:$B$1517,B1331,$C$5:$C$1517,"&lt;"&amp;C1331),"")</f>
        <v>889</v>
      </c>
      <c r="U1331" s="8" t="n">
        <f aca="false">IF($K1331=1,COUNTIFS($L$5:$L$1517,"&gt;="&amp;L1331,$K$5:$K$1517,1)/COUNTIF($L$5:$L$1517,"&gt;="&amp;L1331),0)</f>
        <v>0</v>
      </c>
      <c r="V1331" s="8" t="n">
        <f aca="false">IF($K1331=1,COUNTIFS($M$5:$M$1517,"&gt;="&amp;M1331,$K$5:$K$1517,1)/COUNTIF($M$5:$M$1517,"&gt;="&amp;M1331),0)</f>
        <v>0</v>
      </c>
      <c r="W1331" s="8" t="n">
        <f aca="false">IF($K1331=1,COUNTIFS($N$5:$N$1517,"&gt;="&amp;N1331,$K$5:$K$1517,1)/COUNTIF($N$5:$N$1517,"&gt;="&amp;N1331),0)</f>
        <v>0</v>
      </c>
      <c r="X1331" s="8" t="n">
        <f aca="false">IF($K1331=1,COUNTIFS($O$5:$O$1517,"&gt;="&amp;O1331,$K$5:$K$1517,1)/COUNTIF($O$5:$O$1517,"&gt;="&amp;O1331),0)</f>
        <v>0</v>
      </c>
      <c r="Y1331" s="8" t="n">
        <f aca="false">IF($K1331=1,COUNTIFS($P$5:$P$1517,"&gt;="&amp;P1331,$K$5:$K$1517,1)/COUNTIF($P$5:$P$1517,"&gt;="&amp;P1331),0)</f>
        <v>0</v>
      </c>
      <c r="Z1331" s="8" t="n">
        <f aca="false">(L1331-$K1331)^2</f>
        <v>0.481098993769</v>
      </c>
      <c r="AA1331" s="8" t="n">
        <f aca="false">(M1331-$K1331)^2</f>
        <v>0.008475595969</v>
      </c>
      <c r="AB1331" s="8" t="n">
        <f aca="false">(N1331-$K1331)^2</f>
        <v>0.007249671025</v>
      </c>
      <c r="AC1331" s="8" t="n">
        <f aca="false">(O1331-$K1331)^2</f>
        <v>0.011274829489</v>
      </c>
      <c r="AD1331" s="8" t="n">
        <f aca="false">(P1331-$K1331)^2</f>
        <v>0.0080299521</v>
      </c>
      <c r="AE1331" s="8" t="n">
        <f aca="false">MIN(INT(ROUND(N1331*1000000,0)/100000),9)</f>
        <v>0</v>
      </c>
      <c r="AF1331" s="8" t="n">
        <f aca="false">MIN(INT(ROUND(P1331*1000000,0)/100000),9)</f>
        <v>0</v>
      </c>
    </row>
    <row r="1332" customFormat="false" ht="15" hidden="false" customHeight="false" outlineLevel="0" collapsed="false">
      <c r="A1332" s="4" t="n">
        <v>1328</v>
      </c>
      <c r="B1332" s="4" t="n">
        <v>1112</v>
      </c>
      <c r="C1332" s="4" t="n">
        <v>3</v>
      </c>
      <c r="D1332" s="11" t="n">
        <v>46143</v>
      </c>
      <c r="E1332" s="4" t="s">
        <v>202</v>
      </c>
      <c r="F1332" s="4" t="s">
        <v>209</v>
      </c>
      <c r="G1332" s="4" t="n">
        <v>7</v>
      </c>
      <c r="H1332" s="4" t="n">
        <v>0</v>
      </c>
      <c r="I1332" s="4" t="n">
        <v>0</v>
      </c>
      <c r="J1332" s="4"/>
      <c r="K1332" s="4" t="n">
        <v>0</v>
      </c>
      <c r="L1332" s="12" t="n">
        <v>0.539494</v>
      </c>
      <c r="M1332" s="12" t="n">
        <v>0.092063</v>
      </c>
      <c r="N1332" s="12" t="n">
        <v>0.045531</v>
      </c>
      <c r="O1332" s="12" t="n">
        <v>0.106183</v>
      </c>
      <c r="P1332" s="12" t="n">
        <v>0.046595</v>
      </c>
      <c r="Q1332" s="0" t="str">
        <f aca="false">IF(L1332&gt;=Models!$G$5,1+COUNTIF($L$5:$L$1517,"&gt;"&amp;L1332)+COUNTIFS($L$5:$L$1517,L1332,$B$5:$B$1517,"&lt;"&amp;B1332)+COUNTIFS($L$5:$L$1517,L1332,$B$5:$B$1517,B1332,$C$5:$C$1517,"&lt;"&amp;C1332),"")</f>
        <v/>
      </c>
      <c r="R1332" s="0" t="str">
        <f aca="false">IF(M1332&gt;=Models!$G$6,1+COUNTIF($M$5:$M$1517,"&gt;"&amp;M1332)+COUNTIFS($M$5:$M$1517,M1332,$B$5:$B$1517,"&lt;"&amp;B1332)+COUNTIFS($M$5:$M$1517,M1332,$B$5:$B$1517,B1332,$C$5:$C$1517,"&lt;"&amp;C1332),"")</f>
        <v/>
      </c>
      <c r="S1332" s="0" t="str">
        <f aca="false">IF(N1332&gt;=Models!$G$7,1+COUNTIF($N$5:$N$1517,"&gt;"&amp;N1332)+COUNTIFS($N$5:$N$1517,N1332,$B$5:$B$1517,"&lt;"&amp;B1332)+COUNTIFS($N$5:$N$1517,N1332,$B$5:$B$1517,B1332,$C$5:$C$1517,"&lt;"&amp;C1332),"")</f>
        <v/>
      </c>
      <c r="T1332" s="8" t="n">
        <f aca="false">IF(O1332&gt;=Models!$G$8,1+COUNTIF($O$5:$O$1517,"&gt;"&amp;O1332)+COUNTIFS($O$5:$O$1517,O1332,$B$5:$B$1517,"&lt;"&amp;B1332)+COUNTIFS($O$5:$O$1517,O1332,$B$5:$B$1517,B1332,$C$5:$C$1517,"&lt;"&amp;C1332),"")</f>
        <v>893</v>
      </c>
      <c r="U1332" s="8" t="n">
        <f aca="false">IF($K1332=1,COUNTIFS($L$5:$L$1517,"&gt;="&amp;L1332,$K$5:$K$1517,1)/COUNTIF($L$5:$L$1517,"&gt;="&amp;L1332),0)</f>
        <v>0</v>
      </c>
      <c r="V1332" s="8" t="n">
        <f aca="false">IF($K1332=1,COUNTIFS($M$5:$M$1517,"&gt;="&amp;M1332,$K$5:$K$1517,1)/COUNTIF($M$5:$M$1517,"&gt;="&amp;M1332),0)</f>
        <v>0</v>
      </c>
      <c r="W1332" s="8" t="n">
        <f aca="false">IF($K1332=1,COUNTIFS($N$5:$N$1517,"&gt;="&amp;N1332,$K$5:$K$1517,1)/COUNTIF($N$5:$N$1517,"&gt;="&amp;N1332),0)</f>
        <v>0</v>
      </c>
      <c r="X1332" s="8" t="n">
        <f aca="false">IF($K1332=1,COUNTIFS($O$5:$O$1517,"&gt;="&amp;O1332,$K$5:$K$1517,1)/COUNTIF($O$5:$O$1517,"&gt;="&amp;O1332),0)</f>
        <v>0</v>
      </c>
      <c r="Y1332" s="8" t="n">
        <f aca="false">IF($K1332=1,COUNTIFS($P$5:$P$1517,"&gt;="&amp;P1332,$K$5:$K$1517,1)/COUNTIF($P$5:$P$1517,"&gt;="&amp;P1332),0)</f>
        <v>0</v>
      </c>
      <c r="Z1332" s="8" t="n">
        <f aca="false">(L1332-$K1332)^2</f>
        <v>0.291053776036</v>
      </c>
      <c r="AA1332" s="8" t="n">
        <f aca="false">(M1332-$K1332)^2</f>
        <v>0.008475595969</v>
      </c>
      <c r="AB1332" s="8" t="n">
        <f aca="false">(N1332-$K1332)^2</f>
        <v>0.002073071961</v>
      </c>
      <c r="AC1332" s="8" t="n">
        <f aca="false">(O1332-$K1332)^2</f>
        <v>0.011274829489</v>
      </c>
      <c r="AD1332" s="8" t="n">
        <f aca="false">(P1332-$K1332)^2</f>
        <v>0.002171094025</v>
      </c>
      <c r="AE1332" s="8" t="n">
        <f aca="false">MIN(INT(ROUND(N1332*1000000,0)/100000),9)</f>
        <v>0</v>
      </c>
      <c r="AF1332" s="8" t="n">
        <f aca="false">MIN(INT(ROUND(P1332*1000000,0)/100000),9)</f>
        <v>0</v>
      </c>
    </row>
    <row r="1333" customFormat="false" ht="15" hidden="false" customHeight="false" outlineLevel="0" collapsed="false">
      <c r="A1333" s="4" t="n">
        <v>1329</v>
      </c>
      <c r="B1333" s="4" t="n">
        <v>1119</v>
      </c>
      <c r="C1333" s="4" t="n">
        <v>3</v>
      </c>
      <c r="D1333" s="11" t="n">
        <v>46143</v>
      </c>
      <c r="E1333" s="4" t="s">
        <v>204</v>
      </c>
      <c r="F1333" s="4" t="s">
        <v>210</v>
      </c>
      <c r="G1333" s="4" t="n">
        <v>5</v>
      </c>
      <c r="H1333" s="4" t="n">
        <v>1</v>
      </c>
      <c r="I1333" s="4" t="n">
        <v>1</v>
      </c>
      <c r="J1333" s="4" t="n">
        <v>99</v>
      </c>
      <c r="K1333" s="4" t="n">
        <v>1</v>
      </c>
      <c r="L1333" s="12" t="n">
        <v>0.623695</v>
      </c>
      <c r="M1333" s="12" t="n">
        <v>0.184211</v>
      </c>
      <c r="N1333" s="12" t="n">
        <v>0.181305</v>
      </c>
      <c r="O1333" s="12" t="n">
        <v>0.106183</v>
      </c>
      <c r="P1333" s="12" t="n">
        <v>0.196188</v>
      </c>
      <c r="Q1333" s="0" t="str">
        <f aca="false">IF(L1333&gt;=Models!$G$5,1+COUNTIF($L$5:$L$1517,"&gt;"&amp;L1333)+COUNTIFS($L$5:$L$1517,L1333,$B$5:$B$1517,"&lt;"&amp;B1333)+COUNTIFS($L$5:$L$1517,L1333,$B$5:$B$1517,B1333,$C$5:$C$1517,"&lt;"&amp;C1333),"")</f>
        <v/>
      </c>
      <c r="R1333" s="8" t="n">
        <f aca="false">IF(M1333&gt;=Models!$G$6,1+COUNTIF($M$5:$M$1517,"&gt;"&amp;M1333)+COUNTIFS($M$5:$M$1517,M1333,$B$5:$B$1517,"&lt;"&amp;B1333)+COUNTIFS($M$5:$M$1517,M1333,$B$5:$B$1517,B1333,$C$5:$C$1517,"&lt;"&amp;C1333),"")</f>
        <v>105</v>
      </c>
      <c r="S1333" s="0" t="str">
        <f aca="false">IF(N1333&gt;=Models!$G$7,1+COUNTIF($N$5:$N$1517,"&gt;"&amp;N1333)+COUNTIFS($N$5:$N$1517,N1333,$B$5:$B$1517,"&lt;"&amp;B1333)+COUNTIFS($N$5:$N$1517,N1333,$B$5:$B$1517,B1333,$C$5:$C$1517,"&lt;"&amp;C1333),"")</f>
        <v/>
      </c>
      <c r="T1333" s="8" t="n">
        <f aca="false">IF(O1333&gt;=Models!$G$8,1+COUNTIF($O$5:$O$1517,"&gt;"&amp;O1333)+COUNTIFS($O$5:$O$1517,O1333,$B$5:$B$1517,"&lt;"&amp;B1333)+COUNTIFS($O$5:$O$1517,O1333,$B$5:$B$1517,B1333,$C$5:$C$1517,"&lt;"&amp;C1333),"")</f>
        <v>897</v>
      </c>
      <c r="U1333" s="8" t="n">
        <f aca="false">IF($K1333=1,COUNTIFS($L$5:$L$1517,"&gt;="&amp;L1333,$K$5:$K$1517,1)/COUNTIF($L$5:$L$1517,"&gt;="&amp;L1333),0)</f>
        <v>0.130671506352087</v>
      </c>
      <c r="V1333" s="8" t="n">
        <f aca="false">IF($K1333=1,COUNTIFS($M$5:$M$1517,"&gt;="&amp;M1333,$K$5:$K$1517,1)/COUNTIF($M$5:$M$1517,"&gt;="&amp;M1333),0)</f>
        <v>0.186528497409326</v>
      </c>
      <c r="W1333" s="8" t="n">
        <f aca="false">IF($K1333=1,COUNTIFS($N$5:$N$1517,"&gt;="&amp;N1333,$K$5:$K$1517,1)/COUNTIF($N$5:$N$1517,"&gt;="&amp;N1333),0)</f>
        <v>0.32183908045977</v>
      </c>
      <c r="X1333" s="8" t="n">
        <f aca="false">IF($K1333=1,COUNTIFS($O$5:$O$1517,"&gt;="&amp;O1333,$K$5:$K$1517,1)/COUNTIF($O$5:$O$1517,"&gt;="&amp;O1333),0)</f>
        <v>0.12491738268341</v>
      </c>
      <c r="Y1333" s="8" t="n">
        <f aca="false">IF($K1333=1,COUNTIFS($P$5:$P$1517,"&gt;="&amp;P1333,$K$5:$K$1517,1)/COUNTIF($P$5:$P$1517,"&gt;="&amp;P1333),0)</f>
        <v>0.32183908045977</v>
      </c>
      <c r="Z1333" s="8" t="n">
        <f aca="false">(L1333-$K1333)^2</f>
        <v>0.141605453025</v>
      </c>
      <c r="AA1333" s="8" t="n">
        <f aca="false">(M1333-$K1333)^2</f>
        <v>0.665511692521</v>
      </c>
      <c r="AB1333" s="8" t="n">
        <f aca="false">(N1333-$K1333)^2</f>
        <v>0.670261503025</v>
      </c>
      <c r="AC1333" s="8" t="n">
        <f aca="false">(O1333-$K1333)^2</f>
        <v>0.798908829489</v>
      </c>
      <c r="AD1333" s="8" t="n">
        <f aca="false">(P1333-$K1333)^2</f>
        <v>0.646113731344</v>
      </c>
      <c r="AE1333" s="8" t="n">
        <f aca="false">MIN(INT(ROUND(N1333*1000000,0)/100000),9)</f>
        <v>1</v>
      </c>
      <c r="AF1333" s="8" t="n">
        <f aca="false">MIN(INT(ROUND(P1333*1000000,0)/100000),9)</f>
        <v>1</v>
      </c>
    </row>
    <row r="1334" customFormat="false" ht="15" hidden="false" customHeight="false" outlineLevel="0" collapsed="false">
      <c r="A1334" s="4" t="n">
        <v>1330</v>
      </c>
      <c r="B1334" s="4" t="n">
        <v>1123</v>
      </c>
      <c r="C1334" s="4" t="n">
        <v>3</v>
      </c>
      <c r="D1334" s="11" t="n">
        <v>46143</v>
      </c>
      <c r="E1334" s="4" t="s">
        <v>201</v>
      </c>
      <c r="F1334" s="4" t="s">
        <v>206</v>
      </c>
      <c r="G1334" s="4" t="n">
        <v>1</v>
      </c>
      <c r="H1334" s="4" t="n">
        <v>7</v>
      </c>
      <c r="I1334" s="4" t="n">
        <v>0</v>
      </c>
      <c r="J1334" s="4"/>
      <c r="K1334" s="4" t="n">
        <v>0</v>
      </c>
      <c r="L1334" s="12" t="n">
        <v>0.735035</v>
      </c>
      <c r="M1334" s="12" t="n">
        <v>0.092063</v>
      </c>
      <c r="N1334" s="12" t="n">
        <v>0.079773</v>
      </c>
      <c r="O1334" s="12" t="n">
        <v>0.106183</v>
      </c>
      <c r="P1334" s="12" t="n">
        <v>0.083722</v>
      </c>
      <c r="Q1334" s="0" t="str">
        <f aca="false">IF(L1334&gt;=Models!$G$5,1+COUNTIF($L$5:$L$1517,"&gt;"&amp;L1334)+COUNTIFS($L$5:$L$1517,L1334,$B$5:$B$1517,"&lt;"&amp;B1334)+COUNTIFS($L$5:$L$1517,L1334,$B$5:$B$1517,B1334,$C$5:$C$1517,"&lt;"&amp;C1334),"")</f>
        <v/>
      </c>
      <c r="R1334" s="0" t="str">
        <f aca="false">IF(M1334&gt;=Models!$G$6,1+COUNTIF($M$5:$M$1517,"&gt;"&amp;M1334)+COUNTIFS($M$5:$M$1517,M1334,$B$5:$B$1517,"&lt;"&amp;B1334)+COUNTIFS($M$5:$M$1517,M1334,$B$5:$B$1517,B1334,$C$5:$C$1517,"&lt;"&amp;C1334),"")</f>
        <v/>
      </c>
      <c r="S1334" s="0" t="str">
        <f aca="false">IF(N1334&gt;=Models!$G$7,1+COUNTIF($N$5:$N$1517,"&gt;"&amp;N1334)+COUNTIFS($N$5:$N$1517,N1334,$B$5:$B$1517,"&lt;"&amp;B1334)+COUNTIFS($N$5:$N$1517,N1334,$B$5:$B$1517,B1334,$C$5:$C$1517,"&lt;"&amp;C1334),"")</f>
        <v/>
      </c>
      <c r="T1334" s="8" t="n">
        <f aca="false">IF(O1334&gt;=Models!$G$8,1+COUNTIF($O$5:$O$1517,"&gt;"&amp;O1334)+COUNTIFS($O$5:$O$1517,O1334,$B$5:$B$1517,"&lt;"&amp;B1334)+COUNTIFS($O$5:$O$1517,O1334,$B$5:$B$1517,B1334,$C$5:$C$1517,"&lt;"&amp;C1334),"")</f>
        <v>901</v>
      </c>
      <c r="U1334" s="8" t="n">
        <f aca="false">IF($K1334=1,COUNTIFS($L$5:$L$1517,"&gt;="&amp;L1334,$K$5:$K$1517,1)/COUNTIF($L$5:$L$1517,"&gt;="&amp;L1334),0)</f>
        <v>0</v>
      </c>
      <c r="V1334" s="8" t="n">
        <f aca="false">IF($K1334=1,COUNTIFS($M$5:$M$1517,"&gt;="&amp;M1334,$K$5:$K$1517,1)/COUNTIF($M$5:$M$1517,"&gt;="&amp;M1334),0)</f>
        <v>0</v>
      </c>
      <c r="W1334" s="8" t="n">
        <f aca="false">IF($K1334=1,COUNTIFS($N$5:$N$1517,"&gt;="&amp;N1334,$K$5:$K$1517,1)/COUNTIF($N$5:$N$1517,"&gt;="&amp;N1334),0)</f>
        <v>0</v>
      </c>
      <c r="X1334" s="8" t="n">
        <f aca="false">IF($K1334=1,COUNTIFS($O$5:$O$1517,"&gt;="&amp;O1334,$K$5:$K$1517,1)/COUNTIF($O$5:$O$1517,"&gt;="&amp;O1334),0)</f>
        <v>0</v>
      </c>
      <c r="Y1334" s="8" t="n">
        <f aca="false">IF($K1334=1,COUNTIFS($P$5:$P$1517,"&gt;="&amp;P1334,$K$5:$K$1517,1)/COUNTIF($P$5:$P$1517,"&gt;="&amp;P1334),0)</f>
        <v>0</v>
      </c>
      <c r="Z1334" s="8" t="n">
        <f aca="false">(L1334-$K1334)^2</f>
        <v>0.540276451225</v>
      </c>
      <c r="AA1334" s="8" t="n">
        <f aca="false">(M1334-$K1334)^2</f>
        <v>0.008475595969</v>
      </c>
      <c r="AB1334" s="8" t="n">
        <f aca="false">(N1334-$K1334)^2</f>
        <v>0.006363731529</v>
      </c>
      <c r="AC1334" s="8" t="n">
        <f aca="false">(O1334-$K1334)^2</f>
        <v>0.011274829489</v>
      </c>
      <c r="AD1334" s="8" t="n">
        <f aca="false">(P1334-$K1334)^2</f>
        <v>0.007009373284</v>
      </c>
      <c r="AE1334" s="8" t="n">
        <f aca="false">MIN(INT(ROUND(N1334*1000000,0)/100000),9)</f>
        <v>0</v>
      </c>
      <c r="AF1334" s="8" t="n">
        <f aca="false">MIN(INT(ROUND(P1334*1000000,0)/100000),9)</f>
        <v>0</v>
      </c>
    </row>
    <row r="1335" customFormat="false" ht="15" hidden="false" customHeight="false" outlineLevel="0" collapsed="false">
      <c r="A1335" s="4" t="n">
        <v>1331</v>
      </c>
      <c r="B1335" s="4" t="n">
        <v>1133</v>
      </c>
      <c r="C1335" s="4" t="n">
        <v>3</v>
      </c>
      <c r="D1335" s="11" t="n">
        <v>46143</v>
      </c>
      <c r="E1335" s="4" t="s">
        <v>201</v>
      </c>
      <c r="F1335" s="4" t="s">
        <v>210</v>
      </c>
      <c r="G1335" s="4" t="n">
        <v>10</v>
      </c>
      <c r="H1335" s="4" t="n">
        <v>7</v>
      </c>
      <c r="I1335" s="4" t="n">
        <v>0</v>
      </c>
      <c r="J1335" s="4"/>
      <c r="K1335" s="4" t="n">
        <v>0</v>
      </c>
      <c r="L1335" s="12" t="n">
        <v>0.739487</v>
      </c>
      <c r="M1335" s="12" t="n">
        <v>0.092063</v>
      </c>
      <c r="N1335" s="12" t="n">
        <v>0.037134</v>
      </c>
      <c r="O1335" s="12" t="n">
        <v>0.106183</v>
      </c>
      <c r="P1335" s="12" t="n">
        <v>0.037641</v>
      </c>
      <c r="Q1335" s="0" t="str">
        <f aca="false">IF(L1335&gt;=Models!$G$5,1+COUNTIF($L$5:$L$1517,"&gt;"&amp;L1335)+COUNTIFS($L$5:$L$1517,L1335,$B$5:$B$1517,"&lt;"&amp;B1335)+COUNTIFS($L$5:$L$1517,L1335,$B$5:$B$1517,B1335,$C$5:$C$1517,"&lt;"&amp;C1335),"")</f>
        <v/>
      </c>
      <c r="R1335" s="0" t="str">
        <f aca="false">IF(M1335&gt;=Models!$G$6,1+COUNTIF($M$5:$M$1517,"&gt;"&amp;M1335)+COUNTIFS($M$5:$M$1517,M1335,$B$5:$B$1517,"&lt;"&amp;B1335)+COUNTIFS($M$5:$M$1517,M1335,$B$5:$B$1517,B1335,$C$5:$C$1517,"&lt;"&amp;C1335),"")</f>
        <v/>
      </c>
      <c r="S1335" s="0" t="str">
        <f aca="false">IF(N1335&gt;=Models!$G$7,1+COUNTIF($N$5:$N$1517,"&gt;"&amp;N1335)+COUNTIFS($N$5:$N$1517,N1335,$B$5:$B$1517,"&lt;"&amp;B1335)+COUNTIFS($N$5:$N$1517,N1335,$B$5:$B$1517,B1335,$C$5:$C$1517,"&lt;"&amp;C1335),"")</f>
        <v/>
      </c>
      <c r="T1335" s="8" t="n">
        <f aca="false">IF(O1335&gt;=Models!$G$8,1+COUNTIF($O$5:$O$1517,"&gt;"&amp;O1335)+COUNTIFS($O$5:$O$1517,O1335,$B$5:$B$1517,"&lt;"&amp;B1335)+COUNTIFS($O$5:$O$1517,O1335,$B$5:$B$1517,B1335,$C$5:$C$1517,"&lt;"&amp;C1335),"")</f>
        <v>906</v>
      </c>
      <c r="U1335" s="8" t="n">
        <f aca="false">IF($K1335=1,COUNTIFS($L$5:$L$1517,"&gt;="&amp;L1335,$K$5:$K$1517,1)/COUNTIF($L$5:$L$1517,"&gt;="&amp;L1335),0)</f>
        <v>0</v>
      </c>
      <c r="V1335" s="8" t="n">
        <f aca="false">IF($K1335=1,COUNTIFS($M$5:$M$1517,"&gt;="&amp;M1335,$K$5:$K$1517,1)/COUNTIF($M$5:$M$1517,"&gt;="&amp;M1335),0)</f>
        <v>0</v>
      </c>
      <c r="W1335" s="8" t="n">
        <f aca="false">IF($K1335=1,COUNTIFS($N$5:$N$1517,"&gt;="&amp;N1335,$K$5:$K$1517,1)/COUNTIF($N$5:$N$1517,"&gt;="&amp;N1335),0)</f>
        <v>0</v>
      </c>
      <c r="X1335" s="8" t="n">
        <f aca="false">IF($K1335=1,COUNTIFS($O$5:$O$1517,"&gt;="&amp;O1335,$K$5:$K$1517,1)/COUNTIF($O$5:$O$1517,"&gt;="&amp;O1335),0)</f>
        <v>0</v>
      </c>
      <c r="Y1335" s="8" t="n">
        <f aca="false">IF($K1335=1,COUNTIFS($P$5:$P$1517,"&gt;="&amp;P1335,$K$5:$K$1517,1)/COUNTIF($P$5:$P$1517,"&gt;="&amp;P1335),0)</f>
        <v>0</v>
      </c>
      <c r="Z1335" s="8" t="n">
        <f aca="false">(L1335-$K1335)^2</f>
        <v>0.546841023169</v>
      </c>
      <c r="AA1335" s="8" t="n">
        <f aca="false">(M1335-$K1335)^2</f>
        <v>0.008475595969</v>
      </c>
      <c r="AB1335" s="8" t="n">
        <f aca="false">(N1335-$K1335)^2</f>
        <v>0.001378933956</v>
      </c>
      <c r="AC1335" s="8" t="n">
        <f aca="false">(O1335-$K1335)^2</f>
        <v>0.011274829489</v>
      </c>
      <c r="AD1335" s="8" t="n">
        <f aca="false">(P1335-$K1335)^2</f>
        <v>0.001416844881</v>
      </c>
      <c r="AE1335" s="8" t="n">
        <f aca="false">MIN(INT(ROUND(N1335*1000000,0)/100000),9)</f>
        <v>0</v>
      </c>
      <c r="AF1335" s="8" t="n">
        <f aca="false">MIN(INT(ROUND(P1335*1000000,0)/100000),9)</f>
        <v>0</v>
      </c>
    </row>
    <row r="1336" customFormat="false" ht="15" hidden="false" customHeight="false" outlineLevel="0" collapsed="false">
      <c r="A1336" s="4" t="n">
        <v>1332</v>
      </c>
      <c r="B1336" s="4" t="n">
        <v>1141</v>
      </c>
      <c r="C1336" s="4" t="n">
        <v>3</v>
      </c>
      <c r="D1336" s="11" t="n">
        <v>46143</v>
      </c>
      <c r="E1336" s="4" t="s">
        <v>204</v>
      </c>
      <c r="F1336" s="4" t="s">
        <v>210</v>
      </c>
      <c r="G1336" s="4" t="n">
        <v>5</v>
      </c>
      <c r="H1336" s="4" t="n">
        <v>4</v>
      </c>
      <c r="I1336" s="4" t="n">
        <v>0</v>
      </c>
      <c r="J1336" s="4" t="n">
        <v>60</v>
      </c>
      <c r="K1336" s="4" t="n">
        <v>0</v>
      </c>
      <c r="L1336" s="12" t="n">
        <v>0.983504</v>
      </c>
      <c r="M1336" s="12" t="n">
        <v>0.092063</v>
      </c>
      <c r="N1336" s="12" t="n">
        <v>0.11138</v>
      </c>
      <c r="O1336" s="12" t="n">
        <v>0.106183</v>
      </c>
      <c r="P1336" s="12" t="n">
        <v>0.118516</v>
      </c>
      <c r="Q1336" s="8" t="n">
        <f aca="false">IF(L1336&gt;=Models!$G$5,1+COUNTIF($L$5:$L$1517,"&gt;"&amp;L1336)+COUNTIFS($L$5:$L$1517,L1336,$B$5:$B$1517,"&lt;"&amp;B1336)+COUNTIFS($L$5:$L$1517,L1336,$B$5:$B$1517,B1336,$C$5:$C$1517,"&lt;"&amp;C1336),"")</f>
        <v>21</v>
      </c>
      <c r="R1336" s="0" t="str">
        <f aca="false">IF(M1336&gt;=Models!$G$6,1+COUNTIF($M$5:$M$1517,"&gt;"&amp;M1336)+COUNTIFS($M$5:$M$1517,M1336,$B$5:$B$1517,"&lt;"&amp;B1336)+COUNTIFS($M$5:$M$1517,M1336,$B$5:$B$1517,B1336,$C$5:$C$1517,"&lt;"&amp;C1336),"")</f>
        <v/>
      </c>
      <c r="S1336" s="0" t="str">
        <f aca="false">IF(N1336&gt;=Models!$G$7,1+COUNTIF($N$5:$N$1517,"&gt;"&amp;N1336)+COUNTIFS($N$5:$N$1517,N1336,$B$5:$B$1517,"&lt;"&amp;B1336)+COUNTIFS($N$5:$N$1517,N1336,$B$5:$B$1517,B1336,$C$5:$C$1517,"&lt;"&amp;C1336),"")</f>
        <v/>
      </c>
      <c r="T1336" s="8" t="n">
        <f aca="false">IF(O1336&gt;=Models!$G$8,1+COUNTIF($O$5:$O$1517,"&gt;"&amp;O1336)+COUNTIFS($O$5:$O$1517,O1336,$B$5:$B$1517,"&lt;"&amp;B1336)+COUNTIFS($O$5:$O$1517,O1336,$B$5:$B$1517,B1336,$C$5:$C$1517,"&lt;"&amp;C1336),"")</f>
        <v>911</v>
      </c>
      <c r="U1336" s="8" t="n">
        <f aca="false">IF($K1336=1,COUNTIFS($L$5:$L$1517,"&gt;="&amp;L1336,$K$5:$K$1517,1)/COUNTIF($L$5:$L$1517,"&gt;="&amp;L1336),0)</f>
        <v>0</v>
      </c>
      <c r="V1336" s="8" t="n">
        <f aca="false">IF($K1336=1,COUNTIFS($M$5:$M$1517,"&gt;="&amp;M1336,$K$5:$K$1517,1)/COUNTIF($M$5:$M$1517,"&gt;="&amp;M1336),0)</f>
        <v>0</v>
      </c>
      <c r="W1336" s="8" t="n">
        <f aca="false">IF($K1336=1,COUNTIFS($N$5:$N$1517,"&gt;="&amp;N1336,$K$5:$K$1517,1)/COUNTIF($N$5:$N$1517,"&gt;="&amp;N1336),0)</f>
        <v>0</v>
      </c>
      <c r="X1336" s="8" t="n">
        <f aca="false">IF($K1336=1,COUNTIFS($O$5:$O$1517,"&gt;="&amp;O1336,$K$5:$K$1517,1)/COUNTIF($O$5:$O$1517,"&gt;="&amp;O1336),0)</f>
        <v>0</v>
      </c>
      <c r="Y1336" s="8" t="n">
        <f aca="false">IF($K1336=1,COUNTIFS($P$5:$P$1517,"&gt;="&amp;P1336,$K$5:$K$1517,1)/COUNTIF($P$5:$P$1517,"&gt;="&amp;P1336),0)</f>
        <v>0</v>
      </c>
      <c r="Z1336" s="8" t="n">
        <f aca="false">(L1336-$K1336)^2</f>
        <v>0.967280118016</v>
      </c>
      <c r="AA1336" s="8" t="n">
        <f aca="false">(M1336-$K1336)^2</f>
        <v>0.008475595969</v>
      </c>
      <c r="AB1336" s="8" t="n">
        <f aca="false">(N1336-$K1336)^2</f>
        <v>0.0124055044</v>
      </c>
      <c r="AC1336" s="8" t="n">
        <f aca="false">(O1336-$K1336)^2</f>
        <v>0.011274829489</v>
      </c>
      <c r="AD1336" s="8" t="n">
        <f aca="false">(P1336-$K1336)^2</f>
        <v>0.014046042256</v>
      </c>
      <c r="AE1336" s="8" t="n">
        <f aca="false">MIN(INT(ROUND(N1336*1000000,0)/100000),9)</f>
        <v>1</v>
      </c>
      <c r="AF1336" s="8" t="n">
        <f aca="false">MIN(INT(ROUND(P1336*1000000,0)/100000),9)</f>
        <v>1</v>
      </c>
    </row>
    <row r="1337" customFormat="false" ht="15" hidden="false" customHeight="false" outlineLevel="0" collapsed="false">
      <c r="A1337" s="4" t="n">
        <v>1333</v>
      </c>
      <c r="B1337" s="4" t="n">
        <v>1143</v>
      </c>
      <c r="C1337" s="4" t="n">
        <v>3</v>
      </c>
      <c r="D1337" s="11" t="n">
        <v>46143</v>
      </c>
      <c r="E1337" s="4" t="s">
        <v>201</v>
      </c>
      <c r="F1337" s="4" t="s">
        <v>206</v>
      </c>
      <c r="G1337" s="4" t="n">
        <v>12</v>
      </c>
      <c r="H1337" s="4" t="n">
        <v>0</v>
      </c>
      <c r="I1337" s="4" t="n">
        <v>0</v>
      </c>
      <c r="J1337" s="4"/>
      <c r="K1337" s="4" t="n">
        <v>0</v>
      </c>
      <c r="L1337" s="12" t="n">
        <v>0.264715</v>
      </c>
      <c r="M1337" s="12" t="n">
        <v>0.092063</v>
      </c>
      <c r="N1337" s="12" t="n">
        <v>0.02952</v>
      </c>
      <c r="O1337" s="12" t="n">
        <v>0.106183</v>
      </c>
      <c r="P1337" s="12" t="n">
        <v>0.0296</v>
      </c>
      <c r="Q1337" s="0" t="str">
        <f aca="false">IF(L1337&gt;=Models!$G$5,1+COUNTIF($L$5:$L$1517,"&gt;"&amp;L1337)+COUNTIFS($L$5:$L$1517,L1337,$B$5:$B$1517,"&lt;"&amp;B1337)+COUNTIFS($L$5:$L$1517,L1337,$B$5:$B$1517,B1337,$C$5:$C$1517,"&lt;"&amp;C1337),"")</f>
        <v/>
      </c>
      <c r="R1337" s="0" t="str">
        <f aca="false">IF(M1337&gt;=Models!$G$6,1+COUNTIF($M$5:$M$1517,"&gt;"&amp;M1337)+COUNTIFS($M$5:$M$1517,M1337,$B$5:$B$1517,"&lt;"&amp;B1337)+COUNTIFS($M$5:$M$1517,M1337,$B$5:$B$1517,B1337,$C$5:$C$1517,"&lt;"&amp;C1337),"")</f>
        <v/>
      </c>
      <c r="S1337" s="0" t="str">
        <f aca="false">IF(N1337&gt;=Models!$G$7,1+COUNTIF($N$5:$N$1517,"&gt;"&amp;N1337)+COUNTIFS($N$5:$N$1517,N1337,$B$5:$B$1517,"&lt;"&amp;B1337)+COUNTIFS($N$5:$N$1517,N1337,$B$5:$B$1517,B1337,$C$5:$C$1517,"&lt;"&amp;C1337),"")</f>
        <v/>
      </c>
      <c r="T1337" s="8" t="n">
        <f aca="false">IF(O1337&gt;=Models!$G$8,1+COUNTIF($O$5:$O$1517,"&gt;"&amp;O1337)+COUNTIFS($O$5:$O$1517,O1337,$B$5:$B$1517,"&lt;"&amp;B1337)+COUNTIFS($O$5:$O$1517,O1337,$B$5:$B$1517,B1337,$C$5:$C$1517,"&lt;"&amp;C1337),"")</f>
        <v>915</v>
      </c>
      <c r="U1337" s="8" t="n">
        <f aca="false">IF($K1337=1,COUNTIFS($L$5:$L$1517,"&gt;="&amp;L1337,$K$5:$K$1517,1)/COUNTIF($L$5:$L$1517,"&gt;="&amp;L1337),0)</f>
        <v>0</v>
      </c>
      <c r="V1337" s="8" t="n">
        <f aca="false">IF($K1337=1,COUNTIFS($M$5:$M$1517,"&gt;="&amp;M1337,$K$5:$K$1517,1)/COUNTIF($M$5:$M$1517,"&gt;="&amp;M1337),0)</f>
        <v>0</v>
      </c>
      <c r="W1337" s="8" t="n">
        <f aca="false">IF($K1337=1,COUNTIFS($N$5:$N$1517,"&gt;="&amp;N1337,$K$5:$K$1517,1)/COUNTIF($N$5:$N$1517,"&gt;="&amp;N1337),0)</f>
        <v>0</v>
      </c>
      <c r="X1337" s="8" t="n">
        <f aca="false">IF($K1337=1,COUNTIFS($O$5:$O$1517,"&gt;="&amp;O1337,$K$5:$K$1517,1)/COUNTIF($O$5:$O$1517,"&gt;="&amp;O1337),0)</f>
        <v>0</v>
      </c>
      <c r="Y1337" s="8" t="n">
        <f aca="false">IF($K1337=1,COUNTIFS($P$5:$P$1517,"&gt;="&amp;P1337,$K$5:$K$1517,1)/COUNTIF($P$5:$P$1517,"&gt;="&amp;P1337),0)</f>
        <v>0</v>
      </c>
      <c r="Z1337" s="8" t="n">
        <f aca="false">(L1337-$K1337)^2</f>
        <v>0.070074031225</v>
      </c>
      <c r="AA1337" s="8" t="n">
        <f aca="false">(M1337-$K1337)^2</f>
        <v>0.008475595969</v>
      </c>
      <c r="AB1337" s="8" t="n">
        <f aca="false">(N1337-$K1337)^2</f>
        <v>0.0008714304</v>
      </c>
      <c r="AC1337" s="8" t="n">
        <f aca="false">(O1337-$K1337)^2</f>
        <v>0.011274829489</v>
      </c>
      <c r="AD1337" s="8" t="n">
        <f aca="false">(P1337-$K1337)^2</f>
        <v>0.00087616</v>
      </c>
      <c r="AE1337" s="8" t="n">
        <f aca="false">MIN(INT(ROUND(N1337*1000000,0)/100000),9)</f>
        <v>0</v>
      </c>
      <c r="AF1337" s="8" t="n">
        <f aca="false">MIN(INT(ROUND(P1337*1000000,0)/100000),9)</f>
        <v>0</v>
      </c>
    </row>
    <row r="1338" customFormat="false" ht="15" hidden="false" customHeight="false" outlineLevel="0" collapsed="false">
      <c r="A1338" s="4" t="n">
        <v>1334</v>
      </c>
      <c r="B1338" s="4" t="n">
        <v>1146</v>
      </c>
      <c r="C1338" s="4" t="n">
        <v>3</v>
      </c>
      <c r="D1338" s="11" t="n">
        <v>46143</v>
      </c>
      <c r="E1338" s="4" t="s">
        <v>204</v>
      </c>
      <c r="F1338" s="4" t="s">
        <v>206</v>
      </c>
      <c r="G1338" s="4" t="n">
        <v>5</v>
      </c>
      <c r="H1338" s="4" t="n">
        <v>8</v>
      </c>
      <c r="I1338" s="4" t="n">
        <v>0</v>
      </c>
      <c r="J1338" s="4"/>
      <c r="K1338" s="4" t="n">
        <v>0</v>
      </c>
      <c r="L1338" s="12" t="n">
        <v>0.381848</v>
      </c>
      <c r="M1338" s="12" t="n">
        <v>0.092063</v>
      </c>
      <c r="N1338" s="12" t="n">
        <v>0.057475</v>
      </c>
      <c r="O1338" s="12" t="n">
        <v>0.106183</v>
      </c>
      <c r="P1338" s="12" t="n">
        <v>0.05945</v>
      </c>
      <c r="Q1338" s="0" t="str">
        <f aca="false">IF(L1338&gt;=Models!$G$5,1+COUNTIF($L$5:$L$1517,"&gt;"&amp;L1338)+COUNTIFS($L$5:$L$1517,L1338,$B$5:$B$1517,"&lt;"&amp;B1338)+COUNTIFS($L$5:$L$1517,L1338,$B$5:$B$1517,B1338,$C$5:$C$1517,"&lt;"&amp;C1338),"")</f>
        <v/>
      </c>
      <c r="R1338" s="0" t="str">
        <f aca="false">IF(M1338&gt;=Models!$G$6,1+COUNTIF($M$5:$M$1517,"&gt;"&amp;M1338)+COUNTIFS($M$5:$M$1517,M1338,$B$5:$B$1517,"&lt;"&amp;B1338)+COUNTIFS($M$5:$M$1517,M1338,$B$5:$B$1517,B1338,$C$5:$C$1517,"&lt;"&amp;C1338),"")</f>
        <v/>
      </c>
      <c r="S1338" s="0" t="str">
        <f aca="false">IF(N1338&gt;=Models!$G$7,1+COUNTIF($N$5:$N$1517,"&gt;"&amp;N1338)+COUNTIFS($N$5:$N$1517,N1338,$B$5:$B$1517,"&lt;"&amp;B1338)+COUNTIFS($N$5:$N$1517,N1338,$B$5:$B$1517,B1338,$C$5:$C$1517,"&lt;"&amp;C1338),"")</f>
        <v/>
      </c>
      <c r="T1338" s="8" t="n">
        <f aca="false">IF(O1338&gt;=Models!$G$8,1+COUNTIF($O$5:$O$1517,"&gt;"&amp;O1338)+COUNTIFS($O$5:$O$1517,O1338,$B$5:$B$1517,"&lt;"&amp;B1338)+COUNTIFS($O$5:$O$1517,O1338,$B$5:$B$1517,B1338,$C$5:$C$1517,"&lt;"&amp;C1338),"")</f>
        <v>919</v>
      </c>
      <c r="U1338" s="8" t="n">
        <f aca="false">IF($K1338=1,COUNTIFS($L$5:$L$1517,"&gt;="&amp;L1338,$K$5:$K$1517,1)/COUNTIF($L$5:$L$1517,"&gt;="&amp;L1338),0)</f>
        <v>0</v>
      </c>
      <c r="V1338" s="8" t="n">
        <f aca="false">IF($K1338=1,COUNTIFS($M$5:$M$1517,"&gt;="&amp;M1338,$K$5:$K$1517,1)/COUNTIF($M$5:$M$1517,"&gt;="&amp;M1338),0)</f>
        <v>0</v>
      </c>
      <c r="W1338" s="8" t="n">
        <f aca="false">IF($K1338=1,COUNTIFS($N$5:$N$1517,"&gt;="&amp;N1338,$K$5:$K$1517,1)/COUNTIF($N$5:$N$1517,"&gt;="&amp;N1338),0)</f>
        <v>0</v>
      </c>
      <c r="X1338" s="8" t="n">
        <f aca="false">IF($K1338=1,COUNTIFS($O$5:$O$1517,"&gt;="&amp;O1338,$K$5:$K$1517,1)/COUNTIF($O$5:$O$1517,"&gt;="&amp;O1338),0)</f>
        <v>0</v>
      </c>
      <c r="Y1338" s="8" t="n">
        <f aca="false">IF($K1338=1,COUNTIFS($P$5:$P$1517,"&gt;="&amp;P1338,$K$5:$K$1517,1)/COUNTIF($P$5:$P$1517,"&gt;="&amp;P1338),0)</f>
        <v>0</v>
      </c>
      <c r="Z1338" s="8" t="n">
        <f aca="false">(L1338-$K1338)^2</f>
        <v>0.145807895104</v>
      </c>
      <c r="AA1338" s="8" t="n">
        <f aca="false">(M1338-$K1338)^2</f>
        <v>0.008475595969</v>
      </c>
      <c r="AB1338" s="8" t="n">
        <f aca="false">(N1338-$K1338)^2</f>
        <v>0.003303375625</v>
      </c>
      <c r="AC1338" s="8" t="n">
        <f aca="false">(O1338-$K1338)^2</f>
        <v>0.011274829489</v>
      </c>
      <c r="AD1338" s="8" t="n">
        <f aca="false">(P1338-$K1338)^2</f>
        <v>0.0035343025</v>
      </c>
      <c r="AE1338" s="8" t="n">
        <f aca="false">MIN(INT(ROUND(N1338*1000000,0)/100000),9)</f>
        <v>0</v>
      </c>
      <c r="AF1338" s="8" t="n">
        <f aca="false">MIN(INT(ROUND(P1338*1000000,0)/100000),9)</f>
        <v>0</v>
      </c>
    </row>
    <row r="1339" customFormat="false" ht="15" hidden="false" customHeight="false" outlineLevel="0" collapsed="false">
      <c r="A1339" s="4" t="n">
        <v>1335</v>
      </c>
      <c r="B1339" s="4" t="n">
        <v>1150</v>
      </c>
      <c r="C1339" s="4" t="n">
        <v>3</v>
      </c>
      <c r="D1339" s="11" t="n">
        <v>46143</v>
      </c>
      <c r="E1339" s="4" t="s">
        <v>204</v>
      </c>
      <c r="F1339" s="4" t="s">
        <v>209</v>
      </c>
      <c r="G1339" s="4" t="n">
        <v>2</v>
      </c>
      <c r="H1339" s="4" t="n">
        <v>4</v>
      </c>
      <c r="I1339" s="4" t="n">
        <v>0</v>
      </c>
      <c r="J1339" s="4" t="n">
        <v>69</v>
      </c>
      <c r="K1339" s="4" t="n">
        <v>0</v>
      </c>
      <c r="L1339" s="12" t="n">
        <v>0.766997</v>
      </c>
      <c r="M1339" s="12" t="n">
        <v>0.092063</v>
      </c>
      <c r="N1339" s="12" t="n">
        <v>0.140969</v>
      </c>
      <c r="O1339" s="12" t="n">
        <v>0.106183</v>
      </c>
      <c r="P1339" s="12" t="n">
        <v>0.15132</v>
      </c>
      <c r="Q1339" s="0" t="str">
        <f aca="false">IF(L1339&gt;=Models!$G$5,1+COUNTIF($L$5:$L$1517,"&gt;"&amp;L1339)+COUNTIFS($L$5:$L$1517,L1339,$B$5:$B$1517,"&lt;"&amp;B1339)+COUNTIFS($L$5:$L$1517,L1339,$B$5:$B$1517,B1339,$C$5:$C$1517,"&lt;"&amp;C1339),"")</f>
        <v/>
      </c>
      <c r="R1339" s="0" t="str">
        <f aca="false">IF(M1339&gt;=Models!$G$6,1+COUNTIF($M$5:$M$1517,"&gt;"&amp;M1339)+COUNTIFS($M$5:$M$1517,M1339,$B$5:$B$1517,"&lt;"&amp;B1339)+COUNTIFS($M$5:$M$1517,M1339,$B$5:$B$1517,B1339,$C$5:$C$1517,"&lt;"&amp;C1339),"")</f>
        <v/>
      </c>
      <c r="S1339" s="0" t="str">
        <f aca="false">IF(N1339&gt;=Models!$G$7,1+COUNTIF($N$5:$N$1517,"&gt;"&amp;N1339)+COUNTIFS($N$5:$N$1517,N1339,$B$5:$B$1517,"&lt;"&amp;B1339)+COUNTIFS($N$5:$N$1517,N1339,$B$5:$B$1517,B1339,$C$5:$C$1517,"&lt;"&amp;C1339),"")</f>
        <v/>
      </c>
      <c r="T1339" s="8" t="n">
        <f aca="false">IF(O1339&gt;=Models!$G$8,1+COUNTIF($O$5:$O$1517,"&gt;"&amp;O1339)+COUNTIFS($O$5:$O$1517,O1339,$B$5:$B$1517,"&lt;"&amp;B1339)+COUNTIFS($O$5:$O$1517,O1339,$B$5:$B$1517,B1339,$C$5:$C$1517,"&lt;"&amp;C1339),"")</f>
        <v>923</v>
      </c>
      <c r="U1339" s="8" t="n">
        <f aca="false">IF($K1339=1,COUNTIFS($L$5:$L$1517,"&gt;="&amp;L1339,$K$5:$K$1517,1)/COUNTIF($L$5:$L$1517,"&gt;="&amp;L1339),0)</f>
        <v>0</v>
      </c>
      <c r="V1339" s="8" t="n">
        <f aca="false">IF($K1339=1,COUNTIFS($M$5:$M$1517,"&gt;="&amp;M1339,$K$5:$K$1517,1)/COUNTIF($M$5:$M$1517,"&gt;="&amp;M1339),0)</f>
        <v>0</v>
      </c>
      <c r="W1339" s="8" t="n">
        <f aca="false">IF($K1339=1,COUNTIFS($N$5:$N$1517,"&gt;="&amp;N1339,$K$5:$K$1517,1)/COUNTIF($N$5:$N$1517,"&gt;="&amp;N1339),0)</f>
        <v>0</v>
      </c>
      <c r="X1339" s="8" t="n">
        <f aca="false">IF($K1339=1,COUNTIFS($O$5:$O$1517,"&gt;="&amp;O1339,$K$5:$K$1517,1)/COUNTIF($O$5:$O$1517,"&gt;="&amp;O1339),0)</f>
        <v>0</v>
      </c>
      <c r="Y1339" s="8" t="n">
        <f aca="false">IF($K1339=1,COUNTIFS($P$5:$P$1517,"&gt;="&amp;P1339,$K$5:$K$1517,1)/COUNTIF($P$5:$P$1517,"&gt;="&amp;P1339),0)</f>
        <v>0</v>
      </c>
      <c r="Z1339" s="8" t="n">
        <f aca="false">(L1339-$K1339)^2</f>
        <v>0.588284398009</v>
      </c>
      <c r="AA1339" s="8" t="n">
        <f aca="false">(M1339-$K1339)^2</f>
        <v>0.008475595969</v>
      </c>
      <c r="AB1339" s="8" t="n">
        <f aca="false">(N1339-$K1339)^2</f>
        <v>0.019872258961</v>
      </c>
      <c r="AC1339" s="8" t="n">
        <f aca="false">(O1339-$K1339)^2</f>
        <v>0.011274829489</v>
      </c>
      <c r="AD1339" s="8" t="n">
        <f aca="false">(P1339-$K1339)^2</f>
        <v>0.0228977424</v>
      </c>
      <c r="AE1339" s="8" t="n">
        <f aca="false">MIN(INT(ROUND(N1339*1000000,0)/100000),9)</f>
        <v>1</v>
      </c>
      <c r="AF1339" s="8" t="n">
        <f aca="false">MIN(INT(ROUND(P1339*1000000,0)/100000),9)</f>
        <v>1</v>
      </c>
    </row>
    <row r="1340" customFormat="false" ht="15" hidden="false" customHeight="false" outlineLevel="0" collapsed="false">
      <c r="A1340" s="4" t="n">
        <v>1336</v>
      </c>
      <c r="B1340" s="4" t="n">
        <v>1153</v>
      </c>
      <c r="C1340" s="4" t="n">
        <v>3</v>
      </c>
      <c r="D1340" s="11" t="n">
        <v>46143</v>
      </c>
      <c r="E1340" s="4" t="s">
        <v>203</v>
      </c>
      <c r="F1340" s="4" t="s">
        <v>206</v>
      </c>
      <c r="G1340" s="4" t="n">
        <v>4</v>
      </c>
      <c r="H1340" s="4" t="n">
        <v>6</v>
      </c>
      <c r="I1340" s="4" t="n">
        <v>0</v>
      </c>
      <c r="J1340" s="4"/>
      <c r="K1340" s="4" t="n">
        <v>1</v>
      </c>
      <c r="L1340" s="12" t="n">
        <v>0.641262</v>
      </c>
      <c r="M1340" s="12" t="n">
        <v>0.092063</v>
      </c>
      <c r="N1340" s="12" t="n">
        <v>0.061595</v>
      </c>
      <c r="O1340" s="12" t="n">
        <v>0.106183</v>
      </c>
      <c r="P1340" s="12" t="n">
        <v>0.063911</v>
      </c>
      <c r="Q1340" s="0" t="str">
        <f aca="false">IF(L1340&gt;=Models!$G$5,1+COUNTIF($L$5:$L$1517,"&gt;"&amp;L1340)+COUNTIFS($L$5:$L$1517,L1340,$B$5:$B$1517,"&lt;"&amp;B1340)+COUNTIFS($L$5:$L$1517,L1340,$B$5:$B$1517,B1340,$C$5:$C$1517,"&lt;"&amp;C1340),"")</f>
        <v/>
      </c>
      <c r="R1340" s="0" t="str">
        <f aca="false">IF(M1340&gt;=Models!$G$6,1+COUNTIF($M$5:$M$1517,"&gt;"&amp;M1340)+COUNTIFS($M$5:$M$1517,M1340,$B$5:$B$1517,"&lt;"&amp;B1340)+COUNTIFS($M$5:$M$1517,M1340,$B$5:$B$1517,B1340,$C$5:$C$1517,"&lt;"&amp;C1340),"")</f>
        <v/>
      </c>
      <c r="S1340" s="0" t="str">
        <f aca="false">IF(N1340&gt;=Models!$G$7,1+COUNTIF($N$5:$N$1517,"&gt;"&amp;N1340)+COUNTIFS($N$5:$N$1517,N1340,$B$5:$B$1517,"&lt;"&amp;B1340)+COUNTIFS($N$5:$N$1517,N1340,$B$5:$B$1517,B1340,$C$5:$C$1517,"&lt;"&amp;C1340),"")</f>
        <v/>
      </c>
      <c r="T1340" s="8" t="n">
        <f aca="false">IF(O1340&gt;=Models!$G$8,1+COUNTIF($O$5:$O$1517,"&gt;"&amp;O1340)+COUNTIFS($O$5:$O$1517,O1340,$B$5:$B$1517,"&lt;"&amp;B1340)+COUNTIFS($O$5:$O$1517,O1340,$B$5:$B$1517,B1340,$C$5:$C$1517,"&lt;"&amp;C1340),"")</f>
        <v>927</v>
      </c>
      <c r="U1340" s="8" t="n">
        <f aca="false">IF($K1340=1,COUNTIFS($L$5:$L$1517,"&gt;="&amp;L1340,$K$5:$K$1517,1)/COUNTIF($L$5:$L$1517,"&gt;="&amp;L1340),0)</f>
        <v>0.131428571428571</v>
      </c>
      <c r="V1340" s="8" t="n">
        <f aca="false">IF($K1340=1,COUNTIFS($M$5:$M$1517,"&gt;="&amp;M1340,$K$5:$K$1517,1)/COUNTIF($M$5:$M$1517,"&gt;="&amp;M1340),0)</f>
        <v>0.12491738268341</v>
      </c>
      <c r="W1340" s="8" t="n">
        <f aca="false">IF($K1340=1,COUNTIFS($N$5:$N$1517,"&gt;="&amp;N1340,$K$5:$K$1517,1)/COUNTIF($N$5:$N$1517,"&gt;="&amp;N1340),0)</f>
        <v>0.159241706161137</v>
      </c>
      <c r="X1340" s="8" t="n">
        <f aca="false">IF($K1340=1,COUNTIFS($O$5:$O$1517,"&gt;="&amp;O1340,$K$5:$K$1517,1)/COUNTIF($O$5:$O$1517,"&gt;="&amp;O1340),0)</f>
        <v>0.12491738268341</v>
      </c>
      <c r="Y1340" s="8" t="n">
        <f aca="false">IF($K1340=1,COUNTIFS($P$5:$P$1517,"&gt;="&amp;P1340,$K$5:$K$1517,1)/COUNTIF($P$5:$P$1517,"&gt;="&amp;P1340),0)</f>
        <v>0.159241706161137</v>
      </c>
      <c r="Z1340" s="8" t="n">
        <f aca="false">(L1340-$K1340)^2</f>
        <v>0.128692952644</v>
      </c>
      <c r="AA1340" s="8" t="n">
        <f aca="false">(M1340-$K1340)^2</f>
        <v>0.824349595969</v>
      </c>
      <c r="AB1340" s="8" t="n">
        <f aca="false">(N1340-$K1340)^2</f>
        <v>0.880603944025</v>
      </c>
      <c r="AC1340" s="8" t="n">
        <f aca="false">(O1340-$K1340)^2</f>
        <v>0.798908829489</v>
      </c>
      <c r="AD1340" s="8" t="n">
        <f aca="false">(P1340-$K1340)^2</f>
        <v>0.876262615921</v>
      </c>
      <c r="AE1340" s="8" t="n">
        <f aca="false">MIN(INT(ROUND(N1340*1000000,0)/100000),9)</f>
        <v>0</v>
      </c>
      <c r="AF1340" s="8" t="n">
        <f aca="false">MIN(INT(ROUND(P1340*1000000,0)/100000),9)</f>
        <v>0</v>
      </c>
    </row>
    <row r="1341" customFormat="false" ht="15" hidden="false" customHeight="false" outlineLevel="0" collapsed="false">
      <c r="A1341" s="4" t="n">
        <v>1337</v>
      </c>
      <c r="B1341" s="4" t="n">
        <v>1156</v>
      </c>
      <c r="C1341" s="4" t="n">
        <v>3</v>
      </c>
      <c r="D1341" s="11" t="n">
        <v>46143</v>
      </c>
      <c r="E1341" s="4" t="s">
        <v>203</v>
      </c>
      <c r="F1341" s="4" t="s">
        <v>206</v>
      </c>
      <c r="G1341" s="4" t="n">
        <v>6</v>
      </c>
      <c r="H1341" s="4" t="n">
        <v>5</v>
      </c>
      <c r="I1341" s="4" t="n">
        <v>0</v>
      </c>
      <c r="J1341" s="4" t="n">
        <v>342</v>
      </c>
      <c r="K1341" s="4" t="n">
        <v>0</v>
      </c>
      <c r="L1341" s="12" t="n">
        <v>0.557703</v>
      </c>
      <c r="M1341" s="12" t="n">
        <v>0.092063</v>
      </c>
      <c r="N1341" s="12" t="n">
        <v>0.102027</v>
      </c>
      <c r="O1341" s="12" t="n">
        <v>0.106183</v>
      </c>
      <c r="P1341" s="12" t="n">
        <v>0.108186</v>
      </c>
      <c r="Q1341" s="0" t="str">
        <f aca="false">IF(L1341&gt;=Models!$G$5,1+COUNTIF($L$5:$L$1517,"&gt;"&amp;L1341)+COUNTIFS($L$5:$L$1517,L1341,$B$5:$B$1517,"&lt;"&amp;B1341)+COUNTIFS($L$5:$L$1517,L1341,$B$5:$B$1517,B1341,$C$5:$C$1517,"&lt;"&amp;C1341),"")</f>
        <v/>
      </c>
      <c r="R1341" s="0" t="str">
        <f aca="false">IF(M1341&gt;=Models!$G$6,1+COUNTIF($M$5:$M$1517,"&gt;"&amp;M1341)+COUNTIFS($M$5:$M$1517,M1341,$B$5:$B$1517,"&lt;"&amp;B1341)+COUNTIFS($M$5:$M$1517,M1341,$B$5:$B$1517,B1341,$C$5:$C$1517,"&lt;"&amp;C1341),"")</f>
        <v/>
      </c>
      <c r="S1341" s="0" t="str">
        <f aca="false">IF(N1341&gt;=Models!$G$7,1+COUNTIF($N$5:$N$1517,"&gt;"&amp;N1341)+COUNTIFS($N$5:$N$1517,N1341,$B$5:$B$1517,"&lt;"&amp;B1341)+COUNTIFS($N$5:$N$1517,N1341,$B$5:$B$1517,B1341,$C$5:$C$1517,"&lt;"&amp;C1341),"")</f>
        <v/>
      </c>
      <c r="T1341" s="8" t="n">
        <f aca="false">IF(O1341&gt;=Models!$G$8,1+COUNTIF($O$5:$O$1517,"&gt;"&amp;O1341)+COUNTIFS($O$5:$O$1517,O1341,$B$5:$B$1517,"&lt;"&amp;B1341)+COUNTIFS($O$5:$O$1517,O1341,$B$5:$B$1517,B1341,$C$5:$C$1517,"&lt;"&amp;C1341),"")</f>
        <v>931</v>
      </c>
      <c r="U1341" s="8" t="n">
        <f aca="false">IF($K1341=1,COUNTIFS($L$5:$L$1517,"&gt;="&amp;L1341,$K$5:$K$1517,1)/COUNTIF($L$5:$L$1517,"&gt;="&amp;L1341),0)</f>
        <v>0</v>
      </c>
      <c r="V1341" s="8" t="n">
        <f aca="false">IF($K1341=1,COUNTIFS($M$5:$M$1517,"&gt;="&amp;M1341,$K$5:$K$1517,1)/COUNTIF($M$5:$M$1517,"&gt;="&amp;M1341),0)</f>
        <v>0</v>
      </c>
      <c r="W1341" s="8" t="n">
        <f aca="false">IF($K1341=1,COUNTIFS($N$5:$N$1517,"&gt;="&amp;N1341,$K$5:$K$1517,1)/COUNTIF($N$5:$N$1517,"&gt;="&amp;N1341),0)</f>
        <v>0</v>
      </c>
      <c r="X1341" s="8" t="n">
        <f aca="false">IF($K1341=1,COUNTIFS($O$5:$O$1517,"&gt;="&amp;O1341,$K$5:$K$1517,1)/COUNTIF($O$5:$O$1517,"&gt;="&amp;O1341),0)</f>
        <v>0</v>
      </c>
      <c r="Y1341" s="8" t="n">
        <f aca="false">IF($K1341=1,COUNTIFS($P$5:$P$1517,"&gt;="&amp;P1341,$K$5:$K$1517,1)/COUNTIF($P$5:$P$1517,"&gt;="&amp;P1341),0)</f>
        <v>0</v>
      </c>
      <c r="Z1341" s="8" t="n">
        <f aca="false">(L1341-$K1341)^2</f>
        <v>0.311032636209</v>
      </c>
      <c r="AA1341" s="8" t="n">
        <f aca="false">(M1341-$K1341)^2</f>
        <v>0.008475595969</v>
      </c>
      <c r="AB1341" s="8" t="n">
        <f aca="false">(N1341-$K1341)^2</f>
        <v>0.010409508729</v>
      </c>
      <c r="AC1341" s="8" t="n">
        <f aca="false">(O1341-$K1341)^2</f>
        <v>0.011274829489</v>
      </c>
      <c r="AD1341" s="8" t="n">
        <f aca="false">(P1341-$K1341)^2</f>
        <v>0.011704210596</v>
      </c>
      <c r="AE1341" s="8" t="n">
        <f aca="false">MIN(INT(ROUND(N1341*1000000,0)/100000),9)</f>
        <v>1</v>
      </c>
      <c r="AF1341" s="8" t="n">
        <f aca="false">MIN(INT(ROUND(P1341*1000000,0)/100000),9)</f>
        <v>1</v>
      </c>
    </row>
    <row r="1342" customFormat="false" ht="15" hidden="false" customHeight="false" outlineLevel="0" collapsed="false">
      <c r="A1342" s="4" t="n">
        <v>1338</v>
      </c>
      <c r="B1342" s="4" t="n">
        <v>1166</v>
      </c>
      <c r="C1342" s="4" t="n">
        <v>3</v>
      </c>
      <c r="D1342" s="11" t="n">
        <v>46143</v>
      </c>
      <c r="E1342" s="4" t="s">
        <v>204</v>
      </c>
      <c r="F1342" s="4" t="s">
        <v>206</v>
      </c>
      <c r="G1342" s="4" t="n">
        <v>1</v>
      </c>
      <c r="H1342" s="4" t="n">
        <v>13</v>
      </c>
      <c r="I1342" s="4" t="n">
        <v>0</v>
      </c>
      <c r="J1342" s="4" t="n">
        <v>105</v>
      </c>
      <c r="K1342" s="4" t="n">
        <v>0</v>
      </c>
      <c r="L1342" s="12" t="n">
        <v>0.102934</v>
      </c>
      <c r="M1342" s="12" t="n">
        <v>0.092063</v>
      </c>
      <c r="N1342" s="12" t="n">
        <v>0.161702</v>
      </c>
      <c r="O1342" s="12" t="n">
        <v>0.106183</v>
      </c>
      <c r="P1342" s="12" t="n">
        <v>0.174373</v>
      </c>
      <c r="Q1342" s="0" t="str">
        <f aca="false">IF(L1342&gt;=Models!$G$5,1+COUNTIF($L$5:$L$1517,"&gt;"&amp;L1342)+COUNTIFS($L$5:$L$1517,L1342,$B$5:$B$1517,"&lt;"&amp;B1342)+COUNTIFS($L$5:$L$1517,L1342,$B$5:$B$1517,B1342,$C$5:$C$1517,"&lt;"&amp;C1342),"")</f>
        <v/>
      </c>
      <c r="R1342" s="0" t="str">
        <f aca="false">IF(M1342&gt;=Models!$G$6,1+COUNTIF($M$5:$M$1517,"&gt;"&amp;M1342)+COUNTIFS($M$5:$M$1517,M1342,$B$5:$B$1517,"&lt;"&amp;B1342)+COUNTIFS($M$5:$M$1517,M1342,$B$5:$B$1517,B1342,$C$5:$C$1517,"&lt;"&amp;C1342),"")</f>
        <v/>
      </c>
      <c r="S1342" s="0" t="str">
        <f aca="false">IF(N1342&gt;=Models!$G$7,1+COUNTIF($N$5:$N$1517,"&gt;"&amp;N1342)+COUNTIFS($N$5:$N$1517,N1342,$B$5:$B$1517,"&lt;"&amp;B1342)+COUNTIFS($N$5:$N$1517,N1342,$B$5:$B$1517,B1342,$C$5:$C$1517,"&lt;"&amp;C1342),"")</f>
        <v/>
      </c>
      <c r="T1342" s="8" t="n">
        <f aca="false">IF(O1342&gt;=Models!$G$8,1+COUNTIF($O$5:$O$1517,"&gt;"&amp;O1342)+COUNTIFS($O$5:$O$1517,O1342,$B$5:$B$1517,"&lt;"&amp;B1342)+COUNTIFS($O$5:$O$1517,O1342,$B$5:$B$1517,B1342,$C$5:$C$1517,"&lt;"&amp;C1342),"")</f>
        <v>935</v>
      </c>
      <c r="U1342" s="8" t="n">
        <f aca="false">IF($K1342=1,COUNTIFS($L$5:$L$1517,"&gt;="&amp;L1342,$K$5:$K$1517,1)/COUNTIF($L$5:$L$1517,"&gt;="&amp;L1342),0)</f>
        <v>0</v>
      </c>
      <c r="V1342" s="8" t="n">
        <f aca="false">IF($K1342=1,COUNTIFS($M$5:$M$1517,"&gt;="&amp;M1342,$K$5:$K$1517,1)/COUNTIF($M$5:$M$1517,"&gt;="&amp;M1342),0)</f>
        <v>0</v>
      </c>
      <c r="W1342" s="8" t="n">
        <f aca="false">IF($K1342=1,COUNTIFS($N$5:$N$1517,"&gt;="&amp;N1342,$K$5:$K$1517,1)/COUNTIF($N$5:$N$1517,"&gt;="&amp;N1342),0)</f>
        <v>0</v>
      </c>
      <c r="X1342" s="8" t="n">
        <f aca="false">IF($K1342=1,COUNTIFS($O$5:$O$1517,"&gt;="&amp;O1342,$K$5:$K$1517,1)/COUNTIF($O$5:$O$1517,"&gt;="&amp;O1342),0)</f>
        <v>0</v>
      </c>
      <c r="Y1342" s="8" t="n">
        <f aca="false">IF($K1342=1,COUNTIFS($P$5:$P$1517,"&gt;="&amp;P1342,$K$5:$K$1517,1)/COUNTIF($P$5:$P$1517,"&gt;="&amp;P1342),0)</f>
        <v>0</v>
      </c>
      <c r="Z1342" s="8" t="n">
        <f aca="false">(L1342-$K1342)^2</f>
        <v>0.010595408356</v>
      </c>
      <c r="AA1342" s="8" t="n">
        <f aca="false">(M1342-$K1342)^2</f>
        <v>0.008475595969</v>
      </c>
      <c r="AB1342" s="8" t="n">
        <f aca="false">(N1342-$K1342)^2</f>
        <v>0.026147536804</v>
      </c>
      <c r="AC1342" s="8" t="n">
        <f aca="false">(O1342-$K1342)^2</f>
        <v>0.011274829489</v>
      </c>
      <c r="AD1342" s="8" t="n">
        <f aca="false">(P1342-$K1342)^2</f>
        <v>0.030405943129</v>
      </c>
      <c r="AE1342" s="8" t="n">
        <f aca="false">MIN(INT(ROUND(N1342*1000000,0)/100000),9)</f>
        <v>1</v>
      </c>
      <c r="AF1342" s="8" t="n">
        <f aca="false">MIN(INT(ROUND(P1342*1000000,0)/100000),9)</f>
        <v>1</v>
      </c>
    </row>
    <row r="1343" customFormat="false" ht="15" hidden="false" customHeight="false" outlineLevel="0" collapsed="false">
      <c r="A1343" s="4" t="n">
        <v>1339</v>
      </c>
      <c r="B1343" s="4" t="n">
        <v>1168</v>
      </c>
      <c r="C1343" s="4" t="n">
        <v>3</v>
      </c>
      <c r="D1343" s="11" t="n">
        <v>46143</v>
      </c>
      <c r="E1343" s="4" t="s">
        <v>202</v>
      </c>
      <c r="F1343" s="4" t="s">
        <v>206</v>
      </c>
      <c r="G1343" s="4" t="n">
        <v>7</v>
      </c>
      <c r="H1343" s="4" t="n">
        <v>1</v>
      </c>
      <c r="I1343" s="4" t="n">
        <v>0</v>
      </c>
      <c r="J1343" s="4"/>
      <c r="K1343" s="4" t="n">
        <v>0</v>
      </c>
      <c r="L1343" s="12" t="n">
        <v>0.287084</v>
      </c>
      <c r="M1343" s="12" t="n">
        <v>0.092063</v>
      </c>
      <c r="N1343" s="12" t="n">
        <v>0.045889</v>
      </c>
      <c r="O1343" s="12" t="n">
        <v>0.106183</v>
      </c>
      <c r="P1343" s="12" t="n">
        <v>0.046978</v>
      </c>
      <c r="Q1343" s="0" t="str">
        <f aca="false">IF(L1343&gt;=Models!$G$5,1+COUNTIF($L$5:$L$1517,"&gt;"&amp;L1343)+COUNTIFS($L$5:$L$1517,L1343,$B$5:$B$1517,"&lt;"&amp;B1343)+COUNTIFS($L$5:$L$1517,L1343,$B$5:$B$1517,B1343,$C$5:$C$1517,"&lt;"&amp;C1343),"")</f>
        <v/>
      </c>
      <c r="R1343" s="0" t="str">
        <f aca="false">IF(M1343&gt;=Models!$G$6,1+COUNTIF($M$5:$M$1517,"&gt;"&amp;M1343)+COUNTIFS($M$5:$M$1517,M1343,$B$5:$B$1517,"&lt;"&amp;B1343)+COUNTIFS($M$5:$M$1517,M1343,$B$5:$B$1517,B1343,$C$5:$C$1517,"&lt;"&amp;C1343),"")</f>
        <v/>
      </c>
      <c r="S1343" s="0" t="str">
        <f aca="false">IF(N1343&gt;=Models!$G$7,1+COUNTIF($N$5:$N$1517,"&gt;"&amp;N1343)+COUNTIFS($N$5:$N$1517,N1343,$B$5:$B$1517,"&lt;"&amp;B1343)+COUNTIFS($N$5:$N$1517,N1343,$B$5:$B$1517,B1343,$C$5:$C$1517,"&lt;"&amp;C1343),"")</f>
        <v/>
      </c>
      <c r="T1343" s="8" t="n">
        <f aca="false">IF(O1343&gt;=Models!$G$8,1+COUNTIF($O$5:$O$1517,"&gt;"&amp;O1343)+COUNTIFS($O$5:$O$1517,O1343,$B$5:$B$1517,"&lt;"&amp;B1343)+COUNTIFS($O$5:$O$1517,O1343,$B$5:$B$1517,B1343,$C$5:$C$1517,"&lt;"&amp;C1343),"")</f>
        <v>939</v>
      </c>
      <c r="U1343" s="8" t="n">
        <f aca="false">IF($K1343=1,COUNTIFS($L$5:$L$1517,"&gt;="&amp;L1343,$K$5:$K$1517,1)/COUNTIF($L$5:$L$1517,"&gt;="&amp;L1343),0)</f>
        <v>0</v>
      </c>
      <c r="V1343" s="8" t="n">
        <f aca="false">IF($K1343=1,COUNTIFS($M$5:$M$1517,"&gt;="&amp;M1343,$K$5:$K$1517,1)/COUNTIF($M$5:$M$1517,"&gt;="&amp;M1343),0)</f>
        <v>0</v>
      </c>
      <c r="W1343" s="8" t="n">
        <f aca="false">IF($K1343=1,COUNTIFS($N$5:$N$1517,"&gt;="&amp;N1343,$K$5:$K$1517,1)/COUNTIF($N$5:$N$1517,"&gt;="&amp;N1343),0)</f>
        <v>0</v>
      </c>
      <c r="X1343" s="8" t="n">
        <f aca="false">IF($K1343=1,COUNTIFS($O$5:$O$1517,"&gt;="&amp;O1343,$K$5:$K$1517,1)/COUNTIF($O$5:$O$1517,"&gt;="&amp;O1343),0)</f>
        <v>0</v>
      </c>
      <c r="Y1343" s="8" t="n">
        <f aca="false">IF($K1343=1,COUNTIFS($P$5:$P$1517,"&gt;="&amp;P1343,$K$5:$K$1517,1)/COUNTIF($P$5:$P$1517,"&gt;="&amp;P1343),0)</f>
        <v>0</v>
      </c>
      <c r="Z1343" s="8" t="n">
        <f aca="false">(L1343-$K1343)^2</f>
        <v>0.082417223056</v>
      </c>
      <c r="AA1343" s="8" t="n">
        <f aca="false">(M1343-$K1343)^2</f>
        <v>0.008475595969</v>
      </c>
      <c r="AB1343" s="8" t="n">
        <f aca="false">(N1343-$K1343)^2</f>
        <v>0.002105800321</v>
      </c>
      <c r="AC1343" s="8" t="n">
        <f aca="false">(O1343-$K1343)^2</f>
        <v>0.011274829489</v>
      </c>
      <c r="AD1343" s="8" t="n">
        <f aca="false">(P1343-$K1343)^2</f>
        <v>0.002206932484</v>
      </c>
      <c r="AE1343" s="8" t="n">
        <f aca="false">MIN(INT(ROUND(N1343*1000000,0)/100000),9)</f>
        <v>0</v>
      </c>
      <c r="AF1343" s="8" t="n">
        <f aca="false">MIN(INT(ROUND(P1343*1000000,0)/100000),9)</f>
        <v>0</v>
      </c>
    </row>
    <row r="1344" customFormat="false" ht="15" hidden="false" customHeight="false" outlineLevel="0" collapsed="false">
      <c r="A1344" s="4" t="n">
        <v>1340</v>
      </c>
      <c r="B1344" s="4" t="n">
        <v>1169</v>
      </c>
      <c r="C1344" s="4" t="n">
        <v>3</v>
      </c>
      <c r="D1344" s="11" t="n">
        <v>46143</v>
      </c>
      <c r="E1344" s="4" t="s">
        <v>203</v>
      </c>
      <c r="F1344" s="4" t="s">
        <v>208</v>
      </c>
      <c r="G1344" s="4" t="n">
        <v>1</v>
      </c>
      <c r="H1344" s="4" t="n">
        <v>24</v>
      </c>
      <c r="I1344" s="4" t="n">
        <v>0</v>
      </c>
      <c r="J1344" s="4" t="n">
        <v>357</v>
      </c>
      <c r="K1344" s="4" t="n">
        <v>0</v>
      </c>
      <c r="L1344" s="12" t="n">
        <v>0.499361</v>
      </c>
      <c r="M1344" s="12" t="n">
        <v>0.092063</v>
      </c>
      <c r="N1344" s="12" t="n">
        <v>0.172201</v>
      </c>
      <c r="O1344" s="12" t="n">
        <v>0.106183</v>
      </c>
      <c r="P1344" s="12" t="n">
        <v>0.186056</v>
      </c>
      <c r="Q1344" s="0" t="str">
        <f aca="false">IF(L1344&gt;=Models!$G$5,1+COUNTIF($L$5:$L$1517,"&gt;"&amp;L1344)+COUNTIFS($L$5:$L$1517,L1344,$B$5:$B$1517,"&lt;"&amp;B1344)+COUNTIFS($L$5:$L$1517,L1344,$B$5:$B$1517,B1344,$C$5:$C$1517,"&lt;"&amp;C1344),"")</f>
        <v/>
      </c>
      <c r="R1344" s="0" t="str">
        <f aca="false">IF(M1344&gt;=Models!$G$6,1+COUNTIF($M$5:$M$1517,"&gt;"&amp;M1344)+COUNTIFS($M$5:$M$1517,M1344,$B$5:$B$1517,"&lt;"&amp;B1344)+COUNTIFS($M$5:$M$1517,M1344,$B$5:$B$1517,B1344,$C$5:$C$1517,"&lt;"&amp;C1344),"")</f>
        <v/>
      </c>
      <c r="S1344" s="0" t="str">
        <f aca="false">IF(N1344&gt;=Models!$G$7,1+COUNTIF($N$5:$N$1517,"&gt;"&amp;N1344)+COUNTIFS($N$5:$N$1517,N1344,$B$5:$B$1517,"&lt;"&amp;B1344)+COUNTIFS($N$5:$N$1517,N1344,$B$5:$B$1517,B1344,$C$5:$C$1517,"&lt;"&amp;C1344),"")</f>
        <v/>
      </c>
      <c r="T1344" s="8" t="n">
        <f aca="false">IF(O1344&gt;=Models!$G$8,1+COUNTIF($O$5:$O$1517,"&gt;"&amp;O1344)+COUNTIFS($O$5:$O$1517,O1344,$B$5:$B$1517,"&lt;"&amp;B1344)+COUNTIFS($O$5:$O$1517,O1344,$B$5:$B$1517,B1344,$C$5:$C$1517,"&lt;"&amp;C1344),"")</f>
        <v>943</v>
      </c>
      <c r="U1344" s="8" t="n">
        <f aca="false">IF($K1344=1,COUNTIFS($L$5:$L$1517,"&gt;="&amp;L1344,$K$5:$K$1517,1)/COUNTIF($L$5:$L$1517,"&gt;="&amp;L1344),0)</f>
        <v>0</v>
      </c>
      <c r="V1344" s="8" t="n">
        <f aca="false">IF($K1344=1,COUNTIFS($M$5:$M$1517,"&gt;="&amp;M1344,$K$5:$K$1517,1)/COUNTIF($M$5:$M$1517,"&gt;="&amp;M1344),0)</f>
        <v>0</v>
      </c>
      <c r="W1344" s="8" t="n">
        <f aca="false">IF($K1344=1,COUNTIFS($N$5:$N$1517,"&gt;="&amp;N1344,$K$5:$K$1517,1)/COUNTIF($N$5:$N$1517,"&gt;="&amp;N1344),0)</f>
        <v>0</v>
      </c>
      <c r="X1344" s="8" t="n">
        <f aca="false">IF($K1344=1,COUNTIFS($O$5:$O$1517,"&gt;="&amp;O1344,$K$5:$K$1517,1)/COUNTIF($O$5:$O$1517,"&gt;="&amp;O1344),0)</f>
        <v>0</v>
      </c>
      <c r="Y1344" s="8" t="n">
        <f aca="false">IF($K1344=1,COUNTIFS($P$5:$P$1517,"&gt;="&amp;P1344,$K$5:$K$1517,1)/COUNTIF($P$5:$P$1517,"&gt;="&amp;P1344),0)</f>
        <v>0</v>
      </c>
      <c r="Z1344" s="8" t="n">
        <f aca="false">(L1344-$K1344)^2</f>
        <v>0.249361408321</v>
      </c>
      <c r="AA1344" s="8" t="n">
        <f aca="false">(M1344-$K1344)^2</f>
        <v>0.008475595969</v>
      </c>
      <c r="AB1344" s="8" t="n">
        <f aca="false">(N1344-$K1344)^2</f>
        <v>0.029653184401</v>
      </c>
      <c r="AC1344" s="8" t="n">
        <f aca="false">(O1344-$K1344)^2</f>
        <v>0.011274829489</v>
      </c>
      <c r="AD1344" s="8" t="n">
        <f aca="false">(P1344-$K1344)^2</f>
        <v>0.034616835136</v>
      </c>
      <c r="AE1344" s="8" t="n">
        <f aca="false">MIN(INT(ROUND(N1344*1000000,0)/100000),9)</f>
        <v>1</v>
      </c>
      <c r="AF1344" s="8" t="n">
        <f aca="false">MIN(INT(ROUND(P1344*1000000,0)/100000),9)</f>
        <v>1</v>
      </c>
    </row>
    <row r="1345" customFormat="false" ht="15" hidden="false" customHeight="false" outlineLevel="0" collapsed="false">
      <c r="A1345" s="4" t="n">
        <v>1341</v>
      </c>
      <c r="B1345" s="4" t="n">
        <v>1176</v>
      </c>
      <c r="C1345" s="4" t="n">
        <v>3</v>
      </c>
      <c r="D1345" s="11" t="n">
        <v>46143</v>
      </c>
      <c r="E1345" s="4" t="s">
        <v>202</v>
      </c>
      <c r="F1345" s="4" t="s">
        <v>209</v>
      </c>
      <c r="G1345" s="4" t="n">
        <v>8</v>
      </c>
      <c r="H1345" s="4" t="n">
        <v>3</v>
      </c>
      <c r="I1345" s="4" t="n">
        <v>0</v>
      </c>
      <c r="J1345" s="4" t="n">
        <v>1512</v>
      </c>
      <c r="K1345" s="4" t="n">
        <v>0</v>
      </c>
      <c r="L1345" s="12" t="n">
        <v>0.399899</v>
      </c>
      <c r="M1345" s="12" t="n">
        <v>0.092063</v>
      </c>
      <c r="N1345" s="12" t="n">
        <v>0.080231</v>
      </c>
      <c r="O1345" s="12" t="n">
        <v>0.106183</v>
      </c>
      <c r="P1345" s="12" t="n">
        <v>0.084224</v>
      </c>
      <c r="Q1345" s="0" t="str">
        <f aca="false">IF(L1345&gt;=Models!$G$5,1+COUNTIF($L$5:$L$1517,"&gt;"&amp;L1345)+COUNTIFS($L$5:$L$1517,L1345,$B$5:$B$1517,"&lt;"&amp;B1345)+COUNTIFS($L$5:$L$1517,L1345,$B$5:$B$1517,B1345,$C$5:$C$1517,"&lt;"&amp;C1345),"")</f>
        <v/>
      </c>
      <c r="R1345" s="0" t="str">
        <f aca="false">IF(M1345&gt;=Models!$G$6,1+COUNTIF($M$5:$M$1517,"&gt;"&amp;M1345)+COUNTIFS($M$5:$M$1517,M1345,$B$5:$B$1517,"&lt;"&amp;B1345)+COUNTIFS($M$5:$M$1517,M1345,$B$5:$B$1517,B1345,$C$5:$C$1517,"&lt;"&amp;C1345),"")</f>
        <v/>
      </c>
      <c r="S1345" s="0" t="str">
        <f aca="false">IF(N1345&gt;=Models!$G$7,1+COUNTIF($N$5:$N$1517,"&gt;"&amp;N1345)+COUNTIFS($N$5:$N$1517,N1345,$B$5:$B$1517,"&lt;"&amp;B1345)+COUNTIFS($N$5:$N$1517,N1345,$B$5:$B$1517,B1345,$C$5:$C$1517,"&lt;"&amp;C1345),"")</f>
        <v/>
      </c>
      <c r="T1345" s="8" t="n">
        <f aca="false">IF(O1345&gt;=Models!$G$8,1+COUNTIF($O$5:$O$1517,"&gt;"&amp;O1345)+COUNTIFS($O$5:$O$1517,O1345,$B$5:$B$1517,"&lt;"&amp;B1345)+COUNTIFS($O$5:$O$1517,O1345,$B$5:$B$1517,B1345,$C$5:$C$1517,"&lt;"&amp;C1345),"")</f>
        <v>947</v>
      </c>
      <c r="U1345" s="8" t="n">
        <f aca="false">IF($K1345=1,COUNTIFS($L$5:$L$1517,"&gt;="&amp;L1345,$K$5:$K$1517,1)/COUNTIF($L$5:$L$1517,"&gt;="&amp;L1345),0)</f>
        <v>0</v>
      </c>
      <c r="V1345" s="8" t="n">
        <f aca="false">IF($K1345=1,COUNTIFS($M$5:$M$1517,"&gt;="&amp;M1345,$K$5:$K$1517,1)/COUNTIF($M$5:$M$1517,"&gt;="&amp;M1345),0)</f>
        <v>0</v>
      </c>
      <c r="W1345" s="8" t="n">
        <f aca="false">IF($K1345=1,COUNTIFS($N$5:$N$1517,"&gt;="&amp;N1345,$K$5:$K$1517,1)/COUNTIF($N$5:$N$1517,"&gt;="&amp;N1345),0)</f>
        <v>0</v>
      </c>
      <c r="X1345" s="8" t="n">
        <f aca="false">IF($K1345=1,COUNTIFS($O$5:$O$1517,"&gt;="&amp;O1345,$K$5:$K$1517,1)/COUNTIF($O$5:$O$1517,"&gt;="&amp;O1345),0)</f>
        <v>0</v>
      </c>
      <c r="Y1345" s="8" t="n">
        <f aca="false">IF($K1345=1,COUNTIFS($P$5:$P$1517,"&gt;="&amp;P1345,$K$5:$K$1517,1)/COUNTIF($P$5:$P$1517,"&gt;="&amp;P1345),0)</f>
        <v>0</v>
      </c>
      <c r="Z1345" s="8" t="n">
        <f aca="false">(L1345-$K1345)^2</f>
        <v>0.159919210201</v>
      </c>
      <c r="AA1345" s="8" t="n">
        <f aca="false">(M1345-$K1345)^2</f>
        <v>0.008475595969</v>
      </c>
      <c r="AB1345" s="8" t="n">
        <f aca="false">(N1345-$K1345)^2</f>
        <v>0.006437013361</v>
      </c>
      <c r="AC1345" s="8" t="n">
        <f aca="false">(O1345-$K1345)^2</f>
        <v>0.011274829489</v>
      </c>
      <c r="AD1345" s="8" t="n">
        <f aca="false">(P1345-$K1345)^2</f>
        <v>0.007093682176</v>
      </c>
      <c r="AE1345" s="8" t="n">
        <f aca="false">MIN(INT(ROUND(N1345*1000000,0)/100000),9)</f>
        <v>0</v>
      </c>
      <c r="AF1345" s="8" t="n">
        <f aca="false">MIN(INT(ROUND(P1345*1000000,0)/100000),9)</f>
        <v>0</v>
      </c>
    </row>
    <row r="1346" customFormat="false" ht="15" hidden="false" customHeight="false" outlineLevel="0" collapsed="false">
      <c r="A1346" s="4" t="n">
        <v>1342</v>
      </c>
      <c r="B1346" s="4" t="n">
        <v>1180</v>
      </c>
      <c r="C1346" s="4" t="n">
        <v>3</v>
      </c>
      <c r="D1346" s="11" t="n">
        <v>46143</v>
      </c>
      <c r="E1346" s="4" t="s">
        <v>203</v>
      </c>
      <c r="F1346" s="4" t="s">
        <v>206</v>
      </c>
      <c r="G1346" s="4" t="n">
        <v>13</v>
      </c>
      <c r="H1346" s="4" t="n">
        <v>1</v>
      </c>
      <c r="I1346" s="4" t="n">
        <v>1</v>
      </c>
      <c r="J1346" s="4"/>
      <c r="K1346" s="4" t="n">
        <v>0</v>
      </c>
      <c r="L1346" s="12" t="n">
        <v>0.766151</v>
      </c>
      <c r="M1346" s="12" t="n">
        <v>0.184211</v>
      </c>
      <c r="N1346" s="12" t="n">
        <v>0.048407</v>
      </c>
      <c r="O1346" s="12" t="n">
        <v>0.106183</v>
      </c>
      <c r="P1346" s="12" t="n">
        <v>0.049679</v>
      </c>
      <c r="Q1346" s="0" t="str">
        <f aca="false">IF(L1346&gt;=Models!$G$5,1+COUNTIF($L$5:$L$1517,"&gt;"&amp;L1346)+COUNTIFS($L$5:$L$1517,L1346,$B$5:$B$1517,"&lt;"&amp;B1346)+COUNTIFS($L$5:$L$1517,L1346,$B$5:$B$1517,B1346,$C$5:$C$1517,"&lt;"&amp;C1346),"")</f>
        <v/>
      </c>
      <c r="R1346" s="8" t="n">
        <f aca="false">IF(M1346&gt;=Models!$G$6,1+COUNTIF($M$5:$M$1517,"&gt;"&amp;M1346)+COUNTIFS($M$5:$M$1517,M1346,$B$5:$B$1517,"&lt;"&amp;B1346)+COUNTIFS($M$5:$M$1517,M1346,$B$5:$B$1517,B1346,$C$5:$C$1517,"&lt;"&amp;C1346),"")</f>
        <v>109</v>
      </c>
      <c r="S1346" s="0" t="str">
        <f aca="false">IF(N1346&gt;=Models!$G$7,1+COUNTIF($N$5:$N$1517,"&gt;"&amp;N1346)+COUNTIFS($N$5:$N$1517,N1346,$B$5:$B$1517,"&lt;"&amp;B1346)+COUNTIFS($N$5:$N$1517,N1346,$B$5:$B$1517,B1346,$C$5:$C$1517,"&lt;"&amp;C1346),"")</f>
        <v/>
      </c>
      <c r="T1346" s="8" t="n">
        <f aca="false">IF(O1346&gt;=Models!$G$8,1+COUNTIF($O$5:$O$1517,"&gt;"&amp;O1346)+COUNTIFS($O$5:$O$1517,O1346,$B$5:$B$1517,"&lt;"&amp;B1346)+COUNTIFS($O$5:$O$1517,O1346,$B$5:$B$1517,B1346,$C$5:$C$1517,"&lt;"&amp;C1346),"")</f>
        <v>951</v>
      </c>
      <c r="U1346" s="8" t="n">
        <f aca="false">IF($K1346=1,COUNTIFS($L$5:$L$1517,"&gt;="&amp;L1346,$K$5:$K$1517,1)/COUNTIF($L$5:$L$1517,"&gt;="&amp;L1346),0)</f>
        <v>0</v>
      </c>
      <c r="V1346" s="8" t="n">
        <f aca="false">IF($K1346=1,COUNTIFS($M$5:$M$1517,"&gt;="&amp;M1346,$K$5:$K$1517,1)/COUNTIF($M$5:$M$1517,"&gt;="&amp;M1346),0)</f>
        <v>0</v>
      </c>
      <c r="W1346" s="8" t="n">
        <f aca="false">IF($K1346=1,COUNTIFS($N$5:$N$1517,"&gt;="&amp;N1346,$K$5:$K$1517,1)/COUNTIF($N$5:$N$1517,"&gt;="&amp;N1346),0)</f>
        <v>0</v>
      </c>
      <c r="X1346" s="8" t="n">
        <f aca="false">IF($K1346=1,COUNTIFS($O$5:$O$1517,"&gt;="&amp;O1346,$K$5:$K$1517,1)/COUNTIF($O$5:$O$1517,"&gt;="&amp;O1346),0)</f>
        <v>0</v>
      </c>
      <c r="Y1346" s="8" t="n">
        <f aca="false">IF($K1346=1,COUNTIFS($P$5:$P$1517,"&gt;="&amp;P1346,$K$5:$K$1517,1)/COUNTIF($P$5:$P$1517,"&gt;="&amp;P1346),0)</f>
        <v>0</v>
      </c>
      <c r="Z1346" s="8" t="n">
        <f aca="false">(L1346-$K1346)^2</f>
        <v>0.586987354801</v>
      </c>
      <c r="AA1346" s="8" t="n">
        <f aca="false">(M1346-$K1346)^2</f>
        <v>0.033933692521</v>
      </c>
      <c r="AB1346" s="8" t="n">
        <f aca="false">(N1346-$K1346)^2</f>
        <v>0.002343237649</v>
      </c>
      <c r="AC1346" s="8" t="n">
        <f aca="false">(O1346-$K1346)^2</f>
        <v>0.011274829489</v>
      </c>
      <c r="AD1346" s="8" t="n">
        <f aca="false">(P1346-$K1346)^2</f>
        <v>0.002468003041</v>
      </c>
      <c r="AE1346" s="8" t="n">
        <f aca="false">MIN(INT(ROUND(N1346*1000000,0)/100000),9)</f>
        <v>0</v>
      </c>
      <c r="AF1346" s="8" t="n">
        <f aca="false">MIN(INT(ROUND(P1346*1000000,0)/100000),9)</f>
        <v>0</v>
      </c>
    </row>
    <row r="1347" customFormat="false" ht="15" hidden="false" customHeight="false" outlineLevel="0" collapsed="false">
      <c r="A1347" s="4" t="n">
        <v>1343</v>
      </c>
      <c r="B1347" s="4" t="n">
        <v>1190</v>
      </c>
      <c r="C1347" s="4" t="n">
        <v>3</v>
      </c>
      <c r="D1347" s="11" t="n">
        <v>46143</v>
      </c>
      <c r="E1347" s="4" t="s">
        <v>202</v>
      </c>
      <c r="F1347" s="4" t="s">
        <v>209</v>
      </c>
      <c r="G1347" s="4" t="n">
        <v>10</v>
      </c>
      <c r="H1347" s="4" t="n">
        <v>0</v>
      </c>
      <c r="I1347" s="4" t="n">
        <v>0</v>
      </c>
      <c r="J1347" s="4" t="n">
        <v>1506</v>
      </c>
      <c r="K1347" s="4" t="n">
        <v>0</v>
      </c>
      <c r="L1347" s="12" t="n">
        <v>0.226867</v>
      </c>
      <c r="M1347" s="12" t="n">
        <v>0.092063</v>
      </c>
      <c r="N1347" s="12" t="n">
        <v>0.066395</v>
      </c>
      <c r="O1347" s="12" t="n">
        <v>0.106183</v>
      </c>
      <c r="P1347" s="12" t="n">
        <v>0.069124</v>
      </c>
      <c r="Q1347" s="0" t="str">
        <f aca="false">IF(L1347&gt;=Models!$G$5,1+COUNTIF($L$5:$L$1517,"&gt;"&amp;L1347)+COUNTIFS($L$5:$L$1517,L1347,$B$5:$B$1517,"&lt;"&amp;B1347)+COUNTIFS($L$5:$L$1517,L1347,$B$5:$B$1517,B1347,$C$5:$C$1517,"&lt;"&amp;C1347),"")</f>
        <v/>
      </c>
      <c r="R1347" s="0" t="str">
        <f aca="false">IF(M1347&gt;=Models!$G$6,1+COUNTIF($M$5:$M$1517,"&gt;"&amp;M1347)+COUNTIFS($M$5:$M$1517,M1347,$B$5:$B$1517,"&lt;"&amp;B1347)+COUNTIFS($M$5:$M$1517,M1347,$B$5:$B$1517,B1347,$C$5:$C$1517,"&lt;"&amp;C1347),"")</f>
        <v/>
      </c>
      <c r="S1347" s="0" t="str">
        <f aca="false">IF(N1347&gt;=Models!$G$7,1+COUNTIF($N$5:$N$1517,"&gt;"&amp;N1347)+COUNTIFS($N$5:$N$1517,N1347,$B$5:$B$1517,"&lt;"&amp;B1347)+COUNTIFS($N$5:$N$1517,N1347,$B$5:$B$1517,B1347,$C$5:$C$1517,"&lt;"&amp;C1347),"")</f>
        <v/>
      </c>
      <c r="T1347" s="8" t="n">
        <f aca="false">IF(O1347&gt;=Models!$G$8,1+COUNTIF($O$5:$O$1517,"&gt;"&amp;O1347)+COUNTIFS($O$5:$O$1517,O1347,$B$5:$B$1517,"&lt;"&amp;B1347)+COUNTIFS($O$5:$O$1517,O1347,$B$5:$B$1517,B1347,$C$5:$C$1517,"&lt;"&amp;C1347),"")</f>
        <v>955</v>
      </c>
      <c r="U1347" s="8" t="n">
        <f aca="false">IF($K1347=1,COUNTIFS($L$5:$L$1517,"&gt;="&amp;L1347,$K$5:$K$1517,1)/COUNTIF($L$5:$L$1517,"&gt;="&amp;L1347),0)</f>
        <v>0</v>
      </c>
      <c r="V1347" s="8" t="n">
        <f aca="false">IF($K1347=1,COUNTIFS($M$5:$M$1517,"&gt;="&amp;M1347,$K$5:$K$1517,1)/COUNTIF($M$5:$M$1517,"&gt;="&amp;M1347),0)</f>
        <v>0</v>
      </c>
      <c r="W1347" s="8" t="n">
        <f aca="false">IF($K1347=1,COUNTIFS($N$5:$N$1517,"&gt;="&amp;N1347,$K$5:$K$1517,1)/COUNTIF($N$5:$N$1517,"&gt;="&amp;N1347),0)</f>
        <v>0</v>
      </c>
      <c r="X1347" s="8" t="n">
        <f aca="false">IF($K1347=1,COUNTIFS($O$5:$O$1517,"&gt;="&amp;O1347,$K$5:$K$1517,1)/COUNTIF($O$5:$O$1517,"&gt;="&amp;O1347),0)</f>
        <v>0</v>
      </c>
      <c r="Y1347" s="8" t="n">
        <f aca="false">IF($K1347=1,COUNTIFS($P$5:$P$1517,"&gt;="&amp;P1347,$K$5:$K$1517,1)/COUNTIF($P$5:$P$1517,"&gt;="&amp;P1347),0)</f>
        <v>0</v>
      </c>
      <c r="Z1347" s="8" t="n">
        <f aca="false">(L1347-$K1347)^2</f>
        <v>0.051468635689</v>
      </c>
      <c r="AA1347" s="8" t="n">
        <f aca="false">(M1347-$K1347)^2</f>
        <v>0.008475595969</v>
      </c>
      <c r="AB1347" s="8" t="n">
        <f aca="false">(N1347-$K1347)^2</f>
        <v>0.004408296025</v>
      </c>
      <c r="AC1347" s="8" t="n">
        <f aca="false">(O1347-$K1347)^2</f>
        <v>0.011274829489</v>
      </c>
      <c r="AD1347" s="8" t="n">
        <f aca="false">(P1347-$K1347)^2</f>
        <v>0.004778127376</v>
      </c>
      <c r="AE1347" s="8" t="n">
        <f aca="false">MIN(INT(ROUND(N1347*1000000,0)/100000),9)</f>
        <v>0</v>
      </c>
      <c r="AF1347" s="8" t="n">
        <f aca="false">MIN(INT(ROUND(P1347*1000000,0)/100000),9)</f>
        <v>0</v>
      </c>
    </row>
    <row r="1348" customFormat="false" ht="15" hidden="false" customHeight="false" outlineLevel="0" collapsed="false">
      <c r="A1348" s="4" t="n">
        <v>1344</v>
      </c>
      <c r="B1348" s="4" t="n">
        <v>1191</v>
      </c>
      <c r="C1348" s="4" t="n">
        <v>3</v>
      </c>
      <c r="D1348" s="11" t="n">
        <v>46143</v>
      </c>
      <c r="E1348" s="4" t="s">
        <v>202</v>
      </c>
      <c r="F1348" s="4" t="s">
        <v>208</v>
      </c>
      <c r="G1348" s="4" t="n">
        <v>11</v>
      </c>
      <c r="H1348" s="4" t="n">
        <v>1</v>
      </c>
      <c r="I1348" s="4" t="n">
        <v>0</v>
      </c>
      <c r="J1348" s="4"/>
      <c r="K1348" s="4" t="n">
        <v>0</v>
      </c>
      <c r="L1348" s="12" t="n">
        <v>0.598442</v>
      </c>
      <c r="M1348" s="12" t="n">
        <v>0.092063</v>
      </c>
      <c r="N1348" s="12" t="n">
        <v>0.032466</v>
      </c>
      <c r="O1348" s="12" t="n">
        <v>0.106183</v>
      </c>
      <c r="P1348" s="12" t="n">
        <v>0.032702</v>
      </c>
      <c r="Q1348" s="0" t="str">
        <f aca="false">IF(L1348&gt;=Models!$G$5,1+COUNTIF($L$5:$L$1517,"&gt;"&amp;L1348)+COUNTIFS($L$5:$L$1517,L1348,$B$5:$B$1517,"&lt;"&amp;B1348)+COUNTIFS($L$5:$L$1517,L1348,$B$5:$B$1517,B1348,$C$5:$C$1517,"&lt;"&amp;C1348),"")</f>
        <v/>
      </c>
      <c r="R1348" s="0" t="str">
        <f aca="false">IF(M1348&gt;=Models!$G$6,1+COUNTIF($M$5:$M$1517,"&gt;"&amp;M1348)+COUNTIFS($M$5:$M$1517,M1348,$B$5:$B$1517,"&lt;"&amp;B1348)+COUNTIFS($M$5:$M$1517,M1348,$B$5:$B$1517,B1348,$C$5:$C$1517,"&lt;"&amp;C1348),"")</f>
        <v/>
      </c>
      <c r="S1348" s="0" t="str">
        <f aca="false">IF(N1348&gt;=Models!$G$7,1+COUNTIF($N$5:$N$1517,"&gt;"&amp;N1348)+COUNTIFS($N$5:$N$1517,N1348,$B$5:$B$1517,"&lt;"&amp;B1348)+COUNTIFS($N$5:$N$1517,N1348,$B$5:$B$1517,B1348,$C$5:$C$1517,"&lt;"&amp;C1348),"")</f>
        <v/>
      </c>
      <c r="T1348" s="8" t="n">
        <f aca="false">IF(O1348&gt;=Models!$G$8,1+COUNTIF($O$5:$O$1517,"&gt;"&amp;O1348)+COUNTIFS($O$5:$O$1517,O1348,$B$5:$B$1517,"&lt;"&amp;B1348)+COUNTIFS($O$5:$O$1517,O1348,$B$5:$B$1517,B1348,$C$5:$C$1517,"&lt;"&amp;C1348),"")</f>
        <v>959</v>
      </c>
      <c r="U1348" s="8" t="n">
        <f aca="false">IF($K1348=1,COUNTIFS($L$5:$L$1517,"&gt;="&amp;L1348,$K$5:$K$1517,1)/COUNTIF($L$5:$L$1517,"&gt;="&amp;L1348),0)</f>
        <v>0</v>
      </c>
      <c r="V1348" s="8" t="n">
        <f aca="false">IF($K1348=1,COUNTIFS($M$5:$M$1517,"&gt;="&amp;M1348,$K$5:$K$1517,1)/COUNTIF($M$5:$M$1517,"&gt;="&amp;M1348),0)</f>
        <v>0</v>
      </c>
      <c r="W1348" s="8" t="n">
        <f aca="false">IF($K1348=1,COUNTIFS($N$5:$N$1517,"&gt;="&amp;N1348,$K$5:$K$1517,1)/COUNTIF($N$5:$N$1517,"&gt;="&amp;N1348),0)</f>
        <v>0</v>
      </c>
      <c r="X1348" s="8" t="n">
        <f aca="false">IF($K1348=1,COUNTIFS($O$5:$O$1517,"&gt;="&amp;O1348,$K$5:$K$1517,1)/COUNTIF($O$5:$O$1517,"&gt;="&amp;O1348),0)</f>
        <v>0</v>
      </c>
      <c r="Y1348" s="8" t="n">
        <f aca="false">IF($K1348=1,COUNTIFS($P$5:$P$1517,"&gt;="&amp;P1348,$K$5:$K$1517,1)/COUNTIF($P$5:$P$1517,"&gt;="&amp;P1348),0)</f>
        <v>0</v>
      </c>
      <c r="Z1348" s="8" t="n">
        <f aca="false">(L1348-$K1348)^2</f>
        <v>0.358132827364</v>
      </c>
      <c r="AA1348" s="8" t="n">
        <f aca="false">(M1348-$K1348)^2</f>
        <v>0.008475595969</v>
      </c>
      <c r="AB1348" s="8" t="n">
        <f aca="false">(N1348-$K1348)^2</f>
        <v>0.001054041156</v>
      </c>
      <c r="AC1348" s="8" t="n">
        <f aca="false">(O1348-$K1348)^2</f>
        <v>0.011274829489</v>
      </c>
      <c r="AD1348" s="8" t="n">
        <f aca="false">(P1348-$K1348)^2</f>
        <v>0.001069420804</v>
      </c>
      <c r="AE1348" s="8" t="n">
        <f aca="false">MIN(INT(ROUND(N1348*1000000,0)/100000),9)</f>
        <v>0</v>
      </c>
      <c r="AF1348" s="8" t="n">
        <f aca="false">MIN(INT(ROUND(P1348*1000000,0)/100000),9)</f>
        <v>0</v>
      </c>
    </row>
    <row r="1349" customFormat="false" ht="15" hidden="false" customHeight="false" outlineLevel="0" collapsed="false">
      <c r="A1349" s="4" t="n">
        <v>1345</v>
      </c>
      <c r="B1349" s="4" t="n">
        <v>1193</v>
      </c>
      <c r="C1349" s="4" t="n">
        <v>3</v>
      </c>
      <c r="D1349" s="11" t="n">
        <v>46143</v>
      </c>
      <c r="E1349" s="4" t="s">
        <v>203</v>
      </c>
      <c r="F1349" s="4" t="s">
        <v>206</v>
      </c>
      <c r="G1349" s="4" t="n">
        <v>12</v>
      </c>
      <c r="H1349" s="4" t="n">
        <v>2</v>
      </c>
      <c r="I1349" s="4" t="n">
        <v>0</v>
      </c>
      <c r="J1349" s="4" t="n">
        <v>411</v>
      </c>
      <c r="K1349" s="4" t="n">
        <v>0</v>
      </c>
      <c r="L1349" s="12" t="n">
        <v>0.655378</v>
      </c>
      <c r="M1349" s="12" t="n">
        <v>0.092063</v>
      </c>
      <c r="N1349" s="12" t="n">
        <v>0.060458</v>
      </c>
      <c r="O1349" s="12" t="n">
        <v>0.106183</v>
      </c>
      <c r="P1349" s="12" t="n">
        <v>0.062679</v>
      </c>
      <c r="Q1349" s="0" t="str">
        <f aca="false">IF(L1349&gt;=Models!$G$5,1+COUNTIF($L$5:$L$1517,"&gt;"&amp;L1349)+COUNTIFS($L$5:$L$1517,L1349,$B$5:$B$1517,"&lt;"&amp;B1349)+COUNTIFS($L$5:$L$1517,L1349,$B$5:$B$1517,B1349,$C$5:$C$1517,"&lt;"&amp;C1349),"")</f>
        <v/>
      </c>
      <c r="R1349" s="0" t="str">
        <f aca="false">IF(M1349&gt;=Models!$G$6,1+COUNTIF($M$5:$M$1517,"&gt;"&amp;M1349)+COUNTIFS($M$5:$M$1517,M1349,$B$5:$B$1517,"&lt;"&amp;B1349)+COUNTIFS($M$5:$M$1517,M1349,$B$5:$B$1517,B1349,$C$5:$C$1517,"&lt;"&amp;C1349),"")</f>
        <v/>
      </c>
      <c r="S1349" s="0" t="str">
        <f aca="false">IF(N1349&gt;=Models!$G$7,1+COUNTIF($N$5:$N$1517,"&gt;"&amp;N1349)+COUNTIFS($N$5:$N$1517,N1349,$B$5:$B$1517,"&lt;"&amp;B1349)+COUNTIFS($N$5:$N$1517,N1349,$B$5:$B$1517,B1349,$C$5:$C$1517,"&lt;"&amp;C1349),"")</f>
        <v/>
      </c>
      <c r="T1349" s="8" t="n">
        <f aca="false">IF(O1349&gt;=Models!$G$8,1+COUNTIF($O$5:$O$1517,"&gt;"&amp;O1349)+COUNTIFS($O$5:$O$1517,O1349,$B$5:$B$1517,"&lt;"&amp;B1349)+COUNTIFS($O$5:$O$1517,O1349,$B$5:$B$1517,B1349,$C$5:$C$1517,"&lt;"&amp;C1349),"")</f>
        <v>963</v>
      </c>
      <c r="U1349" s="8" t="n">
        <f aca="false">IF($K1349=1,COUNTIFS($L$5:$L$1517,"&gt;="&amp;L1349,$K$5:$K$1517,1)/COUNTIF($L$5:$L$1517,"&gt;="&amp;L1349),0)</f>
        <v>0</v>
      </c>
      <c r="V1349" s="8" t="n">
        <f aca="false">IF($K1349=1,COUNTIFS($M$5:$M$1517,"&gt;="&amp;M1349,$K$5:$K$1517,1)/COUNTIF($M$5:$M$1517,"&gt;="&amp;M1349),0)</f>
        <v>0</v>
      </c>
      <c r="W1349" s="8" t="n">
        <f aca="false">IF($K1349=1,COUNTIFS($N$5:$N$1517,"&gt;="&amp;N1349,$K$5:$K$1517,1)/COUNTIF($N$5:$N$1517,"&gt;="&amp;N1349),0)</f>
        <v>0</v>
      </c>
      <c r="X1349" s="8" t="n">
        <f aca="false">IF($K1349=1,COUNTIFS($O$5:$O$1517,"&gt;="&amp;O1349,$K$5:$K$1517,1)/COUNTIF($O$5:$O$1517,"&gt;="&amp;O1349),0)</f>
        <v>0</v>
      </c>
      <c r="Y1349" s="8" t="n">
        <f aca="false">IF($K1349=1,COUNTIFS($P$5:$P$1517,"&gt;="&amp;P1349,$K$5:$K$1517,1)/COUNTIF($P$5:$P$1517,"&gt;="&amp;P1349),0)</f>
        <v>0</v>
      </c>
      <c r="Z1349" s="8" t="n">
        <f aca="false">(L1349-$K1349)^2</f>
        <v>0.429520322884</v>
      </c>
      <c r="AA1349" s="8" t="n">
        <f aca="false">(M1349-$K1349)^2</f>
        <v>0.008475595969</v>
      </c>
      <c r="AB1349" s="8" t="n">
        <f aca="false">(N1349-$K1349)^2</f>
        <v>0.003655169764</v>
      </c>
      <c r="AC1349" s="8" t="n">
        <f aca="false">(O1349-$K1349)^2</f>
        <v>0.011274829489</v>
      </c>
      <c r="AD1349" s="8" t="n">
        <f aca="false">(P1349-$K1349)^2</f>
        <v>0.003928657041</v>
      </c>
      <c r="AE1349" s="8" t="n">
        <f aca="false">MIN(INT(ROUND(N1349*1000000,0)/100000),9)</f>
        <v>0</v>
      </c>
      <c r="AF1349" s="8" t="n">
        <f aca="false">MIN(INT(ROUND(P1349*1000000,0)/100000),9)</f>
        <v>0</v>
      </c>
    </row>
    <row r="1350" customFormat="false" ht="15" hidden="false" customHeight="false" outlineLevel="0" collapsed="false">
      <c r="A1350" s="4" t="n">
        <v>1346</v>
      </c>
      <c r="B1350" s="4" t="n">
        <v>1202</v>
      </c>
      <c r="C1350" s="4" t="n">
        <v>3</v>
      </c>
      <c r="D1350" s="11" t="n">
        <v>46143</v>
      </c>
      <c r="E1350" s="4" t="s">
        <v>204</v>
      </c>
      <c r="F1350" s="4" t="s">
        <v>208</v>
      </c>
      <c r="G1350" s="4" t="n">
        <v>1</v>
      </c>
      <c r="H1350" s="4" t="n">
        <v>0</v>
      </c>
      <c r="I1350" s="4" t="n">
        <v>0</v>
      </c>
      <c r="J1350" s="4" t="n">
        <v>117</v>
      </c>
      <c r="K1350" s="4" t="n">
        <v>1</v>
      </c>
      <c r="L1350" s="12" t="n">
        <v>0.855878</v>
      </c>
      <c r="M1350" s="12" t="n">
        <v>0.092063</v>
      </c>
      <c r="N1350" s="12" t="n">
        <v>0.147689</v>
      </c>
      <c r="O1350" s="12" t="n">
        <v>0.106183</v>
      </c>
      <c r="P1350" s="12" t="n">
        <v>0.158788</v>
      </c>
      <c r="Q1350" s="0" t="str">
        <f aca="false">IF(L1350&gt;=Models!$G$5,1+COUNTIF($L$5:$L$1517,"&gt;"&amp;L1350)+COUNTIFS($L$5:$L$1517,L1350,$B$5:$B$1517,"&lt;"&amp;B1350)+COUNTIFS($L$5:$L$1517,L1350,$B$5:$B$1517,B1350,$C$5:$C$1517,"&lt;"&amp;C1350),"")</f>
        <v/>
      </c>
      <c r="R1350" s="0" t="str">
        <f aca="false">IF(M1350&gt;=Models!$G$6,1+COUNTIF($M$5:$M$1517,"&gt;"&amp;M1350)+COUNTIFS($M$5:$M$1517,M1350,$B$5:$B$1517,"&lt;"&amp;B1350)+COUNTIFS($M$5:$M$1517,M1350,$B$5:$B$1517,B1350,$C$5:$C$1517,"&lt;"&amp;C1350),"")</f>
        <v/>
      </c>
      <c r="S1350" s="0" t="str">
        <f aca="false">IF(N1350&gt;=Models!$G$7,1+COUNTIF($N$5:$N$1517,"&gt;"&amp;N1350)+COUNTIFS($N$5:$N$1517,N1350,$B$5:$B$1517,"&lt;"&amp;B1350)+COUNTIFS($N$5:$N$1517,N1350,$B$5:$B$1517,B1350,$C$5:$C$1517,"&lt;"&amp;C1350),"")</f>
        <v/>
      </c>
      <c r="T1350" s="8" t="n">
        <f aca="false">IF(O1350&gt;=Models!$G$8,1+COUNTIF($O$5:$O$1517,"&gt;"&amp;O1350)+COUNTIFS($O$5:$O$1517,O1350,$B$5:$B$1517,"&lt;"&amp;B1350)+COUNTIFS($O$5:$O$1517,O1350,$B$5:$B$1517,B1350,$C$5:$C$1517,"&lt;"&amp;C1350),"")</f>
        <v>967</v>
      </c>
      <c r="U1350" s="8" t="n">
        <f aca="false">IF($K1350=1,COUNTIFS($L$5:$L$1517,"&gt;="&amp;L1350,$K$5:$K$1517,1)/COUNTIF($L$5:$L$1517,"&gt;="&amp;L1350),0)</f>
        <v>0.123222748815166</v>
      </c>
      <c r="V1350" s="8" t="n">
        <f aca="false">IF($K1350=1,COUNTIFS($M$5:$M$1517,"&gt;="&amp;M1350,$K$5:$K$1517,1)/COUNTIF($M$5:$M$1517,"&gt;="&amp;M1350),0)</f>
        <v>0.12491738268341</v>
      </c>
      <c r="W1350" s="8" t="n">
        <f aca="false">IF($K1350=1,COUNTIFS($N$5:$N$1517,"&gt;="&amp;N1350,$K$5:$K$1517,1)/COUNTIF($N$5:$N$1517,"&gt;="&amp;N1350),0)</f>
        <v>0.297777777777778</v>
      </c>
      <c r="X1350" s="8" t="n">
        <f aca="false">IF($K1350=1,COUNTIFS($O$5:$O$1517,"&gt;="&amp;O1350,$K$5:$K$1517,1)/COUNTIF($O$5:$O$1517,"&gt;="&amp;O1350),0)</f>
        <v>0.12491738268341</v>
      </c>
      <c r="Y1350" s="8" t="n">
        <f aca="false">IF($K1350=1,COUNTIFS($P$5:$P$1517,"&gt;="&amp;P1350,$K$5:$K$1517,1)/COUNTIF($P$5:$P$1517,"&gt;="&amp;P1350),0)</f>
        <v>0.297777777777778</v>
      </c>
      <c r="Z1350" s="8" t="n">
        <f aca="false">(L1350-$K1350)^2</f>
        <v>0.020771150884</v>
      </c>
      <c r="AA1350" s="8" t="n">
        <f aca="false">(M1350-$K1350)^2</f>
        <v>0.824349595969</v>
      </c>
      <c r="AB1350" s="8" t="n">
        <f aca="false">(N1350-$K1350)^2</f>
        <v>0.726434040721</v>
      </c>
      <c r="AC1350" s="8" t="n">
        <f aca="false">(O1350-$K1350)^2</f>
        <v>0.798908829489</v>
      </c>
      <c r="AD1350" s="8" t="n">
        <f aca="false">(P1350-$K1350)^2</f>
        <v>0.707637628944</v>
      </c>
      <c r="AE1350" s="8" t="n">
        <f aca="false">MIN(INT(ROUND(N1350*1000000,0)/100000),9)</f>
        <v>1</v>
      </c>
      <c r="AF1350" s="8" t="n">
        <f aca="false">MIN(INT(ROUND(P1350*1000000,0)/100000),9)</f>
        <v>1</v>
      </c>
    </row>
    <row r="1351" customFormat="false" ht="15" hidden="false" customHeight="false" outlineLevel="0" collapsed="false">
      <c r="A1351" s="4" t="n">
        <v>1347</v>
      </c>
      <c r="B1351" s="4" t="n">
        <v>1208</v>
      </c>
      <c r="C1351" s="4" t="n">
        <v>3</v>
      </c>
      <c r="D1351" s="11" t="n">
        <v>46143</v>
      </c>
      <c r="E1351" s="4" t="s">
        <v>204</v>
      </c>
      <c r="F1351" s="4" t="s">
        <v>208</v>
      </c>
      <c r="G1351" s="4" t="n">
        <v>1</v>
      </c>
      <c r="H1351" s="4" t="n">
        <v>20</v>
      </c>
      <c r="I1351" s="4" t="n">
        <v>0</v>
      </c>
      <c r="J1351" s="4"/>
      <c r="K1351" s="4" t="n">
        <v>1</v>
      </c>
      <c r="L1351" s="12" t="n">
        <v>0.803927</v>
      </c>
      <c r="M1351" s="12" t="n">
        <v>0.092063</v>
      </c>
      <c r="N1351" s="12" t="n">
        <v>0.087951</v>
      </c>
      <c r="O1351" s="12" t="n">
        <v>0.106183</v>
      </c>
      <c r="P1351" s="12" t="n">
        <v>0.09269</v>
      </c>
      <c r="Q1351" s="0" t="str">
        <f aca="false">IF(L1351&gt;=Models!$G$5,1+COUNTIF($L$5:$L$1517,"&gt;"&amp;L1351)+COUNTIFS($L$5:$L$1517,L1351,$B$5:$B$1517,"&lt;"&amp;B1351)+COUNTIFS($L$5:$L$1517,L1351,$B$5:$B$1517,B1351,$C$5:$C$1517,"&lt;"&amp;C1351),"")</f>
        <v/>
      </c>
      <c r="R1351" s="0" t="str">
        <f aca="false">IF(M1351&gt;=Models!$G$6,1+COUNTIF($M$5:$M$1517,"&gt;"&amp;M1351)+COUNTIFS($M$5:$M$1517,M1351,$B$5:$B$1517,"&lt;"&amp;B1351)+COUNTIFS($M$5:$M$1517,M1351,$B$5:$B$1517,B1351,$C$5:$C$1517,"&lt;"&amp;C1351),"")</f>
        <v/>
      </c>
      <c r="S1351" s="0" t="str">
        <f aca="false">IF(N1351&gt;=Models!$G$7,1+COUNTIF($N$5:$N$1517,"&gt;"&amp;N1351)+COUNTIFS($N$5:$N$1517,N1351,$B$5:$B$1517,"&lt;"&amp;B1351)+COUNTIFS($N$5:$N$1517,N1351,$B$5:$B$1517,B1351,$C$5:$C$1517,"&lt;"&amp;C1351),"")</f>
        <v/>
      </c>
      <c r="T1351" s="8" t="n">
        <f aca="false">IF(O1351&gt;=Models!$G$8,1+COUNTIF($O$5:$O$1517,"&gt;"&amp;O1351)+COUNTIFS($O$5:$O$1517,O1351,$B$5:$B$1517,"&lt;"&amp;B1351)+COUNTIFS($O$5:$O$1517,O1351,$B$5:$B$1517,B1351,$C$5:$C$1517,"&lt;"&amp;C1351),"")</f>
        <v>971</v>
      </c>
      <c r="U1351" s="8" t="n">
        <f aca="false">IF($K1351=1,COUNTIFS($L$5:$L$1517,"&gt;="&amp;L1351,$K$5:$K$1517,1)/COUNTIF($L$5:$L$1517,"&gt;="&amp;L1351),0)</f>
        <v>0.138888888888889</v>
      </c>
      <c r="V1351" s="8" t="n">
        <f aca="false">IF($K1351=1,COUNTIFS($M$5:$M$1517,"&gt;="&amp;M1351,$K$5:$K$1517,1)/COUNTIF($M$5:$M$1517,"&gt;="&amp;M1351),0)</f>
        <v>0.12491738268341</v>
      </c>
      <c r="W1351" s="8" t="n">
        <f aca="false">IF($K1351=1,COUNTIFS($N$5:$N$1517,"&gt;="&amp;N1351,$K$5:$K$1517,1)/COUNTIF($N$5:$N$1517,"&gt;="&amp;N1351),0)</f>
        <v>0.178304239401496</v>
      </c>
      <c r="X1351" s="8" t="n">
        <f aca="false">IF($K1351=1,COUNTIFS($O$5:$O$1517,"&gt;="&amp;O1351,$K$5:$K$1517,1)/COUNTIF($O$5:$O$1517,"&gt;="&amp;O1351),0)</f>
        <v>0.12491738268341</v>
      </c>
      <c r="Y1351" s="8" t="n">
        <f aca="false">IF($K1351=1,COUNTIFS($P$5:$P$1517,"&gt;="&amp;P1351,$K$5:$K$1517,1)/COUNTIF($P$5:$P$1517,"&gt;="&amp;P1351),0)</f>
        <v>0.178304239401496</v>
      </c>
      <c r="Z1351" s="8" t="n">
        <f aca="false">(L1351-$K1351)^2</f>
        <v>0.038444621329</v>
      </c>
      <c r="AA1351" s="8" t="n">
        <f aca="false">(M1351-$K1351)^2</f>
        <v>0.824349595969</v>
      </c>
      <c r="AB1351" s="8" t="n">
        <f aca="false">(N1351-$K1351)^2</f>
        <v>0.831833378401</v>
      </c>
      <c r="AC1351" s="8" t="n">
        <f aca="false">(O1351-$K1351)^2</f>
        <v>0.798908829489</v>
      </c>
      <c r="AD1351" s="8" t="n">
        <f aca="false">(P1351-$K1351)^2</f>
        <v>0.8232114361</v>
      </c>
      <c r="AE1351" s="8" t="n">
        <f aca="false">MIN(INT(ROUND(N1351*1000000,0)/100000),9)</f>
        <v>0</v>
      </c>
      <c r="AF1351" s="8" t="n">
        <f aca="false">MIN(INT(ROUND(P1351*1000000,0)/100000),9)</f>
        <v>0</v>
      </c>
    </row>
    <row r="1352" customFormat="false" ht="15" hidden="false" customHeight="false" outlineLevel="0" collapsed="false">
      <c r="A1352" s="4" t="n">
        <v>1348</v>
      </c>
      <c r="B1352" s="4" t="n">
        <v>1217</v>
      </c>
      <c r="C1352" s="4" t="n">
        <v>3</v>
      </c>
      <c r="D1352" s="11" t="n">
        <v>46143</v>
      </c>
      <c r="E1352" s="4" t="s">
        <v>203</v>
      </c>
      <c r="F1352" s="4" t="s">
        <v>209</v>
      </c>
      <c r="G1352" s="4" t="n">
        <v>3</v>
      </c>
      <c r="H1352" s="4" t="n">
        <v>14</v>
      </c>
      <c r="I1352" s="4" t="n">
        <v>0</v>
      </c>
      <c r="J1352" s="4" t="n">
        <v>294</v>
      </c>
      <c r="K1352" s="4" t="n">
        <v>0</v>
      </c>
      <c r="L1352" s="12" t="n">
        <v>0.511455</v>
      </c>
      <c r="M1352" s="12" t="n">
        <v>0.092063</v>
      </c>
      <c r="N1352" s="12" t="n">
        <v>0.138431</v>
      </c>
      <c r="O1352" s="12" t="n">
        <v>0.106183</v>
      </c>
      <c r="P1352" s="12" t="n">
        <v>0.148501</v>
      </c>
      <c r="Q1352" s="0" t="str">
        <f aca="false">IF(L1352&gt;=Models!$G$5,1+COUNTIF($L$5:$L$1517,"&gt;"&amp;L1352)+COUNTIFS($L$5:$L$1517,L1352,$B$5:$B$1517,"&lt;"&amp;B1352)+COUNTIFS($L$5:$L$1517,L1352,$B$5:$B$1517,B1352,$C$5:$C$1517,"&lt;"&amp;C1352),"")</f>
        <v/>
      </c>
      <c r="R1352" s="0" t="str">
        <f aca="false">IF(M1352&gt;=Models!$G$6,1+COUNTIF($M$5:$M$1517,"&gt;"&amp;M1352)+COUNTIFS($M$5:$M$1517,M1352,$B$5:$B$1517,"&lt;"&amp;B1352)+COUNTIFS($M$5:$M$1517,M1352,$B$5:$B$1517,B1352,$C$5:$C$1517,"&lt;"&amp;C1352),"")</f>
        <v/>
      </c>
      <c r="S1352" s="0" t="str">
        <f aca="false">IF(N1352&gt;=Models!$G$7,1+COUNTIF($N$5:$N$1517,"&gt;"&amp;N1352)+COUNTIFS($N$5:$N$1517,N1352,$B$5:$B$1517,"&lt;"&amp;B1352)+COUNTIFS($N$5:$N$1517,N1352,$B$5:$B$1517,B1352,$C$5:$C$1517,"&lt;"&amp;C1352),"")</f>
        <v/>
      </c>
      <c r="T1352" s="8" t="n">
        <f aca="false">IF(O1352&gt;=Models!$G$8,1+COUNTIF($O$5:$O$1517,"&gt;"&amp;O1352)+COUNTIFS($O$5:$O$1517,O1352,$B$5:$B$1517,"&lt;"&amp;B1352)+COUNTIFS($O$5:$O$1517,O1352,$B$5:$B$1517,B1352,$C$5:$C$1517,"&lt;"&amp;C1352),"")</f>
        <v>975</v>
      </c>
      <c r="U1352" s="8" t="n">
        <f aca="false">IF($K1352=1,COUNTIFS($L$5:$L$1517,"&gt;="&amp;L1352,$K$5:$K$1517,1)/COUNTIF($L$5:$L$1517,"&gt;="&amp;L1352),0)</f>
        <v>0</v>
      </c>
      <c r="V1352" s="8" t="n">
        <f aca="false">IF($K1352=1,COUNTIFS($M$5:$M$1517,"&gt;="&amp;M1352,$K$5:$K$1517,1)/COUNTIF($M$5:$M$1517,"&gt;="&amp;M1352),0)</f>
        <v>0</v>
      </c>
      <c r="W1352" s="8" t="n">
        <f aca="false">IF($K1352=1,COUNTIFS($N$5:$N$1517,"&gt;="&amp;N1352,$K$5:$K$1517,1)/COUNTIF($N$5:$N$1517,"&gt;="&amp;N1352),0)</f>
        <v>0</v>
      </c>
      <c r="X1352" s="8" t="n">
        <f aca="false">IF($K1352=1,COUNTIFS($O$5:$O$1517,"&gt;="&amp;O1352,$K$5:$K$1517,1)/COUNTIF($O$5:$O$1517,"&gt;="&amp;O1352),0)</f>
        <v>0</v>
      </c>
      <c r="Y1352" s="8" t="n">
        <f aca="false">IF($K1352=1,COUNTIFS($P$5:$P$1517,"&gt;="&amp;P1352,$K$5:$K$1517,1)/COUNTIF($P$5:$P$1517,"&gt;="&amp;P1352),0)</f>
        <v>0</v>
      </c>
      <c r="Z1352" s="8" t="n">
        <f aca="false">(L1352-$K1352)^2</f>
        <v>0.261586217025</v>
      </c>
      <c r="AA1352" s="8" t="n">
        <f aca="false">(M1352-$K1352)^2</f>
        <v>0.008475595969</v>
      </c>
      <c r="AB1352" s="8" t="n">
        <f aca="false">(N1352-$K1352)^2</f>
        <v>0.019163141761</v>
      </c>
      <c r="AC1352" s="8" t="n">
        <f aca="false">(O1352-$K1352)^2</f>
        <v>0.011274829489</v>
      </c>
      <c r="AD1352" s="8" t="n">
        <f aca="false">(P1352-$K1352)^2</f>
        <v>0.022052547001</v>
      </c>
      <c r="AE1352" s="8" t="n">
        <f aca="false">MIN(INT(ROUND(N1352*1000000,0)/100000),9)</f>
        <v>1</v>
      </c>
      <c r="AF1352" s="8" t="n">
        <f aca="false">MIN(INT(ROUND(P1352*1000000,0)/100000),9)</f>
        <v>1</v>
      </c>
    </row>
    <row r="1353" customFormat="false" ht="15" hidden="false" customHeight="false" outlineLevel="0" collapsed="false">
      <c r="A1353" s="4" t="n">
        <v>1349</v>
      </c>
      <c r="B1353" s="4" t="n">
        <v>1221</v>
      </c>
      <c r="C1353" s="4" t="n">
        <v>3</v>
      </c>
      <c r="D1353" s="11" t="n">
        <v>46143</v>
      </c>
      <c r="E1353" s="4" t="s">
        <v>202</v>
      </c>
      <c r="F1353" s="4" t="s">
        <v>206</v>
      </c>
      <c r="G1353" s="4" t="n">
        <v>5</v>
      </c>
      <c r="H1353" s="4" t="n">
        <v>6</v>
      </c>
      <c r="I1353" s="4" t="n">
        <v>0</v>
      </c>
      <c r="J1353" s="4" t="n">
        <v>610</v>
      </c>
      <c r="K1353" s="4" t="n">
        <v>0</v>
      </c>
      <c r="L1353" s="12" t="n">
        <v>0.899234</v>
      </c>
      <c r="M1353" s="12" t="n">
        <v>0.092063</v>
      </c>
      <c r="N1353" s="12" t="n">
        <v>0.10985</v>
      </c>
      <c r="O1353" s="12" t="n">
        <v>0.106183</v>
      </c>
      <c r="P1353" s="12" t="n">
        <v>0.116825</v>
      </c>
      <c r="Q1353" s="0" t="str">
        <f aca="false">IF(L1353&gt;=Models!$G$5,1+COUNTIF($L$5:$L$1517,"&gt;"&amp;L1353)+COUNTIFS($L$5:$L$1517,L1353,$B$5:$B$1517,"&lt;"&amp;B1353)+COUNTIFS($L$5:$L$1517,L1353,$B$5:$B$1517,B1353,$C$5:$C$1517,"&lt;"&amp;C1353),"")</f>
        <v/>
      </c>
      <c r="R1353" s="0" t="str">
        <f aca="false">IF(M1353&gt;=Models!$G$6,1+COUNTIF($M$5:$M$1517,"&gt;"&amp;M1353)+COUNTIFS($M$5:$M$1517,M1353,$B$5:$B$1517,"&lt;"&amp;B1353)+COUNTIFS($M$5:$M$1517,M1353,$B$5:$B$1517,B1353,$C$5:$C$1517,"&lt;"&amp;C1353),"")</f>
        <v/>
      </c>
      <c r="S1353" s="0" t="str">
        <f aca="false">IF(N1353&gt;=Models!$G$7,1+COUNTIF($N$5:$N$1517,"&gt;"&amp;N1353)+COUNTIFS($N$5:$N$1517,N1353,$B$5:$B$1517,"&lt;"&amp;B1353)+COUNTIFS($N$5:$N$1517,N1353,$B$5:$B$1517,B1353,$C$5:$C$1517,"&lt;"&amp;C1353),"")</f>
        <v/>
      </c>
      <c r="T1353" s="8" t="n">
        <f aca="false">IF(O1353&gt;=Models!$G$8,1+COUNTIF($O$5:$O$1517,"&gt;"&amp;O1353)+COUNTIFS($O$5:$O$1517,O1353,$B$5:$B$1517,"&lt;"&amp;B1353)+COUNTIFS($O$5:$O$1517,O1353,$B$5:$B$1517,B1353,$C$5:$C$1517,"&lt;"&amp;C1353),"")</f>
        <v>979</v>
      </c>
      <c r="U1353" s="8" t="n">
        <f aca="false">IF($K1353=1,COUNTIFS($L$5:$L$1517,"&gt;="&amp;L1353,$K$5:$K$1517,1)/COUNTIF($L$5:$L$1517,"&gt;="&amp;L1353),0)</f>
        <v>0</v>
      </c>
      <c r="V1353" s="8" t="n">
        <f aca="false">IF($K1353=1,COUNTIFS($M$5:$M$1517,"&gt;="&amp;M1353,$K$5:$K$1517,1)/COUNTIF($M$5:$M$1517,"&gt;="&amp;M1353),0)</f>
        <v>0</v>
      </c>
      <c r="W1353" s="8" t="n">
        <f aca="false">IF($K1353=1,COUNTIFS($N$5:$N$1517,"&gt;="&amp;N1353,$K$5:$K$1517,1)/COUNTIF($N$5:$N$1517,"&gt;="&amp;N1353),0)</f>
        <v>0</v>
      </c>
      <c r="X1353" s="8" t="n">
        <f aca="false">IF($K1353=1,COUNTIFS($O$5:$O$1517,"&gt;="&amp;O1353,$K$5:$K$1517,1)/COUNTIF($O$5:$O$1517,"&gt;="&amp;O1353),0)</f>
        <v>0</v>
      </c>
      <c r="Y1353" s="8" t="n">
        <f aca="false">IF($K1353=1,COUNTIFS($P$5:$P$1517,"&gt;="&amp;P1353,$K$5:$K$1517,1)/COUNTIF($P$5:$P$1517,"&gt;="&amp;P1353),0)</f>
        <v>0</v>
      </c>
      <c r="Z1353" s="8" t="n">
        <f aca="false">(L1353-$K1353)^2</f>
        <v>0.808621786756</v>
      </c>
      <c r="AA1353" s="8" t="n">
        <f aca="false">(M1353-$K1353)^2</f>
        <v>0.008475595969</v>
      </c>
      <c r="AB1353" s="8" t="n">
        <f aca="false">(N1353-$K1353)^2</f>
        <v>0.0120670225</v>
      </c>
      <c r="AC1353" s="8" t="n">
        <f aca="false">(O1353-$K1353)^2</f>
        <v>0.011274829489</v>
      </c>
      <c r="AD1353" s="8" t="n">
        <f aca="false">(P1353-$K1353)^2</f>
        <v>0.013648080625</v>
      </c>
      <c r="AE1353" s="8" t="n">
        <f aca="false">MIN(INT(ROUND(N1353*1000000,0)/100000),9)</f>
        <v>1</v>
      </c>
      <c r="AF1353" s="8" t="n">
        <f aca="false">MIN(INT(ROUND(P1353*1000000,0)/100000),9)</f>
        <v>1</v>
      </c>
    </row>
    <row r="1354" customFormat="false" ht="15" hidden="false" customHeight="false" outlineLevel="0" collapsed="false">
      <c r="A1354" s="4" t="n">
        <v>1350</v>
      </c>
      <c r="B1354" s="4" t="n">
        <v>1222</v>
      </c>
      <c r="C1354" s="4" t="n">
        <v>3</v>
      </c>
      <c r="D1354" s="11" t="n">
        <v>46143</v>
      </c>
      <c r="E1354" s="4" t="s">
        <v>202</v>
      </c>
      <c r="F1354" s="4" t="s">
        <v>208</v>
      </c>
      <c r="G1354" s="4" t="n">
        <v>11</v>
      </c>
      <c r="H1354" s="4" t="n">
        <v>1</v>
      </c>
      <c r="I1354" s="4" t="n">
        <v>0</v>
      </c>
      <c r="J1354" s="4"/>
      <c r="K1354" s="4" t="n">
        <v>0</v>
      </c>
      <c r="L1354" s="12" t="n">
        <v>0.87635</v>
      </c>
      <c r="M1354" s="12" t="n">
        <v>0.092063</v>
      </c>
      <c r="N1354" s="12" t="n">
        <v>0.032466</v>
      </c>
      <c r="O1354" s="12" t="n">
        <v>0.106183</v>
      </c>
      <c r="P1354" s="12" t="n">
        <v>0.032702</v>
      </c>
      <c r="Q1354" s="0" t="str">
        <f aca="false">IF(L1354&gt;=Models!$G$5,1+COUNTIF($L$5:$L$1517,"&gt;"&amp;L1354)+COUNTIFS($L$5:$L$1517,L1354,$B$5:$B$1517,"&lt;"&amp;B1354)+COUNTIFS($L$5:$L$1517,L1354,$B$5:$B$1517,B1354,$C$5:$C$1517,"&lt;"&amp;C1354),"")</f>
        <v/>
      </c>
      <c r="R1354" s="0" t="str">
        <f aca="false">IF(M1354&gt;=Models!$G$6,1+COUNTIF($M$5:$M$1517,"&gt;"&amp;M1354)+COUNTIFS($M$5:$M$1517,M1354,$B$5:$B$1517,"&lt;"&amp;B1354)+COUNTIFS($M$5:$M$1517,M1354,$B$5:$B$1517,B1354,$C$5:$C$1517,"&lt;"&amp;C1354),"")</f>
        <v/>
      </c>
      <c r="S1354" s="0" t="str">
        <f aca="false">IF(N1354&gt;=Models!$G$7,1+COUNTIF($N$5:$N$1517,"&gt;"&amp;N1354)+COUNTIFS($N$5:$N$1517,N1354,$B$5:$B$1517,"&lt;"&amp;B1354)+COUNTIFS($N$5:$N$1517,N1354,$B$5:$B$1517,B1354,$C$5:$C$1517,"&lt;"&amp;C1354),"")</f>
        <v/>
      </c>
      <c r="T1354" s="8" t="n">
        <f aca="false">IF(O1354&gt;=Models!$G$8,1+COUNTIF($O$5:$O$1517,"&gt;"&amp;O1354)+COUNTIFS($O$5:$O$1517,O1354,$B$5:$B$1517,"&lt;"&amp;B1354)+COUNTIFS($O$5:$O$1517,O1354,$B$5:$B$1517,B1354,$C$5:$C$1517,"&lt;"&amp;C1354),"")</f>
        <v>983</v>
      </c>
      <c r="U1354" s="8" t="n">
        <f aca="false">IF($K1354=1,COUNTIFS($L$5:$L$1517,"&gt;="&amp;L1354,$K$5:$K$1517,1)/COUNTIF($L$5:$L$1517,"&gt;="&amp;L1354),0)</f>
        <v>0</v>
      </c>
      <c r="V1354" s="8" t="n">
        <f aca="false">IF($K1354=1,COUNTIFS($M$5:$M$1517,"&gt;="&amp;M1354,$K$5:$K$1517,1)/COUNTIF($M$5:$M$1517,"&gt;="&amp;M1354),0)</f>
        <v>0</v>
      </c>
      <c r="W1354" s="8" t="n">
        <f aca="false">IF($K1354=1,COUNTIFS($N$5:$N$1517,"&gt;="&amp;N1354,$K$5:$K$1517,1)/COUNTIF($N$5:$N$1517,"&gt;="&amp;N1354),0)</f>
        <v>0</v>
      </c>
      <c r="X1354" s="8" t="n">
        <f aca="false">IF($K1354=1,COUNTIFS($O$5:$O$1517,"&gt;="&amp;O1354,$K$5:$K$1517,1)/COUNTIF($O$5:$O$1517,"&gt;="&amp;O1354),0)</f>
        <v>0</v>
      </c>
      <c r="Y1354" s="8" t="n">
        <f aca="false">IF($K1354=1,COUNTIFS($P$5:$P$1517,"&gt;="&amp;P1354,$K$5:$K$1517,1)/COUNTIF($P$5:$P$1517,"&gt;="&amp;P1354),0)</f>
        <v>0</v>
      </c>
      <c r="Z1354" s="8" t="n">
        <f aca="false">(L1354-$K1354)^2</f>
        <v>0.7679893225</v>
      </c>
      <c r="AA1354" s="8" t="n">
        <f aca="false">(M1354-$K1354)^2</f>
        <v>0.008475595969</v>
      </c>
      <c r="AB1354" s="8" t="n">
        <f aca="false">(N1354-$K1354)^2</f>
        <v>0.001054041156</v>
      </c>
      <c r="AC1354" s="8" t="n">
        <f aca="false">(O1354-$K1354)^2</f>
        <v>0.011274829489</v>
      </c>
      <c r="AD1354" s="8" t="n">
        <f aca="false">(P1354-$K1354)^2</f>
        <v>0.001069420804</v>
      </c>
      <c r="AE1354" s="8" t="n">
        <f aca="false">MIN(INT(ROUND(N1354*1000000,0)/100000),9)</f>
        <v>0</v>
      </c>
      <c r="AF1354" s="8" t="n">
        <f aca="false">MIN(INT(ROUND(P1354*1000000,0)/100000),9)</f>
        <v>0</v>
      </c>
    </row>
    <row r="1355" customFormat="false" ht="15" hidden="false" customHeight="false" outlineLevel="0" collapsed="false">
      <c r="A1355" s="4" t="n">
        <v>1351</v>
      </c>
      <c r="B1355" s="4" t="n">
        <v>1224</v>
      </c>
      <c r="C1355" s="4" t="n">
        <v>3</v>
      </c>
      <c r="D1355" s="11" t="n">
        <v>46143</v>
      </c>
      <c r="E1355" s="4" t="s">
        <v>203</v>
      </c>
      <c r="F1355" s="4" t="s">
        <v>208</v>
      </c>
      <c r="G1355" s="4" t="n">
        <v>1</v>
      </c>
      <c r="H1355" s="4" t="n">
        <v>23</v>
      </c>
      <c r="I1355" s="4" t="n">
        <v>0</v>
      </c>
      <c r="J1355" s="4" t="n">
        <v>282</v>
      </c>
      <c r="K1355" s="4" t="n">
        <v>0</v>
      </c>
      <c r="L1355" s="12" t="n">
        <v>0.543826</v>
      </c>
      <c r="M1355" s="12" t="n">
        <v>0.092063</v>
      </c>
      <c r="N1355" s="12" t="n">
        <v>0.171655</v>
      </c>
      <c r="O1355" s="12" t="n">
        <v>0.106183</v>
      </c>
      <c r="P1355" s="12" t="n">
        <v>0.185448</v>
      </c>
      <c r="Q1355" s="0" t="str">
        <f aca="false">IF(L1355&gt;=Models!$G$5,1+COUNTIF($L$5:$L$1517,"&gt;"&amp;L1355)+COUNTIFS($L$5:$L$1517,L1355,$B$5:$B$1517,"&lt;"&amp;B1355)+COUNTIFS($L$5:$L$1517,L1355,$B$5:$B$1517,B1355,$C$5:$C$1517,"&lt;"&amp;C1355),"")</f>
        <v/>
      </c>
      <c r="R1355" s="0" t="str">
        <f aca="false">IF(M1355&gt;=Models!$G$6,1+COUNTIF($M$5:$M$1517,"&gt;"&amp;M1355)+COUNTIFS($M$5:$M$1517,M1355,$B$5:$B$1517,"&lt;"&amp;B1355)+COUNTIFS($M$5:$M$1517,M1355,$B$5:$B$1517,B1355,$C$5:$C$1517,"&lt;"&amp;C1355),"")</f>
        <v/>
      </c>
      <c r="S1355" s="0" t="str">
        <f aca="false">IF(N1355&gt;=Models!$G$7,1+COUNTIF($N$5:$N$1517,"&gt;"&amp;N1355)+COUNTIFS($N$5:$N$1517,N1355,$B$5:$B$1517,"&lt;"&amp;B1355)+COUNTIFS($N$5:$N$1517,N1355,$B$5:$B$1517,B1355,$C$5:$C$1517,"&lt;"&amp;C1355),"")</f>
        <v/>
      </c>
      <c r="T1355" s="8" t="n">
        <f aca="false">IF(O1355&gt;=Models!$G$8,1+COUNTIF($O$5:$O$1517,"&gt;"&amp;O1355)+COUNTIFS($O$5:$O$1517,O1355,$B$5:$B$1517,"&lt;"&amp;B1355)+COUNTIFS($O$5:$O$1517,O1355,$B$5:$B$1517,B1355,$C$5:$C$1517,"&lt;"&amp;C1355),"")</f>
        <v>987</v>
      </c>
      <c r="U1355" s="8" t="n">
        <f aca="false">IF($K1355=1,COUNTIFS($L$5:$L$1517,"&gt;="&amp;L1355,$K$5:$K$1517,1)/COUNTIF($L$5:$L$1517,"&gt;="&amp;L1355),0)</f>
        <v>0</v>
      </c>
      <c r="V1355" s="8" t="n">
        <f aca="false">IF($K1355=1,COUNTIFS($M$5:$M$1517,"&gt;="&amp;M1355,$K$5:$K$1517,1)/COUNTIF($M$5:$M$1517,"&gt;="&amp;M1355),0)</f>
        <v>0</v>
      </c>
      <c r="W1355" s="8" t="n">
        <f aca="false">IF($K1355=1,COUNTIFS($N$5:$N$1517,"&gt;="&amp;N1355,$K$5:$K$1517,1)/COUNTIF($N$5:$N$1517,"&gt;="&amp;N1355),0)</f>
        <v>0</v>
      </c>
      <c r="X1355" s="8" t="n">
        <f aca="false">IF($K1355=1,COUNTIFS($O$5:$O$1517,"&gt;="&amp;O1355,$K$5:$K$1517,1)/COUNTIF($O$5:$O$1517,"&gt;="&amp;O1355),0)</f>
        <v>0</v>
      </c>
      <c r="Y1355" s="8" t="n">
        <f aca="false">IF($K1355=1,COUNTIFS($P$5:$P$1517,"&gt;="&amp;P1355,$K$5:$K$1517,1)/COUNTIF($P$5:$P$1517,"&gt;="&amp;P1355),0)</f>
        <v>0</v>
      </c>
      <c r="Z1355" s="8" t="n">
        <f aca="false">(L1355-$K1355)^2</f>
        <v>0.295746718276</v>
      </c>
      <c r="AA1355" s="8" t="n">
        <f aca="false">(M1355-$K1355)^2</f>
        <v>0.008475595969</v>
      </c>
      <c r="AB1355" s="8" t="n">
        <f aca="false">(N1355-$K1355)^2</f>
        <v>0.029465439025</v>
      </c>
      <c r="AC1355" s="8" t="n">
        <f aca="false">(O1355-$K1355)^2</f>
        <v>0.011274829489</v>
      </c>
      <c r="AD1355" s="8" t="n">
        <f aca="false">(P1355-$K1355)^2</f>
        <v>0.034390960704</v>
      </c>
      <c r="AE1355" s="8" t="n">
        <f aca="false">MIN(INT(ROUND(N1355*1000000,0)/100000),9)</f>
        <v>1</v>
      </c>
      <c r="AF1355" s="8" t="n">
        <f aca="false">MIN(INT(ROUND(P1355*1000000,0)/100000),9)</f>
        <v>1</v>
      </c>
    </row>
    <row r="1356" customFormat="false" ht="15" hidden="false" customHeight="false" outlineLevel="0" collapsed="false">
      <c r="A1356" s="4" t="n">
        <v>1352</v>
      </c>
      <c r="B1356" s="4" t="n">
        <v>1226</v>
      </c>
      <c r="C1356" s="4" t="n">
        <v>3</v>
      </c>
      <c r="D1356" s="11" t="n">
        <v>46143</v>
      </c>
      <c r="E1356" s="4" t="s">
        <v>203</v>
      </c>
      <c r="F1356" s="4" t="s">
        <v>206</v>
      </c>
      <c r="G1356" s="4" t="n">
        <v>9</v>
      </c>
      <c r="H1356" s="4" t="n">
        <v>4</v>
      </c>
      <c r="I1356" s="4" t="n">
        <v>0</v>
      </c>
      <c r="J1356" s="4" t="n">
        <v>288</v>
      </c>
      <c r="K1356" s="4" t="n">
        <v>0</v>
      </c>
      <c r="L1356" s="12" t="n">
        <v>0.064031</v>
      </c>
      <c r="M1356" s="12" t="n">
        <v>0.092063</v>
      </c>
      <c r="N1356" s="12" t="n">
        <v>0.079444</v>
      </c>
      <c r="O1356" s="12" t="n">
        <v>0.106183</v>
      </c>
      <c r="P1356" s="12" t="n">
        <v>0.083362</v>
      </c>
      <c r="Q1356" s="0" t="str">
        <f aca="false">IF(L1356&gt;=Models!$G$5,1+COUNTIF($L$5:$L$1517,"&gt;"&amp;L1356)+COUNTIFS($L$5:$L$1517,L1356,$B$5:$B$1517,"&lt;"&amp;B1356)+COUNTIFS($L$5:$L$1517,L1356,$B$5:$B$1517,B1356,$C$5:$C$1517,"&lt;"&amp;C1356),"")</f>
        <v/>
      </c>
      <c r="R1356" s="0" t="str">
        <f aca="false">IF(M1356&gt;=Models!$G$6,1+COUNTIF($M$5:$M$1517,"&gt;"&amp;M1356)+COUNTIFS($M$5:$M$1517,M1356,$B$5:$B$1517,"&lt;"&amp;B1356)+COUNTIFS($M$5:$M$1517,M1356,$B$5:$B$1517,B1356,$C$5:$C$1517,"&lt;"&amp;C1356),"")</f>
        <v/>
      </c>
      <c r="S1356" s="0" t="str">
        <f aca="false">IF(N1356&gt;=Models!$G$7,1+COUNTIF($N$5:$N$1517,"&gt;"&amp;N1356)+COUNTIFS($N$5:$N$1517,N1356,$B$5:$B$1517,"&lt;"&amp;B1356)+COUNTIFS($N$5:$N$1517,N1356,$B$5:$B$1517,B1356,$C$5:$C$1517,"&lt;"&amp;C1356),"")</f>
        <v/>
      </c>
      <c r="T1356" s="8" t="n">
        <f aca="false">IF(O1356&gt;=Models!$G$8,1+COUNTIF($O$5:$O$1517,"&gt;"&amp;O1356)+COUNTIFS($O$5:$O$1517,O1356,$B$5:$B$1517,"&lt;"&amp;B1356)+COUNTIFS($O$5:$O$1517,O1356,$B$5:$B$1517,B1356,$C$5:$C$1517,"&lt;"&amp;C1356),"")</f>
        <v>991</v>
      </c>
      <c r="U1356" s="8" t="n">
        <f aca="false">IF($K1356=1,COUNTIFS($L$5:$L$1517,"&gt;="&amp;L1356,$K$5:$K$1517,1)/COUNTIF($L$5:$L$1517,"&gt;="&amp;L1356),0)</f>
        <v>0</v>
      </c>
      <c r="V1356" s="8" t="n">
        <f aca="false">IF($K1356=1,COUNTIFS($M$5:$M$1517,"&gt;="&amp;M1356,$K$5:$K$1517,1)/COUNTIF($M$5:$M$1517,"&gt;="&amp;M1356),0)</f>
        <v>0</v>
      </c>
      <c r="W1356" s="8" t="n">
        <f aca="false">IF($K1356=1,COUNTIFS($N$5:$N$1517,"&gt;="&amp;N1356,$K$5:$K$1517,1)/COUNTIF($N$5:$N$1517,"&gt;="&amp;N1356),0)</f>
        <v>0</v>
      </c>
      <c r="X1356" s="8" t="n">
        <f aca="false">IF($K1356=1,COUNTIFS($O$5:$O$1517,"&gt;="&amp;O1356,$K$5:$K$1517,1)/COUNTIF($O$5:$O$1517,"&gt;="&amp;O1356),0)</f>
        <v>0</v>
      </c>
      <c r="Y1356" s="8" t="n">
        <f aca="false">IF($K1356=1,COUNTIFS($P$5:$P$1517,"&gt;="&amp;P1356,$K$5:$K$1517,1)/COUNTIF($P$5:$P$1517,"&gt;="&amp;P1356),0)</f>
        <v>0</v>
      </c>
      <c r="Z1356" s="8" t="n">
        <f aca="false">(L1356-$K1356)^2</f>
        <v>0.004099968961</v>
      </c>
      <c r="AA1356" s="8" t="n">
        <f aca="false">(M1356-$K1356)^2</f>
        <v>0.008475595969</v>
      </c>
      <c r="AB1356" s="8" t="n">
        <f aca="false">(N1356-$K1356)^2</f>
        <v>0.006311349136</v>
      </c>
      <c r="AC1356" s="8" t="n">
        <f aca="false">(O1356-$K1356)^2</f>
        <v>0.011274829489</v>
      </c>
      <c r="AD1356" s="8" t="n">
        <f aca="false">(P1356-$K1356)^2</f>
        <v>0.006949223044</v>
      </c>
      <c r="AE1356" s="8" t="n">
        <f aca="false">MIN(INT(ROUND(N1356*1000000,0)/100000),9)</f>
        <v>0</v>
      </c>
      <c r="AF1356" s="8" t="n">
        <f aca="false">MIN(INT(ROUND(P1356*1000000,0)/100000),9)</f>
        <v>0</v>
      </c>
    </row>
    <row r="1357" customFormat="false" ht="15" hidden="false" customHeight="false" outlineLevel="0" collapsed="false">
      <c r="A1357" s="4" t="n">
        <v>1353</v>
      </c>
      <c r="B1357" s="4" t="n">
        <v>1228</v>
      </c>
      <c r="C1357" s="4" t="n">
        <v>3</v>
      </c>
      <c r="D1357" s="11" t="n">
        <v>46143</v>
      </c>
      <c r="E1357" s="4" t="s">
        <v>202</v>
      </c>
      <c r="F1357" s="4" t="s">
        <v>209</v>
      </c>
      <c r="G1357" s="4" t="n">
        <v>13</v>
      </c>
      <c r="H1357" s="4" t="n">
        <v>4</v>
      </c>
      <c r="I1357" s="4" t="n">
        <v>0</v>
      </c>
      <c r="J1357" s="4" t="n">
        <v>1039.5</v>
      </c>
      <c r="K1357" s="4" t="n">
        <v>0</v>
      </c>
      <c r="L1357" s="12" t="n">
        <v>0.136147</v>
      </c>
      <c r="M1357" s="12" t="n">
        <v>0.092063</v>
      </c>
      <c r="N1357" s="12" t="n">
        <v>0.054498</v>
      </c>
      <c r="O1357" s="12" t="n">
        <v>0.106183</v>
      </c>
      <c r="P1357" s="12" t="n">
        <v>0.056235</v>
      </c>
      <c r="Q1357" s="0" t="str">
        <f aca="false">IF(L1357&gt;=Models!$G$5,1+COUNTIF($L$5:$L$1517,"&gt;"&amp;L1357)+COUNTIFS($L$5:$L$1517,L1357,$B$5:$B$1517,"&lt;"&amp;B1357)+COUNTIFS($L$5:$L$1517,L1357,$B$5:$B$1517,B1357,$C$5:$C$1517,"&lt;"&amp;C1357),"")</f>
        <v/>
      </c>
      <c r="R1357" s="0" t="str">
        <f aca="false">IF(M1357&gt;=Models!$G$6,1+COUNTIF($M$5:$M$1517,"&gt;"&amp;M1357)+COUNTIFS($M$5:$M$1517,M1357,$B$5:$B$1517,"&lt;"&amp;B1357)+COUNTIFS($M$5:$M$1517,M1357,$B$5:$B$1517,B1357,$C$5:$C$1517,"&lt;"&amp;C1357),"")</f>
        <v/>
      </c>
      <c r="S1357" s="0" t="str">
        <f aca="false">IF(N1357&gt;=Models!$G$7,1+COUNTIF($N$5:$N$1517,"&gt;"&amp;N1357)+COUNTIFS($N$5:$N$1517,N1357,$B$5:$B$1517,"&lt;"&amp;B1357)+COUNTIFS($N$5:$N$1517,N1357,$B$5:$B$1517,B1357,$C$5:$C$1517,"&lt;"&amp;C1357),"")</f>
        <v/>
      </c>
      <c r="T1357" s="8" t="n">
        <f aca="false">IF(O1357&gt;=Models!$G$8,1+COUNTIF($O$5:$O$1517,"&gt;"&amp;O1357)+COUNTIFS($O$5:$O$1517,O1357,$B$5:$B$1517,"&lt;"&amp;B1357)+COUNTIFS($O$5:$O$1517,O1357,$B$5:$B$1517,B1357,$C$5:$C$1517,"&lt;"&amp;C1357),"")</f>
        <v>995</v>
      </c>
      <c r="U1357" s="8" t="n">
        <f aca="false">IF($K1357=1,COUNTIFS($L$5:$L$1517,"&gt;="&amp;L1357,$K$5:$K$1517,1)/COUNTIF($L$5:$L$1517,"&gt;="&amp;L1357),0)</f>
        <v>0</v>
      </c>
      <c r="V1357" s="8" t="n">
        <f aca="false">IF($K1357=1,COUNTIFS($M$5:$M$1517,"&gt;="&amp;M1357,$K$5:$K$1517,1)/COUNTIF($M$5:$M$1517,"&gt;="&amp;M1357),0)</f>
        <v>0</v>
      </c>
      <c r="W1357" s="8" t="n">
        <f aca="false">IF($K1357=1,COUNTIFS($N$5:$N$1517,"&gt;="&amp;N1357,$K$5:$K$1517,1)/COUNTIF($N$5:$N$1517,"&gt;="&amp;N1357),0)</f>
        <v>0</v>
      </c>
      <c r="X1357" s="8" t="n">
        <f aca="false">IF($K1357=1,COUNTIFS($O$5:$O$1517,"&gt;="&amp;O1357,$K$5:$K$1517,1)/COUNTIF($O$5:$O$1517,"&gt;="&amp;O1357),0)</f>
        <v>0</v>
      </c>
      <c r="Y1357" s="8" t="n">
        <f aca="false">IF($K1357=1,COUNTIFS($P$5:$P$1517,"&gt;="&amp;P1357,$K$5:$K$1517,1)/COUNTIF($P$5:$P$1517,"&gt;="&amp;P1357),0)</f>
        <v>0</v>
      </c>
      <c r="Z1357" s="8" t="n">
        <f aca="false">(L1357-$K1357)^2</f>
        <v>0.018536005609</v>
      </c>
      <c r="AA1357" s="8" t="n">
        <f aca="false">(M1357-$K1357)^2</f>
        <v>0.008475595969</v>
      </c>
      <c r="AB1357" s="8" t="n">
        <f aca="false">(N1357-$K1357)^2</f>
        <v>0.002970032004</v>
      </c>
      <c r="AC1357" s="8" t="n">
        <f aca="false">(O1357-$K1357)^2</f>
        <v>0.011274829489</v>
      </c>
      <c r="AD1357" s="8" t="n">
        <f aca="false">(P1357-$K1357)^2</f>
        <v>0.003162375225</v>
      </c>
      <c r="AE1357" s="8" t="n">
        <f aca="false">MIN(INT(ROUND(N1357*1000000,0)/100000),9)</f>
        <v>0</v>
      </c>
      <c r="AF1357" s="8" t="n">
        <f aca="false">MIN(INT(ROUND(P1357*1000000,0)/100000),9)</f>
        <v>0</v>
      </c>
    </row>
    <row r="1358" customFormat="false" ht="15" hidden="false" customHeight="false" outlineLevel="0" collapsed="false">
      <c r="A1358" s="4" t="n">
        <v>1354</v>
      </c>
      <c r="B1358" s="4" t="n">
        <v>1230</v>
      </c>
      <c r="C1358" s="4" t="n">
        <v>3</v>
      </c>
      <c r="D1358" s="11" t="n">
        <v>46143</v>
      </c>
      <c r="E1358" s="4" t="s">
        <v>202</v>
      </c>
      <c r="F1358" s="4" t="s">
        <v>206</v>
      </c>
      <c r="G1358" s="4" t="n">
        <v>8</v>
      </c>
      <c r="H1358" s="4" t="n">
        <v>7</v>
      </c>
      <c r="I1358" s="4" t="n">
        <v>0</v>
      </c>
      <c r="J1358" s="4" t="n">
        <v>942</v>
      </c>
      <c r="K1358" s="4" t="n">
        <v>0</v>
      </c>
      <c r="L1358" s="12" t="n">
        <v>0.801159</v>
      </c>
      <c r="M1358" s="12" t="n">
        <v>0.092063</v>
      </c>
      <c r="N1358" s="12" t="n">
        <v>0.085229</v>
      </c>
      <c r="O1358" s="12" t="n">
        <v>0.106183</v>
      </c>
      <c r="P1358" s="12" t="n">
        <v>0.089702</v>
      </c>
      <c r="Q1358" s="0" t="str">
        <f aca="false">IF(L1358&gt;=Models!$G$5,1+COUNTIF($L$5:$L$1517,"&gt;"&amp;L1358)+COUNTIFS($L$5:$L$1517,L1358,$B$5:$B$1517,"&lt;"&amp;B1358)+COUNTIFS($L$5:$L$1517,L1358,$B$5:$B$1517,B1358,$C$5:$C$1517,"&lt;"&amp;C1358),"")</f>
        <v/>
      </c>
      <c r="R1358" s="0" t="str">
        <f aca="false">IF(M1358&gt;=Models!$G$6,1+COUNTIF($M$5:$M$1517,"&gt;"&amp;M1358)+COUNTIFS($M$5:$M$1517,M1358,$B$5:$B$1517,"&lt;"&amp;B1358)+COUNTIFS($M$5:$M$1517,M1358,$B$5:$B$1517,B1358,$C$5:$C$1517,"&lt;"&amp;C1358),"")</f>
        <v/>
      </c>
      <c r="S1358" s="0" t="str">
        <f aca="false">IF(N1358&gt;=Models!$G$7,1+COUNTIF($N$5:$N$1517,"&gt;"&amp;N1358)+COUNTIFS($N$5:$N$1517,N1358,$B$5:$B$1517,"&lt;"&amp;B1358)+COUNTIFS($N$5:$N$1517,N1358,$B$5:$B$1517,B1358,$C$5:$C$1517,"&lt;"&amp;C1358),"")</f>
        <v/>
      </c>
      <c r="T1358" s="8" t="n">
        <f aca="false">IF(O1358&gt;=Models!$G$8,1+COUNTIF($O$5:$O$1517,"&gt;"&amp;O1358)+COUNTIFS($O$5:$O$1517,O1358,$B$5:$B$1517,"&lt;"&amp;B1358)+COUNTIFS($O$5:$O$1517,O1358,$B$5:$B$1517,B1358,$C$5:$C$1517,"&lt;"&amp;C1358),"")</f>
        <v>999</v>
      </c>
      <c r="U1358" s="8" t="n">
        <f aca="false">IF($K1358=1,COUNTIFS($L$5:$L$1517,"&gt;="&amp;L1358,$K$5:$K$1517,1)/COUNTIF($L$5:$L$1517,"&gt;="&amp;L1358),0)</f>
        <v>0</v>
      </c>
      <c r="V1358" s="8" t="n">
        <f aca="false">IF($K1358=1,COUNTIFS($M$5:$M$1517,"&gt;="&amp;M1358,$K$5:$K$1517,1)/COUNTIF($M$5:$M$1517,"&gt;="&amp;M1358),0)</f>
        <v>0</v>
      </c>
      <c r="W1358" s="8" t="n">
        <f aca="false">IF($K1358=1,COUNTIFS($N$5:$N$1517,"&gt;="&amp;N1358,$K$5:$K$1517,1)/COUNTIF($N$5:$N$1517,"&gt;="&amp;N1358),0)</f>
        <v>0</v>
      </c>
      <c r="X1358" s="8" t="n">
        <f aca="false">IF($K1358=1,COUNTIFS($O$5:$O$1517,"&gt;="&amp;O1358,$K$5:$K$1517,1)/COUNTIF($O$5:$O$1517,"&gt;="&amp;O1358),0)</f>
        <v>0</v>
      </c>
      <c r="Y1358" s="8" t="n">
        <f aca="false">IF($K1358=1,COUNTIFS($P$5:$P$1517,"&gt;="&amp;P1358,$K$5:$K$1517,1)/COUNTIF($P$5:$P$1517,"&gt;="&amp;P1358),0)</f>
        <v>0</v>
      </c>
      <c r="Z1358" s="8" t="n">
        <f aca="false">(L1358-$K1358)^2</f>
        <v>0.641855743281</v>
      </c>
      <c r="AA1358" s="8" t="n">
        <f aca="false">(M1358-$K1358)^2</f>
        <v>0.008475595969</v>
      </c>
      <c r="AB1358" s="8" t="n">
        <f aca="false">(N1358-$K1358)^2</f>
        <v>0.007263982441</v>
      </c>
      <c r="AC1358" s="8" t="n">
        <f aca="false">(O1358-$K1358)^2</f>
        <v>0.011274829489</v>
      </c>
      <c r="AD1358" s="8" t="n">
        <f aca="false">(P1358-$K1358)^2</f>
        <v>0.008046448804</v>
      </c>
      <c r="AE1358" s="8" t="n">
        <f aca="false">MIN(INT(ROUND(N1358*1000000,0)/100000),9)</f>
        <v>0</v>
      </c>
      <c r="AF1358" s="8" t="n">
        <f aca="false">MIN(INT(ROUND(P1358*1000000,0)/100000),9)</f>
        <v>0</v>
      </c>
    </row>
    <row r="1359" customFormat="false" ht="15" hidden="false" customHeight="false" outlineLevel="0" collapsed="false">
      <c r="A1359" s="4" t="n">
        <v>1355</v>
      </c>
      <c r="B1359" s="4" t="n">
        <v>1232</v>
      </c>
      <c r="C1359" s="4" t="n">
        <v>3</v>
      </c>
      <c r="D1359" s="11" t="n">
        <v>46143</v>
      </c>
      <c r="E1359" s="4" t="s">
        <v>202</v>
      </c>
      <c r="F1359" s="4" t="s">
        <v>206</v>
      </c>
      <c r="G1359" s="4" t="n">
        <v>7</v>
      </c>
      <c r="H1359" s="4" t="n">
        <v>10</v>
      </c>
      <c r="I1359" s="4" t="n">
        <v>0</v>
      </c>
      <c r="J1359" s="4" t="n">
        <v>1728</v>
      </c>
      <c r="K1359" s="4" t="n">
        <v>0</v>
      </c>
      <c r="L1359" s="12" t="n">
        <v>0.661733</v>
      </c>
      <c r="M1359" s="12" t="n">
        <v>0.092063</v>
      </c>
      <c r="N1359" s="12" t="n">
        <v>0.090759</v>
      </c>
      <c r="O1359" s="12" t="n">
        <v>0.106183</v>
      </c>
      <c r="P1359" s="12" t="n">
        <v>0.095776</v>
      </c>
      <c r="Q1359" s="0" t="str">
        <f aca="false">IF(L1359&gt;=Models!$G$5,1+COUNTIF($L$5:$L$1517,"&gt;"&amp;L1359)+COUNTIFS($L$5:$L$1517,L1359,$B$5:$B$1517,"&lt;"&amp;B1359)+COUNTIFS($L$5:$L$1517,L1359,$B$5:$B$1517,B1359,$C$5:$C$1517,"&lt;"&amp;C1359),"")</f>
        <v/>
      </c>
      <c r="R1359" s="0" t="str">
        <f aca="false">IF(M1359&gt;=Models!$G$6,1+COUNTIF($M$5:$M$1517,"&gt;"&amp;M1359)+COUNTIFS($M$5:$M$1517,M1359,$B$5:$B$1517,"&lt;"&amp;B1359)+COUNTIFS($M$5:$M$1517,M1359,$B$5:$B$1517,B1359,$C$5:$C$1517,"&lt;"&amp;C1359),"")</f>
        <v/>
      </c>
      <c r="S1359" s="0" t="str">
        <f aca="false">IF(N1359&gt;=Models!$G$7,1+COUNTIF($N$5:$N$1517,"&gt;"&amp;N1359)+COUNTIFS($N$5:$N$1517,N1359,$B$5:$B$1517,"&lt;"&amp;B1359)+COUNTIFS($N$5:$N$1517,N1359,$B$5:$B$1517,B1359,$C$5:$C$1517,"&lt;"&amp;C1359),"")</f>
        <v/>
      </c>
      <c r="T1359" s="8" t="n">
        <f aca="false">IF(O1359&gt;=Models!$G$8,1+COUNTIF($O$5:$O$1517,"&gt;"&amp;O1359)+COUNTIFS($O$5:$O$1517,O1359,$B$5:$B$1517,"&lt;"&amp;B1359)+COUNTIFS($O$5:$O$1517,O1359,$B$5:$B$1517,B1359,$C$5:$C$1517,"&lt;"&amp;C1359),"")</f>
        <v>1003</v>
      </c>
      <c r="U1359" s="8" t="n">
        <f aca="false">IF($K1359=1,COUNTIFS($L$5:$L$1517,"&gt;="&amp;L1359,$K$5:$K$1517,1)/COUNTIF($L$5:$L$1517,"&gt;="&amp;L1359),0)</f>
        <v>0</v>
      </c>
      <c r="V1359" s="8" t="n">
        <f aca="false">IF($K1359=1,COUNTIFS($M$5:$M$1517,"&gt;="&amp;M1359,$K$5:$K$1517,1)/COUNTIF($M$5:$M$1517,"&gt;="&amp;M1359),0)</f>
        <v>0</v>
      </c>
      <c r="W1359" s="8" t="n">
        <f aca="false">IF($K1359=1,COUNTIFS($N$5:$N$1517,"&gt;="&amp;N1359,$K$5:$K$1517,1)/COUNTIF($N$5:$N$1517,"&gt;="&amp;N1359),0)</f>
        <v>0</v>
      </c>
      <c r="X1359" s="8" t="n">
        <f aca="false">IF($K1359=1,COUNTIFS($O$5:$O$1517,"&gt;="&amp;O1359,$K$5:$K$1517,1)/COUNTIF($O$5:$O$1517,"&gt;="&amp;O1359),0)</f>
        <v>0</v>
      </c>
      <c r="Y1359" s="8" t="n">
        <f aca="false">IF($K1359=1,COUNTIFS($P$5:$P$1517,"&gt;="&amp;P1359,$K$5:$K$1517,1)/COUNTIF($P$5:$P$1517,"&gt;="&amp;P1359),0)</f>
        <v>0</v>
      </c>
      <c r="Z1359" s="8" t="n">
        <f aca="false">(L1359-$K1359)^2</f>
        <v>0.437890563289</v>
      </c>
      <c r="AA1359" s="8" t="n">
        <f aca="false">(M1359-$K1359)^2</f>
        <v>0.008475595969</v>
      </c>
      <c r="AB1359" s="8" t="n">
        <f aca="false">(N1359-$K1359)^2</f>
        <v>0.008237196081</v>
      </c>
      <c r="AC1359" s="8" t="n">
        <f aca="false">(O1359-$K1359)^2</f>
        <v>0.011274829489</v>
      </c>
      <c r="AD1359" s="8" t="n">
        <f aca="false">(P1359-$K1359)^2</f>
        <v>0.009173042176</v>
      </c>
      <c r="AE1359" s="8" t="n">
        <f aca="false">MIN(INT(ROUND(N1359*1000000,0)/100000),9)</f>
        <v>0</v>
      </c>
      <c r="AF1359" s="8" t="n">
        <f aca="false">MIN(INT(ROUND(P1359*1000000,0)/100000),9)</f>
        <v>0</v>
      </c>
    </row>
    <row r="1360" customFormat="false" ht="15" hidden="false" customHeight="false" outlineLevel="0" collapsed="false">
      <c r="A1360" s="4" t="n">
        <v>1356</v>
      </c>
      <c r="B1360" s="4" t="n">
        <v>1246</v>
      </c>
      <c r="C1360" s="4" t="n">
        <v>3</v>
      </c>
      <c r="D1360" s="11" t="n">
        <v>46143</v>
      </c>
      <c r="E1360" s="4" t="s">
        <v>203</v>
      </c>
      <c r="F1360" s="4" t="s">
        <v>207</v>
      </c>
      <c r="G1360" s="4" t="n">
        <v>3</v>
      </c>
      <c r="H1360" s="4" t="n">
        <v>1</v>
      </c>
      <c r="I1360" s="4" t="n">
        <v>0</v>
      </c>
      <c r="J1360" s="4"/>
      <c r="K1360" s="4" t="n">
        <v>0</v>
      </c>
      <c r="L1360" s="12" t="n">
        <v>0.54206</v>
      </c>
      <c r="M1360" s="12" t="n">
        <v>0.092063</v>
      </c>
      <c r="N1360" s="12" t="n">
        <v>0.064489</v>
      </c>
      <c r="O1360" s="12" t="n">
        <v>0.106183</v>
      </c>
      <c r="P1360" s="12" t="n">
        <v>0.067052</v>
      </c>
      <c r="Q1360" s="0" t="str">
        <f aca="false">IF(L1360&gt;=Models!$G$5,1+COUNTIF($L$5:$L$1517,"&gt;"&amp;L1360)+COUNTIFS($L$5:$L$1517,L1360,$B$5:$B$1517,"&lt;"&amp;B1360)+COUNTIFS($L$5:$L$1517,L1360,$B$5:$B$1517,B1360,$C$5:$C$1517,"&lt;"&amp;C1360),"")</f>
        <v/>
      </c>
      <c r="R1360" s="0" t="str">
        <f aca="false">IF(M1360&gt;=Models!$G$6,1+COUNTIF($M$5:$M$1517,"&gt;"&amp;M1360)+COUNTIFS($M$5:$M$1517,M1360,$B$5:$B$1517,"&lt;"&amp;B1360)+COUNTIFS($M$5:$M$1517,M1360,$B$5:$B$1517,B1360,$C$5:$C$1517,"&lt;"&amp;C1360),"")</f>
        <v/>
      </c>
      <c r="S1360" s="0" t="str">
        <f aca="false">IF(N1360&gt;=Models!$G$7,1+COUNTIF($N$5:$N$1517,"&gt;"&amp;N1360)+COUNTIFS($N$5:$N$1517,N1360,$B$5:$B$1517,"&lt;"&amp;B1360)+COUNTIFS($N$5:$N$1517,N1360,$B$5:$B$1517,B1360,$C$5:$C$1517,"&lt;"&amp;C1360),"")</f>
        <v/>
      </c>
      <c r="T1360" s="8" t="n">
        <f aca="false">IF(O1360&gt;=Models!$G$8,1+COUNTIF($O$5:$O$1517,"&gt;"&amp;O1360)+COUNTIFS($O$5:$O$1517,O1360,$B$5:$B$1517,"&lt;"&amp;B1360)+COUNTIFS($O$5:$O$1517,O1360,$B$5:$B$1517,B1360,$C$5:$C$1517,"&lt;"&amp;C1360),"")</f>
        <v>1010</v>
      </c>
      <c r="U1360" s="8" t="n">
        <f aca="false">IF($K1360=1,COUNTIFS($L$5:$L$1517,"&gt;="&amp;L1360,$K$5:$K$1517,1)/COUNTIF($L$5:$L$1517,"&gt;="&amp;L1360),0)</f>
        <v>0</v>
      </c>
      <c r="V1360" s="8" t="n">
        <f aca="false">IF($K1360=1,COUNTIFS($M$5:$M$1517,"&gt;="&amp;M1360,$K$5:$K$1517,1)/COUNTIF($M$5:$M$1517,"&gt;="&amp;M1360),0)</f>
        <v>0</v>
      </c>
      <c r="W1360" s="8" t="n">
        <f aca="false">IF($K1360=1,COUNTIFS($N$5:$N$1517,"&gt;="&amp;N1360,$K$5:$K$1517,1)/COUNTIF($N$5:$N$1517,"&gt;="&amp;N1360),0)</f>
        <v>0</v>
      </c>
      <c r="X1360" s="8" t="n">
        <f aca="false">IF($K1360=1,COUNTIFS($O$5:$O$1517,"&gt;="&amp;O1360,$K$5:$K$1517,1)/COUNTIF($O$5:$O$1517,"&gt;="&amp;O1360),0)</f>
        <v>0</v>
      </c>
      <c r="Y1360" s="8" t="n">
        <f aca="false">IF($K1360=1,COUNTIFS($P$5:$P$1517,"&gt;="&amp;P1360,$K$5:$K$1517,1)/COUNTIF($P$5:$P$1517,"&gt;="&amp;P1360),0)</f>
        <v>0</v>
      </c>
      <c r="Z1360" s="8" t="n">
        <f aca="false">(L1360-$K1360)^2</f>
        <v>0.2938290436</v>
      </c>
      <c r="AA1360" s="8" t="n">
        <f aca="false">(M1360-$K1360)^2</f>
        <v>0.008475595969</v>
      </c>
      <c r="AB1360" s="8" t="n">
        <f aca="false">(N1360-$K1360)^2</f>
        <v>0.004158831121</v>
      </c>
      <c r="AC1360" s="8" t="n">
        <f aca="false">(O1360-$K1360)^2</f>
        <v>0.011274829489</v>
      </c>
      <c r="AD1360" s="8" t="n">
        <f aca="false">(P1360-$K1360)^2</f>
        <v>0.004495970704</v>
      </c>
      <c r="AE1360" s="8" t="n">
        <f aca="false">MIN(INT(ROUND(N1360*1000000,0)/100000),9)</f>
        <v>0</v>
      </c>
      <c r="AF1360" s="8" t="n">
        <f aca="false">MIN(INT(ROUND(P1360*1000000,0)/100000),9)</f>
        <v>0</v>
      </c>
    </row>
    <row r="1361" customFormat="false" ht="15" hidden="false" customHeight="false" outlineLevel="0" collapsed="false">
      <c r="A1361" s="4" t="n">
        <v>1357</v>
      </c>
      <c r="B1361" s="4" t="n">
        <v>1247</v>
      </c>
      <c r="C1361" s="4" t="n">
        <v>3</v>
      </c>
      <c r="D1361" s="11" t="n">
        <v>46143</v>
      </c>
      <c r="E1361" s="4" t="s">
        <v>203</v>
      </c>
      <c r="F1361" s="4" t="s">
        <v>207</v>
      </c>
      <c r="G1361" s="4" t="n">
        <v>5</v>
      </c>
      <c r="H1361" s="4" t="n">
        <v>0</v>
      </c>
      <c r="I1361" s="4" t="n">
        <v>0</v>
      </c>
      <c r="J1361" s="4"/>
      <c r="K1361" s="4" t="n">
        <v>0</v>
      </c>
      <c r="L1361" s="12" t="n">
        <v>0.628142</v>
      </c>
      <c r="M1361" s="12" t="n">
        <v>0.092063</v>
      </c>
      <c r="N1361" s="12" t="n">
        <v>0.054025</v>
      </c>
      <c r="O1361" s="12" t="n">
        <v>0.106183</v>
      </c>
      <c r="P1361" s="12" t="n">
        <v>0.055724</v>
      </c>
      <c r="Q1361" s="0" t="str">
        <f aca="false">IF(L1361&gt;=Models!$G$5,1+COUNTIF($L$5:$L$1517,"&gt;"&amp;L1361)+COUNTIFS($L$5:$L$1517,L1361,$B$5:$B$1517,"&lt;"&amp;B1361)+COUNTIFS($L$5:$L$1517,L1361,$B$5:$B$1517,B1361,$C$5:$C$1517,"&lt;"&amp;C1361),"")</f>
        <v/>
      </c>
      <c r="R1361" s="0" t="str">
        <f aca="false">IF(M1361&gt;=Models!$G$6,1+COUNTIF($M$5:$M$1517,"&gt;"&amp;M1361)+COUNTIFS($M$5:$M$1517,M1361,$B$5:$B$1517,"&lt;"&amp;B1361)+COUNTIFS($M$5:$M$1517,M1361,$B$5:$B$1517,B1361,$C$5:$C$1517,"&lt;"&amp;C1361),"")</f>
        <v/>
      </c>
      <c r="S1361" s="0" t="str">
        <f aca="false">IF(N1361&gt;=Models!$G$7,1+COUNTIF($N$5:$N$1517,"&gt;"&amp;N1361)+COUNTIFS($N$5:$N$1517,N1361,$B$5:$B$1517,"&lt;"&amp;B1361)+COUNTIFS($N$5:$N$1517,N1361,$B$5:$B$1517,B1361,$C$5:$C$1517,"&lt;"&amp;C1361),"")</f>
        <v/>
      </c>
      <c r="T1361" s="8" t="n">
        <f aca="false">IF(O1361&gt;=Models!$G$8,1+COUNTIF($O$5:$O$1517,"&gt;"&amp;O1361)+COUNTIFS($O$5:$O$1517,O1361,$B$5:$B$1517,"&lt;"&amp;B1361)+COUNTIFS($O$5:$O$1517,O1361,$B$5:$B$1517,B1361,$C$5:$C$1517,"&lt;"&amp;C1361),"")</f>
        <v>1014</v>
      </c>
      <c r="U1361" s="8" t="n">
        <f aca="false">IF($K1361=1,COUNTIFS($L$5:$L$1517,"&gt;="&amp;L1361,$K$5:$K$1517,1)/COUNTIF($L$5:$L$1517,"&gt;="&amp;L1361),0)</f>
        <v>0</v>
      </c>
      <c r="V1361" s="8" t="n">
        <f aca="false">IF($K1361=1,COUNTIFS($M$5:$M$1517,"&gt;="&amp;M1361,$K$5:$K$1517,1)/COUNTIF($M$5:$M$1517,"&gt;="&amp;M1361),0)</f>
        <v>0</v>
      </c>
      <c r="W1361" s="8" t="n">
        <f aca="false">IF($K1361=1,COUNTIFS($N$5:$N$1517,"&gt;="&amp;N1361,$K$5:$K$1517,1)/COUNTIF($N$5:$N$1517,"&gt;="&amp;N1361),0)</f>
        <v>0</v>
      </c>
      <c r="X1361" s="8" t="n">
        <f aca="false">IF($K1361=1,COUNTIFS($O$5:$O$1517,"&gt;="&amp;O1361,$K$5:$K$1517,1)/COUNTIF($O$5:$O$1517,"&gt;="&amp;O1361),0)</f>
        <v>0</v>
      </c>
      <c r="Y1361" s="8" t="n">
        <f aca="false">IF($K1361=1,COUNTIFS($P$5:$P$1517,"&gt;="&amp;P1361,$K$5:$K$1517,1)/COUNTIF($P$5:$P$1517,"&gt;="&amp;P1361),0)</f>
        <v>0</v>
      </c>
      <c r="Z1361" s="8" t="n">
        <f aca="false">(L1361-$K1361)^2</f>
        <v>0.394562372164</v>
      </c>
      <c r="AA1361" s="8" t="n">
        <f aca="false">(M1361-$K1361)^2</f>
        <v>0.008475595969</v>
      </c>
      <c r="AB1361" s="8" t="n">
        <f aca="false">(N1361-$K1361)^2</f>
        <v>0.002918700625</v>
      </c>
      <c r="AC1361" s="8" t="n">
        <f aca="false">(O1361-$K1361)^2</f>
        <v>0.011274829489</v>
      </c>
      <c r="AD1361" s="8" t="n">
        <f aca="false">(P1361-$K1361)^2</f>
        <v>0.003105164176</v>
      </c>
      <c r="AE1361" s="8" t="n">
        <f aca="false">MIN(INT(ROUND(N1361*1000000,0)/100000),9)</f>
        <v>0</v>
      </c>
      <c r="AF1361" s="8" t="n">
        <f aca="false">MIN(INT(ROUND(P1361*1000000,0)/100000),9)</f>
        <v>0</v>
      </c>
    </row>
    <row r="1362" customFormat="false" ht="15" hidden="false" customHeight="false" outlineLevel="0" collapsed="false">
      <c r="A1362" s="4" t="n">
        <v>1358</v>
      </c>
      <c r="B1362" s="4" t="n">
        <v>1249</v>
      </c>
      <c r="C1362" s="4" t="n">
        <v>3</v>
      </c>
      <c r="D1362" s="11" t="n">
        <v>46143</v>
      </c>
      <c r="E1362" s="4" t="s">
        <v>201</v>
      </c>
      <c r="F1362" s="4" t="s">
        <v>209</v>
      </c>
      <c r="G1362" s="4" t="n">
        <v>8</v>
      </c>
      <c r="H1362" s="4" t="n">
        <v>5</v>
      </c>
      <c r="I1362" s="4" t="n">
        <v>2</v>
      </c>
      <c r="J1362" s="4"/>
      <c r="K1362" s="4" t="n">
        <v>1</v>
      </c>
      <c r="L1362" s="12" t="n">
        <v>0.030275</v>
      </c>
      <c r="M1362" s="12" t="n">
        <v>0.184211</v>
      </c>
      <c r="N1362" s="12" t="n">
        <v>0.130142</v>
      </c>
      <c r="O1362" s="12" t="n">
        <v>0.106183</v>
      </c>
      <c r="P1362" s="12" t="n">
        <v>0.1393</v>
      </c>
      <c r="Q1362" s="0" t="str">
        <f aca="false">IF(L1362&gt;=Models!$G$5,1+COUNTIF($L$5:$L$1517,"&gt;"&amp;L1362)+COUNTIFS($L$5:$L$1517,L1362,$B$5:$B$1517,"&lt;"&amp;B1362)+COUNTIFS($L$5:$L$1517,L1362,$B$5:$B$1517,B1362,$C$5:$C$1517,"&lt;"&amp;C1362),"")</f>
        <v/>
      </c>
      <c r="R1362" s="8" t="n">
        <f aca="false">IF(M1362&gt;=Models!$G$6,1+COUNTIF($M$5:$M$1517,"&gt;"&amp;M1362)+COUNTIFS($M$5:$M$1517,M1362,$B$5:$B$1517,"&lt;"&amp;B1362)+COUNTIFS($M$5:$M$1517,M1362,$B$5:$B$1517,B1362,$C$5:$C$1517,"&lt;"&amp;C1362),"")</f>
        <v>121</v>
      </c>
      <c r="S1362" s="0" t="str">
        <f aca="false">IF(N1362&gt;=Models!$G$7,1+COUNTIF($N$5:$N$1517,"&gt;"&amp;N1362)+COUNTIFS($N$5:$N$1517,N1362,$B$5:$B$1517,"&lt;"&amp;B1362)+COUNTIFS($N$5:$N$1517,N1362,$B$5:$B$1517,B1362,$C$5:$C$1517,"&lt;"&amp;C1362),"")</f>
        <v/>
      </c>
      <c r="T1362" s="8" t="n">
        <f aca="false">IF(O1362&gt;=Models!$G$8,1+COUNTIF($O$5:$O$1517,"&gt;"&amp;O1362)+COUNTIFS($O$5:$O$1517,O1362,$B$5:$B$1517,"&lt;"&amp;B1362)+COUNTIFS($O$5:$O$1517,O1362,$B$5:$B$1517,B1362,$C$5:$C$1517,"&lt;"&amp;C1362),"")</f>
        <v>1018</v>
      </c>
      <c r="U1362" s="8" t="n">
        <f aca="false">IF($K1362=1,COUNTIFS($L$5:$L$1517,"&gt;="&amp;L1362,$K$5:$K$1517,1)/COUNTIF($L$5:$L$1517,"&gt;="&amp;L1362),0)</f>
        <v>0.125600549073439</v>
      </c>
      <c r="V1362" s="8" t="n">
        <f aca="false">IF($K1362=1,COUNTIFS($M$5:$M$1517,"&gt;="&amp;M1362,$K$5:$K$1517,1)/COUNTIF($M$5:$M$1517,"&gt;="&amp;M1362),0)</f>
        <v>0.186528497409326</v>
      </c>
      <c r="W1362" s="8" t="n">
        <f aca="false">IF($K1362=1,COUNTIFS($N$5:$N$1517,"&gt;="&amp;N1362,$K$5:$K$1517,1)/COUNTIF($N$5:$N$1517,"&gt;="&amp;N1362),0)</f>
        <v>0.238227146814404</v>
      </c>
      <c r="X1362" s="8" t="n">
        <f aca="false">IF($K1362=1,COUNTIFS($O$5:$O$1517,"&gt;="&amp;O1362,$K$5:$K$1517,1)/COUNTIF($O$5:$O$1517,"&gt;="&amp;O1362),0)</f>
        <v>0.12491738268341</v>
      </c>
      <c r="Y1362" s="8" t="n">
        <f aca="false">IF($K1362=1,COUNTIFS($P$5:$P$1517,"&gt;="&amp;P1362,$K$5:$K$1517,1)/COUNTIF($P$5:$P$1517,"&gt;="&amp;P1362),0)</f>
        <v>0.238227146814404</v>
      </c>
      <c r="Z1362" s="8" t="n">
        <f aca="false">(L1362-$K1362)^2</f>
        <v>0.940366575625</v>
      </c>
      <c r="AA1362" s="8" t="n">
        <f aca="false">(M1362-$K1362)^2</f>
        <v>0.665511692521</v>
      </c>
      <c r="AB1362" s="8" t="n">
        <f aca="false">(N1362-$K1362)^2</f>
        <v>0.756652940164</v>
      </c>
      <c r="AC1362" s="8" t="n">
        <f aca="false">(O1362-$K1362)^2</f>
        <v>0.798908829489</v>
      </c>
      <c r="AD1362" s="8" t="n">
        <f aca="false">(P1362-$K1362)^2</f>
        <v>0.74080449</v>
      </c>
      <c r="AE1362" s="8" t="n">
        <f aca="false">MIN(INT(ROUND(N1362*1000000,0)/100000),9)</f>
        <v>1</v>
      </c>
      <c r="AF1362" s="8" t="n">
        <f aca="false">MIN(INT(ROUND(P1362*1000000,0)/100000),9)</f>
        <v>1</v>
      </c>
    </row>
    <row r="1363" customFormat="false" ht="15" hidden="false" customHeight="false" outlineLevel="0" collapsed="false">
      <c r="A1363" s="4" t="n">
        <v>1359</v>
      </c>
      <c r="B1363" s="4" t="n">
        <v>1256</v>
      </c>
      <c r="C1363" s="4" t="n">
        <v>3</v>
      </c>
      <c r="D1363" s="11" t="n">
        <v>46143</v>
      </c>
      <c r="E1363" s="4" t="s">
        <v>201</v>
      </c>
      <c r="F1363" s="4" t="s">
        <v>206</v>
      </c>
      <c r="G1363" s="4" t="n">
        <v>8</v>
      </c>
      <c r="H1363" s="4" t="n">
        <v>1</v>
      </c>
      <c r="I1363" s="4" t="n">
        <v>1</v>
      </c>
      <c r="J1363" s="4"/>
      <c r="K1363" s="4" t="n">
        <v>0</v>
      </c>
      <c r="L1363" s="12" t="n">
        <v>0.510569</v>
      </c>
      <c r="M1363" s="12" t="n">
        <v>0.184211</v>
      </c>
      <c r="N1363" s="12" t="n">
        <v>0.073883</v>
      </c>
      <c r="O1363" s="12" t="n">
        <v>0.106183</v>
      </c>
      <c r="P1363" s="12" t="n">
        <v>0.077283</v>
      </c>
      <c r="Q1363" s="0" t="str">
        <f aca="false">IF(L1363&gt;=Models!$G$5,1+COUNTIF($L$5:$L$1517,"&gt;"&amp;L1363)+COUNTIFS($L$5:$L$1517,L1363,$B$5:$B$1517,"&lt;"&amp;B1363)+COUNTIFS($L$5:$L$1517,L1363,$B$5:$B$1517,B1363,$C$5:$C$1517,"&lt;"&amp;C1363),"")</f>
        <v/>
      </c>
      <c r="R1363" s="8" t="n">
        <f aca="false">IF(M1363&gt;=Models!$G$6,1+COUNTIF($M$5:$M$1517,"&gt;"&amp;M1363)+COUNTIFS($M$5:$M$1517,M1363,$B$5:$B$1517,"&lt;"&amp;B1363)+COUNTIFS($M$5:$M$1517,M1363,$B$5:$B$1517,B1363,$C$5:$C$1517,"&lt;"&amp;C1363),"")</f>
        <v>125</v>
      </c>
      <c r="S1363" s="0" t="str">
        <f aca="false">IF(N1363&gt;=Models!$G$7,1+COUNTIF($N$5:$N$1517,"&gt;"&amp;N1363)+COUNTIFS($N$5:$N$1517,N1363,$B$5:$B$1517,"&lt;"&amp;B1363)+COUNTIFS($N$5:$N$1517,N1363,$B$5:$B$1517,B1363,$C$5:$C$1517,"&lt;"&amp;C1363),"")</f>
        <v/>
      </c>
      <c r="T1363" s="8" t="n">
        <f aca="false">IF(O1363&gt;=Models!$G$8,1+COUNTIF($O$5:$O$1517,"&gt;"&amp;O1363)+COUNTIFS($O$5:$O$1517,O1363,$B$5:$B$1517,"&lt;"&amp;B1363)+COUNTIFS($O$5:$O$1517,O1363,$B$5:$B$1517,B1363,$C$5:$C$1517,"&lt;"&amp;C1363),"")</f>
        <v>1022</v>
      </c>
      <c r="U1363" s="8" t="n">
        <f aca="false">IF($K1363=1,COUNTIFS($L$5:$L$1517,"&gt;="&amp;L1363,$K$5:$K$1517,1)/COUNTIF($L$5:$L$1517,"&gt;="&amp;L1363),0)</f>
        <v>0</v>
      </c>
      <c r="V1363" s="8" t="n">
        <f aca="false">IF($K1363=1,COUNTIFS($M$5:$M$1517,"&gt;="&amp;M1363,$K$5:$K$1517,1)/COUNTIF($M$5:$M$1517,"&gt;="&amp;M1363),0)</f>
        <v>0</v>
      </c>
      <c r="W1363" s="8" t="n">
        <f aca="false">IF($K1363=1,COUNTIFS($N$5:$N$1517,"&gt;="&amp;N1363,$K$5:$K$1517,1)/COUNTIF($N$5:$N$1517,"&gt;="&amp;N1363),0)</f>
        <v>0</v>
      </c>
      <c r="X1363" s="8" t="n">
        <f aca="false">IF($K1363=1,COUNTIFS($O$5:$O$1517,"&gt;="&amp;O1363,$K$5:$K$1517,1)/COUNTIF($O$5:$O$1517,"&gt;="&amp;O1363),0)</f>
        <v>0</v>
      </c>
      <c r="Y1363" s="8" t="n">
        <f aca="false">IF($K1363=1,COUNTIFS($P$5:$P$1517,"&gt;="&amp;P1363,$K$5:$K$1517,1)/COUNTIF($P$5:$P$1517,"&gt;="&amp;P1363),0)</f>
        <v>0</v>
      </c>
      <c r="Z1363" s="8" t="n">
        <f aca="false">(L1363-$K1363)^2</f>
        <v>0.260680703761</v>
      </c>
      <c r="AA1363" s="8" t="n">
        <f aca="false">(M1363-$K1363)^2</f>
        <v>0.033933692521</v>
      </c>
      <c r="AB1363" s="8" t="n">
        <f aca="false">(N1363-$K1363)^2</f>
        <v>0.005458697689</v>
      </c>
      <c r="AC1363" s="8" t="n">
        <f aca="false">(O1363-$K1363)^2</f>
        <v>0.011274829489</v>
      </c>
      <c r="AD1363" s="8" t="n">
        <f aca="false">(P1363-$K1363)^2</f>
        <v>0.005972662089</v>
      </c>
      <c r="AE1363" s="8" t="n">
        <f aca="false">MIN(INT(ROUND(N1363*1000000,0)/100000),9)</f>
        <v>0</v>
      </c>
      <c r="AF1363" s="8" t="n">
        <f aca="false">MIN(INT(ROUND(P1363*1000000,0)/100000),9)</f>
        <v>0</v>
      </c>
    </row>
    <row r="1364" customFormat="false" ht="15" hidden="false" customHeight="false" outlineLevel="0" collapsed="false">
      <c r="A1364" s="4" t="n">
        <v>1360</v>
      </c>
      <c r="B1364" s="4" t="n">
        <v>1262</v>
      </c>
      <c r="C1364" s="4" t="n">
        <v>3</v>
      </c>
      <c r="D1364" s="11" t="n">
        <v>46143</v>
      </c>
      <c r="E1364" s="4" t="s">
        <v>201</v>
      </c>
      <c r="F1364" s="4" t="s">
        <v>207</v>
      </c>
      <c r="G1364" s="4" t="n">
        <v>16</v>
      </c>
      <c r="H1364" s="4" t="n">
        <v>3</v>
      </c>
      <c r="I1364" s="4" t="n">
        <v>0</v>
      </c>
      <c r="J1364" s="4" t="n">
        <v>6618</v>
      </c>
      <c r="K1364" s="4" t="n">
        <v>0</v>
      </c>
      <c r="L1364" s="12" t="n">
        <v>0.104635</v>
      </c>
      <c r="M1364" s="12" t="n">
        <v>0.092063</v>
      </c>
      <c r="N1364" s="12" t="n">
        <v>0.030601</v>
      </c>
      <c r="O1364" s="12" t="n">
        <v>0.106183</v>
      </c>
      <c r="P1364" s="12" t="n">
        <v>0.030737</v>
      </c>
      <c r="Q1364" s="0" t="str">
        <f aca="false">IF(L1364&gt;=Models!$G$5,1+COUNTIF($L$5:$L$1517,"&gt;"&amp;L1364)+COUNTIFS($L$5:$L$1517,L1364,$B$5:$B$1517,"&lt;"&amp;B1364)+COUNTIFS($L$5:$L$1517,L1364,$B$5:$B$1517,B1364,$C$5:$C$1517,"&lt;"&amp;C1364),"")</f>
        <v/>
      </c>
      <c r="R1364" s="0" t="str">
        <f aca="false">IF(M1364&gt;=Models!$G$6,1+COUNTIF($M$5:$M$1517,"&gt;"&amp;M1364)+COUNTIFS($M$5:$M$1517,M1364,$B$5:$B$1517,"&lt;"&amp;B1364)+COUNTIFS($M$5:$M$1517,M1364,$B$5:$B$1517,B1364,$C$5:$C$1517,"&lt;"&amp;C1364),"")</f>
        <v/>
      </c>
      <c r="S1364" s="0" t="str">
        <f aca="false">IF(N1364&gt;=Models!$G$7,1+COUNTIF($N$5:$N$1517,"&gt;"&amp;N1364)+COUNTIFS($N$5:$N$1517,N1364,$B$5:$B$1517,"&lt;"&amp;B1364)+COUNTIFS($N$5:$N$1517,N1364,$B$5:$B$1517,B1364,$C$5:$C$1517,"&lt;"&amp;C1364),"")</f>
        <v/>
      </c>
      <c r="T1364" s="8" t="n">
        <f aca="false">IF(O1364&gt;=Models!$G$8,1+COUNTIF($O$5:$O$1517,"&gt;"&amp;O1364)+COUNTIFS($O$5:$O$1517,O1364,$B$5:$B$1517,"&lt;"&amp;B1364)+COUNTIFS($O$5:$O$1517,O1364,$B$5:$B$1517,B1364,$C$5:$C$1517,"&lt;"&amp;C1364),"")</f>
        <v>1026</v>
      </c>
      <c r="U1364" s="8" t="n">
        <f aca="false">IF($K1364=1,COUNTIFS($L$5:$L$1517,"&gt;="&amp;L1364,$K$5:$K$1517,1)/COUNTIF($L$5:$L$1517,"&gt;="&amp;L1364),0)</f>
        <v>0</v>
      </c>
      <c r="V1364" s="8" t="n">
        <f aca="false">IF($K1364=1,COUNTIFS($M$5:$M$1517,"&gt;="&amp;M1364,$K$5:$K$1517,1)/COUNTIF($M$5:$M$1517,"&gt;="&amp;M1364),0)</f>
        <v>0</v>
      </c>
      <c r="W1364" s="8" t="n">
        <f aca="false">IF($K1364=1,COUNTIFS($N$5:$N$1517,"&gt;="&amp;N1364,$K$5:$K$1517,1)/COUNTIF($N$5:$N$1517,"&gt;="&amp;N1364),0)</f>
        <v>0</v>
      </c>
      <c r="X1364" s="8" t="n">
        <f aca="false">IF($K1364=1,COUNTIFS($O$5:$O$1517,"&gt;="&amp;O1364,$K$5:$K$1517,1)/COUNTIF($O$5:$O$1517,"&gt;="&amp;O1364),0)</f>
        <v>0</v>
      </c>
      <c r="Y1364" s="8" t="n">
        <f aca="false">IF($K1364=1,COUNTIFS($P$5:$P$1517,"&gt;="&amp;P1364,$K$5:$K$1517,1)/COUNTIF($P$5:$P$1517,"&gt;="&amp;P1364),0)</f>
        <v>0</v>
      </c>
      <c r="Z1364" s="8" t="n">
        <f aca="false">(L1364-$K1364)^2</f>
        <v>0.010948483225</v>
      </c>
      <c r="AA1364" s="8" t="n">
        <f aca="false">(M1364-$K1364)^2</f>
        <v>0.008475595969</v>
      </c>
      <c r="AB1364" s="8" t="n">
        <f aca="false">(N1364-$K1364)^2</f>
        <v>0.000936421201</v>
      </c>
      <c r="AC1364" s="8" t="n">
        <f aca="false">(O1364-$K1364)^2</f>
        <v>0.011274829489</v>
      </c>
      <c r="AD1364" s="8" t="n">
        <f aca="false">(P1364-$K1364)^2</f>
        <v>0.000944763169</v>
      </c>
      <c r="AE1364" s="8" t="n">
        <f aca="false">MIN(INT(ROUND(N1364*1000000,0)/100000),9)</f>
        <v>0</v>
      </c>
      <c r="AF1364" s="8" t="n">
        <f aca="false">MIN(INT(ROUND(P1364*1000000,0)/100000),9)</f>
        <v>0</v>
      </c>
    </row>
    <row r="1365" customFormat="false" ht="15" hidden="false" customHeight="false" outlineLevel="0" collapsed="false">
      <c r="A1365" s="4" t="n">
        <v>1361</v>
      </c>
      <c r="B1365" s="4" t="n">
        <v>1274</v>
      </c>
      <c r="C1365" s="4" t="n">
        <v>3</v>
      </c>
      <c r="D1365" s="11" t="n">
        <v>46143</v>
      </c>
      <c r="E1365" s="4" t="s">
        <v>202</v>
      </c>
      <c r="F1365" s="4" t="s">
        <v>210</v>
      </c>
      <c r="G1365" s="4" t="n">
        <v>9</v>
      </c>
      <c r="H1365" s="4" t="n">
        <v>4</v>
      </c>
      <c r="I1365" s="4" t="n">
        <v>0</v>
      </c>
      <c r="J1365" s="4"/>
      <c r="K1365" s="4" t="n">
        <v>0</v>
      </c>
      <c r="L1365" s="12" t="n">
        <v>0.830654</v>
      </c>
      <c r="M1365" s="12" t="n">
        <v>0.092063</v>
      </c>
      <c r="N1365" s="12" t="n">
        <v>0.039545</v>
      </c>
      <c r="O1365" s="12" t="n">
        <v>0.106183</v>
      </c>
      <c r="P1365" s="12" t="n">
        <v>0.040204</v>
      </c>
      <c r="Q1365" s="0" t="str">
        <f aca="false">IF(L1365&gt;=Models!$G$5,1+COUNTIF($L$5:$L$1517,"&gt;"&amp;L1365)+COUNTIFS($L$5:$L$1517,L1365,$B$5:$B$1517,"&lt;"&amp;B1365)+COUNTIFS($L$5:$L$1517,L1365,$B$5:$B$1517,B1365,$C$5:$C$1517,"&lt;"&amp;C1365),"")</f>
        <v/>
      </c>
      <c r="R1365" s="0" t="str">
        <f aca="false">IF(M1365&gt;=Models!$G$6,1+COUNTIF($M$5:$M$1517,"&gt;"&amp;M1365)+COUNTIFS($M$5:$M$1517,M1365,$B$5:$B$1517,"&lt;"&amp;B1365)+COUNTIFS($M$5:$M$1517,M1365,$B$5:$B$1517,B1365,$C$5:$C$1517,"&lt;"&amp;C1365),"")</f>
        <v/>
      </c>
      <c r="S1365" s="0" t="str">
        <f aca="false">IF(N1365&gt;=Models!$G$7,1+COUNTIF($N$5:$N$1517,"&gt;"&amp;N1365)+COUNTIFS($N$5:$N$1517,N1365,$B$5:$B$1517,"&lt;"&amp;B1365)+COUNTIFS($N$5:$N$1517,N1365,$B$5:$B$1517,B1365,$C$5:$C$1517,"&lt;"&amp;C1365),"")</f>
        <v/>
      </c>
      <c r="T1365" s="8" t="n">
        <f aca="false">IF(O1365&gt;=Models!$G$8,1+COUNTIF($O$5:$O$1517,"&gt;"&amp;O1365)+COUNTIFS($O$5:$O$1517,O1365,$B$5:$B$1517,"&lt;"&amp;B1365)+COUNTIFS($O$5:$O$1517,O1365,$B$5:$B$1517,B1365,$C$5:$C$1517,"&lt;"&amp;C1365),"")</f>
        <v>1036</v>
      </c>
      <c r="U1365" s="8" t="n">
        <f aca="false">IF($K1365=1,COUNTIFS($L$5:$L$1517,"&gt;="&amp;L1365,$K$5:$K$1517,1)/COUNTIF($L$5:$L$1517,"&gt;="&amp;L1365),0)</f>
        <v>0</v>
      </c>
      <c r="V1365" s="8" t="n">
        <f aca="false">IF($K1365=1,COUNTIFS($M$5:$M$1517,"&gt;="&amp;M1365,$K$5:$K$1517,1)/COUNTIF($M$5:$M$1517,"&gt;="&amp;M1365),0)</f>
        <v>0</v>
      </c>
      <c r="W1365" s="8" t="n">
        <f aca="false">IF($K1365=1,COUNTIFS($N$5:$N$1517,"&gt;="&amp;N1365,$K$5:$K$1517,1)/COUNTIF($N$5:$N$1517,"&gt;="&amp;N1365),0)</f>
        <v>0</v>
      </c>
      <c r="X1365" s="8" t="n">
        <f aca="false">IF($K1365=1,COUNTIFS($O$5:$O$1517,"&gt;="&amp;O1365,$K$5:$K$1517,1)/COUNTIF($O$5:$O$1517,"&gt;="&amp;O1365),0)</f>
        <v>0</v>
      </c>
      <c r="Y1365" s="8" t="n">
        <f aca="false">IF($K1365=1,COUNTIFS($P$5:$P$1517,"&gt;="&amp;P1365,$K$5:$K$1517,1)/COUNTIF($P$5:$P$1517,"&gt;="&amp;P1365),0)</f>
        <v>0</v>
      </c>
      <c r="Z1365" s="8" t="n">
        <f aca="false">(L1365-$K1365)^2</f>
        <v>0.689986067716</v>
      </c>
      <c r="AA1365" s="8" t="n">
        <f aca="false">(M1365-$K1365)^2</f>
        <v>0.008475595969</v>
      </c>
      <c r="AB1365" s="8" t="n">
        <f aca="false">(N1365-$K1365)^2</f>
        <v>0.001563807025</v>
      </c>
      <c r="AC1365" s="8" t="n">
        <f aca="false">(O1365-$K1365)^2</f>
        <v>0.011274829489</v>
      </c>
      <c r="AD1365" s="8" t="n">
        <f aca="false">(P1365-$K1365)^2</f>
        <v>0.001616361616</v>
      </c>
      <c r="AE1365" s="8" t="n">
        <f aca="false">MIN(INT(ROUND(N1365*1000000,0)/100000),9)</f>
        <v>0</v>
      </c>
      <c r="AF1365" s="8" t="n">
        <f aca="false">MIN(INT(ROUND(P1365*1000000,0)/100000),9)</f>
        <v>0</v>
      </c>
    </row>
    <row r="1366" customFormat="false" ht="15" hidden="false" customHeight="false" outlineLevel="0" collapsed="false">
      <c r="A1366" s="4" t="n">
        <v>1362</v>
      </c>
      <c r="B1366" s="4" t="n">
        <v>1278</v>
      </c>
      <c r="C1366" s="4" t="n">
        <v>3</v>
      </c>
      <c r="D1366" s="11" t="n">
        <v>46143</v>
      </c>
      <c r="E1366" s="4" t="s">
        <v>203</v>
      </c>
      <c r="F1366" s="4" t="s">
        <v>209</v>
      </c>
      <c r="G1366" s="4" t="n">
        <v>10</v>
      </c>
      <c r="H1366" s="4" t="n">
        <v>1</v>
      </c>
      <c r="I1366" s="4" t="n">
        <v>0</v>
      </c>
      <c r="J1366" s="4" t="n">
        <v>345</v>
      </c>
      <c r="K1366" s="4" t="n">
        <v>0</v>
      </c>
      <c r="L1366" s="12" t="n">
        <v>0.720857</v>
      </c>
      <c r="M1366" s="12" t="n">
        <v>0.092063</v>
      </c>
      <c r="N1366" s="12" t="n">
        <v>0.071239</v>
      </c>
      <c r="O1366" s="12" t="n">
        <v>0.106183</v>
      </c>
      <c r="P1366" s="12" t="n">
        <v>0.074398</v>
      </c>
      <c r="Q1366" s="0" t="str">
        <f aca="false">IF(L1366&gt;=Models!$G$5,1+COUNTIF($L$5:$L$1517,"&gt;"&amp;L1366)+COUNTIFS($L$5:$L$1517,L1366,$B$5:$B$1517,"&lt;"&amp;B1366)+COUNTIFS($L$5:$L$1517,L1366,$B$5:$B$1517,B1366,$C$5:$C$1517,"&lt;"&amp;C1366),"")</f>
        <v/>
      </c>
      <c r="R1366" s="0" t="str">
        <f aca="false">IF(M1366&gt;=Models!$G$6,1+COUNTIF($M$5:$M$1517,"&gt;"&amp;M1366)+COUNTIFS($M$5:$M$1517,M1366,$B$5:$B$1517,"&lt;"&amp;B1366)+COUNTIFS($M$5:$M$1517,M1366,$B$5:$B$1517,B1366,$C$5:$C$1517,"&lt;"&amp;C1366),"")</f>
        <v/>
      </c>
      <c r="S1366" s="0" t="str">
        <f aca="false">IF(N1366&gt;=Models!$G$7,1+COUNTIF($N$5:$N$1517,"&gt;"&amp;N1366)+COUNTIFS($N$5:$N$1517,N1366,$B$5:$B$1517,"&lt;"&amp;B1366)+COUNTIFS($N$5:$N$1517,N1366,$B$5:$B$1517,B1366,$C$5:$C$1517,"&lt;"&amp;C1366),"")</f>
        <v/>
      </c>
      <c r="T1366" s="8" t="n">
        <f aca="false">IF(O1366&gt;=Models!$G$8,1+COUNTIF($O$5:$O$1517,"&gt;"&amp;O1366)+COUNTIFS($O$5:$O$1517,O1366,$B$5:$B$1517,"&lt;"&amp;B1366)+COUNTIFS($O$5:$O$1517,O1366,$B$5:$B$1517,B1366,$C$5:$C$1517,"&lt;"&amp;C1366),"")</f>
        <v>1040</v>
      </c>
      <c r="U1366" s="8" t="n">
        <f aca="false">IF($K1366=1,COUNTIFS($L$5:$L$1517,"&gt;="&amp;L1366,$K$5:$K$1517,1)/COUNTIF($L$5:$L$1517,"&gt;="&amp;L1366),0)</f>
        <v>0</v>
      </c>
      <c r="V1366" s="8" t="n">
        <f aca="false">IF($K1366=1,COUNTIFS($M$5:$M$1517,"&gt;="&amp;M1366,$K$5:$K$1517,1)/COUNTIF($M$5:$M$1517,"&gt;="&amp;M1366),0)</f>
        <v>0</v>
      </c>
      <c r="W1366" s="8" t="n">
        <f aca="false">IF($K1366=1,COUNTIFS($N$5:$N$1517,"&gt;="&amp;N1366,$K$5:$K$1517,1)/COUNTIF($N$5:$N$1517,"&gt;="&amp;N1366),0)</f>
        <v>0</v>
      </c>
      <c r="X1366" s="8" t="n">
        <f aca="false">IF($K1366=1,COUNTIFS($O$5:$O$1517,"&gt;="&amp;O1366,$K$5:$K$1517,1)/COUNTIF($O$5:$O$1517,"&gt;="&amp;O1366),0)</f>
        <v>0</v>
      </c>
      <c r="Y1366" s="8" t="n">
        <f aca="false">IF($K1366=1,COUNTIFS($P$5:$P$1517,"&gt;="&amp;P1366,$K$5:$K$1517,1)/COUNTIF($P$5:$P$1517,"&gt;="&amp;P1366),0)</f>
        <v>0</v>
      </c>
      <c r="Z1366" s="8" t="n">
        <f aca="false">(L1366-$K1366)^2</f>
        <v>0.519634814449</v>
      </c>
      <c r="AA1366" s="8" t="n">
        <f aca="false">(M1366-$K1366)^2</f>
        <v>0.008475595969</v>
      </c>
      <c r="AB1366" s="8" t="n">
        <f aca="false">(N1366-$K1366)^2</f>
        <v>0.005074995121</v>
      </c>
      <c r="AC1366" s="8" t="n">
        <f aca="false">(O1366-$K1366)^2</f>
        <v>0.011274829489</v>
      </c>
      <c r="AD1366" s="8" t="n">
        <f aca="false">(P1366-$K1366)^2</f>
        <v>0.005535062404</v>
      </c>
      <c r="AE1366" s="8" t="n">
        <f aca="false">MIN(INT(ROUND(N1366*1000000,0)/100000),9)</f>
        <v>0</v>
      </c>
      <c r="AF1366" s="8" t="n">
        <f aca="false">MIN(INT(ROUND(P1366*1000000,0)/100000),9)</f>
        <v>0</v>
      </c>
    </row>
    <row r="1367" customFormat="false" ht="15" hidden="false" customHeight="false" outlineLevel="0" collapsed="false">
      <c r="A1367" s="4" t="n">
        <v>1363</v>
      </c>
      <c r="B1367" s="4" t="n">
        <v>1284</v>
      </c>
      <c r="C1367" s="4" t="n">
        <v>3</v>
      </c>
      <c r="D1367" s="11" t="n">
        <v>46143</v>
      </c>
      <c r="E1367" s="4" t="s">
        <v>202</v>
      </c>
      <c r="F1367" s="4" t="s">
        <v>208</v>
      </c>
      <c r="G1367" s="4" t="n">
        <v>5</v>
      </c>
      <c r="H1367" s="4" t="n">
        <v>17</v>
      </c>
      <c r="I1367" s="4" t="n">
        <v>0</v>
      </c>
      <c r="J1367" s="4" t="n">
        <v>1773</v>
      </c>
      <c r="K1367" s="4" t="n">
        <v>1</v>
      </c>
      <c r="L1367" s="12" t="n">
        <v>0.47496</v>
      </c>
      <c r="M1367" s="12" t="n">
        <v>0.092063</v>
      </c>
      <c r="N1367" s="12" t="n">
        <v>0.11208</v>
      </c>
      <c r="O1367" s="12" t="n">
        <v>0.106183</v>
      </c>
      <c r="P1367" s="12" t="n">
        <v>0.11929</v>
      </c>
      <c r="Q1367" s="0" t="str">
        <f aca="false">IF(L1367&gt;=Models!$G$5,1+COUNTIF($L$5:$L$1517,"&gt;"&amp;L1367)+COUNTIFS($L$5:$L$1517,L1367,$B$5:$B$1517,"&lt;"&amp;B1367)+COUNTIFS($L$5:$L$1517,L1367,$B$5:$B$1517,B1367,$C$5:$C$1517,"&lt;"&amp;C1367),"")</f>
        <v/>
      </c>
      <c r="R1367" s="0" t="str">
        <f aca="false">IF(M1367&gt;=Models!$G$6,1+COUNTIF($M$5:$M$1517,"&gt;"&amp;M1367)+COUNTIFS($M$5:$M$1517,M1367,$B$5:$B$1517,"&lt;"&amp;B1367)+COUNTIFS($M$5:$M$1517,M1367,$B$5:$B$1517,B1367,$C$5:$C$1517,"&lt;"&amp;C1367),"")</f>
        <v/>
      </c>
      <c r="S1367" s="0" t="str">
        <f aca="false">IF(N1367&gt;=Models!$G$7,1+COUNTIF($N$5:$N$1517,"&gt;"&amp;N1367)+COUNTIFS($N$5:$N$1517,N1367,$B$5:$B$1517,"&lt;"&amp;B1367)+COUNTIFS($N$5:$N$1517,N1367,$B$5:$B$1517,B1367,$C$5:$C$1517,"&lt;"&amp;C1367),"")</f>
        <v/>
      </c>
      <c r="T1367" s="8" t="n">
        <f aca="false">IF(O1367&gt;=Models!$G$8,1+COUNTIF($O$5:$O$1517,"&gt;"&amp;O1367)+COUNTIFS($O$5:$O$1517,O1367,$B$5:$B$1517,"&lt;"&amp;B1367)+COUNTIFS($O$5:$O$1517,O1367,$B$5:$B$1517,B1367,$C$5:$C$1517,"&lt;"&amp;C1367),"")</f>
        <v>1044</v>
      </c>
      <c r="U1367" s="8" t="n">
        <f aca="false">IF($K1367=1,COUNTIFS($L$5:$L$1517,"&gt;="&amp;L1367,$K$5:$K$1517,1)/COUNTIF($L$5:$L$1517,"&gt;="&amp;L1367),0)</f>
        <v>0.120204603580563</v>
      </c>
      <c r="V1367" s="8" t="n">
        <f aca="false">IF($K1367=1,COUNTIFS($M$5:$M$1517,"&gt;="&amp;M1367,$K$5:$K$1517,1)/COUNTIF($M$5:$M$1517,"&gt;="&amp;M1367),0)</f>
        <v>0.12491738268341</v>
      </c>
      <c r="W1367" s="8" t="n">
        <f aca="false">IF($K1367=1,COUNTIFS($N$5:$N$1517,"&gt;="&amp;N1367,$K$5:$K$1517,1)/COUNTIF($N$5:$N$1517,"&gt;="&amp;N1367),0)</f>
        <v>0.214936247723133</v>
      </c>
      <c r="X1367" s="8" t="n">
        <f aca="false">IF($K1367=1,COUNTIFS($O$5:$O$1517,"&gt;="&amp;O1367,$K$5:$K$1517,1)/COUNTIF($O$5:$O$1517,"&gt;="&amp;O1367),0)</f>
        <v>0.12491738268341</v>
      </c>
      <c r="Y1367" s="8" t="n">
        <f aca="false">IF($K1367=1,COUNTIFS($P$5:$P$1517,"&gt;="&amp;P1367,$K$5:$K$1517,1)/COUNTIF($P$5:$P$1517,"&gt;="&amp;P1367),0)</f>
        <v>0.214936247723133</v>
      </c>
      <c r="Z1367" s="8" t="n">
        <f aca="false">(L1367-$K1367)^2</f>
        <v>0.2756670016</v>
      </c>
      <c r="AA1367" s="8" t="n">
        <f aca="false">(M1367-$K1367)^2</f>
        <v>0.824349595969</v>
      </c>
      <c r="AB1367" s="8" t="n">
        <f aca="false">(N1367-$K1367)^2</f>
        <v>0.7884019264</v>
      </c>
      <c r="AC1367" s="8" t="n">
        <f aca="false">(O1367-$K1367)^2</f>
        <v>0.798908829489</v>
      </c>
      <c r="AD1367" s="8" t="n">
        <f aca="false">(P1367-$K1367)^2</f>
        <v>0.7756501041</v>
      </c>
      <c r="AE1367" s="8" t="n">
        <f aca="false">MIN(INT(ROUND(N1367*1000000,0)/100000),9)</f>
        <v>1</v>
      </c>
      <c r="AF1367" s="8" t="n">
        <f aca="false">MIN(INT(ROUND(P1367*1000000,0)/100000),9)</f>
        <v>1</v>
      </c>
    </row>
    <row r="1368" customFormat="false" ht="15" hidden="false" customHeight="false" outlineLevel="0" collapsed="false">
      <c r="A1368" s="4" t="n">
        <v>1364</v>
      </c>
      <c r="B1368" s="4" t="n">
        <v>1289</v>
      </c>
      <c r="C1368" s="4" t="n">
        <v>3</v>
      </c>
      <c r="D1368" s="11" t="n">
        <v>46143</v>
      </c>
      <c r="E1368" s="4" t="s">
        <v>203</v>
      </c>
      <c r="F1368" s="4" t="s">
        <v>208</v>
      </c>
      <c r="G1368" s="4" t="n">
        <v>2</v>
      </c>
      <c r="H1368" s="4" t="n">
        <v>23</v>
      </c>
      <c r="I1368" s="4" t="n">
        <v>0</v>
      </c>
      <c r="J1368" s="4" t="n">
        <v>363</v>
      </c>
      <c r="K1368" s="4" t="n">
        <v>0</v>
      </c>
      <c r="L1368" s="12" t="n">
        <v>0.609162</v>
      </c>
      <c r="M1368" s="12" t="n">
        <v>0.092063</v>
      </c>
      <c r="N1368" s="12" t="n">
        <v>0.158605</v>
      </c>
      <c r="O1368" s="12" t="n">
        <v>0.106183</v>
      </c>
      <c r="P1368" s="12" t="n">
        <v>0.170928</v>
      </c>
      <c r="Q1368" s="0" t="str">
        <f aca="false">IF(L1368&gt;=Models!$G$5,1+COUNTIF($L$5:$L$1517,"&gt;"&amp;L1368)+COUNTIFS($L$5:$L$1517,L1368,$B$5:$B$1517,"&lt;"&amp;B1368)+COUNTIFS($L$5:$L$1517,L1368,$B$5:$B$1517,B1368,$C$5:$C$1517,"&lt;"&amp;C1368),"")</f>
        <v/>
      </c>
      <c r="R1368" s="0" t="str">
        <f aca="false">IF(M1368&gt;=Models!$G$6,1+COUNTIF($M$5:$M$1517,"&gt;"&amp;M1368)+COUNTIFS($M$5:$M$1517,M1368,$B$5:$B$1517,"&lt;"&amp;B1368)+COUNTIFS($M$5:$M$1517,M1368,$B$5:$B$1517,B1368,$C$5:$C$1517,"&lt;"&amp;C1368),"")</f>
        <v/>
      </c>
      <c r="S1368" s="0" t="str">
        <f aca="false">IF(N1368&gt;=Models!$G$7,1+COUNTIF($N$5:$N$1517,"&gt;"&amp;N1368)+COUNTIFS($N$5:$N$1517,N1368,$B$5:$B$1517,"&lt;"&amp;B1368)+COUNTIFS($N$5:$N$1517,N1368,$B$5:$B$1517,B1368,$C$5:$C$1517,"&lt;"&amp;C1368),"")</f>
        <v/>
      </c>
      <c r="T1368" s="8" t="n">
        <f aca="false">IF(O1368&gt;=Models!$G$8,1+COUNTIF($O$5:$O$1517,"&gt;"&amp;O1368)+COUNTIFS($O$5:$O$1517,O1368,$B$5:$B$1517,"&lt;"&amp;B1368)+COUNTIFS($O$5:$O$1517,O1368,$B$5:$B$1517,B1368,$C$5:$C$1517,"&lt;"&amp;C1368),"")</f>
        <v>1048</v>
      </c>
      <c r="U1368" s="8" t="n">
        <f aca="false">IF($K1368=1,COUNTIFS($L$5:$L$1517,"&gt;="&amp;L1368,$K$5:$K$1517,1)/COUNTIF($L$5:$L$1517,"&gt;="&amp;L1368),0)</f>
        <v>0</v>
      </c>
      <c r="V1368" s="8" t="n">
        <f aca="false">IF($K1368=1,COUNTIFS($M$5:$M$1517,"&gt;="&amp;M1368,$K$5:$K$1517,1)/COUNTIF($M$5:$M$1517,"&gt;="&amp;M1368),0)</f>
        <v>0</v>
      </c>
      <c r="W1368" s="8" t="n">
        <f aca="false">IF($K1368=1,COUNTIFS($N$5:$N$1517,"&gt;="&amp;N1368,$K$5:$K$1517,1)/COUNTIF($N$5:$N$1517,"&gt;="&amp;N1368),0)</f>
        <v>0</v>
      </c>
      <c r="X1368" s="8" t="n">
        <f aca="false">IF($K1368=1,COUNTIFS($O$5:$O$1517,"&gt;="&amp;O1368,$K$5:$K$1517,1)/COUNTIF($O$5:$O$1517,"&gt;="&amp;O1368),0)</f>
        <v>0</v>
      </c>
      <c r="Y1368" s="8" t="n">
        <f aca="false">IF($K1368=1,COUNTIFS($P$5:$P$1517,"&gt;="&amp;P1368,$K$5:$K$1517,1)/COUNTIF($P$5:$P$1517,"&gt;="&amp;P1368),0)</f>
        <v>0</v>
      </c>
      <c r="Z1368" s="8" t="n">
        <f aca="false">(L1368-$K1368)^2</f>
        <v>0.371078342244</v>
      </c>
      <c r="AA1368" s="8" t="n">
        <f aca="false">(M1368-$K1368)^2</f>
        <v>0.008475595969</v>
      </c>
      <c r="AB1368" s="8" t="n">
        <f aca="false">(N1368-$K1368)^2</f>
        <v>0.025155546025</v>
      </c>
      <c r="AC1368" s="8" t="n">
        <f aca="false">(O1368-$K1368)^2</f>
        <v>0.011274829489</v>
      </c>
      <c r="AD1368" s="8" t="n">
        <f aca="false">(P1368-$K1368)^2</f>
        <v>0.029216381184</v>
      </c>
      <c r="AE1368" s="8" t="n">
        <f aca="false">MIN(INT(ROUND(N1368*1000000,0)/100000),9)</f>
        <v>1</v>
      </c>
      <c r="AF1368" s="8" t="n">
        <f aca="false">MIN(INT(ROUND(P1368*1000000,0)/100000),9)</f>
        <v>1</v>
      </c>
    </row>
    <row r="1369" customFormat="false" ht="15" hidden="false" customHeight="false" outlineLevel="0" collapsed="false">
      <c r="A1369" s="4" t="n">
        <v>1365</v>
      </c>
      <c r="B1369" s="4" t="n">
        <v>1299</v>
      </c>
      <c r="C1369" s="4" t="n">
        <v>3</v>
      </c>
      <c r="D1369" s="11" t="n">
        <v>46143</v>
      </c>
      <c r="E1369" s="4" t="s">
        <v>202</v>
      </c>
      <c r="F1369" s="4" t="s">
        <v>206</v>
      </c>
      <c r="G1369" s="4" t="n">
        <v>7</v>
      </c>
      <c r="H1369" s="4" t="n">
        <v>5</v>
      </c>
      <c r="I1369" s="4" t="n">
        <v>0</v>
      </c>
      <c r="J1369" s="4" t="n">
        <v>1644</v>
      </c>
      <c r="K1369" s="4" t="n">
        <v>0</v>
      </c>
      <c r="L1369" s="12" t="n">
        <v>0.369664</v>
      </c>
      <c r="M1369" s="12" t="n">
        <v>0.092063</v>
      </c>
      <c r="N1369" s="12" t="n">
        <v>0.087824</v>
      </c>
      <c r="O1369" s="12" t="n">
        <v>0.106183</v>
      </c>
      <c r="P1369" s="12" t="n">
        <v>0.092551</v>
      </c>
      <c r="Q1369" s="0" t="str">
        <f aca="false">IF(L1369&gt;=Models!$G$5,1+COUNTIF($L$5:$L$1517,"&gt;"&amp;L1369)+COUNTIFS($L$5:$L$1517,L1369,$B$5:$B$1517,"&lt;"&amp;B1369)+COUNTIFS($L$5:$L$1517,L1369,$B$5:$B$1517,B1369,$C$5:$C$1517,"&lt;"&amp;C1369),"")</f>
        <v/>
      </c>
      <c r="R1369" s="0" t="str">
        <f aca="false">IF(M1369&gt;=Models!$G$6,1+COUNTIF($M$5:$M$1517,"&gt;"&amp;M1369)+COUNTIFS($M$5:$M$1517,M1369,$B$5:$B$1517,"&lt;"&amp;B1369)+COUNTIFS($M$5:$M$1517,M1369,$B$5:$B$1517,B1369,$C$5:$C$1517,"&lt;"&amp;C1369),"")</f>
        <v/>
      </c>
      <c r="S1369" s="0" t="str">
        <f aca="false">IF(N1369&gt;=Models!$G$7,1+COUNTIF($N$5:$N$1517,"&gt;"&amp;N1369)+COUNTIFS($N$5:$N$1517,N1369,$B$5:$B$1517,"&lt;"&amp;B1369)+COUNTIFS($N$5:$N$1517,N1369,$B$5:$B$1517,B1369,$C$5:$C$1517,"&lt;"&amp;C1369),"")</f>
        <v/>
      </c>
      <c r="T1369" s="8" t="n">
        <f aca="false">IF(O1369&gt;=Models!$G$8,1+COUNTIF($O$5:$O$1517,"&gt;"&amp;O1369)+COUNTIFS($O$5:$O$1517,O1369,$B$5:$B$1517,"&lt;"&amp;B1369)+COUNTIFS($O$5:$O$1517,O1369,$B$5:$B$1517,B1369,$C$5:$C$1517,"&lt;"&amp;C1369),"")</f>
        <v>1052</v>
      </c>
      <c r="U1369" s="8" t="n">
        <f aca="false">IF($K1369=1,COUNTIFS($L$5:$L$1517,"&gt;="&amp;L1369,$K$5:$K$1517,1)/COUNTIF($L$5:$L$1517,"&gt;="&amp;L1369),0)</f>
        <v>0</v>
      </c>
      <c r="V1369" s="8" t="n">
        <f aca="false">IF($K1369=1,COUNTIFS($M$5:$M$1517,"&gt;="&amp;M1369,$K$5:$K$1517,1)/COUNTIF($M$5:$M$1517,"&gt;="&amp;M1369),0)</f>
        <v>0</v>
      </c>
      <c r="W1369" s="8" t="n">
        <f aca="false">IF($K1369=1,COUNTIFS($N$5:$N$1517,"&gt;="&amp;N1369,$K$5:$K$1517,1)/COUNTIF($N$5:$N$1517,"&gt;="&amp;N1369),0)</f>
        <v>0</v>
      </c>
      <c r="X1369" s="8" t="n">
        <f aca="false">IF($K1369=1,COUNTIFS($O$5:$O$1517,"&gt;="&amp;O1369,$K$5:$K$1517,1)/COUNTIF($O$5:$O$1517,"&gt;="&amp;O1369),0)</f>
        <v>0</v>
      </c>
      <c r="Y1369" s="8" t="n">
        <f aca="false">IF($K1369=1,COUNTIFS($P$5:$P$1517,"&gt;="&amp;P1369,$K$5:$K$1517,1)/COUNTIF($P$5:$P$1517,"&gt;="&amp;P1369),0)</f>
        <v>0</v>
      </c>
      <c r="Z1369" s="8" t="n">
        <f aca="false">(L1369-$K1369)^2</f>
        <v>0.136651472896</v>
      </c>
      <c r="AA1369" s="8" t="n">
        <f aca="false">(M1369-$K1369)^2</f>
        <v>0.008475595969</v>
      </c>
      <c r="AB1369" s="8" t="n">
        <f aca="false">(N1369-$K1369)^2</f>
        <v>0.007713054976</v>
      </c>
      <c r="AC1369" s="8" t="n">
        <f aca="false">(O1369-$K1369)^2</f>
        <v>0.011274829489</v>
      </c>
      <c r="AD1369" s="8" t="n">
        <f aca="false">(P1369-$K1369)^2</f>
        <v>0.008565687601</v>
      </c>
      <c r="AE1369" s="8" t="n">
        <f aca="false">MIN(INT(ROUND(N1369*1000000,0)/100000),9)</f>
        <v>0</v>
      </c>
      <c r="AF1369" s="8" t="n">
        <f aca="false">MIN(INT(ROUND(P1369*1000000,0)/100000),9)</f>
        <v>0</v>
      </c>
    </row>
    <row r="1370" customFormat="false" ht="15" hidden="false" customHeight="false" outlineLevel="0" collapsed="false">
      <c r="A1370" s="4" t="n">
        <v>1366</v>
      </c>
      <c r="B1370" s="4" t="n">
        <v>1301</v>
      </c>
      <c r="C1370" s="4" t="n">
        <v>3</v>
      </c>
      <c r="D1370" s="11" t="n">
        <v>46143</v>
      </c>
      <c r="E1370" s="4" t="s">
        <v>203</v>
      </c>
      <c r="F1370" s="4" t="s">
        <v>206</v>
      </c>
      <c r="G1370" s="4" t="n">
        <v>3</v>
      </c>
      <c r="H1370" s="4" t="n">
        <v>1</v>
      </c>
      <c r="I1370" s="4" t="n">
        <v>0</v>
      </c>
      <c r="J1370" s="4"/>
      <c r="K1370" s="4" t="n">
        <v>0</v>
      </c>
      <c r="L1370" s="12" t="n">
        <v>0.545099</v>
      </c>
      <c r="M1370" s="12" t="n">
        <v>0.092063</v>
      </c>
      <c r="N1370" s="12" t="n">
        <v>0.064489</v>
      </c>
      <c r="O1370" s="12" t="n">
        <v>0.106183</v>
      </c>
      <c r="P1370" s="12" t="n">
        <v>0.067052</v>
      </c>
      <c r="Q1370" s="0" t="str">
        <f aca="false">IF(L1370&gt;=Models!$G$5,1+COUNTIF($L$5:$L$1517,"&gt;"&amp;L1370)+COUNTIFS($L$5:$L$1517,L1370,$B$5:$B$1517,"&lt;"&amp;B1370)+COUNTIFS($L$5:$L$1517,L1370,$B$5:$B$1517,B1370,$C$5:$C$1517,"&lt;"&amp;C1370),"")</f>
        <v/>
      </c>
      <c r="R1370" s="0" t="str">
        <f aca="false">IF(M1370&gt;=Models!$G$6,1+COUNTIF($M$5:$M$1517,"&gt;"&amp;M1370)+COUNTIFS($M$5:$M$1517,M1370,$B$5:$B$1517,"&lt;"&amp;B1370)+COUNTIFS($M$5:$M$1517,M1370,$B$5:$B$1517,B1370,$C$5:$C$1517,"&lt;"&amp;C1370),"")</f>
        <v/>
      </c>
      <c r="S1370" s="0" t="str">
        <f aca="false">IF(N1370&gt;=Models!$G$7,1+COUNTIF($N$5:$N$1517,"&gt;"&amp;N1370)+COUNTIFS($N$5:$N$1517,N1370,$B$5:$B$1517,"&lt;"&amp;B1370)+COUNTIFS($N$5:$N$1517,N1370,$B$5:$B$1517,B1370,$C$5:$C$1517,"&lt;"&amp;C1370),"")</f>
        <v/>
      </c>
      <c r="T1370" s="8" t="n">
        <f aca="false">IF(O1370&gt;=Models!$G$8,1+COUNTIF($O$5:$O$1517,"&gt;"&amp;O1370)+COUNTIFS($O$5:$O$1517,O1370,$B$5:$B$1517,"&lt;"&amp;B1370)+COUNTIFS($O$5:$O$1517,O1370,$B$5:$B$1517,B1370,$C$5:$C$1517,"&lt;"&amp;C1370),"")</f>
        <v>1056</v>
      </c>
      <c r="U1370" s="8" t="n">
        <f aca="false">IF($K1370=1,COUNTIFS($L$5:$L$1517,"&gt;="&amp;L1370,$K$5:$K$1517,1)/COUNTIF($L$5:$L$1517,"&gt;="&amp;L1370),0)</f>
        <v>0</v>
      </c>
      <c r="V1370" s="8" t="n">
        <f aca="false">IF($K1370=1,COUNTIFS($M$5:$M$1517,"&gt;="&amp;M1370,$K$5:$K$1517,1)/COUNTIF($M$5:$M$1517,"&gt;="&amp;M1370),0)</f>
        <v>0</v>
      </c>
      <c r="W1370" s="8" t="n">
        <f aca="false">IF($K1370=1,COUNTIFS($N$5:$N$1517,"&gt;="&amp;N1370,$K$5:$K$1517,1)/COUNTIF($N$5:$N$1517,"&gt;="&amp;N1370),0)</f>
        <v>0</v>
      </c>
      <c r="X1370" s="8" t="n">
        <f aca="false">IF($K1370=1,COUNTIFS($O$5:$O$1517,"&gt;="&amp;O1370,$K$5:$K$1517,1)/COUNTIF($O$5:$O$1517,"&gt;="&amp;O1370),0)</f>
        <v>0</v>
      </c>
      <c r="Y1370" s="8" t="n">
        <f aca="false">IF($K1370=1,COUNTIFS($P$5:$P$1517,"&gt;="&amp;P1370,$K$5:$K$1517,1)/COUNTIF($P$5:$P$1517,"&gt;="&amp;P1370),0)</f>
        <v>0</v>
      </c>
      <c r="Z1370" s="8" t="n">
        <f aca="false">(L1370-$K1370)^2</f>
        <v>0.297132919801</v>
      </c>
      <c r="AA1370" s="8" t="n">
        <f aca="false">(M1370-$K1370)^2</f>
        <v>0.008475595969</v>
      </c>
      <c r="AB1370" s="8" t="n">
        <f aca="false">(N1370-$K1370)^2</f>
        <v>0.004158831121</v>
      </c>
      <c r="AC1370" s="8" t="n">
        <f aca="false">(O1370-$K1370)^2</f>
        <v>0.011274829489</v>
      </c>
      <c r="AD1370" s="8" t="n">
        <f aca="false">(P1370-$K1370)^2</f>
        <v>0.004495970704</v>
      </c>
      <c r="AE1370" s="8" t="n">
        <f aca="false">MIN(INT(ROUND(N1370*1000000,0)/100000),9)</f>
        <v>0</v>
      </c>
      <c r="AF1370" s="8" t="n">
        <f aca="false">MIN(INT(ROUND(P1370*1000000,0)/100000),9)</f>
        <v>0</v>
      </c>
    </row>
    <row r="1371" customFormat="false" ht="15" hidden="false" customHeight="false" outlineLevel="0" collapsed="false">
      <c r="A1371" s="4" t="n">
        <v>1367</v>
      </c>
      <c r="B1371" s="4" t="n">
        <v>1311</v>
      </c>
      <c r="C1371" s="4" t="n">
        <v>3</v>
      </c>
      <c r="D1371" s="11" t="n">
        <v>46143</v>
      </c>
      <c r="E1371" s="4" t="s">
        <v>204</v>
      </c>
      <c r="F1371" s="4" t="s">
        <v>206</v>
      </c>
      <c r="G1371" s="4" t="n">
        <v>4</v>
      </c>
      <c r="H1371" s="4" t="n">
        <v>3</v>
      </c>
      <c r="I1371" s="4" t="n">
        <v>0</v>
      </c>
      <c r="J1371" s="4" t="n">
        <v>78</v>
      </c>
      <c r="K1371" s="4" t="n">
        <v>0</v>
      </c>
      <c r="L1371" s="12" t="n">
        <v>0.521551</v>
      </c>
      <c r="M1371" s="12" t="n">
        <v>0.092063</v>
      </c>
      <c r="N1371" s="12" t="n">
        <v>0.119626</v>
      </c>
      <c r="O1371" s="12" t="n">
        <v>0.106183</v>
      </c>
      <c r="P1371" s="12" t="n">
        <v>0.127642</v>
      </c>
      <c r="Q1371" s="0" t="str">
        <f aca="false">IF(L1371&gt;=Models!$G$5,1+COUNTIF($L$5:$L$1517,"&gt;"&amp;L1371)+COUNTIFS($L$5:$L$1517,L1371,$B$5:$B$1517,"&lt;"&amp;B1371)+COUNTIFS($L$5:$L$1517,L1371,$B$5:$B$1517,B1371,$C$5:$C$1517,"&lt;"&amp;C1371),"")</f>
        <v/>
      </c>
      <c r="R1371" s="0" t="str">
        <f aca="false">IF(M1371&gt;=Models!$G$6,1+COUNTIF($M$5:$M$1517,"&gt;"&amp;M1371)+COUNTIFS($M$5:$M$1517,M1371,$B$5:$B$1517,"&lt;"&amp;B1371)+COUNTIFS($M$5:$M$1517,M1371,$B$5:$B$1517,B1371,$C$5:$C$1517,"&lt;"&amp;C1371),"")</f>
        <v/>
      </c>
      <c r="S1371" s="0" t="str">
        <f aca="false">IF(N1371&gt;=Models!$G$7,1+COUNTIF($N$5:$N$1517,"&gt;"&amp;N1371)+COUNTIFS($N$5:$N$1517,N1371,$B$5:$B$1517,"&lt;"&amp;B1371)+COUNTIFS($N$5:$N$1517,N1371,$B$5:$B$1517,B1371,$C$5:$C$1517,"&lt;"&amp;C1371),"")</f>
        <v/>
      </c>
      <c r="T1371" s="8" t="n">
        <f aca="false">IF(O1371&gt;=Models!$G$8,1+COUNTIF($O$5:$O$1517,"&gt;"&amp;O1371)+COUNTIFS($O$5:$O$1517,O1371,$B$5:$B$1517,"&lt;"&amp;B1371)+COUNTIFS($O$5:$O$1517,O1371,$B$5:$B$1517,B1371,$C$5:$C$1517,"&lt;"&amp;C1371),"")</f>
        <v>1060</v>
      </c>
      <c r="U1371" s="8" t="n">
        <f aca="false">IF($K1371=1,COUNTIFS($L$5:$L$1517,"&gt;="&amp;L1371,$K$5:$K$1517,1)/COUNTIF($L$5:$L$1517,"&gt;="&amp;L1371),0)</f>
        <v>0</v>
      </c>
      <c r="V1371" s="8" t="n">
        <f aca="false">IF($K1371=1,COUNTIFS($M$5:$M$1517,"&gt;="&amp;M1371,$K$5:$K$1517,1)/COUNTIF($M$5:$M$1517,"&gt;="&amp;M1371),0)</f>
        <v>0</v>
      </c>
      <c r="W1371" s="8" t="n">
        <f aca="false">IF($K1371=1,COUNTIFS($N$5:$N$1517,"&gt;="&amp;N1371,$K$5:$K$1517,1)/COUNTIF($N$5:$N$1517,"&gt;="&amp;N1371),0)</f>
        <v>0</v>
      </c>
      <c r="X1371" s="8" t="n">
        <f aca="false">IF($K1371=1,COUNTIFS($O$5:$O$1517,"&gt;="&amp;O1371,$K$5:$K$1517,1)/COUNTIF($O$5:$O$1517,"&gt;="&amp;O1371),0)</f>
        <v>0</v>
      </c>
      <c r="Y1371" s="8" t="n">
        <f aca="false">IF($K1371=1,COUNTIFS($P$5:$P$1517,"&gt;="&amp;P1371,$K$5:$K$1517,1)/COUNTIF($P$5:$P$1517,"&gt;="&amp;P1371),0)</f>
        <v>0</v>
      </c>
      <c r="Z1371" s="8" t="n">
        <f aca="false">(L1371-$K1371)^2</f>
        <v>0.272015445601</v>
      </c>
      <c r="AA1371" s="8" t="n">
        <f aca="false">(M1371-$K1371)^2</f>
        <v>0.008475595969</v>
      </c>
      <c r="AB1371" s="8" t="n">
        <f aca="false">(N1371-$K1371)^2</f>
        <v>0.014310379876</v>
      </c>
      <c r="AC1371" s="8" t="n">
        <f aca="false">(O1371-$K1371)^2</f>
        <v>0.011274829489</v>
      </c>
      <c r="AD1371" s="8" t="n">
        <f aca="false">(P1371-$K1371)^2</f>
        <v>0.016292480164</v>
      </c>
      <c r="AE1371" s="8" t="n">
        <f aca="false">MIN(INT(ROUND(N1371*1000000,0)/100000),9)</f>
        <v>1</v>
      </c>
      <c r="AF1371" s="8" t="n">
        <f aca="false">MIN(INT(ROUND(P1371*1000000,0)/100000),9)</f>
        <v>1</v>
      </c>
    </row>
    <row r="1372" customFormat="false" ht="15" hidden="false" customHeight="false" outlineLevel="0" collapsed="false">
      <c r="A1372" s="4" t="n">
        <v>1368</v>
      </c>
      <c r="B1372" s="4" t="n">
        <v>1316</v>
      </c>
      <c r="C1372" s="4" t="n">
        <v>3</v>
      </c>
      <c r="D1372" s="11" t="n">
        <v>46143</v>
      </c>
      <c r="E1372" s="4" t="s">
        <v>202</v>
      </c>
      <c r="F1372" s="4" t="s">
        <v>206</v>
      </c>
      <c r="G1372" s="4" t="n">
        <v>9</v>
      </c>
      <c r="H1372" s="4" t="n">
        <v>1</v>
      </c>
      <c r="I1372" s="4" t="n">
        <v>0</v>
      </c>
      <c r="J1372" s="4"/>
      <c r="K1372" s="4" t="n">
        <v>0</v>
      </c>
      <c r="L1372" s="12" t="n">
        <v>0.156267</v>
      </c>
      <c r="M1372" s="12" t="n">
        <v>0.092063</v>
      </c>
      <c r="N1372" s="12" t="n">
        <v>0.038622</v>
      </c>
      <c r="O1372" s="12" t="n">
        <v>0.106183</v>
      </c>
      <c r="P1372" s="12" t="n">
        <v>0.039222</v>
      </c>
      <c r="Q1372" s="0" t="str">
        <f aca="false">IF(L1372&gt;=Models!$G$5,1+COUNTIF($L$5:$L$1517,"&gt;"&amp;L1372)+COUNTIFS($L$5:$L$1517,L1372,$B$5:$B$1517,"&lt;"&amp;B1372)+COUNTIFS($L$5:$L$1517,L1372,$B$5:$B$1517,B1372,$C$5:$C$1517,"&lt;"&amp;C1372),"")</f>
        <v/>
      </c>
      <c r="R1372" s="0" t="str">
        <f aca="false">IF(M1372&gt;=Models!$G$6,1+COUNTIF($M$5:$M$1517,"&gt;"&amp;M1372)+COUNTIFS($M$5:$M$1517,M1372,$B$5:$B$1517,"&lt;"&amp;B1372)+COUNTIFS($M$5:$M$1517,M1372,$B$5:$B$1517,B1372,$C$5:$C$1517,"&lt;"&amp;C1372),"")</f>
        <v/>
      </c>
      <c r="S1372" s="0" t="str">
        <f aca="false">IF(N1372&gt;=Models!$G$7,1+COUNTIF($N$5:$N$1517,"&gt;"&amp;N1372)+COUNTIFS($N$5:$N$1517,N1372,$B$5:$B$1517,"&lt;"&amp;B1372)+COUNTIFS($N$5:$N$1517,N1372,$B$5:$B$1517,B1372,$C$5:$C$1517,"&lt;"&amp;C1372),"")</f>
        <v/>
      </c>
      <c r="T1372" s="8" t="n">
        <f aca="false">IF(O1372&gt;=Models!$G$8,1+COUNTIF($O$5:$O$1517,"&gt;"&amp;O1372)+COUNTIFS($O$5:$O$1517,O1372,$B$5:$B$1517,"&lt;"&amp;B1372)+COUNTIFS($O$5:$O$1517,O1372,$B$5:$B$1517,B1372,$C$5:$C$1517,"&lt;"&amp;C1372),"")</f>
        <v>1064</v>
      </c>
      <c r="U1372" s="8" t="n">
        <f aca="false">IF($K1372=1,COUNTIFS($L$5:$L$1517,"&gt;="&amp;L1372,$K$5:$K$1517,1)/COUNTIF($L$5:$L$1517,"&gt;="&amp;L1372),0)</f>
        <v>0</v>
      </c>
      <c r="V1372" s="8" t="n">
        <f aca="false">IF($K1372=1,COUNTIFS($M$5:$M$1517,"&gt;="&amp;M1372,$K$5:$K$1517,1)/COUNTIF($M$5:$M$1517,"&gt;="&amp;M1372),0)</f>
        <v>0</v>
      </c>
      <c r="W1372" s="8" t="n">
        <f aca="false">IF($K1372=1,COUNTIFS($N$5:$N$1517,"&gt;="&amp;N1372,$K$5:$K$1517,1)/COUNTIF($N$5:$N$1517,"&gt;="&amp;N1372),0)</f>
        <v>0</v>
      </c>
      <c r="X1372" s="8" t="n">
        <f aca="false">IF($K1372=1,COUNTIFS($O$5:$O$1517,"&gt;="&amp;O1372,$K$5:$K$1517,1)/COUNTIF($O$5:$O$1517,"&gt;="&amp;O1372),0)</f>
        <v>0</v>
      </c>
      <c r="Y1372" s="8" t="n">
        <f aca="false">IF($K1372=1,COUNTIFS($P$5:$P$1517,"&gt;="&amp;P1372,$K$5:$K$1517,1)/COUNTIF($P$5:$P$1517,"&gt;="&amp;P1372),0)</f>
        <v>0</v>
      </c>
      <c r="Z1372" s="8" t="n">
        <f aca="false">(L1372-$K1372)^2</f>
        <v>0.024419375289</v>
      </c>
      <c r="AA1372" s="8" t="n">
        <f aca="false">(M1372-$K1372)^2</f>
        <v>0.008475595969</v>
      </c>
      <c r="AB1372" s="8" t="n">
        <f aca="false">(N1372-$K1372)^2</f>
        <v>0.001491658884</v>
      </c>
      <c r="AC1372" s="8" t="n">
        <f aca="false">(O1372-$K1372)^2</f>
        <v>0.011274829489</v>
      </c>
      <c r="AD1372" s="8" t="n">
        <f aca="false">(P1372-$K1372)^2</f>
        <v>0.001538365284</v>
      </c>
      <c r="AE1372" s="8" t="n">
        <f aca="false">MIN(INT(ROUND(N1372*1000000,0)/100000),9)</f>
        <v>0</v>
      </c>
      <c r="AF1372" s="8" t="n">
        <f aca="false">MIN(INT(ROUND(P1372*1000000,0)/100000),9)</f>
        <v>0</v>
      </c>
    </row>
    <row r="1373" customFormat="false" ht="15" hidden="false" customHeight="false" outlineLevel="0" collapsed="false">
      <c r="A1373" s="4" t="n">
        <v>1369</v>
      </c>
      <c r="B1373" s="4" t="n">
        <v>1317</v>
      </c>
      <c r="C1373" s="4" t="n">
        <v>3</v>
      </c>
      <c r="D1373" s="11" t="n">
        <v>46143</v>
      </c>
      <c r="E1373" s="4" t="s">
        <v>202</v>
      </c>
      <c r="F1373" s="4" t="s">
        <v>206</v>
      </c>
      <c r="G1373" s="4" t="n">
        <v>14</v>
      </c>
      <c r="H1373" s="4" t="n">
        <v>4</v>
      </c>
      <c r="I1373" s="4" t="n">
        <v>0</v>
      </c>
      <c r="J1373" s="4"/>
      <c r="K1373" s="4" t="n">
        <v>0</v>
      </c>
      <c r="L1373" s="12" t="n">
        <v>0.39927</v>
      </c>
      <c r="M1373" s="12" t="n">
        <v>0.092063</v>
      </c>
      <c r="N1373" s="12" t="n">
        <v>0.025583</v>
      </c>
      <c r="O1373" s="12" t="n">
        <v>0.106183</v>
      </c>
      <c r="P1373" s="12" t="n">
        <v>0.025478</v>
      </c>
      <c r="Q1373" s="0" t="str">
        <f aca="false">IF(L1373&gt;=Models!$G$5,1+COUNTIF($L$5:$L$1517,"&gt;"&amp;L1373)+COUNTIFS($L$5:$L$1517,L1373,$B$5:$B$1517,"&lt;"&amp;B1373)+COUNTIFS($L$5:$L$1517,L1373,$B$5:$B$1517,B1373,$C$5:$C$1517,"&lt;"&amp;C1373),"")</f>
        <v/>
      </c>
      <c r="R1373" s="0" t="str">
        <f aca="false">IF(M1373&gt;=Models!$G$6,1+COUNTIF($M$5:$M$1517,"&gt;"&amp;M1373)+COUNTIFS($M$5:$M$1517,M1373,$B$5:$B$1517,"&lt;"&amp;B1373)+COUNTIFS($M$5:$M$1517,M1373,$B$5:$B$1517,B1373,$C$5:$C$1517,"&lt;"&amp;C1373),"")</f>
        <v/>
      </c>
      <c r="S1373" s="0" t="str">
        <f aca="false">IF(N1373&gt;=Models!$G$7,1+COUNTIF($N$5:$N$1517,"&gt;"&amp;N1373)+COUNTIFS($N$5:$N$1517,N1373,$B$5:$B$1517,"&lt;"&amp;B1373)+COUNTIFS($N$5:$N$1517,N1373,$B$5:$B$1517,B1373,$C$5:$C$1517,"&lt;"&amp;C1373),"")</f>
        <v/>
      </c>
      <c r="T1373" s="8" t="n">
        <f aca="false">IF(O1373&gt;=Models!$G$8,1+COUNTIF($O$5:$O$1517,"&gt;"&amp;O1373)+COUNTIFS($O$5:$O$1517,O1373,$B$5:$B$1517,"&lt;"&amp;B1373)+COUNTIFS($O$5:$O$1517,O1373,$B$5:$B$1517,B1373,$C$5:$C$1517,"&lt;"&amp;C1373),"")</f>
        <v>1068</v>
      </c>
      <c r="U1373" s="8" t="n">
        <f aca="false">IF($K1373=1,COUNTIFS($L$5:$L$1517,"&gt;="&amp;L1373,$K$5:$K$1517,1)/COUNTIF($L$5:$L$1517,"&gt;="&amp;L1373),0)</f>
        <v>0</v>
      </c>
      <c r="V1373" s="8" t="n">
        <f aca="false">IF($K1373=1,COUNTIFS($M$5:$M$1517,"&gt;="&amp;M1373,$K$5:$K$1517,1)/COUNTIF($M$5:$M$1517,"&gt;="&amp;M1373),0)</f>
        <v>0</v>
      </c>
      <c r="W1373" s="8" t="n">
        <f aca="false">IF($K1373=1,COUNTIFS($N$5:$N$1517,"&gt;="&amp;N1373,$K$5:$K$1517,1)/COUNTIF($N$5:$N$1517,"&gt;="&amp;N1373),0)</f>
        <v>0</v>
      </c>
      <c r="X1373" s="8" t="n">
        <f aca="false">IF($K1373=1,COUNTIFS($O$5:$O$1517,"&gt;="&amp;O1373,$K$5:$K$1517,1)/COUNTIF($O$5:$O$1517,"&gt;="&amp;O1373),0)</f>
        <v>0</v>
      </c>
      <c r="Y1373" s="8" t="n">
        <f aca="false">IF($K1373=1,COUNTIFS($P$5:$P$1517,"&gt;="&amp;P1373,$K$5:$K$1517,1)/COUNTIF($P$5:$P$1517,"&gt;="&amp;P1373),0)</f>
        <v>0</v>
      </c>
      <c r="Z1373" s="8" t="n">
        <f aca="false">(L1373-$K1373)^2</f>
        <v>0.1594165329</v>
      </c>
      <c r="AA1373" s="8" t="n">
        <f aca="false">(M1373-$K1373)^2</f>
        <v>0.008475595969</v>
      </c>
      <c r="AB1373" s="8" t="n">
        <f aca="false">(N1373-$K1373)^2</f>
        <v>0.000654489889</v>
      </c>
      <c r="AC1373" s="8" t="n">
        <f aca="false">(O1373-$K1373)^2</f>
        <v>0.011274829489</v>
      </c>
      <c r="AD1373" s="8" t="n">
        <f aca="false">(P1373-$K1373)^2</f>
        <v>0.000649128484</v>
      </c>
      <c r="AE1373" s="8" t="n">
        <f aca="false">MIN(INT(ROUND(N1373*1000000,0)/100000),9)</f>
        <v>0</v>
      </c>
      <c r="AF1373" s="8" t="n">
        <f aca="false">MIN(INT(ROUND(P1373*1000000,0)/100000),9)</f>
        <v>0</v>
      </c>
    </row>
    <row r="1374" customFormat="false" ht="15" hidden="false" customHeight="false" outlineLevel="0" collapsed="false">
      <c r="A1374" s="4" t="n">
        <v>1370</v>
      </c>
      <c r="B1374" s="4" t="n">
        <v>1319</v>
      </c>
      <c r="C1374" s="4" t="n">
        <v>3</v>
      </c>
      <c r="D1374" s="11" t="n">
        <v>46143</v>
      </c>
      <c r="E1374" s="4" t="s">
        <v>202</v>
      </c>
      <c r="F1374" s="4" t="s">
        <v>206</v>
      </c>
      <c r="G1374" s="4" t="n">
        <v>5</v>
      </c>
      <c r="H1374" s="4" t="n">
        <v>0</v>
      </c>
      <c r="I1374" s="4" t="n">
        <v>0</v>
      </c>
      <c r="J1374" s="4" t="n">
        <v>1167</v>
      </c>
      <c r="K1374" s="4" t="n">
        <v>0</v>
      </c>
      <c r="L1374" s="12" t="n">
        <v>0.551954</v>
      </c>
      <c r="M1374" s="12" t="n">
        <v>0.092063</v>
      </c>
      <c r="N1374" s="12" t="n">
        <v>0.102129</v>
      </c>
      <c r="O1374" s="12" t="n">
        <v>0.106183</v>
      </c>
      <c r="P1374" s="12" t="n">
        <v>0.108298</v>
      </c>
      <c r="Q1374" s="0" t="str">
        <f aca="false">IF(L1374&gt;=Models!$G$5,1+COUNTIF($L$5:$L$1517,"&gt;"&amp;L1374)+COUNTIFS($L$5:$L$1517,L1374,$B$5:$B$1517,"&lt;"&amp;B1374)+COUNTIFS($L$5:$L$1517,L1374,$B$5:$B$1517,B1374,$C$5:$C$1517,"&lt;"&amp;C1374),"")</f>
        <v/>
      </c>
      <c r="R1374" s="0" t="str">
        <f aca="false">IF(M1374&gt;=Models!$G$6,1+COUNTIF($M$5:$M$1517,"&gt;"&amp;M1374)+COUNTIFS($M$5:$M$1517,M1374,$B$5:$B$1517,"&lt;"&amp;B1374)+COUNTIFS($M$5:$M$1517,M1374,$B$5:$B$1517,B1374,$C$5:$C$1517,"&lt;"&amp;C1374),"")</f>
        <v/>
      </c>
      <c r="S1374" s="0" t="str">
        <f aca="false">IF(N1374&gt;=Models!$G$7,1+COUNTIF($N$5:$N$1517,"&gt;"&amp;N1374)+COUNTIFS($N$5:$N$1517,N1374,$B$5:$B$1517,"&lt;"&amp;B1374)+COUNTIFS($N$5:$N$1517,N1374,$B$5:$B$1517,B1374,$C$5:$C$1517,"&lt;"&amp;C1374),"")</f>
        <v/>
      </c>
      <c r="T1374" s="8" t="n">
        <f aca="false">IF(O1374&gt;=Models!$G$8,1+COUNTIF($O$5:$O$1517,"&gt;"&amp;O1374)+COUNTIFS($O$5:$O$1517,O1374,$B$5:$B$1517,"&lt;"&amp;B1374)+COUNTIFS($O$5:$O$1517,O1374,$B$5:$B$1517,B1374,$C$5:$C$1517,"&lt;"&amp;C1374),"")</f>
        <v>1072</v>
      </c>
      <c r="U1374" s="8" t="n">
        <f aca="false">IF($K1374=1,COUNTIFS($L$5:$L$1517,"&gt;="&amp;L1374,$K$5:$K$1517,1)/COUNTIF($L$5:$L$1517,"&gt;="&amp;L1374),0)</f>
        <v>0</v>
      </c>
      <c r="V1374" s="8" t="n">
        <f aca="false">IF($K1374=1,COUNTIFS($M$5:$M$1517,"&gt;="&amp;M1374,$K$5:$K$1517,1)/COUNTIF($M$5:$M$1517,"&gt;="&amp;M1374),0)</f>
        <v>0</v>
      </c>
      <c r="W1374" s="8" t="n">
        <f aca="false">IF($K1374=1,COUNTIFS($N$5:$N$1517,"&gt;="&amp;N1374,$K$5:$K$1517,1)/COUNTIF($N$5:$N$1517,"&gt;="&amp;N1374),0)</f>
        <v>0</v>
      </c>
      <c r="X1374" s="8" t="n">
        <f aca="false">IF($K1374=1,COUNTIFS($O$5:$O$1517,"&gt;="&amp;O1374,$K$5:$K$1517,1)/COUNTIF($O$5:$O$1517,"&gt;="&amp;O1374),0)</f>
        <v>0</v>
      </c>
      <c r="Y1374" s="8" t="n">
        <f aca="false">IF($K1374=1,COUNTIFS($P$5:$P$1517,"&gt;="&amp;P1374,$K$5:$K$1517,1)/COUNTIF($P$5:$P$1517,"&gt;="&amp;P1374),0)</f>
        <v>0</v>
      </c>
      <c r="Z1374" s="8" t="n">
        <f aca="false">(L1374-$K1374)^2</f>
        <v>0.304653218116</v>
      </c>
      <c r="AA1374" s="8" t="n">
        <f aca="false">(M1374-$K1374)^2</f>
        <v>0.008475595969</v>
      </c>
      <c r="AB1374" s="8" t="n">
        <f aca="false">(N1374-$K1374)^2</f>
        <v>0.010430332641</v>
      </c>
      <c r="AC1374" s="8" t="n">
        <f aca="false">(O1374-$K1374)^2</f>
        <v>0.011274829489</v>
      </c>
      <c r="AD1374" s="8" t="n">
        <f aca="false">(P1374-$K1374)^2</f>
        <v>0.011728456804</v>
      </c>
      <c r="AE1374" s="8" t="n">
        <f aca="false">MIN(INT(ROUND(N1374*1000000,0)/100000),9)</f>
        <v>1</v>
      </c>
      <c r="AF1374" s="8" t="n">
        <f aca="false">MIN(INT(ROUND(P1374*1000000,0)/100000),9)</f>
        <v>1</v>
      </c>
    </row>
    <row r="1375" customFormat="false" ht="15" hidden="false" customHeight="false" outlineLevel="0" collapsed="false">
      <c r="A1375" s="4" t="n">
        <v>1371</v>
      </c>
      <c r="B1375" s="4" t="n">
        <v>1321</v>
      </c>
      <c r="C1375" s="4" t="n">
        <v>3</v>
      </c>
      <c r="D1375" s="11" t="n">
        <v>46143</v>
      </c>
      <c r="E1375" s="4" t="s">
        <v>202</v>
      </c>
      <c r="F1375" s="4" t="s">
        <v>210</v>
      </c>
      <c r="G1375" s="4" t="n">
        <v>10</v>
      </c>
      <c r="H1375" s="4" t="n">
        <v>1</v>
      </c>
      <c r="I1375" s="4" t="n">
        <v>0</v>
      </c>
      <c r="J1375" s="4"/>
      <c r="K1375" s="4" t="n">
        <v>0</v>
      </c>
      <c r="L1375" s="12" t="n">
        <v>0.815436</v>
      </c>
      <c r="M1375" s="12" t="n">
        <v>0.092063</v>
      </c>
      <c r="N1375" s="12" t="n">
        <v>0.035415</v>
      </c>
      <c r="O1375" s="12" t="n">
        <v>0.106183</v>
      </c>
      <c r="P1375" s="12" t="n">
        <v>0.035819</v>
      </c>
      <c r="Q1375" s="0" t="str">
        <f aca="false">IF(L1375&gt;=Models!$G$5,1+COUNTIF($L$5:$L$1517,"&gt;"&amp;L1375)+COUNTIFS($L$5:$L$1517,L1375,$B$5:$B$1517,"&lt;"&amp;B1375)+COUNTIFS($L$5:$L$1517,L1375,$B$5:$B$1517,B1375,$C$5:$C$1517,"&lt;"&amp;C1375),"")</f>
        <v/>
      </c>
      <c r="R1375" s="0" t="str">
        <f aca="false">IF(M1375&gt;=Models!$G$6,1+COUNTIF($M$5:$M$1517,"&gt;"&amp;M1375)+COUNTIFS($M$5:$M$1517,M1375,$B$5:$B$1517,"&lt;"&amp;B1375)+COUNTIFS($M$5:$M$1517,M1375,$B$5:$B$1517,B1375,$C$5:$C$1517,"&lt;"&amp;C1375),"")</f>
        <v/>
      </c>
      <c r="S1375" s="0" t="str">
        <f aca="false">IF(N1375&gt;=Models!$G$7,1+COUNTIF($N$5:$N$1517,"&gt;"&amp;N1375)+COUNTIFS($N$5:$N$1517,N1375,$B$5:$B$1517,"&lt;"&amp;B1375)+COUNTIFS($N$5:$N$1517,N1375,$B$5:$B$1517,B1375,$C$5:$C$1517,"&lt;"&amp;C1375),"")</f>
        <v/>
      </c>
      <c r="T1375" s="8" t="n">
        <f aca="false">IF(O1375&gt;=Models!$G$8,1+COUNTIF($O$5:$O$1517,"&gt;"&amp;O1375)+COUNTIFS($O$5:$O$1517,O1375,$B$5:$B$1517,"&lt;"&amp;B1375)+COUNTIFS($O$5:$O$1517,O1375,$B$5:$B$1517,B1375,$C$5:$C$1517,"&lt;"&amp;C1375),"")</f>
        <v>1076</v>
      </c>
      <c r="U1375" s="8" t="n">
        <f aca="false">IF($K1375=1,COUNTIFS($L$5:$L$1517,"&gt;="&amp;L1375,$K$5:$K$1517,1)/COUNTIF($L$5:$L$1517,"&gt;="&amp;L1375),0)</f>
        <v>0</v>
      </c>
      <c r="V1375" s="8" t="n">
        <f aca="false">IF($K1375=1,COUNTIFS($M$5:$M$1517,"&gt;="&amp;M1375,$K$5:$K$1517,1)/COUNTIF($M$5:$M$1517,"&gt;="&amp;M1375),0)</f>
        <v>0</v>
      </c>
      <c r="W1375" s="8" t="n">
        <f aca="false">IF($K1375=1,COUNTIFS($N$5:$N$1517,"&gt;="&amp;N1375,$K$5:$K$1517,1)/COUNTIF($N$5:$N$1517,"&gt;="&amp;N1375),0)</f>
        <v>0</v>
      </c>
      <c r="X1375" s="8" t="n">
        <f aca="false">IF($K1375=1,COUNTIFS($O$5:$O$1517,"&gt;="&amp;O1375,$K$5:$K$1517,1)/COUNTIF($O$5:$O$1517,"&gt;="&amp;O1375),0)</f>
        <v>0</v>
      </c>
      <c r="Y1375" s="8" t="n">
        <f aca="false">IF($K1375=1,COUNTIFS($P$5:$P$1517,"&gt;="&amp;P1375,$K$5:$K$1517,1)/COUNTIF($P$5:$P$1517,"&gt;="&amp;P1375),0)</f>
        <v>0</v>
      </c>
      <c r="Z1375" s="8" t="n">
        <f aca="false">(L1375-$K1375)^2</f>
        <v>0.664935870096</v>
      </c>
      <c r="AA1375" s="8" t="n">
        <f aca="false">(M1375-$K1375)^2</f>
        <v>0.008475595969</v>
      </c>
      <c r="AB1375" s="8" t="n">
        <f aca="false">(N1375-$K1375)^2</f>
        <v>0.001254222225</v>
      </c>
      <c r="AC1375" s="8" t="n">
        <f aca="false">(O1375-$K1375)^2</f>
        <v>0.011274829489</v>
      </c>
      <c r="AD1375" s="8" t="n">
        <f aca="false">(P1375-$K1375)^2</f>
        <v>0.001283000761</v>
      </c>
      <c r="AE1375" s="8" t="n">
        <f aca="false">MIN(INT(ROUND(N1375*1000000,0)/100000),9)</f>
        <v>0</v>
      </c>
      <c r="AF1375" s="8" t="n">
        <f aca="false">MIN(INT(ROUND(P1375*1000000,0)/100000),9)</f>
        <v>0</v>
      </c>
    </row>
    <row r="1376" customFormat="false" ht="15" hidden="false" customHeight="false" outlineLevel="0" collapsed="false">
      <c r="A1376" s="4" t="n">
        <v>1372</v>
      </c>
      <c r="B1376" s="4" t="n">
        <v>1323</v>
      </c>
      <c r="C1376" s="4" t="n">
        <v>3</v>
      </c>
      <c r="D1376" s="11" t="n">
        <v>46143</v>
      </c>
      <c r="E1376" s="4" t="s">
        <v>203</v>
      </c>
      <c r="F1376" s="4" t="s">
        <v>209</v>
      </c>
      <c r="G1376" s="4" t="n">
        <v>2</v>
      </c>
      <c r="H1376" s="4" t="n">
        <v>4</v>
      </c>
      <c r="I1376" s="4" t="n">
        <v>0</v>
      </c>
      <c r="J1376" s="4" t="n">
        <v>298</v>
      </c>
      <c r="K1376" s="4" t="n">
        <v>0</v>
      </c>
      <c r="L1376" s="12" t="n">
        <v>0.130018</v>
      </c>
      <c r="M1376" s="12" t="n">
        <v>0.092063</v>
      </c>
      <c r="N1376" s="12" t="n">
        <v>0.139365</v>
      </c>
      <c r="O1376" s="12" t="n">
        <v>0.106183</v>
      </c>
      <c r="P1376" s="12" t="n">
        <v>0.149539</v>
      </c>
      <c r="Q1376" s="0" t="str">
        <f aca="false">IF(L1376&gt;=Models!$G$5,1+COUNTIF($L$5:$L$1517,"&gt;"&amp;L1376)+COUNTIFS($L$5:$L$1517,L1376,$B$5:$B$1517,"&lt;"&amp;B1376)+COUNTIFS($L$5:$L$1517,L1376,$B$5:$B$1517,B1376,$C$5:$C$1517,"&lt;"&amp;C1376),"")</f>
        <v/>
      </c>
      <c r="R1376" s="0" t="str">
        <f aca="false">IF(M1376&gt;=Models!$G$6,1+COUNTIF($M$5:$M$1517,"&gt;"&amp;M1376)+COUNTIFS($M$5:$M$1517,M1376,$B$5:$B$1517,"&lt;"&amp;B1376)+COUNTIFS($M$5:$M$1517,M1376,$B$5:$B$1517,B1376,$C$5:$C$1517,"&lt;"&amp;C1376),"")</f>
        <v/>
      </c>
      <c r="S1376" s="0" t="str">
        <f aca="false">IF(N1376&gt;=Models!$G$7,1+COUNTIF($N$5:$N$1517,"&gt;"&amp;N1376)+COUNTIFS($N$5:$N$1517,N1376,$B$5:$B$1517,"&lt;"&amp;B1376)+COUNTIFS($N$5:$N$1517,N1376,$B$5:$B$1517,B1376,$C$5:$C$1517,"&lt;"&amp;C1376),"")</f>
        <v/>
      </c>
      <c r="T1376" s="8" t="n">
        <f aca="false">IF(O1376&gt;=Models!$G$8,1+COUNTIF($O$5:$O$1517,"&gt;"&amp;O1376)+COUNTIFS($O$5:$O$1517,O1376,$B$5:$B$1517,"&lt;"&amp;B1376)+COUNTIFS($O$5:$O$1517,O1376,$B$5:$B$1517,B1376,$C$5:$C$1517,"&lt;"&amp;C1376),"")</f>
        <v>1080</v>
      </c>
      <c r="U1376" s="8" t="n">
        <f aca="false">IF($K1376=1,COUNTIFS($L$5:$L$1517,"&gt;="&amp;L1376,$K$5:$K$1517,1)/COUNTIF($L$5:$L$1517,"&gt;="&amp;L1376),0)</f>
        <v>0</v>
      </c>
      <c r="V1376" s="8" t="n">
        <f aca="false">IF($K1376=1,COUNTIFS($M$5:$M$1517,"&gt;="&amp;M1376,$K$5:$K$1517,1)/COUNTIF($M$5:$M$1517,"&gt;="&amp;M1376),0)</f>
        <v>0</v>
      </c>
      <c r="W1376" s="8" t="n">
        <f aca="false">IF($K1376=1,COUNTIFS($N$5:$N$1517,"&gt;="&amp;N1376,$K$5:$K$1517,1)/COUNTIF($N$5:$N$1517,"&gt;="&amp;N1376),0)</f>
        <v>0</v>
      </c>
      <c r="X1376" s="8" t="n">
        <f aca="false">IF($K1376=1,COUNTIFS($O$5:$O$1517,"&gt;="&amp;O1376,$K$5:$K$1517,1)/COUNTIF($O$5:$O$1517,"&gt;="&amp;O1376),0)</f>
        <v>0</v>
      </c>
      <c r="Y1376" s="8" t="n">
        <f aca="false">IF($K1376=1,COUNTIFS($P$5:$P$1517,"&gt;="&amp;P1376,$K$5:$K$1517,1)/COUNTIF($P$5:$P$1517,"&gt;="&amp;P1376),0)</f>
        <v>0</v>
      </c>
      <c r="Z1376" s="8" t="n">
        <f aca="false">(L1376-$K1376)^2</f>
        <v>0.016904680324</v>
      </c>
      <c r="AA1376" s="8" t="n">
        <f aca="false">(M1376-$K1376)^2</f>
        <v>0.008475595969</v>
      </c>
      <c r="AB1376" s="8" t="n">
        <f aca="false">(N1376-$K1376)^2</f>
        <v>0.019422603225</v>
      </c>
      <c r="AC1376" s="8" t="n">
        <f aca="false">(O1376-$K1376)^2</f>
        <v>0.011274829489</v>
      </c>
      <c r="AD1376" s="8" t="n">
        <f aca="false">(P1376-$K1376)^2</f>
        <v>0.022361912521</v>
      </c>
      <c r="AE1376" s="8" t="n">
        <f aca="false">MIN(INT(ROUND(N1376*1000000,0)/100000),9)</f>
        <v>1</v>
      </c>
      <c r="AF1376" s="8" t="n">
        <f aca="false">MIN(INT(ROUND(P1376*1000000,0)/100000),9)</f>
        <v>1</v>
      </c>
    </row>
    <row r="1377" customFormat="false" ht="15" hidden="false" customHeight="false" outlineLevel="0" collapsed="false">
      <c r="A1377" s="4" t="n">
        <v>1373</v>
      </c>
      <c r="B1377" s="4" t="n">
        <v>1324</v>
      </c>
      <c r="C1377" s="4" t="n">
        <v>3</v>
      </c>
      <c r="D1377" s="11" t="n">
        <v>46143</v>
      </c>
      <c r="E1377" s="4" t="s">
        <v>204</v>
      </c>
      <c r="F1377" s="4" t="s">
        <v>207</v>
      </c>
      <c r="G1377" s="4" t="n">
        <v>2</v>
      </c>
      <c r="H1377" s="4" t="n">
        <v>0</v>
      </c>
      <c r="I1377" s="4" t="n">
        <v>0</v>
      </c>
      <c r="J1377" s="4" t="n">
        <v>81</v>
      </c>
      <c r="K1377" s="4" t="n">
        <v>0</v>
      </c>
      <c r="L1377" s="12" t="n">
        <v>0.231275</v>
      </c>
      <c r="M1377" s="12" t="n">
        <v>0.092063</v>
      </c>
      <c r="N1377" s="12" t="n">
        <v>0.136963</v>
      </c>
      <c r="O1377" s="12" t="n">
        <v>0.106183</v>
      </c>
      <c r="P1377" s="12" t="n">
        <v>0.146871</v>
      </c>
      <c r="Q1377" s="0" t="str">
        <f aca="false">IF(L1377&gt;=Models!$G$5,1+COUNTIF($L$5:$L$1517,"&gt;"&amp;L1377)+COUNTIFS($L$5:$L$1517,L1377,$B$5:$B$1517,"&lt;"&amp;B1377)+COUNTIFS($L$5:$L$1517,L1377,$B$5:$B$1517,B1377,$C$5:$C$1517,"&lt;"&amp;C1377),"")</f>
        <v/>
      </c>
      <c r="R1377" s="0" t="str">
        <f aca="false">IF(M1377&gt;=Models!$G$6,1+COUNTIF($M$5:$M$1517,"&gt;"&amp;M1377)+COUNTIFS($M$5:$M$1517,M1377,$B$5:$B$1517,"&lt;"&amp;B1377)+COUNTIFS($M$5:$M$1517,M1377,$B$5:$B$1517,B1377,$C$5:$C$1517,"&lt;"&amp;C1377),"")</f>
        <v/>
      </c>
      <c r="S1377" s="0" t="str">
        <f aca="false">IF(N1377&gt;=Models!$G$7,1+COUNTIF($N$5:$N$1517,"&gt;"&amp;N1377)+COUNTIFS($N$5:$N$1517,N1377,$B$5:$B$1517,"&lt;"&amp;B1377)+COUNTIFS($N$5:$N$1517,N1377,$B$5:$B$1517,B1377,$C$5:$C$1517,"&lt;"&amp;C1377),"")</f>
        <v/>
      </c>
      <c r="T1377" s="8" t="n">
        <f aca="false">IF(O1377&gt;=Models!$G$8,1+COUNTIF($O$5:$O$1517,"&gt;"&amp;O1377)+COUNTIFS($O$5:$O$1517,O1377,$B$5:$B$1517,"&lt;"&amp;B1377)+COUNTIFS($O$5:$O$1517,O1377,$B$5:$B$1517,B1377,$C$5:$C$1517,"&lt;"&amp;C1377),"")</f>
        <v>1084</v>
      </c>
      <c r="U1377" s="8" t="n">
        <f aca="false">IF($K1377=1,COUNTIFS($L$5:$L$1517,"&gt;="&amp;L1377,$K$5:$K$1517,1)/COUNTIF($L$5:$L$1517,"&gt;="&amp;L1377),0)</f>
        <v>0</v>
      </c>
      <c r="V1377" s="8" t="n">
        <f aca="false">IF($K1377=1,COUNTIFS($M$5:$M$1517,"&gt;="&amp;M1377,$K$5:$K$1517,1)/COUNTIF($M$5:$M$1517,"&gt;="&amp;M1377),0)</f>
        <v>0</v>
      </c>
      <c r="W1377" s="8" t="n">
        <f aca="false">IF($K1377=1,COUNTIFS($N$5:$N$1517,"&gt;="&amp;N1377,$K$5:$K$1517,1)/COUNTIF($N$5:$N$1517,"&gt;="&amp;N1377),0)</f>
        <v>0</v>
      </c>
      <c r="X1377" s="8" t="n">
        <f aca="false">IF($K1377=1,COUNTIFS($O$5:$O$1517,"&gt;="&amp;O1377,$K$5:$K$1517,1)/COUNTIF($O$5:$O$1517,"&gt;="&amp;O1377),0)</f>
        <v>0</v>
      </c>
      <c r="Y1377" s="8" t="n">
        <f aca="false">IF($K1377=1,COUNTIFS($P$5:$P$1517,"&gt;="&amp;P1377,$K$5:$K$1517,1)/COUNTIF($P$5:$P$1517,"&gt;="&amp;P1377),0)</f>
        <v>0</v>
      </c>
      <c r="Z1377" s="8" t="n">
        <f aca="false">(L1377-$K1377)^2</f>
        <v>0.053488125625</v>
      </c>
      <c r="AA1377" s="8" t="n">
        <f aca="false">(M1377-$K1377)^2</f>
        <v>0.008475595969</v>
      </c>
      <c r="AB1377" s="8" t="n">
        <f aca="false">(N1377-$K1377)^2</f>
        <v>0.018758863369</v>
      </c>
      <c r="AC1377" s="8" t="n">
        <f aca="false">(O1377-$K1377)^2</f>
        <v>0.011274829489</v>
      </c>
      <c r="AD1377" s="8" t="n">
        <f aca="false">(P1377-$K1377)^2</f>
        <v>0.021571090641</v>
      </c>
      <c r="AE1377" s="8" t="n">
        <f aca="false">MIN(INT(ROUND(N1377*1000000,0)/100000),9)</f>
        <v>1</v>
      </c>
      <c r="AF1377" s="8" t="n">
        <f aca="false">MIN(INT(ROUND(P1377*1000000,0)/100000),9)</f>
        <v>1</v>
      </c>
    </row>
    <row r="1378" customFormat="false" ht="15" hidden="false" customHeight="false" outlineLevel="0" collapsed="false">
      <c r="A1378" s="4" t="n">
        <v>1374</v>
      </c>
      <c r="B1378" s="4" t="n">
        <v>1327</v>
      </c>
      <c r="C1378" s="4" t="n">
        <v>3</v>
      </c>
      <c r="D1378" s="11" t="n">
        <v>46143</v>
      </c>
      <c r="E1378" s="4" t="s">
        <v>202</v>
      </c>
      <c r="F1378" s="4" t="s">
        <v>207</v>
      </c>
      <c r="G1378" s="4" t="n">
        <v>1</v>
      </c>
      <c r="H1378" s="4" t="n">
        <v>23</v>
      </c>
      <c r="I1378" s="4" t="n">
        <v>0</v>
      </c>
      <c r="J1378" s="4" t="n">
        <v>765</v>
      </c>
      <c r="K1378" s="4" t="n">
        <v>1</v>
      </c>
      <c r="L1378" s="12" t="n">
        <v>0.703298</v>
      </c>
      <c r="M1378" s="12" t="n">
        <v>0.092063</v>
      </c>
      <c r="N1378" s="12" t="n">
        <v>0.167703</v>
      </c>
      <c r="O1378" s="12" t="n">
        <v>0.106183</v>
      </c>
      <c r="P1378" s="12" t="n">
        <v>0.18105</v>
      </c>
      <c r="Q1378" s="0" t="str">
        <f aca="false">IF(L1378&gt;=Models!$G$5,1+COUNTIF($L$5:$L$1517,"&gt;"&amp;L1378)+COUNTIFS($L$5:$L$1517,L1378,$B$5:$B$1517,"&lt;"&amp;B1378)+COUNTIFS($L$5:$L$1517,L1378,$B$5:$B$1517,B1378,$C$5:$C$1517,"&lt;"&amp;C1378),"")</f>
        <v/>
      </c>
      <c r="R1378" s="0" t="str">
        <f aca="false">IF(M1378&gt;=Models!$G$6,1+COUNTIF($M$5:$M$1517,"&gt;"&amp;M1378)+COUNTIFS($M$5:$M$1517,M1378,$B$5:$B$1517,"&lt;"&amp;B1378)+COUNTIFS($M$5:$M$1517,M1378,$B$5:$B$1517,B1378,$C$5:$C$1517,"&lt;"&amp;C1378),"")</f>
        <v/>
      </c>
      <c r="S1378" s="0" t="str">
        <f aca="false">IF(N1378&gt;=Models!$G$7,1+COUNTIF($N$5:$N$1517,"&gt;"&amp;N1378)+COUNTIFS($N$5:$N$1517,N1378,$B$5:$B$1517,"&lt;"&amp;B1378)+COUNTIFS($N$5:$N$1517,N1378,$B$5:$B$1517,B1378,$C$5:$C$1517,"&lt;"&amp;C1378),"")</f>
        <v/>
      </c>
      <c r="T1378" s="8" t="n">
        <f aca="false">IF(O1378&gt;=Models!$G$8,1+COUNTIF($O$5:$O$1517,"&gt;"&amp;O1378)+COUNTIFS($O$5:$O$1517,O1378,$B$5:$B$1517,"&lt;"&amp;B1378)+COUNTIFS($O$5:$O$1517,O1378,$B$5:$B$1517,B1378,$C$5:$C$1517,"&lt;"&amp;C1378),"")</f>
        <v>1088</v>
      </c>
      <c r="U1378" s="8" t="n">
        <f aca="false">IF($K1378=1,COUNTIFS($L$5:$L$1517,"&gt;="&amp;L1378,$K$5:$K$1517,1)/COUNTIF($L$5:$L$1517,"&gt;="&amp;L1378),0)</f>
        <v>0.126146788990826</v>
      </c>
      <c r="V1378" s="8" t="n">
        <f aca="false">IF($K1378=1,COUNTIFS($M$5:$M$1517,"&gt;="&amp;M1378,$K$5:$K$1517,1)/COUNTIF($M$5:$M$1517,"&gt;="&amp;M1378),0)</f>
        <v>0.12491738268341</v>
      </c>
      <c r="W1378" s="8" t="n">
        <f aca="false">IF($K1378=1,COUNTIFS($N$5:$N$1517,"&gt;="&amp;N1378,$K$5:$K$1517,1)/COUNTIF($N$5:$N$1517,"&gt;="&amp;N1378),0)</f>
        <v>0.310077519379845</v>
      </c>
      <c r="X1378" s="8" t="n">
        <f aca="false">IF($K1378=1,COUNTIFS($O$5:$O$1517,"&gt;="&amp;O1378,$K$5:$K$1517,1)/COUNTIF($O$5:$O$1517,"&gt;="&amp;O1378),0)</f>
        <v>0.12491738268341</v>
      </c>
      <c r="Y1378" s="8" t="n">
        <f aca="false">IF($K1378=1,COUNTIFS($P$5:$P$1517,"&gt;="&amp;P1378,$K$5:$K$1517,1)/COUNTIF($P$5:$P$1517,"&gt;="&amp;P1378),0)</f>
        <v>0.310077519379845</v>
      </c>
      <c r="Z1378" s="8" t="n">
        <f aca="false">(L1378-$K1378)^2</f>
        <v>0.088032076804</v>
      </c>
      <c r="AA1378" s="8" t="n">
        <f aca="false">(M1378-$K1378)^2</f>
        <v>0.824349595969</v>
      </c>
      <c r="AB1378" s="8" t="n">
        <f aca="false">(N1378-$K1378)^2</f>
        <v>0.692718296209</v>
      </c>
      <c r="AC1378" s="8" t="n">
        <f aca="false">(O1378-$K1378)^2</f>
        <v>0.798908829489</v>
      </c>
      <c r="AD1378" s="8" t="n">
        <f aca="false">(P1378-$K1378)^2</f>
        <v>0.6706791025</v>
      </c>
      <c r="AE1378" s="8" t="n">
        <f aca="false">MIN(INT(ROUND(N1378*1000000,0)/100000),9)</f>
        <v>1</v>
      </c>
      <c r="AF1378" s="8" t="n">
        <f aca="false">MIN(INT(ROUND(P1378*1000000,0)/100000),9)</f>
        <v>1</v>
      </c>
    </row>
    <row r="1379" customFormat="false" ht="15" hidden="false" customHeight="false" outlineLevel="0" collapsed="false">
      <c r="A1379" s="4" t="n">
        <v>1375</v>
      </c>
      <c r="B1379" s="4" t="n">
        <v>1328</v>
      </c>
      <c r="C1379" s="4" t="n">
        <v>3</v>
      </c>
      <c r="D1379" s="11" t="n">
        <v>46143</v>
      </c>
      <c r="E1379" s="4" t="s">
        <v>202</v>
      </c>
      <c r="F1379" s="4" t="s">
        <v>206</v>
      </c>
      <c r="G1379" s="4" t="n">
        <v>7</v>
      </c>
      <c r="H1379" s="4" t="n">
        <v>4</v>
      </c>
      <c r="I1379" s="4" t="n">
        <v>0</v>
      </c>
      <c r="J1379" s="4"/>
      <c r="K1379" s="4" t="n">
        <v>0</v>
      </c>
      <c r="L1379" s="12" t="n">
        <v>0.374012</v>
      </c>
      <c r="M1379" s="12" t="n">
        <v>0.092063</v>
      </c>
      <c r="N1379" s="12" t="n">
        <v>0.046977</v>
      </c>
      <c r="O1379" s="12" t="n">
        <v>0.106183</v>
      </c>
      <c r="P1379" s="12" t="n">
        <v>0.048144</v>
      </c>
      <c r="Q1379" s="0" t="str">
        <f aca="false">IF(L1379&gt;=Models!$G$5,1+COUNTIF($L$5:$L$1517,"&gt;"&amp;L1379)+COUNTIFS($L$5:$L$1517,L1379,$B$5:$B$1517,"&lt;"&amp;B1379)+COUNTIFS($L$5:$L$1517,L1379,$B$5:$B$1517,B1379,$C$5:$C$1517,"&lt;"&amp;C1379),"")</f>
        <v/>
      </c>
      <c r="R1379" s="0" t="str">
        <f aca="false">IF(M1379&gt;=Models!$G$6,1+COUNTIF($M$5:$M$1517,"&gt;"&amp;M1379)+COUNTIFS($M$5:$M$1517,M1379,$B$5:$B$1517,"&lt;"&amp;B1379)+COUNTIFS($M$5:$M$1517,M1379,$B$5:$B$1517,B1379,$C$5:$C$1517,"&lt;"&amp;C1379),"")</f>
        <v/>
      </c>
      <c r="S1379" s="0" t="str">
        <f aca="false">IF(N1379&gt;=Models!$G$7,1+COUNTIF($N$5:$N$1517,"&gt;"&amp;N1379)+COUNTIFS($N$5:$N$1517,N1379,$B$5:$B$1517,"&lt;"&amp;B1379)+COUNTIFS($N$5:$N$1517,N1379,$B$5:$B$1517,B1379,$C$5:$C$1517,"&lt;"&amp;C1379),"")</f>
        <v/>
      </c>
      <c r="T1379" s="8" t="n">
        <f aca="false">IF(O1379&gt;=Models!$G$8,1+COUNTIF($O$5:$O$1517,"&gt;"&amp;O1379)+COUNTIFS($O$5:$O$1517,O1379,$B$5:$B$1517,"&lt;"&amp;B1379)+COUNTIFS($O$5:$O$1517,O1379,$B$5:$B$1517,B1379,$C$5:$C$1517,"&lt;"&amp;C1379),"")</f>
        <v>1092</v>
      </c>
      <c r="U1379" s="8" t="n">
        <f aca="false">IF($K1379=1,COUNTIFS($L$5:$L$1517,"&gt;="&amp;L1379,$K$5:$K$1517,1)/COUNTIF($L$5:$L$1517,"&gt;="&amp;L1379),0)</f>
        <v>0</v>
      </c>
      <c r="V1379" s="8" t="n">
        <f aca="false">IF($K1379=1,COUNTIFS($M$5:$M$1517,"&gt;="&amp;M1379,$K$5:$K$1517,1)/COUNTIF($M$5:$M$1517,"&gt;="&amp;M1379),0)</f>
        <v>0</v>
      </c>
      <c r="W1379" s="8" t="n">
        <f aca="false">IF($K1379=1,COUNTIFS($N$5:$N$1517,"&gt;="&amp;N1379,$K$5:$K$1517,1)/COUNTIF($N$5:$N$1517,"&gt;="&amp;N1379),0)</f>
        <v>0</v>
      </c>
      <c r="X1379" s="8" t="n">
        <f aca="false">IF($K1379=1,COUNTIFS($O$5:$O$1517,"&gt;="&amp;O1379,$K$5:$K$1517,1)/COUNTIF($O$5:$O$1517,"&gt;="&amp;O1379),0)</f>
        <v>0</v>
      </c>
      <c r="Y1379" s="8" t="n">
        <f aca="false">IF($K1379=1,COUNTIFS($P$5:$P$1517,"&gt;="&amp;P1379,$K$5:$K$1517,1)/COUNTIF($P$5:$P$1517,"&gt;="&amp;P1379),0)</f>
        <v>0</v>
      </c>
      <c r="Z1379" s="8" t="n">
        <f aca="false">(L1379-$K1379)^2</f>
        <v>0.139884976144</v>
      </c>
      <c r="AA1379" s="8" t="n">
        <f aca="false">(M1379-$K1379)^2</f>
        <v>0.008475595969</v>
      </c>
      <c r="AB1379" s="8" t="n">
        <f aca="false">(N1379-$K1379)^2</f>
        <v>0.002206838529</v>
      </c>
      <c r="AC1379" s="8" t="n">
        <f aca="false">(O1379-$K1379)^2</f>
        <v>0.011274829489</v>
      </c>
      <c r="AD1379" s="8" t="n">
        <f aca="false">(P1379-$K1379)^2</f>
        <v>0.002317844736</v>
      </c>
      <c r="AE1379" s="8" t="n">
        <f aca="false">MIN(INT(ROUND(N1379*1000000,0)/100000),9)</f>
        <v>0</v>
      </c>
      <c r="AF1379" s="8" t="n">
        <f aca="false">MIN(INT(ROUND(P1379*1000000,0)/100000),9)</f>
        <v>0</v>
      </c>
    </row>
    <row r="1380" customFormat="false" ht="15" hidden="false" customHeight="false" outlineLevel="0" collapsed="false">
      <c r="A1380" s="4" t="n">
        <v>1376</v>
      </c>
      <c r="B1380" s="4" t="n">
        <v>1329</v>
      </c>
      <c r="C1380" s="4" t="n">
        <v>3</v>
      </c>
      <c r="D1380" s="11" t="n">
        <v>46143</v>
      </c>
      <c r="E1380" s="4" t="s">
        <v>203</v>
      </c>
      <c r="F1380" s="4" t="s">
        <v>207</v>
      </c>
      <c r="G1380" s="4" t="n">
        <v>7</v>
      </c>
      <c r="H1380" s="4" t="n">
        <v>2</v>
      </c>
      <c r="I1380" s="4" t="n">
        <v>0</v>
      </c>
      <c r="J1380" s="4"/>
      <c r="K1380" s="4" t="n">
        <v>0</v>
      </c>
      <c r="L1380" s="12" t="n">
        <v>0.820725</v>
      </c>
      <c r="M1380" s="12" t="n">
        <v>0.092063</v>
      </c>
      <c r="N1380" s="12" t="n">
        <v>0.046248</v>
      </c>
      <c r="O1380" s="12" t="n">
        <v>0.106183</v>
      </c>
      <c r="P1380" s="12" t="n">
        <v>0.047363</v>
      </c>
      <c r="Q1380" s="0" t="str">
        <f aca="false">IF(L1380&gt;=Models!$G$5,1+COUNTIF($L$5:$L$1517,"&gt;"&amp;L1380)+COUNTIFS($L$5:$L$1517,L1380,$B$5:$B$1517,"&lt;"&amp;B1380)+COUNTIFS($L$5:$L$1517,L1380,$B$5:$B$1517,B1380,$C$5:$C$1517,"&lt;"&amp;C1380),"")</f>
        <v/>
      </c>
      <c r="R1380" s="0" t="str">
        <f aca="false">IF(M1380&gt;=Models!$G$6,1+COUNTIF($M$5:$M$1517,"&gt;"&amp;M1380)+COUNTIFS($M$5:$M$1517,M1380,$B$5:$B$1517,"&lt;"&amp;B1380)+COUNTIFS($M$5:$M$1517,M1380,$B$5:$B$1517,B1380,$C$5:$C$1517,"&lt;"&amp;C1380),"")</f>
        <v/>
      </c>
      <c r="S1380" s="0" t="str">
        <f aca="false">IF(N1380&gt;=Models!$G$7,1+COUNTIF($N$5:$N$1517,"&gt;"&amp;N1380)+COUNTIFS($N$5:$N$1517,N1380,$B$5:$B$1517,"&lt;"&amp;B1380)+COUNTIFS($N$5:$N$1517,N1380,$B$5:$B$1517,B1380,$C$5:$C$1517,"&lt;"&amp;C1380),"")</f>
        <v/>
      </c>
      <c r="T1380" s="8" t="n">
        <f aca="false">IF(O1380&gt;=Models!$G$8,1+COUNTIF($O$5:$O$1517,"&gt;"&amp;O1380)+COUNTIFS($O$5:$O$1517,O1380,$B$5:$B$1517,"&lt;"&amp;B1380)+COUNTIFS($O$5:$O$1517,O1380,$B$5:$B$1517,B1380,$C$5:$C$1517,"&lt;"&amp;C1380),"")</f>
        <v>1096</v>
      </c>
      <c r="U1380" s="8" t="n">
        <f aca="false">IF($K1380=1,COUNTIFS($L$5:$L$1517,"&gt;="&amp;L1380,$K$5:$K$1517,1)/COUNTIF($L$5:$L$1517,"&gt;="&amp;L1380),0)</f>
        <v>0</v>
      </c>
      <c r="V1380" s="8" t="n">
        <f aca="false">IF($K1380=1,COUNTIFS($M$5:$M$1517,"&gt;="&amp;M1380,$K$5:$K$1517,1)/COUNTIF($M$5:$M$1517,"&gt;="&amp;M1380),0)</f>
        <v>0</v>
      </c>
      <c r="W1380" s="8" t="n">
        <f aca="false">IF($K1380=1,COUNTIFS($N$5:$N$1517,"&gt;="&amp;N1380,$K$5:$K$1517,1)/COUNTIF($N$5:$N$1517,"&gt;="&amp;N1380),0)</f>
        <v>0</v>
      </c>
      <c r="X1380" s="8" t="n">
        <f aca="false">IF($K1380=1,COUNTIFS($O$5:$O$1517,"&gt;="&amp;O1380,$K$5:$K$1517,1)/COUNTIF($O$5:$O$1517,"&gt;="&amp;O1380),0)</f>
        <v>0</v>
      </c>
      <c r="Y1380" s="8" t="n">
        <f aca="false">IF($K1380=1,COUNTIFS($P$5:$P$1517,"&gt;="&amp;P1380,$K$5:$K$1517,1)/COUNTIF($P$5:$P$1517,"&gt;="&amp;P1380),0)</f>
        <v>0</v>
      </c>
      <c r="Z1380" s="8" t="n">
        <f aca="false">(L1380-$K1380)^2</f>
        <v>0.673589525625</v>
      </c>
      <c r="AA1380" s="8" t="n">
        <f aca="false">(M1380-$K1380)^2</f>
        <v>0.008475595969</v>
      </c>
      <c r="AB1380" s="8" t="n">
        <f aca="false">(N1380-$K1380)^2</f>
        <v>0.002138877504</v>
      </c>
      <c r="AC1380" s="8" t="n">
        <f aca="false">(O1380-$K1380)^2</f>
        <v>0.011274829489</v>
      </c>
      <c r="AD1380" s="8" t="n">
        <f aca="false">(P1380-$K1380)^2</f>
        <v>0.002243253769</v>
      </c>
      <c r="AE1380" s="8" t="n">
        <f aca="false">MIN(INT(ROUND(N1380*1000000,0)/100000),9)</f>
        <v>0</v>
      </c>
      <c r="AF1380" s="8" t="n">
        <f aca="false">MIN(INT(ROUND(P1380*1000000,0)/100000),9)</f>
        <v>0</v>
      </c>
    </row>
    <row r="1381" customFormat="false" ht="15" hidden="false" customHeight="false" outlineLevel="0" collapsed="false">
      <c r="A1381" s="4" t="n">
        <v>1377</v>
      </c>
      <c r="B1381" s="4" t="n">
        <v>1337</v>
      </c>
      <c r="C1381" s="4" t="n">
        <v>3</v>
      </c>
      <c r="D1381" s="11" t="n">
        <v>46143</v>
      </c>
      <c r="E1381" s="4" t="s">
        <v>202</v>
      </c>
      <c r="F1381" s="4" t="s">
        <v>206</v>
      </c>
      <c r="G1381" s="4" t="n">
        <v>2</v>
      </c>
      <c r="H1381" s="4" t="n">
        <v>0</v>
      </c>
      <c r="I1381" s="4" t="n">
        <v>0</v>
      </c>
      <c r="J1381" s="4" t="n">
        <v>1311</v>
      </c>
      <c r="K1381" s="4" t="n">
        <v>0</v>
      </c>
      <c r="L1381" s="12" t="n">
        <v>0.483355</v>
      </c>
      <c r="M1381" s="12" t="n">
        <v>0.092063</v>
      </c>
      <c r="N1381" s="12" t="n">
        <v>0.128737</v>
      </c>
      <c r="O1381" s="12" t="n">
        <v>0.106183</v>
      </c>
      <c r="P1381" s="12" t="n">
        <v>0.137741</v>
      </c>
      <c r="Q1381" s="0" t="str">
        <f aca="false">IF(L1381&gt;=Models!$G$5,1+COUNTIF($L$5:$L$1517,"&gt;"&amp;L1381)+COUNTIFS($L$5:$L$1517,L1381,$B$5:$B$1517,"&lt;"&amp;B1381)+COUNTIFS($L$5:$L$1517,L1381,$B$5:$B$1517,B1381,$C$5:$C$1517,"&lt;"&amp;C1381),"")</f>
        <v/>
      </c>
      <c r="R1381" s="0" t="str">
        <f aca="false">IF(M1381&gt;=Models!$G$6,1+COUNTIF($M$5:$M$1517,"&gt;"&amp;M1381)+COUNTIFS($M$5:$M$1517,M1381,$B$5:$B$1517,"&lt;"&amp;B1381)+COUNTIFS($M$5:$M$1517,M1381,$B$5:$B$1517,B1381,$C$5:$C$1517,"&lt;"&amp;C1381),"")</f>
        <v/>
      </c>
      <c r="S1381" s="0" t="str">
        <f aca="false">IF(N1381&gt;=Models!$G$7,1+COUNTIF($N$5:$N$1517,"&gt;"&amp;N1381)+COUNTIFS($N$5:$N$1517,N1381,$B$5:$B$1517,"&lt;"&amp;B1381)+COUNTIFS($N$5:$N$1517,N1381,$B$5:$B$1517,B1381,$C$5:$C$1517,"&lt;"&amp;C1381),"")</f>
        <v/>
      </c>
      <c r="T1381" s="8" t="n">
        <f aca="false">IF(O1381&gt;=Models!$G$8,1+COUNTIF($O$5:$O$1517,"&gt;"&amp;O1381)+COUNTIFS($O$5:$O$1517,O1381,$B$5:$B$1517,"&lt;"&amp;B1381)+COUNTIFS($O$5:$O$1517,O1381,$B$5:$B$1517,B1381,$C$5:$C$1517,"&lt;"&amp;C1381),"")</f>
        <v>1100</v>
      </c>
      <c r="U1381" s="8" t="n">
        <f aca="false">IF($K1381=1,COUNTIFS($L$5:$L$1517,"&gt;="&amp;L1381,$K$5:$K$1517,1)/COUNTIF($L$5:$L$1517,"&gt;="&amp;L1381),0)</f>
        <v>0</v>
      </c>
      <c r="V1381" s="8" t="n">
        <f aca="false">IF($K1381=1,COUNTIFS($M$5:$M$1517,"&gt;="&amp;M1381,$K$5:$K$1517,1)/COUNTIF($M$5:$M$1517,"&gt;="&amp;M1381),0)</f>
        <v>0</v>
      </c>
      <c r="W1381" s="8" t="n">
        <f aca="false">IF($K1381=1,COUNTIFS($N$5:$N$1517,"&gt;="&amp;N1381,$K$5:$K$1517,1)/COUNTIF($N$5:$N$1517,"&gt;="&amp;N1381),0)</f>
        <v>0</v>
      </c>
      <c r="X1381" s="8" t="n">
        <f aca="false">IF($K1381=1,COUNTIFS($O$5:$O$1517,"&gt;="&amp;O1381,$K$5:$K$1517,1)/COUNTIF($O$5:$O$1517,"&gt;="&amp;O1381),0)</f>
        <v>0</v>
      </c>
      <c r="Y1381" s="8" t="n">
        <f aca="false">IF($K1381=1,COUNTIFS($P$5:$P$1517,"&gt;="&amp;P1381,$K$5:$K$1517,1)/COUNTIF($P$5:$P$1517,"&gt;="&amp;P1381),0)</f>
        <v>0</v>
      </c>
      <c r="Z1381" s="8" t="n">
        <f aca="false">(L1381-$K1381)^2</f>
        <v>0.233632056025</v>
      </c>
      <c r="AA1381" s="8" t="n">
        <f aca="false">(M1381-$K1381)^2</f>
        <v>0.008475595969</v>
      </c>
      <c r="AB1381" s="8" t="n">
        <f aca="false">(N1381-$K1381)^2</f>
        <v>0.016573215169</v>
      </c>
      <c r="AC1381" s="8" t="n">
        <f aca="false">(O1381-$K1381)^2</f>
        <v>0.011274829489</v>
      </c>
      <c r="AD1381" s="8" t="n">
        <f aca="false">(P1381-$K1381)^2</f>
        <v>0.018972583081</v>
      </c>
      <c r="AE1381" s="8" t="n">
        <f aca="false">MIN(INT(ROUND(N1381*1000000,0)/100000),9)</f>
        <v>1</v>
      </c>
      <c r="AF1381" s="8" t="n">
        <f aca="false">MIN(INT(ROUND(P1381*1000000,0)/100000),9)</f>
        <v>1</v>
      </c>
    </row>
    <row r="1382" customFormat="false" ht="15" hidden="false" customHeight="false" outlineLevel="0" collapsed="false">
      <c r="A1382" s="4" t="n">
        <v>1378</v>
      </c>
      <c r="B1382" s="4" t="n">
        <v>1338</v>
      </c>
      <c r="C1382" s="4" t="n">
        <v>3</v>
      </c>
      <c r="D1382" s="11" t="n">
        <v>46143</v>
      </c>
      <c r="E1382" s="4" t="s">
        <v>203</v>
      </c>
      <c r="F1382" s="4" t="s">
        <v>208</v>
      </c>
      <c r="G1382" s="4" t="n">
        <v>1</v>
      </c>
      <c r="H1382" s="4" t="n">
        <v>3</v>
      </c>
      <c r="I1382" s="4" t="n">
        <v>0</v>
      </c>
      <c r="J1382" s="4"/>
      <c r="K1382" s="4" t="n">
        <v>0</v>
      </c>
      <c r="L1382" s="12" t="n">
        <v>0.861451</v>
      </c>
      <c r="M1382" s="12" t="n">
        <v>0.092063</v>
      </c>
      <c r="N1382" s="12" t="n">
        <v>0.077399</v>
      </c>
      <c r="O1382" s="12" t="n">
        <v>0.106183</v>
      </c>
      <c r="P1382" s="12" t="n">
        <v>0.081125</v>
      </c>
      <c r="Q1382" s="0" t="str">
        <f aca="false">IF(L1382&gt;=Models!$G$5,1+COUNTIF($L$5:$L$1517,"&gt;"&amp;L1382)+COUNTIFS($L$5:$L$1517,L1382,$B$5:$B$1517,"&lt;"&amp;B1382)+COUNTIFS($L$5:$L$1517,L1382,$B$5:$B$1517,B1382,$C$5:$C$1517,"&lt;"&amp;C1382),"")</f>
        <v/>
      </c>
      <c r="R1382" s="0" t="str">
        <f aca="false">IF(M1382&gt;=Models!$G$6,1+COUNTIF($M$5:$M$1517,"&gt;"&amp;M1382)+COUNTIFS($M$5:$M$1517,M1382,$B$5:$B$1517,"&lt;"&amp;B1382)+COUNTIFS($M$5:$M$1517,M1382,$B$5:$B$1517,B1382,$C$5:$C$1517,"&lt;"&amp;C1382),"")</f>
        <v/>
      </c>
      <c r="S1382" s="0" t="str">
        <f aca="false">IF(N1382&gt;=Models!$G$7,1+COUNTIF($N$5:$N$1517,"&gt;"&amp;N1382)+COUNTIFS($N$5:$N$1517,N1382,$B$5:$B$1517,"&lt;"&amp;B1382)+COUNTIFS($N$5:$N$1517,N1382,$B$5:$B$1517,B1382,$C$5:$C$1517,"&lt;"&amp;C1382),"")</f>
        <v/>
      </c>
      <c r="T1382" s="8" t="n">
        <f aca="false">IF(O1382&gt;=Models!$G$8,1+COUNTIF($O$5:$O$1517,"&gt;"&amp;O1382)+COUNTIFS($O$5:$O$1517,O1382,$B$5:$B$1517,"&lt;"&amp;B1382)+COUNTIFS($O$5:$O$1517,O1382,$B$5:$B$1517,B1382,$C$5:$C$1517,"&lt;"&amp;C1382),"")</f>
        <v>1104</v>
      </c>
      <c r="U1382" s="8" t="n">
        <f aca="false">IF($K1382=1,COUNTIFS($L$5:$L$1517,"&gt;="&amp;L1382,$K$5:$K$1517,1)/COUNTIF($L$5:$L$1517,"&gt;="&amp;L1382),0)</f>
        <v>0</v>
      </c>
      <c r="V1382" s="8" t="n">
        <f aca="false">IF($K1382=1,COUNTIFS($M$5:$M$1517,"&gt;="&amp;M1382,$K$5:$K$1517,1)/COUNTIF($M$5:$M$1517,"&gt;="&amp;M1382),0)</f>
        <v>0</v>
      </c>
      <c r="W1382" s="8" t="n">
        <f aca="false">IF($K1382=1,COUNTIFS($N$5:$N$1517,"&gt;="&amp;N1382,$K$5:$K$1517,1)/COUNTIF($N$5:$N$1517,"&gt;="&amp;N1382),0)</f>
        <v>0</v>
      </c>
      <c r="X1382" s="8" t="n">
        <f aca="false">IF($K1382=1,COUNTIFS($O$5:$O$1517,"&gt;="&amp;O1382,$K$5:$K$1517,1)/COUNTIF($O$5:$O$1517,"&gt;="&amp;O1382),0)</f>
        <v>0</v>
      </c>
      <c r="Y1382" s="8" t="n">
        <f aca="false">IF($K1382=1,COUNTIFS($P$5:$P$1517,"&gt;="&amp;P1382,$K$5:$K$1517,1)/COUNTIF($P$5:$P$1517,"&gt;="&amp;P1382),0)</f>
        <v>0</v>
      </c>
      <c r="Z1382" s="8" t="n">
        <f aca="false">(L1382-$K1382)^2</f>
        <v>0.742097825401</v>
      </c>
      <c r="AA1382" s="8" t="n">
        <f aca="false">(M1382-$K1382)^2</f>
        <v>0.008475595969</v>
      </c>
      <c r="AB1382" s="8" t="n">
        <f aca="false">(N1382-$K1382)^2</f>
        <v>0.005990605201</v>
      </c>
      <c r="AC1382" s="8" t="n">
        <f aca="false">(O1382-$K1382)^2</f>
        <v>0.011274829489</v>
      </c>
      <c r="AD1382" s="8" t="n">
        <f aca="false">(P1382-$K1382)^2</f>
        <v>0.006581265625</v>
      </c>
      <c r="AE1382" s="8" t="n">
        <f aca="false">MIN(INT(ROUND(N1382*1000000,0)/100000),9)</f>
        <v>0</v>
      </c>
      <c r="AF1382" s="8" t="n">
        <f aca="false">MIN(INT(ROUND(P1382*1000000,0)/100000),9)</f>
        <v>0</v>
      </c>
    </row>
    <row r="1383" customFormat="false" ht="15" hidden="false" customHeight="false" outlineLevel="0" collapsed="false">
      <c r="A1383" s="4" t="n">
        <v>1379</v>
      </c>
      <c r="B1383" s="4" t="n">
        <v>1342</v>
      </c>
      <c r="C1383" s="4" t="n">
        <v>3</v>
      </c>
      <c r="D1383" s="11" t="n">
        <v>46143</v>
      </c>
      <c r="E1383" s="4" t="s">
        <v>204</v>
      </c>
      <c r="F1383" s="4" t="s">
        <v>206</v>
      </c>
      <c r="G1383" s="4" t="n">
        <v>1</v>
      </c>
      <c r="H1383" s="4" t="n">
        <v>27</v>
      </c>
      <c r="I1383" s="4" t="n">
        <v>0</v>
      </c>
      <c r="J1383" s="4" t="n">
        <v>93</v>
      </c>
      <c r="K1383" s="4" t="n">
        <v>1</v>
      </c>
      <c r="L1383" s="12" t="n">
        <v>0.511457</v>
      </c>
      <c r="M1383" s="12" t="n">
        <v>0.092063</v>
      </c>
      <c r="N1383" s="12" t="n">
        <v>0.177965</v>
      </c>
      <c r="O1383" s="12" t="n">
        <v>0.106183</v>
      </c>
      <c r="P1383" s="12" t="n">
        <v>0.192471</v>
      </c>
      <c r="Q1383" s="0" t="str">
        <f aca="false">IF(L1383&gt;=Models!$G$5,1+COUNTIF($L$5:$L$1517,"&gt;"&amp;L1383)+COUNTIFS($L$5:$L$1517,L1383,$B$5:$B$1517,"&lt;"&amp;B1383)+COUNTIFS($L$5:$L$1517,L1383,$B$5:$B$1517,B1383,$C$5:$C$1517,"&lt;"&amp;C1383),"")</f>
        <v/>
      </c>
      <c r="R1383" s="0" t="str">
        <f aca="false">IF(M1383&gt;=Models!$G$6,1+COUNTIF($M$5:$M$1517,"&gt;"&amp;M1383)+COUNTIFS($M$5:$M$1517,M1383,$B$5:$B$1517,"&lt;"&amp;B1383)+COUNTIFS($M$5:$M$1517,M1383,$B$5:$B$1517,B1383,$C$5:$C$1517,"&lt;"&amp;C1383),"")</f>
        <v/>
      </c>
      <c r="S1383" s="0" t="str">
        <f aca="false">IF(N1383&gt;=Models!$G$7,1+COUNTIF($N$5:$N$1517,"&gt;"&amp;N1383)+COUNTIFS($N$5:$N$1517,N1383,$B$5:$B$1517,"&lt;"&amp;B1383)+COUNTIFS($N$5:$N$1517,N1383,$B$5:$B$1517,B1383,$C$5:$C$1517,"&lt;"&amp;C1383),"")</f>
        <v/>
      </c>
      <c r="T1383" s="8" t="n">
        <f aca="false">IF(O1383&gt;=Models!$G$8,1+COUNTIF($O$5:$O$1517,"&gt;"&amp;O1383)+COUNTIFS($O$5:$O$1517,O1383,$B$5:$B$1517,"&lt;"&amp;B1383)+COUNTIFS($O$5:$O$1517,O1383,$B$5:$B$1517,B1383,$C$5:$C$1517,"&lt;"&amp;C1383),"")</f>
        <v>1108</v>
      </c>
      <c r="U1383" s="8" t="n">
        <f aca="false">IF($K1383=1,COUNTIFS($L$5:$L$1517,"&gt;="&amp;L1383,$K$5:$K$1517,1)/COUNTIF($L$5:$L$1517,"&gt;="&amp;L1383),0)</f>
        <v>0.12125340599455</v>
      </c>
      <c r="V1383" s="8" t="n">
        <f aca="false">IF($K1383=1,COUNTIFS($M$5:$M$1517,"&gt;="&amp;M1383,$K$5:$K$1517,1)/COUNTIF($M$5:$M$1517,"&gt;="&amp;M1383),0)</f>
        <v>0.12491738268341</v>
      </c>
      <c r="W1383" s="8" t="n">
        <f aca="false">IF($K1383=1,COUNTIFS($N$5:$N$1517,"&gt;="&amp;N1383,$K$5:$K$1517,1)/COUNTIF($N$5:$N$1517,"&gt;="&amp;N1383),0)</f>
        <v>0.322916666666667</v>
      </c>
      <c r="X1383" s="8" t="n">
        <f aca="false">IF($K1383=1,COUNTIFS($O$5:$O$1517,"&gt;="&amp;O1383,$K$5:$K$1517,1)/COUNTIF($O$5:$O$1517,"&gt;="&amp;O1383),0)</f>
        <v>0.12491738268341</v>
      </c>
      <c r="Y1383" s="8" t="n">
        <f aca="false">IF($K1383=1,COUNTIFS($P$5:$P$1517,"&gt;="&amp;P1383,$K$5:$K$1517,1)/COUNTIF($P$5:$P$1517,"&gt;="&amp;P1383),0)</f>
        <v>0.322916666666667</v>
      </c>
      <c r="Z1383" s="8" t="n">
        <f aca="false">(L1383-$K1383)^2</f>
        <v>0.238674262849</v>
      </c>
      <c r="AA1383" s="8" t="n">
        <f aca="false">(M1383-$K1383)^2</f>
        <v>0.824349595969</v>
      </c>
      <c r="AB1383" s="8" t="n">
        <f aca="false">(N1383-$K1383)^2</f>
        <v>0.675741541225</v>
      </c>
      <c r="AC1383" s="8" t="n">
        <f aca="false">(O1383-$K1383)^2</f>
        <v>0.798908829489</v>
      </c>
      <c r="AD1383" s="8" t="n">
        <f aca="false">(P1383-$K1383)^2</f>
        <v>0.652103085841</v>
      </c>
      <c r="AE1383" s="8" t="n">
        <f aca="false">MIN(INT(ROUND(N1383*1000000,0)/100000),9)</f>
        <v>1</v>
      </c>
      <c r="AF1383" s="8" t="n">
        <f aca="false">MIN(INT(ROUND(P1383*1000000,0)/100000),9)</f>
        <v>1</v>
      </c>
    </row>
    <row r="1384" customFormat="false" ht="15" hidden="false" customHeight="false" outlineLevel="0" collapsed="false">
      <c r="A1384" s="4" t="n">
        <v>1380</v>
      </c>
      <c r="B1384" s="4" t="n">
        <v>1351</v>
      </c>
      <c r="C1384" s="4" t="n">
        <v>3</v>
      </c>
      <c r="D1384" s="11" t="n">
        <v>46143</v>
      </c>
      <c r="E1384" s="4" t="s">
        <v>204</v>
      </c>
      <c r="F1384" s="4" t="s">
        <v>210</v>
      </c>
      <c r="G1384" s="4" t="n">
        <v>5</v>
      </c>
      <c r="H1384" s="4" t="n">
        <v>0</v>
      </c>
      <c r="I1384" s="4" t="n">
        <v>0</v>
      </c>
      <c r="J1384" s="4" t="n">
        <v>81</v>
      </c>
      <c r="K1384" s="4" t="n">
        <v>0</v>
      </c>
      <c r="L1384" s="12" t="n">
        <v>0.001348</v>
      </c>
      <c r="M1384" s="12" t="n">
        <v>0.092063</v>
      </c>
      <c r="N1384" s="12" t="n">
        <v>0.108059</v>
      </c>
      <c r="O1384" s="12" t="n">
        <v>0.106183</v>
      </c>
      <c r="P1384" s="12" t="n">
        <v>0.114845</v>
      </c>
      <c r="Q1384" s="0" t="str">
        <f aca="false">IF(L1384&gt;=Models!$G$5,1+COUNTIF($L$5:$L$1517,"&gt;"&amp;L1384)+COUNTIFS($L$5:$L$1517,L1384,$B$5:$B$1517,"&lt;"&amp;B1384)+COUNTIFS($L$5:$L$1517,L1384,$B$5:$B$1517,B1384,$C$5:$C$1517,"&lt;"&amp;C1384),"")</f>
        <v/>
      </c>
      <c r="R1384" s="0" t="str">
        <f aca="false">IF(M1384&gt;=Models!$G$6,1+COUNTIF($M$5:$M$1517,"&gt;"&amp;M1384)+COUNTIFS($M$5:$M$1517,M1384,$B$5:$B$1517,"&lt;"&amp;B1384)+COUNTIFS($M$5:$M$1517,M1384,$B$5:$B$1517,B1384,$C$5:$C$1517,"&lt;"&amp;C1384),"")</f>
        <v/>
      </c>
      <c r="S1384" s="0" t="str">
        <f aca="false">IF(N1384&gt;=Models!$G$7,1+COUNTIF($N$5:$N$1517,"&gt;"&amp;N1384)+COUNTIFS($N$5:$N$1517,N1384,$B$5:$B$1517,"&lt;"&amp;B1384)+COUNTIFS($N$5:$N$1517,N1384,$B$5:$B$1517,B1384,$C$5:$C$1517,"&lt;"&amp;C1384),"")</f>
        <v/>
      </c>
      <c r="T1384" s="8" t="n">
        <f aca="false">IF(O1384&gt;=Models!$G$8,1+COUNTIF($O$5:$O$1517,"&gt;"&amp;O1384)+COUNTIFS($O$5:$O$1517,O1384,$B$5:$B$1517,"&lt;"&amp;B1384)+COUNTIFS($O$5:$O$1517,O1384,$B$5:$B$1517,B1384,$C$5:$C$1517,"&lt;"&amp;C1384),"")</f>
        <v>1112</v>
      </c>
      <c r="U1384" s="8" t="n">
        <f aca="false">IF($K1384=1,COUNTIFS($L$5:$L$1517,"&gt;="&amp;L1384,$K$5:$K$1517,1)/COUNTIF($L$5:$L$1517,"&gt;="&amp;L1384),0)</f>
        <v>0</v>
      </c>
      <c r="V1384" s="8" t="n">
        <f aca="false">IF($K1384=1,COUNTIFS($M$5:$M$1517,"&gt;="&amp;M1384,$K$5:$K$1517,1)/COUNTIF($M$5:$M$1517,"&gt;="&amp;M1384),0)</f>
        <v>0</v>
      </c>
      <c r="W1384" s="8" t="n">
        <f aca="false">IF($K1384=1,COUNTIFS($N$5:$N$1517,"&gt;="&amp;N1384,$K$5:$K$1517,1)/COUNTIF($N$5:$N$1517,"&gt;="&amp;N1384),0)</f>
        <v>0</v>
      </c>
      <c r="X1384" s="8" t="n">
        <f aca="false">IF($K1384=1,COUNTIFS($O$5:$O$1517,"&gt;="&amp;O1384,$K$5:$K$1517,1)/COUNTIF($O$5:$O$1517,"&gt;="&amp;O1384),0)</f>
        <v>0</v>
      </c>
      <c r="Y1384" s="8" t="n">
        <f aca="false">IF($K1384=1,COUNTIFS($P$5:$P$1517,"&gt;="&amp;P1384,$K$5:$K$1517,1)/COUNTIF($P$5:$P$1517,"&gt;="&amp;P1384),0)</f>
        <v>0</v>
      </c>
      <c r="Z1384" s="8" t="n">
        <f aca="false">(L1384-$K1384)^2</f>
        <v>1.817104E-006</v>
      </c>
      <c r="AA1384" s="8" t="n">
        <f aca="false">(M1384-$K1384)^2</f>
        <v>0.008475595969</v>
      </c>
      <c r="AB1384" s="8" t="n">
        <f aca="false">(N1384-$K1384)^2</f>
        <v>0.011676747481</v>
      </c>
      <c r="AC1384" s="8" t="n">
        <f aca="false">(O1384-$K1384)^2</f>
        <v>0.011274829489</v>
      </c>
      <c r="AD1384" s="8" t="n">
        <f aca="false">(P1384-$K1384)^2</f>
        <v>0.013189374025</v>
      </c>
      <c r="AE1384" s="8" t="n">
        <f aca="false">MIN(INT(ROUND(N1384*1000000,0)/100000),9)</f>
        <v>1</v>
      </c>
      <c r="AF1384" s="8" t="n">
        <f aca="false">MIN(INT(ROUND(P1384*1000000,0)/100000),9)</f>
        <v>1</v>
      </c>
    </row>
    <row r="1385" customFormat="false" ht="15" hidden="false" customHeight="false" outlineLevel="0" collapsed="false">
      <c r="A1385" s="4" t="n">
        <v>1381</v>
      </c>
      <c r="B1385" s="4" t="n">
        <v>1353</v>
      </c>
      <c r="C1385" s="4" t="n">
        <v>3</v>
      </c>
      <c r="D1385" s="11" t="n">
        <v>46143</v>
      </c>
      <c r="E1385" s="4" t="s">
        <v>204</v>
      </c>
      <c r="F1385" s="4" t="s">
        <v>209</v>
      </c>
      <c r="G1385" s="4" t="n">
        <v>3</v>
      </c>
      <c r="H1385" s="4" t="n">
        <v>11</v>
      </c>
      <c r="I1385" s="4" t="n">
        <v>0</v>
      </c>
      <c r="J1385" s="4" t="n">
        <v>111</v>
      </c>
      <c r="K1385" s="4" t="n">
        <v>0</v>
      </c>
      <c r="L1385" s="12" t="n">
        <v>0.841459</v>
      </c>
      <c r="M1385" s="12" t="n">
        <v>0.092063</v>
      </c>
      <c r="N1385" s="12" t="n">
        <v>0.136775</v>
      </c>
      <c r="O1385" s="12" t="n">
        <v>0.106183</v>
      </c>
      <c r="P1385" s="12" t="n">
        <v>0.146662</v>
      </c>
      <c r="Q1385" s="0" t="str">
        <f aca="false">IF(L1385&gt;=Models!$G$5,1+COUNTIF($L$5:$L$1517,"&gt;"&amp;L1385)+COUNTIFS($L$5:$L$1517,L1385,$B$5:$B$1517,"&lt;"&amp;B1385)+COUNTIFS($L$5:$L$1517,L1385,$B$5:$B$1517,B1385,$C$5:$C$1517,"&lt;"&amp;C1385),"")</f>
        <v/>
      </c>
      <c r="R1385" s="0" t="str">
        <f aca="false">IF(M1385&gt;=Models!$G$6,1+COUNTIF($M$5:$M$1517,"&gt;"&amp;M1385)+COUNTIFS($M$5:$M$1517,M1385,$B$5:$B$1517,"&lt;"&amp;B1385)+COUNTIFS($M$5:$M$1517,M1385,$B$5:$B$1517,B1385,$C$5:$C$1517,"&lt;"&amp;C1385),"")</f>
        <v/>
      </c>
      <c r="S1385" s="0" t="str">
        <f aca="false">IF(N1385&gt;=Models!$G$7,1+COUNTIF($N$5:$N$1517,"&gt;"&amp;N1385)+COUNTIFS($N$5:$N$1517,N1385,$B$5:$B$1517,"&lt;"&amp;B1385)+COUNTIFS($N$5:$N$1517,N1385,$B$5:$B$1517,B1385,$C$5:$C$1517,"&lt;"&amp;C1385),"")</f>
        <v/>
      </c>
      <c r="T1385" s="8" t="n">
        <f aca="false">IF(O1385&gt;=Models!$G$8,1+COUNTIF($O$5:$O$1517,"&gt;"&amp;O1385)+COUNTIFS($O$5:$O$1517,O1385,$B$5:$B$1517,"&lt;"&amp;B1385)+COUNTIFS($O$5:$O$1517,O1385,$B$5:$B$1517,B1385,$C$5:$C$1517,"&lt;"&amp;C1385),"")</f>
        <v>1116</v>
      </c>
      <c r="U1385" s="8" t="n">
        <f aca="false">IF($K1385=1,COUNTIFS($L$5:$L$1517,"&gt;="&amp;L1385,$K$5:$K$1517,1)/COUNTIF($L$5:$L$1517,"&gt;="&amp;L1385),0)</f>
        <v>0</v>
      </c>
      <c r="V1385" s="8" t="n">
        <f aca="false">IF($K1385=1,COUNTIFS($M$5:$M$1517,"&gt;="&amp;M1385,$K$5:$K$1517,1)/COUNTIF($M$5:$M$1517,"&gt;="&amp;M1385),0)</f>
        <v>0</v>
      </c>
      <c r="W1385" s="8" t="n">
        <f aca="false">IF($K1385=1,COUNTIFS($N$5:$N$1517,"&gt;="&amp;N1385,$K$5:$K$1517,1)/COUNTIF($N$5:$N$1517,"&gt;="&amp;N1385),0)</f>
        <v>0</v>
      </c>
      <c r="X1385" s="8" t="n">
        <f aca="false">IF($K1385=1,COUNTIFS($O$5:$O$1517,"&gt;="&amp;O1385,$K$5:$K$1517,1)/COUNTIF($O$5:$O$1517,"&gt;="&amp;O1385),0)</f>
        <v>0</v>
      </c>
      <c r="Y1385" s="8" t="n">
        <f aca="false">IF($K1385=1,COUNTIFS($P$5:$P$1517,"&gt;="&amp;P1385,$K$5:$K$1517,1)/COUNTIF($P$5:$P$1517,"&gt;="&amp;P1385),0)</f>
        <v>0</v>
      </c>
      <c r="Z1385" s="8" t="n">
        <f aca="false">(L1385-$K1385)^2</f>
        <v>0.708053248681</v>
      </c>
      <c r="AA1385" s="8" t="n">
        <f aca="false">(M1385-$K1385)^2</f>
        <v>0.008475595969</v>
      </c>
      <c r="AB1385" s="8" t="n">
        <f aca="false">(N1385-$K1385)^2</f>
        <v>0.018707400625</v>
      </c>
      <c r="AC1385" s="8" t="n">
        <f aca="false">(O1385-$K1385)^2</f>
        <v>0.011274829489</v>
      </c>
      <c r="AD1385" s="8" t="n">
        <f aca="false">(P1385-$K1385)^2</f>
        <v>0.021509742244</v>
      </c>
      <c r="AE1385" s="8" t="n">
        <f aca="false">MIN(INT(ROUND(N1385*1000000,0)/100000),9)</f>
        <v>1</v>
      </c>
      <c r="AF1385" s="8" t="n">
        <f aca="false">MIN(INT(ROUND(P1385*1000000,0)/100000),9)</f>
        <v>1</v>
      </c>
    </row>
    <row r="1386" customFormat="false" ht="15" hidden="false" customHeight="false" outlineLevel="0" collapsed="false">
      <c r="A1386" s="4" t="n">
        <v>1382</v>
      </c>
      <c r="B1386" s="4" t="n">
        <v>1357</v>
      </c>
      <c r="C1386" s="4" t="n">
        <v>3</v>
      </c>
      <c r="D1386" s="11" t="n">
        <v>46143</v>
      </c>
      <c r="E1386" s="4" t="s">
        <v>203</v>
      </c>
      <c r="F1386" s="4" t="s">
        <v>206</v>
      </c>
      <c r="G1386" s="4" t="n">
        <v>6</v>
      </c>
      <c r="H1386" s="4" t="n">
        <v>0</v>
      </c>
      <c r="I1386" s="4" t="n">
        <v>0</v>
      </c>
      <c r="J1386" s="4" t="n">
        <v>357</v>
      </c>
      <c r="K1386" s="4" t="n">
        <v>0</v>
      </c>
      <c r="L1386" s="12" t="n">
        <v>0.009062</v>
      </c>
      <c r="M1386" s="12" t="n">
        <v>0.092063</v>
      </c>
      <c r="N1386" s="12" t="n">
        <v>0.098257</v>
      </c>
      <c r="O1386" s="12" t="n">
        <v>0.106183</v>
      </c>
      <c r="P1386" s="12" t="n">
        <v>0.104029</v>
      </c>
      <c r="Q1386" s="0" t="str">
        <f aca="false">IF(L1386&gt;=Models!$G$5,1+COUNTIF($L$5:$L$1517,"&gt;"&amp;L1386)+COUNTIFS($L$5:$L$1517,L1386,$B$5:$B$1517,"&lt;"&amp;B1386)+COUNTIFS($L$5:$L$1517,L1386,$B$5:$B$1517,B1386,$C$5:$C$1517,"&lt;"&amp;C1386),"")</f>
        <v/>
      </c>
      <c r="R1386" s="0" t="str">
        <f aca="false">IF(M1386&gt;=Models!$G$6,1+COUNTIF($M$5:$M$1517,"&gt;"&amp;M1386)+COUNTIFS($M$5:$M$1517,M1386,$B$5:$B$1517,"&lt;"&amp;B1386)+COUNTIFS($M$5:$M$1517,M1386,$B$5:$B$1517,B1386,$C$5:$C$1517,"&lt;"&amp;C1386),"")</f>
        <v/>
      </c>
      <c r="S1386" s="0" t="str">
        <f aca="false">IF(N1386&gt;=Models!$G$7,1+COUNTIF($N$5:$N$1517,"&gt;"&amp;N1386)+COUNTIFS($N$5:$N$1517,N1386,$B$5:$B$1517,"&lt;"&amp;B1386)+COUNTIFS($N$5:$N$1517,N1386,$B$5:$B$1517,B1386,$C$5:$C$1517,"&lt;"&amp;C1386),"")</f>
        <v/>
      </c>
      <c r="T1386" s="8" t="n">
        <f aca="false">IF(O1386&gt;=Models!$G$8,1+COUNTIF($O$5:$O$1517,"&gt;"&amp;O1386)+COUNTIFS($O$5:$O$1517,O1386,$B$5:$B$1517,"&lt;"&amp;B1386)+COUNTIFS($O$5:$O$1517,O1386,$B$5:$B$1517,B1386,$C$5:$C$1517,"&lt;"&amp;C1386),"")</f>
        <v>1120</v>
      </c>
      <c r="U1386" s="8" t="n">
        <f aca="false">IF($K1386=1,COUNTIFS($L$5:$L$1517,"&gt;="&amp;L1386,$K$5:$K$1517,1)/COUNTIF($L$5:$L$1517,"&gt;="&amp;L1386),0)</f>
        <v>0</v>
      </c>
      <c r="V1386" s="8" t="n">
        <f aca="false">IF($K1386=1,COUNTIFS($M$5:$M$1517,"&gt;="&amp;M1386,$K$5:$K$1517,1)/COUNTIF($M$5:$M$1517,"&gt;="&amp;M1386),0)</f>
        <v>0</v>
      </c>
      <c r="W1386" s="8" t="n">
        <f aca="false">IF($K1386=1,COUNTIFS($N$5:$N$1517,"&gt;="&amp;N1386,$K$5:$K$1517,1)/COUNTIF($N$5:$N$1517,"&gt;="&amp;N1386),0)</f>
        <v>0</v>
      </c>
      <c r="X1386" s="8" t="n">
        <f aca="false">IF($K1386=1,COUNTIFS($O$5:$O$1517,"&gt;="&amp;O1386,$K$5:$K$1517,1)/COUNTIF($O$5:$O$1517,"&gt;="&amp;O1386),0)</f>
        <v>0</v>
      </c>
      <c r="Y1386" s="8" t="n">
        <f aca="false">IF($K1386=1,COUNTIFS($P$5:$P$1517,"&gt;="&amp;P1386,$K$5:$K$1517,1)/COUNTIF($P$5:$P$1517,"&gt;="&amp;P1386),0)</f>
        <v>0</v>
      </c>
      <c r="Z1386" s="8" t="n">
        <f aca="false">(L1386-$K1386)^2</f>
        <v>8.2119844E-005</v>
      </c>
      <c r="AA1386" s="8" t="n">
        <f aca="false">(M1386-$K1386)^2</f>
        <v>0.008475595969</v>
      </c>
      <c r="AB1386" s="8" t="n">
        <f aca="false">(N1386-$K1386)^2</f>
        <v>0.009654438049</v>
      </c>
      <c r="AC1386" s="8" t="n">
        <f aca="false">(O1386-$K1386)^2</f>
        <v>0.011274829489</v>
      </c>
      <c r="AD1386" s="8" t="n">
        <f aca="false">(P1386-$K1386)^2</f>
        <v>0.010822032841</v>
      </c>
      <c r="AE1386" s="8" t="n">
        <f aca="false">MIN(INT(ROUND(N1386*1000000,0)/100000),9)</f>
        <v>0</v>
      </c>
      <c r="AF1386" s="8" t="n">
        <f aca="false">MIN(INT(ROUND(P1386*1000000,0)/100000),9)</f>
        <v>1</v>
      </c>
    </row>
    <row r="1387" customFormat="false" ht="15" hidden="false" customHeight="false" outlineLevel="0" collapsed="false">
      <c r="A1387" s="4" t="n">
        <v>1383</v>
      </c>
      <c r="B1387" s="4" t="n">
        <v>1359</v>
      </c>
      <c r="C1387" s="4" t="n">
        <v>3</v>
      </c>
      <c r="D1387" s="11" t="n">
        <v>46143</v>
      </c>
      <c r="E1387" s="4" t="s">
        <v>203</v>
      </c>
      <c r="F1387" s="4" t="s">
        <v>208</v>
      </c>
      <c r="G1387" s="4" t="n">
        <v>4</v>
      </c>
      <c r="H1387" s="4" t="n">
        <v>1</v>
      </c>
      <c r="I1387" s="4" t="n">
        <v>0</v>
      </c>
      <c r="J1387" s="4" t="n">
        <v>312</v>
      </c>
      <c r="K1387" s="4" t="n">
        <v>0</v>
      </c>
      <c r="L1387" s="12" t="n">
        <v>0.860684</v>
      </c>
      <c r="M1387" s="12" t="n">
        <v>0.092063</v>
      </c>
      <c r="N1387" s="12" t="n">
        <v>0.116505</v>
      </c>
      <c r="O1387" s="12" t="n">
        <v>0.106183</v>
      </c>
      <c r="P1387" s="12" t="n">
        <v>0.124186</v>
      </c>
      <c r="Q1387" s="0" t="str">
        <f aca="false">IF(L1387&gt;=Models!$G$5,1+COUNTIF($L$5:$L$1517,"&gt;"&amp;L1387)+COUNTIFS($L$5:$L$1517,L1387,$B$5:$B$1517,"&lt;"&amp;B1387)+COUNTIFS($L$5:$L$1517,L1387,$B$5:$B$1517,B1387,$C$5:$C$1517,"&lt;"&amp;C1387),"")</f>
        <v/>
      </c>
      <c r="R1387" s="0" t="str">
        <f aca="false">IF(M1387&gt;=Models!$G$6,1+COUNTIF($M$5:$M$1517,"&gt;"&amp;M1387)+COUNTIFS($M$5:$M$1517,M1387,$B$5:$B$1517,"&lt;"&amp;B1387)+COUNTIFS($M$5:$M$1517,M1387,$B$5:$B$1517,B1387,$C$5:$C$1517,"&lt;"&amp;C1387),"")</f>
        <v/>
      </c>
      <c r="S1387" s="0" t="str">
        <f aca="false">IF(N1387&gt;=Models!$G$7,1+COUNTIF($N$5:$N$1517,"&gt;"&amp;N1387)+COUNTIFS($N$5:$N$1517,N1387,$B$5:$B$1517,"&lt;"&amp;B1387)+COUNTIFS($N$5:$N$1517,N1387,$B$5:$B$1517,B1387,$C$5:$C$1517,"&lt;"&amp;C1387),"")</f>
        <v/>
      </c>
      <c r="T1387" s="8" t="n">
        <f aca="false">IF(O1387&gt;=Models!$G$8,1+COUNTIF($O$5:$O$1517,"&gt;"&amp;O1387)+COUNTIFS($O$5:$O$1517,O1387,$B$5:$B$1517,"&lt;"&amp;B1387)+COUNTIFS($O$5:$O$1517,O1387,$B$5:$B$1517,B1387,$C$5:$C$1517,"&lt;"&amp;C1387),"")</f>
        <v>1125</v>
      </c>
      <c r="U1387" s="8" t="n">
        <f aca="false">IF($K1387=1,COUNTIFS($L$5:$L$1517,"&gt;="&amp;L1387,$K$5:$K$1517,1)/COUNTIF($L$5:$L$1517,"&gt;="&amp;L1387),0)</f>
        <v>0</v>
      </c>
      <c r="V1387" s="8" t="n">
        <f aca="false">IF($K1387=1,COUNTIFS($M$5:$M$1517,"&gt;="&amp;M1387,$K$5:$K$1517,1)/COUNTIF($M$5:$M$1517,"&gt;="&amp;M1387),0)</f>
        <v>0</v>
      </c>
      <c r="W1387" s="8" t="n">
        <f aca="false">IF($K1387=1,COUNTIFS($N$5:$N$1517,"&gt;="&amp;N1387,$K$5:$K$1517,1)/COUNTIF($N$5:$N$1517,"&gt;="&amp;N1387),0)</f>
        <v>0</v>
      </c>
      <c r="X1387" s="8" t="n">
        <f aca="false">IF($K1387=1,COUNTIFS($O$5:$O$1517,"&gt;="&amp;O1387,$K$5:$K$1517,1)/COUNTIF($O$5:$O$1517,"&gt;="&amp;O1387),0)</f>
        <v>0</v>
      </c>
      <c r="Y1387" s="8" t="n">
        <f aca="false">IF($K1387=1,COUNTIFS($P$5:$P$1517,"&gt;="&amp;P1387,$K$5:$K$1517,1)/COUNTIF($P$5:$P$1517,"&gt;="&amp;P1387),0)</f>
        <v>0</v>
      </c>
      <c r="Z1387" s="8" t="n">
        <f aca="false">(L1387-$K1387)^2</f>
        <v>0.740776947856</v>
      </c>
      <c r="AA1387" s="8" t="n">
        <f aca="false">(M1387-$K1387)^2</f>
        <v>0.008475595969</v>
      </c>
      <c r="AB1387" s="8" t="n">
        <f aca="false">(N1387-$K1387)^2</f>
        <v>0.013573415025</v>
      </c>
      <c r="AC1387" s="8" t="n">
        <f aca="false">(O1387-$K1387)^2</f>
        <v>0.011274829489</v>
      </c>
      <c r="AD1387" s="8" t="n">
        <f aca="false">(P1387-$K1387)^2</f>
        <v>0.015422162596</v>
      </c>
      <c r="AE1387" s="8" t="n">
        <f aca="false">MIN(INT(ROUND(N1387*1000000,0)/100000),9)</f>
        <v>1</v>
      </c>
      <c r="AF1387" s="8" t="n">
        <f aca="false">MIN(INT(ROUND(P1387*1000000,0)/100000),9)</f>
        <v>1</v>
      </c>
    </row>
    <row r="1388" customFormat="false" ht="15" hidden="false" customHeight="false" outlineLevel="0" collapsed="false">
      <c r="A1388" s="4" t="n">
        <v>1384</v>
      </c>
      <c r="B1388" s="4" t="n">
        <v>1361</v>
      </c>
      <c r="C1388" s="4" t="n">
        <v>3</v>
      </c>
      <c r="D1388" s="11" t="n">
        <v>46143</v>
      </c>
      <c r="E1388" s="4" t="s">
        <v>203</v>
      </c>
      <c r="F1388" s="4" t="s">
        <v>210</v>
      </c>
      <c r="G1388" s="4" t="n">
        <v>7</v>
      </c>
      <c r="H1388" s="4" t="n">
        <v>3</v>
      </c>
      <c r="I1388" s="4" t="n">
        <v>0</v>
      </c>
      <c r="J1388" s="4" t="n">
        <v>306</v>
      </c>
      <c r="K1388" s="4" t="n">
        <v>0</v>
      </c>
      <c r="L1388" s="12" t="n">
        <v>0.39049</v>
      </c>
      <c r="M1388" s="12" t="n">
        <v>0.092063</v>
      </c>
      <c r="N1388" s="12" t="n">
        <v>0.092862</v>
      </c>
      <c r="O1388" s="12" t="n">
        <v>0.106183</v>
      </c>
      <c r="P1388" s="12" t="n">
        <v>0.098088</v>
      </c>
      <c r="Q1388" s="0" t="str">
        <f aca="false">IF(L1388&gt;=Models!$G$5,1+COUNTIF($L$5:$L$1517,"&gt;"&amp;L1388)+COUNTIFS($L$5:$L$1517,L1388,$B$5:$B$1517,"&lt;"&amp;B1388)+COUNTIFS($L$5:$L$1517,L1388,$B$5:$B$1517,B1388,$C$5:$C$1517,"&lt;"&amp;C1388),"")</f>
        <v/>
      </c>
      <c r="R1388" s="0" t="str">
        <f aca="false">IF(M1388&gt;=Models!$G$6,1+COUNTIF($M$5:$M$1517,"&gt;"&amp;M1388)+COUNTIFS($M$5:$M$1517,M1388,$B$5:$B$1517,"&lt;"&amp;B1388)+COUNTIFS($M$5:$M$1517,M1388,$B$5:$B$1517,B1388,$C$5:$C$1517,"&lt;"&amp;C1388),"")</f>
        <v/>
      </c>
      <c r="S1388" s="0" t="str">
        <f aca="false">IF(N1388&gt;=Models!$G$7,1+COUNTIF($N$5:$N$1517,"&gt;"&amp;N1388)+COUNTIFS($N$5:$N$1517,N1388,$B$5:$B$1517,"&lt;"&amp;B1388)+COUNTIFS($N$5:$N$1517,N1388,$B$5:$B$1517,B1388,$C$5:$C$1517,"&lt;"&amp;C1388),"")</f>
        <v/>
      </c>
      <c r="T1388" s="8" t="n">
        <f aca="false">IF(O1388&gt;=Models!$G$8,1+COUNTIF($O$5:$O$1517,"&gt;"&amp;O1388)+COUNTIFS($O$5:$O$1517,O1388,$B$5:$B$1517,"&lt;"&amp;B1388)+COUNTIFS($O$5:$O$1517,O1388,$B$5:$B$1517,B1388,$C$5:$C$1517,"&lt;"&amp;C1388),"")</f>
        <v>1129</v>
      </c>
      <c r="U1388" s="8" t="n">
        <f aca="false">IF($K1388=1,COUNTIFS($L$5:$L$1517,"&gt;="&amp;L1388,$K$5:$K$1517,1)/COUNTIF($L$5:$L$1517,"&gt;="&amp;L1388),0)</f>
        <v>0</v>
      </c>
      <c r="V1388" s="8" t="n">
        <f aca="false">IF($K1388=1,COUNTIFS($M$5:$M$1517,"&gt;="&amp;M1388,$K$5:$K$1517,1)/COUNTIF($M$5:$M$1517,"&gt;="&amp;M1388),0)</f>
        <v>0</v>
      </c>
      <c r="W1388" s="8" t="n">
        <f aca="false">IF($K1388=1,COUNTIFS($N$5:$N$1517,"&gt;="&amp;N1388,$K$5:$K$1517,1)/COUNTIF($N$5:$N$1517,"&gt;="&amp;N1388),0)</f>
        <v>0</v>
      </c>
      <c r="X1388" s="8" t="n">
        <f aca="false">IF($K1388=1,COUNTIFS($O$5:$O$1517,"&gt;="&amp;O1388,$K$5:$K$1517,1)/COUNTIF($O$5:$O$1517,"&gt;="&amp;O1388),0)</f>
        <v>0</v>
      </c>
      <c r="Y1388" s="8" t="n">
        <f aca="false">IF($K1388=1,COUNTIFS($P$5:$P$1517,"&gt;="&amp;P1388,$K$5:$K$1517,1)/COUNTIF($P$5:$P$1517,"&gt;="&amp;P1388),0)</f>
        <v>0</v>
      </c>
      <c r="Z1388" s="8" t="n">
        <f aca="false">(L1388-$K1388)^2</f>
        <v>0.1524824401</v>
      </c>
      <c r="AA1388" s="8" t="n">
        <f aca="false">(M1388-$K1388)^2</f>
        <v>0.008475595969</v>
      </c>
      <c r="AB1388" s="8" t="n">
        <f aca="false">(N1388-$K1388)^2</f>
        <v>0.008623351044</v>
      </c>
      <c r="AC1388" s="8" t="n">
        <f aca="false">(O1388-$K1388)^2</f>
        <v>0.011274829489</v>
      </c>
      <c r="AD1388" s="8" t="n">
        <f aca="false">(P1388-$K1388)^2</f>
        <v>0.009621255744</v>
      </c>
      <c r="AE1388" s="8" t="n">
        <f aca="false">MIN(INT(ROUND(N1388*1000000,0)/100000),9)</f>
        <v>0</v>
      </c>
      <c r="AF1388" s="8" t="n">
        <f aca="false">MIN(INT(ROUND(P1388*1000000,0)/100000),9)</f>
        <v>0</v>
      </c>
    </row>
    <row r="1389" customFormat="false" ht="15" hidden="false" customHeight="false" outlineLevel="0" collapsed="false">
      <c r="A1389" s="4" t="n">
        <v>1385</v>
      </c>
      <c r="B1389" s="4" t="n">
        <v>1366</v>
      </c>
      <c r="C1389" s="4" t="n">
        <v>3</v>
      </c>
      <c r="D1389" s="11" t="n">
        <v>46143</v>
      </c>
      <c r="E1389" s="4" t="s">
        <v>204</v>
      </c>
      <c r="F1389" s="4" t="s">
        <v>209</v>
      </c>
      <c r="G1389" s="4" t="n">
        <v>2</v>
      </c>
      <c r="H1389" s="4" t="n">
        <v>3</v>
      </c>
      <c r="I1389" s="4" t="n">
        <v>0</v>
      </c>
      <c r="J1389" s="4" t="n">
        <v>69</v>
      </c>
      <c r="K1389" s="4" t="n">
        <v>0</v>
      </c>
      <c r="L1389" s="12" t="n">
        <v>0.750611</v>
      </c>
      <c r="M1389" s="12" t="n">
        <v>0.092063</v>
      </c>
      <c r="N1389" s="12" t="n">
        <v>0.139978</v>
      </c>
      <c r="O1389" s="12" t="n">
        <v>0.106183</v>
      </c>
      <c r="P1389" s="12" t="n">
        <v>0.15022</v>
      </c>
      <c r="Q1389" s="0" t="str">
        <f aca="false">IF(L1389&gt;=Models!$G$5,1+COUNTIF($L$5:$L$1517,"&gt;"&amp;L1389)+COUNTIFS($L$5:$L$1517,L1389,$B$5:$B$1517,"&lt;"&amp;B1389)+COUNTIFS($L$5:$L$1517,L1389,$B$5:$B$1517,B1389,$C$5:$C$1517,"&lt;"&amp;C1389),"")</f>
        <v/>
      </c>
      <c r="R1389" s="0" t="str">
        <f aca="false">IF(M1389&gt;=Models!$G$6,1+COUNTIF($M$5:$M$1517,"&gt;"&amp;M1389)+COUNTIFS($M$5:$M$1517,M1389,$B$5:$B$1517,"&lt;"&amp;B1389)+COUNTIFS($M$5:$M$1517,M1389,$B$5:$B$1517,B1389,$C$5:$C$1517,"&lt;"&amp;C1389),"")</f>
        <v/>
      </c>
      <c r="S1389" s="0" t="str">
        <f aca="false">IF(N1389&gt;=Models!$G$7,1+COUNTIF($N$5:$N$1517,"&gt;"&amp;N1389)+COUNTIFS($N$5:$N$1517,N1389,$B$5:$B$1517,"&lt;"&amp;B1389)+COUNTIFS($N$5:$N$1517,N1389,$B$5:$B$1517,B1389,$C$5:$C$1517,"&lt;"&amp;C1389),"")</f>
        <v/>
      </c>
      <c r="T1389" s="8" t="n">
        <f aca="false">IF(O1389&gt;=Models!$G$8,1+COUNTIF($O$5:$O$1517,"&gt;"&amp;O1389)+COUNTIFS($O$5:$O$1517,O1389,$B$5:$B$1517,"&lt;"&amp;B1389)+COUNTIFS($O$5:$O$1517,O1389,$B$5:$B$1517,B1389,$C$5:$C$1517,"&lt;"&amp;C1389),"")</f>
        <v>1133</v>
      </c>
      <c r="U1389" s="8" t="n">
        <f aca="false">IF($K1389=1,COUNTIFS($L$5:$L$1517,"&gt;="&amp;L1389,$K$5:$K$1517,1)/COUNTIF($L$5:$L$1517,"&gt;="&amp;L1389),0)</f>
        <v>0</v>
      </c>
      <c r="V1389" s="8" t="n">
        <f aca="false">IF($K1389=1,COUNTIFS($M$5:$M$1517,"&gt;="&amp;M1389,$K$5:$K$1517,1)/COUNTIF($M$5:$M$1517,"&gt;="&amp;M1389),0)</f>
        <v>0</v>
      </c>
      <c r="W1389" s="8" t="n">
        <f aca="false">IF($K1389=1,COUNTIFS($N$5:$N$1517,"&gt;="&amp;N1389,$K$5:$K$1517,1)/COUNTIF($N$5:$N$1517,"&gt;="&amp;N1389),0)</f>
        <v>0</v>
      </c>
      <c r="X1389" s="8" t="n">
        <f aca="false">IF($K1389=1,COUNTIFS($O$5:$O$1517,"&gt;="&amp;O1389,$K$5:$K$1517,1)/COUNTIF($O$5:$O$1517,"&gt;="&amp;O1389),0)</f>
        <v>0</v>
      </c>
      <c r="Y1389" s="8" t="n">
        <f aca="false">IF($K1389=1,COUNTIFS($P$5:$P$1517,"&gt;="&amp;P1389,$K$5:$K$1517,1)/COUNTIF($P$5:$P$1517,"&gt;="&amp;P1389),0)</f>
        <v>0</v>
      </c>
      <c r="Z1389" s="8" t="n">
        <f aca="false">(L1389-$K1389)^2</f>
        <v>0.563416873321</v>
      </c>
      <c r="AA1389" s="8" t="n">
        <f aca="false">(M1389-$K1389)^2</f>
        <v>0.008475595969</v>
      </c>
      <c r="AB1389" s="8" t="n">
        <f aca="false">(N1389-$K1389)^2</f>
        <v>0.019593840484</v>
      </c>
      <c r="AC1389" s="8" t="n">
        <f aca="false">(O1389-$K1389)^2</f>
        <v>0.011274829489</v>
      </c>
      <c r="AD1389" s="8" t="n">
        <f aca="false">(P1389-$K1389)^2</f>
        <v>0.0225660484</v>
      </c>
      <c r="AE1389" s="8" t="n">
        <f aca="false">MIN(INT(ROUND(N1389*1000000,0)/100000),9)</f>
        <v>1</v>
      </c>
      <c r="AF1389" s="8" t="n">
        <f aca="false">MIN(INT(ROUND(P1389*1000000,0)/100000),9)</f>
        <v>1</v>
      </c>
    </row>
    <row r="1390" customFormat="false" ht="15" hidden="false" customHeight="false" outlineLevel="0" collapsed="false">
      <c r="A1390" s="4" t="n">
        <v>1386</v>
      </c>
      <c r="B1390" s="4" t="n">
        <v>1372</v>
      </c>
      <c r="C1390" s="4" t="n">
        <v>3</v>
      </c>
      <c r="D1390" s="11" t="n">
        <v>46143</v>
      </c>
      <c r="E1390" s="4" t="s">
        <v>204</v>
      </c>
      <c r="F1390" s="4" t="s">
        <v>206</v>
      </c>
      <c r="G1390" s="4" t="n">
        <v>8</v>
      </c>
      <c r="H1390" s="4" t="n">
        <v>1</v>
      </c>
      <c r="I1390" s="4" t="n">
        <v>0</v>
      </c>
      <c r="J1390" s="4" t="n">
        <v>102</v>
      </c>
      <c r="K1390" s="4" t="n">
        <v>0</v>
      </c>
      <c r="L1390" s="12" t="n">
        <v>0.351754</v>
      </c>
      <c r="M1390" s="12" t="n">
        <v>0.092063</v>
      </c>
      <c r="N1390" s="12" t="n">
        <v>0.085198</v>
      </c>
      <c r="O1390" s="12" t="n">
        <v>0.106183</v>
      </c>
      <c r="P1390" s="12" t="n">
        <v>0.089668</v>
      </c>
      <c r="Q1390" s="0" t="str">
        <f aca="false">IF(L1390&gt;=Models!$G$5,1+COUNTIF($L$5:$L$1517,"&gt;"&amp;L1390)+COUNTIFS($L$5:$L$1517,L1390,$B$5:$B$1517,"&lt;"&amp;B1390)+COUNTIFS($L$5:$L$1517,L1390,$B$5:$B$1517,B1390,$C$5:$C$1517,"&lt;"&amp;C1390),"")</f>
        <v/>
      </c>
      <c r="R1390" s="0" t="str">
        <f aca="false">IF(M1390&gt;=Models!$G$6,1+COUNTIF($M$5:$M$1517,"&gt;"&amp;M1390)+COUNTIFS($M$5:$M$1517,M1390,$B$5:$B$1517,"&lt;"&amp;B1390)+COUNTIFS($M$5:$M$1517,M1390,$B$5:$B$1517,B1390,$C$5:$C$1517,"&lt;"&amp;C1390),"")</f>
        <v/>
      </c>
      <c r="S1390" s="0" t="str">
        <f aca="false">IF(N1390&gt;=Models!$G$7,1+COUNTIF($N$5:$N$1517,"&gt;"&amp;N1390)+COUNTIFS($N$5:$N$1517,N1390,$B$5:$B$1517,"&lt;"&amp;B1390)+COUNTIFS($N$5:$N$1517,N1390,$B$5:$B$1517,B1390,$C$5:$C$1517,"&lt;"&amp;C1390),"")</f>
        <v/>
      </c>
      <c r="T1390" s="8" t="n">
        <f aca="false">IF(O1390&gt;=Models!$G$8,1+COUNTIF($O$5:$O$1517,"&gt;"&amp;O1390)+COUNTIFS($O$5:$O$1517,O1390,$B$5:$B$1517,"&lt;"&amp;B1390)+COUNTIFS($O$5:$O$1517,O1390,$B$5:$B$1517,B1390,$C$5:$C$1517,"&lt;"&amp;C1390),"")</f>
        <v>1137</v>
      </c>
      <c r="U1390" s="8" t="n">
        <f aca="false">IF($K1390=1,COUNTIFS($L$5:$L$1517,"&gt;="&amp;L1390,$K$5:$K$1517,1)/COUNTIF($L$5:$L$1517,"&gt;="&amp;L1390),0)</f>
        <v>0</v>
      </c>
      <c r="V1390" s="8" t="n">
        <f aca="false">IF($K1390=1,COUNTIFS($M$5:$M$1517,"&gt;="&amp;M1390,$K$5:$K$1517,1)/COUNTIF($M$5:$M$1517,"&gt;="&amp;M1390),0)</f>
        <v>0</v>
      </c>
      <c r="W1390" s="8" t="n">
        <f aca="false">IF($K1390=1,COUNTIFS($N$5:$N$1517,"&gt;="&amp;N1390,$K$5:$K$1517,1)/COUNTIF($N$5:$N$1517,"&gt;="&amp;N1390),0)</f>
        <v>0</v>
      </c>
      <c r="X1390" s="8" t="n">
        <f aca="false">IF($K1390=1,COUNTIFS($O$5:$O$1517,"&gt;="&amp;O1390,$K$5:$K$1517,1)/COUNTIF($O$5:$O$1517,"&gt;="&amp;O1390),0)</f>
        <v>0</v>
      </c>
      <c r="Y1390" s="8" t="n">
        <f aca="false">IF($K1390=1,COUNTIFS($P$5:$P$1517,"&gt;="&amp;P1390,$K$5:$K$1517,1)/COUNTIF($P$5:$P$1517,"&gt;="&amp;P1390),0)</f>
        <v>0</v>
      </c>
      <c r="Z1390" s="8" t="n">
        <f aca="false">(L1390-$K1390)^2</f>
        <v>0.123730876516</v>
      </c>
      <c r="AA1390" s="8" t="n">
        <f aca="false">(M1390-$K1390)^2</f>
        <v>0.008475595969</v>
      </c>
      <c r="AB1390" s="8" t="n">
        <f aca="false">(N1390-$K1390)^2</f>
        <v>0.007258699204</v>
      </c>
      <c r="AC1390" s="8" t="n">
        <f aca="false">(O1390-$K1390)^2</f>
        <v>0.011274829489</v>
      </c>
      <c r="AD1390" s="8" t="n">
        <f aca="false">(P1390-$K1390)^2</f>
        <v>0.008040350224</v>
      </c>
      <c r="AE1390" s="8" t="n">
        <f aca="false">MIN(INT(ROUND(N1390*1000000,0)/100000),9)</f>
        <v>0</v>
      </c>
      <c r="AF1390" s="8" t="n">
        <f aca="false">MIN(INT(ROUND(P1390*1000000,0)/100000),9)</f>
        <v>0</v>
      </c>
    </row>
    <row r="1391" customFormat="false" ht="15" hidden="false" customHeight="false" outlineLevel="0" collapsed="false">
      <c r="A1391" s="4" t="n">
        <v>1387</v>
      </c>
      <c r="B1391" s="4" t="n">
        <v>1373</v>
      </c>
      <c r="C1391" s="4" t="n">
        <v>3</v>
      </c>
      <c r="D1391" s="11" t="n">
        <v>46143</v>
      </c>
      <c r="E1391" s="4" t="s">
        <v>203</v>
      </c>
      <c r="F1391" s="4" t="s">
        <v>209</v>
      </c>
      <c r="G1391" s="4" t="n">
        <v>1</v>
      </c>
      <c r="H1391" s="4" t="n">
        <v>16</v>
      </c>
      <c r="I1391" s="4" t="n">
        <v>2</v>
      </c>
      <c r="J1391" s="4"/>
      <c r="K1391" s="4" t="n">
        <v>0</v>
      </c>
      <c r="L1391" s="12" t="n">
        <v>0.173867</v>
      </c>
      <c r="M1391" s="12" t="n">
        <v>0.184211</v>
      </c>
      <c r="N1391" s="12" t="n">
        <v>0.235121</v>
      </c>
      <c r="O1391" s="12" t="n">
        <v>0.106183</v>
      </c>
      <c r="P1391" s="12" t="n">
        <v>0.256017</v>
      </c>
      <c r="Q1391" s="0" t="str">
        <f aca="false">IF(L1391&gt;=Models!$G$5,1+COUNTIF($L$5:$L$1517,"&gt;"&amp;L1391)+COUNTIFS($L$5:$L$1517,L1391,$B$5:$B$1517,"&lt;"&amp;B1391)+COUNTIFS($L$5:$L$1517,L1391,$B$5:$B$1517,B1391,$C$5:$C$1517,"&lt;"&amp;C1391),"")</f>
        <v/>
      </c>
      <c r="R1391" s="8" t="n">
        <f aca="false">IF(M1391&gt;=Models!$G$6,1+COUNTIF($M$5:$M$1517,"&gt;"&amp;M1391)+COUNTIFS($M$5:$M$1517,M1391,$B$5:$B$1517,"&lt;"&amp;B1391)+COUNTIFS($M$5:$M$1517,M1391,$B$5:$B$1517,B1391,$C$5:$C$1517,"&lt;"&amp;C1391),"")</f>
        <v>138</v>
      </c>
      <c r="S1391" s="0" t="str">
        <f aca="false">IF(N1391&gt;=Models!$G$7,1+COUNTIF($N$5:$N$1517,"&gt;"&amp;N1391)+COUNTIFS($N$5:$N$1517,N1391,$B$5:$B$1517,"&lt;"&amp;B1391)+COUNTIFS($N$5:$N$1517,N1391,$B$5:$B$1517,B1391,$C$5:$C$1517,"&lt;"&amp;C1391),"")</f>
        <v/>
      </c>
      <c r="T1391" s="8" t="n">
        <f aca="false">IF(O1391&gt;=Models!$G$8,1+COUNTIF($O$5:$O$1517,"&gt;"&amp;O1391)+COUNTIFS($O$5:$O$1517,O1391,$B$5:$B$1517,"&lt;"&amp;B1391)+COUNTIFS($O$5:$O$1517,O1391,$B$5:$B$1517,B1391,$C$5:$C$1517,"&lt;"&amp;C1391),"")</f>
        <v>1141</v>
      </c>
      <c r="U1391" s="8" t="n">
        <f aca="false">IF($K1391=1,COUNTIFS($L$5:$L$1517,"&gt;="&amp;L1391,$K$5:$K$1517,1)/COUNTIF($L$5:$L$1517,"&gt;="&amp;L1391),0)</f>
        <v>0</v>
      </c>
      <c r="V1391" s="8" t="n">
        <f aca="false">IF($K1391=1,COUNTIFS($M$5:$M$1517,"&gt;="&amp;M1391,$K$5:$K$1517,1)/COUNTIF($M$5:$M$1517,"&gt;="&amp;M1391),0)</f>
        <v>0</v>
      </c>
      <c r="W1391" s="8" t="n">
        <f aca="false">IF($K1391=1,COUNTIFS($N$5:$N$1517,"&gt;="&amp;N1391,$K$5:$K$1517,1)/COUNTIF($N$5:$N$1517,"&gt;="&amp;N1391),0)</f>
        <v>0</v>
      </c>
      <c r="X1391" s="8" t="n">
        <f aca="false">IF($K1391=1,COUNTIFS($O$5:$O$1517,"&gt;="&amp;O1391,$K$5:$K$1517,1)/COUNTIF($O$5:$O$1517,"&gt;="&amp;O1391),0)</f>
        <v>0</v>
      </c>
      <c r="Y1391" s="8" t="n">
        <f aca="false">IF($K1391=1,COUNTIFS($P$5:$P$1517,"&gt;="&amp;P1391,$K$5:$K$1517,1)/COUNTIF($P$5:$P$1517,"&gt;="&amp;P1391),0)</f>
        <v>0</v>
      </c>
      <c r="Z1391" s="8" t="n">
        <f aca="false">(L1391-$K1391)^2</f>
        <v>0.030229733689</v>
      </c>
      <c r="AA1391" s="8" t="n">
        <f aca="false">(M1391-$K1391)^2</f>
        <v>0.033933692521</v>
      </c>
      <c r="AB1391" s="8" t="n">
        <f aca="false">(N1391-$K1391)^2</f>
        <v>0.055281884641</v>
      </c>
      <c r="AC1391" s="8" t="n">
        <f aca="false">(O1391-$K1391)^2</f>
        <v>0.011274829489</v>
      </c>
      <c r="AD1391" s="8" t="n">
        <f aca="false">(P1391-$K1391)^2</f>
        <v>0.065544704289</v>
      </c>
      <c r="AE1391" s="8" t="n">
        <f aca="false">MIN(INT(ROUND(N1391*1000000,0)/100000),9)</f>
        <v>2</v>
      </c>
      <c r="AF1391" s="8" t="n">
        <f aca="false">MIN(INT(ROUND(P1391*1000000,0)/100000),9)</f>
        <v>2</v>
      </c>
    </row>
    <row r="1392" customFormat="false" ht="15" hidden="false" customHeight="false" outlineLevel="0" collapsed="false">
      <c r="A1392" s="4" t="n">
        <v>1388</v>
      </c>
      <c r="B1392" s="4" t="n">
        <v>1374</v>
      </c>
      <c r="C1392" s="4" t="n">
        <v>3</v>
      </c>
      <c r="D1392" s="11" t="n">
        <v>46143</v>
      </c>
      <c r="E1392" s="4" t="s">
        <v>203</v>
      </c>
      <c r="F1392" s="4" t="s">
        <v>208</v>
      </c>
      <c r="G1392" s="4" t="n">
        <v>2</v>
      </c>
      <c r="H1392" s="4" t="n">
        <v>21</v>
      </c>
      <c r="I1392" s="4" t="n">
        <v>1</v>
      </c>
      <c r="J1392" s="4" t="n">
        <v>417</v>
      </c>
      <c r="K1392" s="4" t="n">
        <v>0</v>
      </c>
      <c r="L1392" s="12" t="n">
        <v>0.932768</v>
      </c>
      <c r="M1392" s="12" t="n">
        <v>0.184211</v>
      </c>
      <c r="N1392" s="12" t="n">
        <v>0.251218</v>
      </c>
      <c r="O1392" s="12" t="n">
        <v>0.106183</v>
      </c>
      <c r="P1392" s="12" t="n">
        <v>0.27386</v>
      </c>
      <c r="Q1392" s="0" t="str">
        <f aca="false">IF(L1392&gt;=Models!$G$5,1+COUNTIF($L$5:$L$1517,"&gt;"&amp;L1392)+COUNTIFS($L$5:$L$1517,L1392,$B$5:$B$1517,"&lt;"&amp;B1392)+COUNTIFS($L$5:$L$1517,L1392,$B$5:$B$1517,B1392,$C$5:$C$1517,"&lt;"&amp;C1392),"")</f>
        <v/>
      </c>
      <c r="R1392" s="8" t="n">
        <f aca="false">IF(M1392&gt;=Models!$G$6,1+COUNTIF($M$5:$M$1517,"&gt;"&amp;M1392)+COUNTIFS($M$5:$M$1517,M1392,$B$5:$B$1517,"&lt;"&amp;B1392)+COUNTIFS($M$5:$M$1517,M1392,$B$5:$B$1517,B1392,$C$5:$C$1517,"&lt;"&amp;C1392),"")</f>
        <v>140</v>
      </c>
      <c r="S1392" s="8" t="n">
        <f aca="false">IF(N1392&gt;=Models!$G$7,1+COUNTIF($N$5:$N$1517,"&gt;"&amp;N1392)+COUNTIFS($N$5:$N$1517,N1392,$B$5:$B$1517,"&lt;"&amp;B1392)+COUNTIFS($N$5:$N$1517,N1392,$B$5:$B$1517,B1392,$C$5:$C$1517,"&lt;"&amp;C1392),"")</f>
        <v>17</v>
      </c>
      <c r="T1392" s="8" t="n">
        <f aca="false">IF(O1392&gt;=Models!$G$8,1+COUNTIF($O$5:$O$1517,"&gt;"&amp;O1392)+COUNTIFS($O$5:$O$1517,O1392,$B$5:$B$1517,"&lt;"&amp;B1392)+COUNTIFS($O$5:$O$1517,O1392,$B$5:$B$1517,B1392,$C$5:$C$1517,"&lt;"&amp;C1392),"")</f>
        <v>1145</v>
      </c>
      <c r="U1392" s="8" t="n">
        <f aca="false">IF($K1392=1,COUNTIFS($L$5:$L$1517,"&gt;="&amp;L1392,$K$5:$K$1517,1)/COUNTIF($L$5:$L$1517,"&gt;="&amp;L1392),0)</f>
        <v>0</v>
      </c>
      <c r="V1392" s="8" t="n">
        <f aca="false">IF($K1392=1,COUNTIFS($M$5:$M$1517,"&gt;="&amp;M1392,$K$5:$K$1517,1)/COUNTIF($M$5:$M$1517,"&gt;="&amp;M1392),0)</f>
        <v>0</v>
      </c>
      <c r="W1392" s="8" t="n">
        <f aca="false">IF($K1392=1,COUNTIFS($N$5:$N$1517,"&gt;="&amp;N1392,$K$5:$K$1517,1)/COUNTIF($N$5:$N$1517,"&gt;="&amp;N1392),0)</f>
        <v>0</v>
      </c>
      <c r="X1392" s="8" t="n">
        <f aca="false">IF($K1392=1,COUNTIFS($O$5:$O$1517,"&gt;="&amp;O1392,$K$5:$K$1517,1)/COUNTIF($O$5:$O$1517,"&gt;="&amp;O1392),0)</f>
        <v>0</v>
      </c>
      <c r="Y1392" s="8" t="n">
        <f aca="false">IF($K1392=1,COUNTIFS($P$5:$P$1517,"&gt;="&amp;P1392,$K$5:$K$1517,1)/COUNTIF($P$5:$P$1517,"&gt;="&amp;P1392),0)</f>
        <v>0</v>
      </c>
      <c r="Z1392" s="8" t="n">
        <f aca="false">(L1392-$K1392)^2</f>
        <v>0.870056141824</v>
      </c>
      <c r="AA1392" s="8" t="n">
        <f aca="false">(M1392-$K1392)^2</f>
        <v>0.033933692521</v>
      </c>
      <c r="AB1392" s="8" t="n">
        <f aca="false">(N1392-$K1392)^2</f>
        <v>0.063110483524</v>
      </c>
      <c r="AC1392" s="8" t="n">
        <f aca="false">(O1392-$K1392)^2</f>
        <v>0.011274829489</v>
      </c>
      <c r="AD1392" s="8" t="n">
        <f aca="false">(P1392-$K1392)^2</f>
        <v>0.0749992996</v>
      </c>
      <c r="AE1392" s="8" t="n">
        <f aca="false">MIN(INT(ROUND(N1392*1000000,0)/100000),9)</f>
        <v>2</v>
      </c>
      <c r="AF1392" s="8" t="n">
        <f aca="false">MIN(INT(ROUND(P1392*1000000,0)/100000),9)</f>
        <v>2</v>
      </c>
    </row>
    <row r="1393" customFormat="false" ht="15" hidden="false" customHeight="false" outlineLevel="0" collapsed="false">
      <c r="A1393" s="4" t="n">
        <v>1389</v>
      </c>
      <c r="B1393" s="4" t="n">
        <v>1380</v>
      </c>
      <c r="C1393" s="4" t="n">
        <v>3</v>
      </c>
      <c r="D1393" s="11" t="n">
        <v>46143</v>
      </c>
      <c r="E1393" s="4" t="s">
        <v>203</v>
      </c>
      <c r="F1393" s="4" t="s">
        <v>206</v>
      </c>
      <c r="G1393" s="4" t="n">
        <v>9</v>
      </c>
      <c r="H1393" s="4" t="n">
        <v>1</v>
      </c>
      <c r="I1393" s="4" t="n">
        <v>0</v>
      </c>
      <c r="J1393" s="4"/>
      <c r="K1393" s="4" t="n">
        <v>0</v>
      </c>
      <c r="L1393" s="12" t="n">
        <v>0.100869</v>
      </c>
      <c r="M1393" s="12" t="n">
        <v>0.092063</v>
      </c>
      <c r="N1393" s="12" t="n">
        <v>0.038622</v>
      </c>
      <c r="O1393" s="12" t="n">
        <v>0.106183</v>
      </c>
      <c r="P1393" s="12" t="n">
        <v>0.039222</v>
      </c>
      <c r="Q1393" s="0" t="str">
        <f aca="false">IF(L1393&gt;=Models!$G$5,1+COUNTIF($L$5:$L$1517,"&gt;"&amp;L1393)+COUNTIFS($L$5:$L$1517,L1393,$B$5:$B$1517,"&lt;"&amp;B1393)+COUNTIFS($L$5:$L$1517,L1393,$B$5:$B$1517,B1393,$C$5:$C$1517,"&lt;"&amp;C1393),"")</f>
        <v/>
      </c>
      <c r="R1393" s="0" t="str">
        <f aca="false">IF(M1393&gt;=Models!$G$6,1+COUNTIF($M$5:$M$1517,"&gt;"&amp;M1393)+COUNTIFS($M$5:$M$1517,M1393,$B$5:$B$1517,"&lt;"&amp;B1393)+COUNTIFS($M$5:$M$1517,M1393,$B$5:$B$1517,B1393,$C$5:$C$1517,"&lt;"&amp;C1393),"")</f>
        <v/>
      </c>
      <c r="S1393" s="0" t="str">
        <f aca="false">IF(N1393&gt;=Models!$G$7,1+COUNTIF($N$5:$N$1517,"&gt;"&amp;N1393)+COUNTIFS($N$5:$N$1517,N1393,$B$5:$B$1517,"&lt;"&amp;B1393)+COUNTIFS($N$5:$N$1517,N1393,$B$5:$B$1517,B1393,$C$5:$C$1517,"&lt;"&amp;C1393),"")</f>
        <v/>
      </c>
      <c r="T1393" s="8" t="n">
        <f aca="false">IF(O1393&gt;=Models!$G$8,1+COUNTIF($O$5:$O$1517,"&gt;"&amp;O1393)+COUNTIFS($O$5:$O$1517,O1393,$B$5:$B$1517,"&lt;"&amp;B1393)+COUNTIFS($O$5:$O$1517,O1393,$B$5:$B$1517,B1393,$C$5:$C$1517,"&lt;"&amp;C1393),"")</f>
        <v>1149</v>
      </c>
      <c r="U1393" s="8" t="n">
        <f aca="false">IF($K1393=1,COUNTIFS($L$5:$L$1517,"&gt;="&amp;L1393,$K$5:$K$1517,1)/COUNTIF($L$5:$L$1517,"&gt;="&amp;L1393),0)</f>
        <v>0</v>
      </c>
      <c r="V1393" s="8" t="n">
        <f aca="false">IF($K1393=1,COUNTIFS($M$5:$M$1517,"&gt;="&amp;M1393,$K$5:$K$1517,1)/COUNTIF($M$5:$M$1517,"&gt;="&amp;M1393),0)</f>
        <v>0</v>
      </c>
      <c r="W1393" s="8" t="n">
        <f aca="false">IF($K1393=1,COUNTIFS($N$5:$N$1517,"&gt;="&amp;N1393,$K$5:$K$1517,1)/COUNTIF($N$5:$N$1517,"&gt;="&amp;N1393),0)</f>
        <v>0</v>
      </c>
      <c r="X1393" s="8" t="n">
        <f aca="false">IF($K1393=1,COUNTIFS($O$5:$O$1517,"&gt;="&amp;O1393,$K$5:$K$1517,1)/COUNTIF($O$5:$O$1517,"&gt;="&amp;O1393),0)</f>
        <v>0</v>
      </c>
      <c r="Y1393" s="8" t="n">
        <f aca="false">IF($K1393=1,COUNTIFS($P$5:$P$1517,"&gt;="&amp;P1393,$K$5:$K$1517,1)/COUNTIF($P$5:$P$1517,"&gt;="&amp;P1393),0)</f>
        <v>0</v>
      </c>
      <c r="Z1393" s="8" t="n">
        <f aca="false">(L1393-$K1393)^2</f>
        <v>0.010174555161</v>
      </c>
      <c r="AA1393" s="8" t="n">
        <f aca="false">(M1393-$K1393)^2</f>
        <v>0.008475595969</v>
      </c>
      <c r="AB1393" s="8" t="n">
        <f aca="false">(N1393-$K1393)^2</f>
        <v>0.001491658884</v>
      </c>
      <c r="AC1393" s="8" t="n">
        <f aca="false">(O1393-$K1393)^2</f>
        <v>0.011274829489</v>
      </c>
      <c r="AD1393" s="8" t="n">
        <f aca="false">(P1393-$K1393)^2</f>
        <v>0.001538365284</v>
      </c>
      <c r="AE1393" s="8" t="n">
        <f aca="false">MIN(INT(ROUND(N1393*1000000,0)/100000),9)</f>
        <v>0</v>
      </c>
      <c r="AF1393" s="8" t="n">
        <f aca="false">MIN(INT(ROUND(P1393*1000000,0)/100000),9)</f>
        <v>0</v>
      </c>
    </row>
    <row r="1394" customFormat="false" ht="15" hidden="false" customHeight="false" outlineLevel="0" collapsed="false">
      <c r="A1394" s="4" t="n">
        <v>1390</v>
      </c>
      <c r="B1394" s="4" t="n">
        <v>1384</v>
      </c>
      <c r="C1394" s="4" t="n">
        <v>3</v>
      </c>
      <c r="D1394" s="11" t="n">
        <v>46143</v>
      </c>
      <c r="E1394" s="4" t="s">
        <v>203</v>
      </c>
      <c r="F1394" s="4" t="s">
        <v>209</v>
      </c>
      <c r="G1394" s="4" t="n">
        <v>2</v>
      </c>
      <c r="H1394" s="4" t="n">
        <v>17</v>
      </c>
      <c r="I1394" s="4" t="n">
        <v>0</v>
      </c>
      <c r="J1394" s="4" t="n">
        <v>246</v>
      </c>
      <c r="K1394" s="4" t="n">
        <v>0</v>
      </c>
      <c r="L1394" s="12" t="n">
        <v>0.342279</v>
      </c>
      <c r="M1394" s="12" t="n">
        <v>0.092063</v>
      </c>
      <c r="N1394" s="12" t="n">
        <v>0.153032</v>
      </c>
      <c r="O1394" s="12" t="n">
        <v>0.106183</v>
      </c>
      <c r="P1394" s="12" t="n">
        <v>0.164729</v>
      </c>
      <c r="Q1394" s="0" t="str">
        <f aca="false">IF(L1394&gt;=Models!$G$5,1+COUNTIF($L$5:$L$1517,"&gt;"&amp;L1394)+COUNTIFS($L$5:$L$1517,L1394,$B$5:$B$1517,"&lt;"&amp;B1394)+COUNTIFS($L$5:$L$1517,L1394,$B$5:$B$1517,B1394,$C$5:$C$1517,"&lt;"&amp;C1394),"")</f>
        <v/>
      </c>
      <c r="R1394" s="0" t="str">
        <f aca="false">IF(M1394&gt;=Models!$G$6,1+COUNTIF($M$5:$M$1517,"&gt;"&amp;M1394)+COUNTIFS($M$5:$M$1517,M1394,$B$5:$B$1517,"&lt;"&amp;B1394)+COUNTIFS($M$5:$M$1517,M1394,$B$5:$B$1517,B1394,$C$5:$C$1517,"&lt;"&amp;C1394),"")</f>
        <v/>
      </c>
      <c r="S1394" s="0" t="str">
        <f aca="false">IF(N1394&gt;=Models!$G$7,1+COUNTIF($N$5:$N$1517,"&gt;"&amp;N1394)+COUNTIFS($N$5:$N$1517,N1394,$B$5:$B$1517,"&lt;"&amp;B1394)+COUNTIFS($N$5:$N$1517,N1394,$B$5:$B$1517,B1394,$C$5:$C$1517,"&lt;"&amp;C1394),"")</f>
        <v/>
      </c>
      <c r="T1394" s="8" t="n">
        <f aca="false">IF(O1394&gt;=Models!$G$8,1+COUNTIF($O$5:$O$1517,"&gt;"&amp;O1394)+COUNTIFS($O$5:$O$1517,O1394,$B$5:$B$1517,"&lt;"&amp;B1394)+COUNTIFS($O$5:$O$1517,O1394,$B$5:$B$1517,B1394,$C$5:$C$1517,"&lt;"&amp;C1394),"")</f>
        <v>1154</v>
      </c>
      <c r="U1394" s="8" t="n">
        <f aca="false">IF($K1394=1,COUNTIFS($L$5:$L$1517,"&gt;="&amp;L1394,$K$5:$K$1517,1)/COUNTIF($L$5:$L$1517,"&gt;="&amp;L1394),0)</f>
        <v>0</v>
      </c>
      <c r="V1394" s="8" t="n">
        <f aca="false">IF($K1394=1,COUNTIFS($M$5:$M$1517,"&gt;="&amp;M1394,$K$5:$K$1517,1)/COUNTIF($M$5:$M$1517,"&gt;="&amp;M1394),0)</f>
        <v>0</v>
      </c>
      <c r="W1394" s="8" t="n">
        <f aca="false">IF($K1394=1,COUNTIFS($N$5:$N$1517,"&gt;="&amp;N1394,$K$5:$K$1517,1)/COUNTIF($N$5:$N$1517,"&gt;="&amp;N1394),0)</f>
        <v>0</v>
      </c>
      <c r="X1394" s="8" t="n">
        <f aca="false">IF($K1394=1,COUNTIFS($O$5:$O$1517,"&gt;="&amp;O1394,$K$5:$K$1517,1)/COUNTIF($O$5:$O$1517,"&gt;="&amp;O1394),0)</f>
        <v>0</v>
      </c>
      <c r="Y1394" s="8" t="n">
        <f aca="false">IF($K1394=1,COUNTIFS($P$5:$P$1517,"&gt;="&amp;P1394,$K$5:$K$1517,1)/COUNTIF($P$5:$P$1517,"&gt;="&amp;P1394),0)</f>
        <v>0</v>
      </c>
      <c r="Z1394" s="8" t="n">
        <f aca="false">(L1394-$K1394)^2</f>
        <v>0.117154913841</v>
      </c>
      <c r="AA1394" s="8" t="n">
        <f aca="false">(M1394-$K1394)^2</f>
        <v>0.008475595969</v>
      </c>
      <c r="AB1394" s="8" t="n">
        <f aca="false">(N1394-$K1394)^2</f>
        <v>0.023418793024</v>
      </c>
      <c r="AC1394" s="8" t="n">
        <f aca="false">(O1394-$K1394)^2</f>
        <v>0.011274829489</v>
      </c>
      <c r="AD1394" s="8" t="n">
        <f aca="false">(P1394-$K1394)^2</f>
        <v>0.027135643441</v>
      </c>
      <c r="AE1394" s="8" t="n">
        <f aca="false">MIN(INT(ROUND(N1394*1000000,0)/100000),9)</f>
        <v>1</v>
      </c>
      <c r="AF1394" s="8" t="n">
        <f aca="false">MIN(INT(ROUND(P1394*1000000,0)/100000),9)</f>
        <v>1</v>
      </c>
    </row>
    <row r="1395" customFormat="false" ht="15" hidden="false" customHeight="false" outlineLevel="0" collapsed="false">
      <c r="A1395" s="4" t="n">
        <v>1391</v>
      </c>
      <c r="B1395" s="4" t="n">
        <v>1385</v>
      </c>
      <c r="C1395" s="4" t="n">
        <v>3</v>
      </c>
      <c r="D1395" s="11" t="n">
        <v>46143</v>
      </c>
      <c r="E1395" s="4" t="s">
        <v>202</v>
      </c>
      <c r="F1395" s="4" t="s">
        <v>206</v>
      </c>
      <c r="G1395" s="4" t="n">
        <v>9</v>
      </c>
      <c r="H1395" s="4" t="n">
        <v>1</v>
      </c>
      <c r="I1395" s="4" t="n">
        <v>0</v>
      </c>
      <c r="J1395" s="4"/>
      <c r="K1395" s="4" t="n">
        <v>0</v>
      </c>
      <c r="L1395" s="12" t="n">
        <v>0.321308</v>
      </c>
      <c r="M1395" s="12" t="n">
        <v>0.092063</v>
      </c>
      <c r="N1395" s="12" t="n">
        <v>0.038622</v>
      </c>
      <c r="O1395" s="12" t="n">
        <v>0.106183</v>
      </c>
      <c r="P1395" s="12" t="n">
        <v>0.039222</v>
      </c>
      <c r="Q1395" s="0" t="str">
        <f aca="false">IF(L1395&gt;=Models!$G$5,1+COUNTIF($L$5:$L$1517,"&gt;"&amp;L1395)+COUNTIFS($L$5:$L$1517,L1395,$B$5:$B$1517,"&lt;"&amp;B1395)+COUNTIFS($L$5:$L$1517,L1395,$B$5:$B$1517,B1395,$C$5:$C$1517,"&lt;"&amp;C1395),"")</f>
        <v/>
      </c>
      <c r="R1395" s="0" t="str">
        <f aca="false">IF(M1395&gt;=Models!$G$6,1+COUNTIF($M$5:$M$1517,"&gt;"&amp;M1395)+COUNTIFS($M$5:$M$1517,M1395,$B$5:$B$1517,"&lt;"&amp;B1395)+COUNTIFS($M$5:$M$1517,M1395,$B$5:$B$1517,B1395,$C$5:$C$1517,"&lt;"&amp;C1395),"")</f>
        <v/>
      </c>
      <c r="S1395" s="0" t="str">
        <f aca="false">IF(N1395&gt;=Models!$G$7,1+COUNTIF($N$5:$N$1517,"&gt;"&amp;N1395)+COUNTIFS($N$5:$N$1517,N1395,$B$5:$B$1517,"&lt;"&amp;B1395)+COUNTIFS($N$5:$N$1517,N1395,$B$5:$B$1517,B1395,$C$5:$C$1517,"&lt;"&amp;C1395),"")</f>
        <v/>
      </c>
      <c r="T1395" s="8" t="n">
        <f aca="false">IF(O1395&gt;=Models!$G$8,1+COUNTIF($O$5:$O$1517,"&gt;"&amp;O1395)+COUNTIFS($O$5:$O$1517,O1395,$B$5:$B$1517,"&lt;"&amp;B1395)+COUNTIFS($O$5:$O$1517,O1395,$B$5:$B$1517,B1395,$C$5:$C$1517,"&lt;"&amp;C1395),"")</f>
        <v>1158</v>
      </c>
      <c r="U1395" s="8" t="n">
        <f aca="false">IF($K1395=1,COUNTIFS($L$5:$L$1517,"&gt;="&amp;L1395,$K$5:$K$1517,1)/COUNTIF($L$5:$L$1517,"&gt;="&amp;L1395),0)</f>
        <v>0</v>
      </c>
      <c r="V1395" s="8" t="n">
        <f aca="false">IF($K1395=1,COUNTIFS($M$5:$M$1517,"&gt;="&amp;M1395,$K$5:$K$1517,1)/COUNTIF($M$5:$M$1517,"&gt;="&amp;M1395),0)</f>
        <v>0</v>
      </c>
      <c r="W1395" s="8" t="n">
        <f aca="false">IF($K1395=1,COUNTIFS($N$5:$N$1517,"&gt;="&amp;N1395,$K$5:$K$1517,1)/COUNTIF($N$5:$N$1517,"&gt;="&amp;N1395),0)</f>
        <v>0</v>
      </c>
      <c r="X1395" s="8" t="n">
        <f aca="false">IF($K1395=1,COUNTIFS($O$5:$O$1517,"&gt;="&amp;O1395,$K$5:$K$1517,1)/COUNTIF($O$5:$O$1517,"&gt;="&amp;O1395),0)</f>
        <v>0</v>
      </c>
      <c r="Y1395" s="8" t="n">
        <f aca="false">IF($K1395=1,COUNTIFS($P$5:$P$1517,"&gt;="&amp;P1395,$K$5:$K$1517,1)/COUNTIF($P$5:$P$1517,"&gt;="&amp;P1395),0)</f>
        <v>0</v>
      </c>
      <c r="Z1395" s="8" t="n">
        <f aca="false">(L1395-$K1395)^2</f>
        <v>0.103238830864</v>
      </c>
      <c r="AA1395" s="8" t="n">
        <f aca="false">(M1395-$K1395)^2</f>
        <v>0.008475595969</v>
      </c>
      <c r="AB1395" s="8" t="n">
        <f aca="false">(N1395-$K1395)^2</f>
        <v>0.001491658884</v>
      </c>
      <c r="AC1395" s="8" t="n">
        <f aca="false">(O1395-$K1395)^2</f>
        <v>0.011274829489</v>
      </c>
      <c r="AD1395" s="8" t="n">
        <f aca="false">(P1395-$K1395)^2</f>
        <v>0.001538365284</v>
      </c>
      <c r="AE1395" s="8" t="n">
        <f aca="false">MIN(INT(ROUND(N1395*1000000,0)/100000),9)</f>
        <v>0</v>
      </c>
      <c r="AF1395" s="8" t="n">
        <f aca="false">MIN(INT(ROUND(P1395*1000000,0)/100000),9)</f>
        <v>0</v>
      </c>
    </row>
    <row r="1396" customFormat="false" ht="15" hidden="false" customHeight="false" outlineLevel="0" collapsed="false">
      <c r="A1396" s="4" t="n">
        <v>1392</v>
      </c>
      <c r="B1396" s="4" t="n">
        <v>1389</v>
      </c>
      <c r="C1396" s="4" t="n">
        <v>3</v>
      </c>
      <c r="D1396" s="11" t="n">
        <v>46143</v>
      </c>
      <c r="E1396" s="4" t="s">
        <v>203</v>
      </c>
      <c r="F1396" s="4" t="s">
        <v>209</v>
      </c>
      <c r="G1396" s="4" t="n">
        <v>3</v>
      </c>
      <c r="H1396" s="4" t="n">
        <v>12</v>
      </c>
      <c r="I1396" s="4" t="n">
        <v>0</v>
      </c>
      <c r="J1396" s="4"/>
      <c r="K1396" s="4" t="n">
        <v>0</v>
      </c>
      <c r="L1396" s="12" t="n">
        <v>0.291167</v>
      </c>
      <c r="M1396" s="12" t="n">
        <v>0.092063</v>
      </c>
      <c r="N1396" s="12" t="n">
        <v>0.070146</v>
      </c>
      <c r="O1396" s="12" t="n">
        <v>0.106183</v>
      </c>
      <c r="P1396" s="12" t="n">
        <v>0.073207</v>
      </c>
      <c r="Q1396" s="0" t="str">
        <f aca="false">IF(L1396&gt;=Models!$G$5,1+COUNTIF($L$5:$L$1517,"&gt;"&amp;L1396)+COUNTIFS($L$5:$L$1517,L1396,$B$5:$B$1517,"&lt;"&amp;B1396)+COUNTIFS($L$5:$L$1517,L1396,$B$5:$B$1517,B1396,$C$5:$C$1517,"&lt;"&amp;C1396),"")</f>
        <v/>
      </c>
      <c r="R1396" s="0" t="str">
        <f aca="false">IF(M1396&gt;=Models!$G$6,1+COUNTIF($M$5:$M$1517,"&gt;"&amp;M1396)+COUNTIFS($M$5:$M$1517,M1396,$B$5:$B$1517,"&lt;"&amp;B1396)+COUNTIFS($M$5:$M$1517,M1396,$B$5:$B$1517,B1396,$C$5:$C$1517,"&lt;"&amp;C1396),"")</f>
        <v/>
      </c>
      <c r="S1396" s="0" t="str">
        <f aca="false">IF(N1396&gt;=Models!$G$7,1+COUNTIF($N$5:$N$1517,"&gt;"&amp;N1396)+COUNTIFS($N$5:$N$1517,N1396,$B$5:$B$1517,"&lt;"&amp;B1396)+COUNTIFS($N$5:$N$1517,N1396,$B$5:$B$1517,B1396,$C$5:$C$1517,"&lt;"&amp;C1396),"")</f>
        <v/>
      </c>
      <c r="T1396" s="8" t="n">
        <f aca="false">IF(O1396&gt;=Models!$G$8,1+COUNTIF($O$5:$O$1517,"&gt;"&amp;O1396)+COUNTIFS($O$5:$O$1517,O1396,$B$5:$B$1517,"&lt;"&amp;B1396)+COUNTIFS($O$5:$O$1517,O1396,$B$5:$B$1517,B1396,$C$5:$C$1517,"&lt;"&amp;C1396),"")</f>
        <v>1162</v>
      </c>
      <c r="U1396" s="8" t="n">
        <f aca="false">IF($K1396=1,COUNTIFS($L$5:$L$1517,"&gt;="&amp;L1396,$K$5:$K$1517,1)/COUNTIF($L$5:$L$1517,"&gt;="&amp;L1396),0)</f>
        <v>0</v>
      </c>
      <c r="V1396" s="8" t="n">
        <f aca="false">IF($K1396=1,COUNTIFS($M$5:$M$1517,"&gt;="&amp;M1396,$K$5:$K$1517,1)/COUNTIF($M$5:$M$1517,"&gt;="&amp;M1396),0)</f>
        <v>0</v>
      </c>
      <c r="W1396" s="8" t="n">
        <f aca="false">IF($K1396=1,COUNTIFS($N$5:$N$1517,"&gt;="&amp;N1396,$K$5:$K$1517,1)/COUNTIF($N$5:$N$1517,"&gt;="&amp;N1396),0)</f>
        <v>0</v>
      </c>
      <c r="X1396" s="8" t="n">
        <f aca="false">IF($K1396=1,COUNTIFS($O$5:$O$1517,"&gt;="&amp;O1396,$K$5:$K$1517,1)/COUNTIF($O$5:$O$1517,"&gt;="&amp;O1396),0)</f>
        <v>0</v>
      </c>
      <c r="Y1396" s="8" t="n">
        <f aca="false">IF($K1396=1,COUNTIFS($P$5:$P$1517,"&gt;="&amp;P1396,$K$5:$K$1517,1)/COUNTIF($P$5:$P$1517,"&gt;="&amp;P1396),0)</f>
        <v>0</v>
      </c>
      <c r="Z1396" s="8" t="n">
        <f aca="false">(L1396-$K1396)^2</f>
        <v>0.084778221889</v>
      </c>
      <c r="AA1396" s="8" t="n">
        <f aca="false">(M1396-$K1396)^2</f>
        <v>0.008475595969</v>
      </c>
      <c r="AB1396" s="8" t="n">
        <f aca="false">(N1396-$K1396)^2</f>
        <v>0.004920461316</v>
      </c>
      <c r="AC1396" s="8" t="n">
        <f aca="false">(O1396-$K1396)^2</f>
        <v>0.011274829489</v>
      </c>
      <c r="AD1396" s="8" t="n">
        <f aca="false">(P1396-$K1396)^2</f>
        <v>0.005359264849</v>
      </c>
      <c r="AE1396" s="8" t="n">
        <f aca="false">MIN(INT(ROUND(N1396*1000000,0)/100000),9)</f>
        <v>0</v>
      </c>
      <c r="AF1396" s="8" t="n">
        <f aca="false">MIN(INT(ROUND(P1396*1000000,0)/100000),9)</f>
        <v>0</v>
      </c>
    </row>
    <row r="1397" customFormat="false" ht="15" hidden="false" customHeight="false" outlineLevel="0" collapsed="false">
      <c r="A1397" s="4" t="n">
        <v>1393</v>
      </c>
      <c r="B1397" s="4" t="n">
        <v>1400</v>
      </c>
      <c r="C1397" s="4" t="n">
        <v>3</v>
      </c>
      <c r="D1397" s="11" t="n">
        <v>46143</v>
      </c>
      <c r="E1397" s="4" t="s">
        <v>204</v>
      </c>
      <c r="F1397" s="4" t="s">
        <v>206</v>
      </c>
      <c r="G1397" s="4" t="n">
        <v>6</v>
      </c>
      <c r="H1397" s="4" t="n">
        <v>5</v>
      </c>
      <c r="I1397" s="4" t="n">
        <v>0</v>
      </c>
      <c r="J1397" s="4" t="n">
        <v>105</v>
      </c>
      <c r="K1397" s="4" t="n">
        <v>0</v>
      </c>
      <c r="L1397" s="12" t="n">
        <v>0.058439</v>
      </c>
      <c r="M1397" s="12" t="n">
        <v>0.092063</v>
      </c>
      <c r="N1397" s="12" t="n">
        <v>0.103295</v>
      </c>
      <c r="O1397" s="12" t="n">
        <v>0.106183</v>
      </c>
      <c r="P1397" s="12" t="n">
        <v>0.109585</v>
      </c>
      <c r="Q1397" s="0" t="str">
        <f aca="false">IF(L1397&gt;=Models!$G$5,1+COUNTIF($L$5:$L$1517,"&gt;"&amp;L1397)+COUNTIFS($L$5:$L$1517,L1397,$B$5:$B$1517,"&lt;"&amp;B1397)+COUNTIFS($L$5:$L$1517,L1397,$B$5:$B$1517,B1397,$C$5:$C$1517,"&lt;"&amp;C1397),"")</f>
        <v/>
      </c>
      <c r="R1397" s="0" t="str">
        <f aca="false">IF(M1397&gt;=Models!$G$6,1+COUNTIF($M$5:$M$1517,"&gt;"&amp;M1397)+COUNTIFS($M$5:$M$1517,M1397,$B$5:$B$1517,"&lt;"&amp;B1397)+COUNTIFS($M$5:$M$1517,M1397,$B$5:$B$1517,B1397,$C$5:$C$1517,"&lt;"&amp;C1397),"")</f>
        <v/>
      </c>
      <c r="S1397" s="0" t="str">
        <f aca="false">IF(N1397&gt;=Models!$G$7,1+COUNTIF($N$5:$N$1517,"&gt;"&amp;N1397)+COUNTIFS($N$5:$N$1517,N1397,$B$5:$B$1517,"&lt;"&amp;B1397)+COUNTIFS($N$5:$N$1517,N1397,$B$5:$B$1517,B1397,$C$5:$C$1517,"&lt;"&amp;C1397),"")</f>
        <v/>
      </c>
      <c r="T1397" s="8" t="n">
        <f aca="false">IF(O1397&gt;=Models!$G$8,1+COUNTIF($O$5:$O$1517,"&gt;"&amp;O1397)+COUNTIFS($O$5:$O$1517,O1397,$B$5:$B$1517,"&lt;"&amp;B1397)+COUNTIFS($O$5:$O$1517,O1397,$B$5:$B$1517,B1397,$C$5:$C$1517,"&lt;"&amp;C1397),"")</f>
        <v>1166</v>
      </c>
      <c r="U1397" s="8" t="n">
        <f aca="false">IF($K1397=1,COUNTIFS($L$5:$L$1517,"&gt;="&amp;L1397,$K$5:$K$1517,1)/COUNTIF($L$5:$L$1517,"&gt;="&amp;L1397),0)</f>
        <v>0</v>
      </c>
      <c r="V1397" s="8" t="n">
        <f aca="false">IF($K1397=1,COUNTIFS($M$5:$M$1517,"&gt;="&amp;M1397,$K$5:$K$1517,1)/COUNTIF($M$5:$M$1517,"&gt;="&amp;M1397),0)</f>
        <v>0</v>
      </c>
      <c r="W1397" s="8" t="n">
        <f aca="false">IF($K1397=1,COUNTIFS($N$5:$N$1517,"&gt;="&amp;N1397,$K$5:$K$1517,1)/COUNTIF($N$5:$N$1517,"&gt;="&amp;N1397),0)</f>
        <v>0</v>
      </c>
      <c r="X1397" s="8" t="n">
        <f aca="false">IF($K1397=1,COUNTIFS($O$5:$O$1517,"&gt;="&amp;O1397,$K$5:$K$1517,1)/COUNTIF($O$5:$O$1517,"&gt;="&amp;O1397),0)</f>
        <v>0</v>
      </c>
      <c r="Y1397" s="8" t="n">
        <f aca="false">IF($K1397=1,COUNTIFS($P$5:$P$1517,"&gt;="&amp;P1397,$K$5:$K$1517,1)/COUNTIF($P$5:$P$1517,"&gt;="&amp;P1397),0)</f>
        <v>0</v>
      </c>
      <c r="Z1397" s="8" t="n">
        <f aca="false">(L1397-$K1397)^2</f>
        <v>0.003415116721</v>
      </c>
      <c r="AA1397" s="8" t="n">
        <f aca="false">(M1397-$K1397)^2</f>
        <v>0.008475595969</v>
      </c>
      <c r="AB1397" s="8" t="n">
        <f aca="false">(N1397-$K1397)^2</f>
        <v>0.010669857025</v>
      </c>
      <c r="AC1397" s="8" t="n">
        <f aca="false">(O1397-$K1397)^2</f>
        <v>0.011274829489</v>
      </c>
      <c r="AD1397" s="8" t="n">
        <f aca="false">(P1397-$K1397)^2</f>
        <v>0.012008872225</v>
      </c>
      <c r="AE1397" s="8" t="n">
        <f aca="false">MIN(INT(ROUND(N1397*1000000,0)/100000),9)</f>
        <v>1</v>
      </c>
      <c r="AF1397" s="8" t="n">
        <f aca="false">MIN(INT(ROUND(P1397*1000000,0)/100000),9)</f>
        <v>1</v>
      </c>
    </row>
    <row r="1398" customFormat="false" ht="15" hidden="false" customHeight="false" outlineLevel="0" collapsed="false">
      <c r="A1398" s="4" t="n">
        <v>1394</v>
      </c>
      <c r="B1398" s="4" t="n">
        <v>1405</v>
      </c>
      <c r="C1398" s="4" t="n">
        <v>3</v>
      </c>
      <c r="D1398" s="11" t="n">
        <v>46143</v>
      </c>
      <c r="E1398" s="4" t="s">
        <v>202</v>
      </c>
      <c r="F1398" s="4" t="s">
        <v>209</v>
      </c>
      <c r="G1398" s="4" t="n">
        <v>6</v>
      </c>
      <c r="H1398" s="4" t="n">
        <v>6</v>
      </c>
      <c r="I1398" s="4" t="n">
        <v>0</v>
      </c>
      <c r="J1398" s="4"/>
      <c r="K1398" s="4" t="n">
        <v>0</v>
      </c>
      <c r="L1398" s="12" t="n">
        <v>0.700554</v>
      </c>
      <c r="M1398" s="12" t="n">
        <v>0.092063</v>
      </c>
      <c r="N1398" s="12" t="n">
        <v>0.051976</v>
      </c>
      <c r="O1398" s="12" t="n">
        <v>0.106183</v>
      </c>
      <c r="P1398" s="12" t="n">
        <v>0.053516</v>
      </c>
      <c r="Q1398" s="0" t="str">
        <f aca="false">IF(L1398&gt;=Models!$G$5,1+COUNTIF($L$5:$L$1517,"&gt;"&amp;L1398)+COUNTIFS($L$5:$L$1517,L1398,$B$5:$B$1517,"&lt;"&amp;B1398)+COUNTIFS($L$5:$L$1517,L1398,$B$5:$B$1517,B1398,$C$5:$C$1517,"&lt;"&amp;C1398),"")</f>
        <v/>
      </c>
      <c r="R1398" s="0" t="str">
        <f aca="false">IF(M1398&gt;=Models!$G$6,1+COUNTIF($M$5:$M$1517,"&gt;"&amp;M1398)+COUNTIFS($M$5:$M$1517,M1398,$B$5:$B$1517,"&lt;"&amp;B1398)+COUNTIFS($M$5:$M$1517,M1398,$B$5:$B$1517,B1398,$C$5:$C$1517,"&lt;"&amp;C1398),"")</f>
        <v/>
      </c>
      <c r="S1398" s="0" t="str">
        <f aca="false">IF(N1398&gt;=Models!$G$7,1+COUNTIF($N$5:$N$1517,"&gt;"&amp;N1398)+COUNTIFS($N$5:$N$1517,N1398,$B$5:$B$1517,"&lt;"&amp;B1398)+COUNTIFS($N$5:$N$1517,N1398,$B$5:$B$1517,B1398,$C$5:$C$1517,"&lt;"&amp;C1398),"")</f>
        <v/>
      </c>
      <c r="T1398" s="8" t="n">
        <f aca="false">IF(O1398&gt;=Models!$G$8,1+COUNTIF($O$5:$O$1517,"&gt;"&amp;O1398)+COUNTIFS($O$5:$O$1517,O1398,$B$5:$B$1517,"&lt;"&amp;B1398)+COUNTIFS($O$5:$O$1517,O1398,$B$5:$B$1517,B1398,$C$5:$C$1517,"&lt;"&amp;C1398),"")</f>
        <v>1170</v>
      </c>
      <c r="U1398" s="8" t="n">
        <f aca="false">IF($K1398=1,COUNTIFS($L$5:$L$1517,"&gt;="&amp;L1398,$K$5:$K$1517,1)/COUNTIF($L$5:$L$1517,"&gt;="&amp;L1398),0)</f>
        <v>0</v>
      </c>
      <c r="V1398" s="8" t="n">
        <f aca="false">IF($K1398=1,COUNTIFS($M$5:$M$1517,"&gt;="&amp;M1398,$K$5:$K$1517,1)/COUNTIF($M$5:$M$1517,"&gt;="&amp;M1398),0)</f>
        <v>0</v>
      </c>
      <c r="W1398" s="8" t="n">
        <f aca="false">IF($K1398=1,COUNTIFS($N$5:$N$1517,"&gt;="&amp;N1398,$K$5:$K$1517,1)/COUNTIF($N$5:$N$1517,"&gt;="&amp;N1398),0)</f>
        <v>0</v>
      </c>
      <c r="X1398" s="8" t="n">
        <f aca="false">IF($K1398=1,COUNTIFS($O$5:$O$1517,"&gt;="&amp;O1398,$K$5:$K$1517,1)/COUNTIF($O$5:$O$1517,"&gt;="&amp;O1398),0)</f>
        <v>0</v>
      </c>
      <c r="Y1398" s="8" t="n">
        <f aca="false">IF($K1398=1,COUNTIFS($P$5:$P$1517,"&gt;="&amp;P1398,$K$5:$K$1517,1)/COUNTIF($P$5:$P$1517,"&gt;="&amp;P1398),0)</f>
        <v>0</v>
      </c>
      <c r="Z1398" s="8" t="n">
        <f aca="false">(L1398-$K1398)^2</f>
        <v>0.490775906916</v>
      </c>
      <c r="AA1398" s="8" t="n">
        <f aca="false">(M1398-$K1398)^2</f>
        <v>0.008475595969</v>
      </c>
      <c r="AB1398" s="8" t="n">
        <f aca="false">(N1398-$K1398)^2</f>
        <v>0.002701504576</v>
      </c>
      <c r="AC1398" s="8" t="n">
        <f aca="false">(O1398-$K1398)^2</f>
        <v>0.011274829489</v>
      </c>
      <c r="AD1398" s="8" t="n">
        <f aca="false">(P1398-$K1398)^2</f>
        <v>0.002863962256</v>
      </c>
      <c r="AE1398" s="8" t="n">
        <f aca="false">MIN(INT(ROUND(N1398*1000000,0)/100000),9)</f>
        <v>0</v>
      </c>
      <c r="AF1398" s="8" t="n">
        <f aca="false">MIN(INT(ROUND(P1398*1000000,0)/100000),9)</f>
        <v>0</v>
      </c>
    </row>
    <row r="1399" customFormat="false" ht="15" hidden="false" customHeight="false" outlineLevel="0" collapsed="false">
      <c r="A1399" s="4" t="n">
        <v>1395</v>
      </c>
      <c r="B1399" s="4" t="n">
        <v>1411</v>
      </c>
      <c r="C1399" s="4" t="n">
        <v>3</v>
      </c>
      <c r="D1399" s="11" t="n">
        <v>46143</v>
      </c>
      <c r="E1399" s="4" t="s">
        <v>202</v>
      </c>
      <c r="F1399" s="4" t="s">
        <v>206</v>
      </c>
      <c r="G1399" s="4" t="n">
        <v>8</v>
      </c>
      <c r="H1399" s="4" t="n">
        <v>2</v>
      </c>
      <c r="I1399" s="4" t="n">
        <v>0</v>
      </c>
      <c r="J1399" s="4" t="n">
        <v>1560</v>
      </c>
      <c r="K1399" s="4" t="n">
        <v>0</v>
      </c>
      <c r="L1399" s="12" t="n">
        <v>0.756837</v>
      </c>
      <c r="M1399" s="12" t="n">
        <v>0.092063</v>
      </c>
      <c r="N1399" s="12" t="n">
        <v>0.079424</v>
      </c>
      <c r="O1399" s="12" t="n">
        <v>0.106183</v>
      </c>
      <c r="P1399" s="12" t="n">
        <v>0.083341</v>
      </c>
      <c r="Q1399" s="0" t="str">
        <f aca="false">IF(L1399&gt;=Models!$G$5,1+COUNTIF($L$5:$L$1517,"&gt;"&amp;L1399)+COUNTIFS($L$5:$L$1517,L1399,$B$5:$B$1517,"&lt;"&amp;B1399)+COUNTIFS($L$5:$L$1517,L1399,$B$5:$B$1517,B1399,$C$5:$C$1517,"&lt;"&amp;C1399),"")</f>
        <v/>
      </c>
      <c r="R1399" s="0" t="str">
        <f aca="false">IF(M1399&gt;=Models!$G$6,1+COUNTIF($M$5:$M$1517,"&gt;"&amp;M1399)+COUNTIFS($M$5:$M$1517,M1399,$B$5:$B$1517,"&lt;"&amp;B1399)+COUNTIFS($M$5:$M$1517,M1399,$B$5:$B$1517,B1399,$C$5:$C$1517,"&lt;"&amp;C1399),"")</f>
        <v/>
      </c>
      <c r="S1399" s="0" t="str">
        <f aca="false">IF(N1399&gt;=Models!$G$7,1+COUNTIF($N$5:$N$1517,"&gt;"&amp;N1399)+COUNTIFS($N$5:$N$1517,N1399,$B$5:$B$1517,"&lt;"&amp;B1399)+COUNTIFS($N$5:$N$1517,N1399,$B$5:$B$1517,B1399,$C$5:$C$1517,"&lt;"&amp;C1399),"")</f>
        <v/>
      </c>
      <c r="T1399" s="8" t="n">
        <f aca="false">IF(O1399&gt;=Models!$G$8,1+COUNTIF($O$5:$O$1517,"&gt;"&amp;O1399)+COUNTIFS($O$5:$O$1517,O1399,$B$5:$B$1517,"&lt;"&amp;B1399)+COUNTIFS($O$5:$O$1517,O1399,$B$5:$B$1517,B1399,$C$5:$C$1517,"&lt;"&amp;C1399),"")</f>
        <v>1174</v>
      </c>
      <c r="U1399" s="8" t="n">
        <f aca="false">IF($K1399=1,COUNTIFS($L$5:$L$1517,"&gt;="&amp;L1399,$K$5:$K$1517,1)/COUNTIF($L$5:$L$1517,"&gt;="&amp;L1399),0)</f>
        <v>0</v>
      </c>
      <c r="V1399" s="8" t="n">
        <f aca="false">IF($K1399=1,COUNTIFS($M$5:$M$1517,"&gt;="&amp;M1399,$K$5:$K$1517,1)/COUNTIF($M$5:$M$1517,"&gt;="&amp;M1399),0)</f>
        <v>0</v>
      </c>
      <c r="W1399" s="8" t="n">
        <f aca="false">IF($K1399=1,COUNTIFS($N$5:$N$1517,"&gt;="&amp;N1399,$K$5:$K$1517,1)/COUNTIF($N$5:$N$1517,"&gt;="&amp;N1399),0)</f>
        <v>0</v>
      </c>
      <c r="X1399" s="8" t="n">
        <f aca="false">IF($K1399=1,COUNTIFS($O$5:$O$1517,"&gt;="&amp;O1399,$K$5:$K$1517,1)/COUNTIF($O$5:$O$1517,"&gt;="&amp;O1399),0)</f>
        <v>0</v>
      </c>
      <c r="Y1399" s="8" t="n">
        <f aca="false">IF($K1399=1,COUNTIFS($P$5:$P$1517,"&gt;="&amp;P1399,$K$5:$K$1517,1)/COUNTIF($P$5:$P$1517,"&gt;="&amp;P1399),0)</f>
        <v>0</v>
      </c>
      <c r="Z1399" s="8" t="n">
        <f aca="false">(L1399-$K1399)^2</f>
        <v>0.572802244569</v>
      </c>
      <c r="AA1399" s="8" t="n">
        <f aca="false">(M1399-$K1399)^2</f>
        <v>0.008475595969</v>
      </c>
      <c r="AB1399" s="8" t="n">
        <f aca="false">(N1399-$K1399)^2</f>
        <v>0.006308171776</v>
      </c>
      <c r="AC1399" s="8" t="n">
        <f aca="false">(O1399-$K1399)^2</f>
        <v>0.011274829489</v>
      </c>
      <c r="AD1399" s="8" t="n">
        <f aca="false">(P1399-$K1399)^2</f>
        <v>0.006945722281</v>
      </c>
      <c r="AE1399" s="8" t="n">
        <f aca="false">MIN(INT(ROUND(N1399*1000000,0)/100000),9)</f>
        <v>0</v>
      </c>
      <c r="AF1399" s="8" t="n">
        <f aca="false">MIN(INT(ROUND(P1399*1000000,0)/100000),9)</f>
        <v>0</v>
      </c>
    </row>
    <row r="1400" customFormat="false" ht="15" hidden="false" customHeight="false" outlineLevel="0" collapsed="false">
      <c r="A1400" s="4" t="n">
        <v>1396</v>
      </c>
      <c r="B1400" s="4" t="n">
        <v>1418</v>
      </c>
      <c r="C1400" s="4" t="n">
        <v>3</v>
      </c>
      <c r="D1400" s="11" t="n">
        <v>46143</v>
      </c>
      <c r="E1400" s="4" t="s">
        <v>202</v>
      </c>
      <c r="F1400" s="4" t="s">
        <v>207</v>
      </c>
      <c r="G1400" s="4" t="n">
        <v>9</v>
      </c>
      <c r="H1400" s="4" t="n">
        <v>1</v>
      </c>
      <c r="I1400" s="4" t="n">
        <v>0</v>
      </c>
      <c r="J1400" s="4"/>
      <c r="K1400" s="4" t="n">
        <v>0</v>
      </c>
      <c r="L1400" s="12" t="n">
        <v>0.804782</v>
      </c>
      <c r="M1400" s="12" t="n">
        <v>0.092063</v>
      </c>
      <c r="N1400" s="12" t="n">
        <v>0.038622</v>
      </c>
      <c r="O1400" s="12" t="n">
        <v>0.106183</v>
      </c>
      <c r="P1400" s="12" t="n">
        <v>0.039222</v>
      </c>
      <c r="Q1400" s="0" t="str">
        <f aca="false">IF(L1400&gt;=Models!$G$5,1+COUNTIF($L$5:$L$1517,"&gt;"&amp;L1400)+COUNTIFS($L$5:$L$1517,L1400,$B$5:$B$1517,"&lt;"&amp;B1400)+COUNTIFS($L$5:$L$1517,L1400,$B$5:$B$1517,B1400,$C$5:$C$1517,"&lt;"&amp;C1400),"")</f>
        <v/>
      </c>
      <c r="R1400" s="0" t="str">
        <f aca="false">IF(M1400&gt;=Models!$G$6,1+COUNTIF($M$5:$M$1517,"&gt;"&amp;M1400)+COUNTIFS($M$5:$M$1517,M1400,$B$5:$B$1517,"&lt;"&amp;B1400)+COUNTIFS($M$5:$M$1517,M1400,$B$5:$B$1517,B1400,$C$5:$C$1517,"&lt;"&amp;C1400),"")</f>
        <v/>
      </c>
      <c r="S1400" s="0" t="str">
        <f aca="false">IF(N1400&gt;=Models!$G$7,1+COUNTIF($N$5:$N$1517,"&gt;"&amp;N1400)+COUNTIFS($N$5:$N$1517,N1400,$B$5:$B$1517,"&lt;"&amp;B1400)+COUNTIFS($N$5:$N$1517,N1400,$B$5:$B$1517,B1400,$C$5:$C$1517,"&lt;"&amp;C1400),"")</f>
        <v/>
      </c>
      <c r="T1400" s="8" t="n">
        <f aca="false">IF(O1400&gt;=Models!$G$8,1+COUNTIF($O$5:$O$1517,"&gt;"&amp;O1400)+COUNTIFS($O$5:$O$1517,O1400,$B$5:$B$1517,"&lt;"&amp;B1400)+COUNTIFS($O$5:$O$1517,O1400,$B$5:$B$1517,B1400,$C$5:$C$1517,"&lt;"&amp;C1400),"")</f>
        <v>1178</v>
      </c>
      <c r="U1400" s="8" t="n">
        <f aca="false">IF($K1400=1,COUNTIFS($L$5:$L$1517,"&gt;="&amp;L1400,$K$5:$K$1517,1)/COUNTIF($L$5:$L$1517,"&gt;="&amp;L1400),0)</f>
        <v>0</v>
      </c>
      <c r="V1400" s="8" t="n">
        <f aca="false">IF($K1400=1,COUNTIFS($M$5:$M$1517,"&gt;="&amp;M1400,$K$5:$K$1517,1)/COUNTIF($M$5:$M$1517,"&gt;="&amp;M1400),0)</f>
        <v>0</v>
      </c>
      <c r="W1400" s="8" t="n">
        <f aca="false">IF($K1400=1,COUNTIFS($N$5:$N$1517,"&gt;="&amp;N1400,$K$5:$K$1517,1)/COUNTIF($N$5:$N$1517,"&gt;="&amp;N1400),0)</f>
        <v>0</v>
      </c>
      <c r="X1400" s="8" t="n">
        <f aca="false">IF($K1400=1,COUNTIFS($O$5:$O$1517,"&gt;="&amp;O1400,$K$5:$K$1517,1)/COUNTIF($O$5:$O$1517,"&gt;="&amp;O1400),0)</f>
        <v>0</v>
      </c>
      <c r="Y1400" s="8" t="n">
        <f aca="false">IF($K1400=1,COUNTIFS($P$5:$P$1517,"&gt;="&amp;P1400,$K$5:$K$1517,1)/COUNTIF($P$5:$P$1517,"&gt;="&amp;P1400),0)</f>
        <v>0</v>
      </c>
      <c r="Z1400" s="8" t="n">
        <f aca="false">(L1400-$K1400)^2</f>
        <v>0.647674067524</v>
      </c>
      <c r="AA1400" s="8" t="n">
        <f aca="false">(M1400-$K1400)^2</f>
        <v>0.008475595969</v>
      </c>
      <c r="AB1400" s="8" t="n">
        <f aca="false">(N1400-$K1400)^2</f>
        <v>0.001491658884</v>
      </c>
      <c r="AC1400" s="8" t="n">
        <f aca="false">(O1400-$K1400)^2</f>
        <v>0.011274829489</v>
      </c>
      <c r="AD1400" s="8" t="n">
        <f aca="false">(P1400-$K1400)^2</f>
        <v>0.001538365284</v>
      </c>
      <c r="AE1400" s="8" t="n">
        <f aca="false">MIN(INT(ROUND(N1400*1000000,0)/100000),9)</f>
        <v>0</v>
      </c>
      <c r="AF1400" s="8" t="n">
        <f aca="false">MIN(INT(ROUND(P1400*1000000,0)/100000),9)</f>
        <v>0</v>
      </c>
    </row>
    <row r="1401" customFormat="false" ht="15" hidden="false" customHeight="false" outlineLevel="0" collapsed="false">
      <c r="A1401" s="4" t="n">
        <v>1397</v>
      </c>
      <c r="B1401" s="4" t="n">
        <v>1423</v>
      </c>
      <c r="C1401" s="4" t="n">
        <v>3</v>
      </c>
      <c r="D1401" s="11" t="n">
        <v>46143</v>
      </c>
      <c r="E1401" s="4" t="s">
        <v>204</v>
      </c>
      <c r="F1401" s="4" t="s">
        <v>208</v>
      </c>
      <c r="G1401" s="4" t="n">
        <v>1</v>
      </c>
      <c r="H1401" s="4" t="n">
        <v>0</v>
      </c>
      <c r="I1401" s="4" t="n">
        <v>0</v>
      </c>
      <c r="J1401" s="4" t="n">
        <v>66</v>
      </c>
      <c r="K1401" s="4" t="n">
        <v>0</v>
      </c>
      <c r="L1401" s="12" t="n">
        <v>0.489364</v>
      </c>
      <c r="M1401" s="12" t="n">
        <v>0.092063</v>
      </c>
      <c r="N1401" s="12" t="n">
        <v>0.148062</v>
      </c>
      <c r="O1401" s="12" t="n">
        <v>0.106183</v>
      </c>
      <c r="P1401" s="12" t="n">
        <v>0.159203</v>
      </c>
      <c r="Q1401" s="0" t="str">
        <f aca="false">IF(L1401&gt;=Models!$G$5,1+COUNTIF($L$5:$L$1517,"&gt;"&amp;L1401)+COUNTIFS($L$5:$L$1517,L1401,$B$5:$B$1517,"&lt;"&amp;B1401)+COUNTIFS($L$5:$L$1517,L1401,$B$5:$B$1517,B1401,$C$5:$C$1517,"&lt;"&amp;C1401),"")</f>
        <v/>
      </c>
      <c r="R1401" s="0" t="str">
        <f aca="false">IF(M1401&gt;=Models!$G$6,1+COUNTIF($M$5:$M$1517,"&gt;"&amp;M1401)+COUNTIFS($M$5:$M$1517,M1401,$B$5:$B$1517,"&lt;"&amp;B1401)+COUNTIFS($M$5:$M$1517,M1401,$B$5:$B$1517,B1401,$C$5:$C$1517,"&lt;"&amp;C1401),"")</f>
        <v/>
      </c>
      <c r="S1401" s="0" t="str">
        <f aca="false">IF(N1401&gt;=Models!$G$7,1+COUNTIF($N$5:$N$1517,"&gt;"&amp;N1401)+COUNTIFS($N$5:$N$1517,N1401,$B$5:$B$1517,"&lt;"&amp;B1401)+COUNTIFS($N$5:$N$1517,N1401,$B$5:$B$1517,B1401,$C$5:$C$1517,"&lt;"&amp;C1401),"")</f>
        <v/>
      </c>
      <c r="T1401" s="8" t="n">
        <f aca="false">IF(O1401&gt;=Models!$G$8,1+COUNTIF($O$5:$O$1517,"&gt;"&amp;O1401)+COUNTIFS($O$5:$O$1517,O1401,$B$5:$B$1517,"&lt;"&amp;B1401)+COUNTIFS($O$5:$O$1517,O1401,$B$5:$B$1517,B1401,$C$5:$C$1517,"&lt;"&amp;C1401),"")</f>
        <v>1182</v>
      </c>
      <c r="U1401" s="8" t="n">
        <f aca="false">IF($K1401=1,COUNTIFS($L$5:$L$1517,"&gt;="&amp;L1401,$K$5:$K$1517,1)/COUNTIF($L$5:$L$1517,"&gt;="&amp;L1401),0)</f>
        <v>0</v>
      </c>
      <c r="V1401" s="8" t="n">
        <f aca="false">IF($K1401=1,COUNTIFS($M$5:$M$1517,"&gt;="&amp;M1401,$K$5:$K$1517,1)/COUNTIF($M$5:$M$1517,"&gt;="&amp;M1401),0)</f>
        <v>0</v>
      </c>
      <c r="W1401" s="8" t="n">
        <f aca="false">IF($K1401=1,COUNTIFS($N$5:$N$1517,"&gt;="&amp;N1401,$K$5:$K$1517,1)/COUNTIF($N$5:$N$1517,"&gt;="&amp;N1401),0)</f>
        <v>0</v>
      </c>
      <c r="X1401" s="8" t="n">
        <f aca="false">IF($K1401=1,COUNTIFS($O$5:$O$1517,"&gt;="&amp;O1401,$K$5:$K$1517,1)/COUNTIF($O$5:$O$1517,"&gt;="&amp;O1401),0)</f>
        <v>0</v>
      </c>
      <c r="Y1401" s="8" t="n">
        <f aca="false">IF($K1401=1,COUNTIFS($P$5:$P$1517,"&gt;="&amp;P1401,$K$5:$K$1517,1)/COUNTIF($P$5:$P$1517,"&gt;="&amp;P1401),0)</f>
        <v>0</v>
      </c>
      <c r="Z1401" s="8" t="n">
        <f aca="false">(L1401-$K1401)^2</f>
        <v>0.239477124496</v>
      </c>
      <c r="AA1401" s="8" t="n">
        <f aca="false">(M1401-$K1401)^2</f>
        <v>0.008475595969</v>
      </c>
      <c r="AB1401" s="8" t="n">
        <f aca="false">(N1401-$K1401)^2</f>
        <v>0.021922355844</v>
      </c>
      <c r="AC1401" s="8" t="n">
        <f aca="false">(O1401-$K1401)^2</f>
        <v>0.011274829489</v>
      </c>
      <c r="AD1401" s="8" t="n">
        <f aca="false">(P1401-$K1401)^2</f>
        <v>0.025345595209</v>
      </c>
      <c r="AE1401" s="8" t="n">
        <f aca="false">MIN(INT(ROUND(N1401*1000000,0)/100000),9)</f>
        <v>1</v>
      </c>
      <c r="AF1401" s="8" t="n">
        <f aca="false">MIN(INT(ROUND(P1401*1000000,0)/100000),9)</f>
        <v>1</v>
      </c>
    </row>
    <row r="1402" customFormat="false" ht="15" hidden="false" customHeight="false" outlineLevel="0" collapsed="false">
      <c r="A1402" s="4" t="n">
        <v>1398</v>
      </c>
      <c r="B1402" s="4" t="n">
        <v>1432</v>
      </c>
      <c r="C1402" s="4" t="n">
        <v>3</v>
      </c>
      <c r="D1402" s="11" t="n">
        <v>46143</v>
      </c>
      <c r="E1402" s="4" t="s">
        <v>203</v>
      </c>
      <c r="F1402" s="4" t="s">
        <v>209</v>
      </c>
      <c r="G1402" s="4" t="n">
        <v>2</v>
      </c>
      <c r="H1402" s="4" t="n">
        <v>21</v>
      </c>
      <c r="I1402" s="4" t="n">
        <v>0</v>
      </c>
      <c r="J1402" s="4" t="n">
        <v>408</v>
      </c>
      <c r="K1402" s="4" t="n">
        <v>0</v>
      </c>
      <c r="L1402" s="12" t="n">
        <v>0.096662</v>
      </c>
      <c r="M1402" s="12" t="n">
        <v>0.092063</v>
      </c>
      <c r="N1402" s="12" t="n">
        <v>0.156085</v>
      </c>
      <c r="O1402" s="12" t="n">
        <v>0.106183</v>
      </c>
      <c r="P1402" s="12" t="n">
        <v>0.168125</v>
      </c>
      <c r="Q1402" s="0" t="str">
        <f aca="false">IF(L1402&gt;=Models!$G$5,1+COUNTIF($L$5:$L$1517,"&gt;"&amp;L1402)+COUNTIFS($L$5:$L$1517,L1402,$B$5:$B$1517,"&lt;"&amp;B1402)+COUNTIFS($L$5:$L$1517,L1402,$B$5:$B$1517,B1402,$C$5:$C$1517,"&lt;"&amp;C1402),"")</f>
        <v/>
      </c>
      <c r="R1402" s="0" t="str">
        <f aca="false">IF(M1402&gt;=Models!$G$6,1+COUNTIF($M$5:$M$1517,"&gt;"&amp;M1402)+COUNTIFS($M$5:$M$1517,M1402,$B$5:$B$1517,"&lt;"&amp;B1402)+COUNTIFS($M$5:$M$1517,M1402,$B$5:$B$1517,B1402,$C$5:$C$1517,"&lt;"&amp;C1402),"")</f>
        <v/>
      </c>
      <c r="S1402" s="0" t="str">
        <f aca="false">IF(N1402&gt;=Models!$G$7,1+COUNTIF($N$5:$N$1517,"&gt;"&amp;N1402)+COUNTIFS($N$5:$N$1517,N1402,$B$5:$B$1517,"&lt;"&amp;B1402)+COUNTIFS($N$5:$N$1517,N1402,$B$5:$B$1517,B1402,$C$5:$C$1517,"&lt;"&amp;C1402),"")</f>
        <v/>
      </c>
      <c r="T1402" s="8" t="n">
        <f aca="false">IF(O1402&gt;=Models!$G$8,1+COUNTIF($O$5:$O$1517,"&gt;"&amp;O1402)+COUNTIFS($O$5:$O$1517,O1402,$B$5:$B$1517,"&lt;"&amp;B1402)+COUNTIFS($O$5:$O$1517,O1402,$B$5:$B$1517,B1402,$C$5:$C$1517,"&lt;"&amp;C1402),"")</f>
        <v>1186</v>
      </c>
      <c r="U1402" s="8" t="n">
        <f aca="false">IF($K1402=1,COUNTIFS($L$5:$L$1517,"&gt;="&amp;L1402,$K$5:$K$1517,1)/COUNTIF($L$5:$L$1517,"&gt;="&amp;L1402),0)</f>
        <v>0</v>
      </c>
      <c r="V1402" s="8" t="n">
        <f aca="false">IF($K1402=1,COUNTIFS($M$5:$M$1517,"&gt;="&amp;M1402,$K$5:$K$1517,1)/COUNTIF($M$5:$M$1517,"&gt;="&amp;M1402),0)</f>
        <v>0</v>
      </c>
      <c r="W1402" s="8" t="n">
        <f aca="false">IF($K1402=1,COUNTIFS($N$5:$N$1517,"&gt;="&amp;N1402,$K$5:$K$1517,1)/COUNTIF($N$5:$N$1517,"&gt;="&amp;N1402),0)</f>
        <v>0</v>
      </c>
      <c r="X1402" s="8" t="n">
        <f aca="false">IF($K1402=1,COUNTIFS($O$5:$O$1517,"&gt;="&amp;O1402,$K$5:$K$1517,1)/COUNTIF($O$5:$O$1517,"&gt;="&amp;O1402),0)</f>
        <v>0</v>
      </c>
      <c r="Y1402" s="8" t="n">
        <f aca="false">IF($K1402=1,COUNTIFS($P$5:$P$1517,"&gt;="&amp;P1402,$K$5:$K$1517,1)/COUNTIF($P$5:$P$1517,"&gt;="&amp;P1402),0)</f>
        <v>0</v>
      </c>
      <c r="Z1402" s="8" t="n">
        <f aca="false">(L1402-$K1402)^2</f>
        <v>0.009343542244</v>
      </c>
      <c r="AA1402" s="8" t="n">
        <f aca="false">(M1402-$K1402)^2</f>
        <v>0.008475595969</v>
      </c>
      <c r="AB1402" s="8" t="n">
        <f aca="false">(N1402-$K1402)^2</f>
        <v>0.024362527225</v>
      </c>
      <c r="AC1402" s="8" t="n">
        <f aca="false">(O1402-$K1402)^2</f>
        <v>0.011274829489</v>
      </c>
      <c r="AD1402" s="8" t="n">
        <f aca="false">(P1402-$K1402)^2</f>
        <v>0.028266015625</v>
      </c>
      <c r="AE1402" s="8" t="n">
        <f aca="false">MIN(INT(ROUND(N1402*1000000,0)/100000),9)</f>
        <v>1</v>
      </c>
      <c r="AF1402" s="8" t="n">
        <f aca="false">MIN(INT(ROUND(P1402*1000000,0)/100000),9)</f>
        <v>1</v>
      </c>
    </row>
    <row r="1403" customFormat="false" ht="15" hidden="false" customHeight="false" outlineLevel="0" collapsed="false">
      <c r="A1403" s="4" t="n">
        <v>1399</v>
      </c>
      <c r="B1403" s="4" t="n">
        <v>1434</v>
      </c>
      <c r="C1403" s="4" t="n">
        <v>3</v>
      </c>
      <c r="D1403" s="11" t="n">
        <v>46143</v>
      </c>
      <c r="E1403" s="4" t="s">
        <v>203</v>
      </c>
      <c r="F1403" s="4" t="s">
        <v>206</v>
      </c>
      <c r="G1403" s="4" t="n">
        <v>3</v>
      </c>
      <c r="H1403" s="4" t="n">
        <v>12</v>
      </c>
      <c r="I1403" s="4" t="n">
        <v>0</v>
      </c>
      <c r="J1403" s="4" t="n">
        <v>258</v>
      </c>
      <c r="K1403" s="4" t="n">
        <v>0</v>
      </c>
      <c r="L1403" s="12" t="n">
        <v>0.99475</v>
      </c>
      <c r="M1403" s="12" t="n">
        <v>0.092063</v>
      </c>
      <c r="N1403" s="12" t="n">
        <v>0.136734</v>
      </c>
      <c r="O1403" s="12" t="n">
        <v>0.106183</v>
      </c>
      <c r="P1403" s="12" t="n">
        <v>0.146617</v>
      </c>
      <c r="Q1403" s="8" t="n">
        <f aca="false">IF(L1403&gt;=Models!$G$5,1+COUNTIF($L$5:$L$1517,"&gt;"&amp;L1403)+COUNTIFS($L$5:$L$1517,L1403,$B$5:$B$1517,"&lt;"&amp;B1403)+COUNTIFS($L$5:$L$1517,L1403,$B$5:$B$1517,B1403,$C$5:$C$1517,"&lt;"&amp;C1403),"")</f>
        <v>9</v>
      </c>
      <c r="R1403" s="0" t="str">
        <f aca="false">IF(M1403&gt;=Models!$G$6,1+COUNTIF($M$5:$M$1517,"&gt;"&amp;M1403)+COUNTIFS($M$5:$M$1517,M1403,$B$5:$B$1517,"&lt;"&amp;B1403)+COUNTIFS($M$5:$M$1517,M1403,$B$5:$B$1517,B1403,$C$5:$C$1517,"&lt;"&amp;C1403),"")</f>
        <v/>
      </c>
      <c r="S1403" s="0" t="str">
        <f aca="false">IF(N1403&gt;=Models!$G$7,1+COUNTIF($N$5:$N$1517,"&gt;"&amp;N1403)+COUNTIFS($N$5:$N$1517,N1403,$B$5:$B$1517,"&lt;"&amp;B1403)+COUNTIFS($N$5:$N$1517,N1403,$B$5:$B$1517,B1403,$C$5:$C$1517,"&lt;"&amp;C1403),"")</f>
        <v/>
      </c>
      <c r="T1403" s="8" t="n">
        <f aca="false">IF(O1403&gt;=Models!$G$8,1+COUNTIF($O$5:$O$1517,"&gt;"&amp;O1403)+COUNTIFS($O$5:$O$1517,O1403,$B$5:$B$1517,"&lt;"&amp;B1403)+COUNTIFS($O$5:$O$1517,O1403,$B$5:$B$1517,B1403,$C$5:$C$1517,"&lt;"&amp;C1403),"")</f>
        <v>1190</v>
      </c>
      <c r="U1403" s="8" t="n">
        <f aca="false">IF($K1403=1,COUNTIFS($L$5:$L$1517,"&gt;="&amp;L1403,$K$5:$K$1517,1)/COUNTIF($L$5:$L$1517,"&gt;="&amp;L1403),0)</f>
        <v>0</v>
      </c>
      <c r="V1403" s="8" t="n">
        <f aca="false">IF($K1403=1,COUNTIFS($M$5:$M$1517,"&gt;="&amp;M1403,$K$5:$K$1517,1)/COUNTIF($M$5:$M$1517,"&gt;="&amp;M1403),0)</f>
        <v>0</v>
      </c>
      <c r="W1403" s="8" t="n">
        <f aca="false">IF($K1403=1,COUNTIFS($N$5:$N$1517,"&gt;="&amp;N1403,$K$5:$K$1517,1)/COUNTIF($N$5:$N$1517,"&gt;="&amp;N1403),0)</f>
        <v>0</v>
      </c>
      <c r="X1403" s="8" t="n">
        <f aca="false">IF($K1403=1,COUNTIFS($O$5:$O$1517,"&gt;="&amp;O1403,$K$5:$K$1517,1)/COUNTIF($O$5:$O$1517,"&gt;="&amp;O1403),0)</f>
        <v>0</v>
      </c>
      <c r="Y1403" s="8" t="n">
        <f aca="false">IF($K1403=1,COUNTIFS($P$5:$P$1517,"&gt;="&amp;P1403,$K$5:$K$1517,1)/COUNTIF($P$5:$P$1517,"&gt;="&amp;P1403),0)</f>
        <v>0</v>
      </c>
      <c r="Z1403" s="8" t="n">
        <f aca="false">(L1403-$K1403)^2</f>
        <v>0.9895275625</v>
      </c>
      <c r="AA1403" s="8" t="n">
        <f aca="false">(M1403-$K1403)^2</f>
        <v>0.008475595969</v>
      </c>
      <c r="AB1403" s="8" t="n">
        <f aca="false">(N1403-$K1403)^2</f>
        <v>0.018696186756</v>
      </c>
      <c r="AC1403" s="8" t="n">
        <f aca="false">(O1403-$K1403)^2</f>
        <v>0.011274829489</v>
      </c>
      <c r="AD1403" s="8" t="n">
        <f aca="false">(P1403-$K1403)^2</f>
        <v>0.021496544689</v>
      </c>
      <c r="AE1403" s="8" t="n">
        <f aca="false">MIN(INT(ROUND(N1403*1000000,0)/100000),9)</f>
        <v>1</v>
      </c>
      <c r="AF1403" s="8" t="n">
        <f aca="false">MIN(INT(ROUND(P1403*1000000,0)/100000),9)</f>
        <v>1</v>
      </c>
    </row>
    <row r="1404" customFormat="false" ht="15" hidden="false" customHeight="false" outlineLevel="0" collapsed="false">
      <c r="A1404" s="4" t="n">
        <v>1400</v>
      </c>
      <c r="B1404" s="4" t="n">
        <v>1437</v>
      </c>
      <c r="C1404" s="4" t="n">
        <v>3</v>
      </c>
      <c r="D1404" s="11" t="n">
        <v>46143</v>
      </c>
      <c r="E1404" s="4" t="s">
        <v>204</v>
      </c>
      <c r="F1404" s="4" t="s">
        <v>207</v>
      </c>
      <c r="G1404" s="4" t="n">
        <v>0</v>
      </c>
      <c r="H1404" s="4" t="n">
        <v>42</v>
      </c>
      <c r="I1404" s="4" t="n">
        <v>0</v>
      </c>
      <c r="J1404" s="4" t="n">
        <v>87</v>
      </c>
      <c r="K1404" s="4" t="n">
        <v>0</v>
      </c>
      <c r="L1404" s="12" t="n">
        <v>0.726648</v>
      </c>
      <c r="M1404" s="12" t="n">
        <v>0.184211</v>
      </c>
      <c r="N1404" s="12" t="n">
        <v>0.211329</v>
      </c>
      <c r="O1404" s="12" t="n">
        <v>0.106183</v>
      </c>
      <c r="P1404" s="12" t="n">
        <v>0.229591</v>
      </c>
      <c r="Q1404" s="0" t="str">
        <f aca="false">IF(L1404&gt;=Models!$G$5,1+COUNTIF($L$5:$L$1517,"&gt;"&amp;L1404)+COUNTIFS($L$5:$L$1517,L1404,$B$5:$B$1517,"&lt;"&amp;B1404)+COUNTIFS($L$5:$L$1517,L1404,$B$5:$B$1517,B1404,$C$5:$C$1517,"&lt;"&amp;C1404),"")</f>
        <v/>
      </c>
      <c r="R1404" s="8" t="n">
        <f aca="false">IF(M1404&gt;=Models!$G$6,1+COUNTIF($M$5:$M$1517,"&gt;"&amp;M1404)+COUNTIFS($M$5:$M$1517,M1404,$B$5:$B$1517,"&lt;"&amp;B1404)+COUNTIFS($M$5:$M$1517,M1404,$B$5:$B$1517,B1404,$C$5:$C$1517,"&lt;"&amp;C1404),"")</f>
        <v>147</v>
      </c>
      <c r="S1404" s="0" t="str">
        <f aca="false">IF(N1404&gt;=Models!$G$7,1+COUNTIF($N$5:$N$1517,"&gt;"&amp;N1404)+COUNTIFS($N$5:$N$1517,N1404,$B$5:$B$1517,"&lt;"&amp;B1404)+COUNTIFS($N$5:$N$1517,N1404,$B$5:$B$1517,B1404,$C$5:$C$1517,"&lt;"&amp;C1404),"")</f>
        <v/>
      </c>
      <c r="T1404" s="8" t="n">
        <f aca="false">IF(O1404&gt;=Models!$G$8,1+COUNTIF($O$5:$O$1517,"&gt;"&amp;O1404)+COUNTIFS($O$5:$O$1517,O1404,$B$5:$B$1517,"&lt;"&amp;B1404)+COUNTIFS($O$5:$O$1517,O1404,$B$5:$B$1517,B1404,$C$5:$C$1517,"&lt;"&amp;C1404),"")</f>
        <v>1194</v>
      </c>
      <c r="U1404" s="8" t="n">
        <f aca="false">IF($K1404=1,COUNTIFS($L$5:$L$1517,"&gt;="&amp;L1404,$K$5:$K$1517,1)/COUNTIF($L$5:$L$1517,"&gt;="&amp;L1404),0)</f>
        <v>0</v>
      </c>
      <c r="V1404" s="8" t="n">
        <f aca="false">IF($K1404=1,COUNTIFS($M$5:$M$1517,"&gt;="&amp;M1404,$K$5:$K$1517,1)/COUNTIF($M$5:$M$1517,"&gt;="&amp;M1404),0)</f>
        <v>0</v>
      </c>
      <c r="W1404" s="8" t="n">
        <f aca="false">IF($K1404=1,COUNTIFS($N$5:$N$1517,"&gt;="&amp;N1404,$K$5:$K$1517,1)/COUNTIF($N$5:$N$1517,"&gt;="&amp;N1404),0)</f>
        <v>0</v>
      </c>
      <c r="X1404" s="8" t="n">
        <f aca="false">IF($K1404=1,COUNTIFS($O$5:$O$1517,"&gt;="&amp;O1404,$K$5:$K$1517,1)/COUNTIF($O$5:$O$1517,"&gt;="&amp;O1404),0)</f>
        <v>0</v>
      </c>
      <c r="Y1404" s="8" t="n">
        <f aca="false">IF($K1404=1,COUNTIFS($P$5:$P$1517,"&gt;="&amp;P1404,$K$5:$K$1517,1)/COUNTIF($P$5:$P$1517,"&gt;="&amp;P1404),0)</f>
        <v>0</v>
      </c>
      <c r="Z1404" s="8" t="n">
        <f aca="false">(L1404-$K1404)^2</f>
        <v>0.528017315904</v>
      </c>
      <c r="AA1404" s="8" t="n">
        <f aca="false">(M1404-$K1404)^2</f>
        <v>0.033933692521</v>
      </c>
      <c r="AB1404" s="8" t="n">
        <f aca="false">(N1404-$K1404)^2</f>
        <v>0.044659946241</v>
      </c>
      <c r="AC1404" s="8" t="n">
        <f aca="false">(O1404-$K1404)^2</f>
        <v>0.011274829489</v>
      </c>
      <c r="AD1404" s="8" t="n">
        <f aca="false">(P1404-$K1404)^2</f>
        <v>0.052712027281</v>
      </c>
      <c r="AE1404" s="8" t="n">
        <f aca="false">MIN(INT(ROUND(N1404*1000000,0)/100000),9)</f>
        <v>2</v>
      </c>
      <c r="AF1404" s="8" t="n">
        <f aca="false">MIN(INT(ROUND(P1404*1000000,0)/100000),9)</f>
        <v>2</v>
      </c>
    </row>
    <row r="1405" customFormat="false" ht="15" hidden="false" customHeight="false" outlineLevel="0" collapsed="false">
      <c r="A1405" s="4" t="n">
        <v>1401</v>
      </c>
      <c r="B1405" s="4" t="n">
        <v>1444</v>
      </c>
      <c r="C1405" s="4" t="n">
        <v>3</v>
      </c>
      <c r="D1405" s="11" t="n">
        <v>46143</v>
      </c>
      <c r="E1405" s="4" t="s">
        <v>204</v>
      </c>
      <c r="F1405" s="4" t="s">
        <v>209</v>
      </c>
      <c r="G1405" s="4" t="n">
        <v>4</v>
      </c>
      <c r="H1405" s="4" t="n">
        <v>8</v>
      </c>
      <c r="I1405" s="4" t="n">
        <v>0</v>
      </c>
      <c r="J1405" s="4" t="n">
        <v>93</v>
      </c>
      <c r="K1405" s="4" t="n">
        <v>1</v>
      </c>
      <c r="L1405" s="12" t="n">
        <v>0.118018</v>
      </c>
      <c r="M1405" s="12" t="n">
        <v>0.092063</v>
      </c>
      <c r="N1405" s="12" t="n">
        <v>0.123915</v>
      </c>
      <c r="O1405" s="12" t="n">
        <v>0.106183</v>
      </c>
      <c r="P1405" s="12" t="n">
        <v>0.132394</v>
      </c>
      <c r="Q1405" s="0" t="str">
        <f aca="false">IF(L1405&gt;=Models!$G$5,1+COUNTIF($L$5:$L$1517,"&gt;"&amp;L1405)+COUNTIFS($L$5:$L$1517,L1405,$B$5:$B$1517,"&lt;"&amp;B1405)+COUNTIFS($L$5:$L$1517,L1405,$B$5:$B$1517,B1405,$C$5:$C$1517,"&lt;"&amp;C1405),"")</f>
        <v/>
      </c>
      <c r="R1405" s="0" t="str">
        <f aca="false">IF(M1405&gt;=Models!$G$6,1+COUNTIF($M$5:$M$1517,"&gt;"&amp;M1405)+COUNTIFS($M$5:$M$1517,M1405,$B$5:$B$1517,"&lt;"&amp;B1405)+COUNTIFS($M$5:$M$1517,M1405,$B$5:$B$1517,B1405,$C$5:$C$1517,"&lt;"&amp;C1405),"")</f>
        <v/>
      </c>
      <c r="S1405" s="0" t="str">
        <f aca="false">IF(N1405&gt;=Models!$G$7,1+COUNTIF($N$5:$N$1517,"&gt;"&amp;N1405)+COUNTIFS($N$5:$N$1517,N1405,$B$5:$B$1517,"&lt;"&amp;B1405)+COUNTIFS($N$5:$N$1517,N1405,$B$5:$B$1517,B1405,$C$5:$C$1517,"&lt;"&amp;C1405),"")</f>
        <v/>
      </c>
      <c r="T1405" s="8" t="n">
        <f aca="false">IF(O1405&gt;=Models!$G$8,1+COUNTIF($O$5:$O$1517,"&gt;"&amp;O1405)+COUNTIFS($O$5:$O$1517,O1405,$B$5:$B$1517,"&lt;"&amp;B1405)+COUNTIFS($O$5:$O$1517,O1405,$B$5:$B$1517,B1405,$C$5:$C$1517,"&lt;"&amp;C1405),"")</f>
        <v>1198</v>
      </c>
      <c r="U1405" s="8" t="n">
        <f aca="false">IF($K1405=1,COUNTIFS($L$5:$L$1517,"&gt;="&amp;L1405,$K$5:$K$1517,1)/COUNTIF($L$5:$L$1517,"&gt;="&amp;L1405),0)</f>
        <v>0.121877365632097</v>
      </c>
      <c r="V1405" s="8" t="n">
        <f aca="false">IF($K1405=1,COUNTIFS($M$5:$M$1517,"&gt;="&amp;M1405,$K$5:$K$1517,1)/COUNTIF($M$5:$M$1517,"&gt;="&amp;M1405),0)</f>
        <v>0.12491738268341</v>
      </c>
      <c r="W1405" s="8" t="n">
        <f aca="false">IF($K1405=1,COUNTIFS($N$5:$N$1517,"&gt;="&amp;N1405,$K$5:$K$1517,1)/COUNTIF($N$5:$N$1517,"&gt;="&amp;N1405),0)</f>
        <v>0.233490566037736</v>
      </c>
      <c r="X1405" s="8" t="n">
        <f aca="false">IF($K1405=1,COUNTIFS($O$5:$O$1517,"&gt;="&amp;O1405,$K$5:$K$1517,1)/COUNTIF($O$5:$O$1517,"&gt;="&amp;O1405),0)</f>
        <v>0.12491738268341</v>
      </c>
      <c r="Y1405" s="8" t="n">
        <f aca="false">IF($K1405=1,COUNTIFS($P$5:$P$1517,"&gt;="&amp;P1405,$K$5:$K$1517,1)/COUNTIF($P$5:$P$1517,"&gt;="&amp;P1405),0)</f>
        <v>0.233490566037736</v>
      </c>
      <c r="Z1405" s="8" t="n">
        <f aca="false">(L1405-$K1405)^2</f>
        <v>0.777892248324</v>
      </c>
      <c r="AA1405" s="8" t="n">
        <f aca="false">(M1405-$K1405)^2</f>
        <v>0.824349595969</v>
      </c>
      <c r="AB1405" s="8" t="n">
        <f aca="false">(N1405-$K1405)^2</f>
        <v>0.767524927225</v>
      </c>
      <c r="AC1405" s="8" t="n">
        <f aca="false">(O1405-$K1405)^2</f>
        <v>0.798908829489</v>
      </c>
      <c r="AD1405" s="8" t="n">
        <f aca="false">(P1405-$K1405)^2</f>
        <v>0.752740171236</v>
      </c>
      <c r="AE1405" s="8" t="n">
        <f aca="false">MIN(INT(ROUND(N1405*1000000,0)/100000),9)</f>
        <v>1</v>
      </c>
      <c r="AF1405" s="8" t="n">
        <f aca="false">MIN(INT(ROUND(P1405*1000000,0)/100000),9)</f>
        <v>1</v>
      </c>
    </row>
    <row r="1406" customFormat="false" ht="15" hidden="false" customHeight="false" outlineLevel="0" collapsed="false">
      <c r="A1406" s="4" t="n">
        <v>1402</v>
      </c>
      <c r="B1406" s="4" t="n">
        <v>1448</v>
      </c>
      <c r="C1406" s="4" t="n">
        <v>3</v>
      </c>
      <c r="D1406" s="11" t="n">
        <v>46143</v>
      </c>
      <c r="E1406" s="4" t="s">
        <v>203</v>
      </c>
      <c r="F1406" s="4" t="s">
        <v>208</v>
      </c>
      <c r="G1406" s="4" t="n">
        <v>1</v>
      </c>
      <c r="H1406" s="4" t="n">
        <v>20</v>
      </c>
      <c r="I1406" s="4" t="n">
        <v>2</v>
      </c>
      <c r="J1406" s="4" t="n">
        <v>315</v>
      </c>
      <c r="K1406" s="4" t="n">
        <v>0</v>
      </c>
      <c r="L1406" s="12" t="n">
        <v>0.101728</v>
      </c>
      <c r="M1406" s="12" t="n">
        <v>0.184211</v>
      </c>
      <c r="N1406" s="12" t="n">
        <v>0.399302</v>
      </c>
      <c r="O1406" s="12" t="n">
        <v>0.106183</v>
      </c>
      <c r="P1406" s="12" t="n">
        <v>0.435648</v>
      </c>
      <c r="Q1406" s="0" t="str">
        <f aca="false">IF(L1406&gt;=Models!$G$5,1+COUNTIF($L$5:$L$1517,"&gt;"&amp;L1406)+COUNTIFS($L$5:$L$1517,L1406,$B$5:$B$1517,"&lt;"&amp;B1406)+COUNTIFS($L$5:$L$1517,L1406,$B$5:$B$1517,B1406,$C$5:$C$1517,"&lt;"&amp;C1406),"")</f>
        <v/>
      </c>
      <c r="R1406" s="8" t="n">
        <f aca="false">IF(M1406&gt;=Models!$G$6,1+COUNTIF($M$5:$M$1517,"&gt;"&amp;M1406)+COUNTIFS($M$5:$M$1517,M1406,$B$5:$B$1517,"&lt;"&amp;B1406)+COUNTIFS($M$5:$M$1517,M1406,$B$5:$B$1517,B1406,$C$5:$C$1517,"&lt;"&amp;C1406),"")</f>
        <v>148</v>
      </c>
      <c r="S1406" s="8" t="n">
        <f aca="false">IF(N1406&gt;=Models!$G$7,1+COUNTIF($N$5:$N$1517,"&gt;"&amp;N1406)+COUNTIFS($N$5:$N$1517,N1406,$B$5:$B$1517,"&lt;"&amp;B1406)+COUNTIFS($N$5:$N$1517,N1406,$B$5:$B$1517,B1406,$C$5:$C$1517,"&lt;"&amp;C1406),"")</f>
        <v>1</v>
      </c>
      <c r="T1406" s="8" t="n">
        <f aca="false">IF(O1406&gt;=Models!$G$8,1+COUNTIF($O$5:$O$1517,"&gt;"&amp;O1406)+COUNTIFS($O$5:$O$1517,O1406,$B$5:$B$1517,"&lt;"&amp;B1406)+COUNTIFS($O$5:$O$1517,O1406,$B$5:$B$1517,B1406,$C$5:$C$1517,"&lt;"&amp;C1406),"")</f>
        <v>1202</v>
      </c>
      <c r="U1406" s="8" t="n">
        <f aca="false">IF($K1406=1,COUNTIFS($L$5:$L$1517,"&gt;="&amp;L1406,$K$5:$K$1517,1)/COUNTIF($L$5:$L$1517,"&gt;="&amp;L1406),0)</f>
        <v>0</v>
      </c>
      <c r="V1406" s="8" t="n">
        <f aca="false">IF($K1406=1,COUNTIFS($M$5:$M$1517,"&gt;="&amp;M1406,$K$5:$K$1517,1)/COUNTIF($M$5:$M$1517,"&gt;="&amp;M1406),0)</f>
        <v>0</v>
      </c>
      <c r="W1406" s="8" t="n">
        <f aca="false">IF($K1406=1,COUNTIFS($N$5:$N$1517,"&gt;="&amp;N1406,$K$5:$K$1517,1)/COUNTIF($N$5:$N$1517,"&gt;="&amp;N1406),0)</f>
        <v>0</v>
      </c>
      <c r="X1406" s="8" t="n">
        <f aca="false">IF($K1406=1,COUNTIFS($O$5:$O$1517,"&gt;="&amp;O1406,$K$5:$K$1517,1)/COUNTIF($O$5:$O$1517,"&gt;="&amp;O1406),0)</f>
        <v>0</v>
      </c>
      <c r="Y1406" s="8" t="n">
        <f aca="false">IF($K1406=1,COUNTIFS($P$5:$P$1517,"&gt;="&amp;P1406,$K$5:$K$1517,1)/COUNTIF($P$5:$P$1517,"&gt;="&amp;P1406),0)</f>
        <v>0</v>
      </c>
      <c r="Z1406" s="8" t="n">
        <f aca="false">(L1406-$K1406)^2</f>
        <v>0.010348585984</v>
      </c>
      <c r="AA1406" s="8" t="n">
        <f aca="false">(M1406-$K1406)^2</f>
        <v>0.033933692521</v>
      </c>
      <c r="AB1406" s="8" t="n">
        <f aca="false">(N1406-$K1406)^2</f>
        <v>0.159442087204</v>
      </c>
      <c r="AC1406" s="8" t="n">
        <f aca="false">(O1406-$K1406)^2</f>
        <v>0.011274829489</v>
      </c>
      <c r="AD1406" s="8" t="n">
        <f aca="false">(P1406-$K1406)^2</f>
        <v>0.189789179904</v>
      </c>
      <c r="AE1406" s="8" t="n">
        <f aca="false">MIN(INT(ROUND(N1406*1000000,0)/100000),9)</f>
        <v>3</v>
      </c>
      <c r="AF1406" s="8" t="n">
        <f aca="false">MIN(INT(ROUND(P1406*1000000,0)/100000),9)</f>
        <v>4</v>
      </c>
    </row>
    <row r="1407" customFormat="false" ht="15" hidden="false" customHeight="false" outlineLevel="0" collapsed="false">
      <c r="A1407" s="4" t="n">
        <v>1403</v>
      </c>
      <c r="B1407" s="4" t="n">
        <v>1453</v>
      </c>
      <c r="C1407" s="4" t="n">
        <v>3</v>
      </c>
      <c r="D1407" s="11" t="n">
        <v>46143</v>
      </c>
      <c r="E1407" s="4" t="s">
        <v>203</v>
      </c>
      <c r="F1407" s="4" t="s">
        <v>210</v>
      </c>
      <c r="G1407" s="4" t="n">
        <v>5</v>
      </c>
      <c r="H1407" s="4" t="n">
        <v>6</v>
      </c>
      <c r="I1407" s="4" t="n">
        <v>0</v>
      </c>
      <c r="J1407" s="4"/>
      <c r="K1407" s="4" t="n">
        <v>0</v>
      </c>
      <c r="L1407" s="12" t="n">
        <v>0.327868</v>
      </c>
      <c r="M1407" s="12" t="n">
        <v>0.092063</v>
      </c>
      <c r="N1407" s="12" t="n">
        <v>0.056593</v>
      </c>
      <c r="O1407" s="12" t="n">
        <v>0.106183</v>
      </c>
      <c r="P1407" s="12" t="n">
        <v>0.058497</v>
      </c>
      <c r="Q1407" s="0" t="str">
        <f aca="false">IF(L1407&gt;=Models!$G$5,1+COUNTIF($L$5:$L$1517,"&gt;"&amp;L1407)+COUNTIFS($L$5:$L$1517,L1407,$B$5:$B$1517,"&lt;"&amp;B1407)+COUNTIFS($L$5:$L$1517,L1407,$B$5:$B$1517,B1407,$C$5:$C$1517,"&lt;"&amp;C1407),"")</f>
        <v/>
      </c>
      <c r="R1407" s="0" t="str">
        <f aca="false">IF(M1407&gt;=Models!$G$6,1+COUNTIF($M$5:$M$1517,"&gt;"&amp;M1407)+COUNTIFS($M$5:$M$1517,M1407,$B$5:$B$1517,"&lt;"&amp;B1407)+COUNTIFS($M$5:$M$1517,M1407,$B$5:$B$1517,B1407,$C$5:$C$1517,"&lt;"&amp;C1407),"")</f>
        <v/>
      </c>
      <c r="S1407" s="0" t="str">
        <f aca="false">IF(N1407&gt;=Models!$G$7,1+COUNTIF($N$5:$N$1517,"&gt;"&amp;N1407)+COUNTIFS($N$5:$N$1517,N1407,$B$5:$B$1517,"&lt;"&amp;B1407)+COUNTIFS($N$5:$N$1517,N1407,$B$5:$B$1517,B1407,$C$5:$C$1517,"&lt;"&amp;C1407),"")</f>
        <v/>
      </c>
      <c r="T1407" s="8" t="n">
        <f aca="false">IF(O1407&gt;=Models!$G$8,1+COUNTIF($O$5:$O$1517,"&gt;"&amp;O1407)+COUNTIFS($O$5:$O$1517,O1407,$B$5:$B$1517,"&lt;"&amp;B1407)+COUNTIFS($O$5:$O$1517,O1407,$B$5:$B$1517,B1407,$C$5:$C$1517,"&lt;"&amp;C1407),"")</f>
        <v>1206</v>
      </c>
      <c r="U1407" s="8" t="n">
        <f aca="false">IF($K1407=1,COUNTIFS($L$5:$L$1517,"&gt;="&amp;L1407,$K$5:$K$1517,1)/COUNTIF($L$5:$L$1517,"&gt;="&amp;L1407),0)</f>
        <v>0</v>
      </c>
      <c r="V1407" s="8" t="n">
        <f aca="false">IF($K1407=1,COUNTIFS($M$5:$M$1517,"&gt;="&amp;M1407,$K$5:$K$1517,1)/COUNTIF($M$5:$M$1517,"&gt;="&amp;M1407),0)</f>
        <v>0</v>
      </c>
      <c r="W1407" s="8" t="n">
        <f aca="false">IF($K1407=1,COUNTIFS($N$5:$N$1517,"&gt;="&amp;N1407,$K$5:$K$1517,1)/COUNTIF($N$5:$N$1517,"&gt;="&amp;N1407),0)</f>
        <v>0</v>
      </c>
      <c r="X1407" s="8" t="n">
        <f aca="false">IF($K1407=1,COUNTIFS($O$5:$O$1517,"&gt;="&amp;O1407,$K$5:$K$1517,1)/COUNTIF($O$5:$O$1517,"&gt;="&amp;O1407),0)</f>
        <v>0</v>
      </c>
      <c r="Y1407" s="8" t="n">
        <f aca="false">IF($K1407=1,COUNTIFS($P$5:$P$1517,"&gt;="&amp;P1407,$K$5:$K$1517,1)/COUNTIF($P$5:$P$1517,"&gt;="&amp;P1407),0)</f>
        <v>0</v>
      </c>
      <c r="Z1407" s="8" t="n">
        <f aca="false">(L1407-$K1407)^2</f>
        <v>0.107497425424</v>
      </c>
      <c r="AA1407" s="8" t="n">
        <f aca="false">(M1407-$K1407)^2</f>
        <v>0.008475595969</v>
      </c>
      <c r="AB1407" s="8" t="n">
        <f aca="false">(N1407-$K1407)^2</f>
        <v>0.003202767649</v>
      </c>
      <c r="AC1407" s="8" t="n">
        <f aca="false">(O1407-$K1407)^2</f>
        <v>0.011274829489</v>
      </c>
      <c r="AD1407" s="8" t="n">
        <f aca="false">(P1407-$K1407)^2</f>
        <v>0.003421899009</v>
      </c>
      <c r="AE1407" s="8" t="n">
        <f aca="false">MIN(INT(ROUND(N1407*1000000,0)/100000),9)</f>
        <v>0</v>
      </c>
      <c r="AF1407" s="8" t="n">
        <f aca="false">MIN(INT(ROUND(P1407*1000000,0)/100000),9)</f>
        <v>0</v>
      </c>
    </row>
    <row r="1408" customFormat="false" ht="15" hidden="false" customHeight="false" outlineLevel="0" collapsed="false">
      <c r="A1408" s="4" t="n">
        <v>1404</v>
      </c>
      <c r="B1408" s="4" t="n">
        <v>1456</v>
      </c>
      <c r="C1408" s="4" t="n">
        <v>3</v>
      </c>
      <c r="D1408" s="11" t="n">
        <v>46143</v>
      </c>
      <c r="E1408" s="4" t="s">
        <v>202</v>
      </c>
      <c r="F1408" s="4" t="s">
        <v>210</v>
      </c>
      <c r="G1408" s="4" t="n">
        <v>5</v>
      </c>
      <c r="H1408" s="4" t="n">
        <v>4</v>
      </c>
      <c r="I1408" s="4" t="n">
        <v>0</v>
      </c>
      <c r="J1408" s="4" t="n">
        <v>1026</v>
      </c>
      <c r="K1408" s="4" t="n">
        <v>0</v>
      </c>
      <c r="L1408" s="12" t="n">
        <v>0.072432</v>
      </c>
      <c r="M1408" s="12" t="n">
        <v>0.092063</v>
      </c>
      <c r="N1408" s="12" t="n">
        <v>0.105948</v>
      </c>
      <c r="O1408" s="12" t="n">
        <v>0.106183</v>
      </c>
      <c r="P1408" s="12" t="n">
        <v>0.112513</v>
      </c>
      <c r="Q1408" s="0" t="str">
        <f aca="false">IF(L1408&gt;=Models!$G$5,1+COUNTIF($L$5:$L$1517,"&gt;"&amp;L1408)+COUNTIFS($L$5:$L$1517,L1408,$B$5:$B$1517,"&lt;"&amp;B1408)+COUNTIFS($L$5:$L$1517,L1408,$B$5:$B$1517,B1408,$C$5:$C$1517,"&lt;"&amp;C1408),"")</f>
        <v/>
      </c>
      <c r="R1408" s="0" t="str">
        <f aca="false">IF(M1408&gt;=Models!$G$6,1+COUNTIF($M$5:$M$1517,"&gt;"&amp;M1408)+COUNTIFS($M$5:$M$1517,M1408,$B$5:$B$1517,"&lt;"&amp;B1408)+COUNTIFS($M$5:$M$1517,M1408,$B$5:$B$1517,B1408,$C$5:$C$1517,"&lt;"&amp;C1408),"")</f>
        <v/>
      </c>
      <c r="S1408" s="0" t="str">
        <f aca="false">IF(N1408&gt;=Models!$G$7,1+COUNTIF($N$5:$N$1517,"&gt;"&amp;N1408)+COUNTIFS($N$5:$N$1517,N1408,$B$5:$B$1517,"&lt;"&amp;B1408)+COUNTIFS($N$5:$N$1517,N1408,$B$5:$B$1517,B1408,$C$5:$C$1517,"&lt;"&amp;C1408),"")</f>
        <v/>
      </c>
      <c r="T1408" s="8" t="n">
        <f aca="false">IF(O1408&gt;=Models!$G$8,1+COUNTIF($O$5:$O$1517,"&gt;"&amp;O1408)+COUNTIFS($O$5:$O$1517,O1408,$B$5:$B$1517,"&lt;"&amp;B1408)+COUNTIFS($O$5:$O$1517,O1408,$B$5:$B$1517,B1408,$C$5:$C$1517,"&lt;"&amp;C1408),"")</f>
        <v>1210</v>
      </c>
      <c r="U1408" s="8" t="n">
        <f aca="false">IF($K1408=1,COUNTIFS($L$5:$L$1517,"&gt;="&amp;L1408,$K$5:$K$1517,1)/COUNTIF($L$5:$L$1517,"&gt;="&amp;L1408),0)</f>
        <v>0</v>
      </c>
      <c r="V1408" s="8" t="n">
        <f aca="false">IF($K1408=1,COUNTIFS($M$5:$M$1517,"&gt;="&amp;M1408,$K$5:$K$1517,1)/COUNTIF($M$5:$M$1517,"&gt;="&amp;M1408),0)</f>
        <v>0</v>
      </c>
      <c r="W1408" s="8" t="n">
        <f aca="false">IF($K1408=1,COUNTIFS($N$5:$N$1517,"&gt;="&amp;N1408,$K$5:$K$1517,1)/COUNTIF($N$5:$N$1517,"&gt;="&amp;N1408),0)</f>
        <v>0</v>
      </c>
      <c r="X1408" s="8" t="n">
        <f aca="false">IF($K1408=1,COUNTIFS($O$5:$O$1517,"&gt;="&amp;O1408,$K$5:$K$1517,1)/COUNTIF($O$5:$O$1517,"&gt;="&amp;O1408),0)</f>
        <v>0</v>
      </c>
      <c r="Y1408" s="8" t="n">
        <f aca="false">IF($K1408=1,COUNTIFS($P$5:$P$1517,"&gt;="&amp;P1408,$K$5:$K$1517,1)/COUNTIF($P$5:$P$1517,"&gt;="&amp;P1408),0)</f>
        <v>0</v>
      </c>
      <c r="Z1408" s="8" t="n">
        <f aca="false">(L1408-$K1408)^2</f>
        <v>0.005246394624</v>
      </c>
      <c r="AA1408" s="8" t="n">
        <f aca="false">(M1408-$K1408)^2</f>
        <v>0.008475595969</v>
      </c>
      <c r="AB1408" s="8" t="n">
        <f aca="false">(N1408-$K1408)^2</f>
        <v>0.011224978704</v>
      </c>
      <c r="AC1408" s="8" t="n">
        <f aca="false">(O1408-$K1408)^2</f>
        <v>0.011274829489</v>
      </c>
      <c r="AD1408" s="8" t="n">
        <f aca="false">(P1408-$K1408)^2</f>
        <v>0.012659175169</v>
      </c>
      <c r="AE1408" s="8" t="n">
        <f aca="false">MIN(INT(ROUND(N1408*1000000,0)/100000),9)</f>
        <v>1</v>
      </c>
      <c r="AF1408" s="8" t="n">
        <f aca="false">MIN(INT(ROUND(P1408*1000000,0)/100000),9)</f>
        <v>1</v>
      </c>
    </row>
    <row r="1409" customFormat="false" ht="15" hidden="false" customHeight="false" outlineLevel="0" collapsed="false">
      <c r="A1409" s="4" t="n">
        <v>1405</v>
      </c>
      <c r="B1409" s="4" t="n">
        <v>1460</v>
      </c>
      <c r="C1409" s="4" t="n">
        <v>3</v>
      </c>
      <c r="D1409" s="11" t="n">
        <v>46143</v>
      </c>
      <c r="E1409" s="4" t="s">
        <v>203</v>
      </c>
      <c r="F1409" s="4" t="s">
        <v>210</v>
      </c>
      <c r="G1409" s="4" t="n">
        <v>13</v>
      </c>
      <c r="H1409" s="4" t="n">
        <v>1</v>
      </c>
      <c r="I1409" s="4" t="n">
        <v>0</v>
      </c>
      <c r="J1409" s="4" t="n">
        <v>270</v>
      </c>
      <c r="K1409" s="4" t="n">
        <v>0</v>
      </c>
      <c r="L1409" s="12" t="n">
        <v>0.062015</v>
      </c>
      <c r="M1409" s="12" t="n">
        <v>0.092063</v>
      </c>
      <c r="N1409" s="12" t="n">
        <v>0.055543</v>
      </c>
      <c r="O1409" s="12" t="n">
        <v>0.106183</v>
      </c>
      <c r="P1409" s="12" t="n">
        <v>0.057363</v>
      </c>
      <c r="Q1409" s="0" t="str">
        <f aca="false">IF(L1409&gt;=Models!$G$5,1+COUNTIF($L$5:$L$1517,"&gt;"&amp;L1409)+COUNTIFS($L$5:$L$1517,L1409,$B$5:$B$1517,"&lt;"&amp;B1409)+COUNTIFS($L$5:$L$1517,L1409,$B$5:$B$1517,B1409,$C$5:$C$1517,"&lt;"&amp;C1409),"")</f>
        <v/>
      </c>
      <c r="R1409" s="0" t="str">
        <f aca="false">IF(M1409&gt;=Models!$G$6,1+COUNTIF($M$5:$M$1517,"&gt;"&amp;M1409)+COUNTIFS($M$5:$M$1517,M1409,$B$5:$B$1517,"&lt;"&amp;B1409)+COUNTIFS($M$5:$M$1517,M1409,$B$5:$B$1517,B1409,$C$5:$C$1517,"&lt;"&amp;C1409),"")</f>
        <v/>
      </c>
      <c r="S1409" s="0" t="str">
        <f aca="false">IF(N1409&gt;=Models!$G$7,1+COUNTIF($N$5:$N$1517,"&gt;"&amp;N1409)+COUNTIFS($N$5:$N$1517,N1409,$B$5:$B$1517,"&lt;"&amp;B1409)+COUNTIFS($N$5:$N$1517,N1409,$B$5:$B$1517,B1409,$C$5:$C$1517,"&lt;"&amp;C1409),"")</f>
        <v/>
      </c>
      <c r="T1409" s="8" t="n">
        <f aca="false">IF(O1409&gt;=Models!$G$8,1+COUNTIF($O$5:$O$1517,"&gt;"&amp;O1409)+COUNTIFS($O$5:$O$1517,O1409,$B$5:$B$1517,"&lt;"&amp;B1409)+COUNTIFS($O$5:$O$1517,O1409,$B$5:$B$1517,B1409,$C$5:$C$1517,"&lt;"&amp;C1409),"")</f>
        <v>1214</v>
      </c>
      <c r="U1409" s="8" t="n">
        <f aca="false">IF($K1409=1,COUNTIFS($L$5:$L$1517,"&gt;="&amp;L1409,$K$5:$K$1517,1)/COUNTIF($L$5:$L$1517,"&gt;="&amp;L1409),0)</f>
        <v>0</v>
      </c>
      <c r="V1409" s="8" t="n">
        <f aca="false">IF($K1409=1,COUNTIFS($M$5:$M$1517,"&gt;="&amp;M1409,$K$5:$K$1517,1)/COUNTIF($M$5:$M$1517,"&gt;="&amp;M1409),0)</f>
        <v>0</v>
      </c>
      <c r="W1409" s="8" t="n">
        <f aca="false">IF($K1409=1,COUNTIFS($N$5:$N$1517,"&gt;="&amp;N1409,$K$5:$K$1517,1)/COUNTIF($N$5:$N$1517,"&gt;="&amp;N1409),0)</f>
        <v>0</v>
      </c>
      <c r="X1409" s="8" t="n">
        <f aca="false">IF($K1409=1,COUNTIFS($O$5:$O$1517,"&gt;="&amp;O1409,$K$5:$K$1517,1)/COUNTIF($O$5:$O$1517,"&gt;="&amp;O1409),0)</f>
        <v>0</v>
      </c>
      <c r="Y1409" s="8" t="n">
        <f aca="false">IF($K1409=1,COUNTIFS($P$5:$P$1517,"&gt;="&amp;P1409,$K$5:$K$1517,1)/COUNTIF($P$5:$P$1517,"&gt;="&amp;P1409),0)</f>
        <v>0</v>
      </c>
      <c r="Z1409" s="8" t="n">
        <f aca="false">(L1409-$K1409)^2</f>
        <v>0.003845860225</v>
      </c>
      <c r="AA1409" s="8" t="n">
        <f aca="false">(M1409-$K1409)^2</f>
        <v>0.008475595969</v>
      </c>
      <c r="AB1409" s="8" t="n">
        <f aca="false">(N1409-$K1409)^2</f>
        <v>0.003085024849</v>
      </c>
      <c r="AC1409" s="8" t="n">
        <f aca="false">(O1409-$K1409)^2</f>
        <v>0.011274829489</v>
      </c>
      <c r="AD1409" s="8" t="n">
        <f aca="false">(P1409-$K1409)^2</f>
        <v>0.003290513769</v>
      </c>
      <c r="AE1409" s="8" t="n">
        <f aca="false">MIN(INT(ROUND(N1409*1000000,0)/100000),9)</f>
        <v>0</v>
      </c>
      <c r="AF1409" s="8" t="n">
        <f aca="false">MIN(INT(ROUND(P1409*1000000,0)/100000),9)</f>
        <v>0</v>
      </c>
    </row>
    <row r="1410" customFormat="false" ht="15" hidden="false" customHeight="false" outlineLevel="0" collapsed="false">
      <c r="A1410" s="4" t="n">
        <v>1406</v>
      </c>
      <c r="B1410" s="4" t="n">
        <v>1462</v>
      </c>
      <c r="C1410" s="4" t="n">
        <v>3</v>
      </c>
      <c r="D1410" s="11" t="n">
        <v>46143</v>
      </c>
      <c r="E1410" s="4" t="s">
        <v>204</v>
      </c>
      <c r="F1410" s="4" t="s">
        <v>207</v>
      </c>
      <c r="G1410" s="4" t="n">
        <v>2</v>
      </c>
      <c r="H1410" s="4" t="n">
        <v>2</v>
      </c>
      <c r="I1410" s="4" t="n">
        <v>0</v>
      </c>
      <c r="J1410" s="4" t="n">
        <v>57</v>
      </c>
      <c r="K1410" s="4" t="n">
        <v>0</v>
      </c>
      <c r="L1410" s="12" t="n">
        <v>0.821075</v>
      </c>
      <c r="M1410" s="12" t="n">
        <v>0.092063</v>
      </c>
      <c r="N1410" s="12" t="n">
        <v>0.139078</v>
      </c>
      <c r="O1410" s="12" t="n">
        <v>0.106183</v>
      </c>
      <c r="P1410" s="12" t="n">
        <v>0.14922</v>
      </c>
      <c r="Q1410" s="0" t="str">
        <f aca="false">IF(L1410&gt;=Models!$G$5,1+COUNTIF($L$5:$L$1517,"&gt;"&amp;L1410)+COUNTIFS($L$5:$L$1517,L1410,$B$5:$B$1517,"&lt;"&amp;B1410)+COUNTIFS($L$5:$L$1517,L1410,$B$5:$B$1517,B1410,$C$5:$C$1517,"&lt;"&amp;C1410),"")</f>
        <v/>
      </c>
      <c r="R1410" s="0" t="str">
        <f aca="false">IF(M1410&gt;=Models!$G$6,1+COUNTIF($M$5:$M$1517,"&gt;"&amp;M1410)+COUNTIFS($M$5:$M$1517,M1410,$B$5:$B$1517,"&lt;"&amp;B1410)+COUNTIFS($M$5:$M$1517,M1410,$B$5:$B$1517,B1410,$C$5:$C$1517,"&lt;"&amp;C1410),"")</f>
        <v/>
      </c>
      <c r="S1410" s="0" t="str">
        <f aca="false">IF(N1410&gt;=Models!$G$7,1+COUNTIF($N$5:$N$1517,"&gt;"&amp;N1410)+COUNTIFS($N$5:$N$1517,N1410,$B$5:$B$1517,"&lt;"&amp;B1410)+COUNTIFS($N$5:$N$1517,N1410,$B$5:$B$1517,B1410,$C$5:$C$1517,"&lt;"&amp;C1410),"")</f>
        <v/>
      </c>
      <c r="T1410" s="8" t="n">
        <f aca="false">IF(O1410&gt;=Models!$G$8,1+COUNTIF($O$5:$O$1517,"&gt;"&amp;O1410)+COUNTIFS($O$5:$O$1517,O1410,$B$5:$B$1517,"&lt;"&amp;B1410)+COUNTIFS($O$5:$O$1517,O1410,$B$5:$B$1517,B1410,$C$5:$C$1517,"&lt;"&amp;C1410),"")</f>
        <v>1218</v>
      </c>
      <c r="U1410" s="8" t="n">
        <f aca="false">IF($K1410=1,COUNTIFS($L$5:$L$1517,"&gt;="&amp;L1410,$K$5:$K$1517,1)/COUNTIF($L$5:$L$1517,"&gt;="&amp;L1410),0)</f>
        <v>0</v>
      </c>
      <c r="V1410" s="8" t="n">
        <f aca="false">IF($K1410=1,COUNTIFS($M$5:$M$1517,"&gt;="&amp;M1410,$K$5:$K$1517,1)/COUNTIF($M$5:$M$1517,"&gt;="&amp;M1410),0)</f>
        <v>0</v>
      </c>
      <c r="W1410" s="8" t="n">
        <f aca="false">IF($K1410=1,COUNTIFS($N$5:$N$1517,"&gt;="&amp;N1410,$K$5:$K$1517,1)/COUNTIF($N$5:$N$1517,"&gt;="&amp;N1410),0)</f>
        <v>0</v>
      </c>
      <c r="X1410" s="8" t="n">
        <f aca="false">IF($K1410=1,COUNTIFS($O$5:$O$1517,"&gt;="&amp;O1410,$K$5:$K$1517,1)/COUNTIF($O$5:$O$1517,"&gt;="&amp;O1410),0)</f>
        <v>0</v>
      </c>
      <c r="Y1410" s="8" t="n">
        <f aca="false">IF($K1410=1,COUNTIFS($P$5:$P$1517,"&gt;="&amp;P1410,$K$5:$K$1517,1)/COUNTIF($P$5:$P$1517,"&gt;="&amp;P1410),0)</f>
        <v>0</v>
      </c>
      <c r="Z1410" s="8" t="n">
        <f aca="false">(L1410-$K1410)^2</f>
        <v>0.674164155625</v>
      </c>
      <c r="AA1410" s="8" t="n">
        <f aca="false">(M1410-$K1410)^2</f>
        <v>0.008475595969</v>
      </c>
      <c r="AB1410" s="8" t="n">
        <f aca="false">(N1410-$K1410)^2</f>
        <v>0.019342690084</v>
      </c>
      <c r="AC1410" s="8" t="n">
        <f aca="false">(O1410-$K1410)^2</f>
        <v>0.011274829489</v>
      </c>
      <c r="AD1410" s="8" t="n">
        <f aca="false">(P1410-$K1410)^2</f>
        <v>0.0222666084</v>
      </c>
      <c r="AE1410" s="8" t="n">
        <f aca="false">MIN(INT(ROUND(N1410*1000000,0)/100000),9)</f>
        <v>1</v>
      </c>
      <c r="AF1410" s="8" t="n">
        <f aca="false">MIN(INT(ROUND(P1410*1000000,0)/100000),9)</f>
        <v>1</v>
      </c>
    </row>
    <row r="1411" customFormat="false" ht="15" hidden="false" customHeight="false" outlineLevel="0" collapsed="false">
      <c r="A1411" s="4" t="n">
        <v>1407</v>
      </c>
      <c r="B1411" s="4" t="n">
        <v>1463</v>
      </c>
      <c r="C1411" s="4" t="n">
        <v>3</v>
      </c>
      <c r="D1411" s="11" t="n">
        <v>46143</v>
      </c>
      <c r="E1411" s="4" t="s">
        <v>201</v>
      </c>
      <c r="F1411" s="4" t="s">
        <v>206</v>
      </c>
      <c r="G1411" s="4" t="n">
        <v>21</v>
      </c>
      <c r="H1411" s="4" t="n">
        <v>3</v>
      </c>
      <c r="I1411" s="4" t="n">
        <v>0</v>
      </c>
      <c r="J1411" s="4"/>
      <c r="K1411" s="4" t="n">
        <v>0</v>
      </c>
      <c r="L1411" s="12" t="n">
        <v>0.968128</v>
      </c>
      <c r="M1411" s="12" t="n">
        <v>0.092063</v>
      </c>
      <c r="N1411" s="12" t="n">
        <v>0.01368</v>
      </c>
      <c r="O1411" s="12" t="n">
        <v>0.106183</v>
      </c>
      <c r="P1411" s="12" t="n">
        <v>0.013221</v>
      </c>
      <c r="Q1411" s="0" t="str">
        <f aca="false">IF(L1411&gt;=Models!$G$5,1+COUNTIF($L$5:$L$1517,"&gt;"&amp;L1411)+COUNTIFS($L$5:$L$1517,L1411,$B$5:$B$1517,"&lt;"&amp;B1411)+COUNTIFS($L$5:$L$1517,L1411,$B$5:$B$1517,B1411,$C$5:$C$1517,"&lt;"&amp;C1411),"")</f>
        <v/>
      </c>
      <c r="R1411" s="0" t="str">
        <f aca="false">IF(M1411&gt;=Models!$G$6,1+COUNTIF($M$5:$M$1517,"&gt;"&amp;M1411)+COUNTIFS($M$5:$M$1517,M1411,$B$5:$B$1517,"&lt;"&amp;B1411)+COUNTIFS($M$5:$M$1517,M1411,$B$5:$B$1517,B1411,$C$5:$C$1517,"&lt;"&amp;C1411),"")</f>
        <v/>
      </c>
      <c r="S1411" s="0" t="str">
        <f aca="false">IF(N1411&gt;=Models!$G$7,1+COUNTIF($N$5:$N$1517,"&gt;"&amp;N1411)+COUNTIFS($N$5:$N$1517,N1411,$B$5:$B$1517,"&lt;"&amp;B1411)+COUNTIFS($N$5:$N$1517,N1411,$B$5:$B$1517,B1411,$C$5:$C$1517,"&lt;"&amp;C1411),"")</f>
        <v/>
      </c>
      <c r="T1411" s="8" t="n">
        <f aca="false">IF(O1411&gt;=Models!$G$8,1+COUNTIF($O$5:$O$1517,"&gt;"&amp;O1411)+COUNTIFS($O$5:$O$1517,O1411,$B$5:$B$1517,"&lt;"&amp;B1411)+COUNTIFS($O$5:$O$1517,O1411,$B$5:$B$1517,B1411,$C$5:$C$1517,"&lt;"&amp;C1411),"")</f>
        <v>1222</v>
      </c>
      <c r="U1411" s="8" t="n">
        <f aca="false">IF($K1411=1,COUNTIFS($L$5:$L$1517,"&gt;="&amp;L1411,$K$5:$K$1517,1)/COUNTIF($L$5:$L$1517,"&gt;="&amp;L1411),0)</f>
        <v>0</v>
      </c>
      <c r="V1411" s="8" t="n">
        <f aca="false">IF($K1411=1,COUNTIFS($M$5:$M$1517,"&gt;="&amp;M1411,$K$5:$K$1517,1)/COUNTIF($M$5:$M$1517,"&gt;="&amp;M1411),0)</f>
        <v>0</v>
      </c>
      <c r="W1411" s="8" t="n">
        <f aca="false">IF($K1411=1,COUNTIFS($N$5:$N$1517,"&gt;="&amp;N1411,$K$5:$K$1517,1)/COUNTIF($N$5:$N$1517,"&gt;="&amp;N1411),0)</f>
        <v>0</v>
      </c>
      <c r="X1411" s="8" t="n">
        <f aca="false">IF($K1411=1,COUNTIFS($O$5:$O$1517,"&gt;="&amp;O1411,$K$5:$K$1517,1)/COUNTIF($O$5:$O$1517,"&gt;="&amp;O1411),0)</f>
        <v>0</v>
      </c>
      <c r="Y1411" s="8" t="n">
        <f aca="false">IF($K1411=1,COUNTIFS($P$5:$P$1517,"&gt;="&amp;P1411,$K$5:$K$1517,1)/COUNTIF($P$5:$P$1517,"&gt;="&amp;P1411),0)</f>
        <v>0</v>
      </c>
      <c r="Z1411" s="8" t="n">
        <f aca="false">(L1411-$K1411)^2</f>
        <v>0.937271824384</v>
      </c>
      <c r="AA1411" s="8" t="n">
        <f aca="false">(M1411-$K1411)^2</f>
        <v>0.008475595969</v>
      </c>
      <c r="AB1411" s="8" t="n">
        <f aca="false">(N1411-$K1411)^2</f>
        <v>0.0001871424</v>
      </c>
      <c r="AC1411" s="8" t="n">
        <f aca="false">(O1411-$K1411)^2</f>
        <v>0.011274829489</v>
      </c>
      <c r="AD1411" s="8" t="n">
        <f aca="false">(P1411-$K1411)^2</f>
        <v>0.000174794841</v>
      </c>
      <c r="AE1411" s="8" t="n">
        <f aca="false">MIN(INT(ROUND(N1411*1000000,0)/100000),9)</f>
        <v>0</v>
      </c>
      <c r="AF1411" s="8" t="n">
        <f aca="false">MIN(INT(ROUND(P1411*1000000,0)/100000),9)</f>
        <v>0</v>
      </c>
    </row>
    <row r="1412" customFormat="false" ht="15" hidden="false" customHeight="false" outlineLevel="0" collapsed="false">
      <c r="A1412" s="4" t="n">
        <v>1408</v>
      </c>
      <c r="B1412" s="4" t="n">
        <v>1472</v>
      </c>
      <c r="C1412" s="4" t="n">
        <v>3</v>
      </c>
      <c r="D1412" s="11" t="n">
        <v>46143</v>
      </c>
      <c r="E1412" s="4" t="s">
        <v>201</v>
      </c>
      <c r="F1412" s="4" t="s">
        <v>206</v>
      </c>
      <c r="G1412" s="4" t="n">
        <v>18</v>
      </c>
      <c r="H1412" s="4" t="n">
        <v>2</v>
      </c>
      <c r="I1412" s="4" t="n">
        <v>0</v>
      </c>
      <c r="J1412" s="4"/>
      <c r="K1412" s="4" t="n">
        <v>0</v>
      </c>
      <c r="L1412" s="12" t="n">
        <v>0.710012</v>
      </c>
      <c r="M1412" s="12" t="n">
        <v>0.092063</v>
      </c>
      <c r="N1412" s="12" t="n">
        <v>0.017701</v>
      </c>
      <c r="O1412" s="12" t="n">
        <v>0.106183</v>
      </c>
      <c r="P1412" s="12" t="n">
        <v>0.017321</v>
      </c>
      <c r="Q1412" s="0" t="str">
        <f aca="false">IF(L1412&gt;=Models!$G$5,1+COUNTIF($L$5:$L$1517,"&gt;"&amp;L1412)+COUNTIFS($L$5:$L$1517,L1412,$B$5:$B$1517,"&lt;"&amp;B1412)+COUNTIFS($L$5:$L$1517,L1412,$B$5:$B$1517,B1412,$C$5:$C$1517,"&lt;"&amp;C1412),"")</f>
        <v/>
      </c>
      <c r="R1412" s="0" t="str">
        <f aca="false">IF(M1412&gt;=Models!$G$6,1+COUNTIF($M$5:$M$1517,"&gt;"&amp;M1412)+COUNTIFS($M$5:$M$1517,M1412,$B$5:$B$1517,"&lt;"&amp;B1412)+COUNTIFS($M$5:$M$1517,M1412,$B$5:$B$1517,B1412,$C$5:$C$1517,"&lt;"&amp;C1412),"")</f>
        <v/>
      </c>
      <c r="S1412" s="0" t="str">
        <f aca="false">IF(N1412&gt;=Models!$G$7,1+COUNTIF($N$5:$N$1517,"&gt;"&amp;N1412)+COUNTIFS($N$5:$N$1517,N1412,$B$5:$B$1517,"&lt;"&amp;B1412)+COUNTIFS($N$5:$N$1517,N1412,$B$5:$B$1517,B1412,$C$5:$C$1517,"&lt;"&amp;C1412),"")</f>
        <v/>
      </c>
      <c r="T1412" s="8" t="n">
        <f aca="false">IF(O1412&gt;=Models!$G$8,1+COUNTIF($O$5:$O$1517,"&gt;"&amp;O1412)+COUNTIFS($O$5:$O$1517,O1412,$B$5:$B$1517,"&lt;"&amp;B1412)+COUNTIFS($O$5:$O$1517,O1412,$B$5:$B$1517,B1412,$C$5:$C$1517,"&lt;"&amp;C1412),"")</f>
        <v>1226</v>
      </c>
      <c r="U1412" s="8" t="n">
        <f aca="false">IF($K1412=1,COUNTIFS($L$5:$L$1517,"&gt;="&amp;L1412,$K$5:$K$1517,1)/COUNTIF($L$5:$L$1517,"&gt;="&amp;L1412),0)</f>
        <v>0</v>
      </c>
      <c r="V1412" s="8" t="n">
        <f aca="false">IF($K1412=1,COUNTIFS($M$5:$M$1517,"&gt;="&amp;M1412,$K$5:$K$1517,1)/COUNTIF($M$5:$M$1517,"&gt;="&amp;M1412),0)</f>
        <v>0</v>
      </c>
      <c r="W1412" s="8" t="n">
        <f aca="false">IF($K1412=1,COUNTIFS($N$5:$N$1517,"&gt;="&amp;N1412,$K$5:$K$1517,1)/COUNTIF($N$5:$N$1517,"&gt;="&amp;N1412),0)</f>
        <v>0</v>
      </c>
      <c r="X1412" s="8" t="n">
        <f aca="false">IF($K1412=1,COUNTIFS($O$5:$O$1517,"&gt;="&amp;O1412,$K$5:$K$1517,1)/COUNTIF($O$5:$O$1517,"&gt;="&amp;O1412),0)</f>
        <v>0</v>
      </c>
      <c r="Y1412" s="8" t="n">
        <f aca="false">IF($K1412=1,COUNTIFS($P$5:$P$1517,"&gt;="&amp;P1412,$K$5:$K$1517,1)/COUNTIF($P$5:$P$1517,"&gt;="&amp;P1412),0)</f>
        <v>0</v>
      </c>
      <c r="Z1412" s="8" t="n">
        <f aca="false">(L1412-$K1412)^2</f>
        <v>0.504117040144</v>
      </c>
      <c r="AA1412" s="8" t="n">
        <f aca="false">(M1412-$K1412)^2</f>
        <v>0.008475595969</v>
      </c>
      <c r="AB1412" s="8" t="n">
        <f aca="false">(N1412-$K1412)^2</f>
        <v>0.000313325401</v>
      </c>
      <c r="AC1412" s="8" t="n">
        <f aca="false">(O1412-$K1412)^2</f>
        <v>0.011274829489</v>
      </c>
      <c r="AD1412" s="8" t="n">
        <f aca="false">(P1412-$K1412)^2</f>
        <v>0.000300017041</v>
      </c>
      <c r="AE1412" s="8" t="n">
        <f aca="false">MIN(INT(ROUND(N1412*1000000,0)/100000),9)</f>
        <v>0</v>
      </c>
      <c r="AF1412" s="8" t="n">
        <f aca="false">MIN(INT(ROUND(P1412*1000000,0)/100000),9)</f>
        <v>0</v>
      </c>
    </row>
    <row r="1413" customFormat="false" ht="15" hidden="false" customHeight="false" outlineLevel="0" collapsed="false">
      <c r="A1413" s="4" t="n">
        <v>1409</v>
      </c>
      <c r="B1413" s="4" t="n">
        <v>1475</v>
      </c>
      <c r="C1413" s="4" t="n">
        <v>3</v>
      </c>
      <c r="D1413" s="11" t="n">
        <v>46143</v>
      </c>
      <c r="E1413" s="4" t="s">
        <v>203</v>
      </c>
      <c r="F1413" s="4" t="s">
        <v>206</v>
      </c>
      <c r="G1413" s="4" t="n">
        <v>14</v>
      </c>
      <c r="H1413" s="4" t="n">
        <v>4</v>
      </c>
      <c r="I1413" s="4" t="n">
        <v>1</v>
      </c>
      <c r="J1413" s="4" t="n">
        <v>188</v>
      </c>
      <c r="K1413" s="4" t="n">
        <v>0</v>
      </c>
      <c r="L1413" s="12" t="n">
        <v>0.048091</v>
      </c>
      <c r="M1413" s="12" t="n">
        <v>0.184211</v>
      </c>
      <c r="N1413" s="12" t="n">
        <v>0.091285</v>
      </c>
      <c r="O1413" s="12" t="n">
        <v>0.106183</v>
      </c>
      <c r="P1413" s="12" t="n">
        <v>0.096354</v>
      </c>
      <c r="Q1413" s="0" t="str">
        <f aca="false">IF(L1413&gt;=Models!$G$5,1+COUNTIF($L$5:$L$1517,"&gt;"&amp;L1413)+COUNTIFS($L$5:$L$1517,L1413,$B$5:$B$1517,"&lt;"&amp;B1413)+COUNTIFS($L$5:$L$1517,L1413,$B$5:$B$1517,B1413,$C$5:$C$1517,"&lt;"&amp;C1413),"")</f>
        <v/>
      </c>
      <c r="R1413" s="8" t="n">
        <f aca="false">IF(M1413&gt;=Models!$G$6,1+COUNTIF($M$5:$M$1517,"&gt;"&amp;M1413)+COUNTIFS($M$5:$M$1517,M1413,$B$5:$B$1517,"&lt;"&amp;B1413)+COUNTIFS($M$5:$M$1517,M1413,$B$5:$B$1517,B1413,$C$5:$C$1517,"&lt;"&amp;C1413),"")</f>
        <v>153</v>
      </c>
      <c r="S1413" s="0" t="str">
        <f aca="false">IF(N1413&gt;=Models!$G$7,1+COUNTIF($N$5:$N$1517,"&gt;"&amp;N1413)+COUNTIFS($N$5:$N$1517,N1413,$B$5:$B$1517,"&lt;"&amp;B1413)+COUNTIFS($N$5:$N$1517,N1413,$B$5:$B$1517,B1413,$C$5:$C$1517,"&lt;"&amp;C1413),"")</f>
        <v/>
      </c>
      <c r="T1413" s="8" t="n">
        <f aca="false">IF(O1413&gt;=Models!$G$8,1+COUNTIF($O$5:$O$1517,"&gt;"&amp;O1413)+COUNTIFS($O$5:$O$1517,O1413,$B$5:$B$1517,"&lt;"&amp;B1413)+COUNTIFS($O$5:$O$1517,O1413,$B$5:$B$1517,B1413,$C$5:$C$1517,"&lt;"&amp;C1413),"")</f>
        <v>1230</v>
      </c>
      <c r="U1413" s="8" t="n">
        <f aca="false">IF($K1413=1,COUNTIFS($L$5:$L$1517,"&gt;="&amp;L1413,$K$5:$K$1517,1)/COUNTIF($L$5:$L$1517,"&gt;="&amp;L1413),0)</f>
        <v>0</v>
      </c>
      <c r="V1413" s="8" t="n">
        <f aca="false">IF($K1413=1,COUNTIFS($M$5:$M$1517,"&gt;="&amp;M1413,$K$5:$K$1517,1)/COUNTIF($M$5:$M$1517,"&gt;="&amp;M1413),0)</f>
        <v>0</v>
      </c>
      <c r="W1413" s="8" t="n">
        <f aca="false">IF($K1413=1,COUNTIFS($N$5:$N$1517,"&gt;="&amp;N1413,$K$5:$K$1517,1)/COUNTIF($N$5:$N$1517,"&gt;="&amp;N1413),0)</f>
        <v>0</v>
      </c>
      <c r="X1413" s="8" t="n">
        <f aca="false">IF($K1413=1,COUNTIFS($O$5:$O$1517,"&gt;="&amp;O1413,$K$5:$K$1517,1)/COUNTIF($O$5:$O$1517,"&gt;="&amp;O1413),0)</f>
        <v>0</v>
      </c>
      <c r="Y1413" s="8" t="n">
        <f aca="false">IF($K1413=1,COUNTIFS($P$5:$P$1517,"&gt;="&amp;P1413,$K$5:$K$1517,1)/COUNTIF($P$5:$P$1517,"&gt;="&amp;P1413),0)</f>
        <v>0</v>
      </c>
      <c r="Z1413" s="8" t="n">
        <f aca="false">(L1413-$K1413)^2</f>
        <v>0.002312744281</v>
      </c>
      <c r="AA1413" s="8" t="n">
        <f aca="false">(M1413-$K1413)^2</f>
        <v>0.033933692521</v>
      </c>
      <c r="AB1413" s="8" t="n">
        <f aca="false">(N1413-$K1413)^2</f>
        <v>0.008332951225</v>
      </c>
      <c r="AC1413" s="8" t="n">
        <f aca="false">(O1413-$K1413)^2</f>
        <v>0.011274829489</v>
      </c>
      <c r="AD1413" s="8" t="n">
        <f aca="false">(P1413-$K1413)^2</f>
        <v>0.009284093316</v>
      </c>
      <c r="AE1413" s="8" t="n">
        <f aca="false">MIN(INT(ROUND(N1413*1000000,0)/100000),9)</f>
        <v>0</v>
      </c>
      <c r="AF1413" s="8" t="n">
        <f aca="false">MIN(INT(ROUND(P1413*1000000,0)/100000),9)</f>
        <v>0</v>
      </c>
    </row>
    <row r="1414" customFormat="false" ht="15" hidden="false" customHeight="false" outlineLevel="0" collapsed="false">
      <c r="A1414" s="4" t="n">
        <v>1410</v>
      </c>
      <c r="B1414" s="4" t="n">
        <v>1489</v>
      </c>
      <c r="C1414" s="4" t="n">
        <v>3</v>
      </c>
      <c r="D1414" s="11" t="n">
        <v>46143</v>
      </c>
      <c r="E1414" s="4" t="s">
        <v>203</v>
      </c>
      <c r="F1414" s="4" t="s">
        <v>206</v>
      </c>
      <c r="G1414" s="4" t="n">
        <v>2</v>
      </c>
      <c r="H1414" s="4" t="n">
        <v>17</v>
      </c>
      <c r="I1414" s="4" t="n">
        <v>0</v>
      </c>
      <c r="J1414" s="4" t="n">
        <v>345</v>
      </c>
      <c r="K1414" s="4" t="n">
        <v>0</v>
      </c>
      <c r="L1414" s="12" t="n">
        <v>0.803686</v>
      </c>
      <c r="M1414" s="12" t="n">
        <v>0.092063</v>
      </c>
      <c r="N1414" s="12" t="n">
        <v>0.152288</v>
      </c>
      <c r="O1414" s="12" t="n">
        <v>0.106183</v>
      </c>
      <c r="P1414" s="12" t="n">
        <v>0.163902</v>
      </c>
      <c r="Q1414" s="0" t="str">
        <f aca="false">IF(L1414&gt;=Models!$G$5,1+COUNTIF($L$5:$L$1517,"&gt;"&amp;L1414)+COUNTIFS($L$5:$L$1517,L1414,$B$5:$B$1517,"&lt;"&amp;B1414)+COUNTIFS($L$5:$L$1517,L1414,$B$5:$B$1517,B1414,$C$5:$C$1517,"&lt;"&amp;C1414),"")</f>
        <v/>
      </c>
      <c r="R1414" s="0" t="str">
        <f aca="false">IF(M1414&gt;=Models!$G$6,1+COUNTIF($M$5:$M$1517,"&gt;"&amp;M1414)+COUNTIFS($M$5:$M$1517,M1414,$B$5:$B$1517,"&lt;"&amp;B1414)+COUNTIFS($M$5:$M$1517,M1414,$B$5:$B$1517,B1414,$C$5:$C$1517,"&lt;"&amp;C1414),"")</f>
        <v/>
      </c>
      <c r="S1414" s="0" t="str">
        <f aca="false">IF(N1414&gt;=Models!$G$7,1+COUNTIF($N$5:$N$1517,"&gt;"&amp;N1414)+COUNTIFS($N$5:$N$1517,N1414,$B$5:$B$1517,"&lt;"&amp;B1414)+COUNTIFS($N$5:$N$1517,N1414,$B$5:$B$1517,B1414,$C$5:$C$1517,"&lt;"&amp;C1414),"")</f>
        <v/>
      </c>
      <c r="T1414" s="8" t="n">
        <f aca="false">IF(O1414&gt;=Models!$G$8,1+COUNTIF($O$5:$O$1517,"&gt;"&amp;O1414)+COUNTIFS($O$5:$O$1517,O1414,$B$5:$B$1517,"&lt;"&amp;B1414)+COUNTIFS($O$5:$O$1517,O1414,$B$5:$B$1517,B1414,$C$5:$C$1517,"&lt;"&amp;C1414),"")</f>
        <v>1237</v>
      </c>
      <c r="U1414" s="8" t="n">
        <f aca="false">IF($K1414=1,COUNTIFS($L$5:$L$1517,"&gt;="&amp;L1414,$K$5:$K$1517,1)/COUNTIF($L$5:$L$1517,"&gt;="&amp;L1414),0)</f>
        <v>0</v>
      </c>
      <c r="V1414" s="8" t="n">
        <f aca="false">IF($K1414=1,COUNTIFS($M$5:$M$1517,"&gt;="&amp;M1414,$K$5:$K$1517,1)/COUNTIF($M$5:$M$1517,"&gt;="&amp;M1414),0)</f>
        <v>0</v>
      </c>
      <c r="W1414" s="8" t="n">
        <f aca="false">IF($K1414=1,COUNTIFS($N$5:$N$1517,"&gt;="&amp;N1414,$K$5:$K$1517,1)/COUNTIF($N$5:$N$1517,"&gt;="&amp;N1414),0)</f>
        <v>0</v>
      </c>
      <c r="X1414" s="8" t="n">
        <f aca="false">IF($K1414=1,COUNTIFS($O$5:$O$1517,"&gt;="&amp;O1414,$K$5:$K$1517,1)/COUNTIF($O$5:$O$1517,"&gt;="&amp;O1414),0)</f>
        <v>0</v>
      </c>
      <c r="Y1414" s="8" t="n">
        <f aca="false">IF($K1414=1,COUNTIFS($P$5:$P$1517,"&gt;="&amp;P1414,$K$5:$K$1517,1)/COUNTIF($P$5:$P$1517,"&gt;="&amp;P1414),0)</f>
        <v>0</v>
      </c>
      <c r="Z1414" s="8" t="n">
        <f aca="false">(L1414-$K1414)^2</f>
        <v>0.645911186596</v>
      </c>
      <c r="AA1414" s="8" t="n">
        <f aca="false">(M1414-$K1414)^2</f>
        <v>0.008475595969</v>
      </c>
      <c r="AB1414" s="8" t="n">
        <f aca="false">(N1414-$K1414)^2</f>
        <v>0.023191634944</v>
      </c>
      <c r="AC1414" s="8" t="n">
        <f aca="false">(O1414-$K1414)^2</f>
        <v>0.011274829489</v>
      </c>
      <c r="AD1414" s="8" t="n">
        <f aca="false">(P1414-$K1414)^2</f>
        <v>0.026863865604</v>
      </c>
      <c r="AE1414" s="8" t="n">
        <f aca="false">MIN(INT(ROUND(N1414*1000000,0)/100000),9)</f>
        <v>1</v>
      </c>
      <c r="AF1414" s="8" t="n">
        <f aca="false">MIN(INT(ROUND(P1414*1000000,0)/100000),9)</f>
        <v>1</v>
      </c>
    </row>
    <row r="1415" customFormat="false" ht="15" hidden="false" customHeight="false" outlineLevel="0" collapsed="false">
      <c r="A1415" s="4" t="n">
        <v>1411</v>
      </c>
      <c r="B1415" s="4" t="n">
        <v>1491</v>
      </c>
      <c r="C1415" s="4" t="n">
        <v>3</v>
      </c>
      <c r="D1415" s="11" t="n">
        <v>46143</v>
      </c>
      <c r="E1415" s="4" t="s">
        <v>204</v>
      </c>
      <c r="F1415" s="4" t="s">
        <v>210</v>
      </c>
      <c r="G1415" s="4" t="n">
        <v>2</v>
      </c>
      <c r="H1415" s="4" t="n">
        <v>11</v>
      </c>
      <c r="I1415" s="4" t="n">
        <v>0</v>
      </c>
      <c r="J1415" s="4" t="n">
        <v>108</v>
      </c>
      <c r="K1415" s="4" t="n">
        <v>0</v>
      </c>
      <c r="L1415" s="12" t="n">
        <v>0.921939</v>
      </c>
      <c r="M1415" s="12" t="n">
        <v>0.092063</v>
      </c>
      <c r="N1415" s="12" t="n">
        <v>0.147773</v>
      </c>
      <c r="O1415" s="12" t="n">
        <v>0.106183</v>
      </c>
      <c r="P1415" s="12" t="n">
        <v>0.158882</v>
      </c>
      <c r="Q1415" s="0" t="str">
        <f aca="false">IF(L1415&gt;=Models!$G$5,1+COUNTIF($L$5:$L$1517,"&gt;"&amp;L1415)+COUNTIFS($L$5:$L$1517,L1415,$B$5:$B$1517,"&lt;"&amp;B1415)+COUNTIFS($L$5:$L$1517,L1415,$B$5:$B$1517,B1415,$C$5:$C$1517,"&lt;"&amp;C1415),"")</f>
        <v/>
      </c>
      <c r="R1415" s="0" t="str">
        <f aca="false">IF(M1415&gt;=Models!$G$6,1+COUNTIF($M$5:$M$1517,"&gt;"&amp;M1415)+COUNTIFS($M$5:$M$1517,M1415,$B$5:$B$1517,"&lt;"&amp;B1415)+COUNTIFS($M$5:$M$1517,M1415,$B$5:$B$1517,B1415,$C$5:$C$1517,"&lt;"&amp;C1415),"")</f>
        <v/>
      </c>
      <c r="S1415" s="0" t="str">
        <f aca="false">IF(N1415&gt;=Models!$G$7,1+COUNTIF($N$5:$N$1517,"&gt;"&amp;N1415)+COUNTIFS($N$5:$N$1517,N1415,$B$5:$B$1517,"&lt;"&amp;B1415)+COUNTIFS($N$5:$N$1517,N1415,$B$5:$B$1517,B1415,$C$5:$C$1517,"&lt;"&amp;C1415),"")</f>
        <v/>
      </c>
      <c r="T1415" s="8" t="n">
        <f aca="false">IF(O1415&gt;=Models!$G$8,1+COUNTIF($O$5:$O$1517,"&gt;"&amp;O1415)+COUNTIFS($O$5:$O$1517,O1415,$B$5:$B$1517,"&lt;"&amp;B1415)+COUNTIFS($O$5:$O$1517,O1415,$B$5:$B$1517,B1415,$C$5:$C$1517,"&lt;"&amp;C1415),"")</f>
        <v>1241</v>
      </c>
      <c r="U1415" s="8" t="n">
        <f aca="false">IF($K1415=1,COUNTIFS($L$5:$L$1517,"&gt;="&amp;L1415,$K$5:$K$1517,1)/COUNTIF($L$5:$L$1517,"&gt;="&amp;L1415),0)</f>
        <v>0</v>
      </c>
      <c r="V1415" s="8" t="n">
        <f aca="false">IF($K1415=1,COUNTIFS($M$5:$M$1517,"&gt;="&amp;M1415,$K$5:$K$1517,1)/COUNTIF($M$5:$M$1517,"&gt;="&amp;M1415),0)</f>
        <v>0</v>
      </c>
      <c r="W1415" s="8" t="n">
        <f aca="false">IF($K1415=1,COUNTIFS($N$5:$N$1517,"&gt;="&amp;N1415,$K$5:$K$1517,1)/COUNTIF($N$5:$N$1517,"&gt;="&amp;N1415),0)</f>
        <v>0</v>
      </c>
      <c r="X1415" s="8" t="n">
        <f aca="false">IF($K1415=1,COUNTIFS($O$5:$O$1517,"&gt;="&amp;O1415,$K$5:$K$1517,1)/COUNTIF($O$5:$O$1517,"&gt;="&amp;O1415),0)</f>
        <v>0</v>
      </c>
      <c r="Y1415" s="8" t="n">
        <f aca="false">IF($K1415=1,COUNTIFS($P$5:$P$1517,"&gt;="&amp;P1415,$K$5:$K$1517,1)/COUNTIF($P$5:$P$1517,"&gt;="&amp;P1415),0)</f>
        <v>0</v>
      </c>
      <c r="Z1415" s="8" t="n">
        <f aca="false">(L1415-$K1415)^2</f>
        <v>0.849971519721</v>
      </c>
      <c r="AA1415" s="8" t="n">
        <f aca="false">(M1415-$K1415)^2</f>
        <v>0.008475595969</v>
      </c>
      <c r="AB1415" s="8" t="n">
        <f aca="false">(N1415-$K1415)^2</f>
        <v>0.021836859529</v>
      </c>
      <c r="AC1415" s="8" t="n">
        <f aca="false">(O1415-$K1415)^2</f>
        <v>0.011274829489</v>
      </c>
      <c r="AD1415" s="8" t="n">
        <f aca="false">(P1415-$K1415)^2</f>
        <v>0.025243489924</v>
      </c>
      <c r="AE1415" s="8" t="n">
        <f aca="false">MIN(INT(ROUND(N1415*1000000,0)/100000),9)</f>
        <v>1</v>
      </c>
      <c r="AF1415" s="8" t="n">
        <f aca="false">MIN(INT(ROUND(P1415*1000000,0)/100000),9)</f>
        <v>1</v>
      </c>
    </row>
    <row r="1416" customFormat="false" ht="15" hidden="false" customHeight="false" outlineLevel="0" collapsed="false">
      <c r="A1416" s="4" t="n">
        <v>1412</v>
      </c>
      <c r="B1416" s="4" t="n">
        <v>1504</v>
      </c>
      <c r="C1416" s="4" t="n">
        <v>3</v>
      </c>
      <c r="D1416" s="11" t="n">
        <v>46143</v>
      </c>
      <c r="E1416" s="4" t="s">
        <v>203</v>
      </c>
      <c r="F1416" s="4" t="s">
        <v>206</v>
      </c>
      <c r="G1416" s="4" t="n">
        <v>4</v>
      </c>
      <c r="H1416" s="4" t="n">
        <v>1</v>
      </c>
      <c r="I1416" s="4" t="n">
        <v>0</v>
      </c>
      <c r="J1416" s="4" t="n">
        <v>258</v>
      </c>
      <c r="K1416" s="4" t="n">
        <v>1</v>
      </c>
      <c r="L1416" s="12" t="n">
        <v>0.05161</v>
      </c>
      <c r="M1416" s="12" t="n">
        <v>0.092063</v>
      </c>
      <c r="N1416" s="12" t="n">
        <v>0.116828</v>
      </c>
      <c r="O1416" s="12" t="n">
        <v>0.106183</v>
      </c>
      <c r="P1416" s="12" t="n">
        <v>0.124544</v>
      </c>
      <c r="Q1416" s="0" t="str">
        <f aca="false">IF(L1416&gt;=Models!$G$5,1+COUNTIF($L$5:$L$1517,"&gt;"&amp;L1416)+COUNTIFS($L$5:$L$1517,L1416,$B$5:$B$1517,"&lt;"&amp;B1416)+COUNTIFS($L$5:$L$1517,L1416,$B$5:$B$1517,B1416,$C$5:$C$1517,"&lt;"&amp;C1416),"")</f>
        <v/>
      </c>
      <c r="R1416" s="0" t="str">
        <f aca="false">IF(M1416&gt;=Models!$G$6,1+COUNTIF($M$5:$M$1517,"&gt;"&amp;M1416)+COUNTIFS($M$5:$M$1517,M1416,$B$5:$B$1517,"&lt;"&amp;B1416)+COUNTIFS($M$5:$M$1517,M1416,$B$5:$B$1517,B1416,$C$5:$C$1517,"&lt;"&amp;C1416),"")</f>
        <v/>
      </c>
      <c r="S1416" s="0" t="str">
        <f aca="false">IF(N1416&gt;=Models!$G$7,1+COUNTIF($N$5:$N$1517,"&gt;"&amp;N1416)+COUNTIFS($N$5:$N$1517,N1416,$B$5:$B$1517,"&lt;"&amp;B1416)+COUNTIFS($N$5:$N$1517,N1416,$B$5:$B$1517,B1416,$C$5:$C$1517,"&lt;"&amp;C1416),"")</f>
        <v/>
      </c>
      <c r="T1416" s="8" t="n">
        <f aca="false">IF(O1416&gt;=Models!$G$8,1+COUNTIF($O$5:$O$1517,"&gt;"&amp;O1416)+COUNTIFS($O$5:$O$1517,O1416,$B$5:$B$1517,"&lt;"&amp;B1416)+COUNTIFS($O$5:$O$1517,O1416,$B$5:$B$1517,B1416,$C$5:$C$1517,"&lt;"&amp;C1416),"")</f>
        <v>1246</v>
      </c>
      <c r="U1416" s="8" t="n">
        <f aca="false">IF($K1416=1,COUNTIFS($L$5:$L$1517,"&gt;="&amp;L1416,$K$5:$K$1517,1)/COUNTIF($L$5:$L$1517,"&gt;="&amp;L1416),0)</f>
        <v>0.126145172656801</v>
      </c>
      <c r="V1416" s="8" t="n">
        <f aca="false">IF($K1416=1,COUNTIFS($M$5:$M$1517,"&gt;="&amp;M1416,$K$5:$K$1517,1)/COUNTIF($M$5:$M$1517,"&gt;="&amp;M1416),0)</f>
        <v>0.12491738268341</v>
      </c>
      <c r="W1416" s="8" t="n">
        <f aca="false">IF($K1416=1,COUNTIFS($N$5:$N$1517,"&gt;="&amp;N1416,$K$5:$K$1517,1)/COUNTIF($N$5:$N$1517,"&gt;="&amp;N1416),0)</f>
        <v>0.215686274509804</v>
      </c>
      <c r="X1416" s="8" t="n">
        <f aca="false">IF($K1416=1,COUNTIFS($O$5:$O$1517,"&gt;="&amp;O1416,$K$5:$K$1517,1)/COUNTIF($O$5:$O$1517,"&gt;="&amp;O1416),0)</f>
        <v>0.12491738268341</v>
      </c>
      <c r="Y1416" s="8" t="n">
        <f aca="false">IF($K1416=1,COUNTIFS($P$5:$P$1517,"&gt;="&amp;P1416,$K$5:$K$1517,1)/COUNTIF($P$5:$P$1517,"&gt;="&amp;P1416),0)</f>
        <v>0.215686274509804</v>
      </c>
      <c r="Z1416" s="8" t="n">
        <f aca="false">(L1416-$K1416)^2</f>
        <v>0.8994435921</v>
      </c>
      <c r="AA1416" s="8" t="n">
        <f aca="false">(M1416-$K1416)^2</f>
        <v>0.824349595969</v>
      </c>
      <c r="AB1416" s="8" t="n">
        <f aca="false">(N1416-$K1416)^2</f>
        <v>0.779992781584</v>
      </c>
      <c r="AC1416" s="8" t="n">
        <f aca="false">(O1416-$K1416)^2</f>
        <v>0.798908829489</v>
      </c>
      <c r="AD1416" s="8" t="n">
        <f aca="false">(P1416-$K1416)^2</f>
        <v>0.766423207936</v>
      </c>
      <c r="AE1416" s="8" t="n">
        <f aca="false">MIN(INT(ROUND(N1416*1000000,0)/100000),9)</f>
        <v>1</v>
      </c>
      <c r="AF1416" s="8" t="n">
        <f aca="false">MIN(INT(ROUND(P1416*1000000,0)/100000),9)</f>
        <v>1</v>
      </c>
    </row>
    <row r="1417" customFormat="false" ht="15" hidden="false" customHeight="false" outlineLevel="0" collapsed="false">
      <c r="A1417" s="4" t="n">
        <v>1413</v>
      </c>
      <c r="B1417" s="4" t="n">
        <v>1508</v>
      </c>
      <c r="C1417" s="4" t="n">
        <v>3</v>
      </c>
      <c r="D1417" s="11" t="n">
        <v>46143</v>
      </c>
      <c r="E1417" s="4" t="s">
        <v>202</v>
      </c>
      <c r="F1417" s="4" t="s">
        <v>206</v>
      </c>
      <c r="G1417" s="4" t="n">
        <v>6</v>
      </c>
      <c r="H1417" s="4" t="n">
        <v>1</v>
      </c>
      <c r="I1417" s="4" t="n">
        <v>0</v>
      </c>
      <c r="J1417" s="4"/>
      <c r="K1417" s="4" t="n">
        <v>0</v>
      </c>
      <c r="L1417" s="12" t="n">
        <v>0.145857</v>
      </c>
      <c r="M1417" s="12" t="n">
        <v>0.092063</v>
      </c>
      <c r="N1417" s="12" t="n">
        <v>0.049993</v>
      </c>
      <c r="O1417" s="12" t="n">
        <v>0.106183</v>
      </c>
      <c r="P1417" s="12" t="n">
        <v>0.051383</v>
      </c>
      <c r="Q1417" s="0" t="str">
        <f aca="false">IF(L1417&gt;=Models!$G$5,1+COUNTIF($L$5:$L$1517,"&gt;"&amp;L1417)+COUNTIFS($L$5:$L$1517,L1417,$B$5:$B$1517,"&lt;"&amp;B1417)+COUNTIFS($L$5:$L$1517,L1417,$B$5:$B$1517,B1417,$C$5:$C$1517,"&lt;"&amp;C1417),"")</f>
        <v/>
      </c>
      <c r="R1417" s="0" t="str">
        <f aca="false">IF(M1417&gt;=Models!$G$6,1+COUNTIF($M$5:$M$1517,"&gt;"&amp;M1417)+COUNTIFS($M$5:$M$1517,M1417,$B$5:$B$1517,"&lt;"&amp;B1417)+COUNTIFS($M$5:$M$1517,M1417,$B$5:$B$1517,B1417,$C$5:$C$1517,"&lt;"&amp;C1417),"")</f>
        <v/>
      </c>
      <c r="S1417" s="0" t="str">
        <f aca="false">IF(N1417&gt;=Models!$G$7,1+COUNTIF($N$5:$N$1517,"&gt;"&amp;N1417)+COUNTIFS($N$5:$N$1517,N1417,$B$5:$B$1517,"&lt;"&amp;B1417)+COUNTIFS($N$5:$N$1517,N1417,$B$5:$B$1517,B1417,$C$5:$C$1517,"&lt;"&amp;C1417),"")</f>
        <v/>
      </c>
      <c r="T1417" s="8" t="n">
        <f aca="false">IF(O1417&gt;=Models!$G$8,1+COUNTIF($O$5:$O$1517,"&gt;"&amp;O1417)+COUNTIFS($O$5:$O$1517,O1417,$B$5:$B$1517,"&lt;"&amp;B1417)+COUNTIFS($O$5:$O$1517,O1417,$B$5:$B$1517,B1417,$C$5:$C$1517,"&lt;"&amp;C1417),"")</f>
        <v>1250</v>
      </c>
      <c r="U1417" s="8" t="n">
        <f aca="false">IF($K1417=1,COUNTIFS($L$5:$L$1517,"&gt;="&amp;L1417,$K$5:$K$1517,1)/COUNTIF($L$5:$L$1517,"&gt;="&amp;L1417),0)</f>
        <v>0</v>
      </c>
      <c r="V1417" s="8" t="n">
        <f aca="false">IF($K1417=1,COUNTIFS($M$5:$M$1517,"&gt;="&amp;M1417,$K$5:$K$1517,1)/COUNTIF($M$5:$M$1517,"&gt;="&amp;M1417),0)</f>
        <v>0</v>
      </c>
      <c r="W1417" s="8" t="n">
        <f aca="false">IF($K1417=1,COUNTIFS($N$5:$N$1517,"&gt;="&amp;N1417,$K$5:$K$1517,1)/COUNTIF($N$5:$N$1517,"&gt;="&amp;N1417),0)</f>
        <v>0</v>
      </c>
      <c r="X1417" s="8" t="n">
        <f aca="false">IF($K1417=1,COUNTIFS($O$5:$O$1517,"&gt;="&amp;O1417,$K$5:$K$1517,1)/COUNTIF($O$5:$O$1517,"&gt;="&amp;O1417),0)</f>
        <v>0</v>
      </c>
      <c r="Y1417" s="8" t="n">
        <f aca="false">IF($K1417=1,COUNTIFS($P$5:$P$1517,"&gt;="&amp;P1417,$K$5:$K$1517,1)/COUNTIF($P$5:$P$1517,"&gt;="&amp;P1417),0)</f>
        <v>0</v>
      </c>
      <c r="Z1417" s="8" t="n">
        <f aca="false">(L1417-$K1417)^2</f>
        <v>0.021274264449</v>
      </c>
      <c r="AA1417" s="8" t="n">
        <f aca="false">(M1417-$K1417)^2</f>
        <v>0.008475595969</v>
      </c>
      <c r="AB1417" s="8" t="n">
        <f aca="false">(N1417-$K1417)^2</f>
        <v>0.002499300049</v>
      </c>
      <c r="AC1417" s="8" t="n">
        <f aca="false">(O1417-$K1417)^2</f>
        <v>0.011274829489</v>
      </c>
      <c r="AD1417" s="8" t="n">
        <f aca="false">(P1417-$K1417)^2</f>
        <v>0.002640212689</v>
      </c>
      <c r="AE1417" s="8" t="n">
        <f aca="false">MIN(INT(ROUND(N1417*1000000,0)/100000),9)</f>
        <v>0</v>
      </c>
      <c r="AF1417" s="8" t="n">
        <f aca="false">MIN(INT(ROUND(P1417*1000000,0)/100000),9)</f>
        <v>0</v>
      </c>
    </row>
    <row r="1418" customFormat="false" ht="15" hidden="false" customHeight="false" outlineLevel="0" collapsed="false">
      <c r="A1418" s="4" t="n">
        <v>1414</v>
      </c>
      <c r="B1418" s="4" t="n">
        <v>1509</v>
      </c>
      <c r="C1418" s="4" t="n">
        <v>3</v>
      </c>
      <c r="D1418" s="11" t="n">
        <v>46143</v>
      </c>
      <c r="E1418" s="4" t="s">
        <v>202</v>
      </c>
      <c r="F1418" s="4" t="s">
        <v>208</v>
      </c>
      <c r="G1418" s="4" t="n">
        <v>5</v>
      </c>
      <c r="H1418" s="4" t="n">
        <v>3</v>
      </c>
      <c r="I1418" s="4" t="n">
        <v>0</v>
      </c>
      <c r="J1418" s="4" t="n">
        <v>1491</v>
      </c>
      <c r="K1418" s="4" t="n">
        <v>0</v>
      </c>
      <c r="L1418" s="12" t="n">
        <v>0.865095</v>
      </c>
      <c r="M1418" s="12" t="n">
        <v>0.092063</v>
      </c>
      <c r="N1418" s="12" t="n">
        <v>0.10266</v>
      </c>
      <c r="O1418" s="12" t="n">
        <v>0.106183</v>
      </c>
      <c r="P1418" s="12" t="n">
        <v>0.108884</v>
      </c>
      <c r="Q1418" s="0" t="str">
        <f aca="false">IF(L1418&gt;=Models!$G$5,1+COUNTIF($L$5:$L$1517,"&gt;"&amp;L1418)+COUNTIFS($L$5:$L$1517,L1418,$B$5:$B$1517,"&lt;"&amp;B1418)+COUNTIFS($L$5:$L$1517,L1418,$B$5:$B$1517,B1418,$C$5:$C$1517,"&lt;"&amp;C1418),"")</f>
        <v/>
      </c>
      <c r="R1418" s="0" t="str">
        <f aca="false">IF(M1418&gt;=Models!$G$6,1+COUNTIF($M$5:$M$1517,"&gt;"&amp;M1418)+COUNTIFS($M$5:$M$1517,M1418,$B$5:$B$1517,"&lt;"&amp;B1418)+COUNTIFS($M$5:$M$1517,M1418,$B$5:$B$1517,B1418,$C$5:$C$1517,"&lt;"&amp;C1418),"")</f>
        <v/>
      </c>
      <c r="S1418" s="0" t="str">
        <f aca="false">IF(N1418&gt;=Models!$G$7,1+COUNTIF($N$5:$N$1517,"&gt;"&amp;N1418)+COUNTIFS($N$5:$N$1517,N1418,$B$5:$B$1517,"&lt;"&amp;B1418)+COUNTIFS($N$5:$N$1517,N1418,$B$5:$B$1517,B1418,$C$5:$C$1517,"&lt;"&amp;C1418),"")</f>
        <v/>
      </c>
      <c r="T1418" s="8" t="n">
        <f aca="false">IF(O1418&gt;=Models!$G$8,1+COUNTIF($O$5:$O$1517,"&gt;"&amp;O1418)+COUNTIFS($O$5:$O$1517,O1418,$B$5:$B$1517,"&lt;"&amp;B1418)+COUNTIFS($O$5:$O$1517,O1418,$B$5:$B$1517,B1418,$C$5:$C$1517,"&lt;"&amp;C1418),"")</f>
        <v>1254</v>
      </c>
      <c r="U1418" s="8" t="n">
        <f aca="false">IF($K1418=1,COUNTIFS($L$5:$L$1517,"&gt;="&amp;L1418,$K$5:$K$1517,1)/COUNTIF($L$5:$L$1517,"&gt;="&amp;L1418),0)</f>
        <v>0</v>
      </c>
      <c r="V1418" s="8" t="n">
        <f aca="false">IF($K1418=1,COUNTIFS($M$5:$M$1517,"&gt;="&amp;M1418,$K$5:$K$1517,1)/COUNTIF($M$5:$M$1517,"&gt;="&amp;M1418),0)</f>
        <v>0</v>
      </c>
      <c r="W1418" s="8" t="n">
        <f aca="false">IF($K1418=1,COUNTIFS($N$5:$N$1517,"&gt;="&amp;N1418,$K$5:$K$1517,1)/COUNTIF($N$5:$N$1517,"&gt;="&amp;N1418),0)</f>
        <v>0</v>
      </c>
      <c r="X1418" s="8" t="n">
        <f aca="false">IF($K1418=1,COUNTIFS($O$5:$O$1517,"&gt;="&amp;O1418,$K$5:$K$1517,1)/COUNTIF($O$5:$O$1517,"&gt;="&amp;O1418),0)</f>
        <v>0</v>
      </c>
      <c r="Y1418" s="8" t="n">
        <f aca="false">IF($K1418=1,COUNTIFS($P$5:$P$1517,"&gt;="&amp;P1418,$K$5:$K$1517,1)/COUNTIF($P$5:$P$1517,"&gt;="&amp;P1418),0)</f>
        <v>0</v>
      </c>
      <c r="Z1418" s="8" t="n">
        <f aca="false">(L1418-$K1418)^2</f>
        <v>0.748389359025</v>
      </c>
      <c r="AA1418" s="8" t="n">
        <f aca="false">(M1418-$K1418)^2</f>
        <v>0.008475595969</v>
      </c>
      <c r="AB1418" s="8" t="n">
        <f aca="false">(N1418-$K1418)^2</f>
        <v>0.0105390756</v>
      </c>
      <c r="AC1418" s="8" t="n">
        <f aca="false">(O1418-$K1418)^2</f>
        <v>0.011274829489</v>
      </c>
      <c r="AD1418" s="8" t="n">
        <f aca="false">(P1418-$K1418)^2</f>
        <v>0.011855725456</v>
      </c>
      <c r="AE1418" s="8" t="n">
        <f aca="false">MIN(INT(ROUND(N1418*1000000,0)/100000),9)</f>
        <v>1</v>
      </c>
      <c r="AF1418" s="8" t="n">
        <f aca="false">MIN(INT(ROUND(P1418*1000000,0)/100000),9)</f>
        <v>1</v>
      </c>
    </row>
    <row r="1419" customFormat="false" ht="15" hidden="false" customHeight="false" outlineLevel="0" collapsed="false">
      <c r="A1419" s="4" t="n">
        <v>1415</v>
      </c>
      <c r="B1419" s="4" t="n">
        <v>1511</v>
      </c>
      <c r="C1419" s="4" t="n">
        <v>3</v>
      </c>
      <c r="D1419" s="11" t="n">
        <v>46143</v>
      </c>
      <c r="E1419" s="4" t="s">
        <v>203</v>
      </c>
      <c r="F1419" s="4" t="s">
        <v>210</v>
      </c>
      <c r="G1419" s="4" t="n">
        <v>2</v>
      </c>
      <c r="H1419" s="4" t="n">
        <v>9</v>
      </c>
      <c r="I1419" s="4" t="n">
        <v>0</v>
      </c>
      <c r="J1419" s="4"/>
      <c r="K1419" s="4" t="n">
        <v>0</v>
      </c>
      <c r="L1419" s="12" t="n">
        <v>0.765782</v>
      </c>
      <c r="M1419" s="12" t="n">
        <v>0.092063</v>
      </c>
      <c r="N1419" s="12" t="n">
        <v>0.074534</v>
      </c>
      <c r="O1419" s="12" t="n">
        <v>0.106183</v>
      </c>
      <c r="P1419" s="12" t="n">
        <v>0.077994</v>
      </c>
      <c r="Q1419" s="0" t="str">
        <f aca="false">IF(L1419&gt;=Models!$G$5,1+COUNTIF($L$5:$L$1517,"&gt;"&amp;L1419)+COUNTIFS($L$5:$L$1517,L1419,$B$5:$B$1517,"&lt;"&amp;B1419)+COUNTIFS($L$5:$L$1517,L1419,$B$5:$B$1517,B1419,$C$5:$C$1517,"&lt;"&amp;C1419),"")</f>
        <v/>
      </c>
      <c r="R1419" s="0" t="str">
        <f aca="false">IF(M1419&gt;=Models!$G$6,1+COUNTIF($M$5:$M$1517,"&gt;"&amp;M1419)+COUNTIFS($M$5:$M$1517,M1419,$B$5:$B$1517,"&lt;"&amp;B1419)+COUNTIFS($M$5:$M$1517,M1419,$B$5:$B$1517,B1419,$C$5:$C$1517,"&lt;"&amp;C1419),"")</f>
        <v/>
      </c>
      <c r="S1419" s="0" t="str">
        <f aca="false">IF(N1419&gt;=Models!$G$7,1+COUNTIF($N$5:$N$1517,"&gt;"&amp;N1419)+COUNTIFS($N$5:$N$1517,N1419,$B$5:$B$1517,"&lt;"&amp;B1419)+COUNTIFS($N$5:$N$1517,N1419,$B$5:$B$1517,B1419,$C$5:$C$1517,"&lt;"&amp;C1419),"")</f>
        <v/>
      </c>
      <c r="T1419" s="8" t="n">
        <f aca="false">IF(O1419&gt;=Models!$G$8,1+COUNTIF($O$5:$O$1517,"&gt;"&amp;O1419)+COUNTIFS($O$5:$O$1517,O1419,$B$5:$B$1517,"&lt;"&amp;B1419)+COUNTIFS($O$5:$O$1517,O1419,$B$5:$B$1517,B1419,$C$5:$C$1517,"&lt;"&amp;C1419),"")</f>
        <v>1258</v>
      </c>
      <c r="U1419" s="8" t="n">
        <f aca="false">IF($K1419=1,COUNTIFS($L$5:$L$1517,"&gt;="&amp;L1419,$K$5:$K$1517,1)/COUNTIF($L$5:$L$1517,"&gt;="&amp;L1419),0)</f>
        <v>0</v>
      </c>
      <c r="V1419" s="8" t="n">
        <f aca="false">IF($K1419=1,COUNTIFS($M$5:$M$1517,"&gt;="&amp;M1419,$K$5:$K$1517,1)/COUNTIF($M$5:$M$1517,"&gt;="&amp;M1419),0)</f>
        <v>0</v>
      </c>
      <c r="W1419" s="8" t="n">
        <f aca="false">IF($K1419=1,COUNTIFS($N$5:$N$1517,"&gt;="&amp;N1419,$K$5:$K$1517,1)/COUNTIF($N$5:$N$1517,"&gt;="&amp;N1419),0)</f>
        <v>0</v>
      </c>
      <c r="X1419" s="8" t="n">
        <f aca="false">IF($K1419=1,COUNTIFS($O$5:$O$1517,"&gt;="&amp;O1419,$K$5:$K$1517,1)/COUNTIF($O$5:$O$1517,"&gt;="&amp;O1419),0)</f>
        <v>0</v>
      </c>
      <c r="Y1419" s="8" t="n">
        <f aca="false">IF($K1419=1,COUNTIFS($P$5:$P$1517,"&gt;="&amp;P1419,$K$5:$K$1517,1)/COUNTIF($P$5:$P$1517,"&gt;="&amp;P1419),0)</f>
        <v>0</v>
      </c>
      <c r="Z1419" s="8" t="n">
        <f aca="false">(L1419-$K1419)^2</f>
        <v>0.586422071524</v>
      </c>
      <c r="AA1419" s="8" t="n">
        <f aca="false">(M1419-$K1419)^2</f>
        <v>0.008475595969</v>
      </c>
      <c r="AB1419" s="8" t="n">
        <f aca="false">(N1419-$K1419)^2</f>
        <v>0.005555317156</v>
      </c>
      <c r="AC1419" s="8" t="n">
        <f aca="false">(O1419-$K1419)^2</f>
        <v>0.011274829489</v>
      </c>
      <c r="AD1419" s="8" t="n">
        <f aca="false">(P1419-$K1419)^2</f>
        <v>0.006083064036</v>
      </c>
      <c r="AE1419" s="8" t="n">
        <f aca="false">MIN(INT(ROUND(N1419*1000000,0)/100000),9)</f>
        <v>0</v>
      </c>
      <c r="AF1419" s="8" t="n">
        <f aca="false">MIN(INT(ROUND(P1419*1000000,0)/100000),9)</f>
        <v>0</v>
      </c>
    </row>
    <row r="1420" customFormat="false" ht="15" hidden="false" customHeight="false" outlineLevel="0" collapsed="false">
      <c r="A1420" s="4" t="n">
        <v>1416</v>
      </c>
      <c r="B1420" s="4" t="n">
        <v>1518</v>
      </c>
      <c r="C1420" s="4" t="n">
        <v>3</v>
      </c>
      <c r="D1420" s="11" t="n">
        <v>46143</v>
      </c>
      <c r="E1420" s="4" t="s">
        <v>204</v>
      </c>
      <c r="F1420" s="4" t="s">
        <v>206</v>
      </c>
      <c r="G1420" s="4" t="n">
        <v>2</v>
      </c>
      <c r="H1420" s="4" t="n">
        <v>3</v>
      </c>
      <c r="I1420" s="4" t="n">
        <v>0</v>
      </c>
      <c r="J1420" s="4" t="n">
        <v>84</v>
      </c>
      <c r="K1420" s="4" t="n">
        <v>0</v>
      </c>
      <c r="L1420" s="12" t="n">
        <v>0.452529</v>
      </c>
      <c r="M1420" s="12" t="n">
        <v>0.092063</v>
      </c>
      <c r="N1420" s="12" t="n">
        <v>0.139874</v>
      </c>
      <c r="O1420" s="12" t="n">
        <v>0.106183</v>
      </c>
      <c r="P1420" s="12" t="n">
        <v>0.150104</v>
      </c>
      <c r="Q1420" s="0" t="str">
        <f aca="false">IF(L1420&gt;=Models!$G$5,1+COUNTIF($L$5:$L$1517,"&gt;"&amp;L1420)+COUNTIFS($L$5:$L$1517,L1420,$B$5:$B$1517,"&lt;"&amp;B1420)+COUNTIFS($L$5:$L$1517,L1420,$B$5:$B$1517,B1420,$C$5:$C$1517,"&lt;"&amp;C1420),"")</f>
        <v/>
      </c>
      <c r="R1420" s="0" t="str">
        <f aca="false">IF(M1420&gt;=Models!$G$6,1+COUNTIF($M$5:$M$1517,"&gt;"&amp;M1420)+COUNTIFS($M$5:$M$1517,M1420,$B$5:$B$1517,"&lt;"&amp;B1420)+COUNTIFS($M$5:$M$1517,M1420,$B$5:$B$1517,B1420,$C$5:$C$1517,"&lt;"&amp;C1420),"")</f>
        <v/>
      </c>
      <c r="S1420" s="0" t="str">
        <f aca="false">IF(N1420&gt;=Models!$G$7,1+COUNTIF($N$5:$N$1517,"&gt;"&amp;N1420)+COUNTIFS($N$5:$N$1517,N1420,$B$5:$B$1517,"&lt;"&amp;B1420)+COUNTIFS($N$5:$N$1517,N1420,$B$5:$B$1517,B1420,$C$5:$C$1517,"&lt;"&amp;C1420),"")</f>
        <v/>
      </c>
      <c r="T1420" s="8" t="n">
        <f aca="false">IF(O1420&gt;=Models!$G$8,1+COUNTIF($O$5:$O$1517,"&gt;"&amp;O1420)+COUNTIFS($O$5:$O$1517,O1420,$B$5:$B$1517,"&lt;"&amp;B1420)+COUNTIFS($O$5:$O$1517,O1420,$B$5:$B$1517,B1420,$C$5:$C$1517,"&lt;"&amp;C1420),"")</f>
        <v>1262</v>
      </c>
      <c r="U1420" s="8" t="n">
        <f aca="false">IF($K1420=1,COUNTIFS($L$5:$L$1517,"&gt;="&amp;L1420,$K$5:$K$1517,1)/COUNTIF($L$5:$L$1517,"&gt;="&amp;L1420),0)</f>
        <v>0</v>
      </c>
      <c r="V1420" s="8" t="n">
        <f aca="false">IF($K1420=1,COUNTIFS($M$5:$M$1517,"&gt;="&amp;M1420,$K$5:$K$1517,1)/COUNTIF($M$5:$M$1517,"&gt;="&amp;M1420),0)</f>
        <v>0</v>
      </c>
      <c r="W1420" s="8" t="n">
        <f aca="false">IF($K1420=1,COUNTIFS($N$5:$N$1517,"&gt;="&amp;N1420,$K$5:$K$1517,1)/COUNTIF($N$5:$N$1517,"&gt;="&amp;N1420),0)</f>
        <v>0</v>
      </c>
      <c r="X1420" s="8" t="n">
        <f aca="false">IF($K1420=1,COUNTIFS($O$5:$O$1517,"&gt;="&amp;O1420,$K$5:$K$1517,1)/COUNTIF($O$5:$O$1517,"&gt;="&amp;O1420),0)</f>
        <v>0</v>
      </c>
      <c r="Y1420" s="8" t="n">
        <f aca="false">IF($K1420=1,COUNTIFS($P$5:$P$1517,"&gt;="&amp;P1420,$K$5:$K$1517,1)/COUNTIF($P$5:$P$1517,"&gt;="&amp;P1420),0)</f>
        <v>0</v>
      </c>
      <c r="Z1420" s="8" t="n">
        <f aca="false">(L1420-$K1420)^2</f>
        <v>0.204782495841</v>
      </c>
      <c r="AA1420" s="8" t="n">
        <f aca="false">(M1420-$K1420)^2</f>
        <v>0.008475595969</v>
      </c>
      <c r="AB1420" s="8" t="n">
        <f aca="false">(N1420-$K1420)^2</f>
        <v>0.019564735876</v>
      </c>
      <c r="AC1420" s="8" t="n">
        <f aca="false">(O1420-$K1420)^2</f>
        <v>0.011274829489</v>
      </c>
      <c r="AD1420" s="8" t="n">
        <f aca="false">(P1420-$K1420)^2</f>
        <v>0.022531210816</v>
      </c>
      <c r="AE1420" s="8" t="n">
        <f aca="false">MIN(INT(ROUND(N1420*1000000,0)/100000),9)</f>
        <v>1</v>
      </c>
      <c r="AF1420" s="8" t="n">
        <f aca="false">MIN(INT(ROUND(P1420*1000000,0)/100000),9)</f>
        <v>1</v>
      </c>
    </row>
    <row r="1421" customFormat="false" ht="15" hidden="false" customHeight="false" outlineLevel="0" collapsed="false">
      <c r="A1421" s="4" t="n">
        <v>1417</v>
      </c>
      <c r="B1421" s="4" t="n">
        <v>1519</v>
      </c>
      <c r="C1421" s="4" t="n">
        <v>3</v>
      </c>
      <c r="D1421" s="11" t="n">
        <v>46143</v>
      </c>
      <c r="E1421" s="4" t="s">
        <v>204</v>
      </c>
      <c r="F1421" s="4" t="s">
        <v>209</v>
      </c>
      <c r="G1421" s="4" t="n">
        <v>5</v>
      </c>
      <c r="H1421" s="4" t="n">
        <v>0</v>
      </c>
      <c r="I1421" s="4" t="n">
        <v>0</v>
      </c>
      <c r="J1421" s="4" t="n">
        <v>102</v>
      </c>
      <c r="K1421" s="4" t="n">
        <v>0</v>
      </c>
      <c r="L1421" s="12" t="n">
        <v>0.756943</v>
      </c>
      <c r="M1421" s="12" t="n">
        <v>0.092063</v>
      </c>
      <c r="N1421" s="12" t="n">
        <v>0.107941</v>
      </c>
      <c r="O1421" s="12" t="n">
        <v>0.106183</v>
      </c>
      <c r="P1421" s="12" t="n">
        <v>0.114715</v>
      </c>
      <c r="Q1421" s="0" t="str">
        <f aca="false">IF(L1421&gt;=Models!$G$5,1+COUNTIF($L$5:$L$1517,"&gt;"&amp;L1421)+COUNTIFS($L$5:$L$1517,L1421,$B$5:$B$1517,"&lt;"&amp;B1421)+COUNTIFS($L$5:$L$1517,L1421,$B$5:$B$1517,B1421,$C$5:$C$1517,"&lt;"&amp;C1421),"")</f>
        <v/>
      </c>
      <c r="R1421" s="0" t="str">
        <f aca="false">IF(M1421&gt;=Models!$G$6,1+COUNTIF($M$5:$M$1517,"&gt;"&amp;M1421)+COUNTIFS($M$5:$M$1517,M1421,$B$5:$B$1517,"&lt;"&amp;B1421)+COUNTIFS($M$5:$M$1517,M1421,$B$5:$B$1517,B1421,$C$5:$C$1517,"&lt;"&amp;C1421),"")</f>
        <v/>
      </c>
      <c r="S1421" s="0" t="str">
        <f aca="false">IF(N1421&gt;=Models!$G$7,1+COUNTIF($N$5:$N$1517,"&gt;"&amp;N1421)+COUNTIFS($N$5:$N$1517,N1421,$B$5:$B$1517,"&lt;"&amp;B1421)+COUNTIFS($N$5:$N$1517,N1421,$B$5:$B$1517,B1421,$C$5:$C$1517,"&lt;"&amp;C1421),"")</f>
        <v/>
      </c>
      <c r="T1421" s="8" t="n">
        <f aca="false">IF(O1421&gt;=Models!$G$8,1+COUNTIF($O$5:$O$1517,"&gt;"&amp;O1421)+COUNTIFS($O$5:$O$1517,O1421,$B$5:$B$1517,"&lt;"&amp;B1421)+COUNTIFS($O$5:$O$1517,O1421,$B$5:$B$1517,B1421,$C$5:$C$1517,"&lt;"&amp;C1421),"")</f>
        <v>1266</v>
      </c>
      <c r="U1421" s="8" t="n">
        <f aca="false">IF($K1421=1,COUNTIFS($L$5:$L$1517,"&gt;="&amp;L1421,$K$5:$K$1517,1)/COUNTIF($L$5:$L$1517,"&gt;="&amp;L1421),0)</f>
        <v>0</v>
      </c>
      <c r="V1421" s="8" t="n">
        <f aca="false">IF($K1421=1,COUNTIFS($M$5:$M$1517,"&gt;="&amp;M1421,$K$5:$K$1517,1)/COUNTIF($M$5:$M$1517,"&gt;="&amp;M1421),0)</f>
        <v>0</v>
      </c>
      <c r="W1421" s="8" t="n">
        <f aca="false">IF($K1421=1,COUNTIFS($N$5:$N$1517,"&gt;="&amp;N1421,$K$5:$K$1517,1)/COUNTIF($N$5:$N$1517,"&gt;="&amp;N1421),0)</f>
        <v>0</v>
      </c>
      <c r="X1421" s="8" t="n">
        <f aca="false">IF($K1421=1,COUNTIFS($O$5:$O$1517,"&gt;="&amp;O1421,$K$5:$K$1517,1)/COUNTIF($O$5:$O$1517,"&gt;="&amp;O1421),0)</f>
        <v>0</v>
      </c>
      <c r="Y1421" s="8" t="n">
        <f aca="false">IF($K1421=1,COUNTIFS($P$5:$P$1517,"&gt;="&amp;P1421,$K$5:$K$1517,1)/COUNTIF($P$5:$P$1517,"&gt;="&amp;P1421),0)</f>
        <v>0</v>
      </c>
      <c r="Z1421" s="8" t="n">
        <f aca="false">(L1421-$K1421)^2</f>
        <v>0.572962705249</v>
      </c>
      <c r="AA1421" s="8" t="n">
        <f aca="false">(M1421-$K1421)^2</f>
        <v>0.008475595969</v>
      </c>
      <c r="AB1421" s="8" t="n">
        <f aca="false">(N1421-$K1421)^2</f>
        <v>0.011651259481</v>
      </c>
      <c r="AC1421" s="8" t="n">
        <f aca="false">(O1421-$K1421)^2</f>
        <v>0.011274829489</v>
      </c>
      <c r="AD1421" s="8" t="n">
        <f aca="false">(P1421-$K1421)^2</f>
        <v>0.013159531225</v>
      </c>
      <c r="AE1421" s="8" t="n">
        <f aca="false">MIN(INT(ROUND(N1421*1000000,0)/100000),9)</f>
        <v>1</v>
      </c>
      <c r="AF1421" s="8" t="n">
        <f aca="false">MIN(INT(ROUND(P1421*1000000,0)/100000),9)</f>
        <v>1</v>
      </c>
    </row>
    <row r="1422" customFormat="false" ht="15" hidden="false" customHeight="false" outlineLevel="0" collapsed="false">
      <c r="A1422" s="4" t="n">
        <v>1418</v>
      </c>
      <c r="B1422" s="4" t="n">
        <v>1526</v>
      </c>
      <c r="C1422" s="4" t="n">
        <v>3</v>
      </c>
      <c r="D1422" s="11" t="n">
        <v>46143</v>
      </c>
      <c r="E1422" s="4" t="s">
        <v>202</v>
      </c>
      <c r="F1422" s="4" t="s">
        <v>208</v>
      </c>
      <c r="G1422" s="4" t="n">
        <v>2</v>
      </c>
      <c r="H1422" s="4" t="n">
        <v>14</v>
      </c>
      <c r="I1422" s="4" t="n">
        <v>0</v>
      </c>
      <c r="J1422" s="4"/>
      <c r="K1422" s="4" t="n">
        <v>0</v>
      </c>
      <c r="L1422" s="12" t="n">
        <v>0.165692</v>
      </c>
      <c r="M1422" s="12" t="n">
        <v>0.092063</v>
      </c>
      <c r="N1422" s="12" t="n">
        <v>0.07741</v>
      </c>
      <c r="O1422" s="12" t="n">
        <v>0.106183</v>
      </c>
      <c r="P1422" s="12" t="n">
        <v>0.081137</v>
      </c>
      <c r="Q1422" s="0" t="str">
        <f aca="false">IF(L1422&gt;=Models!$G$5,1+COUNTIF($L$5:$L$1517,"&gt;"&amp;L1422)+COUNTIFS($L$5:$L$1517,L1422,$B$5:$B$1517,"&lt;"&amp;B1422)+COUNTIFS($L$5:$L$1517,L1422,$B$5:$B$1517,B1422,$C$5:$C$1517,"&lt;"&amp;C1422),"")</f>
        <v/>
      </c>
      <c r="R1422" s="0" t="str">
        <f aca="false">IF(M1422&gt;=Models!$G$6,1+COUNTIF($M$5:$M$1517,"&gt;"&amp;M1422)+COUNTIFS($M$5:$M$1517,M1422,$B$5:$B$1517,"&lt;"&amp;B1422)+COUNTIFS($M$5:$M$1517,M1422,$B$5:$B$1517,B1422,$C$5:$C$1517,"&lt;"&amp;C1422),"")</f>
        <v/>
      </c>
      <c r="S1422" s="0" t="str">
        <f aca="false">IF(N1422&gt;=Models!$G$7,1+COUNTIF($N$5:$N$1517,"&gt;"&amp;N1422)+COUNTIFS($N$5:$N$1517,N1422,$B$5:$B$1517,"&lt;"&amp;B1422)+COUNTIFS($N$5:$N$1517,N1422,$B$5:$B$1517,B1422,$C$5:$C$1517,"&lt;"&amp;C1422),"")</f>
        <v/>
      </c>
      <c r="T1422" s="8" t="n">
        <f aca="false">IF(O1422&gt;=Models!$G$8,1+COUNTIF($O$5:$O$1517,"&gt;"&amp;O1422)+COUNTIFS($O$5:$O$1517,O1422,$B$5:$B$1517,"&lt;"&amp;B1422)+COUNTIFS($O$5:$O$1517,O1422,$B$5:$B$1517,B1422,$C$5:$C$1517,"&lt;"&amp;C1422),"")</f>
        <v>1272</v>
      </c>
      <c r="U1422" s="8" t="n">
        <f aca="false">IF($K1422=1,COUNTIFS($L$5:$L$1517,"&gt;="&amp;L1422,$K$5:$K$1517,1)/COUNTIF($L$5:$L$1517,"&gt;="&amp;L1422),0)</f>
        <v>0</v>
      </c>
      <c r="V1422" s="8" t="n">
        <f aca="false">IF($K1422=1,COUNTIFS($M$5:$M$1517,"&gt;="&amp;M1422,$K$5:$K$1517,1)/COUNTIF($M$5:$M$1517,"&gt;="&amp;M1422),0)</f>
        <v>0</v>
      </c>
      <c r="W1422" s="8" t="n">
        <f aca="false">IF($K1422=1,COUNTIFS($N$5:$N$1517,"&gt;="&amp;N1422,$K$5:$K$1517,1)/COUNTIF($N$5:$N$1517,"&gt;="&amp;N1422),0)</f>
        <v>0</v>
      </c>
      <c r="X1422" s="8" t="n">
        <f aca="false">IF($K1422=1,COUNTIFS($O$5:$O$1517,"&gt;="&amp;O1422,$K$5:$K$1517,1)/COUNTIF($O$5:$O$1517,"&gt;="&amp;O1422),0)</f>
        <v>0</v>
      </c>
      <c r="Y1422" s="8" t="n">
        <f aca="false">IF($K1422=1,COUNTIFS($P$5:$P$1517,"&gt;="&amp;P1422,$K$5:$K$1517,1)/COUNTIF($P$5:$P$1517,"&gt;="&amp;P1422),0)</f>
        <v>0</v>
      </c>
      <c r="Z1422" s="8" t="n">
        <f aca="false">(L1422-$K1422)^2</f>
        <v>0.027453838864</v>
      </c>
      <c r="AA1422" s="8" t="n">
        <f aca="false">(M1422-$K1422)^2</f>
        <v>0.008475595969</v>
      </c>
      <c r="AB1422" s="8" t="n">
        <f aca="false">(N1422-$K1422)^2</f>
        <v>0.0059923081</v>
      </c>
      <c r="AC1422" s="8" t="n">
        <f aca="false">(O1422-$K1422)^2</f>
        <v>0.011274829489</v>
      </c>
      <c r="AD1422" s="8" t="n">
        <f aca="false">(P1422-$K1422)^2</f>
        <v>0.006583212769</v>
      </c>
      <c r="AE1422" s="8" t="n">
        <f aca="false">MIN(INT(ROUND(N1422*1000000,0)/100000),9)</f>
        <v>0</v>
      </c>
      <c r="AF1422" s="8" t="n">
        <f aca="false">MIN(INT(ROUND(P1422*1000000,0)/100000),9)</f>
        <v>0</v>
      </c>
    </row>
    <row r="1423" customFormat="false" ht="15" hidden="false" customHeight="false" outlineLevel="0" collapsed="false">
      <c r="A1423" s="4" t="n">
        <v>1419</v>
      </c>
      <c r="B1423" s="4" t="n">
        <v>1527</v>
      </c>
      <c r="C1423" s="4" t="n">
        <v>3</v>
      </c>
      <c r="D1423" s="11" t="n">
        <v>46143</v>
      </c>
      <c r="E1423" s="4" t="s">
        <v>202</v>
      </c>
      <c r="F1423" s="4" t="s">
        <v>209</v>
      </c>
      <c r="G1423" s="4" t="n">
        <v>9</v>
      </c>
      <c r="H1423" s="4" t="n">
        <v>3</v>
      </c>
      <c r="I1423" s="4" t="n">
        <v>0</v>
      </c>
      <c r="J1423" s="4"/>
      <c r="K1423" s="4" t="n">
        <v>0</v>
      </c>
      <c r="L1423" s="12" t="n">
        <v>0.479464</v>
      </c>
      <c r="M1423" s="12" t="n">
        <v>0.092063</v>
      </c>
      <c r="N1423" s="12" t="n">
        <v>0.039235</v>
      </c>
      <c r="O1423" s="12" t="n">
        <v>0.106183</v>
      </c>
      <c r="P1423" s="12" t="n">
        <v>0.039874</v>
      </c>
      <c r="Q1423" s="0" t="str">
        <f aca="false">IF(L1423&gt;=Models!$G$5,1+COUNTIF($L$5:$L$1517,"&gt;"&amp;L1423)+COUNTIFS($L$5:$L$1517,L1423,$B$5:$B$1517,"&lt;"&amp;B1423)+COUNTIFS($L$5:$L$1517,L1423,$B$5:$B$1517,B1423,$C$5:$C$1517,"&lt;"&amp;C1423),"")</f>
        <v/>
      </c>
      <c r="R1423" s="0" t="str">
        <f aca="false">IF(M1423&gt;=Models!$G$6,1+COUNTIF($M$5:$M$1517,"&gt;"&amp;M1423)+COUNTIFS($M$5:$M$1517,M1423,$B$5:$B$1517,"&lt;"&amp;B1423)+COUNTIFS($M$5:$M$1517,M1423,$B$5:$B$1517,B1423,$C$5:$C$1517,"&lt;"&amp;C1423),"")</f>
        <v/>
      </c>
      <c r="S1423" s="0" t="str">
        <f aca="false">IF(N1423&gt;=Models!$G$7,1+COUNTIF($N$5:$N$1517,"&gt;"&amp;N1423)+COUNTIFS($N$5:$N$1517,N1423,$B$5:$B$1517,"&lt;"&amp;B1423)+COUNTIFS($N$5:$N$1517,N1423,$B$5:$B$1517,B1423,$C$5:$C$1517,"&lt;"&amp;C1423),"")</f>
        <v/>
      </c>
      <c r="T1423" s="8" t="n">
        <f aca="false">IF(O1423&gt;=Models!$G$8,1+COUNTIF($O$5:$O$1517,"&gt;"&amp;O1423)+COUNTIFS($O$5:$O$1517,O1423,$B$5:$B$1517,"&lt;"&amp;B1423)+COUNTIFS($O$5:$O$1517,O1423,$B$5:$B$1517,B1423,$C$5:$C$1517,"&lt;"&amp;C1423),"")</f>
        <v>1276</v>
      </c>
      <c r="U1423" s="8" t="n">
        <f aca="false">IF($K1423=1,COUNTIFS($L$5:$L$1517,"&gt;="&amp;L1423,$K$5:$K$1517,1)/COUNTIF($L$5:$L$1517,"&gt;="&amp;L1423),0)</f>
        <v>0</v>
      </c>
      <c r="V1423" s="8" t="n">
        <f aca="false">IF($K1423=1,COUNTIFS($M$5:$M$1517,"&gt;="&amp;M1423,$K$5:$K$1517,1)/COUNTIF($M$5:$M$1517,"&gt;="&amp;M1423),0)</f>
        <v>0</v>
      </c>
      <c r="W1423" s="8" t="n">
        <f aca="false">IF($K1423=1,COUNTIFS($N$5:$N$1517,"&gt;="&amp;N1423,$K$5:$K$1517,1)/COUNTIF($N$5:$N$1517,"&gt;="&amp;N1423),0)</f>
        <v>0</v>
      </c>
      <c r="X1423" s="8" t="n">
        <f aca="false">IF($K1423=1,COUNTIFS($O$5:$O$1517,"&gt;="&amp;O1423,$K$5:$K$1517,1)/COUNTIF($O$5:$O$1517,"&gt;="&amp;O1423),0)</f>
        <v>0</v>
      </c>
      <c r="Y1423" s="8" t="n">
        <f aca="false">IF($K1423=1,COUNTIFS($P$5:$P$1517,"&gt;="&amp;P1423,$K$5:$K$1517,1)/COUNTIF($P$5:$P$1517,"&gt;="&amp;P1423),0)</f>
        <v>0</v>
      </c>
      <c r="Z1423" s="8" t="n">
        <f aca="false">(L1423-$K1423)^2</f>
        <v>0.229885727296</v>
      </c>
      <c r="AA1423" s="8" t="n">
        <f aca="false">(M1423-$K1423)^2</f>
        <v>0.008475595969</v>
      </c>
      <c r="AB1423" s="8" t="n">
        <f aca="false">(N1423-$K1423)^2</f>
        <v>0.001539385225</v>
      </c>
      <c r="AC1423" s="8" t="n">
        <f aca="false">(O1423-$K1423)^2</f>
        <v>0.011274829489</v>
      </c>
      <c r="AD1423" s="8" t="n">
        <f aca="false">(P1423-$K1423)^2</f>
        <v>0.001589935876</v>
      </c>
      <c r="AE1423" s="8" t="n">
        <f aca="false">MIN(INT(ROUND(N1423*1000000,0)/100000),9)</f>
        <v>0</v>
      </c>
      <c r="AF1423" s="8" t="n">
        <f aca="false">MIN(INT(ROUND(P1423*1000000,0)/100000),9)</f>
        <v>0</v>
      </c>
    </row>
    <row r="1424" customFormat="false" ht="15" hidden="false" customHeight="false" outlineLevel="0" collapsed="false">
      <c r="A1424" s="4" t="n">
        <v>1420</v>
      </c>
      <c r="B1424" s="4" t="n">
        <v>1529</v>
      </c>
      <c r="C1424" s="4" t="n">
        <v>3</v>
      </c>
      <c r="D1424" s="11" t="n">
        <v>46143</v>
      </c>
      <c r="E1424" s="4" t="s">
        <v>202</v>
      </c>
      <c r="F1424" s="4" t="s">
        <v>206</v>
      </c>
      <c r="G1424" s="4" t="n">
        <v>15</v>
      </c>
      <c r="H1424" s="4" t="n">
        <v>0</v>
      </c>
      <c r="I1424" s="4" t="n">
        <v>0</v>
      </c>
      <c r="J1424" s="4" t="n">
        <v>1419</v>
      </c>
      <c r="K1424" s="4" t="n">
        <v>0</v>
      </c>
      <c r="L1424" s="12" t="n">
        <v>0.297527</v>
      </c>
      <c r="M1424" s="12" t="n">
        <v>0.092063</v>
      </c>
      <c r="N1424" s="12" t="n">
        <v>0.043591</v>
      </c>
      <c r="O1424" s="12" t="n">
        <v>0.106183</v>
      </c>
      <c r="P1424" s="12" t="n">
        <v>0.044519</v>
      </c>
      <c r="Q1424" s="0" t="str">
        <f aca="false">IF(L1424&gt;=Models!$G$5,1+COUNTIF($L$5:$L$1517,"&gt;"&amp;L1424)+COUNTIFS($L$5:$L$1517,L1424,$B$5:$B$1517,"&lt;"&amp;B1424)+COUNTIFS($L$5:$L$1517,L1424,$B$5:$B$1517,B1424,$C$5:$C$1517,"&lt;"&amp;C1424),"")</f>
        <v/>
      </c>
      <c r="R1424" s="0" t="str">
        <f aca="false">IF(M1424&gt;=Models!$G$6,1+COUNTIF($M$5:$M$1517,"&gt;"&amp;M1424)+COUNTIFS($M$5:$M$1517,M1424,$B$5:$B$1517,"&lt;"&amp;B1424)+COUNTIFS($M$5:$M$1517,M1424,$B$5:$B$1517,B1424,$C$5:$C$1517,"&lt;"&amp;C1424),"")</f>
        <v/>
      </c>
      <c r="S1424" s="0" t="str">
        <f aca="false">IF(N1424&gt;=Models!$G$7,1+COUNTIF($N$5:$N$1517,"&gt;"&amp;N1424)+COUNTIFS($N$5:$N$1517,N1424,$B$5:$B$1517,"&lt;"&amp;B1424)+COUNTIFS($N$5:$N$1517,N1424,$B$5:$B$1517,B1424,$C$5:$C$1517,"&lt;"&amp;C1424),"")</f>
        <v/>
      </c>
      <c r="T1424" s="8" t="n">
        <f aca="false">IF(O1424&gt;=Models!$G$8,1+COUNTIF($O$5:$O$1517,"&gt;"&amp;O1424)+COUNTIFS($O$5:$O$1517,O1424,$B$5:$B$1517,"&lt;"&amp;B1424)+COUNTIFS($O$5:$O$1517,O1424,$B$5:$B$1517,B1424,$C$5:$C$1517,"&lt;"&amp;C1424),"")</f>
        <v>1280</v>
      </c>
      <c r="U1424" s="8" t="n">
        <f aca="false">IF($K1424=1,COUNTIFS($L$5:$L$1517,"&gt;="&amp;L1424,$K$5:$K$1517,1)/COUNTIF($L$5:$L$1517,"&gt;="&amp;L1424),0)</f>
        <v>0</v>
      </c>
      <c r="V1424" s="8" t="n">
        <f aca="false">IF($K1424=1,COUNTIFS($M$5:$M$1517,"&gt;="&amp;M1424,$K$5:$K$1517,1)/COUNTIF($M$5:$M$1517,"&gt;="&amp;M1424),0)</f>
        <v>0</v>
      </c>
      <c r="W1424" s="8" t="n">
        <f aca="false">IF($K1424=1,COUNTIFS($N$5:$N$1517,"&gt;="&amp;N1424,$K$5:$K$1517,1)/COUNTIF($N$5:$N$1517,"&gt;="&amp;N1424),0)</f>
        <v>0</v>
      </c>
      <c r="X1424" s="8" t="n">
        <f aca="false">IF($K1424=1,COUNTIFS($O$5:$O$1517,"&gt;="&amp;O1424,$K$5:$K$1517,1)/COUNTIF($O$5:$O$1517,"&gt;="&amp;O1424),0)</f>
        <v>0</v>
      </c>
      <c r="Y1424" s="8" t="n">
        <f aca="false">IF($K1424=1,COUNTIFS($P$5:$P$1517,"&gt;="&amp;P1424,$K$5:$K$1517,1)/COUNTIF($P$5:$P$1517,"&gt;="&amp;P1424),0)</f>
        <v>0</v>
      </c>
      <c r="Z1424" s="8" t="n">
        <f aca="false">(L1424-$K1424)^2</f>
        <v>0.088522315729</v>
      </c>
      <c r="AA1424" s="8" t="n">
        <f aca="false">(M1424-$K1424)^2</f>
        <v>0.008475595969</v>
      </c>
      <c r="AB1424" s="8" t="n">
        <f aca="false">(N1424-$K1424)^2</f>
        <v>0.001900175281</v>
      </c>
      <c r="AC1424" s="8" t="n">
        <f aca="false">(O1424-$K1424)^2</f>
        <v>0.011274829489</v>
      </c>
      <c r="AD1424" s="8" t="n">
        <f aca="false">(P1424-$K1424)^2</f>
        <v>0.001981941361</v>
      </c>
      <c r="AE1424" s="8" t="n">
        <f aca="false">MIN(INT(ROUND(N1424*1000000,0)/100000),9)</f>
        <v>0</v>
      </c>
      <c r="AF1424" s="8" t="n">
        <f aca="false">MIN(INT(ROUND(P1424*1000000,0)/100000),9)</f>
        <v>0</v>
      </c>
    </row>
    <row r="1425" customFormat="false" ht="15" hidden="false" customHeight="false" outlineLevel="0" collapsed="false">
      <c r="A1425" s="4" t="n">
        <v>1421</v>
      </c>
      <c r="B1425" s="4" t="n">
        <v>1532</v>
      </c>
      <c r="C1425" s="4" t="n">
        <v>3</v>
      </c>
      <c r="D1425" s="11" t="n">
        <v>46143</v>
      </c>
      <c r="E1425" s="4" t="s">
        <v>203</v>
      </c>
      <c r="F1425" s="4" t="s">
        <v>206</v>
      </c>
      <c r="G1425" s="4" t="n">
        <v>7</v>
      </c>
      <c r="H1425" s="4" t="n">
        <v>7</v>
      </c>
      <c r="I1425" s="4" t="n">
        <v>0</v>
      </c>
      <c r="J1425" s="4" t="n">
        <v>291</v>
      </c>
      <c r="K1425" s="4" t="n">
        <v>0</v>
      </c>
      <c r="L1425" s="12" t="n">
        <v>0.962999</v>
      </c>
      <c r="M1425" s="12" t="n">
        <v>0.092063</v>
      </c>
      <c r="N1425" s="12" t="n">
        <v>0.095735</v>
      </c>
      <c r="O1425" s="12" t="n">
        <v>0.106183</v>
      </c>
      <c r="P1425" s="12" t="n">
        <v>0.101251</v>
      </c>
      <c r="Q1425" s="0" t="str">
        <f aca="false">IF(L1425&gt;=Models!$G$5,1+COUNTIF($L$5:$L$1517,"&gt;"&amp;L1425)+COUNTIFS($L$5:$L$1517,L1425,$B$5:$B$1517,"&lt;"&amp;B1425)+COUNTIFS($L$5:$L$1517,L1425,$B$5:$B$1517,B1425,$C$5:$C$1517,"&lt;"&amp;C1425),"")</f>
        <v/>
      </c>
      <c r="R1425" s="0" t="str">
        <f aca="false">IF(M1425&gt;=Models!$G$6,1+COUNTIF($M$5:$M$1517,"&gt;"&amp;M1425)+COUNTIFS($M$5:$M$1517,M1425,$B$5:$B$1517,"&lt;"&amp;B1425)+COUNTIFS($M$5:$M$1517,M1425,$B$5:$B$1517,B1425,$C$5:$C$1517,"&lt;"&amp;C1425),"")</f>
        <v/>
      </c>
      <c r="S1425" s="0" t="str">
        <f aca="false">IF(N1425&gt;=Models!$G$7,1+COUNTIF($N$5:$N$1517,"&gt;"&amp;N1425)+COUNTIFS($N$5:$N$1517,N1425,$B$5:$B$1517,"&lt;"&amp;B1425)+COUNTIFS($N$5:$N$1517,N1425,$B$5:$B$1517,B1425,$C$5:$C$1517,"&lt;"&amp;C1425),"")</f>
        <v/>
      </c>
      <c r="T1425" s="8" t="n">
        <f aca="false">IF(O1425&gt;=Models!$G$8,1+COUNTIF($O$5:$O$1517,"&gt;"&amp;O1425)+COUNTIFS($O$5:$O$1517,O1425,$B$5:$B$1517,"&lt;"&amp;B1425)+COUNTIFS($O$5:$O$1517,O1425,$B$5:$B$1517,B1425,$C$5:$C$1517,"&lt;"&amp;C1425),"")</f>
        <v>1285</v>
      </c>
      <c r="U1425" s="8" t="n">
        <f aca="false">IF($K1425=1,COUNTIFS($L$5:$L$1517,"&gt;="&amp;L1425,$K$5:$K$1517,1)/COUNTIF($L$5:$L$1517,"&gt;="&amp;L1425),0)</f>
        <v>0</v>
      </c>
      <c r="V1425" s="8" t="n">
        <f aca="false">IF($K1425=1,COUNTIFS($M$5:$M$1517,"&gt;="&amp;M1425,$K$5:$K$1517,1)/COUNTIF($M$5:$M$1517,"&gt;="&amp;M1425),0)</f>
        <v>0</v>
      </c>
      <c r="W1425" s="8" t="n">
        <f aca="false">IF($K1425=1,COUNTIFS($N$5:$N$1517,"&gt;="&amp;N1425,$K$5:$K$1517,1)/COUNTIF($N$5:$N$1517,"&gt;="&amp;N1425),0)</f>
        <v>0</v>
      </c>
      <c r="X1425" s="8" t="n">
        <f aca="false">IF($K1425=1,COUNTIFS($O$5:$O$1517,"&gt;="&amp;O1425,$K$5:$K$1517,1)/COUNTIF($O$5:$O$1517,"&gt;="&amp;O1425),0)</f>
        <v>0</v>
      </c>
      <c r="Y1425" s="8" t="n">
        <f aca="false">IF($K1425=1,COUNTIFS($P$5:$P$1517,"&gt;="&amp;P1425,$K$5:$K$1517,1)/COUNTIF($P$5:$P$1517,"&gt;="&amp;P1425),0)</f>
        <v>0</v>
      </c>
      <c r="Z1425" s="8" t="n">
        <f aca="false">(L1425-$K1425)^2</f>
        <v>0.927367074001</v>
      </c>
      <c r="AA1425" s="8" t="n">
        <f aca="false">(M1425-$K1425)^2</f>
        <v>0.008475595969</v>
      </c>
      <c r="AB1425" s="8" t="n">
        <f aca="false">(N1425-$K1425)^2</f>
        <v>0.009165190225</v>
      </c>
      <c r="AC1425" s="8" t="n">
        <f aca="false">(O1425-$K1425)^2</f>
        <v>0.011274829489</v>
      </c>
      <c r="AD1425" s="8" t="n">
        <f aca="false">(P1425-$K1425)^2</f>
        <v>0.010251765001</v>
      </c>
      <c r="AE1425" s="8" t="n">
        <f aca="false">MIN(INT(ROUND(N1425*1000000,0)/100000),9)</f>
        <v>0</v>
      </c>
      <c r="AF1425" s="8" t="n">
        <f aca="false">MIN(INT(ROUND(P1425*1000000,0)/100000),9)</f>
        <v>1</v>
      </c>
    </row>
    <row r="1426" customFormat="false" ht="15" hidden="false" customHeight="false" outlineLevel="0" collapsed="false">
      <c r="A1426" s="4" t="n">
        <v>1422</v>
      </c>
      <c r="B1426" s="4" t="n">
        <v>1534</v>
      </c>
      <c r="C1426" s="4" t="n">
        <v>3</v>
      </c>
      <c r="D1426" s="11" t="n">
        <v>46143</v>
      </c>
      <c r="E1426" s="4" t="s">
        <v>204</v>
      </c>
      <c r="F1426" s="4" t="s">
        <v>206</v>
      </c>
      <c r="G1426" s="4" t="n">
        <v>6</v>
      </c>
      <c r="H1426" s="4" t="n">
        <v>3</v>
      </c>
      <c r="I1426" s="4" t="n">
        <v>0</v>
      </c>
      <c r="J1426" s="4" t="n">
        <v>75</v>
      </c>
      <c r="K1426" s="4" t="n">
        <v>1</v>
      </c>
      <c r="L1426" s="12" t="n">
        <v>0.052992</v>
      </c>
      <c r="M1426" s="12" t="n">
        <v>0.092063</v>
      </c>
      <c r="N1426" s="12" t="n">
        <v>0.101947</v>
      </c>
      <c r="O1426" s="12" t="n">
        <v>0.106183</v>
      </c>
      <c r="P1426" s="12" t="n">
        <v>0.108097</v>
      </c>
      <c r="Q1426" s="0" t="str">
        <f aca="false">IF(L1426&gt;=Models!$G$5,1+COUNTIF($L$5:$L$1517,"&gt;"&amp;L1426)+COUNTIFS($L$5:$L$1517,L1426,$B$5:$B$1517,"&lt;"&amp;B1426)+COUNTIFS($L$5:$L$1517,L1426,$B$5:$B$1517,B1426,$C$5:$C$1517,"&lt;"&amp;C1426),"")</f>
        <v/>
      </c>
      <c r="R1426" s="0" t="str">
        <f aca="false">IF(M1426&gt;=Models!$G$6,1+COUNTIF($M$5:$M$1517,"&gt;"&amp;M1426)+COUNTIFS($M$5:$M$1517,M1426,$B$5:$B$1517,"&lt;"&amp;B1426)+COUNTIFS($M$5:$M$1517,M1426,$B$5:$B$1517,B1426,$C$5:$C$1517,"&lt;"&amp;C1426),"")</f>
        <v/>
      </c>
      <c r="S1426" s="0" t="str">
        <f aca="false">IF(N1426&gt;=Models!$G$7,1+COUNTIF($N$5:$N$1517,"&gt;"&amp;N1426)+COUNTIFS($N$5:$N$1517,N1426,$B$5:$B$1517,"&lt;"&amp;B1426)+COUNTIFS($N$5:$N$1517,N1426,$B$5:$B$1517,B1426,$C$5:$C$1517,"&lt;"&amp;C1426),"")</f>
        <v/>
      </c>
      <c r="T1426" s="8" t="n">
        <f aca="false">IF(O1426&gt;=Models!$G$8,1+COUNTIF($O$5:$O$1517,"&gt;"&amp;O1426)+COUNTIFS($O$5:$O$1517,O1426,$B$5:$B$1517,"&lt;"&amp;B1426)+COUNTIFS($O$5:$O$1517,O1426,$B$5:$B$1517,B1426,$C$5:$C$1517,"&lt;"&amp;C1426),"")</f>
        <v>1289</v>
      </c>
      <c r="U1426" s="8" t="n">
        <f aca="false">IF($K1426=1,COUNTIFS($L$5:$L$1517,"&gt;="&amp;L1426,$K$5:$K$1517,1)/COUNTIF($L$5:$L$1517,"&gt;="&amp;L1426),0)</f>
        <v>0.125</v>
      </c>
      <c r="V1426" s="8" t="n">
        <f aca="false">IF($K1426=1,COUNTIFS($M$5:$M$1517,"&gt;="&amp;M1426,$K$5:$K$1517,1)/COUNTIF($M$5:$M$1517,"&gt;="&amp;M1426),0)</f>
        <v>0.12491738268341</v>
      </c>
      <c r="W1426" s="8" t="n">
        <f aca="false">IF($K1426=1,COUNTIFS($N$5:$N$1517,"&gt;="&amp;N1426,$K$5:$K$1517,1)/COUNTIF($N$5:$N$1517,"&gt;="&amp;N1426),0)</f>
        <v>0.188707280832095</v>
      </c>
      <c r="X1426" s="8" t="n">
        <f aca="false">IF($K1426=1,COUNTIFS($O$5:$O$1517,"&gt;="&amp;O1426,$K$5:$K$1517,1)/COUNTIF($O$5:$O$1517,"&gt;="&amp;O1426),0)</f>
        <v>0.12491738268341</v>
      </c>
      <c r="Y1426" s="8" t="n">
        <f aca="false">IF($K1426=1,COUNTIFS($P$5:$P$1517,"&gt;="&amp;P1426,$K$5:$K$1517,1)/COUNTIF($P$5:$P$1517,"&gt;="&amp;P1426),0)</f>
        <v>0.188707280832095</v>
      </c>
      <c r="Z1426" s="8" t="n">
        <f aca="false">(L1426-$K1426)^2</f>
        <v>0.896824152064</v>
      </c>
      <c r="AA1426" s="8" t="n">
        <f aca="false">(M1426-$K1426)^2</f>
        <v>0.824349595969</v>
      </c>
      <c r="AB1426" s="8" t="n">
        <f aca="false">(N1426-$K1426)^2</f>
        <v>0.806499190809</v>
      </c>
      <c r="AC1426" s="8" t="n">
        <f aca="false">(O1426-$K1426)^2</f>
        <v>0.798908829489</v>
      </c>
      <c r="AD1426" s="8" t="n">
        <f aca="false">(P1426-$K1426)^2</f>
        <v>0.795490961409</v>
      </c>
      <c r="AE1426" s="8" t="n">
        <f aca="false">MIN(INT(ROUND(N1426*1000000,0)/100000),9)</f>
        <v>1</v>
      </c>
      <c r="AF1426" s="8" t="n">
        <f aca="false">MIN(INT(ROUND(P1426*1000000,0)/100000),9)</f>
        <v>1</v>
      </c>
    </row>
    <row r="1427" customFormat="false" ht="15" hidden="false" customHeight="false" outlineLevel="0" collapsed="false">
      <c r="A1427" s="4" t="n">
        <v>1423</v>
      </c>
      <c r="B1427" s="4" t="n">
        <v>1538</v>
      </c>
      <c r="C1427" s="4" t="n">
        <v>3</v>
      </c>
      <c r="D1427" s="11" t="n">
        <v>46143</v>
      </c>
      <c r="E1427" s="4" t="s">
        <v>201</v>
      </c>
      <c r="F1427" s="4" t="s">
        <v>208</v>
      </c>
      <c r="G1427" s="4" t="n">
        <v>5</v>
      </c>
      <c r="H1427" s="4" t="n">
        <v>10</v>
      </c>
      <c r="I1427" s="4" t="n">
        <v>0</v>
      </c>
      <c r="J1427" s="4"/>
      <c r="K1427" s="4" t="n">
        <v>0</v>
      </c>
      <c r="L1427" s="12" t="n">
        <v>0.004811</v>
      </c>
      <c r="M1427" s="12" t="n">
        <v>0.092063</v>
      </c>
      <c r="N1427" s="12" t="n">
        <v>0.058369</v>
      </c>
      <c r="O1427" s="12" t="n">
        <v>0.106183</v>
      </c>
      <c r="P1427" s="12" t="n">
        <v>0.060417</v>
      </c>
      <c r="Q1427" s="0" t="str">
        <f aca="false">IF(L1427&gt;=Models!$G$5,1+COUNTIF($L$5:$L$1517,"&gt;"&amp;L1427)+COUNTIFS($L$5:$L$1517,L1427,$B$5:$B$1517,"&lt;"&amp;B1427)+COUNTIFS($L$5:$L$1517,L1427,$B$5:$B$1517,B1427,$C$5:$C$1517,"&lt;"&amp;C1427),"")</f>
        <v/>
      </c>
      <c r="R1427" s="0" t="str">
        <f aca="false">IF(M1427&gt;=Models!$G$6,1+COUNTIF($M$5:$M$1517,"&gt;"&amp;M1427)+COUNTIFS($M$5:$M$1517,M1427,$B$5:$B$1517,"&lt;"&amp;B1427)+COUNTIFS($M$5:$M$1517,M1427,$B$5:$B$1517,B1427,$C$5:$C$1517,"&lt;"&amp;C1427),"")</f>
        <v/>
      </c>
      <c r="S1427" s="0" t="str">
        <f aca="false">IF(N1427&gt;=Models!$G$7,1+COUNTIF($N$5:$N$1517,"&gt;"&amp;N1427)+COUNTIFS($N$5:$N$1517,N1427,$B$5:$B$1517,"&lt;"&amp;B1427)+COUNTIFS($N$5:$N$1517,N1427,$B$5:$B$1517,B1427,$C$5:$C$1517,"&lt;"&amp;C1427),"")</f>
        <v/>
      </c>
      <c r="T1427" s="8" t="n">
        <f aca="false">IF(O1427&gt;=Models!$G$8,1+COUNTIF($O$5:$O$1517,"&gt;"&amp;O1427)+COUNTIFS($O$5:$O$1517,O1427,$B$5:$B$1517,"&lt;"&amp;B1427)+COUNTIFS($O$5:$O$1517,O1427,$B$5:$B$1517,B1427,$C$5:$C$1517,"&lt;"&amp;C1427),"")</f>
        <v>1293</v>
      </c>
      <c r="U1427" s="8" t="n">
        <f aca="false">IF($K1427=1,COUNTIFS($L$5:$L$1517,"&gt;="&amp;L1427,$K$5:$K$1517,1)/COUNTIF($L$5:$L$1517,"&gt;="&amp;L1427),0)</f>
        <v>0</v>
      </c>
      <c r="V1427" s="8" t="n">
        <f aca="false">IF($K1427=1,COUNTIFS($M$5:$M$1517,"&gt;="&amp;M1427,$K$5:$K$1517,1)/COUNTIF($M$5:$M$1517,"&gt;="&amp;M1427),0)</f>
        <v>0</v>
      </c>
      <c r="W1427" s="8" t="n">
        <f aca="false">IF($K1427=1,COUNTIFS($N$5:$N$1517,"&gt;="&amp;N1427,$K$5:$K$1517,1)/COUNTIF($N$5:$N$1517,"&gt;="&amp;N1427),0)</f>
        <v>0</v>
      </c>
      <c r="X1427" s="8" t="n">
        <f aca="false">IF($K1427=1,COUNTIFS($O$5:$O$1517,"&gt;="&amp;O1427,$K$5:$K$1517,1)/COUNTIF($O$5:$O$1517,"&gt;="&amp;O1427),0)</f>
        <v>0</v>
      </c>
      <c r="Y1427" s="8" t="n">
        <f aca="false">IF($K1427=1,COUNTIFS($P$5:$P$1517,"&gt;="&amp;P1427,$K$5:$K$1517,1)/COUNTIF($P$5:$P$1517,"&gt;="&amp;P1427),0)</f>
        <v>0</v>
      </c>
      <c r="Z1427" s="8" t="n">
        <f aca="false">(L1427-$K1427)^2</f>
        <v>2.3145721E-005</v>
      </c>
      <c r="AA1427" s="8" t="n">
        <f aca="false">(M1427-$K1427)^2</f>
        <v>0.008475595969</v>
      </c>
      <c r="AB1427" s="8" t="n">
        <f aca="false">(N1427-$K1427)^2</f>
        <v>0.003406940161</v>
      </c>
      <c r="AC1427" s="8" t="n">
        <f aca="false">(O1427-$K1427)^2</f>
        <v>0.011274829489</v>
      </c>
      <c r="AD1427" s="8" t="n">
        <f aca="false">(P1427-$K1427)^2</f>
        <v>0.003650213889</v>
      </c>
      <c r="AE1427" s="8" t="n">
        <f aca="false">MIN(INT(ROUND(N1427*1000000,0)/100000),9)</f>
        <v>0</v>
      </c>
      <c r="AF1427" s="8" t="n">
        <f aca="false">MIN(INT(ROUND(P1427*1000000,0)/100000),9)</f>
        <v>0</v>
      </c>
    </row>
    <row r="1428" customFormat="false" ht="15" hidden="false" customHeight="false" outlineLevel="0" collapsed="false">
      <c r="A1428" s="4" t="n">
        <v>1424</v>
      </c>
      <c r="B1428" s="4" t="n">
        <v>1539</v>
      </c>
      <c r="C1428" s="4" t="n">
        <v>3</v>
      </c>
      <c r="D1428" s="11" t="n">
        <v>46143</v>
      </c>
      <c r="E1428" s="4" t="s">
        <v>204</v>
      </c>
      <c r="F1428" s="4" t="s">
        <v>209</v>
      </c>
      <c r="G1428" s="4" t="n">
        <v>1</v>
      </c>
      <c r="H1428" s="4" t="n">
        <v>16</v>
      </c>
      <c r="I1428" s="4" t="n">
        <v>0</v>
      </c>
      <c r="J1428" s="4" t="n">
        <v>93</v>
      </c>
      <c r="K1428" s="4" t="n">
        <v>0</v>
      </c>
      <c r="L1428" s="12" t="n">
        <v>0.713968</v>
      </c>
      <c r="M1428" s="12" t="n">
        <v>0.092063</v>
      </c>
      <c r="N1428" s="12" t="n">
        <v>0.165158</v>
      </c>
      <c r="O1428" s="12" t="n">
        <v>0.106183</v>
      </c>
      <c r="P1428" s="12" t="n">
        <v>0.178219</v>
      </c>
      <c r="Q1428" s="0" t="str">
        <f aca="false">IF(L1428&gt;=Models!$G$5,1+COUNTIF($L$5:$L$1517,"&gt;"&amp;L1428)+COUNTIFS($L$5:$L$1517,L1428,$B$5:$B$1517,"&lt;"&amp;B1428)+COUNTIFS($L$5:$L$1517,L1428,$B$5:$B$1517,B1428,$C$5:$C$1517,"&lt;"&amp;C1428),"")</f>
        <v/>
      </c>
      <c r="R1428" s="0" t="str">
        <f aca="false">IF(M1428&gt;=Models!$G$6,1+COUNTIF($M$5:$M$1517,"&gt;"&amp;M1428)+COUNTIFS($M$5:$M$1517,M1428,$B$5:$B$1517,"&lt;"&amp;B1428)+COUNTIFS($M$5:$M$1517,M1428,$B$5:$B$1517,B1428,$C$5:$C$1517,"&lt;"&amp;C1428),"")</f>
        <v/>
      </c>
      <c r="S1428" s="0" t="str">
        <f aca="false">IF(N1428&gt;=Models!$G$7,1+COUNTIF($N$5:$N$1517,"&gt;"&amp;N1428)+COUNTIFS($N$5:$N$1517,N1428,$B$5:$B$1517,"&lt;"&amp;B1428)+COUNTIFS($N$5:$N$1517,N1428,$B$5:$B$1517,B1428,$C$5:$C$1517,"&lt;"&amp;C1428),"")</f>
        <v/>
      </c>
      <c r="T1428" s="8" t="n">
        <f aca="false">IF(O1428&gt;=Models!$G$8,1+COUNTIF($O$5:$O$1517,"&gt;"&amp;O1428)+COUNTIFS($O$5:$O$1517,O1428,$B$5:$B$1517,"&lt;"&amp;B1428)+COUNTIFS($O$5:$O$1517,O1428,$B$5:$B$1517,B1428,$C$5:$C$1517,"&lt;"&amp;C1428),"")</f>
        <v>1297</v>
      </c>
      <c r="U1428" s="8" t="n">
        <f aca="false">IF($K1428=1,COUNTIFS($L$5:$L$1517,"&gt;="&amp;L1428,$K$5:$K$1517,1)/COUNTIF($L$5:$L$1517,"&gt;="&amp;L1428),0)</f>
        <v>0</v>
      </c>
      <c r="V1428" s="8" t="n">
        <f aca="false">IF($K1428=1,COUNTIFS($M$5:$M$1517,"&gt;="&amp;M1428,$K$5:$K$1517,1)/COUNTIF($M$5:$M$1517,"&gt;="&amp;M1428),0)</f>
        <v>0</v>
      </c>
      <c r="W1428" s="8" t="n">
        <f aca="false">IF($K1428=1,COUNTIFS($N$5:$N$1517,"&gt;="&amp;N1428,$K$5:$K$1517,1)/COUNTIF($N$5:$N$1517,"&gt;="&amp;N1428),0)</f>
        <v>0</v>
      </c>
      <c r="X1428" s="8" t="n">
        <f aca="false">IF($K1428=1,COUNTIFS($O$5:$O$1517,"&gt;="&amp;O1428,$K$5:$K$1517,1)/COUNTIF($O$5:$O$1517,"&gt;="&amp;O1428),0)</f>
        <v>0</v>
      </c>
      <c r="Y1428" s="8" t="n">
        <f aca="false">IF($K1428=1,COUNTIFS($P$5:$P$1517,"&gt;="&amp;P1428,$K$5:$K$1517,1)/COUNTIF($P$5:$P$1517,"&gt;="&amp;P1428),0)</f>
        <v>0</v>
      </c>
      <c r="Z1428" s="8" t="n">
        <f aca="false">(L1428-$K1428)^2</f>
        <v>0.509750305024</v>
      </c>
      <c r="AA1428" s="8" t="n">
        <f aca="false">(M1428-$K1428)^2</f>
        <v>0.008475595969</v>
      </c>
      <c r="AB1428" s="8" t="n">
        <f aca="false">(N1428-$K1428)^2</f>
        <v>0.027277164964</v>
      </c>
      <c r="AC1428" s="8" t="n">
        <f aca="false">(O1428-$K1428)^2</f>
        <v>0.011274829489</v>
      </c>
      <c r="AD1428" s="8" t="n">
        <f aca="false">(P1428-$K1428)^2</f>
        <v>0.031762011961</v>
      </c>
      <c r="AE1428" s="8" t="n">
        <f aca="false">MIN(INT(ROUND(N1428*1000000,0)/100000),9)</f>
        <v>1</v>
      </c>
      <c r="AF1428" s="8" t="n">
        <f aca="false">MIN(INT(ROUND(P1428*1000000,0)/100000),9)</f>
        <v>1</v>
      </c>
    </row>
    <row r="1429" customFormat="false" ht="15" hidden="false" customHeight="false" outlineLevel="0" collapsed="false">
      <c r="A1429" s="4" t="n">
        <v>1425</v>
      </c>
      <c r="B1429" s="4" t="n">
        <v>1540</v>
      </c>
      <c r="C1429" s="4" t="n">
        <v>3</v>
      </c>
      <c r="D1429" s="11" t="n">
        <v>46143</v>
      </c>
      <c r="E1429" s="4" t="s">
        <v>203</v>
      </c>
      <c r="F1429" s="4" t="s">
        <v>206</v>
      </c>
      <c r="G1429" s="4" t="n">
        <v>6</v>
      </c>
      <c r="H1429" s="4" t="n">
        <v>3</v>
      </c>
      <c r="I1429" s="4" t="n">
        <v>0</v>
      </c>
      <c r="J1429" s="4"/>
      <c r="K1429" s="4" t="n">
        <v>0</v>
      </c>
      <c r="L1429" s="12" t="n">
        <v>0.010202</v>
      </c>
      <c r="M1429" s="12" t="n">
        <v>0.092063</v>
      </c>
      <c r="N1429" s="12" t="n">
        <v>0.050778</v>
      </c>
      <c r="O1429" s="12" t="n">
        <v>0.106183</v>
      </c>
      <c r="P1429" s="12" t="n">
        <v>0.052227</v>
      </c>
      <c r="Q1429" s="0" t="str">
        <f aca="false">IF(L1429&gt;=Models!$G$5,1+COUNTIF($L$5:$L$1517,"&gt;"&amp;L1429)+COUNTIFS($L$5:$L$1517,L1429,$B$5:$B$1517,"&lt;"&amp;B1429)+COUNTIFS($L$5:$L$1517,L1429,$B$5:$B$1517,B1429,$C$5:$C$1517,"&lt;"&amp;C1429),"")</f>
        <v/>
      </c>
      <c r="R1429" s="0" t="str">
        <f aca="false">IF(M1429&gt;=Models!$G$6,1+COUNTIF($M$5:$M$1517,"&gt;"&amp;M1429)+COUNTIFS($M$5:$M$1517,M1429,$B$5:$B$1517,"&lt;"&amp;B1429)+COUNTIFS($M$5:$M$1517,M1429,$B$5:$B$1517,B1429,$C$5:$C$1517,"&lt;"&amp;C1429),"")</f>
        <v/>
      </c>
      <c r="S1429" s="0" t="str">
        <f aca="false">IF(N1429&gt;=Models!$G$7,1+COUNTIF($N$5:$N$1517,"&gt;"&amp;N1429)+COUNTIFS($N$5:$N$1517,N1429,$B$5:$B$1517,"&lt;"&amp;B1429)+COUNTIFS($N$5:$N$1517,N1429,$B$5:$B$1517,B1429,$C$5:$C$1517,"&lt;"&amp;C1429),"")</f>
        <v/>
      </c>
      <c r="T1429" s="8" t="n">
        <f aca="false">IF(O1429&gt;=Models!$G$8,1+COUNTIF($O$5:$O$1517,"&gt;"&amp;O1429)+COUNTIFS($O$5:$O$1517,O1429,$B$5:$B$1517,"&lt;"&amp;B1429)+COUNTIFS($O$5:$O$1517,O1429,$B$5:$B$1517,B1429,$C$5:$C$1517,"&lt;"&amp;C1429),"")</f>
        <v>1301</v>
      </c>
      <c r="U1429" s="8" t="n">
        <f aca="false">IF($K1429=1,COUNTIFS($L$5:$L$1517,"&gt;="&amp;L1429,$K$5:$K$1517,1)/COUNTIF($L$5:$L$1517,"&gt;="&amp;L1429),0)</f>
        <v>0</v>
      </c>
      <c r="V1429" s="8" t="n">
        <f aca="false">IF($K1429=1,COUNTIFS($M$5:$M$1517,"&gt;="&amp;M1429,$K$5:$K$1517,1)/COUNTIF($M$5:$M$1517,"&gt;="&amp;M1429),0)</f>
        <v>0</v>
      </c>
      <c r="W1429" s="8" t="n">
        <f aca="false">IF($K1429=1,COUNTIFS($N$5:$N$1517,"&gt;="&amp;N1429,$K$5:$K$1517,1)/COUNTIF($N$5:$N$1517,"&gt;="&amp;N1429),0)</f>
        <v>0</v>
      </c>
      <c r="X1429" s="8" t="n">
        <f aca="false">IF($K1429=1,COUNTIFS($O$5:$O$1517,"&gt;="&amp;O1429,$K$5:$K$1517,1)/COUNTIF($O$5:$O$1517,"&gt;="&amp;O1429),0)</f>
        <v>0</v>
      </c>
      <c r="Y1429" s="8" t="n">
        <f aca="false">IF($K1429=1,COUNTIFS($P$5:$P$1517,"&gt;="&amp;P1429,$K$5:$K$1517,1)/COUNTIF($P$5:$P$1517,"&gt;="&amp;P1429),0)</f>
        <v>0</v>
      </c>
      <c r="Z1429" s="8" t="n">
        <f aca="false">(L1429-$K1429)^2</f>
        <v>0.000104080804</v>
      </c>
      <c r="AA1429" s="8" t="n">
        <f aca="false">(M1429-$K1429)^2</f>
        <v>0.008475595969</v>
      </c>
      <c r="AB1429" s="8" t="n">
        <f aca="false">(N1429-$K1429)^2</f>
        <v>0.002578405284</v>
      </c>
      <c r="AC1429" s="8" t="n">
        <f aca="false">(O1429-$K1429)^2</f>
        <v>0.011274829489</v>
      </c>
      <c r="AD1429" s="8" t="n">
        <f aca="false">(P1429-$K1429)^2</f>
        <v>0.002727659529</v>
      </c>
      <c r="AE1429" s="8" t="n">
        <f aca="false">MIN(INT(ROUND(N1429*1000000,0)/100000),9)</f>
        <v>0</v>
      </c>
      <c r="AF1429" s="8" t="n">
        <f aca="false">MIN(INT(ROUND(P1429*1000000,0)/100000),9)</f>
        <v>0</v>
      </c>
    </row>
    <row r="1430" customFormat="false" ht="15" hidden="false" customHeight="false" outlineLevel="0" collapsed="false">
      <c r="A1430" s="4" t="n">
        <v>1426</v>
      </c>
      <c r="B1430" s="4" t="n">
        <v>1544</v>
      </c>
      <c r="C1430" s="4" t="n">
        <v>3</v>
      </c>
      <c r="D1430" s="11" t="n">
        <v>46143</v>
      </c>
      <c r="E1430" s="4" t="s">
        <v>203</v>
      </c>
      <c r="F1430" s="4" t="s">
        <v>206</v>
      </c>
      <c r="G1430" s="4" t="n">
        <v>6</v>
      </c>
      <c r="H1430" s="4" t="n">
        <v>3</v>
      </c>
      <c r="I1430" s="4" t="n">
        <v>0</v>
      </c>
      <c r="J1430" s="4" t="n">
        <v>402</v>
      </c>
      <c r="K1430" s="4" t="n">
        <v>0</v>
      </c>
      <c r="L1430" s="12" t="n">
        <v>0.995167</v>
      </c>
      <c r="M1430" s="12" t="n">
        <v>0.092063</v>
      </c>
      <c r="N1430" s="12" t="n">
        <v>0.100221</v>
      </c>
      <c r="O1430" s="12" t="n">
        <v>0.106183</v>
      </c>
      <c r="P1430" s="12" t="n">
        <v>0.106194</v>
      </c>
      <c r="Q1430" s="8" t="n">
        <f aca="false">IF(L1430&gt;=Models!$G$5,1+COUNTIF($L$5:$L$1517,"&gt;"&amp;L1430)+COUNTIFS($L$5:$L$1517,L1430,$B$5:$B$1517,"&lt;"&amp;B1430)+COUNTIFS($L$5:$L$1517,L1430,$B$5:$B$1517,B1430,$C$5:$C$1517,"&lt;"&amp;C1430),"")</f>
        <v>8</v>
      </c>
      <c r="R1430" s="0" t="str">
        <f aca="false">IF(M1430&gt;=Models!$G$6,1+COUNTIF($M$5:$M$1517,"&gt;"&amp;M1430)+COUNTIFS($M$5:$M$1517,M1430,$B$5:$B$1517,"&lt;"&amp;B1430)+COUNTIFS($M$5:$M$1517,M1430,$B$5:$B$1517,B1430,$C$5:$C$1517,"&lt;"&amp;C1430),"")</f>
        <v/>
      </c>
      <c r="S1430" s="0" t="str">
        <f aca="false">IF(N1430&gt;=Models!$G$7,1+COUNTIF($N$5:$N$1517,"&gt;"&amp;N1430)+COUNTIFS($N$5:$N$1517,N1430,$B$5:$B$1517,"&lt;"&amp;B1430)+COUNTIFS($N$5:$N$1517,N1430,$B$5:$B$1517,B1430,$C$5:$C$1517,"&lt;"&amp;C1430),"")</f>
        <v/>
      </c>
      <c r="T1430" s="8" t="n">
        <f aca="false">IF(O1430&gt;=Models!$G$8,1+COUNTIF($O$5:$O$1517,"&gt;"&amp;O1430)+COUNTIFS($O$5:$O$1517,O1430,$B$5:$B$1517,"&lt;"&amp;B1430)+COUNTIFS($O$5:$O$1517,O1430,$B$5:$B$1517,B1430,$C$5:$C$1517,"&lt;"&amp;C1430),"")</f>
        <v>1305</v>
      </c>
      <c r="U1430" s="8" t="n">
        <f aca="false">IF($K1430=1,COUNTIFS($L$5:$L$1517,"&gt;="&amp;L1430,$K$5:$K$1517,1)/COUNTIF($L$5:$L$1517,"&gt;="&amp;L1430),0)</f>
        <v>0</v>
      </c>
      <c r="V1430" s="8" t="n">
        <f aca="false">IF($K1430=1,COUNTIFS($M$5:$M$1517,"&gt;="&amp;M1430,$K$5:$K$1517,1)/COUNTIF($M$5:$M$1517,"&gt;="&amp;M1430),0)</f>
        <v>0</v>
      </c>
      <c r="W1430" s="8" t="n">
        <f aca="false">IF($K1430=1,COUNTIFS($N$5:$N$1517,"&gt;="&amp;N1430,$K$5:$K$1517,1)/COUNTIF($N$5:$N$1517,"&gt;="&amp;N1430),0)</f>
        <v>0</v>
      </c>
      <c r="X1430" s="8" t="n">
        <f aca="false">IF($K1430=1,COUNTIFS($O$5:$O$1517,"&gt;="&amp;O1430,$K$5:$K$1517,1)/COUNTIF($O$5:$O$1517,"&gt;="&amp;O1430),0)</f>
        <v>0</v>
      </c>
      <c r="Y1430" s="8" t="n">
        <f aca="false">IF($K1430=1,COUNTIFS($P$5:$P$1517,"&gt;="&amp;P1430,$K$5:$K$1517,1)/COUNTIF($P$5:$P$1517,"&gt;="&amp;P1430),0)</f>
        <v>0</v>
      </c>
      <c r="Z1430" s="8" t="n">
        <f aca="false">(L1430-$K1430)^2</f>
        <v>0.990357357889</v>
      </c>
      <c r="AA1430" s="8" t="n">
        <f aca="false">(M1430-$K1430)^2</f>
        <v>0.008475595969</v>
      </c>
      <c r="AB1430" s="8" t="n">
        <f aca="false">(N1430-$K1430)^2</f>
        <v>0.010044248841</v>
      </c>
      <c r="AC1430" s="8" t="n">
        <f aca="false">(O1430-$K1430)^2</f>
        <v>0.011274829489</v>
      </c>
      <c r="AD1430" s="8" t="n">
        <f aca="false">(P1430-$K1430)^2</f>
        <v>0.011277165636</v>
      </c>
      <c r="AE1430" s="8" t="n">
        <f aca="false">MIN(INT(ROUND(N1430*1000000,0)/100000),9)</f>
        <v>1</v>
      </c>
      <c r="AF1430" s="8" t="n">
        <f aca="false">MIN(INT(ROUND(P1430*1000000,0)/100000),9)</f>
        <v>1</v>
      </c>
    </row>
    <row r="1431" customFormat="false" ht="15" hidden="false" customHeight="false" outlineLevel="0" collapsed="false">
      <c r="A1431" s="4" t="n">
        <v>1427</v>
      </c>
      <c r="B1431" s="4" t="n">
        <v>1545</v>
      </c>
      <c r="C1431" s="4" t="n">
        <v>3</v>
      </c>
      <c r="D1431" s="11" t="n">
        <v>46143</v>
      </c>
      <c r="E1431" s="4" t="s">
        <v>202</v>
      </c>
      <c r="F1431" s="4" t="s">
        <v>206</v>
      </c>
      <c r="G1431" s="4" t="n">
        <v>12</v>
      </c>
      <c r="H1431" s="4" t="n">
        <v>0</v>
      </c>
      <c r="I1431" s="4" t="n">
        <v>0</v>
      </c>
      <c r="J1431" s="4" t="n">
        <v>1443</v>
      </c>
      <c r="K1431" s="4" t="n">
        <v>0</v>
      </c>
      <c r="L1431" s="12" t="n">
        <v>0.919942</v>
      </c>
      <c r="M1431" s="12" t="n">
        <v>0.092063</v>
      </c>
      <c r="N1431" s="12" t="n">
        <v>0.056265</v>
      </c>
      <c r="O1431" s="12" t="n">
        <v>0.106183</v>
      </c>
      <c r="P1431" s="12" t="n">
        <v>0.058143</v>
      </c>
      <c r="Q1431" s="0" t="str">
        <f aca="false">IF(L1431&gt;=Models!$G$5,1+COUNTIF($L$5:$L$1517,"&gt;"&amp;L1431)+COUNTIFS($L$5:$L$1517,L1431,$B$5:$B$1517,"&lt;"&amp;B1431)+COUNTIFS($L$5:$L$1517,L1431,$B$5:$B$1517,B1431,$C$5:$C$1517,"&lt;"&amp;C1431),"")</f>
        <v/>
      </c>
      <c r="R1431" s="0" t="str">
        <f aca="false">IF(M1431&gt;=Models!$G$6,1+COUNTIF($M$5:$M$1517,"&gt;"&amp;M1431)+COUNTIFS($M$5:$M$1517,M1431,$B$5:$B$1517,"&lt;"&amp;B1431)+COUNTIFS($M$5:$M$1517,M1431,$B$5:$B$1517,B1431,$C$5:$C$1517,"&lt;"&amp;C1431),"")</f>
        <v/>
      </c>
      <c r="S1431" s="0" t="str">
        <f aca="false">IF(N1431&gt;=Models!$G$7,1+COUNTIF($N$5:$N$1517,"&gt;"&amp;N1431)+COUNTIFS($N$5:$N$1517,N1431,$B$5:$B$1517,"&lt;"&amp;B1431)+COUNTIFS($N$5:$N$1517,N1431,$B$5:$B$1517,B1431,$C$5:$C$1517,"&lt;"&amp;C1431),"")</f>
        <v/>
      </c>
      <c r="T1431" s="8" t="n">
        <f aca="false">IF(O1431&gt;=Models!$G$8,1+COUNTIF($O$5:$O$1517,"&gt;"&amp;O1431)+COUNTIFS($O$5:$O$1517,O1431,$B$5:$B$1517,"&lt;"&amp;B1431)+COUNTIFS($O$5:$O$1517,O1431,$B$5:$B$1517,B1431,$C$5:$C$1517,"&lt;"&amp;C1431),"")</f>
        <v>1309</v>
      </c>
      <c r="U1431" s="8" t="n">
        <f aca="false">IF($K1431=1,COUNTIFS($L$5:$L$1517,"&gt;="&amp;L1431,$K$5:$K$1517,1)/COUNTIF($L$5:$L$1517,"&gt;="&amp;L1431),0)</f>
        <v>0</v>
      </c>
      <c r="V1431" s="8" t="n">
        <f aca="false">IF($K1431=1,COUNTIFS($M$5:$M$1517,"&gt;="&amp;M1431,$K$5:$K$1517,1)/COUNTIF($M$5:$M$1517,"&gt;="&amp;M1431),0)</f>
        <v>0</v>
      </c>
      <c r="W1431" s="8" t="n">
        <f aca="false">IF($K1431=1,COUNTIFS($N$5:$N$1517,"&gt;="&amp;N1431,$K$5:$K$1517,1)/COUNTIF($N$5:$N$1517,"&gt;="&amp;N1431),0)</f>
        <v>0</v>
      </c>
      <c r="X1431" s="8" t="n">
        <f aca="false">IF($K1431=1,COUNTIFS($O$5:$O$1517,"&gt;="&amp;O1431,$K$5:$K$1517,1)/COUNTIF($O$5:$O$1517,"&gt;="&amp;O1431),0)</f>
        <v>0</v>
      </c>
      <c r="Y1431" s="8" t="n">
        <f aca="false">IF($K1431=1,COUNTIFS($P$5:$P$1517,"&gt;="&amp;P1431,$K$5:$K$1517,1)/COUNTIF($P$5:$P$1517,"&gt;="&amp;P1431),0)</f>
        <v>0</v>
      </c>
      <c r="Z1431" s="8" t="n">
        <f aca="false">(L1431-$K1431)^2</f>
        <v>0.846293283364</v>
      </c>
      <c r="AA1431" s="8" t="n">
        <f aca="false">(M1431-$K1431)^2</f>
        <v>0.008475595969</v>
      </c>
      <c r="AB1431" s="8" t="n">
        <f aca="false">(N1431-$K1431)^2</f>
        <v>0.003165750225</v>
      </c>
      <c r="AC1431" s="8" t="n">
        <f aca="false">(O1431-$K1431)^2</f>
        <v>0.011274829489</v>
      </c>
      <c r="AD1431" s="8" t="n">
        <f aca="false">(P1431-$K1431)^2</f>
        <v>0.003380608449</v>
      </c>
      <c r="AE1431" s="8" t="n">
        <f aca="false">MIN(INT(ROUND(N1431*1000000,0)/100000),9)</f>
        <v>0</v>
      </c>
      <c r="AF1431" s="8" t="n">
        <f aca="false">MIN(INT(ROUND(P1431*1000000,0)/100000),9)</f>
        <v>0</v>
      </c>
    </row>
    <row r="1432" customFormat="false" ht="15" hidden="false" customHeight="false" outlineLevel="0" collapsed="false">
      <c r="A1432" s="4" t="n">
        <v>1428</v>
      </c>
      <c r="B1432" s="4" t="n">
        <v>1548</v>
      </c>
      <c r="C1432" s="4" t="n">
        <v>3</v>
      </c>
      <c r="D1432" s="11" t="n">
        <v>46143</v>
      </c>
      <c r="E1432" s="4" t="s">
        <v>202</v>
      </c>
      <c r="F1432" s="4" t="s">
        <v>208</v>
      </c>
      <c r="G1432" s="4" t="n">
        <v>3</v>
      </c>
      <c r="H1432" s="4" t="n">
        <v>1</v>
      </c>
      <c r="I1432" s="4" t="n">
        <v>0</v>
      </c>
      <c r="J1432" s="4" t="n">
        <v>1614</v>
      </c>
      <c r="K1432" s="4" t="n">
        <v>0</v>
      </c>
      <c r="L1432" s="12" t="n">
        <v>0.187407</v>
      </c>
      <c r="M1432" s="12" t="n">
        <v>0.092063</v>
      </c>
      <c r="N1432" s="12" t="n">
        <v>0.117994</v>
      </c>
      <c r="O1432" s="12" t="n">
        <v>0.106183</v>
      </c>
      <c r="P1432" s="12" t="n">
        <v>0.125835</v>
      </c>
      <c r="Q1432" s="0" t="str">
        <f aca="false">IF(L1432&gt;=Models!$G$5,1+COUNTIF($L$5:$L$1517,"&gt;"&amp;L1432)+COUNTIFS($L$5:$L$1517,L1432,$B$5:$B$1517,"&lt;"&amp;B1432)+COUNTIFS($L$5:$L$1517,L1432,$B$5:$B$1517,B1432,$C$5:$C$1517,"&lt;"&amp;C1432),"")</f>
        <v/>
      </c>
      <c r="R1432" s="0" t="str">
        <f aca="false">IF(M1432&gt;=Models!$G$6,1+COUNTIF($M$5:$M$1517,"&gt;"&amp;M1432)+COUNTIFS($M$5:$M$1517,M1432,$B$5:$B$1517,"&lt;"&amp;B1432)+COUNTIFS($M$5:$M$1517,M1432,$B$5:$B$1517,B1432,$C$5:$C$1517,"&lt;"&amp;C1432),"")</f>
        <v/>
      </c>
      <c r="S1432" s="0" t="str">
        <f aca="false">IF(N1432&gt;=Models!$G$7,1+COUNTIF($N$5:$N$1517,"&gt;"&amp;N1432)+COUNTIFS($N$5:$N$1517,N1432,$B$5:$B$1517,"&lt;"&amp;B1432)+COUNTIFS($N$5:$N$1517,N1432,$B$5:$B$1517,B1432,$C$5:$C$1517,"&lt;"&amp;C1432),"")</f>
        <v/>
      </c>
      <c r="T1432" s="8" t="n">
        <f aca="false">IF(O1432&gt;=Models!$G$8,1+COUNTIF($O$5:$O$1517,"&gt;"&amp;O1432)+COUNTIFS($O$5:$O$1517,O1432,$B$5:$B$1517,"&lt;"&amp;B1432)+COUNTIFS($O$5:$O$1517,O1432,$B$5:$B$1517,B1432,$C$5:$C$1517,"&lt;"&amp;C1432),"")</f>
        <v>1313</v>
      </c>
      <c r="U1432" s="8" t="n">
        <f aca="false">IF($K1432=1,COUNTIFS($L$5:$L$1517,"&gt;="&amp;L1432,$K$5:$K$1517,1)/COUNTIF($L$5:$L$1517,"&gt;="&amp;L1432),0)</f>
        <v>0</v>
      </c>
      <c r="V1432" s="8" t="n">
        <f aca="false">IF($K1432=1,COUNTIFS($M$5:$M$1517,"&gt;="&amp;M1432,$K$5:$K$1517,1)/COUNTIF($M$5:$M$1517,"&gt;="&amp;M1432),0)</f>
        <v>0</v>
      </c>
      <c r="W1432" s="8" t="n">
        <f aca="false">IF($K1432=1,COUNTIFS($N$5:$N$1517,"&gt;="&amp;N1432,$K$5:$K$1517,1)/COUNTIF($N$5:$N$1517,"&gt;="&amp;N1432),0)</f>
        <v>0</v>
      </c>
      <c r="X1432" s="8" t="n">
        <f aca="false">IF($K1432=1,COUNTIFS($O$5:$O$1517,"&gt;="&amp;O1432,$K$5:$K$1517,1)/COUNTIF($O$5:$O$1517,"&gt;="&amp;O1432),0)</f>
        <v>0</v>
      </c>
      <c r="Y1432" s="8" t="n">
        <f aca="false">IF($K1432=1,COUNTIFS($P$5:$P$1517,"&gt;="&amp;P1432,$K$5:$K$1517,1)/COUNTIF($P$5:$P$1517,"&gt;="&amp;P1432),0)</f>
        <v>0</v>
      </c>
      <c r="Z1432" s="8" t="n">
        <f aca="false">(L1432-$K1432)^2</f>
        <v>0.035121383649</v>
      </c>
      <c r="AA1432" s="8" t="n">
        <f aca="false">(M1432-$K1432)^2</f>
        <v>0.008475595969</v>
      </c>
      <c r="AB1432" s="8" t="n">
        <f aca="false">(N1432-$K1432)^2</f>
        <v>0.013922584036</v>
      </c>
      <c r="AC1432" s="8" t="n">
        <f aca="false">(O1432-$K1432)^2</f>
        <v>0.011274829489</v>
      </c>
      <c r="AD1432" s="8" t="n">
        <f aca="false">(P1432-$K1432)^2</f>
        <v>0.015834447225</v>
      </c>
      <c r="AE1432" s="8" t="n">
        <f aca="false">MIN(INT(ROUND(N1432*1000000,0)/100000),9)</f>
        <v>1</v>
      </c>
      <c r="AF1432" s="8" t="n">
        <f aca="false">MIN(INT(ROUND(P1432*1000000,0)/100000),9)</f>
        <v>1</v>
      </c>
    </row>
    <row r="1433" customFormat="false" ht="15" hidden="false" customHeight="false" outlineLevel="0" collapsed="false">
      <c r="A1433" s="4" t="n">
        <v>1429</v>
      </c>
      <c r="B1433" s="4" t="n">
        <v>1552</v>
      </c>
      <c r="C1433" s="4" t="n">
        <v>3</v>
      </c>
      <c r="D1433" s="11" t="n">
        <v>46143</v>
      </c>
      <c r="E1433" s="4" t="s">
        <v>202</v>
      </c>
      <c r="F1433" s="4" t="s">
        <v>206</v>
      </c>
      <c r="G1433" s="4" t="n">
        <v>9</v>
      </c>
      <c r="H1433" s="4" t="n">
        <v>2</v>
      </c>
      <c r="I1433" s="4" t="n">
        <v>0</v>
      </c>
      <c r="J1433" s="4" t="n">
        <v>1197</v>
      </c>
      <c r="K1433" s="4" t="n">
        <v>0</v>
      </c>
      <c r="L1433" s="12" t="n">
        <v>0.972727</v>
      </c>
      <c r="M1433" s="12" t="n">
        <v>0.092063</v>
      </c>
      <c r="N1433" s="12" t="n">
        <v>0.074529</v>
      </c>
      <c r="O1433" s="12" t="n">
        <v>0.106183</v>
      </c>
      <c r="P1433" s="12" t="n">
        <v>0.077989</v>
      </c>
      <c r="Q1433" s="0" t="str">
        <f aca="false">IF(L1433&gt;=Models!$G$5,1+COUNTIF($L$5:$L$1517,"&gt;"&amp;L1433)+COUNTIFS($L$5:$L$1517,L1433,$B$5:$B$1517,"&lt;"&amp;B1433)+COUNTIFS($L$5:$L$1517,L1433,$B$5:$B$1517,B1433,$C$5:$C$1517,"&lt;"&amp;C1433),"")</f>
        <v/>
      </c>
      <c r="R1433" s="0" t="str">
        <f aca="false">IF(M1433&gt;=Models!$G$6,1+COUNTIF($M$5:$M$1517,"&gt;"&amp;M1433)+COUNTIFS($M$5:$M$1517,M1433,$B$5:$B$1517,"&lt;"&amp;B1433)+COUNTIFS($M$5:$M$1517,M1433,$B$5:$B$1517,B1433,$C$5:$C$1517,"&lt;"&amp;C1433),"")</f>
        <v/>
      </c>
      <c r="S1433" s="0" t="str">
        <f aca="false">IF(N1433&gt;=Models!$G$7,1+COUNTIF($N$5:$N$1517,"&gt;"&amp;N1433)+COUNTIFS($N$5:$N$1517,N1433,$B$5:$B$1517,"&lt;"&amp;B1433)+COUNTIFS($N$5:$N$1517,N1433,$B$5:$B$1517,B1433,$C$5:$C$1517,"&lt;"&amp;C1433),"")</f>
        <v/>
      </c>
      <c r="T1433" s="8" t="n">
        <f aca="false">IF(O1433&gt;=Models!$G$8,1+COUNTIF($O$5:$O$1517,"&gt;"&amp;O1433)+COUNTIFS($O$5:$O$1517,O1433,$B$5:$B$1517,"&lt;"&amp;B1433)+COUNTIFS($O$5:$O$1517,O1433,$B$5:$B$1517,B1433,$C$5:$C$1517,"&lt;"&amp;C1433),"")</f>
        <v>1317</v>
      </c>
      <c r="U1433" s="8" t="n">
        <f aca="false">IF($K1433=1,COUNTIFS($L$5:$L$1517,"&gt;="&amp;L1433,$K$5:$K$1517,1)/COUNTIF($L$5:$L$1517,"&gt;="&amp;L1433),0)</f>
        <v>0</v>
      </c>
      <c r="V1433" s="8" t="n">
        <f aca="false">IF($K1433=1,COUNTIFS($M$5:$M$1517,"&gt;="&amp;M1433,$K$5:$K$1517,1)/COUNTIF($M$5:$M$1517,"&gt;="&amp;M1433),0)</f>
        <v>0</v>
      </c>
      <c r="W1433" s="8" t="n">
        <f aca="false">IF($K1433=1,COUNTIFS($N$5:$N$1517,"&gt;="&amp;N1433,$K$5:$K$1517,1)/COUNTIF($N$5:$N$1517,"&gt;="&amp;N1433),0)</f>
        <v>0</v>
      </c>
      <c r="X1433" s="8" t="n">
        <f aca="false">IF($K1433=1,COUNTIFS($O$5:$O$1517,"&gt;="&amp;O1433,$K$5:$K$1517,1)/COUNTIF($O$5:$O$1517,"&gt;="&amp;O1433),0)</f>
        <v>0</v>
      </c>
      <c r="Y1433" s="8" t="n">
        <f aca="false">IF($K1433=1,COUNTIFS($P$5:$P$1517,"&gt;="&amp;P1433,$K$5:$K$1517,1)/COUNTIF($P$5:$P$1517,"&gt;="&amp;P1433),0)</f>
        <v>0</v>
      </c>
      <c r="Z1433" s="8" t="n">
        <f aca="false">(L1433-$K1433)^2</f>
        <v>0.946197816529</v>
      </c>
      <c r="AA1433" s="8" t="n">
        <f aca="false">(M1433-$K1433)^2</f>
        <v>0.008475595969</v>
      </c>
      <c r="AB1433" s="8" t="n">
        <f aca="false">(N1433-$K1433)^2</f>
        <v>0.005554571841</v>
      </c>
      <c r="AC1433" s="8" t="n">
        <f aca="false">(O1433-$K1433)^2</f>
        <v>0.011274829489</v>
      </c>
      <c r="AD1433" s="8" t="n">
        <f aca="false">(P1433-$K1433)^2</f>
        <v>0.006082284121</v>
      </c>
      <c r="AE1433" s="8" t="n">
        <f aca="false">MIN(INT(ROUND(N1433*1000000,0)/100000),9)</f>
        <v>0</v>
      </c>
      <c r="AF1433" s="8" t="n">
        <f aca="false">MIN(INT(ROUND(P1433*1000000,0)/100000),9)</f>
        <v>0</v>
      </c>
    </row>
    <row r="1434" customFormat="false" ht="15" hidden="false" customHeight="false" outlineLevel="0" collapsed="false">
      <c r="A1434" s="4" t="n">
        <v>1430</v>
      </c>
      <c r="B1434" s="4" t="n">
        <v>1553</v>
      </c>
      <c r="C1434" s="4" t="n">
        <v>3</v>
      </c>
      <c r="D1434" s="11" t="n">
        <v>46143</v>
      </c>
      <c r="E1434" s="4" t="s">
        <v>202</v>
      </c>
      <c r="F1434" s="4" t="s">
        <v>206</v>
      </c>
      <c r="G1434" s="4" t="n">
        <v>12</v>
      </c>
      <c r="H1434" s="4" t="n">
        <v>5</v>
      </c>
      <c r="I1434" s="4" t="n">
        <v>0</v>
      </c>
      <c r="J1434" s="4"/>
      <c r="K1434" s="4" t="n">
        <v>0</v>
      </c>
      <c r="L1434" s="12" t="n">
        <v>0.755926</v>
      </c>
      <c r="M1434" s="12" t="n">
        <v>0.092063</v>
      </c>
      <c r="N1434" s="12" t="n">
        <v>0.030717</v>
      </c>
      <c r="O1434" s="12" t="n">
        <v>0.106183</v>
      </c>
      <c r="P1434" s="12" t="n">
        <v>0.030859</v>
      </c>
      <c r="Q1434" s="0" t="str">
        <f aca="false">IF(L1434&gt;=Models!$G$5,1+COUNTIF($L$5:$L$1517,"&gt;"&amp;L1434)+COUNTIFS($L$5:$L$1517,L1434,$B$5:$B$1517,"&lt;"&amp;B1434)+COUNTIFS($L$5:$L$1517,L1434,$B$5:$B$1517,B1434,$C$5:$C$1517,"&lt;"&amp;C1434),"")</f>
        <v/>
      </c>
      <c r="R1434" s="0" t="str">
        <f aca="false">IF(M1434&gt;=Models!$G$6,1+COUNTIF($M$5:$M$1517,"&gt;"&amp;M1434)+COUNTIFS($M$5:$M$1517,M1434,$B$5:$B$1517,"&lt;"&amp;B1434)+COUNTIFS($M$5:$M$1517,M1434,$B$5:$B$1517,B1434,$C$5:$C$1517,"&lt;"&amp;C1434),"")</f>
        <v/>
      </c>
      <c r="S1434" s="0" t="str">
        <f aca="false">IF(N1434&gt;=Models!$G$7,1+COUNTIF($N$5:$N$1517,"&gt;"&amp;N1434)+COUNTIFS($N$5:$N$1517,N1434,$B$5:$B$1517,"&lt;"&amp;B1434)+COUNTIFS($N$5:$N$1517,N1434,$B$5:$B$1517,B1434,$C$5:$C$1517,"&lt;"&amp;C1434),"")</f>
        <v/>
      </c>
      <c r="T1434" s="8" t="n">
        <f aca="false">IF(O1434&gt;=Models!$G$8,1+COUNTIF($O$5:$O$1517,"&gt;"&amp;O1434)+COUNTIFS($O$5:$O$1517,O1434,$B$5:$B$1517,"&lt;"&amp;B1434)+COUNTIFS($O$5:$O$1517,O1434,$B$5:$B$1517,B1434,$C$5:$C$1517,"&lt;"&amp;C1434),"")</f>
        <v>1321</v>
      </c>
      <c r="U1434" s="8" t="n">
        <f aca="false">IF($K1434=1,COUNTIFS($L$5:$L$1517,"&gt;="&amp;L1434,$K$5:$K$1517,1)/COUNTIF($L$5:$L$1517,"&gt;="&amp;L1434),0)</f>
        <v>0</v>
      </c>
      <c r="V1434" s="8" t="n">
        <f aca="false">IF($K1434=1,COUNTIFS($M$5:$M$1517,"&gt;="&amp;M1434,$K$5:$K$1517,1)/COUNTIF($M$5:$M$1517,"&gt;="&amp;M1434),0)</f>
        <v>0</v>
      </c>
      <c r="W1434" s="8" t="n">
        <f aca="false">IF($K1434=1,COUNTIFS($N$5:$N$1517,"&gt;="&amp;N1434,$K$5:$K$1517,1)/COUNTIF($N$5:$N$1517,"&gt;="&amp;N1434),0)</f>
        <v>0</v>
      </c>
      <c r="X1434" s="8" t="n">
        <f aca="false">IF($K1434=1,COUNTIFS($O$5:$O$1517,"&gt;="&amp;O1434,$K$5:$K$1517,1)/COUNTIF($O$5:$O$1517,"&gt;="&amp;O1434),0)</f>
        <v>0</v>
      </c>
      <c r="Y1434" s="8" t="n">
        <f aca="false">IF($K1434=1,COUNTIFS($P$5:$P$1517,"&gt;="&amp;P1434,$K$5:$K$1517,1)/COUNTIF($P$5:$P$1517,"&gt;="&amp;P1434),0)</f>
        <v>0</v>
      </c>
      <c r="Z1434" s="8" t="n">
        <f aca="false">(L1434-$K1434)^2</f>
        <v>0.571424117476</v>
      </c>
      <c r="AA1434" s="8" t="n">
        <f aca="false">(M1434-$K1434)^2</f>
        <v>0.008475595969</v>
      </c>
      <c r="AB1434" s="8" t="n">
        <f aca="false">(N1434-$K1434)^2</f>
        <v>0.000943534089</v>
      </c>
      <c r="AC1434" s="8" t="n">
        <f aca="false">(O1434-$K1434)^2</f>
        <v>0.011274829489</v>
      </c>
      <c r="AD1434" s="8" t="n">
        <f aca="false">(P1434-$K1434)^2</f>
        <v>0.000952277881</v>
      </c>
      <c r="AE1434" s="8" t="n">
        <f aca="false">MIN(INT(ROUND(N1434*1000000,0)/100000),9)</f>
        <v>0</v>
      </c>
      <c r="AF1434" s="8" t="n">
        <f aca="false">MIN(INT(ROUND(P1434*1000000,0)/100000),9)</f>
        <v>0</v>
      </c>
    </row>
    <row r="1435" customFormat="false" ht="15" hidden="false" customHeight="false" outlineLevel="0" collapsed="false">
      <c r="A1435" s="4" t="n">
        <v>1431</v>
      </c>
      <c r="B1435" s="4" t="n">
        <v>1556</v>
      </c>
      <c r="C1435" s="4" t="n">
        <v>3</v>
      </c>
      <c r="D1435" s="11" t="n">
        <v>46143</v>
      </c>
      <c r="E1435" s="4" t="s">
        <v>202</v>
      </c>
      <c r="F1435" s="4" t="s">
        <v>209</v>
      </c>
      <c r="G1435" s="4" t="n">
        <v>11</v>
      </c>
      <c r="H1435" s="4" t="n">
        <v>2</v>
      </c>
      <c r="I1435" s="4" t="n">
        <v>0</v>
      </c>
      <c r="J1435" s="4" t="n">
        <v>1455</v>
      </c>
      <c r="K1435" s="4" t="n">
        <v>1</v>
      </c>
      <c r="L1435" s="12" t="n">
        <v>0.512968</v>
      </c>
      <c r="M1435" s="12" t="n">
        <v>0.092063</v>
      </c>
      <c r="N1435" s="12" t="n">
        <v>0.062148</v>
      </c>
      <c r="O1435" s="12" t="n">
        <v>0.106183</v>
      </c>
      <c r="P1435" s="12" t="n">
        <v>0.064511</v>
      </c>
      <c r="Q1435" s="0" t="str">
        <f aca="false">IF(L1435&gt;=Models!$G$5,1+COUNTIF($L$5:$L$1517,"&gt;"&amp;L1435)+COUNTIFS($L$5:$L$1517,L1435,$B$5:$B$1517,"&lt;"&amp;B1435)+COUNTIFS($L$5:$L$1517,L1435,$B$5:$B$1517,B1435,$C$5:$C$1517,"&lt;"&amp;C1435),"")</f>
        <v/>
      </c>
      <c r="R1435" s="0" t="str">
        <f aca="false">IF(M1435&gt;=Models!$G$6,1+COUNTIF($M$5:$M$1517,"&gt;"&amp;M1435)+COUNTIFS($M$5:$M$1517,M1435,$B$5:$B$1517,"&lt;"&amp;B1435)+COUNTIFS($M$5:$M$1517,M1435,$B$5:$B$1517,B1435,$C$5:$C$1517,"&lt;"&amp;C1435),"")</f>
        <v/>
      </c>
      <c r="S1435" s="0" t="str">
        <f aca="false">IF(N1435&gt;=Models!$G$7,1+COUNTIF($N$5:$N$1517,"&gt;"&amp;N1435)+COUNTIFS($N$5:$N$1517,N1435,$B$5:$B$1517,"&lt;"&amp;B1435)+COUNTIFS($N$5:$N$1517,N1435,$B$5:$B$1517,B1435,$C$5:$C$1517,"&lt;"&amp;C1435),"")</f>
        <v/>
      </c>
      <c r="T1435" s="8" t="n">
        <f aca="false">IF(O1435&gt;=Models!$G$8,1+COUNTIF($O$5:$O$1517,"&gt;"&amp;O1435)+COUNTIFS($O$5:$O$1517,O1435,$B$5:$B$1517,"&lt;"&amp;B1435)+COUNTIFS($O$5:$O$1517,O1435,$B$5:$B$1517,B1435,$C$5:$C$1517,"&lt;"&amp;C1435),"")</f>
        <v>1325</v>
      </c>
      <c r="U1435" s="8" t="n">
        <f aca="false">IF($K1435=1,COUNTIFS($L$5:$L$1517,"&gt;="&amp;L1435,$K$5:$K$1517,1)/COUNTIF($L$5:$L$1517,"&gt;="&amp;L1435),0)</f>
        <v>0.119341563786008</v>
      </c>
      <c r="V1435" s="8" t="n">
        <f aca="false">IF($K1435=1,COUNTIFS($M$5:$M$1517,"&gt;="&amp;M1435,$K$5:$K$1517,1)/COUNTIF($M$5:$M$1517,"&gt;="&amp;M1435),0)</f>
        <v>0.12491738268341</v>
      </c>
      <c r="W1435" s="8" t="n">
        <f aca="false">IF($K1435=1,COUNTIFS($N$5:$N$1517,"&gt;="&amp;N1435,$K$5:$K$1517,1)/COUNTIF($N$5:$N$1517,"&gt;="&amp;N1435),0)</f>
        <v>0.1585482330468</v>
      </c>
      <c r="X1435" s="8" t="n">
        <f aca="false">IF($K1435=1,COUNTIFS($O$5:$O$1517,"&gt;="&amp;O1435,$K$5:$K$1517,1)/COUNTIF($O$5:$O$1517,"&gt;="&amp;O1435),0)</f>
        <v>0.12491738268341</v>
      </c>
      <c r="Y1435" s="8" t="n">
        <f aca="false">IF($K1435=1,COUNTIFS($P$5:$P$1517,"&gt;="&amp;P1435,$K$5:$K$1517,1)/COUNTIF($P$5:$P$1517,"&gt;="&amp;P1435),0)</f>
        <v>0.1585482330468</v>
      </c>
      <c r="Z1435" s="8" t="n">
        <f aca="false">(L1435-$K1435)^2</f>
        <v>0.237200169024</v>
      </c>
      <c r="AA1435" s="8" t="n">
        <f aca="false">(M1435-$K1435)^2</f>
        <v>0.824349595969</v>
      </c>
      <c r="AB1435" s="8" t="n">
        <f aca="false">(N1435-$K1435)^2</f>
        <v>0.879566373904</v>
      </c>
      <c r="AC1435" s="8" t="n">
        <f aca="false">(O1435-$K1435)^2</f>
        <v>0.798908829489</v>
      </c>
      <c r="AD1435" s="8" t="n">
        <f aca="false">(P1435-$K1435)^2</f>
        <v>0.875139669121</v>
      </c>
      <c r="AE1435" s="8" t="n">
        <f aca="false">MIN(INT(ROUND(N1435*1000000,0)/100000),9)</f>
        <v>0</v>
      </c>
      <c r="AF1435" s="8" t="n">
        <f aca="false">MIN(INT(ROUND(P1435*1000000,0)/100000),9)</f>
        <v>0</v>
      </c>
    </row>
    <row r="1436" customFormat="false" ht="15" hidden="false" customHeight="false" outlineLevel="0" collapsed="false">
      <c r="A1436" s="4" t="n">
        <v>1432</v>
      </c>
      <c r="B1436" s="4" t="n">
        <v>1558</v>
      </c>
      <c r="C1436" s="4" t="n">
        <v>3</v>
      </c>
      <c r="D1436" s="11" t="n">
        <v>46143</v>
      </c>
      <c r="E1436" s="4" t="s">
        <v>203</v>
      </c>
      <c r="F1436" s="4" t="s">
        <v>208</v>
      </c>
      <c r="G1436" s="4" t="n">
        <v>1</v>
      </c>
      <c r="H1436" s="4" t="n">
        <v>27</v>
      </c>
      <c r="I1436" s="4" t="n">
        <v>0</v>
      </c>
      <c r="J1436" s="4"/>
      <c r="K1436" s="4" t="n">
        <v>0</v>
      </c>
      <c r="L1436" s="12" t="n">
        <v>0.551185</v>
      </c>
      <c r="M1436" s="12" t="n">
        <v>0.092063</v>
      </c>
      <c r="N1436" s="12" t="n">
        <v>0.092663</v>
      </c>
      <c r="O1436" s="12" t="n">
        <v>0.106183</v>
      </c>
      <c r="P1436" s="12" t="n">
        <v>0.097869</v>
      </c>
      <c r="Q1436" s="0" t="str">
        <f aca="false">IF(L1436&gt;=Models!$G$5,1+COUNTIF($L$5:$L$1517,"&gt;"&amp;L1436)+COUNTIFS($L$5:$L$1517,L1436,$B$5:$B$1517,"&lt;"&amp;B1436)+COUNTIFS($L$5:$L$1517,L1436,$B$5:$B$1517,B1436,$C$5:$C$1517,"&lt;"&amp;C1436),"")</f>
        <v/>
      </c>
      <c r="R1436" s="0" t="str">
        <f aca="false">IF(M1436&gt;=Models!$G$6,1+COUNTIF($M$5:$M$1517,"&gt;"&amp;M1436)+COUNTIFS($M$5:$M$1517,M1436,$B$5:$B$1517,"&lt;"&amp;B1436)+COUNTIFS($M$5:$M$1517,M1436,$B$5:$B$1517,B1436,$C$5:$C$1517,"&lt;"&amp;C1436),"")</f>
        <v/>
      </c>
      <c r="S1436" s="0" t="str">
        <f aca="false">IF(N1436&gt;=Models!$G$7,1+COUNTIF($N$5:$N$1517,"&gt;"&amp;N1436)+COUNTIFS($N$5:$N$1517,N1436,$B$5:$B$1517,"&lt;"&amp;B1436)+COUNTIFS($N$5:$N$1517,N1436,$B$5:$B$1517,B1436,$C$5:$C$1517,"&lt;"&amp;C1436),"")</f>
        <v/>
      </c>
      <c r="T1436" s="8" t="n">
        <f aca="false">IF(O1436&gt;=Models!$G$8,1+COUNTIF($O$5:$O$1517,"&gt;"&amp;O1436)+COUNTIFS($O$5:$O$1517,O1436,$B$5:$B$1517,"&lt;"&amp;B1436)+COUNTIFS($O$5:$O$1517,O1436,$B$5:$B$1517,B1436,$C$5:$C$1517,"&lt;"&amp;C1436),"")</f>
        <v>1329</v>
      </c>
      <c r="U1436" s="8" t="n">
        <f aca="false">IF($K1436=1,COUNTIFS($L$5:$L$1517,"&gt;="&amp;L1436,$K$5:$K$1517,1)/COUNTIF($L$5:$L$1517,"&gt;="&amp;L1436),0)</f>
        <v>0</v>
      </c>
      <c r="V1436" s="8" t="n">
        <f aca="false">IF($K1436=1,COUNTIFS($M$5:$M$1517,"&gt;="&amp;M1436,$K$5:$K$1517,1)/COUNTIF($M$5:$M$1517,"&gt;="&amp;M1436),0)</f>
        <v>0</v>
      </c>
      <c r="W1436" s="8" t="n">
        <f aca="false">IF($K1436=1,COUNTIFS($N$5:$N$1517,"&gt;="&amp;N1436,$K$5:$K$1517,1)/COUNTIF($N$5:$N$1517,"&gt;="&amp;N1436),0)</f>
        <v>0</v>
      </c>
      <c r="X1436" s="8" t="n">
        <f aca="false">IF($K1436=1,COUNTIFS($O$5:$O$1517,"&gt;="&amp;O1436,$K$5:$K$1517,1)/COUNTIF($O$5:$O$1517,"&gt;="&amp;O1436),0)</f>
        <v>0</v>
      </c>
      <c r="Y1436" s="8" t="n">
        <f aca="false">IF($K1436=1,COUNTIFS($P$5:$P$1517,"&gt;="&amp;P1436,$K$5:$K$1517,1)/COUNTIF($P$5:$P$1517,"&gt;="&amp;P1436),0)</f>
        <v>0</v>
      </c>
      <c r="Z1436" s="8" t="n">
        <f aca="false">(L1436-$K1436)^2</f>
        <v>0.303804904225</v>
      </c>
      <c r="AA1436" s="8" t="n">
        <f aca="false">(M1436-$K1436)^2</f>
        <v>0.008475595969</v>
      </c>
      <c r="AB1436" s="8" t="n">
        <f aca="false">(N1436-$K1436)^2</f>
        <v>0.008586431569</v>
      </c>
      <c r="AC1436" s="8" t="n">
        <f aca="false">(O1436-$K1436)^2</f>
        <v>0.011274829489</v>
      </c>
      <c r="AD1436" s="8" t="n">
        <f aca="false">(P1436-$K1436)^2</f>
        <v>0.009578341161</v>
      </c>
      <c r="AE1436" s="8" t="n">
        <f aca="false">MIN(INT(ROUND(N1436*1000000,0)/100000),9)</f>
        <v>0</v>
      </c>
      <c r="AF1436" s="8" t="n">
        <f aca="false">MIN(INT(ROUND(P1436*1000000,0)/100000),9)</f>
        <v>0</v>
      </c>
    </row>
    <row r="1437" customFormat="false" ht="15" hidden="false" customHeight="false" outlineLevel="0" collapsed="false">
      <c r="A1437" s="4" t="n">
        <v>1433</v>
      </c>
      <c r="B1437" s="4" t="n">
        <v>1563</v>
      </c>
      <c r="C1437" s="4" t="n">
        <v>3</v>
      </c>
      <c r="D1437" s="11" t="n">
        <v>46143</v>
      </c>
      <c r="E1437" s="4" t="s">
        <v>204</v>
      </c>
      <c r="F1437" s="4" t="s">
        <v>206</v>
      </c>
      <c r="G1437" s="4" t="n">
        <v>4</v>
      </c>
      <c r="H1437" s="4" t="n">
        <v>6</v>
      </c>
      <c r="I1437" s="4" t="n">
        <v>0</v>
      </c>
      <c r="J1437" s="4" t="n">
        <v>108</v>
      </c>
      <c r="K1437" s="4" t="n">
        <v>1</v>
      </c>
      <c r="L1437" s="12" t="n">
        <v>0.415834</v>
      </c>
      <c r="M1437" s="12" t="n">
        <v>0.092063</v>
      </c>
      <c r="N1437" s="12" t="n">
        <v>0.122053</v>
      </c>
      <c r="O1437" s="12" t="n">
        <v>0.106183</v>
      </c>
      <c r="P1437" s="12" t="n">
        <v>0.130331</v>
      </c>
      <c r="Q1437" s="0" t="str">
        <f aca="false">IF(L1437&gt;=Models!$G$5,1+COUNTIF($L$5:$L$1517,"&gt;"&amp;L1437)+COUNTIFS($L$5:$L$1517,L1437,$B$5:$B$1517,"&lt;"&amp;B1437)+COUNTIFS($L$5:$L$1517,L1437,$B$5:$B$1517,B1437,$C$5:$C$1517,"&lt;"&amp;C1437),"")</f>
        <v/>
      </c>
      <c r="R1437" s="0" t="str">
        <f aca="false">IF(M1437&gt;=Models!$G$6,1+COUNTIF($M$5:$M$1517,"&gt;"&amp;M1437)+COUNTIFS($M$5:$M$1517,M1437,$B$5:$B$1517,"&lt;"&amp;B1437)+COUNTIFS($M$5:$M$1517,M1437,$B$5:$B$1517,B1437,$C$5:$C$1517,"&lt;"&amp;C1437),"")</f>
        <v/>
      </c>
      <c r="S1437" s="0" t="str">
        <f aca="false">IF(N1437&gt;=Models!$G$7,1+COUNTIF($N$5:$N$1517,"&gt;"&amp;N1437)+COUNTIFS($N$5:$N$1517,N1437,$B$5:$B$1517,"&lt;"&amp;B1437)+COUNTIFS($N$5:$N$1517,N1437,$B$5:$B$1517,B1437,$C$5:$C$1517,"&lt;"&amp;C1437),"")</f>
        <v/>
      </c>
      <c r="T1437" s="8" t="n">
        <f aca="false">IF(O1437&gt;=Models!$G$8,1+COUNTIF($O$5:$O$1517,"&gt;"&amp;O1437)+COUNTIFS($O$5:$O$1517,O1437,$B$5:$B$1517,"&lt;"&amp;B1437)+COUNTIFS($O$5:$O$1517,O1437,$B$5:$B$1517,B1437,$C$5:$C$1517,"&lt;"&amp;C1437),"")</f>
        <v>1333</v>
      </c>
      <c r="U1437" s="8" t="n">
        <f aca="false">IF($K1437=1,COUNTIFS($L$5:$L$1517,"&gt;="&amp;L1437,$K$5:$K$1517,1)/COUNTIF($L$5:$L$1517,"&gt;="&amp;L1437),0)</f>
        <v>0.126291618828932</v>
      </c>
      <c r="V1437" s="8" t="n">
        <f aca="false">IF($K1437=1,COUNTIFS($M$5:$M$1517,"&gt;="&amp;M1437,$K$5:$K$1517,1)/COUNTIF($M$5:$M$1517,"&gt;="&amp;M1437),0)</f>
        <v>0.12491738268341</v>
      </c>
      <c r="W1437" s="8" t="n">
        <f aca="false">IF($K1437=1,COUNTIFS($N$5:$N$1517,"&gt;="&amp;N1437,$K$5:$K$1517,1)/COUNTIF($N$5:$N$1517,"&gt;="&amp;N1437),0)</f>
        <v>0.234090909090909</v>
      </c>
      <c r="X1437" s="8" t="n">
        <f aca="false">IF($K1437=1,COUNTIFS($O$5:$O$1517,"&gt;="&amp;O1437,$K$5:$K$1517,1)/COUNTIF($O$5:$O$1517,"&gt;="&amp;O1437),0)</f>
        <v>0.12491738268341</v>
      </c>
      <c r="Y1437" s="8" t="n">
        <f aca="false">IF($K1437=1,COUNTIFS($P$5:$P$1517,"&gt;="&amp;P1437,$K$5:$K$1517,1)/COUNTIF($P$5:$P$1517,"&gt;="&amp;P1437),0)</f>
        <v>0.234090909090909</v>
      </c>
      <c r="Z1437" s="8" t="n">
        <f aca="false">(L1437-$K1437)^2</f>
        <v>0.341249915556</v>
      </c>
      <c r="AA1437" s="8" t="n">
        <f aca="false">(M1437-$K1437)^2</f>
        <v>0.824349595969</v>
      </c>
      <c r="AB1437" s="8" t="n">
        <f aca="false">(N1437-$K1437)^2</f>
        <v>0.770790934809</v>
      </c>
      <c r="AC1437" s="8" t="n">
        <f aca="false">(O1437-$K1437)^2</f>
        <v>0.798908829489</v>
      </c>
      <c r="AD1437" s="8" t="n">
        <f aca="false">(P1437-$K1437)^2</f>
        <v>0.756324169561</v>
      </c>
      <c r="AE1437" s="8" t="n">
        <f aca="false">MIN(INT(ROUND(N1437*1000000,0)/100000),9)</f>
        <v>1</v>
      </c>
      <c r="AF1437" s="8" t="n">
        <f aca="false">MIN(INT(ROUND(P1437*1000000,0)/100000),9)</f>
        <v>1</v>
      </c>
    </row>
    <row r="1438" customFormat="false" ht="15" hidden="false" customHeight="false" outlineLevel="0" collapsed="false">
      <c r="A1438" s="4" t="n">
        <v>1434</v>
      </c>
      <c r="B1438" s="4" t="n">
        <v>1564</v>
      </c>
      <c r="C1438" s="4" t="n">
        <v>3</v>
      </c>
      <c r="D1438" s="11" t="n">
        <v>46143</v>
      </c>
      <c r="E1438" s="4" t="s">
        <v>203</v>
      </c>
      <c r="F1438" s="4" t="s">
        <v>206</v>
      </c>
      <c r="G1438" s="4" t="n">
        <v>2</v>
      </c>
      <c r="H1438" s="4" t="n">
        <v>21</v>
      </c>
      <c r="I1438" s="4" t="n">
        <v>0</v>
      </c>
      <c r="J1438" s="4"/>
      <c r="K1438" s="4" t="n">
        <v>0</v>
      </c>
      <c r="L1438" s="12" t="n">
        <v>0.84061</v>
      </c>
      <c r="M1438" s="12" t="n">
        <v>0.092063</v>
      </c>
      <c r="N1438" s="12" t="n">
        <v>0.081607</v>
      </c>
      <c r="O1438" s="12" t="n">
        <v>0.106183</v>
      </c>
      <c r="P1438" s="12" t="n">
        <v>0.085731</v>
      </c>
      <c r="Q1438" s="0" t="str">
        <f aca="false">IF(L1438&gt;=Models!$G$5,1+COUNTIF($L$5:$L$1517,"&gt;"&amp;L1438)+COUNTIFS($L$5:$L$1517,L1438,$B$5:$B$1517,"&lt;"&amp;B1438)+COUNTIFS($L$5:$L$1517,L1438,$B$5:$B$1517,B1438,$C$5:$C$1517,"&lt;"&amp;C1438),"")</f>
        <v/>
      </c>
      <c r="R1438" s="0" t="str">
        <f aca="false">IF(M1438&gt;=Models!$G$6,1+COUNTIF($M$5:$M$1517,"&gt;"&amp;M1438)+COUNTIFS($M$5:$M$1517,M1438,$B$5:$B$1517,"&lt;"&amp;B1438)+COUNTIFS($M$5:$M$1517,M1438,$B$5:$B$1517,B1438,$C$5:$C$1517,"&lt;"&amp;C1438),"")</f>
        <v/>
      </c>
      <c r="S1438" s="0" t="str">
        <f aca="false">IF(N1438&gt;=Models!$G$7,1+COUNTIF($N$5:$N$1517,"&gt;"&amp;N1438)+COUNTIFS($N$5:$N$1517,N1438,$B$5:$B$1517,"&lt;"&amp;B1438)+COUNTIFS($N$5:$N$1517,N1438,$B$5:$B$1517,B1438,$C$5:$C$1517,"&lt;"&amp;C1438),"")</f>
        <v/>
      </c>
      <c r="T1438" s="8" t="n">
        <f aca="false">IF(O1438&gt;=Models!$G$8,1+COUNTIF($O$5:$O$1517,"&gt;"&amp;O1438)+COUNTIFS($O$5:$O$1517,O1438,$B$5:$B$1517,"&lt;"&amp;B1438)+COUNTIFS($O$5:$O$1517,O1438,$B$5:$B$1517,B1438,$C$5:$C$1517,"&lt;"&amp;C1438),"")</f>
        <v>1337</v>
      </c>
      <c r="U1438" s="8" t="n">
        <f aca="false">IF($K1438=1,COUNTIFS($L$5:$L$1517,"&gt;="&amp;L1438,$K$5:$K$1517,1)/COUNTIF($L$5:$L$1517,"&gt;="&amp;L1438),0)</f>
        <v>0</v>
      </c>
      <c r="V1438" s="8" t="n">
        <f aca="false">IF($K1438=1,COUNTIFS($M$5:$M$1517,"&gt;="&amp;M1438,$K$5:$K$1517,1)/COUNTIF($M$5:$M$1517,"&gt;="&amp;M1438),0)</f>
        <v>0</v>
      </c>
      <c r="W1438" s="8" t="n">
        <f aca="false">IF($K1438=1,COUNTIFS($N$5:$N$1517,"&gt;="&amp;N1438,$K$5:$K$1517,1)/COUNTIF($N$5:$N$1517,"&gt;="&amp;N1438),0)</f>
        <v>0</v>
      </c>
      <c r="X1438" s="8" t="n">
        <f aca="false">IF($K1438=1,COUNTIFS($O$5:$O$1517,"&gt;="&amp;O1438,$K$5:$K$1517,1)/COUNTIF($O$5:$O$1517,"&gt;="&amp;O1438),0)</f>
        <v>0</v>
      </c>
      <c r="Y1438" s="8" t="n">
        <f aca="false">IF($K1438=1,COUNTIFS($P$5:$P$1517,"&gt;="&amp;P1438,$K$5:$K$1517,1)/COUNTIF($P$5:$P$1517,"&gt;="&amp;P1438),0)</f>
        <v>0</v>
      </c>
      <c r="Z1438" s="8" t="n">
        <f aca="false">(L1438-$K1438)^2</f>
        <v>0.7066251721</v>
      </c>
      <c r="AA1438" s="8" t="n">
        <f aca="false">(M1438-$K1438)^2</f>
        <v>0.008475595969</v>
      </c>
      <c r="AB1438" s="8" t="n">
        <f aca="false">(N1438-$K1438)^2</f>
        <v>0.006659702449</v>
      </c>
      <c r="AC1438" s="8" t="n">
        <f aca="false">(O1438-$K1438)^2</f>
        <v>0.011274829489</v>
      </c>
      <c r="AD1438" s="8" t="n">
        <f aca="false">(P1438-$K1438)^2</f>
        <v>0.007349804361</v>
      </c>
      <c r="AE1438" s="8" t="n">
        <f aca="false">MIN(INT(ROUND(N1438*1000000,0)/100000),9)</f>
        <v>0</v>
      </c>
      <c r="AF1438" s="8" t="n">
        <f aca="false">MIN(INT(ROUND(P1438*1000000,0)/100000),9)</f>
        <v>0</v>
      </c>
    </row>
    <row r="1439" customFormat="false" ht="15" hidden="false" customHeight="false" outlineLevel="0" collapsed="false">
      <c r="A1439" s="4" t="n">
        <v>1435</v>
      </c>
      <c r="B1439" s="4" t="n">
        <v>1567</v>
      </c>
      <c r="C1439" s="4" t="n">
        <v>3</v>
      </c>
      <c r="D1439" s="11" t="n">
        <v>46143</v>
      </c>
      <c r="E1439" s="4" t="s">
        <v>202</v>
      </c>
      <c r="F1439" s="4" t="s">
        <v>210</v>
      </c>
      <c r="G1439" s="4" t="n">
        <v>9</v>
      </c>
      <c r="H1439" s="4" t="n">
        <v>0</v>
      </c>
      <c r="I1439" s="4" t="n">
        <v>0</v>
      </c>
      <c r="J1439" s="4"/>
      <c r="K1439" s="4" t="n">
        <v>0</v>
      </c>
      <c r="L1439" s="12" t="n">
        <v>0.912923</v>
      </c>
      <c r="M1439" s="12" t="n">
        <v>0.092063</v>
      </c>
      <c r="N1439" s="12" t="n">
        <v>0.038318</v>
      </c>
      <c r="O1439" s="12" t="n">
        <v>0.106183</v>
      </c>
      <c r="P1439" s="12" t="n">
        <v>0.038899</v>
      </c>
      <c r="Q1439" s="0" t="str">
        <f aca="false">IF(L1439&gt;=Models!$G$5,1+COUNTIF($L$5:$L$1517,"&gt;"&amp;L1439)+COUNTIFS($L$5:$L$1517,L1439,$B$5:$B$1517,"&lt;"&amp;B1439)+COUNTIFS($L$5:$L$1517,L1439,$B$5:$B$1517,B1439,$C$5:$C$1517,"&lt;"&amp;C1439),"")</f>
        <v/>
      </c>
      <c r="R1439" s="0" t="str">
        <f aca="false">IF(M1439&gt;=Models!$G$6,1+COUNTIF($M$5:$M$1517,"&gt;"&amp;M1439)+COUNTIFS($M$5:$M$1517,M1439,$B$5:$B$1517,"&lt;"&amp;B1439)+COUNTIFS($M$5:$M$1517,M1439,$B$5:$B$1517,B1439,$C$5:$C$1517,"&lt;"&amp;C1439),"")</f>
        <v/>
      </c>
      <c r="S1439" s="0" t="str">
        <f aca="false">IF(N1439&gt;=Models!$G$7,1+COUNTIF($N$5:$N$1517,"&gt;"&amp;N1439)+COUNTIFS($N$5:$N$1517,N1439,$B$5:$B$1517,"&lt;"&amp;B1439)+COUNTIFS($N$5:$N$1517,N1439,$B$5:$B$1517,B1439,$C$5:$C$1517,"&lt;"&amp;C1439),"")</f>
        <v/>
      </c>
      <c r="T1439" s="8" t="n">
        <f aca="false">IF(O1439&gt;=Models!$G$8,1+COUNTIF($O$5:$O$1517,"&gt;"&amp;O1439)+COUNTIFS($O$5:$O$1517,O1439,$B$5:$B$1517,"&lt;"&amp;B1439)+COUNTIFS($O$5:$O$1517,O1439,$B$5:$B$1517,B1439,$C$5:$C$1517,"&lt;"&amp;C1439),"")</f>
        <v>1341</v>
      </c>
      <c r="U1439" s="8" t="n">
        <f aca="false">IF($K1439=1,COUNTIFS($L$5:$L$1517,"&gt;="&amp;L1439,$K$5:$K$1517,1)/COUNTIF($L$5:$L$1517,"&gt;="&amp;L1439),0)</f>
        <v>0</v>
      </c>
      <c r="V1439" s="8" t="n">
        <f aca="false">IF($K1439=1,COUNTIFS($M$5:$M$1517,"&gt;="&amp;M1439,$K$5:$K$1517,1)/COUNTIF($M$5:$M$1517,"&gt;="&amp;M1439),0)</f>
        <v>0</v>
      </c>
      <c r="W1439" s="8" t="n">
        <f aca="false">IF($K1439=1,COUNTIFS($N$5:$N$1517,"&gt;="&amp;N1439,$K$5:$K$1517,1)/COUNTIF($N$5:$N$1517,"&gt;="&amp;N1439),0)</f>
        <v>0</v>
      </c>
      <c r="X1439" s="8" t="n">
        <f aca="false">IF($K1439=1,COUNTIFS($O$5:$O$1517,"&gt;="&amp;O1439,$K$5:$K$1517,1)/COUNTIF($O$5:$O$1517,"&gt;="&amp;O1439),0)</f>
        <v>0</v>
      </c>
      <c r="Y1439" s="8" t="n">
        <f aca="false">IF($K1439=1,COUNTIFS($P$5:$P$1517,"&gt;="&amp;P1439,$K$5:$K$1517,1)/COUNTIF($P$5:$P$1517,"&gt;="&amp;P1439),0)</f>
        <v>0</v>
      </c>
      <c r="Z1439" s="8" t="n">
        <f aca="false">(L1439-$K1439)^2</f>
        <v>0.833428403929</v>
      </c>
      <c r="AA1439" s="8" t="n">
        <f aca="false">(M1439-$K1439)^2</f>
        <v>0.008475595969</v>
      </c>
      <c r="AB1439" s="8" t="n">
        <f aca="false">(N1439-$K1439)^2</f>
        <v>0.001468269124</v>
      </c>
      <c r="AC1439" s="8" t="n">
        <f aca="false">(O1439-$K1439)^2</f>
        <v>0.011274829489</v>
      </c>
      <c r="AD1439" s="8" t="n">
        <f aca="false">(P1439-$K1439)^2</f>
        <v>0.001513132201</v>
      </c>
      <c r="AE1439" s="8" t="n">
        <f aca="false">MIN(INT(ROUND(N1439*1000000,0)/100000),9)</f>
        <v>0</v>
      </c>
      <c r="AF1439" s="8" t="n">
        <f aca="false">MIN(INT(ROUND(P1439*1000000,0)/100000),9)</f>
        <v>0</v>
      </c>
    </row>
    <row r="1440" customFormat="false" ht="15" hidden="false" customHeight="false" outlineLevel="0" collapsed="false">
      <c r="A1440" s="4" t="n">
        <v>1436</v>
      </c>
      <c r="B1440" s="4" t="n">
        <v>1568</v>
      </c>
      <c r="C1440" s="4" t="n">
        <v>3</v>
      </c>
      <c r="D1440" s="11" t="n">
        <v>46143</v>
      </c>
      <c r="E1440" s="4" t="s">
        <v>204</v>
      </c>
      <c r="F1440" s="4" t="s">
        <v>209</v>
      </c>
      <c r="G1440" s="4" t="n">
        <v>2</v>
      </c>
      <c r="H1440" s="4" t="n">
        <v>19</v>
      </c>
      <c r="I1440" s="4" t="n">
        <v>1</v>
      </c>
      <c r="J1440" s="4" t="n">
        <v>63</v>
      </c>
      <c r="K1440" s="4" t="n">
        <v>0</v>
      </c>
      <c r="L1440" s="12" t="n">
        <v>0.112203</v>
      </c>
      <c r="M1440" s="12" t="n">
        <v>0.184211</v>
      </c>
      <c r="N1440" s="12" t="n">
        <v>0.252001</v>
      </c>
      <c r="O1440" s="12" t="n">
        <v>0.106183</v>
      </c>
      <c r="P1440" s="12" t="n">
        <v>0.274728</v>
      </c>
      <c r="Q1440" s="0" t="str">
        <f aca="false">IF(L1440&gt;=Models!$G$5,1+COUNTIF($L$5:$L$1517,"&gt;"&amp;L1440)+COUNTIFS($L$5:$L$1517,L1440,$B$5:$B$1517,"&lt;"&amp;B1440)+COUNTIFS($L$5:$L$1517,L1440,$B$5:$B$1517,B1440,$C$5:$C$1517,"&lt;"&amp;C1440),"")</f>
        <v/>
      </c>
      <c r="R1440" s="8" t="n">
        <f aca="false">IF(M1440&gt;=Models!$G$6,1+COUNTIF($M$5:$M$1517,"&gt;"&amp;M1440)+COUNTIFS($M$5:$M$1517,M1440,$B$5:$B$1517,"&lt;"&amp;B1440)+COUNTIFS($M$5:$M$1517,M1440,$B$5:$B$1517,B1440,$C$5:$C$1517,"&lt;"&amp;C1440),"")</f>
        <v>172</v>
      </c>
      <c r="S1440" s="8" t="n">
        <f aca="false">IF(N1440&gt;=Models!$G$7,1+COUNTIF($N$5:$N$1517,"&gt;"&amp;N1440)+COUNTIFS($N$5:$N$1517,N1440,$B$5:$B$1517,"&lt;"&amp;B1440)+COUNTIFS($N$5:$N$1517,N1440,$B$5:$B$1517,B1440,$C$5:$C$1517,"&lt;"&amp;C1440),"")</f>
        <v>16</v>
      </c>
      <c r="T1440" s="8" t="n">
        <f aca="false">IF(O1440&gt;=Models!$G$8,1+COUNTIF($O$5:$O$1517,"&gt;"&amp;O1440)+COUNTIFS($O$5:$O$1517,O1440,$B$5:$B$1517,"&lt;"&amp;B1440)+COUNTIFS($O$5:$O$1517,O1440,$B$5:$B$1517,B1440,$C$5:$C$1517,"&lt;"&amp;C1440),"")</f>
        <v>1345</v>
      </c>
      <c r="U1440" s="8" t="n">
        <f aca="false">IF($K1440=1,COUNTIFS($L$5:$L$1517,"&gt;="&amp;L1440,$K$5:$K$1517,1)/COUNTIF($L$5:$L$1517,"&gt;="&amp;L1440),0)</f>
        <v>0</v>
      </c>
      <c r="V1440" s="8" t="n">
        <f aca="false">IF($K1440=1,COUNTIFS($M$5:$M$1517,"&gt;="&amp;M1440,$K$5:$K$1517,1)/COUNTIF($M$5:$M$1517,"&gt;="&amp;M1440),0)</f>
        <v>0</v>
      </c>
      <c r="W1440" s="8" t="n">
        <f aca="false">IF($K1440=1,COUNTIFS($N$5:$N$1517,"&gt;="&amp;N1440,$K$5:$K$1517,1)/COUNTIF($N$5:$N$1517,"&gt;="&amp;N1440),0)</f>
        <v>0</v>
      </c>
      <c r="X1440" s="8" t="n">
        <f aca="false">IF($K1440=1,COUNTIFS($O$5:$O$1517,"&gt;="&amp;O1440,$K$5:$K$1517,1)/COUNTIF($O$5:$O$1517,"&gt;="&amp;O1440),0)</f>
        <v>0</v>
      </c>
      <c r="Y1440" s="8" t="n">
        <f aca="false">IF($K1440=1,COUNTIFS($P$5:$P$1517,"&gt;="&amp;P1440,$K$5:$K$1517,1)/COUNTIF($P$5:$P$1517,"&gt;="&amp;P1440),0)</f>
        <v>0</v>
      </c>
      <c r="Z1440" s="8" t="n">
        <f aca="false">(L1440-$K1440)^2</f>
        <v>0.012589513209</v>
      </c>
      <c r="AA1440" s="8" t="n">
        <f aca="false">(M1440-$K1440)^2</f>
        <v>0.033933692521</v>
      </c>
      <c r="AB1440" s="8" t="n">
        <f aca="false">(N1440-$K1440)^2</f>
        <v>0.063504504001</v>
      </c>
      <c r="AC1440" s="8" t="n">
        <f aca="false">(O1440-$K1440)^2</f>
        <v>0.011274829489</v>
      </c>
      <c r="AD1440" s="8" t="n">
        <f aca="false">(P1440-$K1440)^2</f>
        <v>0.075475473984</v>
      </c>
      <c r="AE1440" s="8" t="n">
        <f aca="false">MIN(INT(ROUND(N1440*1000000,0)/100000),9)</f>
        <v>2</v>
      </c>
      <c r="AF1440" s="8" t="n">
        <f aca="false">MIN(INT(ROUND(P1440*1000000,0)/100000),9)</f>
        <v>2</v>
      </c>
    </row>
    <row r="1441" customFormat="false" ht="15" hidden="false" customHeight="false" outlineLevel="0" collapsed="false">
      <c r="A1441" s="4" t="n">
        <v>1437</v>
      </c>
      <c r="B1441" s="4" t="n">
        <v>1576</v>
      </c>
      <c r="C1441" s="4" t="n">
        <v>3</v>
      </c>
      <c r="D1441" s="11" t="n">
        <v>46143</v>
      </c>
      <c r="E1441" s="4" t="s">
        <v>203</v>
      </c>
      <c r="F1441" s="4" t="s">
        <v>206</v>
      </c>
      <c r="G1441" s="4" t="n">
        <v>5</v>
      </c>
      <c r="H1441" s="4" t="n">
        <v>3</v>
      </c>
      <c r="I1441" s="4" t="n">
        <v>0</v>
      </c>
      <c r="J1441" s="4" t="n">
        <v>237</v>
      </c>
      <c r="K1441" s="4" t="n">
        <v>1</v>
      </c>
      <c r="L1441" s="12" t="n">
        <v>0.098476</v>
      </c>
      <c r="M1441" s="12" t="n">
        <v>0.092063</v>
      </c>
      <c r="N1441" s="12" t="n">
        <v>0.109564</v>
      </c>
      <c r="O1441" s="12" t="n">
        <v>0.106183</v>
      </c>
      <c r="P1441" s="12" t="n">
        <v>0.116509</v>
      </c>
      <c r="Q1441" s="0" t="str">
        <f aca="false">IF(L1441&gt;=Models!$G$5,1+COUNTIF($L$5:$L$1517,"&gt;"&amp;L1441)+COUNTIFS($L$5:$L$1517,L1441,$B$5:$B$1517,"&lt;"&amp;B1441)+COUNTIFS($L$5:$L$1517,L1441,$B$5:$B$1517,B1441,$C$5:$C$1517,"&lt;"&amp;C1441),"")</f>
        <v/>
      </c>
      <c r="R1441" s="0" t="str">
        <f aca="false">IF(M1441&gt;=Models!$G$6,1+COUNTIF($M$5:$M$1517,"&gt;"&amp;M1441)+COUNTIFS($M$5:$M$1517,M1441,$B$5:$B$1517,"&lt;"&amp;B1441)+COUNTIFS($M$5:$M$1517,M1441,$B$5:$B$1517,B1441,$C$5:$C$1517,"&lt;"&amp;C1441),"")</f>
        <v/>
      </c>
      <c r="S1441" s="0" t="str">
        <f aca="false">IF(N1441&gt;=Models!$G$7,1+COUNTIF($N$5:$N$1517,"&gt;"&amp;N1441)+COUNTIFS($N$5:$N$1517,N1441,$B$5:$B$1517,"&lt;"&amp;B1441)+COUNTIFS($N$5:$N$1517,N1441,$B$5:$B$1517,B1441,$C$5:$C$1517,"&lt;"&amp;C1441),"")</f>
        <v/>
      </c>
      <c r="T1441" s="8" t="n">
        <f aca="false">IF(O1441&gt;=Models!$G$8,1+COUNTIF($O$5:$O$1517,"&gt;"&amp;O1441)+COUNTIFS($O$5:$O$1517,O1441,$B$5:$B$1517,"&lt;"&amp;B1441)+COUNTIFS($O$5:$O$1517,O1441,$B$5:$B$1517,B1441,$C$5:$C$1517,"&lt;"&amp;C1441),"")</f>
        <v>1357</v>
      </c>
      <c r="U1441" s="8" t="n">
        <f aca="false">IF($K1441=1,COUNTIFS($L$5:$L$1517,"&gt;="&amp;L1441,$K$5:$K$1517,1)/COUNTIF($L$5:$L$1517,"&gt;="&amp;L1441),0)</f>
        <v>0.123338257016248</v>
      </c>
      <c r="V1441" s="8" t="n">
        <f aca="false">IF($K1441=1,COUNTIFS($M$5:$M$1517,"&gt;="&amp;M1441,$K$5:$K$1517,1)/COUNTIF($M$5:$M$1517,"&gt;="&amp;M1441),0)</f>
        <v>0.12491738268341</v>
      </c>
      <c r="W1441" s="8" t="n">
        <f aca="false">IF($K1441=1,COUNTIFS($N$5:$N$1517,"&gt;="&amp;N1441,$K$5:$K$1517,1)/COUNTIF($N$5:$N$1517,"&gt;="&amp;N1441),0)</f>
        <v>0.208695652173913</v>
      </c>
      <c r="X1441" s="8" t="n">
        <f aca="false">IF($K1441=1,COUNTIFS($O$5:$O$1517,"&gt;="&amp;O1441,$K$5:$K$1517,1)/COUNTIF($O$5:$O$1517,"&gt;="&amp;O1441),0)</f>
        <v>0.12491738268341</v>
      </c>
      <c r="Y1441" s="8" t="n">
        <f aca="false">IF($K1441=1,COUNTIFS($P$5:$P$1517,"&gt;="&amp;P1441,$K$5:$K$1517,1)/COUNTIF($P$5:$P$1517,"&gt;="&amp;P1441),0)</f>
        <v>0.208695652173913</v>
      </c>
      <c r="Z1441" s="8" t="n">
        <f aca="false">(L1441-$K1441)^2</f>
        <v>0.812745522576</v>
      </c>
      <c r="AA1441" s="8" t="n">
        <f aca="false">(M1441-$K1441)^2</f>
        <v>0.824349595969</v>
      </c>
      <c r="AB1441" s="8" t="n">
        <f aca="false">(N1441-$K1441)^2</f>
        <v>0.792876270096</v>
      </c>
      <c r="AC1441" s="8" t="n">
        <f aca="false">(O1441-$K1441)^2</f>
        <v>0.798908829489</v>
      </c>
      <c r="AD1441" s="8" t="n">
        <f aca="false">(P1441-$K1441)^2</f>
        <v>0.780556347081</v>
      </c>
      <c r="AE1441" s="8" t="n">
        <f aca="false">MIN(INT(ROUND(N1441*1000000,0)/100000),9)</f>
        <v>1</v>
      </c>
      <c r="AF1441" s="8" t="n">
        <f aca="false">MIN(INT(ROUND(P1441*1000000,0)/100000),9)</f>
        <v>1</v>
      </c>
    </row>
    <row r="1442" customFormat="false" ht="15" hidden="false" customHeight="false" outlineLevel="0" collapsed="false">
      <c r="A1442" s="4" t="n">
        <v>1438</v>
      </c>
      <c r="B1442" s="4" t="n">
        <v>1582</v>
      </c>
      <c r="C1442" s="4" t="n">
        <v>3</v>
      </c>
      <c r="D1442" s="11" t="n">
        <v>46143</v>
      </c>
      <c r="E1442" s="4" t="s">
        <v>204</v>
      </c>
      <c r="F1442" s="4" t="s">
        <v>209</v>
      </c>
      <c r="G1442" s="4" t="n">
        <v>2</v>
      </c>
      <c r="H1442" s="4" t="n">
        <v>10</v>
      </c>
      <c r="I1442" s="4" t="n">
        <v>0</v>
      </c>
      <c r="J1442" s="4" t="n">
        <v>57</v>
      </c>
      <c r="K1442" s="4" t="n">
        <v>1</v>
      </c>
      <c r="L1442" s="12" t="n">
        <v>0.056988</v>
      </c>
      <c r="M1442" s="12" t="n">
        <v>0.092063</v>
      </c>
      <c r="N1442" s="12" t="n">
        <v>0.147116</v>
      </c>
      <c r="O1442" s="12" t="n">
        <v>0.106183</v>
      </c>
      <c r="P1442" s="12" t="n">
        <v>0.158151</v>
      </c>
      <c r="Q1442" s="0" t="str">
        <f aca="false">IF(L1442&gt;=Models!$G$5,1+COUNTIF($L$5:$L$1517,"&gt;"&amp;L1442)+COUNTIFS($L$5:$L$1517,L1442,$B$5:$B$1517,"&lt;"&amp;B1442)+COUNTIFS($L$5:$L$1517,L1442,$B$5:$B$1517,B1442,$C$5:$C$1517,"&lt;"&amp;C1442),"")</f>
        <v/>
      </c>
      <c r="R1442" s="0" t="str">
        <f aca="false">IF(M1442&gt;=Models!$G$6,1+COUNTIF($M$5:$M$1517,"&gt;"&amp;M1442)+COUNTIFS($M$5:$M$1517,M1442,$B$5:$B$1517,"&lt;"&amp;B1442)+COUNTIFS($M$5:$M$1517,M1442,$B$5:$B$1517,B1442,$C$5:$C$1517,"&lt;"&amp;C1442),"")</f>
        <v/>
      </c>
      <c r="S1442" s="0" t="str">
        <f aca="false">IF(N1442&gt;=Models!$G$7,1+COUNTIF($N$5:$N$1517,"&gt;"&amp;N1442)+COUNTIFS($N$5:$N$1517,N1442,$B$5:$B$1517,"&lt;"&amp;B1442)+COUNTIFS($N$5:$N$1517,N1442,$B$5:$B$1517,B1442,$C$5:$C$1517,"&lt;"&amp;C1442),"")</f>
        <v/>
      </c>
      <c r="T1442" s="8" t="n">
        <f aca="false">IF(O1442&gt;=Models!$G$8,1+COUNTIF($O$5:$O$1517,"&gt;"&amp;O1442)+COUNTIFS($O$5:$O$1517,O1442,$B$5:$B$1517,"&lt;"&amp;B1442)+COUNTIFS($O$5:$O$1517,O1442,$B$5:$B$1517,B1442,$C$5:$C$1517,"&lt;"&amp;C1442),"")</f>
        <v>1364</v>
      </c>
      <c r="U1442" s="8" t="n">
        <f aca="false">IF($K1442=1,COUNTIFS($L$5:$L$1517,"&gt;="&amp;L1442,$K$5:$K$1517,1)/COUNTIF($L$5:$L$1517,"&gt;="&amp;L1442),0)</f>
        <v>0.124557678697806</v>
      </c>
      <c r="V1442" s="8" t="n">
        <f aca="false">IF($K1442=1,COUNTIFS($M$5:$M$1517,"&gt;="&amp;M1442,$K$5:$K$1517,1)/COUNTIF($M$5:$M$1517,"&gt;="&amp;M1442),0)</f>
        <v>0.12491738268341</v>
      </c>
      <c r="W1442" s="8" t="n">
        <f aca="false">IF($K1442=1,COUNTIFS($N$5:$N$1517,"&gt;="&amp;N1442,$K$5:$K$1517,1)/COUNTIF($N$5:$N$1517,"&gt;="&amp;N1442),0)</f>
        <v>0.303964757709251</v>
      </c>
      <c r="X1442" s="8" t="n">
        <f aca="false">IF($K1442=1,COUNTIFS($O$5:$O$1517,"&gt;="&amp;O1442,$K$5:$K$1517,1)/COUNTIF($O$5:$O$1517,"&gt;="&amp;O1442),0)</f>
        <v>0.12491738268341</v>
      </c>
      <c r="Y1442" s="8" t="n">
        <f aca="false">IF($K1442=1,COUNTIFS($P$5:$P$1517,"&gt;="&amp;P1442,$K$5:$K$1517,1)/COUNTIF($P$5:$P$1517,"&gt;="&amp;P1442),0)</f>
        <v>0.303964757709251</v>
      </c>
      <c r="Z1442" s="8" t="n">
        <f aca="false">(L1442-$K1442)^2</f>
        <v>0.889271632144</v>
      </c>
      <c r="AA1442" s="8" t="n">
        <f aca="false">(M1442-$K1442)^2</f>
        <v>0.824349595969</v>
      </c>
      <c r="AB1442" s="8" t="n">
        <f aca="false">(N1442-$K1442)^2</f>
        <v>0.727411117456</v>
      </c>
      <c r="AC1442" s="8" t="n">
        <f aca="false">(O1442-$K1442)^2</f>
        <v>0.798908829489</v>
      </c>
      <c r="AD1442" s="8" t="n">
        <f aca="false">(P1442-$K1442)^2</f>
        <v>0.708709738801</v>
      </c>
      <c r="AE1442" s="8" t="n">
        <f aca="false">MIN(INT(ROUND(N1442*1000000,0)/100000),9)</f>
        <v>1</v>
      </c>
      <c r="AF1442" s="8" t="n">
        <f aca="false">MIN(INT(ROUND(P1442*1000000,0)/100000),9)</f>
        <v>1</v>
      </c>
    </row>
    <row r="1443" customFormat="false" ht="15" hidden="false" customHeight="false" outlineLevel="0" collapsed="false">
      <c r="A1443" s="4" t="n">
        <v>1439</v>
      </c>
      <c r="B1443" s="4" t="n">
        <v>1583</v>
      </c>
      <c r="C1443" s="4" t="n">
        <v>3</v>
      </c>
      <c r="D1443" s="11" t="n">
        <v>46143</v>
      </c>
      <c r="E1443" s="4" t="s">
        <v>202</v>
      </c>
      <c r="F1443" s="4" t="s">
        <v>206</v>
      </c>
      <c r="G1443" s="4" t="n">
        <v>7</v>
      </c>
      <c r="H1443" s="4" t="n">
        <v>4</v>
      </c>
      <c r="I1443" s="4" t="n">
        <v>0</v>
      </c>
      <c r="J1443" s="4" t="n">
        <v>1191</v>
      </c>
      <c r="K1443" s="4" t="n">
        <v>0</v>
      </c>
      <c r="L1443" s="12" t="n">
        <v>0.370329</v>
      </c>
      <c r="M1443" s="12" t="n">
        <v>0.092063</v>
      </c>
      <c r="N1443" s="12" t="n">
        <v>0.089285</v>
      </c>
      <c r="O1443" s="12" t="n">
        <v>0.106183</v>
      </c>
      <c r="P1443" s="12" t="n">
        <v>0.094156</v>
      </c>
      <c r="Q1443" s="0" t="str">
        <f aca="false">IF(L1443&gt;=Models!$G$5,1+COUNTIF($L$5:$L$1517,"&gt;"&amp;L1443)+COUNTIFS($L$5:$L$1517,L1443,$B$5:$B$1517,"&lt;"&amp;B1443)+COUNTIFS($L$5:$L$1517,L1443,$B$5:$B$1517,B1443,$C$5:$C$1517,"&lt;"&amp;C1443),"")</f>
        <v/>
      </c>
      <c r="R1443" s="0" t="str">
        <f aca="false">IF(M1443&gt;=Models!$G$6,1+COUNTIF($M$5:$M$1517,"&gt;"&amp;M1443)+COUNTIFS($M$5:$M$1517,M1443,$B$5:$B$1517,"&lt;"&amp;B1443)+COUNTIFS($M$5:$M$1517,M1443,$B$5:$B$1517,B1443,$C$5:$C$1517,"&lt;"&amp;C1443),"")</f>
        <v/>
      </c>
      <c r="S1443" s="0" t="str">
        <f aca="false">IF(N1443&gt;=Models!$G$7,1+COUNTIF($N$5:$N$1517,"&gt;"&amp;N1443)+COUNTIFS($N$5:$N$1517,N1443,$B$5:$B$1517,"&lt;"&amp;B1443)+COUNTIFS($N$5:$N$1517,N1443,$B$5:$B$1517,B1443,$C$5:$C$1517,"&lt;"&amp;C1443),"")</f>
        <v/>
      </c>
      <c r="T1443" s="8" t="n">
        <f aca="false">IF(O1443&gt;=Models!$G$8,1+COUNTIF($O$5:$O$1517,"&gt;"&amp;O1443)+COUNTIFS($O$5:$O$1517,O1443,$B$5:$B$1517,"&lt;"&amp;B1443)+COUNTIFS($O$5:$O$1517,O1443,$B$5:$B$1517,B1443,$C$5:$C$1517,"&lt;"&amp;C1443),"")</f>
        <v>1368</v>
      </c>
      <c r="U1443" s="8" t="n">
        <f aca="false">IF($K1443=1,COUNTIFS($L$5:$L$1517,"&gt;="&amp;L1443,$K$5:$K$1517,1)/COUNTIF($L$5:$L$1517,"&gt;="&amp;L1443),0)</f>
        <v>0</v>
      </c>
      <c r="V1443" s="8" t="n">
        <f aca="false">IF($K1443=1,COUNTIFS($M$5:$M$1517,"&gt;="&amp;M1443,$K$5:$K$1517,1)/COUNTIF($M$5:$M$1517,"&gt;="&amp;M1443),0)</f>
        <v>0</v>
      </c>
      <c r="W1443" s="8" t="n">
        <f aca="false">IF($K1443=1,COUNTIFS($N$5:$N$1517,"&gt;="&amp;N1443,$K$5:$K$1517,1)/COUNTIF($N$5:$N$1517,"&gt;="&amp;N1443),0)</f>
        <v>0</v>
      </c>
      <c r="X1443" s="8" t="n">
        <f aca="false">IF($K1443=1,COUNTIFS($O$5:$O$1517,"&gt;="&amp;O1443,$K$5:$K$1517,1)/COUNTIF($O$5:$O$1517,"&gt;="&amp;O1443),0)</f>
        <v>0</v>
      </c>
      <c r="Y1443" s="8" t="n">
        <f aca="false">IF($K1443=1,COUNTIFS($P$5:$P$1517,"&gt;="&amp;P1443,$K$5:$K$1517,1)/COUNTIF($P$5:$P$1517,"&gt;="&amp;P1443),0)</f>
        <v>0</v>
      </c>
      <c r="Z1443" s="8" t="n">
        <f aca="false">(L1443-$K1443)^2</f>
        <v>0.137143568241</v>
      </c>
      <c r="AA1443" s="8" t="n">
        <f aca="false">(M1443-$K1443)^2</f>
        <v>0.008475595969</v>
      </c>
      <c r="AB1443" s="8" t="n">
        <f aca="false">(N1443-$K1443)^2</f>
        <v>0.007971811225</v>
      </c>
      <c r="AC1443" s="8" t="n">
        <f aca="false">(O1443-$K1443)^2</f>
        <v>0.011274829489</v>
      </c>
      <c r="AD1443" s="8" t="n">
        <f aca="false">(P1443-$K1443)^2</f>
        <v>0.008865352336</v>
      </c>
      <c r="AE1443" s="8" t="n">
        <f aca="false">MIN(INT(ROUND(N1443*1000000,0)/100000),9)</f>
        <v>0</v>
      </c>
      <c r="AF1443" s="8" t="n">
        <f aca="false">MIN(INT(ROUND(P1443*1000000,0)/100000),9)</f>
        <v>0</v>
      </c>
    </row>
    <row r="1444" customFormat="false" ht="15" hidden="false" customHeight="false" outlineLevel="0" collapsed="false">
      <c r="A1444" s="4" t="n">
        <v>1440</v>
      </c>
      <c r="B1444" s="4" t="n">
        <v>1590</v>
      </c>
      <c r="C1444" s="4" t="n">
        <v>3</v>
      </c>
      <c r="D1444" s="11" t="n">
        <v>46143</v>
      </c>
      <c r="E1444" s="4" t="s">
        <v>204</v>
      </c>
      <c r="F1444" s="4" t="s">
        <v>206</v>
      </c>
      <c r="G1444" s="4" t="n">
        <v>2</v>
      </c>
      <c r="H1444" s="4" t="n">
        <v>9</v>
      </c>
      <c r="I1444" s="4" t="n">
        <v>1</v>
      </c>
      <c r="J1444" s="4" t="n">
        <v>46.2</v>
      </c>
      <c r="K1444" s="4" t="n">
        <v>0</v>
      </c>
      <c r="L1444" s="12" t="n">
        <v>0.602778</v>
      </c>
      <c r="M1444" s="12" t="n">
        <v>0.184211</v>
      </c>
      <c r="N1444" s="12" t="n">
        <v>0.237048</v>
      </c>
      <c r="O1444" s="12" t="n">
        <v>0.106183</v>
      </c>
      <c r="P1444" s="12" t="n">
        <v>0.258154</v>
      </c>
      <c r="Q1444" s="0" t="str">
        <f aca="false">IF(L1444&gt;=Models!$G$5,1+COUNTIF($L$5:$L$1517,"&gt;"&amp;L1444)+COUNTIFS($L$5:$L$1517,L1444,$B$5:$B$1517,"&lt;"&amp;B1444)+COUNTIFS($L$5:$L$1517,L1444,$B$5:$B$1517,B1444,$C$5:$C$1517,"&lt;"&amp;C1444),"")</f>
        <v/>
      </c>
      <c r="R1444" s="8" t="n">
        <f aca="false">IF(M1444&gt;=Models!$G$6,1+COUNTIF($M$5:$M$1517,"&gt;"&amp;M1444)+COUNTIFS($M$5:$M$1517,M1444,$B$5:$B$1517,"&lt;"&amp;B1444)+COUNTIFS($M$5:$M$1517,M1444,$B$5:$B$1517,B1444,$C$5:$C$1517,"&lt;"&amp;C1444),"")</f>
        <v>175</v>
      </c>
      <c r="S1444" s="0" t="str">
        <f aca="false">IF(N1444&gt;=Models!$G$7,1+COUNTIF($N$5:$N$1517,"&gt;"&amp;N1444)+COUNTIFS($N$5:$N$1517,N1444,$B$5:$B$1517,"&lt;"&amp;B1444)+COUNTIFS($N$5:$N$1517,N1444,$B$5:$B$1517,B1444,$C$5:$C$1517,"&lt;"&amp;C1444),"")</f>
        <v/>
      </c>
      <c r="T1444" s="8" t="n">
        <f aca="false">IF(O1444&gt;=Models!$G$8,1+COUNTIF($O$5:$O$1517,"&gt;"&amp;O1444)+COUNTIFS($O$5:$O$1517,O1444,$B$5:$B$1517,"&lt;"&amp;B1444)+COUNTIFS($O$5:$O$1517,O1444,$B$5:$B$1517,B1444,$C$5:$C$1517,"&lt;"&amp;C1444),"")</f>
        <v>1371</v>
      </c>
      <c r="U1444" s="8" t="n">
        <f aca="false">IF($K1444=1,COUNTIFS($L$5:$L$1517,"&gt;="&amp;L1444,$K$5:$K$1517,1)/COUNTIF($L$5:$L$1517,"&gt;="&amp;L1444),0)</f>
        <v>0</v>
      </c>
      <c r="V1444" s="8" t="n">
        <f aca="false">IF($K1444=1,COUNTIFS($M$5:$M$1517,"&gt;="&amp;M1444,$K$5:$K$1517,1)/COUNTIF($M$5:$M$1517,"&gt;="&amp;M1444),0)</f>
        <v>0</v>
      </c>
      <c r="W1444" s="8" t="n">
        <f aca="false">IF($K1444=1,COUNTIFS($N$5:$N$1517,"&gt;="&amp;N1444,$K$5:$K$1517,1)/COUNTIF($N$5:$N$1517,"&gt;="&amp;N1444),0)</f>
        <v>0</v>
      </c>
      <c r="X1444" s="8" t="n">
        <f aca="false">IF($K1444=1,COUNTIFS($O$5:$O$1517,"&gt;="&amp;O1444,$K$5:$K$1517,1)/COUNTIF($O$5:$O$1517,"&gt;="&amp;O1444),0)</f>
        <v>0</v>
      </c>
      <c r="Y1444" s="8" t="n">
        <f aca="false">IF($K1444=1,COUNTIFS($P$5:$P$1517,"&gt;="&amp;P1444,$K$5:$K$1517,1)/COUNTIF($P$5:$P$1517,"&gt;="&amp;P1444),0)</f>
        <v>0</v>
      </c>
      <c r="Z1444" s="8" t="n">
        <f aca="false">(L1444-$K1444)^2</f>
        <v>0.363341317284</v>
      </c>
      <c r="AA1444" s="8" t="n">
        <f aca="false">(M1444-$K1444)^2</f>
        <v>0.033933692521</v>
      </c>
      <c r="AB1444" s="8" t="n">
        <f aca="false">(N1444-$K1444)^2</f>
        <v>0.056191754304</v>
      </c>
      <c r="AC1444" s="8" t="n">
        <f aca="false">(O1444-$K1444)^2</f>
        <v>0.011274829489</v>
      </c>
      <c r="AD1444" s="8" t="n">
        <f aca="false">(P1444-$K1444)^2</f>
        <v>0.066643487716</v>
      </c>
      <c r="AE1444" s="8" t="n">
        <f aca="false">MIN(INT(ROUND(N1444*1000000,0)/100000),9)</f>
        <v>2</v>
      </c>
      <c r="AF1444" s="8" t="n">
        <f aca="false">MIN(INT(ROUND(P1444*1000000,0)/100000),9)</f>
        <v>2</v>
      </c>
    </row>
    <row r="1445" customFormat="false" ht="15" hidden="false" customHeight="false" outlineLevel="0" collapsed="false">
      <c r="A1445" s="4" t="n">
        <v>1441</v>
      </c>
      <c r="B1445" s="4" t="n">
        <v>1603</v>
      </c>
      <c r="C1445" s="4" t="n">
        <v>3</v>
      </c>
      <c r="D1445" s="11" t="n">
        <v>46143</v>
      </c>
      <c r="E1445" s="4" t="s">
        <v>203</v>
      </c>
      <c r="F1445" s="4" t="s">
        <v>210</v>
      </c>
      <c r="G1445" s="4" t="n">
        <v>2</v>
      </c>
      <c r="H1445" s="4" t="n">
        <v>17</v>
      </c>
      <c r="I1445" s="4" t="n">
        <v>0</v>
      </c>
      <c r="J1445" s="4" t="n">
        <v>444</v>
      </c>
      <c r="K1445" s="4" t="n">
        <v>0</v>
      </c>
      <c r="L1445" s="12" t="n">
        <v>0.976534</v>
      </c>
      <c r="M1445" s="12" t="n">
        <v>0.092063</v>
      </c>
      <c r="N1445" s="12" t="n">
        <v>0.151547</v>
      </c>
      <c r="O1445" s="12" t="n">
        <v>0.106183</v>
      </c>
      <c r="P1445" s="12" t="n">
        <v>0.163078</v>
      </c>
      <c r="Q1445" s="0" t="str">
        <f aca="false">IF(L1445&gt;=Models!$G$5,1+COUNTIF($L$5:$L$1517,"&gt;"&amp;L1445)+COUNTIFS($L$5:$L$1517,L1445,$B$5:$B$1517,"&lt;"&amp;B1445)+COUNTIFS($L$5:$L$1517,L1445,$B$5:$B$1517,B1445,$C$5:$C$1517,"&lt;"&amp;C1445),"")</f>
        <v/>
      </c>
      <c r="R1445" s="0" t="str">
        <f aca="false">IF(M1445&gt;=Models!$G$6,1+COUNTIF($M$5:$M$1517,"&gt;"&amp;M1445)+COUNTIFS($M$5:$M$1517,M1445,$B$5:$B$1517,"&lt;"&amp;B1445)+COUNTIFS($M$5:$M$1517,M1445,$B$5:$B$1517,B1445,$C$5:$C$1517,"&lt;"&amp;C1445),"")</f>
        <v/>
      </c>
      <c r="S1445" s="0" t="str">
        <f aca="false">IF(N1445&gt;=Models!$G$7,1+COUNTIF($N$5:$N$1517,"&gt;"&amp;N1445)+COUNTIFS($N$5:$N$1517,N1445,$B$5:$B$1517,"&lt;"&amp;B1445)+COUNTIFS($N$5:$N$1517,N1445,$B$5:$B$1517,B1445,$C$5:$C$1517,"&lt;"&amp;C1445),"")</f>
        <v/>
      </c>
      <c r="T1445" s="8" t="n">
        <f aca="false">IF(O1445&gt;=Models!$G$8,1+COUNTIF($O$5:$O$1517,"&gt;"&amp;O1445)+COUNTIFS($O$5:$O$1517,O1445,$B$5:$B$1517,"&lt;"&amp;B1445)+COUNTIFS($O$5:$O$1517,O1445,$B$5:$B$1517,B1445,$C$5:$C$1517,"&lt;"&amp;C1445),"")</f>
        <v>1374</v>
      </c>
      <c r="U1445" s="8" t="n">
        <f aca="false">IF($K1445=1,COUNTIFS($L$5:$L$1517,"&gt;="&amp;L1445,$K$5:$K$1517,1)/COUNTIF($L$5:$L$1517,"&gt;="&amp;L1445),0)</f>
        <v>0</v>
      </c>
      <c r="V1445" s="8" t="n">
        <f aca="false">IF($K1445=1,COUNTIFS($M$5:$M$1517,"&gt;="&amp;M1445,$K$5:$K$1517,1)/COUNTIF($M$5:$M$1517,"&gt;="&amp;M1445),0)</f>
        <v>0</v>
      </c>
      <c r="W1445" s="8" t="n">
        <f aca="false">IF($K1445=1,COUNTIFS($N$5:$N$1517,"&gt;="&amp;N1445,$K$5:$K$1517,1)/COUNTIF($N$5:$N$1517,"&gt;="&amp;N1445),0)</f>
        <v>0</v>
      </c>
      <c r="X1445" s="8" t="n">
        <f aca="false">IF($K1445=1,COUNTIFS($O$5:$O$1517,"&gt;="&amp;O1445,$K$5:$K$1517,1)/COUNTIF($O$5:$O$1517,"&gt;="&amp;O1445),0)</f>
        <v>0</v>
      </c>
      <c r="Y1445" s="8" t="n">
        <f aca="false">IF($K1445=1,COUNTIFS($P$5:$P$1517,"&gt;="&amp;P1445,$K$5:$K$1517,1)/COUNTIF($P$5:$P$1517,"&gt;="&amp;P1445),0)</f>
        <v>0</v>
      </c>
      <c r="Z1445" s="8" t="n">
        <f aca="false">(L1445-$K1445)^2</f>
        <v>0.953618653156</v>
      </c>
      <c r="AA1445" s="8" t="n">
        <f aca="false">(M1445-$K1445)^2</f>
        <v>0.008475595969</v>
      </c>
      <c r="AB1445" s="8" t="n">
        <f aca="false">(N1445-$K1445)^2</f>
        <v>0.022966493209</v>
      </c>
      <c r="AC1445" s="8" t="n">
        <f aca="false">(O1445-$K1445)^2</f>
        <v>0.011274829489</v>
      </c>
      <c r="AD1445" s="8" t="n">
        <f aca="false">(P1445-$K1445)^2</f>
        <v>0.026594434084</v>
      </c>
      <c r="AE1445" s="8" t="n">
        <f aca="false">MIN(INT(ROUND(N1445*1000000,0)/100000),9)</f>
        <v>1</v>
      </c>
      <c r="AF1445" s="8" t="n">
        <f aca="false">MIN(INT(ROUND(P1445*1000000,0)/100000),9)</f>
        <v>1</v>
      </c>
    </row>
    <row r="1446" customFormat="false" ht="15" hidden="false" customHeight="false" outlineLevel="0" collapsed="false">
      <c r="A1446" s="4" t="n">
        <v>1442</v>
      </c>
      <c r="B1446" s="4" t="n">
        <v>1608</v>
      </c>
      <c r="C1446" s="4" t="n">
        <v>3</v>
      </c>
      <c r="D1446" s="11" t="n">
        <v>46143</v>
      </c>
      <c r="E1446" s="4" t="s">
        <v>202</v>
      </c>
      <c r="F1446" s="4" t="s">
        <v>206</v>
      </c>
      <c r="G1446" s="4" t="n">
        <v>13</v>
      </c>
      <c r="H1446" s="4" t="n">
        <v>2</v>
      </c>
      <c r="I1446" s="4" t="n">
        <v>0</v>
      </c>
      <c r="J1446" s="4" t="n">
        <v>1143</v>
      </c>
      <c r="K1446" s="4" t="n">
        <v>0</v>
      </c>
      <c r="L1446" s="12" t="n">
        <v>0.324768</v>
      </c>
      <c r="M1446" s="12" t="n">
        <v>0.092063</v>
      </c>
      <c r="N1446" s="12" t="n">
        <v>0.053356</v>
      </c>
      <c r="O1446" s="12" t="n">
        <v>0.106183</v>
      </c>
      <c r="P1446" s="12" t="n">
        <v>0.055003</v>
      </c>
      <c r="Q1446" s="0" t="str">
        <f aca="false">IF(L1446&gt;=Models!$G$5,1+COUNTIF($L$5:$L$1517,"&gt;"&amp;L1446)+COUNTIFS($L$5:$L$1517,L1446,$B$5:$B$1517,"&lt;"&amp;B1446)+COUNTIFS($L$5:$L$1517,L1446,$B$5:$B$1517,B1446,$C$5:$C$1517,"&lt;"&amp;C1446),"")</f>
        <v/>
      </c>
      <c r="R1446" s="0" t="str">
        <f aca="false">IF(M1446&gt;=Models!$G$6,1+COUNTIF($M$5:$M$1517,"&gt;"&amp;M1446)+COUNTIFS($M$5:$M$1517,M1446,$B$5:$B$1517,"&lt;"&amp;B1446)+COUNTIFS($M$5:$M$1517,M1446,$B$5:$B$1517,B1446,$C$5:$C$1517,"&lt;"&amp;C1446),"")</f>
        <v/>
      </c>
      <c r="S1446" s="0" t="str">
        <f aca="false">IF(N1446&gt;=Models!$G$7,1+COUNTIF($N$5:$N$1517,"&gt;"&amp;N1446)+COUNTIFS($N$5:$N$1517,N1446,$B$5:$B$1517,"&lt;"&amp;B1446)+COUNTIFS($N$5:$N$1517,N1446,$B$5:$B$1517,B1446,$C$5:$C$1517,"&lt;"&amp;C1446),"")</f>
        <v/>
      </c>
      <c r="T1446" s="8" t="n">
        <f aca="false">IF(O1446&gt;=Models!$G$8,1+COUNTIF($O$5:$O$1517,"&gt;"&amp;O1446)+COUNTIFS($O$5:$O$1517,O1446,$B$5:$B$1517,"&lt;"&amp;B1446)+COUNTIFS($O$5:$O$1517,O1446,$B$5:$B$1517,B1446,$C$5:$C$1517,"&lt;"&amp;C1446),"")</f>
        <v>1377</v>
      </c>
      <c r="U1446" s="8" t="n">
        <f aca="false">IF($K1446=1,COUNTIFS($L$5:$L$1517,"&gt;="&amp;L1446,$K$5:$K$1517,1)/COUNTIF($L$5:$L$1517,"&gt;="&amp;L1446),0)</f>
        <v>0</v>
      </c>
      <c r="V1446" s="8" t="n">
        <f aca="false">IF($K1446=1,COUNTIFS($M$5:$M$1517,"&gt;="&amp;M1446,$K$5:$K$1517,1)/COUNTIF($M$5:$M$1517,"&gt;="&amp;M1446),0)</f>
        <v>0</v>
      </c>
      <c r="W1446" s="8" t="n">
        <f aca="false">IF($K1446=1,COUNTIFS($N$5:$N$1517,"&gt;="&amp;N1446,$K$5:$K$1517,1)/COUNTIF($N$5:$N$1517,"&gt;="&amp;N1446),0)</f>
        <v>0</v>
      </c>
      <c r="X1446" s="8" t="n">
        <f aca="false">IF($K1446=1,COUNTIFS($O$5:$O$1517,"&gt;="&amp;O1446,$K$5:$K$1517,1)/COUNTIF($O$5:$O$1517,"&gt;="&amp;O1446),0)</f>
        <v>0</v>
      </c>
      <c r="Y1446" s="8" t="n">
        <f aca="false">IF($K1446=1,COUNTIFS($P$5:$P$1517,"&gt;="&amp;P1446,$K$5:$K$1517,1)/COUNTIF($P$5:$P$1517,"&gt;="&amp;P1446),0)</f>
        <v>0</v>
      </c>
      <c r="Z1446" s="8" t="n">
        <f aca="false">(L1446-$K1446)^2</f>
        <v>0.105474253824</v>
      </c>
      <c r="AA1446" s="8" t="n">
        <f aca="false">(M1446-$K1446)^2</f>
        <v>0.008475595969</v>
      </c>
      <c r="AB1446" s="8" t="n">
        <f aca="false">(N1446-$K1446)^2</f>
        <v>0.002846862736</v>
      </c>
      <c r="AC1446" s="8" t="n">
        <f aca="false">(O1446-$K1446)^2</f>
        <v>0.011274829489</v>
      </c>
      <c r="AD1446" s="8" t="n">
        <f aca="false">(P1446-$K1446)^2</f>
        <v>0.003025330009</v>
      </c>
      <c r="AE1446" s="8" t="n">
        <f aca="false">MIN(INT(ROUND(N1446*1000000,0)/100000),9)</f>
        <v>0</v>
      </c>
      <c r="AF1446" s="8" t="n">
        <f aca="false">MIN(INT(ROUND(P1446*1000000,0)/100000),9)</f>
        <v>0</v>
      </c>
    </row>
    <row r="1447" customFormat="false" ht="15" hidden="false" customHeight="false" outlineLevel="0" collapsed="false">
      <c r="A1447" s="4" t="n">
        <v>1443</v>
      </c>
      <c r="B1447" s="4" t="n">
        <v>1611</v>
      </c>
      <c r="C1447" s="4" t="n">
        <v>3</v>
      </c>
      <c r="D1447" s="11" t="n">
        <v>46143</v>
      </c>
      <c r="E1447" s="4" t="s">
        <v>204</v>
      </c>
      <c r="F1447" s="4" t="s">
        <v>208</v>
      </c>
      <c r="G1447" s="4" t="n">
        <v>3</v>
      </c>
      <c r="H1447" s="4" t="n">
        <v>8</v>
      </c>
      <c r="I1447" s="4" t="n">
        <v>0</v>
      </c>
      <c r="J1447" s="4" t="n">
        <v>108</v>
      </c>
      <c r="K1447" s="4" t="n">
        <v>0</v>
      </c>
      <c r="L1447" s="12" t="n">
        <v>0.601508</v>
      </c>
      <c r="M1447" s="12" t="n">
        <v>0.092063</v>
      </c>
      <c r="N1447" s="12" t="n">
        <v>0.133918</v>
      </c>
      <c r="O1447" s="12" t="n">
        <v>0.106183</v>
      </c>
      <c r="P1447" s="12" t="n">
        <v>0.14349</v>
      </c>
      <c r="Q1447" s="0" t="str">
        <f aca="false">IF(L1447&gt;=Models!$G$5,1+COUNTIF($L$5:$L$1517,"&gt;"&amp;L1447)+COUNTIFS($L$5:$L$1517,L1447,$B$5:$B$1517,"&lt;"&amp;B1447)+COUNTIFS($L$5:$L$1517,L1447,$B$5:$B$1517,B1447,$C$5:$C$1517,"&lt;"&amp;C1447),"")</f>
        <v/>
      </c>
      <c r="R1447" s="0" t="str">
        <f aca="false">IF(M1447&gt;=Models!$G$6,1+COUNTIF($M$5:$M$1517,"&gt;"&amp;M1447)+COUNTIFS($M$5:$M$1517,M1447,$B$5:$B$1517,"&lt;"&amp;B1447)+COUNTIFS($M$5:$M$1517,M1447,$B$5:$B$1517,B1447,$C$5:$C$1517,"&lt;"&amp;C1447),"")</f>
        <v/>
      </c>
      <c r="S1447" s="0" t="str">
        <f aca="false">IF(N1447&gt;=Models!$G$7,1+COUNTIF($N$5:$N$1517,"&gt;"&amp;N1447)+COUNTIFS($N$5:$N$1517,N1447,$B$5:$B$1517,"&lt;"&amp;B1447)+COUNTIFS($N$5:$N$1517,N1447,$B$5:$B$1517,B1447,$C$5:$C$1517,"&lt;"&amp;C1447),"")</f>
        <v/>
      </c>
      <c r="T1447" s="8" t="n">
        <f aca="false">IF(O1447&gt;=Models!$G$8,1+COUNTIF($O$5:$O$1517,"&gt;"&amp;O1447)+COUNTIFS($O$5:$O$1517,O1447,$B$5:$B$1517,"&lt;"&amp;B1447)+COUNTIFS($O$5:$O$1517,O1447,$B$5:$B$1517,B1447,$C$5:$C$1517,"&lt;"&amp;C1447),"")</f>
        <v>1382</v>
      </c>
      <c r="U1447" s="8" t="n">
        <f aca="false">IF($K1447=1,COUNTIFS($L$5:$L$1517,"&gt;="&amp;L1447,$K$5:$K$1517,1)/COUNTIF($L$5:$L$1517,"&gt;="&amp;L1447),0)</f>
        <v>0</v>
      </c>
      <c r="V1447" s="8" t="n">
        <f aca="false">IF($K1447=1,COUNTIFS($M$5:$M$1517,"&gt;="&amp;M1447,$K$5:$K$1517,1)/COUNTIF($M$5:$M$1517,"&gt;="&amp;M1447),0)</f>
        <v>0</v>
      </c>
      <c r="W1447" s="8" t="n">
        <f aca="false">IF($K1447=1,COUNTIFS($N$5:$N$1517,"&gt;="&amp;N1447,$K$5:$K$1517,1)/COUNTIF($N$5:$N$1517,"&gt;="&amp;N1447),0)</f>
        <v>0</v>
      </c>
      <c r="X1447" s="8" t="n">
        <f aca="false">IF($K1447=1,COUNTIFS($O$5:$O$1517,"&gt;="&amp;O1447,$K$5:$K$1517,1)/COUNTIF($O$5:$O$1517,"&gt;="&amp;O1447),0)</f>
        <v>0</v>
      </c>
      <c r="Y1447" s="8" t="n">
        <f aca="false">IF($K1447=1,COUNTIFS($P$5:$P$1517,"&gt;="&amp;P1447,$K$5:$K$1517,1)/COUNTIF($P$5:$P$1517,"&gt;="&amp;P1447),0)</f>
        <v>0</v>
      </c>
      <c r="Z1447" s="8" t="n">
        <f aca="false">(L1447-$K1447)^2</f>
        <v>0.361811874064</v>
      </c>
      <c r="AA1447" s="8" t="n">
        <f aca="false">(M1447-$K1447)^2</f>
        <v>0.008475595969</v>
      </c>
      <c r="AB1447" s="8" t="n">
        <f aca="false">(N1447-$K1447)^2</f>
        <v>0.017934030724</v>
      </c>
      <c r="AC1447" s="8" t="n">
        <f aca="false">(O1447-$K1447)^2</f>
        <v>0.011274829489</v>
      </c>
      <c r="AD1447" s="8" t="n">
        <f aca="false">(P1447-$K1447)^2</f>
        <v>0.0205893801</v>
      </c>
      <c r="AE1447" s="8" t="n">
        <f aca="false">MIN(INT(ROUND(N1447*1000000,0)/100000),9)</f>
        <v>1</v>
      </c>
      <c r="AF1447" s="8" t="n">
        <f aca="false">MIN(INT(ROUND(P1447*1000000,0)/100000),9)</f>
        <v>1</v>
      </c>
    </row>
    <row r="1448" customFormat="false" ht="15" hidden="false" customHeight="false" outlineLevel="0" collapsed="false">
      <c r="A1448" s="4" t="n">
        <v>1444</v>
      </c>
      <c r="B1448" s="4" t="n">
        <v>1613</v>
      </c>
      <c r="C1448" s="4" t="n">
        <v>3</v>
      </c>
      <c r="D1448" s="11" t="n">
        <v>46143</v>
      </c>
      <c r="E1448" s="4" t="s">
        <v>201</v>
      </c>
      <c r="F1448" s="4" t="s">
        <v>209</v>
      </c>
      <c r="G1448" s="4" t="n">
        <v>7</v>
      </c>
      <c r="H1448" s="4" t="n">
        <v>7</v>
      </c>
      <c r="I1448" s="4" t="n">
        <v>0</v>
      </c>
      <c r="J1448" s="4"/>
      <c r="K1448" s="4" t="n">
        <v>0</v>
      </c>
      <c r="L1448" s="12" t="n">
        <v>0.23454</v>
      </c>
      <c r="M1448" s="12" t="n">
        <v>0.092063</v>
      </c>
      <c r="N1448" s="12" t="n">
        <v>0.04809</v>
      </c>
      <c r="O1448" s="12" t="n">
        <v>0.106183</v>
      </c>
      <c r="P1448" s="12" t="n">
        <v>0.049338</v>
      </c>
      <c r="Q1448" s="0" t="str">
        <f aca="false">IF(L1448&gt;=Models!$G$5,1+COUNTIF($L$5:$L$1517,"&gt;"&amp;L1448)+COUNTIFS($L$5:$L$1517,L1448,$B$5:$B$1517,"&lt;"&amp;B1448)+COUNTIFS($L$5:$L$1517,L1448,$B$5:$B$1517,B1448,$C$5:$C$1517,"&lt;"&amp;C1448),"")</f>
        <v/>
      </c>
      <c r="R1448" s="0" t="str">
        <f aca="false">IF(M1448&gt;=Models!$G$6,1+COUNTIF($M$5:$M$1517,"&gt;"&amp;M1448)+COUNTIFS($M$5:$M$1517,M1448,$B$5:$B$1517,"&lt;"&amp;B1448)+COUNTIFS($M$5:$M$1517,M1448,$B$5:$B$1517,B1448,$C$5:$C$1517,"&lt;"&amp;C1448),"")</f>
        <v/>
      </c>
      <c r="S1448" s="0" t="str">
        <f aca="false">IF(N1448&gt;=Models!$G$7,1+COUNTIF($N$5:$N$1517,"&gt;"&amp;N1448)+COUNTIFS($N$5:$N$1517,N1448,$B$5:$B$1517,"&lt;"&amp;B1448)+COUNTIFS($N$5:$N$1517,N1448,$B$5:$B$1517,B1448,$C$5:$C$1517,"&lt;"&amp;C1448),"")</f>
        <v/>
      </c>
      <c r="T1448" s="8" t="n">
        <f aca="false">IF(O1448&gt;=Models!$G$8,1+COUNTIF($O$5:$O$1517,"&gt;"&amp;O1448)+COUNTIFS($O$5:$O$1517,O1448,$B$5:$B$1517,"&lt;"&amp;B1448)+COUNTIFS($O$5:$O$1517,O1448,$B$5:$B$1517,B1448,$C$5:$C$1517,"&lt;"&amp;C1448),"")</f>
        <v>1385</v>
      </c>
      <c r="U1448" s="8" t="n">
        <f aca="false">IF($K1448=1,COUNTIFS($L$5:$L$1517,"&gt;="&amp;L1448,$K$5:$K$1517,1)/COUNTIF($L$5:$L$1517,"&gt;="&amp;L1448),0)</f>
        <v>0</v>
      </c>
      <c r="V1448" s="8" t="n">
        <f aca="false">IF($K1448=1,COUNTIFS($M$5:$M$1517,"&gt;="&amp;M1448,$K$5:$K$1517,1)/COUNTIF($M$5:$M$1517,"&gt;="&amp;M1448),0)</f>
        <v>0</v>
      </c>
      <c r="W1448" s="8" t="n">
        <f aca="false">IF($K1448=1,COUNTIFS($N$5:$N$1517,"&gt;="&amp;N1448,$K$5:$K$1517,1)/COUNTIF($N$5:$N$1517,"&gt;="&amp;N1448),0)</f>
        <v>0</v>
      </c>
      <c r="X1448" s="8" t="n">
        <f aca="false">IF($K1448=1,COUNTIFS($O$5:$O$1517,"&gt;="&amp;O1448,$K$5:$K$1517,1)/COUNTIF($O$5:$O$1517,"&gt;="&amp;O1448),0)</f>
        <v>0</v>
      </c>
      <c r="Y1448" s="8" t="n">
        <f aca="false">IF($K1448=1,COUNTIFS($P$5:$P$1517,"&gt;="&amp;P1448,$K$5:$K$1517,1)/COUNTIF($P$5:$P$1517,"&gt;="&amp;P1448),0)</f>
        <v>0</v>
      </c>
      <c r="Z1448" s="8" t="n">
        <f aca="false">(L1448-$K1448)^2</f>
        <v>0.0550090116</v>
      </c>
      <c r="AA1448" s="8" t="n">
        <f aca="false">(M1448-$K1448)^2</f>
        <v>0.008475595969</v>
      </c>
      <c r="AB1448" s="8" t="n">
        <f aca="false">(N1448-$K1448)^2</f>
        <v>0.0023126481</v>
      </c>
      <c r="AC1448" s="8" t="n">
        <f aca="false">(O1448-$K1448)^2</f>
        <v>0.011274829489</v>
      </c>
      <c r="AD1448" s="8" t="n">
        <f aca="false">(P1448-$K1448)^2</f>
        <v>0.002434238244</v>
      </c>
      <c r="AE1448" s="8" t="n">
        <f aca="false">MIN(INT(ROUND(N1448*1000000,0)/100000),9)</f>
        <v>0</v>
      </c>
      <c r="AF1448" s="8" t="n">
        <f aca="false">MIN(INT(ROUND(P1448*1000000,0)/100000),9)</f>
        <v>0</v>
      </c>
    </row>
    <row r="1449" customFormat="false" ht="15" hidden="false" customHeight="false" outlineLevel="0" collapsed="false">
      <c r="A1449" s="4" t="n">
        <v>1445</v>
      </c>
      <c r="B1449" s="4" t="n">
        <v>1616</v>
      </c>
      <c r="C1449" s="4" t="n">
        <v>3</v>
      </c>
      <c r="D1449" s="11" t="n">
        <v>46143</v>
      </c>
      <c r="E1449" s="4" t="s">
        <v>201</v>
      </c>
      <c r="F1449" s="4" t="s">
        <v>209</v>
      </c>
      <c r="G1449" s="4" t="n">
        <v>14</v>
      </c>
      <c r="H1449" s="4" t="n">
        <v>1</v>
      </c>
      <c r="I1449" s="4" t="n">
        <v>1</v>
      </c>
      <c r="J1449" s="4"/>
      <c r="K1449" s="4" t="n">
        <v>0</v>
      </c>
      <c r="L1449" s="12" t="n">
        <v>0.198275</v>
      </c>
      <c r="M1449" s="12" t="n">
        <v>0.184211</v>
      </c>
      <c r="N1449" s="12" t="n">
        <v>0.044427</v>
      </c>
      <c r="O1449" s="12" t="n">
        <v>0.106183</v>
      </c>
      <c r="P1449" s="12" t="n">
        <v>0.045413</v>
      </c>
      <c r="Q1449" s="0" t="str">
        <f aca="false">IF(L1449&gt;=Models!$G$5,1+COUNTIF($L$5:$L$1517,"&gt;"&amp;L1449)+COUNTIFS($L$5:$L$1517,L1449,$B$5:$B$1517,"&lt;"&amp;B1449)+COUNTIFS($L$5:$L$1517,L1449,$B$5:$B$1517,B1449,$C$5:$C$1517,"&lt;"&amp;C1449),"")</f>
        <v/>
      </c>
      <c r="R1449" s="8" t="n">
        <f aca="false">IF(M1449&gt;=Models!$G$6,1+COUNTIF($M$5:$M$1517,"&gt;"&amp;M1449)+COUNTIFS($M$5:$M$1517,M1449,$B$5:$B$1517,"&lt;"&amp;B1449)+COUNTIFS($M$5:$M$1517,M1449,$B$5:$B$1517,B1449,$C$5:$C$1517,"&lt;"&amp;C1449),"")</f>
        <v>179</v>
      </c>
      <c r="S1449" s="0" t="str">
        <f aca="false">IF(N1449&gt;=Models!$G$7,1+COUNTIF($N$5:$N$1517,"&gt;"&amp;N1449)+COUNTIFS($N$5:$N$1517,N1449,$B$5:$B$1517,"&lt;"&amp;B1449)+COUNTIFS($N$5:$N$1517,N1449,$B$5:$B$1517,B1449,$C$5:$C$1517,"&lt;"&amp;C1449),"")</f>
        <v/>
      </c>
      <c r="T1449" s="8" t="n">
        <f aca="false">IF(O1449&gt;=Models!$G$8,1+COUNTIF($O$5:$O$1517,"&gt;"&amp;O1449)+COUNTIFS($O$5:$O$1517,O1449,$B$5:$B$1517,"&lt;"&amp;B1449)+COUNTIFS($O$5:$O$1517,O1449,$B$5:$B$1517,B1449,$C$5:$C$1517,"&lt;"&amp;C1449),"")</f>
        <v>1388</v>
      </c>
      <c r="U1449" s="8" t="n">
        <f aca="false">IF($K1449=1,COUNTIFS($L$5:$L$1517,"&gt;="&amp;L1449,$K$5:$K$1517,1)/COUNTIF($L$5:$L$1517,"&gt;="&amp;L1449),0)</f>
        <v>0</v>
      </c>
      <c r="V1449" s="8" t="n">
        <f aca="false">IF($K1449=1,COUNTIFS($M$5:$M$1517,"&gt;="&amp;M1449,$K$5:$K$1517,1)/COUNTIF($M$5:$M$1517,"&gt;="&amp;M1449),0)</f>
        <v>0</v>
      </c>
      <c r="W1449" s="8" t="n">
        <f aca="false">IF($K1449=1,COUNTIFS($N$5:$N$1517,"&gt;="&amp;N1449,$K$5:$K$1517,1)/COUNTIF($N$5:$N$1517,"&gt;="&amp;N1449),0)</f>
        <v>0</v>
      </c>
      <c r="X1449" s="8" t="n">
        <f aca="false">IF($K1449=1,COUNTIFS($O$5:$O$1517,"&gt;="&amp;O1449,$K$5:$K$1517,1)/COUNTIF($O$5:$O$1517,"&gt;="&amp;O1449),0)</f>
        <v>0</v>
      </c>
      <c r="Y1449" s="8" t="n">
        <f aca="false">IF($K1449=1,COUNTIFS($P$5:$P$1517,"&gt;="&amp;P1449,$K$5:$K$1517,1)/COUNTIF($P$5:$P$1517,"&gt;="&amp;P1449),0)</f>
        <v>0</v>
      </c>
      <c r="Z1449" s="8" t="n">
        <f aca="false">(L1449-$K1449)^2</f>
        <v>0.039312975625</v>
      </c>
      <c r="AA1449" s="8" t="n">
        <f aca="false">(M1449-$K1449)^2</f>
        <v>0.033933692521</v>
      </c>
      <c r="AB1449" s="8" t="n">
        <f aca="false">(N1449-$K1449)^2</f>
        <v>0.001973758329</v>
      </c>
      <c r="AC1449" s="8" t="n">
        <f aca="false">(O1449-$K1449)^2</f>
        <v>0.011274829489</v>
      </c>
      <c r="AD1449" s="8" t="n">
        <f aca="false">(P1449-$K1449)^2</f>
        <v>0.002062340569</v>
      </c>
      <c r="AE1449" s="8" t="n">
        <f aca="false">MIN(INT(ROUND(N1449*1000000,0)/100000),9)</f>
        <v>0</v>
      </c>
      <c r="AF1449" s="8" t="n">
        <f aca="false">MIN(INT(ROUND(P1449*1000000,0)/100000),9)</f>
        <v>0</v>
      </c>
    </row>
    <row r="1450" customFormat="false" ht="15" hidden="false" customHeight="false" outlineLevel="0" collapsed="false">
      <c r="A1450" s="4" t="n">
        <v>1446</v>
      </c>
      <c r="B1450" s="4" t="n">
        <v>1624</v>
      </c>
      <c r="C1450" s="4" t="n">
        <v>3</v>
      </c>
      <c r="D1450" s="11" t="n">
        <v>46143</v>
      </c>
      <c r="E1450" s="4" t="s">
        <v>203</v>
      </c>
      <c r="F1450" s="4" t="s">
        <v>206</v>
      </c>
      <c r="G1450" s="4" t="n">
        <v>1</v>
      </c>
      <c r="H1450" s="4" t="n">
        <v>16</v>
      </c>
      <c r="I1450" s="4" t="n">
        <v>0</v>
      </c>
      <c r="J1450" s="4"/>
      <c r="K1450" s="4" t="n">
        <v>0</v>
      </c>
      <c r="L1450" s="12" t="n">
        <v>0.434247</v>
      </c>
      <c r="M1450" s="12" t="n">
        <v>0.092063</v>
      </c>
      <c r="N1450" s="12" t="n">
        <v>0.085357</v>
      </c>
      <c r="O1450" s="12" t="n">
        <v>0.106183</v>
      </c>
      <c r="P1450" s="12" t="n">
        <v>0.089842</v>
      </c>
      <c r="Q1450" s="0" t="str">
        <f aca="false">IF(L1450&gt;=Models!$G$5,1+COUNTIF($L$5:$L$1517,"&gt;"&amp;L1450)+COUNTIFS($L$5:$L$1517,L1450,$B$5:$B$1517,"&lt;"&amp;B1450)+COUNTIFS($L$5:$L$1517,L1450,$B$5:$B$1517,B1450,$C$5:$C$1517,"&lt;"&amp;C1450),"")</f>
        <v/>
      </c>
      <c r="R1450" s="0" t="str">
        <f aca="false">IF(M1450&gt;=Models!$G$6,1+COUNTIF($M$5:$M$1517,"&gt;"&amp;M1450)+COUNTIFS($M$5:$M$1517,M1450,$B$5:$B$1517,"&lt;"&amp;B1450)+COUNTIFS($M$5:$M$1517,M1450,$B$5:$B$1517,B1450,$C$5:$C$1517,"&lt;"&amp;C1450),"")</f>
        <v/>
      </c>
      <c r="S1450" s="0" t="str">
        <f aca="false">IF(N1450&gt;=Models!$G$7,1+COUNTIF($N$5:$N$1517,"&gt;"&amp;N1450)+COUNTIFS($N$5:$N$1517,N1450,$B$5:$B$1517,"&lt;"&amp;B1450)+COUNTIFS($N$5:$N$1517,N1450,$B$5:$B$1517,B1450,$C$5:$C$1517,"&lt;"&amp;C1450),"")</f>
        <v/>
      </c>
      <c r="T1450" s="8" t="n">
        <f aca="false">IF(O1450&gt;=Models!$G$8,1+COUNTIF($O$5:$O$1517,"&gt;"&amp;O1450)+COUNTIFS($O$5:$O$1517,O1450,$B$5:$B$1517,"&lt;"&amp;B1450)+COUNTIFS($O$5:$O$1517,O1450,$B$5:$B$1517,B1450,$C$5:$C$1517,"&lt;"&amp;C1450),"")</f>
        <v>1391</v>
      </c>
      <c r="U1450" s="8" t="n">
        <f aca="false">IF($K1450=1,COUNTIFS($L$5:$L$1517,"&gt;="&amp;L1450,$K$5:$K$1517,1)/COUNTIF($L$5:$L$1517,"&gt;="&amp;L1450),0)</f>
        <v>0</v>
      </c>
      <c r="V1450" s="8" t="n">
        <f aca="false">IF($K1450=1,COUNTIFS($M$5:$M$1517,"&gt;="&amp;M1450,$K$5:$K$1517,1)/COUNTIF($M$5:$M$1517,"&gt;="&amp;M1450),0)</f>
        <v>0</v>
      </c>
      <c r="W1450" s="8" t="n">
        <f aca="false">IF($K1450=1,COUNTIFS($N$5:$N$1517,"&gt;="&amp;N1450,$K$5:$K$1517,1)/COUNTIF($N$5:$N$1517,"&gt;="&amp;N1450),0)</f>
        <v>0</v>
      </c>
      <c r="X1450" s="8" t="n">
        <f aca="false">IF($K1450=1,COUNTIFS($O$5:$O$1517,"&gt;="&amp;O1450,$K$5:$K$1517,1)/COUNTIF($O$5:$O$1517,"&gt;="&amp;O1450),0)</f>
        <v>0</v>
      </c>
      <c r="Y1450" s="8" t="n">
        <f aca="false">IF($K1450=1,COUNTIFS($P$5:$P$1517,"&gt;="&amp;P1450,$K$5:$K$1517,1)/COUNTIF($P$5:$P$1517,"&gt;="&amp;P1450),0)</f>
        <v>0</v>
      </c>
      <c r="Z1450" s="8" t="n">
        <f aca="false">(L1450-$K1450)^2</f>
        <v>0.188570457009</v>
      </c>
      <c r="AA1450" s="8" t="n">
        <f aca="false">(M1450-$K1450)^2</f>
        <v>0.008475595969</v>
      </c>
      <c r="AB1450" s="8" t="n">
        <f aca="false">(N1450-$K1450)^2</f>
        <v>0.007285817449</v>
      </c>
      <c r="AC1450" s="8" t="n">
        <f aca="false">(O1450-$K1450)^2</f>
        <v>0.011274829489</v>
      </c>
      <c r="AD1450" s="8" t="n">
        <f aca="false">(P1450-$K1450)^2</f>
        <v>0.008071584964</v>
      </c>
      <c r="AE1450" s="8" t="n">
        <f aca="false">MIN(INT(ROUND(N1450*1000000,0)/100000),9)</f>
        <v>0</v>
      </c>
      <c r="AF1450" s="8" t="n">
        <f aca="false">MIN(INT(ROUND(P1450*1000000,0)/100000),9)</f>
        <v>0</v>
      </c>
    </row>
    <row r="1451" customFormat="false" ht="15" hidden="false" customHeight="false" outlineLevel="0" collapsed="false">
      <c r="A1451" s="4" t="n">
        <v>1447</v>
      </c>
      <c r="B1451" s="4" t="n">
        <v>1626</v>
      </c>
      <c r="C1451" s="4" t="n">
        <v>3</v>
      </c>
      <c r="D1451" s="11" t="n">
        <v>46143</v>
      </c>
      <c r="E1451" s="4" t="s">
        <v>201</v>
      </c>
      <c r="F1451" s="4" t="s">
        <v>209</v>
      </c>
      <c r="G1451" s="4" t="n">
        <v>14</v>
      </c>
      <c r="H1451" s="4" t="n">
        <v>0</v>
      </c>
      <c r="I1451" s="4" t="n">
        <v>0</v>
      </c>
      <c r="J1451" s="4"/>
      <c r="K1451" s="4" t="n">
        <v>0</v>
      </c>
      <c r="L1451" s="12" t="n">
        <v>0.619702</v>
      </c>
      <c r="M1451" s="12" t="n">
        <v>0.092063</v>
      </c>
      <c r="N1451" s="12" t="n">
        <v>0.024778</v>
      </c>
      <c r="O1451" s="12" t="n">
        <v>0.106183</v>
      </c>
      <c r="P1451" s="12" t="n">
        <v>0.024639</v>
      </c>
      <c r="Q1451" s="0" t="str">
        <f aca="false">IF(L1451&gt;=Models!$G$5,1+COUNTIF($L$5:$L$1517,"&gt;"&amp;L1451)+COUNTIFS($L$5:$L$1517,L1451,$B$5:$B$1517,"&lt;"&amp;B1451)+COUNTIFS($L$5:$L$1517,L1451,$B$5:$B$1517,B1451,$C$5:$C$1517,"&lt;"&amp;C1451),"")</f>
        <v/>
      </c>
      <c r="R1451" s="0" t="str">
        <f aca="false">IF(M1451&gt;=Models!$G$6,1+COUNTIF($M$5:$M$1517,"&gt;"&amp;M1451)+COUNTIFS($M$5:$M$1517,M1451,$B$5:$B$1517,"&lt;"&amp;B1451)+COUNTIFS($M$5:$M$1517,M1451,$B$5:$B$1517,B1451,$C$5:$C$1517,"&lt;"&amp;C1451),"")</f>
        <v/>
      </c>
      <c r="S1451" s="0" t="str">
        <f aca="false">IF(N1451&gt;=Models!$G$7,1+COUNTIF($N$5:$N$1517,"&gt;"&amp;N1451)+COUNTIFS($N$5:$N$1517,N1451,$B$5:$B$1517,"&lt;"&amp;B1451)+COUNTIFS($N$5:$N$1517,N1451,$B$5:$B$1517,B1451,$C$5:$C$1517,"&lt;"&amp;C1451),"")</f>
        <v/>
      </c>
      <c r="T1451" s="8" t="n">
        <f aca="false">IF(O1451&gt;=Models!$G$8,1+COUNTIF($O$5:$O$1517,"&gt;"&amp;O1451)+COUNTIFS($O$5:$O$1517,O1451,$B$5:$B$1517,"&lt;"&amp;B1451)+COUNTIFS($O$5:$O$1517,O1451,$B$5:$B$1517,B1451,$C$5:$C$1517,"&lt;"&amp;C1451),"")</f>
        <v>1396</v>
      </c>
      <c r="U1451" s="8" t="n">
        <f aca="false">IF($K1451=1,COUNTIFS($L$5:$L$1517,"&gt;="&amp;L1451,$K$5:$K$1517,1)/COUNTIF($L$5:$L$1517,"&gt;="&amp;L1451),0)</f>
        <v>0</v>
      </c>
      <c r="V1451" s="8" t="n">
        <f aca="false">IF($K1451=1,COUNTIFS($M$5:$M$1517,"&gt;="&amp;M1451,$K$5:$K$1517,1)/COUNTIF($M$5:$M$1517,"&gt;="&amp;M1451),0)</f>
        <v>0</v>
      </c>
      <c r="W1451" s="8" t="n">
        <f aca="false">IF($K1451=1,COUNTIFS($N$5:$N$1517,"&gt;="&amp;N1451,$K$5:$K$1517,1)/COUNTIF($N$5:$N$1517,"&gt;="&amp;N1451),0)</f>
        <v>0</v>
      </c>
      <c r="X1451" s="8" t="n">
        <f aca="false">IF($K1451=1,COUNTIFS($O$5:$O$1517,"&gt;="&amp;O1451,$K$5:$K$1517,1)/COUNTIF($O$5:$O$1517,"&gt;="&amp;O1451),0)</f>
        <v>0</v>
      </c>
      <c r="Y1451" s="8" t="n">
        <f aca="false">IF($K1451=1,COUNTIFS($P$5:$P$1517,"&gt;="&amp;P1451,$K$5:$K$1517,1)/COUNTIF($P$5:$P$1517,"&gt;="&amp;P1451),0)</f>
        <v>0</v>
      </c>
      <c r="Z1451" s="8" t="n">
        <f aca="false">(L1451-$K1451)^2</f>
        <v>0.384030568804</v>
      </c>
      <c r="AA1451" s="8" t="n">
        <f aca="false">(M1451-$K1451)^2</f>
        <v>0.008475595969</v>
      </c>
      <c r="AB1451" s="8" t="n">
        <f aca="false">(N1451-$K1451)^2</f>
        <v>0.000613949284</v>
      </c>
      <c r="AC1451" s="8" t="n">
        <f aca="false">(O1451-$K1451)^2</f>
        <v>0.011274829489</v>
      </c>
      <c r="AD1451" s="8" t="n">
        <f aca="false">(P1451-$K1451)^2</f>
        <v>0.000607080321</v>
      </c>
      <c r="AE1451" s="8" t="n">
        <f aca="false">MIN(INT(ROUND(N1451*1000000,0)/100000),9)</f>
        <v>0</v>
      </c>
      <c r="AF1451" s="8" t="n">
        <f aca="false">MIN(INT(ROUND(P1451*1000000,0)/100000),9)</f>
        <v>0</v>
      </c>
    </row>
    <row r="1452" customFormat="false" ht="15" hidden="false" customHeight="false" outlineLevel="0" collapsed="false">
      <c r="A1452" s="4" t="n">
        <v>1448</v>
      </c>
      <c r="B1452" s="4" t="n">
        <v>1628</v>
      </c>
      <c r="C1452" s="4" t="n">
        <v>3</v>
      </c>
      <c r="D1452" s="11" t="n">
        <v>46143</v>
      </c>
      <c r="E1452" s="4" t="s">
        <v>202</v>
      </c>
      <c r="F1452" s="4" t="s">
        <v>210</v>
      </c>
      <c r="G1452" s="4" t="n">
        <v>6</v>
      </c>
      <c r="H1452" s="4" t="n">
        <v>9</v>
      </c>
      <c r="I1452" s="4" t="n">
        <v>0</v>
      </c>
      <c r="J1452" s="4"/>
      <c r="K1452" s="4" t="n">
        <v>1</v>
      </c>
      <c r="L1452" s="12" t="n">
        <v>0.633109</v>
      </c>
      <c r="M1452" s="12" t="n">
        <v>0.092063</v>
      </c>
      <c r="N1452" s="12" t="n">
        <v>0.053201</v>
      </c>
      <c r="O1452" s="12" t="n">
        <v>0.106183</v>
      </c>
      <c r="P1452" s="12" t="n">
        <v>0.054836</v>
      </c>
      <c r="Q1452" s="0" t="str">
        <f aca="false">IF(L1452&gt;=Models!$G$5,1+COUNTIF($L$5:$L$1517,"&gt;"&amp;L1452)+COUNTIFS($L$5:$L$1517,L1452,$B$5:$B$1517,"&lt;"&amp;B1452)+COUNTIFS($L$5:$L$1517,L1452,$B$5:$B$1517,B1452,$C$5:$C$1517,"&lt;"&amp;C1452),"")</f>
        <v/>
      </c>
      <c r="R1452" s="0" t="str">
        <f aca="false">IF(M1452&gt;=Models!$G$6,1+COUNTIF($M$5:$M$1517,"&gt;"&amp;M1452)+COUNTIFS($M$5:$M$1517,M1452,$B$5:$B$1517,"&lt;"&amp;B1452)+COUNTIFS($M$5:$M$1517,M1452,$B$5:$B$1517,B1452,$C$5:$C$1517,"&lt;"&amp;C1452),"")</f>
        <v/>
      </c>
      <c r="S1452" s="0" t="str">
        <f aca="false">IF(N1452&gt;=Models!$G$7,1+COUNTIF($N$5:$N$1517,"&gt;"&amp;N1452)+COUNTIFS($N$5:$N$1517,N1452,$B$5:$B$1517,"&lt;"&amp;B1452)+COUNTIFS($N$5:$N$1517,N1452,$B$5:$B$1517,B1452,$C$5:$C$1517,"&lt;"&amp;C1452),"")</f>
        <v/>
      </c>
      <c r="T1452" s="8" t="n">
        <f aca="false">IF(O1452&gt;=Models!$G$8,1+COUNTIF($O$5:$O$1517,"&gt;"&amp;O1452)+COUNTIFS($O$5:$O$1517,O1452,$B$5:$B$1517,"&lt;"&amp;B1452)+COUNTIFS($O$5:$O$1517,O1452,$B$5:$B$1517,B1452,$C$5:$C$1517,"&lt;"&amp;C1452),"")</f>
        <v>1399</v>
      </c>
      <c r="U1452" s="8" t="n">
        <f aca="false">IF($K1452=1,COUNTIFS($L$5:$L$1517,"&gt;="&amp;L1452,$K$5:$K$1517,1)/COUNTIF($L$5:$L$1517,"&gt;="&amp;L1452),0)</f>
        <v>0.131332082551595</v>
      </c>
      <c r="V1452" s="8" t="n">
        <f aca="false">IF($K1452=1,COUNTIFS($M$5:$M$1517,"&gt;="&amp;M1452,$K$5:$K$1517,1)/COUNTIF($M$5:$M$1517,"&gt;="&amp;M1452),0)</f>
        <v>0.12491738268341</v>
      </c>
      <c r="W1452" s="8" t="n">
        <f aca="false">IF($K1452=1,COUNTIFS($N$5:$N$1517,"&gt;="&amp;N1452,$K$5:$K$1517,1)/COUNTIF($N$5:$N$1517,"&gt;="&amp;N1452),0)</f>
        <v>0.153512575888985</v>
      </c>
      <c r="X1452" s="8" t="n">
        <f aca="false">IF($K1452=1,COUNTIFS($O$5:$O$1517,"&gt;="&amp;O1452,$K$5:$K$1517,1)/COUNTIF($O$5:$O$1517,"&gt;="&amp;O1452),0)</f>
        <v>0.12491738268341</v>
      </c>
      <c r="Y1452" s="8" t="n">
        <f aca="false">IF($K1452=1,COUNTIFS($P$5:$P$1517,"&gt;="&amp;P1452,$K$5:$K$1517,1)/COUNTIF($P$5:$P$1517,"&gt;="&amp;P1452),0)</f>
        <v>0.153512575888985</v>
      </c>
      <c r="Z1452" s="8" t="n">
        <f aca="false">(L1452-$K1452)^2</f>
        <v>0.134609005881</v>
      </c>
      <c r="AA1452" s="8" t="n">
        <f aca="false">(M1452-$K1452)^2</f>
        <v>0.824349595969</v>
      </c>
      <c r="AB1452" s="8" t="n">
        <f aca="false">(N1452-$K1452)^2</f>
        <v>0.896428346401</v>
      </c>
      <c r="AC1452" s="8" t="n">
        <f aca="false">(O1452-$K1452)^2</f>
        <v>0.798908829489</v>
      </c>
      <c r="AD1452" s="8" t="n">
        <f aca="false">(P1452-$K1452)^2</f>
        <v>0.893334986896</v>
      </c>
      <c r="AE1452" s="8" t="n">
        <f aca="false">MIN(INT(ROUND(N1452*1000000,0)/100000),9)</f>
        <v>0</v>
      </c>
      <c r="AF1452" s="8" t="n">
        <f aca="false">MIN(INT(ROUND(P1452*1000000,0)/100000),9)</f>
        <v>0</v>
      </c>
    </row>
    <row r="1453" customFormat="false" ht="15" hidden="false" customHeight="false" outlineLevel="0" collapsed="false">
      <c r="A1453" s="4" t="n">
        <v>1449</v>
      </c>
      <c r="B1453" s="4" t="n">
        <v>1634</v>
      </c>
      <c r="C1453" s="4" t="n">
        <v>3</v>
      </c>
      <c r="D1453" s="11" t="n">
        <v>46143</v>
      </c>
      <c r="E1453" s="4" t="s">
        <v>203</v>
      </c>
      <c r="F1453" s="4" t="s">
        <v>207</v>
      </c>
      <c r="G1453" s="4" t="n">
        <v>8</v>
      </c>
      <c r="H1453" s="4" t="n">
        <v>0</v>
      </c>
      <c r="I1453" s="4" t="n">
        <v>0</v>
      </c>
      <c r="J1453" s="4"/>
      <c r="K1453" s="4" t="n">
        <v>0</v>
      </c>
      <c r="L1453" s="12" t="n">
        <v>0.797885</v>
      </c>
      <c r="M1453" s="12" t="n">
        <v>0.092063</v>
      </c>
      <c r="N1453" s="12" t="n">
        <v>0.041776</v>
      </c>
      <c r="O1453" s="12" t="n">
        <v>0.106183</v>
      </c>
      <c r="P1453" s="12" t="n">
        <v>0.042581</v>
      </c>
      <c r="Q1453" s="0" t="str">
        <f aca="false">IF(L1453&gt;=Models!$G$5,1+COUNTIF($L$5:$L$1517,"&gt;"&amp;L1453)+COUNTIFS($L$5:$L$1517,L1453,$B$5:$B$1517,"&lt;"&amp;B1453)+COUNTIFS($L$5:$L$1517,L1453,$B$5:$B$1517,B1453,$C$5:$C$1517,"&lt;"&amp;C1453),"")</f>
        <v/>
      </c>
      <c r="R1453" s="0" t="str">
        <f aca="false">IF(M1453&gt;=Models!$G$6,1+COUNTIF($M$5:$M$1517,"&gt;"&amp;M1453)+COUNTIFS($M$5:$M$1517,M1453,$B$5:$B$1517,"&lt;"&amp;B1453)+COUNTIFS($M$5:$M$1517,M1453,$B$5:$B$1517,B1453,$C$5:$C$1517,"&lt;"&amp;C1453),"")</f>
        <v/>
      </c>
      <c r="S1453" s="0" t="str">
        <f aca="false">IF(N1453&gt;=Models!$G$7,1+COUNTIF($N$5:$N$1517,"&gt;"&amp;N1453)+COUNTIFS($N$5:$N$1517,N1453,$B$5:$B$1517,"&lt;"&amp;B1453)+COUNTIFS($N$5:$N$1517,N1453,$B$5:$B$1517,B1453,$C$5:$C$1517,"&lt;"&amp;C1453),"")</f>
        <v/>
      </c>
      <c r="T1453" s="8" t="n">
        <f aca="false">IF(O1453&gt;=Models!$G$8,1+COUNTIF($O$5:$O$1517,"&gt;"&amp;O1453)+COUNTIFS($O$5:$O$1517,O1453,$B$5:$B$1517,"&lt;"&amp;B1453)+COUNTIFS($O$5:$O$1517,O1453,$B$5:$B$1517,B1453,$C$5:$C$1517,"&lt;"&amp;C1453),"")</f>
        <v>1403</v>
      </c>
      <c r="U1453" s="8" t="n">
        <f aca="false">IF($K1453=1,COUNTIFS($L$5:$L$1517,"&gt;="&amp;L1453,$K$5:$K$1517,1)/COUNTIF($L$5:$L$1517,"&gt;="&amp;L1453),0)</f>
        <v>0</v>
      </c>
      <c r="V1453" s="8" t="n">
        <f aca="false">IF($K1453=1,COUNTIFS($M$5:$M$1517,"&gt;="&amp;M1453,$K$5:$K$1517,1)/COUNTIF($M$5:$M$1517,"&gt;="&amp;M1453),0)</f>
        <v>0</v>
      </c>
      <c r="W1453" s="8" t="n">
        <f aca="false">IF($K1453=1,COUNTIFS($N$5:$N$1517,"&gt;="&amp;N1453,$K$5:$K$1517,1)/COUNTIF($N$5:$N$1517,"&gt;="&amp;N1453),0)</f>
        <v>0</v>
      </c>
      <c r="X1453" s="8" t="n">
        <f aca="false">IF($K1453=1,COUNTIFS($O$5:$O$1517,"&gt;="&amp;O1453,$K$5:$K$1517,1)/COUNTIF($O$5:$O$1517,"&gt;="&amp;O1453),0)</f>
        <v>0</v>
      </c>
      <c r="Y1453" s="8" t="n">
        <f aca="false">IF($K1453=1,COUNTIFS($P$5:$P$1517,"&gt;="&amp;P1453,$K$5:$K$1517,1)/COUNTIF($P$5:$P$1517,"&gt;="&amp;P1453),0)</f>
        <v>0</v>
      </c>
      <c r="Z1453" s="8" t="n">
        <f aca="false">(L1453-$K1453)^2</f>
        <v>0.636620473225</v>
      </c>
      <c r="AA1453" s="8" t="n">
        <f aca="false">(M1453-$K1453)^2</f>
        <v>0.008475595969</v>
      </c>
      <c r="AB1453" s="8" t="n">
        <f aca="false">(N1453-$K1453)^2</f>
        <v>0.001745234176</v>
      </c>
      <c r="AC1453" s="8" t="n">
        <f aca="false">(O1453-$K1453)^2</f>
        <v>0.011274829489</v>
      </c>
      <c r="AD1453" s="8" t="n">
        <f aca="false">(P1453-$K1453)^2</f>
        <v>0.001813141561</v>
      </c>
      <c r="AE1453" s="8" t="n">
        <f aca="false">MIN(INT(ROUND(N1453*1000000,0)/100000),9)</f>
        <v>0</v>
      </c>
      <c r="AF1453" s="8" t="n">
        <f aca="false">MIN(INT(ROUND(P1453*1000000,0)/100000),9)</f>
        <v>0</v>
      </c>
    </row>
    <row r="1454" customFormat="false" ht="15" hidden="false" customHeight="false" outlineLevel="0" collapsed="false">
      <c r="A1454" s="4" t="n">
        <v>1450</v>
      </c>
      <c r="B1454" s="4" t="n">
        <v>1635</v>
      </c>
      <c r="C1454" s="4" t="n">
        <v>3</v>
      </c>
      <c r="D1454" s="11" t="n">
        <v>46143</v>
      </c>
      <c r="E1454" s="4" t="s">
        <v>203</v>
      </c>
      <c r="F1454" s="4" t="s">
        <v>209</v>
      </c>
      <c r="G1454" s="4" t="n">
        <v>0</v>
      </c>
      <c r="H1454" s="4" t="n">
        <v>32</v>
      </c>
      <c r="I1454" s="4" t="n">
        <v>0</v>
      </c>
      <c r="J1454" s="4" t="n">
        <v>396</v>
      </c>
      <c r="K1454" s="4" t="n">
        <v>1</v>
      </c>
      <c r="L1454" s="12" t="n">
        <v>0.388697</v>
      </c>
      <c r="M1454" s="12" t="n">
        <v>0.184211</v>
      </c>
      <c r="N1454" s="12" t="n">
        <v>0.19516</v>
      </c>
      <c r="O1454" s="12" t="n">
        <v>0.106183</v>
      </c>
      <c r="P1454" s="12" t="n">
        <v>0.211607</v>
      </c>
      <c r="Q1454" s="0" t="str">
        <f aca="false">IF(L1454&gt;=Models!$G$5,1+COUNTIF($L$5:$L$1517,"&gt;"&amp;L1454)+COUNTIFS($L$5:$L$1517,L1454,$B$5:$B$1517,"&lt;"&amp;B1454)+COUNTIFS($L$5:$L$1517,L1454,$B$5:$B$1517,B1454,$C$5:$C$1517,"&lt;"&amp;C1454),"")</f>
        <v/>
      </c>
      <c r="R1454" s="8" t="n">
        <f aca="false">IF(M1454&gt;=Models!$G$6,1+COUNTIF($M$5:$M$1517,"&gt;"&amp;M1454)+COUNTIFS($M$5:$M$1517,M1454,$B$5:$B$1517,"&lt;"&amp;B1454)+COUNTIFS($M$5:$M$1517,M1454,$B$5:$B$1517,B1454,$C$5:$C$1517,"&lt;"&amp;C1454),"")</f>
        <v>180</v>
      </c>
      <c r="S1454" s="0" t="str">
        <f aca="false">IF(N1454&gt;=Models!$G$7,1+COUNTIF($N$5:$N$1517,"&gt;"&amp;N1454)+COUNTIFS($N$5:$N$1517,N1454,$B$5:$B$1517,"&lt;"&amp;B1454)+COUNTIFS($N$5:$N$1517,N1454,$B$5:$B$1517,B1454,$C$5:$C$1517,"&lt;"&amp;C1454),"")</f>
        <v/>
      </c>
      <c r="T1454" s="8" t="n">
        <f aca="false">IF(O1454&gt;=Models!$G$8,1+COUNTIF($O$5:$O$1517,"&gt;"&amp;O1454)+COUNTIFS($O$5:$O$1517,O1454,$B$5:$B$1517,"&lt;"&amp;B1454)+COUNTIFS($O$5:$O$1517,O1454,$B$5:$B$1517,B1454,$C$5:$C$1517,"&lt;"&amp;C1454),"")</f>
        <v>1406</v>
      </c>
      <c r="U1454" s="8" t="n">
        <f aca="false">IF($K1454=1,COUNTIFS($L$5:$L$1517,"&gt;="&amp;L1454,$K$5:$K$1517,1)/COUNTIF($L$5:$L$1517,"&gt;="&amp;L1454),0)</f>
        <v>0.13019693654267</v>
      </c>
      <c r="V1454" s="8" t="n">
        <f aca="false">IF($K1454=1,COUNTIFS($M$5:$M$1517,"&gt;="&amp;M1454,$K$5:$K$1517,1)/COUNTIF($M$5:$M$1517,"&gt;="&amp;M1454),0)</f>
        <v>0.186528497409326</v>
      </c>
      <c r="W1454" s="8" t="n">
        <f aca="false">IF($K1454=1,COUNTIFS($N$5:$N$1517,"&gt;="&amp;N1454,$K$5:$K$1517,1)/COUNTIF($N$5:$N$1517,"&gt;="&amp;N1454),0)</f>
        <v>0.273972602739726</v>
      </c>
      <c r="X1454" s="8" t="n">
        <f aca="false">IF($K1454=1,COUNTIFS($O$5:$O$1517,"&gt;="&amp;O1454,$K$5:$K$1517,1)/COUNTIF($O$5:$O$1517,"&gt;="&amp;O1454),0)</f>
        <v>0.12491738268341</v>
      </c>
      <c r="Y1454" s="8" t="n">
        <f aca="false">IF($K1454=1,COUNTIFS($P$5:$P$1517,"&gt;="&amp;P1454,$K$5:$K$1517,1)/COUNTIF($P$5:$P$1517,"&gt;="&amp;P1454),0)</f>
        <v>0.273972602739726</v>
      </c>
      <c r="Z1454" s="8" t="n">
        <f aca="false">(L1454-$K1454)^2</f>
        <v>0.373691357809</v>
      </c>
      <c r="AA1454" s="8" t="n">
        <f aca="false">(M1454-$K1454)^2</f>
        <v>0.665511692521</v>
      </c>
      <c r="AB1454" s="8" t="n">
        <f aca="false">(N1454-$K1454)^2</f>
        <v>0.6477674256</v>
      </c>
      <c r="AC1454" s="8" t="n">
        <f aca="false">(O1454-$K1454)^2</f>
        <v>0.798908829489</v>
      </c>
      <c r="AD1454" s="8" t="n">
        <f aca="false">(P1454-$K1454)^2</f>
        <v>0.621563522449</v>
      </c>
      <c r="AE1454" s="8" t="n">
        <f aca="false">MIN(INT(ROUND(N1454*1000000,0)/100000),9)</f>
        <v>1</v>
      </c>
      <c r="AF1454" s="8" t="n">
        <f aca="false">MIN(INT(ROUND(P1454*1000000,0)/100000),9)</f>
        <v>2</v>
      </c>
    </row>
    <row r="1455" customFormat="false" ht="15" hidden="false" customHeight="false" outlineLevel="0" collapsed="false">
      <c r="A1455" s="4" t="n">
        <v>1451</v>
      </c>
      <c r="B1455" s="4" t="n">
        <v>1637</v>
      </c>
      <c r="C1455" s="4" t="n">
        <v>3</v>
      </c>
      <c r="D1455" s="11" t="n">
        <v>46143</v>
      </c>
      <c r="E1455" s="4" t="s">
        <v>203</v>
      </c>
      <c r="F1455" s="4" t="s">
        <v>206</v>
      </c>
      <c r="G1455" s="4" t="n">
        <v>7</v>
      </c>
      <c r="H1455" s="4" t="n">
        <v>4</v>
      </c>
      <c r="I1455" s="4" t="n">
        <v>0</v>
      </c>
      <c r="J1455" s="4" t="n">
        <v>240</v>
      </c>
      <c r="K1455" s="4" t="n">
        <v>0</v>
      </c>
      <c r="L1455" s="12" t="n">
        <v>0.05282</v>
      </c>
      <c r="M1455" s="12" t="n">
        <v>0.092063</v>
      </c>
      <c r="N1455" s="12" t="n">
        <v>0.093879</v>
      </c>
      <c r="O1455" s="12" t="n">
        <v>0.106183</v>
      </c>
      <c r="P1455" s="12" t="n">
        <v>0.099208</v>
      </c>
      <c r="Q1455" s="0" t="str">
        <f aca="false">IF(L1455&gt;=Models!$G$5,1+COUNTIF($L$5:$L$1517,"&gt;"&amp;L1455)+COUNTIFS($L$5:$L$1517,L1455,$B$5:$B$1517,"&lt;"&amp;B1455)+COUNTIFS($L$5:$L$1517,L1455,$B$5:$B$1517,B1455,$C$5:$C$1517,"&lt;"&amp;C1455),"")</f>
        <v/>
      </c>
      <c r="R1455" s="0" t="str">
        <f aca="false">IF(M1455&gt;=Models!$G$6,1+COUNTIF($M$5:$M$1517,"&gt;"&amp;M1455)+COUNTIFS($M$5:$M$1517,M1455,$B$5:$B$1517,"&lt;"&amp;B1455)+COUNTIFS($M$5:$M$1517,M1455,$B$5:$B$1517,B1455,$C$5:$C$1517,"&lt;"&amp;C1455),"")</f>
        <v/>
      </c>
      <c r="S1455" s="0" t="str">
        <f aca="false">IF(N1455&gt;=Models!$G$7,1+COUNTIF($N$5:$N$1517,"&gt;"&amp;N1455)+COUNTIFS($N$5:$N$1517,N1455,$B$5:$B$1517,"&lt;"&amp;B1455)+COUNTIFS($N$5:$N$1517,N1455,$B$5:$B$1517,B1455,$C$5:$C$1517,"&lt;"&amp;C1455),"")</f>
        <v/>
      </c>
      <c r="T1455" s="8" t="n">
        <f aca="false">IF(O1455&gt;=Models!$G$8,1+COUNTIF($O$5:$O$1517,"&gt;"&amp;O1455)+COUNTIFS($O$5:$O$1517,O1455,$B$5:$B$1517,"&lt;"&amp;B1455)+COUNTIFS($O$5:$O$1517,O1455,$B$5:$B$1517,B1455,$C$5:$C$1517,"&lt;"&amp;C1455),"")</f>
        <v>1409</v>
      </c>
      <c r="U1455" s="8" t="n">
        <f aca="false">IF($K1455=1,COUNTIFS($L$5:$L$1517,"&gt;="&amp;L1455,$K$5:$K$1517,1)/COUNTIF($L$5:$L$1517,"&gt;="&amp;L1455),0)</f>
        <v>0</v>
      </c>
      <c r="V1455" s="8" t="n">
        <f aca="false">IF($K1455=1,COUNTIFS($M$5:$M$1517,"&gt;="&amp;M1455,$K$5:$K$1517,1)/COUNTIF($M$5:$M$1517,"&gt;="&amp;M1455),0)</f>
        <v>0</v>
      </c>
      <c r="W1455" s="8" t="n">
        <f aca="false">IF($K1455=1,COUNTIFS($N$5:$N$1517,"&gt;="&amp;N1455,$K$5:$K$1517,1)/COUNTIF($N$5:$N$1517,"&gt;="&amp;N1455),0)</f>
        <v>0</v>
      </c>
      <c r="X1455" s="8" t="n">
        <f aca="false">IF($K1455=1,COUNTIFS($O$5:$O$1517,"&gt;="&amp;O1455,$K$5:$K$1517,1)/COUNTIF($O$5:$O$1517,"&gt;="&amp;O1455),0)</f>
        <v>0</v>
      </c>
      <c r="Y1455" s="8" t="n">
        <f aca="false">IF($K1455=1,COUNTIFS($P$5:$P$1517,"&gt;="&amp;P1455,$K$5:$K$1517,1)/COUNTIF($P$5:$P$1517,"&gt;="&amp;P1455),0)</f>
        <v>0</v>
      </c>
      <c r="Z1455" s="8" t="n">
        <f aca="false">(L1455-$K1455)^2</f>
        <v>0.0027899524</v>
      </c>
      <c r="AA1455" s="8" t="n">
        <f aca="false">(M1455-$K1455)^2</f>
        <v>0.008475595969</v>
      </c>
      <c r="AB1455" s="8" t="n">
        <f aca="false">(N1455-$K1455)^2</f>
        <v>0.008813266641</v>
      </c>
      <c r="AC1455" s="8" t="n">
        <f aca="false">(O1455-$K1455)^2</f>
        <v>0.011274829489</v>
      </c>
      <c r="AD1455" s="8" t="n">
        <f aca="false">(P1455-$K1455)^2</f>
        <v>0.009842227264</v>
      </c>
      <c r="AE1455" s="8" t="n">
        <f aca="false">MIN(INT(ROUND(N1455*1000000,0)/100000),9)</f>
        <v>0</v>
      </c>
      <c r="AF1455" s="8" t="n">
        <f aca="false">MIN(INT(ROUND(P1455*1000000,0)/100000),9)</f>
        <v>0</v>
      </c>
    </row>
    <row r="1456" customFormat="false" ht="15" hidden="false" customHeight="false" outlineLevel="0" collapsed="false">
      <c r="A1456" s="4" t="n">
        <v>1452</v>
      </c>
      <c r="B1456" s="4" t="n">
        <v>1638</v>
      </c>
      <c r="C1456" s="4" t="n">
        <v>3</v>
      </c>
      <c r="D1456" s="11" t="n">
        <v>46143</v>
      </c>
      <c r="E1456" s="4" t="s">
        <v>203</v>
      </c>
      <c r="F1456" s="4" t="s">
        <v>209</v>
      </c>
      <c r="G1456" s="4" t="n">
        <v>5</v>
      </c>
      <c r="H1456" s="4" t="n">
        <v>13</v>
      </c>
      <c r="I1456" s="4" t="n">
        <v>0</v>
      </c>
      <c r="J1456" s="4" t="n">
        <v>342</v>
      </c>
      <c r="K1456" s="4" t="n">
        <v>0</v>
      </c>
      <c r="L1456" s="12" t="n">
        <v>0.011638</v>
      </c>
      <c r="M1456" s="12" t="n">
        <v>0.092063</v>
      </c>
      <c r="N1456" s="12" t="n">
        <v>0.117186</v>
      </c>
      <c r="O1456" s="12" t="n">
        <v>0.106183</v>
      </c>
      <c r="P1456" s="12" t="n">
        <v>0.12494</v>
      </c>
      <c r="Q1456" s="0" t="str">
        <f aca="false">IF(L1456&gt;=Models!$G$5,1+COUNTIF($L$5:$L$1517,"&gt;"&amp;L1456)+COUNTIFS($L$5:$L$1517,L1456,$B$5:$B$1517,"&lt;"&amp;B1456)+COUNTIFS($L$5:$L$1517,L1456,$B$5:$B$1517,B1456,$C$5:$C$1517,"&lt;"&amp;C1456),"")</f>
        <v/>
      </c>
      <c r="R1456" s="0" t="str">
        <f aca="false">IF(M1456&gt;=Models!$G$6,1+COUNTIF($M$5:$M$1517,"&gt;"&amp;M1456)+COUNTIFS($M$5:$M$1517,M1456,$B$5:$B$1517,"&lt;"&amp;B1456)+COUNTIFS($M$5:$M$1517,M1456,$B$5:$B$1517,B1456,$C$5:$C$1517,"&lt;"&amp;C1456),"")</f>
        <v/>
      </c>
      <c r="S1456" s="0" t="str">
        <f aca="false">IF(N1456&gt;=Models!$G$7,1+COUNTIF($N$5:$N$1517,"&gt;"&amp;N1456)+COUNTIFS($N$5:$N$1517,N1456,$B$5:$B$1517,"&lt;"&amp;B1456)+COUNTIFS($N$5:$N$1517,N1456,$B$5:$B$1517,B1456,$C$5:$C$1517,"&lt;"&amp;C1456),"")</f>
        <v/>
      </c>
      <c r="T1456" s="8" t="n">
        <f aca="false">IF(O1456&gt;=Models!$G$8,1+COUNTIF($O$5:$O$1517,"&gt;"&amp;O1456)+COUNTIFS($O$5:$O$1517,O1456,$B$5:$B$1517,"&lt;"&amp;B1456)+COUNTIFS($O$5:$O$1517,O1456,$B$5:$B$1517,B1456,$C$5:$C$1517,"&lt;"&amp;C1456),"")</f>
        <v>1412</v>
      </c>
      <c r="U1456" s="8" t="n">
        <f aca="false">IF($K1456=1,COUNTIFS($L$5:$L$1517,"&gt;="&amp;L1456,$K$5:$K$1517,1)/COUNTIF($L$5:$L$1517,"&gt;="&amp;L1456),0)</f>
        <v>0</v>
      </c>
      <c r="V1456" s="8" t="n">
        <f aca="false">IF($K1456=1,COUNTIFS($M$5:$M$1517,"&gt;="&amp;M1456,$K$5:$K$1517,1)/COUNTIF($M$5:$M$1517,"&gt;="&amp;M1456),0)</f>
        <v>0</v>
      </c>
      <c r="W1456" s="8" t="n">
        <f aca="false">IF($K1456=1,COUNTIFS($N$5:$N$1517,"&gt;="&amp;N1456,$K$5:$K$1517,1)/COUNTIF($N$5:$N$1517,"&gt;="&amp;N1456),0)</f>
        <v>0</v>
      </c>
      <c r="X1456" s="8" t="n">
        <f aca="false">IF($K1456=1,COUNTIFS($O$5:$O$1517,"&gt;="&amp;O1456,$K$5:$K$1517,1)/COUNTIF($O$5:$O$1517,"&gt;="&amp;O1456),0)</f>
        <v>0</v>
      </c>
      <c r="Y1456" s="8" t="n">
        <f aca="false">IF($K1456=1,COUNTIFS($P$5:$P$1517,"&gt;="&amp;P1456,$K$5:$K$1517,1)/COUNTIF($P$5:$P$1517,"&gt;="&amp;P1456),0)</f>
        <v>0</v>
      </c>
      <c r="Z1456" s="8" t="n">
        <f aca="false">(L1456-$K1456)^2</f>
        <v>0.000135443044</v>
      </c>
      <c r="AA1456" s="8" t="n">
        <f aca="false">(M1456-$K1456)^2</f>
        <v>0.008475595969</v>
      </c>
      <c r="AB1456" s="8" t="n">
        <f aca="false">(N1456-$K1456)^2</f>
        <v>0.013732558596</v>
      </c>
      <c r="AC1456" s="8" t="n">
        <f aca="false">(O1456-$K1456)^2</f>
        <v>0.011274829489</v>
      </c>
      <c r="AD1456" s="8" t="n">
        <f aca="false">(P1456-$K1456)^2</f>
        <v>0.0156100036</v>
      </c>
      <c r="AE1456" s="8" t="n">
        <f aca="false">MIN(INT(ROUND(N1456*1000000,0)/100000),9)</f>
        <v>1</v>
      </c>
      <c r="AF1456" s="8" t="n">
        <f aca="false">MIN(INT(ROUND(P1456*1000000,0)/100000),9)</f>
        <v>1</v>
      </c>
    </row>
    <row r="1457" customFormat="false" ht="15" hidden="false" customHeight="false" outlineLevel="0" collapsed="false">
      <c r="A1457" s="4" t="n">
        <v>1453</v>
      </c>
      <c r="B1457" s="4" t="n">
        <v>1639</v>
      </c>
      <c r="C1457" s="4" t="n">
        <v>3</v>
      </c>
      <c r="D1457" s="11" t="n">
        <v>46143</v>
      </c>
      <c r="E1457" s="4" t="s">
        <v>202</v>
      </c>
      <c r="F1457" s="4" t="s">
        <v>209</v>
      </c>
      <c r="G1457" s="4" t="n">
        <v>6</v>
      </c>
      <c r="H1457" s="4" t="n">
        <v>2</v>
      </c>
      <c r="I1457" s="4" t="n">
        <v>0</v>
      </c>
      <c r="J1457" s="4" t="n">
        <v>1146</v>
      </c>
      <c r="K1457" s="4" t="n">
        <v>0</v>
      </c>
      <c r="L1457" s="12" t="n">
        <v>0.148488</v>
      </c>
      <c r="M1457" s="12" t="n">
        <v>0.092063</v>
      </c>
      <c r="N1457" s="12" t="n">
        <v>0.09568</v>
      </c>
      <c r="O1457" s="12" t="n">
        <v>0.106183</v>
      </c>
      <c r="P1457" s="12" t="n">
        <v>0.10119</v>
      </c>
      <c r="Q1457" s="0" t="str">
        <f aca="false">IF(L1457&gt;=Models!$G$5,1+COUNTIF($L$5:$L$1517,"&gt;"&amp;L1457)+COUNTIFS($L$5:$L$1517,L1457,$B$5:$B$1517,"&lt;"&amp;B1457)+COUNTIFS($L$5:$L$1517,L1457,$B$5:$B$1517,B1457,$C$5:$C$1517,"&lt;"&amp;C1457),"")</f>
        <v/>
      </c>
      <c r="R1457" s="0" t="str">
        <f aca="false">IF(M1457&gt;=Models!$G$6,1+COUNTIF($M$5:$M$1517,"&gt;"&amp;M1457)+COUNTIFS($M$5:$M$1517,M1457,$B$5:$B$1517,"&lt;"&amp;B1457)+COUNTIFS($M$5:$M$1517,M1457,$B$5:$B$1517,B1457,$C$5:$C$1517,"&lt;"&amp;C1457),"")</f>
        <v/>
      </c>
      <c r="S1457" s="0" t="str">
        <f aca="false">IF(N1457&gt;=Models!$G$7,1+COUNTIF($N$5:$N$1517,"&gt;"&amp;N1457)+COUNTIFS($N$5:$N$1517,N1457,$B$5:$B$1517,"&lt;"&amp;B1457)+COUNTIFS($N$5:$N$1517,N1457,$B$5:$B$1517,B1457,$C$5:$C$1517,"&lt;"&amp;C1457),"")</f>
        <v/>
      </c>
      <c r="T1457" s="8" t="n">
        <f aca="false">IF(O1457&gt;=Models!$G$8,1+COUNTIF($O$5:$O$1517,"&gt;"&amp;O1457)+COUNTIFS($O$5:$O$1517,O1457,$B$5:$B$1517,"&lt;"&amp;B1457)+COUNTIFS($O$5:$O$1517,O1457,$B$5:$B$1517,B1457,$C$5:$C$1517,"&lt;"&amp;C1457),"")</f>
        <v>1415</v>
      </c>
      <c r="U1457" s="8" t="n">
        <f aca="false">IF($K1457=1,COUNTIFS($L$5:$L$1517,"&gt;="&amp;L1457,$K$5:$K$1517,1)/COUNTIF($L$5:$L$1517,"&gt;="&amp;L1457),0)</f>
        <v>0</v>
      </c>
      <c r="V1457" s="8" t="n">
        <f aca="false">IF($K1457=1,COUNTIFS($M$5:$M$1517,"&gt;="&amp;M1457,$K$5:$K$1517,1)/COUNTIF($M$5:$M$1517,"&gt;="&amp;M1457),0)</f>
        <v>0</v>
      </c>
      <c r="W1457" s="8" t="n">
        <f aca="false">IF($K1457=1,COUNTIFS($N$5:$N$1517,"&gt;="&amp;N1457,$K$5:$K$1517,1)/COUNTIF($N$5:$N$1517,"&gt;="&amp;N1457),0)</f>
        <v>0</v>
      </c>
      <c r="X1457" s="8" t="n">
        <f aca="false">IF($K1457=1,COUNTIFS($O$5:$O$1517,"&gt;="&amp;O1457,$K$5:$K$1517,1)/COUNTIF($O$5:$O$1517,"&gt;="&amp;O1457),0)</f>
        <v>0</v>
      </c>
      <c r="Y1457" s="8" t="n">
        <f aca="false">IF($K1457=1,COUNTIFS($P$5:$P$1517,"&gt;="&amp;P1457,$K$5:$K$1517,1)/COUNTIF($P$5:$P$1517,"&gt;="&amp;P1457),0)</f>
        <v>0</v>
      </c>
      <c r="Z1457" s="8" t="n">
        <f aca="false">(L1457-$K1457)^2</f>
        <v>0.022048686144</v>
      </c>
      <c r="AA1457" s="8" t="n">
        <f aca="false">(M1457-$K1457)^2</f>
        <v>0.008475595969</v>
      </c>
      <c r="AB1457" s="8" t="n">
        <f aca="false">(N1457-$K1457)^2</f>
        <v>0.0091546624</v>
      </c>
      <c r="AC1457" s="8" t="n">
        <f aca="false">(O1457-$K1457)^2</f>
        <v>0.011274829489</v>
      </c>
      <c r="AD1457" s="8" t="n">
        <f aca="false">(P1457-$K1457)^2</f>
        <v>0.0102394161</v>
      </c>
      <c r="AE1457" s="8" t="n">
        <f aca="false">MIN(INT(ROUND(N1457*1000000,0)/100000),9)</f>
        <v>0</v>
      </c>
      <c r="AF1457" s="8" t="n">
        <f aca="false">MIN(INT(ROUND(P1457*1000000,0)/100000),9)</f>
        <v>1</v>
      </c>
    </row>
    <row r="1458" customFormat="false" ht="15" hidden="false" customHeight="false" outlineLevel="0" collapsed="false">
      <c r="A1458" s="4" t="n">
        <v>1454</v>
      </c>
      <c r="B1458" s="4" t="n">
        <v>1653</v>
      </c>
      <c r="C1458" s="4" t="n">
        <v>3</v>
      </c>
      <c r="D1458" s="11" t="n">
        <v>46143</v>
      </c>
      <c r="E1458" s="4" t="s">
        <v>201</v>
      </c>
      <c r="F1458" s="4" t="s">
        <v>209</v>
      </c>
      <c r="G1458" s="4" t="n">
        <v>7</v>
      </c>
      <c r="H1458" s="4" t="n">
        <v>0</v>
      </c>
      <c r="I1458" s="4" t="n">
        <v>0</v>
      </c>
      <c r="J1458" s="4" t="n">
        <v>4926</v>
      </c>
      <c r="K1458" s="4" t="n">
        <v>0</v>
      </c>
      <c r="L1458" s="12" t="n">
        <v>0.46707</v>
      </c>
      <c r="M1458" s="12" t="n">
        <v>0.092063</v>
      </c>
      <c r="N1458" s="12" t="n">
        <v>0.070959</v>
      </c>
      <c r="O1458" s="12" t="n">
        <v>0.106183</v>
      </c>
      <c r="P1458" s="12" t="n">
        <v>0.074093</v>
      </c>
      <c r="Q1458" s="0" t="str">
        <f aca="false">IF(L1458&gt;=Models!$G$5,1+COUNTIF($L$5:$L$1517,"&gt;"&amp;L1458)+COUNTIFS($L$5:$L$1517,L1458,$B$5:$B$1517,"&lt;"&amp;B1458)+COUNTIFS($L$5:$L$1517,L1458,$B$5:$B$1517,B1458,$C$5:$C$1517,"&lt;"&amp;C1458),"")</f>
        <v/>
      </c>
      <c r="R1458" s="0" t="str">
        <f aca="false">IF(M1458&gt;=Models!$G$6,1+COUNTIF($M$5:$M$1517,"&gt;"&amp;M1458)+COUNTIFS($M$5:$M$1517,M1458,$B$5:$B$1517,"&lt;"&amp;B1458)+COUNTIFS($M$5:$M$1517,M1458,$B$5:$B$1517,B1458,$C$5:$C$1517,"&lt;"&amp;C1458),"")</f>
        <v/>
      </c>
      <c r="S1458" s="0" t="str">
        <f aca="false">IF(N1458&gt;=Models!$G$7,1+COUNTIF($N$5:$N$1517,"&gt;"&amp;N1458)+COUNTIFS($N$5:$N$1517,N1458,$B$5:$B$1517,"&lt;"&amp;B1458)+COUNTIFS($N$5:$N$1517,N1458,$B$5:$B$1517,B1458,$C$5:$C$1517,"&lt;"&amp;C1458),"")</f>
        <v/>
      </c>
      <c r="T1458" s="8" t="n">
        <f aca="false">IF(O1458&gt;=Models!$G$8,1+COUNTIF($O$5:$O$1517,"&gt;"&amp;O1458)+COUNTIFS($O$5:$O$1517,O1458,$B$5:$B$1517,"&lt;"&amp;B1458)+COUNTIFS($O$5:$O$1517,O1458,$B$5:$B$1517,B1458,$C$5:$C$1517,"&lt;"&amp;C1458),"")</f>
        <v>1418</v>
      </c>
      <c r="U1458" s="8" t="n">
        <f aca="false">IF($K1458=1,COUNTIFS($L$5:$L$1517,"&gt;="&amp;L1458,$K$5:$K$1517,1)/COUNTIF($L$5:$L$1517,"&gt;="&amp;L1458),0)</f>
        <v>0</v>
      </c>
      <c r="V1458" s="8" t="n">
        <f aca="false">IF($K1458=1,COUNTIFS($M$5:$M$1517,"&gt;="&amp;M1458,$K$5:$K$1517,1)/COUNTIF($M$5:$M$1517,"&gt;="&amp;M1458),0)</f>
        <v>0</v>
      </c>
      <c r="W1458" s="8" t="n">
        <f aca="false">IF($K1458=1,COUNTIFS($N$5:$N$1517,"&gt;="&amp;N1458,$K$5:$K$1517,1)/COUNTIF($N$5:$N$1517,"&gt;="&amp;N1458),0)</f>
        <v>0</v>
      </c>
      <c r="X1458" s="8" t="n">
        <f aca="false">IF($K1458=1,COUNTIFS($O$5:$O$1517,"&gt;="&amp;O1458,$K$5:$K$1517,1)/COUNTIF($O$5:$O$1517,"&gt;="&amp;O1458),0)</f>
        <v>0</v>
      </c>
      <c r="Y1458" s="8" t="n">
        <f aca="false">IF($K1458=1,COUNTIFS($P$5:$P$1517,"&gt;="&amp;P1458,$K$5:$K$1517,1)/COUNTIF($P$5:$P$1517,"&gt;="&amp;P1458),0)</f>
        <v>0</v>
      </c>
      <c r="Z1458" s="8" t="n">
        <f aca="false">(L1458-$K1458)^2</f>
        <v>0.2181543849</v>
      </c>
      <c r="AA1458" s="8" t="n">
        <f aca="false">(M1458-$K1458)^2</f>
        <v>0.008475595969</v>
      </c>
      <c r="AB1458" s="8" t="n">
        <f aca="false">(N1458-$K1458)^2</f>
        <v>0.005035179681</v>
      </c>
      <c r="AC1458" s="8" t="n">
        <f aca="false">(O1458-$K1458)^2</f>
        <v>0.011274829489</v>
      </c>
      <c r="AD1458" s="8" t="n">
        <f aca="false">(P1458-$K1458)^2</f>
        <v>0.005489772649</v>
      </c>
      <c r="AE1458" s="8" t="n">
        <f aca="false">MIN(INT(ROUND(N1458*1000000,0)/100000),9)</f>
        <v>0</v>
      </c>
      <c r="AF1458" s="8" t="n">
        <f aca="false">MIN(INT(ROUND(P1458*1000000,0)/100000),9)</f>
        <v>0</v>
      </c>
    </row>
    <row r="1459" customFormat="false" ht="15" hidden="false" customHeight="false" outlineLevel="0" collapsed="false">
      <c r="A1459" s="4" t="n">
        <v>1455</v>
      </c>
      <c r="B1459" s="4" t="n">
        <v>1661</v>
      </c>
      <c r="C1459" s="4" t="n">
        <v>3</v>
      </c>
      <c r="D1459" s="11" t="n">
        <v>46143</v>
      </c>
      <c r="E1459" s="4" t="s">
        <v>204</v>
      </c>
      <c r="F1459" s="4" t="s">
        <v>209</v>
      </c>
      <c r="G1459" s="4" t="n">
        <v>1</v>
      </c>
      <c r="H1459" s="4" t="n">
        <v>8</v>
      </c>
      <c r="I1459" s="4" t="n">
        <v>0</v>
      </c>
      <c r="J1459" s="4"/>
      <c r="K1459" s="4" t="n">
        <v>0</v>
      </c>
      <c r="L1459" s="12" t="n">
        <v>0.484329</v>
      </c>
      <c r="M1459" s="12" t="n">
        <v>0.092063</v>
      </c>
      <c r="N1459" s="12" t="n">
        <v>0.080376</v>
      </c>
      <c r="O1459" s="12" t="n">
        <v>0.106183</v>
      </c>
      <c r="P1459" s="12" t="n">
        <v>0.084383</v>
      </c>
      <c r="Q1459" s="0" t="str">
        <f aca="false">IF(L1459&gt;=Models!$G$5,1+COUNTIF($L$5:$L$1517,"&gt;"&amp;L1459)+COUNTIFS($L$5:$L$1517,L1459,$B$5:$B$1517,"&lt;"&amp;B1459)+COUNTIFS($L$5:$L$1517,L1459,$B$5:$B$1517,B1459,$C$5:$C$1517,"&lt;"&amp;C1459),"")</f>
        <v/>
      </c>
      <c r="R1459" s="0" t="str">
        <f aca="false">IF(M1459&gt;=Models!$G$6,1+COUNTIF($M$5:$M$1517,"&gt;"&amp;M1459)+COUNTIFS($M$5:$M$1517,M1459,$B$5:$B$1517,"&lt;"&amp;B1459)+COUNTIFS($M$5:$M$1517,M1459,$B$5:$B$1517,B1459,$C$5:$C$1517,"&lt;"&amp;C1459),"")</f>
        <v/>
      </c>
      <c r="S1459" s="0" t="str">
        <f aca="false">IF(N1459&gt;=Models!$G$7,1+COUNTIF($N$5:$N$1517,"&gt;"&amp;N1459)+COUNTIFS($N$5:$N$1517,N1459,$B$5:$B$1517,"&lt;"&amp;B1459)+COUNTIFS($N$5:$N$1517,N1459,$B$5:$B$1517,B1459,$C$5:$C$1517,"&lt;"&amp;C1459),"")</f>
        <v/>
      </c>
      <c r="T1459" s="8" t="n">
        <f aca="false">IF(O1459&gt;=Models!$G$8,1+COUNTIF($O$5:$O$1517,"&gt;"&amp;O1459)+COUNTIFS($O$5:$O$1517,O1459,$B$5:$B$1517,"&lt;"&amp;B1459)+COUNTIFS($O$5:$O$1517,O1459,$B$5:$B$1517,B1459,$C$5:$C$1517,"&lt;"&amp;C1459),"")</f>
        <v>1421</v>
      </c>
      <c r="U1459" s="8" t="n">
        <f aca="false">IF($K1459=1,COUNTIFS($L$5:$L$1517,"&gt;="&amp;L1459,$K$5:$K$1517,1)/COUNTIF($L$5:$L$1517,"&gt;="&amp;L1459),0)</f>
        <v>0</v>
      </c>
      <c r="V1459" s="8" t="n">
        <f aca="false">IF($K1459=1,COUNTIFS($M$5:$M$1517,"&gt;="&amp;M1459,$K$5:$K$1517,1)/COUNTIF($M$5:$M$1517,"&gt;="&amp;M1459),0)</f>
        <v>0</v>
      </c>
      <c r="W1459" s="8" t="n">
        <f aca="false">IF($K1459=1,COUNTIFS($N$5:$N$1517,"&gt;="&amp;N1459,$K$5:$K$1517,1)/COUNTIF($N$5:$N$1517,"&gt;="&amp;N1459),0)</f>
        <v>0</v>
      </c>
      <c r="X1459" s="8" t="n">
        <f aca="false">IF($K1459=1,COUNTIFS($O$5:$O$1517,"&gt;="&amp;O1459,$K$5:$K$1517,1)/COUNTIF($O$5:$O$1517,"&gt;="&amp;O1459),0)</f>
        <v>0</v>
      </c>
      <c r="Y1459" s="8" t="n">
        <f aca="false">IF($K1459=1,COUNTIFS($P$5:$P$1517,"&gt;="&amp;P1459,$K$5:$K$1517,1)/COUNTIF($P$5:$P$1517,"&gt;="&amp;P1459),0)</f>
        <v>0</v>
      </c>
      <c r="Z1459" s="8" t="n">
        <f aca="false">(L1459-$K1459)^2</f>
        <v>0.234574580241</v>
      </c>
      <c r="AA1459" s="8" t="n">
        <f aca="false">(M1459-$K1459)^2</f>
        <v>0.008475595969</v>
      </c>
      <c r="AB1459" s="8" t="n">
        <f aca="false">(N1459-$K1459)^2</f>
        <v>0.006460301376</v>
      </c>
      <c r="AC1459" s="8" t="n">
        <f aca="false">(O1459-$K1459)^2</f>
        <v>0.011274829489</v>
      </c>
      <c r="AD1459" s="8" t="n">
        <f aca="false">(P1459-$K1459)^2</f>
        <v>0.007120490689</v>
      </c>
      <c r="AE1459" s="8" t="n">
        <f aca="false">MIN(INT(ROUND(N1459*1000000,0)/100000),9)</f>
        <v>0</v>
      </c>
      <c r="AF1459" s="8" t="n">
        <f aca="false">MIN(INT(ROUND(P1459*1000000,0)/100000),9)</f>
        <v>0</v>
      </c>
    </row>
    <row r="1460" customFormat="false" ht="15" hidden="false" customHeight="false" outlineLevel="0" collapsed="false">
      <c r="A1460" s="4" t="n">
        <v>1456</v>
      </c>
      <c r="B1460" s="4" t="n">
        <v>1664</v>
      </c>
      <c r="C1460" s="4" t="n">
        <v>3</v>
      </c>
      <c r="D1460" s="11" t="n">
        <v>46143</v>
      </c>
      <c r="E1460" s="4" t="s">
        <v>204</v>
      </c>
      <c r="F1460" s="4" t="s">
        <v>210</v>
      </c>
      <c r="G1460" s="4" t="n">
        <v>4</v>
      </c>
      <c r="H1460" s="4" t="n">
        <v>0</v>
      </c>
      <c r="I1460" s="4" t="n">
        <v>1</v>
      </c>
      <c r="J1460" s="4" t="n">
        <v>96</v>
      </c>
      <c r="K1460" s="4" t="n">
        <v>0</v>
      </c>
      <c r="L1460" s="12" t="n">
        <v>0.769306</v>
      </c>
      <c r="M1460" s="12" t="n">
        <v>0.184211</v>
      </c>
      <c r="N1460" s="12" t="n">
        <v>0.19379</v>
      </c>
      <c r="O1460" s="12" t="n">
        <v>0.106183</v>
      </c>
      <c r="P1460" s="12" t="n">
        <v>0.210083</v>
      </c>
      <c r="Q1460" s="0" t="str">
        <f aca="false">IF(L1460&gt;=Models!$G$5,1+COUNTIF($L$5:$L$1517,"&gt;"&amp;L1460)+COUNTIFS($L$5:$L$1517,L1460,$B$5:$B$1517,"&lt;"&amp;B1460)+COUNTIFS($L$5:$L$1517,L1460,$B$5:$B$1517,B1460,$C$5:$C$1517,"&lt;"&amp;C1460),"")</f>
        <v/>
      </c>
      <c r="R1460" s="8" t="n">
        <f aca="false">IF(M1460&gt;=Models!$G$6,1+COUNTIF($M$5:$M$1517,"&gt;"&amp;M1460)+COUNTIFS($M$5:$M$1517,M1460,$B$5:$B$1517,"&lt;"&amp;B1460)+COUNTIFS($M$5:$M$1517,M1460,$B$5:$B$1517,B1460,$C$5:$C$1517,"&lt;"&amp;C1460),"")</f>
        <v>184</v>
      </c>
      <c r="S1460" s="0" t="str">
        <f aca="false">IF(N1460&gt;=Models!$G$7,1+COUNTIF($N$5:$N$1517,"&gt;"&amp;N1460)+COUNTIFS($N$5:$N$1517,N1460,$B$5:$B$1517,"&lt;"&amp;B1460)+COUNTIFS($N$5:$N$1517,N1460,$B$5:$B$1517,B1460,$C$5:$C$1517,"&lt;"&amp;C1460),"")</f>
        <v/>
      </c>
      <c r="T1460" s="8" t="n">
        <f aca="false">IF(O1460&gt;=Models!$G$8,1+COUNTIF($O$5:$O$1517,"&gt;"&amp;O1460)+COUNTIFS($O$5:$O$1517,O1460,$B$5:$B$1517,"&lt;"&amp;B1460)+COUNTIFS($O$5:$O$1517,O1460,$B$5:$B$1517,B1460,$C$5:$C$1517,"&lt;"&amp;C1460),"")</f>
        <v>1424</v>
      </c>
      <c r="U1460" s="8" t="n">
        <f aca="false">IF($K1460=1,COUNTIFS($L$5:$L$1517,"&gt;="&amp;L1460,$K$5:$K$1517,1)/COUNTIF($L$5:$L$1517,"&gt;="&amp;L1460),0)</f>
        <v>0</v>
      </c>
      <c r="V1460" s="8" t="n">
        <f aca="false">IF($K1460=1,COUNTIFS($M$5:$M$1517,"&gt;="&amp;M1460,$K$5:$K$1517,1)/COUNTIF($M$5:$M$1517,"&gt;="&amp;M1460),0)</f>
        <v>0</v>
      </c>
      <c r="W1460" s="8" t="n">
        <f aca="false">IF($K1460=1,COUNTIFS($N$5:$N$1517,"&gt;="&amp;N1460,$K$5:$K$1517,1)/COUNTIF($N$5:$N$1517,"&gt;="&amp;N1460),0)</f>
        <v>0</v>
      </c>
      <c r="X1460" s="8" t="n">
        <f aca="false">IF($K1460=1,COUNTIFS($O$5:$O$1517,"&gt;="&amp;O1460,$K$5:$K$1517,1)/COUNTIF($O$5:$O$1517,"&gt;="&amp;O1460),0)</f>
        <v>0</v>
      </c>
      <c r="Y1460" s="8" t="n">
        <f aca="false">IF($K1460=1,COUNTIFS($P$5:$P$1517,"&gt;="&amp;P1460,$K$5:$K$1517,1)/COUNTIF($P$5:$P$1517,"&gt;="&amp;P1460),0)</f>
        <v>0</v>
      </c>
      <c r="Z1460" s="8" t="n">
        <f aca="false">(L1460-$K1460)^2</f>
        <v>0.591831721636</v>
      </c>
      <c r="AA1460" s="8" t="n">
        <f aca="false">(M1460-$K1460)^2</f>
        <v>0.033933692521</v>
      </c>
      <c r="AB1460" s="8" t="n">
        <f aca="false">(N1460-$K1460)^2</f>
        <v>0.0375545641</v>
      </c>
      <c r="AC1460" s="8" t="n">
        <f aca="false">(O1460-$K1460)^2</f>
        <v>0.011274829489</v>
      </c>
      <c r="AD1460" s="8" t="n">
        <f aca="false">(P1460-$K1460)^2</f>
        <v>0.044134866889</v>
      </c>
      <c r="AE1460" s="8" t="n">
        <f aca="false">MIN(INT(ROUND(N1460*1000000,0)/100000),9)</f>
        <v>1</v>
      </c>
      <c r="AF1460" s="8" t="n">
        <f aca="false">MIN(INT(ROUND(P1460*1000000,0)/100000),9)</f>
        <v>2</v>
      </c>
    </row>
    <row r="1461" customFormat="false" ht="15" hidden="false" customHeight="false" outlineLevel="0" collapsed="false">
      <c r="A1461" s="4" t="n">
        <v>1457</v>
      </c>
      <c r="B1461" s="4" t="n">
        <v>1665</v>
      </c>
      <c r="C1461" s="4" t="n">
        <v>3</v>
      </c>
      <c r="D1461" s="11" t="n">
        <v>46143</v>
      </c>
      <c r="E1461" s="4" t="s">
        <v>203</v>
      </c>
      <c r="F1461" s="4" t="s">
        <v>210</v>
      </c>
      <c r="G1461" s="4" t="n">
        <v>5</v>
      </c>
      <c r="H1461" s="4" t="n">
        <v>6</v>
      </c>
      <c r="I1461" s="4" t="n">
        <v>0</v>
      </c>
      <c r="J1461" s="4" t="n">
        <v>232</v>
      </c>
      <c r="K1461" s="4" t="n">
        <v>0</v>
      </c>
      <c r="L1461" s="12" t="n">
        <v>0.012702</v>
      </c>
      <c r="M1461" s="12" t="n">
        <v>0.092063</v>
      </c>
      <c r="N1461" s="12" t="n">
        <v>0.112015</v>
      </c>
      <c r="O1461" s="12" t="n">
        <v>0.106183</v>
      </c>
      <c r="P1461" s="12" t="n">
        <v>0.119218</v>
      </c>
      <c r="Q1461" s="0" t="str">
        <f aca="false">IF(L1461&gt;=Models!$G$5,1+COUNTIF($L$5:$L$1517,"&gt;"&amp;L1461)+COUNTIFS($L$5:$L$1517,L1461,$B$5:$B$1517,"&lt;"&amp;B1461)+COUNTIFS($L$5:$L$1517,L1461,$B$5:$B$1517,B1461,$C$5:$C$1517,"&lt;"&amp;C1461),"")</f>
        <v/>
      </c>
      <c r="R1461" s="0" t="str">
        <f aca="false">IF(M1461&gt;=Models!$G$6,1+COUNTIF($M$5:$M$1517,"&gt;"&amp;M1461)+COUNTIFS($M$5:$M$1517,M1461,$B$5:$B$1517,"&lt;"&amp;B1461)+COUNTIFS($M$5:$M$1517,M1461,$B$5:$B$1517,B1461,$C$5:$C$1517,"&lt;"&amp;C1461),"")</f>
        <v/>
      </c>
      <c r="S1461" s="0" t="str">
        <f aca="false">IF(N1461&gt;=Models!$G$7,1+COUNTIF($N$5:$N$1517,"&gt;"&amp;N1461)+COUNTIFS($N$5:$N$1517,N1461,$B$5:$B$1517,"&lt;"&amp;B1461)+COUNTIFS($N$5:$N$1517,N1461,$B$5:$B$1517,B1461,$C$5:$C$1517,"&lt;"&amp;C1461),"")</f>
        <v/>
      </c>
      <c r="T1461" s="8" t="n">
        <f aca="false">IF(O1461&gt;=Models!$G$8,1+COUNTIF($O$5:$O$1517,"&gt;"&amp;O1461)+COUNTIFS($O$5:$O$1517,O1461,$B$5:$B$1517,"&lt;"&amp;B1461)+COUNTIFS($O$5:$O$1517,O1461,$B$5:$B$1517,B1461,$C$5:$C$1517,"&lt;"&amp;C1461),"")</f>
        <v>1427</v>
      </c>
      <c r="U1461" s="8" t="n">
        <f aca="false">IF($K1461=1,COUNTIFS($L$5:$L$1517,"&gt;="&amp;L1461,$K$5:$K$1517,1)/COUNTIF($L$5:$L$1517,"&gt;="&amp;L1461),0)</f>
        <v>0</v>
      </c>
      <c r="V1461" s="8" t="n">
        <f aca="false">IF($K1461=1,COUNTIFS($M$5:$M$1517,"&gt;="&amp;M1461,$K$5:$K$1517,1)/COUNTIF($M$5:$M$1517,"&gt;="&amp;M1461),0)</f>
        <v>0</v>
      </c>
      <c r="W1461" s="8" t="n">
        <f aca="false">IF($K1461=1,COUNTIFS($N$5:$N$1517,"&gt;="&amp;N1461,$K$5:$K$1517,1)/COUNTIF($N$5:$N$1517,"&gt;="&amp;N1461),0)</f>
        <v>0</v>
      </c>
      <c r="X1461" s="8" t="n">
        <f aca="false">IF($K1461=1,COUNTIFS($O$5:$O$1517,"&gt;="&amp;O1461,$K$5:$K$1517,1)/COUNTIF($O$5:$O$1517,"&gt;="&amp;O1461),0)</f>
        <v>0</v>
      </c>
      <c r="Y1461" s="8" t="n">
        <f aca="false">IF($K1461=1,COUNTIFS($P$5:$P$1517,"&gt;="&amp;P1461,$K$5:$K$1517,1)/COUNTIF($P$5:$P$1517,"&gt;="&amp;P1461),0)</f>
        <v>0</v>
      </c>
      <c r="Z1461" s="8" t="n">
        <f aca="false">(L1461-$K1461)^2</f>
        <v>0.000161340804</v>
      </c>
      <c r="AA1461" s="8" t="n">
        <f aca="false">(M1461-$K1461)^2</f>
        <v>0.008475595969</v>
      </c>
      <c r="AB1461" s="8" t="n">
        <f aca="false">(N1461-$K1461)^2</f>
        <v>0.012547360225</v>
      </c>
      <c r="AC1461" s="8" t="n">
        <f aca="false">(O1461-$K1461)^2</f>
        <v>0.011274829489</v>
      </c>
      <c r="AD1461" s="8" t="n">
        <f aca="false">(P1461-$K1461)^2</f>
        <v>0.014212931524</v>
      </c>
      <c r="AE1461" s="8" t="n">
        <f aca="false">MIN(INT(ROUND(N1461*1000000,0)/100000),9)</f>
        <v>1</v>
      </c>
      <c r="AF1461" s="8" t="n">
        <f aca="false">MIN(INT(ROUND(P1461*1000000,0)/100000),9)</f>
        <v>1</v>
      </c>
    </row>
    <row r="1462" customFormat="false" ht="15" hidden="false" customHeight="false" outlineLevel="0" collapsed="false">
      <c r="A1462" s="4" t="n">
        <v>1458</v>
      </c>
      <c r="B1462" s="4" t="n">
        <v>1671</v>
      </c>
      <c r="C1462" s="4" t="n">
        <v>3</v>
      </c>
      <c r="D1462" s="11" t="n">
        <v>46143</v>
      </c>
      <c r="E1462" s="4" t="s">
        <v>201</v>
      </c>
      <c r="F1462" s="4" t="s">
        <v>209</v>
      </c>
      <c r="G1462" s="4" t="n">
        <v>11</v>
      </c>
      <c r="H1462" s="4" t="n">
        <v>2</v>
      </c>
      <c r="I1462" s="4" t="n">
        <v>0</v>
      </c>
      <c r="J1462" s="4"/>
      <c r="K1462" s="4" t="n">
        <v>0</v>
      </c>
      <c r="L1462" s="12" t="n">
        <v>0.153771</v>
      </c>
      <c r="M1462" s="12" t="n">
        <v>0.092063</v>
      </c>
      <c r="N1462" s="12" t="n">
        <v>0.032725</v>
      </c>
      <c r="O1462" s="12" t="n">
        <v>0.106183</v>
      </c>
      <c r="P1462" s="12" t="n">
        <v>0.032975</v>
      </c>
      <c r="Q1462" s="0" t="str">
        <f aca="false">IF(L1462&gt;=Models!$G$5,1+COUNTIF($L$5:$L$1517,"&gt;"&amp;L1462)+COUNTIFS($L$5:$L$1517,L1462,$B$5:$B$1517,"&lt;"&amp;B1462)+COUNTIFS($L$5:$L$1517,L1462,$B$5:$B$1517,B1462,$C$5:$C$1517,"&lt;"&amp;C1462),"")</f>
        <v/>
      </c>
      <c r="R1462" s="0" t="str">
        <f aca="false">IF(M1462&gt;=Models!$G$6,1+COUNTIF($M$5:$M$1517,"&gt;"&amp;M1462)+COUNTIFS($M$5:$M$1517,M1462,$B$5:$B$1517,"&lt;"&amp;B1462)+COUNTIFS($M$5:$M$1517,M1462,$B$5:$B$1517,B1462,$C$5:$C$1517,"&lt;"&amp;C1462),"")</f>
        <v/>
      </c>
      <c r="S1462" s="0" t="str">
        <f aca="false">IF(N1462&gt;=Models!$G$7,1+COUNTIF($N$5:$N$1517,"&gt;"&amp;N1462)+COUNTIFS($N$5:$N$1517,N1462,$B$5:$B$1517,"&lt;"&amp;B1462)+COUNTIFS($N$5:$N$1517,N1462,$B$5:$B$1517,B1462,$C$5:$C$1517,"&lt;"&amp;C1462),"")</f>
        <v/>
      </c>
      <c r="T1462" s="8" t="n">
        <f aca="false">IF(O1462&gt;=Models!$G$8,1+COUNTIF($O$5:$O$1517,"&gt;"&amp;O1462)+COUNTIFS($O$5:$O$1517,O1462,$B$5:$B$1517,"&lt;"&amp;B1462)+COUNTIFS($O$5:$O$1517,O1462,$B$5:$B$1517,B1462,$C$5:$C$1517,"&lt;"&amp;C1462),"")</f>
        <v>1430</v>
      </c>
      <c r="U1462" s="8" t="n">
        <f aca="false">IF($K1462=1,COUNTIFS($L$5:$L$1517,"&gt;="&amp;L1462,$K$5:$K$1517,1)/COUNTIF($L$5:$L$1517,"&gt;="&amp;L1462),0)</f>
        <v>0</v>
      </c>
      <c r="V1462" s="8" t="n">
        <f aca="false">IF($K1462=1,COUNTIFS($M$5:$M$1517,"&gt;="&amp;M1462,$K$5:$K$1517,1)/COUNTIF($M$5:$M$1517,"&gt;="&amp;M1462),0)</f>
        <v>0</v>
      </c>
      <c r="W1462" s="8" t="n">
        <f aca="false">IF($K1462=1,COUNTIFS($N$5:$N$1517,"&gt;="&amp;N1462,$K$5:$K$1517,1)/COUNTIF($N$5:$N$1517,"&gt;="&amp;N1462),0)</f>
        <v>0</v>
      </c>
      <c r="X1462" s="8" t="n">
        <f aca="false">IF($K1462=1,COUNTIFS($O$5:$O$1517,"&gt;="&amp;O1462,$K$5:$K$1517,1)/COUNTIF($O$5:$O$1517,"&gt;="&amp;O1462),0)</f>
        <v>0</v>
      </c>
      <c r="Y1462" s="8" t="n">
        <f aca="false">IF($K1462=1,COUNTIFS($P$5:$P$1517,"&gt;="&amp;P1462,$K$5:$K$1517,1)/COUNTIF($P$5:$P$1517,"&gt;="&amp;P1462),0)</f>
        <v>0</v>
      </c>
      <c r="Z1462" s="8" t="n">
        <f aca="false">(L1462-$K1462)^2</f>
        <v>0.023645520441</v>
      </c>
      <c r="AA1462" s="8" t="n">
        <f aca="false">(M1462-$K1462)^2</f>
        <v>0.008475595969</v>
      </c>
      <c r="AB1462" s="8" t="n">
        <f aca="false">(N1462-$K1462)^2</f>
        <v>0.001070925625</v>
      </c>
      <c r="AC1462" s="8" t="n">
        <f aca="false">(O1462-$K1462)^2</f>
        <v>0.011274829489</v>
      </c>
      <c r="AD1462" s="8" t="n">
        <f aca="false">(P1462-$K1462)^2</f>
        <v>0.001087350625</v>
      </c>
      <c r="AE1462" s="8" t="n">
        <f aca="false">MIN(INT(ROUND(N1462*1000000,0)/100000),9)</f>
        <v>0</v>
      </c>
      <c r="AF1462" s="8" t="n">
        <f aca="false">MIN(INT(ROUND(P1462*1000000,0)/100000),9)</f>
        <v>0</v>
      </c>
    </row>
    <row r="1463" customFormat="false" ht="15" hidden="false" customHeight="false" outlineLevel="0" collapsed="false">
      <c r="A1463" s="4" t="n">
        <v>1459</v>
      </c>
      <c r="B1463" s="4" t="n">
        <v>1676</v>
      </c>
      <c r="C1463" s="4" t="n">
        <v>3</v>
      </c>
      <c r="D1463" s="11" t="n">
        <v>46143</v>
      </c>
      <c r="E1463" s="4" t="s">
        <v>204</v>
      </c>
      <c r="F1463" s="4" t="s">
        <v>206</v>
      </c>
      <c r="G1463" s="4" t="n">
        <v>1</v>
      </c>
      <c r="H1463" s="4" t="n">
        <v>5</v>
      </c>
      <c r="I1463" s="4" t="n">
        <v>0</v>
      </c>
      <c r="J1463" s="4" t="n">
        <v>64</v>
      </c>
      <c r="K1463" s="4" t="n">
        <v>0</v>
      </c>
      <c r="L1463" s="12" t="n">
        <v>0.093</v>
      </c>
      <c r="M1463" s="12" t="n">
        <v>0.092063</v>
      </c>
      <c r="N1463" s="12" t="n">
        <v>0.15332</v>
      </c>
      <c r="O1463" s="12" t="n">
        <v>0.106183</v>
      </c>
      <c r="P1463" s="12" t="n">
        <v>0.165049</v>
      </c>
      <c r="Q1463" s="0" t="str">
        <f aca="false">IF(L1463&gt;=Models!$G$5,1+COUNTIF($L$5:$L$1517,"&gt;"&amp;L1463)+COUNTIFS($L$5:$L$1517,L1463,$B$5:$B$1517,"&lt;"&amp;B1463)+COUNTIFS($L$5:$L$1517,L1463,$B$5:$B$1517,B1463,$C$5:$C$1517,"&lt;"&amp;C1463),"")</f>
        <v/>
      </c>
      <c r="R1463" s="0" t="str">
        <f aca="false">IF(M1463&gt;=Models!$G$6,1+COUNTIF($M$5:$M$1517,"&gt;"&amp;M1463)+COUNTIFS($M$5:$M$1517,M1463,$B$5:$B$1517,"&lt;"&amp;B1463)+COUNTIFS($M$5:$M$1517,M1463,$B$5:$B$1517,B1463,$C$5:$C$1517,"&lt;"&amp;C1463),"")</f>
        <v/>
      </c>
      <c r="S1463" s="0" t="str">
        <f aca="false">IF(N1463&gt;=Models!$G$7,1+COUNTIF($N$5:$N$1517,"&gt;"&amp;N1463)+COUNTIFS($N$5:$N$1517,N1463,$B$5:$B$1517,"&lt;"&amp;B1463)+COUNTIFS($N$5:$N$1517,N1463,$B$5:$B$1517,B1463,$C$5:$C$1517,"&lt;"&amp;C1463),"")</f>
        <v/>
      </c>
      <c r="T1463" s="8" t="n">
        <f aca="false">IF(O1463&gt;=Models!$G$8,1+COUNTIF($O$5:$O$1517,"&gt;"&amp;O1463)+COUNTIFS($O$5:$O$1517,O1463,$B$5:$B$1517,"&lt;"&amp;B1463)+COUNTIFS($O$5:$O$1517,O1463,$B$5:$B$1517,B1463,$C$5:$C$1517,"&lt;"&amp;C1463),"")</f>
        <v>1433</v>
      </c>
      <c r="U1463" s="8" t="n">
        <f aca="false">IF($K1463=1,COUNTIFS($L$5:$L$1517,"&gt;="&amp;L1463,$K$5:$K$1517,1)/COUNTIF($L$5:$L$1517,"&gt;="&amp;L1463),0)</f>
        <v>0</v>
      </c>
      <c r="V1463" s="8" t="n">
        <f aca="false">IF($K1463=1,COUNTIFS($M$5:$M$1517,"&gt;="&amp;M1463,$K$5:$K$1517,1)/COUNTIF($M$5:$M$1517,"&gt;="&amp;M1463),0)</f>
        <v>0</v>
      </c>
      <c r="W1463" s="8" t="n">
        <f aca="false">IF($K1463=1,COUNTIFS($N$5:$N$1517,"&gt;="&amp;N1463,$K$5:$K$1517,1)/COUNTIF($N$5:$N$1517,"&gt;="&amp;N1463),0)</f>
        <v>0</v>
      </c>
      <c r="X1463" s="8" t="n">
        <f aca="false">IF($K1463=1,COUNTIFS($O$5:$O$1517,"&gt;="&amp;O1463,$K$5:$K$1517,1)/COUNTIF($O$5:$O$1517,"&gt;="&amp;O1463),0)</f>
        <v>0</v>
      </c>
      <c r="Y1463" s="8" t="n">
        <f aca="false">IF($K1463=1,COUNTIFS($P$5:$P$1517,"&gt;="&amp;P1463,$K$5:$K$1517,1)/COUNTIF($P$5:$P$1517,"&gt;="&amp;P1463),0)</f>
        <v>0</v>
      </c>
      <c r="Z1463" s="8" t="n">
        <f aca="false">(L1463-$K1463)^2</f>
        <v>0.008649</v>
      </c>
      <c r="AA1463" s="8" t="n">
        <f aca="false">(M1463-$K1463)^2</f>
        <v>0.008475595969</v>
      </c>
      <c r="AB1463" s="8" t="n">
        <f aca="false">(N1463-$K1463)^2</f>
        <v>0.0235070224</v>
      </c>
      <c r="AC1463" s="8" t="n">
        <f aca="false">(O1463-$K1463)^2</f>
        <v>0.011274829489</v>
      </c>
      <c r="AD1463" s="8" t="n">
        <f aca="false">(P1463-$K1463)^2</f>
        <v>0.027241172401</v>
      </c>
      <c r="AE1463" s="8" t="n">
        <f aca="false">MIN(INT(ROUND(N1463*1000000,0)/100000),9)</f>
        <v>1</v>
      </c>
      <c r="AF1463" s="8" t="n">
        <f aca="false">MIN(INT(ROUND(P1463*1000000,0)/100000),9)</f>
        <v>1</v>
      </c>
    </row>
    <row r="1464" customFormat="false" ht="15" hidden="false" customHeight="false" outlineLevel="0" collapsed="false">
      <c r="A1464" s="4" t="n">
        <v>1460</v>
      </c>
      <c r="B1464" s="4" t="n">
        <v>1681</v>
      </c>
      <c r="C1464" s="4" t="n">
        <v>3</v>
      </c>
      <c r="D1464" s="11" t="n">
        <v>46143</v>
      </c>
      <c r="E1464" s="4" t="s">
        <v>202</v>
      </c>
      <c r="F1464" s="4" t="s">
        <v>207</v>
      </c>
      <c r="G1464" s="4" t="n">
        <v>10</v>
      </c>
      <c r="H1464" s="4" t="n">
        <v>4</v>
      </c>
      <c r="I1464" s="4" t="n">
        <v>0</v>
      </c>
      <c r="J1464" s="4" t="n">
        <v>1086</v>
      </c>
      <c r="K1464" s="4" t="n">
        <v>0</v>
      </c>
      <c r="L1464" s="12" t="n">
        <v>0.380744</v>
      </c>
      <c r="M1464" s="12" t="n">
        <v>0.092063</v>
      </c>
      <c r="N1464" s="12" t="n">
        <v>0.070028</v>
      </c>
      <c r="O1464" s="12" t="n">
        <v>0.106183</v>
      </c>
      <c r="P1464" s="12" t="n">
        <v>0.073078</v>
      </c>
      <c r="Q1464" s="0" t="str">
        <f aca="false">IF(L1464&gt;=Models!$G$5,1+COUNTIF($L$5:$L$1517,"&gt;"&amp;L1464)+COUNTIFS($L$5:$L$1517,L1464,$B$5:$B$1517,"&lt;"&amp;B1464)+COUNTIFS($L$5:$L$1517,L1464,$B$5:$B$1517,B1464,$C$5:$C$1517,"&lt;"&amp;C1464),"")</f>
        <v/>
      </c>
      <c r="R1464" s="0" t="str">
        <f aca="false">IF(M1464&gt;=Models!$G$6,1+COUNTIF($M$5:$M$1517,"&gt;"&amp;M1464)+COUNTIFS($M$5:$M$1517,M1464,$B$5:$B$1517,"&lt;"&amp;B1464)+COUNTIFS($M$5:$M$1517,M1464,$B$5:$B$1517,B1464,$C$5:$C$1517,"&lt;"&amp;C1464),"")</f>
        <v/>
      </c>
      <c r="S1464" s="0" t="str">
        <f aca="false">IF(N1464&gt;=Models!$G$7,1+COUNTIF($N$5:$N$1517,"&gt;"&amp;N1464)+COUNTIFS($N$5:$N$1517,N1464,$B$5:$B$1517,"&lt;"&amp;B1464)+COUNTIFS($N$5:$N$1517,N1464,$B$5:$B$1517,B1464,$C$5:$C$1517,"&lt;"&amp;C1464),"")</f>
        <v/>
      </c>
      <c r="T1464" s="8" t="n">
        <f aca="false">IF(O1464&gt;=Models!$G$8,1+COUNTIF($O$5:$O$1517,"&gt;"&amp;O1464)+COUNTIFS($O$5:$O$1517,O1464,$B$5:$B$1517,"&lt;"&amp;B1464)+COUNTIFS($O$5:$O$1517,O1464,$B$5:$B$1517,B1464,$C$5:$C$1517,"&lt;"&amp;C1464),"")</f>
        <v>1435</v>
      </c>
      <c r="U1464" s="8" t="n">
        <f aca="false">IF($K1464=1,COUNTIFS($L$5:$L$1517,"&gt;="&amp;L1464,$K$5:$K$1517,1)/COUNTIF($L$5:$L$1517,"&gt;="&amp;L1464),0)</f>
        <v>0</v>
      </c>
      <c r="V1464" s="8" t="n">
        <f aca="false">IF($K1464=1,COUNTIFS($M$5:$M$1517,"&gt;="&amp;M1464,$K$5:$K$1517,1)/COUNTIF($M$5:$M$1517,"&gt;="&amp;M1464),0)</f>
        <v>0</v>
      </c>
      <c r="W1464" s="8" t="n">
        <f aca="false">IF($K1464=1,COUNTIFS($N$5:$N$1517,"&gt;="&amp;N1464,$K$5:$K$1517,1)/COUNTIF($N$5:$N$1517,"&gt;="&amp;N1464),0)</f>
        <v>0</v>
      </c>
      <c r="X1464" s="8" t="n">
        <f aca="false">IF($K1464=1,COUNTIFS($O$5:$O$1517,"&gt;="&amp;O1464,$K$5:$K$1517,1)/COUNTIF($O$5:$O$1517,"&gt;="&amp;O1464),0)</f>
        <v>0</v>
      </c>
      <c r="Y1464" s="8" t="n">
        <f aca="false">IF($K1464=1,COUNTIFS($P$5:$P$1517,"&gt;="&amp;P1464,$K$5:$K$1517,1)/COUNTIF($P$5:$P$1517,"&gt;="&amp;P1464),0)</f>
        <v>0</v>
      </c>
      <c r="Z1464" s="8" t="n">
        <f aca="false">(L1464-$K1464)^2</f>
        <v>0.144965993536</v>
      </c>
      <c r="AA1464" s="8" t="n">
        <f aca="false">(M1464-$K1464)^2</f>
        <v>0.008475595969</v>
      </c>
      <c r="AB1464" s="8" t="n">
        <f aca="false">(N1464-$K1464)^2</f>
        <v>0.004903920784</v>
      </c>
      <c r="AC1464" s="8" t="n">
        <f aca="false">(O1464-$K1464)^2</f>
        <v>0.011274829489</v>
      </c>
      <c r="AD1464" s="8" t="n">
        <f aca="false">(P1464-$K1464)^2</f>
        <v>0.005340394084</v>
      </c>
      <c r="AE1464" s="8" t="n">
        <f aca="false">MIN(INT(ROUND(N1464*1000000,0)/100000),9)</f>
        <v>0</v>
      </c>
      <c r="AF1464" s="8" t="n">
        <f aca="false">MIN(INT(ROUND(P1464*1000000,0)/100000),9)</f>
        <v>0</v>
      </c>
    </row>
    <row r="1465" customFormat="false" ht="15" hidden="false" customHeight="false" outlineLevel="0" collapsed="false">
      <c r="A1465" s="4" t="n">
        <v>1461</v>
      </c>
      <c r="B1465" s="4" t="n">
        <v>1684</v>
      </c>
      <c r="C1465" s="4" t="n">
        <v>3</v>
      </c>
      <c r="D1465" s="11" t="n">
        <v>46143</v>
      </c>
      <c r="E1465" s="4" t="s">
        <v>203</v>
      </c>
      <c r="F1465" s="4" t="s">
        <v>207</v>
      </c>
      <c r="G1465" s="4" t="n">
        <v>2</v>
      </c>
      <c r="H1465" s="4" t="n">
        <v>0</v>
      </c>
      <c r="I1465" s="4" t="n">
        <v>1</v>
      </c>
      <c r="J1465" s="4" t="n">
        <v>426</v>
      </c>
      <c r="K1465" s="4" t="n">
        <v>0</v>
      </c>
      <c r="L1465" s="12" t="n">
        <v>0.010769</v>
      </c>
      <c r="M1465" s="12" t="n">
        <v>0.184211</v>
      </c>
      <c r="N1465" s="12" t="n">
        <v>0.220159</v>
      </c>
      <c r="O1465" s="12" t="n">
        <v>0.106183</v>
      </c>
      <c r="P1465" s="12" t="n">
        <v>0.239404</v>
      </c>
      <c r="Q1465" s="0" t="str">
        <f aca="false">IF(L1465&gt;=Models!$G$5,1+COUNTIF($L$5:$L$1517,"&gt;"&amp;L1465)+COUNTIFS($L$5:$L$1517,L1465,$B$5:$B$1517,"&lt;"&amp;B1465)+COUNTIFS($L$5:$L$1517,L1465,$B$5:$B$1517,B1465,$C$5:$C$1517,"&lt;"&amp;C1465),"")</f>
        <v/>
      </c>
      <c r="R1465" s="8" t="n">
        <f aca="false">IF(M1465&gt;=Models!$G$6,1+COUNTIF($M$5:$M$1517,"&gt;"&amp;M1465)+COUNTIFS($M$5:$M$1517,M1465,$B$5:$B$1517,"&lt;"&amp;B1465)+COUNTIFS($M$5:$M$1517,M1465,$B$5:$B$1517,B1465,$C$5:$C$1517,"&lt;"&amp;C1465),"")</f>
        <v>186</v>
      </c>
      <c r="S1465" s="0" t="str">
        <f aca="false">IF(N1465&gt;=Models!$G$7,1+COUNTIF($N$5:$N$1517,"&gt;"&amp;N1465)+COUNTIFS($N$5:$N$1517,N1465,$B$5:$B$1517,"&lt;"&amp;B1465)+COUNTIFS($N$5:$N$1517,N1465,$B$5:$B$1517,B1465,$C$5:$C$1517,"&lt;"&amp;C1465),"")</f>
        <v/>
      </c>
      <c r="T1465" s="8" t="n">
        <f aca="false">IF(O1465&gt;=Models!$G$8,1+COUNTIF($O$5:$O$1517,"&gt;"&amp;O1465)+COUNTIFS($O$5:$O$1517,O1465,$B$5:$B$1517,"&lt;"&amp;B1465)+COUNTIFS($O$5:$O$1517,O1465,$B$5:$B$1517,B1465,$C$5:$C$1517,"&lt;"&amp;C1465),"")</f>
        <v>1437</v>
      </c>
      <c r="U1465" s="8" t="n">
        <f aca="false">IF($K1465=1,COUNTIFS($L$5:$L$1517,"&gt;="&amp;L1465,$K$5:$K$1517,1)/COUNTIF($L$5:$L$1517,"&gt;="&amp;L1465),0)</f>
        <v>0</v>
      </c>
      <c r="V1465" s="8" t="n">
        <f aca="false">IF($K1465=1,COUNTIFS($M$5:$M$1517,"&gt;="&amp;M1465,$K$5:$K$1517,1)/COUNTIF($M$5:$M$1517,"&gt;="&amp;M1465),0)</f>
        <v>0</v>
      </c>
      <c r="W1465" s="8" t="n">
        <f aca="false">IF($K1465=1,COUNTIFS($N$5:$N$1517,"&gt;="&amp;N1465,$K$5:$K$1517,1)/COUNTIF($N$5:$N$1517,"&gt;="&amp;N1465),0)</f>
        <v>0</v>
      </c>
      <c r="X1465" s="8" t="n">
        <f aca="false">IF($K1465=1,COUNTIFS($O$5:$O$1517,"&gt;="&amp;O1465,$K$5:$K$1517,1)/COUNTIF($O$5:$O$1517,"&gt;="&amp;O1465),0)</f>
        <v>0</v>
      </c>
      <c r="Y1465" s="8" t="n">
        <f aca="false">IF($K1465=1,COUNTIFS($P$5:$P$1517,"&gt;="&amp;P1465,$K$5:$K$1517,1)/COUNTIF($P$5:$P$1517,"&gt;="&amp;P1465),0)</f>
        <v>0</v>
      </c>
      <c r="Z1465" s="8" t="n">
        <f aca="false">(L1465-$K1465)^2</f>
        <v>0.000115971361</v>
      </c>
      <c r="AA1465" s="8" t="n">
        <f aca="false">(M1465-$K1465)^2</f>
        <v>0.033933692521</v>
      </c>
      <c r="AB1465" s="8" t="n">
        <f aca="false">(N1465-$K1465)^2</f>
        <v>0.048469985281</v>
      </c>
      <c r="AC1465" s="8" t="n">
        <f aca="false">(O1465-$K1465)^2</f>
        <v>0.011274829489</v>
      </c>
      <c r="AD1465" s="8" t="n">
        <f aca="false">(P1465-$K1465)^2</f>
        <v>0.057314275216</v>
      </c>
      <c r="AE1465" s="8" t="n">
        <f aca="false">MIN(INT(ROUND(N1465*1000000,0)/100000),9)</f>
        <v>2</v>
      </c>
      <c r="AF1465" s="8" t="n">
        <f aca="false">MIN(INT(ROUND(P1465*1000000,0)/100000),9)</f>
        <v>2</v>
      </c>
    </row>
    <row r="1466" customFormat="false" ht="15" hidden="false" customHeight="false" outlineLevel="0" collapsed="false">
      <c r="A1466" s="4" t="n">
        <v>1462</v>
      </c>
      <c r="B1466" s="4" t="n">
        <v>1689</v>
      </c>
      <c r="C1466" s="4" t="n">
        <v>3</v>
      </c>
      <c r="D1466" s="11" t="n">
        <v>46143</v>
      </c>
      <c r="E1466" s="4" t="s">
        <v>202</v>
      </c>
      <c r="F1466" s="4" t="s">
        <v>208</v>
      </c>
      <c r="G1466" s="4" t="n">
        <v>3</v>
      </c>
      <c r="H1466" s="4" t="n">
        <v>0</v>
      </c>
      <c r="I1466" s="4" t="n">
        <v>0</v>
      </c>
      <c r="J1466" s="4" t="n">
        <v>1611</v>
      </c>
      <c r="K1466" s="4" t="n">
        <v>0</v>
      </c>
      <c r="L1466" s="12" t="n">
        <v>0.005916</v>
      </c>
      <c r="M1466" s="12" t="n">
        <v>0.092063</v>
      </c>
      <c r="N1466" s="12" t="n">
        <v>0.117162</v>
      </c>
      <c r="O1466" s="12" t="n">
        <v>0.106183</v>
      </c>
      <c r="P1466" s="12" t="n">
        <v>0.124913</v>
      </c>
      <c r="Q1466" s="0" t="str">
        <f aca="false">IF(L1466&gt;=Models!$G$5,1+COUNTIF($L$5:$L$1517,"&gt;"&amp;L1466)+COUNTIFS($L$5:$L$1517,L1466,$B$5:$B$1517,"&lt;"&amp;B1466)+COUNTIFS($L$5:$L$1517,L1466,$B$5:$B$1517,B1466,$C$5:$C$1517,"&lt;"&amp;C1466),"")</f>
        <v/>
      </c>
      <c r="R1466" s="0" t="str">
        <f aca="false">IF(M1466&gt;=Models!$G$6,1+COUNTIF($M$5:$M$1517,"&gt;"&amp;M1466)+COUNTIFS($M$5:$M$1517,M1466,$B$5:$B$1517,"&lt;"&amp;B1466)+COUNTIFS($M$5:$M$1517,M1466,$B$5:$B$1517,B1466,$C$5:$C$1517,"&lt;"&amp;C1466),"")</f>
        <v/>
      </c>
      <c r="S1466" s="0" t="str">
        <f aca="false">IF(N1466&gt;=Models!$G$7,1+COUNTIF($N$5:$N$1517,"&gt;"&amp;N1466)+COUNTIFS($N$5:$N$1517,N1466,$B$5:$B$1517,"&lt;"&amp;B1466)+COUNTIFS($N$5:$N$1517,N1466,$B$5:$B$1517,B1466,$C$5:$C$1517,"&lt;"&amp;C1466),"")</f>
        <v/>
      </c>
      <c r="T1466" s="8" t="n">
        <f aca="false">IF(O1466&gt;=Models!$G$8,1+COUNTIF($O$5:$O$1517,"&gt;"&amp;O1466)+COUNTIFS($O$5:$O$1517,O1466,$B$5:$B$1517,"&lt;"&amp;B1466)+COUNTIFS($O$5:$O$1517,O1466,$B$5:$B$1517,B1466,$C$5:$C$1517,"&lt;"&amp;C1466),"")</f>
        <v>1439</v>
      </c>
      <c r="U1466" s="8" t="n">
        <f aca="false">IF($K1466=1,COUNTIFS($L$5:$L$1517,"&gt;="&amp;L1466,$K$5:$K$1517,1)/COUNTIF($L$5:$L$1517,"&gt;="&amp;L1466),0)</f>
        <v>0</v>
      </c>
      <c r="V1466" s="8" t="n">
        <f aca="false">IF($K1466=1,COUNTIFS($M$5:$M$1517,"&gt;="&amp;M1466,$K$5:$K$1517,1)/COUNTIF($M$5:$M$1517,"&gt;="&amp;M1466),0)</f>
        <v>0</v>
      </c>
      <c r="W1466" s="8" t="n">
        <f aca="false">IF($K1466=1,COUNTIFS($N$5:$N$1517,"&gt;="&amp;N1466,$K$5:$K$1517,1)/COUNTIF($N$5:$N$1517,"&gt;="&amp;N1466),0)</f>
        <v>0</v>
      </c>
      <c r="X1466" s="8" t="n">
        <f aca="false">IF($K1466=1,COUNTIFS($O$5:$O$1517,"&gt;="&amp;O1466,$K$5:$K$1517,1)/COUNTIF($O$5:$O$1517,"&gt;="&amp;O1466),0)</f>
        <v>0</v>
      </c>
      <c r="Y1466" s="8" t="n">
        <f aca="false">IF($K1466=1,COUNTIFS($P$5:$P$1517,"&gt;="&amp;P1466,$K$5:$K$1517,1)/COUNTIF($P$5:$P$1517,"&gt;="&amp;P1466),0)</f>
        <v>0</v>
      </c>
      <c r="Z1466" s="8" t="n">
        <f aca="false">(L1466-$K1466)^2</f>
        <v>3.4999056E-005</v>
      </c>
      <c r="AA1466" s="8" t="n">
        <f aca="false">(M1466-$K1466)^2</f>
        <v>0.008475595969</v>
      </c>
      <c r="AB1466" s="8" t="n">
        <f aca="false">(N1466-$K1466)^2</f>
        <v>0.013726934244</v>
      </c>
      <c r="AC1466" s="8" t="n">
        <f aca="false">(O1466-$K1466)^2</f>
        <v>0.011274829489</v>
      </c>
      <c r="AD1466" s="8" t="n">
        <f aca="false">(P1466-$K1466)^2</f>
        <v>0.015603257569</v>
      </c>
      <c r="AE1466" s="8" t="n">
        <f aca="false">MIN(INT(ROUND(N1466*1000000,0)/100000),9)</f>
        <v>1</v>
      </c>
      <c r="AF1466" s="8" t="n">
        <f aca="false">MIN(INT(ROUND(P1466*1000000,0)/100000),9)</f>
        <v>1</v>
      </c>
    </row>
    <row r="1467" customFormat="false" ht="15" hidden="false" customHeight="false" outlineLevel="0" collapsed="false">
      <c r="A1467" s="4" t="n">
        <v>1463</v>
      </c>
      <c r="B1467" s="4" t="n">
        <v>1690</v>
      </c>
      <c r="C1467" s="4" t="n">
        <v>3</v>
      </c>
      <c r="D1467" s="11" t="n">
        <v>46143</v>
      </c>
      <c r="E1467" s="4" t="s">
        <v>203</v>
      </c>
      <c r="F1467" s="4" t="s">
        <v>208</v>
      </c>
      <c r="G1467" s="4" t="n">
        <v>1</v>
      </c>
      <c r="H1467" s="4" t="n">
        <v>8</v>
      </c>
      <c r="I1467" s="4" t="n">
        <v>0</v>
      </c>
      <c r="J1467" s="4" t="n">
        <v>273</v>
      </c>
      <c r="K1467" s="4" t="n">
        <v>0</v>
      </c>
      <c r="L1467" s="12" t="n">
        <v>0.471531</v>
      </c>
      <c r="M1467" s="12" t="n">
        <v>0.092063</v>
      </c>
      <c r="N1467" s="12" t="n">
        <v>0.154943</v>
      </c>
      <c r="O1467" s="12" t="n">
        <v>0.106183</v>
      </c>
      <c r="P1467" s="12" t="n">
        <v>0.166854</v>
      </c>
      <c r="Q1467" s="0" t="str">
        <f aca="false">IF(L1467&gt;=Models!$G$5,1+COUNTIF($L$5:$L$1517,"&gt;"&amp;L1467)+COUNTIFS($L$5:$L$1517,L1467,$B$5:$B$1517,"&lt;"&amp;B1467)+COUNTIFS($L$5:$L$1517,L1467,$B$5:$B$1517,B1467,$C$5:$C$1517,"&lt;"&amp;C1467),"")</f>
        <v/>
      </c>
      <c r="R1467" s="0" t="str">
        <f aca="false">IF(M1467&gt;=Models!$G$6,1+COUNTIF($M$5:$M$1517,"&gt;"&amp;M1467)+COUNTIFS($M$5:$M$1517,M1467,$B$5:$B$1517,"&lt;"&amp;B1467)+COUNTIFS($M$5:$M$1517,M1467,$B$5:$B$1517,B1467,$C$5:$C$1517,"&lt;"&amp;C1467),"")</f>
        <v/>
      </c>
      <c r="S1467" s="0" t="str">
        <f aca="false">IF(N1467&gt;=Models!$G$7,1+COUNTIF($N$5:$N$1517,"&gt;"&amp;N1467)+COUNTIFS($N$5:$N$1517,N1467,$B$5:$B$1517,"&lt;"&amp;B1467)+COUNTIFS($N$5:$N$1517,N1467,$B$5:$B$1517,B1467,$C$5:$C$1517,"&lt;"&amp;C1467),"")</f>
        <v/>
      </c>
      <c r="T1467" s="8" t="n">
        <f aca="false">IF(O1467&gt;=Models!$G$8,1+COUNTIF($O$5:$O$1517,"&gt;"&amp;O1467)+COUNTIFS($O$5:$O$1517,O1467,$B$5:$B$1517,"&lt;"&amp;B1467)+COUNTIFS($O$5:$O$1517,O1467,$B$5:$B$1517,B1467,$C$5:$C$1517,"&lt;"&amp;C1467),"")</f>
        <v>1441</v>
      </c>
      <c r="U1467" s="8" t="n">
        <f aca="false">IF($K1467=1,COUNTIFS($L$5:$L$1517,"&gt;="&amp;L1467,$K$5:$K$1517,1)/COUNTIF($L$5:$L$1517,"&gt;="&amp;L1467),0)</f>
        <v>0</v>
      </c>
      <c r="V1467" s="8" t="n">
        <f aca="false">IF($K1467=1,COUNTIFS($M$5:$M$1517,"&gt;="&amp;M1467,$K$5:$K$1517,1)/COUNTIF($M$5:$M$1517,"&gt;="&amp;M1467),0)</f>
        <v>0</v>
      </c>
      <c r="W1467" s="8" t="n">
        <f aca="false">IF($K1467=1,COUNTIFS($N$5:$N$1517,"&gt;="&amp;N1467,$K$5:$K$1517,1)/COUNTIF($N$5:$N$1517,"&gt;="&amp;N1467),0)</f>
        <v>0</v>
      </c>
      <c r="X1467" s="8" t="n">
        <f aca="false">IF($K1467=1,COUNTIFS($O$5:$O$1517,"&gt;="&amp;O1467,$K$5:$K$1517,1)/COUNTIF($O$5:$O$1517,"&gt;="&amp;O1467),0)</f>
        <v>0</v>
      </c>
      <c r="Y1467" s="8" t="n">
        <f aca="false">IF($K1467=1,COUNTIFS($P$5:$P$1517,"&gt;="&amp;P1467,$K$5:$K$1517,1)/COUNTIF($P$5:$P$1517,"&gt;="&amp;P1467),0)</f>
        <v>0</v>
      </c>
      <c r="Z1467" s="8" t="n">
        <f aca="false">(L1467-$K1467)^2</f>
        <v>0.222341483961</v>
      </c>
      <c r="AA1467" s="8" t="n">
        <f aca="false">(M1467-$K1467)^2</f>
        <v>0.008475595969</v>
      </c>
      <c r="AB1467" s="8" t="n">
        <f aca="false">(N1467-$K1467)^2</f>
        <v>0.024007333249</v>
      </c>
      <c r="AC1467" s="8" t="n">
        <f aca="false">(O1467-$K1467)^2</f>
        <v>0.011274829489</v>
      </c>
      <c r="AD1467" s="8" t="n">
        <f aca="false">(P1467-$K1467)^2</f>
        <v>0.027840257316</v>
      </c>
      <c r="AE1467" s="8" t="n">
        <f aca="false">MIN(INT(ROUND(N1467*1000000,0)/100000),9)</f>
        <v>1</v>
      </c>
      <c r="AF1467" s="8" t="n">
        <f aca="false">MIN(INT(ROUND(P1467*1000000,0)/100000),9)</f>
        <v>1</v>
      </c>
    </row>
    <row r="1468" customFormat="false" ht="15" hidden="false" customHeight="false" outlineLevel="0" collapsed="false">
      <c r="A1468" s="4" t="n">
        <v>1464</v>
      </c>
      <c r="B1468" s="4" t="n">
        <v>1691</v>
      </c>
      <c r="C1468" s="4" t="n">
        <v>3</v>
      </c>
      <c r="D1468" s="11" t="n">
        <v>46143</v>
      </c>
      <c r="E1468" s="4" t="s">
        <v>203</v>
      </c>
      <c r="F1468" s="4" t="s">
        <v>207</v>
      </c>
      <c r="G1468" s="4" t="n">
        <v>6</v>
      </c>
      <c r="H1468" s="4" t="n">
        <v>9</v>
      </c>
      <c r="I1468" s="4" t="n">
        <v>0</v>
      </c>
      <c r="J1468" s="4" t="n">
        <v>384</v>
      </c>
      <c r="K1468" s="4" t="n">
        <v>1</v>
      </c>
      <c r="L1468" s="12" t="n">
        <v>0.390471</v>
      </c>
      <c r="M1468" s="12" t="n">
        <v>0.092063</v>
      </c>
      <c r="N1468" s="12" t="n">
        <v>0.104841</v>
      </c>
      <c r="O1468" s="12" t="n">
        <v>0.106183</v>
      </c>
      <c r="P1468" s="12" t="n">
        <v>0.111291</v>
      </c>
      <c r="Q1468" s="0" t="str">
        <f aca="false">IF(L1468&gt;=Models!$G$5,1+COUNTIF($L$5:$L$1517,"&gt;"&amp;L1468)+COUNTIFS($L$5:$L$1517,L1468,$B$5:$B$1517,"&lt;"&amp;B1468)+COUNTIFS($L$5:$L$1517,L1468,$B$5:$B$1517,B1468,$C$5:$C$1517,"&lt;"&amp;C1468),"")</f>
        <v/>
      </c>
      <c r="R1468" s="0" t="str">
        <f aca="false">IF(M1468&gt;=Models!$G$6,1+COUNTIF($M$5:$M$1517,"&gt;"&amp;M1468)+COUNTIFS($M$5:$M$1517,M1468,$B$5:$B$1517,"&lt;"&amp;B1468)+COUNTIFS($M$5:$M$1517,M1468,$B$5:$B$1517,B1468,$C$5:$C$1517,"&lt;"&amp;C1468),"")</f>
        <v/>
      </c>
      <c r="S1468" s="0" t="str">
        <f aca="false">IF(N1468&gt;=Models!$G$7,1+COUNTIF($N$5:$N$1517,"&gt;"&amp;N1468)+COUNTIFS($N$5:$N$1517,N1468,$B$5:$B$1517,"&lt;"&amp;B1468)+COUNTIFS($N$5:$N$1517,N1468,$B$5:$B$1517,B1468,$C$5:$C$1517,"&lt;"&amp;C1468),"")</f>
        <v/>
      </c>
      <c r="T1468" s="8" t="n">
        <f aca="false">IF(O1468&gt;=Models!$G$8,1+COUNTIF($O$5:$O$1517,"&gt;"&amp;O1468)+COUNTIFS($O$5:$O$1517,O1468,$B$5:$B$1517,"&lt;"&amp;B1468)+COUNTIFS($O$5:$O$1517,O1468,$B$5:$B$1517,B1468,$C$5:$C$1517,"&lt;"&amp;C1468),"")</f>
        <v>1443</v>
      </c>
      <c r="U1468" s="8" t="n">
        <f aca="false">IF($K1468=1,COUNTIFS($L$5:$L$1517,"&gt;="&amp;L1468,$K$5:$K$1517,1)/COUNTIF($L$5:$L$1517,"&gt;="&amp;L1468),0)</f>
        <v>0.129244249726177</v>
      </c>
      <c r="V1468" s="8" t="n">
        <f aca="false">IF($K1468=1,COUNTIFS($M$5:$M$1517,"&gt;="&amp;M1468,$K$5:$K$1517,1)/COUNTIF($M$5:$M$1517,"&gt;="&amp;M1468),0)</f>
        <v>0.12491738268341</v>
      </c>
      <c r="W1468" s="8" t="n">
        <f aca="false">IF($K1468=1,COUNTIFS($N$5:$N$1517,"&gt;="&amp;N1468,$K$5:$K$1517,1)/COUNTIF($N$5:$N$1517,"&gt;="&amp;N1468),0)</f>
        <v>0.193498452012384</v>
      </c>
      <c r="X1468" s="8" t="n">
        <f aca="false">IF($K1468=1,COUNTIFS($O$5:$O$1517,"&gt;="&amp;O1468,$K$5:$K$1517,1)/COUNTIF($O$5:$O$1517,"&gt;="&amp;O1468),0)</f>
        <v>0.12491738268341</v>
      </c>
      <c r="Y1468" s="8" t="n">
        <f aca="false">IF($K1468=1,COUNTIFS($P$5:$P$1517,"&gt;="&amp;P1468,$K$5:$K$1517,1)/COUNTIF($P$5:$P$1517,"&gt;="&amp;P1468),0)</f>
        <v>0.193498452012384</v>
      </c>
      <c r="Z1468" s="8" t="n">
        <f aca="false">(L1468-$K1468)^2</f>
        <v>0.371525601841</v>
      </c>
      <c r="AA1468" s="8" t="n">
        <f aca="false">(M1468-$K1468)^2</f>
        <v>0.824349595969</v>
      </c>
      <c r="AB1468" s="8" t="n">
        <f aca="false">(N1468-$K1468)^2</f>
        <v>0.801309635281</v>
      </c>
      <c r="AC1468" s="8" t="n">
        <f aca="false">(O1468-$K1468)^2</f>
        <v>0.798908829489</v>
      </c>
      <c r="AD1468" s="8" t="n">
        <f aca="false">(P1468-$K1468)^2</f>
        <v>0.789803686681</v>
      </c>
      <c r="AE1468" s="8" t="n">
        <f aca="false">MIN(INT(ROUND(N1468*1000000,0)/100000),9)</f>
        <v>1</v>
      </c>
      <c r="AF1468" s="8" t="n">
        <f aca="false">MIN(INT(ROUND(P1468*1000000,0)/100000),9)</f>
        <v>1</v>
      </c>
    </row>
    <row r="1469" customFormat="false" ht="15" hidden="false" customHeight="false" outlineLevel="0" collapsed="false">
      <c r="A1469" s="4" t="n">
        <v>1465</v>
      </c>
      <c r="B1469" s="4" t="n">
        <v>1698</v>
      </c>
      <c r="C1469" s="4" t="n">
        <v>3</v>
      </c>
      <c r="D1469" s="11" t="n">
        <v>46143</v>
      </c>
      <c r="E1469" s="4" t="s">
        <v>201</v>
      </c>
      <c r="F1469" s="4" t="s">
        <v>209</v>
      </c>
      <c r="G1469" s="4" t="n">
        <v>10</v>
      </c>
      <c r="H1469" s="4" t="n">
        <v>1</v>
      </c>
      <c r="I1469" s="4" t="n">
        <v>0</v>
      </c>
      <c r="J1469" s="4" t="n">
        <v>6591</v>
      </c>
      <c r="K1469" s="4" t="n">
        <v>0</v>
      </c>
      <c r="L1469" s="12" t="n">
        <v>0.362196</v>
      </c>
      <c r="M1469" s="12" t="n">
        <v>0.092063</v>
      </c>
      <c r="N1469" s="12" t="n">
        <v>0.050665</v>
      </c>
      <c r="O1469" s="12" t="n">
        <v>0.106183</v>
      </c>
      <c r="P1469" s="12" t="n">
        <v>0.052105</v>
      </c>
      <c r="Q1469" s="0" t="str">
        <f aca="false">IF(L1469&gt;=Models!$G$5,1+COUNTIF($L$5:$L$1517,"&gt;"&amp;L1469)+COUNTIFS($L$5:$L$1517,L1469,$B$5:$B$1517,"&lt;"&amp;B1469)+COUNTIFS($L$5:$L$1517,L1469,$B$5:$B$1517,B1469,$C$5:$C$1517,"&lt;"&amp;C1469),"")</f>
        <v/>
      </c>
      <c r="R1469" s="0" t="str">
        <f aca="false">IF(M1469&gt;=Models!$G$6,1+COUNTIF($M$5:$M$1517,"&gt;"&amp;M1469)+COUNTIFS($M$5:$M$1517,M1469,$B$5:$B$1517,"&lt;"&amp;B1469)+COUNTIFS($M$5:$M$1517,M1469,$B$5:$B$1517,B1469,$C$5:$C$1517,"&lt;"&amp;C1469),"")</f>
        <v/>
      </c>
      <c r="S1469" s="0" t="str">
        <f aca="false">IF(N1469&gt;=Models!$G$7,1+COUNTIF($N$5:$N$1517,"&gt;"&amp;N1469)+COUNTIFS($N$5:$N$1517,N1469,$B$5:$B$1517,"&lt;"&amp;B1469)+COUNTIFS($N$5:$N$1517,N1469,$B$5:$B$1517,B1469,$C$5:$C$1517,"&lt;"&amp;C1469),"")</f>
        <v/>
      </c>
      <c r="T1469" s="8" t="n">
        <f aca="false">IF(O1469&gt;=Models!$G$8,1+COUNTIF($O$5:$O$1517,"&gt;"&amp;O1469)+COUNTIFS($O$5:$O$1517,O1469,$B$5:$B$1517,"&lt;"&amp;B1469)+COUNTIFS($O$5:$O$1517,O1469,$B$5:$B$1517,B1469,$C$5:$C$1517,"&lt;"&amp;C1469),"")</f>
        <v>1445</v>
      </c>
      <c r="U1469" s="8" t="n">
        <f aca="false">IF($K1469=1,COUNTIFS($L$5:$L$1517,"&gt;="&amp;L1469,$K$5:$K$1517,1)/COUNTIF($L$5:$L$1517,"&gt;="&amp;L1469),0)</f>
        <v>0</v>
      </c>
      <c r="V1469" s="8" t="n">
        <f aca="false">IF($K1469=1,COUNTIFS($M$5:$M$1517,"&gt;="&amp;M1469,$K$5:$K$1517,1)/COUNTIF($M$5:$M$1517,"&gt;="&amp;M1469),0)</f>
        <v>0</v>
      </c>
      <c r="W1469" s="8" t="n">
        <f aca="false">IF($K1469=1,COUNTIFS($N$5:$N$1517,"&gt;="&amp;N1469,$K$5:$K$1517,1)/COUNTIF($N$5:$N$1517,"&gt;="&amp;N1469),0)</f>
        <v>0</v>
      </c>
      <c r="X1469" s="8" t="n">
        <f aca="false">IF($K1469=1,COUNTIFS($O$5:$O$1517,"&gt;="&amp;O1469,$K$5:$K$1517,1)/COUNTIF($O$5:$O$1517,"&gt;="&amp;O1469),0)</f>
        <v>0</v>
      </c>
      <c r="Y1469" s="8" t="n">
        <f aca="false">IF($K1469=1,COUNTIFS($P$5:$P$1517,"&gt;="&amp;P1469,$K$5:$K$1517,1)/COUNTIF($P$5:$P$1517,"&gt;="&amp;P1469),0)</f>
        <v>0</v>
      </c>
      <c r="Z1469" s="8" t="n">
        <f aca="false">(L1469-$K1469)^2</f>
        <v>0.131185942416</v>
      </c>
      <c r="AA1469" s="8" t="n">
        <f aca="false">(M1469-$K1469)^2</f>
        <v>0.008475595969</v>
      </c>
      <c r="AB1469" s="8" t="n">
        <f aca="false">(N1469-$K1469)^2</f>
        <v>0.002566942225</v>
      </c>
      <c r="AC1469" s="8" t="n">
        <f aca="false">(O1469-$K1469)^2</f>
        <v>0.011274829489</v>
      </c>
      <c r="AD1469" s="8" t="n">
        <f aca="false">(P1469-$K1469)^2</f>
        <v>0.002714931025</v>
      </c>
      <c r="AE1469" s="8" t="n">
        <f aca="false">MIN(INT(ROUND(N1469*1000000,0)/100000),9)</f>
        <v>0</v>
      </c>
      <c r="AF1469" s="8" t="n">
        <f aca="false">MIN(INT(ROUND(P1469*1000000,0)/100000),9)</f>
        <v>0</v>
      </c>
    </row>
    <row r="1470" customFormat="false" ht="15" hidden="false" customHeight="false" outlineLevel="0" collapsed="false">
      <c r="A1470" s="4" t="n">
        <v>1466</v>
      </c>
      <c r="B1470" s="4" t="n">
        <v>1703</v>
      </c>
      <c r="C1470" s="4" t="n">
        <v>3</v>
      </c>
      <c r="D1470" s="11" t="n">
        <v>46143</v>
      </c>
      <c r="E1470" s="4" t="s">
        <v>203</v>
      </c>
      <c r="F1470" s="4" t="s">
        <v>206</v>
      </c>
      <c r="G1470" s="4" t="n">
        <v>3</v>
      </c>
      <c r="H1470" s="4" t="n">
        <v>0</v>
      </c>
      <c r="I1470" s="4" t="n">
        <v>0</v>
      </c>
      <c r="J1470" s="4" t="n">
        <v>396</v>
      </c>
      <c r="K1470" s="4" t="n">
        <v>0</v>
      </c>
      <c r="L1470" s="12" t="n">
        <v>0.299268</v>
      </c>
      <c r="M1470" s="12" t="n">
        <v>0.092063</v>
      </c>
      <c r="N1470" s="12" t="n">
        <v>0.124659</v>
      </c>
      <c r="O1470" s="12" t="n">
        <v>0.106183</v>
      </c>
      <c r="P1470" s="12" t="n">
        <v>0.133219</v>
      </c>
      <c r="Q1470" s="0" t="str">
        <f aca="false">IF(L1470&gt;=Models!$G$5,1+COUNTIF($L$5:$L$1517,"&gt;"&amp;L1470)+COUNTIFS($L$5:$L$1517,L1470,$B$5:$B$1517,"&lt;"&amp;B1470)+COUNTIFS($L$5:$L$1517,L1470,$B$5:$B$1517,B1470,$C$5:$C$1517,"&lt;"&amp;C1470),"")</f>
        <v/>
      </c>
      <c r="R1470" s="0" t="str">
        <f aca="false">IF(M1470&gt;=Models!$G$6,1+COUNTIF($M$5:$M$1517,"&gt;"&amp;M1470)+COUNTIFS($M$5:$M$1517,M1470,$B$5:$B$1517,"&lt;"&amp;B1470)+COUNTIFS($M$5:$M$1517,M1470,$B$5:$B$1517,B1470,$C$5:$C$1517,"&lt;"&amp;C1470),"")</f>
        <v/>
      </c>
      <c r="S1470" s="0" t="str">
        <f aca="false">IF(N1470&gt;=Models!$G$7,1+COUNTIF($N$5:$N$1517,"&gt;"&amp;N1470)+COUNTIFS($N$5:$N$1517,N1470,$B$5:$B$1517,"&lt;"&amp;B1470)+COUNTIFS($N$5:$N$1517,N1470,$B$5:$B$1517,B1470,$C$5:$C$1517,"&lt;"&amp;C1470),"")</f>
        <v/>
      </c>
      <c r="T1470" s="8" t="n">
        <f aca="false">IF(O1470&gt;=Models!$G$8,1+COUNTIF($O$5:$O$1517,"&gt;"&amp;O1470)+COUNTIFS($O$5:$O$1517,O1470,$B$5:$B$1517,"&lt;"&amp;B1470)+COUNTIFS($O$5:$O$1517,O1470,$B$5:$B$1517,B1470,$C$5:$C$1517,"&lt;"&amp;C1470),"")</f>
        <v>1447</v>
      </c>
      <c r="U1470" s="8" t="n">
        <f aca="false">IF($K1470=1,COUNTIFS($L$5:$L$1517,"&gt;="&amp;L1470,$K$5:$K$1517,1)/COUNTIF($L$5:$L$1517,"&gt;="&amp;L1470),0)</f>
        <v>0</v>
      </c>
      <c r="V1470" s="8" t="n">
        <f aca="false">IF($K1470=1,COUNTIFS($M$5:$M$1517,"&gt;="&amp;M1470,$K$5:$K$1517,1)/COUNTIF($M$5:$M$1517,"&gt;="&amp;M1470),0)</f>
        <v>0</v>
      </c>
      <c r="W1470" s="8" t="n">
        <f aca="false">IF($K1470=1,COUNTIFS($N$5:$N$1517,"&gt;="&amp;N1470,$K$5:$K$1517,1)/COUNTIF($N$5:$N$1517,"&gt;="&amp;N1470),0)</f>
        <v>0</v>
      </c>
      <c r="X1470" s="8" t="n">
        <f aca="false">IF($K1470=1,COUNTIFS($O$5:$O$1517,"&gt;="&amp;O1470,$K$5:$K$1517,1)/COUNTIF($O$5:$O$1517,"&gt;="&amp;O1470),0)</f>
        <v>0</v>
      </c>
      <c r="Y1470" s="8" t="n">
        <f aca="false">IF($K1470=1,COUNTIFS($P$5:$P$1517,"&gt;="&amp;P1470,$K$5:$K$1517,1)/COUNTIF($P$5:$P$1517,"&gt;="&amp;P1470),0)</f>
        <v>0</v>
      </c>
      <c r="Z1470" s="8" t="n">
        <f aca="false">(L1470-$K1470)^2</f>
        <v>0.089561335824</v>
      </c>
      <c r="AA1470" s="8" t="n">
        <f aca="false">(M1470-$K1470)^2</f>
        <v>0.008475595969</v>
      </c>
      <c r="AB1470" s="8" t="n">
        <f aca="false">(N1470-$K1470)^2</f>
        <v>0.015539866281</v>
      </c>
      <c r="AC1470" s="8" t="n">
        <f aca="false">(O1470-$K1470)^2</f>
        <v>0.011274829489</v>
      </c>
      <c r="AD1470" s="8" t="n">
        <f aca="false">(P1470-$K1470)^2</f>
        <v>0.017747301961</v>
      </c>
      <c r="AE1470" s="8" t="n">
        <f aca="false">MIN(INT(ROUND(N1470*1000000,0)/100000),9)</f>
        <v>1</v>
      </c>
      <c r="AF1470" s="8" t="n">
        <f aca="false">MIN(INT(ROUND(P1470*1000000,0)/100000),9)</f>
        <v>1</v>
      </c>
    </row>
    <row r="1471" customFormat="false" ht="15" hidden="false" customHeight="false" outlineLevel="0" collapsed="false">
      <c r="A1471" s="4" t="n">
        <v>1467</v>
      </c>
      <c r="B1471" s="4" t="n">
        <v>1708</v>
      </c>
      <c r="C1471" s="4" t="n">
        <v>3</v>
      </c>
      <c r="D1471" s="11" t="n">
        <v>46143</v>
      </c>
      <c r="E1471" s="4" t="s">
        <v>201</v>
      </c>
      <c r="F1471" s="4" t="s">
        <v>209</v>
      </c>
      <c r="G1471" s="4" t="n">
        <v>14</v>
      </c>
      <c r="H1471" s="4" t="n">
        <v>2</v>
      </c>
      <c r="I1471" s="4" t="n">
        <v>1</v>
      </c>
      <c r="J1471" s="4"/>
      <c r="K1471" s="4" t="n">
        <v>0</v>
      </c>
      <c r="L1471" s="12" t="n">
        <v>0.622288</v>
      </c>
      <c r="M1471" s="12" t="n">
        <v>0.184211</v>
      </c>
      <c r="N1471" s="12" t="n">
        <v>0.044776</v>
      </c>
      <c r="O1471" s="12" t="n">
        <v>0.106183</v>
      </c>
      <c r="P1471" s="12" t="n">
        <v>0.045786</v>
      </c>
      <c r="Q1471" s="0" t="str">
        <f aca="false">IF(L1471&gt;=Models!$G$5,1+COUNTIF($L$5:$L$1517,"&gt;"&amp;L1471)+COUNTIFS($L$5:$L$1517,L1471,$B$5:$B$1517,"&lt;"&amp;B1471)+COUNTIFS($L$5:$L$1517,L1471,$B$5:$B$1517,B1471,$C$5:$C$1517,"&lt;"&amp;C1471),"")</f>
        <v/>
      </c>
      <c r="R1471" s="8" t="n">
        <f aca="false">IF(M1471&gt;=Models!$G$6,1+COUNTIF($M$5:$M$1517,"&gt;"&amp;M1471)+COUNTIFS($M$5:$M$1517,M1471,$B$5:$B$1517,"&lt;"&amp;B1471)+COUNTIFS($M$5:$M$1517,M1471,$B$5:$B$1517,B1471,$C$5:$C$1517,"&lt;"&amp;C1471),"")</f>
        <v>189</v>
      </c>
      <c r="S1471" s="0" t="str">
        <f aca="false">IF(N1471&gt;=Models!$G$7,1+COUNTIF($N$5:$N$1517,"&gt;"&amp;N1471)+COUNTIFS($N$5:$N$1517,N1471,$B$5:$B$1517,"&lt;"&amp;B1471)+COUNTIFS($N$5:$N$1517,N1471,$B$5:$B$1517,B1471,$C$5:$C$1517,"&lt;"&amp;C1471),"")</f>
        <v/>
      </c>
      <c r="T1471" s="8" t="n">
        <f aca="false">IF(O1471&gt;=Models!$G$8,1+COUNTIF($O$5:$O$1517,"&gt;"&amp;O1471)+COUNTIFS($O$5:$O$1517,O1471,$B$5:$B$1517,"&lt;"&amp;B1471)+COUNTIFS($O$5:$O$1517,O1471,$B$5:$B$1517,B1471,$C$5:$C$1517,"&lt;"&amp;C1471),"")</f>
        <v>1449</v>
      </c>
      <c r="U1471" s="8" t="n">
        <f aca="false">IF($K1471=1,COUNTIFS($L$5:$L$1517,"&gt;="&amp;L1471,$K$5:$K$1517,1)/COUNTIF($L$5:$L$1517,"&gt;="&amp;L1471),0)</f>
        <v>0</v>
      </c>
      <c r="V1471" s="8" t="n">
        <f aca="false">IF($K1471=1,COUNTIFS($M$5:$M$1517,"&gt;="&amp;M1471,$K$5:$K$1517,1)/COUNTIF($M$5:$M$1517,"&gt;="&amp;M1471),0)</f>
        <v>0</v>
      </c>
      <c r="W1471" s="8" t="n">
        <f aca="false">IF($K1471=1,COUNTIFS($N$5:$N$1517,"&gt;="&amp;N1471,$K$5:$K$1517,1)/COUNTIF($N$5:$N$1517,"&gt;="&amp;N1471),0)</f>
        <v>0</v>
      </c>
      <c r="X1471" s="8" t="n">
        <f aca="false">IF($K1471=1,COUNTIFS($O$5:$O$1517,"&gt;="&amp;O1471,$K$5:$K$1517,1)/COUNTIF($O$5:$O$1517,"&gt;="&amp;O1471),0)</f>
        <v>0</v>
      </c>
      <c r="Y1471" s="8" t="n">
        <f aca="false">IF($K1471=1,COUNTIFS($P$5:$P$1517,"&gt;="&amp;P1471,$K$5:$K$1517,1)/COUNTIF($P$5:$P$1517,"&gt;="&amp;P1471),0)</f>
        <v>0</v>
      </c>
      <c r="Z1471" s="8" t="n">
        <f aca="false">(L1471-$K1471)^2</f>
        <v>0.387242354944</v>
      </c>
      <c r="AA1471" s="8" t="n">
        <f aca="false">(M1471-$K1471)^2</f>
        <v>0.033933692521</v>
      </c>
      <c r="AB1471" s="8" t="n">
        <f aca="false">(N1471-$K1471)^2</f>
        <v>0.002004890176</v>
      </c>
      <c r="AC1471" s="8" t="n">
        <f aca="false">(O1471-$K1471)^2</f>
        <v>0.011274829489</v>
      </c>
      <c r="AD1471" s="8" t="n">
        <f aca="false">(P1471-$K1471)^2</f>
        <v>0.002096357796</v>
      </c>
      <c r="AE1471" s="8" t="n">
        <f aca="false">MIN(INT(ROUND(N1471*1000000,0)/100000),9)</f>
        <v>0</v>
      </c>
      <c r="AF1471" s="8" t="n">
        <f aca="false">MIN(INT(ROUND(P1471*1000000,0)/100000),9)</f>
        <v>0</v>
      </c>
    </row>
    <row r="1472" customFormat="false" ht="15" hidden="false" customHeight="false" outlineLevel="0" collapsed="false">
      <c r="A1472" s="4" t="n">
        <v>1468</v>
      </c>
      <c r="B1472" s="4" t="n">
        <v>1712</v>
      </c>
      <c r="C1472" s="4" t="n">
        <v>3</v>
      </c>
      <c r="D1472" s="11" t="n">
        <v>46143</v>
      </c>
      <c r="E1472" s="4" t="s">
        <v>203</v>
      </c>
      <c r="F1472" s="4" t="s">
        <v>206</v>
      </c>
      <c r="G1472" s="4" t="n">
        <v>5</v>
      </c>
      <c r="H1472" s="4" t="n">
        <v>0</v>
      </c>
      <c r="I1472" s="4" t="n">
        <v>0</v>
      </c>
      <c r="J1472" s="4" t="n">
        <v>276</v>
      </c>
      <c r="K1472" s="4" t="n">
        <v>0</v>
      </c>
      <c r="L1472" s="12" t="n">
        <v>0.875495</v>
      </c>
      <c r="M1472" s="12" t="n">
        <v>0.092063</v>
      </c>
      <c r="N1472" s="12" t="n">
        <v>0.106972</v>
      </c>
      <c r="O1472" s="12" t="n">
        <v>0.106183</v>
      </c>
      <c r="P1472" s="12" t="n">
        <v>0.113645</v>
      </c>
      <c r="Q1472" s="0" t="str">
        <f aca="false">IF(L1472&gt;=Models!$G$5,1+COUNTIF($L$5:$L$1517,"&gt;"&amp;L1472)+COUNTIFS($L$5:$L$1517,L1472,$B$5:$B$1517,"&lt;"&amp;B1472)+COUNTIFS($L$5:$L$1517,L1472,$B$5:$B$1517,B1472,$C$5:$C$1517,"&lt;"&amp;C1472),"")</f>
        <v/>
      </c>
      <c r="R1472" s="0" t="str">
        <f aca="false">IF(M1472&gt;=Models!$G$6,1+COUNTIF($M$5:$M$1517,"&gt;"&amp;M1472)+COUNTIFS($M$5:$M$1517,M1472,$B$5:$B$1517,"&lt;"&amp;B1472)+COUNTIFS($M$5:$M$1517,M1472,$B$5:$B$1517,B1472,$C$5:$C$1517,"&lt;"&amp;C1472),"")</f>
        <v/>
      </c>
      <c r="S1472" s="0" t="str">
        <f aca="false">IF(N1472&gt;=Models!$G$7,1+COUNTIF($N$5:$N$1517,"&gt;"&amp;N1472)+COUNTIFS($N$5:$N$1517,N1472,$B$5:$B$1517,"&lt;"&amp;B1472)+COUNTIFS($N$5:$N$1517,N1472,$B$5:$B$1517,B1472,$C$5:$C$1517,"&lt;"&amp;C1472),"")</f>
        <v/>
      </c>
      <c r="T1472" s="8" t="n">
        <f aca="false">IF(O1472&gt;=Models!$G$8,1+COUNTIF($O$5:$O$1517,"&gt;"&amp;O1472)+COUNTIFS($O$5:$O$1517,O1472,$B$5:$B$1517,"&lt;"&amp;B1472)+COUNTIFS($O$5:$O$1517,O1472,$B$5:$B$1517,B1472,$C$5:$C$1517,"&lt;"&amp;C1472),"")</f>
        <v>1451</v>
      </c>
      <c r="U1472" s="8" t="n">
        <f aca="false">IF($K1472=1,COUNTIFS($L$5:$L$1517,"&gt;="&amp;L1472,$K$5:$K$1517,1)/COUNTIF($L$5:$L$1517,"&gt;="&amp;L1472),0)</f>
        <v>0</v>
      </c>
      <c r="V1472" s="8" t="n">
        <f aca="false">IF($K1472=1,COUNTIFS($M$5:$M$1517,"&gt;="&amp;M1472,$K$5:$K$1517,1)/COUNTIF($M$5:$M$1517,"&gt;="&amp;M1472),0)</f>
        <v>0</v>
      </c>
      <c r="W1472" s="8" t="n">
        <f aca="false">IF($K1472=1,COUNTIFS($N$5:$N$1517,"&gt;="&amp;N1472,$K$5:$K$1517,1)/COUNTIF($N$5:$N$1517,"&gt;="&amp;N1472),0)</f>
        <v>0</v>
      </c>
      <c r="X1472" s="8" t="n">
        <f aca="false">IF($K1472=1,COUNTIFS($O$5:$O$1517,"&gt;="&amp;O1472,$K$5:$K$1517,1)/COUNTIF($O$5:$O$1517,"&gt;="&amp;O1472),0)</f>
        <v>0</v>
      </c>
      <c r="Y1472" s="8" t="n">
        <f aca="false">IF($K1472=1,COUNTIFS($P$5:$P$1517,"&gt;="&amp;P1472,$K$5:$K$1517,1)/COUNTIF($P$5:$P$1517,"&gt;="&amp;P1472),0)</f>
        <v>0</v>
      </c>
      <c r="Z1472" s="8" t="n">
        <f aca="false">(L1472-$K1472)^2</f>
        <v>0.766491495025</v>
      </c>
      <c r="AA1472" s="8" t="n">
        <f aca="false">(M1472-$K1472)^2</f>
        <v>0.008475595969</v>
      </c>
      <c r="AB1472" s="8" t="n">
        <f aca="false">(N1472-$K1472)^2</f>
        <v>0.011443008784</v>
      </c>
      <c r="AC1472" s="8" t="n">
        <f aca="false">(O1472-$K1472)^2</f>
        <v>0.011274829489</v>
      </c>
      <c r="AD1472" s="8" t="n">
        <f aca="false">(P1472-$K1472)^2</f>
        <v>0.012915186025</v>
      </c>
      <c r="AE1472" s="8" t="n">
        <f aca="false">MIN(INT(ROUND(N1472*1000000,0)/100000),9)</f>
        <v>1</v>
      </c>
      <c r="AF1472" s="8" t="n">
        <f aca="false">MIN(INT(ROUND(P1472*1000000,0)/100000),9)</f>
        <v>1</v>
      </c>
    </row>
    <row r="1473" customFormat="false" ht="15" hidden="false" customHeight="false" outlineLevel="0" collapsed="false">
      <c r="A1473" s="4" t="n">
        <v>1469</v>
      </c>
      <c r="B1473" s="4" t="n">
        <v>1713</v>
      </c>
      <c r="C1473" s="4" t="n">
        <v>3</v>
      </c>
      <c r="D1473" s="11" t="n">
        <v>46143</v>
      </c>
      <c r="E1473" s="4" t="s">
        <v>202</v>
      </c>
      <c r="F1473" s="4" t="s">
        <v>206</v>
      </c>
      <c r="G1473" s="4" t="n">
        <v>13</v>
      </c>
      <c r="H1473" s="4" t="n">
        <v>6</v>
      </c>
      <c r="I1473" s="4" t="n">
        <v>0</v>
      </c>
      <c r="J1473" s="4" t="n">
        <v>1710</v>
      </c>
      <c r="K1473" s="4" t="n">
        <v>0</v>
      </c>
      <c r="L1473" s="12" t="n">
        <v>0.736722</v>
      </c>
      <c r="M1473" s="12" t="n">
        <v>0.092063</v>
      </c>
      <c r="N1473" s="12" t="n">
        <v>0.053349</v>
      </c>
      <c r="O1473" s="12" t="n">
        <v>0.106183</v>
      </c>
      <c r="P1473" s="12" t="n">
        <v>0.054995</v>
      </c>
      <c r="Q1473" s="0" t="str">
        <f aca="false">IF(L1473&gt;=Models!$G$5,1+COUNTIF($L$5:$L$1517,"&gt;"&amp;L1473)+COUNTIFS($L$5:$L$1517,L1473,$B$5:$B$1517,"&lt;"&amp;B1473)+COUNTIFS($L$5:$L$1517,L1473,$B$5:$B$1517,B1473,$C$5:$C$1517,"&lt;"&amp;C1473),"")</f>
        <v/>
      </c>
      <c r="R1473" s="0" t="str">
        <f aca="false">IF(M1473&gt;=Models!$G$6,1+COUNTIF($M$5:$M$1517,"&gt;"&amp;M1473)+COUNTIFS($M$5:$M$1517,M1473,$B$5:$B$1517,"&lt;"&amp;B1473)+COUNTIFS($M$5:$M$1517,M1473,$B$5:$B$1517,B1473,$C$5:$C$1517,"&lt;"&amp;C1473),"")</f>
        <v/>
      </c>
      <c r="S1473" s="0" t="str">
        <f aca="false">IF(N1473&gt;=Models!$G$7,1+COUNTIF($N$5:$N$1517,"&gt;"&amp;N1473)+COUNTIFS($N$5:$N$1517,N1473,$B$5:$B$1517,"&lt;"&amp;B1473)+COUNTIFS($N$5:$N$1517,N1473,$B$5:$B$1517,B1473,$C$5:$C$1517,"&lt;"&amp;C1473),"")</f>
        <v/>
      </c>
      <c r="T1473" s="8" t="n">
        <f aca="false">IF(O1473&gt;=Models!$G$8,1+COUNTIF($O$5:$O$1517,"&gt;"&amp;O1473)+COUNTIFS($O$5:$O$1517,O1473,$B$5:$B$1517,"&lt;"&amp;B1473)+COUNTIFS($O$5:$O$1517,O1473,$B$5:$B$1517,B1473,$C$5:$C$1517,"&lt;"&amp;C1473),"")</f>
        <v>1453</v>
      </c>
      <c r="U1473" s="8" t="n">
        <f aca="false">IF($K1473=1,COUNTIFS($L$5:$L$1517,"&gt;="&amp;L1473,$K$5:$K$1517,1)/COUNTIF($L$5:$L$1517,"&gt;="&amp;L1473),0)</f>
        <v>0</v>
      </c>
      <c r="V1473" s="8" t="n">
        <f aca="false">IF($K1473=1,COUNTIFS($M$5:$M$1517,"&gt;="&amp;M1473,$K$5:$K$1517,1)/COUNTIF($M$5:$M$1517,"&gt;="&amp;M1473),0)</f>
        <v>0</v>
      </c>
      <c r="W1473" s="8" t="n">
        <f aca="false">IF($K1473=1,COUNTIFS($N$5:$N$1517,"&gt;="&amp;N1473,$K$5:$K$1517,1)/COUNTIF($N$5:$N$1517,"&gt;="&amp;N1473),0)</f>
        <v>0</v>
      </c>
      <c r="X1473" s="8" t="n">
        <f aca="false">IF($K1473=1,COUNTIFS($O$5:$O$1517,"&gt;="&amp;O1473,$K$5:$K$1517,1)/COUNTIF($O$5:$O$1517,"&gt;="&amp;O1473),0)</f>
        <v>0</v>
      </c>
      <c r="Y1473" s="8" t="n">
        <f aca="false">IF($K1473=1,COUNTIFS($P$5:$P$1517,"&gt;="&amp;P1473,$K$5:$K$1517,1)/COUNTIF($P$5:$P$1517,"&gt;="&amp;P1473),0)</f>
        <v>0</v>
      </c>
      <c r="Z1473" s="8" t="n">
        <f aca="false">(L1473-$K1473)^2</f>
        <v>0.542759305284</v>
      </c>
      <c r="AA1473" s="8" t="n">
        <f aca="false">(M1473-$K1473)^2</f>
        <v>0.008475595969</v>
      </c>
      <c r="AB1473" s="8" t="n">
        <f aca="false">(N1473-$K1473)^2</f>
        <v>0.002846115801</v>
      </c>
      <c r="AC1473" s="8" t="n">
        <f aca="false">(O1473-$K1473)^2</f>
        <v>0.011274829489</v>
      </c>
      <c r="AD1473" s="8" t="n">
        <f aca="false">(P1473-$K1473)^2</f>
        <v>0.003024450025</v>
      </c>
      <c r="AE1473" s="8" t="n">
        <f aca="false">MIN(INT(ROUND(N1473*1000000,0)/100000),9)</f>
        <v>0</v>
      </c>
      <c r="AF1473" s="8" t="n">
        <f aca="false">MIN(INT(ROUND(P1473*1000000,0)/100000),9)</f>
        <v>0</v>
      </c>
    </row>
    <row r="1474" customFormat="false" ht="15" hidden="false" customHeight="false" outlineLevel="0" collapsed="false">
      <c r="A1474" s="4" t="n">
        <v>1470</v>
      </c>
      <c r="B1474" s="4" t="n">
        <v>1716</v>
      </c>
      <c r="C1474" s="4" t="n">
        <v>3</v>
      </c>
      <c r="D1474" s="11" t="n">
        <v>46143</v>
      </c>
      <c r="E1474" s="4" t="s">
        <v>204</v>
      </c>
      <c r="F1474" s="4" t="s">
        <v>206</v>
      </c>
      <c r="G1474" s="4" t="n">
        <v>5</v>
      </c>
      <c r="H1474" s="4" t="n">
        <v>4</v>
      </c>
      <c r="I1474" s="4" t="n">
        <v>0</v>
      </c>
      <c r="J1474" s="4" t="n">
        <v>69</v>
      </c>
      <c r="K1474" s="4" t="n">
        <v>0</v>
      </c>
      <c r="L1474" s="12" t="n">
        <v>0.047474</v>
      </c>
      <c r="M1474" s="12" t="n">
        <v>0.092063</v>
      </c>
      <c r="N1474" s="12" t="n">
        <v>0.111328</v>
      </c>
      <c r="O1474" s="12" t="n">
        <v>0.106183</v>
      </c>
      <c r="P1474" s="12" t="n">
        <v>0.118459</v>
      </c>
      <c r="Q1474" s="0" t="str">
        <f aca="false">IF(L1474&gt;=Models!$G$5,1+COUNTIF($L$5:$L$1517,"&gt;"&amp;L1474)+COUNTIFS($L$5:$L$1517,L1474,$B$5:$B$1517,"&lt;"&amp;B1474)+COUNTIFS($L$5:$L$1517,L1474,$B$5:$B$1517,B1474,$C$5:$C$1517,"&lt;"&amp;C1474),"")</f>
        <v/>
      </c>
      <c r="R1474" s="0" t="str">
        <f aca="false">IF(M1474&gt;=Models!$G$6,1+COUNTIF($M$5:$M$1517,"&gt;"&amp;M1474)+COUNTIFS($M$5:$M$1517,M1474,$B$5:$B$1517,"&lt;"&amp;B1474)+COUNTIFS($M$5:$M$1517,M1474,$B$5:$B$1517,B1474,$C$5:$C$1517,"&lt;"&amp;C1474),"")</f>
        <v/>
      </c>
      <c r="S1474" s="0" t="str">
        <f aca="false">IF(N1474&gt;=Models!$G$7,1+COUNTIF($N$5:$N$1517,"&gt;"&amp;N1474)+COUNTIFS($N$5:$N$1517,N1474,$B$5:$B$1517,"&lt;"&amp;B1474)+COUNTIFS($N$5:$N$1517,N1474,$B$5:$B$1517,B1474,$C$5:$C$1517,"&lt;"&amp;C1474),"")</f>
        <v/>
      </c>
      <c r="T1474" s="8" t="n">
        <f aca="false">IF(O1474&gt;=Models!$G$8,1+COUNTIF($O$5:$O$1517,"&gt;"&amp;O1474)+COUNTIFS($O$5:$O$1517,O1474,$B$5:$B$1517,"&lt;"&amp;B1474)+COUNTIFS($O$5:$O$1517,O1474,$B$5:$B$1517,B1474,$C$5:$C$1517,"&lt;"&amp;C1474),"")</f>
        <v>1455</v>
      </c>
      <c r="U1474" s="8" t="n">
        <f aca="false">IF($K1474=1,COUNTIFS($L$5:$L$1517,"&gt;="&amp;L1474,$K$5:$K$1517,1)/COUNTIF($L$5:$L$1517,"&gt;="&amp;L1474),0)</f>
        <v>0</v>
      </c>
      <c r="V1474" s="8" t="n">
        <f aca="false">IF($K1474=1,COUNTIFS($M$5:$M$1517,"&gt;="&amp;M1474,$K$5:$K$1517,1)/COUNTIF($M$5:$M$1517,"&gt;="&amp;M1474),0)</f>
        <v>0</v>
      </c>
      <c r="W1474" s="8" t="n">
        <f aca="false">IF($K1474=1,COUNTIFS($N$5:$N$1517,"&gt;="&amp;N1474,$K$5:$K$1517,1)/COUNTIF($N$5:$N$1517,"&gt;="&amp;N1474),0)</f>
        <v>0</v>
      </c>
      <c r="X1474" s="8" t="n">
        <f aca="false">IF($K1474=1,COUNTIFS($O$5:$O$1517,"&gt;="&amp;O1474,$K$5:$K$1517,1)/COUNTIF($O$5:$O$1517,"&gt;="&amp;O1474),0)</f>
        <v>0</v>
      </c>
      <c r="Y1474" s="8" t="n">
        <f aca="false">IF($K1474=1,COUNTIFS($P$5:$P$1517,"&gt;="&amp;P1474,$K$5:$K$1517,1)/COUNTIF($P$5:$P$1517,"&gt;="&amp;P1474),0)</f>
        <v>0</v>
      </c>
      <c r="Z1474" s="8" t="n">
        <f aca="false">(L1474-$K1474)^2</f>
        <v>0.002253780676</v>
      </c>
      <c r="AA1474" s="8" t="n">
        <f aca="false">(M1474-$K1474)^2</f>
        <v>0.008475595969</v>
      </c>
      <c r="AB1474" s="8" t="n">
        <f aca="false">(N1474-$K1474)^2</f>
        <v>0.012393923584</v>
      </c>
      <c r="AC1474" s="8" t="n">
        <f aca="false">(O1474-$K1474)^2</f>
        <v>0.011274829489</v>
      </c>
      <c r="AD1474" s="8" t="n">
        <f aca="false">(P1474-$K1474)^2</f>
        <v>0.014032534681</v>
      </c>
      <c r="AE1474" s="8" t="n">
        <f aca="false">MIN(INT(ROUND(N1474*1000000,0)/100000),9)</f>
        <v>1</v>
      </c>
      <c r="AF1474" s="8" t="n">
        <f aca="false">MIN(INT(ROUND(P1474*1000000,0)/100000),9)</f>
        <v>1</v>
      </c>
    </row>
    <row r="1475" customFormat="false" ht="15" hidden="false" customHeight="false" outlineLevel="0" collapsed="false">
      <c r="A1475" s="4" t="n">
        <v>1471</v>
      </c>
      <c r="B1475" s="4" t="n">
        <v>1721</v>
      </c>
      <c r="C1475" s="4" t="n">
        <v>3</v>
      </c>
      <c r="D1475" s="11" t="n">
        <v>46143</v>
      </c>
      <c r="E1475" s="4" t="s">
        <v>201</v>
      </c>
      <c r="F1475" s="4" t="s">
        <v>206</v>
      </c>
      <c r="G1475" s="4" t="n">
        <v>13</v>
      </c>
      <c r="H1475" s="4" t="n">
        <v>0</v>
      </c>
      <c r="I1475" s="4" t="n">
        <v>0</v>
      </c>
      <c r="J1475" s="4"/>
      <c r="K1475" s="4" t="n">
        <v>1</v>
      </c>
      <c r="L1475" s="12" t="n">
        <v>0.670223</v>
      </c>
      <c r="M1475" s="12" t="n">
        <v>0.092063</v>
      </c>
      <c r="N1475" s="12" t="n">
        <v>0.027048</v>
      </c>
      <c r="O1475" s="12" t="n">
        <v>0.106183</v>
      </c>
      <c r="P1475" s="12" t="n">
        <v>0.027009</v>
      </c>
      <c r="Q1475" s="0" t="str">
        <f aca="false">IF(L1475&gt;=Models!$G$5,1+COUNTIF($L$5:$L$1517,"&gt;"&amp;L1475)+COUNTIFS($L$5:$L$1517,L1475,$B$5:$B$1517,"&lt;"&amp;B1475)+COUNTIFS($L$5:$L$1517,L1475,$B$5:$B$1517,B1475,$C$5:$C$1517,"&lt;"&amp;C1475),"")</f>
        <v/>
      </c>
      <c r="R1475" s="0" t="str">
        <f aca="false">IF(M1475&gt;=Models!$G$6,1+COUNTIF($M$5:$M$1517,"&gt;"&amp;M1475)+COUNTIFS($M$5:$M$1517,M1475,$B$5:$B$1517,"&lt;"&amp;B1475)+COUNTIFS($M$5:$M$1517,M1475,$B$5:$B$1517,B1475,$C$5:$C$1517,"&lt;"&amp;C1475),"")</f>
        <v/>
      </c>
      <c r="S1475" s="0" t="str">
        <f aca="false">IF(N1475&gt;=Models!$G$7,1+COUNTIF($N$5:$N$1517,"&gt;"&amp;N1475)+COUNTIFS($N$5:$N$1517,N1475,$B$5:$B$1517,"&lt;"&amp;B1475)+COUNTIFS($N$5:$N$1517,N1475,$B$5:$B$1517,B1475,$C$5:$C$1517,"&lt;"&amp;C1475),"")</f>
        <v/>
      </c>
      <c r="T1475" s="8" t="n">
        <f aca="false">IF(O1475&gt;=Models!$G$8,1+COUNTIF($O$5:$O$1517,"&gt;"&amp;O1475)+COUNTIFS($O$5:$O$1517,O1475,$B$5:$B$1517,"&lt;"&amp;B1475)+COUNTIFS($O$5:$O$1517,O1475,$B$5:$B$1517,B1475,$C$5:$C$1517,"&lt;"&amp;C1475),"")</f>
        <v>1457</v>
      </c>
      <c r="U1475" s="8" t="n">
        <f aca="false">IF($K1475=1,COUNTIFS($L$5:$L$1517,"&gt;="&amp;L1475,$K$5:$K$1517,1)/COUNTIF($L$5:$L$1517,"&gt;="&amp;L1475),0)</f>
        <v>0.130977130977131</v>
      </c>
      <c r="V1475" s="8" t="n">
        <f aca="false">IF($K1475=1,COUNTIFS($M$5:$M$1517,"&gt;="&amp;M1475,$K$5:$K$1517,1)/COUNTIF($M$5:$M$1517,"&gt;="&amp;M1475),0)</f>
        <v>0.12491738268341</v>
      </c>
      <c r="W1475" s="8" t="n">
        <f aca="false">IF($K1475=1,COUNTIFS($N$5:$N$1517,"&gt;="&amp;N1475,$K$5:$K$1517,1)/COUNTIF($N$5:$N$1517,"&gt;="&amp;N1475),0)</f>
        <v>0.132573057733428</v>
      </c>
      <c r="X1475" s="8" t="n">
        <f aca="false">IF($K1475=1,COUNTIFS($O$5:$O$1517,"&gt;="&amp;O1475,$K$5:$K$1517,1)/COUNTIF($O$5:$O$1517,"&gt;="&amp;O1475),0)</f>
        <v>0.12491738268341</v>
      </c>
      <c r="Y1475" s="8" t="n">
        <f aca="false">IF($K1475=1,COUNTIFS($P$5:$P$1517,"&gt;="&amp;P1475,$K$5:$K$1517,1)/COUNTIF($P$5:$P$1517,"&gt;="&amp;P1475),0)</f>
        <v>0.132573057733428</v>
      </c>
      <c r="Z1475" s="8" t="n">
        <f aca="false">(L1475-$K1475)^2</f>
        <v>0.108752869729</v>
      </c>
      <c r="AA1475" s="8" t="n">
        <f aca="false">(M1475-$K1475)^2</f>
        <v>0.824349595969</v>
      </c>
      <c r="AB1475" s="8" t="n">
        <f aca="false">(N1475-$K1475)^2</f>
        <v>0.946635594304</v>
      </c>
      <c r="AC1475" s="8" t="n">
        <f aca="false">(O1475-$K1475)^2</f>
        <v>0.798908829489</v>
      </c>
      <c r="AD1475" s="8" t="n">
        <f aca="false">(P1475-$K1475)^2</f>
        <v>0.946711486081</v>
      </c>
      <c r="AE1475" s="8" t="n">
        <f aca="false">MIN(INT(ROUND(N1475*1000000,0)/100000),9)</f>
        <v>0</v>
      </c>
      <c r="AF1475" s="8" t="n">
        <f aca="false">MIN(INT(ROUND(P1475*1000000,0)/100000),9)</f>
        <v>0</v>
      </c>
    </row>
    <row r="1476" customFormat="false" ht="15" hidden="false" customHeight="false" outlineLevel="0" collapsed="false">
      <c r="A1476" s="4" t="n">
        <v>1472</v>
      </c>
      <c r="B1476" s="4" t="n">
        <v>1730</v>
      </c>
      <c r="C1476" s="4" t="n">
        <v>3</v>
      </c>
      <c r="D1476" s="11" t="n">
        <v>46143</v>
      </c>
      <c r="E1476" s="4" t="s">
        <v>204</v>
      </c>
      <c r="F1476" s="4" t="s">
        <v>209</v>
      </c>
      <c r="G1476" s="4" t="n">
        <v>4</v>
      </c>
      <c r="H1476" s="4" t="n">
        <v>1</v>
      </c>
      <c r="I1476" s="4" t="n">
        <v>0</v>
      </c>
      <c r="J1476" s="4" t="n">
        <v>69</v>
      </c>
      <c r="K1476" s="4" t="n">
        <v>0</v>
      </c>
      <c r="L1476" s="12" t="n">
        <v>0.258335</v>
      </c>
      <c r="M1476" s="12" t="n">
        <v>0.092063</v>
      </c>
      <c r="N1476" s="12" t="n">
        <v>0.117965</v>
      </c>
      <c r="O1476" s="12" t="n">
        <v>0.106183</v>
      </c>
      <c r="P1476" s="12" t="n">
        <v>0.125803</v>
      </c>
      <c r="Q1476" s="0" t="str">
        <f aca="false">IF(L1476&gt;=Models!$G$5,1+COUNTIF($L$5:$L$1517,"&gt;"&amp;L1476)+COUNTIFS($L$5:$L$1517,L1476,$B$5:$B$1517,"&lt;"&amp;B1476)+COUNTIFS($L$5:$L$1517,L1476,$B$5:$B$1517,B1476,$C$5:$C$1517,"&lt;"&amp;C1476),"")</f>
        <v/>
      </c>
      <c r="R1476" s="0" t="str">
        <f aca="false">IF(M1476&gt;=Models!$G$6,1+COUNTIF($M$5:$M$1517,"&gt;"&amp;M1476)+COUNTIFS($M$5:$M$1517,M1476,$B$5:$B$1517,"&lt;"&amp;B1476)+COUNTIFS($M$5:$M$1517,M1476,$B$5:$B$1517,B1476,$C$5:$C$1517,"&lt;"&amp;C1476),"")</f>
        <v/>
      </c>
      <c r="S1476" s="0" t="str">
        <f aca="false">IF(N1476&gt;=Models!$G$7,1+COUNTIF($N$5:$N$1517,"&gt;"&amp;N1476)+COUNTIFS($N$5:$N$1517,N1476,$B$5:$B$1517,"&lt;"&amp;B1476)+COUNTIFS($N$5:$N$1517,N1476,$B$5:$B$1517,B1476,$C$5:$C$1517,"&lt;"&amp;C1476),"")</f>
        <v/>
      </c>
      <c r="T1476" s="8" t="n">
        <f aca="false">IF(O1476&gt;=Models!$G$8,1+COUNTIF($O$5:$O$1517,"&gt;"&amp;O1476)+COUNTIFS($O$5:$O$1517,O1476,$B$5:$B$1517,"&lt;"&amp;B1476)+COUNTIFS($O$5:$O$1517,O1476,$B$5:$B$1517,B1476,$C$5:$C$1517,"&lt;"&amp;C1476),"")</f>
        <v>1459</v>
      </c>
      <c r="U1476" s="8" t="n">
        <f aca="false">IF($K1476=1,COUNTIFS($L$5:$L$1517,"&gt;="&amp;L1476,$K$5:$K$1517,1)/COUNTIF($L$5:$L$1517,"&gt;="&amp;L1476),0)</f>
        <v>0</v>
      </c>
      <c r="V1476" s="8" t="n">
        <f aca="false">IF($K1476=1,COUNTIFS($M$5:$M$1517,"&gt;="&amp;M1476,$K$5:$K$1517,1)/COUNTIF($M$5:$M$1517,"&gt;="&amp;M1476),0)</f>
        <v>0</v>
      </c>
      <c r="W1476" s="8" t="n">
        <f aca="false">IF($K1476=1,COUNTIFS($N$5:$N$1517,"&gt;="&amp;N1476,$K$5:$K$1517,1)/COUNTIF($N$5:$N$1517,"&gt;="&amp;N1476),0)</f>
        <v>0</v>
      </c>
      <c r="X1476" s="8" t="n">
        <f aca="false">IF($K1476=1,COUNTIFS($O$5:$O$1517,"&gt;="&amp;O1476,$K$5:$K$1517,1)/COUNTIF($O$5:$O$1517,"&gt;="&amp;O1476),0)</f>
        <v>0</v>
      </c>
      <c r="Y1476" s="8" t="n">
        <f aca="false">IF($K1476=1,COUNTIFS($P$5:$P$1517,"&gt;="&amp;P1476,$K$5:$K$1517,1)/COUNTIF($P$5:$P$1517,"&gt;="&amp;P1476),0)</f>
        <v>0</v>
      </c>
      <c r="Z1476" s="8" t="n">
        <f aca="false">(L1476-$K1476)^2</f>
        <v>0.066736972225</v>
      </c>
      <c r="AA1476" s="8" t="n">
        <f aca="false">(M1476-$K1476)^2</f>
        <v>0.008475595969</v>
      </c>
      <c r="AB1476" s="8" t="n">
        <f aca="false">(N1476-$K1476)^2</f>
        <v>0.013915741225</v>
      </c>
      <c r="AC1476" s="8" t="n">
        <f aca="false">(O1476-$K1476)^2</f>
        <v>0.011274829489</v>
      </c>
      <c r="AD1476" s="8" t="n">
        <f aca="false">(P1476-$K1476)^2</f>
        <v>0.015826394809</v>
      </c>
      <c r="AE1476" s="8" t="n">
        <f aca="false">MIN(INT(ROUND(N1476*1000000,0)/100000),9)</f>
        <v>1</v>
      </c>
      <c r="AF1476" s="8" t="n">
        <f aca="false">MIN(INT(ROUND(P1476*1000000,0)/100000),9)</f>
        <v>1</v>
      </c>
    </row>
    <row r="1477" customFormat="false" ht="15" hidden="false" customHeight="false" outlineLevel="0" collapsed="false">
      <c r="A1477" s="4" t="n">
        <v>1473</v>
      </c>
      <c r="B1477" s="4" t="n">
        <v>1734</v>
      </c>
      <c r="C1477" s="4" t="n">
        <v>3</v>
      </c>
      <c r="D1477" s="11" t="n">
        <v>46143</v>
      </c>
      <c r="E1477" s="4" t="s">
        <v>202</v>
      </c>
      <c r="F1477" s="4" t="s">
        <v>207</v>
      </c>
      <c r="G1477" s="4" t="n">
        <v>4</v>
      </c>
      <c r="H1477" s="4" t="n">
        <v>10</v>
      </c>
      <c r="I1477" s="4" t="n">
        <v>0</v>
      </c>
      <c r="J1477" s="4" t="n">
        <v>1293</v>
      </c>
      <c r="K1477" s="4" t="n">
        <v>0</v>
      </c>
      <c r="L1477" s="12" t="n">
        <v>0.57886</v>
      </c>
      <c r="M1477" s="12" t="n">
        <v>0.092063</v>
      </c>
      <c r="N1477" s="12" t="n">
        <v>0.118245</v>
      </c>
      <c r="O1477" s="12" t="n">
        <v>0.106183</v>
      </c>
      <c r="P1477" s="12" t="n">
        <v>0.126112</v>
      </c>
      <c r="Q1477" s="0" t="str">
        <f aca="false">IF(L1477&gt;=Models!$G$5,1+COUNTIF($L$5:$L$1517,"&gt;"&amp;L1477)+COUNTIFS($L$5:$L$1517,L1477,$B$5:$B$1517,"&lt;"&amp;B1477)+COUNTIFS($L$5:$L$1517,L1477,$B$5:$B$1517,B1477,$C$5:$C$1517,"&lt;"&amp;C1477),"")</f>
        <v/>
      </c>
      <c r="R1477" s="0" t="str">
        <f aca="false">IF(M1477&gt;=Models!$G$6,1+COUNTIF($M$5:$M$1517,"&gt;"&amp;M1477)+COUNTIFS($M$5:$M$1517,M1477,$B$5:$B$1517,"&lt;"&amp;B1477)+COUNTIFS($M$5:$M$1517,M1477,$B$5:$B$1517,B1477,$C$5:$C$1517,"&lt;"&amp;C1477),"")</f>
        <v/>
      </c>
      <c r="S1477" s="0" t="str">
        <f aca="false">IF(N1477&gt;=Models!$G$7,1+COUNTIF($N$5:$N$1517,"&gt;"&amp;N1477)+COUNTIFS($N$5:$N$1517,N1477,$B$5:$B$1517,"&lt;"&amp;B1477)+COUNTIFS($N$5:$N$1517,N1477,$B$5:$B$1517,B1477,$C$5:$C$1517,"&lt;"&amp;C1477),"")</f>
        <v/>
      </c>
      <c r="T1477" s="8" t="n">
        <f aca="false">IF(O1477&gt;=Models!$G$8,1+COUNTIF($O$5:$O$1517,"&gt;"&amp;O1477)+COUNTIFS($O$5:$O$1517,O1477,$B$5:$B$1517,"&lt;"&amp;B1477)+COUNTIFS($O$5:$O$1517,O1477,$B$5:$B$1517,B1477,$C$5:$C$1517,"&lt;"&amp;C1477),"")</f>
        <v>1461</v>
      </c>
      <c r="U1477" s="8" t="n">
        <f aca="false">IF($K1477=1,COUNTIFS($L$5:$L$1517,"&gt;="&amp;L1477,$K$5:$K$1517,1)/COUNTIF($L$5:$L$1517,"&gt;="&amp;L1477),0)</f>
        <v>0</v>
      </c>
      <c r="V1477" s="8" t="n">
        <f aca="false">IF($K1477=1,COUNTIFS($M$5:$M$1517,"&gt;="&amp;M1477,$K$5:$K$1517,1)/COUNTIF($M$5:$M$1517,"&gt;="&amp;M1477),0)</f>
        <v>0</v>
      </c>
      <c r="W1477" s="8" t="n">
        <f aca="false">IF($K1477=1,COUNTIFS($N$5:$N$1517,"&gt;="&amp;N1477,$K$5:$K$1517,1)/COUNTIF($N$5:$N$1517,"&gt;="&amp;N1477),0)</f>
        <v>0</v>
      </c>
      <c r="X1477" s="8" t="n">
        <f aca="false">IF($K1477=1,COUNTIFS($O$5:$O$1517,"&gt;="&amp;O1477,$K$5:$K$1517,1)/COUNTIF($O$5:$O$1517,"&gt;="&amp;O1477),0)</f>
        <v>0</v>
      </c>
      <c r="Y1477" s="8" t="n">
        <f aca="false">IF($K1477=1,COUNTIFS($P$5:$P$1517,"&gt;="&amp;P1477,$K$5:$K$1517,1)/COUNTIF($P$5:$P$1517,"&gt;="&amp;P1477),0)</f>
        <v>0</v>
      </c>
      <c r="Z1477" s="8" t="n">
        <f aca="false">(L1477-$K1477)^2</f>
        <v>0.3350788996</v>
      </c>
      <c r="AA1477" s="8" t="n">
        <f aca="false">(M1477-$K1477)^2</f>
        <v>0.008475595969</v>
      </c>
      <c r="AB1477" s="8" t="n">
        <f aca="false">(N1477-$K1477)^2</f>
        <v>0.013981880025</v>
      </c>
      <c r="AC1477" s="8" t="n">
        <f aca="false">(O1477-$K1477)^2</f>
        <v>0.011274829489</v>
      </c>
      <c r="AD1477" s="8" t="n">
        <f aca="false">(P1477-$K1477)^2</f>
        <v>0.015904236544</v>
      </c>
      <c r="AE1477" s="8" t="n">
        <f aca="false">MIN(INT(ROUND(N1477*1000000,0)/100000),9)</f>
        <v>1</v>
      </c>
      <c r="AF1477" s="8" t="n">
        <f aca="false">MIN(INT(ROUND(P1477*1000000,0)/100000),9)</f>
        <v>1</v>
      </c>
    </row>
    <row r="1478" customFormat="false" ht="15" hidden="false" customHeight="false" outlineLevel="0" collapsed="false">
      <c r="A1478" s="4" t="n">
        <v>1474</v>
      </c>
      <c r="B1478" s="4" t="n">
        <v>1740</v>
      </c>
      <c r="C1478" s="4" t="n">
        <v>3</v>
      </c>
      <c r="D1478" s="11" t="n">
        <v>46143</v>
      </c>
      <c r="E1478" s="4" t="s">
        <v>203</v>
      </c>
      <c r="F1478" s="4" t="s">
        <v>208</v>
      </c>
      <c r="G1478" s="4" t="n">
        <v>2</v>
      </c>
      <c r="H1478" s="4" t="n">
        <v>11</v>
      </c>
      <c r="I1478" s="4" t="n">
        <v>1</v>
      </c>
      <c r="J1478" s="4"/>
      <c r="K1478" s="4" t="n">
        <v>0</v>
      </c>
      <c r="L1478" s="12" t="n">
        <v>0.292025</v>
      </c>
      <c r="M1478" s="12" t="n">
        <v>0.184211</v>
      </c>
      <c r="N1478" s="12" t="n">
        <v>0.129361</v>
      </c>
      <c r="O1478" s="12" t="n">
        <v>0.106183</v>
      </c>
      <c r="P1478" s="12" t="n">
        <v>0.138433</v>
      </c>
      <c r="Q1478" s="0" t="str">
        <f aca="false">IF(L1478&gt;=Models!$G$5,1+COUNTIF($L$5:$L$1517,"&gt;"&amp;L1478)+COUNTIFS($L$5:$L$1517,L1478,$B$5:$B$1517,"&lt;"&amp;B1478)+COUNTIFS($L$5:$L$1517,L1478,$B$5:$B$1517,B1478,$C$5:$C$1517,"&lt;"&amp;C1478),"")</f>
        <v/>
      </c>
      <c r="R1478" s="8" t="n">
        <f aca="false">IF(M1478&gt;=Models!$G$6,1+COUNTIF($M$5:$M$1517,"&gt;"&amp;M1478)+COUNTIFS($M$5:$M$1517,M1478,$B$5:$B$1517,"&lt;"&amp;B1478)+COUNTIFS($M$5:$M$1517,M1478,$B$5:$B$1517,B1478,$C$5:$C$1517,"&lt;"&amp;C1478),"")</f>
        <v>190</v>
      </c>
      <c r="S1478" s="0" t="str">
        <f aca="false">IF(N1478&gt;=Models!$G$7,1+COUNTIF($N$5:$N$1517,"&gt;"&amp;N1478)+COUNTIFS($N$5:$N$1517,N1478,$B$5:$B$1517,"&lt;"&amp;B1478)+COUNTIFS($N$5:$N$1517,N1478,$B$5:$B$1517,B1478,$C$5:$C$1517,"&lt;"&amp;C1478),"")</f>
        <v/>
      </c>
      <c r="T1478" s="8" t="n">
        <f aca="false">IF(O1478&gt;=Models!$G$8,1+COUNTIF($O$5:$O$1517,"&gt;"&amp;O1478)+COUNTIFS($O$5:$O$1517,O1478,$B$5:$B$1517,"&lt;"&amp;B1478)+COUNTIFS($O$5:$O$1517,O1478,$B$5:$B$1517,B1478,$C$5:$C$1517,"&lt;"&amp;C1478),"")</f>
        <v>1463</v>
      </c>
      <c r="U1478" s="8" t="n">
        <f aca="false">IF($K1478=1,COUNTIFS($L$5:$L$1517,"&gt;="&amp;L1478,$K$5:$K$1517,1)/COUNTIF($L$5:$L$1517,"&gt;="&amp;L1478),0)</f>
        <v>0</v>
      </c>
      <c r="V1478" s="8" t="n">
        <f aca="false">IF($K1478=1,COUNTIFS($M$5:$M$1517,"&gt;="&amp;M1478,$K$5:$K$1517,1)/COUNTIF($M$5:$M$1517,"&gt;="&amp;M1478),0)</f>
        <v>0</v>
      </c>
      <c r="W1478" s="8" t="n">
        <f aca="false">IF($K1478=1,COUNTIFS($N$5:$N$1517,"&gt;="&amp;N1478,$K$5:$K$1517,1)/COUNTIF($N$5:$N$1517,"&gt;="&amp;N1478),0)</f>
        <v>0</v>
      </c>
      <c r="X1478" s="8" t="n">
        <f aca="false">IF($K1478=1,COUNTIFS($O$5:$O$1517,"&gt;="&amp;O1478,$K$5:$K$1517,1)/COUNTIF($O$5:$O$1517,"&gt;="&amp;O1478),0)</f>
        <v>0</v>
      </c>
      <c r="Y1478" s="8" t="n">
        <f aca="false">IF($K1478=1,COUNTIFS($P$5:$P$1517,"&gt;="&amp;P1478,$K$5:$K$1517,1)/COUNTIF($P$5:$P$1517,"&gt;="&amp;P1478),0)</f>
        <v>0</v>
      </c>
      <c r="Z1478" s="8" t="n">
        <f aca="false">(L1478-$K1478)^2</f>
        <v>0.085278600625</v>
      </c>
      <c r="AA1478" s="8" t="n">
        <f aca="false">(M1478-$K1478)^2</f>
        <v>0.033933692521</v>
      </c>
      <c r="AB1478" s="8" t="n">
        <f aca="false">(N1478-$K1478)^2</f>
        <v>0.016734268321</v>
      </c>
      <c r="AC1478" s="8" t="n">
        <f aca="false">(O1478-$K1478)^2</f>
        <v>0.011274829489</v>
      </c>
      <c r="AD1478" s="8" t="n">
        <f aca="false">(P1478-$K1478)^2</f>
        <v>0.019163695489</v>
      </c>
      <c r="AE1478" s="8" t="n">
        <f aca="false">MIN(INT(ROUND(N1478*1000000,0)/100000),9)</f>
        <v>1</v>
      </c>
      <c r="AF1478" s="8" t="n">
        <f aca="false">MIN(INT(ROUND(P1478*1000000,0)/100000),9)</f>
        <v>1</v>
      </c>
    </row>
    <row r="1479" customFormat="false" ht="15" hidden="false" customHeight="false" outlineLevel="0" collapsed="false">
      <c r="A1479" s="4" t="n">
        <v>1475</v>
      </c>
      <c r="B1479" s="4" t="n">
        <v>1741</v>
      </c>
      <c r="C1479" s="4" t="n">
        <v>3</v>
      </c>
      <c r="D1479" s="11" t="n">
        <v>46143</v>
      </c>
      <c r="E1479" s="4" t="s">
        <v>203</v>
      </c>
      <c r="F1479" s="4" t="s">
        <v>209</v>
      </c>
      <c r="G1479" s="4" t="n">
        <v>7</v>
      </c>
      <c r="H1479" s="4" t="n">
        <v>7</v>
      </c>
      <c r="I1479" s="4" t="n">
        <v>0</v>
      </c>
      <c r="J1479" s="4" t="n">
        <v>294</v>
      </c>
      <c r="K1479" s="4" t="n">
        <v>0</v>
      </c>
      <c r="L1479" s="12" t="n">
        <v>0.964032</v>
      </c>
      <c r="M1479" s="12" t="n">
        <v>0.092063</v>
      </c>
      <c r="N1479" s="12" t="n">
        <v>0.09572</v>
      </c>
      <c r="O1479" s="12" t="n">
        <v>0.106183</v>
      </c>
      <c r="P1479" s="12" t="n">
        <v>0.101234</v>
      </c>
      <c r="Q1479" s="0" t="str">
        <f aca="false">IF(L1479&gt;=Models!$G$5,1+COUNTIF($L$5:$L$1517,"&gt;"&amp;L1479)+COUNTIFS($L$5:$L$1517,L1479,$B$5:$B$1517,"&lt;"&amp;B1479)+COUNTIFS($L$5:$L$1517,L1479,$B$5:$B$1517,B1479,$C$5:$C$1517,"&lt;"&amp;C1479),"")</f>
        <v/>
      </c>
      <c r="R1479" s="0" t="str">
        <f aca="false">IF(M1479&gt;=Models!$G$6,1+COUNTIF($M$5:$M$1517,"&gt;"&amp;M1479)+COUNTIFS($M$5:$M$1517,M1479,$B$5:$B$1517,"&lt;"&amp;B1479)+COUNTIFS($M$5:$M$1517,M1479,$B$5:$B$1517,B1479,$C$5:$C$1517,"&lt;"&amp;C1479),"")</f>
        <v/>
      </c>
      <c r="S1479" s="0" t="str">
        <f aca="false">IF(N1479&gt;=Models!$G$7,1+COUNTIF($N$5:$N$1517,"&gt;"&amp;N1479)+COUNTIFS($N$5:$N$1517,N1479,$B$5:$B$1517,"&lt;"&amp;B1479)+COUNTIFS($N$5:$N$1517,N1479,$B$5:$B$1517,B1479,$C$5:$C$1517,"&lt;"&amp;C1479),"")</f>
        <v/>
      </c>
      <c r="T1479" s="8" t="n">
        <f aca="false">IF(O1479&gt;=Models!$G$8,1+COUNTIF($O$5:$O$1517,"&gt;"&amp;O1479)+COUNTIFS($O$5:$O$1517,O1479,$B$5:$B$1517,"&lt;"&amp;B1479)+COUNTIFS($O$5:$O$1517,O1479,$B$5:$B$1517,B1479,$C$5:$C$1517,"&lt;"&amp;C1479),"")</f>
        <v>1465</v>
      </c>
      <c r="U1479" s="8" t="n">
        <f aca="false">IF($K1479=1,COUNTIFS($L$5:$L$1517,"&gt;="&amp;L1479,$K$5:$K$1517,1)/COUNTIF($L$5:$L$1517,"&gt;="&amp;L1479),0)</f>
        <v>0</v>
      </c>
      <c r="V1479" s="8" t="n">
        <f aca="false">IF($K1479=1,COUNTIFS($M$5:$M$1517,"&gt;="&amp;M1479,$K$5:$K$1517,1)/COUNTIF($M$5:$M$1517,"&gt;="&amp;M1479),0)</f>
        <v>0</v>
      </c>
      <c r="W1479" s="8" t="n">
        <f aca="false">IF($K1479=1,COUNTIFS($N$5:$N$1517,"&gt;="&amp;N1479,$K$5:$K$1517,1)/COUNTIF($N$5:$N$1517,"&gt;="&amp;N1479),0)</f>
        <v>0</v>
      </c>
      <c r="X1479" s="8" t="n">
        <f aca="false">IF($K1479=1,COUNTIFS($O$5:$O$1517,"&gt;="&amp;O1479,$K$5:$K$1517,1)/COUNTIF($O$5:$O$1517,"&gt;="&amp;O1479),0)</f>
        <v>0</v>
      </c>
      <c r="Y1479" s="8" t="n">
        <f aca="false">IF($K1479=1,COUNTIFS($P$5:$P$1517,"&gt;="&amp;P1479,$K$5:$K$1517,1)/COUNTIF($P$5:$P$1517,"&gt;="&amp;P1479),0)</f>
        <v>0</v>
      </c>
      <c r="Z1479" s="8" t="n">
        <f aca="false">(L1479-$K1479)^2</f>
        <v>0.929357697024</v>
      </c>
      <c r="AA1479" s="8" t="n">
        <f aca="false">(M1479-$K1479)^2</f>
        <v>0.008475595969</v>
      </c>
      <c r="AB1479" s="8" t="n">
        <f aca="false">(N1479-$K1479)^2</f>
        <v>0.0091623184</v>
      </c>
      <c r="AC1479" s="8" t="n">
        <f aca="false">(O1479-$K1479)^2</f>
        <v>0.011274829489</v>
      </c>
      <c r="AD1479" s="8" t="n">
        <f aca="false">(P1479-$K1479)^2</f>
        <v>0.010248322756</v>
      </c>
      <c r="AE1479" s="8" t="n">
        <f aca="false">MIN(INT(ROUND(N1479*1000000,0)/100000),9)</f>
        <v>0</v>
      </c>
      <c r="AF1479" s="8" t="n">
        <f aca="false">MIN(INT(ROUND(P1479*1000000,0)/100000),9)</f>
        <v>1</v>
      </c>
    </row>
    <row r="1480" customFormat="false" ht="15" hidden="false" customHeight="false" outlineLevel="0" collapsed="false">
      <c r="A1480" s="4" t="n">
        <v>1476</v>
      </c>
      <c r="B1480" s="4" t="n">
        <v>1743</v>
      </c>
      <c r="C1480" s="4" t="n">
        <v>3</v>
      </c>
      <c r="D1480" s="11" t="n">
        <v>46143</v>
      </c>
      <c r="E1480" s="4" t="s">
        <v>203</v>
      </c>
      <c r="F1480" s="4" t="s">
        <v>206</v>
      </c>
      <c r="G1480" s="4" t="n">
        <v>7</v>
      </c>
      <c r="H1480" s="4" t="n">
        <v>1</v>
      </c>
      <c r="I1480" s="4" t="n">
        <v>0</v>
      </c>
      <c r="J1480" s="4" t="n">
        <v>363</v>
      </c>
      <c r="K1480" s="4" t="n">
        <v>0</v>
      </c>
      <c r="L1480" s="12" t="n">
        <v>0.430987</v>
      </c>
      <c r="M1480" s="12" t="n">
        <v>0.092063</v>
      </c>
      <c r="N1480" s="12" t="n">
        <v>0.091215</v>
      </c>
      <c r="O1480" s="12" t="n">
        <v>0.106183</v>
      </c>
      <c r="P1480" s="12" t="n">
        <v>0.096277</v>
      </c>
      <c r="Q1480" s="0" t="str">
        <f aca="false">IF(L1480&gt;=Models!$G$5,1+COUNTIF($L$5:$L$1517,"&gt;"&amp;L1480)+COUNTIFS($L$5:$L$1517,L1480,$B$5:$B$1517,"&lt;"&amp;B1480)+COUNTIFS($L$5:$L$1517,L1480,$B$5:$B$1517,B1480,$C$5:$C$1517,"&lt;"&amp;C1480),"")</f>
        <v/>
      </c>
      <c r="R1480" s="0" t="str">
        <f aca="false">IF(M1480&gt;=Models!$G$6,1+COUNTIF($M$5:$M$1517,"&gt;"&amp;M1480)+COUNTIFS($M$5:$M$1517,M1480,$B$5:$B$1517,"&lt;"&amp;B1480)+COUNTIFS($M$5:$M$1517,M1480,$B$5:$B$1517,B1480,$C$5:$C$1517,"&lt;"&amp;C1480),"")</f>
        <v/>
      </c>
      <c r="S1480" s="0" t="str">
        <f aca="false">IF(N1480&gt;=Models!$G$7,1+COUNTIF($N$5:$N$1517,"&gt;"&amp;N1480)+COUNTIFS($N$5:$N$1517,N1480,$B$5:$B$1517,"&lt;"&amp;B1480)+COUNTIFS($N$5:$N$1517,N1480,$B$5:$B$1517,B1480,$C$5:$C$1517,"&lt;"&amp;C1480),"")</f>
        <v/>
      </c>
      <c r="T1480" s="8" t="n">
        <f aca="false">IF(O1480&gt;=Models!$G$8,1+COUNTIF($O$5:$O$1517,"&gt;"&amp;O1480)+COUNTIFS($O$5:$O$1517,O1480,$B$5:$B$1517,"&lt;"&amp;B1480)+COUNTIFS($O$5:$O$1517,O1480,$B$5:$B$1517,B1480,$C$5:$C$1517,"&lt;"&amp;C1480),"")</f>
        <v>1467</v>
      </c>
      <c r="U1480" s="8" t="n">
        <f aca="false">IF($K1480=1,COUNTIFS($L$5:$L$1517,"&gt;="&amp;L1480,$K$5:$K$1517,1)/COUNTIF($L$5:$L$1517,"&gt;="&amp;L1480),0)</f>
        <v>0</v>
      </c>
      <c r="V1480" s="8" t="n">
        <f aca="false">IF($K1480=1,COUNTIFS($M$5:$M$1517,"&gt;="&amp;M1480,$K$5:$K$1517,1)/COUNTIF($M$5:$M$1517,"&gt;="&amp;M1480),0)</f>
        <v>0</v>
      </c>
      <c r="W1480" s="8" t="n">
        <f aca="false">IF($K1480=1,COUNTIFS($N$5:$N$1517,"&gt;="&amp;N1480,$K$5:$K$1517,1)/COUNTIF($N$5:$N$1517,"&gt;="&amp;N1480),0)</f>
        <v>0</v>
      </c>
      <c r="X1480" s="8" t="n">
        <f aca="false">IF($K1480=1,COUNTIFS($O$5:$O$1517,"&gt;="&amp;O1480,$K$5:$K$1517,1)/COUNTIF($O$5:$O$1517,"&gt;="&amp;O1480),0)</f>
        <v>0</v>
      </c>
      <c r="Y1480" s="8" t="n">
        <f aca="false">IF($K1480=1,COUNTIFS($P$5:$P$1517,"&gt;="&amp;P1480,$K$5:$K$1517,1)/COUNTIF($P$5:$P$1517,"&gt;="&amp;P1480),0)</f>
        <v>0</v>
      </c>
      <c r="Z1480" s="8" t="n">
        <f aca="false">(L1480-$K1480)^2</f>
        <v>0.185749794169</v>
      </c>
      <c r="AA1480" s="8" t="n">
        <f aca="false">(M1480-$K1480)^2</f>
        <v>0.008475595969</v>
      </c>
      <c r="AB1480" s="8" t="n">
        <f aca="false">(N1480-$K1480)^2</f>
        <v>0.008320176225</v>
      </c>
      <c r="AC1480" s="8" t="n">
        <f aca="false">(O1480-$K1480)^2</f>
        <v>0.011274829489</v>
      </c>
      <c r="AD1480" s="8" t="n">
        <f aca="false">(P1480-$K1480)^2</f>
        <v>0.009269260729</v>
      </c>
      <c r="AE1480" s="8" t="n">
        <f aca="false">MIN(INT(ROUND(N1480*1000000,0)/100000),9)</f>
        <v>0</v>
      </c>
      <c r="AF1480" s="8" t="n">
        <f aca="false">MIN(INT(ROUND(P1480*1000000,0)/100000),9)</f>
        <v>0</v>
      </c>
    </row>
    <row r="1481" customFormat="false" ht="15" hidden="false" customHeight="false" outlineLevel="0" collapsed="false">
      <c r="A1481" s="4" t="n">
        <v>1477</v>
      </c>
      <c r="B1481" s="4" t="n">
        <v>1744</v>
      </c>
      <c r="C1481" s="4" t="n">
        <v>3</v>
      </c>
      <c r="D1481" s="11" t="n">
        <v>46143</v>
      </c>
      <c r="E1481" s="4" t="s">
        <v>201</v>
      </c>
      <c r="F1481" s="4" t="s">
        <v>207</v>
      </c>
      <c r="G1481" s="4" t="n">
        <v>19</v>
      </c>
      <c r="H1481" s="4" t="n">
        <v>0</v>
      </c>
      <c r="I1481" s="4" t="n">
        <v>0</v>
      </c>
      <c r="J1481" s="4"/>
      <c r="K1481" s="4" t="n">
        <v>0</v>
      </c>
      <c r="L1481" s="12" t="n">
        <v>0.462506</v>
      </c>
      <c r="M1481" s="12" t="n">
        <v>0.092063</v>
      </c>
      <c r="N1481" s="12" t="n">
        <v>0.015943</v>
      </c>
      <c r="O1481" s="12" t="n">
        <v>0.106183</v>
      </c>
      <c r="P1481" s="12" t="n">
        <v>0.015522</v>
      </c>
      <c r="Q1481" s="0" t="str">
        <f aca="false">IF(L1481&gt;=Models!$G$5,1+COUNTIF($L$5:$L$1517,"&gt;"&amp;L1481)+COUNTIFS($L$5:$L$1517,L1481,$B$5:$B$1517,"&lt;"&amp;B1481)+COUNTIFS($L$5:$L$1517,L1481,$B$5:$B$1517,B1481,$C$5:$C$1517,"&lt;"&amp;C1481),"")</f>
        <v/>
      </c>
      <c r="R1481" s="0" t="str">
        <f aca="false">IF(M1481&gt;=Models!$G$6,1+COUNTIF($M$5:$M$1517,"&gt;"&amp;M1481)+COUNTIFS($M$5:$M$1517,M1481,$B$5:$B$1517,"&lt;"&amp;B1481)+COUNTIFS($M$5:$M$1517,M1481,$B$5:$B$1517,B1481,$C$5:$C$1517,"&lt;"&amp;C1481),"")</f>
        <v/>
      </c>
      <c r="S1481" s="0" t="str">
        <f aca="false">IF(N1481&gt;=Models!$G$7,1+COUNTIF($N$5:$N$1517,"&gt;"&amp;N1481)+COUNTIFS($N$5:$N$1517,N1481,$B$5:$B$1517,"&lt;"&amp;B1481)+COUNTIFS($N$5:$N$1517,N1481,$B$5:$B$1517,B1481,$C$5:$C$1517,"&lt;"&amp;C1481),"")</f>
        <v/>
      </c>
      <c r="T1481" s="8" t="n">
        <f aca="false">IF(O1481&gt;=Models!$G$8,1+COUNTIF($O$5:$O$1517,"&gt;"&amp;O1481)+COUNTIFS($O$5:$O$1517,O1481,$B$5:$B$1517,"&lt;"&amp;B1481)+COUNTIFS($O$5:$O$1517,O1481,$B$5:$B$1517,B1481,$C$5:$C$1517,"&lt;"&amp;C1481),"")</f>
        <v>1469</v>
      </c>
      <c r="U1481" s="8" t="n">
        <f aca="false">IF($K1481=1,COUNTIFS($L$5:$L$1517,"&gt;="&amp;L1481,$K$5:$K$1517,1)/COUNTIF($L$5:$L$1517,"&gt;="&amp;L1481),0)</f>
        <v>0</v>
      </c>
      <c r="V1481" s="8" t="n">
        <f aca="false">IF($K1481=1,COUNTIFS($M$5:$M$1517,"&gt;="&amp;M1481,$K$5:$K$1517,1)/COUNTIF($M$5:$M$1517,"&gt;="&amp;M1481),0)</f>
        <v>0</v>
      </c>
      <c r="W1481" s="8" t="n">
        <f aca="false">IF($K1481=1,COUNTIFS($N$5:$N$1517,"&gt;="&amp;N1481,$K$5:$K$1517,1)/COUNTIF($N$5:$N$1517,"&gt;="&amp;N1481),0)</f>
        <v>0</v>
      </c>
      <c r="X1481" s="8" t="n">
        <f aca="false">IF($K1481=1,COUNTIFS($O$5:$O$1517,"&gt;="&amp;O1481,$K$5:$K$1517,1)/COUNTIF($O$5:$O$1517,"&gt;="&amp;O1481),0)</f>
        <v>0</v>
      </c>
      <c r="Y1481" s="8" t="n">
        <f aca="false">IF($K1481=1,COUNTIFS($P$5:$P$1517,"&gt;="&amp;P1481,$K$5:$K$1517,1)/COUNTIF($P$5:$P$1517,"&gt;="&amp;P1481),0)</f>
        <v>0</v>
      </c>
      <c r="Z1481" s="8" t="n">
        <f aca="false">(L1481-$K1481)^2</f>
        <v>0.213911800036</v>
      </c>
      <c r="AA1481" s="8" t="n">
        <f aca="false">(M1481-$K1481)^2</f>
        <v>0.008475595969</v>
      </c>
      <c r="AB1481" s="8" t="n">
        <f aca="false">(N1481-$K1481)^2</f>
        <v>0.000254179249</v>
      </c>
      <c r="AC1481" s="8" t="n">
        <f aca="false">(O1481-$K1481)^2</f>
        <v>0.011274829489</v>
      </c>
      <c r="AD1481" s="8" t="n">
        <f aca="false">(P1481-$K1481)^2</f>
        <v>0.000240932484</v>
      </c>
      <c r="AE1481" s="8" t="n">
        <f aca="false">MIN(INT(ROUND(N1481*1000000,0)/100000),9)</f>
        <v>0</v>
      </c>
      <c r="AF1481" s="8" t="n">
        <f aca="false">MIN(INT(ROUND(P1481*1000000,0)/100000),9)</f>
        <v>0</v>
      </c>
    </row>
    <row r="1482" customFormat="false" ht="15" hidden="false" customHeight="false" outlineLevel="0" collapsed="false">
      <c r="A1482" s="4" t="n">
        <v>1478</v>
      </c>
      <c r="B1482" s="4" t="n">
        <v>1753</v>
      </c>
      <c r="C1482" s="4" t="n">
        <v>3</v>
      </c>
      <c r="D1482" s="11" t="n">
        <v>46143</v>
      </c>
      <c r="E1482" s="4" t="s">
        <v>204</v>
      </c>
      <c r="F1482" s="4" t="s">
        <v>207</v>
      </c>
      <c r="G1482" s="4" t="n">
        <v>1</v>
      </c>
      <c r="H1482" s="4" t="n">
        <v>4</v>
      </c>
      <c r="I1482" s="4" t="n">
        <v>0</v>
      </c>
      <c r="J1482" s="4" t="n">
        <v>108</v>
      </c>
      <c r="K1482" s="4" t="n">
        <v>1</v>
      </c>
      <c r="L1482" s="12" t="n">
        <v>0.533828</v>
      </c>
      <c r="M1482" s="12" t="n">
        <v>0.092063</v>
      </c>
      <c r="N1482" s="12" t="n">
        <v>0.151929</v>
      </c>
      <c r="O1482" s="12" t="n">
        <v>0.106183</v>
      </c>
      <c r="P1482" s="12" t="n">
        <v>0.163503</v>
      </c>
      <c r="Q1482" s="0" t="str">
        <f aca="false">IF(L1482&gt;=Models!$G$5,1+COUNTIF($L$5:$L$1517,"&gt;"&amp;L1482)+COUNTIFS($L$5:$L$1517,L1482,$B$5:$B$1517,"&lt;"&amp;B1482)+COUNTIFS($L$5:$L$1517,L1482,$B$5:$B$1517,B1482,$C$5:$C$1517,"&lt;"&amp;C1482),"")</f>
        <v/>
      </c>
      <c r="R1482" s="0" t="str">
        <f aca="false">IF(M1482&gt;=Models!$G$6,1+COUNTIF($M$5:$M$1517,"&gt;"&amp;M1482)+COUNTIFS($M$5:$M$1517,M1482,$B$5:$B$1517,"&lt;"&amp;B1482)+COUNTIFS($M$5:$M$1517,M1482,$B$5:$B$1517,B1482,$C$5:$C$1517,"&lt;"&amp;C1482),"")</f>
        <v/>
      </c>
      <c r="S1482" s="0" t="str">
        <f aca="false">IF(N1482&gt;=Models!$G$7,1+COUNTIF($N$5:$N$1517,"&gt;"&amp;N1482)+COUNTIFS($N$5:$N$1517,N1482,$B$5:$B$1517,"&lt;"&amp;B1482)+COUNTIFS($N$5:$N$1517,N1482,$B$5:$B$1517,B1482,$C$5:$C$1517,"&lt;"&amp;C1482),"")</f>
        <v/>
      </c>
      <c r="T1482" s="8" t="n">
        <f aca="false">IF(O1482&gt;=Models!$G$8,1+COUNTIF($O$5:$O$1517,"&gt;"&amp;O1482)+COUNTIFS($O$5:$O$1517,O1482,$B$5:$B$1517,"&lt;"&amp;B1482)+COUNTIFS($O$5:$O$1517,O1482,$B$5:$B$1517,B1482,$C$5:$C$1517,"&lt;"&amp;C1482),"")</f>
        <v>1471</v>
      </c>
      <c r="U1482" s="8" t="n">
        <f aca="false">IF($K1482=1,COUNTIFS($L$5:$L$1517,"&gt;="&amp;L1482,$K$5:$K$1517,1)/COUNTIF($L$5:$L$1517,"&gt;="&amp;L1482),0)</f>
        <v>0.11976911976912</v>
      </c>
      <c r="V1482" s="8" t="n">
        <f aca="false">IF($K1482=1,COUNTIFS($M$5:$M$1517,"&gt;="&amp;M1482,$K$5:$K$1517,1)/COUNTIF($M$5:$M$1517,"&gt;="&amp;M1482),0)</f>
        <v>0.12491738268341</v>
      </c>
      <c r="W1482" s="8" t="n">
        <f aca="false">IF($K1482=1,COUNTIFS($N$5:$N$1517,"&gt;="&amp;N1482,$K$5:$K$1517,1)/COUNTIF($N$5:$N$1517,"&gt;="&amp;N1482),0)</f>
        <v>0.28</v>
      </c>
      <c r="X1482" s="8" t="n">
        <f aca="false">IF($K1482=1,COUNTIFS($O$5:$O$1517,"&gt;="&amp;O1482,$K$5:$K$1517,1)/COUNTIF($O$5:$O$1517,"&gt;="&amp;O1482),0)</f>
        <v>0.12491738268341</v>
      </c>
      <c r="Y1482" s="8" t="n">
        <f aca="false">IF($K1482=1,COUNTIFS($P$5:$P$1517,"&gt;="&amp;P1482,$K$5:$K$1517,1)/COUNTIF($P$5:$P$1517,"&gt;="&amp;P1482),0)</f>
        <v>0.28</v>
      </c>
      <c r="Z1482" s="8" t="n">
        <f aca="false">(L1482-$K1482)^2</f>
        <v>0.217316333584</v>
      </c>
      <c r="AA1482" s="8" t="n">
        <f aca="false">(M1482-$K1482)^2</f>
        <v>0.824349595969</v>
      </c>
      <c r="AB1482" s="8" t="n">
        <f aca="false">(N1482-$K1482)^2</f>
        <v>0.719224421041</v>
      </c>
      <c r="AC1482" s="8" t="n">
        <f aca="false">(O1482-$K1482)^2</f>
        <v>0.798908829489</v>
      </c>
      <c r="AD1482" s="8" t="n">
        <f aca="false">(P1482-$K1482)^2</f>
        <v>0.699727231009</v>
      </c>
      <c r="AE1482" s="8" t="n">
        <f aca="false">MIN(INT(ROUND(N1482*1000000,0)/100000),9)</f>
        <v>1</v>
      </c>
      <c r="AF1482" s="8" t="n">
        <f aca="false">MIN(INT(ROUND(P1482*1000000,0)/100000),9)</f>
        <v>1</v>
      </c>
    </row>
    <row r="1483" customFormat="false" ht="15" hidden="false" customHeight="false" outlineLevel="0" collapsed="false">
      <c r="A1483" s="4" t="n">
        <v>1479</v>
      </c>
      <c r="B1483" s="4" t="n">
        <v>1755</v>
      </c>
      <c r="C1483" s="4" t="n">
        <v>3</v>
      </c>
      <c r="D1483" s="11" t="n">
        <v>46143</v>
      </c>
      <c r="E1483" s="4" t="s">
        <v>202</v>
      </c>
      <c r="F1483" s="4" t="s">
        <v>206</v>
      </c>
      <c r="G1483" s="4" t="n">
        <v>7</v>
      </c>
      <c r="H1483" s="4" t="n">
        <v>1</v>
      </c>
      <c r="I1483" s="4" t="n">
        <v>0</v>
      </c>
      <c r="J1483" s="4" t="n">
        <v>1572</v>
      </c>
      <c r="K1483" s="4" t="n">
        <v>0</v>
      </c>
      <c r="L1483" s="12" t="n">
        <v>0.708576</v>
      </c>
      <c r="M1483" s="12" t="n">
        <v>0.092063</v>
      </c>
      <c r="N1483" s="12" t="n">
        <v>0.08556</v>
      </c>
      <c r="O1483" s="12" t="n">
        <v>0.106183</v>
      </c>
      <c r="P1483" s="12" t="n">
        <v>0.090065</v>
      </c>
      <c r="Q1483" s="0" t="str">
        <f aca="false">IF(L1483&gt;=Models!$G$5,1+COUNTIF($L$5:$L$1517,"&gt;"&amp;L1483)+COUNTIFS($L$5:$L$1517,L1483,$B$5:$B$1517,"&lt;"&amp;B1483)+COUNTIFS($L$5:$L$1517,L1483,$B$5:$B$1517,B1483,$C$5:$C$1517,"&lt;"&amp;C1483),"")</f>
        <v/>
      </c>
      <c r="R1483" s="0" t="str">
        <f aca="false">IF(M1483&gt;=Models!$G$6,1+COUNTIF($M$5:$M$1517,"&gt;"&amp;M1483)+COUNTIFS($M$5:$M$1517,M1483,$B$5:$B$1517,"&lt;"&amp;B1483)+COUNTIFS($M$5:$M$1517,M1483,$B$5:$B$1517,B1483,$C$5:$C$1517,"&lt;"&amp;C1483),"")</f>
        <v/>
      </c>
      <c r="S1483" s="0" t="str">
        <f aca="false">IF(N1483&gt;=Models!$G$7,1+COUNTIF($N$5:$N$1517,"&gt;"&amp;N1483)+COUNTIFS($N$5:$N$1517,N1483,$B$5:$B$1517,"&lt;"&amp;B1483)+COUNTIFS($N$5:$N$1517,N1483,$B$5:$B$1517,B1483,$C$5:$C$1517,"&lt;"&amp;C1483),"")</f>
        <v/>
      </c>
      <c r="T1483" s="8" t="n">
        <f aca="false">IF(O1483&gt;=Models!$G$8,1+COUNTIF($O$5:$O$1517,"&gt;"&amp;O1483)+COUNTIFS($O$5:$O$1517,O1483,$B$5:$B$1517,"&lt;"&amp;B1483)+COUNTIFS($O$5:$O$1517,O1483,$B$5:$B$1517,B1483,$C$5:$C$1517,"&lt;"&amp;C1483),"")</f>
        <v>1473</v>
      </c>
      <c r="U1483" s="8" t="n">
        <f aca="false">IF($K1483=1,COUNTIFS($L$5:$L$1517,"&gt;="&amp;L1483,$K$5:$K$1517,1)/COUNTIF($L$5:$L$1517,"&gt;="&amp;L1483),0)</f>
        <v>0</v>
      </c>
      <c r="V1483" s="8" t="n">
        <f aca="false">IF($K1483=1,COUNTIFS($M$5:$M$1517,"&gt;="&amp;M1483,$K$5:$K$1517,1)/COUNTIF($M$5:$M$1517,"&gt;="&amp;M1483),0)</f>
        <v>0</v>
      </c>
      <c r="W1483" s="8" t="n">
        <f aca="false">IF($K1483=1,COUNTIFS($N$5:$N$1517,"&gt;="&amp;N1483,$K$5:$K$1517,1)/COUNTIF($N$5:$N$1517,"&gt;="&amp;N1483),0)</f>
        <v>0</v>
      </c>
      <c r="X1483" s="8" t="n">
        <f aca="false">IF($K1483=1,COUNTIFS($O$5:$O$1517,"&gt;="&amp;O1483,$K$5:$K$1517,1)/COUNTIF($O$5:$O$1517,"&gt;="&amp;O1483),0)</f>
        <v>0</v>
      </c>
      <c r="Y1483" s="8" t="n">
        <f aca="false">IF($K1483=1,COUNTIFS($P$5:$P$1517,"&gt;="&amp;P1483,$K$5:$K$1517,1)/COUNTIF($P$5:$P$1517,"&gt;="&amp;P1483),0)</f>
        <v>0</v>
      </c>
      <c r="Z1483" s="8" t="n">
        <f aca="false">(L1483-$K1483)^2</f>
        <v>0.502079947776</v>
      </c>
      <c r="AA1483" s="8" t="n">
        <f aca="false">(M1483-$K1483)^2</f>
        <v>0.008475595969</v>
      </c>
      <c r="AB1483" s="8" t="n">
        <f aca="false">(N1483-$K1483)^2</f>
        <v>0.0073205136</v>
      </c>
      <c r="AC1483" s="8" t="n">
        <f aca="false">(O1483-$K1483)^2</f>
        <v>0.011274829489</v>
      </c>
      <c r="AD1483" s="8" t="n">
        <f aca="false">(P1483-$K1483)^2</f>
        <v>0.008111704225</v>
      </c>
      <c r="AE1483" s="8" t="n">
        <f aca="false">MIN(INT(ROUND(N1483*1000000,0)/100000),9)</f>
        <v>0</v>
      </c>
      <c r="AF1483" s="8" t="n">
        <f aca="false">MIN(INT(ROUND(P1483*1000000,0)/100000),9)</f>
        <v>0</v>
      </c>
    </row>
    <row r="1484" customFormat="false" ht="15" hidden="false" customHeight="false" outlineLevel="0" collapsed="false">
      <c r="A1484" s="4" t="n">
        <v>1480</v>
      </c>
      <c r="B1484" s="4" t="n">
        <v>1757</v>
      </c>
      <c r="C1484" s="4" t="n">
        <v>3</v>
      </c>
      <c r="D1484" s="11" t="n">
        <v>46143</v>
      </c>
      <c r="E1484" s="4" t="s">
        <v>203</v>
      </c>
      <c r="F1484" s="4" t="s">
        <v>207</v>
      </c>
      <c r="G1484" s="4" t="n">
        <v>1</v>
      </c>
      <c r="H1484" s="4" t="n">
        <v>25</v>
      </c>
      <c r="I1484" s="4" t="n">
        <v>0</v>
      </c>
      <c r="J1484" s="4"/>
      <c r="K1484" s="4" t="n">
        <v>0</v>
      </c>
      <c r="L1484" s="12" t="n">
        <v>0.989471</v>
      </c>
      <c r="M1484" s="12" t="n">
        <v>0.092063</v>
      </c>
      <c r="N1484" s="12" t="n">
        <v>0.091294</v>
      </c>
      <c r="O1484" s="12" t="n">
        <v>0.106183</v>
      </c>
      <c r="P1484" s="12" t="n">
        <v>0.096364</v>
      </c>
      <c r="Q1484" s="8" t="n">
        <f aca="false">IF(L1484&gt;=Models!$G$5,1+COUNTIF($L$5:$L$1517,"&gt;"&amp;L1484)+COUNTIFS($L$5:$L$1517,L1484,$B$5:$B$1517,"&lt;"&amp;B1484)+COUNTIFS($L$5:$L$1517,L1484,$B$5:$B$1517,B1484,$C$5:$C$1517,"&lt;"&amp;C1484),"")</f>
        <v>14</v>
      </c>
      <c r="R1484" s="0" t="str">
        <f aca="false">IF(M1484&gt;=Models!$G$6,1+COUNTIF($M$5:$M$1517,"&gt;"&amp;M1484)+COUNTIFS($M$5:$M$1517,M1484,$B$5:$B$1517,"&lt;"&amp;B1484)+COUNTIFS($M$5:$M$1517,M1484,$B$5:$B$1517,B1484,$C$5:$C$1517,"&lt;"&amp;C1484),"")</f>
        <v/>
      </c>
      <c r="S1484" s="0" t="str">
        <f aca="false">IF(N1484&gt;=Models!$G$7,1+COUNTIF($N$5:$N$1517,"&gt;"&amp;N1484)+COUNTIFS($N$5:$N$1517,N1484,$B$5:$B$1517,"&lt;"&amp;B1484)+COUNTIFS($N$5:$N$1517,N1484,$B$5:$B$1517,B1484,$C$5:$C$1517,"&lt;"&amp;C1484),"")</f>
        <v/>
      </c>
      <c r="T1484" s="8" t="n">
        <f aca="false">IF(O1484&gt;=Models!$G$8,1+COUNTIF($O$5:$O$1517,"&gt;"&amp;O1484)+COUNTIFS($O$5:$O$1517,O1484,$B$5:$B$1517,"&lt;"&amp;B1484)+COUNTIFS($O$5:$O$1517,O1484,$B$5:$B$1517,B1484,$C$5:$C$1517,"&lt;"&amp;C1484),"")</f>
        <v>1475</v>
      </c>
      <c r="U1484" s="8" t="n">
        <f aca="false">IF($K1484=1,COUNTIFS($L$5:$L$1517,"&gt;="&amp;L1484,$K$5:$K$1517,1)/COUNTIF($L$5:$L$1517,"&gt;="&amp;L1484),0)</f>
        <v>0</v>
      </c>
      <c r="V1484" s="8" t="n">
        <f aca="false">IF($K1484=1,COUNTIFS($M$5:$M$1517,"&gt;="&amp;M1484,$K$5:$K$1517,1)/COUNTIF($M$5:$M$1517,"&gt;="&amp;M1484),0)</f>
        <v>0</v>
      </c>
      <c r="W1484" s="8" t="n">
        <f aca="false">IF($K1484=1,COUNTIFS($N$5:$N$1517,"&gt;="&amp;N1484,$K$5:$K$1517,1)/COUNTIF($N$5:$N$1517,"&gt;="&amp;N1484),0)</f>
        <v>0</v>
      </c>
      <c r="X1484" s="8" t="n">
        <f aca="false">IF($K1484=1,COUNTIFS($O$5:$O$1517,"&gt;="&amp;O1484,$K$5:$K$1517,1)/COUNTIF($O$5:$O$1517,"&gt;="&amp;O1484),0)</f>
        <v>0</v>
      </c>
      <c r="Y1484" s="8" t="n">
        <f aca="false">IF($K1484=1,COUNTIFS($P$5:$P$1517,"&gt;="&amp;P1484,$K$5:$K$1517,1)/COUNTIF($P$5:$P$1517,"&gt;="&amp;P1484),0)</f>
        <v>0</v>
      </c>
      <c r="Z1484" s="8" t="n">
        <f aca="false">(L1484-$K1484)^2</f>
        <v>0.979052859841</v>
      </c>
      <c r="AA1484" s="8" t="n">
        <f aca="false">(M1484-$K1484)^2</f>
        <v>0.008475595969</v>
      </c>
      <c r="AB1484" s="8" t="n">
        <f aca="false">(N1484-$K1484)^2</f>
        <v>0.008334594436</v>
      </c>
      <c r="AC1484" s="8" t="n">
        <f aca="false">(O1484-$K1484)^2</f>
        <v>0.011274829489</v>
      </c>
      <c r="AD1484" s="8" t="n">
        <f aca="false">(P1484-$K1484)^2</f>
        <v>0.009286020496</v>
      </c>
      <c r="AE1484" s="8" t="n">
        <f aca="false">MIN(INT(ROUND(N1484*1000000,0)/100000),9)</f>
        <v>0</v>
      </c>
      <c r="AF1484" s="8" t="n">
        <f aca="false">MIN(INT(ROUND(P1484*1000000,0)/100000),9)</f>
        <v>0</v>
      </c>
    </row>
    <row r="1485" customFormat="false" ht="15" hidden="false" customHeight="false" outlineLevel="0" collapsed="false">
      <c r="A1485" s="4" t="n">
        <v>1481</v>
      </c>
      <c r="B1485" s="4" t="n">
        <v>1769</v>
      </c>
      <c r="C1485" s="4" t="n">
        <v>3</v>
      </c>
      <c r="D1485" s="11" t="n">
        <v>46143</v>
      </c>
      <c r="E1485" s="4" t="s">
        <v>202</v>
      </c>
      <c r="F1485" s="4" t="s">
        <v>210</v>
      </c>
      <c r="G1485" s="4" t="n">
        <v>5</v>
      </c>
      <c r="H1485" s="4" t="n">
        <v>2</v>
      </c>
      <c r="I1485" s="4" t="n">
        <v>0</v>
      </c>
      <c r="J1485" s="4" t="n">
        <v>520</v>
      </c>
      <c r="K1485" s="4" t="n">
        <v>0</v>
      </c>
      <c r="L1485" s="12" t="n">
        <v>0.294635</v>
      </c>
      <c r="M1485" s="12" t="n">
        <v>0.092063</v>
      </c>
      <c r="N1485" s="12" t="n">
        <v>0.107184</v>
      </c>
      <c r="O1485" s="12" t="n">
        <v>0.106183</v>
      </c>
      <c r="P1485" s="12" t="n">
        <v>0.113879</v>
      </c>
      <c r="Q1485" s="0" t="str">
        <f aca="false">IF(L1485&gt;=Models!$G$5,1+COUNTIF($L$5:$L$1517,"&gt;"&amp;L1485)+COUNTIFS($L$5:$L$1517,L1485,$B$5:$B$1517,"&lt;"&amp;B1485)+COUNTIFS($L$5:$L$1517,L1485,$B$5:$B$1517,B1485,$C$5:$C$1517,"&lt;"&amp;C1485),"")</f>
        <v/>
      </c>
      <c r="R1485" s="0" t="str">
        <f aca="false">IF(M1485&gt;=Models!$G$6,1+COUNTIF($M$5:$M$1517,"&gt;"&amp;M1485)+COUNTIFS($M$5:$M$1517,M1485,$B$5:$B$1517,"&lt;"&amp;B1485)+COUNTIFS($M$5:$M$1517,M1485,$B$5:$B$1517,B1485,$C$5:$C$1517,"&lt;"&amp;C1485),"")</f>
        <v/>
      </c>
      <c r="S1485" s="0" t="str">
        <f aca="false">IF(N1485&gt;=Models!$G$7,1+COUNTIF($N$5:$N$1517,"&gt;"&amp;N1485)+COUNTIFS($N$5:$N$1517,N1485,$B$5:$B$1517,"&lt;"&amp;B1485)+COUNTIFS($N$5:$N$1517,N1485,$B$5:$B$1517,B1485,$C$5:$C$1517,"&lt;"&amp;C1485),"")</f>
        <v/>
      </c>
      <c r="T1485" s="8" t="n">
        <f aca="false">IF(O1485&gt;=Models!$G$8,1+COUNTIF($O$5:$O$1517,"&gt;"&amp;O1485)+COUNTIFS($O$5:$O$1517,O1485,$B$5:$B$1517,"&lt;"&amp;B1485)+COUNTIFS($O$5:$O$1517,O1485,$B$5:$B$1517,B1485,$C$5:$C$1517,"&lt;"&amp;C1485),"")</f>
        <v>1478</v>
      </c>
      <c r="U1485" s="8" t="n">
        <f aca="false">IF($K1485=1,COUNTIFS($L$5:$L$1517,"&gt;="&amp;L1485,$K$5:$K$1517,1)/COUNTIF($L$5:$L$1517,"&gt;="&amp;L1485),0)</f>
        <v>0</v>
      </c>
      <c r="V1485" s="8" t="n">
        <f aca="false">IF($K1485=1,COUNTIFS($M$5:$M$1517,"&gt;="&amp;M1485,$K$5:$K$1517,1)/COUNTIF($M$5:$M$1517,"&gt;="&amp;M1485),0)</f>
        <v>0</v>
      </c>
      <c r="W1485" s="8" t="n">
        <f aca="false">IF($K1485=1,COUNTIFS($N$5:$N$1517,"&gt;="&amp;N1485,$K$5:$K$1517,1)/COUNTIF($N$5:$N$1517,"&gt;="&amp;N1485),0)</f>
        <v>0</v>
      </c>
      <c r="X1485" s="8" t="n">
        <f aca="false">IF($K1485=1,COUNTIFS($O$5:$O$1517,"&gt;="&amp;O1485,$K$5:$K$1517,1)/COUNTIF($O$5:$O$1517,"&gt;="&amp;O1485),0)</f>
        <v>0</v>
      </c>
      <c r="Y1485" s="8" t="n">
        <f aca="false">IF($K1485=1,COUNTIFS($P$5:$P$1517,"&gt;="&amp;P1485,$K$5:$K$1517,1)/COUNTIF($P$5:$P$1517,"&gt;="&amp;P1485),0)</f>
        <v>0</v>
      </c>
      <c r="Z1485" s="8" t="n">
        <f aca="false">(L1485-$K1485)^2</f>
        <v>0.086809783225</v>
      </c>
      <c r="AA1485" s="8" t="n">
        <f aca="false">(M1485-$K1485)^2</f>
        <v>0.008475595969</v>
      </c>
      <c r="AB1485" s="8" t="n">
        <f aca="false">(N1485-$K1485)^2</f>
        <v>0.011488409856</v>
      </c>
      <c r="AC1485" s="8" t="n">
        <f aca="false">(O1485-$K1485)^2</f>
        <v>0.011274829489</v>
      </c>
      <c r="AD1485" s="8" t="n">
        <f aca="false">(P1485-$K1485)^2</f>
        <v>0.012968426641</v>
      </c>
      <c r="AE1485" s="8" t="n">
        <f aca="false">MIN(INT(ROUND(N1485*1000000,0)/100000),9)</f>
        <v>1</v>
      </c>
      <c r="AF1485" s="8" t="n">
        <f aca="false">MIN(INT(ROUND(P1485*1000000,0)/100000),9)</f>
        <v>1</v>
      </c>
    </row>
    <row r="1486" customFormat="false" ht="15" hidden="false" customHeight="false" outlineLevel="0" collapsed="false">
      <c r="A1486" s="4" t="n">
        <v>1482</v>
      </c>
      <c r="B1486" s="4" t="n">
        <v>1772</v>
      </c>
      <c r="C1486" s="4" t="n">
        <v>3</v>
      </c>
      <c r="D1486" s="11" t="n">
        <v>46143</v>
      </c>
      <c r="E1486" s="4" t="s">
        <v>201</v>
      </c>
      <c r="F1486" s="4" t="s">
        <v>209</v>
      </c>
      <c r="G1486" s="4" t="n">
        <v>3</v>
      </c>
      <c r="H1486" s="4" t="n">
        <v>18</v>
      </c>
      <c r="I1486" s="4" t="n">
        <v>0</v>
      </c>
      <c r="J1486" s="4"/>
      <c r="K1486" s="4" t="n">
        <v>0</v>
      </c>
      <c r="L1486" s="12" t="n">
        <v>0.289638</v>
      </c>
      <c r="M1486" s="12" t="n">
        <v>0.092063</v>
      </c>
      <c r="N1486" s="12" t="n">
        <v>0.073421</v>
      </c>
      <c r="O1486" s="12" t="n">
        <v>0.106183</v>
      </c>
      <c r="P1486" s="12" t="n">
        <v>0.076779</v>
      </c>
      <c r="Q1486" s="0" t="str">
        <f aca="false">IF(L1486&gt;=Models!$G$5,1+COUNTIF($L$5:$L$1517,"&gt;"&amp;L1486)+COUNTIFS($L$5:$L$1517,L1486,$B$5:$B$1517,"&lt;"&amp;B1486)+COUNTIFS($L$5:$L$1517,L1486,$B$5:$B$1517,B1486,$C$5:$C$1517,"&lt;"&amp;C1486),"")</f>
        <v/>
      </c>
      <c r="R1486" s="0" t="str">
        <f aca="false">IF(M1486&gt;=Models!$G$6,1+COUNTIF($M$5:$M$1517,"&gt;"&amp;M1486)+COUNTIFS($M$5:$M$1517,M1486,$B$5:$B$1517,"&lt;"&amp;B1486)+COUNTIFS($M$5:$M$1517,M1486,$B$5:$B$1517,B1486,$C$5:$C$1517,"&lt;"&amp;C1486),"")</f>
        <v/>
      </c>
      <c r="S1486" s="0" t="str">
        <f aca="false">IF(N1486&gt;=Models!$G$7,1+COUNTIF($N$5:$N$1517,"&gt;"&amp;N1486)+COUNTIFS($N$5:$N$1517,N1486,$B$5:$B$1517,"&lt;"&amp;B1486)+COUNTIFS($N$5:$N$1517,N1486,$B$5:$B$1517,B1486,$C$5:$C$1517,"&lt;"&amp;C1486),"")</f>
        <v/>
      </c>
      <c r="T1486" s="8" t="n">
        <f aca="false">IF(O1486&gt;=Models!$G$8,1+COUNTIF($O$5:$O$1517,"&gt;"&amp;O1486)+COUNTIFS($O$5:$O$1517,O1486,$B$5:$B$1517,"&lt;"&amp;B1486)+COUNTIFS($O$5:$O$1517,O1486,$B$5:$B$1517,B1486,$C$5:$C$1517,"&lt;"&amp;C1486),"")</f>
        <v>1480</v>
      </c>
      <c r="U1486" s="8" t="n">
        <f aca="false">IF($K1486=1,COUNTIFS($L$5:$L$1517,"&gt;="&amp;L1486,$K$5:$K$1517,1)/COUNTIF($L$5:$L$1517,"&gt;="&amp;L1486),0)</f>
        <v>0</v>
      </c>
      <c r="V1486" s="8" t="n">
        <f aca="false">IF($K1486=1,COUNTIFS($M$5:$M$1517,"&gt;="&amp;M1486,$K$5:$K$1517,1)/COUNTIF($M$5:$M$1517,"&gt;="&amp;M1486),0)</f>
        <v>0</v>
      </c>
      <c r="W1486" s="8" t="n">
        <f aca="false">IF($K1486=1,COUNTIFS($N$5:$N$1517,"&gt;="&amp;N1486,$K$5:$K$1517,1)/COUNTIF($N$5:$N$1517,"&gt;="&amp;N1486),0)</f>
        <v>0</v>
      </c>
      <c r="X1486" s="8" t="n">
        <f aca="false">IF($K1486=1,COUNTIFS($O$5:$O$1517,"&gt;="&amp;O1486,$K$5:$K$1517,1)/COUNTIF($O$5:$O$1517,"&gt;="&amp;O1486),0)</f>
        <v>0</v>
      </c>
      <c r="Y1486" s="8" t="n">
        <f aca="false">IF($K1486=1,COUNTIFS($P$5:$P$1517,"&gt;="&amp;P1486,$K$5:$K$1517,1)/COUNTIF($P$5:$P$1517,"&gt;="&amp;P1486),0)</f>
        <v>0</v>
      </c>
      <c r="Z1486" s="8" t="n">
        <f aca="false">(L1486-$K1486)^2</f>
        <v>0.083890171044</v>
      </c>
      <c r="AA1486" s="8" t="n">
        <f aca="false">(M1486-$K1486)^2</f>
        <v>0.008475595969</v>
      </c>
      <c r="AB1486" s="8" t="n">
        <f aca="false">(N1486-$K1486)^2</f>
        <v>0.005390643241</v>
      </c>
      <c r="AC1486" s="8" t="n">
        <f aca="false">(O1486-$K1486)^2</f>
        <v>0.011274829489</v>
      </c>
      <c r="AD1486" s="8" t="n">
        <f aca="false">(P1486-$K1486)^2</f>
        <v>0.005895014841</v>
      </c>
      <c r="AE1486" s="8" t="n">
        <f aca="false">MIN(INT(ROUND(N1486*1000000,0)/100000),9)</f>
        <v>0</v>
      </c>
      <c r="AF1486" s="8" t="n">
        <f aca="false">MIN(INT(ROUND(P1486*1000000,0)/100000),9)</f>
        <v>0</v>
      </c>
    </row>
    <row r="1487" customFormat="false" ht="15" hidden="false" customHeight="false" outlineLevel="0" collapsed="false">
      <c r="A1487" s="4" t="n">
        <v>1483</v>
      </c>
      <c r="B1487" s="4" t="n">
        <v>1773</v>
      </c>
      <c r="C1487" s="4" t="n">
        <v>3</v>
      </c>
      <c r="D1487" s="11" t="n">
        <v>46143</v>
      </c>
      <c r="E1487" s="4" t="s">
        <v>202</v>
      </c>
      <c r="F1487" s="4" t="s">
        <v>206</v>
      </c>
      <c r="G1487" s="4" t="n">
        <v>7</v>
      </c>
      <c r="H1487" s="4" t="n">
        <v>6</v>
      </c>
      <c r="I1487" s="4" t="n">
        <v>0</v>
      </c>
      <c r="J1487" s="4"/>
      <c r="K1487" s="4" t="n">
        <v>1</v>
      </c>
      <c r="L1487" s="12" t="n">
        <v>0.512939</v>
      </c>
      <c r="M1487" s="12" t="n">
        <v>0.092063</v>
      </c>
      <c r="N1487" s="12" t="n">
        <v>0.047716</v>
      </c>
      <c r="O1487" s="12" t="n">
        <v>0.106183</v>
      </c>
      <c r="P1487" s="12" t="n">
        <v>0.048937</v>
      </c>
      <c r="Q1487" s="0" t="str">
        <f aca="false">IF(L1487&gt;=Models!$G$5,1+COUNTIF($L$5:$L$1517,"&gt;"&amp;L1487)+COUNTIFS($L$5:$L$1517,L1487,$B$5:$B$1517,"&lt;"&amp;B1487)+COUNTIFS($L$5:$L$1517,L1487,$B$5:$B$1517,B1487,$C$5:$C$1517,"&lt;"&amp;C1487),"")</f>
        <v/>
      </c>
      <c r="R1487" s="0" t="str">
        <f aca="false">IF(M1487&gt;=Models!$G$6,1+COUNTIF($M$5:$M$1517,"&gt;"&amp;M1487)+COUNTIFS($M$5:$M$1517,M1487,$B$5:$B$1517,"&lt;"&amp;B1487)+COUNTIFS($M$5:$M$1517,M1487,$B$5:$B$1517,B1487,$C$5:$C$1517,"&lt;"&amp;C1487),"")</f>
        <v/>
      </c>
      <c r="S1487" s="0" t="str">
        <f aca="false">IF(N1487&gt;=Models!$G$7,1+COUNTIF($N$5:$N$1517,"&gt;"&amp;N1487)+COUNTIFS($N$5:$N$1517,N1487,$B$5:$B$1517,"&lt;"&amp;B1487)+COUNTIFS($N$5:$N$1517,N1487,$B$5:$B$1517,B1487,$C$5:$C$1517,"&lt;"&amp;C1487),"")</f>
        <v/>
      </c>
      <c r="T1487" s="8" t="n">
        <f aca="false">IF(O1487&gt;=Models!$G$8,1+COUNTIF($O$5:$O$1517,"&gt;"&amp;O1487)+COUNTIFS($O$5:$O$1517,O1487,$B$5:$B$1517,"&lt;"&amp;B1487)+COUNTIFS($O$5:$O$1517,O1487,$B$5:$B$1517,B1487,$C$5:$C$1517,"&lt;"&amp;C1487),"")</f>
        <v>1482</v>
      </c>
      <c r="U1487" s="8" t="n">
        <f aca="false">IF($K1487=1,COUNTIFS($L$5:$L$1517,"&gt;="&amp;L1487,$K$5:$K$1517,1)/COUNTIF($L$5:$L$1517,"&gt;="&amp;L1487),0)</f>
        <v>0.120547945205479</v>
      </c>
      <c r="V1487" s="8" t="n">
        <f aca="false">IF($K1487=1,COUNTIFS($M$5:$M$1517,"&gt;="&amp;M1487,$K$5:$K$1517,1)/COUNTIF($M$5:$M$1517,"&gt;="&amp;M1487),0)</f>
        <v>0.12491738268341</v>
      </c>
      <c r="W1487" s="8" t="n">
        <f aca="false">IF($K1487=1,COUNTIFS($N$5:$N$1517,"&gt;="&amp;N1487,$K$5:$K$1517,1)/COUNTIF($N$5:$N$1517,"&gt;="&amp;N1487),0)</f>
        <v>0.147203947368421</v>
      </c>
      <c r="X1487" s="8" t="n">
        <f aca="false">IF($K1487=1,COUNTIFS($O$5:$O$1517,"&gt;="&amp;O1487,$K$5:$K$1517,1)/COUNTIF($O$5:$O$1517,"&gt;="&amp;O1487),0)</f>
        <v>0.12491738268341</v>
      </c>
      <c r="Y1487" s="8" t="n">
        <f aca="false">IF($K1487=1,COUNTIFS($P$5:$P$1517,"&gt;="&amp;P1487,$K$5:$K$1517,1)/COUNTIF($P$5:$P$1517,"&gt;="&amp;P1487),0)</f>
        <v>0.147203947368421</v>
      </c>
      <c r="Z1487" s="8" t="n">
        <f aca="false">(L1487-$K1487)^2</f>
        <v>0.237228417721</v>
      </c>
      <c r="AA1487" s="8" t="n">
        <f aca="false">(M1487-$K1487)^2</f>
        <v>0.824349595969</v>
      </c>
      <c r="AB1487" s="8" t="n">
        <f aca="false">(N1487-$K1487)^2</f>
        <v>0.906844816656</v>
      </c>
      <c r="AC1487" s="8" t="n">
        <f aca="false">(O1487-$K1487)^2</f>
        <v>0.798908829489</v>
      </c>
      <c r="AD1487" s="8" t="n">
        <f aca="false">(P1487-$K1487)^2</f>
        <v>0.904520829969</v>
      </c>
      <c r="AE1487" s="8" t="n">
        <f aca="false">MIN(INT(ROUND(N1487*1000000,0)/100000),9)</f>
        <v>0</v>
      </c>
      <c r="AF1487" s="8" t="n">
        <f aca="false">MIN(INT(ROUND(P1487*1000000,0)/100000),9)</f>
        <v>0</v>
      </c>
    </row>
    <row r="1488" customFormat="false" ht="15" hidden="false" customHeight="false" outlineLevel="0" collapsed="false">
      <c r="A1488" s="4" t="n">
        <v>1484</v>
      </c>
      <c r="B1488" s="4" t="n">
        <v>1776</v>
      </c>
      <c r="C1488" s="4" t="n">
        <v>3</v>
      </c>
      <c r="D1488" s="11" t="n">
        <v>46143</v>
      </c>
      <c r="E1488" s="4" t="s">
        <v>203</v>
      </c>
      <c r="F1488" s="4" t="s">
        <v>209</v>
      </c>
      <c r="G1488" s="4" t="n">
        <v>3</v>
      </c>
      <c r="H1488" s="4" t="n">
        <v>4</v>
      </c>
      <c r="I1488" s="4" t="n">
        <v>0</v>
      </c>
      <c r="J1488" s="4" t="n">
        <v>294</v>
      </c>
      <c r="K1488" s="4" t="n">
        <v>0</v>
      </c>
      <c r="L1488" s="12" t="n">
        <v>0.678925</v>
      </c>
      <c r="M1488" s="12" t="n">
        <v>0.092063</v>
      </c>
      <c r="N1488" s="12" t="n">
        <v>0.128944</v>
      </c>
      <c r="O1488" s="12" t="n">
        <v>0.106183</v>
      </c>
      <c r="P1488" s="12" t="n">
        <v>0.137971</v>
      </c>
      <c r="Q1488" s="0" t="str">
        <f aca="false">IF(L1488&gt;=Models!$G$5,1+COUNTIF($L$5:$L$1517,"&gt;"&amp;L1488)+COUNTIFS($L$5:$L$1517,L1488,$B$5:$B$1517,"&lt;"&amp;B1488)+COUNTIFS($L$5:$L$1517,L1488,$B$5:$B$1517,B1488,$C$5:$C$1517,"&lt;"&amp;C1488),"")</f>
        <v/>
      </c>
      <c r="R1488" s="0" t="str">
        <f aca="false">IF(M1488&gt;=Models!$G$6,1+COUNTIF($M$5:$M$1517,"&gt;"&amp;M1488)+COUNTIFS($M$5:$M$1517,M1488,$B$5:$B$1517,"&lt;"&amp;B1488)+COUNTIFS($M$5:$M$1517,M1488,$B$5:$B$1517,B1488,$C$5:$C$1517,"&lt;"&amp;C1488),"")</f>
        <v/>
      </c>
      <c r="S1488" s="0" t="str">
        <f aca="false">IF(N1488&gt;=Models!$G$7,1+COUNTIF($N$5:$N$1517,"&gt;"&amp;N1488)+COUNTIFS($N$5:$N$1517,N1488,$B$5:$B$1517,"&lt;"&amp;B1488)+COUNTIFS($N$5:$N$1517,N1488,$B$5:$B$1517,B1488,$C$5:$C$1517,"&lt;"&amp;C1488),"")</f>
        <v/>
      </c>
      <c r="T1488" s="8" t="n">
        <f aca="false">IF(O1488&gt;=Models!$G$8,1+COUNTIF($O$5:$O$1517,"&gt;"&amp;O1488)+COUNTIFS($O$5:$O$1517,O1488,$B$5:$B$1517,"&lt;"&amp;B1488)+COUNTIFS($O$5:$O$1517,O1488,$B$5:$B$1517,B1488,$C$5:$C$1517,"&lt;"&amp;C1488),"")</f>
        <v>1484</v>
      </c>
      <c r="U1488" s="8" t="n">
        <f aca="false">IF($K1488=1,COUNTIFS($L$5:$L$1517,"&gt;="&amp;L1488,$K$5:$K$1517,1)/COUNTIF($L$5:$L$1517,"&gt;="&amp;L1488),0)</f>
        <v>0</v>
      </c>
      <c r="V1488" s="8" t="n">
        <f aca="false">IF($K1488=1,COUNTIFS($M$5:$M$1517,"&gt;="&amp;M1488,$K$5:$K$1517,1)/COUNTIF($M$5:$M$1517,"&gt;="&amp;M1488),0)</f>
        <v>0</v>
      </c>
      <c r="W1488" s="8" t="n">
        <f aca="false">IF($K1488=1,COUNTIFS($N$5:$N$1517,"&gt;="&amp;N1488,$K$5:$K$1517,1)/COUNTIF($N$5:$N$1517,"&gt;="&amp;N1488),0)</f>
        <v>0</v>
      </c>
      <c r="X1488" s="8" t="n">
        <f aca="false">IF($K1488=1,COUNTIFS($O$5:$O$1517,"&gt;="&amp;O1488,$K$5:$K$1517,1)/COUNTIF($O$5:$O$1517,"&gt;="&amp;O1488),0)</f>
        <v>0</v>
      </c>
      <c r="Y1488" s="8" t="n">
        <f aca="false">IF($K1488=1,COUNTIFS($P$5:$P$1517,"&gt;="&amp;P1488,$K$5:$K$1517,1)/COUNTIF($P$5:$P$1517,"&gt;="&amp;P1488),0)</f>
        <v>0</v>
      </c>
      <c r="Z1488" s="8" t="n">
        <f aca="false">(L1488-$K1488)^2</f>
        <v>0.460939155625</v>
      </c>
      <c r="AA1488" s="8" t="n">
        <f aca="false">(M1488-$K1488)^2</f>
        <v>0.008475595969</v>
      </c>
      <c r="AB1488" s="8" t="n">
        <f aca="false">(N1488-$K1488)^2</f>
        <v>0.016626555136</v>
      </c>
      <c r="AC1488" s="8" t="n">
        <f aca="false">(O1488-$K1488)^2</f>
        <v>0.011274829489</v>
      </c>
      <c r="AD1488" s="8" t="n">
        <f aca="false">(P1488-$K1488)^2</f>
        <v>0.019035996841</v>
      </c>
      <c r="AE1488" s="8" t="n">
        <f aca="false">MIN(INT(ROUND(N1488*1000000,0)/100000),9)</f>
        <v>1</v>
      </c>
      <c r="AF1488" s="8" t="n">
        <f aca="false">MIN(INT(ROUND(P1488*1000000,0)/100000),9)</f>
        <v>1</v>
      </c>
    </row>
    <row r="1489" customFormat="false" ht="15" hidden="false" customHeight="false" outlineLevel="0" collapsed="false">
      <c r="A1489" s="4" t="n">
        <v>1485</v>
      </c>
      <c r="B1489" s="4" t="n">
        <v>1777</v>
      </c>
      <c r="C1489" s="4" t="n">
        <v>3</v>
      </c>
      <c r="D1489" s="11" t="n">
        <v>46143</v>
      </c>
      <c r="E1489" s="4" t="s">
        <v>203</v>
      </c>
      <c r="F1489" s="4" t="s">
        <v>207</v>
      </c>
      <c r="G1489" s="4" t="n">
        <v>5</v>
      </c>
      <c r="H1489" s="4" t="n">
        <v>14</v>
      </c>
      <c r="I1489" s="4" t="n">
        <v>0</v>
      </c>
      <c r="J1489" s="4" t="n">
        <v>438</v>
      </c>
      <c r="K1489" s="4" t="n">
        <v>0</v>
      </c>
      <c r="L1489" s="12" t="n">
        <v>0.334108</v>
      </c>
      <c r="M1489" s="12" t="n">
        <v>0.092063</v>
      </c>
      <c r="N1489" s="12" t="n">
        <v>0.117458</v>
      </c>
      <c r="O1489" s="12" t="n">
        <v>0.106183</v>
      </c>
      <c r="P1489" s="12" t="n">
        <v>0.125241</v>
      </c>
      <c r="Q1489" s="0" t="str">
        <f aca="false">IF(L1489&gt;=Models!$G$5,1+COUNTIF($L$5:$L$1517,"&gt;"&amp;L1489)+COUNTIFS($L$5:$L$1517,L1489,$B$5:$B$1517,"&lt;"&amp;B1489)+COUNTIFS($L$5:$L$1517,L1489,$B$5:$B$1517,B1489,$C$5:$C$1517,"&lt;"&amp;C1489),"")</f>
        <v/>
      </c>
      <c r="R1489" s="0" t="str">
        <f aca="false">IF(M1489&gt;=Models!$G$6,1+COUNTIF($M$5:$M$1517,"&gt;"&amp;M1489)+COUNTIFS($M$5:$M$1517,M1489,$B$5:$B$1517,"&lt;"&amp;B1489)+COUNTIFS($M$5:$M$1517,M1489,$B$5:$B$1517,B1489,$C$5:$C$1517,"&lt;"&amp;C1489),"")</f>
        <v/>
      </c>
      <c r="S1489" s="0" t="str">
        <f aca="false">IF(N1489&gt;=Models!$G$7,1+COUNTIF($N$5:$N$1517,"&gt;"&amp;N1489)+COUNTIFS($N$5:$N$1517,N1489,$B$5:$B$1517,"&lt;"&amp;B1489)+COUNTIFS($N$5:$N$1517,N1489,$B$5:$B$1517,B1489,$C$5:$C$1517,"&lt;"&amp;C1489),"")</f>
        <v/>
      </c>
      <c r="T1489" s="8" t="n">
        <f aca="false">IF(O1489&gt;=Models!$G$8,1+COUNTIF($O$5:$O$1517,"&gt;"&amp;O1489)+COUNTIFS($O$5:$O$1517,O1489,$B$5:$B$1517,"&lt;"&amp;B1489)+COUNTIFS($O$5:$O$1517,O1489,$B$5:$B$1517,B1489,$C$5:$C$1517,"&lt;"&amp;C1489),"")</f>
        <v>1485</v>
      </c>
      <c r="U1489" s="8" t="n">
        <f aca="false">IF($K1489=1,COUNTIFS($L$5:$L$1517,"&gt;="&amp;L1489,$K$5:$K$1517,1)/COUNTIF($L$5:$L$1517,"&gt;="&amp;L1489),0)</f>
        <v>0</v>
      </c>
      <c r="V1489" s="8" t="n">
        <f aca="false">IF($K1489=1,COUNTIFS($M$5:$M$1517,"&gt;="&amp;M1489,$K$5:$K$1517,1)/COUNTIF($M$5:$M$1517,"&gt;="&amp;M1489),0)</f>
        <v>0</v>
      </c>
      <c r="W1489" s="8" t="n">
        <f aca="false">IF($K1489=1,COUNTIFS($N$5:$N$1517,"&gt;="&amp;N1489,$K$5:$K$1517,1)/COUNTIF($N$5:$N$1517,"&gt;="&amp;N1489),0)</f>
        <v>0</v>
      </c>
      <c r="X1489" s="8" t="n">
        <f aca="false">IF($K1489=1,COUNTIFS($O$5:$O$1517,"&gt;="&amp;O1489,$K$5:$K$1517,1)/COUNTIF($O$5:$O$1517,"&gt;="&amp;O1489),0)</f>
        <v>0</v>
      </c>
      <c r="Y1489" s="8" t="n">
        <f aca="false">IF($K1489=1,COUNTIFS($P$5:$P$1517,"&gt;="&amp;P1489,$K$5:$K$1517,1)/COUNTIF($P$5:$P$1517,"&gt;="&amp;P1489),0)</f>
        <v>0</v>
      </c>
      <c r="Z1489" s="8" t="n">
        <f aca="false">(L1489-$K1489)^2</f>
        <v>0.111628155664</v>
      </c>
      <c r="AA1489" s="8" t="n">
        <f aca="false">(M1489-$K1489)^2</f>
        <v>0.008475595969</v>
      </c>
      <c r="AB1489" s="8" t="n">
        <f aca="false">(N1489-$K1489)^2</f>
        <v>0.013796381764</v>
      </c>
      <c r="AC1489" s="8" t="n">
        <f aca="false">(O1489-$K1489)^2</f>
        <v>0.011274829489</v>
      </c>
      <c r="AD1489" s="8" t="n">
        <f aca="false">(P1489-$K1489)^2</f>
        <v>0.015685308081</v>
      </c>
      <c r="AE1489" s="8" t="n">
        <f aca="false">MIN(INT(ROUND(N1489*1000000,0)/100000),9)</f>
        <v>1</v>
      </c>
      <c r="AF1489" s="8" t="n">
        <f aca="false">MIN(INT(ROUND(P1489*1000000,0)/100000),9)</f>
        <v>1</v>
      </c>
    </row>
    <row r="1490" customFormat="false" ht="15" hidden="false" customHeight="false" outlineLevel="0" collapsed="false">
      <c r="A1490" s="4" t="n">
        <v>1486</v>
      </c>
      <c r="B1490" s="4" t="n">
        <v>1779</v>
      </c>
      <c r="C1490" s="4" t="n">
        <v>3</v>
      </c>
      <c r="D1490" s="11" t="n">
        <v>46143</v>
      </c>
      <c r="E1490" s="4" t="s">
        <v>204</v>
      </c>
      <c r="F1490" s="4" t="s">
        <v>210</v>
      </c>
      <c r="G1490" s="4" t="n">
        <v>0</v>
      </c>
      <c r="H1490" s="4" t="n">
        <v>31</v>
      </c>
      <c r="I1490" s="4" t="n">
        <v>0</v>
      </c>
      <c r="J1490" s="4" t="n">
        <v>90</v>
      </c>
      <c r="K1490" s="4" t="n">
        <v>0</v>
      </c>
      <c r="L1490" s="12" t="n">
        <v>0.799831</v>
      </c>
      <c r="M1490" s="12" t="n">
        <v>0.184211</v>
      </c>
      <c r="N1490" s="12" t="n">
        <v>0.196668</v>
      </c>
      <c r="O1490" s="12" t="n">
        <v>0.106183</v>
      </c>
      <c r="P1490" s="12" t="n">
        <v>0.213285</v>
      </c>
      <c r="Q1490" s="0" t="str">
        <f aca="false">IF(L1490&gt;=Models!$G$5,1+COUNTIF($L$5:$L$1517,"&gt;"&amp;L1490)+COUNTIFS($L$5:$L$1517,L1490,$B$5:$B$1517,"&lt;"&amp;B1490)+COUNTIFS($L$5:$L$1517,L1490,$B$5:$B$1517,B1490,$C$5:$C$1517,"&lt;"&amp;C1490),"")</f>
        <v/>
      </c>
      <c r="R1490" s="8" t="n">
        <f aca="false">IF(M1490&gt;=Models!$G$6,1+COUNTIF($M$5:$M$1517,"&gt;"&amp;M1490)+COUNTIFS($M$5:$M$1517,M1490,$B$5:$B$1517,"&lt;"&amp;B1490)+COUNTIFS($M$5:$M$1517,M1490,$B$5:$B$1517,B1490,$C$5:$C$1517,"&lt;"&amp;C1490),"")</f>
        <v>191</v>
      </c>
      <c r="S1490" s="0" t="str">
        <f aca="false">IF(N1490&gt;=Models!$G$7,1+COUNTIF($N$5:$N$1517,"&gt;"&amp;N1490)+COUNTIFS($N$5:$N$1517,N1490,$B$5:$B$1517,"&lt;"&amp;B1490)+COUNTIFS($N$5:$N$1517,N1490,$B$5:$B$1517,B1490,$C$5:$C$1517,"&lt;"&amp;C1490),"")</f>
        <v/>
      </c>
      <c r="T1490" s="8" t="n">
        <f aca="false">IF(O1490&gt;=Models!$G$8,1+COUNTIF($O$5:$O$1517,"&gt;"&amp;O1490)+COUNTIFS($O$5:$O$1517,O1490,$B$5:$B$1517,"&lt;"&amp;B1490)+COUNTIFS($O$5:$O$1517,O1490,$B$5:$B$1517,B1490,$C$5:$C$1517,"&lt;"&amp;C1490),"")</f>
        <v>1486</v>
      </c>
      <c r="U1490" s="8" t="n">
        <f aca="false">IF($K1490=1,COUNTIFS($L$5:$L$1517,"&gt;="&amp;L1490,$K$5:$K$1517,1)/COUNTIF($L$5:$L$1517,"&gt;="&amp;L1490),0)</f>
        <v>0</v>
      </c>
      <c r="V1490" s="8" t="n">
        <f aca="false">IF($K1490=1,COUNTIFS($M$5:$M$1517,"&gt;="&amp;M1490,$K$5:$K$1517,1)/COUNTIF($M$5:$M$1517,"&gt;="&amp;M1490),0)</f>
        <v>0</v>
      </c>
      <c r="W1490" s="8" t="n">
        <f aca="false">IF($K1490=1,COUNTIFS($N$5:$N$1517,"&gt;="&amp;N1490,$K$5:$K$1517,1)/COUNTIF($N$5:$N$1517,"&gt;="&amp;N1490),0)</f>
        <v>0</v>
      </c>
      <c r="X1490" s="8" t="n">
        <f aca="false">IF($K1490=1,COUNTIFS($O$5:$O$1517,"&gt;="&amp;O1490,$K$5:$K$1517,1)/COUNTIF($O$5:$O$1517,"&gt;="&amp;O1490),0)</f>
        <v>0</v>
      </c>
      <c r="Y1490" s="8" t="n">
        <f aca="false">IF($K1490=1,COUNTIFS($P$5:$P$1517,"&gt;="&amp;P1490,$K$5:$K$1517,1)/COUNTIF($P$5:$P$1517,"&gt;="&amp;P1490),0)</f>
        <v>0</v>
      </c>
      <c r="Z1490" s="8" t="n">
        <f aca="false">(L1490-$K1490)^2</f>
        <v>0.639729628561</v>
      </c>
      <c r="AA1490" s="8" t="n">
        <f aca="false">(M1490-$K1490)^2</f>
        <v>0.033933692521</v>
      </c>
      <c r="AB1490" s="8" t="n">
        <f aca="false">(N1490-$K1490)^2</f>
        <v>0.038678302224</v>
      </c>
      <c r="AC1490" s="8" t="n">
        <f aca="false">(O1490-$K1490)^2</f>
        <v>0.011274829489</v>
      </c>
      <c r="AD1490" s="8" t="n">
        <f aca="false">(P1490-$K1490)^2</f>
        <v>0.045490491225</v>
      </c>
      <c r="AE1490" s="8" t="n">
        <f aca="false">MIN(INT(ROUND(N1490*1000000,0)/100000),9)</f>
        <v>1</v>
      </c>
      <c r="AF1490" s="8" t="n">
        <f aca="false">MIN(INT(ROUND(P1490*1000000,0)/100000),9)</f>
        <v>2</v>
      </c>
    </row>
    <row r="1491" customFormat="false" ht="15" hidden="false" customHeight="false" outlineLevel="0" collapsed="false">
      <c r="A1491" s="4" t="n">
        <v>1487</v>
      </c>
      <c r="B1491" s="4" t="n">
        <v>1787</v>
      </c>
      <c r="C1491" s="4" t="n">
        <v>3</v>
      </c>
      <c r="D1491" s="11" t="n">
        <v>46143</v>
      </c>
      <c r="E1491" s="4" t="s">
        <v>202</v>
      </c>
      <c r="F1491" s="4" t="s">
        <v>208</v>
      </c>
      <c r="G1491" s="4" t="n">
        <v>6</v>
      </c>
      <c r="H1491" s="4" t="n">
        <v>15</v>
      </c>
      <c r="I1491" s="4" t="n">
        <v>0</v>
      </c>
      <c r="J1491" s="4" t="n">
        <v>1467</v>
      </c>
      <c r="K1491" s="4" t="n">
        <v>0</v>
      </c>
      <c r="L1491" s="12" t="n">
        <v>0.464707</v>
      </c>
      <c r="M1491" s="12" t="n">
        <v>0.092063</v>
      </c>
      <c r="N1491" s="12" t="n">
        <v>0.10356</v>
      </c>
      <c r="O1491" s="12" t="n">
        <v>0.106183</v>
      </c>
      <c r="P1491" s="12" t="n">
        <v>0.109877</v>
      </c>
      <c r="Q1491" s="0" t="str">
        <f aca="false">IF(L1491&gt;=Models!$G$5,1+COUNTIF($L$5:$L$1517,"&gt;"&amp;L1491)+COUNTIFS($L$5:$L$1517,L1491,$B$5:$B$1517,"&lt;"&amp;B1491)+COUNTIFS($L$5:$L$1517,L1491,$B$5:$B$1517,B1491,$C$5:$C$1517,"&lt;"&amp;C1491),"")</f>
        <v/>
      </c>
      <c r="R1491" s="0" t="str">
        <f aca="false">IF(M1491&gt;=Models!$G$6,1+COUNTIF($M$5:$M$1517,"&gt;"&amp;M1491)+COUNTIFS($M$5:$M$1517,M1491,$B$5:$B$1517,"&lt;"&amp;B1491)+COUNTIFS($M$5:$M$1517,M1491,$B$5:$B$1517,B1491,$C$5:$C$1517,"&lt;"&amp;C1491),"")</f>
        <v/>
      </c>
      <c r="S1491" s="0" t="str">
        <f aca="false">IF(N1491&gt;=Models!$G$7,1+COUNTIF($N$5:$N$1517,"&gt;"&amp;N1491)+COUNTIFS($N$5:$N$1517,N1491,$B$5:$B$1517,"&lt;"&amp;B1491)+COUNTIFS($N$5:$N$1517,N1491,$B$5:$B$1517,B1491,$C$5:$C$1517,"&lt;"&amp;C1491),"")</f>
        <v/>
      </c>
      <c r="T1491" s="8" t="n">
        <f aca="false">IF(O1491&gt;=Models!$G$8,1+COUNTIF($O$5:$O$1517,"&gt;"&amp;O1491)+COUNTIFS($O$5:$O$1517,O1491,$B$5:$B$1517,"&lt;"&amp;B1491)+COUNTIFS($O$5:$O$1517,O1491,$B$5:$B$1517,B1491,$C$5:$C$1517,"&lt;"&amp;C1491),"")</f>
        <v>1487</v>
      </c>
      <c r="U1491" s="8" t="n">
        <f aca="false">IF($K1491=1,COUNTIFS($L$5:$L$1517,"&gt;="&amp;L1491,$K$5:$K$1517,1)/COUNTIF($L$5:$L$1517,"&gt;="&amp;L1491),0)</f>
        <v>0</v>
      </c>
      <c r="V1491" s="8" t="n">
        <f aca="false">IF($K1491=1,COUNTIFS($M$5:$M$1517,"&gt;="&amp;M1491,$K$5:$K$1517,1)/COUNTIF($M$5:$M$1517,"&gt;="&amp;M1491),0)</f>
        <v>0</v>
      </c>
      <c r="W1491" s="8" t="n">
        <f aca="false">IF($K1491=1,COUNTIFS($N$5:$N$1517,"&gt;="&amp;N1491,$K$5:$K$1517,1)/COUNTIF($N$5:$N$1517,"&gt;="&amp;N1491),0)</f>
        <v>0</v>
      </c>
      <c r="X1491" s="8" t="n">
        <f aca="false">IF($K1491=1,COUNTIFS($O$5:$O$1517,"&gt;="&amp;O1491,$K$5:$K$1517,1)/COUNTIF($O$5:$O$1517,"&gt;="&amp;O1491),0)</f>
        <v>0</v>
      </c>
      <c r="Y1491" s="8" t="n">
        <f aca="false">IF($K1491=1,COUNTIFS($P$5:$P$1517,"&gt;="&amp;P1491,$K$5:$K$1517,1)/COUNTIF($P$5:$P$1517,"&gt;="&amp;P1491),0)</f>
        <v>0</v>
      </c>
      <c r="Z1491" s="8" t="n">
        <f aca="false">(L1491-$K1491)^2</f>
        <v>0.215952595849</v>
      </c>
      <c r="AA1491" s="8" t="n">
        <f aca="false">(M1491-$K1491)^2</f>
        <v>0.008475595969</v>
      </c>
      <c r="AB1491" s="8" t="n">
        <f aca="false">(N1491-$K1491)^2</f>
        <v>0.0107246736</v>
      </c>
      <c r="AC1491" s="8" t="n">
        <f aca="false">(O1491-$K1491)^2</f>
        <v>0.011274829489</v>
      </c>
      <c r="AD1491" s="8" t="n">
        <f aca="false">(P1491-$K1491)^2</f>
        <v>0.012072955129</v>
      </c>
      <c r="AE1491" s="8" t="n">
        <f aca="false">MIN(INT(ROUND(N1491*1000000,0)/100000),9)</f>
        <v>1</v>
      </c>
      <c r="AF1491" s="8" t="n">
        <f aca="false">MIN(INT(ROUND(P1491*1000000,0)/100000),9)</f>
        <v>1</v>
      </c>
    </row>
    <row r="1492" customFormat="false" ht="15" hidden="false" customHeight="false" outlineLevel="0" collapsed="false">
      <c r="A1492" s="4" t="n">
        <v>1488</v>
      </c>
      <c r="B1492" s="4" t="n">
        <v>1794</v>
      </c>
      <c r="C1492" s="4" t="n">
        <v>3</v>
      </c>
      <c r="D1492" s="11" t="n">
        <v>46143</v>
      </c>
      <c r="E1492" s="4" t="s">
        <v>203</v>
      </c>
      <c r="F1492" s="4" t="s">
        <v>209</v>
      </c>
      <c r="G1492" s="4" t="n">
        <v>1</v>
      </c>
      <c r="H1492" s="4" t="n">
        <v>7</v>
      </c>
      <c r="I1492" s="4" t="n">
        <v>0</v>
      </c>
      <c r="J1492" s="4" t="n">
        <v>438</v>
      </c>
      <c r="K1492" s="4" t="n">
        <v>0</v>
      </c>
      <c r="L1492" s="12" t="n">
        <v>0.235078</v>
      </c>
      <c r="M1492" s="12" t="n">
        <v>0.092063</v>
      </c>
      <c r="N1492" s="12" t="n">
        <v>0.15263</v>
      </c>
      <c r="O1492" s="12" t="n">
        <v>0.106183</v>
      </c>
      <c r="P1492" s="12" t="n">
        <v>0.164282</v>
      </c>
      <c r="Q1492" s="0" t="str">
        <f aca="false">IF(L1492&gt;=Models!$G$5,1+COUNTIF($L$5:$L$1517,"&gt;"&amp;L1492)+COUNTIFS($L$5:$L$1517,L1492,$B$5:$B$1517,"&lt;"&amp;B1492)+COUNTIFS($L$5:$L$1517,L1492,$B$5:$B$1517,B1492,$C$5:$C$1517,"&lt;"&amp;C1492),"")</f>
        <v/>
      </c>
      <c r="R1492" s="0" t="str">
        <f aca="false">IF(M1492&gt;=Models!$G$6,1+COUNTIF($M$5:$M$1517,"&gt;"&amp;M1492)+COUNTIFS($M$5:$M$1517,M1492,$B$5:$B$1517,"&lt;"&amp;B1492)+COUNTIFS($M$5:$M$1517,M1492,$B$5:$B$1517,B1492,$C$5:$C$1517,"&lt;"&amp;C1492),"")</f>
        <v/>
      </c>
      <c r="S1492" s="0" t="str">
        <f aca="false">IF(N1492&gt;=Models!$G$7,1+COUNTIF($N$5:$N$1517,"&gt;"&amp;N1492)+COUNTIFS($N$5:$N$1517,N1492,$B$5:$B$1517,"&lt;"&amp;B1492)+COUNTIFS($N$5:$N$1517,N1492,$B$5:$B$1517,B1492,$C$5:$C$1517,"&lt;"&amp;C1492),"")</f>
        <v/>
      </c>
      <c r="T1492" s="8" t="n">
        <f aca="false">IF(O1492&gt;=Models!$G$8,1+COUNTIF($O$5:$O$1517,"&gt;"&amp;O1492)+COUNTIFS($O$5:$O$1517,O1492,$B$5:$B$1517,"&lt;"&amp;B1492)+COUNTIFS($O$5:$O$1517,O1492,$B$5:$B$1517,B1492,$C$5:$C$1517,"&lt;"&amp;C1492),"")</f>
        <v>1488</v>
      </c>
      <c r="U1492" s="8" t="n">
        <f aca="false">IF($K1492=1,COUNTIFS($L$5:$L$1517,"&gt;="&amp;L1492,$K$5:$K$1517,1)/COUNTIF($L$5:$L$1517,"&gt;="&amp;L1492),0)</f>
        <v>0</v>
      </c>
      <c r="V1492" s="8" t="n">
        <f aca="false">IF($K1492=1,COUNTIFS($M$5:$M$1517,"&gt;="&amp;M1492,$K$5:$K$1517,1)/COUNTIF($M$5:$M$1517,"&gt;="&amp;M1492),0)</f>
        <v>0</v>
      </c>
      <c r="W1492" s="8" t="n">
        <f aca="false">IF($K1492=1,COUNTIFS($N$5:$N$1517,"&gt;="&amp;N1492,$K$5:$K$1517,1)/COUNTIF($N$5:$N$1517,"&gt;="&amp;N1492),0)</f>
        <v>0</v>
      </c>
      <c r="X1492" s="8" t="n">
        <f aca="false">IF($K1492=1,COUNTIFS($O$5:$O$1517,"&gt;="&amp;O1492,$K$5:$K$1517,1)/COUNTIF($O$5:$O$1517,"&gt;="&amp;O1492),0)</f>
        <v>0</v>
      </c>
      <c r="Y1492" s="8" t="n">
        <f aca="false">IF($K1492=1,COUNTIFS($P$5:$P$1517,"&gt;="&amp;P1492,$K$5:$K$1517,1)/COUNTIF($P$5:$P$1517,"&gt;="&amp;P1492),0)</f>
        <v>0</v>
      </c>
      <c r="Z1492" s="8" t="n">
        <f aca="false">(L1492-$K1492)^2</f>
        <v>0.055261666084</v>
      </c>
      <c r="AA1492" s="8" t="n">
        <f aca="false">(M1492-$K1492)^2</f>
        <v>0.008475595969</v>
      </c>
      <c r="AB1492" s="8" t="n">
        <f aca="false">(N1492-$K1492)^2</f>
        <v>0.0232959169</v>
      </c>
      <c r="AC1492" s="8" t="n">
        <f aca="false">(O1492-$K1492)^2</f>
        <v>0.011274829489</v>
      </c>
      <c r="AD1492" s="8" t="n">
        <f aca="false">(P1492-$K1492)^2</f>
        <v>0.026988575524</v>
      </c>
      <c r="AE1492" s="8" t="n">
        <f aca="false">MIN(INT(ROUND(N1492*1000000,0)/100000),9)</f>
        <v>1</v>
      </c>
      <c r="AF1492" s="8" t="n">
        <f aca="false">MIN(INT(ROUND(P1492*1000000,0)/100000),9)</f>
        <v>1</v>
      </c>
    </row>
    <row r="1493" customFormat="false" ht="15" hidden="false" customHeight="false" outlineLevel="0" collapsed="false">
      <c r="A1493" s="4" t="n">
        <v>1489</v>
      </c>
      <c r="B1493" s="4" t="n">
        <v>1795</v>
      </c>
      <c r="C1493" s="4" t="n">
        <v>3</v>
      </c>
      <c r="D1493" s="11" t="n">
        <v>46143</v>
      </c>
      <c r="E1493" s="4" t="s">
        <v>201</v>
      </c>
      <c r="F1493" s="4" t="s">
        <v>210</v>
      </c>
      <c r="G1493" s="4" t="n">
        <v>11</v>
      </c>
      <c r="H1493" s="4" t="n">
        <v>0</v>
      </c>
      <c r="I1493" s="4" t="n">
        <v>0</v>
      </c>
      <c r="J1493" s="4"/>
      <c r="K1493" s="4" t="n">
        <v>0</v>
      </c>
      <c r="L1493" s="12" t="n">
        <v>0.049008</v>
      </c>
      <c r="M1493" s="12" t="n">
        <v>0.092063</v>
      </c>
      <c r="N1493" s="12" t="n">
        <v>0.03221</v>
      </c>
      <c r="O1493" s="12" t="n">
        <v>0.106183</v>
      </c>
      <c r="P1493" s="12" t="n">
        <v>0.032432</v>
      </c>
      <c r="Q1493" s="0" t="str">
        <f aca="false">IF(L1493&gt;=Models!$G$5,1+COUNTIF($L$5:$L$1517,"&gt;"&amp;L1493)+COUNTIFS($L$5:$L$1517,L1493,$B$5:$B$1517,"&lt;"&amp;B1493)+COUNTIFS($L$5:$L$1517,L1493,$B$5:$B$1517,B1493,$C$5:$C$1517,"&lt;"&amp;C1493),"")</f>
        <v/>
      </c>
      <c r="R1493" s="0" t="str">
        <f aca="false">IF(M1493&gt;=Models!$G$6,1+COUNTIF($M$5:$M$1517,"&gt;"&amp;M1493)+COUNTIFS($M$5:$M$1517,M1493,$B$5:$B$1517,"&lt;"&amp;B1493)+COUNTIFS($M$5:$M$1517,M1493,$B$5:$B$1517,B1493,$C$5:$C$1517,"&lt;"&amp;C1493),"")</f>
        <v/>
      </c>
      <c r="S1493" s="0" t="str">
        <f aca="false">IF(N1493&gt;=Models!$G$7,1+COUNTIF($N$5:$N$1517,"&gt;"&amp;N1493)+COUNTIFS($N$5:$N$1517,N1493,$B$5:$B$1517,"&lt;"&amp;B1493)+COUNTIFS($N$5:$N$1517,N1493,$B$5:$B$1517,B1493,$C$5:$C$1517,"&lt;"&amp;C1493),"")</f>
        <v/>
      </c>
      <c r="T1493" s="8" t="n">
        <f aca="false">IF(O1493&gt;=Models!$G$8,1+COUNTIF($O$5:$O$1517,"&gt;"&amp;O1493)+COUNTIFS($O$5:$O$1517,O1493,$B$5:$B$1517,"&lt;"&amp;B1493)+COUNTIFS($O$5:$O$1517,O1493,$B$5:$B$1517,B1493,$C$5:$C$1517,"&lt;"&amp;C1493),"")</f>
        <v>1489</v>
      </c>
      <c r="U1493" s="8" t="n">
        <f aca="false">IF($K1493=1,COUNTIFS($L$5:$L$1517,"&gt;="&amp;L1493,$K$5:$K$1517,1)/COUNTIF($L$5:$L$1517,"&gt;="&amp;L1493),0)</f>
        <v>0</v>
      </c>
      <c r="V1493" s="8" t="n">
        <f aca="false">IF($K1493=1,COUNTIFS($M$5:$M$1517,"&gt;="&amp;M1493,$K$5:$K$1517,1)/COUNTIF($M$5:$M$1517,"&gt;="&amp;M1493),0)</f>
        <v>0</v>
      </c>
      <c r="W1493" s="8" t="n">
        <f aca="false">IF($K1493=1,COUNTIFS($N$5:$N$1517,"&gt;="&amp;N1493,$K$5:$K$1517,1)/COUNTIF($N$5:$N$1517,"&gt;="&amp;N1493),0)</f>
        <v>0</v>
      </c>
      <c r="X1493" s="8" t="n">
        <f aca="false">IF($K1493=1,COUNTIFS($O$5:$O$1517,"&gt;="&amp;O1493,$K$5:$K$1517,1)/COUNTIF($O$5:$O$1517,"&gt;="&amp;O1493),0)</f>
        <v>0</v>
      </c>
      <c r="Y1493" s="8" t="n">
        <f aca="false">IF($K1493=1,COUNTIFS($P$5:$P$1517,"&gt;="&amp;P1493,$K$5:$K$1517,1)/COUNTIF($P$5:$P$1517,"&gt;="&amp;P1493),0)</f>
        <v>0</v>
      </c>
      <c r="Z1493" s="8" t="n">
        <f aca="false">(L1493-$K1493)^2</f>
        <v>0.002401784064</v>
      </c>
      <c r="AA1493" s="8" t="n">
        <f aca="false">(M1493-$K1493)^2</f>
        <v>0.008475595969</v>
      </c>
      <c r="AB1493" s="8" t="n">
        <f aca="false">(N1493-$K1493)^2</f>
        <v>0.0010374841</v>
      </c>
      <c r="AC1493" s="8" t="n">
        <f aca="false">(O1493-$K1493)^2</f>
        <v>0.011274829489</v>
      </c>
      <c r="AD1493" s="8" t="n">
        <f aca="false">(P1493-$K1493)^2</f>
        <v>0.001051834624</v>
      </c>
      <c r="AE1493" s="8" t="n">
        <f aca="false">MIN(INT(ROUND(N1493*1000000,0)/100000),9)</f>
        <v>0</v>
      </c>
      <c r="AF1493" s="8" t="n">
        <f aca="false">MIN(INT(ROUND(P1493*1000000,0)/100000),9)</f>
        <v>0</v>
      </c>
    </row>
    <row r="1494" customFormat="false" ht="15" hidden="false" customHeight="false" outlineLevel="0" collapsed="false">
      <c r="A1494" s="4" t="n">
        <v>1490</v>
      </c>
      <c r="B1494" s="4" t="n">
        <v>1797</v>
      </c>
      <c r="C1494" s="4" t="n">
        <v>3</v>
      </c>
      <c r="D1494" s="11" t="n">
        <v>46143</v>
      </c>
      <c r="E1494" s="4" t="s">
        <v>204</v>
      </c>
      <c r="F1494" s="4" t="s">
        <v>209</v>
      </c>
      <c r="G1494" s="4" t="n">
        <v>2</v>
      </c>
      <c r="H1494" s="4" t="n">
        <v>0</v>
      </c>
      <c r="I1494" s="4" t="n">
        <v>0</v>
      </c>
      <c r="J1494" s="4" t="n">
        <v>79.8</v>
      </c>
      <c r="K1494" s="4" t="n">
        <v>0</v>
      </c>
      <c r="L1494" s="12" t="n">
        <v>0.206978</v>
      </c>
      <c r="M1494" s="12" t="n">
        <v>0.092063</v>
      </c>
      <c r="N1494" s="12" t="n">
        <v>0.136971</v>
      </c>
      <c r="O1494" s="12" t="n">
        <v>0.106183</v>
      </c>
      <c r="P1494" s="12" t="n">
        <v>0.14688</v>
      </c>
      <c r="Q1494" s="0" t="str">
        <f aca="false">IF(L1494&gt;=Models!$G$5,1+COUNTIF($L$5:$L$1517,"&gt;"&amp;L1494)+COUNTIFS($L$5:$L$1517,L1494,$B$5:$B$1517,"&lt;"&amp;B1494)+COUNTIFS($L$5:$L$1517,L1494,$B$5:$B$1517,B1494,$C$5:$C$1517,"&lt;"&amp;C1494),"")</f>
        <v/>
      </c>
      <c r="R1494" s="0" t="str">
        <f aca="false">IF(M1494&gt;=Models!$G$6,1+COUNTIF($M$5:$M$1517,"&gt;"&amp;M1494)+COUNTIFS($M$5:$M$1517,M1494,$B$5:$B$1517,"&lt;"&amp;B1494)+COUNTIFS($M$5:$M$1517,M1494,$B$5:$B$1517,B1494,$C$5:$C$1517,"&lt;"&amp;C1494),"")</f>
        <v/>
      </c>
      <c r="S1494" s="0" t="str">
        <f aca="false">IF(N1494&gt;=Models!$G$7,1+COUNTIF($N$5:$N$1517,"&gt;"&amp;N1494)+COUNTIFS($N$5:$N$1517,N1494,$B$5:$B$1517,"&lt;"&amp;B1494)+COUNTIFS($N$5:$N$1517,N1494,$B$5:$B$1517,B1494,$C$5:$C$1517,"&lt;"&amp;C1494),"")</f>
        <v/>
      </c>
      <c r="T1494" s="8" t="n">
        <f aca="false">IF(O1494&gt;=Models!$G$8,1+COUNTIF($O$5:$O$1517,"&gt;"&amp;O1494)+COUNTIFS($O$5:$O$1517,O1494,$B$5:$B$1517,"&lt;"&amp;B1494)+COUNTIFS($O$5:$O$1517,O1494,$B$5:$B$1517,B1494,$C$5:$C$1517,"&lt;"&amp;C1494),"")</f>
        <v>1490</v>
      </c>
      <c r="U1494" s="8" t="n">
        <f aca="false">IF($K1494=1,COUNTIFS($L$5:$L$1517,"&gt;="&amp;L1494,$K$5:$K$1517,1)/COUNTIF($L$5:$L$1517,"&gt;="&amp;L1494),0)</f>
        <v>0</v>
      </c>
      <c r="V1494" s="8" t="n">
        <f aca="false">IF($K1494=1,COUNTIFS($M$5:$M$1517,"&gt;="&amp;M1494,$K$5:$K$1517,1)/COUNTIF($M$5:$M$1517,"&gt;="&amp;M1494),0)</f>
        <v>0</v>
      </c>
      <c r="W1494" s="8" t="n">
        <f aca="false">IF($K1494=1,COUNTIFS($N$5:$N$1517,"&gt;="&amp;N1494,$K$5:$K$1517,1)/COUNTIF($N$5:$N$1517,"&gt;="&amp;N1494),0)</f>
        <v>0</v>
      </c>
      <c r="X1494" s="8" t="n">
        <f aca="false">IF($K1494=1,COUNTIFS($O$5:$O$1517,"&gt;="&amp;O1494,$K$5:$K$1517,1)/COUNTIF($O$5:$O$1517,"&gt;="&amp;O1494),0)</f>
        <v>0</v>
      </c>
      <c r="Y1494" s="8" t="n">
        <f aca="false">IF($K1494=1,COUNTIFS($P$5:$P$1517,"&gt;="&amp;P1494,$K$5:$K$1517,1)/COUNTIF($P$5:$P$1517,"&gt;="&amp;P1494),0)</f>
        <v>0</v>
      </c>
      <c r="Z1494" s="8" t="n">
        <f aca="false">(L1494-$K1494)^2</f>
        <v>0.042839892484</v>
      </c>
      <c r="AA1494" s="8" t="n">
        <f aca="false">(M1494-$K1494)^2</f>
        <v>0.008475595969</v>
      </c>
      <c r="AB1494" s="8" t="n">
        <f aca="false">(N1494-$K1494)^2</f>
        <v>0.018761054841</v>
      </c>
      <c r="AC1494" s="8" t="n">
        <f aca="false">(O1494-$K1494)^2</f>
        <v>0.011274829489</v>
      </c>
      <c r="AD1494" s="8" t="n">
        <f aca="false">(P1494-$K1494)^2</f>
        <v>0.0215737344</v>
      </c>
      <c r="AE1494" s="8" t="n">
        <f aca="false">MIN(INT(ROUND(N1494*1000000,0)/100000),9)</f>
        <v>1</v>
      </c>
      <c r="AF1494" s="8" t="n">
        <f aca="false">MIN(INT(ROUND(P1494*1000000,0)/100000),9)</f>
        <v>1</v>
      </c>
    </row>
    <row r="1495" customFormat="false" ht="15" hidden="false" customHeight="false" outlineLevel="0" collapsed="false">
      <c r="A1495" s="4" t="n">
        <v>1491</v>
      </c>
      <c r="B1495" s="4" t="n">
        <v>1798</v>
      </c>
      <c r="C1495" s="4" t="n">
        <v>3</v>
      </c>
      <c r="D1495" s="11" t="n">
        <v>46143</v>
      </c>
      <c r="E1495" s="4" t="s">
        <v>204</v>
      </c>
      <c r="F1495" s="4" t="s">
        <v>210</v>
      </c>
      <c r="G1495" s="4" t="n">
        <v>3</v>
      </c>
      <c r="H1495" s="4" t="n">
        <v>8</v>
      </c>
      <c r="I1495" s="4" t="n">
        <v>0</v>
      </c>
      <c r="J1495" s="4" t="n">
        <v>72</v>
      </c>
      <c r="K1495" s="4" t="n">
        <v>0</v>
      </c>
      <c r="L1495" s="12" t="n">
        <v>0.127661</v>
      </c>
      <c r="M1495" s="12" t="n">
        <v>0.092063</v>
      </c>
      <c r="N1495" s="12" t="n">
        <v>0.134161</v>
      </c>
      <c r="O1495" s="12" t="n">
        <v>0.106183</v>
      </c>
      <c r="P1495" s="12" t="n">
        <v>0.14376</v>
      </c>
      <c r="Q1495" s="0" t="str">
        <f aca="false">IF(L1495&gt;=Models!$G$5,1+COUNTIF($L$5:$L$1517,"&gt;"&amp;L1495)+COUNTIFS($L$5:$L$1517,L1495,$B$5:$B$1517,"&lt;"&amp;B1495)+COUNTIFS($L$5:$L$1517,L1495,$B$5:$B$1517,B1495,$C$5:$C$1517,"&lt;"&amp;C1495),"")</f>
        <v/>
      </c>
      <c r="R1495" s="0" t="str">
        <f aca="false">IF(M1495&gt;=Models!$G$6,1+COUNTIF($M$5:$M$1517,"&gt;"&amp;M1495)+COUNTIFS($M$5:$M$1517,M1495,$B$5:$B$1517,"&lt;"&amp;B1495)+COUNTIFS($M$5:$M$1517,M1495,$B$5:$B$1517,B1495,$C$5:$C$1517,"&lt;"&amp;C1495),"")</f>
        <v/>
      </c>
      <c r="S1495" s="0" t="str">
        <f aca="false">IF(N1495&gt;=Models!$G$7,1+COUNTIF($N$5:$N$1517,"&gt;"&amp;N1495)+COUNTIFS($N$5:$N$1517,N1495,$B$5:$B$1517,"&lt;"&amp;B1495)+COUNTIFS($N$5:$N$1517,N1495,$B$5:$B$1517,B1495,$C$5:$C$1517,"&lt;"&amp;C1495),"")</f>
        <v/>
      </c>
      <c r="T1495" s="8" t="n">
        <f aca="false">IF(O1495&gt;=Models!$G$8,1+COUNTIF($O$5:$O$1517,"&gt;"&amp;O1495)+COUNTIFS($O$5:$O$1517,O1495,$B$5:$B$1517,"&lt;"&amp;B1495)+COUNTIFS($O$5:$O$1517,O1495,$B$5:$B$1517,B1495,$C$5:$C$1517,"&lt;"&amp;C1495),"")</f>
        <v>1491</v>
      </c>
      <c r="U1495" s="8" t="n">
        <f aca="false">IF($K1495=1,COUNTIFS($L$5:$L$1517,"&gt;="&amp;L1495,$K$5:$K$1517,1)/COUNTIF($L$5:$L$1517,"&gt;="&amp;L1495),0)</f>
        <v>0</v>
      </c>
      <c r="V1495" s="8" t="n">
        <f aca="false">IF($K1495=1,COUNTIFS($M$5:$M$1517,"&gt;="&amp;M1495,$K$5:$K$1517,1)/COUNTIF($M$5:$M$1517,"&gt;="&amp;M1495),0)</f>
        <v>0</v>
      </c>
      <c r="W1495" s="8" t="n">
        <f aca="false">IF($K1495=1,COUNTIFS($N$5:$N$1517,"&gt;="&amp;N1495,$K$5:$K$1517,1)/COUNTIF($N$5:$N$1517,"&gt;="&amp;N1495),0)</f>
        <v>0</v>
      </c>
      <c r="X1495" s="8" t="n">
        <f aca="false">IF($K1495=1,COUNTIFS($O$5:$O$1517,"&gt;="&amp;O1495,$K$5:$K$1517,1)/COUNTIF($O$5:$O$1517,"&gt;="&amp;O1495),0)</f>
        <v>0</v>
      </c>
      <c r="Y1495" s="8" t="n">
        <f aca="false">IF($K1495=1,COUNTIFS($P$5:$P$1517,"&gt;="&amp;P1495,$K$5:$K$1517,1)/COUNTIF($P$5:$P$1517,"&gt;="&amp;P1495),0)</f>
        <v>0</v>
      </c>
      <c r="Z1495" s="8" t="n">
        <f aca="false">(L1495-$K1495)^2</f>
        <v>0.016297330921</v>
      </c>
      <c r="AA1495" s="8" t="n">
        <f aca="false">(M1495-$K1495)^2</f>
        <v>0.008475595969</v>
      </c>
      <c r="AB1495" s="8" t="n">
        <f aca="false">(N1495-$K1495)^2</f>
        <v>0.017999173921</v>
      </c>
      <c r="AC1495" s="8" t="n">
        <f aca="false">(O1495-$K1495)^2</f>
        <v>0.011274829489</v>
      </c>
      <c r="AD1495" s="8" t="n">
        <f aca="false">(P1495-$K1495)^2</f>
        <v>0.0206669376</v>
      </c>
      <c r="AE1495" s="8" t="n">
        <f aca="false">MIN(INT(ROUND(N1495*1000000,0)/100000),9)</f>
        <v>1</v>
      </c>
      <c r="AF1495" s="8" t="n">
        <f aca="false">MIN(INT(ROUND(P1495*1000000,0)/100000),9)</f>
        <v>1</v>
      </c>
    </row>
    <row r="1496" customFormat="false" ht="15" hidden="false" customHeight="false" outlineLevel="0" collapsed="false">
      <c r="A1496" s="4" t="n">
        <v>1492</v>
      </c>
      <c r="B1496" s="4" t="n">
        <v>1800</v>
      </c>
      <c r="C1496" s="4" t="n">
        <v>3</v>
      </c>
      <c r="D1496" s="11" t="n">
        <v>46143</v>
      </c>
      <c r="E1496" s="4" t="s">
        <v>203</v>
      </c>
      <c r="F1496" s="4" t="s">
        <v>207</v>
      </c>
      <c r="G1496" s="4" t="n">
        <v>3</v>
      </c>
      <c r="H1496" s="4" t="n">
        <v>0</v>
      </c>
      <c r="I1496" s="4" t="n">
        <v>0</v>
      </c>
      <c r="J1496" s="4"/>
      <c r="K1496" s="4" t="n">
        <v>0</v>
      </c>
      <c r="L1496" s="12" t="n">
        <v>0.891279</v>
      </c>
      <c r="M1496" s="12" t="n">
        <v>0.092063</v>
      </c>
      <c r="N1496" s="12" t="n">
        <v>0.063996</v>
      </c>
      <c r="O1496" s="12" t="n">
        <v>0.106183</v>
      </c>
      <c r="P1496" s="12" t="n">
        <v>0.066517</v>
      </c>
      <c r="Q1496" s="0" t="str">
        <f aca="false">IF(L1496&gt;=Models!$G$5,1+COUNTIF($L$5:$L$1517,"&gt;"&amp;L1496)+COUNTIFS($L$5:$L$1517,L1496,$B$5:$B$1517,"&lt;"&amp;B1496)+COUNTIFS($L$5:$L$1517,L1496,$B$5:$B$1517,B1496,$C$5:$C$1517,"&lt;"&amp;C1496),"")</f>
        <v/>
      </c>
      <c r="R1496" s="0" t="str">
        <f aca="false">IF(M1496&gt;=Models!$G$6,1+COUNTIF($M$5:$M$1517,"&gt;"&amp;M1496)+COUNTIFS($M$5:$M$1517,M1496,$B$5:$B$1517,"&lt;"&amp;B1496)+COUNTIFS($M$5:$M$1517,M1496,$B$5:$B$1517,B1496,$C$5:$C$1517,"&lt;"&amp;C1496),"")</f>
        <v/>
      </c>
      <c r="S1496" s="0" t="str">
        <f aca="false">IF(N1496&gt;=Models!$G$7,1+COUNTIF($N$5:$N$1517,"&gt;"&amp;N1496)+COUNTIFS($N$5:$N$1517,N1496,$B$5:$B$1517,"&lt;"&amp;B1496)+COUNTIFS($N$5:$N$1517,N1496,$B$5:$B$1517,B1496,$C$5:$C$1517,"&lt;"&amp;C1496),"")</f>
        <v/>
      </c>
      <c r="T1496" s="8" t="n">
        <f aca="false">IF(O1496&gt;=Models!$G$8,1+COUNTIF($O$5:$O$1517,"&gt;"&amp;O1496)+COUNTIFS($O$5:$O$1517,O1496,$B$5:$B$1517,"&lt;"&amp;B1496)+COUNTIFS($O$5:$O$1517,O1496,$B$5:$B$1517,B1496,$C$5:$C$1517,"&lt;"&amp;C1496),"")</f>
        <v>1492</v>
      </c>
      <c r="U1496" s="8" t="n">
        <f aca="false">IF($K1496=1,COUNTIFS($L$5:$L$1517,"&gt;="&amp;L1496,$K$5:$K$1517,1)/COUNTIF($L$5:$L$1517,"&gt;="&amp;L1496),0)</f>
        <v>0</v>
      </c>
      <c r="V1496" s="8" t="n">
        <f aca="false">IF($K1496=1,COUNTIFS($M$5:$M$1517,"&gt;="&amp;M1496,$K$5:$K$1517,1)/COUNTIF($M$5:$M$1517,"&gt;="&amp;M1496),0)</f>
        <v>0</v>
      </c>
      <c r="W1496" s="8" t="n">
        <f aca="false">IF($K1496=1,COUNTIFS($N$5:$N$1517,"&gt;="&amp;N1496,$K$5:$K$1517,1)/COUNTIF($N$5:$N$1517,"&gt;="&amp;N1496),0)</f>
        <v>0</v>
      </c>
      <c r="X1496" s="8" t="n">
        <f aca="false">IF($K1496=1,COUNTIFS($O$5:$O$1517,"&gt;="&amp;O1496,$K$5:$K$1517,1)/COUNTIF($O$5:$O$1517,"&gt;="&amp;O1496),0)</f>
        <v>0</v>
      </c>
      <c r="Y1496" s="8" t="n">
        <f aca="false">IF($K1496=1,COUNTIFS($P$5:$P$1517,"&gt;="&amp;P1496,$K$5:$K$1517,1)/COUNTIF($P$5:$P$1517,"&gt;="&amp;P1496),0)</f>
        <v>0</v>
      </c>
      <c r="Z1496" s="8" t="n">
        <f aca="false">(L1496-$K1496)^2</f>
        <v>0.794378255841</v>
      </c>
      <c r="AA1496" s="8" t="n">
        <f aca="false">(M1496-$K1496)^2</f>
        <v>0.008475595969</v>
      </c>
      <c r="AB1496" s="8" t="n">
        <f aca="false">(N1496-$K1496)^2</f>
        <v>0.004095488016</v>
      </c>
      <c r="AC1496" s="8" t="n">
        <f aca="false">(O1496-$K1496)^2</f>
        <v>0.011274829489</v>
      </c>
      <c r="AD1496" s="8" t="n">
        <f aca="false">(P1496-$K1496)^2</f>
        <v>0.004424511289</v>
      </c>
      <c r="AE1496" s="8" t="n">
        <f aca="false">MIN(INT(ROUND(N1496*1000000,0)/100000),9)</f>
        <v>0</v>
      </c>
      <c r="AF1496" s="8" t="n">
        <f aca="false">MIN(INT(ROUND(P1496*1000000,0)/100000),9)</f>
        <v>0</v>
      </c>
    </row>
    <row r="1497" customFormat="false" ht="15" hidden="false" customHeight="false" outlineLevel="0" collapsed="false">
      <c r="A1497" s="4" t="n">
        <v>1493</v>
      </c>
      <c r="B1497" s="4" t="n">
        <v>1801</v>
      </c>
      <c r="C1497" s="4" t="n">
        <v>3</v>
      </c>
      <c r="D1497" s="11" t="n">
        <v>46143</v>
      </c>
      <c r="E1497" s="4" t="s">
        <v>204</v>
      </c>
      <c r="F1497" s="4" t="s">
        <v>209</v>
      </c>
      <c r="G1497" s="4" t="n">
        <v>2</v>
      </c>
      <c r="H1497" s="4" t="n">
        <v>12</v>
      </c>
      <c r="I1497" s="4" t="n">
        <v>0</v>
      </c>
      <c r="J1497" s="4" t="n">
        <v>87</v>
      </c>
      <c r="K1497" s="4" t="n">
        <v>0</v>
      </c>
      <c r="L1497" s="12" t="n">
        <v>0.24376</v>
      </c>
      <c r="M1497" s="12" t="n">
        <v>0.092063</v>
      </c>
      <c r="N1497" s="12" t="n">
        <v>0.148962</v>
      </c>
      <c r="O1497" s="12" t="n">
        <v>0.106183</v>
      </c>
      <c r="P1497" s="12" t="n">
        <v>0.160204</v>
      </c>
      <c r="Q1497" s="0" t="str">
        <f aca="false">IF(L1497&gt;=Models!$G$5,1+COUNTIF($L$5:$L$1517,"&gt;"&amp;L1497)+COUNTIFS($L$5:$L$1517,L1497,$B$5:$B$1517,"&lt;"&amp;B1497)+COUNTIFS($L$5:$L$1517,L1497,$B$5:$B$1517,B1497,$C$5:$C$1517,"&lt;"&amp;C1497),"")</f>
        <v/>
      </c>
      <c r="R1497" s="0" t="str">
        <f aca="false">IF(M1497&gt;=Models!$G$6,1+COUNTIF($M$5:$M$1517,"&gt;"&amp;M1497)+COUNTIFS($M$5:$M$1517,M1497,$B$5:$B$1517,"&lt;"&amp;B1497)+COUNTIFS($M$5:$M$1517,M1497,$B$5:$B$1517,B1497,$C$5:$C$1517,"&lt;"&amp;C1497),"")</f>
        <v/>
      </c>
      <c r="S1497" s="0" t="str">
        <f aca="false">IF(N1497&gt;=Models!$G$7,1+COUNTIF($N$5:$N$1517,"&gt;"&amp;N1497)+COUNTIFS($N$5:$N$1517,N1497,$B$5:$B$1517,"&lt;"&amp;B1497)+COUNTIFS($N$5:$N$1517,N1497,$B$5:$B$1517,B1497,$C$5:$C$1517,"&lt;"&amp;C1497),"")</f>
        <v/>
      </c>
      <c r="T1497" s="8" t="n">
        <f aca="false">IF(O1497&gt;=Models!$G$8,1+COUNTIF($O$5:$O$1517,"&gt;"&amp;O1497)+COUNTIFS($O$5:$O$1517,O1497,$B$5:$B$1517,"&lt;"&amp;B1497)+COUNTIFS($O$5:$O$1517,O1497,$B$5:$B$1517,B1497,$C$5:$C$1517,"&lt;"&amp;C1497),"")</f>
        <v>1493</v>
      </c>
      <c r="U1497" s="8" t="n">
        <f aca="false">IF($K1497=1,COUNTIFS($L$5:$L$1517,"&gt;="&amp;L1497,$K$5:$K$1517,1)/COUNTIF($L$5:$L$1517,"&gt;="&amp;L1497),0)</f>
        <v>0</v>
      </c>
      <c r="V1497" s="8" t="n">
        <f aca="false">IF($K1497=1,COUNTIFS($M$5:$M$1517,"&gt;="&amp;M1497,$K$5:$K$1517,1)/COUNTIF($M$5:$M$1517,"&gt;="&amp;M1497),0)</f>
        <v>0</v>
      </c>
      <c r="W1497" s="8" t="n">
        <f aca="false">IF($K1497=1,COUNTIFS($N$5:$N$1517,"&gt;="&amp;N1497,$K$5:$K$1517,1)/COUNTIF($N$5:$N$1517,"&gt;="&amp;N1497),0)</f>
        <v>0</v>
      </c>
      <c r="X1497" s="8" t="n">
        <f aca="false">IF($K1497=1,COUNTIFS($O$5:$O$1517,"&gt;="&amp;O1497,$K$5:$K$1517,1)/COUNTIF($O$5:$O$1517,"&gt;="&amp;O1497),0)</f>
        <v>0</v>
      </c>
      <c r="Y1497" s="8" t="n">
        <f aca="false">IF($K1497=1,COUNTIFS($P$5:$P$1517,"&gt;="&amp;P1497,$K$5:$K$1517,1)/COUNTIF($P$5:$P$1517,"&gt;="&amp;P1497),0)</f>
        <v>0</v>
      </c>
      <c r="Z1497" s="8" t="n">
        <f aca="false">(L1497-$K1497)^2</f>
        <v>0.0594189376</v>
      </c>
      <c r="AA1497" s="8" t="n">
        <f aca="false">(M1497-$K1497)^2</f>
        <v>0.008475595969</v>
      </c>
      <c r="AB1497" s="8" t="n">
        <f aca="false">(N1497-$K1497)^2</f>
        <v>0.022189677444</v>
      </c>
      <c r="AC1497" s="8" t="n">
        <f aca="false">(O1497-$K1497)^2</f>
        <v>0.011274829489</v>
      </c>
      <c r="AD1497" s="8" t="n">
        <f aca="false">(P1497-$K1497)^2</f>
        <v>0.025665321616</v>
      </c>
      <c r="AE1497" s="8" t="n">
        <f aca="false">MIN(INT(ROUND(N1497*1000000,0)/100000),9)</f>
        <v>1</v>
      </c>
      <c r="AF1497" s="8" t="n">
        <f aca="false">MIN(INT(ROUND(P1497*1000000,0)/100000),9)</f>
        <v>1</v>
      </c>
    </row>
    <row r="1498" customFormat="false" ht="15" hidden="false" customHeight="false" outlineLevel="0" collapsed="false">
      <c r="A1498" s="4" t="n">
        <v>1494</v>
      </c>
      <c r="B1498" s="4" t="n">
        <v>1803</v>
      </c>
      <c r="C1498" s="4" t="n">
        <v>3</v>
      </c>
      <c r="D1498" s="11" t="n">
        <v>46143</v>
      </c>
      <c r="E1498" s="4" t="s">
        <v>204</v>
      </c>
      <c r="F1498" s="4" t="s">
        <v>206</v>
      </c>
      <c r="G1498" s="4" t="n">
        <v>2</v>
      </c>
      <c r="H1498" s="4" t="n">
        <v>7</v>
      </c>
      <c r="I1498" s="4" t="n">
        <v>0</v>
      </c>
      <c r="J1498" s="4"/>
      <c r="K1498" s="4" t="n">
        <v>0</v>
      </c>
      <c r="L1498" s="12" t="n">
        <v>0.108771</v>
      </c>
      <c r="M1498" s="12" t="n">
        <v>0.092063</v>
      </c>
      <c r="N1498" s="12" t="n">
        <v>0.073411</v>
      </c>
      <c r="O1498" s="12" t="n">
        <v>0.106183</v>
      </c>
      <c r="P1498" s="12" t="n">
        <v>0.076768</v>
      </c>
      <c r="Q1498" s="0" t="str">
        <f aca="false">IF(L1498&gt;=Models!$G$5,1+COUNTIF($L$5:$L$1517,"&gt;"&amp;L1498)+COUNTIFS($L$5:$L$1517,L1498,$B$5:$B$1517,"&lt;"&amp;B1498)+COUNTIFS($L$5:$L$1517,L1498,$B$5:$B$1517,B1498,$C$5:$C$1517,"&lt;"&amp;C1498),"")</f>
        <v/>
      </c>
      <c r="R1498" s="0" t="str">
        <f aca="false">IF(M1498&gt;=Models!$G$6,1+COUNTIF($M$5:$M$1517,"&gt;"&amp;M1498)+COUNTIFS($M$5:$M$1517,M1498,$B$5:$B$1517,"&lt;"&amp;B1498)+COUNTIFS($M$5:$M$1517,M1498,$B$5:$B$1517,B1498,$C$5:$C$1517,"&lt;"&amp;C1498),"")</f>
        <v/>
      </c>
      <c r="S1498" s="0" t="str">
        <f aca="false">IF(N1498&gt;=Models!$G$7,1+COUNTIF($N$5:$N$1517,"&gt;"&amp;N1498)+COUNTIFS($N$5:$N$1517,N1498,$B$5:$B$1517,"&lt;"&amp;B1498)+COUNTIFS($N$5:$N$1517,N1498,$B$5:$B$1517,B1498,$C$5:$C$1517,"&lt;"&amp;C1498),"")</f>
        <v/>
      </c>
      <c r="T1498" s="8" t="n">
        <f aca="false">IF(O1498&gt;=Models!$G$8,1+COUNTIF($O$5:$O$1517,"&gt;"&amp;O1498)+COUNTIFS($O$5:$O$1517,O1498,$B$5:$B$1517,"&lt;"&amp;B1498)+COUNTIFS($O$5:$O$1517,O1498,$B$5:$B$1517,B1498,$C$5:$C$1517,"&lt;"&amp;C1498),"")</f>
        <v>1494</v>
      </c>
      <c r="U1498" s="8" t="n">
        <f aca="false">IF($K1498=1,COUNTIFS($L$5:$L$1517,"&gt;="&amp;L1498,$K$5:$K$1517,1)/COUNTIF($L$5:$L$1517,"&gt;="&amp;L1498),0)</f>
        <v>0</v>
      </c>
      <c r="V1498" s="8" t="n">
        <f aca="false">IF($K1498=1,COUNTIFS($M$5:$M$1517,"&gt;="&amp;M1498,$K$5:$K$1517,1)/COUNTIF($M$5:$M$1517,"&gt;="&amp;M1498),0)</f>
        <v>0</v>
      </c>
      <c r="W1498" s="8" t="n">
        <f aca="false">IF($K1498=1,COUNTIFS($N$5:$N$1517,"&gt;="&amp;N1498,$K$5:$K$1517,1)/COUNTIF($N$5:$N$1517,"&gt;="&amp;N1498),0)</f>
        <v>0</v>
      </c>
      <c r="X1498" s="8" t="n">
        <f aca="false">IF($K1498=1,COUNTIFS($O$5:$O$1517,"&gt;="&amp;O1498,$K$5:$K$1517,1)/COUNTIF($O$5:$O$1517,"&gt;="&amp;O1498),0)</f>
        <v>0</v>
      </c>
      <c r="Y1498" s="8" t="n">
        <f aca="false">IF($K1498=1,COUNTIFS($P$5:$P$1517,"&gt;="&amp;P1498,$K$5:$K$1517,1)/COUNTIF($P$5:$P$1517,"&gt;="&amp;P1498),0)</f>
        <v>0</v>
      </c>
      <c r="Z1498" s="8" t="n">
        <f aca="false">(L1498-$K1498)^2</f>
        <v>0.011831130441</v>
      </c>
      <c r="AA1498" s="8" t="n">
        <f aca="false">(M1498-$K1498)^2</f>
        <v>0.008475595969</v>
      </c>
      <c r="AB1498" s="8" t="n">
        <f aca="false">(N1498-$K1498)^2</f>
        <v>0.005389174921</v>
      </c>
      <c r="AC1498" s="8" t="n">
        <f aca="false">(O1498-$K1498)^2</f>
        <v>0.011274829489</v>
      </c>
      <c r="AD1498" s="8" t="n">
        <f aca="false">(P1498-$K1498)^2</f>
        <v>0.005893325824</v>
      </c>
      <c r="AE1498" s="8" t="n">
        <f aca="false">MIN(INT(ROUND(N1498*1000000,0)/100000),9)</f>
        <v>0</v>
      </c>
      <c r="AF1498" s="8" t="n">
        <f aca="false">MIN(INT(ROUND(P1498*1000000,0)/100000),9)</f>
        <v>0</v>
      </c>
    </row>
    <row r="1499" customFormat="false" ht="15" hidden="false" customHeight="false" outlineLevel="0" collapsed="false">
      <c r="A1499" s="4" t="n">
        <v>1495</v>
      </c>
      <c r="B1499" s="4" t="n">
        <v>1810</v>
      </c>
      <c r="C1499" s="4" t="n">
        <v>3</v>
      </c>
      <c r="D1499" s="11" t="n">
        <v>46143</v>
      </c>
      <c r="E1499" s="4" t="s">
        <v>203</v>
      </c>
      <c r="F1499" s="4" t="s">
        <v>209</v>
      </c>
      <c r="G1499" s="4" t="n">
        <v>4</v>
      </c>
      <c r="H1499" s="4" t="n">
        <v>13</v>
      </c>
      <c r="I1499" s="4" t="n">
        <v>0</v>
      </c>
      <c r="J1499" s="4"/>
      <c r="K1499" s="4" t="n">
        <v>0</v>
      </c>
      <c r="L1499" s="12" t="n">
        <v>0.196407</v>
      </c>
      <c r="M1499" s="12" t="n">
        <v>0.092063</v>
      </c>
      <c r="N1499" s="12" t="n">
        <v>0.064994</v>
      </c>
      <c r="O1499" s="12" t="n">
        <v>0.106183</v>
      </c>
      <c r="P1499" s="12" t="n">
        <v>0.067601</v>
      </c>
      <c r="Q1499" s="0" t="str">
        <f aca="false">IF(L1499&gt;=Models!$G$5,1+COUNTIF($L$5:$L$1517,"&gt;"&amp;L1499)+COUNTIFS($L$5:$L$1517,L1499,$B$5:$B$1517,"&lt;"&amp;B1499)+COUNTIFS($L$5:$L$1517,L1499,$B$5:$B$1517,B1499,$C$5:$C$1517,"&lt;"&amp;C1499),"")</f>
        <v/>
      </c>
      <c r="R1499" s="0" t="str">
        <f aca="false">IF(M1499&gt;=Models!$G$6,1+COUNTIF($M$5:$M$1517,"&gt;"&amp;M1499)+COUNTIFS($M$5:$M$1517,M1499,$B$5:$B$1517,"&lt;"&amp;B1499)+COUNTIFS($M$5:$M$1517,M1499,$B$5:$B$1517,B1499,$C$5:$C$1517,"&lt;"&amp;C1499),"")</f>
        <v/>
      </c>
      <c r="S1499" s="0" t="str">
        <f aca="false">IF(N1499&gt;=Models!$G$7,1+COUNTIF($N$5:$N$1517,"&gt;"&amp;N1499)+COUNTIFS($N$5:$N$1517,N1499,$B$5:$B$1517,"&lt;"&amp;B1499)+COUNTIFS($N$5:$N$1517,N1499,$B$5:$B$1517,B1499,$C$5:$C$1517,"&lt;"&amp;C1499),"")</f>
        <v/>
      </c>
      <c r="T1499" s="8" t="n">
        <f aca="false">IF(O1499&gt;=Models!$G$8,1+COUNTIF($O$5:$O$1517,"&gt;"&amp;O1499)+COUNTIFS($O$5:$O$1517,O1499,$B$5:$B$1517,"&lt;"&amp;B1499)+COUNTIFS($O$5:$O$1517,O1499,$B$5:$B$1517,B1499,$C$5:$C$1517,"&lt;"&amp;C1499),"")</f>
        <v>1495</v>
      </c>
      <c r="U1499" s="8" t="n">
        <f aca="false">IF($K1499=1,COUNTIFS($L$5:$L$1517,"&gt;="&amp;L1499,$K$5:$K$1517,1)/COUNTIF($L$5:$L$1517,"&gt;="&amp;L1499),0)</f>
        <v>0</v>
      </c>
      <c r="V1499" s="8" t="n">
        <f aca="false">IF($K1499=1,COUNTIFS($M$5:$M$1517,"&gt;="&amp;M1499,$K$5:$K$1517,1)/COUNTIF($M$5:$M$1517,"&gt;="&amp;M1499),0)</f>
        <v>0</v>
      </c>
      <c r="W1499" s="8" t="n">
        <f aca="false">IF($K1499=1,COUNTIFS($N$5:$N$1517,"&gt;="&amp;N1499,$K$5:$K$1517,1)/COUNTIF($N$5:$N$1517,"&gt;="&amp;N1499),0)</f>
        <v>0</v>
      </c>
      <c r="X1499" s="8" t="n">
        <f aca="false">IF($K1499=1,COUNTIFS($O$5:$O$1517,"&gt;="&amp;O1499,$K$5:$K$1517,1)/COUNTIF($O$5:$O$1517,"&gt;="&amp;O1499),0)</f>
        <v>0</v>
      </c>
      <c r="Y1499" s="8" t="n">
        <f aca="false">IF($K1499=1,COUNTIFS($P$5:$P$1517,"&gt;="&amp;P1499,$K$5:$K$1517,1)/COUNTIF($P$5:$P$1517,"&gt;="&amp;P1499),0)</f>
        <v>0</v>
      </c>
      <c r="Z1499" s="8" t="n">
        <f aca="false">(L1499-$K1499)^2</f>
        <v>0.038575709649</v>
      </c>
      <c r="AA1499" s="8" t="n">
        <f aca="false">(M1499-$K1499)^2</f>
        <v>0.008475595969</v>
      </c>
      <c r="AB1499" s="8" t="n">
        <f aca="false">(N1499-$K1499)^2</f>
        <v>0.004224220036</v>
      </c>
      <c r="AC1499" s="8" t="n">
        <f aca="false">(O1499-$K1499)^2</f>
        <v>0.011274829489</v>
      </c>
      <c r="AD1499" s="8" t="n">
        <f aca="false">(P1499-$K1499)^2</f>
        <v>0.004569895201</v>
      </c>
      <c r="AE1499" s="8" t="n">
        <f aca="false">MIN(INT(ROUND(N1499*1000000,0)/100000),9)</f>
        <v>0</v>
      </c>
      <c r="AF1499" s="8" t="n">
        <f aca="false">MIN(INT(ROUND(P1499*1000000,0)/100000),9)</f>
        <v>0</v>
      </c>
    </row>
    <row r="1500" customFormat="false" ht="15" hidden="false" customHeight="false" outlineLevel="0" collapsed="false">
      <c r="A1500" s="4" t="n">
        <v>1496</v>
      </c>
      <c r="B1500" s="4" t="n">
        <v>1811</v>
      </c>
      <c r="C1500" s="4" t="n">
        <v>3</v>
      </c>
      <c r="D1500" s="11" t="n">
        <v>46143</v>
      </c>
      <c r="E1500" s="4" t="s">
        <v>202</v>
      </c>
      <c r="F1500" s="4" t="s">
        <v>206</v>
      </c>
      <c r="G1500" s="4" t="n">
        <v>11</v>
      </c>
      <c r="H1500" s="4" t="n">
        <v>6</v>
      </c>
      <c r="I1500" s="4" t="n">
        <v>0</v>
      </c>
      <c r="J1500" s="4" t="n">
        <v>1539</v>
      </c>
      <c r="K1500" s="4" t="n">
        <v>0</v>
      </c>
      <c r="L1500" s="12" t="n">
        <v>0.296384</v>
      </c>
      <c r="M1500" s="12" t="n">
        <v>0.092063</v>
      </c>
      <c r="N1500" s="12" t="n">
        <v>0.063794</v>
      </c>
      <c r="O1500" s="12" t="n">
        <v>0.106183</v>
      </c>
      <c r="P1500" s="12" t="n">
        <v>0.066298</v>
      </c>
      <c r="Q1500" s="0" t="str">
        <f aca="false">IF(L1500&gt;=Models!$G$5,1+COUNTIF($L$5:$L$1517,"&gt;"&amp;L1500)+COUNTIFS($L$5:$L$1517,L1500,$B$5:$B$1517,"&lt;"&amp;B1500)+COUNTIFS($L$5:$L$1517,L1500,$B$5:$B$1517,B1500,$C$5:$C$1517,"&lt;"&amp;C1500),"")</f>
        <v/>
      </c>
      <c r="R1500" s="0" t="str">
        <f aca="false">IF(M1500&gt;=Models!$G$6,1+COUNTIF($M$5:$M$1517,"&gt;"&amp;M1500)+COUNTIFS($M$5:$M$1517,M1500,$B$5:$B$1517,"&lt;"&amp;B1500)+COUNTIFS($M$5:$M$1517,M1500,$B$5:$B$1517,B1500,$C$5:$C$1517,"&lt;"&amp;C1500),"")</f>
        <v/>
      </c>
      <c r="S1500" s="0" t="str">
        <f aca="false">IF(N1500&gt;=Models!$G$7,1+COUNTIF($N$5:$N$1517,"&gt;"&amp;N1500)+COUNTIFS($N$5:$N$1517,N1500,$B$5:$B$1517,"&lt;"&amp;B1500)+COUNTIFS($N$5:$N$1517,N1500,$B$5:$B$1517,B1500,$C$5:$C$1517,"&lt;"&amp;C1500),"")</f>
        <v/>
      </c>
      <c r="T1500" s="8" t="n">
        <f aca="false">IF(O1500&gt;=Models!$G$8,1+COUNTIF($O$5:$O$1517,"&gt;"&amp;O1500)+COUNTIFS($O$5:$O$1517,O1500,$B$5:$B$1517,"&lt;"&amp;B1500)+COUNTIFS($O$5:$O$1517,O1500,$B$5:$B$1517,B1500,$C$5:$C$1517,"&lt;"&amp;C1500),"")</f>
        <v>1496</v>
      </c>
      <c r="U1500" s="8" t="n">
        <f aca="false">IF($K1500=1,COUNTIFS($L$5:$L$1517,"&gt;="&amp;L1500,$K$5:$K$1517,1)/COUNTIF($L$5:$L$1517,"&gt;="&amp;L1500),0)</f>
        <v>0</v>
      </c>
      <c r="V1500" s="8" t="n">
        <f aca="false">IF($K1500=1,COUNTIFS($M$5:$M$1517,"&gt;="&amp;M1500,$K$5:$K$1517,1)/COUNTIF($M$5:$M$1517,"&gt;="&amp;M1500),0)</f>
        <v>0</v>
      </c>
      <c r="W1500" s="8" t="n">
        <f aca="false">IF($K1500=1,COUNTIFS($N$5:$N$1517,"&gt;="&amp;N1500,$K$5:$K$1517,1)/COUNTIF($N$5:$N$1517,"&gt;="&amp;N1500),0)</f>
        <v>0</v>
      </c>
      <c r="X1500" s="8" t="n">
        <f aca="false">IF($K1500=1,COUNTIFS($O$5:$O$1517,"&gt;="&amp;O1500,$K$5:$K$1517,1)/COUNTIF($O$5:$O$1517,"&gt;="&amp;O1500),0)</f>
        <v>0</v>
      </c>
      <c r="Y1500" s="8" t="n">
        <f aca="false">IF($K1500=1,COUNTIFS($P$5:$P$1517,"&gt;="&amp;P1500,$K$5:$K$1517,1)/COUNTIF($P$5:$P$1517,"&gt;="&amp;P1500),0)</f>
        <v>0</v>
      </c>
      <c r="Z1500" s="8" t="n">
        <f aca="false">(L1500-$K1500)^2</f>
        <v>0.087843475456</v>
      </c>
      <c r="AA1500" s="8" t="n">
        <f aca="false">(M1500-$K1500)^2</f>
        <v>0.008475595969</v>
      </c>
      <c r="AB1500" s="8" t="n">
        <f aca="false">(N1500-$K1500)^2</f>
        <v>0.004069674436</v>
      </c>
      <c r="AC1500" s="8" t="n">
        <f aca="false">(O1500-$K1500)^2</f>
        <v>0.011274829489</v>
      </c>
      <c r="AD1500" s="8" t="n">
        <f aca="false">(P1500-$K1500)^2</f>
        <v>0.004395424804</v>
      </c>
      <c r="AE1500" s="8" t="n">
        <f aca="false">MIN(INT(ROUND(N1500*1000000,0)/100000),9)</f>
        <v>0</v>
      </c>
      <c r="AF1500" s="8" t="n">
        <f aca="false">MIN(INT(ROUND(P1500*1000000,0)/100000),9)</f>
        <v>0</v>
      </c>
    </row>
    <row r="1501" customFormat="false" ht="15" hidden="false" customHeight="false" outlineLevel="0" collapsed="false">
      <c r="A1501" s="4" t="n">
        <v>1497</v>
      </c>
      <c r="B1501" s="4" t="n">
        <v>1813</v>
      </c>
      <c r="C1501" s="4" t="n">
        <v>3</v>
      </c>
      <c r="D1501" s="11" t="n">
        <v>46143</v>
      </c>
      <c r="E1501" s="4" t="s">
        <v>203</v>
      </c>
      <c r="F1501" s="4" t="s">
        <v>209</v>
      </c>
      <c r="G1501" s="4" t="n">
        <v>4</v>
      </c>
      <c r="H1501" s="4" t="n">
        <v>8</v>
      </c>
      <c r="I1501" s="4" t="n">
        <v>0</v>
      </c>
      <c r="J1501" s="4" t="n">
        <v>447</v>
      </c>
      <c r="K1501" s="4" t="n">
        <v>0</v>
      </c>
      <c r="L1501" s="12" t="n">
        <v>0.471386</v>
      </c>
      <c r="M1501" s="12" t="n">
        <v>0.092063</v>
      </c>
      <c r="N1501" s="12" t="n">
        <v>0.1217</v>
      </c>
      <c r="O1501" s="12" t="n">
        <v>0.106183</v>
      </c>
      <c r="P1501" s="12" t="n">
        <v>0.12994</v>
      </c>
      <c r="Q1501" s="0" t="str">
        <f aca="false">IF(L1501&gt;=Models!$G$5,1+COUNTIF($L$5:$L$1517,"&gt;"&amp;L1501)+COUNTIFS($L$5:$L$1517,L1501,$B$5:$B$1517,"&lt;"&amp;B1501)+COUNTIFS($L$5:$L$1517,L1501,$B$5:$B$1517,B1501,$C$5:$C$1517,"&lt;"&amp;C1501),"")</f>
        <v/>
      </c>
      <c r="R1501" s="0" t="str">
        <f aca="false">IF(M1501&gt;=Models!$G$6,1+COUNTIF($M$5:$M$1517,"&gt;"&amp;M1501)+COUNTIFS($M$5:$M$1517,M1501,$B$5:$B$1517,"&lt;"&amp;B1501)+COUNTIFS($M$5:$M$1517,M1501,$B$5:$B$1517,B1501,$C$5:$C$1517,"&lt;"&amp;C1501),"")</f>
        <v/>
      </c>
      <c r="S1501" s="0" t="str">
        <f aca="false">IF(N1501&gt;=Models!$G$7,1+COUNTIF($N$5:$N$1517,"&gt;"&amp;N1501)+COUNTIFS($N$5:$N$1517,N1501,$B$5:$B$1517,"&lt;"&amp;B1501)+COUNTIFS($N$5:$N$1517,N1501,$B$5:$B$1517,B1501,$C$5:$C$1517,"&lt;"&amp;C1501),"")</f>
        <v/>
      </c>
      <c r="T1501" s="8" t="n">
        <f aca="false">IF(O1501&gt;=Models!$G$8,1+COUNTIF($O$5:$O$1517,"&gt;"&amp;O1501)+COUNTIFS($O$5:$O$1517,O1501,$B$5:$B$1517,"&lt;"&amp;B1501)+COUNTIFS($O$5:$O$1517,O1501,$B$5:$B$1517,B1501,$C$5:$C$1517,"&lt;"&amp;C1501),"")</f>
        <v>1497</v>
      </c>
      <c r="U1501" s="8" t="n">
        <f aca="false">IF($K1501=1,COUNTIFS($L$5:$L$1517,"&gt;="&amp;L1501,$K$5:$K$1517,1)/COUNTIF($L$5:$L$1517,"&gt;="&amp;L1501),0)</f>
        <v>0</v>
      </c>
      <c r="V1501" s="8" t="n">
        <f aca="false">IF($K1501=1,COUNTIFS($M$5:$M$1517,"&gt;="&amp;M1501,$K$5:$K$1517,1)/COUNTIF($M$5:$M$1517,"&gt;="&amp;M1501),0)</f>
        <v>0</v>
      </c>
      <c r="W1501" s="8" t="n">
        <f aca="false">IF($K1501=1,COUNTIFS($N$5:$N$1517,"&gt;="&amp;N1501,$K$5:$K$1517,1)/COUNTIF($N$5:$N$1517,"&gt;="&amp;N1501),0)</f>
        <v>0</v>
      </c>
      <c r="X1501" s="8" t="n">
        <f aca="false">IF($K1501=1,COUNTIFS($O$5:$O$1517,"&gt;="&amp;O1501,$K$5:$K$1517,1)/COUNTIF($O$5:$O$1517,"&gt;="&amp;O1501),0)</f>
        <v>0</v>
      </c>
      <c r="Y1501" s="8" t="n">
        <f aca="false">IF($K1501=1,COUNTIFS($P$5:$P$1517,"&gt;="&amp;P1501,$K$5:$K$1517,1)/COUNTIF($P$5:$P$1517,"&gt;="&amp;P1501),0)</f>
        <v>0</v>
      </c>
      <c r="Z1501" s="8" t="n">
        <f aca="false">(L1501-$K1501)^2</f>
        <v>0.222204760996</v>
      </c>
      <c r="AA1501" s="8" t="n">
        <f aca="false">(M1501-$K1501)^2</f>
        <v>0.008475595969</v>
      </c>
      <c r="AB1501" s="8" t="n">
        <f aca="false">(N1501-$K1501)^2</f>
        <v>0.01481089</v>
      </c>
      <c r="AC1501" s="8" t="n">
        <f aca="false">(O1501-$K1501)^2</f>
        <v>0.011274829489</v>
      </c>
      <c r="AD1501" s="8" t="n">
        <f aca="false">(P1501-$K1501)^2</f>
        <v>0.0168844036</v>
      </c>
      <c r="AE1501" s="8" t="n">
        <f aca="false">MIN(INT(ROUND(N1501*1000000,0)/100000),9)</f>
        <v>1</v>
      </c>
      <c r="AF1501" s="8" t="n">
        <f aca="false">MIN(INT(ROUND(P1501*1000000,0)/100000),9)</f>
        <v>1</v>
      </c>
    </row>
    <row r="1502" customFormat="false" ht="15" hidden="false" customHeight="false" outlineLevel="0" collapsed="false">
      <c r="A1502" s="4" t="n">
        <v>1498</v>
      </c>
      <c r="B1502" s="4" t="n">
        <v>1818</v>
      </c>
      <c r="C1502" s="4" t="n">
        <v>3</v>
      </c>
      <c r="D1502" s="11" t="n">
        <v>46143</v>
      </c>
      <c r="E1502" s="4" t="s">
        <v>202</v>
      </c>
      <c r="F1502" s="4" t="s">
        <v>206</v>
      </c>
      <c r="G1502" s="4" t="n">
        <v>8</v>
      </c>
      <c r="H1502" s="4" t="n">
        <v>0</v>
      </c>
      <c r="I1502" s="4" t="n">
        <v>0</v>
      </c>
      <c r="J1502" s="4" t="n">
        <v>1374</v>
      </c>
      <c r="K1502" s="4" t="n">
        <v>0</v>
      </c>
      <c r="L1502" s="12" t="n">
        <v>0.586599</v>
      </c>
      <c r="M1502" s="12" t="n">
        <v>0.092063</v>
      </c>
      <c r="N1502" s="12" t="n">
        <v>0.079017</v>
      </c>
      <c r="O1502" s="12" t="n">
        <v>0.106183</v>
      </c>
      <c r="P1502" s="12" t="n">
        <v>0.082895</v>
      </c>
      <c r="Q1502" s="0" t="str">
        <f aca="false">IF(L1502&gt;=Models!$G$5,1+COUNTIF($L$5:$L$1517,"&gt;"&amp;L1502)+COUNTIFS($L$5:$L$1517,L1502,$B$5:$B$1517,"&lt;"&amp;B1502)+COUNTIFS($L$5:$L$1517,L1502,$B$5:$B$1517,B1502,$C$5:$C$1517,"&lt;"&amp;C1502),"")</f>
        <v/>
      </c>
      <c r="R1502" s="0" t="str">
        <f aca="false">IF(M1502&gt;=Models!$G$6,1+COUNTIF($M$5:$M$1517,"&gt;"&amp;M1502)+COUNTIFS($M$5:$M$1517,M1502,$B$5:$B$1517,"&lt;"&amp;B1502)+COUNTIFS($M$5:$M$1517,M1502,$B$5:$B$1517,B1502,$C$5:$C$1517,"&lt;"&amp;C1502),"")</f>
        <v/>
      </c>
      <c r="S1502" s="0" t="str">
        <f aca="false">IF(N1502&gt;=Models!$G$7,1+COUNTIF($N$5:$N$1517,"&gt;"&amp;N1502)+COUNTIFS($N$5:$N$1517,N1502,$B$5:$B$1517,"&lt;"&amp;B1502)+COUNTIFS($N$5:$N$1517,N1502,$B$5:$B$1517,B1502,$C$5:$C$1517,"&lt;"&amp;C1502),"")</f>
        <v/>
      </c>
      <c r="T1502" s="8" t="n">
        <f aca="false">IF(O1502&gt;=Models!$G$8,1+COUNTIF($O$5:$O$1517,"&gt;"&amp;O1502)+COUNTIFS($O$5:$O$1517,O1502,$B$5:$B$1517,"&lt;"&amp;B1502)+COUNTIFS($O$5:$O$1517,O1502,$B$5:$B$1517,B1502,$C$5:$C$1517,"&lt;"&amp;C1502),"")</f>
        <v>1498</v>
      </c>
      <c r="U1502" s="8" t="n">
        <f aca="false">IF($K1502=1,COUNTIFS($L$5:$L$1517,"&gt;="&amp;L1502,$K$5:$K$1517,1)/COUNTIF($L$5:$L$1517,"&gt;="&amp;L1502),0)</f>
        <v>0</v>
      </c>
      <c r="V1502" s="8" t="n">
        <f aca="false">IF($K1502=1,COUNTIFS($M$5:$M$1517,"&gt;="&amp;M1502,$K$5:$K$1517,1)/COUNTIF($M$5:$M$1517,"&gt;="&amp;M1502),0)</f>
        <v>0</v>
      </c>
      <c r="W1502" s="8" t="n">
        <f aca="false">IF($K1502=1,COUNTIFS($N$5:$N$1517,"&gt;="&amp;N1502,$K$5:$K$1517,1)/COUNTIF($N$5:$N$1517,"&gt;="&amp;N1502),0)</f>
        <v>0</v>
      </c>
      <c r="X1502" s="8" t="n">
        <f aca="false">IF($K1502=1,COUNTIFS($O$5:$O$1517,"&gt;="&amp;O1502,$K$5:$K$1517,1)/COUNTIF($O$5:$O$1517,"&gt;="&amp;O1502),0)</f>
        <v>0</v>
      </c>
      <c r="Y1502" s="8" t="n">
        <f aca="false">IF($K1502=1,COUNTIFS($P$5:$P$1517,"&gt;="&amp;P1502,$K$5:$K$1517,1)/COUNTIF($P$5:$P$1517,"&gt;="&amp;P1502),0)</f>
        <v>0</v>
      </c>
      <c r="Z1502" s="8" t="n">
        <f aca="false">(L1502-$K1502)^2</f>
        <v>0.344098386801</v>
      </c>
      <c r="AA1502" s="8" t="n">
        <f aca="false">(M1502-$K1502)^2</f>
        <v>0.008475595969</v>
      </c>
      <c r="AB1502" s="8" t="n">
        <f aca="false">(N1502-$K1502)^2</f>
        <v>0.006243686289</v>
      </c>
      <c r="AC1502" s="8" t="n">
        <f aca="false">(O1502-$K1502)^2</f>
        <v>0.011274829489</v>
      </c>
      <c r="AD1502" s="8" t="n">
        <f aca="false">(P1502-$K1502)^2</f>
        <v>0.006871581025</v>
      </c>
      <c r="AE1502" s="8" t="n">
        <f aca="false">MIN(INT(ROUND(N1502*1000000,0)/100000),9)</f>
        <v>0</v>
      </c>
      <c r="AF1502" s="8" t="n">
        <f aca="false">MIN(INT(ROUND(P1502*1000000,0)/100000),9)</f>
        <v>0</v>
      </c>
    </row>
    <row r="1503" customFormat="false" ht="15" hidden="false" customHeight="false" outlineLevel="0" collapsed="false">
      <c r="A1503" s="4" t="n">
        <v>1499</v>
      </c>
      <c r="B1503" s="4" t="n">
        <v>1819</v>
      </c>
      <c r="C1503" s="4" t="n">
        <v>3</v>
      </c>
      <c r="D1503" s="11" t="n">
        <v>46143</v>
      </c>
      <c r="E1503" s="4" t="s">
        <v>203</v>
      </c>
      <c r="F1503" s="4" t="s">
        <v>209</v>
      </c>
      <c r="G1503" s="4" t="n">
        <v>3</v>
      </c>
      <c r="H1503" s="4" t="n">
        <v>9</v>
      </c>
      <c r="I1503" s="4" t="n">
        <v>0</v>
      </c>
      <c r="J1503" s="4" t="n">
        <v>282</v>
      </c>
      <c r="K1503" s="4" t="n">
        <v>0</v>
      </c>
      <c r="L1503" s="12" t="n">
        <v>0.160066</v>
      </c>
      <c r="M1503" s="12" t="n">
        <v>0.092063</v>
      </c>
      <c r="N1503" s="12" t="n">
        <v>0.133697</v>
      </c>
      <c r="O1503" s="12" t="n">
        <v>0.106183</v>
      </c>
      <c r="P1503" s="12" t="n">
        <v>0.143245</v>
      </c>
      <c r="Q1503" s="0" t="str">
        <f aca="false">IF(L1503&gt;=Models!$G$5,1+COUNTIF($L$5:$L$1517,"&gt;"&amp;L1503)+COUNTIFS($L$5:$L$1517,L1503,$B$5:$B$1517,"&lt;"&amp;B1503)+COUNTIFS($L$5:$L$1517,L1503,$B$5:$B$1517,B1503,$C$5:$C$1517,"&lt;"&amp;C1503),"")</f>
        <v/>
      </c>
      <c r="R1503" s="0" t="str">
        <f aca="false">IF(M1503&gt;=Models!$G$6,1+COUNTIF($M$5:$M$1517,"&gt;"&amp;M1503)+COUNTIFS($M$5:$M$1517,M1503,$B$5:$B$1517,"&lt;"&amp;B1503)+COUNTIFS($M$5:$M$1517,M1503,$B$5:$B$1517,B1503,$C$5:$C$1517,"&lt;"&amp;C1503),"")</f>
        <v/>
      </c>
      <c r="S1503" s="0" t="str">
        <f aca="false">IF(N1503&gt;=Models!$G$7,1+COUNTIF($N$5:$N$1517,"&gt;"&amp;N1503)+COUNTIFS($N$5:$N$1517,N1503,$B$5:$B$1517,"&lt;"&amp;B1503)+COUNTIFS($N$5:$N$1517,N1503,$B$5:$B$1517,B1503,$C$5:$C$1517,"&lt;"&amp;C1503),"")</f>
        <v/>
      </c>
      <c r="T1503" s="8" t="n">
        <f aca="false">IF(O1503&gt;=Models!$G$8,1+COUNTIF($O$5:$O$1517,"&gt;"&amp;O1503)+COUNTIFS($O$5:$O$1517,O1503,$B$5:$B$1517,"&lt;"&amp;B1503)+COUNTIFS($O$5:$O$1517,O1503,$B$5:$B$1517,B1503,$C$5:$C$1517,"&lt;"&amp;C1503),"")</f>
        <v>1499</v>
      </c>
      <c r="U1503" s="8" t="n">
        <f aca="false">IF($K1503=1,COUNTIFS($L$5:$L$1517,"&gt;="&amp;L1503,$K$5:$K$1517,1)/COUNTIF($L$5:$L$1517,"&gt;="&amp;L1503),0)</f>
        <v>0</v>
      </c>
      <c r="V1503" s="8" t="n">
        <f aca="false">IF($K1503=1,COUNTIFS($M$5:$M$1517,"&gt;="&amp;M1503,$K$5:$K$1517,1)/COUNTIF($M$5:$M$1517,"&gt;="&amp;M1503),0)</f>
        <v>0</v>
      </c>
      <c r="W1503" s="8" t="n">
        <f aca="false">IF($K1503=1,COUNTIFS($N$5:$N$1517,"&gt;="&amp;N1503,$K$5:$K$1517,1)/COUNTIF($N$5:$N$1517,"&gt;="&amp;N1503),0)</f>
        <v>0</v>
      </c>
      <c r="X1503" s="8" t="n">
        <f aca="false">IF($K1503=1,COUNTIFS($O$5:$O$1517,"&gt;="&amp;O1503,$K$5:$K$1517,1)/COUNTIF($O$5:$O$1517,"&gt;="&amp;O1503),0)</f>
        <v>0</v>
      </c>
      <c r="Y1503" s="8" t="n">
        <f aca="false">IF($K1503=1,COUNTIFS($P$5:$P$1517,"&gt;="&amp;P1503,$K$5:$K$1517,1)/COUNTIF($P$5:$P$1517,"&gt;="&amp;P1503),0)</f>
        <v>0</v>
      </c>
      <c r="Z1503" s="8" t="n">
        <f aca="false">(L1503-$K1503)^2</f>
        <v>0.025621124356</v>
      </c>
      <c r="AA1503" s="8" t="n">
        <f aca="false">(M1503-$K1503)^2</f>
        <v>0.008475595969</v>
      </c>
      <c r="AB1503" s="8" t="n">
        <f aca="false">(N1503-$K1503)^2</f>
        <v>0.017874887809</v>
      </c>
      <c r="AC1503" s="8" t="n">
        <f aca="false">(O1503-$K1503)^2</f>
        <v>0.011274829489</v>
      </c>
      <c r="AD1503" s="8" t="n">
        <f aca="false">(P1503-$K1503)^2</f>
        <v>0.020519130025</v>
      </c>
      <c r="AE1503" s="8" t="n">
        <f aca="false">MIN(INT(ROUND(N1503*1000000,0)/100000),9)</f>
        <v>1</v>
      </c>
      <c r="AF1503" s="8" t="n">
        <f aca="false">MIN(INT(ROUND(P1503*1000000,0)/100000),9)</f>
        <v>1</v>
      </c>
    </row>
    <row r="1504" customFormat="false" ht="15" hidden="false" customHeight="false" outlineLevel="0" collapsed="false">
      <c r="A1504" s="4" t="n">
        <v>1500</v>
      </c>
      <c r="B1504" s="4" t="n">
        <v>1821</v>
      </c>
      <c r="C1504" s="4" t="n">
        <v>3</v>
      </c>
      <c r="D1504" s="11" t="n">
        <v>46143</v>
      </c>
      <c r="E1504" s="4" t="s">
        <v>203</v>
      </c>
      <c r="F1504" s="4" t="s">
        <v>209</v>
      </c>
      <c r="G1504" s="4" t="n">
        <v>7</v>
      </c>
      <c r="H1504" s="4" t="n">
        <v>2</v>
      </c>
      <c r="I1504" s="4" t="n">
        <v>0</v>
      </c>
      <c r="J1504" s="4" t="n">
        <v>246</v>
      </c>
      <c r="K1504" s="4" t="n">
        <v>0</v>
      </c>
      <c r="L1504" s="12" t="n">
        <v>0.558315</v>
      </c>
      <c r="M1504" s="12" t="n">
        <v>0.092063</v>
      </c>
      <c r="N1504" s="12" t="n">
        <v>0.092465</v>
      </c>
      <c r="O1504" s="12" t="n">
        <v>0.106183</v>
      </c>
      <c r="P1504" s="12" t="n">
        <v>0.097652</v>
      </c>
      <c r="Q1504" s="0" t="str">
        <f aca="false">IF(L1504&gt;=Models!$G$5,1+COUNTIF($L$5:$L$1517,"&gt;"&amp;L1504)+COUNTIFS($L$5:$L$1517,L1504,$B$5:$B$1517,"&lt;"&amp;B1504)+COUNTIFS($L$5:$L$1517,L1504,$B$5:$B$1517,B1504,$C$5:$C$1517,"&lt;"&amp;C1504),"")</f>
        <v/>
      </c>
      <c r="R1504" s="0" t="str">
        <f aca="false">IF(M1504&gt;=Models!$G$6,1+COUNTIF($M$5:$M$1517,"&gt;"&amp;M1504)+COUNTIFS($M$5:$M$1517,M1504,$B$5:$B$1517,"&lt;"&amp;B1504)+COUNTIFS($M$5:$M$1517,M1504,$B$5:$B$1517,B1504,$C$5:$C$1517,"&lt;"&amp;C1504),"")</f>
        <v/>
      </c>
      <c r="S1504" s="0" t="str">
        <f aca="false">IF(N1504&gt;=Models!$G$7,1+COUNTIF($N$5:$N$1517,"&gt;"&amp;N1504)+COUNTIFS($N$5:$N$1517,N1504,$B$5:$B$1517,"&lt;"&amp;B1504)+COUNTIFS($N$5:$N$1517,N1504,$B$5:$B$1517,B1504,$C$5:$C$1517,"&lt;"&amp;C1504),"")</f>
        <v/>
      </c>
      <c r="T1504" s="8" t="n">
        <f aca="false">IF(O1504&gt;=Models!$G$8,1+COUNTIF($O$5:$O$1517,"&gt;"&amp;O1504)+COUNTIFS($O$5:$O$1517,O1504,$B$5:$B$1517,"&lt;"&amp;B1504)+COUNTIFS($O$5:$O$1517,O1504,$B$5:$B$1517,B1504,$C$5:$C$1517,"&lt;"&amp;C1504),"")</f>
        <v>1500</v>
      </c>
      <c r="U1504" s="8" t="n">
        <f aca="false">IF($K1504=1,COUNTIFS($L$5:$L$1517,"&gt;="&amp;L1504,$K$5:$K$1517,1)/COUNTIF($L$5:$L$1517,"&gt;="&amp;L1504),0)</f>
        <v>0</v>
      </c>
      <c r="V1504" s="8" t="n">
        <f aca="false">IF($K1504=1,COUNTIFS($M$5:$M$1517,"&gt;="&amp;M1504,$K$5:$K$1517,1)/COUNTIF($M$5:$M$1517,"&gt;="&amp;M1504),0)</f>
        <v>0</v>
      </c>
      <c r="W1504" s="8" t="n">
        <f aca="false">IF($K1504=1,COUNTIFS($N$5:$N$1517,"&gt;="&amp;N1504,$K$5:$K$1517,1)/COUNTIF($N$5:$N$1517,"&gt;="&amp;N1504),0)</f>
        <v>0</v>
      </c>
      <c r="X1504" s="8" t="n">
        <f aca="false">IF($K1504=1,COUNTIFS($O$5:$O$1517,"&gt;="&amp;O1504,$K$5:$K$1517,1)/COUNTIF($O$5:$O$1517,"&gt;="&amp;O1504),0)</f>
        <v>0</v>
      </c>
      <c r="Y1504" s="8" t="n">
        <f aca="false">IF($K1504=1,COUNTIFS($P$5:$P$1517,"&gt;="&amp;P1504,$K$5:$K$1517,1)/COUNTIF($P$5:$P$1517,"&gt;="&amp;P1504),0)</f>
        <v>0</v>
      </c>
      <c r="Z1504" s="8" t="n">
        <f aca="false">(L1504-$K1504)^2</f>
        <v>0.311715639225</v>
      </c>
      <c r="AA1504" s="8" t="n">
        <f aca="false">(M1504-$K1504)^2</f>
        <v>0.008475595969</v>
      </c>
      <c r="AB1504" s="8" t="n">
        <f aca="false">(N1504-$K1504)^2</f>
        <v>0.008549776225</v>
      </c>
      <c r="AC1504" s="8" t="n">
        <f aca="false">(O1504-$K1504)^2</f>
        <v>0.011274829489</v>
      </c>
      <c r="AD1504" s="8" t="n">
        <f aca="false">(P1504-$K1504)^2</f>
        <v>0.009535913104</v>
      </c>
      <c r="AE1504" s="8" t="n">
        <f aca="false">MIN(INT(ROUND(N1504*1000000,0)/100000),9)</f>
        <v>0</v>
      </c>
      <c r="AF1504" s="8" t="n">
        <f aca="false">MIN(INT(ROUND(P1504*1000000,0)/100000),9)</f>
        <v>0</v>
      </c>
    </row>
    <row r="1505" customFormat="false" ht="15" hidden="false" customHeight="false" outlineLevel="0" collapsed="false">
      <c r="A1505" s="4" t="n">
        <v>1501</v>
      </c>
      <c r="B1505" s="4" t="n">
        <v>1824</v>
      </c>
      <c r="C1505" s="4" t="n">
        <v>3</v>
      </c>
      <c r="D1505" s="11" t="n">
        <v>46143</v>
      </c>
      <c r="E1505" s="4" t="s">
        <v>204</v>
      </c>
      <c r="F1505" s="4" t="s">
        <v>206</v>
      </c>
      <c r="G1505" s="4" t="n">
        <v>6</v>
      </c>
      <c r="H1505" s="4" t="n">
        <v>13</v>
      </c>
      <c r="I1505" s="4" t="n">
        <v>0</v>
      </c>
      <c r="J1505" s="4" t="n">
        <v>114</v>
      </c>
      <c r="K1505" s="4" t="n">
        <v>0</v>
      </c>
      <c r="L1505" s="12" t="n">
        <v>0.627052</v>
      </c>
      <c r="M1505" s="12" t="n">
        <v>0.092063</v>
      </c>
      <c r="N1505" s="12" t="n">
        <v>0.109477</v>
      </c>
      <c r="O1505" s="12" t="n">
        <v>0.106183</v>
      </c>
      <c r="P1505" s="12" t="n">
        <v>0.116412</v>
      </c>
      <c r="Q1505" s="0" t="str">
        <f aca="false">IF(L1505&gt;=Models!$G$5,1+COUNTIF($L$5:$L$1517,"&gt;"&amp;L1505)+COUNTIFS($L$5:$L$1517,L1505,$B$5:$B$1517,"&lt;"&amp;B1505)+COUNTIFS($L$5:$L$1517,L1505,$B$5:$B$1517,B1505,$C$5:$C$1517,"&lt;"&amp;C1505),"")</f>
        <v/>
      </c>
      <c r="R1505" s="0" t="str">
        <f aca="false">IF(M1505&gt;=Models!$G$6,1+COUNTIF($M$5:$M$1517,"&gt;"&amp;M1505)+COUNTIFS($M$5:$M$1517,M1505,$B$5:$B$1517,"&lt;"&amp;B1505)+COUNTIFS($M$5:$M$1517,M1505,$B$5:$B$1517,B1505,$C$5:$C$1517,"&lt;"&amp;C1505),"")</f>
        <v/>
      </c>
      <c r="S1505" s="0" t="str">
        <f aca="false">IF(N1505&gt;=Models!$G$7,1+COUNTIF($N$5:$N$1517,"&gt;"&amp;N1505)+COUNTIFS($N$5:$N$1517,N1505,$B$5:$B$1517,"&lt;"&amp;B1505)+COUNTIFS($N$5:$N$1517,N1505,$B$5:$B$1517,B1505,$C$5:$C$1517,"&lt;"&amp;C1505),"")</f>
        <v/>
      </c>
      <c r="T1505" s="8" t="n">
        <f aca="false">IF(O1505&gt;=Models!$G$8,1+COUNTIF($O$5:$O$1517,"&gt;"&amp;O1505)+COUNTIFS($O$5:$O$1517,O1505,$B$5:$B$1517,"&lt;"&amp;B1505)+COUNTIFS($O$5:$O$1517,O1505,$B$5:$B$1517,B1505,$C$5:$C$1517,"&lt;"&amp;C1505),"")</f>
        <v>1501</v>
      </c>
      <c r="U1505" s="8" t="n">
        <f aca="false">IF($K1505=1,COUNTIFS($L$5:$L$1517,"&gt;="&amp;L1505,$K$5:$K$1517,1)/COUNTIF($L$5:$L$1517,"&gt;="&amp;L1505),0)</f>
        <v>0</v>
      </c>
      <c r="V1505" s="8" t="n">
        <f aca="false">IF($K1505=1,COUNTIFS($M$5:$M$1517,"&gt;="&amp;M1505,$K$5:$K$1517,1)/COUNTIF($M$5:$M$1517,"&gt;="&amp;M1505),0)</f>
        <v>0</v>
      </c>
      <c r="W1505" s="8" t="n">
        <f aca="false">IF($K1505=1,COUNTIFS($N$5:$N$1517,"&gt;="&amp;N1505,$K$5:$K$1517,1)/COUNTIF($N$5:$N$1517,"&gt;="&amp;N1505),0)</f>
        <v>0</v>
      </c>
      <c r="X1505" s="8" t="n">
        <f aca="false">IF($K1505=1,COUNTIFS($O$5:$O$1517,"&gt;="&amp;O1505,$K$5:$K$1517,1)/COUNTIF($O$5:$O$1517,"&gt;="&amp;O1505),0)</f>
        <v>0</v>
      </c>
      <c r="Y1505" s="8" t="n">
        <f aca="false">IF($K1505=1,COUNTIFS($P$5:$P$1517,"&gt;="&amp;P1505,$K$5:$K$1517,1)/COUNTIF($P$5:$P$1517,"&gt;="&amp;P1505),0)</f>
        <v>0</v>
      </c>
      <c r="Z1505" s="8" t="n">
        <f aca="false">(L1505-$K1505)^2</f>
        <v>0.393194210704</v>
      </c>
      <c r="AA1505" s="8" t="n">
        <f aca="false">(M1505-$K1505)^2</f>
        <v>0.008475595969</v>
      </c>
      <c r="AB1505" s="8" t="n">
        <f aca="false">(N1505-$K1505)^2</f>
        <v>0.011985213529</v>
      </c>
      <c r="AC1505" s="8" t="n">
        <f aca="false">(O1505-$K1505)^2</f>
        <v>0.011274829489</v>
      </c>
      <c r="AD1505" s="8" t="n">
        <f aca="false">(P1505-$K1505)^2</f>
        <v>0.013551753744</v>
      </c>
      <c r="AE1505" s="8" t="n">
        <f aca="false">MIN(INT(ROUND(N1505*1000000,0)/100000),9)</f>
        <v>1</v>
      </c>
      <c r="AF1505" s="8" t="n">
        <f aca="false">MIN(INT(ROUND(P1505*1000000,0)/100000),9)</f>
        <v>1</v>
      </c>
    </row>
    <row r="1506" customFormat="false" ht="15" hidden="false" customHeight="false" outlineLevel="0" collapsed="false">
      <c r="A1506" s="4" t="n">
        <v>1502</v>
      </c>
      <c r="B1506" s="4" t="n">
        <v>1828</v>
      </c>
      <c r="C1506" s="4" t="n">
        <v>3</v>
      </c>
      <c r="D1506" s="11" t="n">
        <v>46143</v>
      </c>
      <c r="E1506" s="4" t="s">
        <v>203</v>
      </c>
      <c r="F1506" s="4" t="s">
        <v>208</v>
      </c>
      <c r="G1506" s="4" t="n">
        <v>5</v>
      </c>
      <c r="H1506" s="4" t="n">
        <v>4</v>
      </c>
      <c r="I1506" s="4" t="n">
        <v>0</v>
      </c>
      <c r="J1506" s="4"/>
      <c r="K1506" s="4" t="n">
        <v>0</v>
      </c>
      <c r="L1506" s="12" t="n">
        <v>0.473742</v>
      </c>
      <c r="M1506" s="12" t="n">
        <v>0.092063</v>
      </c>
      <c r="N1506" s="12" t="n">
        <v>0.055725</v>
      </c>
      <c r="O1506" s="12" t="n">
        <v>0.106183</v>
      </c>
      <c r="P1506" s="12" t="n">
        <v>0.057559</v>
      </c>
      <c r="Q1506" s="0" t="str">
        <f aca="false">IF(L1506&gt;=Models!$G$5,1+COUNTIF($L$5:$L$1517,"&gt;"&amp;L1506)+COUNTIFS($L$5:$L$1517,L1506,$B$5:$B$1517,"&lt;"&amp;B1506)+COUNTIFS($L$5:$L$1517,L1506,$B$5:$B$1517,B1506,$C$5:$C$1517,"&lt;"&amp;C1506),"")</f>
        <v/>
      </c>
      <c r="R1506" s="0" t="str">
        <f aca="false">IF(M1506&gt;=Models!$G$6,1+COUNTIF($M$5:$M$1517,"&gt;"&amp;M1506)+COUNTIFS($M$5:$M$1517,M1506,$B$5:$B$1517,"&lt;"&amp;B1506)+COUNTIFS($M$5:$M$1517,M1506,$B$5:$B$1517,B1506,$C$5:$C$1517,"&lt;"&amp;C1506),"")</f>
        <v/>
      </c>
      <c r="S1506" s="0" t="str">
        <f aca="false">IF(N1506&gt;=Models!$G$7,1+COUNTIF($N$5:$N$1517,"&gt;"&amp;N1506)+COUNTIFS($N$5:$N$1517,N1506,$B$5:$B$1517,"&lt;"&amp;B1506)+COUNTIFS($N$5:$N$1517,N1506,$B$5:$B$1517,B1506,$C$5:$C$1517,"&lt;"&amp;C1506),"")</f>
        <v/>
      </c>
      <c r="T1506" s="8" t="n">
        <f aca="false">IF(O1506&gt;=Models!$G$8,1+COUNTIF($O$5:$O$1517,"&gt;"&amp;O1506)+COUNTIFS($O$5:$O$1517,O1506,$B$5:$B$1517,"&lt;"&amp;B1506)+COUNTIFS($O$5:$O$1517,O1506,$B$5:$B$1517,B1506,$C$5:$C$1517,"&lt;"&amp;C1506),"")</f>
        <v>1502</v>
      </c>
      <c r="U1506" s="8" t="n">
        <f aca="false">IF($K1506=1,COUNTIFS($L$5:$L$1517,"&gt;="&amp;L1506,$K$5:$K$1517,1)/COUNTIF($L$5:$L$1517,"&gt;="&amp;L1506),0)</f>
        <v>0</v>
      </c>
      <c r="V1506" s="8" t="n">
        <f aca="false">IF($K1506=1,COUNTIFS($M$5:$M$1517,"&gt;="&amp;M1506,$K$5:$K$1517,1)/COUNTIF($M$5:$M$1517,"&gt;="&amp;M1506),0)</f>
        <v>0</v>
      </c>
      <c r="W1506" s="8" t="n">
        <f aca="false">IF($K1506=1,COUNTIFS($N$5:$N$1517,"&gt;="&amp;N1506,$K$5:$K$1517,1)/COUNTIF($N$5:$N$1517,"&gt;="&amp;N1506),0)</f>
        <v>0</v>
      </c>
      <c r="X1506" s="8" t="n">
        <f aca="false">IF($K1506=1,COUNTIFS($O$5:$O$1517,"&gt;="&amp;O1506,$K$5:$K$1517,1)/COUNTIF($O$5:$O$1517,"&gt;="&amp;O1506),0)</f>
        <v>0</v>
      </c>
      <c r="Y1506" s="8" t="n">
        <f aca="false">IF($K1506=1,COUNTIFS($P$5:$P$1517,"&gt;="&amp;P1506,$K$5:$K$1517,1)/COUNTIF($P$5:$P$1517,"&gt;="&amp;P1506),0)</f>
        <v>0</v>
      </c>
      <c r="Z1506" s="8" t="n">
        <f aca="false">(L1506-$K1506)^2</f>
        <v>0.224431482564</v>
      </c>
      <c r="AA1506" s="8" t="n">
        <f aca="false">(M1506-$K1506)^2</f>
        <v>0.008475595969</v>
      </c>
      <c r="AB1506" s="8" t="n">
        <f aca="false">(N1506-$K1506)^2</f>
        <v>0.003105275625</v>
      </c>
      <c r="AC1506" s="8" t="n">
        <f aca="false">(O1506-$K1506)^2</f>
        <v>0.011274829489</v>
      </c>
      <c r="AD1506" s="8" t="n">
        <f aca="false">(P1506-$K1506)^2</f>
        <v>0.003313038481</v>
      </c>
      <c r="AE1506" s="8" t="n">
        <f aca="false">MIN(INT(ROUND(N1506*1000000,0)/100000),9)</f>
        <v>0</v>
      </c>
      <c r="AF1506" s="8" t="n">
        <f aca="false">MIN(INT(ROUND(P1506*1000000,0)/100000),9)</f>
        <v>0</v>
      </c>
    </row>
    <row r="1507" customFormat="false" ht="15" hidden="false" customHeight="false" outlineLevel="0" collapsed="false">
      <c r="A1507" s="4" t="n">
        <v>1503</v>
      </c>
      <c r="B1507" s="4" t="n">
        <v>1829</v>
      </c>
      <c r="C1507" s="4" t="n">
        <v>3</v>
      </c>
      <c r="D1507" s="11" t="n">
        <v>46143</v>
      </c>
      <c r="E1507" s="4" t="s">
        <v>204</v>
      </c>
      <c r="F1507" s="4" t="s">
        <v>208</v>
      </c>
      <c r="G1507" s="4" t="n">
        <v>0</v>
      </c>
      <c r="H1507" s="4"/>
      <c r="I1507" s="4" t="n">
        <v>0</v>
      </c>
      <c r="J1507" s="4" t="n">
        <v>102</v>
      </c>
      <c r="K1507" s="4" t="n">
        <v>0</v>
      </c>
      <c r="L1507" s="12" t="n">
        <v>0.848636</v>
      </c>
      <c r="M1507" s="12" t="n">
        <v>0.184211</v>
      </c>
      <c r="N1507" s="12" t="n">
        <v>0.16394</v>
      </c>
      <c r="O1507" s="12" t="n">
        <v>0.106183</v>
      </c>
      <c r="P1507" s="12" t="n">
        <v>0.176863</v>
      </c>
      <c r="Q1507" s="0" t="str">
        <f aca="false">IF(L1507&gt;=Models!$G$5,1+COUNTIF($L$5:$L$1517,"&gt;"&amp;L1507)+COUNTIFS($L$5:$L$1517,L1507,$B$5:$B$1517,"&lt;"&amp;B1507)+COUNTIFS($L$5:$L$1517,L1507,$B$5:$B$1517,B1507,$C$5:$C$1517,"&lt;"&amp;C1507),"")</f>
        <v/>
      </c>
      <c r="R1507" s="8" t="n">
        <f aca="false">IF(M1507&gt;=Models!$G$6,1+COUNTIF($M$5:$M$1517,"&gt;"&amp;M1507)+COUNTIFS($M$5:$M$1517,M1507,$B$5:$B$1517,"&lt;"&amp;B1507)+COUNTIFS($M$5:$M$1517,M1507,$B$5:$B$1517,B1507,$C$5:$C$1517,"&lt;"&amp;C1507),"")</f>
        <v>192</v>
      </c>
      <c r="S1507" s="0" t="str">
        <f aca="false">IF(N1507&gt;=Models!$G$7,1+COUNTIF($N$5:$N$1517,"&gt;"&amp;N1507)+COUNTIFS($N$5:$N$1517,N1507,$B$5:$B$1517,"&lt;"&amp;B1507)+COUNTIFS($N$5:$N$1517,N1507,$B$5:$B$1517,B1507,$C$5:$C$1517,"&lt;"&amp;C1507),"")</f>
        <v/>
      </c>
      <c r="T1507" s="8" t="n">
        <f aca="false">IF(O1507&gt;=Models!$G$8,1+COUNTIF($O$5:$O$1517,"&gt;"&amp;O1507)+COUNTIFS($O$5:$O$1517,O1507,$B$5:$B$1517,"&lt;"&amp;B1507)+COUNTIFS($O$5:$O$1517,O1507,$B$5:$B$1517,B1507,$C$5:$C$1517,"&lt;"&amp;C1507),"")</f>
        <v>1503</v>
      </c>
      <c r="U1507" s="8" t="n">
        <f aca="false">IF($K1507=1,COUNTIFS($L$5:$L$1517,"&gt;="&amp;L1507,$K$5:$K$1517,1)/COUNTIF($L$5:$L$1517,"&gt;="&amp;L1507),0)</f>
        <v>0</v>
      </c>
      <c r="V1507" s="8" t="n">
        <f aca="false">IF($K1507=1,COUNTIFS($M$5:$M$1517,"&gt;="&amp;M1507,$K$5:$K$1517,1)/COUNTIF($M$5:$M$1517,"&gt;="&amp;M1507),0)</f>
        <v>0</v>
      </c>
      <c r="W1507" s="8" t="n">
        <f aca="false">IF($K1507=1,COUNTIFS($N$5:$N$1517,"&gt;="&amp;N1507,$K$5:$K$1517,1)/COUNTIF($N$5:$N$1517,"&gt;="&amp;N1507),0)</f>
        <v>0</v>
      </c>
      <c r="X1507" s="8" t="n">
        <f aca="false">IF($K1507=1,COUNTIFS($O$5:$O$1517,"&gt;="&amp;O1507,$K$5:$K$1517,1)/COUNTIF($O$5:$O$1517,"&gt;="&amp;O1507),0)</f>
        <v>0</v>
      </c>
      <c r="Y1507" s="8" t="n">
        <f aca="false">IF($K1507=1,COUNTIFS($P$5:$P$1517,"&gt;="&amp;P1507,$K$5:$K$1517,1)/COUNTIF($P$5:$P$1517,"&gt;="&amp;P1507),0)</f>
        <v>0</v>
      </c>
      <c r="Z1507" s="8" t="n">
        <f aca="false">(L1507-$K1507)^2</f>
        <v>0.720183060496</v>
      </c>
      <c r="AA1507" s="8" t="n">
        <f aca="false">(M1507-$K1507)^2</f>
        <v>0.033933692521</v>
      </c>
      <c r="AB1507" s="8" t="n">
        <f aca="false">(N1507-$K1507)^2</f>
        <v>0.0268763236</v>
      </c>
      <c r="AC1507" s="8" t="n">
        <f aca="false">(O1507-$K1507)^2</f>
        <v>0.011274829489</v>
      </c>
      <c r="AD1507" s="8" t="n">
        <f aca="false">(P1507-$K1507)^2</f>
        <v>0.031280520769</v>
      </c>
      <c r="AE1507" s="8" t="n">
        <f aca="false">MIN(INT(ROUND(N1507*1000000,0)/100000),9)</f>
        <v>1</v>
      </c>
      <c r="AF1507" s="8" t="n">
        <f aca="false">MIN(INT(ROUND(P1507*1000000,0)/100000),9)</f>
        <v>1</v>
      </c>
    </row>
    <row r="1508" customFormat="false" ht="15" hidden="false" customHeight="false" outlineLevel="0" collapsed="false">
      <c r="A1508" s="4" t="n">
        <v>1504</v>
      </c>
      <c r="B1508" s="4" t="n">
        <v>1830</v>
      </c>
      <c r="C1508" s="4" t="n">
        <v>3</v>
      </c>
      <c r="D1508" s="11" t="n">
        <v>46143</v>
      </c>
      <c r="E1508" s="4" t="s">
        <v>203</v>
      </c>
      <c r="F1508" s="4" t="s">
        <v>210</v>
      </c>
      <c r="G1508" s="4" t="n">
        <v>11</v>
      </c>
      <c r="H1508" s="4" t="n">
        <v>5</v>
      </c>
      <c r="I1508" s="4" t="n">
        <v>0</v>
      </c>
      <c r="J1508" s="4"/>
      <c r="K1508" s="4" t="n">
        <v>0</v>
      </c>
      <c r="L1508" s="12" t="n">
        <v>0.09454</v>
      </c>
      <c r="M1508" s="12" t="n">
        <v>0.092063</v>
      </c>
      <c r="N1508" s="12" t="n">
        <v>0.033512</v>
      </c>
      <c r="O1508" s="12" t="n">
        <v>0.106183</v>
      </c>
      <c r="P1508" s="12" t="n">
        <v>0.033806</v>
      </c>
      <c r="Q1508" s="0" t="str">
        <f aca="false">IF(L1508&gt;=Models!$G$5,1+COUNTIF($L$5:$L$1517,"&gt;"&amp;L1508)+COUNTIFS($L$5:$L$1517,L1508,$B$5:$B$1517,"&lt;"&amp;B1508)+COUNTIFS($L$5:$L$1517,L1508,$B$5:$B$1517,B1508,$C$5:$C$1517,"&lt;"&amp;C1508),"")</f>
        <v/>
      </c>
      <c r="R1508" s="0" t="str">
        <f aca="false">IF(M1508&gt;=Models!$G$6,1+COUNTIF($M$5:$M$1517,"&gt;"&amp;M1508)+COUNTIFS($M$5:$M$1517,M1508,$B$5:$B$1517,"&lt;"&amp;B1508)+COUNTIFS($M$5:$M$1517,M1508,$B$5:$B$1517,B1508,$C$5:$C$1517,"&lt;"&amp;C1508),"")</f>
        <v/>
      </c>
      <c r="S1508" s="0" t="str">
        <f aca="false">IF(N1508&gt;=Models!$G$7,1+COUNTIF($N$5:$N$1517,"&gt;"&amp;N1508)+COUNTIFS($N$5:$N$1517,N1508,$B$5:$B$1517,"&lt;"&amp;B1508)+COUNTIFS($N$5:$N$1517,N1508,$B$5:$B$1517,B1508,$C$5:$C$1517,"&lt;"&amp;C1508),"")</f>
        <v/>
      </c>
      <c r="T1508" s="8" t="n">
        <f aca="false">IF(O1508&gt;=Models!$G$8,1+COUNTIF($O$5:$O$1517,"&gt;"&amp;O1508)+COUNTIFS($O$5:$O$1517,O1508,$B$5:$B$1517,"&lt;"&amp;B1508)+COUNTIFS($O$5:$O$1517,O1508,$B$5:$B$1517,B1508,$C$5:$C$1517,"&lt;"&amp;C1508),"")</f>
        <v>1504</v>
      </c>
      <c r="U1508" s="8" t="n">
        <f aca="false">IF($K1508=1,COUNTIFS($L$5:$L$1517,"&gt;="&amp;L1508,$K$5:$K$1517,1)/COUNTIF($L$5:$L$1517,"&gt;="&amp;L1508),0)</f>
        <v>0</v>
      </c>
      <c r="V1508" s="8" t="n">
        <f aca="false">IF($K1508=1,COUNTIFS($M$5:$M$1517,"&gt;="&amp;M1508,$K$5:$K$1517,1)/COUNTIF($M$5:$M$1517,"&gt;="&amp;M1508),0)</f>
        <v>0</v>
      </c>
      <c r="W1508" s="8" t="n">
        <f aca="false">IF($K1508=1,COUNTIFS($N$5:$N$1517,"&gt;="&amp;N1508,$K$5:$K$1517,1)/COUNTIF($N$5:$N$1517,"&gt;="&amp;N1508),0)</f>
        <v>0</v>
      </c>
      <c r="X1508" s="8" t="n">
        <f aca="false">IF($K1508=1,COUNTIFS($O$5:$O$1517,"&gt;="&amp;O1508,$K$5:$K$1517,1)/COUNTIF($O$5:$O$1517,"&gt;="&amp;O1508),0)</f>
        <v>0</v>
      </c>
      <c r="Y1508" s="8" t="n">
        <f aca="false">IF($K1508=1,COUNTIFS($P$5:$P$1517,"&gt;="&amp;P1508,$K$5:$K$1517,1)/COUNTIF($P$5:$P$1517,"&gt;="&amp;P1508),0)</f>
        <v>0</v>
      </c>
      <c r="Z1508" s="8" t="n">
        <f aca="false">(L1508-$K1508)^2</f>
        <v>0.0089378116</v>
      </c>
      <c r="AA1508" s="8" t="n">
        <f aca="false">(M1508-$K1508)^2</f>
        <v>0.008475595969</v>
      </c>
      <c r="AB1508" s="8" t="n">
        <f aca="false">(N1508-$K1508)^2</f>
        <v>0.001123054144</v>
      </c>
      <c r="AC1508" s="8" t="n">
        <f aca="false">(O1508-$K1508)^2</f>
        <v>0.011274829489</v>
      </c>
      <c r="AD1508" s="8" t="n">
        <f aca="false">(P1508-$K1508)^2</f>
        <v>0.001142845636</v>
      </c>
      <c r="AE1508" s="8" t="n">
        <f aca="false">MIN(INT(ROUND(N1508*1000000,0)/100000),9)</f>
        <v>0</v>
      </c>
      <c r="AF1508" s="8" t="n">
        <f aca="false">MIN(INT(ROUND(P1508*1000000,0)/100000),9)</f>
        <v>0</v>
      </c>
    </row>
    <row r="1509" customFormat="false" ht="15" hidden="false" customHeight="false" outlineLevel="0" collapsed="false">
      <c r="A1509" s="4" t="n">
        <v>1505</v>
      </c>
      <c r="B1509" s="4" t="n">
        <v>1831</v>
      </c>
      <c r="C1509" s="4" t="n">
        <v>3</v>
      </c>
      <c r="D1509" s="11" t="n">
        <v>46143</v>
      </c>
      <c r="E1509" s="4" t="s">
        <v>204</v>
      </c>
      <c r="F1509" s="4" t="s">
        <v>207</v>
      </c>
      <c r="G1509" s="4" t="n">
        <v>2</v>
      </c>
      <c r="H1509" s="4" t="n">
        <v>7</v>
      </c>
      <c r="I1509" s="4" t="n">
        <v>0</v>
      </c>
      <c r="J1509" s="4" t="n">
        <v>102</v>
      </c>
      <c r="K1509" s="4" t="n">
        <v>0</v>
      </c>
      <c r="L1509" s="12" t="n">
        <v>0.220831</v>
      </c>
      <c r="M1509" s="12" t="n">
        <v>0.092063</v>
      </c>
      <c r="N1509" s="12" t="n">
        <v>0.143735</v>
      </c>
      <c r="O1509" s="12" t="n">
        <v>0.106183</v>
      </c>
      <c r="P1509" s="12" t="n">
        <v>0.154394</v>
      </c>
      <c r="Q1509" s="0" t="str">
        <f aca="false">IF(L1509&gt;=Models!$G$5,1+COUNTIF($L$5:$L$1517,"&gt;"&amp;L1509)+COUNTIFS($L$5:$L$1517,L1509,$B$5:$B$1517,"&lt;"&amp;B1509)+COUNTIFS($L$5:$L$1517,L1509,$B$5:$B$1517,B1509,$C$5:$C$1517,"&lt;"&amp;C1509),"")</f>
        <v/>
      </c>
      <c r="R1509" s="0" t="str">
        <f aca="false">IF(M1509&gt;=Models!$G$6,1+COUNTIF($M$5:$M$1517,"&gt;"&amp;M1509)+COUNTIFS($M$5:$M$1517,M1509,$B$5:$B$1517,"&lt;"&amp;B1509)+COUNTIFS($M$5:$M$1517,M1509,$B$5:$B$1517,B1509,$C$5:$C$1517,"&lt;"&amp;C1509),"")</f>
        <v/>
      </c>
      <c r="S1509" s="0" t="str">
        <f aca="false">IF(N1509&gt;=Models!$G$7,1+COUNTIF($N$5:$N$1517,"&gt;"&amp;N1509)+COUNTIFS($N$5:$N$1517,N1509,$B$5:$B$1517,"&lt;"&amp;B1509)+COUNTIFS($N$5:$N$1517,N1509,$B$5:$B$1517,B1509,$C$5:$C$1517,"&lt;"&amp;C1509),"")</f>
        <v/>
      </c>
      <c r="T1509" s="8" t="n">
        <f aca="false">IF(O1509&gt;=Models!$G$8,1+COUNTIF($O$5:$O$1517,"&gt;"&amp;O1509)+COUNTIFS($O$5:$O$1517,O1509,$B$5:$B$1517,"&lt;"&amp;B1509)+COUNTIFS($O$5:$O$1517,O1509,$B$5:$B$1517,B1509,$C$5:$C$1517,"&lt;"&amp;C1509),"")</f>
        <v>1505</v>
      </c>
      <c r="U1509" s="8" t="n">
        <f aca="false">IF($K1509=1,COUNTIFS($L$5:$L$1517,"&gt;="&amp;L1509,$K$5:$K$1517,1)/COUNTIF($L$5:$L$1517,"&gt;="&amp;L1509),0)</f>
        <v>0</v>
      </c>
      <c r="V1509" s="8" t="n">
        <f aca="false">IF($K1509=1,COUNTIFS($M$5:$M$1517,"&gt;="&amp;M1509,$K$5:$K$1517,1)/COUNTIF($M$5:$M$1517,"&gt;="&amp;M1509),0)</f>
        <v>0</v>
      </c>
      <c r="W1509" s="8" t="n">
        <f aca="false">IF($K1509=1,COUNTIFS($N$5:$N$1517,"&gt;="&amp;N1509,$K$5:$K$1517,1)/COUNTIF($N$5:$N$1517,"&gt;="&amp;N1509),0)</f>
        <v>0</v>
      </c>
      <c r="X1509" s="8" t="n">
        <f aca="false">IF($K1509=1,COUNTIFS($O$5:$O$1517,"&gt;="&amp;O1509,$K$5:$K$1517,1)/COUNTIF($O$5:$O$1517,"&gt;="&amp;O1509),0)</f>
        <v>0</v>
      </c>
      <c r="Y1509" s="8" t="n">
        <f aca="false">IF($K1509=1,COUNTIFS($P$5:$P$1517,"&gt;="&amp;P1509,$K$5:$K$1517,1)/COUNTIF($P$5:$P$1517,"&gt;="&amp;P1509),0)</f>
        <v>0</v>
      </c>
      <c r="Z1509" s="8" t="n">
        <f aca="false">(L1509-$K1509)^2</f>
        <v>0.048766330561</v>
      </c>
      <c r="AA1509" s="8" t="n">
        <f aca="false">(M1509-$K1509)^2</f>
        <v>0.008475595969</v>
      </c>
      <c r="AB1509" s="8" t="n">
        <f aca="false">(N1509-$K1509)^2</f>
        <v>0.020659750225</v>
      </c>
      <c r="AC1509" s="8" t="n">
        <f aca="false">(O1509-$K1509)^2</f>
        <v>0.011274829489</v>
      </c>
      <c r="AD1509" s="8" t="n">
        <f aca="false">(P1509-$K1509)^2</f>
        <v>0.023837507236</v>
      </c>
      <c r="AE1509" s="8" t="n">
        <f aca="false">MIN(INT(ROUND(N1509*1000000,0)/100000),9)</f>
        <v>1</v>
      </c>
      <c r="AF1509" s="8" t="n">
        <f aca="false">MIN(INT(ROUND(P1509*1000000,0)/100000),9)</f>
        <v>1</v>
      </c>
    </row>
    <row r="1510" customFormat="false" ht="15" hidden="false" customHeight="false" outlineLevel="0" collapsed="false">
      <c r="A1510" s="4" t="n">
        <v>1506</v>
      </c>
      <c r="B1510" s="4" t="n">
        <v>1833</v>
      </c>
      <c r="C1510" s="4" t="n">
        <v>3</v>
      </c>
      <c r="D1510" s="11" t="n">
        <v>46143</v>
      </c>
      <c r="E1510" s="4" t="s">
        <v>203</v>
      </c>
      <c r="F1510" s="4" t="s">
        <v>208</v>
      </c>
      <c r="G1510" s="4" t="n">
        <v>0</v>
      </c>
      <c r="H1510" s="4" t="n">
        <v>70</v>
      </c>
      <c r="I1510" s="4" t="n">
        <v>1</v>
      </c>
      <c r="J1510" s="4" t="n">
        <v>366</v>
      </c>
      <c r="K1510" s="4" t="n">
        <v>0</v>
      </c>
      <c r="L1510" s="12" t="n">
        <v>0.193679</v>
      </c>
      <c r="M1510" s="12" t="n">
        <v>0.184211</v>
      </c>
      <c r="N1510" s="12" t="n">
        <v>0.375746</v>
      </c>
      <c r="O1510" s="12" t="n">
        <v>0.106183</v>
      </c>
      <c r="P1510" s="12" t="n">
        <v>0.410273</v>
      </c>
      <c r="Q1510" s="0" t="str">
        <f aca="false">IF(L1510&gt;=Models!$G$5,1+COUNTIF($L$5:$L$1517,"&gt;"&amp;L1510)+COUNTIFS($L$5:$L$1517,L1510,$B$5:$B$1517,"&lt;"&amp;B1510)+COUNTIFS($L$5:$L$1517,L1510,$B$5:$B$1517,B1510,$C$5:$C$1517,"&lt;"&amp;C1510),"")</f>
        <v/>
      </c>
      <c r="R1510" s="8" t="n">
        <f aca="false">IF(M1510&gt;=Models!$G$6,1+COUNTIF($M$5:$M$1517,"&gt;"&amp;M1510)+COUNTIFS($M$5:$M$1517,M1510,$B$5:$B$1517,"&lt;"&amp;B1510)+COUNTIFS($M$5:$M$1517,M1510,$B$5:$B$1517,B1510,$C$5:$C$1517,"&lt;"&amp;C1510),"")</f>
        <v>193</v>
      </c>
      <c r="S1510" s="8" t="n">
        <f aca="false">IF(N1510&gt;=Models!$G$7,1+COUNTIF($N$5:$N$1517,"&gt;"&amp;N1510)+COUNTIFS($N$5:$N$1517,N1510,$B$5:$B$1517,"&lt;"&amp;B1510)+COUNTIFS($N$5:$N$1517,N1510,$B$5:$B$1517,B1510,$C$5:$C$1517,"&lt;"&amp;C1510),"")</f>
        <v>3</v>
      </c>
      <c r="T1510" s="8" t="n">
        <f aca="false">IF(O1510&gt;=Models!$G$8,1+COUNTIF($O$5:$O$1517,"&gt;"&amp;O1510)+COUNTIFS($O$5:$O$1517,O1510,$B$5:$B$1517,"&lt;"&amp;B1510)+COUNTIFS($O$5:$O$1517,O1510,$B$5:$B$1517,B1510,$C$5:$C$1517,"&lt;"&amp;C1510),"")</f>
        <v>1506</v>
      </c>
      <c r="U1510" s="8" t="n">
        <f aca="false">IF($K1510=1,COUNTIFS($L$5:$L$1517,"&gt;="&amp;L1510,$K$5:$K$1517,1)/COUNTIF($L$5:$L$1517,"&gt;="&amp;L1510),0)</f>
        <v>0</v>
      </c>
      <c r="V1510" s="8" t="n">
        <f aca="false">IF($K1510=1,COUNTIFS($M$5:$M$1517,"&gt;="&amp;M1510,$K$5:$K$1517,1)/COUNTIF($M$5:$M$1517,"&gt;="&amp;M1510),0)</f>
        <v>0</v>
      </c>
      <c r="W1510" s="8" t="n">
        <f aca="false">IF($K1510=1,COUNTIFS($N$5:$N$1517,"&gt;="&amp;N1510,$K$5:$K$1517,1)/COUNTIF($N$5:$N$1517,"&gt;="&amp;N1510),0)</f>
        <v>0</v>
      </c>
      <c r="X1510" s="8" t="n">
        <f aca="false">IF($K1510=1,COUNTIFS($O$5:$O$1517,"&gt;="&amp;O1510,$K$5:$K$1517,1)/COUNTIF($O$5:$O$1517,"&gt;="&amp;O1510),0)</f>
        <v>0</v>
      </c>
      <c r="Y1510" s="8" t="n">
        <f aca="false">IF($K1510=1,COUNTIFS($P$5:$P$1517,"&gt;="&amp;P1510,$K$5:$K$1517,1)/COUNTIF($P$5:$P$1517,"&gt;="&amp;P1510),0)</f>
        <v>0</v>
      </c>
      <c r="Z1510" s="8" t="n">
        <f aca="false">(L1510-$K1510)^2</f>
        <v>0.037511555041</v>
      </c>
      <c r="AA1510" s="8" t="n">
        <f aca="false">(M1510-$K1510)^2</f>
        <v>0.033933692521</v>
      </c>
      <c r="AB1510" s="8" t="n">
        <f aca="false">(N1510-$K1510)^2</f>
        <v>0.141185056516</v>
      </c>
      <c r="AC1510" s="8" t="n">
        <f aca="false">(O1510-$K1510)^2</f>
        <v>0.011274829489</v>
      </c>
      <c r="AD1510" s="8" t="n">
        <f aca="false">(P1510-$K1510)^2</f>
        <v>0.168323934529</v>
      </c>
      <c r="AE1510" s="8" t="n">
        <f aca="false">MIN(INT(ROUND(N1510*1000000,0)/100000),9)</f>
        <v>3</v>
      </c>
      <c r="AF1510" s="8" t="n">
        <f aca="false">MIN(INT(ROUND(P1510*1000000,0)/100000),9)</f>
        <v>4</v>
      </c>
    </row>
    <row r="1511" customFormat="false" ht="15" hidden="false" customHeight="false" outlineLevel="0" collapsed="false">
      <c r="A1511" s="4" t="n">
        <v>1507</v>
      </c>
      <c r="B1511" s="4" t="n">
        <v>1845</v>
      </c>
      <c r="C1511" s="4" t="n">
        <v>3</v>
      </c>
      <c r="D1511" s="11" t="n">
        <v>46143</v>
      </c>
      <c r="E1511" s="4" t="s">
        <v>203</v>
      </c>
      <c r="F1511" s="4" t="s">
        <v>209</v>
      </c>
      <c r="G1511" s="4" t="n">
        <v>3</v>
      </c>
      <c r="H1511" s="4" t="n">
        <v>0</v>
      </c>
      <c r="I1511" s="4" t="n">
        <v>0</v>
      </c>
      <c r="J1511" s="4"/>
      <c r="K1511" s="4" t="n">
        <v>0</v>
      </c>
      <c r="L1511" s="12" t="n">
        <v>0.040465</v>
      </c>
      <c r="M1511" s="12" t="n">
        <v>0.092063</v>
      </c>
      <c r="N1511" s="12" t="n">
        <v>0.063996</v>
      </c>
      <c r="O1511" s="12" t="n">
        <v>0.106183</v>
      </c>
      <c r="P1511" s="12" t="n">
        <v>0.066517</v>
      </c>
      <c r="Q1511" s="0" t="str">
        <f aca="false">IF(L1511&gt;=Models!$G$5,1+COUNTIF($L$5:$L$1517,"&gt;"&amp;L1511)+COUNTIFS($L$5:$L$1517,L1511,$B$5:$B$1517,"&lt;"&amp;B1511)+COUNTIFS($L$5:$L$1517,L1511,$B$5:$B$1517,B1511,$C$5:$C$1517,"&lt;"&amp;C1511),"")</f>
        <v/>
      </c>
      <c r="R1511" s="0" t="str">
        <f aca="false">IF(M1511&gt;=Models!$G$6,1+COUNTIF($M$5:$M$1517,"&gt;"&amp;M1511)+COUNTIFS($M$5:$M$1517,M1511,$B$5:$B$1517,"&lt;"&amp;B1511)+COUNTIFS($M$5:$M$1517,M1511,$B$5:$B$1517,B1511,$C$5:$C$1517,"&lt;"&amp;C1511),"")</f>
        <v/>
      </c>
      <c r="S1511" s="0" t="str">
        <f aca="false">IF(N1511&gt;=Models!$G$7,1+COUNTIF($N$5:$N$1517,"&gt;"&amp;N1511)+COUNTIFS($N$5:$N$1517,N1511,$B$5:$B$1517,"&lt;"&amp;B1511)+COUNTIFS($N$5:$N$1517,N1511,$B$5:$B$1517,B1511,$C$5:$C$1517,"&lt;"&amp;C1511),"")</f>
        <v/>
      </c>
      <c r="T1511" s="8" t="n">
        <f aca="false">IF(O1511&gt;=Models!$G$8,1+COUNTIF($O$5:$O$1517,"&gt;"&amp;O1511)+COUNTIFS($O$5:$O$1517,O1511,$B$5:$B$1517,"&lt;"&amp;B1511)+COUNTIFS($O$5:$O$1517,O1511,$B$5:$B$1517,B1511,$C$5:$C$1517,"&lt;"&amp;C1511),"")</f>
        <v>1507</v>
      </c>
      <c r="U1511" s="8" t="n">
        <f aca="false">IF($K1511=1,COUNTIFS($L$5:$L$1517,"&gt;="&amp;L1511,$K$5:$K$1517,1)/COUNTIF($L$5:$L$1517,"&gt;="&amp;L1511),0)</f>
        <v>0</v>
      </c>
      <c r="V1511" s="8" t="n">
        <f aca="false">IF($K1511=1,COUNTIFS($M$5:$M$1517,"&gt;="&amp;M1511,$K$5:$K$1517,1)/COUNTIF($M$5:$M$1517,"&gt;="&amp;M1511),0)</f>
        <v>0</v>
      </c>
      <c r="W1511" s="8" t="n">
        <f aca="false">IF($K1511=1,COUNTIFS($N$5:$N$1517,"&gt;="&amp;N1511,$K$5:$K$1517,1)/COUNTIF($N$5:$N$1517,"&gt;="&amp;N1511),0)</f>
        <v>0</v>
      </c>
      <c r="X1511" s="8" t="n">
        <f aca="false">IF($K1511=1,COUNTIFS($O$5:$O$1517,"&gt;="&amp;O1511,$K$5:$K$1517,1)/COUNTIF($O$5:$O$1517,"&gt;="&amp;O1511),0)</f>
        <v>0</v>
      </c>
      <c r="Y1511" s="8" t="n">
        <f aca="false">IF($K1511=1,COUNTIFS($P$5:$P$1517,"&gt;="&amp;P1511,$K$5:$K$1517,1)/COUNTIF($P$5:$P$1517,"&gt;="&amp;P1511),0)</f>
        <v>0</v>
      </c>
      <c r="Z1511" s="8" t="n">
        <f aca="false">(L1511-$K1511)^2</f>
        <v>0.001637416225</v>
      </c>
      <c r="AA1511" s="8" t="n">
        <f aca="false">(M1511-$K1511)^2</f>
        <v>0.008475595969</v>
      </c>
      <c r="AB1511" s="8" t="n">
        <f aca="false">(N1511-$K1511)^2</f>
        <v>0.004095488016</v>
      </c>
      <c r="AC1511" s="8" t="n">
        <f aca="false">(O1511-$K1511)^2</f>
        <v>0.011274829489</v>
      </c>
      <c r="AD1511" s="8" t="n">
        <f aca="false">(P1511-$K1511)^2</f>
        <v>0.004424511289</v>
      </c>
      <c r="AE1511" s="8" t="n">
        <f aca="false">MIN(INT(ROUND(N1511*1000000,0)/100000),9)</f>
        <v>0</v>
      </c>
      <c r="AF1511" s="8" t="n">
        <f aca="false">MIN(INT(ROUND(P1511*1000000,0)/100000),9)</f>
        <v>0</v>
      </c>
    </row>
    <row r="1512" customFormat="false" ht="15" hidden="false" customHeight="false" outlineLevel="0" collapsed="false">
      <c r="A1512" s="4" t="n">
        <v>1508</v>
      </c>
      <c r="B1512" s="4" t="n">
        <v>1846</v>
      </c>
      <c r="C1512" s="4" t="n">
        <v>3</v>
      </c>
      <c r="D1512" s="11" t="n">
        <v>46143</v>
      </c>
      <c r="E1512" s="4" t="s">
        <v>203</v>
      </c>
      <c r="F1512" s="4" t="s">
        <v>207</v>
      </c>
      <c r="G1512" s="4" t="n">
        <v>1</v>
      </c>
      <c r="H1512" s="4" t="n">
        <v>17</v>
      </c>
      <c r="I1512" s="4" t="n">
        <v>0</v>
      </c>
      <c r="J1512" s="4" t="n">
        <v>204.4</v>
      </c>
      <c r="K1512" s="4" t="n">
        <v>1</v>
      </c>
      <c r="L1512" s="12" t="n">
        <v>0.65633</v>
      </c>
      <c r="M1512" s="12" t="n">
        <v>0.092063</v>
      </c>
      <c r="N1512" s="12" t="n">
        <v>0.165397</v>
      </c>
      <c r="O1512" s="12" t="n">
        <v>0.106183</v>
      </c>
      <c r="P1512" s="12" t="n">
        <v>0.178484</v>
      </c>
      <c r="Q1512" s="0" t="str">
        <f aca="false">IF(L1512&gt;=Models!$G$5,1+COUNTIF($L$5:$L$1517,"&gt;"&amp;L1512)+COUNTIFS($L$5:$L$1517,L1512,$B$5:$B$1517,"&lt;"&amp;B1512)+COUNTIFS($L$5:$L$1517,L1512,$B$5:$B$1517,B1512,$C$5:$C$1517,"&lt;"&amp;C1512),"")</f>
        <v/>
      </c>
      <c r="R1512" s="0" t="str">
        <f aca="false">IF(M1512&gt;=Models!$G$6,1+COUNTIF($M$5:$M$1517,"&gt;"&amp;M1512)+COUNTIFS($M$5:$M$1517,M1512,$B$5:$B$1517,"&lt;"&amp;B1512)+COUNTIFS($M$5:$M$1517,M1512,$B$5:$B$1517,B1512,$C$5:$C$1517,"&lt;"&amp;C1512),"")</f>
        <v/>
      </c>
      <c r="S1512" s="0" t="str">
        <f aca="false">IF(N1512&gt;=Models!$G$7,1+COUNTIF($N$5:$N$1517,"&gt;"&amp;N1512)+COUNTIFS($N$5:$N$1517,N1512,$B$5:$B$1517,"&lt;"&amp;B1512)+COUNTIFS($N$5:$N$1517,N1512,$B$5:$B$1517,B1512,$C$5:$C$1517,"&lt;"&amp;C1512),"")</f>
        <v/>
      </c>
      <c r="T1512" s="8" t="n">
        <f aca="false">IF(O1512&gt;=Models!$G$8,1+COUNTIF($O$5:$O$1517,"&gt;"&amp;O1512)+COUNTIFS($O$5:$O$1517,O1512,$B$5:$B$1517,"&lt;"&amp;B1512)+COUNTIFS($O$5:$O$1517,O1512,$B$5:$B$1517,B1512,$C$5:$C$1517,"&lt;"&amp;C1512),"")</f>
        <v>1508</v>
      </c>
      <c r="U1512" s="8" t="n">
        <f aca="false">IF($K1512=1,COUNTIFS($L$5:$L$1517,"&gt;="&amp;L1512,$K$5:$K$1517,1)/COUNTIF($L$5:$L$1517,"&gt;="&amp;L1512),0)</f>
        <v>0.127952755905512</v>
      </c>
      <c r="V1512" s="8" t="n">
        <f aca="false">IF($K1512=1,COUNTIFS($M$5:$M$1517,"&gt;="&amp;M1512,$K$5:$K$1517,1)/COUNTIF($M$5:$M$1517,"&gt;="&amp;M1512),0)</f>
        <v>0.12491738268341</v>
      </c>
      <c r="W1512" s="8" t="n">
        <f aca="false">IF($K1512=1,COUNTIFS($N$5:$N$1517,"&gt;="&amp;N1512,$K$5:$K$1517,1)/COUNTIF($N$5:$N$1517,"&gt;="&amp;N1512),0)</f>
        <v>0.318518518518519</v>
      </c>
      <c r="X1512" s="8" t="n">
        <f aca="false">IF($K1512=1,COUNTIFS($O$5:$O$1517,"&gt;="&amp;O1512,$K$5:$K$1517,1)/COUNTIF($O$5:$O$1517,"&gt;="&amp;O1512),0)</f>
        <v>0.12491738268341</v>
      </c>
      <c r="Y1512" s="8" t="n">
        <f aca="false">IF($K1512=1,COUNTIFS($P$5:$P$1517,"&gt;="&amp;P1512,$K$5:$K$1517,1)/COUNTIF($P$5:$P$1517,"&gt;="&amp;P1512),0)</f>
        <v>0.318518518518519</v>
      </c>
      <c r="Z1512" s="8" t="n">
        <f aca="false">(L1512-$K1512)^2</f>
        <v>0.1181090689</v>
      </c>
      <c r="AA1512" s="8" t="n">
        <f aca="false">(M1512-$K1512)^2</f>
        <v>0.824349595969</v>
      </c>
      <c r="AB1512" s="8" t="n">
        <f aca="false">(N1512-$K1512)^2</f>
        <v>0.696562167609</v>
      </c>
      <c r="AC1512" s="8" t="n">
        <f aca="false">(O1512-$K1512)^2</f>
        <v>0.798908829489</v>
      </c>
      <c r="AD1512" s="8" t="n">
        <f aca="false">(P1512-$K1512)^2</f>
        <v>0.674888538256</v>
      </c>
      <c r="AE1512" s="8" t="n">
        <f aca="false">MIN(INT(ROUND(N1512*1000000,0)/100000),9)</f>
        <v>1</v>
      </c>
      <c r="AF1512" s="8" t="n">
        <f aca="false">MIN(INT(ROUND(P1512*1000000,0)/100000),9)</f>
        <v>1</v>
      </c>
    </row>
    <row r="1513" customFormat="false" ht="15" hidden="false" customHeight="false" outlineLevel="0" collapsed="false">
      <c r="A1513" s="4" t="n">
        <v>1509</v>
      </c>
      <c r="B1513" s="4" t="n">
        <v>1855</v>
      </c>
      <c r="C1513" s="4" t="n">
        <v>3</v>
      </c>
      <c r="D1513" s="11" t="n">
        <v>46143</v>
      </c>
      <c r="E1513" s="4" t="s">
        <v>203</v>
      </c>
      <c r="F1513" s="4" t="s">
        <v>210</v>
      </c>
      <c r="G1513" s="4" t="n">
        <v>5</v>
      </c>
      <c r="H1513" s="4" t="n">
        <v>13</v>
      </c>
      <c r="I1513" s="4" t="n">
        <v>0</v>
      </c>
      <c r="J1513" s="4" t="n">
        <v>372</v>
      </c>
      <c r="K1513" s="4" t="n">
        <v>1</v>
      </c>
      <c r="L1513" s="12" t="n">
        <v>0.544538</v>
      </c>
      <c r="M1513" s="12" t="n">
        <v>0.092063</v>
      </c>
      <c r="N1513" s="12" t="n">
        <v>0.117006</v>
      </c>
      <c r="O1513" s="12" t="n">
        <v>0.106183</v>
      </c>
      <c r="P1513" s="12" t="n">
        <v>0.124741</v>
      </c>
      <c r="Q1513" s="0" t="str">
        <f aca="false">IF(L1513&gt;=Models!$G$5,1+COUNTIF($L$5:$L$1517,"&gt;"&amp;L1513)+COUNTIFS($L$5:$L$1517,L1513,$B$5:$B$1517,"&lt;"&amp;B1513)+COUNTIFS($L$5:$L$1517,L1513,$B$5:$B$1517,B1513,$C$5:$C$1517,"&lt;"&amp;C1513),"")</f>
        <v/>
      </c>
      <c r="R1513" s="0" t="str">
        <f aca="false">IF(M1513&gt;=Models!$G$6,1+COUNTIF($M$5:$M$1517,"&gt;"&amp;M1513)+COUNTIFS($M$5:$M$1517,M1513,$B$5:$B$1517,"&lt;"&amp;B1513)+COUNTIFS($M$5:$M$1517,M1513,$B$5:$B$1517,B1513,$C$5:$C$1517,"&lt;"&amp;C1513),"")</f>
        <v/>
      </c>
      <c r="S1513" s="0" t="str">
        <f aca="false">IF(N1513&gt;=Models!$G$7,1+COUNTIF($N$5:$N$1517,"&gt;"&amp;N1513)+COUNTIFS($N$5:$N$1517,N1513,$B$5:$B$1517,"&lt;"&amp;B1513)+COUNTIFS($N$5:$N$1517,N1513,$B$5:$B$1517,B1513,$C$5:$C$1517,"&lt;"&amp;C1513),"")</f>
        <v/>
      </c>
      <c r="T1513" s="8" t="n">
        <f aca="false">IF(O1513&gt;=Models!$G$8,1+COUNTIF($O$5:$O$1517,"&gt;"&amp;O1513)+COUNTIFS($O$5:$O$1517,O1513,$B$5:$B$1517,"&lt;"&amp;B1513)+COUNTIFS($O$5:$O$1517,O1513,$B$5:$B$1517,B1513,$C$5:$C$1517,"&lt;"&amp;C1513),"")</f>
        <v>1509</v>
      </c>
      <c r="U1513" s="8" t="n">
        <f aca="false">IF($K1513=1,COUNTIFS($L$5:$L$1517,"&gt;="&amp;L1513,$K$5:$K$1517,1)/COUNTIF($L$5:$L$1517,"&gt;="&amp;L1513),0)</f>
        <v>0.120234604105572</v>
      </c>
      <c r="V1513" s="8" t="n">
        <f aca="false">IF($K1513=1,COUNTIFS($M$5:$M$1517,"&gt;="&amp;M1513,$K$5:$K$1517,1)/COUNTIF($M$5:$M$1517,"&gt;="&amp;M1513),0)</f>
        <v>0.12491738268341</v>
      </c>
      <c r="W1513" s="8" t="n">
        <f aca="false">IF($K1513=1,COUNTIFS($N$5:$N$1517,"&gt;="&amp;N1513,$K$5:$K$1517,1)/COUNTIF($N$5:$N$1517,"&gt;="&amp;N1513),0)</f>
        <v>0.213861386138614</v>
      </c>
      <c r="X1513" s="8" t="n">
        <f aca="false">IF($K1513=1,COUNTIFS($O$5:$O$1517,"&gt;="&amp;O1513,$K$5:$K$1517,1)/COUNTIF($O$5:$O$1517,"&gt;="&amp;O1513),0)</f>
        <v>0.12491738268341</v>
      </c>
      <c r="Y1513" s="8" t="n">
        <f aca="false">IF($K1513=1,COUNTIFS($P$5:$P$1517,"&gt;="&amp;P1513,$K$5:$K$1517,1)/COUNTIF($P$5:$P$1517,"&gt;="&amp;P1513),0)</f>
        <v>0.213861386138614</v>
      </c>
      <c r="Z1513" s="8" t="n">
        <f aca="false">(L1513-$K1513)^2</f>
        <v>0.207445633444</v>
      </c>
      <c r="AA1513" s="8" t="n">
        <f aca="false">(M1513-$K1513)^2</f>
        <v>0.824349595969</v>
      </c>
      <c r="AB1513" s="8" t="n">
        <f aca="false">(N1513-$K1513)^2</f>
        <v>0.779678404036</v>
      </c>
      <c r="AC1513" s="8" t="n">
        <f aca="false">(O1513-$K1513)^2</f>
        <v>0.798908829489</v>
      </c>
      <c r="AD1513" s="8" t="n">
        <f aca="false">(P1513-$K1513)^2</f>
        <v>0.766078317081</v>
      </c>
      <c r="AE1513" s="8" t="n">
        <f aca="false">MIN(INT(ROUND(N1513*1000000,0)/100000),9)</f>
        <v>1</v>
      </c>
      <c r="AF1513" s="8" t="n">
        <f aca="false">MIN(INT(ROUND(P1513*1000000,0)/100000),9)</f>
        <v>1</v>
      </c>
    </row>
    <row r="1514" customFormat="false" ht="15" hidden="false" customHeight="false" outlineLevel="0" collapsed="false">
      <c r="A1514" s="4" t="n">
        <v>1510</v>
      </c>
      <c r="B1514" s="4" t="n">
        <v>1856</v>
      </c>
      <c r="C1514" s="4" t="n">
        <v>3</v>
      </c>
      <c r="D1514" s="11" t="n">
        <v>46143</v>
      </c>
      <c r="E1514" s="4" t="s">
        <v>204</v>
      </c>
      <c r="F1514" s="4" t="s">
        <v>208</v>
      </c>
      <c r="G1514" s="4" t="n">
        <v>2</v>
      </c>
      <c r="H1514" s="4" t="n">
        <v>2</v>
      </c>
      <c r="I1514" s="4" t="n">
        <v>0</v>
      </c>
      <c r="J1514" s="4" t="n">
        <v>69</v>
      </c>
      <c r="K1514" s="4" t="n">
        <v>0</v>
      </c>
      <c r="L1514" s="12" t="n">
        <v>0.718128</v>
      </c>
      <c r="M1514" s="12" t="n">
        <v>0.092063</v>
      </c>
      <c r="N1514" s="12" t="n">
        <v>0.138995</v>
      </c>
      <c r="O1514" s="12" t="n">
        <v>0.106183</v>
      </c>
      <c r="P1514" s="12" t="n">
        <v>0.149128</v>
      </c>
      <c r="Q1514" s="0" t="str">
        <f aca="false">IF(L1514&gt;=Models!$G$5,1+COUNTIF($L$5:$L$1517,"&gt;"&amp;L1514)+COUNTIFS($L$5:$L$1517,L1514,$B$5:$B$1517,"&lt;"&amp;B1514)+COUNTIFS($L$5:$L$1517,L1514,$B$5:$B$1517,B1514,$C$5:$C$1517,"&lt;"&amp;C1514),"")</f>
        <v/>
      </c>
      <c r="R1514" s="0" t="str">
        <f aca="false">IF(M1514&gt;=Models!$G$6,1+COUNTIF($M$5:$M$1517,"&gt;"&amp;M1514)+COUNTIFS($M$5:$M$1517,M1514,$B$5:$B$1517,"&lt;"&amp;B1514)+COUNTIFS($M$5:$M$1517,M1514,$B$5:$B$1517,B1514,$C$5:$C$1517,"&lt;"&amp;C1514),"")</f>
        <v/>
      </c>
      <c r="S1514" s="0" t="str">
        <f aca="false">IF(N1514&gt;=Models!$G$7,1+COUNTIF($N$5:$N$1517,"&gt;"&amp;N1514)+COUNTIFS($N$5:$N$1517,N1514,$B$5:$B$1517,"&lt;"&amp;B1514)+COUNTIFS($N$5:$N$1517,N1514,$B$5:$B$1517,B1514,$C$5:$C$1517,"&lt;"&amp;C1514),"")</f>
        <v/>
      </c>
      <c r="T1514" s="8" t="n">
        <f aca="false">IF(O1514&gt;=Models!$G$8,1+COUNTIF($O$5:$O$1517,"&gt;"&amp;O1514)+COUNTIFS($O$5:$O$1517,O1514,$B$5:$B$1517,"&lt;"&amp;B1514)+COUNTIFS($O$5:$O$1517,O1514,$B$5:$B$1517,B1514,$C$5:$C$1517,"&lt;"&amp;C1514),"")</f>
        <v>1510</v>
      </c>
      <c r="U1514" s="8" t="n">
        <f aca="false">IF($K1514=1,COUNTIFS($L$5:$L$1517,"&gt;="&amp;L1514,$K$5:$K$1517,1)/COUNTIF($L$5:$L$1517,"&gt;="&amp;L1514),0)</f>
        <v>0</v>
      </c>
      <c r="V1514" s="8" t="n">
        <f aca="false">IF($K1514=1,COUNTIFS($M$5:$M$1517,"&gt;="&amp;M1514,$K$5:$K$1517,1)/COUNTIF($M$5:$M$1517,"&gt;="&amp;M1514),0)</f>
        <v>0</v>
      </c>
      <c r="W1514" s="8" t="n">
        <f aca="false">IF($K1514=1,COUNTIFS($N$5:$N$1517,"&gt;="&amp;N1514,$K$5:$K$1517,1)/COUNTIF($N$5:$N$1517,"&gt;="&amp;N1514),0)</f>
        <v>0</v>
      </c>
      <c r="X1514" s="8" t="n">
        <f aca="false">IF($K1514=1,COUNTIFS($O$5:$O$1517,"&gt;="&amp;O1514,$K$5:$K$1517,1)/COUNTIF($O$5:$O$1517,"&gt;="&amp;O1514),0)</f>
        <v>0</v>
      </c>
      <c r="Y1514" s="8" t="n">
        <f aca="false">IF($K1514=1,COUNTIFS($P$5:$P$1517,"&gt;="&amp;P1514,$K$5:$K$1517,1)/COUNTIF($P$5:$P$1517,"&gt;="&amp;P1514),0)</f>
        <v>0</v>
      </c>
      <c r="Z1514" s="8" t="n">
        <f aca="false">(L1514-$K1514)^2</f>
        <v>0.515707824384</v>
      </c>
      <c r="AA1514" s="8" t="n">
        <f aca="false">(M1514-$K1514)^2</f>
        <v>0.008475595969</v>
      </c>
      <c r="AB1514" s="8" t="n">
        <f aca="false">(N1514-$K1514)^2</f>
        <v>0.019319610025</v>
      </c>
      <c r="AC1514" s="8" t="n">
        <f aca="false">(O1514-$K1514)^2</f>
        <v>0.011274829489</v>
      </c>
      <c r="AD1514" s="8" t="n">
        <f aca="false">(P1514-$K1514)^2</f>
        <v>0.022239160384</v>
      </c>
      <c r="AE1514" s="8" t="n">
        <f aca="false">MIN(INT(ROUND(N1514*1000000,0)/100000),9)</f>
        <v>1</v>
      </c>
      <c r="AF1514" s="8" t="n">
        <f aca="false">MIN(INT(ROUND(P1514*1000000,0)/100000),9)</f>
        <v>1</v>
      </c>
    </row>
    <row r="1515" customFormat="false" ht="15" hidden="false" customHeight="false" outlineLevel="0" collapsed="false">
      <c r="A1515" s="4" t="n">
        <v>1511</v>
      </c>
      <c r="B1515" s="4" t="n">
        <v>1858</v>
      </c>
      <c r="C1515" s="4" t="n">
        <v>3</v>
      </c>
      <c r="D1515" s="11" t="n">
        <v>46143</v>
      </c>
      <c r="E1515" s="4" t="s">
        <v>204</v>
      </c>
      <c r="F1515" s="4" t="s">
        <v>206</v>
      </c>
      <c r="G1515" s="4" t="n">
        <v>1</v>
      </c>
      <c r="H1515" s="4" t="n">
        <v>16</v>
      </c>
      <c r="I1515" s="4" t="n">
        <v>0</v>
      </c>
      <c r="J1515" s="4" t="n">
        <v>114</v>
      </c>
      <c r="K1515" s="4" t="n">
        <v>0</v>
      </c>
      <c r="L1515" s="12" t="n">
        <v>0.861103</v>
      </c>
      <c r="M1515" s="12" t="n">
        <v>0.092063</v>
      </c>
      <c r="N1515" s="12" t="n">
        <v>0.16499</v>
      </c>
      <c r="O1515" s="12" t="n">
        <v>0.106183</v>
      </c>
      <c r="P1515" s="12" t="n">
        <v>0.178032</v>
      </c>
      <c r="Q1515" s="0" t="str">
        <f aca="false">IF(L1515&gt;=Models!$G$5,1+COUNTIF($L$5:$L$1517,"&gt;"&amp;L1515)+COUNTIFS($L$5:$L$1517,L1515,$B$5:$B$1517,"&lt;"&amp;B1515)+COUNTIFS($L$5:$L$1517,L1515,$B$5:$B$1517,B1515,$C$5:$C$1517,"&lt;"&amp;C1515),"")</f>
        <v/>
      </c>
      <c r="R1515" s="0" t="str">
        <f aca="false">IF(M1515&gt;=Models!$G$6,1+COUNTIF($M$5:$M$1517,"&gt;"&amp;M1515)+COUNTIFS($M$5:$M$1517,M1515,$B$5:$B$1517,"&lt;"&amp;B1515)+COUNTIFS($M$5:$M$1517,M1515,$B$5:$B$1517,B1515,$C$5:$C$1517,"&lt;"&amp;C1515),"")</f>
        <v/>
      </c>
      <c r="S1515" s="0" t="str">
        <f aca="false">IF(N1515&gt;=Models!$G$7,1+COUNTIF($N$5:$N$1517,"&gt;"&amp;N1515)+COUNTIFS($N$5:$N$1517,N1515,$B$5:$B$1517,"&lt;"&amp;B1515)+COUNTIFS($N$5:$N$1517,N1515,$B$5:$B$1517,B1515,$C$5:$C$1517,"&lt;"&amp;C1515),"")</f>
        <v/>
      </c>
      <c r="T1515" s="8" t="n">
        <f aca="false">IF(O1515&gt;=Models!$G$8,1+COUNTIF($O$5:$O$1517,"&gt;"&amp;O1515)+COUNTIFS($O$5:$O$1517,O1515,$B$5:$B$1517,"&lt;"&amp;B1515)+COUNTIFS($O$5:$O$1517,O1515,$B$5:$B$1517,B1515,$C$5:$C$1517,"&lt;"&amp;C1515),"")</f>
        <v>1511</v>
      </c>
      <c r="U1515" s="8" t="n">
        <f aca="false">IF($K1515=1,COUNTIFS($L$5:$L$1517,"&gt;="&amp;L1515,$K$5:$K$1517,1)/COUNTIF($L$5:$L$1517,"&gt;="&amp;L1515),0)</f>
        <v>0</v>
      </c>
      <c r="V1515" s="8" t="n">
        <f aca="false">IF($K1515=1,COUNTIFS($M$5:$M$1517,"&gt;="&amp;M1515,$K$5:$K$1517,1)/COUNTIF($M$5:$M$1517,"&gt;="&amp;M1515),0)</f>
        <v>0</v>
      </c>
      <c r="W1515" s="8" t="n">
        <f aca="false">IF($K1515=1,COUNTIFS($N$5:$N$1517,"&gt;="&amp;N1515,$K$5:$K$1517,1)/COUNTIF($N$5:$N$1517,"&gt;="&amp;N1515),0)</f>
        <v>0</v>
      </c>
      <c r="X1515" s="8" t="n">
        <f aca="false">IF($K1515=1,COUNTIFS($O$5:$O$1517,"&gt;="&amp;O1515,$K$5:$K$1517,1)/COUNTIF($O$5:$O$1517,"&gt;="&amp;O1515),0)</f>
        <v>0</v>
      </c>
      <c r="Y1515" s="8" t="n">
        <f aca="false">IF($K1515=1,COUNTIFS($P$5:$P$1517,"&gt;="&amp;P1515,$K$5:$K$1517,1)/COUNTIF($P$5:$P$1517,"&gt;="&amp;P1515),0)</f>
        <v>0</v>
      </c>
      <c r="Z1515" s="8" t="n">
        <f aca="false">(L1515-$K1515)^2</f>
        <v>0.741498376609</v>
      </c>
      <c r="AA1515" s="8" t="n">
        <f aca="false">(M1515-$K1515)^2</f>
        <v>0.008475595969</v>
      </c>
      <c r="AB1515" s="8" t="n">
        <f aca="false">(N1515-$K1515)^2</f>
        <v>0.0272217001</v>
      </c>
      <c r="AC1515" s="8" t="n">
        <f aca="false">(O1515-$K1515)^2</f>
        <v>0.011274829489</v>
      </c>
      <c r="AD1515" s="8" t="n">
        <f aca="false">(P1515-$K1515)^2</f>
        <v>0.031695393024</v>
      </c>
      <c r="AE1515" s="8" t="n">
        <f aca="false">MIN(INT(ROUND(N1515*1000000,0)/100000),9)</f>
        <v>1</v>
      </c>
      <c r="AF1515" s="8" t="n">
        <f aca="false">MIN(INT(ROUND(P1515*1000000,0)/100000),9)</f>
        <v>1</v>
      </c>
    </row>
    <row r="1516" customFormat="false" ht="15" hidden="false" customHeight="false" outlineLevel="0" collapsed="false">
      <c r="A1516" s="4" t="n">
        <v>1512</v>
      </c>
      <c r="B1516" s="4" t="n">
        <v>1859</v>
      </c>
      <c r="C1516" s="4" t="n">
        <v>3</v>
      </c>
      <c r="D1516" s="11" t="n">
        <v>46143</v>
      </c>
      <c r="E1516" s="4" t="s">
        <v>202</v>
      </c>
      <c r="F1516" s="4" t="s">
        <v>206</v>
      </c>
      <c r="G1516" s="4" t="n">
        <v>14</v>
      </c>
      <c r="H1516" s="4" t="n">
        <v>2</v>
      </c>
      <c r="I1516" s="4" t="n">
        <v>0</v>
      </c>
      <c r="J1516" s="4"/>
      <c r="K1516" s="4" t="n">
        <v>0</v>
      </c>
      <c r="L1516" s="12" t="n">
        <v>0.121709</v>
      </c>
      <c r="M1516" s="12" t="n">
        <v>0.092063</v>
      </c>
      <c r="N1516" s="12" t="n">
        <v>0.025177</v>
      </c>
      <c r="O1516" s="12" t="n">
        <v>0.106183</v>
      </c>
      <c r="P1516" s="12" t="n">
        <v>0.025055</v>
      </c>
      <c r="Q1516" s="0" t="str">
        <f aca="false">IF(L1516&gt;=Models!$G$5,1+COUNTIF($L$5:$L$1517,"&gt;"&amp;L1516)+COUNTIFS($L$5:$L$1517,L1516,$B$5:$B$1517,"&lt;"&amp;B1516)+COUNTIFS($L$5:$L$1517,L1516,$B$5:$B$1517,B1516,$C$5:$C$1517,"&lt;"&amp;C1516),"")</f>
        <v/>
      </c>
      <c r="R1516" s="0" t="str">
        <f aca="false">IF(M1516&gt;=Models!$G$6,1+COUNTIF($M$5:$M$1517,"&gt;"&amp;M1516)+COUNTIFS($M$5:$M$1517,M1516,$B$5:$B$1517,"&lt;"&amp;B1516)+COUNTIFS($M$5:$M$1517,M1516,$B$5:$B$1517,B1516,$C$5:$C$1517,"&lt;"&amp;C1516),"")</f>
        <v/>
      </c>
      <c r="S1516" s="0" t="str">
        <f aca="false">IF(N1516&gt;=Models!$G$7,1+COUNTIF($N$5:$N$1517,"&gt;"&amp;N1516)+COUNTIFS($N$5:$N$1517,N1516,$B$5:$B$1517,"&lt;"&amp;B1516)+COUNTIFS($N$5:$N$1517,N1516,$B$5:$B$1517,B1516,$C$5:$C$1517,"&lt;"&amp;C1516),"")</f>
        <v/>
      </c>
      <c r="T1516" s="8" t="n">
        <f aca="false">IF(O1516&gt;=Models!$G$8,1+COUNTIF($O$5:$O$1517,"&gt;"&amp;O1516)+COUNTIFS($O$5:$O$1517,O1516,$B$5:$B$1517,"&lt;"&amp;B1516)+COUNTIFS($O$5:$O$1517,O1516,$B$5:$B$1517,B1516,$C$5:$C$1517,"&lt;"&amp;C1516),"")</f>
        <v>1512</v>
      </c>
      <c r="U1516" s="8" t="n">
        <f aca="false">IF($K1516=1,COUNTIFS($L$5:$L$1517,"&gt;="&amp;L1516,$K$5:$K$1517,1)/COUNTIF($L$5:$L$1517,"&gt;="&amp;L1516),0)</f>
        <v>0</v>
      </c>
      <c r="V1516" s="8" t="n">
        <f aca="false">IF($K1516=1,COUNTIFS($M$5:$M$1517,"&gt;="&amp;M1516,$K$5:$K$1517,1)/COUNTIF($M$5:$M$1517,"&gt;="&amp;M1516),0)</f>
        <v>0</v>
      </c>
      <c r="W1516" s="8" t="n">
        <f aca="false">IF($K1516=1,COUNTIFS($N$5:$N$1517,"&gt;="&amp;N1516,$K$5:$K$1517,1)/COUNTIF($N$5:$N$1517,"&gt;="&amp;N1516),0)</f>
        <v>0</v>
      </c>
      <c r="X1516" s="8" t="n">
        <f aca="false">IF($K1516=1,COUNTIFS($O$5:$O$1517,"&gt;="&amp;O1516,$K$5:$K$1517,1)/COUNTIF($O$5:$O$1517,"&gt;="&amp;O1516),0)</f>
        <v>0</v>
      </c>
      <c r="Y1516" s="8" t="n">
        <f aca="false">IF($K1516=1,COUNTIFS($P$5:$P$1517,"&gt;="&amp;P1516,$K$5:$K$1517,1)/COUNTIF($P$5:$P$1517,"&gt;="&amp;P1516),0)</f>
        <v>0</v>
      </c>
      <c r="Z1516" s="8" t="n">
        <f aca="false">(L1516-$K1516)^2</f>
        <v>0.014813080681</v>
      </c>
      <c r="AA1516" s="8" t="n">
        <f aca="false">(M1516-$K1516)^2</f>
        <v>0.008475595969</v>
      </c>
      <c r="AB1516" s="8" t="n">
        <f aca="false">(N1516-$K1516)^2</f>
        <v>0.000633881329</v>
      </c>
      <c r="AC1516" s="8" t="n">
        <f aca="false">(O1516-$K1516)^2</f>
        <v>0.011274829489</v>
      </c>
      <c r="AD1516" s="8" t="n">
        <f aca="false">(P1516-$K1516)^2</f>
        <v>0.000627753025</v>
      </c>
      <c r="AE1516" s="8" t="n">
        <f aca="false">MIN(INT(ROUND(N1516*1000000,0)/100000),9)</f>
        <v>0</v>
      </c>
      <c r="AF1516" s="8" t="n">
        <f aca="false">MIN(INT(ROUND(P1516*1000000,0)/100000),9)</f>
        <v>0</v>
      </c>
    </row>
    <row r="1517" customFormat="false" ht="15" hidden="false" customHeight="false" outlineLevel="0" collapsed="false">
      <c r="A1517" s="4" t="n">
        <v>1513</v>
      </c>
      <c r="B1517" s="4" t="n">
        <v>1871</v>
      </c>
      <c r="C1517" s="4" t="n">
        <v>3</v>
      </c>
      <c r="D1517" s="11" t="n">
        <v>46143</v>
      </c>
      <c r="E1517" s="4" t="s">
        <v>203</v>
      </c>
      <c r="F1517" s="4" t="s">
        <v>209</v>
      </c>
      <c r="G1517" s="4" t="n">
        <v>5</v>
      </c>
      <c r="H1517" s="4" t="n">
        <v>4</v>
      </c>
      <c r="I1517" s="4" t="n">
        <v>0</v>
      </c>
      <c r="J1517" s="4" t="n">
        <v>357</v>
      </c>
      <c r="K1517" s="4" t="n">
        <v>0</v>
      </c>
      <c r="L1517" s="12" t="n">
        <v>0.860473</v>
      </c>
      <c r="M1517" s="12" t="n">
        <v>0.092063</v>
      </c>
      <c r="N1517" s="12" t="n">
        <v>0.109684</v>
      </c>
      <c r="O1517" s="12" t="n">
        <v>0.106183</v>
      </c>
      <c r="P1517" s="12" t="n">
        <v>0.116641</v>
      </c>
      <c r="Q1517" s="0" t="str">
        <f aca="false">IF(L1517&gt;=Models!$G$5,1+COUNTIF($L$5:$L$1517,"&gt;"&amp;L1517)+COUNTIFS($L$5:$L$1517,L1517,$B$5:$B$1517,"&lt;"&amp;B1517)+COUNTIFS($L$5:$L$1517,L1517,$B$5:$B$1517,B1517,$C$5:$C$1517,"&lt;"&amp;C1517),"")</f>
        <v/>
      </c>
      <c r="R1517" s="0" t="str">
        <f aca="false">IF(M1517&gt;=Models!$G$6,1+COUNTIF($M$5:$M$1517,"&gt;"&amp;M1517)+COUNTIFS($M$5:$M$1517,M1517,$B$5:$B$1517,"&lt;"&amp;B1517)+COUNTIFS($M$5:$M$1517,M1517,$B$5:$B$1517,B1517,$C$5:$C$1517,"&lt;"&amp;C1517),"")</f>
        <v/>
      </c>
      <c r="S1517" s="0" t="str">
        <f aca="false">IF(N1517&gt;=Models!$G$7,1+COUNTIF($N$5:$N$1517,"&gt;"&amp;N1517)+COUNTIFS($N$5:$N$1517,N1517,$B$5:$B$1517,"&lt;"&amp;B1517)+COUNTIFS($N$5:$N$1517,N1517,$B$5:$B$1517,B1517,$C$5:$C$1517,"&lt;"&amp;C1517),"")</f>
        <v/>
      </c>
      <c r="T1517" s="8" t="n">
        <f aca="false">IF(O1517&gt;=Models!$G$8,1+COUNTIF($O$5:$O$1517,"&gt;"&amp;O1517)+COUNTIFS($O$5:$O$1517,O1517,$B$5:$B$1517,"&lt;"&amp;B1517)+COUNTIFS($O$5:$O$1517,O1517,$B$5:$B$1517,B1517,$C$5:$C$1517,"&lt;"&amp;C1517),"")</f>
        <v>1513</v>
      </c>
      <c r="U1517" s="8" t="n">
        <f aca="false">IF($K1517=1,COUNTIFS($L$5:$L$1517,"&gt;="&amp;L1517,$K$5:$K$1517,1)/COUNTIF($L$5:$L$1517,"&gt;="&amp;L1517),0)</f>
        <v>0</v>
      </c>
      <c r="V1517" s="8" t="n">
        <f aca="false">IF($K1517=1,COUNTIFS($M$5:$M$1517,"&gt;="&amp;M1517,$K$5:$K$1517,1)/COUNTIF($M$5:$M$1517,"&gt;="&amp;M1517),0)</f>
        <v>0</v>
      </c>
      <c r="W1517" s="8" t="n">
        <f aca="false">IF($K1517=1,COUNTIFS($N$5:$N$1517,"&gt;="&amp;N1517,$K$5:$K$1517,1)/COUNTIF($N$5:$N$1517,"&gt;="&amp;N1517),0)</f>
        <v>0</v>
      </c>
      <c r="X1517" s="8" t="n">
        <f aca="false">IF($K1517=1,COUNTIFS($O$5:$O$1517,"&gt;="&amp;O1517,$K$5:$K$1517,1)/COUNTIF($O$5:$O$1517,"&gt;="&amp;O1517),0)</f>
        <v>0</v>
      </c>
      <c r="Y1517" s="8" t="n">
        <f aca="false">IF($K1517=1,COUNTIFS($P$5:$P$1517,"&gt;="&amp;P1517,$K$5:$K$1517,1)/COUNTIF($P$5:$P$1517,"&gt;="&amp;P1517),0)</f>
        <v>0</v>
      </c>
      <c r="Z1517" s="8" t="n">
        <f aca="false">(L1517-$K1517)^2</f>
        <v>0.740413783729</v>
      </c>
      <c r="AA1517" s="8" t="n">
        <f aca="false">(M1517-$K1517)^2</f>
        <v>0.008475595969</v>
      </c>
      <c r="AB1517" s="8" t="n">
        <f aca="false">(N1517-$K1517)^2</f>
        <v>0.012030579856</v>
      </c>
      <c r="AC1517" s="8" t="n">
        <f aca="false">(O1517-$K1517)^2</f>
        <v>0.011274829489</v>
      </c>
      <c r="AD1517" s="8" t="n">
        <f aca="false">(P1517-$K1517)^2</f>
        <v>0.013605122881</v>
      </c>
      <c r="AE1517" s="8" t="n">
        <f aca="false">MIN(INT(ROUND(N1517*1000000,0)/100000),9)</f>
        <v>1</v>
      </c>
      <c r="AF1517" s="8" t="n">
        <f aca="false">MIN(INT(ROUND(P1517*1000000,0)/100000),9)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7.35" hidden="false" customHeight="false" outlineLevel="0" collapsed="false">
      <c r="A1" s="1" t="s">
        <v>395</v>
      </c>
    </row>
    <row r="3" customFormat="false" ht="15" hidden="false" customHeight="false" outlineLevel="0" collapsed="false">
      <c r="A3" s="2" t="s">
        <v>396</v>
      </c>
    </row>
    <row r="5" customFormat="false" ht="15" hidden="false" customHeight="false" outlineLevel="0" collapsed="false">
      <c r="A5" s="2" t="s">
        <v>397</v>
      </c>
    </row>
    <row r="6" customFormat="false" ht="41.75" hidden="false" customHeight="false" outlineLevel="0" collapsed="false">
      <c r="A6" s="7" t="s">
        <v>139</v>
      </c>
      <c r="B6" s="7" t="s">
        <v>398</v>
      </c>
      <c r="C6" s="7" t="s">
        <v>399</v>
      </c>
      <c r="D6" s="7" t="s">
        <v>400</v>
      </c>
      <c r="E6" s="7" t="s">
        <v>401</v>
      </c>
      <c r="F6" s="7" t="s">
        <v>143</v>
      </c>
      <c r="G6" s="7" t="s">
        <v>402</v>
      </c>
      <c r="H6" s="7" t="s">
        <v>403</v>
      </c>
      <c r="I6" s="7" t="s">
        <v>404</v>
      </c>
    </row>
    <row r="7" customFormat="false" ht="15" hidden="false" customHeight="false" outlineLevel="0" collapsed="false">
      <c r="A7" s="4" t="s">
        <v>150</v>
      </c>
      <c r="B7" s="4" t="n">
        <v>1513</v>
      </c>
      <c r="C7" s="4" t="n">
        <v>442</v>
      </c>
      <c r="D7" s="4" t="n">
        <v>189</v>
      </c>
      <c r="E7" s="4" t="n">
        <v>95</v>
      </c>
      <c r="F7" s="4" t="n">
        <v>0.124917</v>
      </c>
      <c r="G7" s="4" t="n">
        <v>0.126793</v>
      </c>
      <c r="H7" s="4" t="n">
        <v>0.326543</v>
      </c>
      <c r="I7" s="4" t="n">
        <v>0.491803</v>
      </c>
    </row>
    <row r="8" customFormat="false" ht="15" hidden="false" customHeight="false" outlineLevel="0" collapsed="false">
      <c r="A8" s="4" t="s">
        <v>152</v>
      </c>
      <c r="B8" s="4" t="n">
        <v>1513</v>
      </c>
      <c r="C8" s="4" t="n">
        <v>442</v>
      </c>
      <c r="D8" s="4" t="n">
        <v>189</v>
      </c>
      <c r="E8" s="4" t="n">
        <v>95</v>
      </c>
      <c r="F8" s="4" t="n">
        <v>0.124917</v>
      </c>
      <c r="G8" s="4" t="n">
        <v>0.136653</v>
      </c>
      <c r="H8" s="4" t="n">
        <v>0.109255</v>
      </c>
      <c r="I8" s="4" t="n">
        <v>0.103818</v>
      </c>
    </row>
    <row r="9" customFormat="false" ht="15" hidden="false" customHeight="false" outlineLevel="0" collapsed="false">
      <c r="A9" s="4" t="s">
        <v>174</v>
      </c>
      <c r="B9" s="4" t="n">
        <v>1513</v>
      </c>
      <c r="C9" s="4" t="n">
        <v>442</v>
      </c>
      <c r="D9" s="4" t="n">
        <v>189</v>
      </c>
      <c r="E9" s="4" t="n">
        <v>95</v>
      </c>
      <c r="F9" s="4" t="n">
        <v>0.124917</v>
      </c>
      <c r="G9" s="4" t="n">
        <v>0.238552</v>
      </c>
      <c r="H9" s="4" t="n">
        <v>0.105019</v>
      </c>
      <c r="I9" s="4" t="n">
        <v>0.096314</v>
      </c>
    </row>
    <row r="10" customFormat="false" ht="15" hidden="false" customHeight="false" outlineLevel="0" collapsed="false">
      <c r="A10" s="4" t="s">
        <v>155</v>
      </c>
      <c r="B10" s="4" t="n">
        <v>1513</v>
      </c>
      <c r="C10" s="4" t="n">
        <v>442</v>
      </c>
      <c r="D10" s="4" t="n">
        <v>189</v>
      </c>
      <c r="E10" s="4" t="n">
        <v>95</v>
      </c>
      <c r="F10" s="4" t="n">
        <v>0.124917</v>
      </c>
      <c r="G10" s="4" t="n">
        <v>0.124917</v>
      </c>
      <c r="H10" s="4" t="n">
        <v>0.109664</v>
      </c>
      <c r="I10" s="4" t="n">
        <v>0.106183</v>
      </c>
    </row>
    <row r="11" customFormat="false" ht="15" hidden="false" customHeight="false" outlineLevel="0" collapsed="false">
      <c r="A11" s="4" t="s">
        <v>185</v>
      </c>
      <c r="B11" s="4" t="n">
        <v>1513</v>
      </c>
      <c r="C11" s="4" t="n">
        <v>442</v>
      </c>
      <c r="D11" s="4" t="n">
        <v>189</v>
      </c>
      <c r="E11" s="4" t="n">
        <v>95</v>
      </c>
      <c r="F11" s="4" t="n">
        <v>0.124917</v>
      </c>
      <c r="G11" s="4" t="n">
        <v>0.238552</v>
      </c>
      <c r="H11" s="4" t="n">
        <v>0.104515</v>
      </c>
      <c r="I11" s="4" t="n">
        <v>0.102358</v>
      </c>
    </row>
    <row r="13" customFormat="false" ht="15" hidden="false" customHeight="false" outlineLevel="0" collapsed="false">
      <c r="A13" s="2" t="s">
        <v>405</v>
      </c>
    </row>
    <row r="14" customFormat="false" ht="41.75" hidden="false" customHeight="false" outlineLevel="0" collapsed="false">
      <c r="A14" s="7" t="s">
        <v>398</v>
      </c>
      <c r="B14" s="7" t="s">
        <v>406</v>
      </c>
      <c r="C14" s="7" t="s">
        <v>407</v>
      </c>
      <c r="D14" s="7" t="s">
        <v>408</v>
      </c>
      <c r="E14" s="7" t="s">
        <v>409</v>
      </c>
      <c r="F14" s="7" t="s">
        <v>410</v>
      </c>
      <c r="G14" s="7" t="s">
        <v>411</v>
      </c>
      <c r="H14" s="7" t="s">
        <v>412</v>
      </c>
      <c r="I14" s="7" t="s">
        <v>413</v>
      </c>
      <c r="J14" s="7" t="s">
        <v>414</v>
      </c>
    </row>
    <row r="15" customFormat="false" ht="15" hidden="false" customHeight="false" outlineLevel="0" collapsed="false">
      <c r="A15" s="4" t="n">
        <v>1513</v>
      </c>
      <c r="B15" s="4" t="n">
        <v>0.954588</v>
      </c>
      <c r="C15" s="4" t="n">
        <v>-0.161286</v>
      </c>
      <c r="D15" s="4" t="n">
        <v>289</v>
      </c>
      <c r="E15" s="4" t="n">
        <v>0.104515</v>
      </c>
      <c r="F15" s="4" t="n">
        <v>0.105019</v>
      </c>
      <c r="G15" s="4" t="n">
        <v>0.000504</v>
      </c>
      <c r="H15" s="4" t="n">
        <v>-2.26</v>
      </c>
      <c r="I15" s="4" t="n">
        <v>-2.86</v>
      </c>
      <c r="J15" s="4" t="s">
        <v>415</v>
      </c>
    </row>
    <row r="17" customFormat="false" ht="15" hidden="false" customHeight="false" outlineLevel="0" collapsed="false">
      <c r="A17" s="2" t="s">
        <v>416</v>
      </c>
    </row>
    <row r="18" customFormat="false" ht="55.2" hidden="false" customHeight="false" outlineLevel="0" collapsed="false">
      <c r="A18" s="7" t="s">
        <v>358</v>
      </c>
      <c r="B18" s="7" t="s">
        <v>417</v>
      </c>
      <c r="C18" s="7" t="s">
        <v>418</v>
      </c>
      <c r="D18" s="7" t="s">
        <v>419</v>
      </c>
      <c r="E18" s="7" t="s">
        <v>420</v>
      </c>
      <c r="F18" s="7" t="s">
        <v>421</v>
      </c>
      <c r="G18" s="7" t="s">
        <v>422</v>
      </c>
      <c r="H18" s="7" t="s">
        <v>423</v>
      </c>
      <c r="I18" s="7" t="s">
        <v>424</v>
      </c>
      <c r="J18" s="7" t="s">
        <v>425</v>
      </c>
      <c r="K18" s="7" t="s">
        <v>235</v>
      </c>
      <c r="L18" s="7" t="s">
        <v>426</v>
      </c>
    </row>
    <row r="19" customFormat="false" ht="15" hidden="false" customHeight="false" outlineLevel="0" collapsed="false">
      <c r="A19" s="4" t="s">
        <v>21</v>
      </c>
      <c r="B19" s="4" t="n">
        <v>5</v>
      </c>
      <c r="C19" s="4" t="n">
        <v>40</v>
      </c>
      <c r="D19" s="4" t="n">
        <v>97</v>
      </c>
      <c r="E19" s="4" t="n">
        <v>21.38</v>
      </c>
      <c r="F19" s="4" t="n">
        <v>1241</v>
      </c>
      <c r="G19" s="4" t="n">
        <v>81.13</v>
      </c>
      <c r="H19" s="4" t="n">
        <v>40</v>
      </c>
      <c r="I19" s="4" t="s">
        <v>415</v>
      </c>
      <c r="J19" s="4" t="s">
        <v>415</v>
      </c>
      <c r="K19" s="4" t="s">
        <v>237</v>
      </c>
      <c r="L19" s="4" t="s">
        <v>415</v>
      </c>
    </row>
    <row r="20" customFormat="false" ht="15" hidden="false" customHeight="false" outlineLevel="0" collapsed="false">
      <c r="A20" s="4" t="s">
        <v>362</v>
      </c>
      <c r="B20" s="4" t="n">
        <v>10</v>
      </c>
      <c r="C20" s="4" t="n">
        <v>80</v>
      </c>
      <c r="D20" s="4" t="n">
        <v>97</v>
      </c>
      <c r="E20" s="4" t="n">
        <v>-6.87</v>
      </c>
      <c r="F20" s="4" t="n">
        <v>1241</v>
      </c>
      <c r="G20" s="4" t="n">
        <v>71.04</v>
      </c>
      <c r="H20" s="4" t="n">
        <v>80</v>
      </c>
      <c r="I20" s="4" t="s">
        <v>415</v>
      </c>
      <c r="J20" s="4" t="s">
        <v>427</v>
      </c>
      <c r="K20" s="4" t="s">
        <v>237</v>
      </c>
      <c r="L20" s="4" t="s">
        <v>415</v>
      </c>
    </row>
    <row r="21" customFormat="false" ht="15" hidden="false" customHeight="false" outlineLevel="0" collapsed="false">
      <c r="A21" s="4" t="s">
        <v>363</v>
      </c>
      <c r="B21" s="4" t="s">
        <v>428</v>
      </c>
      <c r="C21" s="4" t="n">
        <v>160</v>
      </c>
      <c r="D21" s="4" t="n">
        <v>97</v>
      </c>
      <c r="E21" s="4" t="n">
        <v>-95.46</v>
      </c>
      <c r="F21" s="4" t="n">
        <v>1241</v>
      </c>
      <c r="G21" s="4" t="n">
        <v>-29.12</v>
      </c>
      <c r="H21" s="4" t="n">
        <v>160</v>
      </c>
      <c r="I21" s="4" t="s">
        <v>427</v>
      </c>
      <c r="J21" s="4" t="s">
        <v>427</v>
      </c>
      <c r="K21" s="4" t="s">
        <v>237</v>
      </c>
      <c r="L21" s="4" t="s">
        <v>415</v>
      </c>
    </row>
    <row r="23" customFormat="false" ht="15" hidden="false" customHeight="false" outlineLevel="0" collapsed="false">
      <c r="A23" s="2" t="s">
        <v>429</v>
      </c>
    </row>
    <row r="24" customFormat="false" ht="55.2" hidden="false" customHeight="false" outlineLevel="0" collapsed="false">
      <c r="A24" s="7" t="s">
        <v>430</v>
      </c>
      <c r="B24" s="7" t="s">
        <v>431</v>
      </c>
      <c r="C24" s="7" t="s">
        <v>432</v>
      </c>
      <c r="D24" s="7" t="s">
        <v>433</v>
      </c>
      <c r="E24" s="7" t="s">
        <v>434</v>
      </c>
      <c r="F24" s="7" t="s">
        <v>435</v>
      </c>
      <c r="G24" s="7" t="s">
        <v>436</v>
      </c>
      <c r="H24" s="7" t="s">
        <v>437</v>
      </c>
    </row>
    <row r="25" customFormat="false" ht="15" hidden="false" customHeight="false" outlineLevel="0" collapsed="false">
      <c r="A25" s="4" t="n">
        <v>9039</v>
      </c>
      <c r="B25" s="4" t="n">
        <v>5445</v>
      </c>
      <c r="C25" s="4" t="n">
        <v>3594</v>
      </c>
      <c r="D25" s="4" t="n">
        <v>569</v>
      </c>
      <c r="E25" s="4" t="n">
        <v>0.39761</v>
      </c>
      <c r="F25" s="4" t="n">
        <v>0.1045</v>
      </c>
      <c r="G25" s="4" t="n">
        <v>3</v>
      </c>
      <c r="H25" s="4" t="s">
        <v>438</v>
      </c>
    </row>
    <row r="27" customFormat="false" ht="15" hidden="false" customHeight="false" outlineLevel="0" collapsed="false">
      <c r="A27" s="2" t="s">
        <v>439</v>
      </c>
    </row>
    <row r="28" customFormat="false" ht="108.95" hidden="false" customHeight="false" outlineLevel="0" collapsed="false">
      <c r="A28" s="7" t="s">
        <v>440</v>
      </c>
      <c r="B28" s="7" t="s">
        <v>441</v>
      </c>
      <c r="C28" s="7" t="s">
        <v>442</v>
      </c>
      <c r="D28" s="7" t="s">
        <v>443</v>
      </c>
      <c r="E28" s="7" t="s">
        <v>444</v>
      </c>
      <c r="F28" s="7" t="s">
        <v>445</v>
      </c>
      <c r="G28" s="7" t="s">
        <v>446</v>
      </c>
      <c r="H28" s="7" t="s">
        <v>447</v>
      </c>
    </row>
    <row r="29" customFormat="false" ht="15" hidden="false" customHeight="false" outlineLevel="0" collapsed="false">
      <c r="A29" s="4" t="n">
        <v>879</v>
      </c>
      <c r="B29" s="4" t="n">
        <v>124</v>
      </c>
      <c r="C29" s="4" t="n">
        <v>52</v>
      </c>
      <c r="D29" s="4" t="n">
        <v>1291</v>
      </c>
      <c r="E29" s="4" t="n">
        <v>13</v>
      </c>
      <c r="F29" s="4" t="n">
        <v>176</v>
      </c>
      <c r="G29" s="4" t="n">
        <v>2359</v>
      </c>
      <c r="H29" s="4" t="n">
        <v>104</v>
      </c>
    </row>
    <row r="31" customFormat="false" ht="15" hidden="false" customHeight="false" outlineLevel="0" collapsed="false">
      <c r="A31" s="2" t="s">
        <v>448</v>
      </c>
    </row>
    <row r="32" customFormat="false" ht="95.5" hidden="false" customHeight="false" outlineLevel="0" collapsed="false">
      <c r="A32" s="7" t="s">
        <v>449</v>
      </c>
      <c r="B32" s="7" t="s">
        <v>450</v>
      </c>
      <c r="C32" s="7" t="s">
        <v>451</v>
      </c>
      <c r="D32" s="7" t="s">
        <v>452</v>
      </c>
      <c r="E32" s="7" t="s">
        <v>453</v>
      </c>
      <c r="F32" s="7" t="s">
        <v>454</v>
      </c>
      <c r="G32" s="7" t="s">
        <v>455</v>
      </c>
      <c r="H32" s="7" t="s">
        <v>456</v>
      </c>
      <c r="I32" s="7" t="s">
        <v>457</v>
      </c>
      <c r="J32" s="7" t="s">
        <v>458</v>
      </c>
      <c r="K32" s="7" t="s">
        <v>459</v>
      </c>
      <c r="L32" s="7" t="s">
        <v>460</v>
      </c>
      <c r="M32" s="7" t="s">
        <v>461</v>
      </c>
      <c r="N32" s="7" t="s">
        <v>462</v>
      </c>
      <c r="O32" s="7" t="s">
        <v>463</v>
      </c>
    </row>
    <row r="33" customFormat="false" ht="15" hidden="false" customHeight="false" outlineLevel="0" collapsed="false">
      <c r="A33" s="4" t="n">
        <v>13</v>
      </c>
      <c r="B33" s="4" t="n">
        <v>5</v>
      </c>
      <c r="C33" s="4" t="n">
        <v>14</v>
      </c>
      <c r="D33" s="4" t="n">
        <v>5</v>
      </c>
      <c r="E33" s="4" t="n">
        <v>4</v>
      </c>
      <c r="F33" s="4" t="n">
        <v>1</v>
      </c>
      <c r="G33" s="4" t="n">
        <v>0.679573</v>
      </c>
      <c r="H33" s="4" t="n">
        <v>5</v>
      </c>
      <c r="I33" s="4" t="s">
        <v>464</v>
      </c>
      <c r="J33" s="4" t="n">
        <v>0.491035</v>
      </c>
      <c r="K33" s="4" t="n">
        <v>0.765053</v>
      </c>
      <c r="L33" s="4" t="n">
        <v>0.04373</v>
      </c>
      <c r="M33" s="4" t="n">
        <v>0.017043</v>
      </c>
      <c r="N33" s="4" t="n">
        <v>0.002069</v>
      </c>
      <c r="O33" s="4" t="n">
        <v>0.051631</v>
      </c>
    </row>
    <row r="35" customFormat="false" ht="15" hidden="false" customHeight="false" outlineLevel="0" collapsed="false">
      <c r="A35" s="2" t="s">
        <v>465</v>
      </c>
    </row>
    <row r="36" customFormat="false" ht="82.05" hidden="false" customHeight="false" outlineLevel="0" collapsed="false">
      <c r="A36" s="7" t="s">
        <v>398</v>
      </c>
      <c r="B36" s="7" t="s">
        <v>466</v>
      </c>
      <c r="C36" s="7" t="s">
        <v>467</v>
      </c>
      <c r="D36" s="7" t="s">
        <v>468</v>
      </c>
      <c r="E36" s="7" t="s">
        <v>469</v>
      </c>
      <c r="F36" s="7" t="s">
        <v>470</v>
      </c>
      <c r="G36" s="7" t="s">
        <v>471</v>
      </c>
      <c r="H36" s="7" t="s">
        <v>472</v>
      </c>
      <c r="I36" s="7" t="s">
        <v>473</v>
      </c>
      <c r="J36" s="7" t="s">
        <v>474</v>
      </c>
      <c r="K36" s="7" t="s">
        <v>475</v>
      </c>
    </row>
    <row r="37" customFormat="false" ht="15" hidden="false" customHeight="false" outlineLevel="0" collapsed="false">
      <c r="A37" s="4" t="n">
        <v>1513</v>
      </c>
      <c r="B37" s="4" t="n">
        <v>442</v>
      </c>
      <c r="C37" s="4" t="n">
        <v>189</v>
      </c>
      <c r="D37" s="4" t="n">
        <v>95</v>
      </c>
      <c r="E37" s="4" t="n">
        <v>46</v>
      </c>
      <c r="F37" s="4" t="n">
        <v>39</v>
      </c>
      <c r="G37" s="4" t="n">
        <v>39</v>
      </c>
      <c r="H37" s="4" t="n">
        <v>318</v>
      </c>
      <c r="I37" s="4" t="n">
        <v>62</v>
      </c>
      <c r="J37" s="4" t="n">
        <v>0.124917</v>
      </c>
      <c r="K37" s="4" t="n">
        <v>0.214932</v>
      </c>
    </row>
    <row r="39" customFormat="false" ht="15" hidden="false" customHeight="false" outlineLevel="0" collapsed="false">
      <c r="A39" s="2" t="s">
        <v>476</v>
      </c>
    </row>
    <row r="40" customFormat="false" ht="82.05" hidden="false" customHeight="false" outlineLevel="0" collapsed="false">
      <c r="A40" s="7" t="s">
        <v>477</v>
      </c>
      <c r="B40" s="7" t="s">
        <v>430</v>
      </c>
      <c r="C40" s="7" t="s">
        <v>478</v>
      </c>
      <c r="D40" s="7" t="s">
        <v>479</v>
      </c>
      <c r="E40" s="7" t="s">
        <v>480</v>
      </c>
      <c r="F40" s="7" t="s">
        <v>373</v>
      </c>
      <c r="G40" s="7" t="s">
        <v>481</v>
      </c>
      <c r="H40" s="7" t="s">
        <v>417</v>
      </c>
      <c r="I40" s="7" t="s">
        <v>482</v>
      </c>
      <c r="J40" s="7" t="s">
        <v>483</v>
      </c>
      <c r="K40" s="7" t="s">
        <v>484</v>
      </c>
      <c r="L40" s="7" t="s">
        <v>403</v>
      </c>
      <c r="M40" s="7" t="s">
        <v>402</v>
      </c>
      <c r="N40" s="7" t="s">
        <v>418</v>
      </c>
      <c r="O40" s="7" t="s">
        <v>485</v>
      </c>
      <c r="P40" s="7" t="s">
        <v>235</v>
      </c>
    </row>
    <row r="41" customFormat="false" ht="15" hidden="false" customHeight="false" outlineLevel="0" collapsed="false">
      <c r="A41" s="4" t="n">
        <v>6</v>
      </c>
      <c r="B41" s="4" t="n">
        <v>4</v>
      </c>
      <c r="C41" s="4" t="n">
        <v>1</v>
      </c>
      <c r="D41" s="4" t="n">
        <v>1</v>
      </c>
      <c r="E41" s="4" t="n">
        <v>4</v>
      </c>
      <c r="F41" s="4" t="n">
        <v>2</v>
      </c>
      <c r="G41" s="4" t="n">
        <v>0.5</v>
      </c>
      <c r="H41" s="4" t="n">
        <v>2</v>
      </c>
      <c r="I41" s="4" t="n">
        <v>0.5</v>
      </c>
      <c r="J41" s="4" t="n">
        <v>0.5</v>
      </c>
      <c r="K41" s="4" t="n">
        <v>1</v>
      </c>
      <c r="L41" s="4" t="n">
        <v>0.1925</v>
      </c>
      <c r="M41" s="4" t="n">
        <v>0.833333</v>
      </c>
      <c r="N41" s="4" t="n">
        <v>10</v>
      </c>
      <c r="O41" s="4" t="n">
        <v>8.45</v>
      </c>
      <c r="P41" s="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2026-10-27T07:52:14Z</dcterms:created>
  <dc:creator>openpyxl</dc:creator>
  <dc:description/>
  <dc:language>en-US</dc:language>
  <cp:lastModifiedBy/>
  <dcterms:modified xsi:type="dcterms:W3CDTF">2026-10-27T07:52:14Z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