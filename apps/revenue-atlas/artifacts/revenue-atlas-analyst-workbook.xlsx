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Allocation" sheetId="2" state="visible" r:id="rId4"/>
    <sheet name="Bridge" sheetId="3" state="visible" r:id="rId5"/>
    <sheet name="Assumptions" sheetId="4" state="visible" r:id="rId6"/>
    <sheet name="Snapshot summary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<sst xmlns="http://schemas.openxmlformats.org/spreadsheetml/2006/main" count="599" uniqueCount="364">
  <si>
    <t xml:space="preserve">Inputs: the golden fixture rows (tests/fixtures/golden/inputs.json, fixture revenue-atlas-golden-v1)</t>
  </si>
  <si>
    <t xml:space="preserve">SYNTHETIC. Every cell below is a typed input copied from the fixture (blue). Contract v1 / v1.1, docs/contracts.md.</t>
  </si>
  <si>
    <t xml:space="preserve">customers</t>
  </si>
  <si>
    <t xml:space="preserve">customer_id</t>
  </si>
  <si>
    <t xml:space="preserve">customer_name</t>
  </si>
  <si>
    <t xml:space="preserve">region_id</t>
  </si>
  <si>
    <t xml:space="preserve">segment</t>
  </si>
  <si>
    <t xml:space="preserve">effective_from</t>
  </si>
  <si>
    <t xml:space="preserve">cust-001</t>
  </si>
  <si>
    <t xml:space="preserve">Golden Customer</t>
  </si>
  <si>
    <t xml:space="preserve">reg-001</t>
  </si>
  <si>
    <t xml:space="preserve">SMB</t>
  </si>
  <si>
    <t xml:space="preserve">2025-01-01</t>
  </si>
  <si>
    <t xml:space="preserve">products</t>
  </si>
  <si>
    <t xml:space="preserve">product_id</t>
  </si>
  <si>
    <t xml:space="preserve">sku</t>
  </si>
  <si>
    <t xml:space="preserve">category_id</t>
  </si>
  <si>
    <t xml:space="preserve">unit_of_measure</t>
  </si>
  <si>
    <t xml:space="preserve">active</t>
  </si>
  <si>
    <t xml:space="preserve">prod-001</t>
  </si>
  <si>
    <t xml:space="preserve">SKU-A</t>
  </si>
  <si>
    <t xml:space="preserve">cat-001</t>
  </si>
  <si>
    <t xml:space="preserve">each</t>
  </si>
  <si>
    <t xml:space="preserve">true</t>
  </si>
  <si>
    <t xml:space="preserve">prod-002</t>
  </si>
  <si>
    <t xml:space="preserve">SKU-B</t>
  </si>
  <si>
    <t xml:space="preserve">orders</t>
  </si>
  <si>
    <t xml:space="preserve">order_id</t>
  </si>
  <si>
    <t xml:space="preserve">order_date</t>
  </si>
  <si>
    <t xml:space="preserve">currency</t>
  </si>
  <si>
    <t xml:space="preserve">status</t>
  </si>
  <si>
    <t xml:space="preserve">ord-001</t>
  </si>
  <si>
    <t xml:space="preserve">2026-03-08</t>
  </si>
  <si>
    <t xml:space="preserve">USD</t>
  </si>
  <si>
    <t xml:space="preserve">shipped</t>
  </si>
  <si>
    <t xml:space="preserve">order_lines</t>
  </si>
  <si>
    <t xml:space="preserve">line_id</t>
  </si>
  <si>
    <t xml:space="preserve">quantity</t>
  </si>
  <si>
    <t xml:space="preserve">unit_price</t>
  </si>
  <si>
    <t xml:space="preserve">line-001</t>
  </si>
  <si>
    <t xml:space="preserve">line-002</t>
  </si>
  <si>
    <t xml:space="preserve">discounts</t>
  </si>
  <si>
    <t xml:space="preserve">discount_id</t>
  </si>
  <si>
    <t xml:space="preserve">discount_amount</t>
  </si>
  <si>
    <t xml:space="preserve">reason_code</t>
  </si>
  <si>
    <t xml:space="preserve">approved_by</t>
  </si>
  <si>
    <t xml:space="preserve">disc-001</t>
  </si>
  <si>
    <t xml:space="preserve">VOLUME</t>
  </si>
  <si>
    <t xml:space="preserve">mgr-001</t>
  </si>
  <si>
    <t xml:space="preserve">disc-002</t>
  </si>
  <si>
    <t xml:space="preserve">PROMO</t>
  </si>
  <si>
    <t xml:space="preserve">shipments</t>
  </si>
  <si>
    <t xml:space="preserve">shipment_id</t>
  </si>
  <si>
    <t xml:space="preserve">shipped_at</t>
  </si>
  <si>
    <t xml:space="preserve">shipping_cost</t>
  </si>
  <si>
    <t xml:space="preserve">shp-001</t>
  </si>
  <si>
    <t xml:space="preserve">2026-03-10T14:30:00Z</t>
  </si>
  <si>
    <t xml:space="preserve">shipment_lines</t>
  </si>
  <si>
    <t xml:space="preserve">shipment_line_id</t>
  </si>
  <si>
    <t xml:space="preserve">shipped_quantity</t>
  </si>
  <si>
    <t xml:space="preserve">cost_version_id</t>
  </si>
  <si>
    <t xml:space="preserve">sl-001</t>
  </si>
  <si>
    <t xml:space="preserve">cv-001</t>
  </si>
  <si>
    <t xml:space="preserve">sl-002</t>
  </si>
  <si>
    <t xml:space="preserve">cv-002</t>
  </si>
  <si>
    <t xml:space="preserve">returns</t>
  </si>
  <si>
    <t xml:space="preserve">return_id</t>
  </si>
  <si>
    <t xml:space="preserve">returned_quantity</t>
  </si>
  <si>
    <t xml:space="preserve">credit_amount</t>
  </si>
  <si>
    <t xml:space="preserve">credit_date</t>
  </si>
  <si>
    <t xml:space="preserve">ret-001</t>
  </si>
  <si>
    <t xml:space="preserve">2026-03-20</t>
  </si>
  <si>
    <t xml:space="preserve">cost_versions</t>
  </si>
  <si>
    <t xml:space="preserve">unit_cost</t>
  </si>
  <si>
    <t xml:space="preserve">valid_from</t>
  </si>
  <si>
    <t xml:space="preserve">valid_to</t>
  </si>
  <si>
    <t xml:space="preserve">2026-01-01</t>
  </si>
  <si>
    <t xml:space="preserve">exchange_rates</t>
  </si>
  <si>
    <t xml:space="preserve">rate_id</t>
  </si>
  <si>
    <t xml:space="preserve">reporting_currency</t>
  </si>
  <si>
    <t xml:space="preserve">rate_date</t>
  </si>
  <si>
    <t xml:space="preserve">rate</t>
  </si>
  <si>
    <t xml:space="preserve">fx-001</t>
  </si>
  <si>
    <t xml:space="preserve">Allocation: freight and discounts by shipment line, largest remainder as live formulas (D-04)</t>
  </si>
  <si>
    <t xml:space="preserve">Cents are integers: floor(T x w / W), remainder mod(T x w, W); leftover cents go to the largest remainders, ties to the lowest shipment_line_id. Zero-gross fallback (weight = quantity) is in the weight formula.</t>
  </si>
  <si>
    <t xml:space="preserve">1. Freight: shipping_cost over the shipment's lines by gross-sales weight</t>
  </si>
  <si>
    <t xml:space="preserve">gross_sales</t>
  </si>
  <si>
    <t xml:space="preserve">total_cents</t>
  </si>
  <si>
    <t xml:space="preserve">weight</t>
  </si>
  <si>
    <t xml:space="preserve">weight_sum</t>
  </si>
  <si>
    <t xml:space="preserve">floor_cents</t>
  </si>
  <si>
    <t xml:space="preserve">remainder</t>
  </si>
  <si>
    <t xml:space="preserve">leftover_cents</t>
  </si>
  <si>
    <t xml:space="preserve">rank</t>
  </si>
  <si>
    <t xml:space="preserve">extra_cent</t>
  </si>
  <si>
    <t xml:space="preserve">allocated_amount</t>
  </si>
  <si>
    <t xml:space="preserve">2. Discounts: round(discount x shipped/ordered, 2) per order line, split by shipped quantity</t>
  </si>
  <si>
    <t xml:space="preserve">ordered_quantity</t>
  </si>
  <si>
    <t xml:space="preserve">line_discount</t>
  </si>
  <si>
    <t xml:space="preserve">3. Formula self-test (author-typed illustrative inputs, NOT fixture or snapshot data): 10.00 split over three equal weights; expected 3.34 / 3.33 / 3.33 (one leftover cent to the lowest id)</t>
  </si>
  <si>
    <t xml:space="preserve">id</t>
  </si>
  <si>
    <t xml:space="preserve">group</t>
  </si>
  <si>
    <t xml:space="preserve">amount_to_split</t>
  </si>
  <si>
    <t xml:space="preserve">n/a</t>
  </si>
  <si>
    <t xml:space="preserve">t-1</t>
  </si>
  <si>
    <t xml:space="preserve">g</t>
  </si>
  <si>
    <t xml:space="preserve">t-2</t>
  </si>
  <si>
    <t xml:space="preserve">t-3</t>
  </si>
  <si>
    <t xml:space="preserve">Bridge: gross sales to contribution margin (D-05), baseline and after the return</t>
  </si>
  <si>
    <t xml:space="preserve">All cells are formulas over Inputs and Allocation. Blue cells are typed switches/inputs. USD only (fixture FX 1.0).</t>
  </si>
  <si>
    <t xml:space="preserve">Returns included (1 = yes)</t>
  </si>
  <si>
    <t xml:space="preserve">Step</t>
  </si>
  <si>
    <t xml:space="preserve">Baseline (before return)</t>
  </si>
  <si>
    <t xml:space="preserve">After return</t>
  </si>
  <si>
    <t xml:space="preserve">Contract rule</t>
  </si>
  <si>
    <t xml:space="preserve">Gross sales</t>
  </si>
  <si>
    <t xml:space="preserve">sum(shipped qty x unit price)</t>
  </si>
  <si>
    <t xml:space="preserve">Allocated discounts</t>
  </si>
  <si>
    <t xml:space="preserve">line discount x shipped/ordered, largest remainder</t>
  </si>
  <si>
    <t xml:space="preserve">Merchandise credits</t>
  </si>
  <si>
    <t xml:space="preserve">posted credits, recognised on credit_date (D-01a)</t>
  </si>
  <si>
    <t xml:space="preserve">Net merchandise sales</t>
  </si>
  <si>
    <t xml:space="preserve">gross - discounts - credits</t>
  </si>
  <si>
    <t xml:space="preserve">COGS before returns</t>
  </si>
  <si>
    <t xml:space="preserve">shipped qty x unit cost of the line's cost version</t>
  </si>
  <si>
    <t xml:space="preserve">Recoverable return cost</t>
  </si>
  <si>
    <t xml:space="preserve">returned qty x that same unit cost</t>
  </si>
  <si>
    <t xml:space="preserve">COGS</t>
  </si>
  <si>
    <t xml:space="preserve">COGS before returns - recoverable return cost</t>
  </si>
  <si>
    <t xml:space="preserve">Gross profit</t>
  </si>
  <si>
    <t xml:space="preserve">net - COGS</t>
  </si>
  <si>
    <t xml:space="preserve">Shipping revenue</t>
  </si>
  <si>
    <t xml:space="preserve">none in the fixture (typed input)</t>
  </si>
  <si>
    <t xml:space="preserve">Shipping cost (allocated freight)</t>
  </si>
  <si>
    <t xml:space="preserve">sum of allocated freight</t>
  </si>
  <si>
    <t xml:space="preserve">Other variable costs</t>
  </si>
  <si>
    <t xml:space="preserve">Contribution margin</t>
  </si>
  <si>
    <t xml:space="preserve">GP + shipping revenue - shipping cost - other</t>
  </si>
  <si>
    <t xml:space="preserve">Allocation residual</t>
  </si>
  <si>
    <t xml:space="preserve">shipping_cost - sum(allocated), must be 0.00</t>
  </si>
  <si>
    <t xml:space="preserve">Eligible net revenue</t>
  </si>
  <si>
    <t xml:space="preserve">net + shipping revenue</t>
  </si>
  <si>
    <t xml:space="preserve">Contribution margin rate</t>
  </si>
  <si>
    <t xml:space="preserve">contribution / eligible net revenue; blank when 0</t>
  </si>
  <si>
    <t xml:space="preserve">Discount rate</t>
  </si>
  <si>
    <t xml:space="preserve">discounts / gross sales; blank when 0</t>
  </si>
  <si>
    <t xml:space="preserve">Return rate</t>
  </si>
  <si>
    <t xml:space="preserve">returned units / shipped units; blank when 0</t>
  </si>
  <si>
    <t xml:space="preserve">Helper: cost and returns per shipment line</t>
  </si>
  <si>
    <t xml:space="preserve">cogs_before_returns</t>
  </si>
  <si>
    <t xml:space="preserve">recoverable_cost</t>
  </si>
  <si>
    <t xml:space="preserve">Assumptions: contract decisions D-01..D-07 (docs/contracts.md, contract v1.1)</t>
  </si>
  <si>
    <t xml:space="preserve">ID</t>
  </si>
  <si>
    <t xml:space="preserve">Decision</t>
  </si>
  <si>
    <t xml:space="preserve">Rule as applied in this workbook</t>
  </si>
  <si>
    <t xml:space="preserve">D-01</t>
  </si>
  <si>
    <t xml:space="preserve">Grain, population, time basis</t>
  </si>
  <si>
    <t xml:space="preserve">Fact grain is the shipment line. Population: lines whose shipment shipped_at is in the half-open UTC window [from, to), order status shipped or partially_returned, not quarantined. Cancelled orders never enter. Returns are recognised on credit_date (D-01a, contract v1.1): lines by shipped_at, credits and recoverable cost by credit_date, a closed window stays closed.</t>
  </si>
  <si>
    <t xml:space="preserve">D-02</t>
  </si>
  <si>
    <t xml:space="preserve">Money, currency, rounding</t>
  </si>
  <si>
    <t xml:space="preserve">Decimal money; NUMERIC(20,6) in the database. Convert with the exchange_rates row whose rate_date equals the shipment's UTC date (returns: the credit date). A missing rate quarantines the line (FX_RATE_MISSING), never 1.0 or 0. Rounding to cents only at allocation and presentation. This workbook is USD only.</t>
  </si>
  <si>
    <t xml:space="preserve">D-03</t>
  </si>
  <si>
    <t xml:space="preserve">Historical cost</t>
  </si>
  <si>
    <t xml:space="preserve">cost_versions are half-open [valid_from, valid_to); the cost of a line is the single version containing shipped_at; zero or several quarantine the line (COST_VERSION_MISSING / COST_VERSION_AMBIGUOUS). A return reverses cost at the same version.</t>
  </si>
  <si>
    <t xml:space="preserve">D-04</t>
  </si>
  <si>
    <t xml:space="preserve">Allocation of discounts and freight</t>
  </si>
  <si>
    <t xml:space="preserve">Discount: round(discount x shipped/ordered, 2) per order line, split by shipped quantity. Freight: shipping_cost split by gross-sales weight (quantity if gross is 0). Both use largest remainder, lowest shipment_line_id breaks ties; allocation_residual must be 0.00; keyed by shipment_line_id.</t>
  </si>
  <si>
    <t xml:space="preserve">D-05</t>
  </si>
  <si>
    <t xml:space="preserve">Metric formulas</t>
  </si>
  <si>
    <t xml:space="preserve">Net = gross - discounts - credits. COGS = shipped qty x historical cost - recoverable return cost. Contribution = GP + shipping revenue - shipping cost - other variable costs. Rates are ratios of sums, null on a zero denominator; rates carried to six decimals.</t>
  </si>
  <si>
    <t xml:space="preserve">D-06</t>
  </si>
  <si>
    <t xml:space="preserve">Workflow invariants</t>
  </si>
  <si>
    <t xml:space="preserve">Malformed currency rejects the order and dependents (raw rows kept); same idempotency key + different payload is 409; return quantity &lt;= remaining and credit &gt;= 0 (RETURN_EXCEEDS_REMAINING, CREDIT_SIGN_REVERSED); region = customers version effective at shipped_at else UNASSIGNED; quotas join at (rep, period) only.</t>
  </si>
  <si>
    <t xml:space="preserve">D-07</t>
  </si>
  <si>
    <t xml:space="preserve">Scenario deltas</t>
  </si>
  <si>
    <t xml:space="preserve">Signed fractions discount_delta and shipping_delta apply to a copy: allocated_discount x (1 + discount_delta), freight x (1 + shipping_delta); credits and costs not rescaled; results are labelled estimates. Not implemented in this workbook.</t>
  </si>
  <si>
    <t xml:space="preserve">Workbook-specific</t>
  </si>
  <si>
    <t xml:space="preserve">W-1</t>
  </si>
  <si>
    <t xml:space="preserve">Everything in Inputs, Allocation and Bridge is synthetic (golden fixture revenue-atlas-golden-v1); nothing here describes a real company.</t>
  </si>
  <si>
    <t xml:space="preserve">W-2</t>
  </si>
  <si>
    <t xml:space="preserve">Zero-gross shipments allocate freight by shipped quantity (weight formula); the explicit unallocated_freight row of D-04 is not modelled.</t>
  </si>
  <si>
    <t xml:space="preserve">W-3</t>
  </si>
  <si>
    <t xml:space="preserve">A single FX rate of 1.0 (USD to USD) applies; non-USD conversion at shipped or credit-date rates is not modelled in the formula chain.</t>
  </si>
  <si>
    <t xml:space="preserve">W-4</t>
  </si>
  <si>
    <t xml:space="preserve">Cached values: see docs/workbook.md. Formulas are the deliverable; Excel recalculates on open (fullCalcOnLoad is set).</t>
  </si>
  <si>
    <t xml:space="preserve">Snapshot summary: PASTED VALUES (not formulas) from the SQL analysis</t>
  </si>
  <si>
    <t xml:space="preserve">Source: data/sql/analysis/run_all.py on the seeded synthetic snapshot, dataset_hash 40f541fcd8681eb0..., dataset_version ra-20261026-20261026. Re-run the query to refresh; nothing on this sheet recalculates.</t>
  </si>
  <si>
    <t xml:space="preserve">01_margin_bridge_by_month.sql: Margin bridge by month (USD)</t>
  </si>
  <si>
    <t xml:space="preserve">period</t>
  </si>
  <si>
    <t xml:space="preserve">credits</t>
  </si>
  <si>
    <t xml:space="preserve">net_sales</t>
  </si>
  <si>
    <t xml:space="preserve">cogs</t>
  </si>
  <si>
    <t xml:space="preserve">gross_profit</t>
  </si>
  <si>
    <t xml:space="preserve">freight</t>
  </si>
  <si>
    <t xml:space="preserve">contribution</t>
  </si>
  <si>
    <t xml:space="preserve">cm_rate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</si>
  <si>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</si>
  <si>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</si>
  <si>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</si>
  <si>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</si>
  <si>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</si>
  <si>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</si>
  <si>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</si>
  <si>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</si>
  <si>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</si>
  <si>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</si>
  <si>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</si>
  <si>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</si>
  <si>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</si>
  <si>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</si>
  <si>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</si>
  <si>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</si>
  <si>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</si>
  <si>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</si>
  <si>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</si>
  <si>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</si>
  <si>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</si>
  <si>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</si>
  <si>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</si>
  <si>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</si>
  <si>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TOTAL</t>
  </si>
  <si>
    <t xml:space="preserve">SUBTOTAL 2024-10..2025-12</t>
  </si>
  <si>
    <t xml:space="preserve">SUBTOTAL 2026-01..2026-09</t>
  </si>
  <si>
    <t xml:space="preserve">02_contribution_by_region.sql: Contribution by region, UNASSIGNED shown</t>
  </si>
  <si>
    <t xml:space="preserve">UNASSIGNED</t>
  </si>
  <si>
    <t xml:space="preserve">reg-east</t>
  </si>
  <si>
    <t xml:space="preserve">reg-north</t>
  </si>
  <si>
    <t xml:space="preserve">reg-south</t>
  </si>
  <si>
    <t xml:space="preserve">reg-west</t>
  </si>
  <si>
    <t xml:space="preserve">03_discount_rate_by_region_before_after_2026_03.sql: Discount rate by region, before / after 2026-03</t>
  </si>
  <si>
    <t xml:space="preserve">region</t>
  </si>
  <si>
    <t xml:space="preserve">rate_before</t>
  </si>
  <si>
    <t xml:space="preserve">rate_after</t>
  </si>
  <si>
    <t xml:space="preserve">delta_pp</t>
  </si>
  <si>
    <t xml:space="preserve">gross_before</t>
  </si>
  <si>
    <t xml:space="preserve">gross_after</t>
  </si>
  <si>
    <t xml:space="preserve">extra_discount_usd</t>
  </si>
  <si>
    <t xml:space="preserve">ALL REGIONS</t>
  </si>
  <si>
    <t xml:space="preserve">04_fixtures_cost_vs_price_by_month.sql: cat-fixtures unit cost vs price by month</t>
  </si>
  <si>
    <t xml:space="preserve">month</t>
  </si>
  <si>
    <t xml:space="preserve">fixtures_units</t>
  </si>
  <si>
    <t xml:space="preserve">fixtures_unit_price</t>
  </si>
  <si>
    <t xml:space="preserve">fixtures_unit_cost</t>
  </si>
  <si>
    <t xml:space="preserve">cost_to_price</t>
  </si>
  <si>
    <t xml:space="preserve">other_cost_to_price</t>
  </si>
  <si>
    <t xml:space="preserve">extra_cost_usd</t>
  </si>
  <si>
    <t xml:space="preserve">SUM 2026-01..2026-09</t>
  </si>
  <si>
    <t xml:space="preserve">SUM 2024-10..2025-12</t>
  </si>
  <si>
    <t xml:space="preserve">05_return_rate_by_segment_category.sql: Return rate by segment x category (top 12 by mature_rate)</t>
  </si>
  <si>
    <t xml:space="preserve">shipped_units</t>
  </si>
  <si>
    <t xml:space="preserve">returned_units</t>
  </si>
  <si>
    <t xml:space="preserve">return_rate</t>
  </si>
  <si>
    <t xml:space="preserve">mature_units</t>
  </si>
  <si>
    <t xml:space="preserve">mature_rate</t>
  </si>
  <si>
    <t xml:space="preserve">enterprise</t>
  </si>
  <si>
    <t xml:space="preserve">cat-apparel</t>
  </si>
  <si>
    <t xml:space="preserve">smb</t>
  </si>
  <si>
    <t xml:space="preserve">cat-office</t>
  </si>
  <si>
    <t xml:space="preserve">cat-safety</t>
  </si>
  <si>
    <t xml:space="preserve">mid_market</t>
  </si>
  <si>
    <t xml:space="preserve">cat-fixtures</t>
  </si>
  <si>
    <t xml:space="preserve">cat-packaging</t>
  </si>
  <si>
    <t xml:space="preserve">cat-tools</t>
  </si>
  <si>
    <t xml:space="preserve">ALL OTHER</t>
  </si>
  <si>
    <t xml:space="preserve">all other cells</t>
  </si>
  <si>
    <t xml:space="preserve">ALL</t>
  </si>
  <si>
    <t xml:space="preserve">all cells</t>
  </si>
  <si>
    <t xml:space="preserve">06_top10_customers_contribution_decline.sql: Top 10 customers by contribution decline, A=2025-10..2026-03 vs B=2026-04..2026-09</t>
  </si>
  <si>
    <t xml:space="preserve">latest_region</t>
  </si>
  <si>
    <t xml:space="preserve">contribution_a</t>
  </si>
  <si>
    <t xml:space="preserve">contribution_b</t>
  </si>
  <si>
    <t xml:space="preserve">decline</t>
  </si>
  <si>
    <t xml:space="preserve">pct_of_total_decline</t>
  </si>
  <si>
    <t xml:space="preserve">all_customers_a</t>
  </si>
  <si>
    <t xml:space="preserve">all_customers_b</t>
  </si>
  <si>
    <t xml:space="preserve">cust-0017</t>
  </si>
  <si>
    <t xml:space="preserve">Umberfield Foundry Trading Company</t>
  </si>
  <si>
    <t xml:space="preserve">cust-0009</t>
  </si>
  <si>
    <t xml:space="preserve">Fenwick Meadow Fabrication Ltd</t>
  </si>
  <si>
    <t xml:space="preserve">cust-0007</t>
  </si>
  <si>
    <t xml:space="preserve">Northern Territories Mining, Forestry and Heavy Equipment Contractors Purchasing Consortium Limited</t>
  </si>
  <si>
    <t xml:space="preserve">cust-0032</t>
  </si>
  <si>
    <t xml:space="preserve">International Association of Municipal Facilities Maintenance and Public Works Procurement Cooperatives</t>
  </si>
  <si>
    <t xml:space="preserve">cust-0039</t>
  </si>
  <si>
    <t xml:space="preserve">Moorfield Lakeside Works Partners</t>
  </si>
  <si>
    <t xml:space="preserve">cust-0048</t>
  </si>
  <si>
    <t xml:space="preserve">Fenwick Lakeside Fabrication Ltd</t>
  </si>
  <si>
    <t xml:space="preserve">cust-0024</t>
  </si>
  <si>
    <t xml:space="preserve">Consolidated Regional Wholesale Distribution and Industrial Supply Partnership of the Great Lakes</t>
  </si>
  <si>
    <t xml:space="preserve">cust-0036</t>
  </si>
  <si>
    <t xml:space="preserve">Thornley Foundry Trading Company</t>
  </si>
  <si>
    <t xml:space="preserve">cust-0005</t>
  </si>
  <si>
    <t xml:space="preserve">Valewood Harbor Works Partners</t>
  </si>
  <si>
    <t xml:space="preserve">cust-0040</t>
  </si>
  <si>
    <t xml:space="preserve">Umberfield Foundry Logistics Corp</t>
  </si>
  <si>
    <t xml:space="preserve">07_quarantine_reasons.sql: Quarantine and rejection reasons</t>
  </si>
  <si>
    <t xml:space="preserve">kind</t>
  </si>
  <si>
    <t xml:space="preserve">entity</t>
  </si>
  <si>
    <t xml:space="preserve">records</t>
  </si>
  <si>
    <t xml:space="preserve">gross_usd_at_stake</t>
  </si>
  <si>
    <t xml:space="preserve">rejected</t>
  </si>
  <si>
    <t xml:space="preserve">CURRENCY_NOT_ISO4217</t>
  </si>
  <si>
    <t xml:space="preserve">quarantined</t>
  </si>
  <si>
    <t xml:space="preserve">COST_VERSION_AMBIGUOUS</t>
  </si>
  <si>
    <t xml:space="preserve">COST_VERSION_MISSING</t>
  </si>
  <si>
    <t xml:space="preserve">FX_RATE_MISSING</t>
  </si>
  <si>
    <t xml:space="preserve">08_allocation_residual_check.sql: Allocation residual check</t>
  </si>
  <si>
    <t xml:space="preserve">shipments_checked</t>
  </si>
  <si>
    <t xml:space="preserve">shipments_nonzero_residual</t>
  </si>
  <si>
    <t xml:space="preserve">freight_abs_residual</t>
  </si>
  <si>
    <t xml:space="preserve">shipments_without_allocation</t>
  </si>
  <si>
    <t xml:space="preserve">order_lines_checked</t>
  </si>
  <si>
    <t xml:space="preserve">order_lines_nonzero_residual</t>
  </si>
  <si>
    <t xml:space="preserve">discount_abs_residual</t>
  </si>
  <si>
    <t xml:space="preserve">failures</t>
  </si>
  <si>
    <t xml:space="preserve">09_stored_vs_contract_freight.sql: Stored C04 freight vs contract freight (diagnostic)</t>
  </si>
  <si>
    <t xml:space="preserve">shipments_in_population</t>
  </si>
  <si>
    <t xml:space="preserve">partially_quarantined_shipments</t>
  </si>
  <si>
    <t xml:space="preserve">contract_freight</t>
  </si>
  <si>
    <t xml:space="preserve">stored_c04_freight_on_kept_lines</t>
  </si>
  <si>
    <t xml:space="preserve">gap</t>
  </si>
  <si>
    <t xml:space="preserve">stored_on_quarantined_siblings</t>
  </si>
  <si>
    <t xml:space="preserve">reconciliation: Reconciliation: bridge TOTAL vs data/sql/reference_totals.sql</t>
  </si>
  <si>
    <t xml:space="preserve">field</t>
  </si>
  <si>
    <t xml:space="preserve">bridge_total</t>
  </si>
  <si>
    <t xml:space="preserve">reference_totals_sql</t>
  </si>
  <si>
    <t xml:space="preserve">equal</t>
  </si>
  <si>
    <t xml:space="preserve">allocated_discounts</t>
  </si>
  <si>
    <t xml:space="preserve">merchandise_credits</t>
  </si>
  <si>
    <t xml:space="preserve">net_merchandise_sales</t>
  </si>
  <si>
    <t xml:space="preserve">contribution_margin</t>
  </si>
  <si>
    <t xml:space="preserve">regions TOTAL contribution vs bridge</t>
  </si>
  <si>
    <t xml:space="preserve">python domain run_pipeline (all 8 money fields)</t>
  </si>
  <si>
    <t xml:space="preserve">python_domain_metrics: Python domain run_pipeline metrics over the same snapshot files (all 21 contract metrics)</t>
  </si>
  <si>
    <t xml:space="preserve">recoverable_return_cost</t>
  </si>
  <si>
    <t xml:space="preserve">shipping_revenue</t>
  </si>
  <si>
    <t xml:space="preserve">other_variable_costs</t>
  </si>
  <si>
    <t xml:space="preserve">eligible_net_revenue</t>
  </si>
  <si>
    <t xml:space="preserve">contribution_margin_rate</t>
  </si>
  <si>
    <t xml:space="preserve">discount_rate</t>
  </si>
  <si>
    <t xml:space="preserve">average_order_value</t>
  </si>
  <si>
    <t xml:space="preserve">allocation_residual</t>
  </si>
  <si>
    <t xml:space="preserve">eligible_orders</t>
  </si>
  <si>
    <t xml:space="preserve">eligible_shipment_lines</t>
  </si>
  <si>
    <t xml:space="preserve">memo_arithmetic: Derived arithmetic used in docs/executive-memo.md</t>
  </si>
  <si>
    <t xml:space="preserve">cm_rate_pre</t>
  </si>
  <si>
    <t xml:space="preserve">cm_rate_post</t>
  </si>
  <si>
    <t xml:space="preserve">rate_drop_pp</t>
  </si>
  <si>
    <t xml:space="preserve">contribution_lost_to_rate_drop_usd</t>
  </si>
  <si>
    <t xml:space="preserve">fixtures_extra_cost_usd</t>
  </si>
  <si>
    <t xml:space="preserve">west_extra_discount_usd</t>
  </si>
  <si>
    <t xml:space="preserve">fixtures_share_of_lost</t>
  </si>
  <si>
    <t xml:space="preserve">west_share_of_lost</t>
  </si>
  <si>
    <t xml:space="preserve">Checks: workbook results against tests/fixtures/golden/expected.json</t>
  </si>
  <si>
    <t xml:space="preserve">Expected values are typed from expected.json (blue); results are live formulas from Bridge. Rates compared at 6 dp, money at 2 dp.</t>
  </si>
  <si>
    <t xml:space="preserve">state</t>
  </si>
  <si>
    <t xml:space="preserve">metric</t>
  </si>
  <si>
    <t xml:space="preserve">expected (expected.json)</t>
  </si>
  <si>
    <t xml:space="preserve">workbook</t>
  </si>
  <si>
    <t xml:space="preserve">match</t>
  </si>
  <si>
    <t xml:space="preserve">baseline</t>
  </si>
  <si>
    <t xml:space="preserve">after_return</t>
  </si>
  <si>
    <t xml:space="preserve">all checks</t>
  </si>
  <si>
    <t xml:space="preserve">Allocation self-test (block 3): 3.34 / 3.33 / 3.33, sum 10.00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</si>
</sst>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General"/>
    <numFmt numFmtId="167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8" customFormat="false" ht="15" hidden="false" customHeight="false" outlineLevel="0" collapsed="false">
      <c r="A8" s="3" t="s">
        <v>13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</row>
    <row r="11" customFormat="false" ht="15" hidden="false" customHeight="false" outlineLevel="0" collapsed="false">
      <c r="A11" s="5" t="s">
        <v>24</v>
      </c>
      <c r="B11" s="5" t="s">
        <v>25</v>
      </c>
      <c r="C11" s="5" t="s">
        <v>21</v>
      </c>
      <c r="D11" s="5" t="s">
        <v>22</v>
      </c>
      <c r="E11" s="5" t="s">
        <v>23</v>
      </c>
    </row>
    <row r="13" customFormat="false" ht="15" hidden="false" customHeight="false" outlineLevel="0" collapsed="false">
      <c r="A13" s="3" t="s">
        <v>26</v>
      </c>
    </row>
    <row r="14" customFormat="false" ht="15" hidden="false" customHeight="false" outlineLevel="0" collapsed="false">
      <c r="A14" s="4" t="s">
        <v>27</v>
      </c>
      <c r="B14" s="4" t="s">
        <v>3</v>
      </c>
      <c r="C14" s="4" t="s">
        <v>28</v>
      </c>
      <c r="D14" s="4" t="s">
        <v>29</v>
      </c>
      <c r="E14" s="4" t="s">
        <v>30</v>
      </c>
    </row>
    <row r="15" customFormat="false" ht="15" hidden="false" customHeight="false" outlineLevel="0" collapsed="false">
      <c r="A15" s="5" t="s">
        <v>31</v>
      </c>
      <c r="B15" s="5" t="s">
        <v>8</v>
      </c>
      <c r="C15" s="5" t="s">
        <v>32</v>
      </c>
      <c r="D15" s="5" t="s">
        <v>33</v>
      </c>
      <c r="E15" s="5" t="s">
        <v>34</v>
      </c>
    </row>
    <row r="17" customFormat="false" ht="15" hidden="false" customHeight="false" outlineLevel="0" collapsed="false">
      <c r="A17" s="3" t="s">
        <v>35</v>
      </c>
    </row>
    <row r="18" customFormat="false" ht="15" hidden="false" customHeight="false" outlineLevel="0" collapsed="false">
      <c r="A18" s="4" t="s">
        <v>36</v>
      </c>
      <c r="B18" s="4" t="s">
        <v>27</v>
      </c>
      <c r="C18" s="4" t="s">
        <v>14</v>
      </c>
      <c r="D18" s="4" t="s">
        <v>37</v>
      </c>
      <c r="E18" s="4" t="s">
        <v>38</v>
      </c>
    </row>
    <row r="19" customFormat="false" ht="15" hidden="false" customHeight="false" outlineLevel="0" collapsed="false">
      <c r="A19" s="5" t="s">
        <v>39</v>
      </c>
      <c r="B19" s="5" t="s">
        <v>31</v>
      </c>
      <c r="C19" s="5" t="s">
        <v>19</v>
      </c>
      <c r="D19" s="5" t="n">
        <v>2</v>
      </c>
      <c r="E19" s="5" t="n">
        <v>100</v>
      </c>
    </row>
    <row r="20" customFormat="false" ht="15" hidden="false" customHeight="false" outlineLevel="0" collapsed="false">
      <c r="A20" s="5" t="s">
        <v>40</v>
      </c>
      <c r="B20" s="5" t="s">
        <v>31</v>
      </c>
      <c r="C20" s="5" t="s">
        <v>24</v>
      </c>
      <c r="D20" s="5" t="n">
        <v>1</v>
      </c>
      <c r="E20" s="5" t="n">
        <v>50</v>
      </c>
    </row>
    <row r="22" customFormat="false" ht="15" hidden="false" customHeight="false" outlineLevel="0" collapsed="false">
      <c r="A22" s="3" t="s">
        <v>41</v>
      </c>
    </row>
    <row r="23" customFormat="false" ht="15" hidden="false" customHeight="false" outlineLevel="0" collapsed="false">
      <c r="A23" s="4" t="s">
        <v>42</v>
      </c>
      <c r="B23" s="4" t="s">
        <v>36</v>
      </c>
      <c r="C23" s="4" t="s">
        <v>43</v>
      </c>
      <c r="D23" s="4" t="s">
        <v>44</v>
      </c>
      <c r="E23" s="4" t="s">
        <v>45</v>
      </c>
    </row>
    <row r="24" customFormat="false" ht="15" hidden="false" customHeight="false" outlineLevel="0" collapsed="false">
      <c r="A24" s="5" t="s">
        <v>46</v>
      </c>
      <c r="B24" s="5" t="s">
        <v>39</v>
      </c>
      <c r="C24" s="5" t="n">
        <v>20</v>
      </c>
      <c r="D24" s="5" t="s">
        <v>47</v>
      </c>
      <c r="E24" s="5" t="s">
        <v>48</v>
      </c>
    </row>
    <row r="25" customFormat="false" ht="15" hidden="false" customHeight="false" outlineLevel="0" collapsed="false">
      <c r="A25" s="5" t="s">
        <v>49</v>
      </c>
      <c r="B25" s="5" t="s">
        <v>40</v>
      </c>
      <c r="C25" s="5" t="n">
        <v>5</v>
      </c>
      <c r="D25" s="5" t="s">
        <v>50</v>
      </c>
      <c r="E25" s="5" t="s">
        <v>48</v>
      </c>
    </row>
    <row r="27" customFormat="false" ht="15" hidden="false" customHeight="false" outlineLevel="0" collapsed="false">
      <c r="A27" s="3" t="s">
        <v>51</v>
      </c>
    </row>
    <row r="28" customFormat="false" ht="15" hidden="false" customHeight="false" outlineLevel="0" collapsed="false">
      <c r="A28" s="4" t="s">
        <v>52</v>
      </c>
      <c r="B28" s="4" t="s">
        <v>27</v>
      </c>
      <c r="C28" s="4" t="s">
        <v>53</v>
      </c>
      <c r="D28" s="4" t="s">
        <v>54</v>
      </c>
      <c r="E28" s="4" t="s">
        <v>29</v>
      </c>
    </row>
    <row r="29" customFormat="false" ht="15" hidden="false" customHeight="false" outlineLevel="0" collapsed="false">
      <c r="A29" s="5" t="s">
        <v>55</v>
      </c>
      <c r="B29" s="5" t="s">
        <v>31</v>
      </c>
      <c r="C29" s="5" t="s">
        <v>56</v>
      </c>
      <c r="D29" s="5" t="n">
        <v>15</v>
      </c>
      <c r="E29" s="5" t="s">
        <v>33</v>
      </c>
    </row>
    <row r="31" customFormat="false" ht="15" hidden="false" customHeight="false" outlineLevel="0" collapsed="false">
      <c r="A31" s="3" t="s">
        <v>57</v>
      </c>
    </row>
    <row r="32" customFormat="false" ht="15" hidden="false" customHeight="false" outlineLevel="0" collapsed="false">
      <c r="A32" s="4" t="s">
        <v>58</v>
      </c>
      <c r="B32" s="4" t="s">
        <v>52</v>
      </c>
      <c r="C32" s="4" t="s">
        <v>36</v>
      </c>
      <c r="D32" s="4" t="s">
        <v>59</v>
      </c>
      <c r="E32" s="4" t="s">
        <v>60</v>
      </c>
    </row>
    <row r="33" customFormat="false" ht="15" hidden="false" customHeight="false" outlineLevel="0" collapsed="false">
      <c r="A33" s="5" t="s">
        <v>61</v>
      </c>
      <c r="B33" s="5" t="s">
        <v>55</v>
      </c>
      <c r="C33" s="5" t="s">
        <v>39</v>
      </c>
      <c r="D33" s="5" t="n">
        <v>2</v>
      </c>
      <c r="E33" s="5" t="s">
        <v>62</v>
      </c>
    </row>
    <row r="34" customFormat="false" ht="15" hidden="false" customHeight="false" outlineLevel="0" collapsed="false">
      <c r="A34" s="5" t="s">
        <v>63</v>
      </c>
      <c r="B34" s="5" t="s">
        <v>55</v>
      </c>
      <c r="C34" s="5" t="s">
        <v>40</v>
      </c>
      <c r="D34" s="5" t="n">
        <v>1</v>
      </c>
      <c r="E34" s="5" t="s">
        <v>64</v>
      </c>
    </row>
    <row r="36" customFormat="false" ht="15" hidden="false" customHeight="false" outlineLevel="0" collapsed="false">
      <c r="A36" s="3" t="s">
        <v>65</v>
      </c>
    </row>
    <row r="37" customFormat="false" ht="15" hidden="false" customHeight="false" outlineLevel="0" collapsed="false">
      <c r="A37" s="4" t="s">
        <v>66</v>
      </c>
      <c r="B37" s="4" t="s">
        <v>58</v>
      </c>
      <c r="C37" s="4" t="s">
        <v>67</v>
      </c>
      <c r="D37" s="4" t="s">
        <v>68</v>
      </c>
      <c r="E37" s="4" t="s">
        <v>69</v>
      </c>
    </row>
    <row r="38" customFormat="false" ht="15" hidden="false" customHeight="false" outlineLevel="0" collapsed="false">
      <c r="A38" s="5" t="s">
        <v>70</v>
      </c>
      <c r="B38" s="5" t="s">
        <v>61</v>
      </c>
      <c r="C38" s="5" t="n">
        <v>1</v>
      </c>
      <c r="D38" s="5" t="n">
        <v>90</v>
      </c>
      <c r="E38" s="5" t="s">
        <v>71</v>
      </c>
    </row>
    <row r="40" customFormat="false" ht="15" hidden="false" customHeight="false" outlineLevel="0" collapsed="false">
      <c r="A40" s="3" t="s">
        <v>72</v>
      </c>
    </row>
    <row r="41" customFormat="false" ht="15" hidden="false" customHeight="false" outlineLevel="0" collapsed="false">
      <c r="A41" s="4" t="s">
        <v>60</v>
      </c>
      <c r="B41" s="4" t="s">
        <v>14</v>
      </c>
      <c r="C41" s="4" t="s">
        <v>73</v>
      </c>
      <c r="D41" s="4" t="s">
        <v>74</v>
      </c>
      <c r="E41" s="4" t="s">
        <v>75</v>
      </c>
    </row>
    <row r="42" customFormat="false" ht="15" hidden="false" customHeight="false" outlineLevel="0" collapsed="false">
      <c r="A42" s="5" t="s">
        <v>62</v>
      </c>
      <c r="B42" s="5" t="s">
        <v>19</v>
      </c>
      <c r="C42" s="5" t="n">
        <v>60</v>
      </c>
      <c r="D42" s="5" t="s">
        <v>76</v>
      </c>
      <c r="E42" s="5"/>
    </row>
    <row r="43" customFormat="false" ht="15" hidden="false" customHeight="false" outlineLevel="0" collapsed="false">
      <c r="A43" s="5" t="s">
        <v>64</v>
      </c>
      <c r="B43" s="5" t="s">
        <v>24</v>
      </c>
      <c r="C43" s="5" t="n">
        <v>20</v>
      </c>
      <c r="D43" s="5" t="s">
        <v>76</v>
      </c>
      <c r="E43" s="5"/>
    </row>
    <row r="45" customFormat="false" ht="15" hidden="false" customHeight="false" outlineLevel="0" collapsed="false">
      <c r="A45" s="3" t="s">
        <v>77</v>
      </c>
    </row>
    <row r="46" customFormat="false" ht="15" hidden="false" customHeight="false" outlineLevel="0" collapsed="false">
      <c r="A46" s="4" t="s">
        <v>78</v>
      </c>
      <c r="B46" s="4" t="s">
        <v>29</v>
      </c>
      <c r="C46" s="4" t="s">
        <v>79</v>
      </c>
      <c r="D46" s="4" t="s">
        <v>80</v>
      </c>
      <c r="E46" s="4" t="s">
        <v>81</v>
      </c>
    </row>
    <row r="47" customFormat="false" ht="15" hidden="false" customHeight="false" outlineLevel="0" collapsed="false">
      <c r="A47" s="5" t="s">
        <v>82</v>
      </c>
      <c r="B47" s="5" t="s">
        <v>33</v>
      </c>
      <c r="C47" s="5" t="s">
        <v>33</v>
      </c>
      <c r="D47" s="5" t="s">
        <v>76</v>
      </c>
      <c r="E47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5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3" t="s">
        <v>85</v>
      </c>
    </row>
    <row r="5" customFormat="false" ht="28.35" hidden="false" customHeight="false" outlineLevel="0" collapsed="false">
      <c r="A5" s="4" t="s">
        <v>58</v>
      </c>
      <c r="B5" s="4" t="s">
        <v>52</v>
      </c>
      <c r="C5" s="4" t="s">
        <v>36</v>
      </c>
      <c r="D5" s="4" t="s">
        <v>59</v>
      </c>
      <c r="E5" s="4" t="s">
        <v>38</v>
      </c>
      <c r="F5" s="4" t="s">
        <v>86</v>
      </c>
      <c r="G5" s="4" t="s">
        <v>87</v>
      </c>
      <c r="H5" s="4" t="s">
        <v>88</v>
      </c>
      <c r="I5" s="4" t="s">
        <v>89</v>
      </c>
      <c r="J5" s="4" t="s">
        <v>90</v>
      </c>
      <c r="K5" s="4" t="s">
        <v>91</v>
      </c>
      <c r="L5" s="4" t="s">
        <v>92</v>
      </c>
      <c r="M5" s="4" t="s">
        <v>93</v>
      </c>
      <c r="N5" s="4" t="s">
        <v>94</v>
      </c>
      <c r="O5" s="4" t="s">
        <v>95</v>
      </c>
    </row>
    <row r="6" customFormat="false" ht="15" hidden="false" customHeight="false" outlineLevel="0" collapsed="false">
      <c r="A6" s="0" t="str">
        <f aca="false">Inputs!A33</f>
        <v>sl-001</v>
      </c>
      <c r="B6" s="0" t="str">
        <f aca="false">Inputs!B33</f>
        <v>shp-001</v>
      </c>
      <c r="C6" s="0" t="str">
        <f aca="false">Inputs!C33</f>
        <v>line-001</v>
      </c>
      <c r="D6" s="0" t="n">
        <f aca="false">Inputs!D33</f>
        <v>2</v>
      </c>
      <c r="E6" s="6" t="n">
        <f aca="false">INDEX(Inputs!$E$19:$E$20,MATCH(C6,Inputs!$A$19:$A$20,0))</f>
        <v>100</v>
      </c>
      <c r="F6" s="6" t="n">
        <f aca="false">D6*E6</f>
        <v>200</v>
      </c>
      <c r="G6" s="7" t="n">
        <f aca="false">ROUND(INDEX(Inputs!$D$29:$D$29,MATCH(B6,Inputs!$A$29:$A$29,0)),2)*100</f>
        <v>1500</v>
      </c>
      <c r="H6" s="7" t="n">
        <f aca="false">IF(SUMIF($B$6:$B$7,B6,$F$6:$F$7)&gt;0,ROUND(F6*100,0),D6)</f>
        <v>20000</v>
      </c>
      <c r="I6" s="7" t="n">
        <f aca="false">SUMIF($B$6:$B$7,B6,$H$6:$H$7)</f>
        <v>25000</v>
      </c>
      <c r="J6" s="7" t="n">
        <f aca="false">IF(I6=0,0,QUOTIENT(G6*H6,I6))</f>
        <v>1200</v>
      </c>
      <c r="K6" s="7" t="n">
        <f aca="false">IF(I6=0,0,MOD(G6*H6,I6))</f>
        <v>0</v>
      </c>
      <c r="L6" s="7" t="n">
        <f aca="false">G6-SUMIF($B$6:$B$7,B6,$J$6:$J$7)</f>
        <v>0</v>
      </c>
      <c r="M6" s="7" t="n">
        <f aca="false">1+SUMPRODUCT(($B$6:$B$7=B6)*($K$6:$K$7&gt;K6))+SUMPRODUCT(($B$6:$B$7=B6)*($K$6:$K$7=K6)*($A$6:$A$7&lt;A6))</f>
        <v>1</v>
      </c>
      <c r="N6" s="7" t="n">
        <f aca="false">IF(AND(I6&gt;0,M6&lt;=L6),1,0)</f>
        <v>0</v>
      </c>
      <c r="O6" s="6" t="n">
        <f aca="false">(J6+N6)/100</f>
        <v>12</v>
      </c>
    </row>
    <row r="7" customFormat="false" ht="15" hidden="false" customHeight="false" outlineLevel="0" collapsed="false">
      <c r="A7" s="0" t="str">
        <f aca="false">Inputs!A34</f>
        <v>sl-002</v>
      </c>
      <c r="B7" s="0" t="str">
        <f aca="false">Inputs!B34</f>
        <v>shp-001</v>
      </c>
      <c r="C7" s="0" t="str">
        <f aca="false">Inputs!C34</f>
        <v>line-002</v>
      </c>
      <c r="D7" s="0" t="n">
        <f aca="false">Inputs!D34</f>
        <v>1</v>
      </c>
      <c r="E7" s="6" t="n">
        <f aca="false">INDEX(Inputs!$E$19:$E$20,MATCH(C7,Inputs!$A$19:$A$20,0))</f>
        <v>50</v>
      </c>
      <c r="F7" s="6" t="n">
        <f aca="false">D7*E7</f>
        <v>50</v>
      </c>
      <c r="G7" s="7" t="n">
        <f aca="false">ROUND(INDEX(Inputs!$D$29:$D$29,MATCH(B7,Inputs!$A$29:$A$29,0)),2)*100</f>
        <v>1500</v>
      </c>
      <c r="H7" s="7" t="n">
        <f aca="false">IF(SUMIF($B$6:$B$7,B7,$F$6:$F$7)&gt;0,ROUND(F7*100,0),D7)</f>
        <v>5000</v>
      </c>
      <c r="I7" s="7" t="n">
        <f aca="false">SUMIF($B$6:$B$7,B7,$H$6:$H$7)</f>
        <v>25000</v>
      </c>
      <c r="J7" s="7" t="n">
        <f aca="false">IF(I7=0,0,QUOTIENT(G7*H7,I7))</f>
        <v>300</v>
      </c>
      <c r="K7" s="7" t="n">
        <f aca="false">IF(I7=0,0,MOD(G7*H7,I7))</f>
        <v>0</v>
      </c>
      <c r="L7" s="7" t="n">
        <f aca="false">G7-SUMIF($B$6:$B$7,B7,$J$6:$J$7)</f>
        <v>0</v>
      </c>
      <c r="M7" s="7" t="n">
        <f aca="false">1+SUMPRODUCT(($B$6:$B$7=B7)*($K$6:$K$7&gt;K7))+SUMPRODUCT(($B$6:$B$7=B7)*($K$6:$K$7=K7)*($A$6:$A$7&lt;A7))</f>
        <v>2</v>
      </c>
      <c r="N7" s="7" t="n">
        <f aca="false">IF(AND(I7&gt;0,M7&lt;=L7),1,0)</f>
        <v>0</v>
      </c>
      <c r="O7" s="6" t="n">
        <f aca="false">(J7+N7)/100</f>
        <v>3</v>
      </c>
    </row>
    <row r="10" customFormat="false" ht="15" hidden="false" customHeight="false" outlineLevel="0" collapsed="false">
      <c r="A10" s="3" t="s">
        <v>96</v>
      </c>
    </row>
    <row r="11" customFormat="false" ht="28.35" hidden="false" customHeight="false" outlineLevel="0" collapsed="false">
      <c r="A11" s="4" t="s">
        <v>58</v>
      </c>
      <c r="B11" s="4" t="s">
        <v>36</v>
      </c>
      <c r="C11" s="4" t="s">
        <v>52</v>
      </c>
      <c r="D11" s="4" t="s">
        <v>59</v>
      </c>
      <c r="E11" s="4" t="s">
        <v>97</v>
      </c>
      <c r="F11" s="4" t="s">
        <v>98</v>
      </c>
      <c r="G11" s="4" t="s">
        <v>87</v>
      </c>
      <c r="H11" s="4" t="s">
        <v>88</v>
      </c>
      <c r="I11" s="4" t="s">
        <v>89</v>
      </c>
      <c r="J11" s="4" t="s">
        <v>90</v>
      </c>
      <c r="K11" s="4" t="s">
        <v>91</v>
      </c>
      <c r="L11" s="4" t="s">
        <v>92</v>
      </c>
      <c r="M11" s="4" t="s">
        <v>93</v>
      </c>
      <c r="N11" s="4" t="s">
        <v>94</v>
      </c>
      <c r="O11" s="4" t="s">
        <v>95</v>
      </c>
    </row>
    <row r="12" customFormat="false" ht="15" hidden="false" customHeight="false" outlineLevel="0" collapsed="false">
      <c r="A12" s="0" t="str">
        <f aca="false">Inputs!A33</f>
        <v>sl-001</v>
      </c>
      <c r="B12" s="0" t="str">
        <f aca="false">Inputs!C33</f>
        <v>line-001</v>
      </c>
      <c r="C12" s="0" t="str">
        <f aca="false">Inputs!B33</f>
        <v>shp-001</v>
      </c>
      <c r="D12" s="0" t="n">
        <f aca="false">Inputs!D33</f>
        <v>2</v>
      </c>
      <c r="E12" s="0" t="n">
        <f aca="false">INDEX(Inputs!$D$19:$D$20,MATCH(B12,Inputs!$A$19:$A$20,0))</f>
        <v>2</v>
      </c>
      <c r="F12" s="6" t="n">
        <f aca="false">SUMIF(Inputs!$B$24:$B$25,B12,Inputs!$C$24:$C$25)</f>
        <v>20</v>
      </c>
      <c r="G12" s="7" t="n">
        <f aca="false">ROUND(F12*SUMIF(Inputs!$C$33:$C$34,B12,Inputs!$D$33:$D$34)/E12,2)*100</f>
        <v>2000</v>
      </c>
      <c r="H12" s="7" t="n">
        <f aca="false">D12</f>
        <v>2</v>
      </c>
      <c r="I12" s="7" t="n">
        <f aca="false">SUMIF($B$12:$B$13,B12,$H$12:$H$13)</f>
        <v>2</v>
      </c>
      <c r="J12" s="7" t="n">
        <f aca="false">IF(I12=0,0,QUOTIENT(G12*H12,I12))</f>
        <v>2000</v>
      </c>
      <c r="K12" s="7" t="n">
        <f aca="false">IF(I12=0,0,MOD(G12*H12,I12))</f>
        <v>0</v>
      </c>
      <c r="L12" s="7" t="n">
        <f aca="false">G12-SUMIF($B$12:$B$13,B12,$J$12:$J$13)</f>
        <v>0</v>
      </c>
      <c r="M12" s="7" t="n">
        <f aca="false">1+SUMPRODUCT(($B$12:$B$13=B12)*($K$12:$K$13&gt;K12))+SUMPRODUCT(($B$12:$B$13=B12)*($K$12:$K$13=K12)*($A$12:$A$13&lt;A12))</f>
        <v>1</v>
      </c>
      <c r="N12" s="7" t="n">
        <f aca="false">IF(AND(I12&gt;0,M12&lt;=L12),1,0)</f>
        <v>0</v>
      </c>
      <c r="O12" s="6" t="n">
        <f aca="false">(J12+N12)/100</f>
        <v>20</v>
      </c>
    </row>
    <row r="13" customFormat="false" ht="15" hidden="false" customHeight="false" outlineLevel="0" collapsed="false">
      <c r="A13" s="0" t="str">
        <f aca="false">Inputs!A34</f>
        <v>sl-002</v>
      </c>
      <c r="B13" s="0" t="str">
        <f aca="false">Inputs!C34</f>
        <v>line-002</v>
      </c>
      <c r="C13" s="0" t="str">
        <f aca="false">Inputs!B34</f>
        <v>shp-001</v>
      </c>
      <c r="D13" s="0" t="n">
        <f aca="false">Inputs!D34</f>
        <v>1</v>
      </c>
      <c r="E13" s="0" t="n">
        <f aca="false">INDEX(Inputs!$D$19:$D$20,MATCH(B13,Inputs!$A$19:$A$20,0))</f>
        <v>1</v>
      </c>
      <c r="F13" s="6" t="n">
        <f aca="false">SUMIF(Inputs!$B$24:$B$25,B13,Inputs!$C$24:$C$25)</f>
        <v>5</v>
      </c>
      <c r="G13" s="7" t="n">
        <f aca="false">ROUND(F13*SUMIF(Inputs!$C$33:$C$34,B13,Inputs!$D$33:$D$34)/E13,2)*100</f>
        <v>500</v>
      </c>
      <c r="H13" s="7" t="n">
        <f aca="false">D13</f>
        <v>1</v>
      </c>
      <c r="I13" s="7" t="n">
        <f aca="false">SUMIF($B$12:$B$13,B13,$H$12:$H$13)</f>
        <v>1</v>
      </c>
      <c r="J13" s="7" t="n">
        <f aca="false">IF(I13=0,0,QUOTIENT(G13*H13,I13))</f>
        <v>500</v>
      </c>
      <c r="K13" s="7" t="n">
        <f aca="false">IF(I13=0,0,MOD(G13*H13,I13))</f>
        <v>0</v>
      </c>
      <c r="L13" s="7" t="n">
        <f aca="false">G13-SUMIF($B$12:$B$13,B13,$J$12:$J$13)</f>
        <v>0</v>
      </c>
      <c r="M13" s="7" t="n">
        <f aca="false">1+SUMPRODUCT(($B$12:$B$13=B13)*($K$12:$K$13&gt;K13))+SUMPRODUCT(($B$12:$B$13=B13)*($K$12:$K$13=K13)*($A$12:$A$13&lt;A13))</f>
        <v>1</v>
      </c>
      <c r="N13" s="7" t="n">
        <f aca="false">IF(AND(I13&gt;0,M13&lt;=L13),1,0)</f>
        <v>0</v>
      </c>
      <c r="O13" s="6" t="n">
        <f aca="false">(J13+N13)/100</f>
        <v>5</v>
      </c>
    </row>
    <row r="16" customFormat="false" ht="15" hidden="false" customHeight="false" outlineLevel="0" collapsed="false">
      <c r="A16" s="3" t="s">
        <v>99</v>
      </c>
    </row>
    <row r="17" customFormat="false" ht="28.35" hidden="false" customHeight="false" outlineLevel="0" collapsed="false">
      <c r="A17" s="4" t="s">
        <v>100</v>
      </c>
      <c r="B17" s="4" t="s">
        <v>101</v>
      </c>
      <c r="C17" s="4" t="s">
        <v>102</v>
      </c>
      <c r="D17" s="4" t="s">
        <v>103</v>
      </c>
      <c r="E17" s="4" t="s">
        <v>103</v>
      </c>
      <c r="F17" s="4" t="s">
        <v>103</v>
      </c>
      <c r="G17" s="4" t="s">
        <v>87</v>
      </c>
      <c r="H17" s="4" t="s">
        <v>88</v>
      </c>
      <c r="I17" s="4" t="s">
        <v>89</v>
      </c>
      <c r="J17" s="4" t="s">
        <v>90</v>
      </c>
      <c r="K17" s="4" t="s">
        <v>91</v>
      </c>
      <c r="L17" s="4" t="s">
        <v>92</v>
      </c>
      <c r="M17" s="4" t="s">
        <v>93</v>
      </c>
      <c r="N17" s="4" t="s">
        <v>94</v>
      </c>
      <c r="O17" s="4" t="s">
        <v>95</v>
      </c>
    </row>
    <row r="18" customFormat="false" ht="15" hidden="false" customHeight="false" outlineLevel="0" collapsed="false">
      <c r="A18" s="5" t="s">
        <v>104</v>
      </c>
      <c r="B18" s="5" t="s">
        <v>105</v>
      </c>
      <c r="C18" s="5" t="n">
        <v>10</v>
      </c>
      <c r="G18" s="7" t="n">
        <f aca="false">ROUND(C18,2)*100</f>
        <v>1000</v>
      </c>
      <c r="H18" s="5" t="n">
        <v>1</v>
      </c>
      <c r="I18" s="7" t="n">
        <f aca="false">SUMIF($B$18:$B$20,B18,$H$18:$H$20)</f>
        <v>3</v>
      </c>
      <c r="J18" s="7" t="n">
        <f aca="false">IF(I18=0,0,QUOTIENT(G18*H18,I18))</f>
        <v>333</v>
      </c>
      <c r="K18" s="7" t="n">
        <f aca="false">IF(I18=0,0,MOD(G18*H18,I18))</f>
        <v>1</v>
      </c>
      <c r="L18" s="7" t="n">
        <f aca="false">G18-SUMIF($B$18:$B$20,B18,$J$18:$J$20)</f>
        <v>1</v>
      </c>
      <c r="M18" s="7" t="n">
        <f aca="false">1+SUMPRODUCT(($B$18:$B$20=B18)*($K$18:$K$20&gt;K18))+SUMPRODUCT(($B$18:$B$20=B18)*($K$18:$K$20=K18)*($A$18:$A$20&lt;A18))</f>
        <v>1</v>
      </c>
      <c r="N18" s="7" t="n">
        <f aca="false">IF(AND(I18&gt;0,M18&lt;=L18),1,0)</f>
        <v>1</v>
      </c>
      <c r="O18" s="6" t="n">
        <f aca="false">(J18+N18)/100</f>
        <v>3.34</v>
      </c>
    </row>
    <row r="19" customFormat="false" ht="15" hidden="false" customHeight="false" outlineLevel="0" collapsed="false">
      <c r="A19" s="5" t="s">
        <v>106</v>
      </c>
      <c r="B19" s="5" t="s">
        <v>105</v>
      </c>
      <c r="C19" s="5" t="n">
        <v>10</v>
      </c>
      <c r="G19" s="7" t="n">
        <f aca="false">ROUND(C19,2)*100</f>
        <v>1000</v>
      </c>
      <c r="H19" s="5" t="n">
        <v>1</v>
      </c>
      <c r="I19" s="7" t="n">
        <f aca="false">SUMIF($B$18:$B$20,B19,$H$18:$H$20)</f>
        <v>3</v>
      </c>
      <c r="J19" s="7" t="n">
        <f aca="false">IF(I19=0,0,QUOTIENT(G19*H19,I19))</f>
        <v>333</v>
      </c>
      <c r="K19" s="7" t="n">
        <f aca="false">IF(I19=0,0,MOD(G19*H19,I19))</f>
        <v>1</v>
      </c>
      <c r="L19" s="7" t="n">
        <f aca="false">G19-SUMIF($B$18:$B$20,B19,$J$18:$J$20)</f>
        <v>1</v>
      </c>
      <c r="M19" s="7" t="n">
        <f aca="false">1+SUMPRODUCT(($B$18:$B$20=B19)*($K$18:$K$20&gt;K19))+SUMPRODUCT(($B$18:$B$20=B19)*($K$18:$K$20=K19)*($A$18:$A$20&lt;A19))</f>
        <v>2</v>
      </c>
      <c r="N19" s="7" t="n">
        <f aca="false">IF(AND(I19&gt;0,M19&lt;=L19),1,0)</f>
        <v>0</v>
      </c>
      <c r="O19" s="6" t="n">
        <f aca="false">(J19+N19)/100</f>
        <v>3.33</v>
      </c>
    </row>
    <row r="20" customFormat="false" ht="15" hidden="false" customHeight="false" outlineLevel="0" collapsed="false">
      <c r="A20" s="5" t="s">
        <v>107</v>
      </c>
      <c r="B20" s="5" t="s">
        <v>105</v>
      </c>
      <c r="C20" s="5" t="n">
        <v>10</v>
      </c>
      <c r="G20" s="7" t="n">
        <f aca="false">ROUND(C20,2)*100</f>
        <v>1000</v>
      </c>
      <c r="H20" s="5" t="n">
        <v>1</v>
      </c>
      <c r="I20" s="7" t="n">
        <f aca="false">SUMIF($B$18:$B$20,B20,$H$18:$H$20)</f>
        <v>3</v>
      </c>
      <c r="J20" s="7" t="n">
        <f aca="false">IF(I20=0,0,QUOTIENT(G20*H20,I20))</f>
        <v>333</v>
      </c>
      <c r="K20" s="7" t="n">
        <f aca="false">IF(I20=0,0,MOD(G20*H20,I20))</f>
        <v>1</v>
      </c>
      <c r="L20" s="7" t="n">
        <f aca="false">G20-SUMIF($B$18:$B$20,B20,$J$18:$J$20)</f>
        <v>1</v>
      </c>
      <c r="M20" s="7" t="n">
        <f aca="false">1+SUMPRODUCT(($B$18:$B$20=B20)*($K$18:$K$20&gt;K20))+SUMPRODUCT(($B$18:$B$20=B20)*($K$18:$K$20=K20)*($A$18:$A$20&lt;A20))</f>
        <v>3</v>
      </c>
      <c r="N20" s="7" t="n">
        <f aca="false">IF(AND(I20&gt;0,M20&lt;=L20),1,0)</f>
        <v>0</v>
      </c>
      <c r="O20" s="6" t="n">
        <f aca="false">(J20+N20)/100</f>
        <v>3.33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3" customFormat="false" ht="15" hidden="false" customHeight="false" outlineLevel="0" collapsed="false">
      <c r="A3" s="0" t="s">
        <v>110</v>
      </c>
      <c r="B3" s="5" t="n">
        <v>0</v>
      </c>
      <c r="C3" s="5" t="n">
        <v>1</v>
      </c>
    </row>
    <row r="4" customFormat="false" ht="15" hidden="false" customHeight="false" outlineLevel="0" collapsed="false">
      <c r="A4" s="4" t="s">
        <v>111</v>
      </c>
      <c r="B4" s="4" t="s">
        <v>112</v>
      </c>
      <c r="C4" s="4" t="s">
        <v>113</v>
      </c>
      <c r="D4" s="4" t="s">
        <v>114</v>
      </c>
    </row>
    <row r="5" customFormat="false" ht="15" hidden="false" customHeight="false" outlineLevel="0" collapsed="false">
      <c r="A5" s="0" t="s">
        <v>115</v>
      </c>
      <c r="B5" s="6" t="n">
        <f aca="false">SUM(Allocation!$F$6:$F$7)</f>
        <v>250</v>
      </c>
      <c r="C5" s="6" t="n">
        <f aca="false">SUM(Allocation!$F$6:$F$7)</f>
        <v>250</v>
      </c>
      <c r="D5" s="7" t="s">
        <v>116</v>
      </c>
    </row>
    <row r="6" customFormat="false" ht="15" hidden="false" customHeight="false" outlineLevel="0" collapsed="false">
      <c r="A6" s="0" t="s">
        <v>117</v>
      </c>
      <c r="B6" s="6" t="n">
        <f aca="false">SUM(Allocation!$O$12:$O$13)</f>
        <v>25</v>
      </c>
      <c r="C6" s="6" t="n">
        <f aca="false">SUM(Allocation!$O$12:$O$13)</f>
        <v>25</v>
      </c>
      <c r="D6" s="7" t="s">
        <v>118</v>
      </c>
    </row>
    <row r="7" customFormat="false" ht="15" hidden="false" customHeight="false" outlineLevel="0" collapsed="false">
      <c r="A7" s="0" t="s">
        <v>119</v>
      </c>
      <c r="B7" s="6" t="n">
        <f aca="false">B$3*SUM($F$27:$F$28)</f>
        <v>0</v>
      </c>
      <c r="C7" s="6" t="n">
        <f aca="false">C$3*SUM($F$27:$F$28)</f>
        <v>90</v>
      </c>
      <c r="D7" s="7" t="s">
        <v>120</v>
      </c>
    </row>
    <row r="8" customFormat="false" ht="15" hidden="false" customHeight="false" outlineLevel="0" collapsed="false">
      <c r="A8" s="3" t="s">
        <v>121</v>
      </c>
      <c r="B8" s="6" t="n">
        <f aca="false">B5-B6-B7</f>
        <v>225</v>
      </c>
      <c r="C8" s="6" t="n">
        <f aca="false">C5-C6-C7</f>
        <v>135</v>
      </c>
      <c r="D8" s="7" t="s">
        <v>122</v>
      </c>
    </row>
    <row r="9" customFormat="false" ht="15" hidden="false" customHeight="false" outlineLevel="0" collapsed="false">
      <c r="A9" s="0" t="s">
        <v>123</v>
      </c>
      <c r="B9" s="6" t="n">
        <f aca="false">SUM($E$27:$E$28)</f>
        <v>140</v>
      </c>
      <c r="C9" s="6" t="n">
        <f aca="false">SUM($E$27:$E$28)</f>
        <v>140</v>
      </c>
      <c r="D9" s="7" t="s">
        <v>124</v>
      </c>
    </row>
    <row r="10" customFormat="false" ht="15" hidden="false" customHeight="false" outlineLevel="0" collapsed="false">
      <c r="A10" s="0" t="s">
        <v>125</v>
      </c>
      <c r="B10" s="6" t="n">
        <f aca="false">B$3*SUM($H$27:$H$28)</f>
        <v>0</v>
      </c>
      <c r="C10" s="6" t="n">
        <f aca="false">C$3*SUM($H$27:$H$28)</f>
        <v>60</v>
      </c>
      <c r="D10" s="7" t="s">
        <v>126</v>
      </c>
    </row>
    <row r="11" customFormat="false" ht="15" hidden="false" customHeight="false" outlineLevel="0" collapsed="false">
      <c r="A11" s="0" t="s">
        <v>127</v>
      </c>
      <c r="B11" s="6" t="n">
        <f aca="false">B9-B10</f>
        <v>140</v>
      </c>
      <c r="C11" s="6" t="n">
        <f aca="false">C9-C10</f>
        <v>80</v>
      </c>
      <c r="D11" s="7" t="s">
        <v>128</v>
      </c>
    </row>
    <row r="12" customFormat="false" ht="15" hidden="false" customHeight="false" outlineLevel="0" collapsed="false">
      <c r="A12" s="3" t="s">
        <v>129</v>
      </c>
      <c r="B12" s="6" t="n">
        <f aca="false">B8-B11</f>
        <v>85</v>
      </c>
      <c r="C12" s="6" t="n">
        <f aca="false">C8-C11</f>
        <v>55</v>
      </c>
      <c r="D12" s="7" t="s">
        <v>130</v>
      </c>
    </row>
    <row r="13" customFormat="false" ht="15" hidden="false" customHeight="false" outlineLevel="0" collapsed="false">
      <c r="A13" s="0" t="s">
        <v>131</v>
      </c>
      <c r="B13" s="8" t="n">
        <v>0</v>
      </c>
      <c r="C13" s="8" t="n">
        <v>0</v>
      </c>
      <c r="D13" s="7" t="s">
        <v>132</v>
      </c>
    </row>
    <row r="14" customFormat="false" ht="15" hidden="false" customHeight="false" outlineLevel="0" collapsed="false">
      <c r="A14" s="0" t="s">
        <v>133</v>
      </c>
      <c r="B14" s="6" t="n">
        <f aca="false">SUM(Allocation!$O$6:$O$7)</f>
        <v>15</v>
      </c>
      <c r="C14" s="6" t="n">
        <f aca="false">SUM(Allocation!$O$6:$O$7)</f>
        <v>15</v>
      </c>
      <c r="D14" s="7" t="s">
        <v>134</v>
      </c>
    </row>
    <row r="15" customFormat="false" ht="15" hidden="false" customHeight="false" outlineLevel="0" collapsed="false">
      <c r="A15" s="0" t="s">
        <v>135</v>
      </c>
      <c r="B15" s="8" t="n">
        <v>0</v>
      </c>
      <c r="C15" s="8" t="n">
        <v>0</v>
      </c>
      <c r="D15" s="7" t="s">
        <v>132</v>
      </c>
    </row>
    <row r="16" customFormat="false" ht="15" hidden="false" customHeight="false" outlineLevel="0" collapsed="false">
      <c r="A16" s="3" t="s">
        <v>136</v>
      </c>
      <c r="B16" s="6" t="n">
        <f aca="false">B12+B13-B14-B15</f>
        <v>70</v>
      </c>
      <c r="C16" s="6" t="n">
        <f aca="false">C12+C13-C14-C15</f>
        <v>40</v>
      </c>
      <c r="D16" s="7" t="s">
        <v>137</v>
      </c>
    </row>
    <row r="17" customFormat="false" ht="15" hidden="false" customHeight="false" outlineLevel="0" collapsed="false">
      <c r="A17" s="0" t="s">
        <v>138</v>
      </c>
      <c r="B17" s="6" t="n">
        <f aca="false">SUM(Inputs!$D$29:$D$29)-SUM(Allocation!$O$6:$O$7)</f>
        <v>0</v>
      </c>
      <c r="C17" s="6" t="n">
        <f aca="false">SUM(Inputs!$D$29:$D$29)-SUM(Allocation!$O$6:$O$7)</f>
        <v>0</v>
      </c>
      <c r="D17" s="7" t="s">
        <v>139</v>
      </c>
    </row>
    <row r="18" customFormat="false" ht="15" hidden="false" customHeight="false" outlineLevel="0" collapsed="false">
      <c r="A18" s="0" t="s">
        <v>140</v>
      </c>
      <c r="B18" s="6" t="n">
        <f aca="false">B8+B13</f>
        <v>225</v>
      </c>
      <c r="C18" s="6" t="n">
        <f aca="false">C8+C13</f>
        <v>135</v>
      </c>
      <c r="D18" s="7" t="s">
        <v>141</v>
      </c>
    </row>
    <row r="19" customFormat="false" ht="15" hidden="false" customHeight="false" outlineLevel="0" collapsed="false">
      <c r="A19" s="0" t="s">
        <v>142</v>
      </c>
      <c r="B19" s="9" t="n">
        <f aca="false">IF(B18=0,"",B16/B18)</f>
        <v>0.311111111111111</v>
      </c>
      <c r="C19" s="9" t="n">
        <f aca="false">IF(C18=0,"",C16/C18)</f>
        <v>0.296296296296296</v>
      </c>
      <c r="D19" s="7" t="s">
        <v>143</v>
      </c>
    </row>
    <row r="20" customFormat="false" ht="15" hidden="false" customHeight="false" outlineLevel="0" collapsed="false">
      <c r="A20" s="0" t="s">
        <v>144</v>
      </c>
      <c r="B20" s="9" t="n">
        <f aca="false">IF(B5=0,"",B6/B5)</f>
        <v>0.1</v>
      </c>
      <c r="C20" s="9" t="n">
        <f aca="false">IF(C5=0,"",C6/C5)</f>
        <v>0.1</v>
      </c>
      <c r="D20" s="7" t="s">
        <v>145</v>
      </c>
    </row>
    <row r="21" customFormat="false" ht="15" hidden="false" customHeight="false" outlineLevel="0" collapsed="false">
      <c r="A21" s="0" t="s">
        <v>146</v>
      </c>
      <c r="B21" s="9" t="n">
        <f aca="false">IF(SUM($D$27:$D$28)=0,"",B$3*SUM($G$27:$G$28)/SUM($D$27:$D$28))</f>
        <v>0</v>
      </c>
      <c r="C21" s="9" t="n">
        <f aca="false">IF(SUM($D$27:$D$28)=0,"",C$3*SUM($G$27:$G$28)/SUM($D$27:$D$28))</f>
        <v>0.333333333333333</v>
      </c>
      <c r="D21" s="7" t="s">
        <v>147</v>
      </c>
    </row>
    <row r="25" customFormat="false" ht="15" hidden="false" customHeight="false" outlineLevel="0" collapsed="false">
      <c r="A25" s="3" t="s">
        <v>148</v>
      </c>
    </row>
    <row r="26" customFormat="false" ht="28.35" hidden="false" customHeight="false" outlineLevel="0" collapsed="false">
      <c r="A26" s="4" t="s">
        <v>58</v>
      </c>
      <c r="B26" s="4" t="s">
        <v>60</v>
      </c>
      <c r="C26" s="4" t="s">
        <v>73</v>
      </c>
      <c r="D26" s="4" t="s">
        <v>59</v>
      </c>
      <c r="E26" s="4" t="s">
        <v>149</v>
      </c>
      <c r="F26" s="4" t="s">
        <v>68</v>
      </c>
      <c r="G26" s="4" t="s">
        <v>67</v>
      </c>
      <c r="H26" s="4" t="s">
        <v>150</v>
      </c>
    </row>
    <row r="27" customFormat="false" ht="15" hidden="false" customHeight="false" outlineLevel="0" collapsed="false">
      <c r="A27" s="0" t="str">
        <f aca="false">Inputs!A33</f>
        <v>sl-001</v>
      </c>
      <c r="B27" s="0" t="str">
        <f aca="false">Inputs!E33</f>
        <v>cv-001</v>
      </c>
      <c r="C27" s="6" t="n">
        <f aca="false">INDEX(Inputs!$C$42:$C$43,MATCH(B27,Inputs!$A$42:$A$43,0))</f>
        <v>60</v>
      </c>
      <c r="D27" s="7" t="n">
        <f aca="false">Inputs!D33</f>
        <v>2</v>
      </c>
      <c r="E27" s="6" t="n">
        <f aca="false">C27*D27</f>
        <v>120</v>
      </c>
      <c r="F27" s="6" t="n">
        <f aca="false">SUMIF(Inputs!$B$38:$B$38,A27,Inputs!$D$38:$D$38)</f>
        <v>90</v>
      </c>
      <c r="G27" s="7" t="n">
        <f aca="false">SUMIF(Inputs!$B$38:$B$38,A27,Inputs!$C$38:$C$38)</f>
        <v>1</v>
      </c>
      <c r="H27" s="6" t="n">
        <f aca="false">G27*C27</f>
        <v>60</v>
      </c>
    </row>
    <row r="28" customFormat="false" ht="15" hidden="false" customHeight="false" outlineLevel="0" collapsed="false">
      <c r="A28" s="0" t="str">
        <f aca="false">Inputs!A34</f>
        <v>sl-002</v>
      </c>
      <c r="B28" s="0" t="str">
        <f aca="false">Inputs!E34</f>
        <v>cv-002</v>
      </c>
      <c r="C28" s="6" t="n">
        <f aca="false">INDEX(Inputs!$C$42:$C$43,MATCH(B28,Inputs!$A$42:$A$43,0))</f>
        <v>20</v>
      </c>
      <c r="D28" s="7" t="n">
        <f aca="false">Inputs!D34</f>
        <v>1</v>
      </c>
      <c r="E28" s="6" t="n">
        <f aca="false">C28*D28</f>
        <v>20</v>
      </c>
      <c r="F28" s="6" t="n">
        <f aca="false">SUMIF(Inputs!$B$38:$B$38,A28,Inputs!$D$38:$D$38)</f>
        <v>0</v>
      </c>
      <c r="G28" s="7" t="n">
        <f aca="false">SUMIF(Inputs!$B$38:$B$38,A28,Inputs!$C$38:$C$38)</f>
        <v>0</v>
      </c>
      <c r="H28" s="6" t="n">
        <f aca="false">G28*C28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20"/>
  </cols>
  <sheetData>
    <row r="1" customFormat="false" ht="17.35" hidden="false" customHeight="false" outlineLevel="0" collapsed="false">
      <c r="A1" s="1" t="s">
        <v>151</v>
      </c>
    </row>
    <row r="3" customFormat="false" ht="15" hidden="false" customHeight="false" outlineLevel="0" collapsed="false">
      <c r="A3" s="4" t="s">
        <v>152</v>
      </c>
      <c r="B3" s="4" t="s">
        <v>153</v>
      </c>
      <c r="C3" s="4" t="s">
        <v>154</v>
      </c>
    </row>
    <row r="4" customFormat="false" ht="41.75" hidden="false" customHeight="false" outlineLevel="0" collapsed="false">
      <c r="A4" s="0" t="s">
        <v>155</v>
      </c>
      <c r="B4" s="0" t="s">
        <v>156</v>
      </c>
      <c r="C4" s="10" t="s">
        <v>157</v>
      </c>
    </row>
    <row r="5" customFormat="false" ht="41.75" hidden="false" customHeight="false" outlineLevel="0" collapsed="false">
      <c r="A5" s="0" t="s">
        <v>158</v>
      </c>
      <c r="B5" s="0" t="s">
        <v>159</v>
      </c>
      <c r="C5" s="10" t="s">
        <v>160</v>
      </c>
    </row>
    <row r="6" customFormat="false" ht="28.35" hidden="false" customHeight="false" outlineLevel="0" collapsed="false">
      <c r="A6" s="0" t="s">
        <v>161</v>
      </c>
      <c r="B6" s="0" t="s">
        <v>162</v>
      </c>
      <c r="C6" s="10" t="s">
        <v>163</v>
      </c>
    </row>
    <row r="7" customFormat="false" ht="41.75" hidden="false" customHeight="false" outlineLevel="0" collapsed="false">
      <c r="A7" s="0" t="s">
        <v>164</v>
      </c>
      <c r="B7" s="0" t="s">
        <v>165</v>
      </c>
      <c r="C7" s="10" t="s">
        <v>166</v>
      </c>
    </row>
    <row r="8" customFormat="false" ht="28.35" hidden="false" customHeight="false" outlineLevel="0" collapsed="false">
      <c r="A8" s="0" t="s">
        <v>167</v>
      </c>
      <c r="B8" s="0" t="s">
        <v>168</v>
      </c>
      <c r="C8" s="10" t="s">
        <v>169</v>
      </c>
    </row>
    <row r="9" customFormat="false" ht="41.75" hidden="false" customHeight="false" outlineLevel="0" collapsed="false">
      <c r="A9" s="0" t="s">
        <v>170</v>
      </c>
      <c r="B9" s="0" t="s">
        <v>171</v>
      </c>
      <c r="C9" s="10" t="s">
        <v>172</v>
      </c>
    </row>
    <row r="10" customFormat="false" ht="28.35" hidden="false" customHeight="false" outlineLevel="0" collapsed="false">
      <c r="A10" s="0" t="s">
        <v>173</v>
      </c>
      <c r="B10" s="0" t="s">
        <v>174</v>
      </c>
      <c r="C10" s="10" t="s">
        <v>175</v>
      </c>
    </row>
    <row r="12" customFormat="false" ht="15" hidden="false" customHeight="false" outlineLevel="0" collapsed="false">
      <c r="A12" s="3" t="s">
        <v>176</v>
      </c>
    </row>
    <row r="13" customFormat="false" ht="15" hidden="false" customHeight="false" outlineLevel="0" collapsed="false">
      <c r="A13" s="0" t="s">
        <v>177</v>
      </c>
      <c r="C13" s="10" t="s">
        <v>178</v>
      </c>
    </row>
    <row r="14" customFormat="false" ht="15" hidden="false" customHeight="false" outlineLevel="0" collapsed="false">
      <c r="A14" s="0" t="s">
        <v>179</v>
      </c>
      <c r="C14" s="10" t="s">
        <v>180</v>
      </c>
    </row>
    <row r="15" customFormat="false" ht="15" hidden="false" customHeight="false" outlineLevel="0" collapsed="false">
      <c r="A15" s="0" t="s">
        <v>181</v>
      </c>
      <c r="C15" s="10" t="s">
        <v>182</v>
      </c>
    </row>
    <row r="16" customFormat="false" ht="15" hidden="false" customHeight="false" outlineLevel="0" collapsed="false">
      <c r="A16" s="0" t="s">
        <v>183</v>
      </c>
      <c r="C16" s="1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2"/>
    <col collapsed="false" customWidth="true" hidden="false" outlineLevel="0" max="11" min="4" style="0" width="18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15" hidden="false" customHeight="false" outlineLevel="0" collapsed="false">
      <c r="A4" s="11" t="s">
        <v>187</v>
      </c>
    </row>
    <row r="5" customFormat="false" ht="15" hidden="false" customHeight="false" outlineLevel="0" collapsed="false">
      <c r="A5" s="4" t="s">
        <v>188</v>
      </c>
      <c r="B5" s="4" t="s">
        <v>86</v>
      </c>
      <c r="C5" s="4" t="s">
        <v>41</v>
      </c>
      <c r="D5" s="4" t="s">
        <v>189</v>
      </c>
      <c r="E5" s="4" t="s">
        <v>190</v>
      </c>
      <c r="F5" s="4" t="s">
        <v>191</v>
      </c>
      <c r="G5" s="4" t="s">
        <v>192</v>
      </c>
      <c r="H5" s="4" t="s">
        <v>193</v>
      </c>
      <c r="I5" s="4" t="s">
        <v>194</v>
      </c>
      <c r="J5" s="4" t="s">
        <v>195</v>
      </c>
    </row>
    <row r="6" customFormat="false" ht="15" hidden="false" customHeight="false" outlineLevel="0" collapsed="false">
      <c r="A6" s="0" t="s">
        <v>196</v>
      </c>
      <c r="B6" s="0" t="n">
        <v>261575.89</v>
      </c>
      <c r="C6" s="0" t="n">
        <v>5067.7</v>
      </c>
      <c r="D6" s="0" t="n">
        <v>2357.53</v>
      </c>
      <c r="E6" s="0" t="n">
        <v>254150.66</v>
      </c>
      <c r="F6" s="0" t="n">
        <v>148894.49</v>
      </c>
      <c r="G6" s="0" t="n">
        <v>105256.17</v>
      </c>
      <c r="H6" s="0" t="n">
        <v>1427.36</v>
      </c>
      <c r="I6" s="0" t="n">
        <v>103828.82</v>
      </c>
      <c r="J6" s="0" t="n">
        <v>0.4085</v>
      </c>
    </row>
    <row r="7" customFormat="false" ht="15" hidden="false" customHeight="false" outlineLevel="0" collapsed="false">
      <c r="A7" s="0" t="s">
        <v>197</v>
      </c>
      <c r="B7" s="0" t="n">
        <v>374858.99</v>
      </c>
      <c r="C7" s="0" t="n">
        <v>10581.16</v>
      </c>
      <c r="D7" s="0" t="n">
        <v>6096.4</v>
      </c>
      <c r="E7" s="0" t="n">
        <v>358181.43</v>
      </c>
      <c r="F7" s="0" t="n">
        <v>211585.17</v>
      </c>
      <c r="G7" s="0" t="n">
        <v>146596.26</v>
      </c>
      <c r="H7" s="0" t="n">
        <v>1827.94</v>
      </c>
      <c r="I7" s="0" t="n">
        <v>144768.32</v>
      </c>
      <c r="J7" s="0" t="n">
        <v>0.4042</v>
      </c>
    </row>
    <row r="8" customFormat="false" ht="15" hidden="false" customHeight="false" outlineLevel="0" collapsed="false">
      <c r="A8" s="0" t="s">
        <v>198</v>
      </c>
      <c r="B8" s="0" t="n">
        <v>384823.58</v>
      </c>
      <c r="C8" s="0" t="n">
        <v>9789.3</v>
      </c>
      <c r="D8" s="0" t="n">
        <v>19839.68</v>
      </c>
      <c r="E8" s="0" t="n">
        <v>355194.6</v>
      </c>
      <c r="F8" s="0" t="n">
        <v>207231.56</v>
      </c>
      <c r="G8" s="0" t="n">
        <v>147963.04</v>
      </c>
      <c r="H8" s="0" t="n">
        <v>2121.75</v>
      </c>
      <c r="I8" s="0" t="n">
        <v>145841.29</v>
      </c>
      <c r="J8" s="0" t="n">
        <v>0.4106</v>
      </c>
    </row>
    <row r="9" customFormat="false" ht="15" hidden="false" customHeight="false" outlineLevel="0" collapsed="false">
      <c r="A9" s="0" t="s">
        <v>199</v>
      </c>
      <c r="B9" s="0" t="n">
        <v>396984.2</v>
      </c>
      <c r="C9" s="0" t="n">
        <v>7677.47</v>
      </c>
      <c r="D9" s="0" t="n">
        <v>17532.58</v>
      </c>
      <c r="E9" s="0" t="n">
        <v>371774.15</v>
      </c>
      <c r="F9" s="0" t="n">
        <v>219372.09</v>
      </c>
      <c r="G9" s="0" t="n">
        <v>152402.06</v>
      </c>
      <c r="H9" s="0" t="n">
        <v>2171.32</v>
      </c>
      <c r="I9" s="0" t="n">
        <v>150230.74</v>
      </c>
      <c r="J9" s="0" t="n">
        <v>0.4041</v>
      </c>
    </row>
    <row r="10" customFormat="false" ht="15" hidden="false" customHeight="false" outlineLevel="0" collapsed="false">
      <c r="A10" s="0" t="s">
        <v>200</v>
      </c>
      <c r="B10" s="0" t="n">
        <v>389210.7</v>
      </c>
      <c r="C10" s="0" t="n">
        <v>7668.08</v>
      </c>
      <c r="D10" s="0" t="n">
        <v>8450.23</v>
      </c>
      <c r="E10" s="0" t="n">
        <v>373092.39</v>
      </c>
      <c r="F10" s="0" t="n">
        <v>218408.4</v>
      </c>
      <c r="G10" s="0" t="n">
        <v>154683.99</v>
      </c>
      <c r="H10" s="0" t="n">
        <v>2124.24</v>
      </c>
      <c r="I10" s="0" t="n">
        <v>152559.75</v>
      </c>
      <c r="J10" s="0" t="n">
        <v>0.4089</v>
      </c>
    </row>
    <row r="11" customFormat="false" ht="15" hidden="false" customHeight="false" outlineLevel="0" collapsed="false">
      <c r="A11" s="0" t="s">
        <v>201</v>
      </c>
      <c r="B11" s="0" t="n">
        <v>300740.38</v>
      </c>
      <c r="C11" s="0" t="n">
        <v>6688.56</v>
      </c>
      <c r="D11" s="0" t="n">
        <v>29852.07</v>
      </c>
      <c r="E11" s="0" t="n">
        <v>264199.75</v>
      </c>
      <c r="F11" s="0" t="n">
        <v>156247.93</v>
      </c>
      <c r="G11" s="0" t="n">
        <v>107951.82</v>
      </c>
      <c r="H11" s="0" t="n">
        <v>1858.88</v>
      </c>
      <c r="I11" s="0" t="n">
        <v>106092.94</v>
      </c>
      <c r="J11" s="0" t="n">
        <v>0.4016</v>
      </c>
    </row>
    <row r="12" customFormat="false" ht="15" hidden="false" customHeight="false" outlineLevel="0" collapsed="false">
      <c r="A12" s="0" t="s">
        <v>202</v>
      </c>
      <c r="B12" s="0" t="n">
        <v>282971.47</v>
      </c>
      <c r="C12" s="0" t="n">
        <v>6530.65</v>
      </c>
      <c r="D12" s="0" t="n">
        <v>2931.66</v>
      </c>
      <c r="E12" s="0" t="n">
        <v>273509.16</v>
      </c>
      <c r="F12" s="0" t="n">
        <v>165882.39</v>
      </c>
      <c r="G12" s="0" t="n">
        <v>107626.77</v>
      </c>
      <c r="H12" s="0" t="n">
        <v>1623.55</v>
      </c>
      <c r="I12" s="0" t="n">
        <v>106003.23</v>
      </c>
      <c r="J12" s="0" t="n">
        <v>0.3876</v>
      </c>
    </row>
    <row r="13" customFormat="false" ht="15" hidden="false" customHeight="false" outlineLevel="0" collapsed="false">
      <c r="A13" s="0" t="s">
        <v>203</v>
      </c>
      <c r="B13" s="0" t="n">
        <v>333697.12</v>
      </c>
      <c r="C13" s="0" t="n">
        <v>7226.17</v>
      </c>
      <c r="D13" s="0" t="n">
        <v>10452.4</v>
      </c>
      <c r="E13" s="0" t="n">
        <v>316018.55</v>
      </c>
      <c r="F13" s="0" t="n">
        <v>188269.22</v>
      </c>
      <c r="G13" s="0" t="n">
        <v>127749.33</v>
      </c>
      <c r="H13" s="0" t="n">
        <v>1800.37</v>
      </c>
      <c r="I13" s="0" t="n">
        <v>125948.96</v>
      </c>
      <c r="J13" s="0" t="n">
        <v>0.3985</v>
      </c>
    </row>
    <row r="14" customFormat="false" ht="15" hidden="false" customHeight="false" outlineLevel="0" collapsed="false">
      <c r="A14" s="0" t="s">
        <v>204</v>
      </c>
      <c r="B14" s="0" t="n">
        <v>393338.19</v>
      </c>
      <c r="C14" s="0" t="n">
        <v>10178.44</v>
      </c>
      <c r="D14" s="0" t="n">
        <v>19882.59</v>
      </c>
      <c r="E14" s="0" t="n">
        <v>363277.15</v>
      </c>
      <c r="F14" s="0" t="n">
        <v>221056.57</v>
      </c>
      <c r="G14" s="0" t="n">
        <v>142220.58</v>
      </c>
      <c r="H14" s="0" t="n">
        <v>2142.34</v>
      </c>
      <c r="I14" s="0" t="n">
        <v>140078.24</v>
      </c>
      <c r="J14" s="0" t="n">
        <v>0.3856</v>
      </c>
    </row>
    <row r="15" customFormat="false" ht="15" hidden="false" customHeight="false" outlineLevel="0" collapsed="false">
      <c r="A15" s="0" t="s">
        <v>205</v>
      </c>
      <c r="B15" s="0" t="n">
        <v>374168.86</v>
      </c>
      <c r="C15" s="0" t="n">
        <v>9957.94</v>
      </c>
      <c r="D15" s="0" t="n">
        <v>4511.86</v>
      </c>
      <c r="E15" s="0" t="n">
        <v>359699.05</v>
      </c>
      <c r="F15" s="0" t="n">
        <v>216820.02</v>
      </c>
      <c r="G15" s="0" t="n">
        <v>142879.03</v>
      </c>
      <c r="H15" s="0" t="n">
        <v>1770.39</v>
      </c>
      <c r="I15" s="0" t="n">
        <v>141108.64</v>
      </c>
      <c r="J15" s="0" t="n">
        <v>0.3923</v>
      </c>
    </row>
    <row r="16" customFormat="false" ht="15" hidden="false" customHeight="false" outlineLevel="0" collapsed="false">
      <c r="A16" s="0" t="s">
        <v>206</v>
      </c>
      <c r="B16" s="0" t="n">
        <v>391070.6</v>
      </c>
      <c r="C16" s="0" t="n">
        <v>11675.87</v>
      </c>
      <c r="D16" s="0" t="n">
        <v>11265.66</v>
      </c>
      <c r="E16" s="0" t="n">
        <v>368129.07</v>
      </c>
      <c r="F16" s="0" t="n">
        <v>224610.17</v>
      </c>
      <c r="G16" s="0" t="n">
        <v>143518.9</v>
      </c>
      <c r="H16" s="0" t="n">
        <v>2120.16</v>
      </c>
      <c r="I16" s="0" t="n">
        <v>141398.74</v>
      </c>
      <c r="J16" s="0" t="n">
        <v>0.3841</v>
      </c>
    </row>
    <row r="17" customFormat="false" ht="15" hidden="false" customHeight="false" outlineLevel="0" collapsed="false">
      <c r="A17" s="0" t="s">
        <v>207</v>
      </c>
      <c r="B17" s="0" t="n">
        <v>453982.64</v>
      </c>
      <c r="C17" s="0" t="n">
        <v>10901.4</v>
      </c>
      <c r="D17" s="0" t="n">
        <v>5922.1</v>
      </c>
      <c r="E17" s="0" t="n">
        <v>437159.14</v>
      </c>
      <c r="F17" s="0" t="n">
        <v>263721.83</v>
      </c>
      <c r="G17" s="0" t="n">
        <v>173437.31</v>
      </c>
      <c r="H17" s="0" t="n">
        <v>2355.34</v>
      </c>
      <c r="I17" s="0" t="n">
        <v>171081.97</v>
      </c>
      <c r="J17" s="0" t="n">
        <v>0.3913</v>
      </c>
    </row>
    <row r="18" customFormat="false" ht="15" hidden="false" customHeight="false" outlineLevel="0" collapsed="false">
      <c r="A18" s="0" t="s">
        <v>208</v>
      </c>
      <c r="B18" s="0" t="n">
        <v>409125.91</v>
      </c>
      <c r="C18" s="0" t="n">
        <v>11368.36</v>
      </c>
      <c r="D18" s="0" t="n">
        <v>11167.39</v>
      </c>
      <c r="E18" s="0" t="n">
        <v>386590.17</v>
      </c>
      <c r="F18" s="0" t="n">
        <v>241086.42</v>
      </c>
      <c r="G18" s="0" t="n">
        <v>145503.75</v>
      </c>
      <c r="H18" s="0" t="n">
        <v>2042.09</v>
      </c>
      <c r="I18" s="0" t="n">
        <v>143461.66</v>
      </c>
      <c r="J18" s="0" t="n">
        <v>0.3711</v>
      </c>
    </row>
    <row r="19" customFormat="false" ht="15" hidden="false" customHeight="false" outlineLevel="0" collapsed="false">
      <c r="A19" s="0" t="s">
        <v>209</v>
      </c>
      <c r="B19" s="0" t="n">
        <v>401926.7</v>
      </c>
      <c r="C19" s="0" t="n">
        <v>10633.34</v>
      </c>
      <c r="D19" s="0" t="n">
        <v>22630.45</v>
      </c>
      <c r="E19" s="0" t="n">
        <v>368662.91</v>
      </c>
      <c r="F19" s="0" t="n">
        <v>228497.19</v>
      </c>
      <c r="G19" s="0" t="n">
        <v>140165.72</v>
      </c>
      <c r="H19" s="0" t="n">
        <v>2215.52</v>
      </c>
      <c r="I19" s="0" t="n">
        <v>137950.2</v>
      </c>
      <c r="J19" s="0" t="n">
        <v>0.3742</v>
      </c>
    </row>
    <row r="20" customFormat="false" ht="15" hidden="false" customHeight="false" outlineLevel="0" collapsed="false">
      <c r="A20" s="0" t="s">
        <v>210</v>
      </c>
      <c r="B20" s="0" t="n">
        <v>566863.84</v>
      </c>
      <c r="C20" s="0" t="n">
        <v>14503.56</v>
      </c>
      <c r="D20" s="0" t="n">
        <v>22759.49</v>
      </c>
      <c r="E20" s="0" t="n">
        <v>529600.79</v>
      </c>
      <c r="F20" s="0" t="n">
        <v>323408.19</v>
      </c>
      <c r="G20" s="0" t="n">
        <v>206192.6</v>
      </c>
      <c r="H20" s="0" t="n">
        <v>3026.47</v>
      </c>
      <c r="I20" s="0" t="n">
        <v>203166.13</v>
      </c>
      <c r="J20" s="0" t="n">
        <v>0.3836</v>
      </c>
    </row>
    <row r="21" customFormat="false" ht="15" hidden="false" customHeight="false" outlineLevel="0" collapsed="false">
      <c r="A21" s="0" t="s">
        <v>211</v>
      </c>
      <c r="B21" s="0" t="n">
        <v>470439.07</v>
      </c>
      <c r="C21" s="0" t="n">
        <v>13681.91</v>
      </c>
      <c r="D21" s="0" t="n">
        <v>31927.64</v>
      </c>
      <c r="E21" s="0" t="n">
        <v>424829.52</v>
      </c>
      <c r="F21" s="0" t="n">
        <v>278228.38</v>
      </c>
      <c r="G21" s="0" t="n">
        <v>146601.14</v>
      </c>
      <c r="H21" s="0" t="n">
        <v>2438.28</v>
      </c>
      <c r="I21" s="0" t="n">
        <v>144162.86</v>
      </c>
      <c r="J21" s="0" t="n">
        <v>0.3393</v>
      </c>
    </row>
    <row r="22" customFormat="false" ht="15" hidden="false" customHeight="false" outlineLevel="0" collapsed="false">
      <c r="A22" s="0" t="s">
        <v>212</v>
      </c>
      <c r="B22" s="0" t="n">
        <v>404949.28</v>
      </c>
      <c r="C22" s="0" t="n">
        <v>10917.35</v>
      </c>
      <c r="D22" s="0" t="n">
        <v>5668.42</v>
      </c>
      <c r="E22" s="0" t="n">
        <v>388363.51</v>
      </c>
      <c r="F22" s="0" t="n">
        <v>257713.37</v>
      </c>
      <c r="G22" s="0" t="n">
        <v>130650.14</v>
      </c>
      <c r="H22" s="0" t="n">
        <v>2109.97</v>
      </c>
      <c r="I22" s="0" t="n">
        <v>128540.17</v>
      </c>
      <c r="J22" s="0" t="n">
        <v>0.331</v>
      </c>
    </row>
    <row r="23" customFormat="false" ht="15" hidden="false" customHeight="false" outlineLevel="0" collapsed="false">
      <c r="A23" s="0" t="s">
        <v>213</v>
      </c>
      <c r="B23" s="0" t="n">
        <v>467224.52</v>
      </c>
      <c r="C23" s="0" t="n">
        <v>13133.8</v>
      </c>
      <c r="D23" s="0" t="n">
        <v>29966.29</v>
      </c>
      <c r="E23" s="0" t="n">
        <v>424124.43</v>
      </c>
      <c r="F23" s="0" t="n">
        <v>273501.35</v>
      </c>
      <c r="G23" s="0" t="n">
        <v>150623.08</v>
      </c>
      <c r="H23" s="0" t="n">
        <v>2356.08</v>
      </c>
      <c r="I23" s="0" t="n">
        <v>148267</v>
      </c>
      <c r="J23" s="0" t="n">
        <v>0.3496</v>
      </c>
    </row>
    <row r="24" customFormat="false" ht="15" hidden="false" customHeight="false" outlineLevel="0" collapsed="false">
      <c r="A24" s="0" t="s">
        <v>214</v>
      </c>
      <c r="B24" s="0" t="n">
        <v>319340.34</v>
      </c>
      <c r="C24" s="0" t="n">
        <v>5678.17</v>
      </c>
      <c r="D24" s="0" t="n">
        <v>23927.38</v>
      </c>
      <c r="E24" s="0" t="n">
        <v>289734.79</v>
      </c>
      <c r="F24" s="0" t="n">
        <v>192945.28</v>
      </c>
      <c r="G24" s="0" t="n">
        <v>96789.51</v>
      </c>
      <c r="H24" s="0" t="n">
        <v>1556.15</v>
      </c>
      <c r="I24" s="0" t="n">
        <v>95233.36</v>
      </c>
      <c r="J24" s="0" t="n">
        <v>0.3287</v>
      </c>
    </row>
    <row r="25" customFormat="false" ht="15" hidden="false" customHeight="false" outlineLevel="0" collapsed="false">
      <c r="A25" s="0" t="s">
        <v>215</v>
      </c>
      <c r="B25" s="0" t="n">
        <v>475070.19</v>
      </c>
      <c r="C25" s="0" t="n">
        <v>11974.18</v>
      </c>
      <c r="D25" s="0" t="n">
        <v>7804.65</v>
      </c>
      <c r="E25" s="0" t="n">
        <v>455291.37</v>
      </c>
      <c r="F25" s="0" t="n">
        <v>309456.81</v>
      </c>
      <c r="G25" s="0" t="n">
        <v>145834.56</v>
      </c>
      <c r="H25" s="0" t="n">
        <v>2426.62</v>
      </c>
      <c r="I25" s="0" t="n">
        <v>143407.94</v>
      </c>
      <c r="J25" s="0" t="n">
        <v>0.315</v>
      </c>
    </row>
    <row r="26" customFormat="false" ht="15" hidden="false" customHeight="false" outlineLevel="0" collapsed="false">
      <c r="A26" s="0" t="s">
        <v>216</v>
      </c>
      <c r="B26" s="0" t="n">
        <v>448204.5</v>
      </c>
      <c r="C26" s="0" t="n">
        <v>13233.4</v>
      </c>
      <c r="D26" s="0" t="n">
        <v>12992.75</v>
      </c>
      <c r="E26" s="0" t="n">
        <v>421978.34</v>
      </c>
      <c r="F26" s="0" t="n">
        <v>285550.63</v>
      </c>
      <c r="G26" s="0" t="n">
        <v>136427.71</v>
      </c>
      <c r="H26" s="0" t="n">
        <v>2171.65</v>
      </c>
      <c r="I26" s="0" t="n">
        <v>134256.06</v>
      </c>
      <c r="J26" s="0" t="n">
        <v>0.3182</v>
      </c>
    </row>
    <row r="27" customFormat="false" ht="15" hidden="false" customHeight="false" outlineLevel="0" collapsed="false">
      <c r="A27" s="0" t="s">
        <v>217</v>
      </c>
      <c r="B27" s="0" t="n">
        <v>440017.93</v>
      </c>
      <c r="C27" s="0" t="n">
        <v>12825.53</v>
      </c>
      <c r="D27" s="0" t="n">
        <v>14647.03</v>
      </c>
      <c r="E27" s="0" t="n">
        <v>412545.37</v>
      </c>
      <c r="F27" s="0" t="n">
        <v>281500.05</v>
      </c>
      <c r="G27" s="0" t="n">
        <v>131045.32</v>
      </c>
      <c r="H27" s="0" t="n">
        <v>2268.84</v>
      </c>
      <c r="I27" s="0" t="n">
        <v>128776.48</v>
      </c>
      <c r="J27" s="0" t="n">
        <v>0.3122</v>
      </c>
    </row>
    <row r="28" customFormat="false" ht="15" hidden="false" customHeight="false" outlineLevel="0" collapsed="false">
      <c r="A28" s="0" t="s">
        <v>218</v>
      </c>
      <c r="B28" s="0" t="n">
        <v>466660.92</v>
      </c>
      <c r="C28" s="0" t="n">
        <v>13755.25</v>
      </c>
      <c r="D28" s="0" t="n">
        <v>11768.87</v>
      </c>
      <c r="E28" s="0" t="n">
        <v>441136.8</v>
      </c>
      <c r="F28" s="0" t="n">
        <v>295740.09</v>
      </c>
      <c r="G28" s="0" t="n">
        <v>145396.71</v>
      </c>
      <c r="H28" s="0" t="n">
        <v>2258.95</v>
      </c>
      <c r="I28" s="0" t="n">
        <v>143137.76</v>
      </c>
      <c r="J28" s="0" t="n">
        <v>0.3245</v>
      </c>
    </row>
    <row r="29" customFormat="false" ht="15" hidden="false" customHeight="false" outlineLevel="0" collapsed="false">
      <c r="A29" s="0" t="s">
        <v>219</v>
      </c>
      <c r="B29" s="0" t="n">
        <v>443961.07</v>
      </c>
      <c r="C29" s="0" t="n">
        <v>13222.72</v>
      </c>
      <c r="D29" s="0" t="n">
        <v>26961.04</v>
      </c>
      <c r="E29" s="0" t="n">
        <v>403777.3</v>
      </c>
      <c r="F29" s="0" t="n">
        <v>270859.46</v>
      </c>
      <c r="G29" s="0" t="n">
        <v>132917.84</v>
      </c>
      <c r="H29" s="0" t="n">
        <v>2392.88</v>
      </c>
      <c r="I29" s="0" t="n">
        <v>130524.96</v>
      </c>
      <c r="J29" s="0" t="n">
        <v>0.3233</v>
      </c>
    </row>
    <row r="30" customFormat="false" ht="15" hidden="false" customHeight="false" outlineLevel="0" collapsed="false">
      <c r="A30" s="0" t="s">
        <v>220</v>
      </c>
      <c r="B30" s="0" t="n">
        <v>9651206.89</v>
      </c>
      <c r="C30" s="0" t="n">
        <v>248870.31</v>
      </c>
      <c r="D30" s="0" t="n">
        <v>361316.17</v>
      </c>
      <c r="E30" s="0" t="n">
        <v>9041020.42</v>
      </c>
      <c r="F30" s="0" t="n">
        <v>5680587.06</v>
      </c>
      <c r="G30" s="0" t="n">
        <v>3360433.36</v>
      </c>
      <c r="H30" s="0" t="n">
        <v>50607.14</v>
      </c>
      <c r="I30" s="0" t="n">
        <v>3309826.22</v>
      </c>
      <c r="J30" s="0" t="n">
        <v>0.3661</v>
      </c>
    </row>
    <row r="31" customFormat="false" ht="15" hidden="false" customHeight="false" outlineLevel="0" collapsed="false">
      <c r="A31" s="0" t="s">
        <v>221</v>
      </c>
      <c r="B31" s="0" t="n">
        <v>5715339.08</v>
      </c>
      <c r="C31" s="0" t="n">
        <v>140448</v>
      </c>
      <c r="D31" s="0" t="n">
        <v>195652.08</v>
      </c>
      <c r="E31" s="0" t="n">
        <v>5379238.99</v>
      </c>
      <c r="F31" s="0" t="n">
        <v>3235091.64</v>
      </c>
      <c r="G31" s="0" t="n">
        <v>2144147.35</v>
      </c>
      <c r="H31" s="0" t="n">
        <v>30627.71</v>
      </c>
      <c r="I31" s="0" t="n">
        <v>2113519.64</v>
      </c>
      <c r="J31" s="0" t="n">
        <v>0.3929</v>
      </c>
    </row>
    <row r="32" customFormat="false" ht="15" hidden="false" customHeight="false" outlineLevel="0" collapsed="false">
      <c r="A32" s="0" t="s">
        <v>222</v>
      </c>
      <c r="B32" s="0" t="n">
        <v>3935867.82</v>
      </c>
      <c r="C32" s="0" t="n">
        <v>108422.3</v>
      </c>
      <c r="D32" s="0" t="n">
        <v>165664.08</v>
      </c>
      <c r="E32" s="0" t="n">
        <v>3661781.43</v>
      </c>
      <c r="F32" s="0" t="n">
        <v>2445495.42</v>
      </c>
      <c r="G32" s="0" t="n">
        <v>1216286.01</v>
      </c>
      <c r="H32" s="0" t="n">
        <v>19979.42</v>
      </c>
      <c r="I32" s="0" t="n">
        <v>1196306.59</v>
      </c>
      <c r="J32" s="0" t="n">
        <v>0.3267</v>
      </c>
    </row>
    <row r="34" customFormat="false" ht="15" hidden="false" customHeight="false" outlineLevel="0" collapsed="false">
      <c r="A34" s="11" t="s">
        <v>223</v>
      </c>
    </row>
    <row r="35" customFormat="false" ht="15" hidden="false" customHeight="false" outlineLevel="0" collapsed="false">
      <c r="A35" s="4" t="s">
        <v>5</v>
      </c>
      <c r="B35" s="4" t="s">
        <v>57</v>
      </c>
      <c r="C35" s="4" t="s">
        <v>86</v>
      </c>
      <c r="D35" s="4" t="s">
        <v>190</v>
      </c>
      <c r="E35" s="4" t="s">
        <v>194</v>
      </c>
      <c r="F35" s="4" t="s">
        <v>195</v>
      </c>
    </row>
    <row r="36" customFormat="false" ht="15" hidden="false" customHeight="false" outlineLevel="0" collapsed="false">
      <c r="A36" s="0" t="s">
        <v>224</v>
      </c>
      <c r="B36" s="0" t="n">
        <v>8</v>
      </c>
      <c r="C36" s="0" t="n">
        <v>2503.37</v>
      </c>
      <c r="D36" s="0" t="n">
        <v>2411.97</v>
      </c>
      <c r="E36" s="0" t="n">
        <v>961.43</v>
      </c>
      <c r="F36" s="0" t="n">
        <v>0.3986</v>
      </c>
    </row>
    <row r="37" customFormat="false" ht="15" hidden="false" customHeight="false" outlineLevel="0" collapsed="false">
      <c r="A37" s="0" t="s">
        <v>225</v>
      </c>
      <c r="B37" s="0" t="n">
        <v>1192</v>
      </c>
      <c r="C37" s="0" t="n">
        <v>1232751.95</v>
      </c>
      <c r="D37" s="0" t="n">
        <v>1159426.95</v>
      </c>
      <c r="E37" s="0" t="n">
        <v>423813.87</v>
      </c>
      <c r="F37" s="0" t="n">
        <v>0.3655</v>
      </c>
    </row>
    <row r="38" customFormat="false" ht="15" hidden="false" customHeight="false" outlineLevel="0" collapsed="false">
      <c r="A38" s="0" t="s">
        <v>226</v>
      </c>
      <c r="B38" s="0" t="n">
        <v>2287</v>
      </c>
      <c r="C38" s="0" t="n">
        <v>4415286.57</v>
      </c>
      <c r="D38" s="0" t="n">
        <v>4112856.72</v>
      </c>
      <c r="E38" s="0" t="n">
        <v>1496108.16</v>
      </c>
      <c r="F38" s="0" t="n">
        <v>0.3638</v>
      </c>
    </row>
    <row r="39" customFormat="false" ht="15" hidden="false" customHeight="false" outlineLevel="0" collapsed="false">
      <c r="A39" s="0" t="s">
        <v>227</v>
      </c>
      <c r="B39" s="0" t="n">
        <v>2014</v>
      </c>
      <c r="C39" s="0" t="n">
        <v>3259116.5</v>
      </c>
      <c r="D39" s="0" t="n">
        <v>3079326.9</v>
      </c>
      <c r="E39" s="0" t="n">
        <v>1141427.2</v>
      </c>
      <c r="F39" s="0" t="n">
        <v>0.3707</v>
      </c>
    </row>
    <row r="40" customFormat="false" ht="15" hidden="false" customHeight="false" outlineLevel="0" collapsed="false">
      <c r="A40" s="0" t="s">
        <v>228</v>
      </c>
      <c r="B40" s="0" t="n">
        <v>1087</v>
      </c>
      <c r="C40" s="0" t="n">
        <v>741548.51</v>
      </c>
      <c r="D40" s="0" t="n">
        <v>686997.89</v>
      </c>
      <c r="E40" s="0" t="n">
        <v>247515.56</v>
      </c>
      <c r="F40" s="0" t="n">
        <v>0.3603</v>
      </c>
    </row>
    <row r="41" customFormat="false" ht="15" hidden="false" customHeight="false" outlineLevel="0" collapsed="false">
      <c r="A41" s="0" t="s">
        <v>220</v>
      </c>
      <c r="B41" s="0" t="n">
        <v>6588</v>
      </c>
      <c r="C41" s="0" t="n">
        <v>9651206.89</v>
      </c>
      <c r="D41" s="0" t="n">
        <v>9041020.42</v>
      </c>
      <c r="E41" s="0" t="n">
        <v>3309826.22</v>
      </c>
      <c r="F41" s="0" t="n">
        <v>0.3661</v>
      </c>
    </row>
    <row r="43" customFormat="false" ht="15" hidden="false" customHeight="false" outlineLevel="0" collapsed="false">
      <c r="A43" s="11" t="s">
        <v>229</v>
      </c>
    </row>
    <row r="44" customFormat="false" ht="28.35" hidden="false" customHeight="false" outlineLevel="0" collapsed="false">
      <c r="A44" s="4" t="s">
        <v>230</v>
      </c>
      <c r="B44" s="4" t="s">
        <v>231</v>
      </c>
      <c r="C44" s="4" t="s">
        <v>232</v>
      </c>
      <c r="D44" s="4" t="s">
        <v>233</v>
      </c>
      <c r="E44" s="4" t="s">
        <v>234</v>
      </c>
      <c r="F44" s="4" t="s">
        <v>235</v>
      </c>
      <c r="G44" s="4" t="s">
        <v>236</v>
      </c>
    </row>
    <row r="45" customFormat="false" ht="15" hidden="false" customHeight="false" outlineLevel="0" collapsed="false">
      <c r="A45" s="0" t="s">
        <v>224</v>
      </c>
      <c r="B45" s="0" t="n">
        <v>0.0092</v>
      </c>
      <c r="E45" s="0" t="n">
        <v>2503.37</v>
      </c>
    </row>
    <row r="46" customFormat="false" ht="15" hidden="false" customHeight="false" outlineLevel="0" collapsed="false">
      <c r="A46" s="0" t="s">
        <v>225</v>
      </c>
      <c r="B46" s="0" t="n">
        <v>0.0263</v>
      </c>
      <c r="C46" s="0" t="n">
        <v>0.0251</v>
      </c>
      <c r="D46" s="0" t="n">
        <v>-0.11</v>
      </c>
      <c r="E46" s="0" t="n">
        <v>862711.54</v>
      </c>
      <c r="F46" s="0" t="n">
        <v>370040.4</v>
      </c>
      <c r="G46" s="0" t="n">
        <v>-416.37</v>
      </c>
    </row>
    <row r="47" customFormat="false" ht="15" hidden="false" customHeight="false" outlineLevel="0" collapsed="false">
      <c r="A47" s="0" t="s">
        <v>226</v>
      </c>
      <c r="B47" s="0" t="n">
        <v>0.0252</v>
      </c>
      <c r="C47" s="0" t="n">
        <v>0.026</v>
      </c>
      <c r="D47" s="0" t="n">
        <v>0.08</v>
      </c>
      <c r="E47" s="0" t="n">
        <v>2860569.01</v>
      </c>
      <c r="F47" s="0" t="n">
        <v>1554717.56</v>
      </c>
      <c r="G47" s="0" t="n">
        <v>1288.97</v>
      </c>
    </row>
    <row r="48" customFormat="false" ht="15" hidden="false" customHeight="false" outlineLevel="0" collapsed="false">
      <c r="A48" s="0" t="s">
        <v>227</v>
      </c>
      <c r="B48" s="0" t="n">
        <v>0.0242</v>
      </c>
      <c r="C48" s="0" t="n">
        <v>0.0238</v>
      </c>
      <c r="D48" s="0" t="n">
        <v>-0.04</v>
      </c>
      <c r="E48" s="0" t="n">
        <v>2335322.94</v>
      </c>
      <c r="F48" s="0" t="n">
        <v>923793.56</v>
      </c>
      <c r="G48" s="0" t="n">
        <v>-383.5</v>
      </c>
    </row>
    <row r="49" customFormat="false" ht="15" hidden="false" customHeight="false" outlineLevel="0" collapsed="false">
      <c r="A49" s="0" t="s">
        <v>228</v>
      </c>
      <c r="B49" s="0" t="n">
        <v>0.0263</v>
      </c>
      <c r="C49" s="0" t="n">
        <v>0.0574</v>
      </c>
      <c r="D49" s="0" t="n">
        <v>3.11</v>
      </c>
      <c r="E49" s="0" t="n">
        <v>529620.56</v>
      </c>
      <c r="F49" s="0" t="n">
        <v>211927.95</v>
      </c>
      <c r="G49" s="0" t="n">
        <v>6592.14</v>
      </c>
    </row>
    <row r="50" customFormat="false" ht="15" hidden="false" customHeight="false" outlineLevel="0" collapsed="false">
      <c r="A50" s="0" t="s">
        <v>237</v>
      </c>
      <c r="B50" s="0" t="n">
        <v>0.025</v>
      </c>
      <c r="C50" s="0" t="n">
        <v>0.0274</v>
      </c>
      <c r="D50" s="0" t="n">
        <v>0.23</v>
      </c>
      <c r="E50" s="0" t="n">
        <v>6590727.43</v>
      </c>
      <c r="F50" s="0" t="n">
        <v>3060479.47</v>
      </c>
      <c r="G50" s="0" t="n">
        <v>7181.47</v>
      </c>
    </row>
    <row r="52" customFormat="false" ht="15" hidden="false" customHeight="false" outlineLevel="0" collapsed="false">
      <c r="A52" s="11" t="s">
        <v>238</v>
      </c>
    </row>
    <row r="53" customFormat="false" ht="28.35" hidden="false" customHeight="false" outlineLevel="0" collapsed="false">
      <c r="A53" s="4" t="s">
        <v>239</v>
      </c>
      <c r="B53" s="4" t="s">
        <v>240</v>
      </c>
      <c r="C53" s="4" t="s">
        <v>241</v>
      </c>
      <c r="D53" s="4" t="s">
        <v>242</v>
      </c>
      <c r="E53" s="4" t="s">
        <v>243</v>
      </c>
      <c r="F53" s="4" t="s">
        <v>244</v>
      </c>
      <c r="G53" s="4" t="s">
        <v>245</v>
      </c>
    </row>
    <row r="54" customFormat="false" ht="15" hidden="false" customHeight="false" outlineLevel="0" collapsed="false">
      <c r="A54" s="0" t="s">
        <v>196</v>
      </c>
      <c r="B54" s="0" t="n">
        <v>712</v>
      </c>
      <c r="C54" s="0" t="n">
        <v>127.69</v>
      </c>
      <c r="D54" s="0" t="n">
        <v>74.22</v>
      </c>
      <c r="E54" s="0" t="n">
        <v>0.5813</v>
      </c>
      <c r="F54" s="0" t="n">
        <v>0.5711</v>
      </c>
    </row>
    <row r="55" customFormat="false" ht="15" hidden="false" customHeight="false" outlineLevel="0" collapsed="false">
      <c r="A55" s="0" t="s">
        <v>197</v>
      </c>
      <c r="B55" s="0" t="n">
        <v>728</v>
      </c>
      <c r="C55" s="0" t="n">
        <v>143.18</v>
      </c>
      <c r="D55" s="0" t="n">
        <v>82.33</v>
      </c>
      <c r="E55" s="0" t="n">
        <v>0.575</v>
      </c>
      <c r="F55" s="0" t="n">
        <v>0.5742</v>
      </c>
    </row>
    <row r="56" customFormat="false" ht="15" hidden="false" customHeight="false" outlineLevel="0" collapsed="false">
      <c r="A56" s="0" t="s">
        <v>198</v>
      </c>
      <c r="B56" s="0" t="n">
        <v>624</v>
      </c>
      <c r="C56" s="0" t="n">
        <v>189.94</v>
      </c>
      <c r="D56" s="0" t="n">
        <v>107.55</v>
      </c>
      <c r="E56" s="0" t="n">
        <v>0.5662</v>
      </c>
      <c r="F56" s="0" t="n">
        <v>0.5704</v>
      </c>
    </row>
    <row r="57" customFormat="false" ht="15" hidden="false" customHeight="false" outlineLevel="0" collapsed="false">
      <c r="A57" s="0" t="s">
        <v>199</v>
      </c>
      <c r="B57" s="0" t="n">
        <v>830</v>
      </c>
      <c r="C57" s="0" t="n">
        <v>157.64</v>
      </c>
      <c r="D57" s="0" t="n">
        <v>92.27</v>
      </c>
      <c r="E57" s="0" t="n">
        <v>0.5853</v>
      </c>
      <c r="F57" s="0" t="n">
        <v>0.5741</v>
      </c>
    </row>
    <row r="58" customFormat="false" ht="15" hidden="false" customHeight="false" outlineLevel="0" collapsed="false">
      <c r="A58" s="0" t="s">
        <v>200</v>
      </c>
      <c r="B58" s="0" t="n">
        <v>833</v>
      </c>
      <c r="C58" s="0" t="n">
        <v>142.66</v>
      </c>
      <c r="D58" s="0" t="n">
        <v>83.74</v>
      </c>
      <c r="E58" s="0" t="n">
        <v>0.587</v>
      </c>
      <c r="F58" s="0" t="n">
        <v>0.5679</v>
      </c>
    </row>
    <row r="59" customFormat="false" ht="15" hidden="false" customHeight="false" outlineLevel="0" collapsed="false">
      <c r="A59" s="0" t="s">
        <v>201</v>
      </c>
      <c r="B59" s="0" t="n">
        <v>696</v>
      </c>
      <c r="C59" s="0" t="n">
        <v>128.94</v>
      </c>
      <c r="D59" s="0" t="n">
        <v>75.9</v>
      </c>
      <c r="E59" s="0" t="n">
        <v>0.5886</v>
      </c>
      <c r="F59" s="0" t="n">
        <v>0.5727</v>
      </c>
    </row>
    <row r="60" customFormat="false" ht="15" hidden="false" customHeight="false" outlineLevel="0" collapsed="false">
      <c r="A60" s="0" t="s">
        <v>202</v>
      </c>
      <c r="B60" s="0" t="n">
        <v>542</v>
      </c>
      <c r="C60" s="0" t="n">
        <v>115.42</v>
      </c>
      <c r="D60" s="0" t="n">
        <v>69.17</v>
      </c>
      <c r="E60" s="0" t="n">
        <v>0.5993</v>
      </c>
      <c r="F60" s="0" t="n">
        <v>0.5906</v>
      </c>
    </row>
    <row r="61" customFormat="false" ht="15" hidden="false" customHeight="false" outlineLevel="0" collapsed="false">
      <c r="A61" s="0" t="s">
        <v>203</v>
      </c>
      <c r="B61" s="0" t="n">
        <v>595</v>
      </c>
      <c r="C61" s="0" t="n">
        <v>144.19</v>
      </c>
      <c r="D61" s="0" t="n">
        <v>86.6</v>
      </c>
      <c r="E61" s="0" t="n">
        <v>0.6006</v>
      </c>
      <c r="F61" s="0" t="n">
        <v>0.5767</v>
      </c>
    </row>
    <row r="62" customFormat="false" ht="15" hidden="false" customHeight="false" outlineLevel="0" collapsed="false">
      <c r="A62" s="0" t="s">
        <v>204</v>
      </c>
      <c r="B62" s="0" t="n">
        <v>1118</v>
      </c>
      <c r="C62" s="0" t="n">
        <v>126.51</v>
      </c>
      <c r="D62" s="0" t="n">
        <v>75.43</v>
      </c>
      <c r="E62" s="0" t="n">
        <v>0.5963</v>
      </c>
      <c r="F62" s="0" t="n">
        <v>0.5877</v>
      </c>
    </row>
    <row r="63" customFormat="false" ht="15" hidden="false" customHeight="false" outlineLevel="0" collapsed="false">
      <c r="A63" s="0" t="s">
        <v>205</v>
      </c>
      <c r="B63" s="0" t="n">
        <v>742</v>
      </c>
      <c r="C63" s="0" t="n">
        <v>143.15</v>
      </c>
      <c r="D63" s="0" t="n">
        <v>84.56</v>
      </c>
      <c r="E63" s="0" t="n">
        <v>0.5908</v>
      </c>
      <c r="F63" s="0" t="n">
        <v>0.5857</v>
      </c>
    </row>
    <row r="64" customFormat="false" ht="15" hidden="false" customHeight="false" outlineLevel="0" collapsed="false">
      <c r="A64" s="0" t="s">
        <v>206</v>
      </c>
      <c r="B64" s="0" t="n">
        <v>1101</v>
      </c>
      <c r="C64" s="0" t="n">
        <v>136.98</v>
      </c>
      <c r="D64" s="0" t="n">
        <v>82.6</v>
      </c>
      <c r="E64" s="0" t="n">
        <v>0.603</v>
      </c>
      <c r="F64" s="0" t="n">
        <v>0.5834</v>
      </c>
    </row>
    <row r="65" customFormat="false" ht="15" hidden="false" customHeight="false" outlineLevel="0" collapsed="false">
      <c r="A65" s="0" t="s">
        <v>207</v>
      </c>
      <c r="B65" s="0" t="n">
        <v>866</v>
      </c>
      <c r="C65" s="0" t="n">
        <v>135.67</v>
      </c>
      <c r="D65" s="0" t="n">
        <v>81.27</v>
      </c>
      <c r="E65" s="0" t="n">
        <v>0.599</v>
      </c>
      <c r="F65" s="0" t="n">
        <v>0.5852</v>
      </c>
    </row>
    <row r="66" customFormat="false" ht="15" hidden="false" customHeight="false" outlineLevel="0" collapsed="false">
      <c r="A66" s="0" t="s">
        <v>208</v>
      </c>
      <c r="B66" s="0" t="n">
        <v>1193</v>
      </c>
      <c r="C66" s="0" t="n">
        <v>146.1</v>
      </c>
      <c r="D66" s="0" t="n">
        <v>88.07</v>
      </c>
      <c r="E66" s="0" t="n">
        <v>0.6028</v>
      </c>
      <c r="F66" s="0" t="n">
        <v>0.609</v>
      </c>
    </row>
    <row r="67" customFormat="false" ht="15" hidden="false" customHeight="false" outlineLevel="0" collapsed="false">
      <c r="A67" s="0" t="s">
        <v>209</v>
      </c>
      <c r="B67" s="0" t="n">
        <v>1188</v>
      </c>
      <c r="C67" s="0" t="n">
        <v>144.35</v>
      </c>
      <c r="D67" s="0" t="n">
        <v>87.86</v>
      </c>
      <c r="E67" s="0" t="n">
        <v>0.6086</v>
      </c>
      <c r="F67" s="0" t="n">
        <v>0.5962</v>
      </c>
    </row>
    <row r="68" customFormat="false" ht="15" hidden="false" customHeight="false" outlineLevel="0" collapsed="false">
      <c r="A68" s="0" t="s">
        <v>210</v>
      </c>
      <c r="B68" s="0" t="n">
        <v>1208</v>
      </c>
      <c r="C68" s="0" t="n">
        <v>162.1</v>
      </c>
      <c r="D68" s="0" t="n">
        <v>98.41</v>
      </c>
      <c r="E68" s="0" t="n">
        <v>0.6071</v>
      </c>
      <c r="F68" s="0" t="n">
        <v>0.5906</v>
      </c>
    </row>
    <row r="69" customFormat="false" ht="15" hidden="false" customHeight="false" outlineLevel="0" collapsed="false">
      <c r="A69" s="0" t="s">
        <v>211</v>
      </c>
      <c r="B69" s="0" t="n">
        <v>935</v>
      </c>
      <c r="C69" s="0" t="n">
        <v>152.05</v>
      </c>
      <c r="D69" s="0" t="n">
        <v>109.65</v>
      </c>
      <c r="E69" s="0" t="n">
        <v>0.7212</v>
      </c>
      <c r="F69" s="0" t="n">
        <v>0.5991</v>
      </c>
      <c r="G69" s="0" t="n">
        <v>18033.81</v>
      </c>
    </row>
    <row r="70" customFormat="false" ht="15" hidden="false" customHeight="false" outlineLevel="0" collapsed="false">
      <c r="A70" s="0" t="s">
        <v>212</v>
      </c>
      <c r="B70" s="0" t="n">
        <v>981</v>
      </c>
      <c r="C70" s="0" t="n">
        <v>161.73</v>
      </c>
      <c r="D70" s="0" t="n">
        <v>116.01</v>
      </c>
      <c r="E70" s="0" t="n">
        <v>0.7173</v>
      </c>
      <c r="F70" s="0" t="n">
        <v>0.598</v>
      </c>
      <c r="G70" s="0" t="n">
        <v>19517.57</v>
      </c>
    </row>
    <row r="71" customFormat="false" ht="15" hidden="false" customHeight="false" outlineLevel="0" collapsed="false">
      <c r="A71" s="0" t="s">
        <v>213</v>
      </c>
      <c r="B71" s="0" t="n">
        <v>1026</v>
      </c>
      <c r="C71" s="0" t="n">
        <v>153.18</v>
      </c>
      <c r="D71" s="0" t="n">
        <v>108.45</v>
      </c>
      <c r="E71" s="0" t="n">
        <v>0.708</v>
      </c>
      <c r="F71" s="0" t="n">
        <v>0.5862</v>
      </c>
      <c r="G71" s="0" t="n">
        <v>17864.73</v>
      </c>
    </row>
    <row r="72" customFormat="false" ht="15" hidden="false" customHeight="false" outlineLevel="0" collapsed="false">
      <c r="A72" s="0" t="s">
        <v>214</v>
      </c>
      <c r="B72" s="0" t="n">
        <v>586</v>
      </c>
      <c r="C72" s="0" t="n">
        <v>169.67</v>
      </c>
      <c r="D72" s="0" t="n">
        <v>124.62</v>
      </c>
      <c r="E72" s="0" t="n">
        <v>0.7345</v>
      </c>
      <c r="F72" s="0" t="n">
        <v>0.6156</v>
      </c>
      <c r="G72" s="0" t="n">
        <v>13940.1</v>
      </c>
    </row>
    <row r="73" customFormat="false" ht="15" hidden="false" customHeight="false" outlineLevel="0" collapsed="false">
      <c r="A73" s="0" t="s">
        <v>215</v>
      </c>
      <c r="B73" s="0" t="n">
        <v>1349</v>
      </c>
      <c r="C73" s="0" t="n">
        <v>147.1</v>
      </c>
      <c r="D73" s="0" t="n">
        <v>108.89</v>
      </c>
      <c r="E73" s="0" t="n">
        <v>0.7403</v>
      </c>
      <c r="F73" s="0" t="n">
        <v>0.6066</v>
      </c>
      <c r="G73" s="0" t="n">
        <v>28966.97</v>
      </c>
    </row>
    <row r="74" customFormat="false" ht="15" hidden="false" customHeight="false" outlineLevel="0" collapsed="false">
      <c r="A74" s="0" t="s">
        <v>216</v>
      </c>
      <c r="B74" s="0" t="n">
        <v>989</v>
      </c>
      <c r="C74" s="0" t="n">
        <v>161.98</v>
      </c>
      <c r="D74" s="0" t="n">
        <v>118.75</v>
      </c>
      <c r="E74" s="0" t="n">
        <v>0.7331</v>
      </c>
      <c r="F74" s="0" t="n">
        <v>0.6126</v>
      </c>
      <c r="G74" s="0" t="n">
        <v>22239.93</v>
      </c>
    </row>
    <row r="75" customFormat="false" ht="15" hidden="false" customHeight="false" outlineLevel="0" collapsed="false">
      <c r="A75" s="0" t="s">
        <v>217</v>
      </c>
      <c r="B75" s="0" t="n">
        <v>1116</v>
      </c>
      <c r="C75" s="0" t="n">
        <v>141.45</v>
      </c>
      <c r="D75" s="0" t="n">
        <v>104.54</v>
      </c>
      <c r="E75" s="0" t="n">
        <v>0.7391</v>
      </c>
      <c r="F75" s="0" t="n">
        <v>0.6176</v>
      </c>
      <c r="G75" s="0" t="n">
        <v>22853.05</v>
      </c>
    </row>
    <row r="76" customFormat="false" ht="15" hidden="false" customHeight="false" outlineLevel="0" collapsed="false">
      <c r="A76" s="0" t="s">
        <v>218</v>
      </c>
      <c r="B76" s="0" t="n">
        <v>1093</v>
      </c>
      <c r="C76" s="0" t="n">
        <v>146.72</v>
      </c>
      <c r="D76" s="0" t="n">
        <v>107.85</v>
      </c>
      <c r="E76" s="0" t="n">
        <v>0.7351</v>
      </c>
      <c r="F76" s="0" t="n">
        <v>0.6051</v>
      </c>
      <c r="G76" s="0" t="n">
        <v>22573.03</v>
      </c>
    </row>
    <row r="77" customFormat="false" ht="15" hidden="false" customHeight="false" outlineLevel="0" collapsed="false">
      <c r="A77" s="0" t="s">
        <v>219</v>
      </c>
      <c r="B77" s="0" t="n">
        <v>1182</v>
      </c>
      <c r="C77" s="0" t="n">
        <v>138.46</v>
      </c>
      <c r="D77" s="0" t="n">
        <v>100.42</v>
      </c>
      <c r="E77" s="0" t="n">
        <v>0.7252</v>
      </c>
      <c r="F77" s="0" t="n">
        <v>0.6065</v>
      </c>
      <c r="G77" s="0" t="n">
        <v>21427.21</v>
      </c>
    </row>
    <row r="78" customFormat="false" ht="15" hidden="false" customHeight="false" outlineLevel="0" collapsed="false">
      <c r="A78" s="0" t="s">
        <v>246</v>
      </c>
      <c r="B78" s="0" t="n">
        <v>9257</v>
      </c>
      <c r="E78" s="0" t="n">
        <v>0.7284</v>
      </c>
      <c r="F78" s="0" t="n">
        <v>0.6048</v>
      </c>
      <c r="G78" s="0" t="n">
        <v>187416.4</v>
      </c>
    </row>
    <row r="79" customFormat="false" ht="15" hidden="false" customHeight="false" outlineLevel="0" collapsed="false">
      <c r="A79" s="0" t="s">
        <v>247</v>
      </c>
      <c r="B79" s="0" t="n">
        <v>12976</v>
      </c>
      <c r="E79" s="0" t="n">
        <v>0.5943</v>
      </c>
      <c r="F79" s="0" t="n">
        <v>0.5826</v>
      </c>
    </row>
    <row r="81" customFormat="false" ht="15" hidden="false" customHeight="false" outlineLevel="0" collapsed="false">
      <c r="A81" s="11" t="s">
        <v>248</v>
      </c>
    </row>
    <row r="82" customFormat="false" ht="15" hidden="false" customHeight="false" outlineLevel="0" collapsed="false">
      <c r="A82" s="4" t="s">
        <v>6</v>
      </c>
      <c r="B82" s="4" t="s">
        <v>16</v>
      </c>
      <c r="C82" s="4" t="s">
        <v>249</v>
      </c>
      <c r="D82" s="4" t="s">
        <v>250</v>
      </c>
      <c r="E82" s="4" t="s">
        <v>251</v>
      </c>
      <c r="F82" s="4" t="s">
        <v>252</v>
      </c>
      <c r="G82" s="4" t="s">
        <v>253</v>
      </c>
    </row>
    <row r="83" customFormat="false" ht="15" hidden="false" customHeight="false" outlineLevel="0" collapsed="false">
      <c r="A83" s="0" t="s">
        <v>254</v>
      </c>
      <c r="B83" s="0" t="s">
        <v>255</v>
      </c>
      <c r="C83" s="0" t="n">
        <v>13904</v>
      </c>
      <c r="D83" s="0" t="n">
        <v>1197</v>
      </c>
      <c r="E83" s="0" t="n">
        <v>0.0861</v>
      </c>
      <c r="F83" s="0" t="n">
        <v>12449</v>
      </c>
      <c r="G83" s="0" t="n">
        <v>0.0866</v>
      </c>
    </row>
    <row r="84" customFormat="false" ht="15" hidden="false" customHeight="false" outlineLevel="0" collapsed="false">
      <c r="A84" s="0" t="s">
        <v>256</v>
      </c>
      <c r="B84" s="0" t="s">
        <v>257</v>
      </c>
      <c r="C84" s="0" t="n">
        <v>1256</v>
      </c>
      <c r="D84" s="0" t="n">
        <v>90</v>
      </c>
      <c r="E84" s="0" t="n">
        <v>0.0717</v>
      </c>
      <c r="F84" s="0" t="n">
        <v>1173</v>
      </c>
      <c r="G84" s="0" t="n">
        <v>0.0665</v>
      </c>
    </row>
    <row r="85" customFormat="false" ht="15" hidden="false" customHeight="false" outlineLevel="0" collapsed="false">
      <c r="A85" s="0" t="s">
        <v>256</v>
      </c>
      <c r="B85" s="0" t="s">
        <v>258</v>
      </c>
      <c r="C85" s="0" t="n">
        <v>1219</v>
      </c>
      <c r="D85" s="0" t="n">
        <v>76</v>
      </c>
      <c r="E85" s="0" t="n">
        <v>0.0623</v>
      </c>
      <c r="F85" s="0" t="n">
        <v>1121</v>
      </c>
      <c r="G85" s="0" t="n">
        <v>0.0633</v>
      </c>
    </row>
    <row r="86" customFormat="false" ht="15" hidden="false" customHeight="false" outlineLevel="0" collapsed="false">
      <c r="A86" s="0" t="s">
        <v>259</v>
      </c>
      <c r="B86" s="0" t="s">
        <v>258</v>
      </c>
      <c r="C86" s="0" t="n">
        <v>3673</v>
      </c>
      <c r="D86" s="0" t="n">
        <v>181</v>
      </c>
      <c r="E86" s="0" t="n">
        <v>0.0493</v>
      </c>
      <c r="F86" s="0" t="n">
        <v>3355</v>
      </c>
      <c r="G86" s="0" t="n">
        <v>0.0539</v>
      </c>
    </row>
    <row r="87" customFormat="false" ht="15" hidden="false" customHeight="false" outlineLevel="0" collapsed="false">
      <c r="A87" s="0" t="s">
        <v>254</v>
      </c>
      <c r="B87" s="0" t="s">
        <v>257</v>
      </c>
      <c r="C87" s="0" t="n">
        <v>15810</v>
      </c>
      <c r="D87" s="0" t="n">
        <v>825</v>
      </c>
      <c r="E87" s="0" t="n">
        <v>0.0522</v>
      </c>
      <c r="F87" s="0" t="n">
        <v>14539</v>
      </c>
      <c r="G87" s="0" t="n">
        <v>0.0508</v>
      </c>
    </row>
    <row r="88" customFormat="false" ht="15" hidden="false" customHeight="false" outlineLevel="0" collapsed="false">
      <c r="A88" s="0" t="s">
        <v>259</v>
      </c>
      <c r="B88" s="0" t="s">
        <v>260</v>
      </c>
      <c r="C88" s="0" t="n">
        <v>4528</v>
      </c>
      <c r="D88" s="0" t="n">
        <v>193</v>
      </c>
      <c r="E88" s="0" t="n">
        <v>0.0426</v>
      </c>
      <c r="F88" s="0" t="n">
        <v>4158</v>
      </c>
      <c r="G88" s="0" t="n">
        <v>0.0464</v>
      </c>
    </row>
    <row r="89" customFormat="false" ht="15" hidden="false" customHeight="false" outlineLevel="0" collapsed="false">
      <c r="A89" s="0" t="s">
        <v>256</v>
      </c>
      <c r="B89" s="0" t="s">
        <v>261</v>
      </c>
      <c r="C89" s="0" t="n">
        <v>4669</v>
      </c>
      <c r="D89" s="0" t="n">
        <v>204</v>
      </c>
      <c r="E89" s="0" t="n">
        <v>0.0437</v>
      </c>
      <c r="F89" s="0" t="n">
        <v>4338</v>
      </c>
      <c r="G89" s="0" t="n">
        <v>0.0415</v>
      </c>
    </row>
    <row r="90" customFormat="false" ht="15" hidden="false" customHeight="false" outlineLevel="0" collapsed="false">
      <c r="A90" s="0" t="s">
        <v>259</v>
      </c>
      <c r="B90" s="0" t="s">
        <v>261</v>
      </c>
      <c r="C90" s="0" t="n">
        <v>16004</v>
      </c>
      <c r="D90" s="0" t="n">
        <v>614</v>
      </c>
      <c r="E90" s="0" t="n">
        <v>0.0384</v>
      </c>
      <c r="F90" s="0" t="n">
        <v>14825</v>
      </c>
      <c r="G90" s="0" t="n">
        <v>0.0414</v>
      </c>
    </row>
    <row r="91" customFormat="false" ht="15" hidden="false" customHeight="false" outlineLevel="0" collapsed="false">
      <c r="A91" s="0" t="s">
        <v>254</v>
      </c>
      <c r="B91" s="0" t="s">
        <v>261</v>
      </c>
      <c r="C91" s="0" t="n">
        <v>54467</v>
      </c>
      <c r="D91" s="0" t="n">
        <v>1897</v>
      </c>
      <c r="E91" s="0" t="n">
        <v>0.0348</v>
      </c>
      <c r="F91" s="0" t="n">
        <v>51010</v>
      </c>
      <c r="G91" s="0" t="n">
        <v>0.0372</v>
      </c>
    </row>
    <row r="92" customFormat="false" ht="15" hidden="false" customHeight="false" outlineLevel="0" collapsed="false">
      <c r="A92" s="0" t="s">
        <v>259</v>
      </c>
      <c r="B92" s="0" t="s">
        <v>255</v>
      </c>
      <c r="C92" s="0" t="n">
        <v>3725</v>
      </c>
      <c r="D92" s="0" t="n">
        <v>126</v>
      </c>
      <c r="E92" s="0" t="n">
        <v>0.0338</v>
      </c>
      <c r="F92" s="0" t="n">
        <v>3419</v>
      </c>
      <c r="G92" s="0" t="n">
        <v>0.0369</v>
      </c>
    </row>
    <row r="93" customFormat="false" ht="15" hidden="false" customHeight="false" outlineLevel="0" collapsed="false">
      <c r="A93" s="0" t="s">
        <v>254</v>
      </c>
      <c r="B93" s="0" t="s">
        <v>262</v>
      </c>
      <c r="C93" s="0" t="n">
        <v>13448</v>
      </c>
      <c r="D93" s="0" t="n">
        <v>488</v>
      </c>
      <c r="E93" s="0" t="n">
        <v>0.0363</v>
      </c>
      <c r="F93" s="0" t="n">
        <v>12680</v>
      </c>
      <c r="G93" s="0" t="n">
        <v>0.0356</v>
      </c>
    </row>
    <row r="94" customFormat="false" ht="15" hidden="false" customHeight="false" outlineLevel="0" collapsed="false">
      <c r="A94" s="0" t="s">
        <v>256</v>
      </c>
      <c r="B94" s="0" t="s">
        <v>260</v>
      </c>
      <c r="C94" s="0" t="n">
        <v>1320</v>
      </c>
      <c r="D94" s="0" t="n">
        <v>45</v>
      </c>
      <c r="E94" s="0" t="n">
        <v>0.0341</v>
      </c>
      <c r="F94" s="0" t="n">
        <v>1242</v>
      </c>
      <c r="G94" s="0" t="n">
        <v>0.0354</v>
      </c>
    </row>
    <row r="95" customFormat="false" ht="15" hidden="false" customHeight="false" outlineLevel="0" collapsed="false">
      <c r="A95" s="0" t="s">
        <v>263</v>
      </c>
      <c r="B95" s="0" t="s">
        <v>264</v>
      </c>
      <c r="C95" s="0" t="n">
        <v>158897</v>
      </c>
      <c r="D95" s="0" t="n">
        <v>5691</v>
      </c>
      <c r="E95" s="0" t="n">
        <v>0.0358</v>
      </c>
      <c r="F95" s="0" t="n">
        <v>147560</v>
      </c>
      <c r="G95" s="0" t="n">
        <v>0.0368</v>
      </c>
    </row>
    <row r="96" customFormat="false" ht="15" hidden="false" customHeight="false" outlineLevel="0" collapsed="false">
      <c r="A96" s="0" t="s">
        <v>265</v>
      </c>
      <c r="B96" s="0" t="s">
        <v>266</v>
      </c>
      <c r="C96" s="0" t="n">
        <v>172801</v>
      </c>
      <c r="D96" s="0" t="n">
        <v>6888</v>
      </c>
      <c r="E96" s="0" t="n">
        <v>0.0399</v>
      </c>
      <c r="F96" s="0" t="n">
        <v>160009</v>
      </c>
      <c r="G96" s="0" t="n">
        <v>0.0407</v>
      </c>
    </row>
    <row r="98" customFormat="false" ht="15" hidden="false" customHeight="false" outlineLevel="0" collapsed="false">
      <c r="A98" s="11" t="s">
        <v>267</v>
      </c>
    </row>
    <row r="99" customFormat="false" ht="28.35" hidden="false" customHeight="false" outlineLevel="0" collapsed="false">
      <c r="A99" s="4" t="s">
        <v>93</v>
      </c>
      <c r="B99" s="4" t="s">
        <v>3</v>
      </c>
      <c r="C99" s="4" t="s">
        <v>4</v>
      </c>
      <c r="D99" s="4" t="s">
        <v>268</v>
      </c>
      <c r="E99" s="4" t="s">
        <v>269</v>
      </c>
      <c r="F99" s="4" t="s">
        <v>270</v>
      </c>
      <c r="G99" s="4" t="s">
        <v>271</v>
      </c>
      <c r="H99" s="4" t="s">
        <v>272</v>
      </c>
      <c r="I99" s="4" t="s">
        <v>273</v>
      </c>
      <c r="J99" s="4" t="s">
        <v>274</v>
      </c>
    </row>
    <row r="100" customFormat="false" ht="15" hidden="false" customHeight="false" outlineLevel="0" collapsed="false">
      <c r="A100" s="0" t="n">
        <v>1</v>
      </c>
      <c r="B100" s="0" t="s">
        <v>275</v>
      </c>
      <c r="C100" s="0" t="s">
        <v>276</v>
      </c>
      <c r="D100" s="0" t="s">
        <v>227</v>
      </c>
      <c r="E100" s="0" t="n">
        <v>105429.6</v>
      </c>
      <c r="F100" s="0" t="n">
        <v>62073.12</v>
      </c>
      <c r="G100" s="0" t="n">
        <v>43356.48</v>
      </c>
      <c r="H100" s="0" t="n">
        <v>33.3</v>
      </c>
      <c r="I100" s="0" t="n">
        <v>905548.02</v>
      </c>
      <c r="J100" s="0" t="n">
        <v>775336.56</v>
      </c>
    </row>
    <row r="101" customFormat="false" ht="15" hidden="false" customHeight="false" outlineLevel="0" collapsed="false">
      <c r="A101" s="0" t="n">
        <v>2</v>
      </c>
      <c r="B101" s="0" t="s">
        <v>277</v>
      </c>
      <c r="C101" s="0" t="s">
        <v>278</v>
      </c>
      <c r="D101" s="0" t="s">
        <v>227</v>
      </c>
      <c r="E101" s="0" t="n">
        <v>85987.98</v>
      </c>
      <c r="F101" s="0" t="n">
        <v>48497.24</v>
      </c>
      <c r="G101" s="0" t="n">
        <v>37490.74</v>
      </c>
      <c r="H101" s="0" t="n">
        <v>28.8</v>
      </c>
      <c r="I101" s="0" t="n">
        <v>905548.02</v>
      </c>
      <c r="J101" s="0" t="n">
        <v>775336.56</v>
      </c>
    </row>
    <row r="102" customFormat="false" ht="15" hidden="false" customHeight="false" outlineLevel="0" collapsed="false">
      <c r="A102" s="0" t="n">
        <v>3</v>
      </c>
      <c r="B102" s="0" t="s">
        <v>279</v>
      </c>
      <c r="C102" s="0" t="s">
        <v>280</v>
      </c>
      <c r="D102" s="0" t="s">
        <v>226</v>
      </c>
      <c r="E102" s="0" t="n">
        <v>92749.95</v>
      </c>
      <c r="F102" s="0" t="n">
        <v>63191.3</v>
      </c>
      <c r="G102" s="0" t="n">
        <v>29558.65</v>
      </c>
      <c r="H102" s="0" t="n">
        <v>22.7</v>
      </c>
      <c r="I102" s="0" t="n">
        <v>905548.02</v>
      </c>
      <c r="J102" s="0" t="n">
        <v>775336.56</v>
      </c>
    </row>
    <row r="103" customFormat="false" ht="15" hidden="false" customHeight="false" outlineLevel="0" collapsed="false">
      <c r="A103" s="0" t="n">
        <v>4</v>
      </c>
      <c r="B103" s="0" t="s">
        <v>281</v>
      </c>
      <c r="C103" s="0" t="s">
        <v>282</v>
      </c>
      <c r="D103" s="0" t="s">
        <v>227</v>
      </c>
      <c r="E103" s="0" t="n">
        <v>20779.38</v>
      </c>
      <c r="F103" s="0" t="n">
        <v>10012.57</v>
      </c>
      <c r="G103" s="0" t="n">
        <v>10766.8</v>
      </c>
      <c r="H103" s="0" t="n">
        <v>8.3</v>
      </c>
      <c r="I103" s="0" t="n">
        <v>905548.02</v>
      </c>
      <c r="J103" s="0" t="n">
        <v>775336.56</v>
      </c>
    </row>
    <row r="104" customFormat="false" ht="15" hidden="false" customHeight="false" outlineLevel="0" collapsed="false">
      <c r="A104" s="0" t="n">
        <v>5</v>
      </c>
      <c r="B104" s="0" t="s">
        <v>283</v>
      </c>
      <c r="C104" s="0" t="s">
        <v>284</v>
      </c>
      <c r="D104" s="0" t="s">
        <v>226</v>
      </c>
      <c r="E104" s="0" t="n">
        <v>24448.14</v>
      </c>
      <c r="F104" s="0" t="n">
        <v>15388.62</v>
      </c>
      <c r="G104" s="0" t="n">
        <v>9059.52</v>
      </c>
      <c r="H104" s="0" t="n">
        <v>7</v>
      </c>
      <c r="I104" s="0" t="n">
        <v>905548.02</v>
      </c>
      <c r="J104" s="0" t="n">
        <v>775336.56</v>
      </c>
    </row>
    <row r="105" customFormat="false" ht="15" hidden="false" customHeight="false" outlineLevel="0" collapsed="false">
      <c r="A105" s="0" t="n">
        <v>6</v>
      </c>
      <c r="B105" s="0" t="s">
        <v>285</v>
      </c>
      <c r="C105" s="0" t="s">
        <v>286</v>
      </c>
      <c r="D105" s="0" t="s">
        <v>227</v>
      </c>
      <c r="E105" s="0" t="n">
        <v>22939.22</v>
      </c>
      <c r="F105" s="0" t="n">
        <v>15619.74</v>
      </c>
      <c r="G105" s="0" t="n">
        <v>7319.48</v>
      </c>
      <c r="H105" s="0" t="n">
        <v>5.6</v>
      </c>
      <c r="I105" s="0" t="n">
        <v>905548.02</v>
      </c>
      <c r="J105" s="0" t="n">
        <v>775336.56</v>
      </c>
    </row>
    <row r="106" customFormat="false" ht="15" hidden="false" customHeight="false" outlineLevel="0" collapsed="false">
      <c r="A106" s="0" t="n">
        <v>7</v>
      </c>
      <c r="B106" s="0" t="s">
        <v>287</v>
      </c>
      <c r="C106" s="0" t="s">
        <v>288</v>
      </c>
      <c r="D106" s="0" t="s">
        <v>228</v>
      </c>
      <c r="E106" s="0" t="n">
        <v>12190.51</v>
      </c>
      <c r="F106" s="0" t="n">
        <v>5448.58</v>
      </c>
      <c r="G106" s="0" t="n">
        <v>6741.93</v>
      </c>
      <c r="H106" s="0" t="n">
        <v>5.2</v>
      </c>
      <c r="I106" s="0" t="n">
        <v>905548.02</v>
      </c>
      <c r="J106" s="0" t="n">
        <v>775336.56</v>
      </c>
    </row>
    <row r="107" customFormat="false" ht="15" hidden="false" customHeight="false" outlineLevel="0" collapsed="false">
      <c r="A107" s="0" t="n">
        <v>8</v>
      </c>
      <c r="B107" s="0" t="s">
        <v>289</v>
      </c>
      <c r="C107" s="0" t="s">
        <v>290</v>
      </c>
      <c r="D107" s="0" t="s">
        <v>225</v>
      </c>
      <c r="E107" s="0" t="n">
        <v>76856.45</v>
      </c>
      <c r="F107" s="0" t="n">
        <v>70325</v>
      </c>
      <c r="G107" s="0" t="n">
        <v>6531.45</v>
      </c>
      <c r="H107" s="0" t="n">
        <v>5</v>
      </c>
      <c r="I107" s="0" t="n">
        <v>905548.02</v>
      </c>
      <c r="J107" s="0" t="n">
        <v>775336.56</v>
      </c>
    </row>
    <row r="108" customFormat="false" ht="15" hidden="false" customHeight="false" outlineLevel="0" collapsed="false">
      <c r="A108" s="0" t="n">
        <v>9</v>
      </c>
      <c r="B108" s="0" t="s">
        <v>291</v>
      </c>
      <c r="C108" s="0" t="s">
        <v>292</v>
      </c>
      <c r="D108" s="0" t="s">
        <v>228</v>
      </c>
      <c r="E108" s="0" t="n">
        <v>5551.27</v>
      </c>
      <c r="F108" s="0" t="n">
        <v>443.61</v>
      </c>
      <c r="G108" s="0" t="n">
        <v>5107.66</v>
      </c>
      <c r="H108" s="0" t="n">
        <v>3.9</v>
      </c>
      <c r="I108" s="0" t="n">
        <v>905548.02</v>
      </c>
      <c r="J108" s="0" t="n">
        <v>775336.56</v>
      </c>
    </row>
    <row r="109" customFormat="false" ht="15" hidden="false" customHeight="false" outlineLevel="0" collapsed="false">
      <c r="A109" s="0" t="n">
        <v>10</v>
      </c>
      <c r="B109" s="0" t="s">
        <v>293</v>
      </c>
      <c r="C109" s="0" t="s">
        <v>294</v>
      </c>
      <c r="D109" s="0" t="s">
        <v>225</v>
      </c>
      <c r="E109" s="0" t="n">
        <v>3913.92</v>
      </c>
      <c r="F109" s="0" t="n">
        <v>-88.11</v>
      </c>
      <c r="G109" s="0" t="n">
        <v>4002.03</v>
      </c>
      <c r="H109" s="0" t="n">
        <v>3.1</v>
      </c>
      <c r="I109" s="0" t="n">
        <v>905548.02</v>
      </c>
      <c r="J109" s="0" t="n">
        <v>775336.56</v>
      </c>
    </row>
    <row r="111" customFormat="false" ht="15" hidden="false" customHeight="false" outlineLevel="0" collapsed="false">
      <c r="A111" s="11" t="s">
        <v>295</v>
      </c>
    </row>
    <row r="112" customFormat="false" ht="28.35" hidden="false" customHeight="false" outlineLevel="0" collapsed="false">
      <c r="A112" s="4" t="s">
        <v>296</v>
      </c>
      <c r="B112" s="4" t="s">
        <v>297</v>
      </c>
      <c r="C112" s="4" t="s">
        <v>44</v>
      </c>
      <c r="D112" s="4" t="s">
        <v>298</v>
      </c>
      <c r="E112" s="4" t="s">
        <v>51</v>
      </c>
      <c r="F112" s="4" t="s">
        <v>299</v>
      </c>
    </row>
    <row r="113" customFormat="false" ht="15" hidden="false" customHeight="false" outlineLevel="0" collapsed="false">
      <c r="A113" s="0" t="s">
        <v>300</v>
      </c>
      <c r="B113" s="0" t="s">
        <v>35</v>
      </c>
      <c r="C113" s="0" t="s">
        <v>301</v>
      </c>
      <c r="D113" s="0" t="n">
        <v>5</v>
      </c>
    </row>
    <row r="114" customFormat="false" ht="15" hidden="false" customHeight="false" outlineLevel="0" collapsed="false">
      <c r="A114" s="0" t="s">
        <v>300</v>
      </c>
      <c r="B114" s="0" t="s">
        <v>26</v>
      </c>
      <c r="C114" s="0" t="s">
        <v>301</v>
      </c>
      <c r="D114" s="0" t="n">
        <v>3</v>
      </c>
    </row>
    <row r="115" customFormat="false" ht="15" hidden="false" customHeight="false" outlineLevel="0" collapsed="false">
      <c r="A115" s="0" t="s">
        <v>300</v>
      </c>
      <c r="B115" s="0" t="s">
        <v>65</v>
      </c>
      <c r="C115" s="0" t="s">
        <v>301</v>
      </c>
      <c r="D115" s="0" t="n">
        <v>1</v>
      </c>
    </row>
    <row r="116" customFormat="false" ht="15" hidden="false" customHeight="false" outlineLevel="0" collapsed="false">
      <c r="A116" s="0" t="s">
        <v>300</v>
      </c>
      <c r="B116" s="0" t="s">
        <v>57</v>
      </c>
      <c r="C116" s="0" t="s">
        <v>301</v>
      </c>
      <c r="D116" s="0" t="n">
        <v>5</v>
      </c>
    </row>
    <row r="117" customFormat="false" ht="15" hidden="false" customHeight="false" outlineLevel="0" collapsed="false">
      <c r="A117" s="0" t="s">
        <v>300</v>
      </c>
      <c r="B117" s="0" t="s">
        <v>51</v>
      </c>
      <c r="C117" s="0" t="s">
        <v>301</v>
      </c>
      <c r="D117" s="0" t="n">
        <v>3</v>
      </c>
    </row>
    <row r="118" customFormat="false" ht="15" hidden="false" customHeight="false" outlineLevel="0" collapsed="false">
      <c r="A118" s="0" t="s">
        <v>302</v>
      </c>
      <c r="B118" s="0" t="s">
        <v>57</v>
      </c>
      <c r="C118" s="0" t="s">
        <v>303</v>
      </c>
      <c r="D118" s="0" t="n">
        <v>31</v>
      </c>
      <c r="E118" s="0" t="n">
        <v>30</v>
      </c>
      <c r="F118" s="0" t="n">
        <v>42742.55</v>
      </c>
    </row>
    <row r="119" customFormat="false" ht="15" hidden="false" customHeight="false" outlineLevel="0" collapsed="false">
      <c r="A119" s="0" t="s">
        <v>302</v>
      </c>
      <c r="B119" s="0" t="s">
        <v>57</v>
      </c>
      <c r="C119" s="0" t="s">
        <v>304</v>
      </c>
      <c r="D119" s="0" t="n">
        <v>15</v>
      </c>
      <c r="E119" s="0" t="n">
        <v>15</v>
      </c>
      <c r="F119" s="0" t="n">
        <v>5205.01</v>
      </c>
    </row>
    <row r="120" customFormat="false" ht="15" hidden="false" customHeight="false" outlineLevel="0" collapsed="false">
      <c r="A120" s="0" t="s">
        <v>302</v>
      </c>
      <c r="B120" s="0" t="s">
        <v>57</v>
      </c>
      <c r="C120" s="0" t="s">
        <v>305</v>
      </c>
      <c r="D120" s="0" t="n">
        <v>10</v>
      </c>
      <c r="E120" s="0" t="n">
        <v>5</v>
      </c>
    </row>
    <row r="122" customFormat="false" ht="15" hidden="false" customHeight="false" outlineLevel="0" collapsed="false">
      <c r="A122" s="11" t="s">
        <v>306</v>
      </c>
    </row>
    <row r="123" customFormat="false" ht="28.35" hidden="false" customHeight="false" outlineLevel="0" collapsed="false">
      <c r="A123" s="4" t="s">
        <v>307</v>
      </c>
      <c r="B123" s="4" t="s">
        <v>308</v>
      </c>
      <c r="C123" s="4" t="s">
        <v>309</v>
      </c>
      <c r="D123" s="4" t="s">
        <v>310</v>
      </c>
      <c r="E123" s="4" t="s">
        <v>311</v>
      </c>
      <c r="F123" s="4" t="s">
        <v>312</v>
      </c>
      <c r="G123" s="4" t="s">
        <v>313</v>
      </c>
      <c r="H123" s="4" t="s">
        <v>314</v>
      </c>
    </row>
    <row r="124" customFormat="false" ht="15" hidden="false" customHeight="false" outlineLevel="0" collapsed="false">
      <c r="A124" s="0" t="n">
        <v>2724</v>
      </c>
      <c r="B124" s="0" t="n">
        <v>0</v>
      </c>
      <c r="C124" s="0" t="n">
        <v>0</v>
      </c>
      <c r="D124" s="0" t="n">
        <v>0</v>
      </c>
      <c r="E124" s="0" t="n">
        <v>6152</v>
      </c>
      <c r="F124" s="0" t="n">
        <v>0</v>
      </c>
      <c r="G124" s="0" t="n">
        <v>0</v>
      </c>
      <c r="H124" s="0" t="n">
        <v>0</v>
      </c>
    </row>
    <row r="126" customFormat="false" ht="15" hidden="false" customHeight="false" outlineLevel="0" collapsed="false">
      <c r="A126" s="11" t="s">
        <v>315</v>
      </c>
    </row>
    <row r="127" customFormat="false" ht="28.35" hidden="false" customHeight="false" outlineLevel="0" collapsed="false">
      <c r="A127" s="4" t="s">
        <v>316</v>
      </c>
      <c r="B127" s="4" t="s">
        <v>317</v>
      </c>
      <c r="C127" s="4" t="s">
        <v>318</v>
      </c>
      <c r="D127" s="4" t="s">
        <v>319</v>
      </c>
      <c r="E127" s="4" t="s">
        <v>320</v>
      </c>
      <c r="F127" s="4" t="s">
        <v>321</v>
      </c>
    </row>
    <row r="128" customFormat="false" ht="15" hidden="false" customHeight="false" outlineLevel="0" collapsed="false">
      <c r="A128" s="0" t="n">
        <v>2715</v>
      </c>
      <c r="B128" s="0" t="n">
        <v>41</v>
      </c>
      <c r="C128" s="0" t="n">
        <v>50607.14</v>
      </c>
      <c r="D128" s="0" t="n">
        <v>50319.35</v>
      </c>
      <c r="E128" s="0" t="n">
        <v>287.78</v>
      </c>
      <c r="F128" s="0" t="n">
        <v>287.78</v>
      </c>
    </row>
    <row r="130" customFormat="false" ht="15" hidden="false" customHeight="false" outlineLevel="0" collapsed="false">
      <c r="A130" s="11" t="s">
        <v>322</v>
      </c>
    </row>
    <row r="131" customFormat="false" ht="15" hidden="false" customHeight="false" outlineLevel="0" collapsed="false">
      <c r="A131" s="4" t="s">
        <v>323</v>
      </c>
      <c r="B131" s="4" t="s">
        <v>324</v>
      </c>
      <c r="C131" s="4" t="s">
        <v>325</v>
      </c>
      <c r="D131" s="4" t="s">
        <v>326</v>
      </c>
    </row>
    <row r="132" customFormat="false" ht="15" hidden="false" customHeight="false" outlineLevel="0" collapsed="false">
      <c r="A132" s="0" t="s">
        <v>86</v>
      </c>
      <c r="B132" s="0" t="n">
        <v>9651206.89</v>
      </c>
      <c r="C132" s="0" t="n">
        <v>9651206.89</v>
      </c>
      <c r="D132" s="0" t="s">
        <v>23</v>
      </c>
    </row>
    <row r="133" customFormat="false" ht="15" hidden="false" customHeight="false" outlineLevel="0" collapsed="false">
      <c r="A133" s="0" t="s">
        <v>327</v>
      </c>
      <c r="B133" s="0" t="n">
        <v>248870.31</v>
      </c>
      <c r="C133" s="0" t="n">
        <v>248870.31</v>
      </c>
      <c r="D133" s="0" t="s">
        <v>23</v>
      </c>
    </row>
    <row r="134" customFormat="false" ht="15" hidden="false" customHeight="false" outlineLevel="0" collapsed="false">
      <c r="A134" s="0" t="s">
        <v>328</v>
      </c>
      <c r="B134" s="0" t="n">
        <v>361316.17</v>
      </c>
      <c r="C134" s="0" t="n">
        <v>361316.17</v>
      </c>
      <c r="D134" s="0" t="s">
        <v>23</v>
      </c>
    </row>
    <row r="135" customFormat="false" ht="15" hidden="false" customHeight="false" outlineLevel="0" collapsed="false">
      <c r="A135" s="0" t="s">
        <v>329</v>
      </c>
      <c r="B135" s="0" t="n">
        <v>9041020.42</v>
      </c>
      <c r="C135" s="0" t="n">
        <v>9041020.42</v>
      </c>
      <c r="D135" s="0" t="s">
        <v>23</v>
      </c>
    </row>
    <row r="136" customFormat="false" ht="15" hidden="false" customHeight="false" outlineLevel="0" collapsed="false">
      <c r="A136" s="0" t="s">
        <v>191</v>
      </c>
      <c r="B136" s="0" t="n">
        <v>5680587.06</v>
      </c>
      <c r="C136" s="0" t="n">
        <v>5680587.06</v>
      </c>
      <c r="D136" s="0" t="s">
        <v>23</v>
      </c>
    </row>
    <row r="137" customFormat="false" ht="15" hidden="false" customHeight="false" outlineLevel="0" collapsed="false">
      <c r="A137" s="0" t="s">
        <v>192</v>
      </c>
      <c r="B137" s="0" t="n">
        <v>3360433.36</v>
      </c>
      <c r="C137" s="0" t="n">
        <v>3360433.36</v>
      </c>
      <c r="D137" s="0" t="s">
        <v>23</v>
      </c>
    </row>
    <row r="138" customFormat="false" ht="15" hidden="false" customHeight="false" outlineLevel="0" collapsed="false">
      <c r="A138" s="0" t="s">
        <v>54</v>
      </c>
      <c r="B138" s="0" t="n">
        <v>50607.14</v>
      </c>
      <c r="C138" s="0" t="n">
        <v>50607.14</v>
      </c>
      <c r="D138" s="0" t="s">
        <v>23</v>
      </c>
    </row>
    <row r="139" customFormat="false" ht="15" hidden="false" customHeight="false" outlineLevel="0" collapsed="false">
      <c r="A139" s="0" t="s">
        <v>330</v>
      </c>
      <c r="B139" s="0" t="n">
        <v>3309826.22</v>
      </c>
      <c r="C139" s="0" t="n">
        <v>3309826.22</v>
      </c>
      <c r="D139" s="0" t="s">
        <v>23</v>
      </c>
    </row>
    <row r="140" customFormat="false" ht="15" hidden="false" customHeight="false" outlineLevel="0" collapsed="false">
      <c r="A140" s="0" t="s">
        <v>331</v>
      </c>
      <c r="B140" s="0" t="n">
        <v>3309826.22</v>
      </c>
      <c r="C140" s="0" t="n">
        <v>3309826.22</v>
      </c>
      <c r="D140" s="0" t="s">
        <v>23</v>
      </c>
    </row>
    <row r="141" customFormat="false" ht="15" hidden="false" customHeight="false" outlineLevel="0" collapsed="false">
      <c r="A141" s="0" t="s">
        <v>332</v>
      </c>
      <c r="B141" s="0" t="n">
        <v>3309826.22</v>
      </c>
      <c r="C141" s="0" t="n">
        <v>3309826.22</v>
      </c>
      <c r="D141" s="0" t="s">
        <v>23</v>
      </c>
    </row>
    <row r="143" customFormat="false" ht="15" hidden="false" customHeight="false" outlineLevel="0" collapsed="false">
      <c r="A143" s="11" t="s">
        <v>333</v>
      </c>
    </row>
    <row r="144" customFormat="false" ht="55.2" hidden="false" customHeight="false" outlineLevel="0" collapsed="false">
      <c r="A144" s="4" t="s">
        <v>86</v>
      </c>
      <c r="B144" s="4" t="s">
        <v>327</v>
      </c>
      <c r="C144" s="4" t="s">
        <v>328</v>
      </c>
      <c r="D144" s="4" t="s">
        <v>329</v>
      </c>
      <c r="E144" s="4" t="s">
        <v>191</v>
      </c>
      <c r="F144" s="4" t="s">
        <v>334</v>
      </c>
      <c r="G144" s="4" t="s">
        <v>192</v>
      </c>
      <c r="H144" s="4" t="s">
        <v>335</v>
      </c>
      <c r="I144" s="4" t="s">
        <v>54</v>
      </c>
      <c r="J144" s="4" t="s">
        <v>336</v>
      </c>
      <c r="K144" s="4" t="s">
        <v>330</v>
      </c>
      <c r="L144" s="4" t="s">
        <v>337</v>
      </c>
      <c r="M144" s="4" t="s">
        <v>338</v>
      </c>
      <c r="N144" s="4" t="s">
        <v>339</v>
      </c>
      <c r="O144" s="4" t="s">
        <v>251</v>
      </c>
      <c r="P144" s="4" t="s">
        <v>340</v>
      </c>
      <c r="Q144" s="4" t="s">
        <v>341</v>
      </c>
      <c r="R144" s="4" t="s">
        <v>342</v>
      </c>
      <c r="S144" s="4" t="s">
        <v>343</v>
      </c>
      <c r="T144" s="4" t="s">
        <v>249</v>
      </c>
      <c r="U144" s="4" t="s">
        <v>250</v>
      </c>
    </row>
    <row r="145" customFormat="false" ht="15" hidden="false" customHeight="false" outlineLevel="0" collapsed="false">
      <c r="A145" s="0" t="n">
        <v>9651206.89</v>
      </c>
      <c r="B145" s="0" t="n">
        <v>248870.31</v>
      </c>
      <c r="C145" s="0" t="n">
        <v>361316.17</v>
      </c>
      <c r="D145" s="0" t="n">
        <v>9041020.42</v>
      </c>
      <c r="E145" s="0" t="n">
        <v>5680587.06</v>
      </c>
      <c r="F145" s="0" t="n">
        <v>224072.38</v>
      </c>
      <c r="G145" s="0" t="n">
        <v>3360433.36</v>
      </c>
      <c r="H145" s="0" t="n">
        <v>0</v>
      </c>
      <c r="I145" s="0" t="n">
        <v>50607.14</v>
      </c>
      <c r="J145" s="0" t="n">
        <v>0</v>
      </c>
      <c r="K145" s="0" t="n">
        <v>3309826.22</v>
      </c>
      <c r="L145" s="0" t="n">
        <v>9041020.42</v>
      </c>
      <c r="M145" s="0" t="n">
        <v>0.36609</v>
      </c>
      <c r="N145" s="0" t="n">
        <v>0.025786</v>
      </c>
      <c r="O145" s="0" t="n">
        <v>0.039861</v>
      </c>
      <c r="P145" s="0" t="n">
        <v>3789.2</v>
      </c>
      <c r="Q145" s="0" t="n">
        <v>0</v>
      </c>
      <c r="R145" s="0" t="n">
        <v>2386</v>
      </c>
      <c r="S145" s="0" t="n">
        <v>6588</v>
      </c>
      <c r="T145" s="0" t="n">
        <v>172801</v>
      </c>
      <c r="U145" s="0" t="n">
        <v>6888</v>
      </c>
    </row>
    <row r="147" customFormat="false" ht="15" hidden="false" customHeight="false" outlineLevel="0" collapsed="false">
      <c r="A147" s="11" t="s">
        <v>344</v>
      </c>
    </row>
    <row r="148" customFormat="false" ht="28.35" hidden="false" customHeight="false" outlineLevel="0" collapsed="false">
      <c r="A148" s="4" t="s">
        <v>345</v>
      </c>
      <c r="B148" s="4" t="s">
        <v>346</v>
      </c>
      <c r="C148" s="4" t="s">
        <v>347</v>
      </c>
      <c r="D148" s="4" t="s">
        <v>348</v>
      </c>
      <c r="E148" s="4" t="s">
        <v>349</v>
      </c>
      <c r="F148" s="4" t="s">
        <v>350</v>
      </c>
      <c r="G148" s="4" t="s">
        <v>351</v>
      </c>
      <c r="H148" s="4" t="s">
        <v>352</v>
      </c>
    </row>
    <row r="149" customFormat="false" ht="15" hidden="false" customHeight="false" outlineLevel="0" collapsed="false">
      <c r="A149" s="0" t="n">
        <v>0.3929</v>
      </c>
      <c r="B149" s="0" t="n">
        <v>0.3267</v>
      </c>
      <c r="C149" s="0" t="n">
        <v>6.62</v>
      </c>
      <c r="D149" s="0" t="n">
        <v>242418.66</v>
      </c>
      <c r="E149" s="0" t="n">
        <v>187416.4</v>
      </c>
      <c r="F149" s="0" t="n">
        <v>6592.14</v>
      </c>
      <c r="G149" s="0" t="n">
        <v>77.3</v>
      </c>
      <c r="H149" s="0" t="n">
        <v>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353</v>
      </c>
    </row>
    <row r="2" customFormat="false" ht="15" hidden="false" customHeight="false" outlineLevel="0" collapsed="false">
      <c r="A2" s="2" t="s">
        <v>354</v>
      </c>
    </row>
    <row r="4" customFormat="false" ht="15" hidden="false" customHeight="false" outlineLevel="0" collapsed="false">
      <c r="A4" s="4" t="s">
        <v>355</v>
      </c>
      <c r="B4" s="4" t="s">
        <v>356</v>
      </c>
      <c r="C4" s="4" t="s">
        <v>357</v>
      </c>
      <c r="D4" s="4" t="s">
        <v>358</v>
      </c>
      <c r="E4" s="4" t="s">
        <v>359</v>
      </c>
    </row>
    <row r="5" customFormat="false" ht="15" hidden="false" customHeight="false" outlineLevel="0" collapsed="false">
      <c r="A5" s="0" t="s">
        <v>360</v>
      </c>
      <c r="B5" s="0" t="s">
        <v>86</v>
      </c>
      <c r="C5" s="5" t="n">
        <v>250</v>
      </c>
      <c r="D5" s="6" t="n">
        <f aca="false">Bridge!B5</f>
        <v>250</v>
      </c>
      <c r="E5" s="12" t="b">
        <f aca="false">ROUND(D5,2)=ROUND(C5,2)</f>
        <v>1</v>
      </c>
    </row>
    <row r="6" customFormat="false" ht="15" hidden="false" customHeight="false" outlineLevel="0" collapsed="false">
      <c r="A6" s="0" t="s">
        <v>360</v>
      </c>
      <c r="B6" s="0" t="s">
        <v>327</v>
      </c>
      <c r="C6" s="5" t="n">
        <v>25</v>
      </c>
      <c r="D6" s="6" t="n">
        <f aca="false">Bridge!B6</f>
        <v>25</v>
      </c>
      <c r="E6" s="12" t="b">
        <f aca="false">ROUND(D6,2)=ROUND(C6,2)</f>
        <v>1</v>
      </c>
    </row>
    <row r="7" customFormat="false" ht="15" hidden="false" customHeight="false" outlineLevel="0" collapsed="false">
      <c r="A7" s="0" t="s">
        <v>360</v>
      </c>
      <c r="B7" s="0" t="s">
        <v>328</v>
      </c>
      <c r="C7" s="5" t="n">
        <v>0</v>
      </c>
      <c r="D7" s="6" t="n">
        <f aca="false">Bridge!B7</f>
        <v>0</v>
      </c>
      <c r="E7" s="12" t="b">
        <f aca="false">ROUND(D7,2)=ROUND(C7,2)</f>
        <v>1</v>
      </c>
    </row>
    <row r="8" customFormat="false" ht="15" hidden="false" customHeight="false" outlineLevel="0" collapsed="false">
      <c r="A8" s="0" t="s">
        <v>360</v>
      </c>
      <c r="B8" s="0" t="s">
        <v>329</v>
      </c>
      <c r="C8" s="5" t="n">
        <v>225</v>
      </c>
      <c r="D8" s="6" t="n">
        <f aca="false">Bridge!B8</f>
        <v>225</v>
      </c>
      <c r="E8" s="12" t="b">
        <f aca="false">ROUND(D8,2)=ROUND(C8,2)</f>
        <v>1</v>
      </c>
    </row>
    <row r="9" customFormat="false" ht="15" hidden="false" customHeight="false" outlineLevel="0" collapsed="false">
      <c r="A9" s="0" t="s">
        <v>360</v>
      </c>
      <c r="B9" s="0" t="s">
        <v>191</v>
      </c>
      <c r="C9" s="5" t="n">
        <v>140</v>
      </c>
      <c r="D9" s="6" t="n">
        <f aca="false">Bridge!B11</f>
        <v>140</v>
      </c>
      <c r="E9" s="12" t="b">
        <f aca="false">ROUND(D9,2)=ROUND(C9,2)</f>
        <v>1</v>
      </c>
    </row>
    <row r="10" customFormat="false" ht="15" hidden="false" customHeight="false" outlineLevel="0" collapsed="false">
      <c r="A10" s="0" t="s">
        <v>360</v>
      </c>
      <c r="B10" s="0" t="s">
        <v>192</v>
      </c>
      <c r="C10" s="5" t="n">
        <v>85</v>
      </c>
      <c r="D10" s="6" t="n">
        <f aca="false">Bridge!B12</f>
        <v>85</v>
      </c>
      <c r="E10" s="12" t="b">
        <f aca="false">ROUND(D10,2)=ROUND(C10,2)</f>
        <v>1</v>
      </c>
    </row>
    <row r="11" customFormat="false" ht="15" hidden="false" customHeight="false" outlineLevel="0" collapsed="false">
      <c r="A11" s="0" t="s">
        <v>360</v>
      </c>
      <c r="B11" s="0" t="s">
        <v>54</v>
      </c>
      <c r="C11" s="5" t="n">
        <v>15</v>
      </c>
      <c r="D11" s="6" t="n">
        <f aca="false">Bridge!B14</f>
        <v>15</v>
      </c>
      <c r="E11" s="12" t="b">
        <f aca="false">ROUND(D11,2)=ROUND(C11,2)</f>
        <v>1</v>
      </c>
    </row>
    <row r="12" customFormat="false" ht="15" hidden="false" customHeight="false" outlineLevel="0" collapsed="false">
      <c r="A12" s="0" t="s">
        <v>360</v>
      </c>
      <c r="B12" s="0" t="s">
        <v>330</v>
      </c>
      <c r="C12" s="5" t="n">
        <v>70</v>
      </c>
      <c r="D12" s="6" t="n">
        <f aca="false">Bridge!B16</f>
        <v>70</v>
      </c>
      <c r="E12" s="12" t="b">
        <f aca="false">ROUND(D12,2)=ROUND(C12,2)</f>
        <v>1</v>
      </c>
    </row>
    <row r="13" customFormat="false" ht="15" hidden="false" customHeight="false" outlineLevel="0" collapsed="false">
      <c r="A13" s="0" t="s">
        <v>360</v>
      </c>
      <c r="B13" s="0" t="s">
        <v>341</v>
      </c>
      <c r="C13" s="5" t="n">
        <v>0</v>
      </c>
      <c r="D13" s="6" t="n">
        <f aca="false">Bridge!B17</f>
        <v>0</v>
      </c>
      <c r="E13" s="12" t="b">
        <f aca="false">ROUND(D13,2)=ROUND(C13,2)</f>
        <v>1</v>
      </c>
    </row>
    <row r="14" customFormat="false" ht="15" hidden="false" customHeight="false" outlineLevel="0" collapsed="false">
      <c r="A14" s="0" t="s">
        <v>360</v>
      </c>
      <c r="B14" s="0" t="s">
        <v>338</v>
      </c>
      <c r="C14" s="5" t="n">
        <v>0.311111</v>
      </c>
      <c r="D14" s="9" t="n">
        <f aca="false">Bridge!B19</f>
        <v>0.311111111111111</v>
      </c>
      <c r="E14" s="12" t="b">
        <f aca="false">ROUND(D14,6)=ROUND(C14,6)</f>
        <v>1</v>
      </c>
    </row>
    <row r="15" customFormat="false" ht="15" hidden="false" customHeight="false" outlineLevel="0" collapsed="false">
      <c r="A15" s="0" t="s">
        <v>360</v>
      </c>
      <c r="B15" s="0" t="s">
        <v>339</v>
      </c>
      <c r="C15" s="5" t="n">
        <v>0.1</v>
      </c>
      <c r="D15" s="9" t="n">
        <f aca="false">Bridge!B20</f>
        <v>0.1</v>
      </c>
      <c r="E15" s="12" t="b">
        <f aca="false">ROUND(D15,6)=ROUND(C15,6)</f>
        <v>1</v>
      </c>
    </row>
    <row r="16" customFormat="false" ht="15" hidden="false" customHeight="false" outlineLevel="0" collapsed="false">
      <c r="A16" s="0" t="s">
        <v>360</v>
      </c>
      <c r="B16" s="0" t="s">
        <v>251</v>
      </c>
      <c r="C16" s="5" t="n">
        <v>0</v>
      </c>
      <c r="D16" s="9" t="n">
        <f aca="false">Bridge!B21</f>
        <v>0</v>
      </c>
      <c r="E16" s="12" t="b">
        <f aca="false">ROUND(D16,6)=ROUND(C16,6)</f>
        <v>1</v>
      </c>
    </row>
    <row r="17" customFormat="false" ht="15" hidden="false" customHeight="false" outlineLevel="0" collapsed="false">
      <c r="A17" s="0" t="s">
        <v>361</v>
      </c>
      <c r="B17" s="0" t="s">
        <v>86</v>
      </c>
      <c r="C17" s="5" t="n">
        <v>250</v>
      </c>
      <c r="D17" s="6" t="n">
        <f aca="false">Bridge!C5</f>
        <v>250</v>
      </c>
      <c r="E17" s="12" t="b">
        <f aca="false">ROUND(D17,2)=ROUND(C17,2)</f>
        <v>1</v>
      </c>
    </row>
    <row r="18" customFormat="false" ht="15" hidden="false" customHeight="false" outlineLevel="0" collapsed="false">
      <c r="A18" s="0" t="s">
        <v>361</v>
      </c>
      <c r="B18" s="0" t="s">
        <v>327</v>
      </c>
      <c r="C18" s="5" t="n">
        <v>25</v>
      </c>
      <c r="D18" s="6" t="n">
        <f aca="false">Bridge!C6</f>
        <v>25</v>
      </c>
      <c r="E18" s="12" t="b">
        <f aca="false">ROUND(D18,2)=ROUND(C18,2)</f>
        <v>1</v>
      </c>
    </row>
    <row r="19" customFormat="false" ht="15" hidden="false" customHeight="false" outlineLevel="0" collapsed="false">
      <c r="A19" s="0" t="s">
        <v>361</v>
      </c>
      <c r="B19" s="0" t="s">
        <v>328</v>
      </c>
      <c r="C19" s="5" t="n">
        <v>90</v>
      </c>
      <c r="D19" s="6" t="n">
        <f aca="false">Bridge!C7</f>
        <v>90</v>
      </c>
      <c r="E19" s="12" t="b">
        <f aca="false">ROUND(D19,2)=ROUND(C19,2)</f>
        <v>1</v>
      </c>
    </row>
    <row r="20" customFormat="false" ht="15" hidden="false" customHeight="false" outlineLevel="0" collapsed="false">
      <c r="A20" s="0" t="s">
        <v>361</v>
      </c>
      <c r="B20" s="0" t="s">
        <v>329</v>
      </c>
      <c r="C20" s="5" t="n">
        <v>135</v>
      </c>
      <c r="D20" s="6" t="n">
        <f aca="false">Bridge!C8</f>
        <v>135</v>
      </c>
      <c r="E20" s="12" t="b">
        <f aca="false">ROUND(D20,2)=ROUND(C20,2)</f>
        <v>1</v>
      </c>
    </row>
    <row r="21" customFormat="false" ht="15" hidden="false" customHeight="false" outlineLevel="0" collapsed="false">
      <c r="A21" s="0" t="s">
        <v>361</v>
      </c>
      <c r="B21" s="0" t="s">
        <v>191</v>
      </c>
      <c r="C21" s="5" t="n">
        <v>80</v>
      </c>
      <c r="D21" s="6" t="n">
        <f aca="false">Bridge!C11</f>
        <v>80</v>
      </c>
      <c r="E21" s="12" t="b">
        <f aca="false">ROUND(D21,2)=ROUND(C21,2)</f>
        <v>1</v>
      </c>
    </row>
    <row r="22" customFormat="false" ht="15" hidden="false" customHeight="false" outlineLevel="0" collapsed="false">
      <c r="A22" s="0" t="s">
        <v>361</v>
      </c>
      <c r="B22" s="0" t="s">
        <v>192</v>
      </c>
      <c r="C22" s="5" t="n">
        <v>55</v>
      </c>
      <c r="D22" s="6" t="n">
        <f aca="false">Bridge!C12</f>
        <v>55</v>
      </c>
      <c r="E22" s="12" t="b">
        <f aca="false">ROUND(D22,2)=ROUND(C22,2)</f>
        <v>1</v>
      </c>
    </row>
    <row r="23" customFormat="false" ht="15" hidden="false" customHeight="false" outlineLevel="0" collapsed="false">
      <c r="A23" s="0" t="s">
        <v>361</v>
      </c>
      <c r="B23" s="0" t="s">
        <v>54</v>
      </c>
      <c r="C23" s="5" t="n">
        <v>15</v>
      </c>
      <c r="D23" s="6" t="n">
        <f aca="false">Bridge!C14</f>
        <v>15</v>
      </c>
      <c r="E23" s="12" t="b">
        <f aca="false">ROUND(D23,2)=ROUND(C23,2)</f>
        <v>1</v>
      </c>
    </row>
    <row r="24" customFormat="false" ht="15" hidden="false" customHeight="false" outlineLevel="0" collapsed="false">
      <c r="A24" s="0" t="s">
        <v>361</v>
      </c>
      <c r="B24" s="0" t="s">
        <v>330</v>
      </c>
      <c r="C24" s="5" t="n">
        <v>40</v>
      </c>
      <c r="D24" s="6" t="n">
        <f aca="false">Bridge!C16</f>
        <v>40</v>
      </c>
      <c r="E24" s="12" t="b">
        <f aca="false">ROUND(D24,2)=ROUND(C24,2)</f>
        <v>1</v>
      </c>
    </row>
    <row r="25" customFormat="false" ht="15" hidden="false" customHeight="false" outlineLevel="0" collapsed="false">
      <c r="A25" s="0" t="s">
        <v>361</v>
      </c>
      <c r="B25" s="0" t="s">
        <v>341</v>
      </c>
      <c r="C25" s="5" t="n">
        <v>0</v>
      </c>
      <c r="D25" s="6" t="n">
        <f aca="false">Bridge!C17</f>
        <v>0</v>
      </c>
      <c r="E25" s="12" t="b">
        <f aca="false">ROUND(D25,2)=ROUND(C25,2)</f>
        <v>1</v>
      </c>
    </row>
    <row r="26" customFormat="false" ht="15" hidden="false" customHeight="false" outlineLevel="0" collapsed="false">
      <c r="A26" s="0" t="s">
        <v>361</v>
      </c>
      <c r="B26" s="0" t="s">
        <v>338</v>
      </c>
      <c r="C26" s="5" t="n">
        <v>0.296296</v>
      </c>
      <c r="D26" s="9" t="n">
        <f aca="false">Bridge!C19</f>
        <v>0.296296296296296</v>
      </c>
      <c r="E26" s="12" t="b">
        <f aca="false">ROUND(D26,6)=ROUND(C26,6)</f>
        <v>1</v>
      </c>
    </row>
    <row r="27" customFormat="false" ht="15" hidden="false" customHeight="false" outlineLevel="0" collapsed="false">
      <c r="A27" s="0" t="s">
        <v>361</v>
      </c>
      <c r="B27" s="0" t="s">
        <v>339</v>
      </c>
      <c r="C27" s="5" t="n">
        <v>0.1</v>
      </c>
      <c r="D27" s="9" t="n">
        <f aca="false">Bridge!C20</f>
        <v>0.1</v>
      </c>
      <c r="E27" s="12" t="b">
        <f aca="false">ROUND(D27,6)=ROUND(C27,6)</f>
        <v>1</v>
      </c>
    </row>
    <row r="28" customFormat="false" ht="15" hidden="false" customHeight="false" outlineLevel="0" collapsed="false">
      <c r="A28" s="0" t="s">
        <v>361</v>
      </c>
      <c r="B28" s="0" t="s">
        <v>251</v>
      </c>
      <c r="C28" s="5" t="n">
        <v>0.333333</v>
      </c>
      <c r="D28" s="9" t="n">
        <f aca="false">Bridge!C21</f>
        <v>0.333333333333333</v>
      </c>
      <c r="E28" s="12" t="b">
        <f aca="false">ROUND(D28,6)=ROUND(C28,6)</f>
        <v>1</v>
      </c>
    </row>
    <row r="30" customFormat="false" ht="15" hidden="false" customHeight="false" outlineLevel="0" collapsed="false">
      <c r="A30" s="0" t="s">
        <v>362</v>
      </c>
      <c r="E30" s="12" t="b">
        <f aca="false">AND(E5:E28)</f>
        <v>1</v>
      </c>
    </row>
    <row r="32" customFormat="false" ht="15" hidden="false" customHeight="false" outlineLevel="0" collapsed="false">
      <c r="A32" s="0" t="s">
        <v>363</v>
      </c>
      <c r="E32" s="12" t="b">
        <f aca="false">AND(ROUND(Allocation!O18,2)=3.34,ROUND(Allocation!O19,2)=3.33,ROUND(Allocation!O20,2)=3.33,ROUND(SUM(Allocation!O18:O20),2)=10)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2026-10-26T11:34:53Z</dcterms:created>
  <dc:creator>openpyxl</dc:creator>
  <dc:description/>
  <dc:language>en-US</dc:language>
  <cp:lastModifiedBy/>
  <dcterms:modified xsi:type="dcterms:W3CDTF">2026-10-26T11:34:53Z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