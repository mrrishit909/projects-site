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Ledger" sheetId="2" state="visible" r:id="rId4"/>
    <sheet name="Position" sheetId="3" state="visible" r:id="rId5"/>
    <sheet name="Replenishment" sheetId="4" state="visible" r:id="rId6"/>
    <sheet name="Figures" sheetId="5" state="visible" r:id="rId7"/>
    <sheet name="Assumptions" sheetId="6" state="visible" r:id="rId8"/>
    <sheet name="Snapshot summary" sheetId="7" state="visible" r:id="rId9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<sst xmlns="http://schemas.openxmlformats.org/spreadsheetml/2006/main" count="955" uniqueCount="393">
  <si>
    <t xml:space="preserve">Inputs: the golden fixture (tests/fixtures/golden/inputs.json, fixture supplyscope-golden-v1)</t>
  </si>
  <si>
    <t xml:space="preserve">SYNTHETIC. Every cell below is a typed input copied from the fixture (blue). Instants are UTC (yyyy-mm-dd hh:mm:ss). Contract v1, docs/contracts.md.</t>
  </si>
  <si>
    <t xml:space="preserve">parameters</t>
  </si>
  <si>
    <t xml:space="preserve">name</t>
  </si>
  <si>
    <t xml:space="preserve">value</t>
  </si>
  <si>
    <t xml:space="preserve">source</t>
  </si>
  <si>
    <t xml:space="preserve">as_of</t>
  </si>
  <si>
    <t xml:space="preserve">inputs.json as_of (editable: the as-of filter of the Ledger follows it)</t>
  </si>
  <si>
    <t xml:space="preserve">window_start</t>
  </si>
  <si>
    <t xml:space="preserve">inputs.json window_start</t>
  </si>
  <si>
    <t xml:space="preserve">reorder_point</t>
  </si>
  <si>
    <t xml:space="preserve">replenishment_params.reorder_point</t>
  </si>
  <si>
    <t xml:space="preserve">target_position</t>
  </si>
  <si>
    <t xml:space="preserve">replenishment_params.target_position</t>
  </si>
  <si>
    <t xml:space="preserve">minimum_order_quantity</t>
  </si>
  <si>
    <t xml:space="preserve">products.minimum_order_quantity</t>
  </si>
  <si>
    <t xml:space="preserve">pack_size</t>
  </si>
  <si>
    <t xml:space="preserve">products.pack_size</t>
  </si>
  <si>
    <t xml:space="preserve">unit_cost</t>
  </si>
  <si>
    <t xml:space="preserve">products.unit_cost (no cost_versions in the fixture)</t>
  </si>
  <si>
    <t xml:space="preserve">reserved</t>
  </si>
  <si>
    <t xml:space="preserve">fixture_declaration: no-reservation fixture, reservations is empty</t>
  </si>
  <si>
    <t xml:space="preserve">inventory_movements</t>
  </si>
  <si>
    <t xml:space="preserve">movement_id</t>
  </si>
  <si>
    <t xml:space="preserve">product_id</t>
  </si>
  <si>
    <t xml:space="preserve">location_id</t>
  </si>
  <si>
    <t xml:space="preserve">quantity_delta</t>
  </si>
  <si>
    <t xml:space="preserve">event_at</t>
  </si>
  <si>
    <t xml:space="preserve">movement_type</t>
  </si>
  <si>
    <t xml:space="preserve">mv-001</t>
  </si>
  <si>
    <t xml:space="preserve">prod-001</t>
  </si>
  <si>
    <t xml:space="preserve">loc-001</t>
  </si>
  <si>
    <t xml:space="preserve">receipt</t>
  </si>
  <si>
    <t xml:space="preserve">mv-002</t>
  </si>
  <si>
    <t xml:space="preserve">sale</t>
  </si>
  <si>
    <t xml:space="preserve">mv-003</t>
  </si>
  <si>
    <t xml:space="preserve">mv-004</t>
  </si>
  <si>
    <t xml:space="preserve">mv-005</t>
  </si>
  <si>
    <t xml:space="preserve">mv-006</t>
  </si>
  <si>
    <t xml:space="preserve">mv-007</t>
  </si>
  <si>
    <t xml:space="preserve">purchase_orders</t>
  </si>
  <si>
    <t xml:space="preserve">purchase_order_id</t>
  </si>
  <si>
    <t xml:space="preserve">supplier_id</t>
  </si>
  <si>
    <t xml:space="preserve">ordered_at</t>
  </si>
  <si>
    <t xml:space="preserve">status</t>
  </si>
  <si>
    <t xml:space="preserve">currency</t>
  </si>
  <si>
    <t xml:space="preserve">po-001</t>
  </si>
  <si>
    <t xml:space="preserve">sup-001</t>
  </si>
  <si>
    <t xml:space="preserve">confirmed</t>
  </si>
  <si>
    <t xml:space="preserve">USD</t>
  </si>
  <si>
    <t xml:space="preserve">purchase_order_lines</t>
  </si>
  <si>
    <t xml:space="preserve">state_added is not a fixture field: it names the fixture state (inputs.json states) that adds the line; blank = in every state</t>
  </si>
  <si>
    <t xml:space="preserve">po_line_id</t>
  </si>
  <si>
    <t xml:space="preserve">ordered_quantity</t>
  </si>
  <si>
    <t xml:space="preserve">state_added</t>
  </si>
  <si>
    <t xml:space="preserve">pol-001</t>
  </si>
  <si>
    <t xml:space="preserve">pol-002</t>
  </si>
  <si>
    <t xml:space="preserve">position_80</t>
  </si>
  <si>
    <t xml:space="preserve">receipts</t>
  </si>
  <si>
    <t xml:space="preserve">the fixture has no receipt rows: on order is ordered - 0</t>
  </si>
  <si>
    <t xml:space="preserve">receipt_id</t>
  </si>
  <si>
    <t xml:space="preserve">received_quantity</t>
  </si>
  <si>
    <t xml:space="preserve">received_at</t>
  </si>
  <si>
    <t xml:space="preserve">(none in the golden fixture)</t>
  </si>
  <si>
    <t xml:space="preserve">backorders</t>
  </si>
  <si>
    <t xml:space="preserve">closed_at blank = still open</t>
  </si>
  <si>
    <t xml:space="preserve">backorder_id</t>
  </si>
  <si>
    <t xml:space="preserve">quantity</t>
  </si>
  <si>
    <t xml:space="preserve">opened_at</t>
  </si>
  <si>
    <t xml:space="preserve">closed_at</t>
  </si>
  <si>
    <t xml:space="preserve">bo-001</t>
  </si>
  <si>
    <t xml:space="preserve">bo-002</t>
  </si>
  <si>
    <t xml:space="preserve">Ledger: running stock with the day order and the as-of filter (contract D-01)</t>
  </si>
  <si>
    <t xml:space="preserve">Live formulas over Inputs. Sort key = date x 10 + type rank (receipt 0, sale 1, other 2) + time-of-day / 10, so inside a date receipts come first, then sales, then the rest. A movement counts only when event_at &lt;= as_of (Inputs).</t>
  </si>
  <si>
    <t xml:space="preserve">date</t>
  </si>
  <si>
    <t xml:space="preserve">type_rank</t>
  </si>
  <si>
    <t xml:space="preserve">sort_key</t>
  </si>
  <si>
    <t xml:space="preserve">in_scope (&lt;= as_of)</t>
  </si>
  <si>
    <t xml:space="preserve">day_order_rank</t>
  </si>
  <si>
    <t xml:space="preserve">running stock, day order</t>
  </si>
  <si>
    <t xml:space="preserve">running stock, timestamp order</t>
  </si>
  <si>
    <t xml:space="preserve">on hand, raw (sum of in-scope deltas)</t>
  </si>
  <si>
    <t xml:space="preserve">on hand (a negative reconstruction counts as 0)</t>
  </si>
  <si>
    <t xml:space="preserve">lowest running stock, day order (incl. the opening 0)</t>
  </si>
  <si>
    <t xml:space="preserve">lowest running stock, timestamp order</t>
  </si>
  <si>
    <t xml:space="preserve">flag</t>
  </si>
  <si>
    <t xml:space="preserve">movements counted / excluded by the as-of filter</t>
  </si>
  <si>
    <t xml:space="preserve">Position: on hand + on order - backorders (contract D-01, P03-TEST-10)</t>
  </si>
  <si>
    <t xml:space="preserve">Live formulas. Reserved is NOT subtracted from the position (declared no-reservation fixture: reserved = 0). Column C is the golden state, column D the position_80 state (adds the fixture's second line); column B follows the switch Figures!B3.</t>
  </si>
  <si>
    <t xml:space="preserve">purchase order lines (open quantity = ordered - received by as_of, confirmed orders placed by as_of)</t>
  </si>
  <si>
    <t xml:space="preserve">received by as_of</t>
  </si>
  <si>
    <t xml:space="preserve">open quantity</t>
  </si>
  <si>
    <t xml:space="preserve">order confirmed and placed (1/0)</t>
  </si>
  <si>
    <t xml:space="preserve">in state golden (1/0)</t>
  </si>
  <si>
    <t xml:space="preserve">in state position_80 (1/0)</t>
  </si>
  <si>
    <t xml:space="preserve">selected (Figures!B3)</t>
  </si>
  <si>
    <t xml:space="preserve">state golden</t>
  </si>
  <si>
    <t xml:space="preserve">state position_80</t>
  </si>
  <si>
    <t xml:space="preserve">rule</t>
  </si>
  <si>
    <t xml:space="preserve">on hand</t>
  </si>
  <si>
    <t xml:space="preserve">Ledger: sum of in-scope posted deltas, floored at 0 (D-01)</t>
  </si>
  <si>
    <t xml:space="preserve">on order</t>
  </si>
  <si>
    <t xml:space="preserve">open quantity of confirmed lines (D-01, D-04)</t>
  </si>
  <si>
    <t xml:space="preserve">backorders open at as_of</t>
  </si>
  <si>
    <t xml:space="preserve">opened by as_of and not closed by as_of</t>
  </si>
  <si>
    <t xml:space="preserve">declared 0 for the golden fixture</t>
  </si>
  <si>
    <t xml:space="preserve">available = on hand - reserved</t>
  </si>
  <si>
    <t xml:space="preserve">not the position</t>
  </si>
  <si>
    <t xml:space="preserve">inventory position</t>
  </si>
  <si>
    <t xml:space="preserve">on hand + on order - backorders; reserved not subtracted</t>
  </si>
  <si>
    <t xml:space="preserve">Replenishment: ROP, target, MOQ and pack rounding (contract D-02, D-06)</t>
  </si>
  <si>
    <t xml:space="preserve">Live formulas. raw = target - position; after MOQ = MAX(raw, MOQ); order = CEILING(after MOQ to the pack size); all three are 0 when the reorder is not triggered (position &gt;= ROP).</t>
  </si>
  <si>
    <t xml:space="preserve">from Position</t>
  </si>
  <si>
    <t xml:space="preserve">reorder point</t>
  </si>
  <si>
    <t xml:space="preserve">Inputs replenishment_params</t>
  </si>
  <si>
    <t xml:space="preserve">target position</t>
  </si>
  <si>
    <t xml:space="preserve">triggered (1 = position &lt; reorder point)</t>
  </si>
  <si>
    <t xml:space="preserve">D-02, D-06</t>
  </si>
  <si>
    <t xml:space="preserve">raw order = target - position</t>
  </si>
  <si>
    <t xml:space="preserve">0 when not triggered</t>
  </si>
  <si>
    <t xml:space="preserve">minimum order quantity (MOQ)</t>
  </si>
  <si>
    <t xml:space="preserve">Inputs products</t>
  </si>
  <si>
    <t xml:space="preserve">after MOQ = MAX(raw, MOQ)</t>
  </si>
  <si>
    <t xml:space="preserve">MOQ is applied before pack rounding</t>
  </si>
  <si>
    <t xml:space="preserve">pack size</t>
  </si>
  <si>
    <t xml:space="preserve">order quantity = CEILING(after MOQ, pack size)</t>
  </si>
  <si>
    <t xml:space="preserve">whole packs</t>
  </si>
  <si>
    <t xml:space="preserve">order quantity as packs</t>
  </si>
  <si>
    <t xml:space="preserve">check: a whole number</t>
  </si>
  <si>
    <t xml:space="preserve">Figures: the golden position and order (P03-GOLD-01) and the position-80 switch</t>
  </si>
  <si>
    <t xml:space="preserve">SYNTHETIC. B3 is the state switch: 0 = golden (on order 30, position 60 -&gt; order 72), 1 = position_80 (on order 50, position 80 -&gt; no order). Column B follows the switch, C is always golden, D always position_80. E and F are the hand-derived expectations typed from expected.json; G and H compare.</t>
  </si>
  <si>
    <t xml:space="preserve">state switch (0 = golden, 1 = position_80)</t>
  </si>
  <si>
    <t xml:space="preserve">inputs read</t>
  </si>
  <si>
    <t xml:space="preserve">figure</t>
  </si>
  <si>
    <t xml:space="preserve">selected</t>
  </si>
  <si>
    <t xml:space="preserve">golden</t>
  </si>
  <si>
    <t xml:space="preserve">expected golden (expected.json)</t>
  </si>
  <si>
    <t xml:space="preserve">expected position_80 (expected.json)</t>
  </si>
  <si>
    <t xml:space="preserve">golden matches</t>
  </si>
  <si>
    <t xml:space="preserve">position_80 matches</t>
  </si>
  <si>
    <t xml:space="preserve">On hand</t>
  </si>
  <si>
    <t xml:space="preserve">On order</t>
  </si>
  <si>
    <t xml:space="preserve">Backorders open</t>
  </si>
  <si>
    <t xml:space="preserve">Inventory position</t>
  </si>
  <si>
    <t xml:space="preserve">Reorder point</t>
  </si>
  <si>
    <t xml:space="preserve">Target position</t>
  </si>
  <si>
    <t xml:space="preserve">Raw order (target - position)</t>
  </si>
  <si>
    <t xml:space="preserve">Order after MOQ</t>
  </si>
  <si>
    <t xml:space="preserve">Order quantity (pack rounded)</t>
  </si>
  <si>
    <t xml:space="preserve">Working capital (on hand x unit cost)</t>
  </si>
  <si>
    <t xml:space="preserve">Reorder triggered (1/0)</t>
  </si>
  <si>
    <t xml:space="preserve">every golden and position_80 figure matches</t>
  </si>
  <si>
    <t xml:space="preserve">chain 40 / 30 / 10 / 60 / 60 / 60 / 72 (golden) read off column C</t>
  </si>
  <si>
    <t xml:space="preserve">Assumptions: contract decisions D-01..D-06 and the workbook's own limits</t>
  </si>
  <si>
    <t xml:space="preserve">ID</t>
  </si>
  <si>
    <t xml:space="preserve">Statement</t>
  </si>
  <si>
    <t xml:space="preserve">D-01</t>
  </si>
  <si>
    <t xml:space="preserve">Ledger, day order and as-of stock: stock = sum of posted deltas up to the cutoff; inside a date receipts, then demand, then review; negative reconstruction flagged NEGATIVE_STOCK and valued at 0; position = on hand + confirmed on order - backorders, reserved not subtracted (docs/contracts.md).</t>
  </si>
  <si>
    <t xml:space="preserve">D-02</t>
  </si>
  <si>
    <t xml:space="preserve">Replenishment: order = pack_round_up(max(target - position, MOQ)) when position &lt; reorder point, else 0. Golden: 40 / 30 / 10 -&gt; 60; ROP 70, target 120 -&gt; raw 60; MOQ 50, pack 24 -&gt; 72; position 80 -&gt; 0.</t>
  </si>
  <si>
    <t xml:space="preserve">D-03</t>
  </si>
  <si>
    <t xml:space="preserve">Demand and forecasts: observed sales are censored during stockouts, latent demand is published separately; baselines first; a forecast may use only information known at its cutoff. Not computed in this workbook (queries 05 and 07).</t>
  </si>
  <si>
    <t xml:space="preserve">D-04</t>
  </si>
  <si>
    <t xml:space="preserve">Receipts, suppliers, unmet demand: a receipt before its order is rejected; a partial receipt leaves the line open; on-time rate uses receipts dated up to the cutoff; a backorder or a lost sale, never both.</t>
  </si>
  <si>
    <t xml:space="preserve">D-05</t>
  </si>
  <si>
    <t xml:space="preserve">Simulation and valuation: working capital = sum on hand x unit cost at the cost in force. The golden fixture has one cost and no cost_versions, so on hand x 12.50 = 500.00.</t>
  </si>
  <si>
    <t xml:space="preserve">D-06</t>
  </si>
  <si>
    <t xml:space="preserve">Fixture-driven clarifications: requested = fulfilled + backorders opened in the window; a stockout day is a date on which a backorder opened; raw, MOQ and pack quantities are 0 when not triggered.</t>
  </si>
  <si>
    <t xml:space="preserve">W-01</t>
  </si>
  <si>
    <t xml:space="preserve">Scope: one SKU, one location, one supplier, the golden fixture. Fill rate, stockout days, supplier reliability and forecast accuracy are done by the SQL and Python implementations (docs/sql-analysis.md), not by these formulas.</t>
  </si>
  <si>
    <t xml:space="preserve">W-02</t>
  </si>
  <si>
    <t xml:space="preserve">Instants are Excel date serials (UTC, no zone). Sort keys use SUMPRODUCT over serials, not string-built criteria, so a time such as 08:00 compares exactly.</t>
  </si>
  <si>
    <t xml:space="preserve">W-03</t>
  </si>
  <si>
    <t xml:space="preserve">State switch: Figures!B3 = 1 selects the position_80 state (adds the fixture's second line pol-002, 20 units). The column 'state_added' on Inputs is not a fixture field, it records which state adds the line.</t>
  </si>
  <si>
    <t xml:space="preserve">W-04</t>
  </si>
  <si>
    <t xml:space="preserve">Recalculation: openpyxl writes formulas only. The delivered file was recalculated by LibreOffice headless and carries its cached values; Excel was NOT run (docs/workbook.md). fullCalcOnLoad is set so Excel recalculates on open.</t>
  </si>
  <si>
    <t xml:space="preserve">W-05</t>
  </si>
  <si>
    <t xml:space="preserve">Snapshot summary is a paste of the stored results of data/sql/analysis/run_all.py and goes stale if the data or the queries change; its dataset hash is in the header. The synthetic snapshot is not evidence about a real business.</t>
  </si>
  <si>
    <t xml:space="preserve">PASTED VALUES (not formulas) from data/sql/analysis/run_all.py; each section is titled with its query file</t>
  </si>
  <si>
    <t xml:space="preserve">SYNTHETIC. Dataset ss-20261026-20261026, generator dataset_hash 5bdabb50eea4b192e3b17e1e5b1a79dc6b26feb4a2b8b78ad094acde9f8bcc8c, contract v1; database seeded through the domain's validate_batch (4 rows rejected and kept in rejected_records).</t>
  </si>
  <si>
    <t xml:space="preserve">01_stock_position_month_end_by_location.sql</t>
  </si>
  <si>
    <t xml:space="preserve">month</t>
  </si>
  <si>
    <t xml:space="preserve">on_hand</t>
  </si>
  <si>
    <t xml:space="preserve">on_order</t>
  </si>
  <si>
    <t xml:space="preserve">position</t>
  </si>
  <si>
    <t xml:space="preserve">on_order_confirmed_only</t>
  </si>
  <si>
    <t xml:space="preserve">pct_of_capacity</t>
  </si>
  <si>
    <t xml:space="preserve">negative_pairs</t>
  </si>
  <si>
    <t xml:space="preserve">2025-04</t>
  </si>
  <si>
    <t xml:space="preserve">loc-01</t>
  </si>
  <si>
    <t xml:space="preserve">loc-02</t>
  </si>
  <si>
    <t xml:space="preserve">loc-03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</si>
  <si>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</si>
  <si>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</si>
  <si>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</si>
  <si>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</si>
  <si>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</si>
  <si>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</si>
  <si>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</si>
  <si>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</si>
  <si>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</si>
  <si>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</si>
  <si>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</si>
  <si>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</si>
  <si>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</si>
  <si>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</si>
  <si>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</si>
  <si>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</si>
  <si>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</si>
  <si>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02_draft_orders_arithmetic.sql</t>
  </si>
  <si>
    <t xml:space="preserve">abc_class</t>
  </si>
  <si>
    <t xml:space="preserve">raw_order</t>
  </si>
  <si>
    <t xml:space="preserve">moq</t>
  </si>
  <si>
    <t xml:space="preserve">after_moq</t>
  </si>
  <si>
    <t xml:space="preserve">order_qty</t>
  </si>
  <si>
    <t xml:space="preserve">order_value</t>
  </si>
  <si>
    <t xml:space="preserve">prod-002</t>
  </si>
  <si>
    <t xml:space="preserve">A</t>
  </si>
  <si>
    <t xml:space="preserve">sup-02</t>
  </si>
  <si>
    <t xml:space="preserve">prod-005</t>
  </si>
  <si>
    <t xml:space="preserve">sup-01</t>
  </si>
  <si>
    <t xml:space="preserve">TOTAL (2 of 60 triggered)</t>
  </si>
  <si>
    <t xml:space="preserve">03_fill_rate_stockout_by_location_abc.sql</t>
  </si>
  <si>
    <t xml:space="preserve">pairs</t>
  </si>
  <si>
    <t xml:space="preserve">fulfilled_units</t>
  </si>
  <si>
    <t xml:space="preserve">unmet_units</t>
  </si>
  <si>
    <t xml:space="preserve">requested_units</t>
  </si>
  <si>
    <t xml:space="preserve">fill_rate</t>
  </si>
  <si>
    <t xml:space="preserve">stockout_pair_days</t>
  </si>
  <si>
    <t xml:space="preserve">stockout_pair_day_share</t>
  </si>
  <si>
    <t xml:space="preserve">B</t>
  </si>
  <si>
    <t xml:space="preserve">C</t>
  </si>
  <si>
    <t xml:space="preserve">ALL</t>
  </si>
  <si>
    <t xml:space="preserve">04_supplier_on_time_by_month.sql</t>
  </si>
  <si>
    <t xml:space="preserve">eligible_receipts</t>
  </si>
  <si>
    <t xml:space="preserve">on_time_receipts</t>
  </si>
  <si>
    <t xml:space="preserve">on_time_rate</t>
  </si>
  <si>
    <t xml:space="preserve">cum_eligible</t>
  </si>
  <si>
    <t xml:space="preserve">cum_on_time_rate</t>
  </si>
  <si>
    <t xml:space="preserve">overdue_open_lines</t>
  </si>
  <si>
    <t xml:space="preserve">sup-03</t>
  </si>
  <si>
    <t xml:space="preserve">sup-04</t>
  </si>
  <si>
    <t xml:space="preserve">05_censored_vs_latent_class_a.sql</t>
  </si>
  <si>
    <t xml:space="preserve">unmet_policy</t>
  </si>
  <si>
    <t xml:space="preserve">stockout_days</t>
  </si>
  <si>
    <t xml:space="preserve">stockout_days_in_promo</t>
  </si>
  <si>
    <t xml:space="preserve">observed_on_stockout_days</t>
  </si>
  <si>
    <t xml:space="preserve">latent_on_stockout_days</t>
  </si>
  <si>
    <t xml:space="preserve">censored_units</t>
  </si>
  <si>
    <t xml:space="preserve">unmet_recorded</t>
  </si>
  <si>
    <t xml:space="preserve">share_of_latent_unseen</t>
  </si>
  <si>
    <t xml:space="preserve">days_observed_ne_latent</t>
  </si>
  <si>
    <t xml:space="preserve">lost_sale</t>
  </si>
  <si>
    <t xml:space="preserve">prod-003</t>
  </si>
  <si>
    <t xml:space="preserve">backlog</t>
  </si>
  <si>
    <t xml:space="preserve">prod-004</t>
  </si>
  <si>
    <t xml:space="preserve">prod-006</t>
  </si>
  <si>
    <t xml:space="preserve">prod-007</t>
  </si>
  <si>
    <t xml:space="preserve">prod-008</t>
  </si>
  <si>
    <t xml:space="preserve">06_working_capital_by_location.sql</t>
  </si>
  <si>
    <t xml:space="preserve">end_loc_01</t>
  </si>
  <si>
    <t xml:space="preserve">end_loc_02</t>
  </si>
  <si>
    <t xml:space="preserve">end_loc_03</t>
  </si>
  <si>
    <t xml:space="preserve">end_total</t>
  </si>
  <si>
    <t xml:space="preserve">avg_daily_total</t>
  </si>
  <si>
    <t xml:space="preserve">avg_daily_at_base_cost</t>
  </si>
  <si>
    <t xml:space="preserve">step_effect</t>
  </si>
  <si>
    <t xml:space="preserve">07_forecast_wape_by_sku.sql</t>
  </si>
  <si>
    <t xml:space="preserve">runs</t>
  </si>
  <si>
    <t xml:space="preserve">points</t>
  </si>
  <si>
    <t xml:space="preserve">total_actual</t>
  </si>
  <si>
    <t xml:space="preserve">zero_demand_runs</t>
  </si>
  <si>
    <t xml:space="preserve">wape_naive</t>
  </si>
  <si>
    <t xml:space="preserve">wape_seasonal_naive</t>
  </si>
  <si>
    <t xml:space="preserve">wape_ewma</t>
  </si>
  <si>
    <t xml:space="preserve">ewma_beats_seasonal_naive</t>
  </si>
  <si>
    <t xml:space="preserve">leaky_points</t>
  </si>
  <si>
    <t xml:space="preserve">selected_models</t>
  </si>
  <si>
    <t xml:space="preserve">yes</t>
  </si>
  <si>
    <t xml:space="preserve">ewma+naive</t>
  </si>
  <si>
    <t xml:space="preserve">ewma</t>
  </si>
  <si>
    <t xml:space="preserve">ewma+seasonal_naive</t>
  </si>
  <si>
    <t xml:space="preserve">ewma+naive+seasonal_naive</t>
  </si>
  <si>
    <t xml:space="preserve">prod-012</t>
  </si>
  <si>
    <t xml:space="preserve">no</t>
  </si>
  <si>
    <t xml:space="preserve">prod-016</t>
  </si>
  <si>
    <t xml:space="preserve">prod-034</t>
  </si>
  <si>
    <t xml:space="preserve">naive</t>
  </si>
  <si>
    <t xml:space="preserve">prod-037</t>
  </si>
  <si>
    <t xml:space="preserve">naive+seasonal_naive</t>
  </si>
  <si>
    <t xml:space="preserve">prod-043</t>
  </si>
  <si>
    <t xml:space="preserve">prod-046</t>
  </si>
  <si>
    <t xml:space="preserve">08_rejections_and_defects_by_reason.sql</t>
  </si>
  <si>
    <t xml:space="preserve">lens</t>
  </si>
  <si>
    <t xml:space="preserve">entity</t>
  </si>
  <si>
    <t xml:space="preserve">reason</t>
  </si>
  <si>
    <t xml:space="preserve">records</t>
  </si>
  <si>
    <t xml:space="preserve">ids</t>
  </si>
  <si>
    <t xml:space="preserve">rejection</t>
  </si>
  <si>
    <t xml:space="preserve">DUPLICATE_MOVEMENT_ID</t>
  </si>
  <si>
    <t xml:space="preserve">mv-002230, mv-005418, mv-006574</t>
  </si>
  <si>
    <t xml:space="preserve">RECEIPT_BEFORE_ORDER</t>
  </si>
  <si>
    <t xml:space="preserve">rcpt-01309</t>
  </si>
  <si>
    <t xml:space="preserve">detected</t>
  </si>
  <si>
    <t xml:space="preserve">CLOSED_ORDER_PARTLY_RECEIVED</t>
  </si>
  <si>
    <t xml:space="preserve">pol-00795, pol-00840</t>
  </si>
  <si>
    <t xml:space="preserve">LEAD_TIME_SPANS_CLOSURE</t>
  </si>
  <si>
    <t xml:space="preserve">rcpt-00690, rcpt-00702, rcpt-00712, rcpt-00713, rcpt-00714, rcpt-00715, rcpt-00716, rcpt-00721</t>
  </si>
  <si>
    <t xml:space="preserve">reservations</t>
  </si>
  <si>
    <t xml:space="preserve">OPEN_RESERVATION_AT_CUTOFF</t>
  </si>
  <si>
    <t xml:space="preserve">res-001, res-002, res-003, res-004, res-005, res-006</t>
  </si>
  <si>
    <t xml:space="preserve">09_golden_position_and_order.sql</t>
  </si>
  <si>
    <t xml:space="preserve">triggered</t>
  </si>
  <si>
    <t xml:space="preserve">order_after_moq</t>
  </si>
  <si>
    <t xml:space="preserve">order_quantity</t>
  </si>
  <si>
    <t xml:space="preserve">running_min_day_order</t>
  </si>
  <si>
    <t xml:space="preserve">running_min_timestamp_order</t>
  </si>
  <si>
    <t xml:space="preserve">working_capital</t>
  </si>
  <si>
    <t xml:space="preserve">stockout_days_count</t>
  </si>
  <si>
    <t xml:space="preserve">true</t>
  </si>
  <si>
    <t xml:space="preserve">false</t>
  </si>
  <si>
    <t xml:space="preserve">golden position and order: analysis SQL 09 vs data/sql/reference_metrics.sql vs Python domain vs expected.json</t>
  </si>
  <si>
    <t xml:space="preserve">state</t>
  </si>
  <si>
    <t xml:space="preserve">analysis_sql_09</t>
  </si>
  <si>
    <t xml:space="preserve">reference_metrics_sql</t>
  </si>
  <si>
    <t xml:space="preserve">python_domain</t>
  </si>
  <si>
    <t xml:space="preserve">expected_json</t>
  </si>
  <si>
    <t xml:space="preserve">inventory_position</t>
  </si>
  <si>
    <t xml:space="preserve">reorder_triggered</t>
  </si>
  <si>
    <t xml:space="preserve">True</t>
  </si>
  <si>
    <t xml:space="preserve">running_stock_min</t>
  </si>
  <si>
    <t xml:space="preserve">timestamp_order_stock_min</t>
  </si>
  <si>
    <t xml:space="preserve">stockout_day_count</t>
  </si>
  <si>
    <t xml:space="preserve">False</t>
  </si>
  <si>
    <t xml:space="preserve">options.py: draft plan under the parameters of record and under forecast-derived parameters at 0.90 and 0.95 (Python domain)</t>
  </si>
  <si>
    <t xml:space="preserve">option</t>
  </si>
  <si>
    <t xml:space="preserve">triggered_pairs</t>
  </si>
  <si>
    <t xml:space="preserve">class_a_triggered</t>
  </si>
  <si>
    <t xml:space="preserve">order_units</t>
  </si>
  <si>
    <t xml:space="preserve">params of record (generator z 1.28, about 0.90)</t>
  </si>
  <si>
    <t xml:space="preserve">derived from the forecast at 0.90</t>
  </si>
  <si>
    <t xml:space="preserve">derived from the forecast at 0.95</t>
  </si>
  <si>
    <t xml:space="preserve">options.py: lost sale against backlog on common random numbers (simulated direction)</t>
  </si>
  <si>
    <t xml:space="preserve">sku</t>
  </si>
  <si>
    <t xml:space="preserve">scenario</t>
  </si>
  <si>
    <t xml:space="preserve">policy</t>
  </si>
  <si>
    <t xml:space="preserve">seed</t>
  </si>
  <si>
    <t xml:space="preserve">replications</t>
  </si>
  <si>
    <t xml:space="preserve">mean_latent_demand_per_day</t>
  </si>
  <si>
    <t xml:space="preserve">lead_days</t>
  </si>
  <si>
    <t xml:space="preserve">stockout_day_share</t>
  </si>
  <si>
    <t xml:space="preserve">sc-95-lost</t>
  </si>
  <si>
    <t xml:space="preserve">12-19</t>
  </si>
  <si>
    <t xml:space="preserve">sc-95-backlog</t>
  </si>
  <si>
    <t xml:space="preserve">5-12</t>
  </si>
  <si>
    <t xml:space="preserve">bi-package.md expected measure values (computed outside Power BI)</t>
  </si>
  <si>
    <t xml:space="preserve">measure</t>
  </si>
  <si>
    <t xml:space="preserve">expected</t>
  </si>
  <si>
    <t xml:space="preserve">Fulfilled Units</t>
  </si>
  <si>
    <t xml:space="preserve">fact_movement_day, sum</t>
  </si>
  <si>
    <t xml:space="preserve">Unmet Units</t>
  </si>
  <si>
    <t xml:space="preserve">Requested Units</t>
  </si>
  <si>
    <t xml:space="preserve">fulfilled + unmet</t>
  </si>
  <si>
    <t xml:space="preserve">Fill Rate</t>
  </si>
  <si>
    <t xml:space="preserve">query 03 ALL</t>
  </si>
  <si>
    <t xml:space="preserve">Stockout SKU Day Share</t>
  </si>
  <si>
    <t xml:space="preserve">431 / 32880, query 03 ALL, reference_metrics.sql stockout_days</t>
  </si>
  <si>
    <t xml:space="preserve">Stockout Calendar Day Share</t>
  </si>
  <si>
    <t xml:space="preserve">290 / 548, reference_metrics.sql stockout_calendar_days_share</t>
  </si>
  <si>
    <t xml:space="preserve">On Hand Units (2026-09-30)</t>
  </si>
  <si>
    <t xml:space="preserve">query 01, 2026-09</t>
  </si>
  <si>
    <t xml:space="preserve">Working Capital (2026-09-30)</t>
  </si>
  <si>
    <t xml:space="preserve">query 06, 2026-09 end_total</t>
  </si>
  <si>
    <t xml:space="preserve">Average Inventory Value</t>
  </si>
  <si>
    <t xml:space="preserve">query 06 row ALL</t>
  </si>
  <si>
    <t xml:space="preserve">Inventory Turnover</t>
  </si>
  <si>
    <t xml:space="preserve">domain supplementary()</t>
  </si>
  <si>
    <t xml:space="preserve">Inventory Position (2026-09-30)</t>
  </si>
  <si>
    <t xml:space="preserve">query 02 TOTAL</t>
  </si>
  <si>
    <t xml:space="preserve">Draft Order Units</t>
  </si>
  <si>
    <t xml:space="preserve">Draft Order Value</t>
  </si>
  <si>
    <t xml:space="preserve">Triggered Pairs</t>
  </si>
  <si>
    <t xml:space="preserve">query 02</t>
  </si>
  <si>
    <t xml:space="preserve">reference_metrics.sql over the whole snapshot (cross-check of queries 01, 02, 03 and 06)</t>
  </si>
  <si>
    <t xml:space="preserve">observed_days</t>
  </si>
  <si>
    <t xml:space="preserve">negative_stock</t>
  </si>
  <si>
    <t xml:space="preserve">empty_population</t>
  </si>
  <si>
    <t xml:space="preserve">available</t>
  </si>
  <si>
    <t xml:space="preserve">stockout_calendar_days_share</t>
  </si>
  <si>
    <t xml:space="preserve">observed_sku_days</t>
  </si>
  <si>
    <t xml:space="preserve">reconciliation (run_all.py): checks equal / checks run</t>
  </si>
  <si>
    <t xml:space="preserve">checks_equal</t>
  </si>
  <si>
    <t xml:space="preserve">checks_run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</si>
</sst>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:ss"/>
    <numFmt numFmtId="166" formatCode="yyyy\-mm\-dd"/>
    <numFmt numFmtId="167" formatCode="0.000000"/>
    <numFmt numFmtId="168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</row>
    <row r="6" customFormat="false" ht="15" hidden="false" customHeight="false" outlineLevel="0" collapsed="false">
      <c r="A6" s="0" t="s">
        <v>6</v>
      </c>
      <c r="B6" s="4" t="n">
        <v>46112.9999884259</v>
      </c>
      <c r="C6" s="5" t="s">
        <v>7</v>
      </c>
    </row>
    <row r="7" customFormat="false" ht="15" hidden="false" customHeight="false" outlineLevel="0" collapsed="false">
      <c r="A7" s="0" t="s">
        <v>8</v>
      </c>
      <c r="B7" s="4" t="n">
        <v>46082</v>
      </c>
      <c r="C7" s="5" t="s">
        <v>9</v>
      </c>
    </row>
    <row r="8" customFormat="false" ht="15" hidden="false" customHeight="false" outlineLevel="0" collapsed="false">
      <c r="A8" s="0" t="s">
        <v>10</v>
      </c>
      <c r="B8" s="6" t="n">
        <v>70</v>
      </c>
      <c r="C8" s="5" t="s">
        <v>11</v>
      </c>
    </row>
    <row r="9" customFormat="false" ht="15" hidden="false" customHeight="false" outlineLevel="0" collapsed="false">
      <c r="A9" s="0" t="s">
        <v>12</v>
      </c>
      <c r="B9" s="6" t="n">
        <v>120</v>
      </c>
      <c r="C9" s="5" t="s">
        <v>13</v>
      </c>
    </row>
    <row r="10" customFormat="false" ht="15" hidden="false" customHeight="false" outlineLevel="0" collapsed="false">
      <c r="A10" s="0" t="s">
        <v>14</v>
      </c>
      <c r="B10" s="6" t="n">
        <v>50</v>
      </c>
      <c r="C10" s="5" t="s">
        <v>15</v>
      </c>
    </row>
    <row r="11" customFormat="false" ht="15" hidden="false" customHeight="false" outlineLevel="0" collapsed="false">
      <c r="A11" s="0" t="s">
        <v>16</v>
      </c>
      <c r="B11" s="6" t="n">
        <v>24</v>
      </c>
      <c r="C11" s="5" t="s">
        <v>17</v>
      </c>
    </row>
    <row r="12" customFormat="false" ht="15" hidden="false" customHeight="false" outlineLevel="0" collapsed="false">
      <c r="A12" s="0" t="s">
        <v>18</v>
      </c>
      <c r="B12" s="6" t="n">
        <v>12.5</v>
      </c>
      <c r="C12" s="5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5" t="s">
        <v>21</v>
      </c>
    </row>
    <row r="15" customFormat="false" ht="15" hidden="false" customHeight="false" outlineLevel="0" collapsed="false">
      <c r="A15" s="2" t="s">
        <v>22</v>
      </c>
    </row>
    <row r="16" customFormat="false" ht="15" hidden="false" customHeight="false" outlineLevel="0" collapsed="false">
      <c r="A16" s="3" t="s">
        <v>23</v>
      </c>
      <c r="B16" s="3" t="s">
        <v>24</v>
      </c>
      <c r="C16" s="3" t="s">
        <v>25</v>
      </c>
      <c r="D16" s="3" t="s">
        <v>26</v>
      </c>
      <c r="E16" s="3" t="s">
        <v>27</v>
      </c>
      <c r="F16" s="3" t="s">
        <v>28</v>
      </c>
    </row>
    <row r="17" customFormat="false" ht="15" hidden="false" customHeight="false" outlineLevel="0" collapsed="false">
      <c r="A17" s="6" t="s">
        <v>29</v>
      </c>
      <c r="B17" s="6" t="s">
        <v>30</v>
      </c>
      <c r="C17" s="6" t="s">
        <v>31</v>
      </c>
      <c r="D17" s="6" t="n">
        <v>60</v>
      </c>
      <c r="E17" s="4" t="n">
        <v>46082.3333333333</v>
      </c>
      <c r="F17" s="6" t="s">
        <v>32</v>
      </c>
    </row>
    <row r="18" customFormat="false" ht="15" hidden="false" customHeight="false" outlineLevel="0" collapsed="false">
      <c r="A18" s="6" t="s">
        <v>33</v>
      </c>
      <c r="B18" s="6" t="s">
        <v>30</v>
      </c>
      <c r="C18" s="6" t="s">
        <v>31</v>
      </c>
      <c r="D18" s="6" t="n">
        <v>-25</v>
      </c>
      <c r="E18" s="4" t="n">
        <v>46086.4166666667</v>
      </c>
      <c r="F18" s="6" t="s">
        <v>34</v>
      </c>
    </row>
    <row r="19" customFormat="false" ht="15" hidden="false" customHeight="false" outlineLevel="0" collapsed="false">
      <c r="A19" s="6" t="s">
        <v>35</v>
      </c>
      <c r="B19" s="6" t="s">
        <v>30</v>
      </c>
      <c r="C19" s="6" t="s">
        <v>31</v>
      </c>
      <c r="D19" s="6" t="n">
        <v>-35</v>
      </c>
      <c r="E19" s="4" t="n">
        <v>46092.4583333333</v>
      </c>
      <c r="F19" s="6" t="s">
        <v>34</v>
      </c>
    </row>
    <row r="20" customFormat="false" ht="15" hidden="false" customHeight="false" outlineLevel="0" collapsed="false">
      <c r="A20" s="6" t="s">
        <v>36</v>
      </c>
      <c r="B20" s="6" t="s">
        <v>30</v>
      </c>
      <c r="C20" s="6" t="s">
        <v>31</v>
      </c>
      <c r="D20" s="6" t="n">
        <v>-35</v>
      </c>
      <c r="E20" s="4" t="n">
        <v>46093.375</v>
      </c>
      <c r="F20" s="6" t="s">
        <v>34</v>
      </c>
    </row>
    <row r="21" customFormat="false" ht="15" hidden="false" customHeight="false" outlineLevel="0" collapsed="false">
      <c r="A21" s="6" t="s">
        <v>37</v>
      </c>
      <c r="B21" s="6" t="s">
        <v>30</v>
      </c>
      <c r="C21" s="6" t="s">
        <v>31</v>
      </c>
      <c r="D21" s="6" t="n">
        <v>35</v>
      </c>
      <c r="E21" s="4" t="n">
        <v>46093.625</v>
      </c>
      <c r="F21" s="6" t="s">
        <v>32</v>
      </c>
    </row>
    <row r="22" customFormat="false" ht="15" hidden="false" customHeight="false" outlineLevel="0" collapsed="false">
      <c r="A22" s="6" t="s">
        <v>38</v>
      </c>
      <c r="B22" s="6" t="s">
        <v>30</v>
      </c>
      <c r="C22" s="6" t="s">
        <v>31</v>
      </c>
      <c r="D22" s="6" t="n">
        <v>40</v>
      </c>
      <c r="E22" s="4" t="n">
        <v>46097.3333333333</v>
      </c>
      <c r="F22" s="6" t="s">
        <v>32</v>
      </c>
    </row>
    <row r="23" customFormat="false" ht="15" hidden="false" customHeight="false" outlineLevel="0" collapsed="false">
      <c r="A23" s="6" t="s">
        <v>39</v>
      </c>
      <c r="B23" s="6" t="s">
        <v>30</v>
      </c>
      <c r="C23" s="6" t="s">
        <v>31</v>
      </c>
      <c r="D23" s="6" t="n">
        <v>-10</v>
      </c>
      <c r="E23" s="4" t="n">
        <v>46114.4166666667</v>
      </c>
      <c r="F23" s="6" t="s">
        <v>34</v>
      </c>
    </row>
    <row r="25" customFormat="false" ht="15" hidden="false" customHeight="false" outlineLevel="0" collapsed="false">
      <c r="A25" s="2" t="s">
        <v>40</v>
      </c>
    </row>
    <row r="26" customFormat="false" ht="15" hidden="false" customHeight="false" outlineLevel="0" collapsed="false">
      <c r="A26" s="3" t="s">
        <v>41</v>
      </c>
      <c r="B26" s="3" t="s">
        <v>42</v>
      </c>
      <c r="C26" s="3" t="s">
        <v>43</v>
      </c>
      <c r="D26" s="3" t="s">
        <v>44</v>
      </c>
      <c r="E26" s="3" t="s">
        <v>45</v>
      </c>
    </row>
    <row r="27" customFormat="false" ht="15" hidden="false" customHeight="false" outlineLevel="0" collapsed="false">
      <c r="A27" s="6" t="s">
        <v>46</v>
      </c>
      <c r="B27" s="6" t="s">
        <v>47</v>
      </c>
      <c r="C27" s="4" t="n">
        <v>46101.375</v>
      </c>
      <c r="D27" s="6" t="s">
        <v>48</v>
      </c>
      <c r="E27" s="6" t="s">
        <v>49</v>
      </c>
    </row>
    <row r="29" customFormat="false" ht="15" hidden="false" customHeight="false" outlineLevel="0" collapsed="false">
      <c r="A29" s="2" t="s">
        <v>50</v>
      </c>
      <c r="D29" s="5" t="s">
        <v>51</v>
      </c>
    </row>
    <row r="30" customFormat="false" ht="15" hidden="false" customHeight="false" outlineLevel="0" collapsed="false">
      <c r="A30" s="3" t="s">
        <v>52</v>
      </c>
      <c r="B30" s="3" t="s">
        <v>41</v>
      </c>
      <c r="C30" s="3" t="s">
        <v>24</v>
      </c>
      <c r="D30" s="3" t="s">
        <v>53</v>
      </c>
      <c r="E30" s="3" t="s">
        <v>18</v>
      </c>
      <c r="F30" s="3" t="s">
        <v>54</v>
      </c>
    </row>
    <row r="31" customFormat="false" ht="15" hidden="false" customHeight="false" outlineLevel="0" collapsed="false">
      <c r="A31" s="6" t="s">
        <v>55</v>
      </c>
      <c r="B31" s="6" t="s">
        <v>46</v>
      </c>
      <c r="C31" s="6" t="s">
        <v>30</v>
      </c>
      <c r="D31" s="6" t="n">
        <v>30</v>
      </c>
      <c r="E31" s="6" t="n">
        <v>12.5</v>
      </c>
      <c r="F31" s="6"/>
    </row>
    <row r="32" customFormat="false" ht="15" hidden="false" customHeight="false" outlineLevel="0" collapsed="false">
      <c r="A32" s="6" t="s">
        <v>56</v>
      </c>
      <c r="B32" s="6" t="s">
        <v>46</v>
      </c>
      <c r="C32" s="6" t="s">
        <v>30</v>
      </c>
      <c r="D32" s="6" t="n">
        <v>20</v>
      </c>
      <c r="E32" s="6" t="n">
        <v>12.5</v>
      </c>
      <c r="F32" s="6" t="s">
        <v>57</v>
      </c>
    </row>
    <row r="34" customFormat="false" ht="15" hidden="false" customHeight="false" outlineLevel="0" collapsed="false">
      <c r="A34" s="2" t="s">
        <v>58</v>
      </c>
      <c r="D34" s="5" t="s">
        <v>59</v>
      </c>
    </row>
    <row r="35" customFormat="false" ht="15" hidden="false" customHeight="false" outlineLevel="0" collapsed="false">
      <c r="A35" s="3" t="s">
        <v>60</v>
      </c>
      <c r="B35" s="3" t="s">
        <v>52</v>
      </c>
      <c r="C35" s="3" t="s">
        <v>25</v>
      </c>
      <c r="D35" s="3" t="s">
        <v>61</v>
      </c>
      <c r="E35" s="3" t="s">
        <v>62</v>
      </c>
    </row>
    <row r="36" customFormat="false" ht="15" hidden="false" customHeight="false" outlineLevel="0" collapsed="false">
      <c r="A36" s="6" t="s">
        <v>63</v>
      </c>
    </row>
    <row r="38" customFormat="false" ht="15" hidden="false" customHeight="false" outlineLevel="0" collapsed="false">
      <c r="A38" s="2" t="s">
        <v>64</v>
      </c>
      <c r="D38" s="5" t="s">
        <v>65</v>
      </c>
    </row>
    <row r="39" customFormat="false" ht="15" hidden="false" customHeight="false" outlineLevel="0" collapsed="false">
      <c r="A39" s="3" t="s">
        <v>66</v>
      </c>
      <c r="B39" s="3" t="s">
        <v>24</v>
      </c>
      <c r="C39" s="3" t="s">
        <v>25</v>
      </c>
      <c r="D39" s="3" t="s">
        <v>67</v>
      </c>
      <c r="E39" s="3" t="s">
        <v>68</v>
      </c>
      <c r="F39" s="3" t="s">
        <v>69</v>
      </c>
    </row>
    <row r="40" customFormat="false" ht="15" hidden="false" customHeight="false" outlineLevel="0" collapsed="false">
      <c r="A40" s="6" t="s">
        <v>70</v>
      </c>
      <c r="B40" s="6" t="s">
        <v>30</v>
      </c>
      <c r="C40" s="6" t="s">
        <v>31</v>
      </c>
      <c r="D40" s="6" t="n">
        <v>5</v>
      </c>
      <c r="E40" s="4" t="n">
        <v>46093.375</v>
      </c>
      <c r="F40" s="4" t="n">
        <v>46094.4166666667</v>
      </c>
    </row>
    <row r="41" customFormat="false" ht="15" hidden="false" customHeight="false" outlineLevel="0" collapsed="false">
      <c r="A41" s="6" t="s">
        <v>71</v>
      </c>
      <c r="B41" s="6" t="s">
        <v>30</v>
      </c>
      <c r="C41" s="6" t="s">
        <v>31</v>
      </c>
      <c r="D41" s="6" t="n">
        <v>10</v>
      </c>
      <c r="E41" s="4" t="n">
        <v>46080.5</v>
      </c>
      <c r="F4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24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0" t="s">
        <v>73</v>
      </c>
    </row>
    <row r="4" customFormat="false" ht="28.35" hidden="false" customHeight="false" outlineLevel="0" collapsed="false">
      <c r="A4" s="3" t="s">
        <v>23</v>
      </c>
      <c r="B4" s="3" t="s">
        <v>27</v>
      </c>
      <c r="C4" s="3" t="s">
        <v>28</v>
      </c>
      <c r="D4" s="3" t="s">
        <v>26</v>
      </c>
      <c r="E4" s="3" t="s">
        <v>74</v>
      </c>
      <c r="F4" s="3" t="s">
        <v>75</v>
      </c>
      <c r="G4" s="3" t="s">
        <v>76</v>
      </c>
      <c r="H4" s="3" t="s">
        <v>77</v>
      </c>
      <c r="I4" s="3" t="s">
        <v>78</v>
      </c>
      <c r="J4" s="3" t="s">
        <v>79</v>
      </c>
      <c r="K4" s="3" t="s">
        <v>80</v>
      </c>
    </row>
    <row r="5" customFormat="false" ht="15" hidden="false" customHeight="false" outlineLevel="0" collapsed="false">
      <c r="A5" s="0" t="str">
        <f aca="false">Inputs!$A$17</f>
        <v>mv-001</v>
      </c>
      <c r="B5" s="7" t="n">
        <f aca="false">Inputs!$E$17</f>
        <v>46082.3333333333</v>
      </c>
      <c r="C5" s="0" t="str">
        <f aca="false">Inputs!$F$17</f>
        <v>receipt</v>
      </c>
      <c r="D5" s="5" t="n">
        <f aca="false">Inputs!$D$17</f>
        <v>60</v>
      </c>
      <c r="E5" s="8" t="n">
        <f aca="false">INT(B5)</f>
        <v>46082</v>
      </c>
      <c r="F5" s="5" t="n">
        <f aca="false">IF(C5="receipt",0,IF(C5="sale",1,2))</f>
        <v>0</v>
      </c>
      <c r="G5" s="9" t="n">
        <f aca="false">E5*10+F5+MOD(B5,1)/10</f>
        <v>460820.033333333</v>
      </c>
      <c r="H5" s="5" t="n">
        <f aca="false">IF(B5&lt;=Inputs!$B$6,1,0)</f>
        <v>1</v>
      </c>
      <c r="I5" s="5" t="n">
        <f aca="false">IF(H5=1,SUMPRODUCT(($H$5:$H$11=1)*($G$5:$G$11&lt;=G5)),"")</f>
        <v>1</v>
      </c>
      <c r="J5" s="5" t="n">
        <f aca="false">IF(H5=1,SUMPRODUCT(($H$5:$H$11=1)*($G$5:$G$11&lt;=G5)*$D$5:$D$11),"")</f>
        <v>60</v>
      </c>
      <c r="K5" s="5" t="n">
        <f aca="false">IF(H5=1,SUMPRODUCT(($H$5:$H$11=1)*($B$5:$B$11&lt;=B5)*$D$5:$D$11),"")</f>
        <v>60</v>
      </c>
    </row>
    <row r="6" customFormat="false" ht="15" hidden="false" customHeight="false" outlineLevel="0" collapsed="false">
      <c r="A6" s="0" t="str">
        <f aca="false">Inputs!$A$18</f>
        <v>mv-002</v>
      </c>
      <c r="B6" s="7" t="n">
        <f aca="false">Inputs!$E$18</f>
        <v>46086.4166666667</v>
      </c>
      <c r="C6" s="0" t="str">
        <f aca="false">Inputs!$F$18</f>
        <v>sale</v>
      </c>
      <c r="D6" s="5" t="n">
        <f aca="false">Inputs!$D$18</f>
        <v>-25</v>
      </c>
      <c r="E6" s="8" t="n">
        <f aca="false">INT(B6)</f>
        <v>46086</v>
      </c>
      <c r="F6" s="5" t="n">
        <f aca="false">IF(C6="receipt",0,IF(C6="sale",1,2))</f>
        <v>1</v>
      </c>
      <c r="G6" s="9" t="n">
        <f aca="false">E6*10+F6+MOD(B6,1)/10</f>
        <v>460861.041666667</v>
      </c>
      <c r="H6" s="5" t="n">
        <f aca="false">IF(B6&lt;=Inputs!$B$6,1,0)</f>
        <v>1</v>
      </c>
      <c r="I6" s="5" t="n">
        <f aca="false">IF(H6=1,SUMPRODUCT(($H$5:$H$11=1)*($G$5:$G$11&lt;=G6)),"")</f>
        <v>2</v>
      </c>
      <c r="J6" s="5" t="n">
        <f aca="false">IF(H6=1,SUMPRODUCT(($H$5:$H$11=1)*($G$5:$G$11&lt;=G6)*$D$5:$D$11),"")</f>
        <v>35</v>
      </c>
      <c r="K6" s="5" t="n">
        <f aca="false">IF(H6=1,SUMPRODUCT(($H$5:$H$11=1)*($B$5:$B$11&lt;=B6)*$D$5:$D$11),"")</f>
        <v>35</v>
      </c>
    </row>
    <row r="7" customFormat="false" ht="15" hidden="false" customHeight="false" outlineLevel="0" collapsed="false">
      <c r="A7" s="0" t="str">
        <f aca="false">Inputs!$A$19</f>
        <v>mv-003</v>
      </c>
      <c r="B7" s="7" t="n">
        <f aca="false">Inputs!$E$19</f>
        <v>46092.4583333333</v>
      </c>
      <c r="C7" s="0" t="str">
        <f aca="false">Inputs!$F$19</f>
        <v>sale</v>
      </c>
      <c r="D7" s="5" t="n">
        <f aca="false">Inputs!$D$19</f>
        <v>-35</v>
      </c>
      <c r="E7" s="8" t="n">
        <f aca="false">INT(B7)</f>
        <v>46092</v>
      </c>
      <c r="F7" s="5" t="n">
        <f aca="false">IF(C7="receipt",0,IF(C7="sale",1,2))</f>
        <v>1</v>
      </c>
      <c r="G7" s="9" t="n">
        <f aca="false">E7*10+F7+MOD(B7,1)/10</f>
        <v>460921.045833333</v>
      </c>
      <c r="H7" s="5" t="n">
        <f aca="false">IF(B7&lt;=Inputs!$B$6,1,0)</f>
        <v>1</v>
      </c>
      <c r="I7" s="5" t="n">
        <f aca="false">IF(H7=1,SUMPRODUCT(($H$5:$H$11=1)*($G$5:$G$11&lt;=G7)),"")</f>
        <v>3</v>
      </c>
      <c r="J7" s="5" t="n">
        <f aca="false">IF(H7=1,SUMPRODUCT(($H$5:$H$11=1)*($G$5:$G$11&lt;=G7)*$D$5:$D$11),"")</f>
        <v>0</v>
      </c>
      <c r="K7" s="5" t="n">
        <f aca="false">IF(H7=1,SUMPRODUCT(($H$5:$H$11=1)*($B$5:$B$11&lt;=B7)*$D$5:$D$11),"")</f>
        <v>0</v>
      </c>
    </row>
    <row r="8" customFormat="false" ht="15" hidden="false" customHeight="false" outlineLevel="0" collapsed="false">
      <c r="A8" s="0" t="str">
        <f aca="false">Inputs!$A$20</f>
        <v>mv-004</v>
      </c>
      <c r="B8" s="7" t="n">
        <f aca="false">Inputs!$E$20</f>
        <v>46093.375</v>
      </c>
      <c r="C8" s="0" t="str">
        <f aca="false">Inputs!$F$20</f>
        <v>sale</v>
      </c>
      <c r="D8" s="5" t="n">
        <f aca="false">Inputs!$D$20</f>
        <v>-35</v>
      </c>
      <c r="E8" s="8" t="n">
        <f aca="false">INT(B8)</f>
        <v>46093</v>
      </c>
      <c r="F8" s="5" t="n">
        <f aca="false">IF(C8="receipt",0,IF(C8="sale",1,2))</f>
        <v>1</v>
      </c>
      <c r="G8" s="9" t="n">
        <f aca="false">E8*10+F8+MOD(B8,1)/10</f>
        <v>460931.0375</v>
      </c>
      <c r="H8" s="5" t="n">
        <f aca="false">IF(B8&lt;=Inputs!$B$6,1,0)</f>
        <v>1</v>
      </c>
      <c r="I8" s="5" t="n">
        <f aca="false">IF(H8=1,SUMPRODUCT(($H$5:$H$11=1)*($G$5:$G$11&lt;=G8)),"")</f>
        <v>5</v>
      </c>
      <c r="J8" s="5" t="n">
        <f aca="false">IF(H8=1,SUMPRODUCT(($H$5:$H$11=1)*($G$5:$G$11&lt;=G8)*$D$5:$D$11),"")</f>
        <v>0</v>
      </c>
      <c r="K8" s="5" t="n">
        <f aca="false">IF(H8=1,SUMPRODUCT(($H$5:$H$11=1)*($B$5:$B$11&lt;=B8)*$D$5:$D$11),"")</f>
        <v>-35</v>
      </c>
    </row>
    <row r="9" customFormat="false" ht="15" hidden="false" customHeight="false" outlineLevel="0" collapsed="false">
      <c r="A9" s="0" t="str">
        <f aca="false">Inputs!$A$21</f>
        <v>mv-005</v>
      </c>
      <c r="B9" s="7" t="n">
        <f aca="false">Inputs!$E$21</f>
        <v>46093.625</v>
      </c>
      <c r="C9" s="0" t="str">
        <f aca="false">Inputs!$F$21</f>
        <v>receipt</v>
      </c>
      <c r="D9" s="5" t="n">
        <f aca="false">Inputs!$D$21</f>
        <v>35</v>
      </c>
      <c r="E9" s="8" t="n">
        <f aca="false">INT(B9)</f>
        <v>46093</v>
      </c>
      <c r="F9" s="5" t="n">
        <f aca="false">IF(C9="receipt",0,IF(C9="sale",1,2))</f>
        <v>0</v>
      </c>
      <c r="G9" s="9" t="n">
        <f aca="false">E9*10+F9+MOD(B9,1)/10</f>
        <v>460930.0625</v>
      </c>
      <c r="H9" s="5" t="n">
        <f aca="false">IF(B9&lt;=Inputs!$B$6,1,0)</f>
        <v>1</v>
      </c>
      <c r="I9" s="5" t="n">
        <f aca="false">IF(H9=1,SUMPRODUCT(($H$5:$H$11=1)*($G$5:$G$11&lt;=G9)),"")</f>
        <v>4</v>
      </c>
      <c r="J9" s="5" t="n">
        <f aca="false">IF(H9=1,SUMPRODUCT(($H$5:$H$11=1)*($G$5:$G$11&lt;=G9)*$D$5:$D$11),"")</f>
        <v>35</v>
      </c>
      <c r="K9" s="5" t="n">
        <f aca="false">IF(H9=1,SUMPRODUCT(($H$5:$H$11=1)*($B$5:$B$11&lt;=B9)*$D$5:$D$11),"")</f>
        <v>0</v>
      </c>
    </row>
    <row r="10" customFormat="false" ht="15" hidden="false" customHeight="false" outlineLevel="0" collapsed="false">
      <c r="A10" s="0" t="str">
        <f aca="false">Inputs!$A$22</f>
        <v>mv-006</v>
      </c>
      <c r="B10" s="7" t="n">
        <f aca="false">Inputs!$E$22</f>
        <v>46097.3333333333</v>
      </c>
      <c r="C10" s="0" t="str">
        <f aca="false">Inputs!$F$22</f>
        <v>receipt</v>
      </c>
      <c r="D10" s="5" t="n">
        <f aca="false">Inputs!$D$22</f>
        <v>40</v>
      </c>
      <c r="E10" s="8" t="n">
        <f aca="false">INT(B10)</f>
        <v>46097</v>
      </c>
      <c r="F10" s="5" t="n">
        <f aca="false">IF(C10="receipt",0,IF(C10="sale",1,2))</f>
        <v>0</v>
      </c>
      <c r="G10" s="9" t="n">
        <f aca="false">E10*10+F10+MOD(B10,1)/10</f>
        <v>460970.033333333</v>
      </c>
      <c r="H10" s="5" t="n">
        <f aca="false">IF(B10&lt;=Inputs!$B$6,1,0)</f>
        <v>1</v>
      </c>
      <c r="I10" s="5" t="n">
        <f aca="false">IF(H10=1,SUMPRODUCT(($H$5:$H$11=1)*($G$5:$G$11&lt;=G10)),"")</f>
        <v>6</v>
      </c>
      <c r="J10" s="5" t="n">
        <f aca="false">IF(H10=1,SUMPRODUCT(($H$5:$H$11=1)*($G$5:$G$11&lt;=G10)*$D$5:$D$11),"")</f>
        <v>40</v>
      </c>
      <c r="K10" s="5" t="n">
        <f aca="false">IF(H10=1,SUMPRODUCT(($H$5:$H$11=1)*($B$5:$B$11&lt;=B10)*$D$5:$D$11),"")</f>
        <v>40</v>
      </c>
    </row>
    <row r="11" customFormat="false" ht="15" hidden="false" customHeight="false" outlineLevel="0" collapsed="false">
      <c r="A11" s="0" t="str">
        <f aca="false">Inputs!$A$23</f>
        <v>mv-007</v>
      </c>
      <c r="B11" s="7" t="n">
        <f aca="false">Inputs!$E$23</f>
        <v>46114.4166666667</v>
      </c>
      <c r="C11" s="0" t="str">
        <f aca="false">Inputs!$F$23</f>
        <v>sale</v>
      </c>
      <c r="D11" s="5" t="n">
        <f aca="false">Inputs!$D$23</f>
        <v>-10</v>
      </c>
      <c r="E11" s="8" t="n">
        <f aca="false">INT(B11)</f>
        <v>46114</v>
      </c>
      <c r="F11" s="5" t="n">
        <f aca="false">IF(C11="receipt",0,IF(C11="sale",1,2))</f>
        <v>1</v>
      </c>
      <c r="G11" s="9" t="n">
        <f aca="false">E11*10+F11+MOD(B11,1)/10</f>
        <v>461141.041666667</v>
      </c>
      <c r="H11" s="5" t="n">
        <f aca="false">IF(B11&lt;=Inputs!$B$6,1,0)</f>
        <v>0</v>
      </c>
      <c r="I11" s="0" t="str">
        <f aca="false">IF(H11=1,SUMPRODUCT(($H$5:$H$11=1)*($G$5:$G$11&lt;=G11)),"")</f>
        <v/>
      </c>
      <c r="J11" s="0" t="str">
        <f aca="false">IF(H11=1,SUMPRODUCT(($H$5:$H$11=1)*($G$5:$G$11&lt;=G11)*$D$5:$D$11),"")</f>
        <v/>
      </c>
      <c r="K11" s="0" t="str">
        <f aca="false">IF(H11=1,SUMPRODUCT(($H$5:$H$11=1)*($B$5:$B$11&lt;=B11)*$D$5:$D$11),"")</f>
        <v/>
      </c>
    </row>
    <row r="13" customFormat="false" ht="15" hidden="false" customHeight="false" outlineLevel="0" collapsed="false">
      <c r="A13" s="2" t="s">
        <v>81</v>
      </c>
      <c r="B13" s="5" t="n">
        <f aca="false">SUMPRODUCT($H$5:$H$11*$D$5:$D$11)</f>
        <v>40</v>
      </c>
    </row>
    <row r="14" customFormat="false" ht="15" hidden="false" customHeight="false" outlineLevel="0" collapsed="false">
      <c r="A14" s="2" t="s">
        <v>82</v>
      </c>
      <c r="B14" s="5" t="n">
        <f aca="false">MAX(0,B13)</f>
        <v>40</v>
      </c>
    </row>
    <row r="15" customFormat="false" ht="15" hidden="false" customHeight="false" outlineLevel="0" collapsed="false">
      <c r="A15" s="2" t="s">
        <v>83</v>
      </c>
      <c r="B15" s="5" t="n">
        <f aca="false">MIN(0,MIN($J$5:$J$11))</f>
        <v>0</v>
      </c>
    </row>
    <row r="16" customFormat="false" ht="15" hidden="false" customHeight="false" outlineLevel="0" collapsed="false">
      <c r="A16" s="2" t="s">
        <v>84</v>
      </c>
      <c r="B16" s="5" t="n">
        <f aca="false">MIN(0,MIN($K$5:$K$11))</f>
        <v>-35</v>
      </c>
    </row>
    <row r="17" customFormat="false" ht="15" hidden="false" customHeight="false" outlineLevel="0" collapsed="false">
      <c r="A17" s="2" t="s">
        <v>85</v>
      </c>
      <c r="B17" s="0" t="str">
        <f aca="false">IF(OR(B13&lt;0,B15&lt;0),"NEGATIVE_STOCK","ok")</f>
        <v>ok</v>
      </c>
    </row>
    <row r="18" customFormat="false" ht="15" hidden="false" customHeight="false" outlineLevel="0" collapsed="false">
      <c r="A18" s="2" t="s">
        <v>86</v>
      </c>
      <c r="B18" s="0" t="str">
        <f aca="false">SUM($H$5:$H$11)&amp;" / "&amp;(7-SUM($H$5:$H$11))</f>
        <v>6 / 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62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0" t="s">
        <v>88</v>
      </c>
    </row>
    <row r="4" customFormat="false" ht="15" hidden="false" customHeight="false" outlineLevel="0" collapsed="false">
      <c r="A4" s="2" t="s">
        <v>89</v>
      </c>
    </row>
    <row r="5" customFormat="false" ht="28.35" hidden="false" customHeight="false" outlineLevel="0" collapsed="false">
      <c r="A5" s="3" t="s">
        <v>52</v>
      </c>
      <c r="B5" s="3" t="s">
        <v>53</v>
      </c>
      <c r="C5" s="3" t="s">
        <v>90</v>
      </c>
      <c r="D5" s="3" t="s">
        <v>91</v>
      </c>
      <c r="E5" s="3" t="s">
        <v>92</v>
      </c>
      <c r="F5" s="3" t="s">
        <v>93</v>
      </c>
      <c r="G5" s="3" t="s">
        <v>94</v>
      </c>
    </row>
    <row r="6" customFormat="false" ht="15" hidden="false" customHeight="false" outlineLevel="0" collapsed="false">
      <c r="A6" s="0" t="str">
        <f aca="false">Inputs!$A$31</f>
        <v>pol-001</v>
      </c>
      <c r="B6" s="0" t="n">
        <f aca="false">Inputs!$D$31</f>
        <v>30</v>
      </c>
      <c r="C6" s="0" t="n">
        <f aca="false">SUMPRODUCT((Inputs!$B$36:$B$36=A6)*(Inputs!$E$36:$E$36&lt;=Inputs!$B$6)*Inputs!$D$36:$D$36)</f>
        <v>0</v>
      </c>
      <c r="D6" s="0" t="n">
        <f aca="false">MAX(B6-C6,0)</f>
        <v>30</v>
      </c>
      <c r="E6" s="0" t="n">
        <f aca="false">IF(AND(INDEX(Inputs!$D$27:$D$27,MATCH(Inputs!$B$31,Inputs!$A$27:$A$27,0))="confirmed",INDEX(Inputs!$C$27:$C$27,MATCH(Inputs!$B$31,Inputs!$A$27:$A$27,0))&lt;=Inputs!$B$6),1,0)</f>
        <v>1</v>
      </c>
      <c r="F6" s="0" t="n">
        <f aca="false">IF(Inputs!$F$31="",1,0)</f>
        <v>1</v>
      </c>
      <c r="G6" s="0" t="n">
        <f aca="false">IF(OR(Inputs!$F$31="",Inputs!$F$31="position_80"),1,0)</f>
        <v>1</v>
      </c>
    </row>
    <row r="7" customFormat="false" ht="15" hidden="false" customHeight="false" outlineLevel="0" collapsed="false">
      <c r="A7" s="0" t="str">
        <f aca="false">Inputs!$A$32</f>
        <v>pol-002</v>
      </c>
      <c r="B7" s="0" t="n">
        <f aca="false">Inputs!$D$32</f>
        <v>20</v>
      </c>
      <c r="C7" s="0" t="n">
        <f aca="false">SUMPRODUCT((Inputs!$B$36:$B$36=A7)*(Inputs!$E$36:$E$36&lt;=Inputs!$B$6)*Inputs!$D$36:$D$36)</f>
        <v>0</v>
      </c>
      <c r="D7" s="0" t="n">
        <f aca="false">MAX(B7-C7,0)</f>
        <v>20</v>
      </c>
      <c r="E7" s="0" t="n">
        <f aca="false">IF(AND(INDEX(Inputs!$D$27:$D$27,MATCH(Inputs!$B$32,Inputs!$A$27:$A$27,0))="confirmed",INDEX(Inputs!$C$27:$C$27,MATCH(Inputs!$B$32,Inputs!$A$27:$A$27,0))&lt;=Inputs!$B$6),1,0)</f>
        <v>1</v>
      </c>
      <c r="F7" s="0" t="n">
        <f aca="false">IF(Inputs!$F$32="",1,0)</f>
        <v>0</v>
      </c>
      <c r="G7" s="0" t="n">
        <f aca="false">IF(OR(Inputs!$F$32="",Inputs!$F$32="position_80"),1,0)</f>
        <v>1</v>
      </c>
    </row>
    <row r="9" customFormat="false" ht="15" hidden="false" customHeight="false" outlineLevel="0" collapsed="false">
      <c r="A9" s="3" t="s">
        <v>67</v>
      </c>
      <c r="B9" s="3" t="s">
        <v>95</v>
      </c>
      <c r="C9" s="3" t="s">
        <v>96</v>
      </c>
      <c r="D9" s="3" t="s">
        <v>97</v>
      </c>
      <c r="E9" s="3" t="s">
        <v>98</v>
      </c>
    </row>
    <row r="10" customFormat="false" ht="15" hidden="false" customHeight="false" outlineLevel="0" collapsed="false">
      <c r="A10" s="2" t="s">
        <v>99</v>
      </c>
      <c r="B10" s="5" t="n">
        <f aca="false">IF(Figures!$B$3=1,D10,C10)</f>
        <v>40</v>
      </c>
      <c r="C10" s="5" t="n">
        <f aca="false">Ledger!$B$14</f>
        <v>40</v>
      </c>
      <c r="D10" s="5" t="n">
        <f aca="false">Ledger!$B$14</f>
        <v>40</v>
      </c>
      <c r="E10" s="5" t="s">
        <v>100</v>
      </c>
    </row>
    <row r="11" customFormat="false" ht="15" hidden="false" customHeight="false" outlineLevel="0" collapsed="false">
      <c r="A11" s="2" t="s">
        <v>101</v>
      </c>
      <c r="B11" s="5" t="n">
        <f aca="false">IF(Figures!$B$3=1,D11,C11)</f>
        <v>30</v>
      </c>
      <c r="C11" s="5" t="n">
        <f aca="false">SUMPRODUCT($D$6:$D$7*$E$6:$E$7*$F$6:$F$7)</f>
        <v>30</v>
      </c>
      <c r="D11" s="5" t="n">
        <f aca="false">SUMPRODUCT($D$6:$D$7*$E$6:$E$7*$G$6:$G$7)</f>
        <v>50</v>
      </c>
      <c r="E11" s="5" t="s">
        <v>102</v>
      </c>
    </row>
    <row r="12" customFormat="false" ht="15" hidden="false" customHeight="false" outlineLevel="0" collapsed="false">
      <c r="A12" s="2" t="s">
        <v>103</v>
      </c>
      <c r="B12" s="5" t="n">
        <f aca="false">IF(Figures!$B$3=1,D12,C12)</f>
        <v>10</v>
      </c>
      <c r="C12" s="5" t="n">
        <f aca="false">SUMPRODUCT((Inputs!$E$40:$E$41&lt;=Inputs!$B$6)*(((Inputs!$F$40:$F$41="")+(Inputs!$F$40:$F$41&gt;Inputs!$B$6))&gt;0)*Inputs!$D$40:$D$41)</f>
        <v>10</v>
      </c>
      <c r="D12" s="5" t="n">
        <f aca="false">SUMPRODUCT((Inputs!$E$40:$E$41&lt;=Inputs!$B$6)*(((Inputs!$F$40:$F$41="")+(Inputs!$F$40:$F$41&gt;Inputs!$B$6))&gt;0)*Inputs!$D$40:$D$41)</f>
        <v>10</v>
      </c>
      <c r="E12" s="5" t="s">
        <v>104</v>
      </c>
    </row>
    <row r="13" customFormat="false" ht="15" hidden="false" customHeight="false" outlineLevel="0" collapsed="false">
      <c r="A13" s="2" t="s">
        <v>20</v>
      </c>
      <c r="B13" s="5" t="n">
        <f aca="false">IF(Figures!$B$3=1,D13,C13)</f>
        <v>0</v>
      </c>
      <c r="C13" s="5" t="n">
        <f aca="false">Inputs!$B$13</f>
        <v>0</v>
      </c>
      <c r="D13" s="5" t="n">
        <f aca="false">Inputs!$B$13</f>
        <v>0</v>
      </c>
      <c r="E13" s="5" t="s">
        <v>105</v>
      </c>
    </row>
    <row r="14" customFormat="false" ht="15" hidden="false" customHeight="false" outlineLevel="0" collapsed="false">
      <c r="A14" s="2" t="s">
        <v>106</v>
      </c>
      <c r="B14" s="5" t="n">
        <f aca="false">IF(Figures!$B$3=1,D14,C14)</f>
        <v>40</v>
      </c>
      <c r="C14" s="5" t="n">
        <f aca="false">C10-C13</f>
        <v>40</v>
      </c>
      <c r="D14" s="5" t="n">
        <f aca="false">D10-D13</f>
        <v>40</v>
      </c>
      <c r="E14" s="5" t="s">
        <v>107</v>
      </c>
    </row>
    <row r="15" customFormat="false" ht="15" hidden="false" customHeight="false" outlineLevel="0" collapsed="false">
      <c r="A15" s="2" t="s">
        <v>108</v>
      </c>
      <c r="B15" s="5" t="n">
        <f aca="false">IF(Figures!$B$3=1,D15,C15)</f>
        <v>60</v>
      </c>
      <c r="C15" s="5" t="n">
        <f aca="false">C10+C11-C12</f>
        <v>60</v>
      </c>
      <c r="D15" s="5" t="n">
        <f aca="false">D10+D11-D12</f>
        <v>80</v>
      </c>
      <c r="E15" s="5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110</v>
      </c>
    </row>
    <row r="2" customFormat="false" ht="15" hidden="false" customHeight="false" outlineLevel="0" collapsed="false">
      <c r="A2" s="0" t="s">
        <v>111</v>
      </c>
    </row>
    <row r="4" customFormat="false" ht="15" hidden="false" customHeight="false" outlineLevel="0" collapsed="false">
      <c r="A4" s="3" t="s">
        <v>67</v>
      </c>
      <c r="B4" s="3" t="s">
        <v>95</v>
      </c>
      <c r="C4" s="3" t="s">
        <v>96</v>
      </c>
      <c r="D4" s="3" t="s">
        <v>97</v>
      </c>
      <c r="E4" s="3" t="s">
        <v>98</v>
      </c>
    </row>
    <row r="5" customFormat="false" ht="15" hidden="false" customHeight="false" outlineLevel="0" collapsed="false">
      <c r="A5" s="2" t="s">
        <v>108</v>
      </c>
      <c r="B5" s="5" t="n">
        <f aca="false">IF(Figures!$B$3=1,D5,C5)</f>
        <v>60</v>
      </c>
      <c r="C5" s="5" t="n">
        <f aca="false">Position!C15</f>
        <v>60</v>
      </c>
      <c r="D5" s="5" t="n">
        <f aca="false">Position!D15</f>
        <v>80</v>
      </c>
      <c r="E5" s="5" t="s">
        <v>112</v>
      </c>
    </row>
    <row r="6" customFormat="false" ht="15" hidden="false" customHeight="false" outlineLevel="0" collapsed="false">
      <c r="A6" s="2" t="s">
        <v>113</v>
      </c>
      <c r="B6" s="5" t="n">
        <f aca="false">IF(Figures!$B$3=1,D6,C6)</f>
        <v>70</v>
      </c>
      <c r="C6" s="5" t="n">
        <f aca="false">Inputs!$B$8</f>
        <v>70</v>
      </c>
      <c r="D6" s="5" t="n">
        <f aca="false">Inputs!$B$8</f>
        <v>70</v>
      </c>
      <c r="E6" s="5" t="s">
        <v>114</v>
      </c>
    </row>
    <row r="7" customFormat="false" ht="15" hidden="false" customHeight="false" outlineLevel="0" collapsed="false">
      <c r="A7" s="2" t="s">
        <v>115</v>
      </c>
      <c r="B7" s="5" t="n">
        <f aca="false">IF(Figures!$B$3=1,D7,C7)</f>
        <v>120</v>
      </c>
      <c r="C7" s="5" t="n">
        <f aca="false">Inputs!$B$9</f>
        <v>120</v>
      </c>
      <c r="D7" s="5" t="n">
        <f aca="false">Inputs!$B$9</f>
        <v>120</v>
      </c>
      <c r="E7" s="5" t="s">
        <v>114</v>
      </c>
    </row>
    <row r="8" customFormat="false" ht="15" hidden="false" customHeight="false" outlineLevel="0" collapsed="false">
      <c r="A8" s="2" t="s">
        <v>116</v>
      </c>
      <c r="B8" s="5" t="n">
        <f aca="false">IF(Figures!$B$3=1,D8,C8)</f>
        <v>1</v>
      </c>
      <c r="C8" s="5" t="n">
        <f aca="false">IF(C5&lt;C6,1,0)</f>
        <v>1</v>
      </c>
      <c r="D8" s="5" t="n">
        <f aca="false">IF(D5&lt;D6,1,0)</f>
        <v>0</v>
      </c>
      <c r="E8" s="5" t="s">
        <v>117</v>
      </c>
    </row>
    <row r="9" customFormat="false" ht="15" hidden="false" customHeight="false" outlineLevel="0" collapsed="false">
      <c r="A9" s="2" t="s">
        <v>118</v>
      </c>
      <c r="B9" s="5" t="n">
        <f aca="false">IF(Figures!$B$3=1,D9,C9)</f>
        <v>60</v>
      </c>
      <c r="C9" s="5" t="n">
        <f aca="false">IF(C8=1,MAX(C7-C5,0),0)</f>
        <v>60</v>
      </c>
      <c r="D9" s="5" t="n">
        <f aca="false">IF(D8=1,MAX(D7-D5,0),0)</f>
        <v>0</v>
      </c>
      <c r="E9" s="5" t="s">
        <v>119</v>
      </c>
    </row>
    <row r="10" customFormat="false" ht="15" hidden="false" customHeight="false" outlineLevel="0" collapsed="false">
      <c r="A10" s="2" t="s">
        <v>120</v>
      </c>
      <c r="B10" s="5" t="n">
        <f aca="false">IF(Figures!$B$3=1,D10,C10)</f>
        <v>50</v>
      </c>
      <c r="C10" s="5" t="n">
        <f aca="false">Inputs!$B$10</f>
        <v>50</v>
      </c>
      <c r="D10" s="5" t="n">
        <f aca="false">Inputs!$B$10</f>
        <v>50</v>
      </c>
      <c r="E10" s="5" t="s">
        <v>121</v>
      </c>
    </row>
    <row r="11" customFormat="false" ht="15" hidden="false" customHeight="false" outlineLevel="0" collapsed="false">
      <c r="A11" s="2" t="s">
        <v>122</v>
      </c>
      <c r="B11" s="5" t="n">
        <f aca="false">IF(Figures!$B$3=1,D11,C11)</f>
        <v>60</v>
      </c>
      <c r="C11" s="5" t="n">
        <f aca="false">IF(C8=1,MAX(C9,C10),0)</f>
        <v>60</v>
      </c>
      <c r="D11" s="5" t="n">
        <f aca="false">IF(D8=1,MAX(D9,D10),0)</f>
        <v>0</v>
      </c>
      <c r="E11" s="5" t="s">
        <v>123</v>
      </c>
    </row>
    <row r="12" customFormat="false" ht="15" hidden="false" customHeight="false" outlineLevel="0" collapsed="false">
      <c r="A12" s="2" t="s">
        <v>124</v>
      </c>
      <c r="B12" s="5" t="n">
        <f aca="false">IF(Figures!$B$3=1,D12,C12)</f>
        <v>24</v>
      </c>
      <c r="C12" s="5" t="n">
        <f aca="false">Inputs!$B$11</f>
        <v>24</v>
      </c>
      <c r="D12" s="5" t="n">
        <f aca="false">Inputs!$B$11</f>
        <v>24</v>
      </c>
      <c r="E12" s="5" t="s">
        <v>121</v>
      </c>
    </row>
    <row r="13" customFormat="false" ht="15" hidden="false" customHeight="false" outlineLevel="0" collapsed="false">
      <c r="A13" s="2" t="s">
        <v>125</v>
      </c>
      <c r="B13" s="5" t="n">
        <f aca="false">IF(Figures!$B$3=1,D13,C13)</f>
        <v>72</v>
      </c>
      <c r="C13" s="5" t="n">
        <f aca="false">IF(C8=1,CEILING(C11,C12),0)</f>
        <v>72</v>
      </c>
      <c r="D13" s="5" t="n">
        <f aca="false">IF(D8=1,CEILING(D11,D12),0)</f>
        <v>0</v>
      </c>
      <c r="E13" s="5" t="s">
        <v>126</v>
      </c>
    </row>
    <row r="14" customFormat="false" ht="15" hidden="false" customHeight="false" outlineLevel="0" collapsed="false">
      <c r="A14" s="2" t="s">
        <v>127</v>
      </c>
      <c r="B14" s="5" t="n">
        <f aca="false">IF(Figures!$B$3=1,D14,C14)</f>
        <v>3</v>
      </c>
      <c r="C14" s="5" t="n">
        <f aca="false">C13/C12</f>
        <v>3</v>
      </c>
      <c r="D14" s="5" t="n">
        <f aca="false">D13/D12</f>
        <v>0</v>
      </c>
      <c r="E14" s="5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0" t="s">
        <v>130</v>
      </c>
    </row>
    <row r="3" customFormat="false" ht="15" hidden="false" customHeight="false" outlineLevel="0" collapsed="false">
      <c r="A3" s="2" t="s">
        <v>131</v>
      </c>
      <c r="B3" s="6" t="n">
        <v>0</v>
      </c>
    </row>
    <row r="4" customFormat="false" ht="15" hidden="false" customHeight="false" outlineLevel="0" collapsed="false">
      <c r="A4" s="0" t="s">
        <v>132</v>
      </c>
      <c r="B4" s="0" t="str">
        <f aca="false">IF(ISNUMBER(SEARCH("supplyscope-golden",Inputs!$A$1)),"golden fixture supplyscope-golden-v1","unexpected inputs")</f>
        <v>golden fixture supplyscope-golden-v1</v>
      </c>
    </row>
    <row r="7" customFormat="false" ht="28.35" hidden="false" customHeight="false" outlineLevel="0" collapsed="false">
      <c r="A7" s="3" t="s">
        <v>133</v>
      </c>
      <c r="B7" s="3" t="s">
        <v>134</v>
      </c>
      <c r="C7" s="3" t="s">
        <v>135</v>
      </c>
      <c r="D7" s="3" t="s">
        <v>57</v>
      </c>
      <c r="E7" s="3" t="s">
        <v>136</v>
      </c>
      <c r="F7" s="3" t="s">
        <v>137</v>
      </c>
      <c r="G7" s="3" t="s">
        <v>138</v>
      </c>
      <c r="H7" s="3" t="s">
        <v>139</v>
      </c>
    </row>
    <row r="8" customFormat="false" ht="15" hidden="false" customHeight="false" outlineLevel="0" collapsed="false">
      <c r="A8" s="2" t="s">
        <v>140</v>
      </c>
      <c r="B8" s="5" t="n">
        <f aca="false">Position!B10</f>
        <v>40</v>
      </c>
      <c r="C8" s="5" t="n">
        <f aca="false">Position!C10</f>
        <v>40</v>
      </c>
      <c r="D8" s="5" t="n">
        <f aca="false">Position!D10</f>
        <v>40</v>
      </c>
      <c r="E8" s="6" t="n">
        <v>40</v>
      </c>
      <c r="F8" s="6" t="n">
        <v>40</v>
      </c>
      <c r="G8" s="10" t="b">
        <f aca="false">ROUND(C8-E8,6)=0</f>
        <v>1</v>
      </c>
      <c r="H8" s="10" t="b">
        <f aca="false">ROUND(D8-F8,6)=0</f>
        <v>1</v>
      </c>
    </row>
    <row r="9" customFormat="false" ht="15" hidden="false" customHeight="false" outlineLevel="0" collapsed="false">
      <c r="A9" s="2" t="s">
        <v>141</v>
      </c>
      <c r="B9" s="5" t="n">
        <f aca="false">Position!B11</f>
        <v>30</v>
      </c>
      <c r="C9" s="5" t="n">
        <f aca="false">Position!C11</f>
        <v>30</v>
      </c>
      <c r="D9" s="5" t="n">
        <f aca="false">Position!D11</f>
        <v>50</v>
      </c>
      <c r="E9" s="6" t="n">
        <v>30</v>
      </c>
      <c r="F9" s="6" t="n">
        <v>50</v>
      </c>
      <c r="G9" s="10" t="b">
        <f aca="false">ROUND(C9-E9,6)=0</f>
        <v>1</v>
      </c>
      <c r="H9" s="10" t="b">
        <f aca="false">ROUND(D9-F9,6)=0</f>
        <v>1</v>
      </c>
    </row>
    <row r="10" customFormat="false" ht="15" hidden="false" customHeight="false" outlineLevel="0" collapsed="false">
      <c r="A10" s="2" t="s">
        <v>142</v>
      </c>
      <c r="B10" s="5" t="n">
        <f aca="false">Position!B12</f>
        <v>10</v>
      </c>
      <c r="C10" s="5" t="n">
        <f aca="false">Position!C12</f>
        <v>10</v>
      </c>
      <c r="D10" s="5" t="n">
        <f aca="false">Position!D12</f>
        <v>10</v>
      </c>
      <c r="E10" s="6" t="n">
        <v>10</v>
      </c>
      <c r="F10" s="6" t="n">
        <v>10</v>
      </c>
      <c r="G10" s="10" t="b">
        <f aca="false">ROUND(C10-E10,6)=0</f>
        <v>1</v>
      </c>
      <c r="H10" s="10" t="b">
        <f aca="false">ROUND(D10-F10,6)=0</f>
        <v>1</v>
      </c>
    </row>
    <row r="11" customFormat="false" ht="15" hidden="false" customHeight="false" outlineLevel="0" collapsed="false">
      <c r="A11" s="2" t="s">
        <v>143</v>
      </c>
      <c r="B11" s="5" t="n">
        <f aca="false">Position!B15</f>
        <v>60</v>
      </c>
      <c r="C11" s="5" t="n">
        <f aca="false">Position!C15</f>
        <v>60</v>
      </c>
      <c r="D11" s="5" t="n">
        <f aca="false">Position!D15</f>
        <v>80</v>
      </c>
      <c r="E11" s="6" t="n">
        <v>60</v>
      </c>
      <c r="F11" s="6" t="n">
        <v>80</v>
      </c>
      <c r="G11" s="10" t="b">
        <f aca="false">ROUND(C11-E11,6)=0</f>
        <v>1</v>
      </c>
      <c r="H11" s="10" t="b">
        <f aca="false">ROUND(D11-F11,6)=0</f>
        <v>1</v>
      </c>
    </row>
    <row r="12" customFormat="false" ht="15" hidden="false" customHeight="false" outlineLevel="0" collapsed="false">
      <c r="A12" s="2" t="s">
        <v>144</v>
      </c>
      <c r="B12" s="5" t="n">
        <f aca="false">Replenishment!B6</f>
        <v>70</v>
      </c>
      <c r="C12" s="5" t="n">
        <f aca="false">Replenishment!C6</f>
        <v>70</v>
      </c>
      <c r="D12" s="5" t="n">
        <f aca="false">Replenishment!D6</f>
        <v>70</v>
      </c>
      <c r="E12" s="6" t="n">
        <v>70</v>
      </c>
      <c r="F12" s="6" t="n">
        <v>70</v>
      </c>
      <c r="G12" s="10" t="b">
        <f aca="false">ROUND(C12-E12,6)=0</f>
        <v>1</v>
      </c>
      <c r="H12" s="10" t="b">
        <f aca="false">ROUND(D12-F12,6)=0</f>
        <v>1</v>
      </c>
    </row>
    <row r="13" customFormat="false" ht="15" hidden="false" customHeight="false" outlineLevel="0" collapsed="false">
      <c r="A13" s="2" t="s">
        <v>145</v>
      </c>
      <c r="B13" s="5" t="n">
        <f aca="false">Replenishment!B7</f>
        <v>120</v>
      </c>
      <c r="C13" s="5" t="n">
        <f aca="false">Replenishment!C7</f>
        <v>120</v>
      </c>
      <c r="D13" s="5" t="n">
        <f aca="false">Replenishment!D7</f>
        <v>120</v>
      </c>
      <c r="E13" s="6" t="n">
        <v>120</v>
      </c>
      <c r="F13" s="6" t="n">
        <v>120</v>
      </c>
      <c r="G13" s="10" t="b">
        <f aca="false">ROUND(C13-E13,6)=0</f>
        <v>1</v>
      </c>
      <c r="H13" s="10" t="b">
        <f aca="false">ROUND(D13-F13,6)=0</f>
        <v>1</v>
      </c>
    </row>
    <row r="14" customFormat="false" ht="15" hidden="false" customHeight="false" outlineLevel="0" collapsed="false">
      <c r="A14" s="2" t="s">
        <v>146</v>
      </c>
      <c r="B14" s="5" t="n">
        <f aca="false">Replenishment!B9</f>
        <v>60</v>
      </c>
      <c r="C14" s="5" t="n">
        <f aca="false">Replenishment!C9</f>
        <v>60</v>
      </c>
      <c r="D14" s="5" t="n">
        <f aca="false">Replenishment!D9</f>
        <v>0</v>
      </c>
      <c r="E14" s="6" t="n">
        <v>60</v>
      </c>
      <c r="F14" s="6" t="n">
        <v>0</v>
      </c>
      <c r="G14" s="10" t="b">
        <f aca="false">ROUND(C14-E14,6)=0</f>
        <v>1</v>
      </c>
      <c r="H14" s="10" t="b">
        <f aca="false">ROUND(D14-F14,6)=0</f>
        <v>1</v>
      </c>
    </row>
    <row r="15" customFormat="false" ht="15" hidden="false" customHeight="false" outlineLevel="0" collapsed="false">
      <c r="A15" s="2" t="s">
        <v>147</v>
      </c>
      <c r="B15" s="5" t="n">
        <f aca="false">Replenishment!B11</f>
        <v>60</v>
      </c>
      <c r="C15" s="5" t="n">
        <f aca="false">Replenishment!C11</f>
        <v>60</v>
      </c>
      <c r="D15" s="5" t="n">
        <f aca="false">Replenishment!D11</f>
        <v>0</v>
      </c>
      <c r="E15" s="6" t="n">
        <v>60</v>
      </c>
      <c r="F15" s="6" t="n">
        <v>0</v>
      </c>
      <c r="G15" s="10" t="b">
        <f aca="false">ROUND(C15-E15,6)=0</f>
        <v>1</v>
      </c>
      <c r="H15" s="10" t="b">
        <f aca="false">ROUND(D15-F15,6)=0</f>
        <v>1</v>
      </c>
    </row>
    <row r="16" customFormat="false" ht="15" hidden="false" customHeight="false" outlineLevel="0" collapsed="false">
      <c r="A16" s="2" t="s">
        <v>148</v>
      </c>
      <c r="B16" s="5" t="n">
        <f aca="false">Replenishment!B13</f>
        <v>72</v>
      </c>
      <c r="C16" s="5" t="n">
        <f aca="false">Replenishment!C13</f>
        <v>72</v>
      </c>
      <c r="D16" s="5" t="n">
        <f aca="false">Replenishment!D13</f>
        <v>0</v>
      </c>
      <c r="E16" s="6" t="n">
        <v>72</v>
      </c>
      <c r="F16" s="6" t="n">
        <v>0</v>
      </c>
      <c r="G16" s="10" t="b">
        <f aca="false">ROUND(C16-E16,6)=0</f>
        <v>1</v>
      </c>
      <c r="H16" s="10" t="b">
        <f aca="false">ROUND(D16-F16,6)=0</f>
        <v>1</v>
      </c>
    </row>
    <row r="17" customFormat="false" ht="15" hidden="false" customHeight="false" outlineLevel="0" collapsed="false">
      <c r="A17" s="2" t="s">
        <v>149</v>
      </c>
      <c r="B17" s="5" t="n">
        <f aca="false">Position!B10*Inputs!$B$12</f>
        <v>500</v>
      </c>
      <c r="C17" s="5" t="n">
        <f aca="false">Position!C10*Inputs!$B$12</f>
        <v>500</v>
      </c>
      <c r="D17" s="5" t="n">
        <f aca="false">Position!D10*Inputs!$B$12</f>
        <v>500</v>
      </c>
      <c r="E17" s="6" t="n">
        <v>500</v>
      </c>
      <c r="F17" s="6" t="n">
        <v>500</v>
      </c>
      <c r="G17" s="10" t="b">
        <f aca="false">ROUND(C17-E17,6)=0</f>
        <v>1</v>
      </c>
      <c r="H17" s="10" t="b">
        <f aca="false">ROUND(D17-F17,6)=0</f>
        <v>1</v>
      </c>
    </row>
    <row r="18" customFormat="false" ht="15" hidden="false" customHeight="false" outlineLevel="0" collapsed="false">
      <c r="A18" s="2" t="s">
        <v>150</v>
      </c>
      <c r="B18" s="5" t="n">
        <f aca="false">Replenishment!B8</f>
        <v>1</v>
      </c>
      <c r="C18" s="5" t="n">
        <f aca="false">Replenishment!C8</f>
        <v>1</v>
      </c>
      <c r="D18" s="5" t="n">
        <f aca="false">Replenishment!D8</f>
        <v>0</v>
      </c>
      <c r="E18" s="6" t="n">
        <v>1</v>
      </c>
      <c r="F18" s="6" t="n">
        <v>0</v>
      </c>
      <c r="G18" s="10" t="b">
        <f aca="false">C18=E18</f>
        <v>1</v>
      </c>
      <c r="H18" s="10" t="b">
        <f aca="false">D18=F18</f>
        <v>1</v>
      </c>
    </row>
    <row r="20" customFormat="false" ht="15" hidden="false" customHeight="false" outlineLevel="0" collapsed="false">
      <c r="A20" s="2" t="s">
        <v>151</v>
      </c>
      <c r="B20" s="10" t="b">
        <f aca="false">AND(G8:G18,H8:H18)</f>
        <v>1</v>
      </c>
    </row>
    <row r="21" customFormat="false" ht="15" hidden="false" customHeight="false" outlineLevel="0" collapsed="false">
      <c r="A21" s="2" t="s">
        <v>152</v>
      </c>
      <c r="B21" s="0" t="str">
        <f aca="false">C8&amp;" / "&amp;C9&amp;" / "&amp;C10&amp;" / "&amp;C11&amp;" / "&amp;C14&amp;" / "&amp;C15&amp;" / "&amp;C16</f>
        <v>40 / 30 / 10 / 60 / 60 / 60 / 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0"/>
  </cols>
  <sheetData>
    <row r="1" customFormat="false" ht="17.35" hidden="false" customHeight="false" outlineLevel="0" collapsed="false">
      <c r="A1" s="1" t="s">
        <v>153</v>
      </c>
    </row>
    <row r="3" customFormat="false" ht="15" hidden="false" customHeight="false" outlineLevel="0" collapsed="false">
      <c r="A3" s="3" t="s">
        <v>154</v>
      </c>
      <c r="B3" s="3" t="s">
        <v>155</v>
      </c>
    </row>
    <row r="4" customFormat="false" ht="28.35" hidden="false" customHeight="false" outlineLevel="0" collapsed="false">
      <c r="A4" s="2" t="s">
        <v>156</v>
      </c>
      <c r="B4" s="11" t="s">
        <v>157</v>
      </c>
    </row>
    <row r="5" customFormat="false" ht="28.35" hidden="false" customHeight="false" outlineLevel="0" collapsed="false">
      <c r="A5" s="2" t="s">
        <v>158</v>
      </c>
      <c r="B5" s="11" t="s">
        <v>159</v>
      </c>
    </row>
    <row r="6" customFormat="false" ht="28.35" hidden="false" customHeight="false" outlineLevel="0" collapsed="false">
      <c r="A6" s="2" t="s">
        <v>160</v>
      </c>
      <c r="B6" s="11" t="s">
        <v>161</v>
      </c>
    </row>
    <row r="7" customFormat="false" ht="28.35" hidden="false" customHeight="false" outlineLevel="0" collapsed="false">
      <c r="A7" s="2" t="s">
        <v>162</v>
      </c>
      <c r="B7" s="11" t="s">
        <v>163</v>
      </c>
    </row>
    <row r="8" customFormat="false" ht="15" hidden="false" customHeight="false" outlineLevel="0" collapsed="false">
      <c r="A8" s="2" t="s">
        <v>164</v>
      </c>
      <c r="B8" s="11" t="s">
        <v>165</v>
      </c>
    </row>
    <row r="9" customFormat="false" ht="28.35" hidden="false" customHeight="false" outlineLevel="0" collapsed="false">
      <c r="A9" s="2" t="s">
        <v>166</v>
      </c>
      <c r="B9" s="11" t="s">
        <v>167</v>
      </c>
    </row>
    <row r="10" customFormat="false" ht="28.35" hidden="false" customHeight="false" outlineLevel="0" collapsed="false">
      <c r="A10" s="2" t="s">
        <v>168</v>
      </c>
      <c r="B10" s="11" t="s">
        <v>169</v>
      </c>
    </row>
    <row r="11" customFormat="false" ht="15" hidden="false" customHeight="false" outlineLevel="0" collapsed="false">
      <c r="A11" s="2" t="s">
        <v>170</v>
      </c>
      <c r="B11" s="11" t="s">
        <v>171</v>
      </c>
    </row>
    <row r="12" customFormat="false" ht="28.35" hidden="false" customHeight="false" outlineLevel="0" collapsed="false">
      <c r="A12" s="2" t="s">
        <v>172</v>
      </c>
      <c r="B12" s="11" t="s">
        <v>173</v>
      </c>
    </row>
    <row r="13" customFormat="false" ht="28.35" hidden="false" customHeight="false" outlineLevel="0" collapsed="false">
      <c r="A13" s="2" t="s">
        <v>174</v>
      </c>
      <c r="B13" s="11" t="s">
        <v>175</v>
      </c>
    </row>
    <row r="14" customFormat="false" ht="28.35" hidden="false" customHeight="false" outlineLevel="0" collapsed="false">
      <c r="A14" s="2" t="s">
        <v>176</v>
      </c>
      <c r="B14" s="11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11" min="4" style="0" width="16"/>
  </cols>
  <sheetData>
    <row r="1" customFormat="false" ht="15" hidden="false" customHeight="false" outlineLevel="0" collapsed="false">
      <c r="A1" s="12" t="s">
        <v>178</v>
      </c>
    </row>
    <row r="2" customFormat="false" ht="15" hidden="false" customHeight="false" outlineLevel="0" collapsed="false">
      <c r="A2" s="0" t="s">
        <v>179</v>
      </c>
    </row>
    <row r="4" customFormat="false" ht="15" hidden="false" customHeight="false" outlineLevel="0" collapsed="false">
      <c r="A4" s="13" t="s">
        <v>180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customFormat="false" ht="28.35" hidden="false" customHeight="false" outlineLevel="0" collapsed="false">
      <c r="A5" s="3" t="s">
        <v>181</v>
      </c>
      <c r="B5" s="3" t="s">
        <v>25</v>
      </c>
      <c r="C5" s="3" t="s">
        <v>182</v>
      </c>
      <c r="D5" s="3" t="s">
        <v>183</v>
      </c>
      <c r="E5" s="3" t="s">
        <v>64</v>
      </c>
      <c r="F5" s="3" t="s">
        <v>184</v>
      </c>
      <c r="G5" s="3" t="s">
        <v>185</v>
      </c>
      <c r="H5" s="3" t="s">
        <v>186</v>
      </c>
      <c r="I5" s="3" t="s">
        <v>187</v>
      </c>
    </row>
    <row r="6" customFormat="false" ht="15" hidden="false" customHeight="false" outlineLevel="0" collapsed="false">
      <c r="A6" s="0" t="s">
        <v>188</v>
      </c>
      <c r="B6" s="0" t="s">
        <v>189</v>
      </c>
      <c r="C6" s="0" t="n">
        <v>378</v>
      </c>
      <c r="D6" s="0" t="n">
        <v>420</v>
      </c>
      <c r="E6" s="0" t="n">
        <v>0</v>
      </c>
      <c r="F6" s="0" t="n">
        <v>798</v>
      </c>
      <c r="G6" s="0" t="n">
        <v>0</v>
      </c>
      <c r="H6" s="0" t="n">
        <v>41</v>
      </c>
      <c r="I6" s="0" t="n">
        <v>0</v>
      </c>
    </row>
    <row r="7" customFormat="false" ht="15" hidden="false" customHeight="false" outlineLevel="0" collapsed="false">
      <c r="A7" s="0" t="s">
        <v>188</v>
      </c>
      <c r="B7" s="0" t="s">
        <v>190</v>
      </c>
      <c r="C7" s="0" t="n">
        <v>228</v>
      </c>
      <c r="D7" s="0" t="n">
        <v>314</v>
      </c>
      <c r="E7" s="0" t="n">
        <v>0</v>
      </c>
      <c r="F7" s="0" t="n">
        <v>542</v>
      </c>
      <c r="G7" s="0" t="n">
        <v>0</v>
      </c>
      <c r="H7" s="0" t="n">
        <v>96.6</v>
      </c>
      <c r="I7" s="0" t="n">
        <v>0</v>
      </c>
    </row>
    <row r="8" customFormat="false" ht="15" hidden="false" customHeight="false" outlineLevel="0" collapsed="false">
      <c r="A8" s="0" t="s">
        <v>188</v>
      </c>
      <c r="B8" s="0" t="s">
        <v>191</v>
      </c>
      <c r="C8" s="0" t="n">
        <v>214</v>
      </c>
      <c r="D8" s="0" t="n">
        <v>140</v>
      </c>
      <c r="E8" s="0" t="n">
        <v>0</v>
      </c>
      <c r="F8" s="0" t="n">
        <v>354</v>
      </c>
      <c r="G8" s="0" t="n">
        <v>0</v>
      </c>
      <c r="H8" s="0" t="n">
        <v>38.5</v>
      </c>
      <c r="I8" s="0" t="n">
        <v>0</v>
      </c>
    </row>
    <row r="9" customFormat="false" ht="15" hidden="false" customHeight="false" outlineLevel="0" collapsed="false">
      <c r="A9" s="0" t="s">
        <v>192</v>
      </c>
      <c r="B9" s="0" t="s">
        <v>189</v>
      </c>
      <c r="C9" s="0" t="n">
        <v>426</v>
      </c>
      <c r="D9" s="0" t="n">
        <v>340</v>
      </c>
      <c r="E9" s="0" t="n">
        <v>0</v>
      </c>
      <c r="F9" s="0" t="n">
        <v>766</v>
      </c>
      <c r="G9" s="0" t="n">
        <v>0</v>
      </c>
      <c r="H9" s="0" t="n">
        <v>39.4</v>
      </c>
      <c r="I9" s="0" t="n">
        <v>0</v>
      </c>
    </row>
    <row r="10" customFormat="false" ht="15" hidden="false" customHeight="false" outlineLevel="0" collapsed="false">
      <c r="A10" s="0" t="s">
        <v>192</v>
      </c>
      <c r="B10" s="0" t="s">
        <v>190</v>
      </c>
      <c r="C10" s="0" t="n">
        <v>173</v>
      </c>
      <c r="D10" s="0" t="n">
        <v>348</v>
      </c>
      <c r="E10" s="0" t="n">
        <v>0</v>
      </c>
      <c r="F10" s="0" t="n">
        <v>521</v>
      </c>
      <c r="G10" s="0" t="n">
        <v>0</v>
      </c>
      <c r="H10" s="0" t="n">
        <v>92.9</v>
      </c>
      <c r="I10" s="0" t="n">
        <v>0</v>
      </c>
    </row>
    <row r="11" customFormat="false" ht="15" hidden="false" customHeight="false" outlineLevel="0" collapsed="false">
      <c r="A11" s="0" t="s">
        <v>192</v>
      </c>
      <c r="B11" s="0" t="s">
        <v>191</v>
      </c>
      <c r="C11" s="0" t="n">
        <v>212</v>
      </c>
      <c r="D11" s="0" t="n">
        <v>120</v>
      </c>
      <c r="E11" s="0" t="n">
        <v>0</v>
      </c>
      <c r="F11" s="0" t="n">
        <v>332</v>
      </c>
      <c r="G11" s="0" t="n">
        <v>0</v>
      </c>
      <c r="H11" s="0" t="n">
        <v>36.1</v>
      </c>
      <c r="I11" s="0" t="n">
        <v>0</v>
      </c>
    </row>
    <row r="12" customFormat="false" ht="15" hidden="false" customHeight="false" outlineLevel="0" collapsed="false">
      <c r="A12" s="0" t="s">
        <v>193</v>
      </c>
      <c r="B12" s="0" t="s">
        <v>189</v>
      </c>
      <c r="C12" s="0" t="n">
        <v>347</v>
      </c>
      <c r="D12" s="0" t="n">
        <v>498</v>
      </c>
      <c r="E12" s="0" t="n">
        <v>0</v>
      </c>
      <c r="F12" s="0" t="n">
        <v>845</v>
      </c>
      <c r="G12" s="0" t="n">
        <v>0</v>
      </c>
      <c r="H12" s="0" t="n">
        <v>43.5</v>
      </c>
      <c r="I12" s="0" t="n">
        <v>0</v>
      </c>
    </row>
    <row r="13" customFormat="false" ht="15" hidden="false" customHeight="false" outlineLevel="0" collapsed="false">
      <c r="A13" s="0" t="s">
        <v>193</v>
      </c>
      <c r="B13" s="0" t="s">
        <v>190</v>
      </c>
      <c r="C13" s="0" t="n">
        <v>200</v>
      </c>
      <c r="D13" s="0" t="n">
        <v>342</v>
      </c>
      <c r="E13" s="0" t="n">
        <v>0</v>
      </c>
      <c r="F13" s="0" t="n">
        <v>542</v>
      </c>
      <c r="G13" s="0" t="n">
        <v>0</v>
      </c>
      <c r="H13" s="0" t="n">
        <v>96.6</v>
      </c>
      <c r="I13" s="0" t="n">
        <v>0</v>
      </c>
    </row>
    <row r="14" customFormat="false" ht="15" hidden="false" customHeight="false" outlineLevel="0" collapsed="false">
      <c r="A14" s="0" t="s">
        <v>193</v>
      </c>
      <c r="B14" s="0" t="s">
        <v>191</v>
      </c>
      <c r="C14" s="0" t="n">
        <v>233</v>
      </c>
      <c r="D14" s="0" t="n">
        <v>108</v>
      </c>
      <c r="E14" s="0" t="n">
        <v>0</v>
      </c>
      <c r="F14" s="0" t="n">
        <v>341</v>
      </c>
      <c r="G14" s="0" t="n">
        <v>0</v>
      </c>
      <c r="H14" s="0" t="n">
        <v>37.1</v>
      </c>
      <c r="I14" s="0" t="n">
        <v>0</v>
      </c>
    </row>
    <row r="15" customFormat="false" ht="15" hidden="false" customHeight="false" outlineLevel="0" collapsed="false">
      <c r="A15" s="0" t="s">
        <v>194</v>
      </c>
      <c r="B15" s="0" t="s">
        <v>189</v>
      </c>
      <c r="C15" s="0" t="n">
        <v>484</v>
      </c>
      <c r="D15" s="0" t="n">
        <v>288</v>
      </c>
      <c r="E15" s="0" t="n">
        <v>0</v>
      </c>
      <c r="F15" s="0" t="n">
        <v>772</v>
      </c>
      <c r="G15" s="0" t="n">
        <v>0</v>
      </c>
      <c r="H15" s="0" t="n">
        <v>39.7</v>
      </c>
      <c r="I15" s="0" t="n">
        <v>0</v>
      </c>
    </row>
    <row r="16" customFormat="false" ht="15" hidden="false" customHeight="false" outlineLevel="0" collapsed="false">
      <c r="A16" s="0" t="s">
        <v>194</v>
      </c>
      <c r="B16" s="0" t="s">
        <v>190</v>
      </c>
      <c r="C16" s="0" t="n">
        <v>228</v>
      </c>
      <c r="D16" s="0" t="n">
        <v>296</v>
      </c>
      <c r="E16" s="0" t="n">
        <v>0</v>
      </c>
      <c r="F16" s="0" t="n">
        <v>524</v>
      </c>
      <c r="G16" s="0" t="n">
        <v>0</v>
      </c>
      <c r="H16" s="0" t="n">
        <v>93.4</v>
      </c>
      <c r="I16" s="0" t="n">
        <v>0</v>
      </c>
    </row>
    <row r="17" customFormat="false" ht="15" hidden="false" customHeight="false" outlineLevel="0" collapsed="false">
      <c r="A17" s="0" t="s">
        <v>194</v>
      </c>
      <c r="B17" s="0" t="s">
        <v>191</v>
      </c>
      <c r="C17" s="0" t="n">
        <v>135</v>
      </c>
      <c r="D17" s="0" t="n">
        <v>232</v>
      </c>
      <c r="E17" s="0" t="n">
        <v>1</v>
      </c>
      <c r="F17" s="0" t="n">
        <v>366</v>
      </c>
      <c r="G17" s="0" t="n">
        <v>0</v>
      </c>
      <c r="H17" s="0" t="n">
        <v>39.9</v>
      </c>
      <c r="I17" s="0" t="n">
        <v>0</v>
      </c>
    </row>
    <row r="18" customFormat="false" ht="15" hidden="false" customHeight="false" outlineLevel="0" collapsed="false">
      <c r="A18" s="0" t="s">
        <v>195</v>
      </c>
      <c r="B18" s="0" t="s">
        <v>189</v>
      </c>
      <c r="C18" s="0" t="n">
        <v>409</v>
      </c>
      <c r="D18" s="0" t="n">
        <v>354</v>
      </c>
      <c r="E18" s="0" t="n">
        <v>0</v>
      </c>
      <c r="F18" s="0" t="n">
        <v>763</v>
      </c>
      <c r="G18" s="0" t="n">
        <v>0</v>
      </c>
      <c r="H18" s="0" t="n">
        <v>39.2</v>
      </c>
      <c r="I18" s="0" t="n">
        <v>0</v>
      </c>
    </row>
    <row r="19" customFormat="false" ht="15" hidden="false" customHeight="false" outlineLevel="0" collapsed="false">
      <c r="A19" s="0" t="s">
        <v>195</v>
      </c>
      <c r="B19" s="0" t="s">
        <v>190</v>
      </c>
      <c r="C19" s="0" t="n">
        <v>202</v>
      </c>
      <c r="D19" s="0" t="n">
        <v>350</v>
      </c>
      <c r="E19" s="0" t="n">
        <v>0</v>
      </c>
      <c r="F19" s="0" t="n">
        <v>552</v>
      </c>
      <c r="G19" s="0" t="n">
        <v>0</v>
      </c>
      <c r="H19" s="0" t="n">
        <v>98.4</v>
      </c>
      <c r="I19" s="0" t="n">
        <v>0</v>
      </c>
    </row>
    <row r="20" customFormat="false" ht="15" hidden="false" customHeight="false" outlineLevel="0" collapsed="false">
      <c r="A20" s="0" t="s">
        <v>195</v>
      </c>
      <c r="B20" s="0" t="s">
        <v>191</v>
      </c>
      <c r="C20" s="0" t="n">
        <v>194</v>
      </c>
      <c r="D20" s="0" t="n">
        <v>180</v>
      </c>
      <c r="E20" s="0" t="n">
        <v>0</v>
      </c>
      <c r="F20" s="0" t="n">
        <v>374</v>
      </c>
      <c r="G20" s="0" t="n">
        <v>0</v>
      </c>
      <c r="H20" s="0" t="n">
        <v>40.7</v>
      </c>
      <c r="I20" s="0" t="n">
        <v>0</v>
      </c>
    </row>
    <row r="21" customFormat="false" ht="15" hidden="false" customHeight="false" outlineLevel="0" collapsed="false">
      <c r="A21" s="0" t="s">
        <v>196</v>
      </c>
      <c r="B21" s="0" t="s">
        <v>189</v>
      </c>
      <c r="C21" s="0" t="n">
        <v>426</v>
      </c>
      <c r="D21" s="0" t="n">
        <v>384</v>
      </c>
      <c r="E21" s="0" t="n">
        <v>0</v>
      </c>
      <c r="F21" s="0" t="n">
        <v>810</v>
      </c>
      <c r="G21" s="0" t="n">
        <v>0</v>
      </c>
      <c r="H21" s="0" t="n">
        <v>41.7</v>
      </c>
      <c r="I21" s="0" t="n">
        <v>0</v>
      </c>
    </row>
    <row r="22" customFormat="false" ht="15" hidden="false" customHeight="false" outlineLevel="0" collapsed="false">
      <c r="A22" s="0" t="s">
        <v>196</v>
      </c>
      <c r="B22" s="0" t="s">
        <v>190</v>
      </c>
      <c r="C22" s="0" t="n">
        <v>223</v>
      </c>
      <c r="D22" s="0" t="n">
        <v>320</v>
      </c>
      <c r="E22" s="0" t="n">
        <v>0</v>
      </c>
      <c r="F22" s="0" t="n">
        <v>543</v>
      </c>
      <c r="G22" s="0" t="n">
        <v>0</v>
      </c>
      <c r="H22" s="0" t="n">
        <v>96.8</v>
      </c>
      <c r="I22" s="0" t="n">
        <v>0</v>
      </c>
    </row>
    <row r="23" customFormat="false" ht="15" hidden="false" customHeight="false" outlineLevel="0" collapsed="false">
      <c r="A23" s="0" t="s">
        <v>196</v>
      </c>
      <c r="B23" s="0" t="s">
        <v>191</v>
      </c>
      <c r="C23" s="0" t="n">
        <v>277</v>
      </c>
      <c r="D23" s="0" t="n">
        <v>150</v>
      </c>
      <c r="E23" s="0" t="n">
        <v>0</v>
      </c>
      <c r="F23" s="0" t="n">
        <v>427</v>
      </c>
      <c r="G23" s="0" t="n">
        <v>0</v>
      </c>
      <c r="H23" s="0" t="n">
        <v>46.4</v>
      </c>
      <c r="I23" s="0" t="n">
        <v>0</v>
      </c>
    </row>
    <row r="24" customFormat="false" ht="15" hidden="false" customHeight="false" outlineLevel="0" collapsed="false">
      <c r="A24" s="0" t="s">
        <v>197</v>
      </c>
      <c r="B24" s="0" t="s">
        <v>189</v>
      </c>
      <c r="C24" s="0" t="n">
        <v>409</v>
      </c>
      <c r="D24" s="0" t="n">
        <v>436</v>
      </c>
      <c r="E24" s="0" t="n">
        <v>0</v>
      </c>
      <c r="F24" s="0" t="n">
        <v>845</v>
      </c>
      <c r="G24" s="0" t="n">
        <v>0</v>
      </c>
      <c r="H24" s="0" t="n">
        <v>43.5</v>
      </c>
      <c r="I24" s="0" t="n">
        <v>0</v>
      </c>
    </row>
    <row r="25" customFormat="false" ht="15" hidden="false" customHeight="false" outlineLevel="0" collapsed="false">
      <c r="A25" s="0" t="s">
        <v>197</v>
      </c>
      <c r="B25" s="0" t="s">
        <v>190</v>
      </c>
      <c r="C25" s="0" t="n">
        <v>188</v>
      </c>
      <c r="D25" s="0" t="n">
        <v>360</v>
      </c>
      <c r="E25" s="0" t="n">
        <v>0</v>
      </c>
      <c r="F25" s="0" t="n">
        <v>548</v>
      </c>
      <c r="G25" s="0" t="n">
        <v>0</v>
      </c>
      <c r="H25" s="0" t="n">
        <v>97.7</v>
      </c>
      <c r="I25" s="0" t="n">
        <v>0</v>
      </c>
    </row>
    <row r="26" customFormat="false" ht="15" hidden="false" customHeight="false" outlineLevel="0" collapsed="false">
      <c r="A26" s="0" t="s">
        <v>197</v>
      </c>
      <c r="B26" s="0" t="s">
        <v>191</v>
      </c>
      <c r="C26" s="0" t="n">
        <v>220</v>
      </c>
      <c r="D26" s="0" t="n">
        <v>170</v>
      </c>
      <c r="E26" s="0" t="n">
        <v>0</v>
      </c>
      <c r="F26" s="0" t="n">
        <v>390</v>
      </c>
      <c r="G26" s="0" t="n">
        <v>0</v>
      </c>
      <c r="H26" s="0" t="n">
        <v>42.4</v>
      </c>
      <c r="I26" s="0" t="n">
        <v>0</v>
      </c>
    </row>
    <row r="27" customFormat="false" ht="15" hidden="false" customHeight="false" outlineLevel="0" collapsed="false">
      <c r="A27" s="0" t="s">
        <v>198</v>
      </c>
      <c r="B27" s="0" t="s">
        <v>189</v>
      </c>
      <c r="C27" s="0" t="n">
        <v>467</v>
      </c>
      <c r="D27" s="0" t="n">
        <v>320</v>
      </c>
      <c r="E27" s="0" t="n">
        <v>0</v>
      </c>
      <c r="F27" s="0" t="n">
        <v>787</v>
      </c>
      <c r="G27" s="0" t="n">
        <v>0</v>
      </c>
      <c r="H27" s="0" t="n">
        <v>40.5</v>
      </c>
      <c r="I27" s="0" t="n">
        <v>0</v>
      </c>
    </row>
    <row r="28" customFormat="false" ht="15" hidden="false" customHeight="false" outlineLevel="0" collapsed="false">
      <c r="A28" s="0" t="s">
        <v>198</v>
      </c>
      <c r="B28" s="0" t="s">
        <v>190</v>
      </c>
      <c r="C28" s="0" t="n">
        <v>201</v>
      </c>
      <c r="D28" s="0" t="n">
        <v>340</v>
      </c>
      <c r="E28" s="0" t="n">
        <v>0</v>
      </c>
      <c r="F28" s="0" t="n">
        <v>541</v>
      </c>
      <c r="G28" s="0" t="n">
        <v>0</v>
      </c>
      <c r="H28" s="0" t="n">
        <v>96.4</v>
      </c>
      <c r="I28" s="0" t="n">
        <v>0</v>
      </c>
    </row>
    <row r="29" customFormat="false" ht="15" hidden="false" customHeight="false" outlineLevel="0" collapsed="false">
      <c r="A29" s="0" t="s">
        <v>198</v>
      </c>
      <c r="B29" s="0" t="s">
        <v>191</v>
      </c>
      <c r="C29" s="0" t="n">
        <v>190</v>
      </c>
      <c r="D29" s="0" t="n">
        <v>192</v>
      </c>
      <c r="E29" s="0" t="n">
        <v>0</v>
      </c>
      <c r="F29" s="0" t="n">
        <v>382</v>
      </c>
      <c r="G29" s="0" t="n">
        <v>0</v>
      </c>
      <c r="H29" s="0" t="n">
        <v>41.5</v>
      </c>
      <c r="I29" s="0" t="n">
        <v>0</v>
      </c>
    </row>
    <row r="30" customFormat="false" ht="15" hidden="false" customHeight="false" outlineLevel="0" collapsed="false">
      <c r="A30" s="0" t="s">
        <v>199</v>
      </c>
      <c r="B30" s="0" t="s">
        <v>189</v>
      </c>
      <c r="C30" s="0" t="n">
        <v>437</v>
      </c>
      <c r="D30" s="0" t="n">
        <v>288</v>
      </c>
      <c r="E30" s="0" t="n">
        <v>0</v>
      </c>
      <c r="F30" s="0" t="n">
        <v>725</v>
      </c>
      <c r="G30" s="0" t="n">
        <v>0</v>
      </c>
      <c r="H30" s="0" t="n">
        <v>37.3</v>
      </c>
      <c r="I30" s="0" t="n">
        <v>0</v>
      </c>
    </row>
    <row r="31" customFormat="false" ht="15" hidden="false" customHeight="false" outlineLevel="0" collapsed="false">
      <c r="A31" s="0" t="s">
        <v>199</v>
      </c>
      <c r="B31" s="0" t="s">
        <v>190</v>
      </c>
      <c r="C31" s="0" t="n">
        <v>208</v>
      </c>
      <c r="D31" s="0" t="n">
        <v>346</v>
      </c>
      <c r="E31" s="0" t="n">
        <v>0</v>
      </c>
      <c r="F31" s="0" t="n">
        <v>554</v>
      </c>
      <c r="G31" s="0" t="n">
        <v>0</v>
      </c>
      <c r="H31" s="0" t="n">
        <v>98.8</v>
      </c>
      <c r="I31" s="0" t="n">
        <v>0</v>
      </c>
    </row>
    <row r="32" customFormat="false" ht="15" hidden="false" customHeight="false" outlineLevel="0" collapsed="false">
      <c r="A32" s="0" t="s">
        <v>199</v>
      </c>
      <c r="B32" s="0" t="s">
        <v>191</v>
      </c>
      <c r="C32" s="0" t="n">
        <v>199</v>
      </c>
      <c r="D32" s="0" t="n">
        <v>120</v>
      </c>
      <c r="E32" s="0" t="n">
        <v>9</v>
      </c>
      <c r="F32" s="0" t="n">
        <v>310</v>
      </c>
      <c r="G32" s="0" t="n">
        <v>0</v>
      </c>
      <c r="H32" s="0" t="n">
        <v>34.7</v>
      </c>
      <c r="I32" s="0" t="n">
        <v>0</v>
      </c>
    </row>
    <row r="33" customFormat="false" ht="15" hidden="false" customHeight="false" outlineLevel="0" collapsed="false">
      <c r="A33" s="0" t="s">
        <v>200</v>
      </c>
      <c r="B33" s="0" t="s">
        <v>189</v>
      </c>
      <c r="C33" s="0" t="n">
        <v>410</v>
      </c>
      <c r="D33" s="0" t="n">
        <v>384</v>
      </c>
      <c r="E33" s="0" t="n">
        <v>0</v>
      </c>
      <c r="F33" s="0" t="n">
        <v>794</v>
      </c>
      <c r="G33" s="0" t="n">
        <v>0</v>
      </c>
      <c r="H33" s="0" t="n">
        <v>40.8</v>
      </c>
      <c r="I33" s="0" t="n">
        <v>0</v>
      </c>
    </row>
    <row r="34" customFormat="false" ht="15" hidden="false" customHeight="false" outlineLevel="0" collapsed="false">
      <c r="A34" s="0" t="s">
        <v>200</v>
      </c>
      <c r="B34" s="0" t="s">
        <v>190</v>
      </c>
      <c r="C34" s="0" t="n">
        <v>280</v>
      </c>
      <c r="D34" s="0" t="n">
        <v>258</v>
      </c>
      <c r="E34" s="0" t="n">
        <v>0</v>
      </c>
      <c r="F34" s="0" t="n">
        <v>538</v>
      </c>
      <c r="G34" s="0" t="n">
        <v>0</v>
      </c>
      <c r="H34" s="0" t="n">
        <v>95.9</v>
      </c>
      <c r="I34" s="0" t="n">
        <v>0</v>
      </c>
    </row>
    <row r="35" customFormat="false" ht="15" hidden="false" customHeight="false" outlineLevel="0" collapsed="false">
      <c r="A35" s="0" t="s">
        <v>200</v>
      </c>
      <c r="B35" s="0" t="s">
        <v>191</v>
      </c>
      <c r="C35" s="0" t="n">
        <v>216</v>
      </c>
      <c r="D35" s="0" t="n">
        <v>132</v>
      </c>
      <c r="E35" s="0" t="n">
        <v>0</v>
      </c>
      <c r="F35" s="0" t="n">
        <v>348</v>
      </c>
      <c r="G35" s="0" t="n">
        <v>0</v>
      </c>
      <c r="H35" s="0" t="n">
        <v>37.8</v>
      </c>
      <c r="I35" s="0" t="n">
        <v>0</v>
      </c>
    </row>
    <row r="36" customFormat="false" ht="15" hidden="false" customHeight="false" outlineLevel="0" collapsed="false">
      <c r="A36" s="0" t="s">
        <v>201</v>
      </c>
      <c r="B36" s="0" t="s">
        <v>189</v>
      </c>
      <c r="C36" s="0" t="n">
        <v>489</v>
      </c>
      <c r="D36" s="0" t="n">
        <v>304</v>
      </c>
      <c r="E36" s="0" t="n">
        <v>0</v>
      </c>
      <c r="F36" s="0" t="n">
        <v>793</v>
      </c>
      <c r="G36" s="0" t="n">
        <v>0</v>
      </c>
      <c r="H36" s="0" t="n">
        <v>40.8</v>
      </c>
      <c r="I36" s="0" t="n">
        <v>0</v>
      </c>
    </row>
    <row r="37" customFormat="false" ht="15" hidden="false" customHeight="false" outlineLevel="0" collapsed="false">
      <c r="A37" s="0" t="s">
        <v>201</v>
      </c>
      <c r="B37" s="0" t="s">
        <v>190</v>
      </c>
      <c r="C37" s="0" t="n">
        <v>216</v>
      </c>
      <c r="D37" s="0" t="n">
        <v>342</v>
      </c>
      <c r="E37" s="0" t="n">
        <v>0</v>
      </c>
      <c r="F37" s="0" t="n">
        <v>558</v>
      </c>
      <c r="G37" s="0" t="n">
        <v>0</v>
      </c>
      <c r="H37" s="0" t="n">
        <v>99.5</v>
      </c>
      <c r="I37" s="0" t="n">
        <v>0</v>
      </c>
    </row>
    <row r="38" customFormat="false" ht="15" hidden="false" customHeight="false" outlineLevel="0" collapsed="false">
      <c r="A38" s="0" t="s">
        <v>201</v>
      </c>
      <c r="B38" s="0" t="s">
        <v>191</v>
      </c>
      <c r="C38" s="0" t="n">
        <v>279</v>
      </c>
      <c r="D38" s="0" t="n">
        <v>36</v>
      </c>
      <c r="E38" s="0" t="n">
        <v>0</v>
      </c>
      <c r="F38" s="0" t="n">
        <v>315</v>
      </c>
      <c r="G38" s="0" t="n">
        <v>0</v>
      </c>
      <c r="H38" s="0" t="n">
        <v>34.2</v>
      </c>
      <c r="I38" s="0" t="n">
        <v>0</v>
      </c>
    </row>
    <row r="39" customFormat="false" ht="15" hidden="false" customHeight="false" outlineLevel="0" collapsed="false">
      <c r="A39" s="0" t="s">
        <v>202</v>
      </c>
      <c r="B39" s="0" t="s">
        <v>189</v>
      </c>
      <c r="C39" s="0" t="n">
        <v>281</v>
      </c>
      <c r="D39" s="0" t="n">
        <v>586</v>
      </c>
      <c r="E39" s="0" t="n">
        <v>0</v>
      </c>
      <c r="F39" s="0" t="n">
        <v>867</v>
      </c>
      <c r="G39" s="0" t="n">
        <v>0</v>
      </c>
      <c r="H39" s="0" t="n">
        <v>44.6</v>
      </c>
      <c r="I39" s="0" t="n">
        <v>0</v>
      </c>
    </row>
    <row r="40" customFormat="false" ht="15" hidden="false" customHeight="false" outlineLevel="0" collapsed="false">
      <c r="A40" s="0" t="s">
        <v>202</v>
      </c>
      <c r="B40" s="0" t="s">
        <v>190</v>
      </c>
      <c r="C40" s="0" t="n">
        <v>143</v>
      </c>
      <c r="D40" s="0" t="n">
        <v>410</v>
      </c>
      <c r="E40" s="0" t="n">
        <v>0</v>
      </c>
      <c r="F40" s="0" t="n">
        <v>553</v>
      </c>
      <c r="G40" s="0" t="n">
        <v>0</v>
      </c>
      <c r="H40" s="0" t="n">
        <v>98.6</v>
      </c>
      <c r="I40" s="0" t="n">
        <v>0</v>
      </c>
    </row>
    <row r="41" customFormat="false" ht="15" hidden="false" customHeight="false" outlineLevel="0" collapsed="false">
      <c r="A41" s="0" t="s">
        <v>202</v>
      </c>
      <c r="B41" s="0" t="s">
        <v>191</v>
      </c>
      <c r="C41" s="0" t="n">
        <v>236</v>
      </c>
      <c r="D41" s="0" t="n">
        <v>162</v>
      </c>
      <c r="E41" s="0" t="n">
        <v>0</v>
      </c>
      <c r="F41" s="0" t="n">
        <v>398</v>
      </c>
      <c r="G41" s="0" t="n">
        <v>0</v>
      </c>
      <c r="H41" s="0" t="n">
        <v>43.3</v>
      </c>
      <c r="I41" s="0" t="n">
        <v>0</v>
      </c>
    </row>
    <row r="42" customFormat="false" ht="15" hidden="false" customHeight="false" outlineLevel="0" collapsed="false">
      <c r="A42" s="0" t="s">
        <v>203</v>
      </c>
      <c r="B42" s="0" t="s">
        <v>189</v>
      </c>
      <c r="C42" s="0" t="n">
        <v>299</v>
      </c>
      <c r="D42" s="0" t="n">
        <v>652</v>
      </c>
      <c r="E42" s="0" t="n">
        <v>0</v>
      </c>
      <c r="F42" s="0" t="n">
        <v>951</v>
      </c>
      <c r="G42" s="0" t="n">
        <v>0</v>
      </c>
      <c r="H42" s="0" t="n">
        <v>48.9</v>
      </c>
      <c r="I42" s="0" t="n">
        <v>0</v>
      </c>
    </row>
    <row r="43" customFormat="false" ht="15" hidden="false" customHeight="false" outlineLevel="0" collapsed="false">
      <c r="A43" s="0" t="s">
        <v>203</v>
      </c>
      <c r="B43" s="0" t="s">
        <v>190</v>
      </c>
      <c r="C43" s="0" t="n">
        <v>184</v>
      </c>
      <c r="D43" s="0" t="n">
        <v>372</v>
      </c>
      <c r="E43" s="0" t="n">
        <v>0</v>
      </c>
      <c r="F43" s="0" t="n">
        <v>556</v>
      </c>
      <c r="G43" s="0" t="n">
        <v>0</v>
      </c>
      <c r="H43" s="0" t="n">
        <v>99.1</v>
      </c>
      <c r="I43" s="0" t="n">
        <v>0</v>
      </c>
    </row>
    <row r="44" customFormat="false" ht="15" hidden="false" customHeight="false" outlineLevel="0" collapsed="false">
      <c r="A44" s="0" t="s">
        <v>203</v>
      </c>
      <c r="B44" s="0" t="s">
        <v>191</v>
      </c>
      <c r="C44" s="0" t="n">
        <v>215</v>
      </c>
      <c r="D44" s="0" t="n">
        <v>152</v>
      </c>
      <c r="E44" s="0" t="n">
        <v>0</v>
      </c>
      <c r="F44" s="0" t="n">
        <v>367</v>
      </c>
      <c r="G44" s="0" t="n">
        <v>0</v>
      </c>
      <c r="H44" s="0" t="n">
        <v>39.9</v>
      </c>
      <c r="I44" s="0" t="n">
        <v>0</v>
      </c>
    </row>
    <row r="45" customFormat="false" ht="15" hidden="false" customHeight="false" outlineLevel="0" collapsed="false">
      <c r="A45" s="0" t="s">
        <v>204</v>
      </c>
      <c r="B45" s="0" t="s">
        <v>189</v>
      </c>
      <c r="C45" s="0" t="n">
        <v>271</v>
      </c>
      <c r="D45" s="0" t="n">
        <v>530</v>
      </c>
      <c r="E45" s="0" t="n">
        <v>0</v>
      </c>
      <c r="F45" s="0" t="n">
        <v>801</v>
      </c>
      <c r="G45" s="0" t="n">
        <v>0</v>
      </c>
      <c r="H45" s="0" t="n">
        <v>41.2</v>
      </c>
      <c r="I45" s="0" t="n">
        <v>0</v>
      </c>
    </row>
    <row r="46" customFormat="false" ht="15" hidden="false" customHeight="false" outlineLevel="0" collapsed="false">
      <c r="A46" s="0" t="s">
        <v>204</v>
      </c>
      <c r="B46" s="0" t="s">
        <v>190</v>
      </c>
      <c r="C46" s="0" t="n">
        <v>142</v>
      </c>
      <c r="D46" s="0" t="n">
        <v>408</v>
      </c>
      <c r="E46" s="0" t="n">
        <v>0</v>
      </c>
      <c r="F46" s="0" t="n">
        <v>550</v>
      </c>
      <c r="G46" s="0" t="n">
        <v>0</v>
      </c>
      <c r="H46" s="0" t="n">
        <v>98</v>
      </c>
      <c r="I46" s="0" t="n">
        <v>0</v>
      </c>
    </row>
    <row r="47" customFormat="false" ht="15" hidden="false" customHeight="false" outlineLevel="0" collapsed="false">
      <c r="A47" s="0" t="s">
        <v>204</v>
      </c>
      <c r="B47" s="0" t="s">
        <v>191</v>
      </c>
      <c r="C47" s="0" t="n">
        <v>236</v>
      </c>
      <c r="D47" s="0" t="n">
        <v>228</v>
      </c>
      <c r="E47" s="0" t="n">
        <v>0</v>
      </c>
      <c r="F47" s="0" t="n">
        <v>464</v>
      </c>
      <c r="G47" s="0" t="n">
        <v>0</v>
      </c>
      <c r="H47" s="0" t="n">
        <v>50.4</v>
      </c>
      <c r="I47" s="0" t="n">
        <v>0</v>
      </c>
    </row>
    <row r="48" customFormat="false" ht="15" hidden="false" customHeight="false" outlineLevel="0" collapsed="false">
      <c r="A48" s="0" t="s">
        <v>205</v>
      </c>
      <c r="B48" s="0" t="s">
        <v>189</v>
      </c>
      <c r="C48" s="0" t="n">
        <v>476</v>
      </c>
      <c r="D48" s="0" t="n">
        <v>360</v>
      </c>
      <c r="E48" s="0" t="n">
        <v>0</v>
      </c>
      <c r="F48" s="0" t="n">
        <v>836</v>
      </c>
      <c r="G48" s="0" t="n">
        <v>0</v>
      </c>
      <c r="H48" s="0" t="n">
        <v>43</v>
      </c>
      <c r="I48" s="0" t="n">
        <v>0</v>
      </c>
    </row>
    <row r="49" customFormat="false" ht="15" hidden="false" customHeight="false" outlineLevel="0" collapsed="false">
      <c r="A49" s="0" t="s">
        <v>205</v>
      </c>
      <c r="B49" s="0" t="s">
        <v>190</v>
      </c>
      <c r="C49" s="0" t="n">
        <v>259</v>
      </c>
      <c r="D49" s="0" t="n">
        <v>274</v>
      </c>
      <c r="E49" s="0" t="n">
        <v>0</v>
      </c>
      <c r="F49" s="0" t="n">
        <v>533</v>
      </c>
      <c r="G49" s="0" t="n">
        <v>0</v>
      </c>
      <c r="H49" s="0" t="n">
        <v>95</v>
      </c>
      <c r="I49" s="0" t="n">
        <v>0</v>
      </c>
    </row>
    <row r="50" customFormat="false" ht="15" hidden="false" customHeight="false" outlineLevel="0" collapsed="false">
      <c r="A50" s="0" t="s">
        <v>205</v>
      </c>
      <c r="B50" s="0" t="s">
        <v>191</v>
      </c>
      <c r="C50" s="0" t="n">
        <v>292</v>
      </c>
      <c r="D50" s="0" t="n">
        <v>156</v>
      </c>
      <c r="E50" s="0" t="n">
        <v>0</v>
      </c>
      <c r="F50" s="0" t="n">
        <v>448</v>
      </c>
      <c r="G50" s="0" t="n">
        <v>0</v>
      </c>
      <c r="H50" s="0" t="n">
        <v>48.7</v>
      </c>
      <c r="I50" s="0" t="n">
        <v>0</v>
      </c>
    </row>
    <row r="51" customFormat="false" ht="15" hidden="false" customHeight="false" outlineLevel="0" collapsed="false">
      <c r="A51" s="0" t="s">
        <v>206</v>
      </c>
      <c r="B51" s="0" t="s">
        <v>189</v>
      </c>
      <c r="C51" s="0" t="n">
        <v>318</v>
      </c>
      <c r="D51" s="0" t="n">
        <v>570</v>
      </c>
      <c r="E51" s="0" t="n">
        <v>0</v>
      </c>
      <c r="F51" s="0" t="n">
        <v>888</v>
      </c>
      <c r="G51" s="0" t="n">
        <v>0</v>
      </c>
      <c r="H51" s="0" t="n">
        <v>45.7</v>
      </c>
      <c r="I51" s="0" t="n">
        <v>0</v>
      </c>
    </row>
    <row r="52" customFormat="false" ht="15" hidden="false" customHeight="false" outlineLevel="0" collapsed="false">
      <c r="A52" s="0" t="s">
        <v>206</v>
      </c>
      <c r="B52" s="0" t="s">
        <v>190</v>
      </c>
      <c r="C52" s="0" t="n">
        <v>229</v>
      </c>
      <c r="D52" s="0" t="n">
        <v>300</v>
      </c>
      <c r="E52" s="0" t="n">
        <v>0</v>
      </c>
      <c r="F52" s="0" t="n">
        <v>529</v>
      </c>
      <c r="G52" s="0" t="n">
        <v>0</v>
      </c>
      <c r="H52" s="0" t="n">
        <v>94.3</v>
      </c>
      <c r="I52" s="0" t="n">
        <v>0</v>
      </c>
    </row>
    <row r="53" customFormat="false" ht="15" hidden="false" customHeight="false" outlineLevel="0" collapsed="false">
      <c r="A53" s="0" t="s">
        <v>206</v>
      </c>
      <c r="B53" s="0" t="s">
        <v>191</v>
      </c>
      <c r="C53" s="0" t="n">
        <v>224</v>
      </c>
      <c r="D53" s="0" t="n">
        <v>236</v>
      </c>
      <c r="E53" s="0" t="n">
        <v>0</v>
      </c>
      <c r="F53" s="0" t="n">
        <v>460</v>
      </c>
      <c r="G53" s="0" t="n">
        <v>0</v>
      </c>
      <c r="H53" s="0" t="n">
        <v>50</v>
      </c>
      <c r="I53" s="0" t="n">
        <v>0</v>
      </c>
    </row>
    <row r="54" customFormat="false" ht="15" hidden="false" customHeight="false" outlineLevel="0" collapsed="false">
      <c r="A54" s="0" t="s">
        <v>207</v>
      </c>
      <c r="B54" s="0" t="s">
        <v>189</v>
      </c>
      <c r="C54" s="0" t="n">
        <v>563</v>
      </c>
      <c r="D54" s="0" t="n">
        <v>262</v>
      </c>
      <c r="E54" s="0" t="n">
        <v>0</v>
      </c>
      <c r="F54" s="0" t="n">
        <v>825</v>
      </c>
      <c r="G54" s="0" t="n">
        <v>0</v>
      </c>
      <c r="H54" s="0" t="n">
        <v>42.4</v>
      </c>
      <c r="I54" s="0" t="n">
        <v>0</v>
      </c>
    </row>
    <row r="55" customFormat="false" ht="15" hidden="false" customHeight="false" outlineLevel="0" collapsed="false">
      <c r="A55" s="0" t="s">
        <v>207</v>
      </c>
      <c r="B55" s="0" t="s">
        <v>190</v>
      </c>
      <c r="C55" s="0" t="n">
        <v>228</v>
      </c>
      <c r="D55" s="0" t="n">
        <v>304</v>
      </c>
      <c r="E55" s="0" t="n">
        <v>0</v>
      </c>
      <c r="F55" s="0" t="n">
        <v>532</v>
      </c>
      <c r="G55" s="0" t="n">
        <v>0</v>
      </c>
      <c r="H55" s="0" t="n">
        <v>94.8</v>
      </c>
      <c r="I55" s="0" t="n">
        <v>0</v>
      </c>
    </row>
    <row r="56" customFormat="false" ht="15" hidden="false" customHeight="false" outlineLevel="0" collapsed="false">
      <c r="A56" s="0" t="s">
        <v>207</v>
      </c>
      <c r="B56" s="0" t="s">
        <v>191</v>
      </c>
      <c r="C56" s="0" t="n">
        <v>244</v>
      </c>
      <c r="D56" s="0" t="n">
        <v>216</v>
      </c>
      <c r="E56" s="0" t="n">
        <v>0</v>
      </c>
      <c r="F56" s="0" t="n">
        <v>460</v>
      </c>
      <c r="G56" s="0" t="n">
        <v>0</v>
      </c>
      <c r="H56" s="0" t="n">
        <v>50</v>
      </c>
      <c r="I56" s="0" t="n">
        <v>0</v>
      </c>
    </row>
    <row r="57" customFormat="false" ht="15" hidden="false" customHeight="false" outlineLevel="0" collapsed="false">
      <c r="A57" s="0" t="s">
        <v>208</v>
      </c>
      <c r="B57" s="0" t="s">
        <v>189</v>
      </c>
      <c r="C57" s="0" t="n">
        <v>504</v>
      </c>
      <c r="D57" s="0" t="n">
        <v>284</v>
      </c>
      <c r="E57" s="0" t="n">
        <v>0</v>
      </c>
      <c r="F57" s="0" t="n">
        <v>788</v>
      </c>
      <c r="G57" s="0" t="n">
        <v>248</v>
      </c>
      <c r="H57" s="0" t="n">
        <v>40.5</v>
      </c>
      <c r="I57" s="0" t="n">
        <v>0</v>
      </c>
    </row>
    <row r="58" customFormat="false" ht="15" hidden="false" customHeight="false" outlineLevel="0" collapsed="false">
      <c r="A58" s="0" t="s">
        <v>208</v>
      </c>
      <c r="B58" s="0" t="s">
        <v>190</v>
      </c>
      <c r="C58" s="0" t="n">
        <v>246</v>
      </c>
      <c r="D58" s="0" t="n">
        <v>336</v>
      </c>
      <c r="E58" s="0" t="n">
        <v>0</v>
      </c>
      <c r="F58" s="0" t="n">
        <v>582</v>
      </c>
      <c r="G58" s="0" t="n">
        <v>336</v>
      </c>
      <c r="H58" s="0" t="n">
        <v>103.7</v>
      </c>
      <c r="I58" s="0" t="n">
        <v>0</v>
      </c>
    </row>
    <row r="59" customFormat="false" ht="15" hidden="false" customHeight="false" outlineLevel="0" collapsed="false">
      <c r="A59" s="0" t="s">
        <v>208</v>
      </c>
      <c r="B59" s="0" t="s">
        <v>191</v>
      </c>
      <c r="C59" s="0" t="n">
        <v>270</v>
      </c>
      <c r="D59" s="0" t="n">
        <v>60</v>
      </c>
      <c r="E59" s="0" t="n">
        <v>0</v>
      </c>
      <c r="F59" s="0" t="n">
        <v>330</v>
      </c>
      <c r="G59" s="0" t="n">
        <v>24</v>
      </c>
      <c r="H59" s="0" t="n">
        <v>35.9</v>
      </c>
      <c r="I59" s="0" t="n">
        <v>0</v>
      </c>
    </row>
    <row r="62" customFormat="false" ht="15" hidden="false" customHeight="false" outlineLevel="0" collapsed="false">
      <c r="A62" s="13" t="s">
        <v>209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customFormat="false" ht="28.35" hidden="false" customHeight="false" outlineLevel="0" collapsed="false">
      <c r="A63" s="3" t="s">
        <v>24</v>
      </c>
      <c r="B63" s="3" t="s">
        <v>25</v>
      </c>
      <c r="C63" s="3" t="s">
        <v>210</v>
      </c>
      <c r="D63" s="3" t="s">
        <v>42</v>
      </c>
      <c r="E63" s="3" t="s">
        <v>182</v>
      </c>
      <c r="F63" s="3" t="s">
        <v>183</v>
      </c>
      <c r="G63" s="3" t="s">
        <v>64</v>
      </c>
      <c r="H63" s="3" t="s">
        <v>184</v>
      </c>
      <c r="I63" s="3" t="s">
        <v>10</v>
      </c>
      <c r="J63" s="3" t="s">
        <v>12</v>
      </c>
      <c r="K63" s="3" t="s">
        <v>211</v>
      </c>
      <c r="L63" s="3" t="s">
        <v>212</v>
      </c>
      <c r="M63" s="3" t="s">
        <v>213</v>
      </c>
      <c r="N63" s="3" t="s">
        <v>16</v>
      </c>
      <c r="O63" s="3" t="s">
        <v>214</v>
      </c>
      <c r="P63" s="3" t="s">
        <v>18</v>
      </c>
      <c r="Q63" s="3" t="s">
        <v>215</v>
      </c>
    </row>
    <row r="64" customFormat="false" ht="15" hidden="false" customHeight="false" outlineLevel="0" collapsed="false">
      <c r="A64" s="0" t="s">
        <v>216</v>
      </c>
      <c r="B64" s="0" t="s">
        <v>190</v>
      </c>
      <c r="C64" s="0" t="s">
        <v>217</v>
      </c>
      <c r="D64" s="0" t="s">
        <v>218</v>
      </c>
      <c r="E64" s="0" t="n">
        <v>70</v>
      </c>
      <c r="F64" s="0" t="n">
        <v>48</v>
      </c>
      <c r="G64" s="0" t="n">
        <v>0</v>
      </c>
      <c r="H64" s="0" t="n">
        <v>118</v>
      </c>
      <c r="I64" s="0" t="n">
        <v>128</v>
      </c>
      <c r="J64" s="0" t="n">
        <v>252</v>
      </c>
      <c r="K64" s="0" t="n">
        <v>134</v>
      </c>
      <c r="L64" s="0" t="n">
        <v>24</v>
      </c>
      <c r="M64" s="0" t="n">
        <v>134</v>
      </c>
      <c r="N64" s="0" t="n">
        <v>12</v>
      </c>
      <c r="O64" s="0" t="n">
        <v>144</v>
      </c>
      <c r="P64" s="0" t="n">
        <v>41.74</v>
      </c>
      <c r="Q64" s="0" t="n">
        <v>6010.56</v>
      </c>
    </row>
    <row r="65" customFormat="false" ht="15" hidden="false" customHeight="false" outlineLevel="0" collapsed="false">
      <c r="A65" s="0" t="s">
        <v>219</v>
      </c>
      <c r="B65" s="0" t="s">
        <v>190</v>
      </c>
      <c r="C65" s="0" t="s">
        <v>217</v>
      </c>
      <c r="D65" s="0" t="s">
        <v>220</v>
      </c>
      <c r="E65" s="0" t="n">
        <v>0</v>
      </c>
      <c r="F65" s="0" t="n">
        <v>48</v>
      </c>
      <c r="G65" s="0" t="n">
        <v>0</v>
      </c>
      <c r="H65" s="0" t="n">
        <v>48</v>
      </c>
      <c r="I65" s="0" t="n">
        <v>51</v>
      </c>
      <c r="J65" s="0" t="n">
        <v>144</v>
      </c>
      <c r="K65" s="0" t="n">
        <v>96</v>
      </c>
      <c r="L65" s="0" t="n">
        <v>24</v>
      </c>
      <c r="M65" s="0" t="n">
        <v>96</v>
      </c>
      <c r="N65" s="0" t="n">
        <v>12</v>
      </c>
      <c r="O65" s="0" t="n">
        <v>96</v>
      </c>
      <c r="P65" s="0" t="n">
        <v>53.17</v>
      </c>
      <c r="Q65" s="0" t="n">
        <v>5104.32</v>
      </c>
    </row>
    <row r="66" customFormat="false" ht="15" hidden="false" customHeight="false" outlineLevel="0" collapsed="false">
      <c r="A66" s="0" t="s">
        <v>221</v>
      </c>
      <c r="E66" s="0" t="n">
        <v>1020</v>
      </c>
      <c r="F66" s="0" t="n">
        <v>608</v>
      </c>
      <c r="G66" s="0" t="n">
        <v>0</v>
      </c>
      <c r="H66" s="0" t="n">
        <v>1628</v>
      </c>
      <c r="I66" s="0" t="n">
        <v>1198</v>
      </c>
      <c r="J66" s="0" t="n">
        <v>2336</v>
      </c>
      <c r="K66" s="0" t="n">
        <v>230</v>
      </c>
      <c r="M66" s="0" t="n">
        <v>230</v>
      </c>
      <c r="O66" s="0" t="n">
        <v>240</v>
      </c>
      <c r="Q66" s="0" t="n">
        <v>11114.88</v>
      </c>
    </row>
    <row r="69" customFormat="false" ht="15" hidden="false" customHeight="false" outlineLevel="0" collapsed="false">
      <c r="A69" s="13" t="s">
        <v>222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customFormat="false" ht="28.35" hidden="false" customHeight="false" outlineLevel="0" collapsed="false">
      <c r="A70" s="3" t="s">
        <v>25</v>
      </c>
      <c r="B70" s="3" t="s">
        <v>210</v>
      </c>
      <c r="C70" s="3" t="s">
        <v>223</v>
      </c>
      <c r="D70" s="3" t="s">
        <v>224</v>
      </c>
      <c r="E70" s="3" t="s">
        <v>225</v>
      </c>
      <c r="F70" s="3" t="s">
        <v>226</v>
      </c>
      <c r="G70" s="3" t="s">
        <v>227</v>
      </c>
      <c r="H70" s="3" t="s">
        <v>228</v>
      </c>
      <c r="I70" s="3" t="s">
        <v>229</v>
      </c>
    </row>
    <row r="71" customFormat="false" ht="15" hidden="false" customHeight="false" outlineLevel="0" collapsed="false">
      <c r="A71" s="0" t="s">
        <v>189</v>
      </c>
      <c r="B71" s="0" t="s">
        <v>217</v>
      </c>
      <c r="C71" s="0" t="n">
        <v>3</v>
      </c>
      <c r="D71" s="0" t="n">
        <v>10983</v>
      </c>
      <c r="E71" s="0" t="n">
        <v>425</v>
      </c>
      <c r="F71" s="0" t="n">
        <v>11408</v>
      </c>
      <c r="G71" s="0" t="n">
        <v>0.962745</v>
      </c>
      <c r="H71" s="0" t="n">
        <v>42</v>
      </c>
      <c r="I71" s="0" t="n">
        <v>0.025547</v>
      </c>
    </row>
    <row r="72" customFormat="false" ht="15" hidden="false" customHeight="false" outlineLevel="0" collapsed="false">
      <c r="A72" s="0" t="s">
        <v>189</v>
      </c>
      <c r="B72" s="0" t="s">
        <v>230</v>
      </c>
      <c r="C72" s="0" t="n">
        <v>10</v>
      </c>
      <c r="D72" s="0" t="n">
        <v>2353</v>
      </c>
      <c r="E72" s="0" t="n">
        <v>69</v>
      </c>
      <c r="F72" s="0" t="n">
        <v>2422</v>
      </c>
      <c r="G72" s="0" t="n">
        <v>0.971511</v>
      </c>
      <c r="H72" s="0" t="n">
        <v>54</v>
      </c>
      <c r="I72" s="0" t="n">
        <v>0.009854</v>
      </c>
    </row>
    <row r="73" customFormat="false" ht="15" hidden="false" customHeight="false" outlineLevel="0" collapsed="false">
      <c r="A73" s="0" t="s">
        <v>189</v>
      </c>
      <c r="B73" s="0" t="s">
        <v>231</v>
      </c>
      <c r="C73" s="0" t="n">
        <v>16</v>
      </c>
      <c r="D73" s="0" t="n">
        <v>1402</v>
      </c>
      <c r="E73" s="0" t="n">
        <v>46</v>
      </c>
      <c r="F73" s="0" t="n">
        <v>1448</v>
      </c>
      <c r="G73" s="0" t="n">
        <v>0.968232</v>
      </c>
      <c r="H73" s="0" t="n">
        <v>32</v>
      </c>
      <c r="I73" s="0" t="n">
        <v>0.00365</v>
      </c>
    </row>
    <row r="74" customFormat="false" ht="15" hidden="false" customHeight="false" outlineLevel="0" collapsed="false">
      <c r="A74" s="0" t="s">
        <v>189</v>
      </c>
      <c r="B74" s="0" t="s">
        <v>232</v>
      </c>
      <c r="C74" s="0" t="n">
        <v>29</v>
      </c>
      <c r="D74" s="0" t="n">
        <v>14738</v>
      </c>
      <c r="E74" s="0" t="n">
        <v>540</v>
      </c>
      <c r="F74" s="0" t="n">
        <v>15278</v>
      </c>
      <c r="G74" s="0" t="n">
        <v>0.964655</v>
      </c>
      <c r="H74" s="0" t="n">
        <v>128</v>
      </c>
      <c r="I74" s="0" t="n">
        <v>0.008054</v>
      </c>
    </row>
    <row r="75" customFormat="false" ht="15" hidden="false" customHeight="false" outlineLevel="0" collapsed="false">
      <c r="A75" s="0" t="s">
        <v>190</v>
      </c>
      <c r="B75" s="0" t="s">
        <v>217</v>
      </c>
      <c r="C75" s="0" t="n">
        <v>3</v>
      </c>
      <c r="D75" s="0" t="n">
        <v>12087</v>
      </c>
      <c r="E75" s="0" t="n">
        <v>1682</v>
      </c>
      <c r="F75" s="0" t="n">
        <v>13769</v>
      </c>
      <c r="G75" s="0" t="n">
        <v>0.877842</v>
      </c>
      <c r="H75" s="0" t="n">
        <v>205</v>
      </c>
      <c r="I75" s="0" t="n">
        <v>0.124696</v>
      </c>
    </row>
    <row r="76" customFormat="false" ht="15" hidden="false" customHeight="false" outlineLevel="0" collapsed="false">
      <c r="A76" s="0" t="s">
        <v>190</v>
      </c>
      <c r="B76" s="0" t="s">
        <v>230</v>
      </c>
      <c r="C76" s="0" t="n">
        <v>3</v>
      </c>
      <c r="D76" s="0" t="n">
        <v>679</v>
      </c>
      <c r="E76" s="0" t="n">
        <v>18</v>
      </c>
      <c r="F76" s="0" t="n">
        <v>697</v>
      </c>
      <c r="G76" s="0" t="n">
        <v>0.974175</v>
      </c>
      <c r="H76" s="0" t="n">
        <v>15</v>
      </c>
      <c r="I76" s="0" t="n">
        <v>0.009124</v>
      </c>
    </row>
    <row r="77" customFormat="false" ht="15" hidden="false" customHeight="false" outlineLevel="0" collapsed="false">
      <c r="A77" s="0" t="s">
        <v>190</v>
      </c>
      <c r="B77" s="0" t="s">
        <v>231</v>
      </c>
      <c r="C77" s="0" t="n">
        <v>11</v>
      </c>
      <c r="D77" s="0" t="n">
        <v>862</v>
      </c>
      <c r="E77" s="0" t="n">
        <v>14</v>
      </c>
      <c r="F77" s="0" t="n">
        <v>876</v>
      </c>
      <c r="G77" s="0" t="n">
        <v>0.984018</v>
      </c>
      <c r="H77" s="0" t="n">
        <v>13</v>
      </c>
      <c r="I77" s="0" t="n">
        <v>0.002157</v>
      </c>
    </row>
    <row r="78" customFormat="false" ht="15" hidden="false" customHeight="false" outlineLevel="0" collapsed="false">
      <c r="A78" s="0" t="s">
        <v>190</v>
      </c>
      <c r="B78" s="0" t="s">
        <v>232</v>
      </c>
      <c r="C78" s="0" t="n">
        <v>17</v>
      </c>
      <c r="D78" s="0" t="n">
        <v>13628</v>
      </c>
      <c r="E78" s="0" t="n">
        <v>1714</v>
      </c>
      <c r="F78" s="0" t="n">
        <v>15342</v>
      </c>
      <c r="G78" s="0" t="n">
        <v>0.888281</v>
      </c>
      <c r="H78" s="0" t="n">
        <v>233</v>
      </c>
      <c r="I78" s="0" t="n">
        <v>0.025011</v>
      </c>
    </row>
    <row r="79" customFormat="false" ht="15" hidden="false" customHeight="false" outlineLevel="0" collapsed="false">
      <c r="A79" s="0" t="s">
        <v>191</v>
      </c>
      <c r="B79" s="0" t="s">
        <v>217</v>
      </c>
      <c r="C79" s="0" t="n">
        <v>2</v>
      </c>
      <c r="D79" s="0" t="n">
        <v>6120</v>
      </c>
      <c r="E79" s="0" t="n">
        <v>316</v>
      </c>
      <c r="F79" s="0" t="n">
        <v>6436</v>
      </c>
      <c r="G79" s="0" t="n">
        <v>0.950901</v>
      </c>
      <c r="H79" s="0" t="n">
        <v>47</v>
      </c>
      <c r="I79" s="0" t="n">
        <v>0.042883</v>
      </c>
    </row>
    <row r="80" customFormat="false" ht="15" hidden="false" customHeight="false" outlineLevel="0" collapsed="false">
      <c r="A80" s="0" t="s">
        <v>191</v>
      </c>
      <c r="B80" s="0" t="s">
        <v>230</v>
      </c>
      <c r="C80" s="0" t="n">
        <v>3</v>
      </c>
      <c r="D80" s="0" t="n">
        <v>771</v>
      </c>
      <c r="E80" s="0" t="n">
        <v>28</v>
      </c>
      <c r="F80" s="0" t="n">
        <v>799</v>
      </c>
      <c r="G80" s="0" t="n">
        <v>0.964956</v>
      </c>
      <c r="H80" s="0" t="n">
        <v>13</v>
      </c>
      <c r="I80" s="0" t="n">
        <v>0.007908</v>
      </c>
    </row>
    <row r="81" customFormat="false" ht="15" hidden="false" customHeight="false" outlineLevel="0" collapsed="false">
      <c r="A81" s="0" t="s">
        <v>191</v>
      </c>
      <c r="B81" s="0" t="s">
        <v>231</v>
      </c>
      <c r="C81" s="0" t="n">
        <v>9</v>
      </c>
      <c r="D81" s="0" t="n">
        <v>819</v>
      </c>
      <c r="E81" s="0" t="n">
        <v>14</v>
      </c>
      <c r="F81" s="0" t="n">
        <v>833</v>
      </c>
      <c r="G81" s="0" t="n">
        <v>0.983193</v>
      </c>
      <c r="H81" s="0" t="n">
        <v>10</v>
      </c>
      <c r="I81" s="0" t="n">
        <v>0.002028</v>
      </c>
    </row>
    <row r="82" customFormat="false" ht="15" hidden="false" customHeight="false" outlineLevel="0" collapsed="false">
      <c r="A82" s="0" t="s">
        <v>191</v>
      </c>
      <c r="B82" s="0" t="s">
        <v>232</v>
      </c>
      <c r="C82" s="0" t="n">
        <v>14</v>
      </c>
      <c r="D82" s="0" t="n">
        <v>7710</v>
      </c>
      <c r="E82" s="0" t="n">
        <v>358</v>
      </c>
      <c r="F82" s="0" t="n">
        <v>8068</v>
      </c>
      <c r="G82" s="0" t="n">
        <v>0.955627</v>
      </c>
      <c r="H82" s="0" t="n">
        <v>70</v>
      </c>
      <c r="I82" s="0" t="n">
        <v>0.009124</v>
      </c>
    </row>
    <row r="83" customFormat="false" ht="15" hidden="false" customHeight="false" outlineLevel="0" collapsed="false">
      <c r="A83" s="0" t="s">
        <v>232</v>
      </c>
      <c r="B83" s="0" t="s">
        <v>232</v>
      </c>
      <c r="C83" s="0" t="n">
        <v>60</v>
      </c>
      <c r="D83" s="0" t="n">
        <v>36076</v>
      </c>
      <c r="E83" s="0" t="n">
        <v>2612</v>
      </c>
      <c r="F83" s="0" t="n">
        <v>38688</v>
      </c>
      <c r="G83" s="0" t="n">
        <v>0.932486</v>
      </c>
      <c r="H83" s="0" t="n">
        <v>431</v>
      </c>
      <c r="I83" s="0" t="n">
        <v>0.013108</v>
      </c>
    </row>
    <row r="86" customFormat="false" ht="15" hidden="false" customHeight="false" outlineLevel="0" collapsed="false">
      <c r="A86" s="13" t="s">
        <v>233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customFormat="false" ht="28.35" hidden="false" customHeight="false" outlineLevel="0" collapsed="false">
      <c r="A87" s="3" t="s">
        <v>42</v>
      </c>
      <c r="B87" s="3" t="s">
        <v>181</v>
      </c>
      <c r="C87" s="3" t="s">
        <v>234</v>
      </c>
      <c r="D87" s="3" t="s">
        <v>235</v>
      </c>
      <c r="E87" s="3" t="s">
        <v>236</v>
      </c>
      <c r="F87" s="3" t="s">
        <v>237</v>
      </c>
      <c r="G87" s="3" t="s">
        <v>238</v>
      </c>
      <c r="H87" s="3" t="s">
        <v>239</v>
      </c>
    </row>
    <row r="88" customFormat="false" ht="15" hidden="false" customHeight="false" outlineLevel="0" collapsed="false">
      <c r="A88" s="0" t="s">
        <v>220</v>
      </c>
      <c r="B88" s="0" t="s">
        <v>188</v>
      </c>
      <c r="C88" s="0" t="n">
        <v>23</v>
      </c>
      <c r="D88" s="0" t="n">
        <v>20</v>
      </c>
      <c r="E88" s="0" t="n">
        <v>0.869565</v>
      </c>
      <c r="F88" s="0" t="n">
        <v>23</v>
      </c>
      <c r="G88" s="0" t="n">
        <v>0.869565</v>
      </c>
      <c r="H88" s="0" t="n">
        <v>0</v>
      </c>
    </row>
    <row r="89" customFormat="false" ht="15" hidden="false" customHeight="false" outlineLevel="0" collapsed="false">
      <c r="A89" s="0" t="s">
        <v>220</v>
      </c>
      <c r="B89" s="0" t="s">
        <v>192</v>
      </c>
      <c r="C89" s="0" t="n">
        <v>19</v>
      </c>
      <c r="D89" s="0" t="n">
        <v>14</v>
      </c>
      <c r="E89" s="0" t="n">
        <v>0.736842</v>
      </c>
      <c r="F89" s="0" t="n">
        <v>42</v>
      </c>
      <c r="G89" s="0" t="n">
        <v>0.809524</v>
      </c>
      <c r="H89" s="0" t="n">
        <v>0</v>
      </c>
    </row>
    <row r="90" customFormat="false" ht="15" hidden="false" customHeight="false" outlineLevel="0" collapsed="false">
      <c r="A90" s="0" t="s">
        <v>220</v>
      </c>
      <c r="B90" s="0" t="s">
        <v>193</v>
      </c>
      <c r="C90" s="0" t="n">
        <v>21</v>
      </c>
      <c r="D90" s="0" t="n">
        <v>20</v>
      </c>
      <c r="E90" s="0" t="n">
        <v>0.952381</v>
      </c>
      <c r="F90" s="0" t="n">
        <v>63</v>
      </c>
      <c r="G90" s="0" t="n">
        <v>0.857143</v>
      </c>
      <c r="H90" s="0" t="n">
        <v>0</v>
      </c>
    </row>
    <row r="91" customFormat="false" ht="15" hidden="false" customHeight="false" outlineLevel="0" collapsed="false">
      <c r="A91" s="0" t="s">
        <v>220</v>
      </c>
      <c r="B91" s="0" t="s">
        <v>194</v>
      </c>
      <c r="C91" s="0" t="n">
        <v>20</v>
      </c>
      <c r="D91" s="0" t="n">
        <v>14</v>
      </c>
      <c r="E91" s="0" t="n">
        <v>0.7</v>
      </c>
      <c r="F91" s="0" t="n">
        <v>83</v>
      </c>
      <c r="G91" s="0" t="n">
        <v>0.819277</v>
      </c>
      <c r="H91" s="0" t="n">
        <v>1</v>
      </c>
    </row>
    <row r="92" customFormat="false" ht="15" hidden="false" customHeight="false" outlineLevel="0" collapsed="false">
      <c r="A92" s="0" t="s">
        <v>220</v>
      </c>
      <c r="B92" s="0" t="s">
        <v>195</v>
      </c>
      <c r="C92" s="0" t="n">
        <v>20</v>
      </c>
      <c r="D92" s="0" t="n">
        <v>15</v>
      </c>
      <c r="E92" s="0" t="n">
        <v>0.75</v>
      </c>
      <c r="F92" s="0" t="n">
        <v>103</v>
      </c>
      <c r="G92" s="0" t="n">
        <v>0.805825</v>
      </c>
      <c r="H92" s="0" t="n">
        <v>0</v>
      </c>
    </row>
    <row r="93" customFormat="false" ht="15" hidden="false" customHeight="false" outlineLevel="0" collapsed="false">
      <c r="A93" s="0" t="s">
        <v>220</v>
      </c>
      <c r="B93" s="0" t="s">
        <v>196</v>
      </c>
      <c r="C93" s="0" t="n">
        <v>19</v>
      </c>
      <c r="D93" s="0" t="n">
        <v>17</v>
      </c>
      <c r="E93" s="0" t="n">
        <v>0.894737</v>
      </c>
      <c r="F93" s="0" t="n">
        <v>122</v>
      </c>
      <c r="G93" s="0" t="n">
        <v>0.819672</v>
      </c>
      <c r="H93" s="0" t="n">
        <v>0</v>
      </c>
    </row>
    <row r="94" customFormat="false" ht="15" hidden="false" customHeight="false" outlineLevel="0" collapsed="false">
      <c r="A94" s="0" t="s">
        <v>220</v>
      </c>
      <c r="B94" s="0" t="s">
        <v>197</v>
      </c>
      <c r="C94" s="0" t="n">
        <v>15</v>
      </c>
      <c r="D94" s="0" t="n">
        <v>13</v>
      </c>
      <c r="E94" s="0" t="n">
        <v>0.866667</v>
      </c>
      <c r="F94" s="0" t="n">
        <v>137</v>
      </c>
      <c r="G94" s="0" t="n">
        <v>0.824818</v>
      </c>
      <c r="H94" s="0" t="n">
        <v>1</v>
      </c>
    </row>
    <row r="95" customFormat="false" ht="15" hidden="false" customHeight="false" outlineLevel="0" collapsed="false">
      <c r="A95" s="0" t="s">
        <v>220</v>
      </c>
      <c r="B95" s="0" t="s">
        <v>198</v>
      </c>
      <c r="C95" s="0" t="n">
        <v>20</v>
      </c>
      <c r="D95" s="0" t="n">
        <v>15</v>
      </c>
      <c r="E95" s="0" t="n">
        <v>0.75</v>
      </c>
      <c r="F95" s="0" t="n">
        <v>157</v>
      </c>
      <c r="G95" s="0" t="n">
        <v>0.815287</v>
      </c>
      <c r="H95" s="0" t="n">
        <v>0</v>
      </c>
    </row>
    <row r="96" customFormat="false" ht="15" hidden="false" customHeight="false" outlineLevel="0" collapsed="false">
      <c r="A96" s="0" t="s">
        <v>220</v>
      </c>
      <c r="B96" s="0" t="s">
        <v>199</v>
      </c>
      <c r="C96" s="0" t="n">
        <v>19</v>
      </c>
      <c r="D96" s="0" t="n">
        <v>16</v>
      </c>
      <c r="E96" s="0" t="n">
        <v>0.842105</v>
      </c>
      <c r="F96" s="0" t="n">
        <v>176</v>
      </c>
      <c r="G96" s="0" t="n">
        <v>0.818182</v>
      </c>
      <c r="H96" s="0" t="n">
        <v>0</v>
      </c>
    </row>
    <row r="97" customFormat="false" ht="15" hidden="false" customHeight="false" outlineLevel="0" collapsed="false">
      <c r="A97" s="0" t="s">
        <v>220</v>
      </c>
      <c r="B97" s="0" t="s">
        <v>200</v>
      </c>
      <c r="C97" s="0" t="n">
        <v>18</v>
      </c>
      <c r="D97" s="0" t="n">
        <v>14</v>
      </c>
      <c r="E97" s="0" t="n">
        <v>0.777778</v>
      </c>
      <c r="F97" s="0" t="n">
        <v>194</v>
      </c>
      <c r="G97" s="0" t="n">
        <v>0.814433</v>
      </c>
      <c r="H97" s="0" t="n">
        <v>0</v>
      </c>
    </row>
    <row r="98" customFormat="false" ht="15" hidden="false" customHeight="false" outlineLevel="0" collapsed="false">
      <c r="A98" s="0" t="s">
        <v>220</v>
      </c>
      <c r="B98" s="0" t="s">
        <v>201</v>
      </c>
      <c r="C98" s="0" t="n">
        <v>20</v>
      </c>
      <c r="D98" s="0" t="n">
        <v>16</v>
      </c>
      <c r="E98" s="0" t="n">
        <v>0.8</v>
      </c>
      <c r="F98" s="0" t="n">
        <v>214</v>
      </c>
      <c r="G98" s="0" t="n">
        <v>0.813084</v>
      </c>
      <c r="H98" s="0" t="n">
        <v>0</v>
      </c>
    </row>
    <row r="99" customFormat="false" ht="15" hidden="false" customHeight="false" outlineLevel="0" collapsed="false">
      <c r="A99" s="0" t="s">
        <v>220</v>
      </c>
      <c r="B99" s="0" t="s">
        <v>202</v>
      </c>
      <c r="C99" s="0" t="n">
        <v>13</v>
      </c>
      <c r="D99" s="0" t="n">
        <v>12</v>
      </c>
      <c r="E99" s="0" t="n">
        <v>0.923077</v>
      </c>
      <c r="F99" s="0" t="n">
        <v>227</v>
      </c>
      <c r="G99" s="0" t="n">
        <v>0.819383</v>
      </c>
      <c r="H99" s="0" t="n">
        <v>1</v>
      </c>
    </row>
    <row r="100" customFormat="false" ht="15" hidden="false" customHeight="false" outlineLevel="0" collapsed="false">
      <c r="A100" s="0" t="s">
        <v>220</v>
      </c>
      <c r="B100" s="0" t="s">
        <v>203</v>
      </c>
      <c r="C100" s="0" t="n">
        <v>21</v>
      </c>
      <c r="D100" s="0" t="n">
        <v>20</v>
      </c>
      <c r="E100" s="0" t="n">
        <v>0.952381</v>
      </c>
      <c r="F100" s="0" t="n">
        <v>248</v>
      </c>
      <c r="G100" s="0" t="n">
        <v>0.830645</v>
      </c>
      <c r="H100" s="0" t="n">
        <v>1</v>
      </c>
    </row>
    <row r="101" customFormat="false" ht="15" hidden="false" customHeight="false" outlineLevel="0" collapsed="false">
      <c r="A101" s="0" t="s">
        <v>220</v>
      </c>
      <c r="B101" s="0" t="s">
        <v>204</v>
      </c>
      <c r="C101" s="0" t="n">
        <v>14</v>
      </c>
      <c r="D101" s="0" t="n">
        <v>11</v>
      </c>
      <c r="E101" s="0" t="n">
        <v>0.785714</v>
      </c>
      <c r="F101" s="0" t="n">
        <v>262</v>
      </c>
      <c r="G101" s="0" t="n">
        <v>0.828244</v>
      </c>
      <c r="H101" s="0" t="n">
        <v>6</v>
      </c>
    </row>
    <row r="102" customFormat="false" ht="15" hidden="false" customHeight="false" outlineLevel="0" collapsed="false">
      <c r="A102" s="0" t="s">
        <v>220</v>
      </c>
      <c r="B102" s="0" t="s">
        <v>205</v>
      </c>
      <c r="C102" s="0" t="n">
        <v>23</v>
      </c>
      <c r="D102" s="0" t="n">
        <v>14</v>
      </c>
      <c r="E102" s="0" t="n">
        <v>0.608696</v>
      </c>
      <c r="F102" s="0" t="n">
        <v>285</v>
      </c>
      <c r="G102" s="0" t="n">
        <v>0.810526</v>
      </c>
      <c r="H102" s="0" t="n">
        <v>0</v>
      </c>
    </row>
    <row r="103" customFormat="false" ht="15" hidden="false" customHeight="false" outlineLevel="0" collapsed="false">
      <c r="A103" s="0" t="s">
        <v>220</v>
      </c>
      <c r="B103" s="0" t="s">
        <v>206</v>
      </c>
      <c r="C103" s="0" t="n">
        <v>18</v>
      </c>
      <c r="D103" s="0" t="n">
        <v>18</v>
      </c>
      <c r="E103" s="0" t="n">
        <v>1</v>
      </c>
      <c r="F103" s="0" t="n">
        <v>303</v>
      </c>
      <c r="G103" s="0" t="n">
        <v>0.821782</v>
      </c>
      <c r="H103" s="0" t="n">
        <v>2</v>
      </c>
    </row>
    <row r="104" customFormat="false" ht="15" hidden="false" customHeight="false" outlineLevel="0" collapsed="false">
      <c r="A104" s="0" t="s">
        <v>220</v>
      </c>
      <c r="B104" s="0" t="s">
        <v>207</v>
      </c>
      <c r="C104" s="0" t="n">
        <v>18</v>
      </c>
      <c r="D104" s="0" t="n">
        <v>15</v>
      </c>
      <c r="E104" s="0" t="n">
        <v>0.833333</v>
      </c>
      <c r="F104" s="0" t="n">
        <v>321</v>
      </c>
      <c r="G104" s="0" t="n">
        <v>0.82243</v>
      </c>
      <c r="H104" s="0" t="n">
        <v>0</v>
      </c>
    </row>
    <row r="105" customFormat="false" ht="15" hidden="false" customHeight="false" outlineLevel="0" collapsed="false">
      <c r="A105" s="0" t="s">
        <v>220</v>
      </c>
      <c r="B105" s="0" t="s">
        <v>208</v>
      </c>
      <c r="C105" s="0" t="n">
        <v>19</v>
      </c>
      <c r="D105" s="0" t="n">
        <v>18</v>
      </c>
      <c r="E105" s="0" t="n">
        <v>0.947368</v>
      </c>
      <c r="F105" s="0" t="n">
        <v>340</v>
      </c>
      <c r="G105" s="0" t="n">
        <v>0.829412</v>
      </c>
      <c r="H105" s="0" t="n">
        <v>3</v>
      </c>
    </row>
    <row r="106" customFormat="false" ht="15" hidden="false" customHeight="false" outlineLevel="0" collapsed="false">
      <c r="A106" s="0" t="s">
        <v>220</v>
      </c>
      <c r="B106" s="0" t="s">
        <v>232</v>
      </c>
      <c r="C106" s="0" t="n">
        <v>340</v>
      </c>
      <c r="D106" s="0" t="n">
        <v>282</v>
      </c>
      <c r="E106" s="0" t="n">
        <v>0.829412</v>
      </c>
      <c r="F106" s="0" t="n">
        <v>340</v>
      </c>
      <c r="G106" s="0" t="n">
        <v>0.829412</v>
      </c>
    </row>
    <row r="107" customFormat="false" ht="15" hidden="false" customHeight="false" outlineLevel="0" collapsed="false">
      <c r="A107" s="0" t="s">
        <v>218</v>
      </c>
      <c r="B107" s="0" t="s">
        <v>188</v>
      </c>
      <c r="C107" s="0" t="n">
        <v>15</v>
      </c>
      <c r="D107" s="0" t="n">
        <v>12</v>
      </c>
      <c r="E107" s="0" t="n">
        <v>0.8</v>
      </c>
      <c r="F107" s="0" t="n">
        <v>15</v>
      </c>
      <c r="G107" s="0" t="n">
        <v>0.8</v>
      </c>
      <c r="H107" s="0" t="n">
        <v>0</v>
      </c>
    </row>
    <row r="108" customFormat="false" ht="15" hidden="false" customHeight="false" outlineLevel="0" collapsed="false">
      <c r="A108" s="0" t="s">
        <v>218</v>
      </c>
      <c r="B108" s="0" t="s">
        <v>192</v>
      </c>
      <c r="C108" s="0" t="n">
        <v>17</v>
      </c>
      <c r="D108" s="0" t="n">
        <v>16</v>
      </c>
      <c r="E108" s="0" t="n">
        <v>0.941176</v>
      </c>
      <c r="F108" s="0" t="n">
        <v>32</v>
      </c>
      <c r="G108" s="0" t="n">
        <v>0.875</v>
      </c>
      <c r="H108" s="0" t="n">
        <v>0</v>
      </c>
    </row>
    <row r="109" customFormat="false" ht="15" hidden="false" customHeight="false" outlineLevel="0" collapsed="false">
      <c r="A109" s="0" t="s">
        <v>218</v>
      </c>
      <c r="B109" s="0" t="s">
        <v>193</v>
      </c>
      <c r="C109" s="0" t="n">
        <v>22</v>
      </c>
      <c r="D109" s="0" t="n">
        <v>16</v>
      </c>
      <c r="E109" s="0" t="n">
        <v>0.727273</v>
      </c>
      <c r="F109" s="0" t="n">
        <v>54</v>
      </c>
      <c r="G109" s="0" t="n">
        <v>0.814815</v>
      </c>
      <c r="H109" s="0" t="n">
        <v>0</v>
      </c>
    </row>
    <row r="110" customFormat="false" ht="15" hidden="false" customHeight="false" outlineLevel="0" collapsed="false">
      <c r="A110" s="0" t="s">
        <v>218</v>
      </c>
      <c r="B110" s="0" t="s">
        <v>194</v>
      </c>
      <c r="C110" s="0" t="n">
        <v>20</v>
      </c>
      <c r="D110" s="0" t="n">
        <v>15</v>
      </c>
      <c r="E110" s="0" t="n">
        <v>0.75</v>
      </c>
      <c r="F110" s="0" t="n">
        <v>74</v>
      </c>
      <c r="G110" s="0" t="n">
        <v>0.797297</v>
      </c>
      <c r="H110" s="0" t="n">
        <v>0</v>
      </c>
    </row>
    <row r="111" customFormat="false" ht="15" hidden="false" customHeight="false" outlineLevel="0" collapsed="false">
      <c r="A111" s="0" t="s">
        <v>218</v>
      </c>
      <c r="B111" s="0" t="s">
        <v>195</v>
      </c>
      <c r="C111" s="0" t="n">
        <v>22</v>
      </c>
      <c r="D111" s="0" t="n">
        <v>20</v>
      </c>
      <c r="E111" s="0" t="n">
        <v>0.909091</v>
      </c>
      <c r="F111" s="0" t="n">
        <v>96</v>
      </c>
      <c r="G111" s="0" t="n">
        <v>0.822917</v>
      </c>
      <c r="H111" s="0" t="n">
        <v>0</v>
      </c>
    </row>
    <row r="112" customFormat="false" ht="15" hidden="false" customHeight="false" outlineLevel="0" collapsed="false">
      <c r="A112" s="0" t="s">
        <v>218</v>
      </c>
      <c r="B112" s="0" t="s">
        <v>196</v>
      </c>
      <c r="C112" s="0" t="n">
        <v>22</v>
      </c>
      <c r="D112" s="0" t="n">
        <v>20</v>
      </c>
      <c r="E112" s="0" t="n">
        <v>0.909091</v>
      </c>
      <c r="F112" s="0" t="n">
        <v>118</v>
      </c>
      <c r="G112" s="0" t="n">
        <v>0.838983</v>
      </c>
      <c r="H112" s="0" t="n">
        <v>1</v>
      </c>
    </row>
    <row r="113" customFormat="false" ht="15" hidden="false" customHeight="false" outlineLevel="0" collapsed="false">
      <c r="A113" s="0" t="s">
        <v>218</v>
      </c>
      <c r="B113" s="0" t="s">
        <v>197</v>
      </c>
      <c r="C113" s="0" t="n">
        <v>20</v>
      </c>
      <c r="D113" s="0" t="n">
        <v>17</v>
      </c>
      <c r="E113" s="0" t="n">
        <v>0.85</v>
      </c>
      <c r="F113" s="0" t="n">
        <v>138</v>
      </c>
      <c r="G113" s="0" t="n">
        <v>0.84058</v>
      </c>
      <c r="H113" s="0" t="n">
        <v>0</v>
      </c>
    </row>
    <row r="114" customFormat="false" ht="15" hidden="false" customHeight="false" outlineLevel="0" collapsed="false">
      <c r="A114" s="0" t="s">
        <v>218</v>
      </c>
      <c r="B114" s="0" t="s">
        <v>198</v>
      </c>
      <c r="C114" s="0" t="n">
        <v>18</v>
      </c>
      <c r="D114" s="0" t="n">
        <v>16</v>
      </c>
      <c r="E114" s="0" t="n">
        <v>0.888889</v>
      </c>
      <c r="F114" s="0" t="n">
        <v>156</v>
      </c>
      <c r="G114" s="0" t="n">
        <v>0.846154</v>
      </c>
      <c r="H114" s="0" t="n">
        <v>1</v>
      </c>
    </row>
    <row r="115" customFormat="false" ht="15" hidden="false" customHeight="false" outlineLevel="0" collapsed="false">
      <c r="A115" s="0" t="s">
        <v>218</v>
      </c>
      <c r="B115" s="0" t="s">
        <v>199</v>
      </c>
      <c r="C115" s="0" t="n">
        <v>17</v>
      </c>
      <c r="D115" s="0" t="n">
        <v>14</v>
      </c>
      <c r="E115" s="0" t="n">
        <v>0.823529</v>
      </c>
      <c r="F115" s="0" t="n">
        <v>173</v>
      </c>
      <c r="G115" s="0" t="n">
        <v>0.843931</v>
      </c>
      <c r="H115" s="0" t="n">
        <v>0</v>
      </c>
    </row>
    <row r="116" customFormat="false" ht="15" hidden="false" customHeight="false" outlineLevel="0" collapsed="false">
      <c r="A116" s="0" t="s">
        <v>218</v>
      </c>
      <c r="B116" s="0" t="s">
        <v>200</v>
      </c>
      <c r="C116" s="0" t="n">
        <v>16</v>
      </c>
      <c r="D116" s="0" t="n">
        <v>16</v>
      </c>
      <c r="E116" s="0" t="n">
        <v>1</v>
      </c>
      <c r="F116" s="0" t="n">
        <v>189</v>
      </c>
      <c r="G116" s="0" t="n">
        <v>0.857143</v>
      </c>
      <c r="H116" s="0" t="n">
        <v>0</v>
      </c>
    </row>
    <row r="117" customFormat="false" ht="15" hidden="false" customHeight="false" outlineLevel="0" collapsed="false">
      <c r="A117" s="0" t="s">
        <v>218</v>
      </c>
      <c r="B117" s="0" t="s">
        <v>201</v>
      </c>
      <c r="C117" s="0" t="n">
        <v>16</v>
      </c>
      <c r="D117" s="0" t="n">
        <v>14</v>
      </c>
      <c r="E117" s="0" t="n">
        <v>0.875</v>
      </c>
      <c r="F117" s="0" t="n">
        <v>205</v>
      </c>
      <c r="G117" s="0" t="n">
        <v>0.858537</v>
      </c>
      <c r="H117" s="0" t="n">
        <v>0</v>
      </c>
    </row>
    <row r="118" customFormat="false" ht="15" hidden="false" customHeight="false" outlineLevel="0" collapsed="false">
      <c r="A118" s="0" t="s">
        <v>218</v>
      </c>
      <c r="B118" s="0" t="s">
        <v>202</v>
      </c>
      <c r="C118" s="0" t="n">
        <v>18</v>
      </c>
      <c r="D118" s="0" t="n">
        <v>18</v>
      </c>
      <c r="E118" s="0" t="n">
        <v>1</v>
      </c>
      <c r="F118" s="0" t="n">
        <v>223</v>
      </c>
      <c r="G118" s="0" t="n">
        <v>0.869955</v>
      </c>
      <c r="H118" s="0" t="n">
        <v>0</v>
      </c>
    </row>
    <row r="119" customFormat="false" ht="15" hidden="false" customHeight="false" outlineLevel="0" collapsed="false">
      <c r="A119" s="0" t="s">
        <v>218</v>
      </c>
      <c r="B119" s="0" t="s">
        <v>203</v>
      </c>
      <c r="C119" s="0" t="n">
        <v>20</v>
      </c>
      <c r="D119" s="0" t="n">
        <v>15</v>
      </c>
      <c r="E119" s="0" t="n">
        <v>0.75</v>
      </c>
      <c r="F119" s="0" t="n">
        <v>243</v>
      </c>
      <c r="G119" s="0" t="n">
        <v>0.860082</v>
      </c>
      <c r="H119" s="0" t="n">
        <v>0</v>
      </c>
    </row>
    <row r="120" customFormat="false" ht="15" hidden="false" customHeight="false" outlineLevel="0" collapsed="false">
      <c r="A120" s="0" t="s">
        <v>218</v>
      </c>
      <c r="B120" s="0" t="s">
        <v>204</v>
      </c>
      <c r="C120" s="0" t="n">
        <v>19</v>
      </c>
      <c r="D120" s="0" t="n">
        <v>17</v>
      </c>
      <c r="E120" s="0" t="n">
        <v>0.894737</v>
      </c>
      <c r="F120" s="0" t="n">
        <v>262</v>
      </c>
      <c r="G120" s="0" t="n">
        <v>0.862595</v>
      </c>
      <c r="H120" s="0" t="n">
        <v>1</v>
      </c>
    </row>
    <row r="121" customFormat="false" ht="15" hidden="false" customHeight="false" outlineLevel="0" collapsed="false">
      <c r="A121" s="0" t="s">
        <v>218</v>
      </c>
      <c r="B121" s="0" t="s">
        <v>205</v>
      </c>
      <c r="C121" s="0" t="n">
        <v>24</v>
      </c>
      <c r="D121" s="0" t="n">
        <v>21</v>
      </c>
      <c r="E121" s="0" t="n">
        <v>0.875</v>
      </c>
      <c r="F121" s="0" t="n">
        <v>286</v>
      </c>
      <c r="G121" s="0" t="n">
        <v>0.863636</v>
      </c>
      <c r="H121" s="0" t="n">
        <v>0</v>
      </c>
    </row>
    <row r="122" customFormat="false" ht="15" hidden="false" customHeight="false" outlineLevel="0" collapsed="false">
      <c r="A122" s="0" t="s">
        <v>218</v>
      </c>
      <c r="B122" s="0" t="s">
        <v>206</v>
      </c>
      <c r="C122" s="0" t="n">
        <v>20</v>
      </c>
      <c r="D122" s="0" t="n">
        <v>17</v>
      </c>
      <c r="E122" s="0" t="n">
        <v>0.85</v>
      </c>
      <c r="F122" s="0" t="n">
        <v>306</v>
      </c>
      <c r="G122" s="0" t="n">
        <v>0.862745</v>
      </c>
      <c r="H122" s="0" t="n">
        <v>0</v>
      </c>
    </row>
    <row r="123" customFormat="false" ht="15" hidden="false" customHeight="false" outlineLevel="0" collapsed="false">
      <c r="A123" s="0" t="s">
        <v>218</v>
      </c>
      <c r="B123" s="0" t="s">
        <v>207</v>
      </c>
      <c r="C123" s="0" t="n">
        <v>22</v>
      </c>
      <c r="D123" s="0" t="n">
        <v>19</v>
      </c>
      <c r="E123" s="0" t="n">
        <v>0.863636</v>
      </c>
      <c r="F123" s="0" t="n">
        <v>328</v>
      </c>
      <c r="G123" s="0" t="n">
        <v>0.862805</v>
      </c>
      <c r="H123" s="0" t="n">
        <v>0</v>
      </c>
    </row>
    <row r="124" customFormat="false" ht="15" hidden="false" customHeight="false" outlineLevel="0" collapsed="false">
      <c r="A124" s="0" t="s">
        <v>218</v>
      </c>
      <c r="B124" s="0" t="s">
        <v>208</v>
      </c>
      <c r="C124" s="0" t="n">
        <v>20</v>
      </c>
      <c r="D124" s="0" t="n">
        <v>18</v>
      </c>
      <c r="E124" s="0" t="n">
        <v>0.9</v>
      </c>
      <c r="F124" s="0" t="n">
        <v>348</v>
      </c>
      <c r="G124" s="0" t="n">
        <v>0.864943</v>
      </c>
      <c r="H124" s="0" t="n">
        <v>0</v>
      </c>
    </row>
    <row r="125" customFormat="false" ht="15" hidden="false" customHeight="false" outlineLevel="0" collapsed="false">
      <c r="A125" s="0" t="s">
        <v>218</v>
      </c>
      <c r="B125" s="0" t="s">
        <v>232</v>
      </c>
      <c r="C125" s="0" t="n">
        <v>348</v>
      </c>
      <c r="D125" s="0" t="n">
        <v>301</v>
      </c>
      <c r="E125" s="0" t="n">
        <v>0.864943</v>
      </c>
      <c r="F125" s="0" t="n">
        <v>348</v>
      </c>
      <c r="G125" s="0" t="n">
        <v>0.864943</v>
      </c>
    </row>
    <row r="126" customFormat="false" ht="15" hidden="false" customHeight="false" outlineLevel="0" collapsed="false">
      <c r="A126" s="0" t="s">
        <v>240</v>
      </c>
      <c r="B126" s="0" t="s">
        <v>188</v>
      </c>
      <c r="C126" s="0" t="n">
        <v>14</v>
      </c>
      <c r="D126" s="0" t="n">
        <v>11</v>
      </c>
      <c r="E126" s="0" t="n">
        <v>0.785714</v>
      </c>
      <c r="F126" s="0" t="n">
        <v>14</v>
      </c>
      <c r="G126" s="0" t="n">
        <v>0.785714</v>
      </c>
      <c r="H126" s="0" t="n">
        <v>1</v>
      </c>
    </row>
    <row r="127" customFormat="false" ht="15" hidden="false" customHeight="false" outlineLevel="0" collapsed="false">
      <c r="A127" s="0" t="s">
        <v>240</v>
      </c>
      <c r="B127" s="0" t="s">
        <v>192</v>
      </c>
      <c r="C127" s="0" t="n">
        <v>18</v>
      </c>
      <c r="D127" s="0" t="n">
        <v>12</v>
      </c>
      <c r="E127" s="0" t="n">
        <v>0.666667</v>
      </c>
      <c r="F127" s="0" t="n">
        <v>32</v>
      </c>
      <c r="G127" s="0" t="n">
        <v>0.71875</v>
      </c>
      <c r="H127" s="0" t="n">
        <v>0</v>
      </c>
    </row>
    <row r="128" customFormat="false" ht="15" hidden="false" customHeight="false" outlineLevel="0" collapsed="false">
      <c r="A128" s="0" t="s">
        <v>240</v>
      </c>
      <c r="B128" s="0" t="s">
        <v>193</v>
      </c>
      <c r="C128" s="0" t="n">
        <v>15</v>
      </c>
      <c r="D128" s="0" t="n">
        <v>13</v>
      </c>
      <c r="E128" s="0" t="n">
        <v>0.866667</v>
      </c>
      <c r="F128" s="0" t="n">
        <v>47</v>
      </c>
      <c r="G128" s="0" t="n">
        <v>0.765957</v>
      </c>
      <c r="H128" s="0" t="n">
        <v>2</v>
      </c>
    </row>
    <row r="129" customFormat="false" ht="15" hidden="false" customHeight="false" outlineLevel="0" collapsed="false">
      <c r="A129" s="0" t="s">
        <v>240</v>
      </c>
      <c r="B129" s="0" t="s">
        <v>194</v>
      </c>
      <c r="C129" s="0" t="n">
        <v>15</v>
      </c>
      <c r="D129" s="0" t="n">
        <v>10</v>
      </c>
      <c r="E129" s="0" t="n">
        <v>0.666667</v>
      </c>
      <c r="F129" s="0" t="n">
        <v>62</v>
      </c>
      <c r="G129" s="0" t="n">
        <v>0.741935</v>
      </c>
      <c r="H129" s="0" t="n">
        <v>0</v>
      </c>
    </row>
    <row r="130" customFormat="false" ht="15" hidden="false" customHeight="false" outlineLevel="0" collapsed="false">
      <c r="A130" s="0" t="s">
        <v>240</v>
      </c>
      <c r="B130" s="0" t="s">
        <v>195</v>
      </c>
      <c r="C130" s="0" t="n">
        <v>15</v>
      </c>
      <c r="D130" s="0" t="n">
        <v>13</v>
      </c>
      <c r="E130" s="0" t="n">
        <v>0.866667</v>
      </c>
      <c r="F130" s="0" t="n">
        <v>77</v>
      </c>
      <c r="G130" s="0" t="n">
        <v>0.766234</v>
      </c>
      <c r="H130" s="0" t="n">
        <v>2</v>
      </c>
    </row>
    <row r="131" customFormat="false" ht="15" hidden="false" customHeight="false" outlineLevel="0" collapsed="false">
      <c r="A131" s="0" t="s">
        <v>240</v>
      </c>
      <c r="B131" s="0" t="s">
        <v>196</v>
      </c>
      <c r="C131" s="0" t="n">
        <v>17</v>
      </c>
      <c r="D131" s="0" t="n">
        <v>8</v>
      </c>
      <c r="E131" s="0" t="n">
        <v>0.470588</v>
      </c>
      <c r="F131" s="0" t="n">
        <v>94</v>
      </c>
      <c r="G131" s="0" t="n">
        <v>0.712766</v>
      </c>
      <c r="H131" s="0" t="n">
        <v>0</v>
      </c>
    </row>
    <row r="132" customFormat="false" ht="15" hidden="false" customHeight="false" outlineLevel="0" collapsed="false">
      <c r="A132" s="0" t="s">
        <v>240</v>
      </c>
      <c r="B132" s="0" t="s">
        <v>197</v>
      </c>
      <c r="C132" s="0" t="n">
        <v>11</v>
      </c>
      <c r="D132" s="0" t="n">
        <v>8</v>
      </c>
      <c r="E132" s="0" t="n">
        <v>0.727273</v>
      </c>
      <c r="F132" s="0" t="n">
        <v>105</v>
      </c>
      <c r="G132" s="0" t="n">
        <v>0.714286</v>
      </c>
      <c r="H132" s="0" t="n">
        <v>1</v>
      </c>
    </row>
    <row r="133" customFormat="false" ht="15" hidden="false" customHeight="false" outlineLevel="0" collapsed="false">
      <c r="A133" s="0" t="s">
        <v>240</v>
      </c>
      <c r="B133" s="0" t="s">
        <v>198</v>
      </c>
      <c r="C133" s="0" t="n">
        <v>14</v>
      </c>
      <c r="D133" s="0" t="n">
        <v>11</v>
      </c>
      <c r="E133" s="0" t="n">
        <v>0.785714</v>
      </c>
      <c r="F133" s="0" t="n">
        <v>119</v>
      </c>
      <c r="G133" s="0" t="n">
        <v>0.722689</v>
      </c>
      <c r="H133" s="0" t="n">
        <v>0</v>
      </c>
    </row>
    <row r="134" customFormat="false" ht="15" hidden="false" customHeight="false" outlineLevel="0" collapsed="false">
      <c r="A134" s="0" t="s">
        <v>240</v>
      </c>
      <c r="B134" s="0" t="s">
        <v>199</v>
      </c>
      <c r="C134" s="0" t="n">
        <v>10</v>
      </c>
      <c r="D134" s="0" t="n">
        <v>9</v>
      </c>
      <c r="E134" s="0" t="n">
        <v>0.9</v>
      </c>
      <c r="F134" s="0" t="n">
        <v>129</v>
      </c>
      <c r="G134" s="0" t="n">
        <v>0.736434</v>
      </c>
      <c r="H134" s="0" t="n">
        <v>0</v>
      </c>
    </row>
    <row r="135" customFormat="false" ht="15" hidden="false" customHeight="false" outlineLevel="0" collapsed="false">
      <c r="A135" s="0" t="s">
        <v>240</v>
      </c>
      <c r="B135" s="0" t="s">
        <v>200</v>
      </c>
      <c r="C135" s="0" t="n">
        <v>14</v>
      </c>
      <c r="D135" s="0" t="n">
        <v>11</v>
      </c>
      <c r="E135" s="0" t="n">
        <v>0.785714</v>
      </c>
      <c r="F135" s="0" t="n">
        <v>143</v>
      </c>
      <c r="G135" s="0" t="n">
        <v>0.741259</v>
      </c>
      <c r="H135" s="0" t="n">
        <v>1</v>
      </c>
    </row>
    <row r="136" customFormat="false" ht="15" hidden="false" customHeight="false" outlineLevel="0" collapsed="false">
      <c r="A136" s="0" t="s">
        <v>240</v>
      </c>
      <c r="B136" s="0" t="s">
        <v>201</v>
      </c>
      <c r="C136" s="0" t="n">
        <v>13</v>
      </c>
      <c r="D136" s="0" t="n">
        <v>7</v>
      </c>
      <c r="E136" s="0" t="n">
        <v>0.538462</v>
      </c>
      <c r="F136" s="0" t="n">
        <v>156</v>
      </c>
      <c r="G136" s="0" t="n">
        <v>0.724359</v>
      </c>
      <c r="H136" s="0" t="n">
        <v>2</v>
      </c>
    </row>
    <row r="137" customFormat="false" ht="15" hidden="false" customHeight="false" outlineLevel="0" collapsed="false">
      <c r="A137" s="0" t="s">
        <v>240</v>
      </c>
      <c r="B137" s="0" t="s">
        <v>202</v>
      </c>
      <c r="C137" s="0" t="n">
        <v>13</v>
      </c>
      <c r="D137" s="0" t="n">
        <v>6</v>
      </c>
      <c r="E137" s="0" t="n">
        <v>0.461538</v>
      </c>
      <c r="F137" s="0" t="n">
        <v>169</v>
      </c>
      <c r="G137" s="0" t="n">
        <v>0.704142</v>
      </c>
      <c r="H137" s="0" t="n">
        <v>2</v>
      </c>
    </row>
    <row r="138" customFormat="false" ht="15" hidden="false" customHeight="false" outlineLevel="0" collapsed="false">
      <c r="A138" s="0" t="s">
        <v>240</v>
      </c>
      <c r="B138" s="0" t="s">
        <v>203</v>
      </c>
      <c r="C138" s="0" t="n">
        <v>13</v>
      </c>
      <c r="D138" s="0" t="n">
        <v>6</v>
      </c>
      <c r="E138" s="0" t="n">
        <v>0.461538</v>
      </c>
      <c r="F138" s="0" t="n">
        <v>182</v>
      </c>
      <c r="G138" s="0" t="n">
        <v>0.686813</v>
      </c>
      <c r="H138" s="0" t="n">
        <v>3</v>
      </c>
    </row>
    <row r="139" customFormat="false" ht="15" hidden="false" customHeight="false" outlineLevel="0" collapsed="false">
      <c r="A139" s="0" t="s">
        <v>240</v>
      </c>
      <c r="B139" s="0" t="s">
        <v>204</v>
      </c>
      <c r="C139" s="0" t="n">
        <v>16</v>
      </c>
      <c r="D139" s="0" t="n">
        <v>10</v>
      </c>
      <c r="E139" s="0" t="n">
        <v>0.625</v>
      </c>
      <c r="F139" s="0" t="n">
        <v>198</v>
      </c>
      <c r="G139" s="0" t="n">
        <v>0.681818</v>
      </c>
      <c r="H139" s="0" t="n">
        <v>2</v>
      </c>
    </row>
    <row r="140" customFormat="false" ht="15" hidden="false" customHeight="false" outlineLevel="0" collapsed="false">
      <c r="A140" s="0" t="s">
        <v>240</v>
      </c>
      <c r="B140" s="0" t="s">
        <v>205</v>
      </c>
      <c r="C140" s="0" t="n">
        <v>13</v>
      </c>
      <c r="D140" s="0" t="n">
        <v>13</v>
      </c>
      <c r="E140" s="0" t="n">
        <v>1</v>
      </c>
      <c r="F140" s="0" t="n">
        <v>211</v>
      </c>
      <c r="G140" s="0" t="n">
        <v>0.701422</v>
      </c>
      <c r="H140" s="0" t="n">
        <v>3</v>
      </c>
    </row>
    <row r="141" customFormat="false" ht="15" hidden="false" customHeight="false" outlineLevel="0" collapsed="false">
      <c r="A141" s="0" t="s">
        <v>240</v>
      </c>
      <c r="B141" s="0" t="s">
        <v>206</v>
      </c>
      <c r="C141" s="0" t="n">
        <v>13</v>
      </c>
      <c r="D141" s="0" t="n">
        <v>7</v>
      </c>
      <c r="E141" s="0" t="n">
        <v>0.538462</v>
      </c>
      <c r="F141" s="0" t="n">
        <v>224</v>
      </c>
      <c r="G141" s="0" t="n">
        <v>0.691964</v>
      </c>
      <c r="H141" s="0" t="n">
        <v>4</v>
      </c>
    </row>
    <row r="142" customFormat="false" ht="15" hidden="false" customHeight="false" outlineLevel="0" collapsed="false">
      <c r="A142" s="0" t="s">
        <v>240</v>
      </c>
      <c r="B142" s="0" t="s">
        <v>207</v>
      </c>
      <c r="C142" s="0" t="n">
        <v>16</v>
      </c>
      <c r="D142" s="0" t="n">
        <v>11</v>
      </c>
      <c r="E142" s="0" t="n">
        <v>0.6875</v>
      </c>
      <c r="F142" s="0" t="n">
        <v>240</v>
      </c>
      <c r="G142" s="0" t="n">
        <v>0.691667</v>
      </c>
      <c r="H142" s="0" t="n">
        <v>4</v>
      </c>
    </row>
    <row r="143" customFormat="false" ht="15" hidden="false" customHeight="false" outlineLevel="0" collapsed="false">
      <c r="A143" s="0" t="s">
        <v>240</v>
      </c>
      <c r="B143" s="0" t="s">
        <v>208</v>
      </c>
      <c r="C143" s="0" t="n">
        <v>14</v>
      </c>
      <c r="D143" s="0" t="n">
        <v>7</v>
      </c>
      <c r="E143" s="0" t="n">
        <v>0.5</v>
      </c>
      <c r="F143" s="0" t="n">
        <v>254</v>
      </c>
      <c r="G143" s="0" t="n">
        <v>0.681102</v>
      </c>
      <c r="H143" s="0" t="n">
        <v>2</v>
      </c>
    </row>
    <row r="144" customFormat="false" ht="15" hidden="false" customHeight="false" outlineLevel="0" collapsed="false">
      <c r="A144" s="0" t="s">
        <v>240</v>
      </c>
      <c r="B144" s="0" t="s">
        <v>232</v>
      </c>
      <c r="C144" s="0" t="n">
        <v>254</v>
      </c>
      <c r="D144" s="0" t="n">
        <v>173</v>
      </c>
      <c r="E144" s="0" t="n">
        <v>0.681102</v>
      </c>
      <c r="F144" s="0" t="n">
        <v>254</v>
      </c>
      <c r="G144" s="0" t="n">
        <v>0.681102</v>
      </c>
    </row>
    <row r="145" customFormat="false" ht="15" hidden="false" customHeight="false" outlineLevel="0" collapsed="false">
      <c r="A145" s="0" t="s">
        <v>241</v>
      </c>
      <c r="B145" s="0" t="s">
        <v>188</v>
      </c>
      <c r="C145" s="0" t="n">
        <v>13</v>
      </c>
      <c r="D145" s="0" t="n">
        <v>12</v>
      </c>
      <c r="E145" s="0" t="n">
        <v>0.923077</v>
      </c>
      <c r="F145" s="0" t="n">
        <v>13</v>
      </c>
      <c r="G145" s="0" t="n">
        <v>0.923077</v>
      </c>
      <c r="H145" s="0" t="n">
        <v>0</v>
      </c>
    </row>
    <row r="146" customFormat="false" ht="15" hidden="false" customHeight="false" outlineLevel="0" collapsed="false">
      <c r="A146" s="0" t="s">
        <v>241</v>
      </c>
      <c r="B146" s="0" t="s">
        <v>192</v>
      </c>
      <c r="C146" s="0" t="n">
        <v>20</v>
      </c>
      <c r="D146" s="0" t="n">
        <v>20</v>
      </c>
      <c r="E146" s="0" t="n">
        <v>1</v>
      </c>
      <c r="F146" s="0" t="n">
        <v>33</v>
      </c>
      <c r="G146" s="0" t="n">
        <v>0.969697</v>
      </c>
      <c r="H146" s="0" t="n">
        <v>0</v>
      </c>
    </row>
    <row r="147" customFormat="false" ht="15" hidden="false" customHeight="false" outlineLevel="0" collapsed="false">
      <c r="A147" s="0" t="s">
        <v>241</v>
      </c>
      <c r="B147" s="0" t="s">
        <v>193</v>
      </c>
      <c r="C147" s="0" t="n">
        <v>18</v>
      </c>
      <c r="D147" s="0" t="n">
        <v>18</v>
      </c>
      <c r="E147" s="0" t="n">
        <v>1</v>
      </c>
      <c r="F147" s="0" t="n">
        <v>51</v>
      </c>
      <c r="G147" s="0" t="n">
        <v>0.980392</v>
      </c>
      <c r="H147" s="0" t="n">
        <v>0</v>
      </c>
    </row>
    <row r="148" customFormat="false" ht="15" hidden="false" customHeight="false" outlineLevel="0" collapsed="false">
      <c r="A148" s="0" t="s">
        <v>241</v>
      </c>
      <c r="B148" s="0" t="s">
        <v>194</v>
      </c>
      <c r="C148" s="0" t="n">
        <v>22</v>
      </c>
      <c r="D148" s="0" t="n">
        <v>22</v>
      </c>
      <c r="E148" s="0" t="n">
        <v>1</v>
      </c>
      <c r="F148" s="0" t="n">
        <v>73</v>
      </c>
      <c r="G148" s="0" t="n">
        <v>0.986301</v>
      </c>
      <c r="H148" s="0" t="n">
        <v>1</v>
      </c>
    </row>
    <row r="149" customFormat="false" ht="15" hidden="false" customHeight="false" outlineLevel="0" collapsed="false">
      <c r="A149" s="0" t="s">
        <v>241</v>
      </c>
      <c r="B149" s="0" t="s">
        <v>195</v>
      </c>
      <c r="C149" s="0" t="n">
        <v>24</v>
      </c>
      <c r="D149" s="0" t="n">
        <v>20</v>
      </c>
      <c r="E149" s="0" t="n">
        <v>0.833333</v>
      </c>
      <c r="F149" s="0" t="n">
        <v>97</v>
      </c>
      <c r="G149" s="0" t="n">
        <v>0.948454</v>
      </c>
      <c r="H149" s="0" t="n">
        <v>0</v>
      </c>
    </row>
    <row r="150" customFormat="false" ht="15" hidden="false" customHeight="false" outlineLevel="0" collapsed="false">
      <c r="A150" s="0" t="s">
        <v>241</v>
      </c>
      <c r="B150" s="0" t="s">
        <v>196</v>
      </c>
      <c r="C150" s="0" t="n">
        <v>21</v>
      </c>
      <c r="D150" s="0" t="n">
        <v>19</v>
      </c>
      <c r="E150" s="0" t="n">
        <v>0.904762</v>
      </c>
      <c r="F150" s="0" t="n">
        <v>118</v>
      </c>
      <c r="G150" s="0" t="n">
        <v>0.940678</v>
      </c>
      <c r="H150" s="0" t="n">
        <v>0</v>
      </c>
    </row>
    <row r="151" customFormat="false" ht="15" hidden="false" customHeight="false" outlineLevel="0" collapsed="false">
      <c r="A151" s="0" t="s">
        <v>241</v>
      </c>
      <c r="B151" s="0" t="s">
        <v>197</v>
      </c>
      <c r="C151" s="0" t="n">
        <v>17</v>
      </c>
      <c r="D151" s="0" t="n">
        <v>15</v>
      </c>
      <c r="E151" s="0" t="n">
        <v>0.882353</v>
      </c>
      <c r="F151" s="0" t="n">
        <v>135</v>
      </c>
      <c r="G151" s="0" t="n">
        <v>0.933333</v>
      </c>
      <c r="H151" s="0" t="n">
        <v>0</v>
      </c>
    </row>
    <row r="152" customFormat="false" ht="15" hidden="false" customHeight="false" outlineLevel="0" collapsed="false">
      <c r="A152" s="0" t="s">
        <v>241</v>
      </c>
      <c r="B152" s="0" t="s">
        <v>198</v>
      </c>
      <c r="C152" s="0" t="n">
        <v>28</v>
      </c>
      <c r="D152" s="0" t="n">
        <v>22</v>
      </c>
      <c r="E152" s="0" t="n">
        <v>0.785714</v>
      </c>
      <c r="F152" s="0" t="n">
        <v>163</v>
      </c>
      <c r="G152" s="0" t="n">
        <v>0.907975</v>
      </c>
      <c r="H152" s="0" t="n">
        <v>1</v>
      </c>
    </row>
    <row r="153" customFormat="false" ht="15" hidden="false" customHeight="false" outlineLevel="0" collapsed="false">
      <c r="A153" s="0" t="s">
        <v>241</v>
      </c>
      <c r="B153" s="0" t="s">
        <v>199</v>
      </c>
      <c r="C153" s="0" t="n">
        <v>22</v>
      </c>
      <c r="D153" s="0" t="n">
        <v>14</v>
      </c>
      <c r="E153" s="0" t="n">
        <v>0.636364</v>
      </c>
      <c r="F153" s="0" t="n">
        <v>185</v>
      </c>
      <c r="G153" s="0" t="n">
        <v>0.875676</v>
      </c>
      <c r="H153" s="0" t="n">
        <v>0</v>
      </c>
    </row>
    <row r="154" customFormat="false" ht="15" hidden="false" customHeight="false" outlineLevel="0" collapsed="false">
      <c r="A154" s="0" t="s">
        <v>241</v>
      </c>
      <c r="B154" s="0" t="s">
        <v>200</v>
      </c>
      <c r="C154" s="0" t="n">
        <v>18</v>
      </c>
      <c r="D154" s="0" t="n">
        <v>14</v>
      </c>
      <c r="E154" s="0" t="n">
        <v>0.777778</v>
      </c>
      <c r="F154" s="0" t="n">
        <v>203</v>
      </c>
      <c r="G154" s="0" t="n">
        <v>0.866995</v>
      </c>
      <c r="H154" s="0" t="n">
        <v>0</v>
      </c>
    </row>
    <row r="155" customFormat="false" ht="15" hidden="false" customHeight="false" outlineLevel="0" collapsed="false">
      <c r="A155" s="0" t="s">
        <v>241</v>
      </c>
      <c r="B155" s="0" t="s">
        <v>201</v>
      </c>
      <c r="C155" s="0" t="n">
        <v>16</v>
      </c>
      <c r="D155" s="0" t="n">
        <v>11</v>
      </c>
      <c r="E155" s="0" t="n">
        <v>0.6875</v>
      </c>
      <c r="F155" s="0" t="n">
        <v>219</v>
      </c>
      <c r="G155" s="0" t="n">
        <v>0.853881</v>
      </c>
      <c r="H155" s="0" t="n">
        <v>0</v>
      </c>
    </row>
    <row r="156" customFormat="false" ht="15" hidden="false" customHeight="false" outlineLevel="0" collapsed="false">
      <c r="A156" s="0" t="s">
        <v>241</v>
      </c>
      <c r="B156" s="0" t="s">
        <v>202</v>
      </c>
      <c r="C156" s="0" t="n">
        <v>16</v>
      </c>
      <c r="D156" s="0" t="n">
        <v>16</v>
      </c>
      <c r="E156" s="0" t="n">
        <v>1</v>
      </c>
      <c r="F156" s="0" t="n">
        <v>235</v>
      </c>
      <c r="G156" s="0" t="n">
        <v>0.86383</v>
      </c>
      <c r="H156" s="0" t="n">
        <v>2</v>
      </c>
    </row>
    <row r="157" customFormat="false" ht="15" hidden="false" customHeight="false" outlineLevel="0" collapsed="false">
      <c r="A157" s="0" t="s">
        <v>241</v>
      </c>
      <c r="B157" s="0" t="s">
        <v>203</v>
      </c>
      <c r="C157" s="0" t="n">
        <v>24</v>
      </c>
      <c r="D157" s="0" t="n">
        <v>17</v>
      </c>
      <c r="E157" s="0" t="n">
        <v>0.708333</v>
      </c>
      <c r="F157" s="0" t="n">
        <v>259</v>
      </c>
      <c r="G157" s="0" t="n">
        <v>0.849421</v>
      </c>
      <c r="H157" s="0" t="n">
        <v>0</v>
      </c>
    </row>
    <row r="158" customFormat="false" ht="15" hidden="false" customHeight="false" outlineLevel="0" collapsed="false">
      <c r="A158" s="0" t="s">
        <v>241</v>
      </c>
      <c r="B158" s="0" t="s">
        <v>204</v>
      </c>
      <c r="C158" s="0" t="n">
        <v>24</v>
      </c>
      <c r="D158" s="0" t="n">
        <v>21</v>
      </c>
      <c r="E158" s="0" t="n">
        <v>0.875</v>
      </c>
      <c r="F158" s="0" t="n">
        <v>283</v>
      </c>
      <c r="G158" s="0" t="n">
        <v>0.85159</v>
      </c>
      <c r="H158" s="0" t="n">
        <v>0</v>
      </c>
    </row>
    <row r="159" customFormat="false" ht="15" hidden="false" customHeight="false" outlineLevel="0" collapsed="false">
      <c r="A159" s="0" t="s">
        <v>241</v>
      </c>
      <c r="B159" s="0" t="s">
        <v>205</v>
      </c>
      <c r="C159" s="0" t="n">
        <v>25</v>
      </c>
      <c r="D159" s="0" t="n">
        <v>23</v>
      </c>
      <c r="E159" s="0" t="n">
        <v>0.92</v>
      </c>
      <c r="F159" s="0" t="n">
        <v>308</v>
      </c>
      <c r="G159" s="0" t="n">
        <v>0.857143</v>
      </c>
      <c r="H159" s="0" t="n">
        <v>0</v>
      </c>
    </row>
    <row r="160" customFormat="false" ht="15" hidden="false" customHeight="false" outlineLevel="0" collapsed="false">
      <c r="A160" s="0" t="s">
        <v>241</v>
      </c>
      <c r="B160" s="0" t="s">
        <v>206</v>
      </c>
      <c r="C160" s="0" t="n">
        <v>21</v>
      </c>
      <c r="D160" s="0" t="n">
        <v>14</v>
      </c>
      <c r="E160" s="0" t="n">
        <v>0.666667</v>
      </c>
      <c r="F160" s="0" t="n">
        <v>329</v>
      </c>
      <c r="G160" s="0" t="n">
        <v>0.844985</v>
      </c>
      <c r="H160" s="0" t="n">
        <v>0</v>
      </c>
    </row>
    <row r="161" customFormat="false" ht="15" hidden="false" customHeight="false" outlineLevel="0" collapsed="false">
      <c r="A161" s="0" t="s">
        <v>241</v>
      </c>
      <c r="B161" s="0" t="s">
        <v>207</v>
      </c>
      <c r="C161" s="0" t="n">
        <v>22</v>
      </c>
      <c r="D161" s="0" t="n">
        <v>16</v>
      </c>
      <c r="E161" s="0" t="n">
        <v>0.727273</v>
      </c>
      <c r="F161" s="0" t="n">
        <v>351</v>
      </c>
      <c r="G161" s="0" t="n">
        <v>0.837607</v>
      </c>
      <c r="H161" s="0" t="n">
        <v>0</v>
      </c>
    </row>
    <row r="162" customFormat="false" ht="15" hidden="false" customHeight="false" outlineLevel="0" collapsed="false">
      <c r="A162" s="0" t="s">
        <v>241</v>
      </c>
      <c r="B162" s="0" t="s">
        <v>208</v>
      </c>
      <c r="C162" s="0" t="n">
        <v>15</v>
      </c>
      <c r="D162" s="0" t="n">
        <v>14</v>
      </c>
      <c r="E162" s="0" t="n">
        <v>0.933333</v>
      </c>
      <c r="F162" s="0" t="n">
        <v>366</v>
      </c>
      <c r="G162" s="0" t="n">
        <v>0.84153</v>
      </c>
      <c r="H162" s="0" t="n">
        <v>1</v>
      </c>
    </row>
    <row r="163" customFormat="false" ht="15" hidden="false" customHeight="false" outlineLevel="0" collapsed="false">
      <c r="A163" s="0" t="s">
        <v>241</v>
      </c>
      <c r="B163" s="0" t="s">
        <v>232</v>
      </c>
      <c r="C163" s="0" t="n">
        <v>366</v>
      </c>
      <c r="D163" s="0" t="n">
        <v>308</v>
      </c>
      <c r="E163" s="0" t="n">
        <v>0.84153</v>
      </c>
      <c r="F163" s="0" t="n">
        <v>366</v>
      </c>
      <c r="G163" s="0" t="n">
        <v>0.84153</v>
      </c>
    </row>
    <row r="166" customFormat="false" ht="15" hidden="false" customHeight="false" outlineLevel="0" collapsed="false">
      <c r="A166" s="13" t="s">
        <v>242</v>
      </c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customFormat="false" ht="28.35" hidden="false" customHeight="false" outlineLevel="0" collapsed="false">
      <c r="A167" s="3" t="s">
        <v>24</v>
      </c>
      <c r="B167" s="3" t="s">
        <v>25</v>
      </c>
      <c r="C167" s="3" t="s">
        <v>243</v>
      </c>
      <c r="D167" s="3" t="s">
        <v>244</v>
      </c>
      <c r="E167" s="3" t="s">
        <v>245</v>
      </c>
      <c r="F167" s="3" t="s">
        <v>246</v>
      </c>
      <c r="G167" s="3" t="s">
        <v>247</v>
      </c>
      <c r="H167" s="3" t="s">
        <v>248</v>
      </c>
      <c r="I167" s="3" t="s">
        <v>249</v>
      </c>
      <c r="J167" s="3" t="s">
        <v>250</v>
      </c>
      <c r="K167" s="3" t="s">
        <v>251</v>
      </c>
    </row>
    <row r="168" customFormat="false" ht="15" hidden="false" customHeight="false" outlineLevel="0" collapsed="false">
      <c r="A168" s="0" t="s">
        <v>30</v>
      </c>
      <c r="B168" s="0" t="s">
        <v>189</v>
      </c>
      <c r="C168" s="0" t="s">
        <v>252</v>
      </c>
      <c r="D168" s="0" t="n">
        <v>5</v>
      </c>
      <c r="E168" s="0" t="n">
        <v>1</v>
      </c>
      <c r="F168" s="0" t="n">
        <v>8</v>
      </c>
      <c r="G168" s="0" t="n">
        <v>54</v>
      </c>
      <c r="H168" s="0" t="n">
        <v>46</v>
      </c>
      <c r="I168" s="0" t="n">
        <v>46</v>
      </c>
      <c r="J168" s="0" t="n">
        <v>0.851852</v>
      </c>
      <c r="K168" s="0" t="n">
        <v>0</v>
      </c>
    </row>
    <row r="169" customFormat="false" ht="15" hidden="false" customHeight="false" outlineLevel="0" collapsed="false">
      <c r="A169" s="0" t="s">
        <v>216</v>
      </c>
      <c r="B169" s="0" t="s">
        <v>190</v>
      </c>
      <c r="C169" s="0" t="s">
        <v>252</v>
      </c>
      <c r="D169" s="0" t="n">
        <v>74</v>
      </c>
      <c r="E169" s="0" t="n">
        <v>12</v>
      </c>
      <c r="F169" s="0" t="n">
        <v>176</v>
      </c>
      <c r="G169" s="0" t="n">
        <v>806</v>
      </c>
      <c r="H169" s="0" t="n">
        <v>630</v>
      </c>
      <c r="I169" s="0" t="n">
        <v>630</v>
      </c>
      <c r="J169" s="0" t="n">
        <v>0.781638</v>
      </c>
      <c r="K169" s="0" t="n">
        <v>0</v>
      </c>
    </row>
    <row r="170" customFormat="false" ht="15" hidden="false" customHeight="false" outlineLevel="0" collapsed="false">
      <c r="A170" s="0" t="s">
        <v>253</v>
      </c>
      <c r="B170" s="0" t="s">
        <v>191</v>
      </c>
      <c r="C170" s="0" t="s">
        <v>254</v>
      </c>
      <c r="D170" s="0" t="n">
        <v>19</v>
      </c>
      <c r="E170" s="0" t="n">
        <v>4</v>
      </c>
      <c r="F170" s="0" t="n">
        <v>29</v>
      </c>
      <c r="G170" s="0" t="n">
        <v>145</v>
      </c>
      <c r="H170" s="0" t="n">
        <v>116</v>
      </c>
      <c r="I170" s="0" t="n">
        <v>116</v>
      </c>
      <c r="J170" s="0" t="n">
        <v>0.8</v>
      </c>
      <c r="K170" s="0" t="n">
        <v>0</v>
      </c>
    </row>
    <row r="171" customFormat="false" ht="15" hidden="false" customHeight="false" outlineLevel="0" collapsed="false">
      <c r="A171" s="0" t="s">
        <v>255</v>
      </c>
      <c r="B171" s="0" t="s">
        <v>189</v>
      </c>
      <c r="C171" s="0" t="s">
        <v>252</v>
      </c>
      <c r="D171" s="0" t="n">
        <v>10</v>
      </c>
      <c r="E171" s="0" t="n">
        <v>7</v>
      </c>
      <c r="F171" s="0" t="n">
        <v>25</v>
      </c>
      <c r="G171" s="0" t="n">
        <v>202</v>
      </c>
      <c r="H171" s="0" t="n">
        <v>177</v>
      </c>
      <c r="I171" s="0" t="n">
        <v>177</v>
      </c>
      <c r="J171" s="0" t="n">
        <v>0.876238</v>
      </c>
      <c r="K171" s="0" t="n">
        <v>0</v>
      </c>
    </row>
    <row r="172" customFormat="false" ht="15" hidden="false" customHeight="false" outlineLevel="0" collapsed="false">
      <c r="A172" s="0" t="s">
        <v>219</v>
      </c>
      <c r="B172" s="0" t="s">
        <v>190</v>
      </c>
      <c r="C172" s="0" t="s">
        <v>252</v>
      </c>
      <c r="D172" s="0" t="n">
        <v>82</v>
      </c>
      <c r="E172" s="0" t="n">
        <v>11</v>
      </c>
      <c r="F172" s="0" t="n">
        <v>187</v>
      </c>
      <c r="G172" s="0" t="n">
        <v>735</v>
      </c>
      <c r="H172" s="0" t="n">
        <v>548</v>
      </c>
      <c r="I172" s="0" t="n">
        <v>548</v>
      </c>
      <c r="J172" s="0" t="n">
        <v>0.745578</v>
      </c>
      <c r="K172" s="0" t="n">
        <v>0</v>
      </c>
    </row>
    <row r="173" customFormat="false" ht="15" hidden="false" customHeight="false" outlineLevel="0" collapsed="false">
      <c r="A173" s="0" t="s">
        <v>256</v>
      </c>
      <c r="B173" s="0" t="s">
        <v>191</v>
      </c>
      <c r="C173" s="0" t="s">
        <v>254</v>
      </c>
      <c r="D173" s="0" t="n">
        <v>28</v>
      </c>
      <c r="E173" s="0" t="n">
        <v>5</v>
      </c>
      <c r="F173" s="0" t="n">
        <v>23</v>
      </c>
      <c r="G173" s="0" t="n">
        <v>223</v>
      </c>
      <c r="H173" s="0" t="n">
        <v>200</v>
      </c>
      <c r="I173" s="0" t="n">
        <v>200</v>
      </c>
      <c r="J173" s="0" t="n">
        <v>0.896861</v>
      </c>
      <c r="K173" s="0" t="n">
        <v>0</v>
      </c>
    </row>
    <row r="174" customFormat="false" ht="15" hidden="false" customHeight="false" outlineLevel="0" collapsed="false">
      <c r="A174" s="0" t="s">
        <v>257</v>
      </c>
      <c r="B174" s="0" t="s">
        <v>189</v>
      </c>
      <c r="C174" s="0" t="s">
        <v>252</v>
      </c>
      <c r="D174" s="0" t="n">
        <v>27</v>
      </c>
      <c r="E174" s="0" t="n">
        <v>9</v>
      </c>
      <c r="F174" s="0" t="n">
        <v>8</v>
      </c>
      <c r="G174" s="0" t="n">
        <v>210</v>
      </c>
      <c r="H174" s="0" t="n">
        <v>202</v>
      </c>
      <c r="I174" s="0" t="n">
        <v>202</v>
      </c>
      <c r="J174" s="0" t="n">
        <v>0.961905</v>
      </c>
      <c r="K174" s="0" t="n">
        <v>0</v>
      </c>
    </row>
    <row r="175" customFormat="false" ht="15" hidden="false" customHeight="false" outlineLevel="0" collapsed="false">
      <c r="A175" s="0" t="s">
        <v>258</v>
      </c>
      <c r="B175" s="0" t="s">
        <v>190</v>
      </c>
      <c r="C175" s="0" t="s">
        <v>252</v>
      </c>
      <c r="D175" s="0" t="n">
        <v>49</v>
      </c>
      <c r="E175" s="0" t="n">
        <v>11</v>
      </c>
      <c r="F175" s="0" t="n">
        <v>148</v>
      </c>
      <c r="G175" s="0" t="n">
        <v>652</v>
      </c>
      <c r="H175" s="0" t="n">
        <v>504</v>
      </c>
      <c r="I175" s="0" t="n">
        <v>504</v>
      </c>
      <c r="J175" s="0" t="n">
        <v>0.773006</v>
      </c>
      <c r="K175" s="0" t="n">
        <v>0</v>
      </c>
    </row>
    <row r="178" customFormat="false" ht="15" hidden="false" customHeight="false" outlineLevel="0" collapsed="false">
      <c r="A178" s="13" t="s">
        <v>259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customFormat="false" ht="28.35" hidden="false" customHeight="false" outlineLevel="0" collapsed="false">
      <c r="A179" s="3" t="s">
        <v>181</v>
      </c>
      <c r="B179" s="3" t="s">
        <v>260</v>
      </c>
      <c r="C179" s="3" t="s">
        <v>261</v>
      </c>
      <c r="D179" s="3" t="s">
        <v>262</v>
      </c>
      <c r="E179" s="3" t="s">
        <v>263</v>
      </c>
      <c r="F179" s="3" t="s">
        <v>264</v>
      </c>
      <c r="G179" s="3" t="s">
        <v>265</v>
      </c>
      <c r="H179" s="3" t="s">
        <v>266</v>
      </c>
    </row>
    <row r="180" customFormat="false" ht="15" hidden="false" customHeight="false" outlineLevel="0" collapsed="false">
      <c r="A180" s="0" t="s">
        <v>188</v>
      </c>
      <c r="B180" s="0" t="n">
        <v>8405.25</v>
      </c>
      <c r="C180" s="0" t="n">
        <v>6533.12</v>
      </c>
      <c r="D180" s="0" t="n">
        <v>7092.51</v>
      </c>
      <c r="E180" s="0" t="n">
        <v>22030.88</v>
      </c>
      <c r="F180" s="0" t="n">
        <v>29741.51</v>
      </c>
      <c r="G180" s="0" t="n">
        <v>29741.51</v>
      </c>
      <c r="H180" s="0" t="n">
        <v>0</v>
      </c>
    </row>
    <row r="181" customFormat="false" ht="15" hidden="false" customHeight="false" outlineLevel="0" collapsed="false">
      <c r="A181" s="0" t="s">
        <v>192</v>
      </c>
      <c r="B181" s="0" t="n">
        <v>9512.13</v>
      </c>
      <c r="C181" s="0" t="n">
        <v>4143.87</v>
      </c>
      <c r="D181" s="0" t="n">
        <v>4279.22</v>
      </c>
      <c r="E181" s="0" t="n">
        <v>17935.22</v>
      </c>
      <c r="F181" s="0" t="n">
        <v>21330.36</v>
      </c>
      <c r="G181" s="0" t="n">
        <v>21330.36</v>
      </c>
      <c r="H181" s="0" t="n">
        <v>0</v>
      </c>
    </row>
    <row r="182" customFormat="false" ht="15" hidden="false" customHeight="false" outlineLevel="0" collapsed="false">
      <c r="A182" s="0" t="s">
        <v>193</v>
      </c>
      <c r="B182" s="0" t="n">
        <v>7588.55</v>
      </c>
      <c r="C182" s="0" t="n">
        <v>6397.81</v>
      </c>
      <c r="D182" s="0" t="n">
        <v>4714.13</v>
      </c>
      <c r="E182" s="0" t="n">
        <v>18700.49</v>
      </c>
      <c r="F182" s="0" t="n">
        <v>18573.59</v>
      </c>
      <c r="G182" s="0" t="n">
        <v>18573.59</v>
      </c>
      <c r="H182" s="0" t="n">
        <v>0</v>
      </c>
    </row>
    <row r="183" customFormat="false" ht="15" hidden="false" customHeight="false" outlineLevel="0" collapsed="false">
      <c r="A183" s="0" t="s">
        <v>194</v>
      </c>
      <c r="B183" s="0" t="n">
        <v>11280.83</v>
      </c>
      <c r="C183" s="0" t="n">
        <v>7202.22</v>
      </c>
      <c r="D183" s="0" t="n">
        <v>3449.99</v>
      </c>
      <c r="E183" s="0" t="n">
        <v>21933.04</v>
      </c>
      <c r="F183" s="0" t="n">
        <v>21012.67</v>
      </c>
      <c r="G183" s="0" t="n">
        <v>21012.67</v>
      </c>
      <c r="H183" s="0" t="n">
        <v>0</v>
      </c>
    </row>
    <row r="184" customFormat="false" ht="15" hidden="false" customHeight="false" outlineLevel="0" collapsed="false">
      <c r="A184" s="0" t="s">
        <v>195</v>
      </c>
      <c r="B184" s="0" t="n">
        <v>8783.45</v>
      </c>
      <c r="C184" s="0" t="n">
        <v>6289.24</v>
      </c>
      <c r="D184" s="0" t="n">
        <v>4781.29</v>
      </c>
      <c r="E184" s="0" t="n">
        <v>19853.98</v>
      </c>
      <c r="F184" s="0" t="n">
        <v>19930.7</v>
      </c>
      <c r="G184" s="0" t="n">
        <v>19930.7</v>
      </c>
      <c r="H184" s="0" t="n">
        <v>0</v>
      </c>
    </row>
    <row r="185" customFormat="false" ht="15" hidden="false" customHeight="false" outlineLevel="0" collapsed="false">
      <c r="A185" s="0" t="s">
        <v>196</v>
      </c>
      <c r="B185" s="0" t="n">
        <v>10310.82</v>
      </c>
      <c r="C185" s="0" t="n">
        <v>6804.63</v>
      </c>
      <c r="D185" s="0" t="n">
        <v>8096.07</v>
      </c>
      <c r="E185" s="0" t="n">
        <v>25211.52</v>
      </c>
      <c r="F185" s="0" t="n">
        <v>21895.41</v>
      </c>
      <c r="G185" s="0" t="n">
        <v>21895.41</v>
      </c>
      <c r="H185" s="0" t="n">
        <v>0</v>
      </c>
    </row>
    <row r="186" customFormat="false" ht="15" hidden="false" customHeight="false" outlineLevel="0" collapsed="false">
      <c r="A186" s="0" t="s">
        <v>197</v>
      </c>
      <c r="B186" s="0" t="n">
        <v>10537.2</v>
      </c>
      <c r="C186" s="0" t="n">
        <v>4355.02</v>
      </c>
      <c r="D186" s="0" t="n">
        <v>7360.95</v>
      </c>
      <c r="E186" s="0" t="n">
        <v>22253.17</v>
      </c>
      <c r="F186" s="0" t="n">
        <v>22460.25</v>
      </c>
      <c r="G186" s="0" t="n">
        <v>22460.25</v>
      </c>
      <c r="H186" s="0" t="n">
        <v>0</v>
      </c>
    </row>
    <row r="187" customFormat="false" ht="15" hidden="false" customHeight="false" outlineLevel="0" collapsed="false">
      <c r="A187" s="0" t="s">
        <v>198</v>
      </c>
      <c r="B187" s="0" t="n">
        <v>8899.53</v>
      </c>
      <c r="C187" s="0" t="n">
        <v>5906.75</v>
      </c>
      <c r="D187" s="0" t="n">
        <v>3571.34</v>
      </c>
      <c r="E187" s="0" t="n">
        <v>18377.62</v>
      </c>
      <c r="F187" s="0" t="n">
        <v>22680.15</v>
      </c>
      <c r="G187" s="0" t="n">
        <v>22680.15</v>
      </c>
      <c r="H187" s="0" t="n">
        <v>0</v>
      </c>
    </row>
    <row r="188" customFormat="false" ht="15" hidden="false" customHeight="false" outlineLevel="0" collapsed="false">
      <c r="A188" s="0" t="s">
        <v>199</v>
      </c>
      <c r="B188" s="0" t="n">
        <v>9192.73</v>
      </c>
      <c r="C188" s="0" t="n">
        <v>5912.9</v>
      </c>
      <c r="D188" s="0" t="n">
        <v>3447.35</v>
      </c>
      <c r="E188" s="0" t="n">
        <v>18552.98</v>
      </c>
      <c r="F188" s="0" t="n">
        <v>22038.51</v>
      </c>
      <c r="G188" s="0" t="n">
        <v>22038.51</v>
      </c>
      <c r="H188" s="0" t="n">
        <v>0</v>
      </c>
    </row>
    <row r="189" customFormat="false" ht="15" hidden="false" customHeight="false" outlineLevel="0" collapsed="false">
      <c r="A189" s="0" t="s">
        <v>200</v>
      </c>
      <c r="B189" s="0" t="n">
        <v>9656.06</v>
      </c>
      <c r="C189" s="0" t="n">
        <v>9264.51</v>
      </c>
      <c r="D189" s="0" t="n">
        <v>5223.02</v>
      </c>
      <c r="E189" s="0" t="n">
        <v>24143.59</v>
      </c>
      <c r="F189" s="0" t="n">
        <v>21867.29</v>
      </c>
      <c r="G189" s="0" t="n">
        <v>21867.29</v>
      </c>
      <c r="H189" s="0" t="n">
        <v>0</v>
      </c>
    </row>
    <row r="190" customFormat="false" ht="15" hidden="false" customHeight="false" outlineLevel="0" collapsed="false">
      <c r="A190" s="0" t="s">
        <v>201</v>
      </c>
      <c r="B190" s="0" t="n">
        <v>13452.34</v>
      </c>
      <c r="C190" s="0" t="n">
        <v>7118.96</v>
      </c>
      <c r="D190" s="0" t="n">
        <v>8556.33</v>
      </c>
      <c r="E190" s="0" t="n">
        <v>29127.63</v>
      </c>
      <c r="F190" s="0" t="n">
        <v>23302.54</v>
      </c>
      <c r="G190" s="0" t="n">
        <v>22811.89</v>
      </c>
      <c r="H190" s="0" t="n">
        <v>490.65</v>
      </c>
    </row>
    <row r="191" customFormat="false" ht="15" hidden="false" customHeight="false" outlineLevel="0" collapsed="false">
      <c r="A191" s="0" t="s">
        <v>202</v>
      </c>
      <c r="B191" s="0" t="n">
        <v>5474.44</v>
      </c>
      <c r="C191" s="0" t="n">
        <v>3004.12</v>
      </c>
      <c r="D191" s="0" t="n">
        <v>7643.63</v>
      </c>
      <c r="E191" s="0" t="n">
        <v>16122.19</v>
      </c>
      <c r="F191" s="0" t="n">
        <v>21591.06</v>
      </c>
      <c r="G191" s="0" t="n">
        <v>21085.26</v>
      </c>
      <c r="H191" s="0" t="n">
        <v>505.8</v>
      </c>
    </row>
    <row r="192" customFormat="false" ht="15" hidden="false" customHeight="false" outlineLevel="0" collapsed="false">
      <c r="A192" s="0" t="s">
        <v>203</v>
      </c>
      <c r="B192" s="0" t="n">
        <v>6202.72</v>
      </c>
      <c r="C192" s="0" t="n">
        <v>4377.43</v>
      </c>
      <c r="D192" s="0" t="n">
        <v>6596.39</v>
      </c>
      <c r="E192" s="0" t="n">
        <v>17176.54</v>
      </c>
      <c r="F192" s="0" t="n">
        <v>23076.81</v>
      </c>
      <c r="G192" s="0" t="n">
        <v>22436.29</v>
      </c>
      <c r="H192" s="0" t="n">
        <v>640.53</v>
      </c>
    </row>
    <row r="193" customFormat="false" ht="15" hidden="false" customHeight="false" outlineLevel="0" collapsed="false">
      <c r="A193" s="0" t="s">
        <v>204</v>
      </c>
      <c r="B193" s="0" t="n">
        <v>4208.01</v>
      </c>
      <c r="C193" s="0" t="n">
        <v>2781.05</v>
      </c>
      <c r="D193" s="0" t="n">
        <v>6618.28</v>
      </c>
      <c r="E193" s="0" t="n">
        <v>13607.34</v>
      </c>
      <c r="F193" s="0" t="n">
        <v>17834.45</v>
      </c>
      <c r="G193" s="0" t="n">
        <v>17463.75</v>
      </c>
      <c r="H193" s="0" t="n">
        <v>370.7</v>
      </c>
    </row>
    <row r="194" customFormat="false" ht="15" hidden="false" customHeight="false" outlineLevel="0" collapsed="false">
      <c r="A194" s="0" t="s">
        <v>205</v>
      </c>
      <c r="B194" s="0" t="n">
        <v>13179.79</v>
      </c>
      <c r="C194" s="0" t="n">
        <v>7807.42</v>
      </c>
      <c r="D194" s="0" t="n">
        <v>7986.73</v>
      </c>
      <c r="E194" s="0" t="n">
        <v>28973.94</v>
      </c>
      <c r="F194" s="0" t="n">
        <v>21756.03</v>
      </c>
      <c r="G194" s="0" t="n">
        <v>21320.51</v>
      </c>
      <c r="H194" s="0" t="n">
        <v>435.52</v>
      </c>
    </row>
    <row r="195" customFormat="false" ht="15" hidden="false" customHeight="false" outlineLevel="0" collapsed="false">
      <c r="A195" s="0" t="s">
        <v>206</v>
      </c>
      <c r="B195" s="0" t="n">
        <v>6341.03</v>
      </c>
      <c r="C195" s="0" t="n">
        <v>8088.76</v>
      </c>
      <c r="D195" s="0" t="n">
        <v>6404.68</v>
      </c>
      <c r="E195" s="0" t="n">
        <v>20834.47</v>
      </c>
      <c r="F195" s="0" t="n">
        <v>20691.62</v>
      </c>
      <c r="G195" s="0" t="n">
        <v>20275.78</v>
      </c>
      <c r="H195" s="0" t="n">
        <v>415.85</v>
      </c>
    </row>
    <row r="196" customFormat="false" ht="15" hidden="false" customHeight="false" outlineLevel="0" collapsed="false">
      <c r="A196" s="0" t="s">
        <v>207</v>
      </c>
      <c r="B196" s="0" t="n">
        <v>14405.38</v>
      </c>
      <c r="C196" s="0" t="n">
        <v>6494.67</v>
      </c>
      <c r="D196" s="0" t="n">
        <v>6938.06</v>
      </c>
      <c r="E196" s="0" t="n">
        <v>27838.11</v>
      </c>
      <c r="F196" s="0" t="n">
        <v>21910.81</v>
      </c>
      <c r="G196" s="0" t="n">
        <v>21416.39</v>
      </c>
      <c r="H196" s="0" t="n">
        <v>494.41</v>
      </c>
    </row>
    <row r="197" customFormat="false" ht="15" hidden="false" customHeight="false" outlineLevel="0" collapsed="false">
      <c r="A197" s="0" t="s">
        <v>208</v>
      </c>
      <c r="B197" s="0" t="n">
        <v>13078.47</v>
      </c>
      <c r="C197" s="0" t="n">
        <v>7855.29</v>
      </c>
      <c r="D197" s="0" t="n">
        <v>8156.88</v>
      </c>
      <c r="E197" s="0" t="n">
        <v>29090.64</v>
      </c>
      <c r="F197" s="0" t="n">
        <v>22533.64</v>
      </c>
      <c r="G197" s="0" t="n">
        <v>22060.66</v>
      </c>
      <c r="H197" s="0" t="n">
        <v>472.98</v>
      </c>
    </row>
    <row r="198" customFormat="false" ht="15" hidden="false" customHeight="false" outlineLevel="0" collapsed="false">
      <c r="A198" s="0" t="s">
        <v>232</v>
      </c>
      <c r="F198" s="0" t="n">
        <v>21881.18</v>
      </c>
      <c r="G198" s="0" t="n">
        <v>21670.23</v>
      </c>
      <c r="H198" s="0" t="n">
        <v>210.95</v>
      </c>
    </row>
    <row r="201" customFormat="false" ht="15" hidden="false" customHeight="false" outlineLevel="0" collapsed="false">
      <c r="A201" s="13" t="s">
        <v>267</v>
      </c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</row>
    <row r="202" customFormat="false" ht="28.35" hidden="false" customHeight="false" outlineLevel="0" collapsed="false">
      <c r="A202" s="3" t="s">
        <v>24</v>
      </c>
      <c r="B202" s="3" t="s">
        <v>25</v>
      </c>
      <c r="C202" s="3" t="s">
        <v>210</v>
      </c>
      <c r="D202" s="3" t="s">
        <v>268</v>
      </c>
      <c r="E202" s="3" t="s">
        <v>269</v>
      </c>
      <c r="F202" s="3" t="s">
        <v>270</v>
      </c>
      <c r="G202" s="3" t="s">
        <v>271</v>
      </c>
      <c r="H202" s="3" t="s">
        <v>272</v>
      </c>
      <c r="I202" s="3" t="s">
        <v>273</v>
      </c>
      <c r="J202" s="3" t="s">
        <v>274</v>
      </c>
      <c r="K202" s="3" t="s">
        <v>275</v>
      </c>
      <c r="L202" s="3" t="s">
        <v>276</v>
      </c>
      <c r="M202" s="3" t="s">
        <v>277</v>
      </c>
    </row>
    <row r="203" customFormat="false" ht="15" hidden="false" customHeight="false" outlineLevel="0" collapsed="false">
      <c r="A203" s="0" t="s">
        <v>30</v>
      </c>
      <c r="B203" s="0" t="s">
        <v>189</v>
      </c>
      <c r="C203" s="0" t="s">
        <v>217</v>
      </c>
      <c r="D203" s="0" t="n">
        <v>4</v>
      </c>
      <c r="E203" s="0" t="n">
        <v>56</v>
      </c>
      <c r="F203" s="0" t="n">
        <v>351</v>
      </c>
      <c r="G203" s="0" t="n">
        <v>0</v>
      </c>
      <c r="H203" s="0" t="n">
        <v>0.612536</v>
      </c>
      <c r="I203" s="0" t="n">
        <v>0.680912</v>
      </c>
      <c r="J203" s="0" t="n">
        <v>0.518291</v>
      </c>
      <c r="K203" s="0" t="s">
        <v>278</v>
      </c>
      <c r="L203" s="0" t="n">
        <v>0</v>
      </c>
      <c r="M203" s="0" t="s">
        <v>279</v>
      </c>
    </row>
    <row r="204" customFormat="false" ht="15" hidden="false" customHeight="false" outlineLevel="0" collapsed="false">
      <c r="A204" s="0" t="s">
        <v>216</v>
      </c>
      <c r="B204" s="0" t="s">
        <v>190</v>
      </c>
      <c r="C204" s="0" t="s">
        <v>217</v>
      </c>
      <c r="D204" s="0" t="n">
        <v>4</v>
      </c>
      <c r="E204" s="0" t="n">
        <v>56</v>
      </c>
      <c r="F204" s="0" t="n">
        <v>416</v>
      </c>
      <c r="G204" s="0" t="n">
        <v>0</v>
      </c>
      <c r="H204" s="0" t="n">
        <v>0.653846</v>
      </c>
      <c r="I204" s="0" t="n">
        <v>0.754808</v>
      </c>
      <c r="J204" s="0" t="n">
        <v>0.606346</v>
      </c>
      <c r="K204" s="0" t="s">
        <v>278</v>
      </c>
      <c r="L204" s="0" t="n">
        <v>0</v>
      </c>
      <c r="M204" s="0" t="s">
        <v>279</v>
      </c>
    </row>
    <row r="205" customFormat="false" ht="15" hidden="false" customHeight="false" outlineLevel="0" collapsed="false">
      <c r="A205" s="0" t="s">
        <v>253</v>
      </c>
      <c r="B205" s="0" t="s">
        <v>191</v>
      </c>
      <c r="C205" s="0" t="s">
        <v>217</v>
      </c>
      <c r="D205" s="0" t="n">
        <v>4</v>
      </c>
      <c r="E205" s="0" t="n">
        <v>56</v>
      </c>
      <c r="F205" s="0" t="n">
        <v>273</v>
      </c>
      <c r="G205" s="0" t="n">
        <v>0</v>
      </c>
      <c r="H205" s="0" t="n">
        <v>0.545788</v>
      </c>
      <c r="I205" s="0" t="n">
        <v>0.692308</v>
      </c>
      <c r="J205" s="0" t="n">
        <v>0.508571</v>
      </c>
      <c r="K205" s="0" t="s">
        <v>278</v>
      </c>
      <c r="L205" s="0" t="n">
        <v>0</v>
      </c>
      <c r="M205" s="0" t="s">
        <v>280</v>
      </c>
    </row>
    <row r="206" customFormat="false" ht="15" hidden="false" customHeight="false" outlineLevel="0" collapsed="false">
      <c r="A206" s="0" t="s">
        <v>255</v>
      </c>
      <c r="B206" s="0" t="s">
        <v>189</v>
      </c>
      <c r="C206" s="0" t="s">
        <v>217</v>
      </c>
      <c r="D206" s="0" t="n">
        <v>4</v>
      </c>
      <c r="E206" s="0" t="n">
        <v>56</v>
      </c>
      <c r="F206" s="0" t="n">
        <v>547</v>
      </c>
      <c r="G206" s="0" t="n">
        <v>0</v>
      </c>
      <c r="H206" s="0" t="n">
        <v>0.659963</v>
      </c>
      <c r="I206" s="0" t="n">
        <v>0.510055</v>
      </c>
      <c r="J206" s="0" t="n">
        <v>0.44702</v>
      </c>
      <c r="K206" s="0" t="s">
        <v>278</v>
      </c>
      <c r="L206" s="0" t="n">
        <v>0</v>
      </c>
      <c r="M206" s="0" t="s">
        <v>280</v>
      </c>
    </row>
    <row r="207" customFormat="false" ht="15" hidden="false" customHeight="false" outlineLevel="0" collapsed="false">
      <c r="A207" s="0" t="s">
        <v>219</v>
      </c>
      <c r="B207" s="0" t="s">
        <v>190</v>
      </c>
      <c r="C207" s="0" t="s">
        <v>217</v>
      </c>
      <c r="D207" s="0" t="n">
        <v>4</v>
      </c>
      <c r="E207" s="0" t="n">
        <v>56</v>
      </c>
      <c r="F207" s="0" t="n">
        <v>353</v>
      </c>
      <c r="G207" s="0" t="n">
        <v>0</v>
      </c>
      <c r="H207" s="0" t="n">
        <v>0.654391</v>
      </c>
      <c r="I207" s="0" t="n">
        <v>0.643059</v>
      </c>
      <c r="J207" s="0" t="n">
        <v>0.52272</v>
      </c>
      <c r="K207" s="0" t="s">
        <v>278</v>
      </c>
      <c r="L207" s="0" t="n">
        <v>0</v>
      </c>
      <c r="M207" s="0" t="s">
        <v>281</v>
      </c>
    </row>
    <row r="208" customFormat="false" ht="15" hidden="false" customHeight="false" outlineLevel="0" collapsed="false">
      <c r="A208" s="0" t="s">
        <v>256</v>
      </c>
      <c r="B208" s="0" t="s">
        <v>191</v>
      </c>
      <c r="C208" s="0" t="s">
        <v>217</v>
      </c>
      <c r="D208" s="0" t="n">
        <v>4</v>
      </c>
      <c r="E208" s="0" t="n">
        <v>56</v>
      </c>
      <c r="F208" s="0" t="n">
        <v>296</v>
      </c>
      <c r="G208" s="0" t="n">
        <v>0</v>
      </c>
      <c r="H208" s="0" t="n">
        <v>0.709459</v>
      </c>
      <c r="I208" s="0" t="n">
        <v>0.662162</v>
      </c>
      <c r="J208" s="0" t="n">
        <v>0.490338</v>
      </c>
      <c r="K208" s="0" t="s">
        <v>278</v>
      </c>
      <c r="L208" s="0" t="n">
        <v>0</v>
      </c>
      <c r="M208" s="0" t="s">
        <v>282</v>
      </c>
    </row>
    <row r="209" customFormat="false" ht="15" hidden="false" customHeight="false" outlineLevel="0" collapsed="false">
      <c r="A209" s="0" t="s">
        <v>257</v>
      </c>
      <c r="B209" s="0" t="s">
        <v>189</v>
      </c>
      <c r="C209" s="0" t="s">
        <v>217</v>
      </c>
      <c r="D209" s="0" t="n">
        <v>4</v>
      </c>
      <c r="E209" s="0" t="n">
        <v>56</v>
      </c>
      <c r="F209" s="0" t="n">
        <v>256</v>
      </c>
      <c r="G209" s="0" t="n">
        <v>0</v>
      </c>
      <c r="H209" s="0" t="n">
        <v>0.828125</v>
      </c>
      <c r="I209" s="0" t="n">
        <v>0.734375</v>
      </c>
      <c r="J209" s="0" t="n">
        <v>0.609375</v>
      </c>
      <c r="K209" s="0" t="s">
        <v>278</v>
      </c>
      <c r="L209" s="0" t="n">
        <v>0</v>
      </c>
      <c r="M209" s="0" t="s">
        <v>280</v>
      </c>
    </row>
    <row r="210" customFormat="false" ht="15" hidden="false" customHeight="false" outlineLevel="0" collapsed="false">
      <c r="A210" s="0" t="s">
        <v>258</v>
      </c>
      <c r="B210" s="0" t="s">
        <v>190</v>
      </c>
      <c r="C210" s="0" t="s">
        <v>217</v>
      </c>
      <c r="D210" s="0" t="n">
        <v>4</v>
      </c>
      <c r="E210" s="0" t="n">
        <v>56</v>
      </c>
      <c r="F210" s="0" t="n">
        <v>449</v>
      </c>
      <c r="G210" s="0" t="n">
        <v>0</v>
      </c>
      <c r="H210" s="0" t="n">
        <v>0.66147</v>
      </c>
      <c r="I210" s="0" t="n">
        <v>0.759465</v>
      </c>
      <c r="J210" s="0" t="n">
        <v>0.62922</v>
      </c>
      <c r="K210" s="0" t="s">
        <v>278</v>
      </c>
      <c r="L210" s="0" t="n">
        <v>0</v>
      </c>
      <c r="M210" s="0" t="s">
        <v>279</v>
      </c>
    </row>
    <row r="211" customFormat="false" ht="15" hidden="false" customHeight="false" outlineLevel="0" collapsed="false">
      <c r="A211" s="0" t="s">
        <v>283</v>
      </c>
      <c r="B211" s="0" t="s">
        <v>189</v>
      </c>
      <c r="C211" s="0" t="s">
        <v>230</v>
      </c>
      <c r="D211" s="0" t="n">
        <v>4</v>
      </c>
      <c r="E211" s="0" t="n">
        <v>56</v>
      </c>
      <c r="F211" s="0" t="n">
        <v>21</v>
      </c>
      <c r="G211" s="0" t="n">
        <v>0</v>
      </c>
      <c r="H211" s="0" t="n">
        <v>1.571429</v>
      </c>
      <c r="I211" s="0" t="n">
        <v>1.571429</v>
      </c>
      <c r="J211" s="0" t="n">
        <v>1.637143</v>
      </c>
      <c r="K211" s="0" t="s">
        <v>284</v>
      </c>
      <c r="L211" s="0" t="n">
        <v>0</v>
      </c>
      <c r="M211" s="0" t="s">
        <v>282</v>
      </c>
    </row>
    <row r="212" customFormat="false" ht="15" hidden="false" customHeight="false" outlineLevel="0" collapsed="false">
      <c r="A212" s="0" t="s">
        <v>285</v>
      </c>
      <c r="B212" s="0" t="s">
        <v>191</v>
      </c>
      <c r="C212" s="0" t="s">
        <v>230</v>
      </c>
      <c r="D212" s="0" t="n">
        <v>4</v>
      </c>
      <c r="E212" s="0" t="n">
        <v>56</v>
      </c>
      <c r="F212" s="0" t="n">
        <v>36</v>
      </c>
      <c r="G212" s="0" t="n">
        <v>0</v>
      </c>
      <c r="H212" s="0" t="n">
        <v>1</v>
      </c>
      <c r="I212" s="0" t="n">
        <v>1.222222</v>
      </c>
      <c r="J212" s="0" t="n">
        <v>1.053889</v>
      </c>
      <c r="K212" s="0" t="s">
        <v>278</v>
      </c>
      <c r="L212" s="0" t="n">
        <v>0</v>
      </c>
      <c r="M212" s="0" t="s">
        <v>279</v>
      </c>
    </row>
    <row r="213" customFormat="false" ht="15" hidden="false" customHeight="false" outlineLevel="0" collapsed="false">
      <c r="A213" s="0" t="s">
        <v>286</v>
      </c>
      <c r="B213" s="0" t="s">
        <v>189</v>
      </c>
      <c r="C213" s="0" t="s">
        <v>231</v>
      </c>
      <c r="D213" s="0" t="n">
        <v>4</v>
      </c>
      <c r="E213" s="0" t="n">
        <v>56</v>
      </c>
      <c r="F213" s="0" t="n">
        <v>25</v>
      </c>
      <c r="G213" s="0" t="n">
        <v>0</v>
      </c>
      <c r="H213" s="0" t="n">
        <v>2.12</v>
      </c>
      <c r="I213" s="0" t="n">
        <v>1.8</v>
      </c>
      <c r="J213" s="0" t="n">
        <v>1.5696</v>
      </c>
      <c r="K213" s="0" t="s">
        <v>278</v>
      </c>
      <c r="L213" s="0" t="n">
        <v>0</v>
      </c>
      <c r="M213" s="0" t="s">
        <v>287</v>
      </c>
    </row>
    <row r="214" customFormat="false" ht="15" hidden="false" customHeight="false" outlineLevel="0" collapsed="false">
      <c r="A214" s="0" t="s">
        <v>288</v>
      </c>
      <c r="B214" s="0" t="s">
        <v>190</v>
      </c>
      <c r="C214" s="0" t="s">
        <v>231</v>
      </c>
      <c r="D214" s="0" t="n">
        <v>4</v>
      </c>
      <c r="E214" s="0" t="n">
        <v>56</v>
      </c>
      <c r="F214" s="0" t="n">
        <v>14</v>
      </c>
      <c r="G214" s="0" t="n">
        <v>1</v>
      </c>
      <c r="H214" s="0" t="n">
        <v>3</v>
      </c>
      <c r="I214" s="0" t="n">
        <v>1.285714</v>
      </c>
      <c r="J214" s="0" t="n">
        <v>1.648571</v>
      </c>
      <c r="K214" s="0" t="s">
        <v>284</v>
      </c>
      <c r="L214" s="0" t="n">
        <v>0</v>
      </c>
      <c r="M214" s="0" t="s">
        <v>289</v>
      </c>
    </row>
    <row r="215" customFormat="false" ht="15" hidden="false" customHeight="false" outlineLevel="0" collapsed="false">
      <c r="A215" s="0" t="s">
        <v>290</v>
      </c>
      <c r="B215" s="0" t="s">
        <v>191</v>
      </c>
      <c r="C215" s="0" t="s">
        <v>231</v>
      </c>
      <c r="D215" s="0" t="n">
        <v>4</v>
      </c>
      <c r="E215" s="0" t="n">
        <v>56</v>
      </c>
      <c r="F215" s="0" t="n">
        <v>5</v>
      </c>
      <c r="G215" s="0" t="n">
        <v>3</v>
      </c>
      <c r="H215" s="0" t="n">
        <v>1</v>
      </c>
      <c r="I215" s="0" t="n">
        <v>2.2</v>
      </c>
      <c r="J215" s="0" t="n">
        <v>1.94</v>
      </c>
      <c r="K215" s="0" t="s">
        <v>278</v>
      </c>
      <c r="L215" s="0" t="n">
        <v>0</v>
      </c>
      <c r="M215" s="0" t="s">
        <v>289</v>
      </c>
    </row>
    <row r="216" customFormat="false" ht="15" hidden="false" customHeight="false" outlineLevel="0" collapsed="false">
      <c r="A216" s="0" t="s">
        <v>291</v>
      </c>
      <c r="B216" s="0" t="s">
        <v>190</v>
      </c>
      <c r="C216" s="0" t="s">
        <v>231</v>
      </c>
      <c r="D216" s="0" t="n">
        <v>4</v>
      </c>
      <c r="E216" s="0" t="n">
        <v>56</v>
      </c>
      <c r="F216" s="0" t="n">
        <v>9</v>
      </c>
      <c r="G216" s="0" t="n">
        <v>2</v>
      </c>
      <c r="H216" s="0" t="n">
        <v>1</v>
      </c>
      <c r="I216" s="0" t="n">
        <v>1</v>
      </c>
      <c r="J216" s="0" t="n">
        <v>1.015556</v>
      </c>
      <c r="K216" s="0" t="s">
        <v>284</v>
      </c>
      <c r="L216" s="0" t="n">
        <v>0</v>
      </c>
      <c r="M216" s="0" t="s">
        <v>282</v>
      </c>
    </row>
    <row r="219" customFormat="false" ht="15" hidden="false" customHeight="false" outlineLevel="0" collapsed="false">
      <c r="A219" s="13" t="s">
        <v>292</v>
      </c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customFormat="false" ht="15" hidden="false" customHeight="false" outlineLevel="0" collapsed="false">
      <c r="A220" s="3" t="s">
        <v>293</v>
      </c>
      <c r="B220" s="3" t="s">
        <v>294</v>
      </c>
      <c r="C220" s="3" t="s">
        <v>295</v>
      </c>
      <c r="D220" s="3" t="s">
        <v>296</v>
      </c>
      <c r="E220" s="3" t="s">
        <v>297</v>
      </c>
    </row>
    <row r="221" customFormat="false" ht="15" hidden="false" customHeight="false" outlineLevel="0" collapsed="false">
      <c r="A221" s="0" t="s">
        <v>298</v>
      </c>
      <c r="B221" s="0" t="s">
        <v>22</v>
      </c>
      <c r="C221" s="0" t="s">
        <v>299</v>
      </c>
      <c r="D221" s="0" t="n">
        <v>3</v>
      </c>
      <c r="E221" s="0" t="s">
        <v>300</v>
      </c>
    </row>
    <row r="222" customFormat="false" ht="15" hidden="false" customHeight="false" outlineLevel="0" collapsed="false">
      <c r="A222" s="0" t="s">
        <v>298</v>
      </c>
      <c r="B222" s="0" t="s">
        <v>58</v>
      </c>
      <c r="C222" s="0" t="s">
        <v>301</v>
      </c>
      <c r="D222" s="0" t="n">
        <v>1</v>
      </c>
      <c r="E222" s="0" t="s">
        <v>302</v>
      </c>
    </row>
    <row r="223" customFormat="false" ht="15" hidden="false" customHeight="false" outlineLevel="0" collapsed="false">
      <c r="A223" s="0" t="s">
        <v>303</v>
      </c>
      <c r="B223" s="0" t="s">
        <v>50</v>
      </c>
      <c r="C223" s="0" t="s">
        <v>304</v>
      </c>
      <c r="D223" s="0" t="n">
        <v>2</v>
      </c>
      <c r="E223" s="0" t="s">
        <v>305</v>
      </c>
    </row>
    <row r="224" customFormat="false" ht="15" hidden="false" customHeight="false" outlineLevel="0" collapsed="false">
      <c r="A224" s="0" t="s">
        <v>303</v>
      </c>
      <c r="B224" s="0" t="s">
        <v>58</v>
      </c>
      <c r="C224" s="0" t="s">
        <v>306</v>
      </c>
      <c r="D224" s="0" t="n">
        <v>8</v>
      </c>
      <c r="E224" s="0" t="s">
        <v>307</v>
      </c>
    </row>
    <row r="225" customFormat="false" ht="15" hidden="false" customHeight="false" outlineLevel="0" collapsed="false">
      <c r="A225" s="0" t="s">
        <v>303</v>
      </c>
      <c r="B225" s="0" t="s">
        <v>308</v>
      </c>
      <c r="C225" s="0" t="s">
        <v>309</v>
      </c>
      <c r="D225" s="0" t="n">
        <v>6</v>
      </c>
      <c r="E225" s="0" t="s">
        <v>310</v>
      </c>
    </row>
    <row r="228" customFormat="false" ht="15" hidden="false" customHeight="false" outlineLevel="0" collapsed="false">
      <c r="A228" s="13" t="s">
        <v>311</v>
      </c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</row>
    <row r="229" customFormat="false" ht="55.2" hidden="false" customHeight="false" outlineLevel="0" collapsed="false">
      <c r="A229" s="3" t="s">
        <v>182</v>
      </c>
      <c r="B229" s="3" t="s">
        <v>183</v>
      </c>
      <c r="C229" s="3" t="s">
        <v>64</v>
      </c>
      <c r="D229" s="3" t="s">
        <v>184</v>
      </c>
      <c r="E229" s="3" t="s">
        <v>10</v>
      </c>
      <c r="F229" s="3" t="s">
        <v>12</v>
      </c>
      <c r="G229" s="3" t="s">
        <v>312</v>
      </c>
      <c r="H229" s="3" t="s">
        <v>211</v>
      </c>
      <c r="I229" s="3" t="s">
        <v>212</v>
      </c>
      <c r="J229" s="3" t="s">
        <v>313</v>
      </c>
      <c r="K229" s="3" t="s">
        <v>16</v>
      </c>
      <c r="L229" s="3" t="s">
        <v>314</v>
      </c>
      <c r="M229" s="3" t="s">
        <v>315</v>
      </c>
      <c r="N229" s="3" t="s">
        <v>316</v>
      </c>
      <c r="O229" s="3" t="s">
        <v>317</v>
      </c>
      <c r="P229" s="3" t="s">
        <v>224</v>
      </c>
      <c r="Q229" s="3" t="s">
        <v>225</v>
      </c>
      <c r="R229" s="3" t="s">
        <v>227</v>
      </c>
      <c r="S229" s="3" t="s">
        <v>318</v>
      </c>
      <c r="T229" s="3" t="s">
        <v>244</v>
      </c>
    </row>
    <row r="230" customFormat="false" ht="15" hidden="false" customHeight="false" outlineLevel="0" collapsed="false">
      <c r="A230" s="0" t="n">
        <v>40</v>
      </c>
      <c r="B230" s="0" t="n">
        <v>30</v>
      </c>
      <c r="C230" s="0" t="n">
        <v>10</v>
      </c>
      <c r="D230" s="0" t="n">
        <v>60</v>
      </c>
      <c r="E230" s="0" t="n">
        <v>70</v>
      </c>
      <c r="F230" s="0" t="n">
        <v>120</v>
      </c>
      <c r="G230" s="0" t="s">
        <v>319</v>
      </c>
      <c r="H230" s="0" t="n">
        <v>60</v>
      </c>
      <c r="I230" s="0" t="n">
        <v>50</v>
      </c>
      <c r="J230" s="0" t="n">
        <v>60</v>
      </c>
      <c r="K230" s="0" t="n">
        <v>24</v>
      </c>
      <c r="L230" s="0" t="n">
        <v>72</v>
      </c>
      <c r="M230" s="0" t="n">
        <v>0</v>
      </c>
      <c r="N230" s="0" t="n">
        <v>-35</v>
      </c>
      <c r="O230" s="0" t="n">
        <v>500</v>
      </c>
      <c r="P230" s="0" t="n">
        <v>95</v>
      </c>
      <c r="Q230" s="0" t="n">
        <v>5</v>
      </c>
      <c r="R230" s="0" t="n">
        <v>0.95</v>
      </c>
      <c r="S230" s="0" t="n">
        <v>1</v>
      </c>
      <c r="T230" s="0" t="n">
        <v>0.032258</v>
      </c>
    </row>
    <row r="231" customFormat="false" ht="15" hidden="false" customHeight="false" outlineLevel="0" collapsed="false">
      <c r="A231" s="0" t="n">
        <v>40</v>
      </c>
      <c r="B231" s="0" t="n">
        <v>50</v>
      </c>
      <c r="C231" s="0" t="n">
        <v>10</v>
      </c>
      <c r="D231" s="0" t="n">
        <v>80</v>
      </c>
      <c r="E231" s="0" t="n">
        <v>70</v>
      </c>
      <c r="F231" s="0" t="n">
        <v>120</v>
      </c>
      <c r="G231" s="0" t="s">
        <v>320</v>
      </c>
      <c r="H231" s="0" t="n">
        <v>0</v>
      </c>
      <c r="I231" s="0" t="n">
        <v>50</v>
      </c>
      <c r="J231" s="0" t="n">
        <v>0</v>
      </c>
      <c r="K231" s="0" t="n">
        <v>24</v>
      </c>
      <c r="L231" s="0" t="n">
        <v>0</v>
      </c>
      <c r="M231" s="0" t="n">
        <v>0</v>
      </c>
      <c r="N231" s="0" t="n">
        <v>-35</v>
      </c>
      <c r="O231" s="0" t="n">
        <v>500</v>
      </c>
      <c r="P231" s="0" t="n">
        <v>95</v>
      </c>
      <c r="Q231" s="0" t="n">
        <v>5</v>
      </c>
      <c r="R231" s="0" t="n">
        <v>0.95</v>
      </c>
      <c r="S231" s="0" t="n">
        <v>1</v>
      </c>
      <c r="T231" s="0" t="n">
        <v>0.032258</v>
      </c>
    </row>
    <row r="234" customFormat="false" ht="15" hidden="false" customHeight="false" outlineLevel="0" collapsed="false">
      <c r="A234" s="13" t="s">
        <v>321</v>
      </c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</row>
    <row r="235" customFormat="false" ht="28.35" hidden="false" customHeight="false" outlineLevel="0" collapsed="false">
      <c r="A235" s="3" t="s">
        <v>322</v>
      </c>
      <c r="B235" s="3" t="s">
        <v>67</v>
      </c>
      <c r="C235" s="3" t="s">
        <v>323</v>
      </c>
      <c r="D235" s="3" t="s">
        <v>324</v>
      </c>
      <c r="E235" s="3" t="s">
        <v>325</v>
      </c>
      <c r="F235" s="3" t="s">
        <v>326</v>
      </c>
    </row>
    <row r="236" customFormat="false" ht="15" hidden="false" customHeight="false" outlineLevel="0" collapsed="false">
      <c r="A236" s="0" t="s">
        <v>135</v>
      </c>
      <c r="B236" s="0" t="s">
        <v>182</v>
      </c>
      <c r="C236" s="0" t="n">
        <v>40</v>
      </c>
      <c r="D236" s="0" t="n">
        <v>40</v>
      </c>
      <c r="E236" s="0" t="n">
        <v>40</v>
      </c>
      <c r="F236" s="0" t="n">
        <v>40</v>
      </c>
    </row>
    <row r="237" customFormat="false" ht="15" hidden="false" customHeight="false" outlineLevel="0" collapsed="false">
      <c r="A237" s="0" t="s">
        <v>135</v>
      </c>
      <c r="B237" s="0" t="s">
        <v>183</v>
      </c>
      <c r="C237" s="0" t="n">
        <v>30</v>
      </c>
      <c r="D237" s="0" t="n">
        <v>30</v>
      </c>
      <c r="E237" s="0" t="n">
        <v>30</v>
      </c>
      <c r="F237" s="0" t="n">
        <v>30</v>
      </c>
    </row>
    <row r="238" customFormat="false" ht="15" hidden="false" customHeight="false" outlineLevel="0" collapsed="false">
      <c r="A238" s="0" t="s">
        <v>135</v>
      </c>
      <c r="B238" s="0" t="s">
        <v>64</v>
      </c>
      <c r="C238" s="0" t="n">
        <v>10</v>
      </c>
      <c r="D238" s="0" t="n">
        <v>10</v>
      </c>
      <c r="E238" s="0" t="n">
        <v>10</v>
      </c>
      <c r="F238" s="0" t="n">
        <v>10</v>
      </c>
    </row>
    <row r="239" customFormat="false" ht="15" hidden="false" customHeight="false" outlineLevel="0" collapsed="false">
      <c r="A239" s="0" t="s">
        <v>135</v>
      </c>
      <c r="B239" s="0" t="s">
        <v>327</v>
      </c>
      <c r="C239" s="0" t="n">
        <v>60</v>
      </c>
      <c r="D239" s="0" t="n">
        <v>60</v>
      </c>
      <c r="E239" s="0" t="n">
        <v>60</v>
      </c>
      <c r="F239" s="0" t="n">
        <v>60</v>
      </c>
    </row>
    <row r="240" customFormat="false" ht="15" hidden="false" customHeight="false" outlineLevel="0" collapsed="false">
      <c r="A240" s="0" t="s">
        <v>135</v>
      </c>
      <c r="B240" s="0" t="s">
        <v>10</v>
      </c>
      <c r="C240" s="0" t="n">
        <v>70</v>
      </c>
      <c r="D240" s="0" t="n">
        <v>70</v>
      </c>
      <c r="E240" s="0" t="n">
        <v>70</v>
      </c>
      <c r="F240" s="0" t="n">
        <v>70</v>
      </c>
    </row>
    <row r="241" customFormat="false" ht="15" hidden="false" customHeight="false" outlineLevel="0" collapsed="false">
      <c r="A241" s="0" t="s">
        <v>135</v>
      </c>
      <c r="B241" s="0" t="s">
        <v>12</v>
      </c>
      <c r="C241" s="0" t="n">
        <v>120</v>
      </c>
      <c r="D241" s="0" t="n">
        <v>120</v>
      </c>
      <c r="E241" s="0" t="n">
        <v>120</v>
      </c>
      <c r="F241" s="0" t="n">
        <v>120</v>
      </c>
    </row>
    <row r="242" customFormat="false" ht="15" hidden="false" customHeight="false" outlineLevel="0" collapsed="false">
      <c r="A242" s="0" t="s">
        <v>135</v>
      </c>
      <c r="B242" s="0" t="s">
        <v>328</v>
      </c>
      <c r="C242" s="0" t="s">
        <v>329</v>
      </c>
      <c r="D242" s="0" t="s">
        <v>329</v>
      </c>
      <c r="E242" s="0" t="s">
        <v>329</v>
      </c>
      <c r="F242" s="0" t="s">
        <v>329</v>
      </c>
    </row>
    <row r="243" customFormat="false" ht="15" hidden="false" customHeight="false" outlineLevel="0" collapsed="false">
      <c r="A243" s="0" t="s">
        <v>135</v>
      </c>
      <c r="B243" s="0" t="s">
        <v>211</v>
      </c>
      <c r="C243" s="0" t="n">
        <v>60</v>
      </c>
      <c r="D243" s="0" t="n">
        <v>60</v>
      </c>
      <c r="E243" s="0" t="n">
        <v>60</v>
      </c>
      <c r="F243" s="0" t="n">
        <v>60</v>
      </c>
    </row>
    <row r="244" customFormat="false" ht="15" hidden="false" customHeight="false" outlineLevel="0" collapsed="false">
      <c r="A244" s="0" t="s">
        <v>135</v>
      </c>
      <c r="B244" s="0" t="s">
        <v>313</v>
      </c>
      <c r="C244" s="0" t="n">
        <v>60</v>
      </c>
      <c r="D244" s="0" t="n">
        <v>60</v>
      </c>
      <c r="E244" s="0" t="n">
        <v>60</v>
      </c>
      <c r="F244" s="0" t="n">
        <v>60</v>
      </c>
    </row>
    <row r="245" customFormat="false" ht="15" hidden="false" customHeight="false" outlineLevel="0" collapsed="false">
      <c r="A245" s="0" t="s">
        <v>135</v>
      </c>
      <c r="B245" s="0" t="s">
        <v>314</v>
      </c>
      <c r="C245" s="0" t="n">
        <v>72</v>
      </c>
      <c r="D245" s="0" t="n">
        <v>72</v>
      </c>
      <c r="E245" s="0" t="n">
        <v>72</v>
      </c>
      <c r="F245" s="0" t="n">
        <v>72</v>
      </c>
    </row>
    <row r="246" customFormat="false" ht="15" hidden="false" customHeight="false" outlineLevel="0" collapsed="false">
      <c r="A246" s="0" t="s">
        <v>135</v>
      </c>
      <c r="B246" s="0" t="s">
        <v>330</v>
      </c>
      <c r="C246" s="0" t="n">
        <v>0</v>
      </c>
      <c r="D246" s="0" t="n">
        <v>0</v>
      </c>
      <c r="E246" s="0" t="n">
        <v>0</v>
      </c>
      <c r="F246" s="0" t="n">
        <v>0</v>
      </c>
    </row>
    <row r="247" customFormat="false" ht="15" hidden="false" customHeight="false" outlineLevel="0" collapsed="false">
      <c r="A247" s="0" t="s">
        <v>135</v>
      </c>
      <c r="B247" s="0" t="s">
        <v>331</v>
      </c>
      <c r="C247" s="0" t="n">
        <v>-35</v>
      </c>
      <c r="D247" s="0" t="n">
        <v>-35</v>
      </c>
      <c r="E247" s="0" t="n">
        <v>-35</v>
      </c>
      <c r="F247" s="0" t="n">
        <v>-35</v>
      </c>
    </row>
    <row r="248" customFormat="false" ht="15" hidden="false" customHeight="false" outlineLevel="0" collapsed="false">
      <c r="A248" s="0" t="s">
        <v>135</v>
      </c>
      <c r="B248" s="0" t="s">
        <v>317</v>
      </c>
      <c r="C248" s="0" t="n">
        <v>500</v>
      </c>
      <c r="D248" s="0" t="n">
        <v>500</v>
      </c>
      <c r="E248" s="0" t="n">
        <v>500</v>
      </c>
      <c r="F248" s="0" t="n">
        <v>500</v>
      </c>
    </row>
    <row r="249" customFormat="false" ht="15" hidden="false" customHeight="false" outlineLevel="0" collapsed="false">
      <c r="A249" s="0" t="s">
        <v>135</v>
      </c>
      <c r="B249" s="0" t="s">
        <v>224</v>
      </c>
      <c r="C249" s="0" t="n">
        <v>95</v>
      </c>
      <c r="D249" s="0" t="n">
        <v>95</v>
      </c>
      <c r="E249" s="0" t="n">
        <v>95</v>
      </c>
      <c r="F249" s="0" t="n">
        <v>95</v>
      </c>
    </row>
    <row r="250" customFormat="false" ht="15" hidden="false" customHeight="false" outlineLevel="0" collapsed="false">
      <c r="A250" s="0" t="s">
        <v>135</v>
      </c>
      <c r="B250" s="0" t="s">
        <v>225</v>
      </c>
      <c r="C250" s="0" t="n">
        <v>5</v>
      </c>
      <c r="D250" s="0" t="n">
        <v>5</v>
      </c>
      <c r="E250" s="0" t="n">
        <v>5</v>
      </c>
      <c r="F250" s="0" t="n">
        <v>5</v>
      </c>
    </row>
    <row r="251" customFormat="false" ht="15" hidden="false" customHeight="false" outlineLevel="0" collapsed="false">
      <c r="A251" s="0" t="s">
        <v>135</v>
      </c>
      <c r="B251" s="0" t="s">
        <v>227</v>
      </c>
      <c r="C251" s="0" t="n">
        <v>0.95</v>
      </c>
      <c r="D251" s="0" t="n">
        <v>0.95</v>
      </c>
      <c r="E251" s="0" t="n">
        <v>0.95</v>
      </c>
      <c r="F251" s="0" t="n">
        <v>0.95</v>
      </c>
    </row>
    <row r="252" customFormat="false" ht="15" hidden="false" customHeight="false" outlineLevel="0" collapsed="false">
      <c r="A252" s="0" t="s">
        <v>135</v>
      </c>
      <c r="B252" s="0" t="s">
        <v>332</v>
      </c>
      <c r="C252" s="0" t="n">
        <v>1</v>
      </c>
      <c r="D252" s="0" t="n">
        <v>1</v>
      </c>
      <c r="E252" s="0" t="n">
        <v>1</v>
      </c>
      <c r="F252" s="0" t="n">
        <v>1</v>
      </c>
    </row>
    <row r="253" customFormat="false" ht="15" hidden="false" customHeight="false" outlineLevel="0" collapsed="false">
      <c r="A253" s="0" t="s">
        <v>135</v>
      </c>
      <c r="B253" s="0" t="s">
        <v>244</v>
      </c>
      <c r="C253" s="0" t="n">
        <v>0.032258</v>
      </c>
      <c r="D253" s="0" t="n">
        <v>0.032258</v>
      </c>
      <c r="E253" s="0" t="n">
        <v>0.032258</v>
      </c>
      <c r="F253" s="0" t="n">
        <v>0.032258</v>
      </c>
    </row>
    <row r="254" customFormat="false" ht="15" hidden="false" customHeight="false" outlineLevel="0" collapsed="false">
      <c r="A254" s="0" t="s">
        <v>57</v>
      </c>
      <c r="B254" s="0" t="s">
        <v>182</v>
      </c>
      <c r="C254" s="0" t="n">
        <v>40</v>
      </c>
      <c r="D254" s="0" t="n">
        <v>40</v>
      </c>
      <c r="E254" s="0" t="n">
        <v>40</v>
      </c>
      <c r="F254" s="0" t="n">
        <v>40</v>
      </c>
    </row>
    <row r="255" customFormat="false" ht="15" hidden="false" customHeight="false" outlineLevel="0" collapsed="false">
      <c r="A255" s="0" t="s">
        <v>57</v>
      </c>
      <c r="B255" s="0" t="s">
        <v>183</v>
      </c>
      <c r="C255" s="0" t="n">
        <v>50</v>
      </c>
      <c r="D255" s="0" t="n">
        <v>50</v>
      </c>
      <c r="E255" s="0" t="n">
        <v>50</v>
      </c>
      <c r="F255" s="0" t="n">
        <v>50</v>
      </c>
    </row>
    <row r="256" customFormat="false" ht="15" hidden="false" customHeight="false" outlineLevel="0" collapsed="false">
      <c r="A256" s="0" t="s">
        <v>57</v>
      </c>
      <c r="B256" s="0" t="s">
        <v>64</v>
      </c>
      <c r="C256" s="0" t="n">
        <v>10</v>
      </c>
      <c r="D256" s="0" t="n">
        <v>10</v>
      </c>
      <c r="E256" s="0" t="n">
        <v>10</v>
      </c>
      <c r="F256" s="0" t="n">
        <v>10</v>
      </c>
    </row>
    <row r="257" customFormat="false" ht="15" hidden="false" customHeight="false" outlineLevel="0" collapsed="false">
      <c r="A257" s="0" t="s">
        <v>57</v>
      </c>
      <c r="B257" s="0" t="s">
        <v>327</v>
      </c>
      <c r="C257" s="0" t="n">
        <v>80</v>
      </c>
      <c r="D257" s="0" t="n">
        <v>80</v>
      </c>
      <c r="E257" s="0" t="n">
        <v>80</v>
      </c>
      <c r="F257" s="0" t="n">
        <v>80</v>
      </c>
    </row>
    <row r="258" customFormat="false" ht="15" hidden="false" customHeight="false" outlineLevel="0" collapsed="false">
      <c r="A258" s="0" t="s">
        <v>57</v>
      </c>
      <c r="B258" s="0" t="s">
        <v>10</v>
      </c>
      <c r="C258" s="0" t="n">
        <v>70</v>
      </c>
      <c r="D258" s="0" t="n">
        <v>70</v>
      </c>
      <c r="E258" s="0" t="n">
        <v>70</v>
      </c>
      <c r="F258" s="0" t="n">
        <v>70</v>
      </c>
    </row>
    <row r="259" customFormat="false" ht="15" hidden="false" customHeight="false" outlineLevel="0" collapsed="false">
      <c r="A259" s="0" t="s">
        <v>57</v>
      </c>
      <c r="B259" s="0" t="s">
        <v>12</v>
      </c>
      <c r="C259" s="0" t="n">
        <v>120</v>
      </c>
      <c r="D259" s="0" t="n">
        <v>120</v>
      </c>
      <c r="E259" s="0" t="n">
        <v>120</v>
      </c>
      <c r="F259" s="0" t="n">
        <v>120</v>
      </c>
    </row>
    <row r="260" customFormat="false" ht="15" hidden="false" customHeight="false" outlineLevel="0" collapsed="false">
      <c r="A260" s="0" t="s">
        <v>57</v>
      </c>
      <c r="B260" s="0" t="s">
        <v>328</v>
      </c>
      <c r="C260" s="0" t="s">
        <v>333</v>
      </c>
      <c r="D260" s="0" t="s">
        <v>333</v>
      </c>
      <c r="E260" s="0" t="s">
        <v>333</v>
      </c>
      <c r="F260" s="0" t="s">
        <v>333</v>
      </c>
    </row>
    <row r="261" customFormat="false" ht="15" hidden="false" customHeight="false" outlineLevel="0" collapsed="false">
      <c r="A261" s="0" t="s">
        <v>57</v>
      </c>
      <c r="B261" s="0" t="s">
        <v>211</v>
      </c>
      <c r="C261" s="0" t="n">
        <v>0</v>
      </c>
      <c r="D261" s="0" t="n">
        <v>0</v>
      </c>
      <c r="E261" s="0" t="n">
        <v>0</v>
      </c>
      <c r="F261" s="0" t="n">
        <v>0</v>
      </c>
    </row>
    <row r="262" customFormat="false" ht="15" hidden="false" customHeight="false" outlineLevel="0" collapsed="false">
      <c r="A262" s="0" t="s">
        <v>57</v>
      </c>
      <c r="B262" s="0" t="s">
        <v>313</v>
      </c>
      <c r="C262" s="0" t="n">
        <v>0</v>
      </c>
      <c r="D262" s="0" t="n">
        <v>0</v>
      </c>
      <c r="E262" s="0" t="n">
        <v>0</v>
      </c>
      <c r="F262" s="0" t="n">
        <v>0</v>
      </c>
    </row>
    <row r="263" customFormat="false" ht="15" hidden="false" customHeight="false" outlineLevel="0" collapsed="false">
      <c r="A263" s="0" t="s">
        <v>57</v>
      </c>
      <c r="B263" s="0" t="s">
        <v>314</v>
      </c>
      <c r="C263" s="0" t="n">
        <v>0</v>
      </c>
      <c r="D263" s="0" t="n">
        <v>0</v>
      </c>
      <c r="E263" s="0" t="n">
        <v>0</v>
      </c>
      <c r="F263" s="0" t="n">
        <v>0</v>
      </c>
    </row>
    <row r="264" customFormat="false" ht="15" hidden="false" customHeight="false" outlineLevel="0" collapsed="false">
      <c r="A264" s="0" t="s">
        <v>57</v>
      </c>
      <c r="B264" s="0" t="s">
        <v>330</v>
      </c>
      <c r="C264" s="0" t="n">
        <v>0</v>
      </c>
      <c r="D264" s="0" t="n">
        <v>0</v>
      </c>
      <c r="E264" s="0" t="n">
        <v>0</v>
      </c>
      <c r="F264" s="0" t="n">
        <v>0</v>
      </c>
    </row>
    <row r="265" customFormat="false" ht="15" hidden="false" customHeight="false" outlineLevel="0" collapsed="false">
      <c r="A265" s="0" t="s">
        <v>57</v>
      </c>
      <c r="B265" s="0" t="s">
        <v>331</v>
      </c>
      <c r="C265" s="0" t="n">
        <v>-35</v>
      </c>
      <c r="D265" s="0" t="n">
        <v>-35</v>
      </c>
      <c r="E265" s="0" t="n">
        <v>-35</v>
      </c>
      <c r="F265" s="0" t="n">
        <v>-35</v>
      </c>
    </row>
    <row r="266" customFormat="false" ht="15" hidden="false" customHeight="false" outlineLevel="0" collapsed="false">
      <c r="A266" s="0" t="s">
        <v>57</v>
      </c>
      <c r="B266" s="0" t="s">
        <v>317</v>
      </c>
      <c r="C266" s="0" t="n">
        <v>500</v>
      </c>
      <c r="D266" s="0" t="n">
        <v>500</v>
      </c>
      <c r="E266" s="0" t="n">
        <v>500</v>
      </c>
      <c r="F266" s="0" t="n">
        <v>500</v>
      </c>
    </row>
    <row r="267" customFormat="false" ht="15" hidden="false" customHeight="false" outlineLevel="0" collapsed="false">
      <c r="A267" s="0" t="s">
        <v>57</v>
      </c>
      <c r="B267" s="0" t="s">
        <v>224</v>
      </c>
      <c r="C267" s="0" t="n">
        <v>95</v>
      </c>
      <c r="D267" s="0" t="n">
        <v>95</v>
      </c>
      <c r="E267" s="0" t="n">
        <v>95</v>
      </c>
      <c r="F267" s="0" t="n">
        <v>95</v>
      </c>
    </row>
    <row r="268" customFormat="false" ht="15" hidden="false" customHeight="false" outlineLevel="0" collapsed="false">
      <c r="A268" s="0" t="s">
        <v>57</v>
      </c>
      <c r="B268" s="0" t="s">
        <v>225</v>
      </c>
      <c r="C268" s="0" t="n">
        <v>5</v>
      </c>
      <c r="D268" s="0" t="n">
        <v>5</v>
      </c>
      <c r="E268" s="0" t="n">
        <v>5</v>
      </c>
      <c r="F268" s="0" t="n">
        <v>5</v>
      </c>
    </row>
    <row r="269" customFormat="false" ht="15" hidden="false" customHeight="false" outlineLevel="0" collapsed="false">
      <c r="A269" s="0" t="s">
        <v>57</v>
      </c>
      <c r="B269" s="0" t="s">
        <v>227</v>
      </c>
      <c r="C269" s="0" t="n">
        <v>0.95</v>
      </c>
      <c r="D269" s="0" t="n">
        <v>0.95</v>
      </c>
      <c r="E269" s="0" t="n">
        <v>0.95</v>
      </c>
      <c r="F269" s="0" t="n">
        <v>0.95</v>
      </c>
    </row>
    <row r="270" customFormat="false" ht="15" hidden="false" customHeight="false" outlineLevel="0" collapsed="false">
      <c r="A270" s="0" t="s">
        <v>57</v>
      </c>
      <c r="B270" s="0" t="s">
        <v>332</v>
      </c>
      <c r="C270" s="0" t="n">
        <v>1</v>
      </c>
      <c r="D270" s="0" t="n">
        <v>1</v>
      </c>
      <c r="E270" s="0" t="n">
        <v>1</v>
      </c>
      <c r="F270" s="0" t="n">
        <v>1</v>
      </c>
    </row>
    <row r="271" customFormat="false" ht="15" hidden="false" customHeight="false" outlineLevel="0" collapsed="false">
      <c r="A271" s="0" t="s">
        <v>57</v>
      </c>
      <c r="B271" s="0" t="s">
        <v>244</v>
      </c>
      <c r="C271" s="0" t="n">
        <v>0.032258</v>
      </c>
      <c r="D271" s="0" t="n">
        <v>0.032258</v>
      </c>
      <c r="E271" s="0" t="n">
        <v>0.032258</v>
      </c>
      <c r="F271" s="0" t="n">
        <v>0.032258</v>
      </c>
    </row>
    <row r="274" customFormat="false" ht="15" hidden="false" customHeight="false" outlineLevel="0" collapsed="false">
      <c r="A274" s="13" t="s">
        <v>334</v>
      </c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</row>
    <row r="275" customFormat="false" ht="15" hidden="false" customHeight="false" outlineLevel="0" collapsed="false">
      <c r="A275" s="3" t="s">
        <v>335</v>
      </c>
      <c r="B275" s="3" t="s">
        <v>336</v>
      </c>
      <c r="C275" s="3" t="s">
        <v>337</v>
      </c>
      <c r="D275" s="3" t="s">
        <v>338</v>
      </c>
      <c r="E275" s="3" t="s">
        <v>215</v>
      </c>
    </row>
    <row r="276" customFormat="false" ht="15" hidden="false" customHeight="false" outlineLevel="0" collapsed="false">
      <c r="A276" s="0" t="s">
        <v>339</v>
      </c>
      <c r="B276" s="0" t="n">
        <v>2</v>
      </c>
      <c r="C276" s="0" t="n">
        <v>2</v>
      </c>
      <c r="D276" s="0" t="n">
        <v>240</v>
      </c>
      <c r="E276" s="0" t="n">
        <v>11114.88</v>
      </c>
    </row>
    <row r="277" customFormat="false" ht="15" hidden="false" customHeight="false" outlineLevel="0" collapsed="false">
      <c r="A277" s="0" t="s">
        <v>340</v>
      </c>
      <c r="B277" s="0" t="n">
        <v>7</v>
      </c>
      <c r="C277" s="0" t="n">
        <v>0</v>
      </c>
      <c r="D277" s="0" t="n">
        <v>88</v>
      </c>
      <c r="E277" s="0" t="n">
        <v>1457.4</v>
      </c>
    </row>
    <row r="278" customFormat="false" ht="15" hidden="false" customHeight="false" outlineLevel="0" collapsed="false">
      <c r="A278" s="0" t="s">
        <v>341</v>
      </c>
      <c r="B278" s="0" t="n">
        <v>9</v>
      </c>
      <c r="C278" s="0" t="n">
        <v>1</v>
      </c>
      <c r="D278" s="0" t="n">
        <v>154</v>
      </c>
      <c r="E278" s="0" t="n">
        <v>4707.66</v>
      </c>
    </row>
    <row r="281" customFormat="false" ht="15" hidden="false" customHeight="false" outlineLevel="0" collapsed="false">
      <c r="A281" s="13" t="s">
        <v>342</v>
      </c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</row>
    <row r="282" customFormat="false" ht="28.35" hidden="false" customHeight="false" outlineLevel="0" collapsed="false">
      <c r="A282" s="3" t="s">
        <v>343</v>
      </c>
      <c r="B282" s="3" t="s">
        <v>344</v>
      </c>
      <c r="C282" s="3" t="s">
        <v>345</v>
      </c>
      <c r="D282" s="3" t="s">
        <v>346</v>
      </c>
      <c r="E282" s="3" t="s">
        <v>347</v>
      </c>
      <c r="F282" s="3" t="s">
        <v>348</v>
      </c>
      <c r="G282" s="3" t="s">
        <v>349</v>
      </c>
      <c r="H282" s="3" t="s">
        <v>227</v>
      </c>
      <c r="I282" s="3" t="s">
        <v>350</v>
      </c>
    </row>
    <row r="283" customFormat="false" ht="15" hidden="false" customHeight="false" outlineLevel="0" collapsed="false">
      <c r="A283" s="0" t="s">
        <v>216</v>
      </c>
      <c r="B283" s="0" t="s">
        <v>351</v>
      </c>
      <c r="C283" s="0" t="s">
        <v>252</v>
      </c>
      <c r="D283" s="0" t="n">
        <v>20261026</v>
      </c>
      <c r="E283" s="0" t="n">
        <v>100</v>
      </c>
      <c r="F283" s="0" t="n">
        <v>8.91</v>
      </c>
      <c r="G283" s="0" t="s">
        <v>352</v>
      </c>
      <c r="H283" s="0" t="n">
        <v>0.9119</v>
      </c>
      <c r="I283" s="0" t="n">
        <v>0.1009</v>
      </c>
    </row>
    <row r="284" customFormat="false" ht="15" hidden="false" customHeight="false" outlineLevel="0" collapsed="false">
      <c r="A284" s="0" t="s">
        <v>216</v>
      </c>
      <c r="B284" s="0" t="s">
        <v>353</v>
      </c>
      <c r="C284" s="0" t="s">
        <v>254</v>
      </c>
      <c r="D284" s="0" t="n">
        <v>20261026</v>
      </c>
      <c r="E284" s="0" t="n">
        <v>100</v>
      </c>
      <c r="F284" s="0" t="n">
        <v>8.91</v>
      </c>
      <c r="G284" s="0" t="s">
        <v>352</v>
      </c>
      <c r="H284" s="0" t="n">
        <v>0.9038</v>
      </c>
      <c r="I284" s="0" t="n">
        <v>0.1115</v>
      </c>
    </row>
    <row r="285" customFormat="false" ht="15" hidden="false" customHeight="false" outlineLevel="0" collapsed="false">
      <c r="A285" s="0" t="s">
        <v>219</v>
      </c>
      <c r="B285" s="0" t="s">
        <v>351</v>
      </c>
      <c r="C285" s="0" t="s">
        <v>252</v>
      </c>
      <c r="D285" s="0" t="n">
        <v>20261026</v>
      </c>
      <c r="E285" s="0" t="n">
        <v>100</v>
      </c>
      <c r="F285" s="0" t="n">
        <v>7.15</v>
      </c>
      <c r="G285" s="0" t="s">
        <v>354</v>
      </c>
      <c r="H285" s="0" t="n">
        <v>0.8979</v>
      </c>
      <c r="I285" s="0" t="n">
        <v>0.1142</v>
      </c>
    </row>
    <row r="286" customFormat="false" ht="15" hidden="false" customHeight="false" outlineLevel="0" collapsed="false">
      <c r="A286" s="0" t="s">
        <v>219</v>
      </c>
      <c r="B286" s="0" t="s">
        <v>353</v>
      </c>
      <c r="C286" s="0" t="s">
        <v>254</v>
      </c>
      <c r="D286" s="0" t="n">
        <v>20261026</v>
      </c>
      <c r="E286" s="0" t="n">
        <v>100</v>
      </c>
      <c r="F286" s="0" t="n">
        <v>7.15</v>
      </c>
      <c r="G286" s="0" t="s">
        <v>354</v>
      </c>
      <c r="H286" s="0" t="n">
        <v>0.8876</v>
      </c>
      <c r="I286" s="0" t="n">
        <v>0.1286</v>
      </c>
    </row>
    <row r="289" customFormat="false" ht="15" hidden="false" customHeight="false" outlineLevel="0" collapsed="false">
      <c r="A289" s="13" t="s">
        <v>355</v>
      </c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</row>
    <row r="290" customFormat="false" ht="15" hidden="false" customHeight="false" outlineLevel="0" collapsed="false">
      <c r="A290" s="3" t="s">
        <v>356</v>
      </c>
      <c r="B290" s="3" t="s">
        <v>357</v>
      </c>
      <c r="C290" s="3" t="s">
        <v>5</v>
      </c>
    </row>
    <row r="291" customFormat="false" ht="15" hidden="false" customHeight="false" outlineLevel="0" collapsed="false">
      <c r="A291" s="0" t="s">
        <v>358</v>
      </c>
      <c r="B291" s="0" t="n">
        <v>36076</v>
      </c>
      <c r="C291" s="0" t="s">
        <v>359</v>
      </c>
    </row>
    <row r="292" customFormat="false" ht="15" hidden="false" customHeight="false" outlineLevel="0" collapsed="false">
      <c r="A292" s="0" t="s">
        <v>360</v>
      </c>
      <c r="B292" s="0" t="n">
        <v>2612</v>
      </c>
      <c r="C292" s="0" t="s">
        <v>359</v>
      </c>
    </row>
    <row r="293" customFormat="false" ht="15" hidden="false" customHeight="false" outlineLevel="0" collapsed="false">
      <c r="A293" s="0" t="s">
        <v>361</v>
      </c>
      <c r="B293" s="0" t="n">
        <v>38688</v>
      </c>
      <c r="C293" s="0" t="s">
        <v>362</v>
      </c>
    </row>
    <row r="294" customFormat="false" ht="15" hidden="false" customHeight="false" outlineLevel="0" collapsed="false">
      <c r="A294" s="0" t="s">
        <v>363</v>
      </c>
      <c r="B294" s="0" t="n">
        <v>0.932486</v>
      </c>
      <c r="C294" s="0" t="s">
        <v>364</v>
      </c>
    </row>
    <row r="295" customFormat="false" ht="15" hidden="false" customHeight="false" outlineLevel="0" collapsed="false">
      <c r="A295" s="0" t="s">
        <v>365</v>
      </c>
      <c r="B295" s="0" t="n">
        <v>0.013108</v>
      </c>
      <c r="C295" s="0" t="s">
        <v>366</v>
      </c>
    </row>
    <row r="296" customFormat="false" ht="15" hidden="false" customHeight="false" outlineLevel="0" collapsed="false">
      <c r="A296" s="0" t="s">
        <v>367</v>
      </c>
      <c r="B296" s="0" t="n">
        <v>0.529197</v>
      </c>
      <c r="C296" s="0" t="s">
        <v>368</v>
      </c>
    </row>
    <row r="297" customFormat="false" ht="15" hidden="false" customHeight="false" outlineLevel="0" collapsed="false">
      <c r="A297" s="0" t="s">
        <v>369</v>
      </c>
      <c r="B297" s="0" t="n">
        <v>1020</v>
      </c>
      <c r="C297" s="0" t="s">
        <v>370</v>
      </c>
    </row>
    <row r="298" customFormat="false" ht="15" hidden="false" customHeight="false" outlineLevel="0" collapsed="false">
      <c r="A298" s="0" t="s">
        <v>371</v>
      </c>
      <c r="B298" s="0" t="n">
        <v>29090.64</v>
      </c>
      <c r="C298" s="0" t="s">
        <v>372</v>
      </c>
    </row>
    <row r="299" customFormat="false" ht="15" hidden="false" customHeight="false" outlineLevel="0" collapsed="false">
      <c r="A299" s="0" t="s">
        <v>373</v>
      </c>
      <c r="B299" s="0" t="n">
        <v>21881.18</v>
      </c>
      <c r="C299" s="0" t="s">
        <v>374</v>
      </c>
    </row>
    <row r="300" customFormat="false" ht="15" hidden="false" customHeight="false" outlineLevel="0" collapsed="false">
      <c r="A300" s="0" t="s">
        <v>375</v>
      </c>
      <c r="B300" s="0" t="n">
        <v>40.487277</v>
      </c>
      <c r="C300" s="0" t="s">
        <v>376</v>
      </c>
    </row>
    <row r="301" customFormat="false" ht="15" hidden="false" customHeight="false" outlineLevel="0" collapsed="false">
      <c r="A301" s="0" t="s">
        <v>377</v>
      </c>
      <c r="B301" s="0" t="n">
        <v>1628</v>
      </c>
      <c r="C301" s="0" t="s">
        <v>378</v>
      </c>
    </row>
    <row r="302" customFormat="false" ht="15" hidden="false" customHeight="false" outlineLevel="0" collapsed="false">
      <c r="A302" s="0" t="s">
        <v>379</v>
      </c>
      <c r="B302" s="0" t="n">
        <v>240</v>
      </c>
      <c r="C302" s="0" t="s">
        <v>378</v>
      </c>
    </row>
    <row r="303" customFormat="false" ht="15" hidden="false" customHeight="false" outlineLevel="0" collapsed="false">
      <c r="A303" s="0" t="s">
        <v>380</v>
      </c>
      <c r="B303" s="0" t="n">
        <v>11114.88</v>
      </c>
      <c r="C303" s="0" t="s">
        <v>378</v>
      </c>
    </row>
    <row r="304" customFormat="false" ht="15" hidden="false" customHeight="false" outlineLevel="0" collapsed="false">
      <c r="A304" s="0" t="s">
        <v>381</v>
      </c>
      <c r="B304" s="0" t="n">
        <v>2</v>
      </c>
      <c r="C304" s="0" t="s">
        <v>382</v>
      </c>
    </row>
    <row r="307" customFormat="false" ht="15" hidden="false" customHeight="false" outlineLevel="0" collapsed="false">
      <c r="A307" s="13" t="s">
        <v>383</v>
      </c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customFormat="false" ht="55.2" hidden="false" customHeight="false" outlineLevel="0" collapsed="false">
      <c r="A308" s="3" t="s">
        <v>227</v>
      </c>
      <c r="B308" s="3" t="s">
        <v>226</v>
      </c>
      <c r="C308" s="3" t="s">
        <v>224</v>
      </c>
      <c r="D308" s="3" t="s">
        <v>225</v>
      </c>
      <c r="E308" s="3" t="s">
        <v>384</v>
      </c>
      <c r="F308" s="3" t="s">
        <v>332</v>
      </c>
      <c r="G308" s="3" t="s">
        <v>244</v>
      </c>
      <c r="H308" s="3" t="s">
        <v>330</v>
      </c>
      <c r="I308" s="3" t="s">
        <v>331</v>
      </c>
      <c r="J308" s="3" t="s">
        <v>385</v>
      </c>
      <c r="K308" s="3" t="s">
        <v>317</v>
      </c>
      <c r="L308" s="3" t="s">
        <v>386</v>
      </c>
      <c r="M308" s="3" t="s">
        <v>182</v>
      </c>
      <c r="N308" s="3" t="s">
        <v>183</v>
      </c>
      <c r="O308" s="3" t="s">
        <v>64</v>
      </c>
      <c r="P308" s="3" t="s">
        <v>20</v>
      </c>
      <c r="Q308" s="3" t="s">
        <v>387</v>
      </c>
      <c r="R308" s="3" t="s">
        <v>327</v>
      </c>
      <c r="S308" s="3" t="s">
        <v>10</v>
      </c>
      <c r="T308" s="3" t="s">
        <v>12</v>
      </c>
      <c r="U308" s="3" t="s">
        <v>328</v>
      </c>
      <c r="V308" s="3" t="s">
        <v>211</v>
      </c>
      <c r="W308" s="3" t="s">
        <v>313</v>
      </c>
      <c r="X308" s="3" t="s">
        <v>314</v>
      </c>
      <c r="Y308" s="3" t="s">
        <v>388</v>
      </c>
      <c r="Z308" s="3" t="s">
        <v>389</v>
      </c>
    </row>
    <row r="309" customFormat="false" ht="15" hidden="false" customHeight="false" outlineLevel="0" collapsed="false">
      <c r="A309" s="0" t="n">
        <v>0.932486</v>
      </c>
      <c r="B309" s="0" t="n">
        <v>38688</v>
      </c>
      <c r="C309" s="0" t="n">
        <v>36076</v>
      </c>
      <c r="D309" s="0" t="n">
        <v>2612</v>
      </c>
      <c r="E309" s="0" t="n">
        <v>548</v>
      </c>
      <c r="F309" s="0" t="n">
        <v>431</v>
      </c>
      <c r="G309" s="0" t="n">
        <v>0.013108</v>
      </c>
      <c r="H309" s="0" t="n">
        <v>0</v>
      </c>
      <c r="I309" s="0" t="n">
        <v>0</v>
      </c>
      <c r="J309" s="0" t="s">
        <v>320</v>
      </c>
      <c r="K309" s="0" t="n">
        <v>29090.64</v>
      </c>
      <c r="L309" s="0" t="s">
        <v>320</v>
      </c>
      <c r="M309" s="0" t="n">
        <v>1020</v>
      </c>
      <c r="N309" s="0" t="n">
        <v>608</v>
      </c>
      <c r="O309" s="0" t="n">
        <v>0</v>
      </c>
      <c r="P309" s="0" t="n">
        <v>123</v>
      </c>
      <c r="Q309" s="0" t="n">
        <v>897</v>
      </c>
      <c r="R309" s="0" t="n">
        <v>1628</v>
      </c>
      <c r="S309" s="0" t="n">
        <v>1198</v>
      </c>
      <c r="T309" s="0" t="n">
        <v>2336</v>
      </c>
      <c r="U309" s="0" t="s">
        <v>319</v>
      </c>
      <c r="V309" s="0" t="n">
        <v>230</v>
      </c>
      <c r="W309" s="0" t="n">
        <v>230</v>
      </c>
      <c r="X309" s="0" t="n">
        <v>240</v>
      </c>
      <c r="Y309" s="0" t="n">
        <v>0.529197</v>
      </c>
      <c r="Z309" s="0" t="n">
        <v>32880</v>
      </c>
    </row>
    <row r="312" customFormat="false" ht="15" hidden="false" customHeight="false" outlineLevel="0" collapsed="false">
      <c r="A312" s="13" t="s">
        <v>390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</row>
    <row r="313" customFormat="false" ht="15" hidden="false" customHeight="false" outlineLevel="0" collapsed="false">
      <c r="A313" s="3" t="s">
        <v>391</v>
      </c>
      <c r="B313" s="3" t="s">
        <v>392</v>
      </c>
    </row>
    <row r="314" customFormat="false" ht="15" hidden="false" customHeight="false" outlineLevel="0" collapsed="false">
      <c r="A314" s="0" t="n">
        <v>91</v>
      </c>
      <c r="B314" s="0" t="n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2026-10-26T16:05:11Z</dcterms:created>
  <dc:creator>openpyxl</dc:creator>
  <dc:description/>
  <dc:language>en-US</dc:language>
  <cp:lastModifiedBy/>
  <dcterms:modified xsi:type="dcterms:W3CDTF">2026-10-26T16:05:11Z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