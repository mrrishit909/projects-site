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 me" sheetId="1" state="visible" r:id="rId3"/>
    <sheet name="Controls" sheetId="2" state="visible" r:id="rId4"/>
    <sheet name="Checks" sheetId="3" state="visible" r:id="rId5"/>
    <sheet name="Portfolio" sheetId="4" state="visible" r:id="rId6"/>
    <sheet name="Dataset scores" sheetId="5" state="visible" r:id="rId7"/>
    <sheet name="Golden case" sheetId="6" state="visible" r:id="rId8"/>
    <sheet name="Assumptions" sheetId="7" state="visible" r:id="rId9"/>
    <sheet name="Rule results" sheetId="8" state="visible" r:id="rId10"/>
    <sheet name="Issues" sheetId="9" state="visible" r:id="rId11"/>
    <sheet name="Owners" sheetId="10" state="visible" r:id="rId12"/>
    <sheet name="Datasets" sheetId="11" state="visible" r:id="rId13"/>
    <sheet name="Lineage" sheetId="12" state="visible" r:id="rId14"/>
    <sheet name="Definitions" sheetId="13" state="visible" r:id="rId15"/>
    <sheet name="Matching" sheetId="14" state="visible" r:id="rId16"/>
    <sheet name="Timeliness" sheetId="15" state="visible" r:id="rId17"/>
    <sheet name="Weights" sheetId="16" state="visible" r:id="rId18"/>
    <sheet name="Domain reference" sheetId="17" state="visible" r:id="rId19"/>
    <sheet name="SQL results (pasted)" sheetId="18" state="visible" r:id="rId20"/>
  </sheets>
  <calcPr fullCalcOnLoad="1"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<sst xmlns="http://schemas.openxmlformats.org/spreadsheetml/2006/main" count="6868" uniqueCount="1688">
  <si>
    <t xml:space="preserve">TrustLedger analyst workbook (P07-ART-05)</t>
  </si>
  <si>
    <t xml:space="preserve">What it is</t>
  </si>
  <si>
    <t xml:space="preserve">A formula-driven recomputation of the TrustLedger quality ledger over the published synthetic snapshot tl-20261026-20261026 (dataset hash a9f7a3321b102752dd7aa95b76df14c1d9372103e685e10222959fd6438f27ff, code revision 0b5d686, as-of 2026-10-05T00:00:00Z): 40 datasets, 60 rules (55 active), 574 issues, 160 lineage edges, 30 published metrics, 400 match candidates.</t>
  </si>
  <si>
    <t xml:space="preserve">The decision</t>
  </si>
  <si>
    <t xml:space="preserve">Which data issues should be fixed first and who is accountable? The workbook shows each dataset's score under both weight versions with the critical override beside it, the issues by class (a claim is not a resolution), mean resolution by team, ownership coverage, lineage, definitions, match precision and timeliness.</t>
  </si>
  <si>
    <t xml:space="preserve">Synthetic data</t>
  </si>
  <si>
    <t xml:space="preserve">Everything is synthetic (a seeded generator). Observed = what this one draw shows; constructed = what the generator built in on purpose (its designed relationships and injected defects); hypothetical benefits are not claimed.</t>
  </si>
  <si>
    <t xml:space="preserve">How to use it</t>
  </si>
  <si>
    <t xml:space="preserve">Open the .xlsx in any spreadsheet application. Controls!B3 switches the weight version; Checks!B2 is TRUE when every figure agrees with the Python domain and the golden hand answer. Nothing needs installing to read the cached values.</t>
  </si>
  <si>
    <t xml:space="preserve">Recalculation status</t>
  </si>
  <si>
    <t xml:space="preserve">openpyxl wrote formulas only; LibreOffice (headless) recalculated the delivered file. Microsoft Excel was NOT run: nothing here was opened or recalculated by Excel (docs/workbook.md).</t>
  </si>
  <si>
    <t xml:space="preserve">Sheets</t>
  </si>
  <si>
    <t xml:space="preserve">Controls, Checks, Portfolio, Dataset scores, Golden case, Assumptions (read-this-first limits), data sheets (Rule results, Issues, Owners, Datasets, Lineage, Definitions, Matching, Timeliness, Weights), Domain reference (pasted values), SQL results (pasted).</t>
  </si>
  <si>
    <t xml:space="preserve">Colour</t>
  </si>
  <si>
    <t xml:space="preserve">Blue = typed input or pasted value; black = formula.</t>
  </si>
  <si>
    <t xml:space="preserve">Controls</t>
  </si>
  <si>
    <t xml:space="preserve">Change B3 (w1 or w2): the Selected column of `Dataset scores` follows it. Blue cells are inputs.</t>
  </si>
  <si>
    <t xml:space="preserve">Weight version (switch)</t>
  </si>
  <si>
    <t xml:space="preserve">w2</t>
  </si>
  <si>
    <t xml:space="preserve">As-of (UTC)</t>
  </si>
  <si>
    <t xml:space="preserve">Weights of the selected version</t>
  </si>
  <si>
    <t xml:space="preserve">completeness</t>
  </si>
  <si>
    <t xml:space="preserve">validity</t>
  </si>
  <si>
    <t xml:space="preserve">uniqueness</t>
  </si>
  <si>
    <t xml:space="preserve">relationship</t>
  </si>
  <si>
    <t xml:space="preserve">timeliness</t>
  </si>
  <si>
    <t xml:space="preserve">Sum of the five weights (must be 1)</t>
  </si>
  <si>
    <t xml:space="preserve">All checks pass (Checks!B2)</t>
  </si>
  <si>
    <t xml:space="preserve">Checks: TRUE when every comparison with the Python domain and the golden hand answer holds</t>
  </si>
  <si>
    <t xml:space="preserve">All checks pass</t>
  </si>
  <si>
    <t xml:space="preserve">check</t>
  </si>
  <si>
    <t xml:space="preserve">result</t>
  </si>
  <si>
    <t xml:space="preserve">Selected column equals the domain's score under the version chosen at Controls!B3 (every dataset)</t>
  </si>
  <si>
    <t xml:space="preserve">Every dataset-by-version row of Dataset scores agrees with the domain (rounded to 6 places)</t>
  </si>
  <si>
    <t xml:space="preserve">Portfolio metrics, live formulas against the domain's values</t>
  </si>
  <si>
    <t xml:space="preserve">Column B is a formula over the data sheets; C is the domain's value pasted from `Domain reference`; D is the tolerance; E is TRUE when they agree.</t>
  </si>
  <si>
    <t xml:space="preserve">measure</t>
  </si>
  <si>
    <t xml:space="preserve">workbook (formula)</t>
  </si>
  <si>
    <t xml:space="preserve">domain (pasted)</t>
  </si>
  <si>
    <t xml:space="preserve">tolerance</t>
  </si>
  <si>
    <t xml:space="preserve">datasets</t>
  </si>
  <si>
    <t xml:space="preserve">datasets with an accountable owner</t>
  </si>
  <si>
    <t xml:space="preserve">ownership coverage</t>
  </si>
  <si>
    <t xml:space="preserve">issues resolved (a successful rerun of the same rule version)</t>
  </si>
  <si>
    <t xml:space="preserve">issues claimed (closed without one)</t>
  </si>
  <si>
    <t xml:space="preserve">issues open</t>
  </si>
  <si>
    <t xml:space="preserve">mean resolution hours (resolved only)</t>
  </si>
  <si>
    <t xml:space="preserve">mean resolution hours, Data Platform</t>
  </si>
  <si>
    <t xml:space="preserve">mean resolution hours, all other teams</t>
  </si>
  <si>
    <t xml:space="preserve">fast team ratio (Data Platform / others)</t>
  </si>
  <si>
    <t xml:space="preserve">unresolved critical issues</t>
  </si>
  <si>
    <t xml:space="preserve">unresolved high issues</t>
  </si>
  <si>
    <t xml:space="preserve">unresolved medium issues</t>
  </si>
  <si>
    <t xml:space="preserve">unresolved low issues</t>
  </si>
  <si>
    <t xml:space="preserve">declared lineage edges</t>
  </si>
  <si>
    <t xml:space="preserve">observed edges matching a declared pair</t>
  </si>
  <si>
    <t xml:space="preserve">lineage coverage</t>
  </si>
  <si>
    <t xml:space="preserve">undeclared observed edges</t>
  </si>
  <si>
    <t xml:space="preserve">inferred edges (never observed)</t>
  </si>
  <si>
    <t xml:space="preserve">published metrics</t>
  </si>
  <si>
    <t xml:space="preserve">metrics with a complete checklist</t>
  </si>
  <si>
    <t xml:space="preserve">definition coverage</t>
  </si>
  <si>
    <t xml:space="preserve">approved merge decisions</t>
  </si>
  <si>
    <t xml:space="preserve">approved decisions the truth confirms</t>
  </si>
  <si>
    <t xml:space="preserve">match precision (over approvals)</t>
  </si>
  <si>
    <t xml:space="preserve">reviewed candidates (approved or rejected)</t>
  </si>
  <si>
    <t xml:space="preserve">review-correct share (reviewed candidates that are the same entity)</t>
  </si>
  <si>
    <t xml:space="preserve">decision-agreement share (reviews that agree with the truth; the analysis's own)</t>
  </si>
  <si>
    <t xml:space="preserve">(no domain value: the contract does not publish it; see the SQL investigation 07)</t>
  </si>
  <si>
    <t xml:space="preserve">monitored datasets</t>
  </si>
  <si>
    <t xml:space="preserve">on time</t>
  </si>
  <si>
    <t xml:space="preserve">pending (outside the denominator)</t>
  </si>
  <si>
    <t xml:space="preserve">critical failures (failing rows of active critical rules)</t>
  </si>
  <si>
    <t xml:space="preserve">datasets carrying the critical override</t>
  </si>
  <si>
    <t xml:space="preserve">open critical issues</t>
  </si>
  <si>
    <t xml:space="preserve">Weighted score of every dataset under both weight versions, with the critical override beside it</t>
  </si>
  <si>
    <t xml:space="preserve">Dimension score = mean of the dataset's measured rules; weighted = sum(weight x score) / sum(weights of the MEASURED dimensions); a dataset that measures nothing is empty, never 0. Selected = the version chosen at Controls!B3.</t>
  </si>
  <si>
    <t xml:space="preserve">dataset_id</t>
  </si>
  <si>
    <t xml:space="preserve">weight_sum_w1</t>
  </si>
  <si>
    <t xml:space="preserve">weighted_w1</t>
  </si>
  <si>
    <t xml:space="preserve">weight_sum_w2</t>
  </si>
  <si>
    <t xml:space="preserve">weighted_w2</t>
  </si>
  <si>
    <t xml:space="preserve">shift (w2 - w1)</t>
  </si>
  <si>
    <t xml:space="preserve">selected</t>
  </si>
  <si>
    <t xml:space="preserve">critical_failures</t>
  </si>
  <si>
    <t xml:space="preserve">open_critical_issues</t>
  </si>
  <si>
    <t xml:space="preserve">critical_override</t>
  </si>
  <si>
    <t xml:space="preserve">differs</t>
  </si>
  <si>
    <t xml:space="preserve">moved_at_least_0_005</t>
  </si>
  <si>
    <t xml:space="preserve">abs_shift</t>
  </si>
  <si>
    <t xml:space="preserve">ref_w1 (domain)</t>
  </si>
  <si>
    <t xml:space="preserve">ref_w2 (domain)</t>
  </si>
  <si>
    <t xml:space="preserve">ds-accounts</t>
  </si>
  <si>
    <t xml:space="preserve">ds-billing-accounts</t>
  </si>
  <si>
    <t xml:space="preserve">ds-campaigns</t>
  </si>
  <si>
    <t xml:space="preserve">ds-carriers</t>
  </si>
  <si>
    <t xml:space="preserve">ds-consent-records</t>
  </si>
  <si>
    <t xml:space="preserve">ds-contacts</t>
  </si>
  <si>
    <t xml:space="preserve">ds-cost-centres</t>
  </si>
  <si>
    <t xml:space="preserve">ds-credit-notes</t>
  </si>
  <si>
    <t xml:space="preserve">ds-crm-activities</t>
  </si>
  <si>
    <t xml:space="preserve">ds-csat-surveys</t>
  </si>
  <si>
    <t xml:space="preserve">ds-customers</t>
  </si>
  <si>
    <t xml:space="preserve">ds-delivery-events</t>
  </si>
  <si>
    <t xml:space="preserve">ds-employees</t>
  </si>
  <si>
    <t xml:space="preserve">ds-experiments</t>
  </si>
  <si>
    <t xml:space="preserve">ds-inventory</t>
  </si>
  <si>
    <t xml:space="preserve">ds-invoices</t>
  </si>
  <si>
    <t xml:space="preserve">ds-kb-articles</t>
  </si>
  <si>
    <t xml:space="preserve">ds-leads</t>
  </si>
  <si>
    <t xml:space="preserve">ds-ledger-entries</t>
  </si>
  <si>
    <t xml:space="preserve">ds-opportunities</t>
  </si>
  <si>
    <t xml:space="preserve">ds-order-lines</t>
  </si>
  <si>
    <t xml:space="preserve">ds-orders</t>
  </si>
  <si>
    <t xml:space="preserve">ds-page-events</t>
  </si>
  <si>
    <t xml:space="preserve">ds-payments</t>
  </si>
  <si>
    <t xml:space="preserve">ds-price-books</t>
  </si>
  <si>
    <t xml:space="preserve">ds-products</t>
  </si>
  <si>
    <t xml:space="preserve">ds-purchase-orders</t>
  </si>
  <si>
    <t xml:space="preserve">ds-refunds</t>
  </si>
  <si>
    <t xml:space="preserve">ds-returns</t>
  </si>
  <si>
    <t xml:space="preserve">ds-segments</t>
  </si>
  <si>
    <t xml:space="preserve">ds-shipments</t>
  </si>
  <si>
    <t xml:space="preserve">ds-sla-policies</t>
  </si>
  <si>
    <t xml:space="preserve">ds-subscriptions</t>
  </si>
  <si>
    <t xml:space="preserve">ds-suppliers</t>
  </si>
  <si>
    <t xml:space="preserve">ds-support-agents</t>
  </si>
  <si>
    <t xml:space="preserve">ds-ticket-events</t>
  </si>
  <si>
    <t xml:space="preserve">ds-tickets</t>
  </si>
  <si>
    <t xml:space="preserve">ds-warehouses</t>
  </si>
  <si>
    <t xml:space="preserve">ds-web-sessions</t>
  </si>
  <si>
    <t xml:space="preserve">ds-web-users</t>
  </si>
  <si>
    <t xml:space="preserve">datasets scored (w1)</t>
  </si>
  <si>
    <t xml:space="preserve">datasets whose score differs between w1 and w2</t>
  </si>
  <si>
    <t xml:space="preserve">datasets moved by at least 0.005</t>
  </si>
  <si>
    <t xml:space="preserve">mean score under w1</t>
  </si>
  <si>
    <t xml:space="preserve">mean score under w2</t>
  </si>
  <si>
    <t xml:space="preserve">largest absolute shift</t>
  </si>
  <si>
    <t xml:space="preserve">largest move (signed)</t>
  </si>
  <si>
    <t xml:space="preserve">The known answer (P07-GOLD-01) by hand, with formulas, against tests/fixtures/golden/expected.json</t>
  </si>
  <si>
    <t xml:space="preserve">100 eligible customer rows, 5 missing e-mails; 90 of the 95 populated pass the format rule; the critical key rule fails on 2 rows. Blue cells are typed from the fixture; every figure in column C is a formula.</t>
  </si>
  <si>
    <t xml:space="preserve">input or figure</t>
  </si>
  <si>
    <t xml:space="preserve">value (typed or formula)</t>
  </si>
  <si>
    <t xml:space="preserve">formula result</t>
  </si>
  <si>
    <t xml:space="preserve">expected.json / hand answer</t>
  </si>
  <si>
    <t xml:space="preserve">eligible customer rows</t>
  </si>
  <si>
    <t xml:space="preserve">missing e-mails (null or trimmed-empty)</t>
  </si>
  <si>
    <t xml:space="preserve">passing the format rule</t>
  </si>
  <si>
    <t xml:space="preserve">completeness = (eligible - missing) / eligible</t>
  </si>
  <si>
    <t xml:space="preserve">populated = eligible - missing</t>
  </si>
  <si>
    <t xml:space="preserve">validity, populated-only = passing / populated (labelled)</t>
  </si>
  <si>
    <t xml:space="preserve">validity, all eligible = passing / eligible (labelled)</t>
  </si>
  <si>
    <t xml:space="preserve">key rows duplicated beyond the first</t>
  </si>
  <si>
    <t xml:space="preserve">uniqueness score = (eligible - null keys - duplicate rows) / eligible</t>
  </si>
  <si>
    <t xml:space="preserve">orders: foreign keys in total</t>
  </si>
  <si>
    <t xml:space="preserve">null or empty foreign keys (counted apart, outside the denominator)</t>
  </si>
  <si>
    <t xml:space="preserve">matched</t>
  </si>
  <si>
    <t xml:space="preserve">relationship integrity = matched / (total - null or empty)</t>
  </si>
  <si>
    <t xml:space="preserve">timeliness score of ds-customers (refreshed in its window)</t>
  </si>
  <si>
    <t xml:space="preserve">(weights come from the Weights sheet; relationship is unmeasured on ds-customers)</t>
  </si>
  <si>
    <t xml:space="preserve">weighted score under w1 = sum(w x score) / sum(w of the measured dimensions)</t>
  </si>
  <si>
    <t xml:space="preserve">weighted score under w2</t>
  </si>
  <si>
    <t xml:space="preserve">critical failures of active critical rules (the key rule)</t>
  </si>
  <si>
    <t xml:space="preserve">critical override (a failing critical rule or an open critical issue)</t>
  </si>
  <si>
    <t xml:space="preserve">both scores above 0.95 although the override is set</t>
  </si>
  <si>
    <t xml:space="preserve">open critical issues (typed from the fixture)</t>
  </si>
  <si>
    <t xml:space="preserve">Assumptions and limits</t>
  </si>
  <si>
    <t xml:space="preserve">id</t>
  </si>
  <si>
    <t xml:space="preserve">statement</t>
  </si>
  <si>
    <t xml:space="preserve">A-01</t>
  </si>
  <si>
    <t xml:space="preserve">Weights and checklists are append-only versions (D-07 assumption 4): the weighted score is sum(weight x score) / sum(weights of the measured dimensions) under the version named; unmeasured dimensions leave both sums; null if none is measured. Validity enters as populated-only (D-06).</t>
  </si>
  <si>
    <t xml:space="preserve">A-02</t>
  </si>
  <si>
    <t xml:space="preserve">A dimension's score on a dataset is the plain mean of its measured rules' scores (D-07 assumption 5). Critical failures are the failing rows of active critical rules; open critical issues (open, reopened or claimed) are counted apart; either sets the override whatever the score is (D-01, D-06).</t>
  </si>
  <si>
    <t xml:space="preserve">A-03</t>
  </si>
  <si>
    <t xml:space="preserve">An issue is resolved only after a successful rerun of the same rule version (D-03); claimed issues are listed apart and never counted as resolved; hours = verifying rerun - first detected_at, 4 places.</t>
  </si>
  <si>
    <t xml:space="preserve">A-04</t>
  </si>
  <si>
    <t xml:space="preserve">Ownership coverage counts datasets whose owner is active at the as-of (D-02). Lineage coverage counts distinct observed pairs that match a declared pair over declared pairs; the workbook counts edge rows, which equal distinct pairs per kind on this snapshot (80, 70 and 10; asserted by build_workbook.py). Inferred edges never count as observed.</t>
  </si>
  <si>
    <t xml:space="preserve">A-05</t>
  </si>
  <si>
    <t xml:space="preserve">Timeliness: the latest daily occurrence started by the as-of, on time in [occurrence, occurrence + grace), pending while open (outside the denominator), else late (D-10 R7-01).</t>
  </si>
  <si>
    <t xml:space="preserve">A-06</t>
  </si>
  <si>
    <t xml:space="preserve">Match precision = approved decisions confirmed by the synthetic truth / approved decisions; the review-correct share = reviewed candidates that are the same true entity / reviewed candidates (D-06). The truth is the verification layer's and is typed only for these two formulas.</t>
  </si>
  <si>
    <t xml:space="preserve">W-01</t>
  </si>
  <si>
    <t xml:space="preserve">Observed, constructed and hypothetical results are kept apart: every figure is observed in one draw of a generated world; the designed relationships (DR-01..DR-06) and the twelve injected defects are constructed; no benefit to a real organisation is claimed.</t>
  </si>
  <si>
    <t xml:space="preserve">W-02</t>
  </si>
  <si>
    <t xml:space="preserve">TYPED from the independent Python side, not replayed by formulas: the per-rule counts (eligible, populated, failing: pattern matching, duplicate keys and parent lookups over 2,554 rows) and the timeliness occurrence and deadline instants (a daily local time in an IANA zone). Every result is compared with the Python domain after recalculation.</t>
  </si>
  <si>
    <t xml:space="preserve">W-03</t>
  </si>
  <si>
    <t xml:space="preserve">Recalculation: openpyxl writes formulas only; the delivered file was recalculated by LibreOffice headless and carries its cached values; Excel was NOT run. fullCalcOnLoad is set so Excel recalculates on open. Functions used: AVERAGEIFS, COUNTIFS, SUMIFS, SUMPRODUCT, INDEX, MATCH, IF, IFERROR, ISNUMBER, AND, OR, ROUND, ABS (no _xlfn functions).</t>
  </si>
  <si>
    <t xml:space="preserve">W-04</t>
  </si>
  <si>
    <t xml:space="preserve">The switch changes which weight version the Selected column shows; both versions are always computed and checked, so the check cell does not depend on the switch.</t>
  </si>
  <si>
    <t xml:space="preserve">W-05</t>
  </si>
  <si>
    <t xml:space="preserve">The workbook has no macros, no external links and no credentials.</t>
  </si>
  <si>
    <t xml:space="preserve">The 55 rules active at the as-of: measured counts (typed) and the score each contributes (formula)</t>
  </si>
  <si>
    <t xml:space="preserve">eligible, populated and failing are TYPED from the independent Python side (W-02); score_den = populated for validity else eligible; score = (eligible - failing) / score_den, empty when it measures nothing.</t>
  </si>
  <si>
    <t xml:space="preserve">rule_id</t>
  </si>
  <si>
    <t xml:space="preserve">dimension</t>
  </si>
  <si>
    <t xml:space="preserve">severity</t>
  </si>
  <si>
    <t xml:space="preserve">eligible</t>
  </si>
  <si>
    <t xml:space="preserve">populated</t>
  </si>
  <si>
    <t xml:space="preserve">failing</t>
  </si>
  <si>
    <t xml:space="preserve">score_den</t>
  </si>
  <si>
    <t xml:space="preserve">score</t>
  </si>
  <si>
    <t xml:space="preserve">r-accounts-fk-customer_key</t>
  </si>
  <si>
    <t xml:space="preserve">high</t>
  </si>
  <si>
    <t xml:space="preserve">r-accounts-unique-account_key</t>
  </si>
  <si>
    <t xml:space="preserve">medium</t>
  </si>
  <si>
    <t xml:space="preserve">r-carriers-valid-carrier_code</t>
  </si>
  <si>
    <t xml:space="preserve">r-consent-records-complete-consent_flag</t>
  </si>
  <si>
    <t xml:space="preserve">r-consent-records-fresh</t>
  </si>
  <si>
    <t xml:space="preserve">r-contacts-complete-email</t>
  </si>
  <si>
    <t xml:space="preserve">r-contacts-fk-customer_key</t>
  </si>
  <si>
    <t xml:space="preserve">low</t>
  </si>
  <si>
    <t xml:space="preserve">r-cost-centres-unique-cost_centre_code</t>
  </si>
  <si>
    <t xml:space="preserve">r-csat-surveys-complete-score</t>
  </si>
  <si>
    <t xml:space="preserve">r-customers-complete-email</t>
  </si>
  <si>
    <t xml:space="preserve">r-customers-fresh</t>
  </si>
  <si>
    <t xml:space="preserve">r-customers-unique-customer_key</t>
  </si>
  <si>
    <t xml:space="preserve">critical</t>
  </si>
  <si>
    <t xml:space="preserve">r-customers-valid-email</t>
  </si>
  <si>
    <t xml:space="preserve">r-delivery-events-valid-event_ref</t>
  </si>
  <si>
    <t xml:space="preserve">r-employees-valid-work_email</t>
  </si>
  <si>
    <t xml:space="preserve">r-inventory-complete-warehouse_code</t>
  </si>
  <si>
    <t xml:space="preserve">r-inventory-fresh</t>
  </si>
  <si>
    <t xml:space="preserve">r-invoices-fk-customer_key</t>
  </si>
  <si>
    <t xml:space="preserve">r-invoices-fresh</t>
  </si>
  <si>
    <t xml:space="preserve">r-invoices-valid-currency</t>
  </si>
  <si>
    <t xml:space="preserve">r-kb-articles-unique-article_key</t>
  </si>
  <si>
    <t xml:space="preserve">r-ledger-entries-complete-amount</t>
  </si>
  <si>
    <t xml:space="preserve">r-ledger-entries-unique-entry_key</t>
  </si>
  <si>
    <t xml:space="preserve">r-ledger-entries-valid-currency</t>
  </si>
  <si>
    <t xml:space="preserve">r-opportunities-fk-account_key</t>
  </si>
  <si>
    <t xml:space="preserve">r-order-lines-fk-order_key</t>
  </si>
  <si>
    <t xml:space="preserve">r-order-lines-fk-product_code</t>
  </si>
  <si>
    <t xml:space="preserve">r-orders-complete-order_date</t>
  </si>
  <si>
    <t xml:space="preserve">r-orders-fk-customer_key</t>
  </si>
  <si>
    <t xml:space="preserve">r-orders-fresh</t>
  </si>
  <si>
    <t xml:space="preserve">r-orders-unique-order_key</t>
  </si>
  <si>
    <t xml:space="preserve">r-orders-valid-currency</t>
  </si>
  <si>
    <t xml:space="preserve">r-payments-fk-invoice_key</t>
  </si>
  <si>
    <t xml:space="preserve">r-payments-fresh</t>
  </si>
  <si>
    <t xml:space="preserve">r-payments-unique-payment_key</t>
  </si>
  <si>
    <t xml:space="preserve">r-products-complete-category</t>
  </si>
  <si>
    <t xml:space="preserve">r-products-unique-product_code</t>
  </si>
  <si>
    <t xml:space="preserve">r-purchase-orders-fk-supplier_key</t>
  </si>
  <si>
    <t xml:space="preserve">r-refunds-fk-payment_key</t>
  </si>
  <si>
    <t xml:space="preserve">r-returns-complete-reason_code</t>
  </si>
  <si>
    <t xml:space="preserve">r-shipments-fk-order_key</t>
  </si>
  <si>
    <t xml:space="preserve">r-shipments-valid-tracking_ref</t>
  </si>
  <si>
    <t xml:space="preserve">r-subscriptions-complete-plan_code</t>
  </si>
  <si>
    <t xml:space="preserve">r-subscriptions-fk-customer_key</t>
  </si>
  <si>
    <t xml:space="preserve">r-suppliers-complete-contact_email</t>
  </si>
  <si>
    <t xml:space="preserve">r-suppliers-unique-supplier_key</t>
  </si>
  <si>
    <t xml:space="preserve">r-suppliers-valid-contact_email</t>
  </si>
  <si>
    <t xml:space="preserve">r-ticket-events-valid-ticket_key</t>
  </si>
  <si>
    <t xml:space="preserve">r-tickets-complete-priority</t>
  </si>
  <si>
    <t xml:space="preserve">r-tickets-fresh</t>
  </si>
  <si>
    <t xml:space="preserve">r-warehouses-valid-postal_code</t>
  </si>
  <si>
    <t xml:space="preserve">r-web-sessions-unique-session_key</t>
  </si>
  <si>
    <t xml:space="preserve">r-web-users-complete-email</t>
  </si>
  <si>
    <t xml:space="preserve">r-web-users-fresh</t>
  </si>
  <si>
    <t xml:space="preserve">r-web-users-unique-user_key</t>
  </si>
  <si>
    <t xml:space="preserve">574 issues: the facts of each issue and its verifying run (typed), the class and the hours (formulas)</t>
  </si>
  <si>
    <t xml:space="preserve">resolved = closed by the as-of AND the verification run is a rerun, for this issue, of the same rule at the same version, with 0 failures, not before the detection or the latest reopen; claimed = closed otherwise; open = the rest.</t>
  </si>
  <si>
    <t xml:space="preserve">issue_id</t>
  </si>
  <si>
    <t xml:space="preserve">owner_id</t>
  </si>
  <si>
    <t xml:space="preserve">status</t>
  </si>
  <si>
    <t xml:space="preserve">detected_at</t>
  </si>
  <si>
    <t xml:space="preserve">closed_at</t>
  </si>
  <si>
    <t xml:space="preserve">verified_at</t>
  </si>
  <si>
    <t xml:space="preserve">ver_kind</t>
  </si>
  <si>
    <t xml:space="preserve">ver_for_issue</t>
  </si>
  <si>
    <t xml:space="preserve">ver_rule_id</t>
  </si>
  <si>
    <t xml:space="preserve">ver_rule_version</t>
  </si>
  <si>
    <t xml:space="preserve">base_rule_version</t>
  </si>
  <si>
    <t xml:space="preserve">ver_failure_count</t>
  </si>
  <si>
    <t xml:space="preserve">last_reopen_at</t>
  </si>
  <si>
    <t xml:space="preserve">reopen_cycles</t>
  </si>
  <si>
    <t xml:space="preserve">owner_team</t>
  </si>
  <si>
    <t xml:space="preserve">closed</t>
  </si>
  <si>
    <t xml:space="preserve">verified</t>
  </si>
  <si>
    <t xml:space="preserve">class</t>
  </si>
  <si>
    <t xml:space="preserve">hours</t>
  </si>
  <si>
    <t xml:space="preserve">owner_accountable</t>
  </si>
  <si>
    <t xml:space="preserve">iss-0001</t>
  </si>
  <si>
    <t xml:space="preserve">own-05</t>
  </si>
  <si>
    <t xml:space="preserve">rerun</t>
  </si>
  <si>
    <t xml:space="preserve">iss-0002</t>
  </si>
  <si>
    <t xml:space="preserve">own-12</t>
  </si>
  <si>
    <t xml:space="preserve">iss-0003</t>
  </si>
  <si>
    <t xml:space="preserve">own-17</t>
  </si>
  <si>
    <t xml:space="preserve">iss-0004</t>
  </si>
  <si>
    <t xml:space="preserve">own-07</t>
  </si>
  <si>
    <t xml:space="preserve">iss-0005</t>
  </si>
  <si>
    <t xml:space="preserve">own-18</t>
  </si>
  <si>
    <t xml:space="preserve">iss-0006</t>
  </si>
  <si>
    <t xml:space="preserve">iss-0007</t>
  </si>
  <si>
    <t xml:space="preserve">iss-0008</t>
  </si>
  <si>
    <t xml:space="preserve">own-04</t>
  </si>
  <si>
    <t xml:space="preserve">iss-0009</t>
  </si>
  <si>
    <t xml:space="preserve">iss-0010</t>
  </si>
  <si>
    <t xml:space="preserve">iss-0011</t>
  </si>
  <si>
    <t xml:space="preserve">iss-0012</t>
  </si>
  <si>
    <t xml:space="preserve">own-06</t>
  </si>
  <si>
    <t xml:space="preserve">iss-0013</t>
  </si>
  <si>
    <t xml:space="preserve">iss-0014</t>
  </si>
  <si>
    <t xml:space="preserve">r-tickets-fk-customer_key</t>
  </si>
  <si>
    <t xml:space="preserve">iss-0015</t>
  </si>
  <si>
    <t xml:space="preserve">iss-0016</t>
  </si>
  <si>
    <t xml:space="preserve">r-leads-valid-email</t>
  </si>
  <si>
    <t xml:space="preserve">iss-0017</t>
  </si>
  <si>
    <t xml:space="preserve">iss-0018</t>
  </si>
  <si>
    <t xml:space="preserve">iss-0019</t>
  </si>
  <si>
    <t xml:space="preserve">iss-0020</t>
  </si>
  <si>
    <t xml:space="preserve">iss-0021</t>
  </si>
  <si>
    <t xml:space="preserve">iss-0022</t>
  </si>
  <si>
    <t xml:space="preserve">iss-0023</t>
  </si>
  <si>
    <t xml:space="preserve">iss-0024</t>
  </si>
  <si>
    <t xml:space="preserve">iss-0025</t>
  </si>
  <si>
    <t xml:space="preserve">iss-0026</t>
  </si>
  <si>
    <t xml:space="preserve">iss-0027</t>
  </si>
  <si>
    <t xml:space="preserve">iss-0028</t>
  </si>
  <si>
    <t xml:space="preserve">own-03</t>
  </si>
  <si>
    <t xml:space="preserve">iss-0029</t>
  </si>
  <si>
    <t xml:space="preserve">iss-0030</t>
  </si>
  <si>
    <t xml:space="preserve">r-cost-centres-complete-owner_ref</t>
  </si>
  <si>
    <t xml:space="preserve">own-10</t>
  </si>
  <si>
    <t xml:space="preserve">iss-0031</t>
  </si>
  <si>
    <t xml:space="preserve">own-09</t>
  </si>
  <si>
    <t xml:space="preserve">iss-0032</t>
  </si>
  <si>
    <t xml:space="preserve">iss-0033</t>
  </si>
  <si>
    <t xml:space="preserve">iss-0034</t>
  </si>
  <si>
    <t xml:space="preserve">own-14</t>
  </si>
  <si>
    <t xml:space="preserve">iss-0035</t>
  </si>
  <si>
    <t xml:space="preserve">iss-0036</t>
  </si>
  <si>
    <t xml:space="preserve">iss-0037</t>
  </si>
  <si>
    <t xml:space="preserve">own-15</t>
  </si>
  <si>
    <t xml:space="preserve">iss-0038</t>
  </si>
  <si>
    <t xml:space="preserve">iss-0039</t>
  </si>
  <si>
    <t xml:space="preserve">iss-0040</t>
  </si>
  <si>
    <t xml:space="preserve">iss-0041</t>
  </si>
  <si>
    <t xml:space="preserve">iss-0042</t>
  </si>
  <si>
    <t xml:space="preserve">iss-0043</t>
  </si>
  <si>
    <t xml:space="preserve">iss-0044</t>
  </si>
  <si>
    <t xml:space="preserve">iss-0045</t>
  </si>
  <si>
    <t xml:space="preserve">iss-0046</t>
  </si>
  <si>
    <t xml:space="preserve">iss-0047</t>
  </si>
  <si>
    <t xml:space="preserve">iss-0048</t>
  </si>
  <si>
    <t xml:space="preserve">iss-0049</t>
  </si>
  <si>
    <t xml:space="preserve">iss-0050</t>
  </si>
  <si>
    <t xml:space="preserve">iss-0051</t>
  </si>
  <si>
    <t xml:space="preserve">iss-0052</t>
  </si>
  <si>
    <t xml:space="preserve">own-13</t>
  </si>
  <si>
    <t xml:space="preserve">iss-0053</t>
  </si>
  <si>
    <t xml:space="preserve">iss-0054</t>
  </si>
  <si>
    <t xml:space="preserve">iss-0055</t>
  </si>
  <si>
    <t xml:space="preserve">iss-0056</t>
  </si>
  <si>
    <t xml:space="preserve">iss-0057</t>
  </si>
  <si>
    <t xml:space="preserve">iss-0058</t>
  </si>
  <si>
    <t xml:space="preserve">iss-0059</t>
  </si>
  <si>
    <t xml:space="preserve">own-11</t>
  </si>
  <si>
    <t xml:space="preserve">iss-0060</t>
  </si>
  <si>
    <t xml:space="preserve">iss-0061</t>
  </si>
  <si>
    <t xml:space="preserve">iss-0062</t>
  </si>
  <si>
    <t xml:space="preserve">iss-0063</t>
  </si>
  <si>
    <t xml:space="preserve">iss-0064</t>
  </si>
  <si>
    <t xml:space="preserve">r-purchase-orders-fresh</t>
  </si>
  <si>
    <t xml:space="preserve">iss-0065</t>
  </si>
  <si>
    <t xml:space="preserve">iss-0066</t>
  </si>
  <si>
    <t xml:space="preserve">iss-0067</t>
  </si>
  <si>
    <t xml:space="preserve">iss-0068</t>
  </si>
  <si>
    <t xml:space="preserve">iss-0069</t>
  </si>
  <si>
    <t xml:space="preserve">iss-0070</t>
  </si>
  <si>
    <t xml:space="preserve">iss-0071</t>
  </si>
  <si>
    <t xml:space="preserve">iss-0072</t>
  </si>
  <si>
    <t xml:space="preserve">iss-0073</t>
  </si>
  <si>
    <t xml:space="preserve">iss-0074</t>
  </si>
  <si>
    <t xml:space="preserve">iss-0075</t>
  </si>
  <si>
    <t xml:space="preserve">iss-0076</t>
  </si>
  <si>
    <t xml:space="preserve">iss-0077</t>
  </si>
  <si>
    <t xml:space="preserve">iss-0078</t>
  </si>
  <si>
    <t xml:space="preserve">iss-0079</t>
  </si>
  <si>
    <t xml:space="preserve">iss-0080</t>
  </si>
  <si>
    <t xml:space="preserve">iss-0081</t>
  </si>
  <si>
    <t xml:space="preserve">iss-0082</t>
  </si>
  <si>
    <t xml:space="preserve">iss-0083</t>
  </si>
  <si>
    <t xml:space="preserve">iss-0084</t>
  </si>
  <si>
    <t xml:space="preserve">iss-0085</t>
  </si>
  <si>
    <t xml:space="preserve">iss-0086</t>
  </si>
  <si>
    <t xml:space="preserve">iss-0087</t>
  </si>
  <si>
    <t xml:space="preserve">iss-0088</t>
  </si>
  <si>
    <t xml:space="preserve">iss-0089</t>
  </si>
  <si>
    <t xml:space="preserve">iss-0090</t>
  </si>
  <si>
    <t xml:space="preserve">iss-0091</t>
  </si>
  <si>
    <t xml:space="preserve">iss-0092</t>
  </si>
  <si>
    <t xml:space="preserve">iss-0093</t>
  </si>
  <si>
    <t xml:space="preserve">iss-0094</t>
  </si>
  <si>
    <t xml:space="preserve">iss-0095</t>
  </si>
  <si>
    <t xml:space="preserve">iss-0096</t>
  </si>
  <si>
    <t xml:space="preserve">iss-0097</t>
  </si>
  <si>
    <t xml:space="preserve">iss-0098</t>
  </si>
  <si>
    <t xml:space="preserve">iss-0099</t>
  </si>
  <si>
    <t xml:space="preserve">iss-0100</t>
  </si>
  <si>
    <t xml:space="preserve">iss-0101</t>
  </si>
  <si>
    <t xml:space="preserve">iss-0102</t>
  </si>
  <si>
    <t xml:space="preserve">iss-0103</t>
  </si>
  <si>
    <t xml:space="preserve">iss-0104</t>
  </si>
  <si>
    <t xml:space="preserve">iss-0105</t>
  </si>
  <si>
    <t xml:space="preserve">iss-0106</t>
  </si>
  <si>
    <t xml:space="preserve">iss-0107</t>
  </si>
  <si>
    <t xml:space="preserve">iss-0108</t>
  </si>
  <si>
    <t xml:space="preserve">iss-0109</t>
  </si>
  <si>
    <t xml:space="preserve">iss-0110</t>
  </si>
  <si>
    <t xml:space="preserve">iss-0111</t>
  </si>
  <si>
    <t xml:space="preserve">iss-0112</t>
  </si>
  <si>
    <t xml:space="preserve">iss-0113</t>
  </si>
  <si>
    <t xml:space="preserve">iss-0114</t>
  </si>
  <si>
    <t xml:space="preserve">iss-0115</t>
  </si>
  <si>
    <t xml:space="preserve">iss-0116</t>
  </si>
  <si>
    <t xml:space="preserve">iss-0117</t>
  </si>
  <si>
    <t xml:space="preserve">iss-0118</t>
  </si>
  <si>
    <t xml:space="preserve">iss-0119</t>
  </si>
  <si>
    <t xml:space="preserve">iss-0120</t>
  </si>
  <si>
    <t xml:space="preserve">iss-0121</t>
  </si>
  <si>
    <t xml:space="preserve">iss-0122</t>
  </si>
  <si>
    <t xml:space="preserve">iss-0123</t>
  </si>
  <si>
    <t xml:space="preserve">iss-0124</t>
  </si>
  <si>
    <t xml:space="preserve">iss-0125</t>
  </si>
  <si>
    <t xml:space="preserve">iss-0126</t>
  </si>
  <si>
    <t xml:space="preserve">iss-0127</t>
  </si>
  <si>
    <t xml:space="preserve">iss-0128</t>
  </si>
  <si>
    <t xml:space="preserve">iss-0129</t>
  </si>
  <si>
    <t xml:space="preserve">iss-0130</t>
  </si>
  <si>
    <t xml:space="preserve">iss-0131</t>
  </si>
  <si>
    <t xml:space="preserve">iss-0132</t>
  </si>
  <si>
    <t xml:space="preserve">iss-0133</t>
  </si>
  <si>
    <t xml:space="preserve">iss-0134</t>
  </si>
  <si>
    <t xml:space="preserve">iss-0135</t>
  </si>
  <si>
    <t xml:space="preserve">iss-0136</t>
  </si>
  <si>
    <t xml:space="preserve">iss-0137</t>
  </si>
  <si>
    <t xml:space="preserve">iss-0138</t>
  </si>
  <si>
    <t xml:space="preserve">iss-0139</t>
  </si>
  <si>
    <t xml:space="preserve">iss-0140</t>
  </si>
  <si>
    <t xml:space="preserve">iss-0141</t>
  </si>
  <si>
    <t xml:space="preserve">iss-0142</t>
  </si>
  <si>
    <t xml:space="preserve">iss-0143</t>
  </si>
  <si>
    <t xml:space="preserve">iss-0144</t>
  </si>
  <si>
    <t xml:space="preserve">iss-0145</t>
  </si>
  <si>
    <t xml:space="preserve">iss-0146</t>
  </si>
  <si>
    <t xml:space="preserve">iss-0147</t>
  </si>
  <si>
    <t xml:space="preserve">iss-0148</t>
  </si>
  <si>
    <t xml:space="preserve">iss-0149</t>
  </si>
  <si>
    <t xml:space="preserve">iss-0150</t>
  </si>
  <si>
    <t xml:space="preserve">iss-0151</t>
  </si>
  <si>
    <t xml:space="preserve">iss-0152</t>
  </si>
  <si>
    <t xml:space="preserve">iss-0153</t>
  </si>
  <si>
    <t xml:space="preserve">iss-0154</t>
  </si>
  <si>
    <t xml:space="preserve">iss-0155</t>
  </si>
  <si>
    <t xml:space="preserve">iss-0156</t>
  </si>
  <si>
    <t xml:space="preserve">iss-0157</t>
  </si>
  <si>
    <t xml:space="preserve">iss-0158</t>
  </si>
  <si>
    <t xml:space="preserve">iss-0159</t>
  </si>
  <si>
    <t xml:space="preserve">iss-0160</t>
  </si>
  <si>
    <t xml:space="preserve">iss-0161</t>
  </si>
  <si>
    <t xml:space="preserve">iss-0162</t>
  </si>
  <si>
    <t xml:space="preserve">iss-0163</t>
  </si>
  <si>
    <t xml:space="preserve">iss-0164</t>
  </si>
  <si>
    <t xml:space="preserve">iss-0165</t>
  </si>
  <si>
    <t xml:space="preserve">iss-0166</t>
  </si>
  <si>
    <t xml:space="preserve">iss-0167</t>
  </si>
  <si>
    <t xml:space="preserve">iss-0168</t>
  </si>
  <si>
    <t xml:space="preserve">iss-0169</t>
  </si>
  <si>
    <t xml:space="preserve">iss-0170</t>
  </si>
  <si>
    <t xml:space="preserve">iss-0171</t>
  </si>
  <si>
    <t xml:space="preserve">iss-0172</t>
  </si>
  <si>
    <t xml:space="preserve">iss-0173</t>
  </si>
  <si>
    <t xml:space="preserve">iss-0174</t>
  </si>
  <si>
    <t xml:space="preserve">iss-0175</t>
  </si>
  <si>
    <t xml:space="preserve">iss-0176</t>
  </si>
  <si>
    <t xml:space="preserve">iss-0177</t>
  </si>
  <si>
    <t xml:space="preserve">iss-0178</t>
  </si>
  <si>
    <t xml:space="preserve">iss-0179</t>
  </si>
  <si>
    <t xml:space="preserve">iss-0180</t>
  </si>
  <si>
    <t xml:space="preserve">iss-0181</t>
  </si>
  <si>
    <t xml:space="preserve">iss-0182</t>
  </si>
  <si>
    <t xml:space="preserve">own-08</t>
  </si>
  <si>
    <t xml:space="preserve">iss-0183</t>
  </si>
  <si>
    <t xml:space="preserve">iss-0184</t>
  </si>
  <si>
    <t xml:space="preserve">iss-0185</t>
  </si>
  <si>
    <t xml:space="preserve">iss-0186</t>
  </si>
  <si>
    <t xml:space="preserve">iss-0187</t>
  </si>
  <si>
    <t xml:space="preserve">iss-0188</t>
  </si>
  <si>
    <t xml:space="preserve">iss-0189</t>
  </si>
  <si>
    <t xml:space="preserve">iss-0190</t>
  </si>
  <si>
    <t xml:space="preserve">iss-0191</t>
  </si>
  <si>
    <t xml:space="preserve">iss-0192</t>
  </si>
  <si>
    <t xml:space="preserve">iss-0193</t>
  </si>
  <si>
    <t xml:space="preserve">iss-0194</t>
  </si>
  <si>
    <t xml:space="preserve">iss-0195</t>
  </si>
  <si>
    <t xml:space="preserve">own-16</t>
  </si>
  <si>
    <t xml:space="preserve">iss-0196</t>
  </si>
  <si>
    <t xml:space="preserve">iss-0197</t>
  </si>
  <si>
    <t xml:space="preserve">iss-0198</t>
  </si>
  <si>
    <t xml:space="preserve">iss-0199</t>
  </si>
  <si>
    <t xml:space="preserve">iss-0200</t>
  </si>
  <si>
    <t xml:space="preserve">iss-0201</t>
  </si>
  <si>
    <t xml:space="preserve">iss-0202</t>
  </si>
  <si>
    <t xml:space="preserve">iss-0203</t>
  </si>
  <si>
    <t xml:space="preserve">iss-0204</t>
  </si>
  <si>
    <t xml:space="preserve">iss-0205</t>
  </si>
  <si>
    <t xml:space="preserve">iss-0206</t>
  </si>
  <si>
    <t xml:space="preserve">iss-0207</t>
  </si>
  <si>
    <t xml:space="preserve">iss-0208</t>
  </si>
  <si>
    <t xml:space="preserve">iss-0209</t>
  </si>
  <si>
    <t xml:space="preserve">iss-0210</t>
  </si>
  <si>
    <t xml:space="preserve">iss-0211</t>
  </si>
  <si>
    <t xml:space="preserve">iss-0212</t>
  </si>
  <si>
    <t xml:space="preserve">iss-0213</t>
  </si>
  <si>
    <t xml:space="preserve">iss-0214</t>
  </si>
  <si>
    <t xml:space="preserve">iss-0215</t>
  </si>
  <si>
    <t xml:space="preserve">iss-0216</t>
  </si>
  <si>
    <t xml:space="preserve">iss-0217</t>
  </si>
  <si>
    <t xml:space="preserve">iss-0218</t>
  </si>
  <si>
    <t xml:space="preserve">iss-0219</t>
  </si>
  <si>
    <t xml:space="preserve">iss-0220</t>
  </si>
  <si>
    <t xml:space="preserve">iss-0221</t>
  </si>
  <si>
    <t xml:space="preserve">iss-0222</t>
  </si>
  <si>
    <t xml:space="preserve">iss-0223</t>
  </si>
  <si>
    <t xml:space="preserve">iss-0224</t>
  </si>
  <si>
    <t xml:space="preserve">iss-0225</t>
  </si>
  <si>
    <t xml:space="preserve">iss-0226</t>
  </si>
  <si>
    <t xml:space="preserve">iss-0227</t>
  </si>
  <si>
    <t xml:space="preserve">iss-0228</t>
  </si>
  <si>
    <t xml:space="preserve">iss-0229</t>
  </si>
  <si>
    <t xml:space="preserve">iss-0230</t>
  </si>
  <si>
    <t xml:space="preserve">iss-0231</t>
  </si>
  <si>
    <t xml:space="preserve">iss-0232</t>
  </si>
  <si>
    <t xml:space="preserve">iss-0233</t>
  </si>
  <si>
    <t xml:space="preserve">iss-0234</t>
  </si>
  <si>
    <t xml:space="preserve">iss-0235</t>
  </si>
  <si>
    <t xml:space="preserve">iss-0236</t>
  </si>
  <si>
    <t xml:space="preserve">iss-0237</t>
  </si>
  <si>
    <t xml:space="preserve">iss-0238</t>
  </si>
  <si>
    <t xml:space="preserve">iss-0239</t>
  </si>
  <si>
    <t xml:space="preserve">iss-0240</t>
  </si>
  <si>
    <t xml:space="preserve">iss-0241</t>
  </si>
  <si>
    <t xml:space="preserve">iss-0242</t>
  </si>
  <si>
    <t xml:space="preserve">iss-0243</t>
  </si>
  <si>
    <t xml:space="preserve">iss-0244</t>
  </si>
  <si>
    <t xml:space="preserve">iss-0245</t>
  </si>
  <si>
    <t xml:space="preserve">iss-0246</t>
  </si>
  <si>
    <t xml:space="preserve">iss-0247</t>
  </si>
  <si>
    <t xml:space="preserve">iss-0248</t>
  </si>
  <si>
    <t xml:space="preserve">iss-0249</t>
  </si>
  <si>
    <t xml:space="preserve">iss-0250</t>
  </si>
  <si>
    <t xml:space="preserve">own-02</t>
  </si>
  <si>
    <t xml:space="preserve">iss-0251</t>
  </si>
  <si>
    <t xml:space="preserve">iss-0252</t>
  </si>
  <si>
    <t xml:space="preserve">investigating</t>
  </si>
  <si>
    <t xml:space="preserve">iss-0253</t>
  </si>
  <si>
    <t xml:space="preserve">iss-0254</t>
  </si>
  <si>
    <t xml:space="preserve">iss-0255</t>
  </si>
  <si>
    <t xml:space="preserve">iss-0256</t>
  </si>
  <si>
    <t xml:space="preserve">iss-0257</t>
  </si>
  <si>
    <t xml:space="preserve">open</t>
  </si>
  <si>
    <t xml:space="preserve">iss-0258</t>
  </si>
  <si>
    <t xml:space="preserve">iss-0259</t>
  </si>
  <si>
    <t xml:space="preserve">iss-0260</t>
  </si>
  <si>
    <t xml:space="preserve">iss-0261</t>
  </si>
  <si>
    <t xml:space="preserve">iss-0262</t>
  </si>
  <si>
    <t xml:space="preserve">iss-0263</t>
  </si>
  <si>
    <t xml:space="preserve">iss-0264</t>
  </si>
  <si>
    <t xml:space="preserve">iss-0265</t>
  </si>
  <si>
    <t xml:space="preserve">iss-0266</t>
  </si>
  <si>
    <t xml:space="preserve">iss-0267</t>
  </si>
  <si>
    <t xml:space="preserve">iss-0268</t>
  </si>
  <si>
    <t xml:space="preserve">iss-0269</t>
  </si>
  <si>
    <t xml:space="preserve">iss-0270</t>
  </si>
  <si>
    <t xml:space="preserve">iss-0271</t>
  </si>
  <si>
    <t xml:space="preserve">iss-0272</t>
  </si>
  <si>
    <t xml:space="preserve">iss-0273</t>
  </si>
  <si>
    <t xml:space="preserve">iss-0274</t>
  </si>
  <si>
    <t xml:space="preserve">iss-0275</t>
  </si>
  <si>
    <t xml:space="preserve">iss-0276</t>
  </si>
  <si>
    <t xml:space="preserve">iss-0277</t>
  </si>
  <si>
    <t xml:space="preserve">iss-0278</t>
  </si>
  <si>
    <t xml:space="preserve">iss-0279</t>
  </si>
  <si>
    <t xml:space="preserve">iss-0280</t>
  </si>
  <si>
    <t xml:space="preserve">iss-0281</t>
  </si>
  <si>
    <t xml:space="preserve">iss-0282</t>
  </si>
  <si>
    <t xml:space="preserve">iss-0283</t>
  </si>
  <si>
    <t xml:space="preserve">iss-0284</t>
  </si>
  <si>
    <t xml:space="preserve">iss-0285</t>
  </si>
  <si>
    <t xml:space="preserve">iss-0286</t>
  </si>
  <si>
    <t xml:space="preserve">iss-0287</t>
  </si>
  <si>
    <t xml:space="preserve">iss-0288</t>
  </si>
  <si>
    <t xml:space="preserve">iss-0289</t>
  </si>
  <si>
    <t xml:space="preserve">iss-0290</t>
  </si>
  <si>
    <t xml:space="preserve">iss-0291</t>
  </si>
  <si>
    <t xml:space="preserve">iss-0292</t>
  </si>
  <si>
    <t xml:space="preserve">iss-0293</t>
  </si>
  <si>
    <t xml:space="preserve">iss-0294</t>
  </si>
  <si>
    <t xml:space="preserve">iss-0295</t>
  </si>
  <si>
    <t xml:space="preserve">iss-0296</t>
  </si>
  <si>
    <t xml:space="preserve">iss-0297</t>
  </si>
  <si>
    <t xml:space="preserve">iss-0298</t>
  </si>
  <si>
    <t xml:space="preserve">iss-0299</t>
  </si>
  <si>
    <t xml:space="preserve">iss-0300</t>
  </si>
  <si>
    <t xml:space="preserve">iss-0301</t>
  </si>
  <si>
    <t xml:space="preserve">iss-0302</t>
  </si>
  <si>
    <t xml:space="preserve">iss-0303</t>
  </si>
  <si>
    <t xml:space="preserve">iss-0304</t>
  </si>
  <si>
    <t xml:space="preserve">iss-0305</t>
  </si>
  <si>
    <t xml:space="preserve">iss-0306</t>
  </si>
  <si>
    <t xml:space="preserve">iss-0307</t>
  </si>
  <si>
    <t xml:space="preserve">iss-0308</t>
  </si>
  <si>
    <t xml:space="preserve">iss-0309</t>
  </si>
  <si>
    <t xml:space="preserve">iss-0310</t>
  </si>
  <si>
    <t xml:space="preserve">iss-0311</t>
  </si>
  <si>
    <t xml:space="preserve">iss-0312</t>
  </si>
  <si>
    <t xml:space="preserve">iss-0313</t>
  </si>
  <si>
    <t xml:space="preserve">iss-0314</t>
  </si>
  <si>
    <t xml:space="preserve">iss-0315</t>
  </si>
  <si>
    <t xml:space="preserve">iss-0316</t>
  </si>
  <si>
    <t xml:space="preserve">iss-0317</t>
  </si>
  <si>
    <t xml:space="preserve">iss-0318</t>
  </si>
  <si>
    <t xml:space="preserve">iss-0319</t>
  </si>
  <si>
    <t xml:space="preserve">iss-0320</t>
  </si>
  <si>
    <t xml:space="preserve">iss-0321</t>
  </si>
  <si>
    <t xml:space="preserve">iss-0322</t>
  </si>
  <si>
    <t xml:space="preserve">iss-0323</t>
  </si>
  <si>
    <t xml:space="preserve">iss-0324</t>
  </si>
  <si>
    <t xml:space="preserve">iss-0325</t>
  </si>
  <si>
    <t xml:space="preserve">iss-0326</t>
  </si>
  <si>
    <t xml:space="preserve">iss-0327</t>
  </si>
  <si>
    <t xml:space="preserve">iss-0328</t>
  </si>
  <si>
    <t xml:space="preserve">iss-0329</t>
  </si>
  <si>
    <t xml:space="preserve">iss-0330</t>
  </si>
  <si>
    <t xml:space="preserve">iss-0331</t>
  </si>
  <si>
    <t xml:space="preserve">iss-0332</t>
  </si>
  <si>
    <t xml:space="preserve">iss-0333</t>
  </si>
  <si>
    <t xml:space="preserve">iss-0334</t>
  </si>
  <si>
    <t xml:space="preserve">iss-0335</t>
  </si>
  <si>
    <t xml:space="preserve">iss-0336</t>
  </si>
  <si>
    <t xml:space="preserve">iss-0337</t>
  </si>
  <si>
    <t xml:space="preserve">iss-0338</t>
  </si>
  <si>
    <t xml:space="preserve">iss-0339</t>
  </si>
  <si>
    <t xml:space="preserve">iss-0340</t>
  </si>
  <si>
    <t xml:space="preserve">iss-0341</t>
  </si>
  <si>
    <t xml:space="preserve">iss-0342</t>
  </si>
  <si>
    <t xml:space="preserve">iss-0343</t>
  </si>
  <si>
    <t xml:space="preserve">iss-0344</t>
  </si>
  <si>
    <t xml:space="preserve">iss-0345</t>
  </si>
  <si>
    <t xml:space="preserve">iss-0346</t>
  </si>
  <si>
    <t xml:space="preserve">iss-0347</t>
  </si>
  <si>
    <t xml:space="preserve">iss-0348</t>
  </si>
  <si>
    <t xml:space="preserve">iss-0349</t>
  </si>
  <si>
    <t xml:space="preserve">iss-0350</t>
  </si>
  <si>
    <t xml:space="preserve">iss-0351</t>
  </si>
  <si>
    <t xml:space="preserve">iss-0352</t>
  </si>
  <si>
    <t xml:space="preserve">iss-0353</t>
  </si>
  <si>
    <t xml:space="preserve">iss-0354</t>
  </si>
  <si>
    <t xml:space="preserve">iss-0355</t>
  </si>
  <si>
    <t xml:space="preserve">iss-0356</t>
  </si>
  <si>
    <t xml:space="preserve">iss-0357</t>
  </si>
  <si>
    <t xml:space="preserve">iss-0358</t>
  </si>
  <si>
    <t xml:space="preserve">iss-0359</t>
  </si>
  <si>
    <t xml:space="preserve">iss-0360</t>
  </si>
  <si>
    <t xml:space="preserve">iss-0361</t>
  </si>
  <si>
    <t xml:space="preserve">iss-0362</t>
  </si>
  <si>
    <t xml:space="preserve">iss-0363</t>
  </si>
  <si>
    <t xml:space="preserve">iss-0364</t>
  </si>
  <si>
    <t xml:space="preserve">iss-0365</t>
  </si>
  <si>
    <t xml:space="preserve">iss-0366</t>
  </si>
  <si>
    <t xml:space="preserve">iss-0367</t>
  </si>
  <si>
    <t xml:space="preserve">iss-0368</t>
  </si>
  <si>
    <t xml:space="preserve">iss-0369</t>
  </si>
  <si>
    <t xml:space="preserve">iss-0370</t>
  </si>
  <si>
    <t xml:space="preserve">iss-0371</t>
  </si>
  <si>
    <t xml:space="preserve">iss-0372</t>
  </si>
  <si>
    <t xml:space="preserve">iss-0373</t>
  </si>
  <si>
    <t xml:space="preserve">iss-0374</t>
  </si>
  <si>
    <t xml:space="preserve">iss-0375</t>
  </si>
  <si>
    <t xml:space="preserve">iss-0376</t>
  </si>
  <si>
    <t xml:space="preserve">iss-0377</t>
  </si>
  <si>
    <t xml:space="preserve">iss-0378</t>
  </si>
  <si>
    <t xml:space="preserve">iss-0379</t>
  </si>
  <si>
    <t xml:space="preserve">iss-0380</t>
  </si>
  <si>
    <t xml:space="preserve">iss-0381</t>
  </si>
  <si>
    <t xml:space="preserve">iss-0382</t>
  </si>
  <si>
    <t xml:space="preserve">iss-0383</t>
  </si>
  <si>
    <t xml:space="preserve">iss-0384</t>
  </si>
  <si>
    <t xml:space="preserve">iss-0385</t>
  </si>
  <si>
    <t xml:space="preserve">iss-0386</t>
  </si>
  <si>
    <t xml:space="preserve">iss-0387</t>
  </si>
  <si>
    <t xml:space="preserve">iss-0388</t>
  </si>
  <si>
    <t xml:space="preserve">iss-0389</t>
  </si>
  <si>
    <t xml:space="preserve">iss-0390</t>
  </si>
  <si>
    <t xml:space="preserve">iss-0391</t>
  </si>
  <si>
    <t xml:space="preserve">iss-0392</t>
  </si>
  <si>
    <t xml:space="preserve">iss-0393</t>
  </si>
  <si>
    <t xml:space="preserve">iss-0394</t>
  </si>
  <si>
    <t xml:space="preserve">iss-0395</t>
  </si>
  <si>
    <t xml:space="preserve">iss-0396</t>
  </si>
  <si>
    <t xml:space="preserve">iss-0397</t>
  </si>
  <si>
    <t xml:space="preserve">iss-0398</t>
  </si>
  <si>
    <t xml:space="preserve">iss-0399</t>
  </si>
  <si>
    <t xml:space="preserve">iss-0400</t>
  </si>
  <si>
    <t xml:space="preserve">iss-0401</t>
  </si>
  <si>
    <t xml:space="preserve">iss-0402</t>
  </si>
  <si>
    <t xml:space="preserve">iss-0403</t>
  </si>
  <si>
    <t xml:space="preserve">iss-0404</t>
  </si>
  <si>
    <t xml:space="preserve">iss-0405</t>
  </si>
  <si>
    <t xml:space="preserve">iss-0406</t>
  </si>
  <si>
    <t xml:space="preserve">iss-0407</t>
  </si>
  <si>
    <t xml:space="preserve">iss-0408</t>
  </si>
  <si>
    <t xml:space="preserve">iss-0409</t>
  </si>
  <si>
    <t xml:space="preserve">iss-0410</t>
  </si>
  <si>
    <t xml:space="preserve">iss-0411</t>
  </si>
  <si>
    <t xml:space="preserve">iss-0412</t>
  </si>
  <si>
    <t xml:space="preserve">iss-0413</t>
  </si>
  <si>
    <t xml:space="preserve">iss-0414</t>
  </si>
  <si>
    <t xml:space="preserve">iss-0415</t>
  </si>
  <si>
    <t xml:space="preserve">iss-0416</t>
  </si>
  <si>
    <t xml:space="preserve">iss-0417</t>
  </si>
  <si>
    <t xml:space="preserve">iss-0418</t>
  </si>
  <si>
    <t xml:space="preserve">iss-0419</t>
  </si>
  <si>
    <t xml:space="preserve">iss-0420</t>
  </si>
  <si>
    <t xml:space="preserve">iss-0421</t>
  </si>
  <si>
    <t xml:space="preserve">iss-0422</t>
  </si>
  <si>
    <t xml:space="preserve">iss-0423</t>
  </si>
  <si>
    <t xml:space="preserve">iss-0424</t>
  </si>
  <si>
    <t xml:space="preserve">iss-0425</t>
  </si>
  <si>
    <t xml:space="preserve">iss-0426</t>
  </si>
  <si>
    <t xml:space="preserve">iss-0427</t>
  </si>
  <si>
    <t xml:space="preserve">iss-0428</t>
  </si>
  <si>
    <t xml:space="preserve">iss-0429</t>
  </si>
  <si>
    <t xml:space="preserve">iss-0430</t>
  </si>
  <si>
    <t xml:space="preserve">iss-0431</t>
  </si>
  <si>
    <t xml:space="preserve">iss-0432</t>
  </si>
  <si>
    <t xml:space="preserve">iss-0433</t>
  </si>
  <si>
    <t xml:space="preserve">iss-0434</t>
  </si>
  <si>
    <t xml:space="preserve">iss-0435</t>
  </si>
  <si>
    <t xml:space="preserve">iss-0436</t>
  </si>
  <si>
    <t xml:space="preserve">iss-0437</t>
  </si>
  <si>
    <t xml:space="preserve">iss-0438</t>
  </si>
  <si>
    <t xml:space="preserve">iss-0439</t>
  </si>
  <si>
    <t xml:space="preserve">iss-0440</t>
  </si>
  <si>
    <t xml:space="preserve">iss-0441</t>
  </si>
  <si>
    <t xml:space="preserve">iss-0442</t>
  </si>
  <si>
    <t xml:space="preserve">iss-0443</t>
  </si>
  <si>
    <t xml:space="preserve">iss-0444</t>
  </si>
  <si>
    <t xml:space="preserve">iss-0445</t>
  </si>
  <si>
    <t xml:space="preserve">iss-0446</t>
  </si>
  <si>
    <t xml:space="preserve">iss-0447</t>
  </si>
  <si>
    <t xml:space="preserve">iss-0448</t>
  </si>
  <si>
    <t xml:space="preserve">iss-0449</t>
  </si>
  <si>
    <t xml:space="preserve">iss-0450</t>
  </si>
  <si>
    <t xml:space="preserve">iss-0451</t>
  </si>
  <si>
    <t xml:space="preserve">iss-0452</t>
  </si>
  <si>
    <t xml:space="preserve">iss-0453</t>
  </si>
  <si>
    <t xml:space="preserve">iss-0454</t>
  </si>
  <si>
    <t xml:space="preserve">iss-0455</t>
  </si>
  <si>
    <t xml:space="preserve">iss-0456</t>
  </si>
  <si>
    <t xml:space="preserve">iss-0457</t>
  </si>
  <si>
    <t xml:space="preserve">iss-0458</t>
  </si>
  <si>
    <t xml:space="preserve">iss-0459</t>
  </si>
  <si>
    <t xml:space="preserve">iss-0460</t>
  </si>
  <si>
    <t xml:space="preserve">iss-0461</t>
  </si>
  <si>
    <t xml:space="preserve">iss-0462</t>
  </si>
  <si>
    <t xml:space="preserve">iss-0463</t>
  </si>
  <si>
    <t xml:space="preserve">iss-0464</t>
  </si>
  <si>
    <t xml:space="preserve">iss-0465</t>
  </si>
  <si>
    <t xml:space="preserve">iss-0466</t>
  </si>
  <si>
    <t xml:space="preserve">iss-0467</t>
  </si>
  <si>
    <t xml:space="preserve">iss-0468</t>
  </si>
  <si>
    <t xml:space="preserve">iss-0469</t>
  </si>
  <si>
    <t xml:space="preserve">iss-0470</t>
  </si>
  <si>
    <t xml:space="preserve">iss-0471</t>
  </si>
  <si>
    <t xml:space="preserve">iss-0472</t>
  </si>
  <si>
    <t xml:space="preserve">iss-0473</t>
  </si>
  <si>
    <t xml:space="preserve">iss-0474</t>
  </si>
  <si>
    <t xml:space="preserve">iss-0475</t>
  </si>
  <si>
    <t xml:space="preserve">iss-0476</t>
  </si>
  <si>
    <t xml:space="preserve">iss-0477</t>
  </si>
  <si>
    <t xml:space="preserve">iss-0478</t>
  </si>
  <si>
    <t xml:space="preserve">iss-0479</t>
  </si>
  <si>
    <t xml:space="preserve">iss-0480</t>
  </si>
  <si>
    <t xml:space="preserve">iss-0481</t>
  </si>
  <si>
    <t xml:space="preserve">iss-0482</t>
  </si>
  <si>
    <t xml:space="preserve">iss-0483</t>
  </si>
  <si>
    <t xml:space="preserve">iss-0484</t>
  </si>
  <si>
    <t xml:space="preserve">iss-0485</t>
  </si>
  <si>
    <t xml:space="preserve">iss-0486</t>
  </si>
  <si>
    <t xml:space="preserve">iss-0487</t>
  </si>
  <si>
    <t xml:space="preserve">iss-0488</t>
  </si>
  <si>
    <t xml:space="preserve">iss-0489</t>
  </si>
  <si>
    <t xml:space="preserve">iss-0490</t>
  </si>
  <si>
    <t xml:space="preserve">iss-0491</t>
  </si>
  <si>
    <t xml:space="preserve">iss-0492</t>
  </si>
  <si>
    <t xml:space="preserve">iss-0493</t>
  </si>
  <si>
    <t xml:space="preserve">iss-0494</t>
  </si>
  <si>
    <t xml:space="preserve">iss-0495</t>
  </si>
  <si>
    <t xml:space="preserve">iss-0496</t>
  </si>
  <si>
    <t xml:space="preserve">iss-0497</t>
  </si>
  <si>
    <t xml:space="preserve">iss-0498</t>
  </si>
  <si>
    <t xml:space="preserve">iss-0499</t>
  </si>
  <si>
    <t xml:space="preserve">iss-0500</t>
  </si>
  <si>
    <t xml:space="preserve">iss-0501</t>
  </si>
  <si>
    <t xml:space="preserve">iss-0502</t>
  </si>
  <si>
    <t xml:space="preserve">iss-0503</t>
  </si>
  <si>
    <t xml:space="preserve">iss-0504</t>
  </si>
  <si>
    <t xml:space="preserve">iss-0505</t>
  </si>
  <si>
    <t xml:space="preserve">iss-0506</t>
  </si>
  <si>
    <t xml:space="preserve">iss-0507</t>
  </si>
  <si>
    <t xml:space="preserve">iss-0508</t>
  </si>
  <si>
    <t xml:space="preserve">iss-0509</t>
  </si>
  <si>
    <t xml:space="preserve">iss-0510</t>
  </si>
  <si>
    <t xml:space="preserve">iss-0511</t>
  </si>
  <si>
    <t xml:space="preserve">iss-0512</t>
  </si>
  <si>
    <t xml:space="preserve">iss-0513</t>
  </si>
  <si>
    <t xml:space="preserve">iss-0514</t>
  </si>
  <si>
    <t xml:space="preserve">iss-0515</t>
  </si>
  <si>
    <t xml:space="preserve">iss-0516</t>
  </si>
  <si>
    <t xml:space="preserve">iss-0517</t>
  </si>
  <si>
    <t xml:space="preserve">iss-0518</t>
  </si>
  <si>
    <t xml:space="preserve">iss-0519</t>
  </si>
  <si>
    <t xml:space="preserve">iss-0520</t>
  </si>
  <si>
    <t xml:space="preserve">iss-0521</t>
  </si>
  <si>
    <t xml:space="preserve">iss-0522</t>
  </si>
  <si>
    <t xml:space="preserve">iss-0523</t>
  </si>
  <si>
    <t xml:space="preserve">iss-0524</t>
  </si>
  <si>
    <t xml:space="preserve">iss-0525</t>
  </si>
  <si>
    <t xml:space="preserve">iss-0526</t>
  </si>
  <si>
    <t xml:space="preserve">iss-0527</t>
  </si>
  <si>
    <t xml:space="preserve">iss-0528</t>
  </si>
  <si>
    <t xml:space="preserve">iss-0529</t>
  </si>
  <si>
    <t xml:space="preserve">iss-0530</t>
  </si>
  <si>
    <t xml:space="preserve">iss-0531</t>
  </si>
  <si>
    <t xml:space="preserve">iss-0532</t>
  </si>
  <si>
    <t xml:space="preserve">iss-0533</t>
  </si>
  <si>
    <t xml:space="preserve">iss-0534</t>
  </si>
  <si>
    <t xml:space="preserve">iss-0535</t>
  </si>
  <si>
    <t xml:space="preserve">iss-0536</t>
  </si>
  <si>
    <t xml:space="preserve">iss-0537</t>
  </si>
  <si>
    <t xml:space="preserve">iss-0538</t>
  </si>
  <si>
    <t xml:space="preserve">iss-0539</t>
  </si>
  <si>
    <t xml:space="preserve">iss-0540</t>
  </si>
  <si>
    <t xml:space="preserve">iss-0541</t>
  </si>
  <si>
    <t xml:space="preserve">iss-0542</t>
  </si>
  <si>
    <t xml:space="preserve">iss-0543</t>
  </si>
  <si>
    <t xml:space="preserve">iss-0544</t>
  </si>
  <si>
    <t xml:space="preserve">iss-0545</t>
  </si>
  <si>
    <t xml:space="preserve">iss-0546</t>
  </si>
  <si>
    <t xml:space="preserve">iss-0547</t>
  </si>
  <si>
    <t xml:space="preserve">iss-0548</t>
  </si>
  <si>
    <t xml:space="preserve">iss-0549</t>
  </si>
  <si>
    <t xml:space="preserve">iss-0550</t>
  </si>
  <si>
    <t xml:space="preserve">iss-0551</t>
  </si>
  <si>
    <t xml:space="preserve">iss-0552</t>
  </si>
  <si>
    <t xml:space="preserve">iss-0553</t>
  </si>
  <si>
    <t xml:space="preserve">iss-0554</t>
  </si>
  <si>
    <t xml:space="preserve">iss-0555</t>
  </si>
  <si>
    <t xml:space="preserve">iss-0556</t>
  </si>
  <si>
    <t xml:space="preserve">iss-0557</t>
  </si>
  <si>
    <t xml:space="preserve">iss-0558</t>
  </si>
  <si>
    <t xml:space="preserve">iss-0559</t>
  </si>
  <si>
    <t xml:space="preserve">iss-0560</t>
  </si>
  <si>
    <t xml:space="preserve">iss-0561</t>
  </si>
  <si>
    <t xml:space="preserve">iss-0562</t>
  </si>
  <si>
    <t xml:space="preserve">iss-0563</t>
  </si>
  <si>
    <t xml:space="preserve">iss-0564</t>
  </si>
  <si>
    <t xml:space="preserve">iss-0565</t>
  </si>
  <si>
    <t xml:space="preserve">iss-0566</t>
  </si>
  <si>
    <t xml:space="preserve">iss-0567</t>
  </si>
  <si>
    <t xml:space="preserve">iss-0568</t>
  </si>
  <si>
    <t xml:space="preserve">iss-0569</t>
  </si>
  <si>
    <t xml:space="preserve">iss-0570</t>
  </si>
  <si>
    <t xml:space="preserve">iss-0571</t>
  </si>
  <si>
    <t xml:space="preserve">iss-0572</t>
  </si>
  <si>
    <t xml:space="preserve">iss-0573</t>
  </si>
  <si>
    <t xml:space="preserve">iss-0574</t>
  </si>
  <si>
    <t xml:space="preserve">Owners register (18; three inactive)</t>
  </si>
  <si>
    <t xml:space="preserve">accountable_at_as_of = the owner is active at the as-of (a deactivation after the as-of still counts as active).</t>
  </si>
  <si>
    <t xml:space="preserve">team</t>
  </si>
  <si>
    <t xml:space="preserve">active</t>
  </si>
  <si>
    <t xml:space="preserve">deactivated_at (serial)</t>
  </si>
  <si>
    <t xml:space="preserve">accountable_at_as_of</t>
  </si>
  <si>
    <t xml:space="preserve">own-01</t>
  </si>
  <si>
    <t xml:space="preserve">Data Governance</t>
  </si>
  <si>
    <t xml:space="preserve">Data Platform</t>
  </si>
  <si>
    <t xml:space="preserve">Customer Data</t>
  </si>
  <si>
    <t xml:space="preserve">Finance Systems</t>
  </si>
  <si>
    <t xml:space="preserve">Supply Chain</t>
  </si>
  <si>
    <t xml:space="preserve">Support Operations</t>
  </si>
  <si>
    <t xml:space="preserve">Datasets registered by the as-of (40)</t>
  </si>
  <si>
    <t xml:space="preserve">owner_covered = the owner is accountable at the as-of (Owners!E).</t>
  </si>
  <si>
    <t xml:space="preserve">monitored</t>
  </si>
  <si>
    <t xml:space="preserve">owner_covered</t>
  </si>
  <si>
    <t xml:space="preserve">160 lineage edges: declared 80, observed 70, inferred 10</t>
  </si>
  <si>
    <t xml:space="preserve">An observed edge has an observation instant and a declared one does not (D-08). pair_declared / pair_observed look the (source, target) pair up across the edges; an inferred edge is never observed.</t>
  </si>
  <si>
    <t xml:space="preserve">edge_id</t>
  </si>
  <si>
    <t xml:space="preserve">source_dataset_id</t>
  </si>
  <si>
    <t xml:space="preserve">target_dataset_id</t>
  </si>
  <si>
    <t xml:space="preserve">evidence_type</t>
  </si>
  <si>
    <t xml:space="preserve">observed_at</t>
  </si>
  <si>
    <t xml:space="preserve">pair</t>
  </si>
  <si>
    <t xml:space="preserve">pair_declared</t>
  </si>
  <si>
    <t xml:space="preserve">pair_observed</t>
  </si>
  <si>
    <t xml:space="preserve">counts_as_observed_match</t>
  </si>
  <si>
    <t xml:space="preserve">ed-001</t>
  </si>
  <si>
    <t xml:space="preserve">declared</t>
  </si>
  <si>
    <t xml:space="preserve">ed-002</t>
  </si>
  <si>
    <t xml:space="preserve">ed-003</t>
  </si>
  <si>
    <t xml:space="preserve">ed-004</t>
  </si>
  <si>
    <t xml:space="preserve">ed-005</t>
  </si>
  <si>
    <t xml:space="preserve">ed-006</t>
  </si>
  <si>
    <t xml:space="preserve">ed-007</t>
  </si>
  <si>
    <t xml:space="preserve">ed-008</t>
  </si>
  <si>
    <t xml:space="preserve">ed-009</t>
  </si>
  <si>
    <t xml:space="preserve">ed-010</t>
  </si>
  <si>
    <t xml:space="preserve">ed-011</t>
  </si>
  <si>
    <t xml:space="preserve">ed-012</t>
  </si>
  <si>
    <t xml:space="preserve">ed-013</t>
  </si>
  <si>
    <t xml:space="preserve">ed-014</t>
  </si>
  <si>
    <t xml:space="preserve">ed-015</t>
  </si>
  <si>
    <t xml:space="preserve">ed-016</t>
  </si>
  <si>
    <t xml:space="preserve">ed-017</t>
  </si>
  <si>
    <t xml:space="preserve">ed-018</t>
  </si>
  <si>
    <t xml:space="preserve">ed-019</t>
  </si>
  <si>
    <t xml:space="preserve">ed-020</t>
  </si>
  <si>
    <t xml:space="preserve">ed-021</t>
  </si>
  <si>
    <t xml:space="preserve">ed-022</t>
  </si>
  <si>
    <t xml:space="preserve">ed-023</t>
  </si>
  <si>
    <t xml:space="preserve">ed-024</t>
  </si>
  <si>
    <t xml:space="preserve">ed-025</t>
  </si>
  <si>
    <t xml:space="preserve">ed-026</t>
  </si>
  <si>
    <t xml:space="preserve">ed-027</t>
  </si>
  <si>
    <t xml:space="preserve">ed-028</t>
  </si>
  <si>
    <t xml:space="preserve">ed-029</t>
  </si>
  <si>
    <t xml:space="preserve">ed-030</t>
  </si>
  <si>
    <t xml:space="preserve">ed-031</t>
  </si>
  <si>
    <t xml:space="preserve">ed-032</t>
  </si>
  <si>
    <t xml:space="preserve">ed-033</t>
  </si>
  <si>
    <t xml:space="preserve">ed-034</t>
  </si>
  <si>
    <t xml:space="preserve">ed-035</t>
  </si>
  <si>
    <t xml:space="preserve">ed-036</t>
  </si>
  <si>
    <t xml:space="preserve">ed-037</t>
  </si>
  <si>
    <t xml:space="preserve">ed-038</t>
  </si>
  <si>
    <t xml:space="preserve">ed-039</t>
  </si>
  <si>
    <t xml:space="preserve">ed-040</t>
  </si>
  <si>
    <t xml:space="preserve">ed-041</t>
  </si>
  <si>
    <t xml:space="preserve">ed-042</t>
  </si>
  <si>
    <t xml:space="preserve">ed-043</t>
  </si>
  <si>
    <t xml:space="preserve">ed-044</t>
  </si>
  <si>
    <t xml:space="preserve">ed-045</t>
  </si>
  <si>
    <t xml:space="preserve">ed-046</t>
  </si>
  <si>
    <t xml:space="preserve">ed-047</t>
  </si>
  <si>
    <t xml:space="preserve">ed-048</t>
  </si>
  <si>
    <t xml:space="preserve">ed-049</t>
  </si>
  <si>
    <t xml:space="preserve">ed-050</t>
  </si>
  <si>
    <t xml:space="preserve">ed-051</t>
  </si>
  <si>
    <t xml:space="preserve">ed-052</t>
  </si>
  <si>
    <t xml:space="preserve">ed-053</t>
  </si>
  <si>
    <t xml:space="preserve">ed-054</t>
  </si>
  <si>
    <t xml:space="preserve">ed-055</t>
  </si>
  <si>
    <t xml:space="preserve">ed-056</t>
  </si>
  <si>
    <t xml:space="preserve">ed-057</t>
  </si>
  <si>
    <t xml:space="preserve">ed-058</t>
  </si>
  <si>
    <t xml:space="preserve">ed-059</t>
  </si>
  <si>
    <t xml:space="preserve">ed-060</t>
  </si>
  <si>
    <t xml:space="preserve">ed-061</t>
  </si>
  <si>
    <t xml:space="preserve">ed-062</t>
  </si>
  <si>
    <t xml:space="preserve">ed-063</t>
  </si>
  <si>
    <t xml:space="preserve">ed-064</t>
  </si>
  <si>
    <t xml:space="preserve">ed-065</t>
  </si>
  <si>
    <t xml:space="preserve">ed-066</t>
  </si>
  <si>
    <t xml:space="preserve">ed-067</t>
  </si>
  <si>
    <t xml:space="preserve">ed-068</t>
  </si>
  <si>
    <t xml:space="preserve">ed-069</t>
  </si>
  <si>
    <t xml:space="preserve">ed-070</t>
  </si>
  <si>
    <t xml:space="preserve">ed-071</t>
  </si>
  <si>
    <t xml:space="preserve">ed-072</t>
  </si>
  <si>
    <t xml:space="preserve">ed-073</t>
  </si>
  <si>
    <t xml:space="preserve">ed-074</t>
  </si>
  <si>
    <t xml:space="preserve">ed-075</t>
  </si>
  <si>
    <t xml:space="preserve">ed-076</t>
  </si>
  <si>
    <t xml:space="preserve">ed-077</t>
  </si>
  <si>
    <t xml:space="preserve">ed-078</t>
  </si>
  <si>
    <t xml:space="preserve">ed-079</t>
  </si>
  <si>
    <t xml:space="preserve">ed-080</t>
  </si>
  <si>
    <t xml:space="preserve">ei-001</t>
  </si>
  <si>
    <t xml:space="preserve">inferred</t>
  </si>
  <si>
    <t xml:space="preserve">ei-002</t>
  </si>
  <si>
    <t xml:space="preserve">ei-003</t>
  </si>
  <si>
    <t xml:space="preserve">ei-004</t>
  </si>
  <si>
    <t xml:space="preserve">ei-005</t>
  </si>
  <si>
    <t xml:space="preserve">ei-006</t>
  </si>
  <si>
    <t xml:space="preserve">ei-007</t>
  </si>
  <si>
    <t xml:space="preserve">ei-008</t>
  </si>
  <si>
    <t xml:space="preserve">ei-009</t>
  </si>
  <si>
    <t xml:space="preserve">ei-010</t>
  </si>
  <si>
    <t xml:space="preserve">eo-001</t>
  </si>
  <si>
    <t xml:space="preserve">observed</t>
  </si>
  <si>
    <t xml:space="preserve">eo-002</t>
  </si>
  <si>
    <t xml:space="preserve">eo-003</t>
  </si>
  <si>
    <t xml:space="preserve">eo-004</t>
  </si>
  <si>
    <t xml:space="preserve">eo-005</t>
  </si>
  <si>
    <t xml:space="preserve">eo-006</t>
  </si>
  <si>
    <t xml:space="preserve">eo-007</t>
  </si>
  <si>
    <t xml:space="preserve">eo-008</t>
  </si>
  <si>
    <t xml:space="preserve">eo-009</t>
  </si>
  <si>
    <t xml:space="preserve">eo-010</t>
  </si>
  <si>
    <t xml:space="preserve">eo-011</t>
  </si>
  <si>
    <t xml:space="preserve">eo-012</t>
  </si>
  <si>
    <t xml:space="preserve">eo-013</t>
  </si>
  <si>
    <t xml:space="preserve">eo-014</t>
  </si>
  <si>
    <t xml:space="preserve">eo-015</t>
  </si>
  <si>
    <t xml:space="preserve">eo-016</t>
  </si>
  <si>
    <t xml:space="preserve">eo-017</t>
  </si>
  <si>
    <t xml:space="preserve">eo-018</t>
  </si>
  <si>
    <t xml:space="preserve">eo-019</t>
  </si>
  <si>
    <t xml:space="preserve">eo-020</t>
  </si>
  <si>
    <t xml:space="preserve">eo-021</t>
  </si>
  <si>
    <t xml:space="preserve">eo-022</t>
  </si>
  <si>
    <t xml:space="preserve">eo-023</t>
  </si>
  <si>
    <t xml:space="preserve">eo-024</t>
  </si>
  <si>
    <t xml:space="preserve">eo-025</t>
  </si>
  <si>
    <t xml:space="preserve">eo-026</t>
  </si>
  <si>
    <t xml:space="preserve">eo-027</t>
  </si>
  <si>
    <t xml:space="preserve">eo-028</t>
  </si>
  <si>
    <t xml:space="preserve">eo-029</t>
  </si>
  <si>
    <t xml:space="preserve">eo-030</t>
  </si>
  <si>
    <t xml:space="preserve">eo-031</t>
  </si>
  <si>
    <t xml:space="preserve">eo-032</t>
  </si>
  <si>
    <t xml:space="preserve">eo-033</t>
  </si>
  <si>
    <t xml:space="preserve">eo-034</t>
  </si>
  <si>
    <t xml:space="preserve">eo-035</t>
  </si>
  <si>
    <t xml:space="preserve">eo-036</t>
  </si>
  <si>
    <t xml:space="preserve">eo-037</t>
  </si>
  <si>
    <t xml:space="preserve">eo-038</t>
  </si>
  <si>
    <t xml:space="preserve">eo-039</t>
  </si>
  <si>
    <t xml:space="preserve">eo-040</t>
  </si>
  <si>
    <t xml:space="preserve">eo-041</t>
  </si>
  <si>
    <t xml:space="preserve">eo-042</t>
  </si>
  <si>
    <t xml:space="preserve">eo-043</t>
  </si>
  <si>
    <t xml:space="preserve">eo-044</t>
  </si>
  <si>
    <t xml:space="preserve">eo-045</t>
  </si>
  <si>
    <t xml:space="preserve">eo-046</t>
  </si>
  <si>
    <t xml:space="preserve">eo-047</t>
  </si>
  <si>
    <t xml:space="preserve">eo-048</t>
  </si>
  <si>
    <t xml:space="preserve">eo-049</t>
  </si>
  <si>
    <t xml:space="preserve">eo-050</t>
  </si>
  <si>
    <t xml:space="preserve">eo-051</t>
  </si>
  <si>
    <t xml:space="preserve">eo-052</t>
  </si>
  <si>
    <t xml:space="preserve">eo-053</t>
  </si>
  <si>
    <t xml:space="preserve">eo-054</t>
  </si>
  <si>
    <t xml:space="preserve">eo-055</t>
  </si>
  <si>
    <t xml:space="preserve">eo-056</t>
  </si>
  <si>
    <t xml:space="preserve">eo-057</t>
  </si>
  <si>
    <t xml:space="preserve">eo-058</t>
  </si>
  <si>
    <t xml:space="preserve">eo-059</t>
  </si>
  <si>
    <t xml:space="preserve">eo-060</t>
  </si>
  <si>
    <t xml:space="preserve">eo-061</t>
  </si>
  <si>
    <t xml:space="preserve">eo-062</t>
  </si>
  <si>
    <t xml:space="preserve">eo-063</t>
  </si>
  <si>
    <t xml:space="preserve">eo-064</t>
  </si>
  <si>
    <t xml:space="preserve">eo-065</t>
  </si>
  <si>
    <t xml:space="preserve">eo-066</t>
  </si>
  <si>
    <t xml:space="preserve">eo-067</t>
  </si>
  <si>
    <t xml:space="preserve">eo-068</t>
  </si>
  <si>
    <t xml:space="preserve">eo-069</t>
  </si>
  <si>
    <t xml:space="preserve">eo-070</t>
  </si>
  <si>
    <t xml:space="preserve">The effective published version of each of the 30 metrics at the as-of, and the checklist cl-1</t>
  </si>
  <si>
    <t xml:space="preserve">Complete when definition, grain and refresh are non-blank, the source-field list is non-empty with no blank entry and the owner exists in the register. The texts are TYPED; the checks are formulas.</t>
  </si>
  <si>
    <t xml:space="preserve">metric_id</t>
  </si>
  <si>
    <t xml:space="preserve">version</t>
  </si>
  <si>
    <t xml:space="preserve">definition</t>
  </si>
  <si>
    <t xml:space="preserve">grain</t>
  </si>
  <si>
    <t xml:space="preserve">refresh</t>
  </si>
  <si>
    <t xml:space="preserve">source_fields</t>
  </si>
  <si>
    <t xml:space="preserve">blank_source_field</t>
  </si>
  <si>
    <t xml:space="preserve">has_definition</t>
  </si>
  <si>
    <t xml:space="preserve">has_grain</t>
  </si>
  <si>
    <t xml:space="preserve">has_refresh</t>
  </si>
  <si>
    <t xml:space="preserve">has_source_fields</t>
  </si>
  <si>
    <t xml:space="preserve">has_owner</t>
  </si>
  <si>
    <t xml:space="preserve">complete</t>
  </si>
  <si>
    <t xml:space="preserve">m-active-customers</t>
  </si>
  <si>
    <t xml:space="preserve">Active customers as defined in the governance glossary, computed from delivery-events.shipment_key, accounts.status, customers.email</t>
  </si>
  <si>
    <t xml:space="preserve">shipment</t>
  </si>
  <si>
    <t xml:space="preserve">daily</t>
  </si>
  <si>
    <t xml:space="preserve">m-average-order-value</t>
  </si>
  <si>
    <t xml:space="preserve">Average order value as defined in the governance glossary, computed from consent-records.consent_key, customers.customer_key, warehouses.warehouse_code</t>
  </si>
  <si>
    <t xml:space="preserve">monthly</t>
  </si>
  <si>
    <t xml:space="preserve">m-consent-coverage</t>
  </si>
  <si>
    <t xml:space="preserve">Consent coverage as defined in the governance glossary, computed from web-sessions.status, warehouses.status; revised: source moved to the curated layer</t>
  </si>
  <si>
    <t xml:space="preserve">m-csat-score</t>
  </si>
  <si>
    <t xml:space="preserve">CSAT score as defined in the governance glossary, computed from delivery-events.shipment_key, order-lines.status, payments.paid_at; revised: refunds are netted from the figure</t>
  </si>
  <si>
    <t xml:space="preserve">customer</t>
  </si>
  <si>
    <t xml:space="preserve">weekly</t>
  </si>
  <si>
    <t xml:space="preserve">m-customer-churn-rate</t>
  </si>
  <si>
    <t xml:space="preserve">Customer churn rate as defined in the governance glossary, computed from subscriptions.subscription_key, payments.amount, inventory.inventory_key; revised: excludes internal test accounts</t>
  </si>
  <si>
    <t xml:space="preserve">ticket</t>
  </si>
  <si>
    <t xml:space="preserve">m-customer-lifetime-value</t>
  </si>
  <si>
    <t xml:space="preserve">   </t>
  </si>
  <si>
    <t xml:space="preserve">m-days-sales-outstanding</t>
  </si>
  <si>
    <t xml:space="preserve">Days sales outstanding as defined in the governance glossary, computed from opportunities.stage</t>
  </si>
  <si>
    <t xml:space="preserve">order</t>
  </si>
  <si>
    <t xml:space="preserve">m-gross-margin</t>
  </si>
  <si>
    <t xml:space="preserve">Gross margin as defined in the governance glossary, computed from suppliers.supplier_name, order-lines.order_key; revised: excludes internal test accounts</t>
  </si>
  <si>
    <t xml:space="preserve">m-inventory-turnover</t>
  </si>
  <si>
    <t xml:space="preserve">Inventory turnover as defined in the governance glossary, computed from carriers.carrier_code, accounts.tier, ledger-entries.currency</t>
  </si>
  <si>
    <t xml:space="preserve">m-invoice-accuracy-rate</t>
  </si>
  <si>
    <t xml:space="preserve">Invoice accuracy rate as defined in the governance glossary, computed from ticket-events.ticket_key, inventory.warehouse_code</t>
  </si>
  <si>
    <t xml:space="preserve">m-lead-conversion-rate</t>
  </si>
  <si>
    <t xml:space="preserve">Lead conversion rate as defined in the governance glossary, computed from web-sessions.user_key, employees.status, csat-surveys.score</t>
  </si>
  <si>
    <t xml:space="preserve">day</t>
  </si>
  <si>
    <t xml:space="preserve">m-net-promoter-score</t>
  </si>
  <si>
    <t xml:space="preserve">Net promoter score as defined in the governance glossary, computed from web-sessions.user_key, subscriptions.started_on</t>
  </si>
  <si>
    <t xml:space="preserve">customer-month</t>
  </si>
  <si>
    <t xml:space="preserve">m-net-revenue</t>
  </si>
  <si>
    <t xml:space="preserve">Net revenue as defined in the governance glossary, computed from opportunities.status, web-users.email, ticket-events.status; revised: refunds are netted from the figure</t>
  </si>
  <si>
    <t xml:space="preserve">m-new-customers</t>
  </si>
  <si>
    <t xml:space="preserve">New customers as defined in the governance glossary, computed from purchase-orders.supplier_key; revised: window aligned to the fiscal calendar</t>
  </si>
  <si>
    <t xml:space="preserve">m-on-time-delivery-rate</t>
  </si>
  <si>
    <t xml:space="preserve">On-time delivery rate as defined in the governance glossary, computed from consent-records.user_key, returns.status</t>
  </si>
  <si>
    <t xml:space="preserve">m-opportunity-win-rate</t>
  </si>
  <si>
    <t xml:space="preserve">Opportunity win rate as defined in the governance glossary, computed from refunds.status</t>
  </si>
  <si>
    <t xml:space="preserve">m-order-fill-rate</t>
  </si>
  <si>
    <t xml:space="preserve">Order fill rate as defined in the governance glossary, computed from delivery-events.status, contacts.full_name; revised: source moved to the curated layer</t>
  </si>
  <si>
    <t xml:space="preserve">m-pipeline-coverage</t>
  </si>
  <si>
    <t xml:space="preserve">Pipeline coverage as defined in the governance glossary, computed from subscriptions.plan_code, tickets.opened_at</t>
  </si>
  <si>
    <t xml:space="preserve">m-purchase-price-variance</t>
  </si>
  <si>
    <t xml:space="preserve">Purchase price variance as defined in the governance glossary, computed from ledger-entries.cost_centre_code, warehouses.status, payments.invoice_key</t>
  </si>
  <si>
    <t xml:space="preserve">m-refund-rate</t>
  </si>
  <si>
    <t xml:space="preserve">Refund rate as defined in the governance glossary, computed from consent-records.status, cost-centres.created_date</t>
  </si>
  <si>
    <t xml:space="preserve">m-repeat-purchase-rate</t>
  </si>
  <si>
    <t xml:space="preserve">Repeat purchase rate as defined in the governance glossary, computed from consent-records.consent_key; revised: refunds are netted from the figure</t>
  </si>
  <si>
    <t xml:space="preserve">m-session-conversion-rate</t>
  </si>
  <si>
    <t xml:space="preserve">Session conversion rate as defined in the governance glossary, computed from payments.invoice_key; revised: excludes internal test accounts</t>
  </si>
  <si>
    <t xml:space="preserve">m-stock-out-rate</t>
  </si>
  <si>
    <t xml:space="preserve">Stock-out rate as defined in the governance glossary, computed from shipments.shipment_key</t>
  </si>
  <si>
    <t xml:space="preserve">m-subscription-churn</t>
  </si>
  <si>
    <t xml:space="preserve">Subscription churn as defined in the governance glossary, computed from delivery-events.status, opportunities.stage; revised: excludes internal test accounts</t>
  </si>
  <si>
    <t xml:space="preserve">m-subscription-mrr</t>
  </si>
  <si>
    <t xml:space="preserve">Subscription MRR as defined in the governance glossary, computed from delivery-events.occurred_at; revised: grain changed from order to customer-month</t>
  </si>
  <si>
    <t xml:space="preserve">m-supplier-lead-time</t>
  </si>
  <si>
    <t xml:space="preserve">Supplier lead time as defined in the governance glossary, computed from orders.order_date, ticket-events.ticket_key; revised: source moved to the curated layer</t>
  </si>
  <si>
    <t xml:space="preserve">m-support-backlog</t>
  </si>
  <si>
    <t xml:space="preserve">Support backlog as defined in the governance glossary, computed from inventory.warehouse_code, shipments.shipped_on, opportunities.opportunity_key; revised: refunds are netted from the figure</t>
  </si>
  <si>
    <t xml:space="preserve">m-ticket-first-response-time</t>
  </si>
  <si>
    <t xml:space="preserve">Ticket first-response time as defined in the governance glossary, computed from employees.department_code; revised: window aligned to the fiscal calendar</t>
  </si>
  <si>
    <t xml:space="preserve">m-ticket-resolution-time</t>
  </si>
  <si>
    <t xml:space="preserve">Ticket resolution time as defined in the governance glossary, computed from consent-records.consent_flag, invoices.invoice_key, purchase-orders.status</t>
  </si>
  <si>
    <t xml:space="preserve">m-trial-conversion-rate</t>
  </si>
  <si>
    <t xml:space="preserve">Trial conversion rate as defined in the governance glossary, computed from inventory.status</t>
  </si>
  <si>
    <t xml:space="preserve">400 match candidates: the human decision and the verification layer's truth flag</t>
  </si>
  <si>
    <t xml:space="preserve">truth_same_entity comes from the synthetic truth held only in the manifest (verification layer): TYPED here for the precision formulas, never used to propose or decide.</t>
  </si>
  <si>
    <t xml:space="preserve">candidate_id</t>
  </si>
  <si>
    <t xml:space="preserve">decision</t>
  </si>
  <si>
    <t xml:space="preserve">reversed</t>
  </si>
  <si>
    <t xml:space="preserve">flagged_possible_household</t>
  </si>
  <si>
    <t xml:space="preserve">truth_same_entity</t>
  </si>
  <si>
    <t xml:space="preserve">decision_agrees_with_truth</t>
  </si>
  <si>
    <t xml:space="preserve">cand-0001</t>
  </si>
  <si>
    <t xml:space="preserve">approve</t>
  </si>
  <si>
    <t xml:space="preserve">cand-0002</t>
  </si>
  <si>
    <t xml:space="preserve">cand-0003</t>
  </si>
  <si>
    <t xml:space="preserve">cand-0004</t>
  </si>
  <si>
    <t xml:space="preserve">cand-0005</t>
  </si>
  <si>
    <t xml:space="preserve">none</t>
  </si>
  <si>
    <t xml:space="preserve">cand-0006</t>
  </si>
  <si>
    <t xml:space="preserve">cand-0007</t>
  </si>
  <si>
    <t xml:space="preserve">cand-0008</t>
  </si>
  <si>
    <t xml:space="preserve">cand-0009</t>
  </si>
  <si>
    <t xml:space="preserve">cand-0010</t>
  </si>
  <si>
    <t xml:space="preserve">cand-0011</t>
  </si>
  <si>
    <t xml:space="preserve">cand-0012</t>
  </si>
  <si>
    <t xml:space="preserve">cand-0013</t>
  </si>
  <si>
    <t xml:space="preserve">reject</t>
  </si>
  <si>
    <t xml:space="preserve">cand-0014</t>
  </si>
  <si>
    <t xml:space="preserve">cand-0015</t>
  </si>
  <si>
    <t xml:space="preserve">cand-0016</t>
  </si>
  <si>
    <t xml:space="preserve">cand-0017</t>
  </si>
  <si>
    <t xml:space="preserve">cand-0018</t>
  </si>
  <si>
    <t xml:space="preserve">cand-0019</t>
  </si>
  <si>
    <t xml:space="preserve">cand-0020</t>
  </si>
  <si>
    <t xml:space="preserve">cand-0021</t>
  </si>
  <si>
    <t xml:space="preserve">cand-0022</t>
  </si>
  <si>
    <t xml:space="preserve">cand-0023</t>
  </si>
  <si>
    <t xml:space="preserve">cand-0024</t>
  </si>
  <si>
    <t xml:space="preserve">cand-0025</t>
  </si>
  <si>
    <t xml:space="preserve">cand-0026</t>
  </si>
  <si>
    <t xml:space="preserve">cand-0027</t>
  </si>
  <si>
    <t xml:space="preserve">cand-0028</t>
  </si>
  <si>
    <t xml:space="preserve">cand-0029</t>
  </si>
  <si>
    <t xml:space="preserve">cand-0030</t>
  </si>
  <si>
    <t xml:space="preserve">cand-0031</t>
  </si>
  <si>
    <t xml:space="preserve">cand-0032</t>
  </si>
  <si>
    <t xml:space="preserve">cand-0033</t>
  </si>
  <si>
    <t xml:space="preserve">cand-0034</t>
  </si>
  <si>
    <t xml:space="preserve">cand-0035</t>
  </si>
  <si>
    <t xml:space="preserve">cand-0036</t>
  </si>
  <si>
    <t xml:space="preserve">cand-0037</t>
  </si>
  <si>
    <t xml:space="preserve">cand-0038</t>
  </si>
  <si>
    <t xml:space="preserve">cand-0039</t>
  </si>
  <si>
    <t xml:space="preserve">cand-0040</t>
  </si>
  <si>
    <t xml:space="preserve">cand-0041</t>
  </si>
  <si>
    <t xml:space="preserve">cand-0042</t>
  </si>
  <si>
    <t xml:space="preserve">cand-0043</t>
  </si>
  <si>
    <t xml:space="preserve">cand-0044</t>
  </si>
  <si>
    <t xml:space="preserve">cand-0045</t>
  </si>
  <si>
    <t xml:space="preserve">cand-0046</t>
  </si>
  <si>
    <t xml:space="preserve">cand-0047</t>
  </si>
  <si>
    <t xml:space="preserve">cand-0048</t>
  </si>
  <si>
    <t xml:space="preserve">cand-0049</t>
  </si>
  <si>
    <t xml:space="preserve">cand-0050</t>
  </si>
  <si>
    <t xml:space="preserve">cand-0051</t>
  </si>
  <si>
    <t xml:space="preserve">cand-0052</t>
  </si>
  <si>
    <t xml:space="preserve">cand-0053</t>
  </si>
  <si>
    <t xml:space="preserve">cand-0054</t>
  </si>
  <si>
    <t xml:space="preserve">cand-0055</t>
  </si>
  <si>
    <t xml:space="preserve">cand-0056</t>
  </si>
  <si>
    <t xml:space="preserve">cand-0057</t>
  </si>
  <si>
    <t xml:space="preserve">cand-0058</t>
  </si>
  <si>
    <t xml:space="preserve">cand-0059</t>
  </si>
  <si>
    <t xml:space="preserve">cand-0060</t>
  </si>
  <si>
    <t xml:space="preserve">cand-0061</t>
  </si>
  <si>
    <t xml:space="preserve">cand-0062</t>
  </si>
  <si>
    <t xml:space="preserve">cand-0063</t>
  </si>
  <si>
    <t xml:space="preserve">cand-0064</t>
  </si>
  <si>
    <t xml:space="preserve">cand-0065</t>
  </si>
  <si>
    <t xml:space="preserve">cand-0066</t>
  </si>
  <si>
    <t xml:space="preserve">cand-0067</t>
  </si>
  <si>
    <t xml:space="preserve">cand-0068</t>
  </si>
  <si>
    <t xml:space="preserve">cand-0069</t>
  </si>
  <si>
    <t xml:space="preserve">cand-0070</t>
  </si>
  <si>
    <t xml:space="preserve">cand-0071</t>
  </si>
  <si>
    <t xml:space="preserve">cand-0072</t>
  </si>
  <si>
    <t xml:space="preserve">cand-0073</t>
  </si>
  <si>
    <t xml:space="preserve">cand-0074</t>
  </si>
  <si>
    <t xml:space="preserve">cand-0075</t>
  </si>
  <si>
    <t xml:space="preserve">cand-0076</t>
  </si>
  <si>
    <t xml:space="preserve">cand-0077</t>
  </si>
  <si>
    <t xml:space="preserve">cand-0078</t>
  </si>
  <si>
    <t xml:space="preserve">cand-0079</t>
  </si>
  <si>
    <t xml:space="preserve">cand-0080</t>
  </si>
  <si>
    <t xml:space="preserve">cand-0081</t>
  </si>
  <si>
    <t xml:space="preserve">cand-0082</t>
  </si>
  <si>
    <t xml:space="preserve">cand-0083</t>
  </si>
  <si>
    <t xml:space="preserve">cand-0084</t>
  </si>
  <si>
    <t xml:space="preserve">cand-0085</t>
  </si>
  <si>
    <t xml:space="preserve">cand-0086</t>
  </si>
  <si>
    <t xml:space="preserve">cand-0087</t>
  </si>
  <si>
    <t xml:space="preserve">cand-0088</t>
  </si>
  <si>
    <t xml:space="preserve">cand-0089</t>
  </si>
  <si>
    <t xml:space="preserve">cand-0090</t>
  </si>
  <si>
    <t xml:space="preserve">cand-0091</t>
  </si>
  <si>
    <t xml:space="preserve">cand-0092</t>
  </si>
  <si>
    <t xml:space="preserve">cand-0093</t>
  </si>
  <si>
    <t xml:space="preserve">cand-0094</t>
  </si>
  <si>
    <t xml:space="preserve">cand-0095</t>
  </si>
  <si>
    <t xml:space="preserve">cand-0096</t>
  </si>
  <si>
    <t xml:space="preserve">cand-0097</t>
  </si>
  <si>
    <t xml:space="preserve">cand-0098</t>
  </si>
  <si>
    <t xml:space="preserve">cand-0099</t>
  </si>
  <si>
    <t xml:space="preserve">cand-0100</t>
  </si>
  <si>
    <t xml:space="preserve">cand-0101</t>
  </si>
  <si>
    <t xml:space="preserve">cand-0102</t>
  </si>
  <si>
    <t xml:space="preserve">cand-0103</t>
  </si>
  <si>
    <t xml:space="preserve">cand-0104</t>
  </si>
  <si>
    <t xml:space="preserve">cand-0105</t>
  </si>
  <si>
    <t xml:space="preserve">cand-0106</t>
  </si>
  <si>
    <t xml:space="preserve">cand-0107</t>
  </si>
  <si>
    <t xml:space="preserve">cand-0108</t>
  </si>
  <si>
    <t xml:space="preserve">cand-0109</t>
  </si>
  <si>
    <t xml:space="preserve">cand-0110</t>
  </si>
  <si>
    <t xml:space="preserve">cand-0111</t>
  </si>
  <si>
    <t xml:space="preserve">cand-0112</t>
  </si>
  <si>
    <t xml:space="preserve">cand-0113</t>
  </si>
  <si>
    <t xml:space="preserve">cand-0114</t>
  </si>
  <si>
    <t xml:space="preserve">cand-0115</t>
  </si>
  <si>
    <t xml:space="preserve">cand-0116</t>
  </si>
  <si>
    <t xml:space="preserve">cand-0117</t>
  </si>
  <si>
    <t xml:space="preserve">cand-0118</t>
  </si>
  <si>
    <t xml:space="preserve">cand-0119</t>
  </si>
  <si>
    <t xml:space="preserve">cand-0120</t>
  </si>
  <si>
    <t xml:space="preserve">cand-0121</t>
  </si>
  <si>
    <t xml:space="preserve">cand-0122</t>
  </si>
  <si>
    <t xml:space="preserve">cand-0123</t>
  </si>
  <si>
    <t xml:space="preserve">cand-0124</t>
  </si>
  <si>
    <t xml:space="preserve">cand-0125</t>
  </si>
  <si>
    <t xml:space="preserve">cand-0126</t>
  </si>
  <si>
    <t xml:space="preserve">cand-0127</t>
  </si>
  <si>
    <t xml:space="preserve">cand-0128</t>
  </si>
  <si>
    <t xml:space="preserve">cand-0129</t>
  </si>
  <si>
    <t xml:space="preserve">cand-0130</t>
  </si>
  <si>
    <t xml:space="preserve">cand-0131</t>
  </si>
  <si>
    <t xml:space="preserve">cand-0132</t>
  </si>
  <si>
    <t xml:space="preserve">cand-0133</t>
  </si>
  <si>
    <t xml:space="preserve">cand-0134</t>
  </si>
  <si>
    <t xml:space="preserve">cand-0135</t>
  </si>
  <si>
    <t xml:space="preserve">cand-0136</t>
  </si>
  <si>
    <t xml:space="preserve">cand-0137</t>
  </si>
  <si>
    <t xml:space="preserve">cand-0138</t>
  </si>
  <si>
    <t xml:space="preserve">cand-0139</t>
  </si>
  <si>
    <t xml:space="preserve">cand-0140</t>
  </si>
  <si>
    <t xml:space="preserve">cand-0141</t>
  </si>
  <si>
    <t xml:space="preserve">cand-0142</t>
  </si>
  <si>
    <t xml:space="preserve">cand-0143</t>
  </si>
  <si>
    <t xml:space="preserve">cand-0144</t>
  </si>
  <si>
    <t xml:space="preserve">cand-0145</t>
  </si>
  <si>
    <t xml:space="preserve">cand-0146</t>
  </si>
  <si>
    <t xml:space="preserve">cand-0147</t>
  </si>
  <si>
    <t xml:space="preserve">cand-0148</t>
  </si>
  <si>
    <t xml:space="preserve">cand-0149</t>
  </si>
  <si>
    <t xml:space="preserve">cand-0150</t>
  </si>
  <si>
    <t xml:space="preserve">cand-0151</t>
  </si>
  <si>
    <t xml:space="preserve">cand-0152</t>
  </si>
  <si>
    <t xml:space="preserve">cand-0153</t>
  </si>
  <si>
    <t xml:space="preserve">cand-0154</t>
  </si>
  <si>
    <t xml:space="preserve">cand-0155</t>
  </si>
  <si>
    <t xml:space="preserve">cand-0156</t>
  </si>
  <si>
    <t xml:space="preserve">cand-0157</t>
  </si>
  <si>
    <t xml:space="preserve">cand-0158</t>
  </si>
  <si>
    <t xml:space="preserve">cand-0159</t>
  </si>
  <si>
    <t xml:space="preserve">cand-0160</t>
  </si>
  <si>
    <t xml:space="preserve">cand-0161</t>
  </si>
  <si>
    <t xml:space="preserve">cand-0162</t>
  </si>
  <si>
    <t xml:space="preserve">cand-0163</t>
  </si>
  <si>
    <t xml:space="preserve">cand-0164</t>
  </si>
  <si>
    <t xml:space="preserve">cand-0165</t>
  </si>
  <si>
    <t xml:space="preserve">cand-0166</t>
  </si>
  <si>
    <t xml:space="preserve">cand-0167</t>
  </si>
  <si>
    <t xml:space="preserve">cand-0168</t>
  </si>
  <si>
    <t xml:space="preserve">cand-0169</t>
  </si>
  <si>
    <t xml:space="preserve">cand-0170</t>
  </si>
  <si>
    <t xml:space="preserve">cand-0171</t>
  </si>
  <si>
    <t xml:space="preserve">cand-0172</t>
  </si>
  <si>
    <t xml:space="preserve">cand-0173</t>
  </si>
  <si>
    <t xml:space="preserve">cand-0174</t>
  </si>
  <si>
    <t xml:space="preserve">cand-0175</t>
  </si>
  <si>
    <t xml:space="preserve">cand-0176</t>
  </si>
  <si>
    <t xml:space="preserve">cand-0177</t>
  </si>
  <si>
    <t xml:space="preserve">cand-0178</t>
  </si>
  <si>
    <t xml:space="preserve">cand-0179</t>
  </si>
  <si>
    <t xml:space="preserve">cand-0180</t>
  </si>
  <si>
    <t xml:space="preserve">cand-0181</t>
  </si>
  <si>
    <t xml:space="preserve">cand-0182</t>
  </si>
  <si>
    <t xml:space="preserve">cand-0183</t>
  </si>
  <si>
    <t xml:space="preserve">cand-0184</t>
  </si>
  <si>
    <t xml:space="preserve">cand-0185</t>
  </si>
  <si>
    <t xml:space="preserve">cand-0186</t>
  </si>
  <si>
    <t xml:space="preserve">cand-0187</t>
  </si>
  <si>
    <t xml:space="preserve">cand-0188</t>
  </si>
  <si>
    <t xml:space="preserve">cand-0189</t>
  </si>
  <si>
    <t xml:space="preserve">cand-0190</t>
  </si>
  <si>
    <t xml:space="preserve">cand-0191</t>
  </si>
  <si>
    <t xml:space="preserve">cand-0192</t>
  </si>
  <si>
    <t xml:space="preserve">cand-0193</t>
  </si>
  <si>
    <t xml:space="preserve">cand-0194</t>
  </si>
  <si>
    <t xml:space="preserve">cand-0195</t>
  </si>
  <si>
    <t xml:space="preserve">cand-0196</t>
  </si>
  <si>
    <t xml:space="preserve">cand-0197</t>
  </si>
  <si>
    <t xml:space="preserve">cand-0198</t>
  </si>
  <si>
    <t xml:space="preserve">cand-0199</t>
  </si>
  <si>
    <t xml:space="preserve">cand-0200</t>
  </si>
  <si>
    <t xml:space="preserve">cand-0201</t>
  </si>
  <si>
    <t xml:space="preserve">cand-0202</t>
  </si>
  <si>
    <t xml:space="preserve">cand-0203</t>
  </si>
  <si>
    <t xml:space="preserve">cand-0204</t>
  </si>
  <si>
    <t xml:space="preserve">cand-0205</t>
  </si>
  <si>
    <t xml:space="preserve">cand-0206</t>
  </si>
  <si>
    <t xml:space="preserve">cand-0207</t>
  </si>
  <si>
    <t xml:space="preserve">cand-0208</t>
  </si>
  <si>
    <t xml:space="preserve">cand-0209</t>
  </si>
  <si>
    <t xml:space="preserve">cand-0210</t>
  </si>
  <si>
    <t xml:space="preserve">cand-0211</t>
  </si>
  <si>
    <t xml:space="preserve">cand-0212</t>
  </si>
  <si>
    <t xml:space="preserve">cand-0213</t>
  </si>
  <si>
    <t xml:space="preserve">cand-0214</t>
  </si>
  <si>
    <t xml:space="preserve">cand-0215</t>
  </si>
  <si>
    <t xml:space="preserve">cand-0216</t>
  </si>
  <si>
    <t xml:space="preserve">cand-0217</t>
  </si>
  <si>
    <t xml:space="preserve">cand-0218</t>
  </si>
  <si>
    <t xml:space="preserve">cand-0219</t>
  </si>
  <si>
    <t xml:space="preserve">cand-0220</t>
  </si>
  <si>
    <t xml:space="preserve">cand-0221</t>
  </si>
  <si>
    <t xml:space="preserve">cand-0222</t>
  </si>
  <si>
    <t xml:space="preserve">cand-0223</t>
  </si>
  <si>
    <t xml:space="preserve">cand-0224</t>
  </si>
  <si>
    <t xml:space="preserve">cand-0225</t>
  </si>
  <si>
    <t xml:space="preserve">cand-0226</t>
  </si>
  <si>
    <t xml:space="preserve">cand-0227</t>
  </si>
  <si>
    <t xml:space="preserve">cand-0228</t>
  </si>
  <si>
    <t xml:space="preserve">cand-0229</t>
  </si>
  <si>
    <t xml:space="preserve">cand-0230</t>
  </si>
  <si>
    <t xml:space="preserve">cand-0231</t>
  </si>
  <si>
    <t xml:space="preserve">cand-0232</t>
  </si>
  <si>
    <t xml:space="preserve">cand-0233</t>
  </si>
  <si>
    <t xml:space="preserve">cand-0234</t>
  </si>
  <si>
    <t xml:space="preserve">cand-0235</t>
  </si>
  <si>
    <t xml:space="preserve">cand-0236</t>
  </si>
  <si>
    <t xml:space="preserve">cand-0237</t>
  </si>
  <si>
    <t xml:space="preserve">cand-0238</t>
  </si>
  <si>
    <t xml:space="preserve">cand-0239</t>
  </si>
  <si>
    <t xml:space="preserve">cand-0240</t>
  </si>
  <si>
    <t xml:space="preserve">cand-0241</t>
  </si>
  <si>
    <t xml:space="preserve">cand-0242</t>
  </si>
  <si>
    <t xml:space="preserve">cand-0243</t>
  </si>
  <si>
    <t xml:space="preserve">cand-0244</t>
  </si>
  <si>
    <t xml:space="preserve">cand-0245</t>
  </si>
  <si>
    <t xml:space="preserve">cand-0246</t>
  </si>
  <si>
    <t xml:space="preserve">cand-0247</t>
  </si>
  <si>
    <t xml:space="preserve">cand-0248</t>
  </si>
  <si>
    <t xml:space="preserve">cand-0249</t>
  </si>
  <si>
    <t xml:space="preserve">cand-0250</t>
  </si>
  <si>
    <t xml:space="preserve">cand-0251</t>
  </si>
  <si>
    <t xml:space="preserve">cand-0252</t>
  </si>
  <si>
    <t xml:space="preserve">cand-0253</t>
  </si>
  <si>
    <t xml:space="preserve">cand-0254</t>
  </si>
  <si>
    <t xml:space="preserve">cand-0255</t>
  </si>
  <si>
    <t xml:space="preserve">cand-0256</t>
  </si>
  <si>
    <t xml:space="preserve">cand-0257</t>
  </si>
  <si>
    <t xml:space="preserve">cand-0258</t>
  </si>
  <si>
    <t xml:space="preserve">cand-0259</t>
  </si>
  <si>
    <t xml:space="preserve">cand-0260</t>
  </si>
  <si>
    <t xml:space="preserve">cand-0261</t>
  </si>
  <si>
    <t xml:space="preserve">cand-0262</t>
  </si>
  <si>
    <t xml:space="preserve">cand-0263</t>
  </si>
  <si>
    <t xml:space="preserve">cand-0264</t>
  </si>
  <si>
    <t xml:space="preserve">cand-0265</t>
  </si>
  <si>
    <t xml:space="preserve">cand-0266</t>
  </si>
  <si>
    <t xml:space="preserve">cand-0267</t>
  </si>
  <si>
    <t xml:space="preserve">cand-0268</t>
  </si>
  <si>
    <t xml:space="preserve">cand-0269</t>
  </si>
  <si>
    <t xml:space="preserve">cand-0270</t>
  </si>
  <si>
    <t xml:space="preserve">cand-0271</t>
  </si>
  <si>
    <t xml:space="preserve">cand-0272</t>
  </si>
  <si>
    <t xml:space="preserve">cand-0273</t>
  </si>
  <si>
    <t xml:space="preserve">cand-0274</t>
  </si>
  <si>
    <t xml:space="preserve">cand-0275</t>
  </si>
  <si>
    <t xml:space="preserve">cand-0276</t>
  </si>
  <si>
    <t xml:space="preserve">cand-0277</t>
  </si>
  <si>
    <t xml:space="preserve">cand-0278</t>
  </si>
  <si>
    <t xml:space="preserve">cand-0279</t>
  </si>
  <si>
    <t xml:space="preserve">cand-0280</t>
  </si>
  <si>
    <t xml:space="preserve">cand-0281</t>
  </si>
  <si>
    <t xml:space="preserve">cand-0282</t>
  </si>
  <si>
    <t xml:space="preserve">cand-0283</t>
  </si>
  <si>
    <t xml:space="preserve">cand-0284</t>
  </si>
  <si>
    <t xml:space="preserve">cand-0285</t>
  </si>
  <si>
    <t xml:space="preserve">cand-0286</t>
  </si>
  <si>
    <t xml:space="preserve">cand-0287</t>
  </si>
  <si>
    <t xml:space="preserve">cand-0288</t>
  </si>
  <si>
    <t xml:space="preserve">cand-0289</t>
  </si>
  <si>
    <t xml:space="preserve">cand-0290</t>
  </si>
  <si>
    <t xml:space="preserve">cand-0291</t>
  </si>
  <si>
    <t xml:space="preserve">cand-0292</t>
  </si>
  <si>
    <t xml:space="preserve">cand-0293</t>
  </si>
  <si>
    <t xml:space="preserve">cand-0294</t>
  </si>
  <si>
    <t xml:space="preserve">cand-0295</t>
  </si>
  <si>
    <t xml:space="preserve">cand-0296</t>
  </si>
  <si>
    <t xml:space="preserve">cand-0297</t>
  </si>
  <si>
    <t xml:space="preserve">cand-0298</t>
  </si>
  <si>
    <t xml:space="preserve">cand-0299</t>
  </si>
  <si>
    <t xml:space="preserve">cand-0300</t>
  </si>
  <si>
    <t xml:space="preserve">cand-0301</t>
  </si>
  <si>
    <t xml:space="preserve">cand-0302</t>
  </si>
  <si>
    <t xml:space="preserve">cand-0303</t>
  </si>
  <si>
    <t xml:space="preserve">cand-0304</t>
  </si>
  <si>
    <t xml:space="preserve">cand-0305</t>
  </si>
  <si>
    <t xml:space="preserve">cand-0306</t>
  </si>
  <si>
    <t xml:space="preserve">cand-0307</t>
  </si>
  <si>
    <t xml:space="preserve">cand-0308</t>
  </si>
  <si>
    <t xml:space="preserve">cand-0309</t>
  </si>
  <si>
    <t xml:space="preserve">cand-0310</t>
  </si>
  <si>
    <t xml:space="preserve">cand-0311</t>
  </si>
  <si>
    <t xml:space="preserve">cand-0312</t>
  </si>
  <si>
    <t xml:space="preserve">cand-0313</t>
  </si>
  <si>
    <t xml:space="preserve">cand-0314</t>
  </si>
  <si>
    <t xml:space="preserve">cand-0315</t>
  </si>
  <si>
    <t xml:space="preserve">cand-0316</t>
  </si>
  <si>
    <t xml:space="preserve">cand-0317</t>
  </si>
  <si>
    <t xml:space="preserve">cand-0318</t>
  </si>
  <si>
    <t xml:space="preserve">cand-0319</t>
  </si>
  <si>
    <t xml:space="preserve">cand-0320</t>
  </si>
  <si>
    <t xml:space="preserve">cand-0321</t>
  </si>
  <si>
    <t xml:space="preserve">cand-0322</t>
  </si>
  <si>
    <t xml:space="preserve">cand-0323</t>
  </si>
  <si>
    <t xml:space="preserve">cand-0324</t>
  </si>
  <si>
    <t xml:space="preserve">cand-0325</t>
  </si>
  <si>
    <t xml:space="preserve">cand-0326</t>
  </si>
  <si>
    <t xml:space="preserve">cand-0327</t>
  </si>
  <si>
    <t xml:space="preserve">cand-0328</t>
  </si>
  <si>
    <t xml:space="preserve">cand-0329</t>
  </si>
  <si>
    <t xml:space="preserve">cand-0330</t>
  </si>
  <si>
    <t xml:space="preserve">cand-0331</t>
  </si>
  <si>
    <t xml:space="preserve">cand-0332</t>
  </si>
  <si>
    <t xml:space="preserve">cand-0333</t>
  </si>
  <si>
    <t xml:space="preserve">cand-0334</t>
  </si>
  <si>
    <t xml:space="preserve">cand-0335</t>
  </si>
  <si>
    <t xml:space="preserve">cand-0336</t>
  </si>
  <si>
    <t xml:space="preserve">cand-0337</t>
  </si>
  <si>
    <t xml:space="preserve">cand-0338</t>
  </si>
  <si>
    <t xml:space="preserve">cand-0339</t>
  </si>
  <si>
    <t xml:space="preserve">cand-0340</t>
  </si>
  <si>
    <t xml:space="preserve">cand-0341</t>
  </si>
  <si>
    <t xml:space="preserve">cand-0342</t>
  </si>
  <si>
    <t xml:space="preserve">cand-0343</t>
  </si>
  <si>
    <t xml:space="preserve">cand-0344</t>
  </si>
  <si>
    <t xml:space="preserve">cand-0345</t>
  </si>
  <si>
    <t xml:space="preserve">cand-0346</t>
  </si>
  <si>
    <t xml:space="preserve">cand-0347</t>
  </si>
  <si>
    <t xml:space="preserve">cand-0348</t>
  </si>
  <si>
    <t xml:space="preserve">cand-0349</t>
  </si>
  <si>
    <t xml:space="preserve">cand-0350</t>
  </si>
  <si>
    <t xml:space="preserve">cand-0351</t>
  </si>
  <si>
    <t xml:space="preserve">cand-0352</t>
  </si>
  <si>
    <t xml:space="preserve">cand-0353</t>
  </si>
  <si>
    <t xml:space="preserve">cand-0354</t>
  </si>
  <si>
    <t xml:space="preserve">cand-0355</t>
  </si>
  <si>
    <t xml:space="preserve">cand-0356</t>
  </si>
  <si>
    <t xml:space="preserve">cand-0357</t>
  </si>
  <si>
    <t xml:space="preserve">cand-0358</t>
  </si>
  <si>
    <t xml:space="preserve">cand-0359</t>
  </si>
  <si>
    <t xml:space="preserve">cand-0360</t>
  </si>
  <si>
    <t xml:space="preserve">cand-0361</t>
  </si>
  <si>
    <t xml:space="preserve">cand-0362</t>
  </si>
  <si>
    <t xml:space="preserve">cand-0363</t>
  </si>
  <si>
    <t xml:space="preserve">cand-0364</t>
  </si>
  <si>
    <t xml:space="preserve">cand-0365</t>
  </si>
  <si>
    <t xml:space="preserve">cand-0366</t>
  </si>
  <si>
    <t xml:space="preserve">cand-0367</t>
  </si>
  <si>
    <t xml:space="preserve">cand-0368</t>
  </si>
  <si>
    <t xml:space="preserve">cand-0369</t>
  </si>
  <si>
    <t xml:space="preserve">cand-0370</t>
  </si>
  <si>
    <t xml:space="preserve">cand-0371</t>
  </si>
  <si>
    <t xml:space="preserve">cand-0372</t>
  </si>
  <si>
    <t xml:space="preserve">cand-0373</t>
  </si>
  <si>
    <t xml:space="preserve">cand-0374</t>
  </si>
  <si>
    <t xml:space="preserve">cand-0375</t>
  </si>
  <si>
    <t xml:space="preserve">cand-0376</t>
  </si>
  <si>
    <t xml:space="preserve">cand-0377</t>
  </si>
  <si>
    <t xml:space="preserve">cand-0378</t>
  </si>
  <si>
    <t xml:space="preserve">cand-0379</t>
  </si>
  <si>
    <t xml:space="preserve">cand-0380</t>
  </si>
  <si>
    <t xml:space="preserve">cand-0381</t>
  </si>
  <si>
    <t xml:space="preserve">cand-0382</t>
  </si>
  <si>
    <t xml:space="preserve">cand-0383</t>
  </si>
  <si>
    <t xml:space="preserve">cand-0384</t>
  </si>
  <si>
    <t xml:space="preserve">cand-0385</t>
  </si>
  <si>
    <t xml:space="preserve">cand-0386</t>
  </si>
  <si>
    <t xml:space="preserve">cand-0387</t>
  </si>
  <si>
    <t xml:space="preserve">cand-0388</t>
  </si>
  <si>
    <t xml:space="preserve">cand-0389</t>
  </si>
  <si>
    <t xml:space="preserve">cand-0390</t>
  </si>
  <si>
    <t xml:space="preserve">cand-0391</t>
  </si>
  <si>
    <t xml:space="preserve">cand-0392</t>
  </si>
  <si>
    <t xml:space="preserve">cand-0393</t>
  </si>
  <si>
    <t xml:space="preserve">cand-0394</t>
  </si>
  <si>
    <t xml:space="preserve">cand-0395</t>
  </si>
  <si>
    <t xml:space="preserve">cand-0396</t>
  </si>
  <si>
    <t xml:space="preserve">cand-0397</t>
  </si>
  <si>
    <t xml:space="preserve">cand-0398</t>
  </si>
  <si>
    <t xml:space="preserve">cand-0399</t>
  </si>
  <si>
    <t xml:space="preserve">cand-0400</t>
  </si>
  <si>
    <t xml:space="preserve">The 15 monitored datasets at the as-of: the judged occurrence and deadline (typed from the Python side) and the state (formula)</t>
  </si>
  <si>
    <t xml:space="preserve">state = on_time when a refresh lies in [occurrence, deadline); otherwise pending while the deadline is after the as-of; otherwise late. A pending dataset is outside the denominator.</t>
  </si>
  <si>
    <t xml:space="preserve">timezone</t>
  </si>
  <si>
    <t xml:space="preserve">scheduled_local</t>
  </si>
  <si>
    <t xml:space="preserve">grace_minutes</t>
  </si>
  <si>
    <t xml:space="preserve">occurrence_utc</t>
  </si>
  <si>
    <t xml:space="preserve">deadline_utc</t>
  </si>
  <si>
    <t xml:space="preserve">last_refreshed_at</t>
  </si>
  <si>
    <t xml:space="preserve">state</t>
  </si>
  <si>
    <t xml:space="preserve">Asia/Singapore</t>
  </si>
  <si>
    <t xml:space="preserve">01:00</t>
  </si>
  <si>
    <t xml:space="preserve">America/Chicago</t>
  </si>
  <si>
    <t xml:space="preserve">15:00</t>
  </si>
  <si>
    <t xml:space="preserve">America/New_York</t>
  </si>
  <si>
    <t xml:space="preserve">11:30</t>
  </si>
  <si>
    <t xml:space="preserve">06:00</t>
  </si>
  <si>
    <t xml:space="preserve">Asia/Kolkata</t>
  </si>
  <si>
    <t xml:space="preserve">18:45</t>
  </si>
  <si>
    <t xml:space="preserve">12:45</t>
  </si>
  <si>
    <t xml:space="preserve">Europe/London</t>
  </si>
  <si>
    <t xml:space="preserve">15:45</t>
  </si>
  <si>
    <t xml:space="preserve">UTC</t>
  </si>
  <si>
    <t xml:space="preserve">Europe/Berlin</t>
  </si>
  <si>
    <t xml:space="preserve">19:15</t>
  </si>
  <si>
    <t xml:space="preserve">18:30</t>
  </si>
  <si>
    <t xml:space="preserve">03:45</t>
  </si>
  <si>
    <t xml:space="preserve">14:30</t>
  </si>
  <si>
    <t xml:space="preserve">16:30</t>
  </si>
  <si>
    <t xml:space="preserve">05:45</t>
  </si>
  <si>
    <t xml:space="preserve">12:30</t>
  </si>
  <si>
    <t xml:space="preserve">Rule-weight versions (append-only: a change is a new version, D-07 assumption 4)</t>
  </si>
  <si>
    <t xml:space="preserve">weight_version</t>
  </si>
  <si>
    <t xml:space="preserve">valid_from (UTC)</t>
  </si>
  <si>
    <t xml:space="preserve">w1</t>
  </si>
  <si>
    <t xml:space="preserve">2026-01-01T00:00:00Z</t>
  </si>
  <si>
    <t xml:space="preserve">2026-09-01T00:00:00Z</t>
  </si>
  <si>
    <t xml:space="preserve">PASTED VALUES from the Python domain (run_pipeline over the snapshot with the verification truth for precision), read only by the check columns</t>
  </si>
  <si>
    <t xml:space="preserve">Dataset weighted scores under both weight versions ("not measured" = the domain measures no dimension: never 0).</t>
  </si>
  <si>
    <t xml:space="preserve">not measured</t>
  </si>
  <si>
    <t xml:space="preserve">PASTED VALUES from data/sql/analysis/run_all.py (artifacts/analysis-results.json)</t>
  </si>
  <si>
    <t xml:space="preserve">The headline result sets; reconciliation: every row equal across the SQL, the reference SQL, the Python domain, the manifests and the independent Python side.</t>
  </si>
  <si>
    <t xml:space="preserve">reconciliation rows 175, equal 175; result sets 51, rows 233; dataset tl-20261026-20261026 / a9f7a3321b102752dd7aa95b76df14c1d9372103e685e10222959fd6438f27ff; code 0b5d686</t>
  </si>
  <si>
    <t xml:space="preserve">01_ds_customers_override_both_weights__weighted</t>
  </si>
  <si>
    <t xml:space="preserve">valid_from</t>
  </si>
  <si>
    <t xml:space="preserve">measured_dimensions</t>
  </si>
  <si>
    <t xml:space="preserve">weight_sum</t>
  </si>
  <si>
    <t xml:space="preserve">weighted_score</t>
  </si>
  <si>
    <t xml:space="preserve">above_0_95</t>
  </si>
  <si>
    <t xml:space="preserve">2026-01-01</t>
  </si>
  <si>
    <t xml:space="preserve">completeness,validity,uniqueness,timeliness</t>
  </si>
  <si>
    <t xml:space="preserve">true</t>
  </si>
  <si>
    <t xml:space="preserve">2026-09-01</t>
  </si>
  <si>
    <t xml:space="preserve">02_ownership_coverage__summary</t>
  </si>
  <si>
    <t xml:space="preserve">covered</t>
  </si>
  <si>
    <t xml:space="preserve">uncovered</t>
  </si>
  <si>
    <t xml:space="preserve">coverage</t>
  </si>
  <si>
    <t xml:space="preserve">03_weight_shift_dr03__summary</t>
  </si>
  <si>
    <t xml:space="preserve">datasets_scored</t>
  </si>
  <si>
    <t xml:space="preserve">datasets_with_different_score</t>
  </si>
  <si>
    <t xml:space="preserve">datasets_moved_at_least_0_005</t>
  </si>
  <si>
    <t xml:space="preserve">mean_score_w1</t>
  </si>
  <si>
    <t xml:space="preserve">mean_score_w2</t>
  </si>
  <si>
    <t xml:space="preserve">largest_move</t>
  </si>
  <si>
    <t xml:space="preserve">largest_move_dataset</t>
  </si>
  <si>
    <t xml:space="preserve">04_issue_classes_and_resolution__classes</t>
  </si>
  <si>
    <t xml:space="preserve">issues</t>
  </si>
  <si>
    <t xml:space="preserve">share_of_issues</t>
  </si>
  <si>
    <t xml:space="preserve">reopened</t>
  </si>
  <si>
    <t xml:space="preserve">resolved</t>
  </si>
  <si>
    <t xml:space="preserve">claimed</t>
  </si>
  <si>
    <t xml:space="preserve">04_issue_classes_and_resolution__resolution_overall</t>
  </si>
  <si>
    <t xml:space="preserve">mean_hours</t>
  </si>
  <si>
    <t xml:space="preserve">fast_team_ratio</t>
  </si>
  <si>
    <t xml:space="preserve">open_count</t>
  </si>
  <si>
    <t xml:space="preserve">reopened_issues</t>
  </si>
  <si>
    <t xml:space="preserve">04_issue_classes_and_resolution__fast_team_vs_others</t>
  </si>
  <si>
    <t xml:space="preserve">group_name</t>
  </si>
  <si>
    <t xml:space="preserve">all other teams</t>
  </si>
  <si>
    <t xml:space="preserve">05_lineage_coverage_evidence__coverage</t>
  </si>
  <si>
    <t xml:space="preserve">declared_pairs</t>
  </si>
  <si>
    <t xml:space="preserve">observed_pairs</t>
  </si>
  <si>
    <t xml:space="preserve">observed_matching_declared</t>
  </si>
  <si>
    <t xml:space="preserve">undeclared_observed</t>
  </si>
  <si>
    <t xml:space="preserve">declared_not_observed</t>
  </si>
  <si>
    <t xml:space="preserve">inferred_pairs</t>
  </si>
  <si>
    <t xml:space="preserve">inferred_on_declared_unobserved</t>
  </si>
  <si>
    <t xml:space="preserve">inferred_also_observed</t>
  </si>
  <si>
    <t xml:space="preserve">06_definition_coverage__summary</t>
  </si>
  <si>
    <t xml:space="preserve">checklist_version</t>
  </si>
  <si>
    <t xml:space="preserve">published_metrics</t>
  </si>
  <si>
    <t xml:space="preserve">complete_metrics</t>
  </si>
  <si>
    <t xml:space="preserve">incomplete_metrics</t>
  </si>
  <si>
    <t xml:space="preserve">cl-1</t>
  </si>
  <si>
    <t xml:space="preserve">07_match_precision__precision</t>
  </si>
  <si>
    <t xml:space="preserve">approved</t>
  </si>
  <si>
    <t xml:space="preserve">approved_correct</t>
  </si>
  <si>
    <t xml:space="preserve">precision</t>
  </si>
  <si>
    <t xml:space="preserve">reviewed</t>
  </si>
  <si>
    <t xml:space="preserve">rejected</t>
  </si>
  <si>
    <t xml:space="preserve">reviewed_correct</t>
  </si>
  <si>
    <t xml:space="preserve">reviewed_correct_share</t>
  </si>
  <si>
    <t xml:space="preserve">decisions_agreeing_with_truth</t>
  </si>
  <si>
    <t xml:space="preserve">decision_agreement_share</t>
  </si>
  <si>
    <t xml:space="preserve">08_timeliness_states__by_read_instant</t>
  </si>
  <si>
    <t xml:space="preserve">read_no</t>
  </si>
  <si>
    <t xml:space="preserve">label</t>
  </si>
  <si>
    <t xml:space="preserve">read_at</t>
  </si>
  <si>
    <t xml:space="preserve">monitored_datasets</t>
  </si>
  <si>
    <t xml:space="preserve">on_time</t>
  </si>
  <si>
    <t xml:space="preserve">pending</t>
  </si>
  <si>
    <t xml:space="preserve">late</t>
  </si>
  <si>
    <t xml:space="preserve">evaluated</t>
  </si>
  <si>
    <t xml:space="preserve">as-of</t>
  </si>
  <si>
    <t xml:space="preserve">2026-10-05T00:00:00Z</t>
  </si>
  <si>
    <t xml:space="preserve">as-of + 10h30m</t>
  </si>
  <si>
    <t xml:space="preserve">2026-10-05T10:30:00Z</t>
  </si>
  <si>
    <t xml:space="preserve">as-of + 13h</t>
  </si>
  <si>
    <t xml:space="preserve">2026-10-05T13:00:00Z</t>
  </si>
  <si>
    <t xml:space="preserve">as-of + 25h</t>
  </si>
  <si>
    <t xml:space="preserve">2026-10-06T01:00:00Z</t>
  </si>
  <si>
    <t xml:space="preserve">09_golden_known_answer__weighted_scores</t>
  </si>
  <si>
    <t xml:space="preserve">critical_open_issues</t>
  </si>
</sst>
</file>

<file path=xl/styles.xml><?xml version="1.0" encoding="utf-8"?>
<styleSheet xmlns="http://schemas.openxmlformats.org/spreadsheetml/2006/main">
  <numFmts count="5">
    <numFmt numFmtId="164" formatCode="General"/>
    <numFmt numFmtId="165" formatCode="yyyy\-mm\-dd\ hh:mm"/>
    <numFmt numFmtId="166" formatCode="General"/>
    <numFmt numFmtId="167" formatCode="0.000000"/>
    <numFmt numFmtId="168" formatCode="0.0000"/>
  </numFmts>
  <fonts count="8">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name val="Cambria"/>
      <family val="0"/>
      <charset val="1"/>
    </font>
    <font>
      <sz val="11"/>
      <color rgb="FF0000FF"/>
      <name val="Cambria"/>
      <family val="0"/>
      <charset val="1"/>
    </font>
    <font>
      <b val="true"/>
      <sz val="11"/>
      <color rgb="FFFFFFFF"/>
      <name val="Cambria"/>
      <family val="0"/>
      <charset val="1"/>
    </font>
  </fonts>
  <fills count="3">
    <fill>
      <patternFill patternType="none"/>
    </fill>
    <fill>
      <patternFill patternType="gray125"/>
    </fill>
    <fill>
      <patternFill patternType="solid">
        <fgColor rgb="FF23303A"/>
        <bgColor rgb="FF33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330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0"/>
  </cols>
  <sheetData>
    <row r="1" customFormat="false" ht="17.35" hidden="false" customHeight="false" outlineLevel="0" collapsed="false">
      <c r="A1" s="1" t="s">
        <v>0</v>
      </c>
    </row>
    <row r="3" customFormat="false" ht="41.75" hidden="false" customHeight="false" outlineLevel="0" collapsed="false">
      <c r="A3" s="2" t="s">
        <v>1</v>
      </c>
      <c r="B3" s="3" t="s">
        <v>2</v>
      </c>
    </row>
    <row r="4" customFormat="false" ht="28.35" hidden="false" customHeight="false" outlineLevel="0" collapsed="false">
      <c r="A4" s="2" t="s">
        <v>3</v>
      </c>
      <c r="B4" s="3" t="s">
        <v>4</v>
      </c>
    </row>
    <row r="5" customFormat="false" ht="28.35" hidden="false" customHeight="false" outlineLevel="0" collapsed="false">
      <c r="A5" s="2" t="s">
        <v>5</v>
      </c>
      <c r="B5" s="3" t="s">
        <v>6</v>
      </c>
    </row>
    <row r="6" customFormat="false" ht="28.35" hidden="false" customHeight="false" outlineLevel="0" collapsed="false">
      <c r="A6" s="2" t="s">
        <v>7</v>
      </c>
      <c r="B6" s="3" t="s">
        <v>8</v>
      </c>
    </row>
    <row r="7" customFormat="false" ht="28.35" hidden="false" customHeight="false" outlineLevel="0" collapsed="false">
      <c r="A7" s="2" t="s">
        <v>9</v>
      </c>
      <c r="B7" s="3" t="s">
        <v>10</v>
      </c>
    </row>
    <row r="8" customFormat="false" ht="28.35" hidden="false" customHeight="false" outlineLevel="0" collapsed="false">
      <c r="A8" s="2" t="s">
        <v>11</v>
      </c>
      <c r="B8" s="3" t="s">
        <v>12</v>
      </c>
    </row>
    <row r="9" customFormat="false" ht="15" hidden="false" customHeight="false" outlineLevel="0" collapsed="false">
      <c r="A9" s="2" t="s">
        <v>13</v>
      </c>
      <c r="B9" s="3"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s>
  <sheetData>
    <row r="1" customFormat="false" ht="17.35" hidden="false" customHeight="false" outlineLevel="0" collapsed="false">
      <c r="A1" s="1" t="s">
        <v>15</v>
      </c>
    </row>
    <row r="2" customFormat="false" ht="15" hidden="false" customHeight="false" outlineLevel="0" collapsed="false">
      <c r="A2" s="0" t="s">
        <v>16</v>
      </c>
    </row>
    <row r="3" customFormat="false" ht="15" hidden="false" customHeight="false" outlineLevel="0" collapsed="false">
      <c r="A3" s="0" t="s">
        <v>17</v>
      </c>
      <c r="B3" s="4" t="s">
        <v>18</v>
      </c>
    </row>
    <row r="4" customFormat="false" ht="15" hidden="false" customHeight="false" outlineLevel="0" collapsed="false">
      <c r="A4" s="0" t="s">
        <v>19</v>
      </c>
      <c r="B4" s="5" t="n">
        <v>46300</v>
      </c>
    </row>
    <row r="6" customFormat="false" ht="15" hidden="false" customHeight="false" outlineLevel="0" collapsed="false">
      <c r="A6" s="2" t="s">
        <v>20</v>
      </c>
    </row>
    <row r="7" customFormat="false" ht="15" hidden="false" customHeight="false" outlineLevel="0" collapsed="false">
      <c r="A7" s="0" t="s">
        <v>21</v>
      </c>
      <c r="B7" s="0" t="n">
        <f aca="false">INDEX(Weights!$C$4:$C$5,MATCH($B$3,Weights!$A$4:$A$5,0))</f>
        <v>0.25</v>
      </c>
    </row>
    <row r="8" customFormat="false" ht="15" hidden="false" customHeight="false" outlineLevel="0" collapsed="false">
      <c r="A8" s="0" t="s">
        <v>22</v>
      </c>
      <c r="B8" s="0" t="n">
        <f aca="false">INDEX(Weights!$D$4:$D$5,MATCH($B$3,Weights!$A$4:$A$5,0))</f>
        <v>0.25</v>
      </c>
    </row>
    <row r="9" customFormat="false" ht="15" hidden="false" customHeight="false" outlineLevel="0" collapsed="false">
      <c r="A9" s="0" t="s">
        <v>23</v>
      </c>
      <c r="B9" s="0" t="n">
        <f aca="false">INDEX(Weights!$E$4:$E$5,MATCH($B$3,Weights!$A$4:$A$5,0))</f>
        <v>0.25</v>
      </c>
    </row>
    <row r="10" customFormat="false" ht="15" hidden="false" customHeight="false" outlineLevel="0" collapsed="false">
      <c r="A10" s="0" t="s">
        <v>24</v>
      </c>
      <c r="B10" s="0" t="n">
        <f aca="false">INDEX(Weights!$F$4:$F$5,MATCH($B$3,Weights!$A$4:$A$5,0))</f>
        <v>0.15</v>
      </c>
    </row>
    <row r="11" customFormat="false" ht="15" hidden="false" customHeight="false" outlineLevel="0" collapsed="false">
      <c r="A11" s="0" t="s">
        <v>25</v>
      </c>
      <c r="B11" s="0" t="n">
        <f aca="false">INDEX(Weights!$G$4:$G$5,MATCH($B$3,Weights!$A$4:$A$5,0))</f>
        <v>0.1</v>
      </c>
    </row>
    <row r="13" customFormat="false" ht="15" hidden="false" customHeight="false" outlineLevel="0" collapsed="false">
      <c r="A13" s="0" t="s">
        <v>26</v>
      </c>
      <c r="B13" s="0" t="n">
        <f aca="false">SUM(B7:B11)</f>
        <v>1</v>
      </c>
    </row>
    <row r="15" customFormat="false" ht="15" hidden="false" customHeight="false" outlineLevel="0" collapsed="false">
      <c r="A15" s="2" t="s">
        <v>27</v>
      </c>
      <c r="B15" s="6" t="b">
        <f aca="false">Checks!B2</f>
        <v>1</v>
      </c>
    </row>
  </sheetData>
  <dataValidations count="1">
    <dataValidation allowBlank="false" errorStyle="stop" operator="between" showDropDown="false" showErrorMessage="false" showInputMessage="false" sqref="B3" type="list">
      <formula1>"w1,w2"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6"/>
    <col collapsed="false" customWidth="true" hidden="false" outlineLevel="0" max="2" min="2" style="0" width="12"/>
  </cols>
  <sheetData>
    <row r="1" customFormat="false" ht="17.35" hidden="false" customHeight="false" outlineLevel="0" collapsed="false">
      <c r="A1" s="1" t="s">
        <v>28</v>
      </c>
    </row>
    <row r="2" customFormat="false" ht="15" hidden="false" customHeight="false" outlineLevel="0" collapsed="false">
      <c r="A2" s="2" t="s">
        <v>29</v>
      </c>
      <c r="B2" s="6" t="b">
        <f aca="false">AND(Portfolio!E4:E38,'Dataset scores'!U4:U43,'Golden case'!E4:E24,B5,B6)</f>
        <v>1</v>
      </c>
    </row>
    <row r="4" customFormat="false" ht="15" hidden="false" customHeight="false" outlineLevel="0" collapsed="false">
      <c r="A4" s="2" t="s">
        <v>30</v>
      </c>
      <c r="B4" s="2" t="s">
        <v>31</v>
      </c>
    </row>
    <row r="5" customFormat="false" ht="15" hidden="false" customHeight="false" outlineLevel="0" collapsed="false">
      <c r="A5" s="0" t="s">
        <v>32</v>
      </c>
      <c r="B5" s="6" t="b">
        <f aca="false">SUMPRODUCT(--ISNUMBER('Dataset scores'!L4:L43))=SUMPRODUCT(--ISNUMBER(IF(Controls!B3="w1",'Dataset scores'!S4:S43,'Dataset scores'!T4:T43)))</f>
        <v>1</v>
      </c>
    </row>
    <row r="6" customFormat="false" ht="15" hidden="false" customHeight="false" outlineLevel="0" collapsed="false">
      <c r="A6" s="0" t="s">
        <v>33</v>
      </c>
      <c r="B6" s="6" t="b">
        <f aca="false">COUNTIF('Dataset scores'!U4:U43,TRUE())=ROWS('Dataset scores'!U4:U43)</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3" min="2" style="0" width="20"/>
    <col collapsed="false" customWidth="true" hidden="false" outlineLevel="0" max="5" min="5" style="0" width="8"/>
  </cols>
  <sheetData>
    <row r="1" customFormat="false" ht="17.35" hidden="false" customHeight="false" outlineLevel="0" collapsed="false">
      <c r="A1" s="1" t="s">
        <v>34</v>
      </c>
    </row>
    <row r="2" customFormat="false" ht="15" hidden="false" customHeight="false" outlineLevel="0" collapsed="false">
      <c r="A2" s="0" t="s">
        <v>35</v>
      </c>
    </row>
    <row r="3" customFormat="false" ht="28.35" hidden="false" customHeight="false" outlineLevel="0" collapsed="false">
      <c r="A3" s="7" t="s">
        <v>36</v>
      </c>
      <c r="B3" s="7" t="s">
        <v>37</v>
      </c>
      <c r="C3" s="7" t="s">
        <v>38</v>
      </c>
      <c r="D3" s="7" t="s">
        <v>39</v>
      </c>
      <c r="E3" s="7" t="s">
        <v>30</v>
      </c>
    </row>
    <row r="4" customFormat="false" ht="15" hidden="false" customHeight="false" outlineLevel="0" collapsed="false">
      <c r="A4" s="0" t="s">
        <v>40</v>
      </c>
      <c r="B4" s="0" t="n">
        <f aca="false">COUNTA(Datasets!A4:A43)</f>
        <v>40</v>
      </c>
      <c r="C4" s="4" t="n">
        <v>40</v>
      </c>
      <c r="D4" s="0" t="n">
        <v>0</v>
      </c>
      <c r="E4" s="6" t="b">
        <f aca="false">ABS(B4-C4)&lt;=D4</f>
        <v>1</v>
      </c>
    </row>
    <row r="5" customFormat="false" ht="15" hidden="false" customHeight="false" outlineLevel="0" collapsed="false">
      <c r="A5" s="0" t="s">
        <v>41</v>
      </c>
      <c r="B5" s="0" t="n">
        <f aca="false">COUNTIF(Datasets!D4:D43,TRUE())</f>
        <v>35</v>
      </c>
      <c r="C5" s="4" t="n">
        <v>35</v>
      </c>
      <c r="D5" s="0" t="n">
        <v>0</v>
      </c>
      <c r="E5" s="6" t="b">
        <f aca="false">ABS(B5-C5)&lt;=D5</f>
        <v>1</v>
      </c>
    </row>
    <row r="6" customFormat="false" ht="15" hidden="false" customHeight="false" outlineLevel="0" collapsed="false">
      <c r="A6" s="0" t="s">
        <v>42</v>
      </c>
      <c r="B6" s="8" t="n">
        <f aca="false">COUNTIF(Datasets!D4:D43,TRUE())/COUNTA(Datasets!A4:A43)</f>
        <v>0.875</v>
      </c>
      <c r="C6" s="4" t="n">
        <v>0.875</v>
      </c>
      <c r="D6" s="0" t="n">
        <v>5E-007</v>
      </c>
      <c r="E6" s="6" t="b">
        <f aca="false">ABS(B6-C6)&lt;=D6</f>
        <v>1</v>
      </c>
    </row>
    <row r="7" customFormat="false" ht="15" hidden="false" customHeight="false" outlineLevel="0" collapsed="false">
      <c r="A7" s="0" t="s">
        <v>43</v>
      </c>
      <c r="B7" s="0" t="n">
        <f aca="false">COUNTIF(Issues!$U$4:$U$577,"resolved")</f>
        <v>315</v>
      </c>
      <c r="C7" s="4" t="n">
        <v>315</v>
      </c>
      <c r="D7" s="0" t="n">
        <v>0</v>
      </c>
      <c r="E7" s="6" t="b">
        <f aca="false">ABS(B7-C7)&lt;=D7</f>
        <v>1</v>
      </c>
    </row>
    <row r="8" customFormat="false" ht="15" hidden="false" customHeight="false" outlineLevel="0" collapsed="false">
      <c r="A8" s="0" t="s">
        <v>44</v>
      </c>
      <c r="B8" s="0" t="n">
        <f aca="false">COUNTIF(Issues!$U$4:$U$577,"claimed")</f>
        <v>99</v>
      </c>
      <c r="C8" s="4" t="n">
        <v>99</v>
      </c>
      <c r="D8" s="0" t="n">
        <v>0</v>
      </c>
      <c r="E8" s="6" t="b">
        <f aca="false">ABS(B8-C8)&lt;=D8</f>
        <v>1</v>
      </c>
    </row>
    <row r="9" customFormat="false" ht="15" hidden="false" customHeight="false" outlineLevel="0" collapsed="false">
      <c r="A9" s="0" t="s">
        <v>45</v>
      </c>
      <c r="B9" s="0" t="n">
        <f aca="false">COUNTIF(Issues!$U$4:$U$577,"open")</f>
        <v>160</v>
      </c>
      <c r="C9" s="4" t="n">
        <v>160</v>
      </c>
      <c r="D9" s="0" t="n">
        <v>0</v>
      </c>
      <c r="E9" s="6" t="b">
        <f aca="false">ABS(B9-C9)&lt;=D9</f>
        <v>1</v>
      </c>
    </row>
    <row r="10" customFormat="false" ht="15" hidden="false" customHeight="false" outlineLevel="0" collapsed="false">
      <c r="A10" s="0" t="s">
        <v>46</v>
      </c>
      <c r="B10" s="9" t="n">
        <f aca="false">AVERAGEIFS(Issues!$V$4:$V$577,Issues!$U$4:$U$577,"resolved")</f>
        <v>68.2715873015873</v>
      </c>
      <c r="C10" s="4" t="n">
        <v>68.2716</v>
      </c>
      <c r="D10" s="0" t="n">
        <v>5E-005</v>
      </c>
      <c r="E10" s="6" t="b">
        <f aca="false">ABS(B10-C10)&lt;=D10</f>
        <v>1</v>
      </c>
    </row>
    <row r="11" customFormat="false" ht="15" hidden="false" customHeight="false" outlineLevel="0" collapsed="false">
      <c r="A11" s="0" t="s">
        <v>47</v>
      </c>
      <c r="B11" s="9" t="n">
        <f aca="false">AVERAGEIFS(Issues!$V$4:$V$577,Issues!$U$4:$U$577,"resolved",Issues!$R$4:$R$577,"Data Platform")</f>
        <v>34.4201798165138</v>
      </c>
      <c r="C11" s="4" t="n">
        <v>34.4202</v>
      </c>
      <c r="D11" s="0" t="n">
        <v>5E-005</v>
      </c>
      <c r="E11" s="6" t="b">
        <f aca="false">ABS(B11-C11)&lt;=D11</f>
        <v>1</v>
      </c>
    </row>
    <row r="12" customFormat="false" ht="15" hidden="false" customHeight="false" outlineLevel="0" collapsed="false">
      <c r="A12" s="0" t="s">
        <v>48</v>
      </c>
      <c r="B12" s="9" t="n">
        <f aca="false">AVERAGEIFS(Issues!$V$4:$V$577,Issues!$U$4:$U$577,"resolved",Issues!$R$4:$R$577,"&lt;&gt;Data Platform")</f>
        <v>86.183254368932</v>
      </c>
      <c r="C12" s="4" t="n">
        <v>86.1833</v>
      </c>
      <c r="D12" s="0" t="n">
        <v>5E-005</v>
      </c>
      <c r="E12" s="6" t="b">
        <f aca="false">ABS(B12-C12)&lt;=D12</f>
        <v>1</v>
      </c>
    </row>
    <row r="13" customFormat="false" ht="15" hidden="false" customHeight="false" outlineLevel="0" collapsed="false">
      <c r="A13" s="0" t="s">
        <v>49</v>
      </c>
      <c r="B13" s="8" t="n">
        <f aca="false">AVERAGEIFS(Issues!$V$4:$V$577,Issues!$U$4:$U$577,"resolved",Issues!$R$4:$R$577,"Data Platform")/AVERAGEIFS(Issues!$V$4:$V$577,Issues!$U$4:$U$577,"resolved",Issues!$R$4:$R$577,"&lt;&gt;Data Platform")</f>
        <v>0.399383616556975</v>
      </c>
      <c r="C13" s="4" t="n">
        <v>0.399384</v>
      </c>
      <c r="D13" s="0" t="n">
        <v>5E-007</v>
      </c>
      <c r="E13" s="6" t="b">
        <f aca="false">ABS(B13-C13)&lt;=D13</f>
        <v>1</v>
      </c>
    </row>
    <row r="14" customFormat="false" ht="15" hidden="false" customHeight="false" outlineLevel="0" collapsed="false">
      <c r="A14" s="0" t="s">
        <v>50</v>
      </c>
      <c r="B14" s="0" t="n">
        <f aca="false">COUNTIFS(Issues!$E$4:$E$577,"critical",Issues!$U$4:$U$577,"&lt;&gt;resolved")</f>
        <v>1</v>
      </c>
      <c r="C14" s="4" t="n">
        <v>1</v>
      </c>
      <c r="D14" s="0" t="n">
        <v>0</v>
      </c>
      <c r="E14" s="6" t="b">
        <f aca="false">ABS(B14-C14)&lt;=D14</f>
        <v>1</v>
      </c>
    </row>
    <row r="15" customFormat="false" ht="15" hidden="false" customHeight="false" outlineLevel="0" collapsed="false">
      <c r="A15" s="0" t="s">
        <v>51</v>
      </c>
      <c r="B15" s="0" t="n">
        <f aca="false">COUNTIFS(Issues!$E$4:$E$577,"high",Issues!$U$4:$U$577,"&lt;&gt;resolved")</f>
        <v>171</v>
      </c>
      <c r="C15" s="4" t="n">
        <v>171</v>
      </c>
      <c r="D15" s="0" t="n">
        <v>0</v>
      </c>
      <c r="E15" s="6" t="b">
        <f aca="false">ABS(B15-C15)&lt;=D15</f>
        <v>1</v>
      </c>
    </row>
    <row r="16" customFormat="false" ht="15" hidden="false" customHeight="false" outlineLevel="0" collapsed="false">
      <c r="A16" s="0" t="s">
        <v>52</v>
      </c>
      <c r="B16" s="0" t="n">
        <f aca="false">COUNTIFS(Issues!$E$4:$E$577,"medium",Issues!$U$4:$U$577,"&lt;&gt;resolved")</f>
        <v>70</v>
      </c>
      <c r="C16" s="4" t="n">
        <v>70</v>
      </c>
      <c r="D16" s="0" t="n">
        <v>0</v>
      </c>
      <c r="E16" s="6" t="b">
        <f aca="false">ABS(B16-C16)&lt;=D16</f>
        <v>1</v>
      </c>
    </row>
    <row r="17" customFormat="false" ht="15" hidden="false" customHeight="false" outlineLevel="0" collapsed="false">
      <c r="A17" s="0" t="s">
        <v>53</v>
      </c>
      <c r="B17" s="0" t="n">
        <f aca="false">COUNTIFS(Issues!$E$4:$E$577,"low",Issues!$U$4:$U$577,"&lt;&gt;resolved")</f>
        <v>17</v>
      </c>
      <c r="C17" s="4" t="n">
        <v>17</v>
      </c>
      <c r="D17" s="0" t="n">
        <v>0</v>
      </c>
      <c r="E17" s="6" t="b">
        <f aca="false">ABS(B17-C17)&lt;=D17</f>
        <v>1</v>
      </c>
    </row>
    <row r="18" customFormat="false" ht="15" hidden="false" customHeight="false" outlineLevel="0" collapsed="false">
      <c r="A18" s="0" t="s">
        <v>54</v>
      </c>
      <c r="B18" s="0" t="n">
        <f aca="false">COUNTIF(Lineage!D4:D163,"declared")</f>
        <v>80</v>
      </c>
      <c r="C18" s="4" t="n">
        <v>80</v>
      </c>
      <c r="D18" s="0" t="n">
        <v>0</v>
      </c>
      <c r="E18" s="6" t="b">
        <f aca="false">ABS(B18-C18)&lt;=D18</f>
        <v>1</v>
      </c>
    </row>
    <row r="19" customFormat="false" ht="15" hidden="false" customHeight="false" outlineLevel="0" collapsed="false">
      <c r="A19" s="0" t="s">
        <v>55</v>
      </c>
      <c r="B19" s="0" t="n">
        <f aca="false">COUNTIF(Lineage!I4:I163,TRUE())</f>
        <v>58</v>
      </c>
      <c r="C19" s="4" t="n">
        <v>58</v>
      </c>
      <c r="D19" s="0" t="n">
        <v>0</v>
      </c>
      <c r="E19" s="6" t="b">
        <f aca="false">ABS(B19-C19)&lt;=D19</f>
        <v>1</v>
      </c>
    </row>
    <row r="20" customFormat="false" ht="15" hidden="false" customHeight="false" outlineLevel="0" collapsed="false">
      <c r="A20" s="0" t="s">
        <v>56</v>
      </c>
      <c r="B20" s="8" t="n">
        <f aca="false">COUNTIF(Lineage!I4:I163,TRUE())/COUNTIF(Lineage!D4:D163,"declared")</f>
        <v>0.725</v>
      </c>
      <c r="C20" s="4" t="n">
        <v>0.725</v>
      </c>
      <c r="D20" s="0" t="n">
        <v>5E-007</v>
      </c>
      <c r="E20" s="6" t="b">
        <f aca="false">ABS(B20-C20)&lt;=D20</f>
        <v>1</v>
      </c>
    </row>
    <row r="21" customFormat="false" ht="15" hidden="false" customHeight="false" outlineLevel="0" collapsed="false">
      <c r="A21" s="0" t="s">
        <v>57</v>
      </c>
      <c r="B21" s="0" t="n">
        <f aca="false">COUNTIFS(Lineage!D4:D163,"observed",Lineage!G4:G163,FALSE())</f>
        <v>12</v>
      </c>
      <c r="C21" s="4" t="n">
        <v>12</v>
      </c>
      <c r="D21" s="0" t="n">
        <v>0</v>
      </c>
      <c r="E21" s="6" t="b">
        <f aca="false">ABS(B21-C21)&lt;=D21</f>
        <v>1</v>
      </c>
    </row>
    <row r="22" customFormat="false" ht="15" hidden="false" customHeight="false" outlineLevel="0" collapsed="false">
      <c r="A22" s="0" t="s">
        <v>58</v>
      </c>
      <c r="B22" s="0" t="n">
        <f aca="false">COUNTIF(Lineage!D4:D163,"inferred")</f>
        <v>10</v>
      </c>
      <c r="C22" s="4" t="n">
        <v>10</v>
      </c>
      <c r="D22" s="0" t="n">
        <v>0</v>
      </c>
      <c r="E22" s="6" t="b">
        <f aca="false">ABS(B22-C22)&lt;=D22</f>
        <v>1</v>
      </c>
    </row>
    <row r="23" customFormat="false" ht="15" hidden="false" customHeight="false" outlineLevel="0" collapsed="false">
      <c r="A23" s="0" t="s">
        <v>59</v>
      </c>
      <c r="B23" s="0" t="n">
        <f aca="false">COUNTA(Definitions!A4:A33)</f>
        <v>30</v>
      </c>
      <c r="C23" s="4" t="n">
        <v>30</v>
      </c>
      <c r="D23" s="0" t="n">
        <v>0</v>
      </c>
      <c r="E23" s="6" t="b">
        <f aca="false">ABS(B23-C23)&lt;=D23</f>
        <v>1</v>
      </c>
    </row>
    <row r="24" customFormat="false" ht="15" hidden="false" customHeight="false" outlineLevel="0" collapsed="false">
      <c r="A24" s="0" t="s">
        <v>60</v>
      </c>
      <c r="B24" s="0" t="n">
        <f aca="false">COUNTIF(Definitions!N4:N33,TRUE())</f>
        <v>23</v>
      </c>
      <c r="C24" s="4" t="n">
        <v>23</v>
      </c>
      <c r="D24" s="0" t="n">
        <v>0</v>
      </c>
      <c r="E24" s="6" t="b">
        <f aca="false">ABS(B24-C24)&lt;=D24</f>
        <v>1</v>
      </c>
    </row>
    <row r="25" customFormat="false" ht="15" hidden="false" customHeight="false" outlineLevel="0" collapsed="false">
      <c r="A25" s="0" t="s">
        <v>61</v>
      </c>
      <c r="B25" s="8" t="n">
        <f aca="false">COUNTIF(Definitions!N4:N33,TRUE())/COUNTA(Definitions!A4:A33)</f>
        <v>0.766666666666667</v>
      </c>
      <c r="C25" s="4" t="n">
        <v>0.766667</v>
      </c>
      <c r="D25" s="0" t="n">
        <v>5E-007</v>
      </c>
      <c r="E25" s="6" t="b">
        <f aca="false">ABS(B25-C25)&lt;=D25</f>
        <v>1</v>
      </c>
    </row>
    <row r="26" customFormat="false" ht="15" hidden="false" customHeight="false" outlineLevel="0" collapsed="false">
      <c r="A26" s="0" t="s">
        <v>62</v>
      </c>
      <c r="B26" s="0" t="n">
        <f aca="false">COUNTIF(Matching!B4:B403,"approve")</f>
        <v>174</v>
      </c>
      <c r="C26" s="4" t="n">
        <v>174</v>
      </c>
      <c r="D26" s="0" t="n">
        <v>0</v>
      </c>
      <c r="E26" s="6" t="b">
        <f aca="false">ABS(B26-C26)&lt;=D26</f>
        <v>1</v>
      </c>
    </row>
    <row r="27" customFormat="false" ht="15" hidden="false" customHeight="false" outlineLevel="0" collapsed="false">
      <c r="A27" s="0" t="s">
        <v>63</v>
      </c>
      <c r="B27" s="0" t="n">
        <f aca="false">COUNTIFS(Matching!B4:B403,"approve",Matching!E4:E403,TRUE())</f>
        <v>172</v>
      </c>
      <c r="C27" s="4" t="n">
        <v>172</v>
      </c>
      <c r="D27" s="0" t="n">
        <v>0</v>
      </c>
      <c r="E27" s="6" t="b">
        <f aca="false">ABS(B27-C27)&lt;=D27</f>
        <v>1</v>
      </c>
    </row>
    <row r="28" customFormat="false" ht="15" hidden="false" customHeight="false" outlineLevel="0" collapsed="false">
      <c r="A28" s="0" t="s">
        <v>64</v>
      </c>
      <c r="B28" s="8" t="n">
        <f aca="false">COUNTIFS(Matching!B4:B403,"approve",Matching!E4:E403,TRUE())/COUNTIF(Matching!B4:B403,"approve")</f>
        <v>0.988505747126437</v>
      </c>
      <c r="C28" s="4" t="n">
        <v>0.988506</v>
      </c>
      <c r="D28" s="0" t="n">
        <v>5E-007</v>
      </c>
      <c r="E28" s="6" t="b">
        <f aca="false">ABS(B28-C28)&lt;=D28</f>
        <v>1</v>
      </c>
    </row>
    <row r="29" customFormat="false" ht="15" hidden="false" customHeight="false" outlineLevel="0" collapsed="false">
      <c r="A29" s="0" t="s">
        <v>65</v>
      </c>
      <c r="B29" s="0" t="n">
        <f aca="false">COUNTIF(Matching!B4:B403,"approve")+COUNTIF(Matching!B4:B403,"reject")</f>
        <v>220</v>
      </c>
      <c r="C29" s="4" t="n">
        <v>220</v>
      </c>
      <c r="D29" s="0" t="n">
        <v>0</v>
      </c>
      <c r="E29" s="6" t="b">
        <f aca="false">ABS(B29-C29)&lt;=D29</f>
        <v>1</v>
      </c>
    </row>
    <row r="30" customFormat="false" ht="15" hidden="false" customHeight="false" outlineLevel="0" collapsed="false">
      <c r="A30" s="0" t="s">
        <v>66</v>
      </c>
      <c r="B30" s="8" t="n">
        <f aca="false">(COUNTIFS(Matching!B4:B403,"approve",Matching!E4:E403,TRUE())+COUNTIFS(Matching!B4:B403,"reject",Matching!E4:E403,TRUE()))/(COUNTIF(Matching!B4:B403,"approve")+COUNTIF(Matching!B4:B403,"reject"))</f>
        <v>0.840909090909091</v>
      </c>
      <c r="C30" s="4" t="n">
        <v>0.840909</v>
      </c>
      <c r="D30" s="0" t="n">
        <v>5E-007</v>
      </c>
      <c r="E30" s="6" t="b">
        <f aca="false">ABS(B30-C30)&lt;=D30</f>
        <v>1</v>
      </c>
    </row>
    <row r="31" customFormat="false" ht="15" hidden="false" customHeight="false" outlineLevel="0" collapsed="false">
      <c r="A31" s="0" t="s">
        <v>67</v>
      </c>
      <c r="B31" s="0" t="n">
        <f aca="false">COUNTIF(Matching!F4:F403,TRUE())/COUNT(Matching!F4:F403)</f>
        <v>0.931818181818182</v>
      </c>
      <c r="C31" s="0" t="s">
        <v>68</v>
      </c>
    </row>
    <row r="32" customFormat="false" ht="15" hidden="false" customHeight="false" outlineLevel="0" collapsed="false">
      <c r="A32" s="0" t="s">
        <v>69</v>
      </c>
      <c r="B32" s="0" t="n">
        <f aca="false">COUNTA(Timeliness!A4:A18)</f>
        <v>15</v>
      </c>
      <c r="C32" s="4" t="n">
        <v>15</v>
      </c>
      <c r="D32" s="0" t="n">
        <v>0</v>
      </c>
      <c r="E32" s="6" t="b">
        <f aca="false">ABS(B32-C32)&lt;=D32</f>
        <v>1</v>
      </c>
    </row>
    <row r="33" customFormat="false" ht="15" hidden="false" customHeight="false" outlineLevel="0" collapsed="false">
      <c r="A33" s="0" t="s">
        <v>70</v>
      </c>
      <c r="B33" s="0" t="n">
        <f aca="false">COUNTIF(Timeliness!H4:H18,"on_time")</f>
        <v>10</v>
      </c>
      <c r="C33" s="4" t="n">
        <v>10</v>
      </c>
      <c r="D33" s="0" t="n">
        <v>0</v>
      </c>
      <c r="E33" s="6" t="b">
        <f aca="false">ABS(B33-C33)&lt;=D33</f>
        <v>1</v>
      </c>
    </row>
    <row r="34" customFormat="false" ht="15" hidden="false" customHeight="false" outlineLevel="0" collapsed="false">
      <c r="A34" s="0" t="s">
        <v>71</v>
      </c>
      <c r="B34" s="0" t="n">
        <f aca="false">COUNTIF(Timeliness!H4:H18,"pending")</f>
        <v>0</v>
      </c>
      <c r="C34" s="4" t="n">
        <v>0</v>
      </c>
      <c r="D34" s="0" t="n">
        <v>0</v>
      </c>
      <c r="E34" s="6" t="b">
        <f aca="false">ABS(B34-C34)&lt;=D34</f>
        <v>1</v>
      </c>
    </row>
    <row r="35" customFormat="false" ht="15" hidden="false" customHeight="false" outlineLevel="0" collapsed="false">
      <c r="A35" s="0" t="s">
        <v>25</v>
      </c>
      <c r="B35" s="8" t="n">
        <f aca="false">COUNTIF(Timeliness!H4:H18,"on_time")/(COUNTA(Timeliness!A4:A18)-COUNTIF(Timeliness!H4:H18,"pending"))</f>
        <v>0.666666666666667</v>
      </c>
      <c r="C35" s="4" t="n">
        <v>0.666667</v>
      </c>
      <c r="D35" s="0" t="n">
        <v>5E-007</v>
      </c>
      <c r="E35" s="6" t="b">
        <f aca="false">ABS(B35-C35)&lt;=D35</f>
        <v>1</v>
      </c>
    </row>
    <row r="36" customFormat="false" ht="15" hidden="false" customHeight="false" outlineLevel="0" collapsed="false">
      <c r="A36" s="0" t="s">
        <v>72</v>
      </c>
      <c r="B36" s="0" t="n">
        <f aca="false">'Dataset scores'!B53</f>
        <v>2</v>
      </c>
      <c r="C36" s="4" t="n">
        <v>2</v>
      </c>
      <c r="D36" s="0" t="n">
        <v>0</v>
      </c>
      <c r="E36" s="6" t="b">
        <f aca="false">ABS(B36-C36)&lt;=D36</f>
        <v>1</v>
      </c>
    </row>
    <row r="37" customFormat="false" ht="15" hidden="false" customHeight="false" outlineLevel="0" collapsed="false">
      <c r="A37" s="0" t="s">
        <v>73</v>
      </c>
      <c r="B37" s="0" t="n">
        <f aca="false">'Dataset scores'!B52</f>
        <v>1</v>
      </c>
      <c r="C37" s="4" t="n">
        <v>1</v>
      </c>
      <c r="D37" s="0" t="n">
        <v>0</v>
      </c>
      <c r="E37" s="6" t="b">
        <f aca="false">ABS(B37-C37)&lt;=D37</f>
        <v>1</v>
      </c>
    </row>
    <row r="38" customFormat="false" ht="15" hidden="false" customHeight="false" outlineLevel="0" collapsed="false">
      <c r="A38" s="0" t="s">
        <v>74</v>
      </c>
      <c r="B38" s="0" t="n">
        <f aca="false">'Dataset scores'!B54</f>
        <v>1</v>
      </c>
      <c r="C38" s="4" t="n">
        <v>1</v>
      </c>
      <c r="D38" s="0" t="n">
        <v>0</v>
      </c>
      <c r="E38" s="6" t="b">
        <f aca="false">ABS(B38-C38)&lt;=D38</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7" min="7" style="0" width="14"/>
    <col collapsed="false" customWidth="true" hidden="false" outlineLevel="0" max="9" min="9" style="0" width="14"/>
  </cols>
  <sheetData>
    <row r="1" customFormat="false" ht="17.35" hidden="false" customHeight="false" outlineLevel="0" collapsed="false">
      <c r="A1" s="1" t="s">
        <v>75</v>
      </c>
    </row>
    <row r="2" customFormat="false" ht="15" hidden="false" customHeight="false" outlineLevel="0" collapsed="false">
      <c r="A2" s="0" t="s">
        <v>76</v>
      </c>
    </row>
    <row r="3" customFormat="false" ht="41.75" hidden="false" customHeight="false" outlineLevel="0" collapsed="false">
      <c r="A3" s="10" t="s">
        <v>77</v>
      </c>
      <c r="B3" s="7" t="s">
        <v>21</v>
      </c>
      <c r="C3" s="7" t="s">
        <v>22</v>
      </c>
      <c r="D3" s="7" t="s">
        <v>23</v>
      </c>
      <c r="E3" s="7" t="s">
        <v>24</v>
      </c>
      <c r="F3" s="7" t="s">
        <v>25</v>
      </c>
      <c r="G3" s="7" t="s">
        <v>78</v>
      </c>
      <c r="H3" s="7" t="s">
        <v>79</v>
      </c>
      <c r="I3" s="7" t="s">
        <v>80</v>
      </c>
      <c r="J3" s="7" t="s">
        <v>81</v>
      </c>
      <c r="K3" s="7" t="s">
        <v>82</v>
      </c>
      <c r="L3" s="7" t="s">
        <v>83</v>
      </c>
      <c r="M3" s="7" t="s">
        <v>84</v>
      </c>
      <c r="N3" s="7" t="s">
        <v>85</v>
      </c>
      <c r="O3" s="7" t="s">
        <v>86</v>
      </c>
      <c r="P3" s="7" t="s">
        <v>87</v>
      </c>
      <c r="Q3" s="7" t="s">
        <v>88</v>
      </c>
      <c r="R3" s="7" t="s">
        <v>89</v>
      </c>
      <c r="S3" s="7" t="s">
        <v>90</v>
      </c>
      <c r="T3" s="7" t="s">
        <v>91</v>
      </c>
      <c r="U3" s="7" t="s">
        <v>30</v>
      </c>
    </row>
    <row r="4" customFormat="false" ht="15" hidden="false" customHeight="false" outlineLevel="0" collapsed="false">
      <c r="A4" s="0" t="s">
        <v>92</v>
      </c>
      <c r="B4" s="8" t="str">
        <f aca="false">IFERROR(AVERAGEIFS('Rule results'!$I$4:$I$58,'Rule results'!$B$4:$B$58,$A4,'Rule results'!$C$4:$C$58,B$3),"")</f>
        <v/>
      </c>
      <c r="C4" s="8" t="str">
        <f aca="false">IFERROR(AVERAGEIFS('Rule results'!$I$4:$I$58,'Rule results'!$B$4:$B$58,$A4,'Rule results'!$C$4:$C$58,C$3),"")</f>
        <v/>
      </c>
      <c r="D4" s="8" t="n">
        <f aca="false">IFERROR(AVERAGEIFS('Rule results'!$I$4:$I$58,'Rule results'!$B$4:$B$58,$A4,'Rule results'!$C$4:$C$58,D$3),"")</f>
        <v>1</v>
      </c>
      <c r="E4" s="8" t="n">
        <f aca="false">IFERROR(AVERAGEIFS('Rule results'!$I$4:$I$58,'Rule results'!$B$4:$B$58,$A4,'Rule results'!$C$4:$C$58,E$3),"")</f>
        <v>0.95</v>
      </c>
      <c r="F4" s="8" t="str">
        <f aca="false">IFERROR(AVERAGEIFS('Rule results'!$I$4:$I$58,'Rule results'!$B$4:$B$58,$A4,'Rule results'!$C$4:$C$58,F$3),"")</f>
        <v/>
      </c>
      <c r="G4" s="11" t="n">
        <f aca="false">IF(ISNUMBER(B4),Weights!$C$4,0)+IF(ISNUMBER(C4),Weights!$D$4,0)+IF(ISNUMBER(D4),Weights!$E$4,0)+IF(ISNUMBER(E4),Weights!$F$4,0)+IF(ISNUMBER(F4),Weights!$G$4,0)</f>
        <v>0.25</v>
      </c>
      <c r="H4" s="8" t="n">
        <f aca="false">IF(G4=0,"",(IF(ISNUMBER(B4),Weights!$C$4*B4,0)+IF(ISNUMBER(C4),Weights!$D$4*C4,0)+IF(ISNUMBER(D4),Weights!$E$4*D4,0)+IF(ISNUMBER(E4),Weights!$F$4*E4,0)+IF(ISNUMBER(F4),Weights!$G$4*F4,0))/G4)</f>
        <v>0.99</v>
      </c>
      <c r="I4" s="11" t="n">
        <f aca="false">IF(ISNUMBER(B4),Weights!$C$5,0)+IF(ISNUMBER(C4),Weights!$D$5,0)+IF(ISNUMBER(D4),Weights!$E$5,0)+IF(ISNUMBER(E4),Weights!$F$5,0)+IF(ISNUMBER(F4),Weights!$G$5,0)</f>
        <v>0.4</v>
      </c>
      <c r="J4" s="8" t="n">
        <f aca="false">IF(I4=0,"",(IF(ISNUMBER(B4),Weights!$C$5*B4,0)+IF(ISNUMBER(C4),Weights!$D$5*C4,0)+IF(ISNUMBER(D4),Weights!$E$5*D4,0)+IF(ISNUMBER(E4),Weights!$F$5*E4,0)+IF(ISNUMBER(F4),Weights!$G$5*F4,0))/I4)</f>
        <v>0.98125</v>
      </c>
      <c r="K4" s="8" t="n">
        <f aca="false">IF(AND(ISNUMBER(H4),ISNUMBER(J4)),J4-H4,"")</f>
        <v>-0.00875000000000015</v>
      </c>
      <c r="L4" s="8" t="n">
        <f aca="false">IF(Controls!$B$3="w1",H4,J4)</f>
        <v>0.98125</v>
      </c>
      <c r="M4" s="11" t="n">
        <f aca="false">SUMIFS('Rule results'!$G$4:$G$58,'Rule results'!$B$4:$B$58,$A4,'Rule results'!$D$4:$D$58,"critical")</f>
        <v>0</v>
      </c>
      <c r="N4" s="11" t="n">
        <f aca="false">COUNTIFS(Issues!$B$4:$B$577,$A4,Issues!$E$4:$E$577,"critical",Issues!$U$4:$U$577,"&lt;&gt;resolved")</f>
        <v>0</v>
      </c>
      <c r="O4" s="6" t="b">
        <f aca="false">OR(M4&gt;0,N4&gt;0)</f>
        <v>0</v>
      </c>
      <c r="P4" s="11" t="n">
        <f aca="false">IF(ISNUMBER(K4),IF(ABS(K4)&gt;0.000000000001,1,0),"")</f>
        <v>1</v>
      </c>
      <c r="Q4" s="11" t="n">
        <f aca="false">IF(ISNUMBER(K4),IF(ABS(K4)&gt;=0.005,1,0),"")</f>
        <v>1</v>
      </c>
      <c r="R4" s="11" t="n">
        <f aca="false">IF(ISNUMBER(K4),ABS(K4),"")</f>
        <v>0.00875000000000015</v>
      </c>
      <c r="S4" s="11" t="n">
        <f aca="false">'Domain reference'!B4</f>
        <v>0.99</v>
      </c>
      <c r="T4" s="11" t="n">
        <f aca="false">'Domain reference'!C4</f>
        <v>0.98125</v>
      </c>
      <c r="U4" s="6" t="b">
        <f aca="false">AND(IF(ISNUMBER(H4),ISNUMBER(S4),NOT(ISNUMBER(S4))),IF(ISNUMBER(J4),ISNUMBER(T4),NOT(ISNUMBER(T4))),IF(ISNUMBER(H4),ABS(ROUND(H4,6)-S4)&lt;0.0000005,TRUE()),IF(ISNUMBER(J4),ABS(ROUND(J4,6)-T4)&lt;0.0000005,TRUE()))</f>
        <v>1</v>
      </c>
    </row>
    <row r="5" customFormat="false" ht="15" hidden="false" customHeight="false" outlineLevel="0" collapsed="false">
      <c r="A5" s="0" t="s">
        <v>93</v>
      </c>
      <c r="B5" s="8" t="str">
        <f aca="false">IFERROR(AVERAGEIFS('Rule results'!$I$4:$I$58,'Rule results'!$B$4:$B$58,$A5,'Rule results'!$C$4:$C$58,B$3),"")</f>
        <v/>
      </c>
      <c r="C5" s="8" t="str">
        <f aca="false">IFERROR(AVERAGEIFS('Rule results'!$I$4:$I$58,'Rule results'!$B$4:$B$58,$A5,'Rule results'!$C$4:$C$58,C$3),"")</f>
        <v/>
      </c>
      <c r="D5" s="8" t="str">
        <f aca="false">IFERROR(AVERAGEIFS('Rule results'!$I$4:$I$58,'Rule results'!$B$4:$B$58,$A5,'Rule results'!$C$4:$C$58,D$3),"")</f>
        <v/>
      </c>
      <c r="E5" s="8" t="str">
        <f aca="false">IFERROR(AVERAGEIFS('Rule results'!$I$4:$I$58,'Rule results'!$B$4:$B$58,$A5,'Rule results'!$C$4:$C$58,E$3),"")</f>
        <v/>
      </c>
      <c r="F5" s="8" t="str">
        <f aca="false">IFERROR(AVERAGEIFS('Rule results'!$I$4:$I$58,'Rule results'!$B$4:$B$58,$A5,'Rule results'!$C$4:$C$58,F$3),"")</f>
        <v/>
      </c>
      <c r="G5" s="11" t="n">
        <f aca="false">IF(ISNUMBER(B5),Weights!$C$4,0)+IF(ISNUMBER(C5),Weights!$D$4,0)+IF(ISNUMBER(D5),Weights!$E$4,0)+IF(ISNUMBER(E5),Weights!$F$4,0)+IF(ISNUMBER(F5),Weights!$G$4,0)</f>
        <v>0</v>
      </c>
      <c r="H5" s="8" t="str">
        <f aca="false">IF(G5=0,"",(IF(ISNUMBER(B5),Weights!$C$4*B5,0)+IF(ISNUMBER(C5),Weights!$D$4*C5,0)+IF(ISNUMBER(D5),Weights!$E$4*D5,0)+IF(ISNUMBER(E5),Weights!$F$4*E5,0)+IF(ISNUMBER(F5),Weights!$G$4*F5,0))/G5)</f>
        <v/>
      </c>
      <c r="I5" s="11" t="n">
        <f aca="false">IF(ISNUMBER(B5),Weights!$C$5,0)+IF(ISNUMBER(C5),Weights!$D$5,0)+IF(ISNUMBER(D5),Weights!$E$5,0)+IF(ISNUMBER(E5),Weights!$F$5,0)+IF(ISNUMBER(F5),Weights!$G$5,0)</f>
        <v>0</v>
      </c>
      <c r="J5" s="8" t="str">
        <f aca="false">IF(I5=0,"",(IF(ISNUMBER(B5),Weights!$C$5*B5,0)+IF(ISNUMBER(C5),Weights!$D$5*C5,0)+IF(ISNUMBER(D5),Weights!$E$5*D5,0)+IF(ISNUMBER(E5),Weights!$F$5*E5,0)+IF(ISNUMBER(F5),Weights!$G$5*F5,0))/I5)</f>
        <v/>
      </c>
      <c r="K5" s="8" t="str">
        <f aca="false">IF(AND(ISNUMBER(H5),ISNUMBER(J5)),J5-H5,"")</f>
        <v/>
      </c>
      <c r="L5" s="8" t="str">
        <f aca="false">IF(Controls!$B$3="w1",H5,J5)</f>
        <v/>
      </c>
      <c r="M5" s="11" t="n">
        <f aca="false">SUMIFS('Rule results'!$G$4:$G$58,'Rule results'!$B$4:$B$58,$A5,'Rule results'!$D$4:$D$58,"critical")</f>
        <v>0</v>
      </c>
      <c r="N5" s="11" t="n">
        <f aca="false">COUNTIFS(Issues!$B$4:$B$577,$A5,Issues!$E$4:$E$577,"critical",Issues!$U$4:$U$577,"&lt;&gt;resolved")</f>
        <v>0</v>
      </c>
      <c r="O5" s="6" t="b">
        <f aca="false">OR(M5&gt;0,N5&gt;0)</f>
        <v>0</v>
      </c>
      <c r="P5" s="0" t="str">
        <f aca="false">IF(ISNUMBER(K5),IF(ABS(K5)&gt;0.000000000001,1,0),"")</f>
        <v/>
      </c>
      <c r="Q5" s="0" t="str">
        <f aca="false">IF(ISNUMBER(K5),IF(ABS(K5)&gt;=0.005,1,0),"")</f>
        <v/>
      </c>
      <c r="R5" s="0" t="str">
        <f aca="false">IF(ISNUMBER(K5),ABS(K5),"")</f>
        <v/>
      </c>
      <c r="S5" s="0" t="str">
        <f aca="false">'Domain reference'!B5</f>
        <v>not measured</v>
      </c>
      <c r="T5" s="0" t="str">
        <f aca="false">'Domain reference'!C5</f>
        <v>not measured</v>
      </c>
      <c r="U5" s="6" t="b">
        <f aca="false">AND(IF(ISNUMBER(H5),ISNUMBER(S5),NOT(ISNUMBER(S5))),IF(ISNUMBER(J5),ISNUMBER(T5),NOT(ISNUMBER(T5))),IF(ISNUMBER(H5),ABS(ROUND(H5,6)-S5)&lt;0.0000005,TRUE()),IF(ISNUMBER(J5),ABS(ROUND(J5,6)-T5)&lt;0.0000005,TRUE()))</f>
        <v>1</v>
      </c>
    </row>
    <row r="6" customFormat="false" ht="15" hidden="false" customHeight="false" outlineLevel="0" collapsed="false">
      <c r="A6" s="0" t="s">
        <v>94</v>
      </c>
      <c r="B6" s="8" t="str">
        <f aca="false">IFERROR(AVERAGEIFS('Rule results'!$I$4:$I$58,'Rule results'!$B$4:$B$58,$A6,'Rule results'!$C$4:$C$58,B$3),"")</f>
        <v/>
      </c>
      <c r="C6" s="8" t="str">
        <f aca="false">IFERROR(AVERAGEIFS('Rule results'!$I$4:$I$58,'Rule results'!$B$4:$B$58,$A6,'Rule results'!$C$4:$C$58,C$3),"")</f>
        <v/>
      </c>
      <c r="D6" s="8" t="str">
        <f aca="false">IFERROR(AVERAGEIFS('Rule results'!$I$4:$I$58,'Rule results'!$B$4:$B$58,$A6,'Rule results'!$C$4:$C$58,D$3),"")</f>
        <v/>
      </c>
      <c r="E6" s="8" t="str">
        <f aca="false">IFERROR(AVERAGEIFS('Rule results'!$I$4:$I$58,'Rule results'!$B$4:$B$58,$A6,'Rule results'!$C$4:$C$58,E$3),"")</f>
        <v/>
      </c>
      <c r="F6" s="8" t="str">
        <f aca="false">IFERROR(AVERAGEIFS('Rule results'!$I$4:$I$58,'Rule results'!$B$4:$B$58,$A6,'Rule results'!$C$4:$C$58,F$3),"")</f>
        <v/>
      </c>
      <c r="G6" s="11" t="n">
        <f aca="false">IF(ISNUMBER(B6),Weights!$C$4,0)+IF(ISNUMBER(C6),Weights!$D$4,0)+IF(ISNUMBER(D6),Weights!$E$4,0)+IF(ISNUMBER(E6),Weights!$F$4,0)+IF(ISNUMBER(F6),Weights!$G$4,0)</f>
        <v>0</v>
      </c>
      <c r="H6" s="8" t="str">
        <f aca="false">IF(G6=0,"",(IF(ISNUMBER(B6),Weights!$C$4*B6,0)+IF(ISNUMBER(C6),Weights!$D$4*C6,0)+IF(ISNUMBER(D6),Weights!$E$4*D6,0)+IF(ISNUMBER(E6),Weights!$F$4*E6,0)+IF(ISNUMBER(F6),Weights!$G$4*F6,0))/G6)</f>
        <v/>
      </c>
      <c r="I6" s="11" t="n">
        <f aca="false">IF(ISNUMBER(B6),Weights!$C$5,0)+IF(ISNUMBER(C6),Weights!$D$5,0)+IF(ISNUMBER(D6),Weights!$E$5,0)+IF(ISNUMBER(E6),Weights!$F$5,0)+IF(ISNUMBER(F6),Weights!$G$5,0)</f>
        <v>0</v>
      </c>
      <c r="J6" s="8" t="str">
        <f aca="false">IF(I6=0,"",(IF(ISNUMBER(B6),Weights!$C$5*B6,0)+IF(ISNUMBER(C6),Weights!$D$5*C6,0)+IF(ISNUMBER(D6),Weights!$E$5*D6,0)+IF(ISNUMBER(E6),Weights!$F$5*E6,0)+IF(ISNUMBER(F6),Weights!$G$5*F6,0))/I6)</f>
        <v/>
      </c>
      <c r="K6" s="8" t="str">
        <f aca="false">IF(AND(ISNUMBER(H6),ISNUMBER(J6)),J6-H6,"")</f>
        <v/>
      </c>
      <c r="L6" s="8" t="str">
        <f aca="false">IF(Controls!$B$3="w1",H6,J6)</f>
        <v/>
      </c>
      <c r="M6" s="11" t="n">
        <f aca="false">SUMIFS('Rule results'!$G$4:$G$58,'Rule results'!$B$4:$B$58,$A6,'Rule results'!$D$4:$D$58,"critical")</f>
        <v>0</v>
      </c>
      <c r="N6" s="11" t="n">
        <f aca="false">COUNTIFS(Issues!$B$4:$B$577,$A6,Issues!$E$4:$E$577,"critical",Issues!$U$4:$U$577,"&lt;&gt;resolved")</f>
        <v>0</v>
      </c>
      <c r="O6" s="6" t="b">
        <f aca="false">OR(M6&gt;0,N6&gt;0)</f>
        <v>0</v>
      </c>
      <c r="P6" s="0" t="str">
        <f aca="false">IF(ISNUMBER(K6),IF(ABS(K6)&gt;0.000000000001,1,0),"")</f>
        <v/>
      </c>
      <c r="Q6" s="0" t="str">
        <f aca="false">IF(ISNUMBER(K6),IF(ABS(K6)&gt;=0.005,1,0),"")</f>
        <v/>
      </c>
      <c r="R6" s="0" t="str">
        <f aca="false">IF(ISNUMBER(K6),ABS(K6),"")</f>
        <v/>
      </c>
      <c r="S6" s="0" t="str">
        <f aca="false">'Domain reference'!B6</f>
        <v>not measured</v>
      </c>
      <c r="T6" s="0" t="str">
        <f aca="false">'Domain reference'!C6</f>
        <v>not measured</v>
      </c>
      <c r="U6" s="6" t="b">
        <f aca="false">AND(IF(ISNUMBER(H6),ISNUMBER(S6),NOT(ISNUMBER(S6))),IF(ISNUMBER(J6),ISNUMBER(T6),NOT(ISNUMBER(T6))),IF(ISNUMBER(H6),ABS(ROUND(H6,6)-S6)&lt;0.0000005,TRUE()),IF(ISNUMBER(J6),ABS(ROUND(J6,6)-T6)&lt;0.0000005,TRUE()))</f>
        <v>1</v>
      </c>
    </row>
    <row r="7" customFormat="false" ht="15" hidden="false" customHeight="false" outlineLevel="0" collapsed="false">
      <c r="A7" s="0" t="s">
        <v>95</v>
      </c>
      <c r="B7" s="8" t="str">
        <f aca="false">IFERROR(AVERAGEIFS('Rule results'!$I$4:$I$58,'Rule results'!$B$4:$B$58,$A7,'Rule results'!$C$4:$C$58,B$3),"")</f>
        <v/>
      </c>
      <c r="C7" s="8" t="n">
        <f aca="false">IFERROR(AVERAGEIFS('Rule results'!$I$4:$I$58,'Rule results'!$B$4:$B$58,$A7,'Rule results'!$C$4:$C$58,C$3),"")</f>
        <v>0.966386554621849</v>
      </c>
      <c r="D7" s="8" t="str">
        <f aca="false">IFERROR(AVERAGEIFS('Rule results'!$I$4:$I$58,'Rule results'!$B$4:$B$58,$A7,'Rule results'!$C$4:$C$58,D$3),"")</f>
        <v/>
      </c>
      <c r="E7" s="8" t="str">
        <f aca="false">IFERROR(AVERAGEIFS('Rule results'!$I$4:$I$58,'Rule results'!$B$4:$B$58,$A7,'Rule results'!$C$4:$C$58,E$3),"")</f>
        <v/>
      </c>
      <c r="F7" s="8" t="str">
        <f aca="false">IFERROR(AVERAGEIFS('Rule results'!$I$4:$I$58,'Rule results'!$B$4:$B$58,$A7,'Rule results'!$C$4:$C$58,F$3),"")</f>
        <v/>
      </c>
      <c r="G7" s="11" t="n">
        <f aca="false">IF(ISNUMBER(B7),Weights!$C$4,0)+IF(ISNUMBER(C7),Weights!$D$4,0)+IF(ISNUMBER(D7),Weights!$E$4,0)+IF(ISNUMBER(E7),Weights!$F$4,0)+IF(ISNUMBER(F7),Weights!$G$4,0)</f>
        <v>0.3</v>
      </c>
      <c r="H7" s="8" t="n">
        <f aca="false">IF(G7=0,"",(IF(ISNUMBER(B7),Weights!$C$4*B7,0)+IF(ISNUMBER(C7),Weights!$D$4*C7,0)+IF(ISNUMBER(D7),Weights!$E$4*D7,0)+IF(ISNUMBER(E7),Weights!$F$4*E7,0)+IF(ISNUMBER(F7),Weights!$G$4*F7,0))/G7)</f>
        <v>0.966386554621849</v>
      </c>
      <c r="I7" s="11" t="n">
        <f aca="false">IF(ISNUMBER(B7),Weights!$C$5,0)+IF(ISNUMBER(C7),Weights!$D$5,0)+IF(ISNUMBER(D7),Weights!$E$5,0)+IF(ISNUMBER(E7),Weights!$F$5,0)+IF(ISNUMBER(F7),Weights!$G$5,0)</f>
        <v>0.25</v>
      </c>
      <c r="J7" s="8" t="n">
        <f aca="false">IF(I7=0,"",(IF(ISNUMBER(B7),Weights!$C$5*B7,0)+IF(ISNUMBER(C7),Weights!$D$5*C7,0)+IF(ISNUMBER(D7),Weights!$E$5*D7,0)+IF(ISNUMBER(E7),Weights!$F$5*E7,0)+IF(ISNUMBER(F7),Weights!$G$5*F7,0))/I7)</f>
        <v>0.966386554621849</v>
      </c>
      <c r="K7" s="8" t="n">
        <f aca="false">IF(AND(ISNUMBER(H7),ISNUMBER(J7)),J7-H7,"")</f>
        <v>0</v>
      </c>
      <c r="L7" s="8" t="n">
        <f aca="false">IF(Controls!$B$3="w1",H7,J7)</f>
        <v>0.966386554621849</v>
      </c>
      <c r="M7" s="11" t="n">
        <f aca="false">SUMIFS('Rule results'!$G$4:$G$58,'Rule results'!$B$4:$B$58,$A7,'Rule results'!$D$4:$D$58,"critical")</f>
        <v>0</v>
      </c>
      <c r="N7" s="11" t="n">
        <f aca="false">COUNTIFS(Issues!$B$4:$B$577,$A7,Issues!$E$4:$E$577,"critical",Issues!$U$4:$U$577,"&lt;&gt;resolved")</f>
        <v>0</v>
      </c>
      <c r="O7" s="6" t="b">
        <f aca="false">OR(M7&gt;0,N7&gt;0)</f>
        <v>0</v>
      </c>
      <c r="P7" s="11" t="n">
        <f aca="false">IF(ISNUMBER(K7),IF(ABS(K7)&gt;0.000000000001,1,0),"")</f>
        <v>0</v>
      </c>
      <c r="Q7" s="11" t="n">
        <f aca="false">IF(ISNUMBER(K7),IF(ABS(K7)&gt;=0.005,1,0),"")</f>
        <v>0</v>
      </c>
      <c r="R7" s="11" t="n">
        <f aca="false">IF(ISNUMBER(K7),ABS(K7),"")</f>
        <v>0</v>
      </c>
      <c r="S7" s="11" t="n">
        <f aca="false">'Domain reference'!B7</f>
        <v>0.966387</v>
      </c>
      <c r="T7" s="11" t="n">
        <f aca="false">'Domain reference'!C7</f>
        <v>0.966387</v>
      </c>
      <c r="U7" s="6" t="b">
        <f aca="false">AND(IF(ISNUMBER(H7),ISNUMBER(S7),NOT(ISNUMBER(S7))),IF(ISNUMBER(J7),ISNUMBER(T7),NOT(ISNUMBER(T7))),IF(ISNUMBER(H7),ABS(ROUND(H7,6)-S7)&lt;0.0000005,TRUE()),IF(ISNUMBER(J7),ABS(ROUND(J7,6)-T7)&lt;0.0000005,TRUE()))</f>
        <v>1</v>
      </c>
    </row>
    <row r="8" customFormat="false" ht="15" hidden="false" customHeight="false" outlineLevel="0" collapsed="false">
      <c r="A8" s="0" t="s">
        <v>96</v>
      </c>
      <c r="B8" s="8" t="n">
        <f aca="false">IFERROR(AVERAGEIFS('Rule results'!$I$4:$I$58,'Rule results'!$B$4:$B$58,$A8,'Rule results'!$C$4:$C$58,B$3),"")</f>
        <v>0.905882352941177</v>
      </c>
      <c r="C8" s="8" t="str">
        <f aca="false">IFERROR(AVERAGEIFS('Rule results'!$I$4:$I$58,'Rule results'!$B$4:$B$58,$A8,'Rule results'!$C$4:$C$58,C$3),"")</f>
        <v/>
      </c>
      <c r="D8" s="8" t="str">
        <f aca="false">IFERROR(AVERAGEIFS('Rule results'!$I$4:$I$58,'Rule results'!$B$4:$B$58,$A8,'Rule results'!$C$4:$C$58,D$3),"")</f>
        <v/>
      </c>
      <c r="E8" s="8" t="str">
        <f aca="false">IFERROR(AVERAGEIFS('Rule results'!$I$4:$I$58,'Rule results'!$B$4:$B$58,$A8,'Rule results'!$C$4:$C$58,E$3),"")</f>
        <v/>
      </c>
      <c r="F8" s="8" t="n">
        <f aca="false">IFERROR(AVERAGEIFS('Rule results'!$I$4:$I$58,'Rule results'!$B$4:$B$58,$A8,'Rule results'!$C$4:$C$58,F$3),"")</f>
        <v>1</v>
      </c>
      <c r="G8" s="11" t="n">
        <f aca="false">IF(ISNUMBER(B8),Weights!$C$4,0)+IF(ISNUMBER(C8),Weights!$D$4,0)+IF(ISNUMBER(D8),Weights!$E$4,0)+IF(ISNUMBER(E8),Weights!$F$4,0)+IF(ISNUMBER(F8),Weights!$G$4,0)</f>
        <v>0.45</v>
      </c>
      <c r="H8" s="8" t="n">
        <f aca="false">IF(G8=0,"",(IF(ISNUMBER(B8),Weights!$C$4*B8,0)+IF(ISNUMBER(C8),Weights!$D$4*C8,0)+IF(ISNUMBER(D8),Weights!$E$4*D8,0)+IF(ISNUMBER(E8),Weights!$F$4*E8,0)+IF(ISNUMBER(F8),Weights!$G$4*F8,0))/G8)</f>
        <v>0.916339869281046</v>
      </c>
      <c r="I8" s="11" t="n">
        <f aca="false">IF(ISNUMBER(B8),Weights!$C$5,0)+IF(ISNUMBER(C8),Weights!$D$5,0)+IF(ISNUMBER(D8),Weights!$E$5,0)+IF(ISNUMBER(E8),Weights!$F$5,0)+IF(ISNUMBER(F8),Weights!$G$5,0)</f>
        <v>0.35</v>
      </c>
      <c r="J8" s="8" t="n">
        <f aca="false">IF(I8=0,"",(IF(ISNUMBER(B8),Weights!$C$5*B8,0)+IF(ISNUMBER(C8),Weights!$D$5*C8,0)+IF(ISNUMBER(D8),Weights!$E$5*D8,0)+IF(ISNUMBER(E8),Weights!$F$5*E8,0)+IF(ISNUMBER(F8),Weights!$G$5*F8,0))/I8)</f>
        <v>0.932773109243698</v>
      </c>
      <c r="K8" s="8" t="n">
        <f aca="false">IF(AND(ISNUMBER(H8),ISNUMBER(J8)),J8-H8,"")</f>
        <v>0.0164332399626519</v>
      </c>
      <c r="L8" s="8" t="n">
        <f aca="false">IF(Controls!$B$3="w1",H8,J8)</f>
        <v>0.932773109243698</v>
      </c>
      <c r="M8" s="11" t="n">
        <f aca="false">SUMIFS('Rule results'!$G$4:$G$58,'Rule results'!$B$4:$B$58,$A8,'Rule results'!$D$4:$D$58,"critical")</f>
        <v>0</v>
      </c>
      <c r="N8" s="11" t="n">
        <f aca="false">COUNTIFS(Issues!$B$4:$B$577,$A8,Issues!$E$4:$E$577,"critical",Issues!$U$4:$U$577,"&lt;&gt;resolved")</f>
        <v>0</v>
      </c>
      <c r="O8" s="6" t="b">
        <f aca="false">OR(M8&gt;0,N8&gt;0)</f>
        <v>0</v>
      </c>
      <c r="P8" s="11" t="n">
        <f aca="false">IF(ISNUMBER(K8),IF(ABS(K8)&gt;0.000000000001,1,0),"")</f>
        <v>1</v>
      </c>
      <c r="Q8" s="11" t="n">
        <f aca="false">IF(ISNUMBER(K8),IF(ABS(K8)&gt;=0.005,1,0),"")</f>
        <v>1</v>
      </c>
      <c r="R8" s="11" t="n">
        <f aca="false">IF(ISNUMBER(K8),ABS(K8),"")</f>
        <v>0.0164332399626519</v>
      </c>
      <c r="S8" s="11" t="n">
        <f aca="false">'Domain reference'!B8</f>
        <v>0.91634</v>
      </c>
      <c r="T8" s="11" t="n">
        <f aca="false">'Domain reference'!C8</f>
        <v>0.932773</v>
      </c>
      <c r="U8" s="6" t="b">
        <f aca="false">AND(IF(ISNUMBER(H8),ISNUMBER(S8),NOT(ISNUMBER(S8))),IF(ISNUMBER(J8),ISNUMBER(T8),NOT(ISNUMBER(T8))),IF(ISNUMBER(H8),ABS(ROUND(H8,6)-S8)&lt;0.0000005,TRUE()),IF(ISNUMBER(J8),ABS(ROUND(J8,6)-T8)&lt;0.0000005,TRUE()))</f>
        <v>1</v>
      </c>
    </row>
    <row r="9" customFormat="false" ht="15" hidden="false" customHeight="false" outlineLevel="0" collapsed="false">
      <c r="A9" s="0" t="s">
        <v>97</v>
      </c>
      <c r="B9" s="8" t="n">
        <f aca="false">IFERROR(AVERAGEIFS('Rule results'!$I$4:$I$58,'Rule results'!$B$4:$B$58,$A9,'Rule results'!$C$4:$C$58,B$3),"")</f>
        <v>0.982142857142857</v>
      </c>
      <c r="C9" s="8" t="str">
        <f aca="false">IFERROR(AVERAGEIFS('Rule results'!$I$4:$I$58,'Rule results'!$B$4:$B$58,$A9,'Rule results'!$C$4:$C$58,C$3),"")</f>
        <v/>
      </c>
      <c r="D9" s="8" t="str">
        <f aca="false">IFERROR(AVERAGEIFS('Rule results'!$I$4:$I$58,'Rule results'!$B$4:$B$58,$A9,'Rule results'!$C$4:$C$58,D$3),"")</f>
        <v/>
      </c>
      <c r="E9" s="8" t="n">
        <f aca="false">IFERROR(AVERAGEIFS('Rule results'!$I$4:$I$58,'Rule results'!$B$4:$B$58,$A9,'Rule results'!$C$4:$C$58,E$3),"")</f>
        <v>1</v>
      </c>
      <c r="F9" s="8" t="str">
        <f aca="false">IFERROR(AVERAGEIFS('Rule results'!$I$4:$I$58,'Rule results'!$B$4:$B$58,$A9,'Rule results'!$C$4:$C$58,F$3),"")</f>
        <v/>
      </c>
      <c r="G9" s="11" t="n">
        <f aca="false">IF(ISNUMBER(B9),Weights!$C$4,0)+IF(ISNUMBER(C9),Weights!$D$4,0)+IF(ISNUMBER(D9),Weights!$E$4,0)+IF(ISNUMBER(E9),Weights!$F$4,0)+IF(ISNUMBER(F9),Weights!$G$4,0)</f>
        <v>0.45</v>
      </c>
      <c r="H9" s="8" t="n">
        <f aca="false">IF(G9=0,"",(IF(ISNUMBER(B9),Weights!$C$4*B9,0)+IF(ISNUMBER(C9),Weights!$D$4*C9,0)+IF(ISNUMBER(D9),Weights!$E$4*D9,0)+IF(ISNUMBER(E9),Weights!$F$4*E9,0)+IF(ISNUMBER(F9),Weights!$G$4*F9,0))/G9)</f>
        <v>0.984126984126984</v>
      </c>
      <c r="I9" s="11" t="n">
        <f aca="false">IF(ISNUMBER(B9),Weights!$C$5,0)+IF(ISNUMBER(C9),Weights!$D$5,0)+IF(ISNUMBER(D9),Weights!$E$5,0)+IF(ISNUMBER(E9),Weights!$F$5,0)+IF(ISNUMBER(F9),Weights!$G$5,0)</f>
        <v>0.4</v>
      </c>
      <c r="J9" s="8" t="n">
        <f aca="false">IF(I9=0,"",(IF(ISNUMBER(B9),Weights!$C$5*B9,0)+IF(ISNUMBER(C9),Weights!$D$5*C9,0)+IF(ISNUMBER(D9),Weights!$E$5*D9,0)+IF(ISNUMBER(E9),Weights!$F$5*E9,0)+IF(ISNUMBER(F9),Weights!$G$5*F9,0))/I9)</f>
        <v>0.988839285714286</v>
      </c>
      <c r="K9" s="8" t="n">
        <f aca="false">IF(AND(ISNUMBER(H9),ISNUMBER(J9)),J9-H9,"")</f>
        <v>0.00471230158730152</v>
      </c>
      <c r="L9" s="8" t="n">
        <f aca="false">IF(Controls!$B$3="w1",H9,J9)</f>
        <v>0.988839285714286</v>
      </c>
      <c r="M9" s="11" t="n">
        <f aca="false">SUMIFS('Rule results'!$G$4:$G$58,'Rule results'!$B$4:$B$58,$A9,'Rule results'!$D$4:$D$58,"critical")</f>
        <v>0</v>
      </c>
      <c r="N9" s="11" t="n">
        <f aca="false">COUNTIFS(Issues!$B$4:$B$577,$A9,Issues!$E$4:$E$577,"critical",Issues!$U$4:$U$577,"&lt;&gt;resolved")</f>
        <v>0</v>
      </c>
      <c r="O9" s="6" t="b">
        <f aca="false">OR(M9&gt;0,N9&gt;0)</f>
        <v>0</v>
      </c>
      <c r="P9" s="11" t="n">
        <f aca="false">IF(ISNUMBER(K9),IF(ABS(K9)&gt;0.000000000001,1,0),"")</f>
        <v>1</v>
      </c>
      <c r="Q9" s="11" t="n">
        <f aca="false">IF(ISNUMBER(K9),IF(ABS(K9)&gt;=0.005,1,0),"")</f>
        <v>0</v>
      </c>
      <c r="R9" s="11" t="n">
        <f aca="false">IF(ISNUMBER(K9),ABS(K9),"")</f>
        <v>0.00471230158730152</v>
      </c>
      <c r="S9" s="11" t="n">
        <f aca="false">'Domain reference'!B9</f>
        <v>0.984127</v>
      </c>
      <c r="T9" s="11" t="n">
        <f aca="false">'Domain reference'!C9</f>
        <v>0.988839</v>
      </c>
      <c r="U9" s="6" t="b">
        <f aca="false">AND(IF(ISNUMBER(H9),ISNUMBER(S9),NOT(ISNUMBER(S9))),IF(ISNUMBER(J9),ISNUMBER(T9),NOT(ISNUMBER(T9))),IF(ISNUMBER(H9),ABS(ROUND(H9,6)-S9)&lt;0.0000005,TRUE()),IF(ISNUMBER(J9),ABS(ROUND(J9,6)-T9)&lt;0.0000005,TRUE()))</f>
        <v>1</v>
      </c>
    </row>
    <row r="10" customFormat="false" ht="15" hidden="false" customHeight="false" outlineLevel="0" collapsed="false">
      <c r="A10" s="0" t="s">
        <v>98</v>
      </c>
      <c r="B10" s="8" t="str">
        <f aca="false">IFERROR(AVERAGEIFS('Rule results'!$I$4:$I$58,'Rule results'!$B$4:$B$58,$A10,'Rule results'!$C$4:$C$58,B$3),"")</f>
        <v/>
      </c>
      <c r="C10" s="8" t="str">
        <f aca="false">IFERROR(AVERAGEIFS('Rule results'!$I$4:$I$58,'Rule results'!$B$4:$B$58,$A10,'Rule results'!$C$4:$C$58,C$3),"")</f>
        <v/>
      </c>
      <c r="D10" s="8" t="n">
        <f aca="false">IFERROR(AVERAGEIFS('Rule results'!$I$4:$I$58,'Rule results'!$B$4:$B$58,$A10,'Rule results'!$C$4:$C$58,D$3),"")</f>
        <v>0.974358974358974</v>
      </c>
      <c r="E10" s="8" t="str">
        <f aca="false">IFERROR(AVERAGEIFS('Rule results'!$I$4:$I$58,'Rule results'!$B$4:$B$58,$A10,'Rule results'!$C$4:$C$58,E$3),"")</f>
        <v/>
      </c>
      <c r="F10" s="8" t="str">
        <f aca="false">IFERROR(AVERAGEIFS('Rule results'!$I$4:$I$58,'Rule results'!$B$4:$B$58,$A10,'Rule results'!$C$4:$C$58,F$3),"")</f>
        <v/>
      </c>
      <c r="G10" s="11" t="n">
        <f aca="false">IF(ISNUMBER(B10),Weights!$C$4,0)+IF(ISNUMBER(C10),Weights!$D$4,0)+IF(ISNUMBER(D10),Weights!$E$4,0)+IF(ISNUMBER(E10),Weights!$F$4,0)+IF(ISNUMBER(F10),Weights!$G$4,0)</f>
        <v>0.2</v>
      </c>
      <c r="H10" s="8" t="n">
        <f aca="false">IF(G10=0,"",(IF(ISNUMBER(B10),Weights!$C$4*B10,0)+IF(ISNUMBER(C10),Weights!$D$4*C10,0)+IF(ISNUMBER(D10),Weights!$E$4*D10,0)+IF(ISNUMBER(E10),Weights!$F$4*E10,0)+IF(ISNUMBER(F10),Weights!$G$4*F10,0))/G10)</f>
        <v>0.974358974358974</v>
      </c>
      <c r="I10" s="11" t="n">
        <f aca="false">IF(ISNUMBER(B10),Weights!$C$5,0)+IF(ISNUMBER(C10),Weights!$D$5,0)+IF(ISNUMBER(D10),Weights!$E$5,0)+IF(ISNUMBER(E10),Weights!$F$5,0)+IF(ISNUMBER(F10),Weights!$G$5,0)</f>
        <v>0.25</v>
      </c>
      <c r="J10" s="8" t="n">
        <f aca="false">IF(I10=0,"",(IF(ISNUMBER(B10),Weights!$C$5*B10,0)+IF(ISNUMBER(C10),Weights!$D$5*C10,0)+IF(ISNUMBER(D10),Weights!$E$5*D10,0)+IF(ISNUMBER(E10),Weights!$F$5*E10,0)+IF(ISNUMBER(F10),Weights!$G$5*F10,0))/I10)</f>
        <v>0.974358974358974</v>
      </c>
      <c r="K10" s="8" t="n">
        <f aca="false">IF(AND(ISNUMBER(H10),ISNUMBER(J10)),J10-H10,"")</f>
        <v>0</v>
      </c>
      <c r="L10" s="8" t="n">
        <f aca="false">IF(Controls!$B$3="w1",H10,J10)</f>
        <v>0.974358974358974</v>
      </c>
      <c r="M10" s="11" t="n">
        <f aca="false">SUMIFS('Rule results'!$G$4:$G$58,'Rule results'!$B$4:$B$58,$A10,'Rule results'!$D$4:$D$58,"critical")</f>
        <v>0</v>
      </c>
      <c r="N10" s="11" t="n">
        <f aca="false">COUNTIFS(Issues!$B$4:$B$577,$A10,Issues!$E$4:$E$577,"critical",Issues!$U$4:$U$577,"&lt;&gt;resolved")</f>
        <v>0</v>
      </c>
      <c r="O10" s="6" t="b">
        <f aca="false">OR(M10&gt;0,N10&gt;0)</f>
        <v>0</v>
      </c>
      <c r="P10" s="11" t="n">
        <f aca="false">IF(ISNUMBER(K10),IF(ABS(K10)&gt;0.000000000001,1,0),"")</f>
        <v>0</v>
      </c>
      <c r="Q10" s="11" t="n">
        <f aca="false">IF(ISNUMBER(K10),IF(ABS(K10)&gt;=0.005,1,0),"")</f>
        <v>0</v>
      </c>
      <c r="R10" s="11" t="n">
        <f aca="false">IF(ISNUMBER(K10),ABS(K10),"")</f>
        <v>0</v>
      </c>
      <c r="S10" s="11" t="n">
        <f aca="false">'Domain reference'!B10</f>
        <v>0.974359</v>
      </c>
      <c r="T10" s="11" t="n">
        <f aca="false">'Domain reference'!C10</f>
        <v>0.974359</v>
      </c>
      <c r="U10" s="6" t="b">
        <f aca="false">AND(IF(ISNUMBER(H10),ISNUMBER(S10),NOT(ISNUMBER(S10))),IF(ISNUMBER(J10),ISNUMBER(T10),NOT(ISNUMBER(T10))),IF(ISNUMBER(H10),ABS(ROUND(H10,6)-S10)&lt;0.0000005,TRUE()),IF(ISNUMBER(J10),ABS(ROUND(J10,6)-T10)&lt;0.0000005,TRUE()))</f>
        <v>1</v>
      </c>
    </row>
    <row r="11" customFormat="false" ht="15" hidden="false" customHeight="false" outlineLevel="0" collapsed="false">
      <c r="A11" s="0" t="s">
        <v>99</v>
      </c>
      <c r="B11" s="8" t="str">
        <f aca="false">IFERROR(AVERAGEIFS('Rule results'!$I$4:$I$58,'Rule results'!$B$4:$B$58,$A11,'Rule results'!$C$4:$C$58,B$3),"")</f>
        <v/>
      </c>
      <c r="C11" s="8" t="str">
        <f aca="false">IFERROR(AVERAGEIFS('Rule results'!$I$4:$I$58,'Rule results'!$B$4:$B$58,$A11,'Rule results'!$C$4:$C$58,C$3),"")</f>
        <v/>
      </c>
      <c r="D11" s="8" t="str">
        <f aca="false">IFERROR(AVERAGEIFS('Rule results'!$I$4:$I$58,'Rule results'!$B$4:$B$58,$A11,'Rule results'!$C$4:$C$58,D$3),"")</f>
        <v/>
      </c>
      <c r="E11" s="8" t="str">
        <f aca="false">IFERROR(AVERAGEIFS('Rule results'!$I$4:$I$58,'Rule results'!$B$4:$B$58,$A11,'Rule results'!$C$4:$C$58,E$3),"")</f>
        <v/>
      </c>
      <c r="F11" s="8" t="str">
        <f aca="false">IFERROR(AVERAGEIFS('Rule results'!$I$4:$I$58,'Rule results'!$B$4:$B$58,$A11,'Rule results'!$C$4:$C$58,F$3),"")</f>
        <v/>
      </c>
      <c r="G11" s="11" t="n">
        <f aca="false">IF(ISNUMBER(B11),Weights!$C$4,0)+IF(ISNUMBER(C11),Weights!$D$4,0)+IF(ISNUMBER(D11),Weights!$E$4,0)+IF(ISNUMBER(E11),Weights!$F$4,0)+IF(ISNUMBER(F11),Weights!$G$4,0)</f>
        <v>0</v>
      </c>
      <c r="H11" s="8" t="str">
        <f aca="false">IF(G11=0,"",(IF(ISNUMBER(B11),Weights!$C$4*B11,0)+IF(ISNUMBER(C11),Weights!$D$4*C11,0)+IF(ISNUMBER(D11),Weights!$E$4*D11,0)+IF(ISNUMBER(E11),Weights!$F$4*E11,0)+IF(ISNUMBER(F11),Weights!$G$4*F11,0))/G11)</f>
        <v/>
      </c>
      <c r="I11" s="11" t="n">
        <f aca="false">IF(ISNUMBER(B11),Weights!$C$5,0)+IF(ISNUMBER(C11),Weights!$D$5,0)+IF(ISNUMBER(D11),Weights!$E$5,0)+IF(ISNUMBER(E11),Weights!$F$5,0)+IF(ISNUMBER(F11),Weights!$G$5,0)</f>
        <v>0</v>
      </c>
      <c r="J11" s="8" t="str">
        <f aca="false">IF(I11=0,"",(IF(ISNUMBER(B11),Weights!$C$5*B11,0)+IF(ISNUMBER(C11),Weights!$D$5*C11,0)+IF(ISNUMBER(D11),Weights!$E$5*D11,0)+IF(ISNUMBER(E11),Weights!$F$5*E11,0)+IF(ISNUMBER(F11),Weights!$G$5*F11,0))/I11)</f>
        <v/>
      </c>
      <c r="K11" s="8" t="str">
        <f aca="false">IF(AND(ISNUMBER(H11),ISNUMBER(J11)),J11-H11,"")</f>
        <v/>
      </c>
      <c r="L11" s="8" t="str">
        <f aca="false">IF(Controls!$B$3="w1",H11,J11)</f>
        <v/>
      </c>
      <c r="M11" s="11" t="n">
        <f aca="false">SUMIFS('Rule results'!$G$4:$G$58,'Rule results'!$B$4:$B$58,$A11,'Rule results'!$D$4:$D$58,"critical")</f>
        <v>0</v>
      </c>
      <c r="N11" s="11" t="n">
        <f aca="false">COUNTIFS(Issues!$B$4:$B$577,$A11,Issues!$E$4:$E$577,"critical",Issues!$U$4:$U$577,"&lt;&gt;resolved")</f>
        <v>0</v>
      </c>
      <c r="O11" s="6" t="b">
        <f aca="false">OR(M11&gt;0,N11&gt;0)</f>
        <v>0</v>
      </c>
      <c r="P11" s="0" t="str">
        <f aca="false">IF(ISNUMBER(K11),IF(ABS(K11)&gt;0.000000000001,1,0),"")</f>
        <v/>
      </c>
      <c r="Q11" s="0" t="str">
        <f aca="false">IF(ISNUMBER(K11),IF(ABS(K11)&gt;=0.005,1,0),"")</f>
        <v/>
      </c>
      <c r="R11" s="0" t="str">
        <f aca="false">IF(ISNUMBER(K11),ABS(K11),"")</f>
        <v/>
      </c>
      <c r="S11" s="0" t="str">
        <f aca="false">'Domain reference'!B11</f>
        <v>not measured</v>
      </c>
      <c r="T11" s="0" t="str">
        <f aca="false">'Domain reference'!C11</f>
        <v>not measured</v>
      </c>
      <c r="U11" s="6" t="b">
        <f aca="false">AND(IF(ISNUMBER(H11),ISNUMBER(S11),NOT(ISNUMBER(S11))),IF(ISNUMBER(J11),ISNUMBER(T11),NOT(ISNUMBER(T11))),IF(ISNUMBER(H11),ABS(ROUND(H11,6)-S11)&lt;0.0000005,TRUE()),IF(ISNUMBER(J11),ABS(ROUND(J11,6)-T11)&lt;0.0000005,TRUE()))</f>
        <v>1</v>
      </c>
    </row>
    <row r="12" customFormat="false" ht="15" hidden="false" customHeight="false" outlineLevel="0" collapsed="false">
      <c r="A12" s="0" t="s">
        <v>100</v>
      </c>
      <c r="B12" s="8" t="str">
        <f aca="false">IFERROR(AVERAGEIFS('Rule results'!$I$4:$I$58,'Rule results'!$B$4:$B$58,$A12,'Rule results'!$C$4:$C$58,B$3),"")</f>
        <v/>
      </c>
      <c r="C12" s="8" t="str">
        <f aca="false">IFERROR(AVERAGEIFS('Rule results'!$I$4:$I$58,'Rule results'!$B$4:$B$58,$A12,'Rule results'!$C$4:$C$58,C$3),"")</f>
        <v/>
      </c>
      <c r="D12" s="8" t="str">
        <f aca="false">IFERROR(AVERAGEIFS('Rule results'!$I$4:$I$58,'Rule results'!$B$4:$B$58,$A12,'Rule results'!$C$4:$C$58,D$3),"")</f>
        <v/>
      </c>
      <c r="E12" s="8" t="str">
        <f aca="false">IFERROR(AVERAGEIFS('Rule results'!$I$4:$I$58,'Rule results'!$B$4:$B$58,$A12,'Rule results'!$C$4:$C$58,E$3),"")</f>
        <v/>
      </c>
      <c r="F12" s="8" t="str">
        <f aca="false">IFERROR(AVERAGEIFS('Rule results'!$I$4:$I$58,'Rule results'!$B$4:$B$58,$A12,'Rule results'!$C$4:$C$58,F$3),"")</f>
        <v/>
      </c>
      <c r="G12" s="11" t="n">
        <f aca="false">IF(ISNUMBER(B12),Weights!$C$4,0)+IF(ISNUMBER(C12),Weights!$D$4,0)+IF(ISNUMBER(D12),Weights!$E$4,0)+IF(ISNUMBER(E12),Weights!$F$4,0)+IF(ISNUMBER(F12),Weights!$G$4,0)</f>
        <v>0</v>
      </c>
      <c r="H12" s="8" t="str">
        <f aca="false">IF(G12=0,"",(IF(ISNUMBER(B12),Weights!$C$4*B12,0)+IF(ISNUMBER(C12),Weights!$D$4*C12,0)+IF(ISNUMBER(D12),Weights!$E$4*D12,0)+IF(ISNUMBER(E12),Weights!$F$4*E12,0)+IF(ISNUMBER(F12),Weights!$G$4*F12,0))/G12)</f>
        <v/>
      </c>
      <c r="I12" s="11" t="n">
        <f aca="false">IF(ISNUMBER(B12),Weights!$C$5,0)+IF(ISNUMBER(C12),Weights!$D$5,0)+IF(ISNUMBER(D12),Weights!$E$5,0)+IF(ISNUMBER(E12),Weights!$F$5,0)+IF(ISNUMBER(F12),Weights!$G$5,0)</f>
        <v>0</v>
      </c>
      <c r="J12" s="8" t="str">
        <f aca="false">IF(I12=0,"",(IF(ISNUMBER(B12),Weights!$C$5*B12,0)+IF(ISNUMBER(C12),Weights!$D$5*C12,0)+IF(ISNUMBER(D12),Weights!$E$5*D12,0)+IF(ISNUMBER(E12),Weights!$F$5*E12,0)+IF(ISNUMBER(F12),Weights!$G$5*F12,0))/I12)</f>
        <v/>
      </c>
      <c r="K12" s="8" t="str">
        <f aca="false">IF(AND(ISNUMBER(H12),ISNUMBER(J12)),J12-H12,"")</f>
        <v/>
      </c>
      <c r="L12" s="8" t="str">
        <f aca="false">IF(Controls!$B$3="w1",H12,J12)</f>
        <v/>
      </c>
      <c r="M12" s="11" t="n">
        <f aca="false">SUMIFS('Rule results'!$G$4:$G$58,'Rule results'!$B$4:$B$58,$A12,'Rule results'!$D$4:$D$58,"critical")</f>
        <v>0</v>
      </c>
      <c r="N12" s="11" t="n">
        <f aca="false">COUNTIFS(Issues!$B$4:$B$577,$A12,Issues!$E$4:$E$577,"critical",Issues!$U$4:$U$577,"&lt;&gt;resolved")</f>
        <v>0</v>
      </c>
      <c r="O12" s="6" t="b">
        <f aca="false">OR(M12&gt;0,N12&gt;0)</f>
        <v>0</v>
      </c>
      <c r="P12" s="0" t="str">
        <f aca="false">IF(ISNUMBER(K12),IF(ABS(K12)&gt;0.000000000001,1,0),"")</f>
        <v/>
      </c>
      <c r="Q12" s="0" t="str">
        <f aca="false">IF(ISNUMBER(K12),IF(ABS(K12)&gt;=0.005,1,0),"")</f>
        <v/>
      </c>
      <c r="R12" s="0" t="str">
        <f aca="false">IF(ISNUMBER(K12),ABS(K12),"")</f>
        <v/>
      </c>
      <c r="S12" s="0" t="str">
        <f aca="false">'Domain reference'!B12</f>
        <v>not measured</v>
      </c>
      <c r="T12" s="0" t="str">
        <f aca="false">'Domain reference'!C12</f>
        <v>not measured</v>
      </c>
      <c r="U12" s="6" t="b">
        <f aca="false">AND(IF(ISNUMBER(H12),ISNUMBER(S12),NOT(ISNUMBER(S12))),IF(ISNUMBER(J12),ISNUMBER(T12),NOT(ISNUMBER(T12))),IF(ISNUMBER(H12),ABS(ROUND(H12,6)-S12)&lt;0.0000005,TRUE()),IF(ISNUMBER(J12),ABS(ROUND(J12,6)-T12)&lt;0.0000005,TRUE()))</f>
        <v>1</v>
      </c>
    </row>
    <row r="13" customFormat="false" ht="15" hidden="false" customHeight="false" outlineLevel="0" collapsed="false">
      <c r="A13" s="0" t="s">
        <v>101</v>
      </c>
      <c r="B13" s="8" t="n">
        <f aca="false">IFERROR(AVERAGEIFS('Rule results'!$I$4:$I$58,'Rule results'!$B$4:$B$58,$A13,'Rule results'!$C$4:$C$58,B$3),"")</f>
        <v>0.935483870967742</v>
      </c>
      <c r="C13" s="8" t="str">
        <f aca="false">IFERROR(AVERAGEIFS('Rule results'!$I$4:$I$58,'Rule results'!$B$4:$B$58,$A13,'Rule results'!$C$4:$C$58,C$3),"")</f>
        <v/>
      </c>
      <c r="D13" s="8" t="str">
        <f aca="false">IFERROR(AVERAGEIFS('Rule results'!$I$4:$I$58,'Rule results'!$B$4:$B$58,$A13,'Rule results'!$C$4:$C$58,D$3),"")</f>
        <v/>
      </c>
      <c r="E13" s="8" t="str">
        <f aca="false">IFERROR(AVERAGEIFS('Rule results'!$I$4:$I$58,'Rule results'!$B$4:$B$58,$A13,'Rule results'!$C$4:$C$58,E$3),"")</f>
        <v/>
      </c>
      <c r="F13" s="8" t="str">
        <f aca="false">IFERROR(AVERAGEIFS('Rule results'!$I$4:$I$58,'Rule results'!$B$4:$B$58,$A13,'Rule results'!$C$4:$C$58,F$3),"")</f>
        <v/>
      </c>
      <c r="G13" s="11" t="n">
        <f aca="false">IF(ISNUMBER(B13),Weights!$C$4,0)+IF(ISNUMBER(C13),Weights!$D$4,0)+IF(ISNUMBER(D13),Weights!$E$4,0)+IF(ISNUMBER(E13),Weights!$F$4,0)+IF(ISNUMBER(F13),Weights!$G$4,0)</f>
        <v>0.4</v>
      </c>
      <c r="H13" s="8" t="n">
        <f aca="false">IF(G13=0,"",(IF(ISNUMBER(B13),Weights!$C$4*B13,0)+IF(ISNUMBER(C13),Weights!$D$4*C13,0)+IF(ISNUMBER(D13),Weights!$E$4*D13,0)+IF(ISNUMBER(E13),Weights!$F$4*E13,0)+IF(ISNUMBER(F13),Weights!$G$4*F13,0))/G13)</f>
        <v>0.935483870967742</v>
      </c>
      <c r="I13" s="11" t="n">
        <f aca="false">IF(ISNUMBER(B13),Weights!$C$5,0)+IF(ISNUMBER(C13),Weights!$D$5,0)+IF(ISNUMBER(D13),Weights!$E$5,0)+IF(ISNUMBER(E13),Weights!$F$5,0)+IF(ISNUMBER(F13),Weights!$G$5,0)</f>
        <v>0.25</v>
      </c>
      <c r="J13" s="8" t="n">
        <f aca="false">IF(I13=0,"",(IF(ISNUMBER(B13),Weights!$C$5*B13,0)+IF(ISNUMBER(C13),Weights!$D$5*C13,0)+IF(ISNUMBER(D13),Weights!$E$5*D13,0)+IF(ISNUMBER(E13),Weights!$F$5*E13,0)+IF(ISNUMBER(F13),Weights!$G$5*F13,0))/I13)</f>
        <v>0.935483870967742</v>
      </c>
      <c r="K13" s="8" t="n">
        <f aca="false">IF(AND(ISNUMBER(H13),ISNUMBER(J13)),J13-H13,"")</f>
        <v>0</v>
      </c>
      <c r="L13" s="8" t="n">
        <f aca="false">IF(Controls!$B$3="w1",H13,J13)</f>
        <v>0.935483870967742</v>
      </c>
      <c r="M13" s="11" t="n">
        <f aca="false">SUMIFS('Rule results'!$G$4:$G$58,'Rule results'!$B$4:$B$58,$A13,'Rule results'!$D$4:$D$58,"critical")</f>
        <v>0</v>
      </c>
      <c r="N13" s="11" t="n">
        <f aca="false">COUNTIFS(Issues!$B$4:$B$577,$A13,Issues!$E$4:$E$577,"critical",Issues!$U$4:$U$577,"&lt;&gt;resolved")</f>
        <v>0</v>
      </c>
      <c r="O13" s="6" t="b">
        <f aca="false">OR(M13&gt;0,N13&gt;0)</f>
        <v>0</v>
      </c>
      <c r="P13" s="11" t="n">
        <f aca="false">IF(ISNUMBER(K13),IF(ABS(K13)&gt;0.000000000001,1,0),"")</f>
        <v>0</v>
      </c>
      <c r="Q13" s="11" t="n">
        <f aca="false">IF(ISNUMBER(K13),IF(ABS(K13)&gt;=0.005,1,0),"")</f>
        <v>0</v>
      </c>
      <c r="R13" s="11" t="n">
        <f aca="false">IF(ISNUMBER(K13),ABS(K13),"")</f>
        <v>0</v>
      </c>
      <c r="S13" s="11" t="n">
        <f aca="false">'Domain reference'!B13</f>
        <v>0.935484</v>
      </c>
      <c r="T13" s="11" t="n">
        <f aca="false">'Domain reference'!C13</f>
        <v>0.935484</v>
      </c>
      <c r="U13" s="6" t="b">
        <f aca="false">AND(IF(ISNUMBER(H13),ISNUMBER(S13),NOT(ISNUMBER(S13))),IF(ISNUMBER(J13),ISNUMBER(T13),NOT(ISNUMBER(T13))),IF(ISNUMBER(H13),ABS(ROUND(H13,6)-S13)&lt;0.0000005,TRUE()),IF(ISNUMBER(J13),ABS(ROUND(J13,6)-T13)&lt;0.0000005,TRUE()))</f>
        <v>1</v>
      </c>
    </row>
    <row r="14" customFormat="false" ht="15" hidden="false" customHeight="false" outlineLevel="0" collapsed="false">
      <c r="A14" s="0" t="s">
        <v>102</v>
      </c>
      <c r="B14" s="8" t="n">
        <f aca="false">IFERROR(AVERAGEIFS('Rule results'!$I$4:$I$58,'Rule results'!$B$4:$B$58,$A14,'Rule results'!$C$4:$C$58,B$3),"")</f>
        <v>0.991666666666667</v>
      </c>
      <c r="C14" s="8" t="n">
        <f aca="false">IFERROR(AVERAGEIFS('Rule results'!$I$4:$I$58,'Rule results'!$B$4:$B$58,$A14,'Rule results'!$C$4:$C$58,C$3),"")</f>
        <v>0.991596638655462</v>
      </c>
      <c r="D14" s="8" t="n">
        <f aca="false">IFERROR(AVERAGEIFS('Rule results'!$I$4:$I$58,'Rule results'!$B$4:$B$58,$A14,'Rule results'!$C$4:$C$58,D$3),"")</f>
        <v>0.983333333333333</v>
      </c>
      <c r="E14" s="8" t="str">
        <f aca="false">IFERROR(AVERAGEIFS('Rule results'!$I$4:$I$58,'Rule results'!$B$4:$B$58,$A14,'Rule results'!$C$4:$C$58,E$3),"")</f>
        <v/>
      </c>
      <c r="F14" s="8" t="n">
        <f aca="false">IFERROR(AVERAGEIFS('Rule results'!$I$4:$I$58,'Rule results'!$B$4:$B$58,$A14,'Rule results'!$C$4:$C$58,F$3),"")</f>
        <v>1</v>
      </c>
      <c r="G14" s="11" t="n">
        <f aca="false">IF(ISNUMBER(B14),Weights!$C$4,0)+IF(ISNUMBER(C14),Weights!$D$4,0)+IF(ISNUMBER(D14),Weights!$E$4,0)+IF(ISNUMBER(E14),Weights!$F$4,0)+IF(ISNUMBER(F14),Weights!$G$4,0)</f>
        <v>0.95</v>
      </c>
      <c r="H14" s="8" t="n">
        <f aca="false">IF(G14=0,"",(IF(ISNUMBER(B14),Weights!$C$4*B14,0)+IF(ISNUMBER(C14),Weights!$D$4*C14,0)+IF(ISNUMBER(D14),Weights!$E$4*D14,0)+IF(ISNUMBER(E14),Weights!$F$4*E14,0)+IF(ISNUMBER(F14),Weights!$G$4*F14,0))/G14)</f>
        <v>0.990328763084181</v>
      </c>
      <c r="I14" s="11" t="n">
        <f aca="false">IF(ISNUMBER(B14),Weights!$C$5,0)+IF(ISNUMBER(C14),Weights!$D$5,0)+IF(ISNUMBER(D14),Weights!$E$5,0)+IF(ISNUMBER(E14),Weights!$F$5,0)+IF(ISNUMBER(F14),Weights!$G$5,0)</f>
        <v>0.85</v>
      </c>
      <c r="J14" s="8" t="n">
        <f aca="false">IF(I14=0,"",(IF(ISNUMBER(B14),Weights!$C$5*B14,0)+IF(ISNUMBER(C14),Weights!$D$5*C14,0)+IF(ISNUMBER(D14),Weights!$E$5*D14,0)+IF(ISNUMBER(E14),Weights!$F$5*E14,0)+IF(ISNUMBER(F14),Weights!$G$5*F14,0))/I14)</f>
        <v>0.990175481957489</v>
      </c>
      <c r="K14" s="8" t="n">
        <f aca="false">IF(AND(ISNUMBER(H14),ISNUMBER(J14)),J14-H14,"")</f>
        <v>-0.000153281126692328</v>
      </c>
      <c r="L14" s="8" t="n">
        <f aca="false">IF(Controls!$B$3="w1",H14,J14)</f>
        <v>0.990175481957489</v>
      </c>
      <c r="M14" s="11" t="n">
        <f aca="false">SUMIFS('Rule results'!$G$4:$G$58,'Rule results'!$B$4:$B$58,$A14,'Rule results'!$D$4:$D$58,"critical")</f>
        <v>2</v>
      </c>
      <c r="N14" s="11" t="n">
        <f aca="false">COUNTIFS(Issues!$B$4:$B$577,$A14,Issues!$E$4:$E$577,"critical",Issues!$U$4:$U$577,"&lt;&gt;resolved")</f>
        <v>1</v>
      </c>
      <c r="O14" s="6" t="b">
        <f aca="false">OR(M14&gt;0,N14&gt;0)</f>
        <v>1</v>
      </c>
      <c r="P14" s="11" t="n">
        <f aca="false">IF(ISNUMBER(K14),IF(ABS(K14)&gt;0.000000000001,1,0),"")</f>
        <v>1</v>
      </c>
      <c r="Q14" s="11" t="n">
        <f aca="false">IF(ISNUMBER(K14),IF(ABS(K14)&gt;=0.005,1,0),"")</f>
        <v>0</v>
      </c>
      <c r="R14" s="11" t="n">
        <f aca="false">IF(ISNUMBER(K14),ABS(K14),"")</f>
        <v>0.000153281126692328</v>
      </c>
      <c r="S14" s="11" t="n">
        <f aca="false">'Domain reference'!B14</f>
        <v>0.990329</v>
      </c>
      <c r="T14" s="11" t="n">
        <f aca="false">'Domain reference'!C14</f>
        <v>0.990175</v>
      </c>
      <c r="U14" s="6" t="b">
        <f aca="false">AND(IF(ISNUMBER(H14),ISNUMBER(S14),NOT(ISNUMBER(S14))),IF(ISNUMBER(J14),ISNUMBER(T14),NOT(ISNUMBER(T14))),IF(ISNUMBER(H14),ABS(ROUND(H14,6)-S14)&lt;0.0000005,TRUE()),IF(ISNUMBER(J14),ABS(ROUND(J14,6)-T14)&lt;0.0000005,TRUE()))</f>
        <v>1</v>
      </c>
    </row>
    <row r="15" customFormat="false" ht="15" hidden="false" customHeight="false" outlineLevel="0" collapsed="false">
      <c r="A15" s="0" t="s">
        <v>103</v>
      </c>
      <c r="B15" s="8" t="str">
        <f aca="false">IFERROR(AVERAGEIFS('Rule results'!$I$4:$I$58,'Rule results'!$B$4:$B$58,$A15,'Rule results'!$C$4:$C$58,B$3),"")</f>
        <v/>
      </c>
      <c r="C15" s="8" t="n">
        <f aca="false">IFERROR(AVERAGEIFS('Rule results'!$I$4:$I$58,'Rule results'!$B$4:$B$58,$A15,'Rule results'!$C$4:$C$58,C$3),"")</f>
        <v>0.955882352941177</v>
      </c>
      <c r="D15" s="8" t="str">
        <f aca="false">IFERROR(AVERAGEIFS('Rule results'!$I$4:$I$58,'Rule results'!$B$4:$B$58,$A15,'Rule results'!$C$4:$C$58,D$3),"")</f>
        <v/>
      </c>
      <c r="E15" s="8" t="str">
        <f aca="false">IFERROR(AVERAGEIFS('Rule results'!$I$4:$I$58,'Rule results'!$B$4:$B$58,$A15,'Rule results'!$C$4:$C$58,E$3),"")</f>
        <v/>
      </c>
      <c r="F15" s="8" t="str">
        <f aca="false">IFERROR(AVERAGEIFS('Rule results'!$I$4:$I$58,'Rule results'!$B$4:$B$58,$A15,'Rule results'!$C$4:$C$58,F$3),"")</f>
        <v/>
      </c>
      <c r="G15" s="11" t="n">
        <f aca="false">IF(ISNUMBER(B15),Weights!$C$4,0)+IF(ISNUMBER(C15),Weights!$D$4,0)+IF(ISNUMBER(D15),Weights!$E$4,0)+IF(ISNUMBER(E15),Weights!$F$4,0)+IF(ISNUMBER(F15),Weights!$G$4,0)</f>
        <v>0.3</v>
      </c>
      <c r="H15" s="8" t="n">
        <f aca="false">IF(G15=0,"",(IF(ISNUMBER(B15),Weights!$C$4*B15,0)+IF(ISNUMBER(C15),Weights!$D$4*C15,0)+IF(ISNUMBER(D15),Weights!$E$4*D15,0)+IF(ISNUMBER(E15),Weights!$F$4*E15,0)+IF(ISNUMBER(F15),Weights!$G$4*F15,0))/G15)</f>
        <v>0.955882352941176</v>
      </c>
      <c r="I15" s="11" t="n">
        <f aca="false">IF(ISNUMBER(B15),Weights!$C$5,0)+IF(ISNUMBER(C15),Weights!$D$5,0)+IF(ISNUMBER(D15),Weights!$E$5,0)+IF(ISNUMBER(E15),Weights!$F$5,0)+IF(ISNUMBER(F15),Weights!$G$5,0)</f>
        <v>0.25</v>
      </c>
      <c r="J15" s="8" t="n">
        <f aca="false">IF(I15=0,"",(IF(ISNUMBER(B15),Weights!$C$5*B15,0)+IF(ISNUMBER(C15),Weights!$D$5*C15,0)+IF(ISNUMBER(D15),Weights!$E$5*D15,0)+IF(ISNUMBER(E15),Weights!$F$5*E15,0)+IF(ISNUMBER(F15),Weights!$G$5*F15,0))/I15)</f>
        <v>0.955882352941177</v>
      </c>
      <c r="K15" s="8" t="n">
        <f aca="false">IF(AND(ISNUMBER(H15),ISNUMBER(J15)),J15-H15,"")</f>
        <v>0</v>
      </c>
      <c r="L15" s="8" t="n">
        <f aca="false">IF(Controls!$B$3="w1",H15,J15)</f>
        <v>0.955882352941177</v>
      </c>
      <c r="M15" s="11" t="n">
        <f aca="false">SUMIFS('Rule results'!$G$4:$G$58,'Rule results'!$B$4:$B$58,$A15,'Rule results'!$D$4:$D$58,"critical")</f>
        <v>0</v>
      </c>
      <c r="N15" s="11" t="n">
        <f aca="false">COUNTIFS(Issues!$B$4:$B$577,$A15,Issues!$E$4:$E$577,"critical",Issues!$U$4:$U$577,"&lt;&gt;resolved")</f>
        <v>0</v>
      </c>
      <c r="O15" s="6" t="b">
        <f aca="false">OR(M15&gt;0,N15&gt;0)</f>
        <v>0</v>
      </c>
      <c r="P15" s="11" t="n">
        <f aca="false">IF(ISNUMBER(K15),IF(ABS(K15)&gt;0.000000000001,1,0),"")</f>
        <v>0</v>
      </c>
      <c r="Q15" s="11" t="n">
        <f aca="false">IF(ISNUMBER(K15),IF(ABS(K15)&gt;=0.005,1,0),"")</f>
        <v>0</v>
      </c>
      <c r="R15" s="11" t="n">
        <f aca="false">IF(ISNUMBER(K15),ABS(K15),"")</f>
        <v>0</v>
      </c>
      <c r="S15" s="11" t="n">
        <f aca="false">'Domain reference'!B15</f>
        <v>0.955882</v>
      </c>
      <c r="T15" s="11" t="n">
        <f aca="false">'Domain reference'!C15</f>
        <v>0.955882</v>
      </c>
      <c r="U15" s="6" t="b">
        <f aca="false">AND(IF(ISNUMBER(H15),ISNUMBER(S15),NOT(ISNUMBER(S15))),IF(ISNUMBER(J15),ISNUMBER(T15),NOT(ISNUMBER(T15))),IF(ISNUMBER(H15),ABS(ROUND(H15,6)-S15)&lt;0.0000005,TRUE()),IF(ISNUMBER(J15),ABS(ROUND(J15,6)-T15)&lt;0.0000005,TRUE()))</f>
        <v>1</v>
      </c>
    </row>
    <row r="16" customFormat="false" ht="15" hidden="false" customHeight="false" outlineLevel="0" collapsed="false">
      <c r="A16" s="0" t="s">
        <v>104</v>
      </c>
      <c r="B16" s="8" t="str">
        <f aca="false">IFERROR(AVERAGEIFS('Rule results'!$I$4:$I$58,'Rule results'!$B$4:$B$58,$A16,'Rule results'!$C$4:$C$58,B$3),"")</f>
        <v/>
      </c>
      <c r="C16" s="8" t="n">
        <f aca="false">IFERROR(AVERAGEIFS('Rule results'!$I$4:$I$58,'Rule results'!$B$4:$B$58,$A16,'Rule results'!$C$4:$C$58,C$3),"")</f>
        <v>1</v>
      </c>
      <c r="D16" s="8" t="str">
        <f aca="false">IFERROR(AVERAGEIFS('Rule results'!$I$4:$I$58,'Rule results'!$B$4:$B$58,$A16,'Rule results'!$C$4:$C$58,D$3),"")</f>
        <v/>
      </c>
      <c r="E16" s="8" t="str">
        <f aca="false">IFERROR(AVERAGEIFS('Rule results'!$I$4:$I$58,'Rule results'!$B$4:$B$58,$A16,'Rule results'!$C$4:$C$58,E$3),"")</f>
        <v/>
      </c>
      <c r="F16" s="8" t="str">
        <f aca="false">IFERROR(AVERAGEIFS('Rule results'!$I$4:$I$58,'Rule results'!$B$4:$B$58,$A16,'Rule results'!$C$4:$C$58,F$3),"")</f>
        <v/>
      </c>
      <c r="G16" s="11" t="n">
        <f aca="false">IF(ISNUMBER(B16),Weights!$C$4,0)+IF(ISNUMBER(C16),Weights!$D$4,0)+IF(ISNUMBER(D16),Weights!$E$4,0)+IF(ISNUMBER(E16),Weights!$F$4,0)+IF(ISNUMBER(F16),Weights!$G$4,0)</f>
        <v>0.3</v>
      </c>
      <c r="H16" s="8" t="n">
        <f aca="false">IF(G16=0,"",(IF(ISNUMBER(B16),Weights!$C$4*B16,0)+IF(ISNUMBER(C16),Weights!$D$4*C16,0)+IF(ISNUMBER(D16),Weights!$E$4*D16,0)+IF(ISNUMBER(E16),Weights!$F$4*E16,0)+IF(ISNUMBER(F16),Weights!$G$4*F16,0))/G16)</f>
        <v>1</v>
      </c>
      <c r="I16" s="11" t="n">
        <f aca="false">IF(ISNUMBER(B16),Weights!$C$5,0)+IF(ISNUMBER(C16),Weights!$D$5,0)+IF(ISNUMBER(D16),Weights!$E$5,0)+IF(ISNUMBER(E16),Weights!$F$5,0)+IF(ISNUMBER(F16),Weights!$G$5,0)</f>
        <v>0.25</v>
      </c>
      <c r="J16" s="8" t="n">
        <f aca="false">IF(I16=0,"",(IF(ISNUMBER(B16),Weights!$C$5*B16,0)+IF(ISNUMBER(C16),Weights!$D$5*C16,0)+IF(ISNUMBER(D16),Weights!$E$5*D16,0)+IF(ISNUMBER(E16),Weights!$F$5*E16,0)+IF(ISNUMBER(F16),Weights!$G$5*F16,0))/I16)</f>
        <v>1</v>
      </c>
      <c r="K16" s="8" t="n">
        <f aca="false">IF(AND(ISNUMBER(H16),ISNUMBER(J16)),J16-H16,"")</f>
        <v>0</v>
      </c>
      <c r="L16" s="8" t="n">
        <f aca="false">IF(Controls!$B$3="w1",H16,J16)</f>
        <v>1</v>
      </c>
      <c r="M16" s="11" t="n">
        <f aca="false">SUMIFS('Rule results'!$G$4:$G$58,'Rule results'!$B$4:$B$58,$A16,'Rule results'!$D$4:$D$58,"critical")</f>
        <v>0</v>
      </c>
      <c r="N16" s="11" t="n">
        <f aca="false">COUNTIFS(Issues!$B$4:$B$577,$A16,Issues!$E$4:$E$577,"critical",Issues!$U$4:$U$577,"&lt;&gt;resolved")</f>
        <v>0</v>
      </c>
      <c r="O16" s="6" t="b">
        <f aca="false">OR(M16&gt;0,N16&gt;0)</f>
        <v>0</v>
      </c>
      <c r="P16" s="11" t="n">
        <f aca="false">IF(ISNUMBER(K16),IF(ABS(K16)&gt;0.000000000001,1,0),"")</f>
        <v>0</v>
      </c>
      <c r="Q16" s="11" t="n">
        <f aca="false">IF(ISNUMBER(K16),IF(ABS(K16)&gt;=0.005,1,0),"")</f>
        <v>0</v>
      </c>
      <c r="R16" s="11" t="n">
        <f aca="false">IF(ISNUMBER(K16),ABS(K16),"")</f>
        <v>0</v>
      </c>
      <c r="S16" s="11" t="n">
        <f aca="false">'Domain reference'!B16</f>
        <v>1</v>
      </c>
      <c r="T16" s="11" t="n">
        <f aca="false">'Domain reference'!C16</f>
        <v>1</v>
      </c>
      <c r="U16" s="6" t="b">
        <f aca="false">AND(IF(ISNUMBER(H16),ISNUMBER(S16),NOT(ISNUMBER(S16))),IF(ISNUMBER(J16),ISNUMBER(T16),NOT(ISNUMBER(T16))),IF(ISNUMBER(H16),ABS(ROUND(H16,6)-S16)&lt;0.0000005,TRUE()),IF(ISNUMBER(J16),ABS(ROUND(J16,6)-T16)&lt;0.0000005,TRUE()))</f>
        <v>1</v>
      </c>
    </row>
    <row r="17" customFormat="false" ht="15" hidden="false" customHeight="false" outlineLevel="0" collapsed="false">
      <c r="A17" s="0" t="s">
        <v>105</v>
      </c>
      <c r="B17" s="8" t="str">
        <f aca="false">IFERROR(AVERAGEIFS('Rule results'!$I$4:$I$58,'Rule results'!$B$4:$B$58,$A17,'Rule results'!$C$4:$C$58,B$3),"")</f>
        <v/>
      </c>
      <c r="C17" s="8" t="str">
        <f aca="false">IFERROR(AVERAGEIFS('Rule results'!$I$4:$I$58,'Rule results'!$B$4:$B$58,$A17,'Rule results'!$C$4:$C$58,C$3),"")</f>
        <v/>
      </c>
      <c r="D17" s="8" t="str">
        <f aca="false">IFERROR(AVERAGEIFS('Rule results'!$I$4:$I$58,'Rule results'!$B$4:$B$58,$A17,'Rule results'!$C$4:$C$58,D$3),"")</f>
        <v/>
      </c>
      <c r="E17" s="8" t="str">
        <f aca="false">IFERROR(AVERAGEIFS('Rule results'!$I$4:$I$58,'Rule results'!$B$4:$B$58,$A17,'Rule results'!$C$4:$C$58,E$3),"")</f>
        <v/>
      </c>
      <c r="F17" s="8" t="str">
        <f aca="false">IFERROR(AVERAGEIFS('Rule results'!$I$4:$I$58,'Rule results'!$B$4:$B$58,$A17,'Rule results'!$C$4:$C$58,F$3),"")</f>
        <v/>
      </c>
      <c r="G17" s="11" t="n">
        <f aca="false">IF(ISNUMBER(B17),Weights!$C$4,0)+IF(ISNUMBER(C17),Weights!$D$4,0)+IF(ISNUMBER(D17),Weights!$E$4,0)+IF(ISNUMBER(E17),Weights!$F$4,0)+IF(ISNUMBER(F17),Weights!$G$4,0)</f>
        <v>0</v>
      </c>
      <c r="H17" s="8" t="str">
        <f aca="false">IF(G17=0,"",(IF(ISNUMBER(B17),Weights!$C$4*B17,0)+IF(ISNUMBER(C17),Weights!$D$4*C17,0)+IF(ISNUMBER(D17),Weights!$E$4*D17,0)+IF(ISNUMBER(E17),Weights!$F$4*E17,0)+IF(ISNUMBER(F17),Weights!$G$4*F17,0))/G17)</f>
        <v/>
      </c>
      <c r="I17" s="11" t="n">
        <f aca="false">IF(ISNUMBER(B17),Weights!$C$5,0)+IF(ISNUMBER(C17),Weights!$D$5,0)+IF(ISNUMBER(D17),Weights!$E$5,0)+IF(ISNUMBER(E17),Weights!$F$5,0)+IF(ISNUMBER(F17),Weights!$G$5,0)</f>
        <v>0</v>
      </c>
      <c r="J17" s="8" t="str">
        <f aca="false">IF(I17=0,"",(IF(ISNUMBER(B17),Weights!$C$5*B17,0)+IF(ISNUMBER(C17),Weights!$D$5*C17,0)+IF(ISNUMBER(D17),Weights!$E$5*D17,0)+IF(ISNUMBER(E17),Weights!$F$5*E17,0)+IF(ISNUMBER(F17),Weights!$G$5*F17,0))/I17)</f>
        <v/>
      </c>
      <c r="K17" s="8" t="str">
        <f aca="false">IF(AND(ISNUMBER(H17),ISNUMBER(J17)),J17-H17,"")</f>
        <v/>
      </c>
      <c r="L17" s="8" t="str">
        <f aca="false">IF(Controls!$B$3="w1",H17,J17)</f>
        <v/>
      </c>
      <c r="M17" s="11" t="n">
        <f aca="false">SUMIFS('Rule results'!$G$4:$G$58,'Rule results'!$B$4:$B$58,$A17,'Rule results'!$D$4:$D$58,"critical")</f>
        <v>0</v>
      </c>
      <c r="N17" s="11" t="n">
        <f aca="false">COUNTIFS(Issues!$B$4:$B$577,$A17,Issues!$E$4:$E$577,"critical",Issues!$U$4:$U$577,"&lt;&gt;resolved")</f>
        <v>0</v>
      </c>
      <c r="O17" s="6" t="b">
        <f aca="false">OR(M17&gt;0,N17&gt;0)</f>
        <v>0</v>
      </c>
      <c r="P17" s="0" t="str">
        <f aca="false">IF(ISNUMBER(K17),IF(ABS(K17)&gt;0.000000000001,1,0),"")</f>
        <v/>
      </c>
      <c r="Q17" s="0" t="str">
        <f aca="false">IF(ISNUMBER(K17),IF(ABS(K17)&gt;=0.005,1,0),"")</f>
        <v/>
      </c>
      <c r="R17" s="0" t="str">
        <f aca="false">IF(ISNUMBER(K17),ABS(K17),"")</f>
        <v/>
      </c>
      <c r="S17" s="0" t="str">
        <f aca="false">'Domain reference'!B17</f>
        <v>not measured</v>
      </c>
      <c r="T17" s="0" t="str">
        <f aca="false">'Domain reference'!C17</f>
        <v>not measured</v>
      </c>
      <c r="U17" s="6" t="b">
        <f aca="false">AND(IF(ISNUMBER(H17),ISNUMBER(S17),NOT(ISNUMBER(S17))),IF(ISNUMBER(J17),ISNUMBER(T17),NOT(ISNUMBER(T17))),IF(ISNUMBER(H17),ABS(ROUND(H17,6)-S17)&lt;0.0000005,TRUE()),IF(ISNUMBER(J17),ABS(ROUND(J17,6)-T17)&lt;0.0000005,TRUE()))</f>
        <v>1</v>
      </c>
    </row>
    <row r="18" customFormat="false" ht="15" hidden="false" customHeight="false" outlineLevel="0" collapsed="false">
      <c r="A18" s="0" t="s">
        <v>106</v>
      </c>
      <c r="B18" s="8" t="n">
        <f aca="false">IFERROR(AVERAGEIFS('Rule results'!$I$4:$I$58,'Rule results'!$B$4:$B$58,$A18,'Rule results'!$C$4:$C$58,B$3),"")</f>
        <v>1</v>
      </c>
      <c r="C18" s="8" t="str">
        <f aca="false">IFERROR(AVERAGEIFS('Rule results'!$I$4:$I$58,'Rule results'!$B$4:$B$58,$A18,'Rule results'!$C$4:$C$58,C$3),"")</f>
        <v/>
      </c>
      <c r="D18" s="8" t="str">
        <f aca="false">IFERROR(AVERAGEIFS('Rule results'!$I$4:$I$58,'Rule results'!$B$4:$B$58,$A18,'Rule results'!$C$4:$C$58,D$3),"")</f>
        <v/>
      </c>
      <c r="E18" s="8" t="str">
        <f aca="false">IFERROR(AVERAGEIFS('Rule results'!$I$4:$I$58,'Rule results'!$B$4:$B$58,$A18,'Rule results'!$C$4:$C$58,E$3),"")</f>
        <v/>
      </c>
      <c r="F18" s="8" t="n">
        <f aca="false">IFERROR(AVERAGEIFS('Rule results'!$I$4:$I$58,'Rule results'!$B$4:$B$58,$A18,'Rule results'!$C$4:$C$58,F$3),"")</f>
        <v>1</v>
      </c>
      <c r="G18" s="11" t="n">
        <f aca="false">IF(ISNUMBER(B18),Weights!$C$4,0)+IF(ISNUMBER(C18),Weights!$D$4,0)+IF(ISNUMBER(D18),Weights!$E$4,0)+IF(ISNUMBER(E18),Weights!$F$4,0)+IF(ISNUMBER(F18),Weights!$G$4,0)</f>
        <v>0.45</v>
      </c>
      <c r="H18" s="8" t="n">
        <f aca="false">IF(G18=0,"",(IF(ISNUMBER(B18),Weights!$C$4*B18,0)+IF(ISNUMBER(C18),Weights!$D$4*C18,0)+IF(ISNUMBER(D18),Weights!$E$4*D18,0)+IF(ISNUMBER(E18),Weights!$F$4*E18,0)+IF(ISNUMBER(F18),Weights!$G$4*F18,0))/G18)</f>
        <v>1</v>
      </c>
      <c r="I18" s="11" t="n">
        <f aca="false">IF(ISNUMBER(B18),Weights!$C$5,0)+IF(ISNUMBER(C18),Weights!$D$5,0)+IF(ISNUMBER(D18),Weights!$E$5,0)+IF(ISNUMBER(E18),Weights!$F$5,0)+IF(ISNUMBER(F18),Weights!$G$5,0)</f>
        <v>0.35</v>
      </c>
      <c r="J18" s="8" t="n">
        <f aca="false">IF(I18=0,"",(IF(ISNUMBER(B18),Weights!$C$5*B18,0)+IF(ISNUMBER(C18),Weights!$D$5*C18,0)+IF(ISNUMBER(D18),Weights!$E$5*D18,0)+IF(ISNUMBER(E18),Weights!$F$5*E18,0)+IF(ISNUMBER(F18),Weights!$G$5*F18,0))/I18)</f>
        <v>1</v>
      </c>
      <c r="K18" s="8" t="n">
        <f aca="false">IF(AND(ISNUMBER(H18),ISNUMBER(J18)),J18-H18,"")</f>
        <v>0</v>
      </c>
      <c r="L18" s="8" t="n">
        <f aca="false">IF(Controls!$B$3="w1",H18,J18)</f>
        <v>1</v>
      </c>
      <c r="M18" s="11" t="n">
        <f aca="false">SUMIFS('Rule results'!$G$4:$G$58,'Rule results'!$B$4:$B$58,$A18,'Rule results'!$D$4:$D$58,"critical")</f>
        <v>0</v>
      </c>
      <c r="N18" s="11" t="n">
        <f aca="false">COUNTIFS(Issues!$B$4:$B$577,$A18,Issues!$E$4:$E$577,"critical",Issues!$U$4:$U$577,"&lt;&gt;resolved")</f>
        <v>0</v>
      </c>
      <c r="O18" s="6" t="b">
        <f aca="false">OR(M18&gt;0,N18&gt;0)</f>
        <v>0</v>
      </c>
      <c r="P18" s="11" t="n">
        <f aca="false">IF(ISNUMBER(K18),IF(ABS(K18)&gt;0.000000000001,1,0),"")</f>
        <v>0</v>
      </c>
      <c r="Q18" s="11" t="n">
        <f aca="false">IF(ISNUMBER(K18),IF(ABS(K18)&gt;=0.005,1,0),"")</f>
        <v>0</v>
      </c>
      <c r="R18" s="11" t="n">
        <f aca="false">IF(ISNUMBER(K18),ABS(K18),"")</f>
        <v>0</v>
      </c>
      <c r="S18" s="11" t="n">
        <f aca="false">'Domain reference'!B18</f>
        <v>1</v>
      </c>
      <c r="T18" s="11" t="n">
        <f aca="false">'Domain reference'!C18</f>
        <v>1</v>
      </c>
      <c r="U18" s="6" t="b">
        <f aca="false">AND(IF(ISNUMBER(H18),ISNUMBER(S18),NOT(ISNUMBER(S18))),IF(ISNUMBER(J18),ISNUMBER(T18),NOT(ISNUMBER(T18))),IF(ISNUMBER(H18),ABS(ROUND(H18,6)-S18)&lt;0.0000005,TRUE()),IF(ISNUMBER(J18),ABS(ROUND(J18,6)-T18)&lt;0.0000005,TRUE()))</f>
        <v>1</v>
      </c>
    </row>
    <row r="19" customFormat="false" ht="15" hidden="false" customHeight="false" outlineLevel="0" collapsed="false">
      <c r="A19" s="0" t="s">
        <v>107</v>
      </c>
      <c r="B19" s="8" t="str">
        <f aca="false">IFERROR(AVERAGEIFS('Rule results'!$I$4:$I$58,'Rule results'!$B$4:$B$58,$A19,'Rule results'!$C$4:$C$58,B$3),"")</f>
        <v/>
      </c>
      <c r="C19" s="8" t="n">
        <f aca="false">IFERROR(AVERAGEIFS('Rule results'!$I$4:$I$58,'Rule results'!$B$4:$B$58,$A19,'Rule results'!$C$4:$C$58,C$3),"")</f>
        <v>0.987804878048781</v>
      </c>
      <c r="D19" s="8" t="str">
        <f aca="false">IFERROR(AVERAGEIFS('Rule results'!$I$4:$I$58,'Rule results'!$B$4:$B$58,$A19,'Rule results'!$C$4:$C$58,D$3),"")</f>
        <v/>
      </c>
      <c r="E19" s="8" t="n">
        <f aca="false">IFERROR(AVERAGEIFS('Rule results'!$I$4:$I$58,'Rule results'!$B$4:$B$58,$A19,'Rule results'!$C$4:$C$58,E$3),"")</f>
        <v>0.975308641975309</v>
      </c>
      <c r="F19" s="8" t="n">
        <f aca="false">IFERROR(AVERAGEIFS('Rule results'!$I$4:$I$58,'Rule results'!$B$4:$B$58,$A19,'Rule results'!$C$4:$C$58,F$3),"")</f>
        <v>1</v>
      </c>
      <c r="G19" s="11" t="n">
        <f aca="false">IF(ISNUMBER(B19),Weights!$C$4,0)+IF(ISNUMBER(C19),Weights!$D$4,0)+IF(ISNUMBER(D19),Weights!$E$4,0)+IF(ISNUMBER(E19),Weights!$F$4,0)+IF(ISNUMBER(F19),Weights!$G$4,0)</f>
        <v>0.4</v>
      </c>
      <c r="H19" s="8" t="n">
        <f aca="false">IF(G19=0,"",(IF(ISNUMBER(B19),Weights!$C$4*B19,0)+IF(ISNUMBER(C19),Weights!$D$4*C19,0)+IF(ISNUMBER(D19),Weights!$E$4*D19,0)+IF(ISNUMBER(E19),Weights!$F$4*E19,0)+IF(ISNUMBER(F19),Weights!$G$4*F19,0))/G19)</f>
        <v>0.987767238783499</v>
      </c>
      <c r="I19" s="11" t="n">
        <f aca="false">IF(ISNUMBER(B19),Weights!$C$5,0)+IF(ISNUMBER(C19),Weights!$D$5,0)+IF(ISNUMBER(D19),Weights!$E$5,0)+IF(ISNUMBER(E19),Weights!$F$5,0)+IF(ISNUMBER(F19),Weights!$G$5,0)</f>
        <v>0.5</v>
      </c>
      <c r="J19" s="8" t="n">
        <f aca="false">IF(I19=0,"",(IF(ISNUMBER(B19),Weights!$C$5*B19,0)+IF(ISNUMBER(C19),Weights!$D$5*C19,0)+IF(ISNUMBER(D19),Weights!$E$5*D19,0)+IF(ISNUMBER(E19),Weights!$F$5*E19,0)+IF(ISNUMBER(F19),Weights!$G$5*F19,0))/I19)</f>
        <v>0.986495031616983</v>
      </c>
      <c r="K19" s="8" t="n">
        <f aca="false">IF(AND(ISNUMBER(H19),ISNUMBER(J19)),J19-H19,"")</f>
        <v>-0.00127220716651622</v>
      </c>
      <c r="L19" s="8" t="n">
        <f aca="false">IF(Controls!$B$3="w1",H19,J19)</f>
        <v>0.986495031616983</v>
      </c>
      <c r="M19" s="11" t="n">
        <f aca="false">SUMIFS('Rule results'!$G$4:$G$58,'Rule results'!$B$4:$B$58,$A19,'Rule results'!$D$4:$D$58,"critical")</f>
        <v>0</v>
      </c>
      <c r="N19" s="11" t="n">
        <f aca="false">COUNTIFS(Issues!$B$4:$B$577,$A19,Issues!$E$4:$E$577,"critical",Issues!$U$4:$U$577,"&lt;&gt;resolved")</f>
        <v>0</v>
      </c>
      <c r="O19" s="6" t="b">
        <f aca="false">OR(M19&gt;0,N19&gt;0)</f>
        <v>0</v>
      </c>
      <c r="P19" s="11" t="n">
        <f aca="false">IF(ISNUMBER(K19),IF(ABS(K19)&gt;0.000000000001,1,0),"")</f>
        <v>1</v>
      </c>
      <c r="Q19" s="11" t="n">
        <f aca="false">IF(ISNUMBER(K19),IF(ABS(K19)&gt;=0.005,1,0),"")</f>
        <v>0</v>
      </c>
      <c r="R19" s="11" t="n">
        <f aca="false">IF(ISNUMBER(K19),ABS(K19),"")</f>
        <v>0.00127220716651622</v>
      </c>
      <c r="S19" s="11" t="n">
        <f aca="false">'Domain reference'!B19</f>
        <v>0.987767</v>
      </c>
      <c r="T19" s="11" t="n">
        <f aca="false">'Domain reference'!C19</f>
        <v>0.986495</v>
      </c>
      <c r="U19" s="6" t="b">
        <f aca="false">AND(IF(ISNUMBER(H19),ISNUMBER(S19),NOT(ISNUMBER(S19))),IF(ISNUMBER(J19),ISNUMBER(T19),NOT(ISNUMBER(T19))),IF(ISNUMBER(H19),ABS(ROUND(H19,6)-S19)&lt;0.0000005,TRUE()),IF(ISNUMBER(J19),ABS(ROUND(J19,6)-T19)&lt;0.0000005,TRUE()))</f>
        <v>1</v>
      </c>
    </row>
    <row r="20" customFormat="false" ht="15" hidden="false" customHeight="false" outlineLevel="0" collapsed="false">
      <c r="A20" s="0" t="s">
        <v>108</v>
      </c>
      <c r="B20" s="8" t="str">
        <f aca="false">IFERROR(AVERAGEIFS('Rule results'!$I$4:$I$58,'Rule results'!$B$4:$B$58,$A20,'Rule results'!$C$4:$C$58,B$3),"")</f>
        <v/>
      </c>
      <c r="C20" s="8" t="str">
        <f aca="false">IFERROR(AVERAGEIFS('Rule results'!$I$4:$I$58,'Rule results'!$B$4:$B$58,$A20,'Rule results'!$C$4:$C$58,C$3),"")</f>
        <v/>
      </c>
      <c r="D20" s="8" t="n">
        <f aca="false">IFERROR(AVERAGEIFS('Rule results'!$I$4:$I$58,'Rule results'!$B$4:$B$58,$A20,'Rule results'!$C$4:$C$58,D$3),"")</f>
        <v>0.984848484848485</v>
      </c>
      <c r="E20" s="8" t="str">
        <f aca="false">IFERROR(AVERAGEIFS('Rule results'!$I$4:$I$58,'Rule results'!$B$4:$B$58,$A20,'Rule results'!$C$4:$C$58,E$3),"")</f>
        <v/>
      </c>
      <c r="F20" s="8" t="str">
        <f aca="false">IFERROR(AVERAGEIFS('Rule results'!$I$4:$I$58,'Rule results'!$B$4:$B$58,$A20,'Rule results'!$C$4:$C$58,F$3),"")</f>
        <v/>
      </c>
      <c r="G20" s="11" t="n">
        <f aca="false">IF(ISNUMBER(B20),Weights!$C$4,0)+IF(ISNUMBER(C20),Weights!$D$4,0)+IF(ISNUMBER(D20),Weights!$E$4,0)+IF(ISNUMBER(E20),Weights!$F$4,0)+IF(ISNUMBER(F20),Weights!$G$4,0)</f>
        <v>0.2</v>
      </c>
      <c r="H20" s="8" t="n">
        <f aca="false">IF(G20=0,"",(IF(ISNUMBER(B20),Weights!$C$4*B20,0)+IF(ISNUMBER(C20),Weights!$D$4*C20,0)+IF(ISNUMBER(D20),Weights!$E$4*D20,0)+IF(ISNUMBER(E20),Weights!$F$4*E20,0)+IF(ISNUMBER(F20),Weights!$G$4*F20,0))/G20)</f>
        <v>0.984848484848485</v>
      </c>
      <c r="I20" s="11" t="n">
        <f aca="false">IF(ISNUMBER(B20),Weights!$C$5,0)+IF(ISNUMBER(C20),Weights!$D$5,0)+IF(ISNUMBER(D20),Weights!$E$5,0)+IF(ISNUMBER(E20),Weights!$F$5,0)+IF(ISNUMBER(F20),Weights!$G$5,0)</f>
        <v>0.25</v>
      </c>
      <c r="J20" s="8" t="n">
        <f aca="false">IF(I20=0,"",(IF(ISNUMBER(B20),Weights!$C$5*B20,0)+IF(ISNUMBER(C20),Weights!$D$5*C20,0)+IF(ISNUMBER(D20),Weights!$E$5*D20,0)+IF(ISNUMBER(E20),Weights!$F$5*E20,0)+IF(ISNUMBER(F20),Weights!$G$5*F20,0))/I20)</f>
        <v>0.984848484848485</v>
      </c>
      <c r="K20" s="8" t="n">
        <f aca="false">IF(AND(ISNUMBER(H20),ISNUMBER(J20)),J20-H20,"")</f>
        <v>0</v>
      </c>
      <c r="L20" s="8" t="n">
        <f aca="false">IF(Controls!$B$3="w1",H20,J20)</f>
        <v>0.984848484848485</v>
      </c>
      <c r="M20" s="11" t="n">
        <f aca="false">SUMIFS('Rule results'!$G$4:$G$58,'Rule results'!$B$4:$B$58,$A20,'Rule results'!$D$4:$D$58,"critical")</f>
        <v>0</v>
      </c>
      <c r="N20" s="11" t="n">
        <f aca="false">COUNTIFS(Issues!$B$4:$B$577,$A20,Issues!$E$4:$E$577,"critical",Issues!$U$4:$U$577,"&lt;&gt;resolved")</f>
        <v>0</v>
      </c>
      <c r="O20" s="6" t="b">
        <f aca="false">OR(M20&gt;0,N20&gt;0)</f>
        <v>0</v>
      </c>
      <c r="P20" s="11" t="n">
        <f aca="false">IF(ISNUMBER(K20),IF(ABS(K20)&gt;0.000000000001,1,0),"")</f>
        <v>0</v>
      </c>
      <c r="Q20" s="11" t="n">
        <f aca="false">IF(ISNUMBER(K20),IF(ABS(K20)&gt;=0.005,1,0),"")</f>
        <v>0</v>
      </c>
      <c r="R20" s="11" t="n">
        <f aca="false">IF(ISNUMBER(K20),ABS(K20),"")</f>
        <v>0</v>
      </c>
      <c r="S20" s="11" t="n">
        <f aca="false">'Domain reference'!B20</f>
        <v>0.984848</v>
      </c>
      <c r="T20" s="11" t="n">
        <f aca="false">'Domain reference'!C20</f>
        <v>0.984848</v>
      </c>
      <c r="U20" s="6" t="b">
        <f aca="false">AND(IF(ISNUMBER(H20),ISNUMBER(S20),NOT(ISNUMBER(S20))),IF(ISNUMBER(J20),ISNUMBER(T20),NOT(ISNUMBER(T20))),IF(ISNUMBER(H20),ABS(ROUND(H20,6)-S20)&lt;0.0000005,TRUE()),IF(ISNUMBER(J20),ABS(ROUND(J20,6)-T20)&lt;0.0000005,TRUE()))</f>
        <v>1</v>
      </c>
    </row>
    <row r="21" customFormat="false" ht="15" hidden="false" customHeight="false" outlineLevel="0" collapsed="false">
      <c r="A21" s="0" t="s">
        <v>109</v>
      </c>
      <c r="B21" s="8" t="str">
        <f aca="false">IFERROR(AVERAGEIFS('Rule results'!$I$4:$I$58,'Rule results'!$B$4:$B$58,$A21,'Rule results'!$C$4:$C$58,B$3),"")</f>
        <v/>
      </c>
      <c r="C21" s="8" t="str">
        <f aca="false">IFERROR(AVERAGEIFS('Rule results'!$I$4:$I$58,'Rule results'!$B$4:$B$58,$A21,'Rule results'!$C$4:$C$58,C$3),"")</f>
        <v/>
      </c>
      <c r="D21" s="8" t="str">
        <f aca="false">IFERROR(AVERAGEIFS('Rule results'!$I$4:$I$58,'Rule results'!$B$4:$B$58,$A21,'Rule results'!$C$4:$C$58,D$3),"")</f>
        <v/>
      </c>
      <c r="E21" s="8" t="str">
        <f aca="false">IFERROR(AVERAGEIFS('Rule results'!$I$4:$I$58,'Rule results'!$B$4:$B$58,$A21,'Rule results'!$C$4:$C$58,E$3),"")</f>
        <v/>
      </c>
      <c r="F21" s="8" t="str">
        <f aca="false">IFERROR(AVERAGEIFS('Rule results'!$I$4:$I$58,'Rule results'!$B$4:$B$58,$A21,'Rule results'!$C$4:$C$58,F$3),"")</f>
        <v/>
      </c>
      <c r="G21" s="11" t="n">
        <f aca="false">IF(ISNUMBER(B21),Weights!$C$4,0)+IF(ISNUMBER(C21),Weights!$D$4,0)+IF(ISNUMBER(D21),Weights!$E$4,0)+IF(ISNUMBER(E21),Weights!$F$4,0)+IF(ISNUMBER(F21),Weights!$G$4,0)</f>
        <v>0</v>
      </c>
      <c r="H21" s="8" t="str">
        <f aca="false">IF(G21=0,"",(IF(ISNUMBER(B21),Weights!$C$4*B21,0)+IF(ISNUMBER(C21),Weights!$D$4*C21,0)+IF(ISNUMBER(D21),Weights!$E$4*D21,0)+IF(ISNUMBER(E21),Weights!$F$4*E21,0)+IF(ISNUMBER(F21),Weights!$G$4*F21,0))/G21)</f>
        <v/>
      </c>
      <c r="I21" s="11" t="n">
        <f aca="false">IF(ISNUMBER(B21),Weights!$C$5,0)+IF(ISNUMBER(C21),Weights!$D$5,0)+IF(ISNUMBER(D21),Weights!$E$5,0)+IF(ISNUMBER(E21),Weights!$F$5,0)+IF(ISNUMBER(F21),Weights!$G$5,0)</f>
        <v>0</v>
      </c>
      <c r="J21" s="8" t="str">
        <f aca="false">IF(I21=0,"",(IF(ISNUMBER(B21),Weights!$C$5*B21,0)+IF(ISNUMBER(C21),Weights!$D$5*C21,0)+IF(ISNUMBER(D21),Weights!$E$5*D21,0)+IF(ISNUMBER(E21),Weights!$F$5*E21,0)+IF(ISNUMBER(F21),Weights!$G$5*F21,0))/I21)</f>
        <v/>
      </c>
      <c r="K21" s="8" t="str">
        <f aca="false">IF(AND(ISNUMBER(H21),ISNUMBER(J21)),J21-H21,"")</f>
        <v/>
      </c>
      <c r="L21" s="8" t="str">
        <f aca="false">IF(Controls!$B$3="w1",H21,J21)</f>
        <v/>
      </c>
      <c r="M21" s="11" t="n">
        <f aca="false">SUMIFS('Rule results'!$G$4:$G$58,'Rule results'!$B$4:$B$58,$A21,'Rule results'!$D$4:$D$58,"critical")</f>
        <v>0</v>
      </c>
      <c r="N21" s="11" t="n">
        <f aca="false">COUNTIFS(Issues!$B$4:$B$577,$A21,Issues!$E$4:$E$577,"critical",Issues!$U$4:$U$577,"&lt;&gt;resolved")</f>
        <v>0</v>
      </c>
      <c r="O21" s="6" t="b">
        <f aca="false">OR(M21&gt;0,N21&gt;0)</f>
        <v>0</v>
      </c>
      <c r="P21" s="0" t="str">
        <f aca="false">IF(ISNUMBER(K21),IF(ABS(K21)&gt;0.000000000001,1,0),"")</f>
        <v/>
      </c>
      <c r="Q21" s="0" t="str">
        <f aca="false">IF(ISNUMBER(K21),IF(ABS(K21)&gt;=0.005,1,0),"")</f>
        <v/>
      </c>
      <c r="R21" s="0" t="str">
        <f aca="false">IF(ISNUMBER(K21),ABS(K21),"")</f>
        <v/>
      </c>
      <c r="S21" s="0" t="str">
        <f aca="false">'Domain reference'!B21</f>
        <v>not measured</v>
      </c>
      <c r="T21" s="0" t="str">
        <f aca="false">'Domain reference'!C21</f>
        <v>not measured</v>
      </c>
      <c r="U21" s="6" t="b">
        <f aca="false">AND(IF(ISNUMBER(H21),ISNUMBER(S21),NOT(ISNUMBER(S21))),IF(ISNUMBER(J21),ISNUMBER(T21),NOT(ISNUMBER(T21))),IF(ISNUMBER(H21),ABS(ROUND(H21,6)-S21)&lt;0.0000005,TRUE()),IF(ISNUMBER(J21),ABS(ROUND(J21,6)-T21)&lt;0.0000005,TRUE()))</f>
        <v>1</v>
      </c>
    </row>
    <row r="22" customFormat="false" ht="15" hidden="false" customHeight="false" outlineLevel="0" collapsed="false">
      <c r="A22" s="0" t="s">
        <v>110</v>
      </c>
      <c r="B22" s="8" t="n">
        <f aca="false">IFERROR(AVERAGEIFS('Rule results'!$I$4:$I$58,'Rule results'!$B$4:$B$58,$A22,'Rule results'!$C$4:$C$58,B$3),"")</f>
        <v>0.925925925925926</v>
      </c>
      <c r="C22" s="8" t="n">
        <f aca="false">IFERROR(AVERAGEIFS('Rule results'!$I$4:$I$58,'Rule results'!$B$4:$B$58,$A22,'Rule results'!$C$4:$C$58,C$3),"")</f>
        <v>0.925925925925926</v>
      </c>
      <c r="D22" s="8" t="n">
        <f aca="false">IFERROR(AVERAGEIFS('Rule results'!$I$4:$I$58,'Rule results'!$B$4:$B$58,$A22,'Rule results'!$C$4:$C$58,D$3),"")</f>
        <v>1</v>
      </c>
      <c r="E22" s="8" t="str">
        <f aca="false">IFERROR(AVERAGEIFS('Rule results'!$I$4:$I$58,'Rule results'!$B$4:$B$58,$A22,'Rule results'!$C$4:$C$58,E$3),"")</f>
        <v/>
      </c>
      <c r="F22" s="8" t="str">
        <f aca="false">IFERROR(AVERAGEIFS('Rule results'!$I$4:$I$58,'Rule results'!$B$4:$B$58,$A22,'Rule results'!$C$4:$C$58,F$3),"")</f>
        <v/>
      </c>
      <c r="G22" s="11" t="n">
        <f aca="false">IF(ISNUMBER(B22),Weights!$C$4,0)+IF(ISNUMBER(C22),Weights!$D$4,0)+IF(ISNUMBER(D22),Weights!$E$4,0)+IF(ISNUMBER(E22),Weights!$F$4,0)+IF(ISNUMBER(F22),Weights!$G$4,0)</f>
        <v>0.9</v>
      </c>
      <c r="H22" s="8" t="n">
        <f aca="false">IF(G22=0,"",(IF(ISNUMBER(B22),Weights!$C$4*B22,0)+IF(ISNUMBER(C22),Weights!$D$4*C22,0)+IF(ISNUMBER(D22),Weights!$E$4*D22,0)+IF(ISNUMBER(E22),Weights!$F$4*E22,0)+IF(ISNUMBER(F22),Weights!$G$4*F22,0))/G22)</f>
        <v>0.94238683127572</v>
      </c>
      <c r="I22" s="11" t="n">
        <f aca="false">IF(ISNUMBER(B22),Weights!$C$5,0)+IF(ISNUMBER(C22),Weights!$D$5,0)+IF(ISNUMBER(D22),Weights!$E$5,0)+IF(ISNUMBER(E22),Weights!$F$5,0)+IF(ISNUMBER(F22),Weights!$G$5,0)</f>
        <v>0.75</v>
      </c>
      <c r="J22" s="8" t="n">
        <f aca="false">IF(I22=0,"",(IF(ISNUMBER(B22),Weights!$C$5*B22,0)+IF(ISNUMBER(C22),Weights!$D$5*C22,0)+IF(ISNUMBER(D22),Weights!$E$5*D22,0)+IF(ISNUMBER(E22),Weights!$F$5*E22,0)+IF(ISNUMBER(F22),Weights!$G$5*F22,0))/I22)</f>
        <v>0.950617283950617</v>
      </c>
      <c r="K22" s="8" t="n">
        <f aca="false">IF(AND(ISNUMBER(H22),ISNUMBER(J22)),J22-H22,"")</f>
        <v>0.00823045267489719</v>
      </c>
      <c r="L22" s="8" t="n">
        <f aca="false">IF(Controls!$B$3="w1",H22,J22)</f>
        <v>0.950617283950617</v>
      </c>
      <c r="M22" s="11" t="n">
        <f aca="false">SUMIFS('Rule results'!$G$4:$G$58,'Rule results'!$B$4:$B$58,$A22,'Rule results'!$D$4:$D$58,"critical")</f>
        <v>0</v>
      </c>
      <c r="N22" s="11" t="n">
        <f aca="false">COUNTIFS(Issues!$B$4:$B$577,$A22,Issues!$E$4:$E$577,"critical",Issues!$U$4:$U$577,"&lt;&gt;resolved")</f>
        <v>0</v>
      </c>
      <c r="O22" s="6" t="b">
        <f aca="false">OR(M22&gt;0,N22&gt;0)</f>
        <v>0</v>
      </c>
      <c r="P22" s="11" t="n">
        <f aca="false">IF(ISNUMBER(K22),IF(ABS(K22)&gt;0.000000000001,1,0),"")</f>
        <v>1</v>
      </c>
      <c r="Q22" s="11" t="n">
        <f aca="false">IF(ISNUMBER(K22),IF(ABS(K22)&gt;=0.005,1,0),"")</f>
        <v>1</v>
      </c>
      <c r="R22" s="11" t="n">
        <f aca="false">IF(ISNUMBER(K22),ABS(K22),"")</f>
        <v>0.00823045267489719</v>
      </c>
      <c r="S22" s="11" t="n">
        <f aca="false">'Domain reference'!B22</f>
        <v>0.942387</v>
      </c>
      <c r="T22" s="11" t="n">
        <f aca="false">'Domain reference'!C22</f>
        <v>0.950617</v>
      </c>
      <c r="U22" s="6" t="b">
        <f aca="false">AND(IF(ISNUMBER(H22),ISNUMBER(S22),NOT(ISNUMBER(S22))),IF(ISNUMBER(J22),ISNUMBER(T22),NOT(ISNUMBER(T22))),IF(ISNUMBER(H22),ABS(ROUND(H22,6)-S22)&lt;0.0000005,TRUE()),IF(ISNUMBER(J22),ABS(ROUND(J22,6)-T22)&lt;0.0000005,TRUE()))</f>
        <v>1</v>
      </c>
    </row>
    <row r="23" customFormat="false" ht="15" hidden="false" customHeight="false" outlineLevel="0" collapsed="false">
      <c r="A23" s="0" t="s">
        <v>111</v>
      </c>
      <c r="B23" s="8" t="str">
        <f aca="false">IFERROR(AVERAGEIFS('Rule results'!$I$4:$I$58,'Rule results'!$B$4:$B$58,$A23,'Rule results'!$C$4:$C$58,B$3),"")</f>
        <v/>
      </c>
      <c r="C23" s="8" t="str">
        <f aca="false">IFERROR(AVERAGEIFS('Rule results'!$I$4:$I$58,'Rule results'!$B$4:$B$58,$A23,'Rule results'!$C$4:$C$58,C$3),"")</f>
        <v/>
      </c>
      <c r="D23" s="8" t="str">
        <f aca="false">IFERROR(AVERAGEIFS('Rule results'!$I$4:$I$58,'Rule results'!$B$4:$B$58,$A23,'Rule results'!$C$4:$C$58,D$3),"")</f>
        <v/>
      </c>
      <c r="E23" s="8" t="n">
        <f aca="false">IFERROR(AVERAGEIFS('Rule results'!$I$4:$I$58,'Rule results'!$B$4:$B$58,$A23,'Rule results'!$C$4:$C$58,E$3),"")</f>
        <v>0.886075949367089</v>
      </c>
      <c r="F23" s="8" t="str">
        <f aca="false">IFERROR(AVERAGEIFS('Rule results'!$I$4:$I$58,'Rule results'!$B$4:$B$58,$A23,'Rule results'!$C$4:$C$58,F$3),"")</f>
        <v/>
      </c>
      <c r="G23" s="11" t="n">
        <f aca="false">IF(ISNUMBER(B23),Weights!$C$4,0)+IF(ISNUMBER(C23),Weights!$D$4,0)+IF(ISNUMBER(D23),Weights!$E$4,0)+IF(ISNUMBER(E23),Weights!$F$4,0)+IF(ISNUMBER(F23),Weights!$G$4,0)</f>
        <v>0.05</v>
      </c>
      <c r="H23" s="8" t="n">
        <f aca="false">IF(G23=0,"",(IF(ISNUMBER(B23),Weights!$C$4*B23,0)+IF(ISNUMBER(C23),Weights!$D$4*C23,0)+IF(ISNUMBER(D23),Weights!$E$4*D23,0)+IF(ISNUMBER(E23),Weights!$F$4*E23,0)+IF(ISNUMBER(F23),Weights!$G$4*F23,0))/G23)</f>
        <v>0.886075949367089</v>
      </c>
      <c r="I23" s="11" t="n">
        <f aca="false">IF(ISNUMBER(B23),Weights!$C$5,0)+IF(ISNUMBER(C23),Weights!$D$5,0)+IF(ISNUMBER(D23),Weights!$E$5,0)+IF(ISNUMBER(E23),Weights!$F$5,0)+IF(ISNUMBER(F23),Weights!$G$5,0)</f>
        <v>0.15</v>
      </c>
      <c r="J23" s="8" t="n">
        <f aca="false">IF(I23=0,"",(IF(ISNUMBER(B23),Weights!$C$5*B23,0)+IF(ISNUMBER(C23),Weights!$D$5*C23,0)+IF(ISNUMBER(D23),Weights!$E$5*D23,0)+IF(ISNUMBER(E23),Weights!$F$5*E23,0)+IF(ISNUMBER(F23),Weights!$G$5*F23,0))/I23)</f>
        <v>0.886075949367089</v>
      </c>
      <c r="K23" s="8" t="n">
        <f aca="false">IF(AND(ISNUMBER(H23),ISNUMBER(J23)),J23-H23,"")</f>
        <v>0</v>
      </c>
      <c r="L23" s="8" t="n">
        <f aca="false">IF(Controls!$B$3="w1",H23,J23)</f>
        <v>0.886075949367089</v>
      </c>
      <c r="M23" s="11" t="n">
        <f aca="false">SUMIFS('Rule results'!$G$4:$G$58,'Rule results'!$B$4:$B$58,$A23,'Rule results'!$D$4:$D$58,"critical")</f>
        <v>0</v>
      </c>
      <c r="N23" s="11" t="n">
        <f aca="false">COUNTIFS(Issues!$B$4:$B$577,$A23,Issues!$E$4:$E$577,"critical",Issues!$U$4:$U$577,"&lt;&gt;resolved")</f>
        <v>0</v>
      </c>
      <c r="O23" s="6" t="b">
        <f aca="false">OR(M23&gt;0,N23&gt;0)</f>
        <v>0</v>
      </c>
      <c r="P23" s="11" t="n">
        <f aca="false">IF(ISNUMBER(K23),IF(ABS(K23)&gt;0.000000000001,1,0),"")</f>
        <v>0</v>
      </c>
      <c r="Q23" s="11" t="n">
        <f aca="false">IF(ISNUMBER(K23),IF(ABS(K23)&gt;=0.005,1,0),"")</f>
        <v>0</v>
      </c>
      <c r="R23" s="11" t="n">
        <f aca="false">IF(ISNUMBER(K23),ABS(K23),"")</f>
        <v>0</v>
      </c>
      <c r="S23" s="11" t="n">
        <f aca="false">'Domain reference'!B23</f>
        <v>0.886076</v>
      </c>
      <c r="T23" s="11" t="n">
        <f aca="false">'Domain reference'!C23</f>
        <v>0.886076</v>
      </c>
      <c r="U23" s="6" t="b">
        <f aca="false">AND(IF(ISNUMBER(H23),ISNUMBER(S23),NOT(ISNUMBER(S23))),IF(ISNUMBER(J23),ISNUMBER(T23),NOT(ISNUMBER(T23))),IF(ISNUMBER(H23),ABS(ROUND(H23,6)-S23)&lt;0.0000005,TRUE()),IF(ISNUMBER(J23),ABS(ROUND(J23,6)-T23)&lt;0.0000005,TRUE()))</f>
        <v>1</v>
      </c>
    </row>
    <row r="24" customFormat="false" ht="15" hidden="false" customHeight="false" outlineLevel="0" collapsed="false">
      <c r="A24" s="0" t="s">
        <v>112</v>
      </c>
      <c r="B24" s="8" t="str">
        <f aca="false">IFERROR(AVERAGEIFS('Rule results'!$I$4:$I$58,'Rule results'!$B$4:$B$58,$A24,'Rule results'!$C$4:$C$58,B$3),"")</f>
        <v/>
      </c>
      <c r="C24" s="8" t="str">
        <f aca="false">IFERROR(AVERAGEIFS('Rule results'!$I$4:$I$58,'Rule results'!$B$4:$B$58,$A24,'Rule results'!$C$4:$C$58,C$3),"")</f>
        <v/>
      </c>
      <c r="D24" s="8" t="str">
        <f aca="false">IFERROR(AVERAGEIFS('Rule results'!$I$4:$I$58,'Rule results'!$B$4:$B$58,$A24,'Rule results'!$C$4:$C$58,D$3),"")</f>
        <v/>
      </c>
      <c r="E24" s="8" t="n">
        <f aca="false">IFERROR(AVERAGEIFS('Rule results'!$I$4:$I$58,'Rule results'!$B$4:$B$58,$A24,'Rule results'!$C$4:$C$58,E$3),"")</f>
        <v>0.966981132075472</v>
      </c>
      <c r="F24" s="8" t="str">
        <f aca="false">IFERROR(AVERAGEIFS('Rule results'!$I$4:$I$58,'Rule results'!$B$4:$B$58,$A24,'Rule results'!$C$4:$C$58,F$3),"")</f>
        <v/>
      </c>
      <c r="G24" s="11" t="n">
        <f aca="false">IF(ISNUMBER(B24),Weights!$C$4,0)+IF(ISNUMBER(C24),Weights!$D$4,0)+IF(ISNUMBER(D24),Weights!$E$4,0)+IF(ISNUMBER(E24),Weights!$F$4,0)+IF(ISNUMBER(F24),Weights!$G$4,0)</f>
        <v>0.05</v>
      </c>
      <c r="H24" s="8" t="n">
        <f aca="false">IF(G24=0,"",(IF(ISNUMBER(B24),Weights!$C$4*B24,0)+IF(ISNUMBER(C24),Weights!$D$4*C24,0)+IF(ISNUMBER(D24),Weights!$E$4*D24,0)+IF(ISNUMBER(E24),Weights!$F$4*E24,0)+IF(ISNUMBER(F24),Weights!$G$4*F24,0))/G24)</f>
        <v>0.966981132075472</v>
      </c>
      <c r="I24" s="11" t="n">
        <f aca="false">IF(ISNUMBER(B24),Weights!$C$5,0)+IF(ISNUMBER(C24),Weights!$D$5,0)+IF(ISNUMBER(D24),Weights!$E$5,0)+IF(ISNUMBER(E24),Weights!$F$5,0)+IF(ISNUMBER(F24),Weights!$G$5,0)</f>
        <v>0.15</v>
      </c>
      <c r="J24" s="8" t="n">
        <f aca="false">IF(I24=0,"",(IF(ISNUMBER(B24),Weights!$C$5*B24,0)+IF(ISNUMBER(C24),Weights!$D$5*C24,0)+IF(ISNUMBER(D24),Weights!$E$5*D24,0)+IF(ISNUMBER(E24),Weights!$F$5*E24,0)+IF(ISNUMBER(F24),Weights!$G$5*F24,0))/I24)</f>
        <v>0.966981132075472</v>
      </c>
      <c r="K24" s="8" t="n">
        <f aca="false">IF(AND(ISNUMBER(H24),ISNUMBER(J24)),J24-H24,"")</f>
        <v>0</v>
      </c>
      <c r="L24" s="8" t="n">
        <f aca="false">IF(Controls!$B$3="w1",H24,J24)</f>
        <v>0.966981132075472</v>
      </c>
      <c r="M24" s="11" t="n">
        <f aca="false">SUMIFS('Rule results'!$G$4:$G$58,'Rule results'!$B$4:$B$58,$A24,'Rule results'!$D$4:$D$58,"critical")</f>
        <v>0</v>
      </c>
      <c r="N24" s="11" t="n">
        <f aca="false">COUNTIFS(Issues!$B$4:$B$577,$A24,Issues!$E$4:$E$577,"critical",Issues!$U$4:$U$577,"&lt;&gt;resolved")</f>
        <v>0</v>
      </c>
      <c r="O24" s="6" t="b">
        <f aca="false">OR(M24&gt;0,N24&gt;0)</f>
        <v>0</v>
      </c>
      <c r="P24" s="11" t="n">
        <f aca="false">IF(ISNUMBER(K24),IF(ABS(K24)&gt;0.000000000001,1,0),"")</f>
        <v>0</v>
      </c>
      <c r="Q24" s="11" t="n">
        <f aca="false">IF(ISNUMBER(K24),IF(ABS(K24)&gt;=0.005,1,0),"")</f>
        <v>0</v>
      </c>
      <c r="R24" s="11" t="n">
        <f aca="false">IF(ISNUMBER(K24),ABS(K24),"")</f>
        <v>0</v>
      </c>
      <c r="S24" s="11" t="n">
        <f aca="false">'Domain reference'!B24</f>
        <v>0.966981</v>
      </c>
      <c r="T24" s="11" t="n">
        <f aca="false">'Domain reference'!C24</f>
        <v>0.966981</v>
      </c>
      <c r="U24" s="6" t="b">
        <f aca="false">AND(IF(ISNUMBER(H24),ISNUMBER(S24),NOT(ISNUMBER(S24))),IF(ISNUMBER(J24),ISNUMBER(T24),NOT(ISNUMBER(T24))),IF(ISNUMBER(H24),ABS(ROUND(H24,6)-S24)&lt;0.0000005,TRUE()),IF(ISNUMBER(J24),ABS(ROUND(J24,6)-T24)&lt;0.0000005,TRUE()))</f>
        <v>1</v>
      </c>
    </row>
    <row r="25" customFormat="false" ht="15" hidden="false" customHeight="false" outlineLevel="0" collapsed="false">
      <c r="A25" s="0" t="s">
        <v>113</v>
      </c>
      <c r="B25" s="8" t="n">
        <f aca="false">IFERROR(AVERAGEIFS('Rule results'!$I$4:$I$58,'Rule results'!$B$4:$B$58,$A25,'Rule results'!$C$4:$C$58,B$3),"")</f>
        <v>0.96551724137931</v>
      </c>
      <c r="C25" s="8" t="n">
        <f aca="false">IFERROR(AVERAGEIFS('Rule results'!$I$4:$I$58,'Rule results'!$B$4:$B$58,$A25,'Rule results'!$C$4:$C$58,C$3),"")</f>
        <v>1</v>
      </c>
      <c r="D25" s="8" t="n">
        <f aca="false">IFERROR(AVERAGEIFS('Rule results'!$I$4:$I$58,'Rule results'!$B$4:$B$58,$A25,'Rule results'!$C$4:$C$58,D$3),"")</f>
        <v>1</v>
      </c>
      <c r="E25" s="8" t="n">
        <f aca="false">IFERROR(AVERAGEIFS('Rule results'!$I$4:$I$58,'Rule results'!$B$4:$B$58,$A25,'Rule results'!$C$4:$C$58,E$3),"")</f>
        <v>1</v>
      </c>
      <c r="F25" s="8" t="n">
        <f aca="false">IFERROR(AVERAGEIFS('Rule results'!$I$4:$I$58,'Rule results'!$B$4:$B$58,$A25,'Rule results'!$C$4:$C$58,F$3),"")</f>
        <v>0</v>
      </c>
      <c r="G25" s="11" t="n">
        <f aca="false">IF(ISNUMBER(B25),Weights!$C$4,0)+IF(ISNUMBER(C25),Weights!$D$4,0)+IF(ISNUMBER(D25),Weights!$E$4,0)+IF(ISNUMBER(E25),Weights!$F$4,0)+IF(ISNUMBER(F25),Weights!$G$4,0)</f>
        <v>1</v>
      </c>
      <c r="H25" s="8" t="n">
        <f aca="false">IF(G25=0,"",(IF(ISNUMBER(B25),Weights!$C$4*B25,0)+IF(ISNUMBER(C25),Weights!$D$4*C25,0)+IF(ISNUMBER(D25),Weights!$E$4*D25,0)+IF(ISNUMBER(E25),Weights!$F$4*E25,0)+IF(ISNUMBER(F25),Weights!$G$4*F25,0))/G25)</f>
        <v>0.936206896551724</v>
      </c>
      <c r="I25" s="11" t="n">
        <f aca="false">IF(ISNUMBER(B25),Weights!$C$5,0)+IF(ISNUMBER(C25),Weights!$D$5,0)+IF(ISNUMBER(D25),Weights!$E$5,0)+IF(ISNUMBER(E25),Weights!$F$5,0)+IF(ISNUMBER(F25),Weights!$G$5,0)</f>
        <v>1</v>
      </c>
      <c r="J25" s="8" t="n">
        <f aca="false">IF(I25=0,"",(IF(ISNUMBER(B25),Weights!$C$5*B25,0)+IF(ISNUMBER(C25),Weights!$D$5*C25,0)+IF(ISNUMBER(D25),Weights!$E$5*D25,0)+IF(ISNUMBER(E25),Weights!$F$5*E25,0)+IF(ISNUMBER(F25),Weights!$G$5*F25,0))/I25)</f>
        <v>0.891379310344828</v>
      </c>
      <c r="K25" s="8" t="n">
        <f aca="false">IF(AND(ISNUMBER(H25),ISNUMBER(J25)),J25-H25,"")</f>
        <v>-0.0448275862068966</v>
      </c>
      <c r="L25" s="8" t="n">
        <f aca="false">IF(Controls!$B$3="w1",H25,J25)</f>
        <v>0.891379310344828</v>
      </c>
      <c r="M25" s="11" t="n">
        <f aca="false">SUMIFS('Rule results'!$G$4:$G$58,'Rule results'!$B$4:$B$58,$A25,'Rule results'!$D$4:$D$58,"critical")</f>
        <v>0</v>
      </c>
      <c r="N25" s="11" t="n">
        <f aca="false">COUNTIFS(Issues!$B$4:$B$577,$A25,Issues!$E$4:$E$577,"critical",Issues!$U$4:$U$577,"&lt;&gt;resolved")</f>
        <v>0</v>
      </c>
      <c r="O25" s="6" t="b">
        <f aca="false">OR(M25&gt;0,N25&gt;0)</f>
        <v>0</v>
      </c>
      <c r="P25" s="11" t="n">
        <f aca="false">IF(ISNUMBER(K25),IF(ABS(K25)&gt;0.000000000001,1,0),"")</f>
        <v>1</v>
      </c>
      <c r="Q25" s="11" t="n">
        <f aca="false">IF(ISNUMBER(K25),IF(ABS(K25)&gt;=0.005,1,0),"")</f>
        <v>1</v>
      </c>
      <c r="R25" s="11" t="n">
        <f aca="false">IF(ISNUMBER(K25),ABS(K25),"")</f>
        <v>0.0448275862068966</v>
      </c>
      <c r="S25" s="11" t="n">
        <f aca="false">'Domain reference'!B25</f>
        <v>0.936207</v>
      </c>
      <c r="T25" s="11" t="n">
        <f aca="false">'Domain reference'!C25</f>
        <v>0.891379</v>
      </c>
      <c r="U25" s="6" t="b">
        <f aca="false">AND(IF(ISNUMBER(H25),ISNUMBER(S25),NOT(ISNUMBER(S25))),IF(ISNUMBER(J25),ISNUMBER(T25),NOT(ISNUMBER(T25))),IF(ISNUMBER(H25),ABS(ROUND(H25,6)-S25)&lt;0.0000005,TRUE()),IF(ISNUMBER(J25),ABS(ROUND(J25,6)-T25)&lt;0.0000005,TRUE()))</f>
        <v>1</v>
      </c>
    </row>
    <row r="26" customFormat="false" ht="15" hidden="false" customHeight="false" outlineLevel="0" collapsed="false">
      <c r="A26" s="0" t="s">
        <v>114</v>
      </c>
      <c r="B26" s="8" t="str">
        <f aca="false">IFERROR(AVERAGEIFS('Rule results'!$I$4:$I$58,'Rule results'!$B$4:$B$58,$A26,'Rule results'!$C$4:$C$58,B$3),"")</f>
        <v/>
      </c>
      <c r="C26" s="8" t="str">
        <f aca="false">IFERROR(AVERAGEIFS('Rule results'!$I$4:$I$58,'Rule results'!$B$4:$B$58,$A26,'Rule results'!$C$4:$C$58,C$3),"")</f>
        <v/>
      </c>
      <c r="D26" s="8" t="str">
        <f aca="false">IFERROR(AVERAGEIFS('Rule results'!$I$4:$I$58,'Rule results'!$B$4:$B$58,$A26,'Rule results'!$C$4:$C$58,D$3),"")</f>
        <v/>
      </c>
      <c r="E26" s="8" t="str">
        <f aca="false">IFERROR(AVERAGEIFS('Rule results'!$I$4:$I$58,'Rule results'!$B$4:$B$58,$A26,'Rule results'!$C$4:$C$58,E$3),"")</f>
        <v/>
      </c>
      <c r="F26" s="8" t="str">
        <f aca="false">IFERROR(AVERAGEIFS('Rule results'!$I$4:$I$58,'Rule results'!$B$4:$B$58,$A26,'Rule results'!$C$4:$C$58,F$3),"")</f>
        <v/>
      </c>
      <c r="G26" s="11" t="n">
        <f aca="false">IF(ISNUMBER(B26),Weights!$C$4,0)+IF(ISNUMBER(C26),Weights!$D$4,0)+IF(ISNUMBER(D26),Weights!$E$4,0)+IF(ISNUMBER(E26),Weights!$F$4,0)+IF(ISNUMBER(F26),Weights!$G$4,0)</f>
        <v>0</v>
      </c>
      <c r="H26" s="8" t="str">
        <f aca="false">IF(G26=0,"",(IF(ISNUMBER(B26),Weights!$C$4*B26,0)+IF(ISNUMBER(C26),Weights!$D$4*C26,0)+IF(ISNUMBER(D26),Weights!$E$4*D26,0)+IF(ISNUMBER(E26),Weights!$F$4*E26,0)+IF(ISNUMBER(F26),Weights!$G$4*F26,0))/G26)</f>
        <v/>
      </c>
      <c r="I26" s="11" t="n">
        <f aca="false">IF(ISNUMBER(B26),Weights!$C$5,0)+IF(ISNUMBER(C26),Weights!$D$5,0)+IF(ISNUMBER(D26),Weights!$E$5,0)+IF(ISNUMBER(E26),Weights!$F$5,0)+IF(ISNUMBER(F26),Weights!$G$5,0)</f>
        <v>0</v>
      </c>
      <c r="J26" s="8" t="str">
        <f aca="false">IF(I26=0,"",(IF(ISNUMBER(B26),Weights!$C$5*B26,0)+IF(ISNUMBER(C26),Weights!$D$5*C26,0)+IF(ISNUMBER(D26),Weights!$E$5*D26,0)+IF(ISNUMBER(E26),Weights!$F$5*E26,0)+IF(ISNUMBER(F26),Weights!$G$5*F26,0))/I26)</f>
        <v/>
      </c>
      <c r="K26" s="8" t="str">
        <f aca="false">IF(AND(ISNUMBER(H26),ISNUMBER(J26)),J26-H26,"")</f>
        <v/>
      </c>
      <c r="L26" s="8" t="str">
        <f aca="false">IF(Controls!$B$3="w1",H26,J26)</f>
        <v/>
      </c>
      <c r="M26" s="11" t="n">
        <f aca="false">SUMIFS('Rule results'!$G$4:$G$58,'Rule results'!$B$4:$B$58,$A26,'Rule results'!$D$4:$D$58,"critical")</f>
        <v>0</v>
      </c>
      <c r="N26" s="11" t="n">
        <f aca="false">COUNTIFS(Issues!$B$4:$B$577,$A26,Issues!$E$4:$E$577,"critical",Issues!$U$4:$U$577,"&lt;&gt;resolved")</f>
        <v>0</v>
      </c>
      <c r="O26" s="6" t="b">
        <f aca="false">OR(M26&gt;0,N26&gt;0)</f>
        <v>0</v>
      </c>
      <c r="P26" s="0" t="str">
        <f aca="false">IF(ISNUMBER(K26),IF(ABS(K26)&gt;0.000000000001,1,0),"")</f>
        <v/>
      </c>
      <c r="Q26" s="0" t="str">
        <f aca="false">IF(ISNUMBER(K26),IF(ABS(K26)&gt;=0.005,1,0),"")</f>
        <v/>
      </c>
      <c r="R26" s="0" t="str">
        <f aca="false">IF(ISNUMBER(K26),ABS(K26),"")</f>
        <v/>
      </c>
      <c r="S26" s="0" t="str">
        <f aca="false">'Domain reference'!B26</f>
        <v>not measured</v>
      </c>
      <c r="T26" s="0" t="str">
        <f aca="false">'Domain reference'!C26</f>
        <v>not measured</v>
      </c>
      <c r="U26" s="6" t="b">
        <f aca="false">AND(IF(ISNUMBER(H26),ISNUMBER(S26),NOT(ISNUMBER(S26))),IF(ISNUMBER(J26),ISNUMBER(T26),NOT(ISNUMBER(T26))),IF(ISNUMBER(H26),ABS(ROUND(H26,6)-S26)&lt;0.0000005,TRUE()),IF(ISNUMBER(J26),ABS(ROUND(J26,6)-T26)&lt;0.0000005,TRUE()))</f>
        <v>1</v>
      </c>
    </row>
    <row r="27" customFormat="false" ht="15" hidden="false" customHeight="false" outlineLevel="0" collapsed="false">
      <c r="A27" s="0" t="s">
        <v>115</v>
      </c>
      <c r="B27" s="8" t="str">
        <f aca="false">IFERROR(AVERAGEIFS('Rule results'!$I$4:$I$58,'Rule results'!$B$4:$B$58,$A27,'Rule results'!$C$4:$C$58,B$3),"")</f>
        <v/>
      </c>
      <c r="C27" s="8" t="str">
        <f aca="false">IFERROR(AVERAGEIFS('Rule results'!$I$4:$I$58,'Rule results'!$B$4:$B$58,$A27,'Rule results'!$C$4:$C$58,C$3),"")</f>
        <v/>
      </c>
      <c r="D27" s="8" t="n">
        <f aca="false">IFERROR(AVERAGEIFS('Rule results'!$I$4:$I$58,'Rule results'!$B$4:$B$58,$A27,'Rule results'!$C$4:$C$58,D$3),"")</f>
        <v>1</v>
      </c>
      <c r="E27" s="8" t="n">
        <f aca="false">IFERROR(AVERAGEIFS('Rule results'!$I$4:$I$58,'Rule results'!$B$4:$B$58,$A27,'Rule results'!$C$4:$C$58,E$3),"")</f>
        <v>0.987804878048781</v>
      </c>
      <c r="F27" s="8" t="n">
        <f aca="false">IFERROR(AVERAGEIFS('Rule results'!$I$4:$I$58,'Rule results'!$B$4:$B$58,$A27,'Rule results'!$C$4:$C$58,F$3),"")</f>
        <v>0</v>
      </c>
      <c r="G27" s="11" t="n">
        <f aca="false">IF(ISNUMBER(B27),Weights!$C$4,0)+IF(ISNUMBER(C27),Weights!$D$4,0)+IF(ISNUMBER(D27),Weights!$E$4,0)+IF(ISNUMBER(E27),Weights!$F$4,0)+IF(ISNUMBER(F27),Weights!$G$4,0)</f>
        <v>0.3</v>
      </c>
      <c r="H27" s="8" t="n">
        <f aca="false">IF(G27=0,"",(IF(ISNUMBER(B27),Weights!$C$4*B27,0)+IF(ISNUMBER(C27),Weights!$D$4*C27,0)+IF(ISNUMBER(D27),Weights!$E$4*D27,0)+IF(ISNUMBER(E27),Weights!$F$4*E27,0)+IF(ISNUMBER(F27),Weights!$G$4*F27,0))/G27)</f>
        <v>0.83130081300813</v>
      </c>
      <c r="I27" s="11" t="n">
        <f aca="false">IF(ISNUMBER(B27),Weights!$C$5,0)+IF(ISNUMBER(C27),Weights!$D$5,0)+IF(ISNUMBER(D27),Weights!$E$5,0)+IF(ISNUMBER(E27),Weights!$F$5,0)+IF(ISNUMBER(F27),Weights!$G$5,0)</f>
        <v>0.5</v>
      </c>
      <c r="J27" s="8" t="n">
        <f aca="false">IF(I27=0,"",(IF(ISNUMBER(B27),Weights!$C$5*B27,0)+IF(ISNUMBER(C27),Weights!$D$5*C27,0)+IF(ISNUMBER(D27),Weights!$E$5*D27,0)+IF(ISNUMBER(E27),Weights!$F$5*E27,0)+IF(ISNUMBER(F27),Weights!$G$5*F27,0))/I27)</f>
        <v>0.796341463414634</v>
      </c>
      <c r="K27" s="8" t="n">
        <f aca="false">IF(AND(ISNUMBER(H27),ISNUMBER(J27)),J27-H27,"")</f>
        <v>-0.0349593495934959</v>
      </c>
      <c r="L27" s="8" t="n">
        <f aca="false">IF(Controls!$B$3="w1",H27,J27)</f>
        <v>0.796341463414634</v>
      </c>
      <c r="M27" s="11" t="n">
        <f aca="false">SUMIFS('Rule results'!$G$4:$G$58,'Rule results'!$B$4:$B$58,$A27,'Rule results'!$D$4:$D$58,"critical")</f>
        <v>0</v>
      </c>
      <c r="N27" s="11" t="n">
        <f aca="false">COUNTIFS(Issues!$B$4:$B$577,$A27,Issues!$E$4:$E$577,"critical",Issues!$U$4:$U$577,"&lt;&gt;resolved")</f>
        <v>0</v>
      </c>
      <c r="O27" s="6" t="b">
        <f aca="false">OR(M27&gt;0,N27&gt;0)</f>
        <v>0</v>
      </c>
      <c r="P27" s="11" t="n">
        <f aca="false">IF(ISNUMBER(K27),IF(ABS(K27)&gt;0.000000000001,1,0),"")</f>
        <v>1</v>
      </c>
      <c r="Q27" s="11" t="n">
        <f aca="false">IF(ISNUMBER(K27),IF(ABS(K27)&gt;=0.005,1,0),"")</f>
        <v>1</v>
      </c>
      <c r="R27" s="11" t="n">
        <f aca="false">IF(ISNUMBER(K27),ABS(K27),"")</f>
        <v>0.0349593495934959</v>
      </c>
      <c r="S27" s="11" t="n">
        <f aca="false">'Domain reference'!B27</f>
        <v>0.831301</v>
      </c>
      <c r="T27" s="11" t="n">
        <f aca="false">'Domain reference'!C27</f>
        <v>0.796341</v>
      </c>
      <c r="U27" s="6" t="b">
        <f aca="false">AND(IF(ISNUMBER(H27),ISNUMBER(S27),NOT(ISNUMBER(S27))),IF(ISNUMBER(J27),ISNUMBER(T27),NOT(ISNUMBER(T27))),IF(ISNUMBER(H27),ABS(ROUND(H27,6)-S27)&lt;0.0000005,TRUE()),IF(ISNUMBER(J27),ABS(ROUND(J27,6)-T27)&lt;0.0000005,TRUE()))</f>
        <v>1</v>
      </c>
    </row>
    <row r="28" customFormat="false" ht="15" hidden="false" customHeight="false" outlineLevel="0" collapsed="false">
      <c r="A28" s="0" t="s">
        <v>116</v>
      </c>
      <c r="B28" s="8" t="str">
        <f aca="false">IFERROR(AVERAGEIFS('Rule results'!$I$4:$I$58,'Rule results'!$B$4:$B$58,$A28,'Rule results'!$C$4:$C$58,B$3),"")</f>
        <v/>
      </c>
      <c r="C28" s="8" t="str">
        <f aca="false">IFERROR(AVERAGEIFS('Rule results'!$I$4:$I$58,'Rule results'!$B$4:$B$58,$A28,'Rule results'!$C$4:$C$58,C$3),"")</f>
        <v/>
      </c>
      <c r="D28" s="8" t="str">
        <f aca="false">IFERROR(AVERAGEIFS('Rule results'!$I$4:$I$58,'Rule results'!$B$4:$B$58,$A28,'Rule results'!$C$4:$C$58,D$3),"")</f>
        <v/>
      </c>
      <c r="E28" s="8" t="str">
        <f aca="false">IFERROR(AVERAGEIFS('Rule results'!$I$4:$I$58,'Rule results'!$B$4:$B$58,$A28,'Rule results'!$C$4:$C$58,E$3),"")</f>
        <v/>
      </c>
      <c r="F28" s="8" t="str">
        <f aca="false">IFERROR(AVERAGEIFS('Rule results'!$I$4:$I$58,'Rule results'!$B$4:$B$58,$A28,'Rule results'!$C$4:$C$58,F$3),"")</f>
        <v/>
      </c>
      <c r="G28" s="11" t="n">
        <f aca="false">IF(ISNUMBER(B28),Weights!$C$4,0)+IF(ISNUMBER(C28),Weights!$D$4,0)+IF(ISNUMBER(D28),Weights!$E$4,0)+IF(ISNUMBER(E28),Weights!$F$4,0)+IF(ISNUMBER(F28),Weights!$G$4,0)</f>
        <v>0</v>
      </c>
      <c r="H28" s="8" t="str">
        <f aca="false">IF(G28=0,"",(IF(ISNUMBER(B28),Weights!$C$4*B28,0)+IF(ISNUMBER(C28),Weights!$D$4*C28,0)+IF(ISNUMBER(D28),Weights!$E$4*D28,0)+IF(ISNUMBER(E28),Weights!$F$4*E28,0)+IF(ISNUMBER(F28),Weights!$G$4*F28,0))/G28)</f>
        <v/>
      </c>
      <c r="I28" s="11" t="n">
        <f aca="false">IF(ISNUMBER(B28),Weights!$C$5,0)+IF(ISNUMBER(C28),Weights!$D$5,0)+IF(ISNUMBER(D28),Weights!$E$5,0)+IF(ISNUMBER(E28),Weights!$F$5,0)+IF(ISNUMBER(F28),Weights!$G$5,0)</f>
        <v>0</v>
      </c>
      <c r="J28" s="8" t="str">
        <f aca="false">IF(I28=0,"",(IF(ISNUMBER(B28),Weights!$C$5*B28,0)+IF(ISNUMBER(C28),Weights!$D$5*C28,0)+IF(ISNUMBER(D28),Weights!$E$5*D28,0)+IF(ISNUMBER(E28),Weights!$F$5*E28,0)+IF(ISNUMBER(F28),Weights!$G$5*F28,0))/I28)</f>
        <v/>
      </c>
      <c r="K28" s="8" t="str">
        <f aca="false">IF(AND(ISNUMBER(H28),ISNUMBER(J28)),J28-H28,"")</f>
        <v/>
      </c>
      <c r="L28" s="8" t="str">
        <f aca="false">IF(Controls!$B$3="w1",H28,J28)</f>
        <v/>
      </c>
      <c r="M28" s="11" t="n">
        <f aca="false">SUMIFS('Rule results'!$G$4:$G$58,'Rule results'!$B$4:$B$58,$A28,'Rule results'!$D$4:$D$58,"critical")</f>
        <v>0</v>
      </c>
      <c r="N28" s="11" t="n">
        <f aca="false">COUNTIFS(Issues!$B$4:$B$577,$A28,Issues!$E$4:$E$577,"critical",Issues!$U$4:$U$577,"&lt;&gt;resolved")</f>
        <v>0</v>
      </c>
      <c r="O28" s="6" t="b">
        <f aca="false">OR(M28&gt;0,N28&gt;0)</f>
        <v>0</v>
      </c>
      <c r="P28" s="0" t="str">
        <f aca="false">IF(ISNUMBER(K28),IF(ABS(K28)&gt;0.000000000001,1,0),"")</f>
        <v/>
      </c>
      <c r="Q28" s="0" t="str">
        <f aca="false">IF(ISNUMBER(K28),IF(ABS(K28)&gt;=0.005,1,0),"")</f>
        <v/>
      </c>
      <c r="R28" s="0" t="str">
        <f aca="false">IF(ISNUMBER(K28),ABS(K28),"")</f>
        <v/>
      </c>
      <c r="S28" s="0" t="str">
        <f aca="false">'Domain reference'!B28</f>
        <v>not measured</v>
      </c>
      <c r="T28" s="0" t="str">
        <f aca="false">'Domain reference'!C28</f>
        <v>not measured</v>
      </c>
      <c r="U28" s="6" t="b">
        <f aca="false">AND(IF(ISNUMBER(H28),ISNUMBER(S28),NOT(ISNUMBER(S28))),IF(ISNUMBER(J28),ISNUMBER(T28),NOT(ISNUMBER(T28))),IF(ISNUMBER(H28),ABS(ROUND(H28,6)-S28)&lt;0.0000005,TRUE()),IF(ISNUMBER(J28),ABS(ROUND(J28,6)-T28)&lt;0.0000005,TRUE()))</f>
        <v>1</v>
      </c>
    </row>
    <row r="29" customFormat="false" ht="15" hidden="false" customHeight="false" outlineLevel="0" collapsed="false">
      <c r="A29" s="0" t="s">
        <v>117</v>
      </c>
      <c r="B29" s="8" t="n">
        <f aca="false">IFERROR(AVERAGEIFS('Rule results'!$I$4:$I$58,'Rule results'!$B$4:$B$58,$A29,'Rule results'!$C$4:$C$58,B$3),"")</f>
        <v>0.982758620689655</v>
      </c>
      <c r="C29" s="8" t="str">
        <f aca="false">IFERROR(AVERAGEIFS('Rule results'!$I$4:$I$58,'Rule results'!$B$4:$B$58,$A29,'Rule results'!$C$4:$C$58,C$3),"")</f>
        <v/>
      </c>
      <c r="D29" s="8" t="n">
        <f aca="false">IFERROR(AVERAGEIFS('Rule results'!$I$4:$I$58,'Rule results'!$B$4:$B$58,$A29,'Rule results'!$C$4:$C$58,D$3),"")</f>
        <v>0.982758620689655</v>
      </c>
      <c r="E29" s="8" t="str">
        <f aca="false">IFERROR(AVERAGEIFS('Rule results'!$I$4:$I$58,'Rule results'!$B$4:$B$58,$A29,'Rule results'!$C$4:$C$58,E$3),"")</f>
        <v/>
      </c>
      <c r="F29" s="8" t="str">
        <f aca="false">IFERROR(AVERAGEIFS('Rule results'!$I$4:$I$58,'Rule results'!$B$4:$B$58,$A29,'Rule results'!$C$4:$C$58,F$3),"")</f>
        <v/>
      </c>
      <c r="G29" s="11" t="n">
        <f aca="false">IF(ISNUMBER(B29),Weights!$C$4,0)+IF(ISNUMBER(C29),Weights!$D$4,0)+IF(ISNUMBER(D29),Weights!$E$4,0)+IF(ISNUMBER(E29),Weights!$F$4,0)+IF(ISNUMBER(F29),Weights!$G$4,0)</f>
        <v>0.6</v>
      </c>
      <c r="H29" s="8" t="n">
        <f aca="false">IF(G29=0,"",(IF(ISNUMBER(B29),Weights!$C$4*B29,0)+IF(ISNUMBER(C29),Weights!$D$4*C29,0)+IF(ISNUMBER(D29),Weights!$E$4*D29,0)+IF(ISNUMBER(E29),Weights!$F$4*E29,0)+IF(ISNUMBER(F29),Weights!$G$4*F29,0))/G29)</f>
        <v>0.982758620689655</v>
      </c>
      <c r="I29" s="11" t="n">
        <f aca="false">IF(ISNUMBER(B29),Weights!$C$5,0)+IF(ISNUMBER(C29),Weights!$D$5,0)+IF(ISNUMBER(D29),Weights!$E$5,0)+IF(ISNUMBER(E29),Weights!$F$5,0)+IF(ISNUMBER(F29),Weights!$G$5,0)</f>
        <v>0.5</v>
      </c>
      <c r="J29" s="8" t="n">
        <f aca="false">IF(I29=0,"",(IF(ISNUMBER(B29),Weights!$C$5*B29,0)+IF(ISNUMBER(C29),Weights!$D$5*C29,0)+IF(ISNUMBER(D29),Weights!$E$5*D29,0)+IF(ISNUMBER(E29),Weights!$F$5*E29,0)+IF(ISNUMBER(F29),Weights!$G$5*F29,0))/I29)</f>
        <v>0.982758620689655</v>
      </c>
      <c r="K29" s="8" t="n">
        <f aca="false">IF(AND(ISNUMBER(H29),ISNUMBER(J29)),J29-H29,"")</f>
        <v>0</v>
      </c>
      <c r="L29" s="8" t="n">
        <f aca="false">IF(Controls!$B$3="w1",H29,J29)</f>
        <v>0.982758620689655</v>
      </c>
      <c r="M29" s="11" t="n">
        <f aca="false">SUMIFS('Rule results'!$G$4:$G$58,'Rule results'!$B$4:$B$58,$A29,'Rule results'!$D$4:$D$58,"critical")</f>
        <v>0</v>
      </c>
      <c r="N29" s="11" t="n">
        <f aca="false">COUNTIFS(Issues!$B$4:$B$577,$A29,Issues!$E$4:$E$577,"critical",Issues!$U$4:$U$577,"&lt;&gt;resolved")</f>
        <v>0</v>
      </c>
      <c r="O29" s="6" t="b">
        <f aca="false">OR(M29&gt;0,N29&gt;0)</f>
        <v>0</v>
      </c>
      <c r="P29" s="11" t="n">
        <f aca="false">IF(ISNUMBER(K29),IF(ABS(K29)&gt;0.000000000001,1,0),"")</f>
        <v>0</v>
      </c>
      <c r="Q29" s="11" t="n">
        <f aca="false">IF(ISNUMBER(K29),IF(ABS(K29)&gt;=0.005,1,0),"")</f>
        <v>0</v>
      </c>
      <c r="R29" s="11" t="n">
        <f aca="false">IF(ISNUMBER(K29),ABS(K29),"")</f>
        <v>0</v>
      </c>
      <c r="S29" s="11" t="n">
        <f aca="false">'Domain reference'!B29</f>
        <v>0.982759</v>
      </c>
      <c r="T29" s="11" t="n">
        <f aca="false">'Domain reference'!C29</f>
        <v>0.982759</v>
      </c>
      <c r="U29" s="6" t="b">
        <f aca="false">AND(IF(ISNUMBER(H29),ISNUMBER(S29),NOT(ISNUMBER(S29))),IF(ISNUMBER(J29),ISNUMBER(T29),NOT(ISNUMBER(T29))),IF(ISNUMBER(H29),ABS(ROUND(H29,6)-S29)&lt;0.0000005,TRUE()),IF(ISNUMBER(J29),ABS(ROUND(J29,6)-T29)&lt;0.0000005,TRUE()))</f>
        <v>1</v>
      </c>
    </row>
    <row r="30" customFormat="false" ht="15" hidden="false" customHeight="false" outlineLevel="0" collapsed="false">
      <c r="A30" s="0" t="s">
        <v>118</v>
      </c>
      <c r="B30" s="8" t="str">
        <f aca="false">IFERROR(AVERAGEIFS('Rule results'!$I$4:$I$58,'Rule results'!$B$4:$B$58,$A30,'Rule results'!$C$4:$C$58,B$3),"")</f>
        <v/>
      </c>
      <c r="C30" s="8" t="str">
        <f aca="false">IFERROR(AVERAGEIFS('Rule results'!$I$4:$I$58,'Rule results'!$B$4:$B$58,$A30,'Rule results'!$C$4:$C$58,C$3),"")</f>
        <v/>
      </c>
      <c r="D30" s="8" t="str">
        <f aca="false">IFERROR(AVERAGEIFS('Rule results'!$I$4:$I$58,'Rule results'!$B$4:$B$58,$A30,'Rule results'!$C$4:$C$58,D$3),"")</f>
        <v/>
      </c>
      <c r="E30" s="8" t="n">
        <f aca="false">IFERROR(AVERAGEIFS('Rule results'!$I$4:$I$58,'Rule results'!$B$4:$B$58,$A30,'Rule results'!$C$4:$C$58,E$3),"")</f>
        <v>0.977777777777778</v>
      </c>
      <c r="F30" s="8" t="str">
        <f aca="false">IFERROR(AVERAGEIFS('Rule results'!$I$4:$I$58,'Rule results'!$B$4:$B$58,$A30,'Rule results'!$C$4:$C$58,F$3),"")</f>
        <v/>
      </c>
      <c r="G30" s="11" t="n">
        <f aca="false">IF(ISNUMBER(B30),Weights!$C$4,0)+IF(ISNUMBER(C30),Weights!$D$4,0)+IF(ISNUMBER(D30),Weights!$E$4,0)+IF(ISNUMBER(E30),Weights!$F$4,0)+IF(ISNUMBER(F30),Weights!$G$4,0)</f>
        <v>0.05</v>
      </c>
      <c r="H30" s="8" t="n">
        <f aca="false">IF(G30=0,"",(IF(ISNUMBER(B30),Weights!$C$4*B30,0)+IF(ISNUMBER(C30),Weights!$D$4*C30,0)+IF(ISNUMBER(D30),Weights!$E$4*D30,0)+IF(ISNUMBER(E30),Weights!$F$4*E30,0)+IF(ISNUMBER(F30),Weights!$G$4*F30,0))/G30)</f>
        <v>0.977777777777778</v>
      </c>
      <c r="I30" s="11" t="n">
        <f aca="false">IF(ISNUMBER(B30),Weights!$C$5,0)+IF(ISNUMBER(C30),Weights!$D$5,0)+IF(ISNUMBER(D30),Weights!$E$5,0)+IF(ISNUMBER(E30),Weights!$F$5,0)+IF(ISNUMBER(F30),Weights!$G$5,0)</f>
        <v>0.15</v>
      </c>
      <c r="J30" s="8" t="n">
        <f aca="false">IF(I30=0,"",(IF(ISNUMBER(B30),Weights!$C$5*B30,0)+IF(ISNUMBER(C30),Weights!$D$5*C30,0)+IF(ISNUMBER(D30),Weights!$E$5*D30,0)+IF(ISNUMBER(E30),Weights!$F$5*E30,0)+IF(ISNUMBER(F30),Weights!$G$5*F30,0))/I30)</f>
        <v>0.977777777777778</v>
      </c>
      <c r="K30" s="8" t="n">
        <f aca="false">IF(AND(ISNUMBER(H30),ISNUMBER(J30)),J30-H30,"")</f>
        <v>0</v>
      </c>
      <c r="L30" s="8" t="n">
        <f aca="false">IF(Controls!$B$3="w1",H30,J30)</f>
        <v>0.977777777777778</v>
      </c>
      <c r="M30" s="11" t="n">
        <f aca="false">SUMIFS('Rule results'!$G$4:$G$58,'Rule results'!$B$4:$B$58,$A30,'Rule results'!$D$4:$D$58,"critical")</f>
        <v>0</v>
      </c>
      <c r="N30" s="11" t="n">
        <f aca="false">COUNTIFS(Issues!$B$4:$B$577,$A30,Issues!$E$4:$E$577,"critical",Issues!$U$4:$U$577,"&lt;&gt;resolved")</f>
        <v>0</v>
      </c>
      <c r="O30" s="6" t="b">
        <f aca="false">OR(M30&gt;0,N30&gt;0)</f>
        <v>0</v>
      </c>
      <c r="P30" s="11" t="n">
        <f aca="false">IF(ISNUMBER(K30),IF(ABS(K30)&gt;0.000000000001,1,0),"")</f>
        <v>0</v>
      </c>
      <c r="Q30" s="11" t="n">
        <f aca="false">IF(ISNUMBER(K30),IF(ABS(K30)&gt;=0.005,1,0),"")</f>
        <v>0</v>
      </c>
      <c r="R30" s="11" t="n">
        <f aca="false">IF(ISNUMBER(K30),ABS(K30),"")</f>
        <v>0</v>
      </c>
      <c r="S30" s="11" t="n">
        <f aca="false">'Domain reference'!B30</f>
        <v>0.977778</v>
      </c>
      <c r="T30" s="11" t="n">
        <f aca="false">'Domain reference'!C30</f>
        <v>0.977778</v>
      </c>
      <c r="U30" s="6" t="b">
        <f aca="false">AND(IF(ISNUMBER(H30),ISNUMBER(S30),NOT(ISNUMBER(S30))),IF(ISNUMBER(J30),ISNUMBER(T30),NOT(ISNUMBER(T30))),IF(ISNUMBER(H30),ABS(ROUND(H30,6)-S30)&lt;0.0000005,TRUE()),IF(ISNUMBER(J30),ABS(ROUND(J30,6)-T30)&lt;0.0000005,TRUE()))</f>
        <v>1</v>
      </c>
    </row>
    <row r="31" customFormat="false" ht="15" hidden="false" customHeight="false" outlineLevel="0" collapsed="false">
      <c r="A31" s="0" t="s">
        <v>119</v>
      </c>
      <c r="B31" s="8" t="str">
        <f aca="false">IFERROR(AVERAGEIFS('Rule results'!$I$4:$I$58,'Rule results'!$B$4:$B$58,$A31,'Rule results'!$C$4:$C$58,B$3),"")</f>
        <v/>
      </c>
      <c r="C31" s="8" t="str">
        <f aca="false">IFERROR(AVERAGEIFS('Rule results'!$I$4:$I$58,'Rule results'!$B$4:$B$58,$A31,'Rule results'!$C$4:$C$58,C$3),"")</f>
        <v/>
      </c>
      <c r="D31" s="8" t="str">
        <f aca="false">IFERROR(AVERAGEIFS('Rule results'!$I$4:$I$58,'Rule results'!$B$4:$B$58,$A31,'Rule results'!$C$4:$C$58,D$3),"")</f>
        <v/>
      </c>
      <c r="E31" s="8" t="n">
        <f aca="false">IFERROR(AVERAGEIFS('Rule results'!$I$4:$I$58,'Rule results'!$B$4:$B$58,$A31,'Rule results'!$C$4:$C$58,E$3),"")</f>
        <v>0.938775510204082</v>
      </c>
      <c r="F31" s="8" t="str">
        <f aca="false">IFERROR(AVERAGEIFS('Rule results'!$I$4:$I$58,'Rule results'!$B$4:$B$58,$A31,'Rule results'!$C$4:$C$58,F$3),"")</f>
        <v/>
      </c>
      <c r="G31" s="11" t="n">
        <f aca="false">IF(ISNUMBER(B31),Weights!$C$4,0)+IF(ISNUMBER(C31),Weights!$D$4,0)+IF(ISNUMBER(D31),Weights!$E$4,0)+IF(ISNUMBER(E31),Weights!$F$4,0)+IF(ISNUMBER(F31),Weights!$G$4,0)</f>
        <v>0.05</v>
      </c>
      <c r="H31" s="8" t="n">
        <f aca="false">IF(G31=0,"",(IF(ISNUMBER(B31),Weights!$C$4*B31,0)+IF(ISNUMBER(C31),Weights!$D$4*C31,0)+IF(ISNUMBER(D31),Weights!$E$4*D31,0)+IF(ISNUMBER(E31),Weights!$F$4*E31,0)+IF(ISNUMBER(F31),Weights!$G$4*F31,0))/G31)</f>
        <v>0.938775510204082</v>
      </c>
      <c r="I31" s="11" t="n">
        <f aca="false">IF(ISNUMBER(B31),Weights!$C$5,0)+IF(ISNUMBER(C31),Weights!$D$5,0)+IF(ISNUMBER(D31),Weights!$E$5,0)+IF(ISNUMBER(E31),Weights!$F$5,0)+IF(ISNUMBER(F31),Weights!$G$5,0)</f>
        <v>0.15</v>
      </c>
      <c r="J31" s="8" t="n">
        <f aca="false">IF(I31=0,"",(IF(ISNUMBER(B31),Weights!$C$5*B31,0)+IF(ISNUMBER(C31),Weights!$D$5*C31,0)+IF(ISNUMBER(D31),Weights!$E$5*D31,0)+IF(ISNUMBER(E31),Weights!$F$5*E31,0)+IF(ISNUMBER(F31),Weights!$G$5*F31,0))/I31)</f>
        <v>0.938775510204082</v>
      </c>
      <c r="K31" s="8" t="n">
        <f aca="false">IF(AND(ISNUMBER(H31),ISNUMBER(J31)),J31-H31,"")</f>
        <v>0</v>
      </c>
      <c r="L31" s="8" t="n">
        <f aca="false">IF(Controls!$B$3="w1",H31,J31)</f>
        <v>0.938775510204082</v>
      </c>
      <c r="M31" s="11" t="n">
        <f aca="false">SUMIFS('Rule results'!$G$4:$G$58,'Rule results'!$B$4:$B$58,$A31,'Rule results'!$D$4:$D$58,"critical")</f>
        <v>0</v>
      </c>
      <c r="N31" s="11" t="n">
        <f aca="false">COUNTIFS(Issues!$B$4:$B$577,$A31,Issues!$E$4:$E$577,"critical",Issues!$U$4:$U$577,"&lt;&gt;resolved")</f>
        <v>0</v>
      </c>
      <c r="O31" s="6" t="b">
        <f aca="false">OR(M31&gt;0,N31&gt;0)</f>
        <v>0</v>
      </c>
      <c r="P31" s="11" t="n">
        <f aca="false">IF(ISNUMBER(K31),IF(ABS(K31)&gt;0.000000000001,1,0),"")</f>
        <v>0</v>
      </c>
      <c r="Q31" s="11" t="n">
        <f aca="false">IF(ISNUMBER(K31),IF(ABS(K31)&gt;=0.005,1,0),"")</f>
        <v>0</v>
      </c>
      <c r="R31" s="11" t="n">
        <f aca="false">IF(ISNUMBER(K31),ABS(K31),"")</f>
        <v>0</v>
      </c>
      <c r="S31" s="11" t="n">
        <f aca="false">'Domain reference'!B31</f>
        <v>0.938776</v>
      </c>
      <c r="T31" s="11" t="n">
        <f aca="false">'Domain reference'!C31</f>
        <v>0.938776</v>
      </c>
      <c r="U31" s="6" t="b">
        <f aca="false">AND(IF(ISNUMBER(H31),ISNUMBER(S31),NOT(ISNUMBER(S31))),IF(ISNUMBER(J31),ISNUMBER(T31),NOT(ISNUMBER(T31))),IF(ISNUMBER(H31),ABS(ROUND(H31,6)-S31)&lt;0.0000005,TRUE()),IF(ISNUMBER(J31),ABS(ROUND(J31,6)-T31)&lt;0.0000005,TRUE()))</f>
        <v>1</v>
      </c>
    </row>
    <row r="32" customFormat="false" ht="15" hidden="false" customHeight="false" outlineLevel="0" collapsed="false">
      <c r="A32" s="0" t="s">
        <v>120</v>
      </c>
      <c r="B32" s="8" t="n">
        <f aca="false">IFERROR(AVERAGEIFS('Rule results'!$I$4:$I$58,'Rule results'!$B$4:$B$58,$A32,'Rule results'!$C$4:$C$58,B$3),"")</f>
        <v>0.93</v>
      </c>
      <c r="C32" s="8" t="str">
        <f aca="false">IFERROR(AVERAGEIFS('Rule results'!$I$4:$I$58,'Rule results'!$B$4:$B$58,$A32,'Rule results'!$C$4:$C$58,C$3),"")</f>
        <v/>
      </c>
      <c r="D32" s="8" t="str">
        <f aca="false">IFERROR(AVERAGEIFS('Rule results'!$I$4:$I$58,'Rule results'!$B$4:$B$58,$A32,'Rule results'!$C$4:$C$58,D$3),"")</f>
        <v/>
      </c>
      <c r="E32" s="8" t="str">
        <f aca="false">IFERROR(AVERAGEIFS('Rule results'!$I$4:$I$58,'Rule results'!$B$4:$B$58,$A32,'Rule results'!$C$4:$C$58,E$3),"")</f>
        <v/>
      </c>
      <c r="F32" s="8" t="str">
        <f aca="false">IFERROR(AVERAGEIFS('Rule results'!$I$4:$I$58,'Rule results'!$B$4:$B$58,$A32,'Rule results'!$C$4:$C$58,F$3),"")</f>
        <v/>
      </c>
      <c r="G32" s="11" t="n">
        <f aca="false">IF(ISNUMBER(B32),Weights!$C$4,0)+IF(ISNUMBER(C32),Weights!$D$4,0)+IF(ISNUMBER(D32),Weights!$E$4,0)+IF(ISNUMBER(E32),Weights!$F$4,0)+IF(ISNUMBER(F32),Weights!$G$4,0)</f>
        <v>0.4</v>
      </c>
      <c r="H32" s="8" t="n">
        <f aca="false">IF(G32=0,"",(IF(ISNUMBER(B32),Weights!$C$4*B32,0)+IF(ISNUMBER(C32),Weights!$D$4*C32,0)+IF(ISNUMBER(D32),Weights!$E$4*D32,0)+IF(ISNUMBER(E32),Weights!$F$4*E32,0)+IF(ISNUMBER(F32),Weights!$G$4*F32,0))/G32)</f>
        <v>0.93</v>
      </c>
      <c r="I32" s="11" t="n">
        <f aca="false">IF(ISNUMBER(B32),Weights!$C$5,0)+IF(ISNUMBER(C32),Weights!$D$5,0)+IF(ISNUMBER(D32),Weights!$E$5,0)+IF(ISNUMBER(E32),Weights!$F$5,0)+IF(ISNUMBER(F32),Weights!$G$5,0)</f>
        <v>0.25</v>
      </c>
      <c r="J32" s="8" t="n">
        <f aca="false">IF(I32=0,"",(IF(ISNUMBER(B32),Weights!$C$5*B32,0)+IF(ISNUMBER(C32),Weights!$D$5*C32,0)+IF(ISNUMBER(D32),Weights!$E$5*D32,0)+IF(ISNUMBER(E32),Weights!$F$5*E32,0)+IF(ISNUMBER(F32),Weights!$G$5*F32,0))/I32)</f>
        <v>0.93</v>
      </c>
      <c r="K32" s="8" t="n">
        <f aca="false">IF(AND(ISNUMBER(H32),ISNUMBER(J32)),J32-H32,"")</f>
        <v>0</v>
      </c>
      <c r="L32" s="8" t="n">
        <f aca="false">IF(Controls!$B$3="w1",H32,J32)</f>
        <v>0.93</v>
      </c>
      <c r="M32" s="11" t="n">
        <f aca="false">SUMIFS('Rule results'!$G$4:$G$58,'Rule results'!$B$4:$B$58,$A32,'Rule results'!$D$4:$D$58,"critical")</f>
        <v>0</v>
      </c>
      <c r="N32" s="11" t="n">
        <f aca="false">COUNTIFS(Issues!$B$4:$B$577,$A32,Issues!$E$4:$E$577,"critical",Issues!$U$4:$U$577,"&lt;&gt;resolved")</f>
        <v>0</v>
      </c>
      <c r="O32" s="6" t="b">
        <f aca="false">OR(M32&gt;0,N32&gt;0)</f>
        <v>0</v>
      </c>
      <c r="P32" s="11" t="n">
        <f aca="false">IF(ISNUMBER(K32),IF(ABS(K32)&gt;0.000000000001,1,0),"")</f>
        <v>0</v>
      </c>
      <c r="Q32" s="11" t="n">
        <f aca="false">IF(ISNUMBER(K32),IF(ABS(K32)&gt;=0.005,1,0),"")</f>
        <v>0</v>
      </c>
      <c r="R32" s="11" t="n">
        <f aca="false">IF(ISNUMBER(K32),ABS(K32),"")</f>
        <v>0</v>
      </c>
      <c r="S32" s="11" t="n">
        <f aca="false">'Domain reference'!B32</f>
        <v>0.93</v>
      </c>
      <c r="T32" s="11" t="n">
        <f aca="false">'Domain reference'!C32</f>
        <v>0.93</v>
      </c>
      <c r="U32" s="6" t="b">
        <f aca="false">AND(IF(ISNUMBER(H32),ISNUMBER(S32),NOT(ISNUMBER(S32))),IF(ISNUMBER(J32),ISNUMBER(T32),NOT(ISNUMBER(T32))),IF(ISNUMBER(H32),ABS(ROUND(H32,6)-S32)&lt;0.0000005,TRUE()),IF(ISNUMBER(J32),ABS(ROUND(J32,6)-T32)&lt;0.0000005,TRUE()))</f>
        <v>1</v>
      </c>
    </row>
    <row r="33" customFormat="false" ht="15" hidden="false" customHeight="false" outlineLevel="0" collapsed="false">
      <c r="A33" s="0" t="s">
        <v>121</v>
      </c>
      <c r="B33" s="8" t="str">
        <f aca="false">IFERROR(AVERAGEIFS('Rule results'!$I$4:$I$58,'Rule results'!$B$4:$B$58,$A33,'Rule results'!$C$4:$C$58,B$3),"")</f>
        <v/>
      </c>
      <c r="C33" s="8" t="str">
        <f aca="false">IFERROR(AVERAGEIFS('Rule results'!$I$4:$I$58,'Rule results'!$B$4:$B$58,$A33,'Rule results'!$C$4:$C$58,C$3),"")</f>
        <v/>
      </c>
      <c r="D33" s="8" t="str">
        <f aca="false">IFERROR(AVERAGEIFS('Rule results'!$I$4:$I$58,'Rule results'!$B$4:$B$58,$A33,'Rule results'!$C$4:$C$58,D$3),"")</f>
        <v/>
      </c>
      <c r="E33" s="8" t="str">
        <f aca="false">IFERROR(AVERAGEIFS('Rule results'!$I$4:$I$58,'Rule results'!$B$4:$B$58,$A33,'Rule results'!$C$4:$C$58,E$3),"")</f>
        <v/>
      </c>
      <c r="F33" s="8" t="str">
        <f aca="false">IFERROR(AVERAGEIFS('Rule results'!$I$4:$I$58,'Rule results'!$B$4:$B$58,$A33,'Rule results'!$C$4:$C$58,F$3),"")</f>
        <v/>
      </c>
      <c r="G33" s="11" t="n">
        <f aca="false">IF(ISNUMBER(B33),Weights!$C$4,0)+IF(ISNUMBER(C33),Weights!$D$4,0)+IF(ISNUMBER(D33),Weights!$E$4,0)+IF(ISNUMBER(E33),Weights!$F$4,0)+IF(ISNUMBER(F33),Weights!$G$4,0)</f>
        <v>0</v>
      </c>
      <c r="H33" s="8" t="str">
        <f aca="false">IF(G33=0,"",(IF(ISNUMBER(B33),Weights!$C$4*B33,0)+IF(ISNUMBER(C33),Weights!$D$4*C33,0)+IF(ISNUMBER(D33),Weights!$E$4*D33,0)+IF(ISNUMBER(E33),Weights!$F$4*E33,0)+IF(ISNUMBER(F33),Weights!$G$4*F33,0))/G33)</f>
        <v/>
      </c>
      <c r="I33" s="11" t="n">
        <f aca="false">IF(ISNUMBER(B33),Weights!$C$5,0)+IF(ISNUMBER(C33),Weights!$D$5,0)+IF(ISNUMBER(D33),Weights!$E$5,0)+IF(ISNUMBER(E33),Weights!$F$5,0)+IF(ISNUMBER(F33),Weights!$G$5,0)</f>
        <v>0</v>
      </c>
      <c r="J33" s="8" t="str">
        <f aca="false">IF(I33=0,"",(IF(ISNUMBER(B33),Weights!$C$5*B33,0)+IF(ISNUMBER(C33),Weights!$D$5*C33,0)+IF(ISNUMBER(D33),Weights!$E$5*D33,0)+IF(ISNUMBER(E33),Weights!$F$5*E33,0)+IF(ISNUMBER(F33),Weights!$G$5*F33,0))/I33)</f>
        <v/>
      </c>
      <c r="K33" s="8" t="str">
        <f aca="false">IF(AND(ISNUMBER(H33),ISNUMBER(J33)),J33-H33,"")</f>
        <v/>
      </c>
      <c r="L33" s="8" t="str">
        <f aca="false">IF(Controls!$B$3="w1",H33,J33)</f>
        <v/>
      </c>
      <c r="M33" s="11" t="n">
        <f aca="false">SUMIFS('Rule results'!$G$4:$G$58,'Rule results'!$B$4:$B$58,$A33,'Rule results'!$D$4:$D$58,"critical")</f>
        <v>0</v>
      </c>
      <c r="N33" s="11" t="n">
        <f aca="false">COUNTIFS(Issues!$B$4:$B$577,$A33,Issues!$E$4:$E$577,"critical",Issues!$U$4:$U$577,"&lt;&gt;resolved")</f>
        <v>0</v>
      </c>
      <c r="O33" s="6" t="b">
        <f aca="false">OR(M33&gt;0,N33&gt;0)</f>
        <v>0</v>
      </c>
      <c r="P33" s="0" t="str">
        <f aca="false">IF(ISNUMBER(K33),IF(ABS(K33)&gt;0.000000000001,1,0),"")</f>
        <v/>
      </c>
      <c r="Q33" s="0" t="str">
        <f aca="false">IF(ISNUMBER(K33),IF(ABS(K33)&gt;=0.005,1,0),"")</f>
        <v/>
      </c>
      <c r="R33" s="0" t="str">
        <f aca="false">IF(ISNUMBER(K33),ABS(K33),"")</f>
        <v/>
      </c>
      <c r="S33" s="0" t="str">
        <f aca="false">'Domain reference'!B33</f>
        <v>not measured</v>
      </c>
      <c r="T33" s="0" t="str">
        <f aca="false">'Domain reference'!C33</f>
        <v>not measured</v>
      </c>
      <c r="U33" s="6" t="b">
        <f aca="false">AND(IF(ISNUMBER(H33),ISNUMBER(S33),NOT(ISNUMBER(S33))),IF(ISNUMBER(J33),ISNUMBER(T33),NOT(ISNUMBER(T33))),IF(ISNUMBER(H33),ABS(ROUND(H33,6)-S33)&lt;0.0000005,TRUE()),IF(ISNUMBER(J33),ABS(ROUND(J33,6)-T33)&lt;0.0000005,TRUE()))</f>
        <v>1</v>
      </c>
    </row>
    <row r="34" customFormat="false" ht="15" hidden="false" customHeight="false" outlineLevel="0" collapsed="false">
      <c r="A34" s="0" t="s">
        <v>122</v>
      </c>
      <c r="B34" s="8" t="str">
        <f aca="false">IFERROR(AVERAGEIFS('Rule results'!$I$4:$I$58,'Rule results'!$B$4:$B$58,$A34,'Rule results'!$C$4:$C$58,B$3),"")</f>
        <v/>
      </c>
      <c r="C34" s="8" t="n">
        <f aca="false">IFERROR(AVERAGEIFS('Rule results'!$I$4:$I$58,'Rule results'!$B$4:$B$58,$A34,'Rule results'!$C$4:$C$58,C$3),"")</f>
        <v>0.847222222222222</v>
      </c>
      <c r="D34" s="8" t="str">
        <f aca="false">IFERROR(AVERAGEIFS('Rule results'!$I$4:$I$58,'Rule results'!$B$4:$B$58,$A34,'Rule results'!$C$4:$C$58,D$3),"")</f>
        <v/>
      </c>
      <c r="E34" s="8" t="n">
        <f aca="false">IFERROR(AVERAGEIFS('Rule results'!$I$4:$I$58,'Rule results'!$B$4:$B$58,$A34,'Rule results'!$C$4:$C$58,E$3),"")</f>
        <v>0.855421686746988</v>
      </c>
      <c r="F34" s="8" t="str">
        <f aca="false">IFERROR(AVERAGEIFS('Rule results'!$I$4:$I$58,'Rule results'!$B$4:$B$58,$A34,'Rule results'!$C$4:$C$58,F$3),"")</f>
        <v/>
      </c>
      <c r="G34" s="11" t="n">
        <f aca="false">IF(ISNUMBER(B34),Weights!$C$4,0)+IF(ISNUMBER(C34),Weights!$D$4,0)+IF(ISNUMBER(D34),Weights!$E$4,0)+IF(ISNUMBER(E34),Weights!$F$4,0)+IF(ISNUMBER(F34),Weights!$G$4,0)</f>
        <v>0.35</v>
      </c>
      <c r="H34" s="8" t="n">
        <f aca="false">IF(G34=0,"",(IF(ISNUMBER(B34),Weights!$C$4*B34,0)+IF(ISNUMBER(C34),Weights!$D$4*C34,0)+IF(ISNUMBER(D34),Weights!$E$4*D34,0)+IF(ISNUMBER(E34),Weights!$F$4*E34,0)+IF(ISNUMBER(F34),Weights!$G$4*F34,0))/G34)</f>
        <v>0.848393574297189</v>
      </c>
      <c r="I34" s="11" t="n">
        <f aca="false">IF(ISNUMBER(B34),Weights!$C$5,0)+IF(ISNUMBER(C34),Weights!$D$5,0)+IF(ISNUMBER(D34),Weights!$E$5,0)+IF(ISNUMBER(E34),Weights!$F$5,0)+IF(ISNUMBER(F34),Weights!$G$5,0)</f>
        <v>0.4</v>
      </c>
      <c r="J34" s="8" t="n">
        <f aca="false">IF(I34=0,"",(IF(ISNUMBER(B34),Weights!$C$5*B34,0)+IF(ISNUMBER(C34),Weights!$D$5*C34,0)+IF(ISNUMBER(D34),Weights!$E$5*D34,0)+IF(ISNUMBER(E34),Weights!$F$5*E34,0)+IF(ISNUMBER(F34),Weights!$G$5*F34,0))/I34)</f>
        <v>0.850297021419009</v>
      </c>
      <c r="K34" s="8" t="n">
        <f aca="false">IF(AND(ISNUMBER(H34),ISNUMBER(J34)),J34-H34,"")</f>
        <v>0.00190344712182056</v>
      </c>
      <c r="L34" s="8" t="n">
        <f aca="false">IF(Controls!$B$3="w1",H34,J34)</f>
        <v>0.850297021419009</v>
      </c>
      <c r="M34" s="11" t="n">
        <f aca="false">SUMIFS('Rule results'!$G$4:$G$58,'Rule results'!$B$4:$B$58,$A34,'Rule results'!$D$4:$D$58,"critical")</f>
        <v>0</v>
      </c>
      <c r="N34" s="11" t="n">
        <f aca="false">COUNTIFS(Issues!$B$4:$B$577,$A34,Issues!$E$4:$E$577,"critical",Issues!$U$4:$U$577,"&lt;&gt;resolved")</f>
        <v>0</v>
      </c>
      <c r="O34" s="6" t="b">
        <f aca="false">OR(M34&gt;0,N34&gt;0)</f>
        <v>0</v>
      </c>
      <c r="P34" s="11" t="n">
        <f aca="false">IF(ISNUMBER(K34),IF(ABS(K34)&gt;0.000000000001,1,0),"")</f>
        <v>1</v>
      </c>
      <c r="Q34" s="11" t="n">
        <f aca="false">IF(ISNUMBER(K34),IF(ABS(K34)&gt;=0.005,1,0),"")</f>
        <v>0</v>
      </c>
      <c r="R34" s="11" t="n">
        <f aca="false">IF(ISNUMBER(K34),ABS(K34),"")</f>
        <v>0.00190344712182056</v>
      </c>
      <c r="S34" s="11" t="n">
        <f aca="false">'Domain reference'!B34</f>
        <v>0.848394</v>
      </c>
      <c r="T34" s="11" t="n">
        <f aca="false">'Domain reference'!C34</f>
        <v>0.850297</v>
      </c>
      <c r="U34" s="6" t="b">
        <f aca="false">AND(IF(ISNUMBER(H34),ISNUMBER(S34),NOT(ISNUMBER(S34))),IF(ISNUMBER(J34),ISNUMBER(T34),NOT(ISNUMBER(T34))),IF(ISNUMBER(H34),ABS(ROUND(H34,6)-S34)&lt;0.0000005,TRUE()),IF(ISNUMBER(J34),ABS(ROUND(J34,6)-T34)&lt;0.0000005,TRUE()))</f>
        <v>1</v>
      </c>
    </row>
    <row r="35" customFormat="false" ht="15" hidden="false" customHeight="false" outlineLevel="0" collapsed="false">
      <c r="A35" s="0" t="s">
        <v>123</v>
      </c>
      <c r="B35" s="8" t="str">
        <f aca="false">IFERROR(AVERAGEIFS('Rule results'!$I$4:$I$58,'Rule results'!$B$4:$B$58,$A35,'Rule results'!$C$4:$C$58,B$3),"")</f>
        <v/>
      </c>
      <c r="C35" s="8" t="str">
        <f aca="false">IFERROR(AVERAGEIFS('Rule results'!$I$4:$I$58,'Rule results'!$B$4:$B$58,$A35,'Rule results'!$C$4:$C$58,C$3),"")</f>
        <v/>
      </c>
      <c r="D35" s="8" t="str">
        <f aca="false">IFERROR(AVERAGEIFS('Rule results'!$I$4:$I$58,'Rule results'!$B$4:$B$58,$A35,'Rule results'!$C$4:$C$58,D$3),"")</f>
        <v/>
      </c>
      <c r="E35" s="8" t="str">
        <f aca="false">IFERROR(AVERAGEIFS('Rule results'!$I$4:$I$58,'Rule results'!$B$4:$B$58,$A35,'Rule results'!$C$4:$C$58,E$3),"")</f>
        <v/>
      </c>
      <c r="F35" s="8" t="str">
        <f aca="false">IFERROR(AVERAGEIFS('Rule results'!$I$4:$I$58,'Rule results'!$B$4:$B$58,$A35,'Rule results'!$C$4:$C$58,F$3),"")</f>
        <v/>
      </c>
      <c r="G35" s="11" t="n">
        <f aca="false">IF(ISNUMBER(B35),Weights!$C$4,0)+IF(ISNUMBER(C35),Weights!$D$4,0)+IF(ISNUMBER(D35),Weights!$E$4,0)+IF(ISNUMBER(E35),Weights!$F$4,0)+IF(ISNUMBER(F35),Weights!$G$4,0)</f>
        <v>0</v>
      </c>
      <c r="H35" s="8" t="str">
        <f aca="false">IF(G35=0,"",(IF(ISNUMBER(B35),Weights!$C$4*B35,0)+IF(ISNUMBER(C35),Weights!$D$4*C35,0)+IF(ISNUMBER(D35),Weights!$E$4*D35,0)+IF(ISNUMBER(E35),Weights!$F$4*E35,0)+IF(ISNUMBER(F35),Weights!$G$4*F35,0))/G35)</f>
        <v/>
      </c>
      <c r="I35" s="11" t="n">
        <f aca="false">IF(ISNUMBER(B35),Weights!$C$5,0)+IF(ISNUMBER(C35),Weights!$D$5,0)+IF(ISNUMBER(D35),Weights!$E$5,0)+IF(ISNUMBER(E35),Weights!$F$5,0)+IF(ISNUMBER(F35),Weights!$G$5,0)</f>
        <v>0</v>
      </c>
      <c r="J35" s="8" t="str">
        <f aca="false">IF(I35=0,"",(IF(ISNUMBER(B35),Weights!$C$5*B35,0)+IF(ISNUMBER(C35),Weights!$D$5*C35,0)+IF(ISNUMBER(D35),Weights!$E$5*D35,0)+IF(ISNUMBER(E35),Weights!$F$5*E35,0)+IF(ISNUMBER(F35),Weights!$G$5*F35,0))/I35)</f>
        <v/>
      </c>
      <c r="K35" s="8" t="str">
        <f aca="false">IF(AND(ISNUMBER(H35),ISNUMBER(J35)),J35-H35,"")</f>
        <v/>
      </c>
      <c r="L35" s="8" t="str">
        <f aca="false">IF(Controls!$B$3="w1",H35,J35)</f>
        <v/>
      </c>
      <c r="M35" s="11" t="n">
        <f aca="false">SUMIFS('Rule results'!$G$4:$G$58,'Rule results'!$B$4:$B$58,$A35,'Rule results'!$D$4:$D$58,"critical")</f>
        <v>0</v>
      </c>
      <c r="N35" s="11" t="n">
        <f aca="false">COUNTIFS(Issues!$B$4:$B$577,$A35,Issues!$E$4:$E$577,"critical",Issues!$U$4:$U$577,"&lt;&gt;resolved")</f>
        <v>0</v>
      </c>
      <c r="O35" s="6" t="b">
        <f aca="false">OR(M35&gt;0,N35&gt;0)</f>
        <v>0</v>
      </c>
      <c r="P35" s="0" t="str">
        <f aca="false">IF(ISNUMBER(K35),IF(ABS(K35)&gt;0.000000000001,1,0),"")</f>
        <v/>
      </c>
      <c r="Q35" s="0" t="str">
        <f aca="false">IF(ISNUMBER(K35),IF(ABS(K35)&gt;=0.005,1,0),"")</f>
        <v/>
      </c>
      <c r="R35" s="0" t="str">
        <f aca="false">IF(ISNUMBER(K35),ABS(K35),"")</f>
        <v/>
      </c>
      <c r="S35" s="0" t="str">
        <f aca="false">'Domain reference'!B35</f>
        <v>not measured</v>
      </c>
      <c r="T35" s="0" t="str">
        <f aca="false">'Domain reference'!C35</f>
        <v>not measured</v>
      </c>
      <c r="U35" s="6" t="b">
        <f aca="false">AND(IF(ISNUMBER(H35),ISNUMBER(S35),NOT(ISNUMBER(S35))),IF(ISNUMBER(J35),ISNUMBER(T35),NOT(ISNUMBER(T35))),IF(ISNUMBER(H35),ABS(ROUND(H35,6)-S35)&lt;0.0000005,TRUE()),IF(ISNUMBER(J35),ABS(ROUND(J35,6)-T35)&lt;0.0000005,TRUE()))</f>
        <v>1</v>
      </c>
    </row>
    <row r="36" customFormat="false" ht="15" hidden="false" customHeight="false" outlineLevel="0" collapsed="false">
      <c r="A36" s="0" t="s">
        <v>124</v>
      </c>
      <c r="B36" s="8" t="n">
        <f aca="false">IFERROR(AVERAGEIFS('Rule results'!$I$4:$I$58,'Rule results'!$B$4:$B$58,$A36,'Rule results'!$C$4:$C$58,B$3),"")</f>
        <v>0.964912280701754</v>
      </c>
      <c r="C36" s="8" t="str">
        <f aca="false">IFERROR(AVERAGEIFS('Rule results'!$I$4:$I$58,'Rule results'!$B$4:$B$58,$A36,'Rule results'!$C$4:$C$58,C$3),"")</f>
        <v/>
      </c>
      <c r="D36" s="8" t="str">
        <f aca="false">IFERROR(AVERAGEIFS('Rule results'!$I$4:$I$58,'Rule results'!$B$4:$B$58,$A36,'Rule results'!$C$4:$C$58,D$3),"")</f>
        <v/>
      </c>
      <c r="E36" s="8" t="n">
        <f aca="false">IFERROR(AVERAGEIFS('Rule results'!$I$4:$I$58,'Rule results'!$B$4:$B$58,$A36,'Rule results'!$C$4:$C$58,E$3),"")</f>
        <v>0.93859649122807</v>
      </c>
      <c r="F36" s="8" t="str">
        <f aca="false">IFERROR(AVERAGEIFS('Rule results'!$I$4:$I$58,'Rule results'!$B$4:$B$58,$A36,'Rule results'!$C$4:$C$58,F$3),"")</f>
        <v/>
      </c>
      <c r="G36" s="11" t="n">
        <f aca="false">IF(ISNUMBER(B36),Weights!$C$4,0)+IF(ISNUMBER(C36),Weights!$D$4,0)+IF(ISNUMBER(D36),Weights!$E$4,0)+IF(ISNUMBER(E36),Weights!$F$4,0)+IF(ISNUMBER(F36),Weights!$G$4,0)</f>
        <v>0.45</v>
      </c>
      <c r="H36" s="8" t="n">
        <f aca="false">IF(G36=0,"",(IF(ISNUMBER(B36),Weights!$C$4*B36,0)+IF(ISNUMBER(C36),Weights!$D$4*C36,0)+IF(ISNUMBER(D36),Weights!$E$4*D36,0)+IF(ISNUMBER(E36),Weights!$F$4*E36,0)+IF(ISNUMBER(F36),Weights!$G$4*F36,0))/G36)</f>
        <v>0.961988304093567</v>
      </c>
      <c r="I36" s="11" t="n">
        <f aca="false">IF(ISNUMBER(B36),Weights!$C$5,0)+IF(ISNUMBER(C36),Weights!$D$5,0)+IF(ISNUMBER(D36),Weights!$E$5,0)+IF(ISNUMBER(E36),Weights!$F$5,0)+IF(ISNUMBER(F36),Weights!$G$5,0)</f>
        <v>0.4</v>
      </c>
      <c r="J36" s="8" t="n">
        <f aca="false">IF(I36=0,"",(IF(ISNUMBER(B36),Weights!$C$5*B36,0)+IF(ISNUMBER(C36),Weights!$D$5*C36,0)+IF(ISNUMBER(D36),Weights!$E$5*D36,0)+IF(ISNUMBER(E36),Weights!$F$5*E36,0)+IF(ISNUMBER(F36),Weights!$G$5*F36,0))/I36)</f>
        <v>0.955043859649123</v>
      </c>
      <c r="K36" s="8" t="n">
        <f aca="false">IF(AND(ISNUMBER(H36),ISNUMBER(J36)),J36-H36,"")</f>
        <v>-0.00694444444444453</v>
      </c>
      <c r="L36" s="8" t="n">
        <f aca="false">IF(Controls!$B$3="w1",H36,J36)</f>
        <v>0.955043859649123</v>
      </c>
      <c r="M36" s="11" t="n">
        <f aca="false">SUMIFS('Rule results'!$G$4:$G$58,'Rule results'!$B$4:$B$58,$A36,'Rule results'!$D$4:$D$58,"critical")</f>
        <v>0</v>
      </c>
      <c r="N36" s="11" t="n">
        <f aca="false">COUNTIFS(Issues!$B$4:$B$577,$A36,Issues!$E$4:$E$577,"critical",Issues!$U$4:$U$577,"&lt;&gt;resolved")</f>
        <v>0</v>
      </c>
      <c r="O36" s="6" t="b">
        <f aca="false">OR(M36&gt;0,N36&gt;0)</f>
        <v>0</v>
      </c>
      <c r="P36" s="11" t="n">
        <f aca="false">IF(ISNUMBER(K36),IF(ABS(K36)&gt;0.000000000001,1,0),"")</f>
        <v>1</v>
      </c>
      <c r="Q36" s="11" t="n">
        <f aca="false">IF(ISNUMBER(K36),IF(ABS(K36)&gt;=0.005,1,0),"")</f>
        <v>1</v>
      </c>
      <c r="R36" s="11" t="n">
        <f aca="false">IF(ISNUMBER(K36),ABS(K36),"")</f>
        <v>0.00694444444444453</v>
      </c>
      <c r="S36" s="11" t="n">
        <f aca="false">'Domain reference'!B36</f>
        <v>0.961988</v>
      </c>
      <c r="T36" s="11" t="n">
        <f aca="false">'Domain reference'!C36</f>
        <v>0.955044</v>
      </c>
      <c r="U36" s="6" t="b">
        <f aca="false">AND(IF(ISNUMBER(H36),ISNUMBER(S36),NOT(ISNUMBER(S36))),IF(ISNUMBER(J36),ISNUMBER(T36),NOT(ISNUMBER(T36))),IF(ISNUMBER(H36),ABS(ROUND(H36,6)-S36)&lt;0.0000005,TRUE()),IF(ISNUMBER(J36),ABS(ROUND(J36,6)-T36)&lt;0.0000005,TRUE()))</f>
        <v>1</v>
      </c>
    </row>
    <row r="37" customFormat="false" ht="15" hidden="false" customHeight="false" outlineLevel="0" collapsed="false">
      <c r="A37" s="0" t="s">
        <v>125</v>
      </c>
      <c r="B37" s="8" t="n">
        <f aca="false">IFERROR(AVERAGEIFS('Rule results'!$I$4:$I$58,'Rule results'!$B$4:$B$58,$A37,'Rule results'!$C$4:$C$58,B$3),"")</f>
        <v>0.943820224719101</v>
      </c>
      <c r="C37" s="8" t="n">
        <f aca="false">IFERROR(AVERAGEIFS('Rule results'!$I$4:$I$58,'Rule results'!$B$4:$B$58,$A37,'Rule results'!$C$4:$C$58,C$3),"")</f>
        <v>0.973333333333333</v>
      </c>
      <c r="D37" s="8" t="n">
        <f aca="false">IFERROR(AVERAGEIFS('Rule results'!$I$4:$I$58,'Rule results'!$B$4:$B$58,$A37,'Rule results'!$C$4:$C$58,D$3),"")</f>
        <v>0.97752808988764</v>
      </c>
      <c r="E37" s="8" t="str">
        <f aca="false">IFERROR(AVERAGEIFS('Rule results'!$I$4:$I$58,'Rule results'!$B$4:$B$58,$A37,'Rule results'!$C$4:$C$58,E$3),"")</f>
        <v/>
      </c>
      <c r="F37" s="8" t="str">
        <f aca="false">IFERROR(AVERAGEIFS('Rule results'!$I$4:$I$58,'Rule results'!$B$4:$B$58,$A37,'Rule results'!$C$4:$C$58,F$3),"")</f>
        <v/>
      </c>
      <c r="G37" s="11" t="n">
        <f aca="false">IF(ISNUMBER(B37),Weights!$C$4,0)+IF(ISNUMBER(C37),Weights!$D$4,0)+IF(ISNUMBER(D37),Weights!$E$4,0)+IF(ISNUMBER(E37),Weights!$F$4,0)+IF(ISNUMBER(F37),Weights!$G$4,0)</f>
        <v>0.9</v>
      </c>
      <c r="H37" s="8" t="n">
        <f aca="false">IF(G37=0,"",(IF(ISNUMBER(B37),Weights!$C$4*B37,0)+IF(ISNUMBER(C37),Weights!$D$4*C37,0)+IF(ISNUMBER(D37),Weights!$E$4*D37,0)+IF(ISNUMBER(E37),Weights!$F$4*E37,0)+IF(ISNUMBER(F37),Weights!$G$4*F37,0))/G37)</f>
        <v>0.961148564294632</v>
      </c>
      <c r="I37" s="11" t="n">
        <f aca="false">IF(ISNUMBER(B37),Weights!$C$5,0)+IF(ISNUMBER(C37),Weights!$D$5,0)+IF(ISNUMBER(D37),Weights!$E$5,0)+IF(ISNUMBER(E37),Weights!$F$5,0)+IF(ISNUMBER(F37),Weights!$G$5,0)</f>
        <v>0.75</v>
      </c>
      <c r="J37" s="8" t="n">
        <f aca="false">IF(I37=0,"",(IF(ISNUMBER(B37),Weights!$C$5*B37,0)+IF(ISNUMBER(C37),Weights!$D$5*C37,0)+IF(ISNUMBER(D37),Weights!$E$5*D37,0)+IF(ISNUMBER(E37),Weights!$F$5*E37,0)+IF(ISNUMBER(F37),Weights!$G$5*F37,0))/I37)</f>
        <v>0.964893882646692</v>
      </c>
      <c r="K37" s="8" t="n">
        <f aca="false">IF(AND(ISNUMBER(H37),ISNUMBER(J37)),J37-H37,"")</f>
        <v>0.00374531835205982</v>
      </c>
      <c r="L37" s="8" t="n">
        <f aca="false">IF(Controls!$B$3="w1",H37,J37)</f>
        <v>0.964893882646692</v>
      </c>
      <c r="M37" s="11" t="n">
        <f aca="false">SUMIFS('Rule results'!$G$4:$G$58,'Rule results'!$B$4:$B$58,$A37,'Rule results'!$D$4:$D$58,"critical")</f>
        <v>0</v>
      </c>
      <c r="N37" s="11" t="n">
        <f aca="false">COUNTIFS(Issues!$B$4:$B$577,$A37,Issues!$E$4:$E$577,"critical",Issues!$U$4:$U$577,"&lt;&gt;resolved")</f>
        <v>0</v>
      </c>
      <c r="O37" s="6" t="b">
        <f aca="false">OR(M37&gt;0,N37&gt;0)</f>
        <v>0</v>
      </c>
      <c r="P37" s="11" t="n">
        <f aca="false">IF(ISNUMBER(K37),IF(ABS(K37)&gt;0.000000000001,1,0),"")</f>
        <v>1</v>
      </c>
      <c r="Q37" s="11" t="n">
        <f aca="false">IF(ISNUMBER(K37),IF(ABS(K37)&gt;=0.005,1,0),"")</f>
        <v>0</v>
      </c>
      <c r="R37" s="11" t="n">
        <f aca="false">IF(ISNUMBER(K37),ABS(K37),"")</f>
        <v>0.00374531835205982</v>
      </c>
      <c r="S37" s="11" t="n">
        <f aca="false">'Domain reference'!B37</f>
        <v>0.961149</v>
      </c>
      <c r="T37" s="11" t="n">
        <f aca="false">'Domain reference'!C37</f>
        <v>0.964894</v>
      </c>
      <c r="U37" s="6" t="b">
        <f aca="false">AND(IF(ISNUMBER(H37),ISNUMBER(S37),NOT(ISNUMBER(S37))),IF(ISNUMBER(J37),ISNUMBER(T37),NOT(ISNUMBER(T37))),IF(ISNUMBER(H37),ABS(ROUND(H37,6)-S37)&lt;0.0000005,TRUE()),IF(ISNUMBER(J37),ABS(ROUND(J37,6)-T37)&lt;0.0000005,TRUE()))</f>
        <v>1</v>
      </c>
    </row>
    <row r="38" customFormat="false" ht="15" hidden="false" customHeight="false" outlineLevel="0" collapsed="false">
      <c r="A38" s="0" t="s">
        <v>126</v>
      </c>
      <c r="B38" s="8" t="str">
        <f aca="false">IFERROR(AVERAGEIFS('Rule results'!$I$4:$I$58,'Rule results'!$B$4:$B$58,$A38,'Rule results'!$C$4:$C$58,B$3),"")</f>
        <v/>
      </c>
      <c r="C38" s="8" t="str">
        <f aca="false">IFERROR(AVERAGEIFS('Rule results'!$I$4:$I$58,'Rule results'!$B$4:$B$58,$A38,'Rule results'!$C$4:$C$58,C$3),"")</f>
        <v/>
      </c>
      <c r="D38" s="8" t="str">
        <f aca="false">IFERROR(AVERAGEIFS('Rule results'!$I$4:$I$58,'Rule results'!$B$4:$B$58,$A38,'Rule results'!$C$4:$C$58,D$3),"")</f>
        <v/>
      </c>
      <c r="E38" s="8" t="str">
        <f aca="false">IFERROR(AVERAGEIFS('Rule results'!$I$4:$I$58,'Rule results'!$B$4:$B$58,$A38,'Rule results'!$C$4:$C$58,E$3),"")</f>
        <v/>
      </c>
      <c r="F38" s="8" t="str">
        <f aca="false">IFERROR(AVERAGEIFS('Rule results'!$I$4:$I$58,'Rule results'!$B$4:$B$58,$A38,'Rule results'!$C$4:$C$58,F$3),"")</f>
        <v/>
      </c>
      <c r="G38" s="11" t="n">
        <f aca="false">IF(ISNUMBER(B38),Weights!$C$4,0)+IF(ISNUMBER(C38),Weights!$D$4,0)+IF(ISNUMBER(D38),Weights!$E$4,0)+IF(ISNUMBER(E38),Weights!$F$4,0)+IF(ISNUMBER(F38),Weights!$G$4,0)</f>
        <v>0</v>
      </c>
      <c r="H38" s="8" t="str">
        <f aca="false">IF(G38=0,"",(IF(ISNUMBER(B38),Weights!$C$4*B38,0)+IF(ISNUMBER(C38),Weights!$D$4*C38,0)+IF(ISNUMBER(D38),Weights!$E$4*D38,0)+IF(ISNUMBER(E38),Weights!$F$4*E38,0)+IF(ISNUMBER(F38),Weights!$G$4*F38,0))/G38)</f>
        <v/>
      </c>
      <c r="I38" s="11" t="n">
        <f aca="false">IF(ISNUMBER(B38),Weights!$C$5,0)+IF(ISNUMBER(C38),Weights!$D$5,0)+IF(ISNUMBER(D38),Weights!$E$5,0)+IF(ISNUMBER(E38),Weights!$F$5,0)+IF(ISNUMBER(F38),Weights!$G$5,0)</f>
        <v>0</v>
      </c>
      <c r="J38" s="8" t="str">
        <f aca="false">IF(I38=0,"",(IF(ISNUMBER(B38),Weights!$C$5*B38,0)+IF(ISNUMBER(C38),Weights!$D$5*C38,0)+IF(ISNUMBER(D38),Weights!$E$5*D38,0)+IF(ISNUMBER(E38),Weights!$F$5*E38,0)+IF(ISNUMBER(F38),Weights!$G$5*F38,0))/I38)</f>
        <v/>
      </c>
      <c r="K38" s="8" t="str">
        <f aca="false">IF(AND(ISNUMBER(H38),ISNUMBER(J38)),J38-H38,"")</f>
        <v/>
      </c>
      <c r="L38" s="8" t="str">
        <f aca="false">IF(Controls!$B$3="w1",H38,J38)</f>
        <v/>
      </c>
      <c r="M38" s="11" t="n">
        <f aca="false">SUMIFS('Rule results'!$G$4:$G$58,'Rule results'!$B$4:$B$58,$A38,'Rule results'!$D$4:$D$58,"critical")</f>
        <v>0</v>
      </c>
      <c r="N38" s="11" t="n">
        <f aca="false">COUNTIFS(Issues!$B$4:$B$577,$A38,Issues!$E$4:$E$577,"critical",Issues!$U$4:$U$577,"&lt;&gt;resolved")</f>
        <v>0</v>
      </c>
      <c r="O38" s="6" t="b">
        <f aca="false">OR(M38&gt;0,N38&gt;0)</f>
        <v>0</v>
      </c>
      <c r="P38" s="0" t="str">
        <f aca="false">IF(ISNUMBER(K38),IF(ABS(K38)&gt;0.000000000001,1,0),"")</f>
        <v/>
      </c>
      <c r="Q38" s="0" t="str">
        <f aca="false">IF(ISNUMBER(K38),IF(ABS(K38)&gt;=0.005,1,0),"")</f>
        <v/>
      </c>
      <c r="R38" s="0" t="str">
        <f aca="false">IF(ISNUMBER(K38),ABS(K38),"")</f>
        <v/>
      </c>
      <c r="S38" s="0" t="str">
        <f aca="false">'Domain reference'!B38</f>
        <v>not measured</v>
      </c>
      <c r="T38" s="0" t="str">
        <f aca="false">'Domain reference'!C38</f>
        <v>not measured</v>
      </c>
      <c r="U38" s="6" t="b">
        <f aca="false">AND(IF(ISNUMBER(H38),ISNUMBER(S38),NOT(ISNUMBER(S38))),IF(ISNUMBER(J38),ISNUMBER(T38),NOT(ISNUMBER(T38))),IF(ISNUMBER(H38),ABS(ROUND(H38,6)-S38)&lt;0.0000005,TRUE()),IF(ISNUMBER(J38),ABS(ROUND(J38,6)-T38)&lt;0.0000005,TRUE()))</f>
        <v>1</v>
      </c>
    </row>
    <row r="39" customFormat="false" ht="15" hidden="false" customHeight="false" outlineLevel="0" collapsed="false">
      <c r="A39" s="0" t="s">
        <v>127</v>
      </c>
      <c r="B39" s="8" t="str">
        <f aca="false">IFERROR(AVERAGEIFS('Rule results'!$I$4:$I$58,'Rule results'!$B$4:$B$58,$A39,'Rule results'!$C$4:$C$58,B$3),"")</f>
        <v/>
      </c>
      <c r="C39" s="8" t="n">
        <f aca="false">IFERROR(AVERAGEIFS('Rule results'!$I$4:$I$58,'Rule results'!$B$4:$B$58,$A39,'Rule results'!$C$4:$C$58,C$3),"")</f>
        <v>0.971428571428571</v>
      </c>
      <c r="D39" s="8" t="str">
        <f aca="false">IFERROR(AVERAGEIFS('Rule results'!$I$4:$I$58,'Rule results'!$B$4:$B$58,$A39,'Rule results'!$C$4:$C$58,D$3),"")</f>
        <v/>
      </c>
      <c r="E39" s="8" t="str">
        <f aca="false">IFERROR(AVERAGEIFS('Rule results'!$I$4:$I$58,'Rule results'!$B$4:$B$58,$A39,'Rule results'!$C$4:$C$58,E$3),"")</f>
        <v/>
      </c>
      <c r="F39" s="8" t="str">
        <f aca="false">IFERROR(AVERAGEIFS('Rule results'!$I$4:$I$58,'Rule results'!$B$4:$B$58,$A39,'Rule results'!$C$4:$C$58,F$3),"")</f>
        <v/>
      </c>
      <c r="G39" s="11" t="n">
        <f aca="false">IF(ISNUMBER(B39),Weights!$C$4,0)+IF(ISNUMBER(C39),Weights!$D$4,0)+IF(ISNUMBER(D39),Weights!$E$4,0)+IF(ISNUMBER(E39),Weights!$F$4,0)+IF(ISNUMBER(F39),Weights!$G$4,0)</f>
        <v>0.3</v>
      </c>
      <c r="H39" s="8" t="n">
        <f aca="false">IF(G39=0,"",(IF(ISNUMBER(B39),Weights!$C$4*B39,0)+IF(ISNUMBER(C39),Weights!$D$4*C39,0)+IF(ISNUMBER(D39),Weights!$E$4*D39,0)+IF(ISNUMBER(E39),Weights!$F$4*E39,0)+IF(ISNUMBER(F39),Weights!$G$4*F39,0))/G39)</f>
        <v>0.971428571428571</v>
      </c>
      <c r="I39" s="11" t="n">
        <f aca="false">IF(ISNUMBER(B39),Weights!$C$5,0)+IF(ISNUMBER(C39),Weights!$D$5,0)+IF(ISNUMBER(D39),Weights!$E$5,0)+IF(ISNUMBER(E39),Weights!$F$5,0)+IF(ISNUMBER(F39),Weights!$G$5,0)</f>
        <v>0.25</v>
      </c>
      <c r="J39" s="8" t="n">
        <f aca="false">IF(I39=0,"",(IF(ISNUMBER(B39),Weights!$C$5*B39,0)+IF(ISNUMBER(C39),Weights!$D$5*C39,0)+IF(ISNUMBER(D39),Weights!$E$5*D39,0)+IF(ISNUMBER(E39),Weights!$F$5*E39,0)+IF(ISNUMBER(F39),Weights!$G$5*F39,0))/I39)</f>
        <v>0.971428571428571</v>
      </c>
      <c r="K39" s="8" t="n">
        <f aca="false">IF(AND(ISNUMBER(H39),ISNUMBER(J39)),J39-H39,"")</f>
        <v>0</v>
      </c>
      <c r="L39" s="8" t="n">
        <f aca="false">IF(Controls!$B$3="w1",H39,J39)</f>
        <v>0.971428571428571</v>
      </c>
      <c r="M39" s="11" t="n">
        <f aca="false">SUMIFS('Rule results'!$G$4:$G$58,'Rule results'!$B$4:$B$58,$A39,'Rule results'!$D$4:$D$58,"critical")</f>
        <v>0</v>
      </c>
      <c r="N39" s="11" t="n">
        <f aca="false">COUNTIFS(Issues!$B$4:$B$577,$A39,Issues!$E$4:$E$577,"critical",Issues!$U$4:$U$577,"&lt;&gt;resolved")</f>
        <v>0</v>
      </c>
      <c r="O39" s="6" t="b">
        <f aca="false">OR(M39&gt;0,N39&gt;0)</f>
        <v>0</v>
      </c>
      <c r="P39" s="11" t="n">
        <f aca="false">IF(ISNUMBER(K39),IF(ABS(K39)&gt;0.000000000001,1,0),"")</f>
        <v>0</v>
      </c>
      <c r="Q39" s="11" t="n">
        <f aca="false">IF(ISNUMBER(K39),IF(ABS(K39)&gt;=0.005,1,0),"")</f>
        <v>0</v>
      </c>
      <c r="R39" s="11" t="n">
        <f aca="false">IF(ISNUMBER(K39),ABS(K39),"")</f>
        <v>0</v>
      </c>
      <c r="S39" s="11" t="n">
        <f aca="false">'Domain reference'!B39</f>
        <v>0.971429</v>
      </c>
      <c r="T39" s="11" t="n">
        <f aca="false">'Domain reference'!C39</f>
        <v>0.971429</v>
      </c>
      <c r="U39" s="6" t="b">
        <f aca="false">AND(IF(ISNUMBER(H39),ISNUMBER(S39),NOT(ISNUMBER(S39))),IF(ISNUMBER(J39),ISNUMBER(T39),NOT(ISNUMBER(T39))),IF(ISNUMBER(H39),ABS(ROUND(H39,6)-S39)&lt;0.0000005,TRUE()),IF(ISNUMBER(J39),ABS(ROUND(J39,6)-T39)&lt;0.0000005,TRUE()))</f>
        <v>1</v>
      </c>
    </row>
    <row r="40" customFormat="false" ht="15" hidden="false" customHeight="false" outlineLevel="0" collapsed="false">
      <c r="A40" s="0" t="s">
        <v>128</v>
      </c>
      <c r="B40" s="8" t="n">
        <f aca="false">IFERROR(AVERAGEIFS('Rule results'!$I$4:$I$58,'Rule results'!$B$4:$B$58,$A40,'Rule results'!$C$4:$C$58,B$3),"")</f>
        <v>0.959183673469388</v>
      </c>
      <c r="C40" s="8" t="str">
        <f aca="false">IFERROR(AVERAGEIFS('Rule results'!$I$4:$I$58,'Rule results'!$B$4:$B$58,$A40,'Rule results'!$C$4:$C$58,C$3),"")</f>
        <v/>
      </c>
      <c r="D40" s="8" t="str">
        <f aca="false">IFERROR(AVERAGEIFS('Rule results'!$I$4:$I$58,'Rule results'!$B$4:$B$58,$A40,'Rule results'!$C$4:$C$58,D$3),"")</f>
        <v/>
      </c>
      <c r="E40" s="8" t="str">
        <f aca="false">IFERROR(AVERAGEIFS('Rule results'!$I$4:$I$58,'Rule results'!$B$4:$B$58,$A40,'Rule results'!$C$4:$C$58,E$3),"")</f>
        <v/>
      </c>
      <c r="F40" s="8" t="n">
        <f aca="false">IFERROR(AVERAGEIFS('Rule results'!$I$4:$I$58,'Rule results'!$B$4:$B$58,$A40,'Rule results'!$C$4:$C$58,F$3),"")</f>
        <v>0</v>
      </c>
      <c r="G40" s="11" t="n">
        <f aca="false">IF(ISNUMBER(B40),Weights!$C$4,0)+IF(ISNUMBER(C40),Weights!$D$4,0)+IF(ISNUMBER(D40),Weights!$E$4,0)+IF(ISNUMBER(E40),Weights!$F$4,0)+IF(ISNUMBER(F40),Weights!$G$4,0)</f>
        <v>0.45</v>
      </c>
      <c r="H40" s="8" t="n">
        <f aca="false">IF(G40=0,"",(IF(ISNUMBER(B40),Weights!$C$4*B40,0)+IF(ISNUMBER(C40),Weights!$D$4*C40,0)+IF(ISNUMBER(D40),Weights!$E$4*D40,0)+IF(ISNUMBER(E40),Weights!$F$4*E40,0)+IF(ISNUMBER(F40),Weights!$G$4*F40,0))/G40)</f>
        <v>0.852607709750567</v>
      </c>
      <c r="I40" s="11" t="n">
        <f aca="false">IF(ISNUMBER(B40),Weights!$C$5,0)+IF(ISNUMBER(C40),Weights!$D$5,0)+IF(ISNUMBER(D40),Weights!$E$5,0)+IF(ISNUMBER(E40),Weights!$F$5,0)+IF(ISNUMBER(F40),Weights!$G$5,0)</f>
        <v>0.35</v>
      </c>
      <c r="J40" s="8" t="n">
        <f aca="false">IF(I40=0,"",(IF(ISNUMBER(B40),Weights!$C$5*B40,0)+IF(ISNUMBER(C40),Weights!$D$5*C40,0)+IF(ISNUMBER(D40),Weights!$E$5*D40,0)+IF(ISNUMBER(E40),Weights!$F$5*E40,0)+IF(ISNUMBER(F40),Weights!$G$5*F40,0))/I40)</f>
        <v>0.685131195335277</v>
      </c>
      <c r="K40" s="8" t="n">
        <f aca="false">IF(AND(ISNUMBER(H40),ISNUMBER(J40)),J40-H40,"")</f>
        <v>-0.16747651441529</v>
      </c>
      <c r="L40" s="8" t="n">
        <f aca="false">IF(Controls!$B$3="w1",H40,J40)</f>
        <v>0.685131195335277</v>
      </c>
      <c r="M40" s="11" t="n">
        <f aca="false">SUMIFS('Rule results'!$G$4:$G$58,'Rule results'!$B$4:$B$58,$A40,'Rule results'!$D$4:$D$58,"critical")</f>
        <v>0</v>
      </c>
      <c r="N40" s="11" t="n">
        <f aca="false">COUNTIFS(Issues!$B$4:$B$577,$A40,Issues!$E$4:$E$577,"critical",Issues!$U$4:$U$577,"&lt;&gt;resolved")</f>
        <v>0</v>
      </c>
      <c r="O40" s="6" t="b">
        <f aca="false">OR(M40&gt;0,N40&gt;0)</f>
        <v>0</v>
      </c>
      <c r="P40" s="11" t="n">
        <f aca="false">IF(ISNUMBER(K40),IF(ABS(K40)&gt;0.000000000001,1,0),"")</f>
        <v>1</v>
      </c>
      <c r="Q40" s="11" t="n">
        <f aca="false">IF(ISNUMBER(K40),IF(ABS(K40)&gt;=0.005,1,0),"")</f>
        <v>1</v>
      </c>
      <c r="R40" s="11" t="n">
        <f aca="false">IF(ISNUMBER(K40),ABS(K40),"")</f>
        <v>0.16747651441529</v>
      </c>
      <c r="S40" s="11" t="n">
        <f aca="false">'Domain reference'!B40</f>
        <v>0.852608</v>
      </c>
      <c r="T40" s="11" t="n">
        <f aca="false">'Domain reference'!C40</f>
        <v>0.685131</v>
      </c>
      <c r="U40" s="6" t="b">
        <f aca="false">AND(IF(ISNUMBER(H40),ISNUMBER(S40),NOT(ISNUMBER(S40))),IF(ISNUMBER(J40),ISNUMBER(T40),NOT(ISNUMBER(T40))),IF(ISNUMBER(H40),ABS(ROUND(H40,6)-S40)&lt;0.0000005,TRUE()),IF(ISNUMBER(J40),ABS(ROUND(J40,6)-T40)&lt;0.0000005,TRUE()))</f>
        <v>1</v>
      </c>
    </row>
    <row r="41" customFormat="false" ht="15" hidden="false" customHeight="false" outlineLevel="0" collapsed="false">
      <c r="A41" s="0" t="s">
        <v>129</v>
      </c>
      <c r="B41" s="8" t="str">
        <f aca="false">IFERROR(AVERAGEIFS('Rule results'!$I$4:$I$58,'Rule results'!$B$4:$B$58,$A41,'Rule results'!$C$4:$C$58,B$3),"")</f>
        <v/>
      </c>
      <c r="C41" s="8" t="n">
        <f aca="false">IFERROR(AVERAGEIFS('Rule results'!$I$4:$I$58,'Rule results'!$B$4:$B$58,$A41,'Rule results'!$C$4:$C$58,C$3),"")</f>
        <v>0.933333333333333</v>
      </c>
      <c r="D41" s="8" t="str">
        <f aca="false">IFERROR(AVERAGEIFS('Rule results'!$I$4:$I$58,'Rule results'!$B$4:$B$58,$A41,'Rule results'!$C$4:$C$58,D$3),"")</f>
        <v/>
      </c>
      <c r="E41" s="8" t="str">
        <f aca="false">IFERROR(AVERAGEIFS('Rule results'!$I$4:$I$58,'Rule results'!$B$4:$B$58,$A41,'Rule results'!$C$4:$C$58,E$3),"")</f>
        <v/>
      </c>
      <c r="F41" s="8" t="str">
        <f aca="false">IFERROR(AVERAGEIFS('Rule results'!$I$4:$I$58,'Rule results'!$B$4:$B$58,$A41,'Rule results'!$C$4:$C$58,F$3),"")</f>
        <v/>
      </c>
      <c r="G41" s="11" t="n">
        <f aca="false">IF(ISNUMBER(B41),Weights!$C$4,0)+IF(ISNUMBER(C41),Weights!$D$4,0)+IF(ISNUMBER(D41),Weights!$E$4,0)+IF(ISNUMBER(E41),Weights!$F$4,0)+IF(ISNUMBER(F41),Weights!$G$4,0)</f>
        <v>0.3</v>
      </c>
      <c r="H41" s="8" t="n">
        <f aca="false">IF(G41=0,"",(IF(ISNUMBER(B41),Weights!$C$4*B41,0)+IF(ISNUMBER(C41),Weights!$D$4*C41,0)+IF(ISNUMBER(D41),Weights!$E$4*D41,0)+IF(ISNUMBER(E41),Weights!$F$4*E41,0)+IF(ISNUMBER(F41),Weights!$G$4*F41,0))/G41)</f>
        <v>0.933333333333333</v>
      </c>
      <c r="I41" s="11" t="n">
        <f aca="false">IF(ISNUMBER(B41),Weights!$C$5,0)+IF(ISNUMBER(C41),Weights!$D$5,0)+IF(ISNUMBER(D41),Weights!$E$5,0)+IF(ISNUMBER(E41),Weights!$F$5,0)+IF(ISNUMBER(F41),Weights!$G$5,0)</f>
        <v>0.25</v>
      </c>
      <c r="J41" s="8" t="n">
        <f aca="false">IF(I41=0,"",(IF(ISNUMBER(B41),Weights!$C$5*B41,0)+IF(ISNUMBER(C41),Weights!$D$5*C41,0)+IF(ISNUMBER(D41),Weights!$E$5*D41,0)+IF(ISNUMBER(E41),Weights!$F$5*E41,0)+IF(ISNUMBER(F41),Weights!$G$5*F41,0))/I41)</f>
        <v>0.933333333333333</v>
      </c>
      <c r="K41" s="8" t="n">
        <f aca="false">IF(AND(ISNUMBER(H41),ISNUMBER(J41)),J41-H41,"")</f>
        <v>0</v>
      </c>
      <c r="L41" s="8" t="n">
        <f aca="false">IF(Controls!$B$3="w1",H41,J41)</f>
        <v>0.933333333333333</v>
      </c>
      <c r="M41" s="11" t="n">
        <f aca="false">SUMIFS('Rule results'!$G$4:$G$58,'Rule results'!$B$4:$B$58,$A41,'Rule results'!$D$4:$D$58,"critical")</f>
        <v>0</v>
      </c>
      <c r="N41" s="11" t="n">
        <f aca="false">COUNTIFS(Issues!$B$4:$B$577,$A41,Issues!$E$4:$E$577,"critical",Issues!$U$4:$U$577,"&lt;&gt;resolved")</f>
        <v>0</v>
      </c>
      <c r="O41" s="6" t="b">
        <f aca="false">OR(M41&gt;0,N41&gt;0)</f>
        <v>0</v>
      </c>
      <c r="P41" s="11" t="n">
        <f aca="false">IF(ISNUMBER(K41),IF(ABS(K41)&gt;0.000000000001,1,0),"")</f>
        <v>0</v>
      </c>
      <c r="Q41" s="11" t="n">
        <f aca="false">IF(ISNUMBER(K41),IF(ABS(K41)&gt;=0.005,1,0),"")</f>
        <v>0</v>
      </c>
      <c r="R41" s="11" t="n">
        <f aca="false">IF(ISNUMBER(K41),ABS(K41),"")</f>
        <v>0</v>
      </c>
      <c r="S41" s="11" t="n">
        <f aca="false">'Domain reference'!B41</f>
        <v>0.933333</v>
      </c>
      <c r="T41" s="11" t="n">
        <f aca="false">'Domain reference'!C41</f>
        <v>0.933333</v>
      </c>
      <c r="U41" s="6" t="b">
        <f aca="false">AND(IF(ISNUMBER(H41),ISNUMBER(S41),NOT(ISNUMBER(S41))),IF(ISNUMBER(J41),ISNUMBER(T41),NOT(ISNUMBER(T41))),IF(ISNUMBER(H41),ABS(ROUND(H41,6)-S41)&lt;0.0000005,TRUE()),IF(ISNUMBER(J41),ABS(ROUND(J41,6)-T41)&lt;0.0000005,TRUE()))</f>
        <v>1</v>
      </c>
    </row>
    <row r="42" customFormat="false" ht="15" hidden="false" customHeight="false" outlineLevel="0" collapsed="false">
      <c r="A42" s="0" t="s">
        <v>130</v>
      </c>
      <c r="B42" s="8" t="str">
        <f aca="false">IFERROR(AVERAGEIFS('Rule results'!$I$4:$I$58,'Rule results'!$B$4:$B$58,$A42,'Rule results'!$C$4:$C$58,B$3),"")</f>
        <v/>
      </c>
      <c r="C42" s="8" t="str">
        <f aca="false">IFERROR(AVERAGEIFS('Rule results'!$I$4:$I$58,'Rule results'!$B$4:$B$58,$A42,'Rule results'!$C$4:$C$58,C$3),"")</f>
        <v/>
      </c>
      <c r="D42" s="8" t="n">
        <f aca="false">IFERROR(AVERAGEIFS('Rule results'!$I$4:$I$58,'Rule results'!$B$4:$B$58,$A42,'Rule results'!$C$4:$C$58,D$3),"")</f>
        <v>0.985714285714286</v>
      </c>
      <c r="E42" s="8" t="str">
        <f aca="false">IFERROR(AVERAGEIFS('Rule results'!$I$4:$I$58,'Rule results'!$B$4:$B$58,$A42,'Rule results'!$C$4:$C$58,E$3),"")</f>
        <v/>
      </c>
      <c r="F42" s="8" t="str">
        <f aca="false">IFERROR(AVERAGEIFS('Rule results'!$I$4:$I$58,'Rule results'!$B$4:$B$58,$A42,'Rule results'!$C$4:$C$58,F$3),"")</f>
        <v/>
      </c>
      <c r="G42" s="11" t="n">
        <f aca="false">IF(ISNUMBER(B42),Weights!$C$4,0)+IF(ISNUMBER(C42),Weights!$D$4,0)+IF(ISNUMBER(D42),Weights!$E$4,0)+IF(ISNUMBER(E42),Weights!$F$4,0)+IF(ISNUMBER(F42),Weights!$G$4,0)</f>
        <v>0.2</v>
      </c>
      <c r="H42" s="8" t="n">
        <f aca="false">IF(G42=0,"",(IF(ISNUMBER(B42),Weights!$C$4*B42,0)+IF(ISNUMBER(C42),Weights!$D$4*C42,0)+IF(ISNUMBER(D42),Weights!$E$4*D42,0)+IF(ISNUMBER(E42),Weights!$F$4*E42,0)+IF(ISNUMBER(F42),Weights!$G$4*F42,0))/G42)</f>
        <v>0.985714285714286</v>
      </c>
      <c r="I42" s="11" t="n">
        <f aca="false">IF(ISNUMBER(B42),Weights!$C$5,0)+IF(ISNUMBER(C42),Weights!$D$5,0)+IF(ISNUMBER(D42),Weights!$E$5,0)+IF(ISNUMBER(E42),Weights!$F$5,0)+IF(ISNUMBER(F42),Weights!$G$5,0)</f>
        <v>0.25</v>
      </c>
      <c r="J42" s="8" t="n">
        <f aca="false">IF(I42=0,"",(IF(ISNUMBER(B42),Weights!$C$5*B42,0)+IF(ISNUMBER(C42),Weights!$D$5*C42,0)+IF(ISNUMBER(D42),Weights!$E$5*D42,0)+IF(ISNUMBER(E42),Weights!$F$5*E42,0)+IF(ISNUMBER(F42),Weights!$G$5*F42,0))/I42)</f>
        <v>0.985714285714286</v>
      </c>
      <c r="K42" s="8" t="n">
        <f aca="false">IF(AND(ISNUMBER(H42),ISNUMBER(J42)),J42-H42,"")</f>
        <v>0</v>
      </c>
      <c r="L42" s="8" t="n">
        <f aca="false">IF(Controls!$B$3="w1",H42,J42)</f>
        <v>0.985714285714286</v>
      </c>
      <c r="M42" s="11" t="n">
        <f aca="false">SUMIFS('Rule results'!$G$4:$G$58,'Rule results'!$B$4:$B$58,$A42,'Rule results'!$D$4:$D$58,"critical")</f>
        <v>0</v>
      </c>
      <c r="N42" s="11" t="n">
        <f aca="false">COUNTIFS(Issues!$B$4:$B$577,$A42,Issues!$E$4:$E$577,"critical",Issues!$U$4:$U$577,"&lt;&gt;resolved")</f>
        <v>0</v>
      </c>
      <c r="O42" s="6" t="b">
        <f aca="false">OR(M42&gt;0,N42&gt;0)</f>
        <v>0</v>
      </c>
      <c r="P42" s="11" t="n">
        <f aca="false">IF(ISNUMBER(K42),IF(ABS(K42)&gt;0.000000000001,1,0),"")</f>
        <v>0</v>
      </c>
      <c r="Q42" s="11" t="n">
        <f aca="false">IF(ISNUMBER(K42),IF(ABS(K42)&gt;=0.005,1,0),"")</f>
        <v>0</v>
      </c>
      <c r="R42" s="11" t="n">
        <f aca="false">IF(ISNUMBER(K42),ABS(K42),"")</f>
        <v>0</v>
      </c>
      <c r="S42" s="11" t="n">
        <f aca="false">'Domain reference'!B42</f>
        <v>0.985714</v>
      </c>
      <c r="T42" s="11" t="n">
        <f aca="false">'Domain reference'!C42</f>
        <v>0.985714</v>
      </c>
      <c r="U42" s="6" t="b">
        <f aca="false">AND(IF(ISNUMBER(H42),ISNUMBER(S42),NOT(ISNUMBER(S42))),IF(ISNUMBER(J42),ISNUMBER(T42),NOT(ISNUMBER(T42))),IF(ISNUMBER(H42),ABS(ROUND(H42,6)-S42)&lt;0.0000005,TRUE()),IF(ISNUMBER(J42),ABS(ROUND(J42,6)-T42)&lt;0.0000005,TRUE()))</f>
        <v>1</v>
      </c>
    </row>
    <row r="43" customFormat="false" ht="15" hidden="false" customHeight="false" outlineLevel="0" collapsed="false">
      <c r="A43" s="0" t="s">
        <v>131</v>
      </c>
      <c r="B43" s="8" t="n">
        <f aca="false">IFERROR(AVERAGEIFS('Rule results'!$I$4:$I$58,'Rule results'!$B$4:$B$58,$A43,'Rule results'!$C$4:$C$58,B$3),"")</f>
        <v>0.984848484848485</v>
      </c>
      <c r="C43" s="8" t="str">
        <f aca="false">IFERROR(AVERAGEIFS('Rule results'!$I$4:$I$58,'Rule results'!$B$4:$B$58,$A43,'Rule results'!$C$4:$C$58,C$3),"")</f>
        <v/>
      </c>
      <c r="D43" s="8" t="n">
        <f aca="false">IFERROR(AVERAGEIFS('Rule results'!$I$4:$I$58,'Rule results'!$B$4:$B$58,$A43,'Rule results'!$C$4:$C$58,D$3),"")</f>
        <v>0.984848484848485</v>
      </c>
      <c r="E43" s="8" t="str">
        <f aca="false">IFERROR(AVERAGEIFS('Rule results'!$I$4:$I$58,'Rule results'!$B$4:$B$58,$A43,'Rule results'!$C$4:$C$58,E$3),"")</f>
        <v/>
      </c>
      <c r="F43" s="8" t="n">
        <f aca="false">IFERROR(AVERAGEIFS('Rule results'!$I$4:$I$58,'Rule results'!$B$4:$B$58,$A43,'Rule results'!$C$4:$C$58,F$3),"")</f>
        <v>1</v>
      </c>
      <c r="G43" s="11" t="n">
        <f aca="false">IF(ISNUMBER(B43),Weights!$C$4,0)+IF(ISNUMBER(C43),Weights!$D$4,0)+IF(ISNUMBER(D43),Weights!$E$4,0)+IF(ISNUMBER(E43),Weights!$F$4,0)+IF(ISNUMBER(F43),Weights!$G$4,0)</f>
        <v>0.65</v>
      </c>
      <c r="H43" s="8" t="n">
        <f aca="false">IF(G43=0,"",(IF(ISNUMBER(B43),Weights!$C$4*B43,0)+IF(ISNUMBER(C43),Weights!$D$4*C43,0)+IF(ISNUMBER(D43),Weights!$E$4*D43,0)+IF(ISNUMBER(E43),Weights!$F$4*E43,0)+IF(ISNUMBER(F43),Weights!$G$4*F43,0))/G43)</f>
        <v>0.986013986013986</v>
      </c>
      <c r="I43" s="11" t="n">
        <f aca="false">IF(ISNUMBER(B43),Weights!$C$5,0)+IF(ISNUMBER(C43),Weights!$D$5,0)+IF(ISNUMBER(D43),Weights!$E$5,0)+IF(ISNUMBER(E43),Weights!$F$5,0)+IF(ISNUMBER(F43),Weights!$G$5,0)</f>
        <v>0.6</v>
      </c>
      <c r="J43" s="8" t="n">
        <f aca="false">IF(I43=0,"",(IF(ISNUMBER(B43),Weights!$C$5*B43,0)+IF(ISNUMBER(C43),Weights!$D$5*C43,0)+IF(ISNUMBER(D43),Weights!$E$5*D43,0)+IF(ISNUMBER(E43),Weights!$F$5*E43,0)+IF(ISNUMBER(F43),Weights!$G$5*F43,0))/I43)</f>
        <v>0.987373737373737</v>
      </c>
      <c r="K43" s="8" t="n">
        <f aca="false">IF(AND(ISNUMBER(H43),ISNUMBER(J43)),J43-H43,"")</f>
        <v>0.00135975135975142</v>
      </c>
      <c r="L43" s="8" t="n">
        <f aca="false">IF(Controls!$B$3="w1",H43,J43)</f>
        <v>0.987373737373737</v>
      </c>
      <c r="M43" s="11" t="n">
        <f aca="false">SUMIFS('Rule results'!$G$4:$G$58,'Rule results'!$B$4:$B$58,$A43,'Rule results'!$D$4:$D$58,"critical")</f>
        <v>0</v>
      </c>
      <c r="N43" s="11" t="n">
        <f aca="false">COUNTIFS(Issues!$B$4:$B$577,$A43,Issues!$E$4:$E$577,"critical",Issues!$U$4:$U$577,"&lt;&gt;resolved")</f>
        <v>0</v>
      </c>
      <c r="O43" s="6" t="b">
        <f aca="false">OR(M43&gt;0,N43&gt;0)</f>
        <v>0</v>
      </c>
      <c r="P43" s="11" t="n">
        <f aca="false">IF(ISNUMBER(K43),IF(ABS(K43)&gt;0.000000000001,1,0),"")</f>
        <v>1</v>
      </c>
      <c r="Q43" s="11" t="n">
        <f aca="false">IF(ISNUMBER(K43),IF(ABS(K43)&gt;=0.005,1,0),"")</f>
        <v>0</v>
      </c>
      <c r="R43" s="11" t="n">
        <f aca="false">IF(ISNUMBER(K43),ABS(K43),"")</f>
        <v>0.00135975135975142</v>
      </c>
      <c r="S43" s="11" t="n">
        <f aca="false">'Domain reference'!B43</f>
        <v>0.986014</v>
      </c>
      <c r="T43" s="11" t="n">
        <f aca="false">'Domain reference'!C43</f>
        <v>0.987374</v>
      </c>
      <c r="U43" s="6" t="b">
        <f aca="false">AND(IF(ISNUMBER(H43),ISNUMBER(S43),NOT(ISNUMBER(S43))),IF(ISNUMBER(J43),ISNUMBER(T43),NOT(ISNUMBER(T43))),IF(ISNUMBER(H43),ABS(ROUND(H43,6)-S43)&lt;0.0000005,TRUE()),IF(ISNUMBER(J43),ABS(ROUND(J43,6)-T43)&lt;0.0000005,TRUE()))</f>
        <v>1</v>
      </c>
    </row>
    <row r="45" customFormat="false" ht="15" hidden="false" customHeight="false" outlineLevel="0" collapsed="false">
      <c r="A45" s="2" t="s">
        <v>132</v>
      </c>
      <c r="B45" s="11" t="n">
        <f aca="false">COUNT(H4:H43)</f>
        <v>29</v>
      </c>
    </row>
    <row r="46" customFormat="false" ht="15" hidden="false" customHeight="false" outlineLevel="0" collapsed="false">
      <c r="A46" s="2" t="s">
        <v>133</v>
      </c>
      <c r="B46" s="11" t="n">
        <f aca="false">SUM(P4:P43)</f>
        <v>13</v>
      </c>
    </row>
    <row r="47" customFormat="false" ht="15" hidden="false" customHeight="false" outlineLevel="0" collapsed="false">
      <c r="A47" s="2" t="s">
        <v>134</v>
      </c>
      <c r="B47" s="11" t="n">
        <f aca="false">SUM(Q4:Q43)</f>
        <v>7</v>
      </c>
    </row>
    <row r="48" customFormat="false" ht="15" hidden="false" customHeight="false" outlineLevel="0" collapsed="false">
      <c r="A48" s="2" t="s">
        <v>135</v>
      </c>
      <c r="B48" s="11" t="n">
        <f aca="false">AVERAGE(H4:H43)</f>
        <v>0.950979825961714</v>
      </c>
    </row>
    <row r="49" customFormat="false" ht="15" hidden="false" customHeight="false" outlineLevel="0" collapsed="false">
      <c r="A49" s="2" t="s">
        <v>136</v>
      </c>
      <c r="B49" s="11" t="n">
        <f aca="false">AVERAGE(J4:J43)</f>
        <v>0.943117795896375</v>
      </c>
    </row>
    <row r="50" customFormat="false" ht="15" hidden="false" customHeight="false" outlineLevel="0" collapsed="false">
      <c r="A50" s="2" t="s">
        <v>137</v>
      </c>
      <c r="B50" s="11" t="n">
        <f aca="false">MAX(R4:R43)</f>
        <v>0.16747651441529</v>
      </c>
    </row>
    <row r="51" customFormat="false" ht="15" hidden="false" customHeight="false" outlineLevel="0" collapsed="false">
      <c r="A51" s="2" t="s">
        <v>138</v>
      </c>
      <c r="B51" s="8" t="n">
        <f aca="false">INDEX(K4:K43,MATCH(MAX(R4:R43),R4:R43,0))</f>
        <v>-0.16747651441529</v>
      </c>
    </row>
    <row r="52" customFormat="false" ht="15" hidden="false" customHeight="false" outlineLevel="0" collapsed="false">
      <c r="A52" s="2" t="s">
        <v>73</v>
      </c>
      <c r="B52" s="11" t="n">
        <f aca="false">COUNTIF(O4:O43,TRUE())</f>
        <v>1</v>
      </c>
    </row>
    <row r="53" customFormat="false" ht="15" hidden="false" customHeight="false" outlineLevel="0" collapsed="false">
      <c r="A53" s="2" t="s">
        <v>72</v>
      </c>
      <c r="B53" s="11" t="n">
        <f aca="false">SUM(M4:M43)</f>
        <v>2</v>
      </c>
    </row>
    <row r="54" customFormat="false" ht="15" hidden="false" customHeight="false" outlineLevel="0" collapsed="false">
      <c r="A54" s="2" t="s">
        <v>74</v>
      </c>
      <c r="B54" s="11" t="n">
        <f aca="false">SUM(N4:N43)</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4"/>
    <col collapsed="false" customWidth="true" hidden="false" outlineLevel="0" max="2" min="2" style="0" width="22"/>
    <col collapsed="false" customWidth="true" hidden="false" outlineLevel="0" max="3" min="3" style="0" width="18"/>
    <col collapsed="false" customWidth="true" hidden="false" outlineLevel="0" max="4" min="4" style="0" width="26"/>
  </cols>
  <sheetData>
    <row r="1" customFormat="false" ht="17.35" hidden="false" customHeight="false" outlineLevel="0" collapsed="false">
      <c r="A1" s="1" t="s">
        <v>139</v>
      </c>
    </row>
    <row r="2" customFormat="false" ht="15" hidden="false" customHeight="false" outlineLevel="0" collapsed="false">
      <c r="A2" s="0" t="s">
        <v>140</v>
      </c>
    </row>
    <row r="3" customFormat="false" ht="28.35" hidden="false" customHeight="false" outlineLevel="0" collapsed="false">
      <c r="A3" s="7" t="s">
        <v>141</v>
      </c>
      <c r="B3" s="7" t="s">
        <v>142</v>
      </c>
      <c r="C3" s="7" t="s">
        <v>143</v>
      </c>
      <c r="D3" s="7" t="s">
        <v>144</v>
      </c>
      <c r="E3" s="7" t="s">
        <v>30</v>
      </c>
    </row>
    <row r="4" customFormat="false" ht="15" hidden="false" customHeight="false" outlineLevel="0" collapsed="false">
      <c r="A4" s="0" t="s">
        <v>145</v>
      </c>
      <c r="B4" s="4" t="n">
        <v>100</v>
      </c>
    </row>
    <row r="5" customFormat="false" ht="15" hidden="false" customHeight="false" outlineLevel="0" collapsed="false">
      <c r="A5" s="0" t="s">
        <v>146</v>
      </c>
      <c r="B5" s="4" t="n">
        <v>5</v>
      </c>
    </row>
    <row r="6" customFormat="false" ht="15" hidden="false" customHeight="false" outlineLevel="0" collapsed="false">
      <c r="A6" s="0" t="s">
        <v>147</v>
      </c>
      <c r="B6" s="4" t="n">
        <v>90</v>
      </c>
    </row>
    <row r="7" customFormat="false" ht="15" hidden="false" customHeight="false" outlineLevel="0" collapsed="false">
      <c r="A7" s="0" t="s">
        <v>148</v>
      </c>
      <c r="C7" s="0" t="n">
        <f aca="false">(B4-B5)/B4</f>
        <v>0.95</v>
      </c>
      <c r="D7" s="0" t="n">
        <v>0.95</v>
      </c>
      <c r="E7" s="6" t="b">
        <f aca="false">ABS(C7-D7)&lt;0.0000005</f>
        <v>1</v>
      </c>
    </row>
    <row r="8" customFormat="false" ht="15" hidden="false" customHeight="false" outlineLevel="0" collapsed="false">
      <c r="A8" s="0" t="s">
        <v>149</v>
      </c>
      <c r="C8" s="0" t="n">
        <f aca="false">B4-B5</f>
        <v>95</v>
      </c>
      <c r="D8" s="0" t="n">
        <v>95</v>
      </c>
      <c r="E8" s="6" t="b">
        <f aca="false">C8=D8</f>
        <v>1</v>
      </c>
    </row>
    <row r="9" customFormat="false" ht="15" hidden="false" customHeight="false" outlineLevel="0" collapsed="false">
      <c r="A9" s="0" t="s">
        <v>150</v>
      </c>
      <c r="C9" s="0" t="n">
        <f aca="false">B6/C8</f>
        <v>0.947368421052632</v>
      </c>
      <c r="D9" s="0" t="n">
        <v>0.947368</v>
      </c>
      <c r="E9" s="6" t="b">
        <f aca="false">ABS(C9-D9)&lt;0.0000005</f>
        <v>1</v>
      </c>
    </row>
    <row r="10" customFormat="false" ht="15" hidden="false" customHeight="false" outlineLevel="0" collapsed="false">
      <c r="A10" s="0" t="s">
        <v>151</v>
      </c>
      <c r="C10" s="0" t="n">
        <f aca="false">B6/B4</f>
        <v>0.9</v>
      </c>
      <c r="D10" s="0" t="n">
        <v>0.9</v>
      </c>
      <c r="E10" s="6" t="b">
        <f aca="false">ABS(C10-D10)&lt;0.0000005</f>
        <v>1</v>
      </c>
    </row>
    <row r="11" customFormat="false" ht="15" hidden="false" customHeight="false" outlineLevel="0" collapsed="false">
      <c r="A11" s="0" t="s">
        <v>152</v>
      </c>
      <c r="B11" s="4" t="n">
        <v>2</v>
      </c>
    </row>
    <row r="12" customFormat="false" ht="15" hidden="false" customHeight="false" outlineLevel="0" collapsed="false">
      <c r="A12" s="0" t="s">
        <v>153</v>
      </c>
      <c r="C12" s="0" t="n">
        <f aca="false">(B4-0-B11)/B4</f>
        <v>0.98</v>
      </c>
      <c r="D12" s="0" t="n">
        <v>0.98</v>
      </c>
      <c r="E12" s="6" t="b">
        <f aca="false">ABS(C12-D12)&lt;0.0000005</f>
        <v>1</v>
      </c>
    </row>
    <row r="13" customFormat="false" ht="15" hidden="false" customHeight="false" outlineLevel="0" collapsed="false">
      <c r="A13" s="0" t="s">
        <v>154</v>
      </c>
      <c r="B13" s="4" t="n">
        <v>40</v>
      </c>
    </row>
    <row r="14" customFormat="false" ht="15" hidden="false" customHeight="false" outlineLevel="0" collapsed="false">
      <c r="A14" s="0" t="s">
        <v>155</v>
      </c>
      <c r="B14" s="4" t="n">
        <v>3</v>
      </c>
    </row>
    <row r="15" customFormat="false" ht="15" hidden="false" customHeight="false" outlineLevel="0" collapsed="false">
      <c r="A15" s="0" t="s">
        <v>156</v>
      </c>
      <c r="B15" s="4" t="n">
        <v>35</v>
      </c>
    </row>
    <row r="16" customFormat="false" ht="15" hidden="false" customHeight="false" outlineLevel="0" collapsed="false">
      <c r="A16" s="0" t="s">
        <v>157</v>
      </c>
      <c r="C16" s="0" t="n">
        <f aca="false">B15/(B13-B14)</f>
        <v>0.945945945945946</v>
      </c>
      <c r="D16" s="0" t="n">
        <v>0.945946</v>
      </c>
      <c r="E16" s="6" t="b">
        <f aca="false">ABS(C16-D16)&lt;0.0000005</f>
        <v>1</v>
      </c>
    </row>
    <row r="17" customFormat="false" ht="15" hidden="false" customHeight="false" outlineLevel="0" collapsed="false">
      <c r="A17" s="0" t="s">
        <v>158</v>
      </c>
      <c r="B17" s="4" t="n">
        <v>1</v>
      </c>
    </row>
    <row r="18" customFormat="false" ht="15" hidden="false" customHeight="false" outlineLevel="0" collapsed="false">
      <c r="A18" s="0" t="s">
        <v>159</v>
      </c>
    </row>
    <row r="19" customFormat="false" ht="15" hidden="false" customHeight="false" outlineLevel="0" collapsed="false">
      <c r="A19" s="0" t="s">
        <v>160</v>
      </c>
      <c r="C19" s="0" t="n">
        <f aca="false">(Weights!$C$4*C7+Weights!$D$4*C9+Weights!$E$4*C12+Weights!$G$4*B17)/(Weights!$C$4+Weights!$D$4+Weights!$E$4+Weights!$G$4)</f>
        <v>0.958116343490305</v>
      </c>
      <c r="D19" s="0" t="n">
        <v>0.958116</v>
      </c>
      <c r="E19" s="6" t="b">
        <f aca="false">ABS(C19-D19)&lt;0.0000005</f>
        <v>1</v>
      </c>
    </row>
    <row r="20" customFormat="false" ht="15" hidden="false" customHeight="false" outlineLevel="0" collapsed="false">
      <c r="A20" s="0" t="s">
        <v>161</v>
      </c>
      <c r="C20" s="0" t="n">
        <f aca="false">(Weights!$C$5*C7+Weights!$D$5*C9+Weights!$E$5*C12+Weights!$G$5*B17)/(Weights!$C$5+Weights!$D$5+Weights!$E$5+Weights!$G$5)</f>
        <v>0.963931888544892</v>
      </c>
      <c r="D20" s="0" t="n">
        <v>0.963932</v>
      </c>
      <c r="E20" s="6" t="b">
        <f aca="false">ABS(C20-D20)&lt;0.0000005</f>
        <v>1</v>
      </c>
    </row>
    <row r="21" customFormat="false" ht="15" hidden="false" customHeight="false" outlineLevel="0" collapsed="false">
      <c r="A21" s="0" t="s">
        <v>162</v>
      </c>
      <c r="C21" s="0" t="n">
        <f aca="false">B11</f>
        <v>2</v>
      </c>
      <c r="D21" s="0" t="n">
        <v>2</v>
      </c>
      <c r="E21" s="6" t="b">
        <f aca="false">C21=D21</f>
        <v>1</v>
      </c>
    </row>
    <row r="22" customFormat="false" ht="15" hidden="false" customHeight="false" outlineLevel="0" collapsed="false">
      <c r="A22" s="0" t="s">
        <v>163</v>
      </c>
      <c r="C22" s="6" t="b">
        <f aca="false">OR(C21&gt;0,B24&gt;0)</f>
        <v>1</v>
      </c>
      <c r="D22" s="6" t="b">
        <f aca="false">TRUE()</f>
        <v>1</v>
      </c>
      <c r="E22" s="6" t="b">
        <f aca="false">C22=D22</f>
        <v>1</v>
      </c>
    </row>
    <row r="23" customFormat="false" ht="15" hidden="false" customHeight="false" outlineLevel="0" collapsed="false">
      <c r="A23" s="0" t="s">
        <v>164</v>
      </c>
      <c r="C23" s="6" t="b">
        <f aca="false">AND(C19&gt;0.95,C20&gt;0.95,C22)</f>
        <v>1</v>
      </c>
      <c r="D23" s="6" t="b">
        <f aca="false">TRUE()</f>
        <v>1</v>
      </c>
      <c r="E23" s="6" t="b">
        <f aca="false">C23=D23</f>
        <v>1</v>
      </c>
    </row>
    <row r="24" customFormat="false" ht="15" hidden="false" customHeight="false" outlineLevel="0" collapsed="false">
      <c r="A24" s="0" t="s">
        <v>165</v>
      </c>
      <c r="B24" s="4"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50"/>
  </cols>
  <sheetData>
    <row r="1" customFormat="false" ht="17.35" hidden="false" customHeight="false" outlineLevel="0" collapsed="false">
      <c r="A1" s="1" t="s">
        <v>166</v>
      </c>
    </row>
    <row r="3" customFormat="false" ht="15" hidden="false" customHeight="false" outlineLevel="0" collapsed="false">
      <c r="A3" s="7" t="s">
        <v>167</v>
      </c>
      <c r="B3" s="7" t="s">
        <v>168</v>
      </c>
    </row>
    <row r="4" customFormat="false" ht="28.35" hidden="false" customHeight="false" outlineLevel="0" collapsed="false">
      <c r="A4" s="0" t="s">
        <v>169</v>
      </c>
      <c r="B4" s="3" t="s">
        <v>170</v>
      </c>
    </row>
    <row r="5" customFormat="false" ht="28.35" hidden="false" customHeight="false" outlineLevel="0" collapsed="false">
      <c r="A5" s="0" t="s">
        <v>171</v>
      </c>
      <c r="B5" s="3" t="s">
        <v>172</v>
      </c>
    </row>
    <row r="6" customFormat="false" ht="28.35" hidden="false" customHeight="false" outlineLevel="0" collapsed="false">
      <c r="A6" s="0" t="s">
        <v>173</v>
      </c>
      <c r="B6" s="3" t="s">
        <v>174</v>
      </c>
    </row>
    <row r="7" customFormat="false" ht="28.35" hidden="false" customHeight="false" outlineLevel="0" collapsed="false">
      <c r="A7" s="0" t="s">
        <v>175</v>
      </c>
      <c r="B7" s="3" t="s">
        <v>176</v>
      </c>
    </row>
    <row r="8" customFormat="false" ht="15" hidden="false" customHeight="false" outlineLevel="0" collapsed="false">
      <c r="A8" s="0" t="s">
        <v>177</v>
      </c>
      <c r="B8" s="3" t="s">
        <v>178</v>
      </c>
    </row>
    <row r="9" customFormat="false" ht="28.35" hidden="false" customHeight="false" outlineLevel="0" collapsed="false">
      <c r="A9" s="0" t="s">
        <v>179</v>
      </c>
      <c r="B9" s="3" t="s">
        <v>180</v>
      </c>
    </row>
    <row r="10" customFormat="false" ht="28.35" hidden="false" customHeight="false" outlineLevel="0" collapsed="false">
      <c r="A10" s="0" t="s">
        <v>181</v>
      </c>
      <c r="B10" s="3" t="s">
        <v>182</v>
      </c>
    </row>
    <row r="11" customFormat="false" ht="28.35" hidden="false" customHeight="false" outlineLevel="0" collapsed="false">
      <c r="A11" s="0" t="s">
        <v>183</v>
      </c>
      <c r="B11" s="3" t="s">
        <v>184</v>
      </c>
    </row>
    <row r="12" customFormat="false" ht="41.75" hidden="false" customHeight="false" outlineLevel="0" collapsed="false">
      <c r="A12" s="0" t="s">
        <v>185</v>
      </c>
      <c r="B12" s="3" t="s">
        <v>186</v>
      </c>
    </row>
    <row r="13" customFormat="false" ht="15" hidden="false" customHeight="false" outlineLevel="0" collapsed="false">
      <c r="A13" s="0" t="s">
        <v>187</v>
      </c>
      <c r="B13" s="3" t="s">
        <v>188</v>
      </c>
    </row>
    <row r="14" customFormat="false" ht="15" hidden="false" customHeight="false" outlineLevel="0" collapsed="false">
      <c r="A14" s="0" t="s">
        <v>189</v>
      </c>
      <c r="B14" s="3" t="s">
        <v>190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0"/>
    <col collapsed="false" customWidth="true" hidden="false" outlineLevel="0" max="3" min="3" style="0" width="14"/>
    <col collapsed="false" customWidth="true" hidden="false" outlineLevel="0" max="4" min="4" style="0" width="10"/>
  </cols>
  <sheetData>
    <row r="1" customFormat="false" ht="17.35" hidden="false" customHeight="false" outlineLevel="0" collapsed="false">
      <c r="A1" s="1" t="s">
        <v>191</v>
      </c>
    </row>
    <row r="2" customFormat="false" ht="15" hidden="false" customHeight="false" outlineLevel="0" collapsed="false">
      <c r="A2" s="0" t="s">
        <v>192</v>
      </c>
    </row>
    <row r="3" customFormat="false" ht="28.35" hidden="false" customHeight="false" outlineLevel="0" collapsed="false">
      <c r="A3" s="7" t="s">
        <v>193</v>
      </c>
      <c r="B3" s="7" t="s">
        <v>77</v>
      </c>
      <c r="C3" s="7" t="s">
        <v>194</v>
      </c>
      <c r="D3" s="7" t="s">
        <v>195</v>
      </c>
      <c r="E3" s="7" t="s">
        <v>196</v>
      </c>
      <c r="F3" s="7" t="s">
        <v>197</v>
      </c>
      <c r="G3" s="7" t="s">
        <v>198</v>
      </c>
      <c r="H3" s="7" t="s">
        <v>199</v>
      </c>
      <c r="I3" s="7" t="s">
        <v>200</v>
      </c>
    </row>
    <row r="4" customFormat="false" ht="15" hidden="false" customHeight="false" outlineLevel="0" collapsed="false">
      <c r="A4" s="4" t="s">
        <v>201</v>
      </c>
      <c r="B4" s="4" t="s">
        <v>92</v>
      </c>
      <c r="C4" s="4" t="s">
        <v>24</v>
      </c>
      <c r="D4" s="4" t="s">
        <v>202</v>
      </c>
      <c r="E4" s="4" t="n">
        <v>100</v>
      </c>
      <c r="G4" s="4" t="n">
        <v>5</v>
      </c>
      <c r="H4" s="11" t="n">
        <f aca="false">IF(C4="validity",F4,E4)</f>
        <v>100</v>
      </c>
      <c r="I4" s="8" t="n">
        <f aca="false">IF(H4&gt;0,(E4-G4)/H4,"")</f>
        <v>0.95</v>
      </c>
    </row>
    <row r="5" customFormat="false" ht="15" hidden="false" customHeight="false" outlineLevel="0" collapsed="false">
      <c r="A5" s="4" t="s">
        <v>203</v>
      </c>
      <c r="B5" s="4" t="s">
        <v>92</v>
      </c>
      <c r="C5" s="4" t="s">
        <v>23</v>
      </c>
      <c r="D5" s="4" t="s">
        <v>204</v>
      </c>
      <c r="E5" s="4" t="n">
        <v>101</v>
      </c>
      <c r="G5" s="4" t="n">
        <v>0</v>
      </c>
      <c r="H5" s="11" t="n">
        <f aca="false">IF(C5="validity",F5,E5)</f>
        <v>101</v>
      </c>
      <c r="I5" s="8" t="n">
        <f aca="false">IF(H5&gt;0,(E5-G5)/H5,"")</f>
        <v>1</v>
      </c>
    </row>
    <row r="6" customFormat="false" ht="15" hidden="false" customHeight="false" outlineLevel="0" collapsed="false">
      <c r="A6" s="4" t="s">
        <v>205</v>
      </c>
      <c r="B6" s="4" t="s">
        <v>95</v>
      </c>
      <c r="C6" s="4" t="s">
        <v>22</v>
      </c>
      <c r="D6" s="4" t="s">
        <v>204</v>
      </c>
      <c r="E6" s="4" t="n">
        <v>119</v>
      </c>
      <c r="F6" s="4" t="n">
        <v>119</v>
      </c>
      <c r="G6" s="4" t="n">
        <v>4</v>
      </c>
      <c r="H6" s="11" t="n">
        <f aca="false">IF(C6="validity",F6,E6)</f>
        <v>119</v>
      </c>
      <c r="I6" s="8" t="n">
        <f aca="false">IF(H6&gt;0,(E6-G6)/H6,"")</f>
        <v>0.966386554621849</v>
      </c>
    </row>
    <row r="7" customFormat="false" ht="15" hidden="false" customHeight="false" outlineLevel="0" collapsed="false">
      <c r="A7" s="4" t="s">
        <v>206</v>
      </c>
      <c r="B7" s="4" t="s">
        <v>96</v>
      </c>
      <c r="C7" s="4" t="s">
        <v>21</v>
      </c>
      <c r="D7" s="4" t="s">
        <v>202</v>
      </c>
      <c r="E7" s="4" t="n">
        <v>85</v>
      </c>
      <c r="F7" s="4" t="n">
        <v>77</v>
      </c>
      <c r="G7" s="4" t="n">
        <v>8</v>
      </c>
      <c r="H7" s="11" t="n">
        <f aca="false">IF(C7="validity",F7,E7)</f>
        <v>85</v>
      </c>
      <c r="I7" s="8" t="n">
        <f aca="false">IF(H7&gt;0,(E7-G7)/H7,"")</f>
        <v>0.905882352941177</v>
      </c>
    </row>
    <row r="8" customFormat="false" ht="15" hidden="false" customHeight="false" outlineLevel="0" collapsed="false">
      <c r="A8" s="4" t="s">
        <v>207</v>
      </c>
      <c r="B8" s="4" t="s">
        <v>96</v>
      </c>
      <c r="C8" s="4" t="s">
        <v>25</v>
      </c>
      <c r="D8" s="4" t="s">
        <v>204</v>
      </c>
      <c r="E8" s="4" t="n">
        <v>1</v>
      </c>
      <c r="G8" s="4" t="n">
        <v>0</v>
      </c>
      <c r="H8" s="11" t="n">
        <f aca="false">IF(C8="validity",F8,E8)</f>
        <v>1</v>
      </c>
      <c r="I8" s="8" t="n">
        <f aca="false">IF(H8&gt;0,(E8-G8)/H8,"")</f>
        <v>1</v>
      </c>
    </row>
    <row r="9" customFormat="false" ht="15" hidden="false" customHeight="false" outlineLevel="0" collapsed="false">
      <c r="A9" s="4" t="s">
        <v>208</v>
      </c>
      <c r="B9" s="4" t="s">
        <v>97</v>
      </c>
      <c r="C9" s="4" t="s">
        <v>21</v>
      </c>
      <c r="D9" s="4" t="s">
        <v>202</v>
      </c>
      <c r="E9" s="4" t="n">
        <v>56</v>
      </c>
      <c r="F9" s="4" t="n">
        <v>55</v>
      </c>
      <c r="G9" s="4" t="n">
        <v>1</v>
      </c>
      <c r="H9" s="11" t="n">
        <f aca="false">IF(C9="validity",F9,E9)</f>
        <v>56</v>
      </c>
      <c r="I9" s="8" t="n">
        <f aca="false">IF(H9&gt;0,(E9-G9)/H9,"")</f>
        <v>0.982142857142857</v>
      </c>
    </row>
    <row r="10" customFormat="false" ht="15" hidden="false" customHeight="false" outlineLevel="0" collapsed="false">
      <c r="A10" s="4" t="s">
        <v>209</v>
      </c>
      <c r="B10" s="4" t="s">
        <v>97</v>
      </c>
      <c r="C10" s="4" t="s">
        <v>24</v>
      </c>
      <c r="D10" s="4" t="s">
        <v>210</v>
      </c>
      <c r="E10" s="4" t="n">
        <v>54</v>
      </c>
      <c r="G10" s="4" t="n">
        <v>0</v>
      </c>
      <c r="H10" s="11" t="n">
        <f aca="false">IF(C10="validity",F10,E10)</f>
        <v>54</v>
      </c>
      <c r="I10" s="8" t="n">
        <f aca="false">IF(H10&gt;0,(E10-G10)/H10,"")</f>
        <v>1</v>
      </c>
    </row>
    <row r="11" customFormat="false" ht="15" hidden="false" customHeight="false" outlineLevel="0" collapsed="false">
      <c r="A11" s="4" t="s">
        <v>211</v>
      </c>
      <c r="B11" s="4" t="s">
        <v>98</v>
      </c>
      <c r="C11" s="4" t="s">
        <v>23</v>
      </c>
      <c r="D11" s="4" t="s">
        <v>204</v>
      </c>
      <c r="E11" s="4" t="n">
        <v>78</v>
      </c>
      <c r="G11" s="4" t="n">
        <v>2</v>
      </c>
      <c r="H11" s="11" t="n">
        <f aca="false">IF(C11="validity",F11,E11)</f>
        <v>78</v>
      </c>
      <c r="I11" s="8" t="n">
        <f aca="false">IF(H11&gt;0,(E11-G11)/H11,"")</f>
        <v>0.974358974358974</v>
      </c>
    </row>
    <row r="12" customFormat="false" ht="15" hidden="false" customHeight="false" outlineLevel="0" collapsed="false">
      <c r="A12" s="4" t="s">
        <v>212</v>
      </c>
      <c r="B12" s="4" t="s">
        <v>101</v>
      </c>
      <c r="C12" s="4" t="s">
        <v>21</v>
      </c>
      <c r="D12" s="4" t="s">
        <v>210</v>
      </c>
      <c r="E12" s="4" t="n">
        <v>124</v>
      </c>
      <c r="F12" s="4" t="n">
        <v>116</v>
      </c>
      <c r="G12" s="4" t="n">
        <v>8</v>
      </c>
      <c r="H12" s="11" t="n">
        <f aca="false">IF(C12="validity",F12,E12)</f>
        <v>124</v>
      </c>
      <c r="I12" s="8" t="n">
        <f aca="false">IF(H12&gt;0,(E12-G12)/H12,"")</f>
        <v>0.935483870967742</v>
      </c>
    </row>
    <row r="13" customFormat="false" ht="15" hidden="false" customHeight="false" outlineLevel="0" collapsed="false">
      <c r="A13" s="4" t="s">
        <v>213</v>
      </c>
      <c r="B13" s="4" t="s">
        <v>102</v>
      </c>
      <c r="C13" s="4" t="s">
        <v>21</v>
      </c>
      <c r="D13" s="4" t="s">
        <v>202</v>
      </c>
      <c r="E13" s="4" t="n">
        <v>120</v>
      </c>
      <c r="F13" s="4" t="n">
        <v>119</v>
      </c>
      <c r="G13" s="4" t="n">
        <v>1</v>
      </c>
      <c r="H13" s="11" t="n">
        <f aca="false">IF(C13="validity",F13,E13)</f>
        <v>120</v>
      </c>
      <c r="I13" s="8" t="n">
        <f aca="false">IF(H13&gt;0,(E13-G13)/H13,"")</f>
        <v>0.991666666666667</v>
      </c>
    </row>
    <row r="14" customFormat="false" ht="15" hidden="false" customHeight="false" outlineLevel="0" collapsed="false">
      <c r="A14" s="4" t="s">
        <v>214</v>
      </c>
      <c r="B14" s="4" t="s">
        <v>102</v>
      </c>
      <c r="C14" s="4" t="s">
        <v>25</v>
      </c>
      <c r="D14" s="4" t="s">
        <v>204</v>
      </c>
      <c r="E14" s="4" t="n">
        <v>1</v>
      </c>
      <c r="G14" s="4" t="n">
        <v>0</v>
      </c>
      <c r="H14" s="11" t="n">
        <f aca="false">IF(C14="validity",F14,E14)</f>
        <v>1</v>
      </c>
      <c r="I14" s="8" t="n">
        <f aca="false">IF(H14&gt;0,(E14-G14)/H14,"")</f>
        <v>1</v>
      </c>
    </row>
    <row r="15" customFormat="false" ht="15" hidden="false" customHeight="false" outlineLevel="0" collapsed="false">
      <c r="A15" s="4" t="s">
        <v>215</v>
      </c>
      <c r="B15" s="4" t="s">
        <v>102</v>
      </c>
      <c r="C15" s="4" t="s">
        <v>23</v>
      </c>
      <c r="D15" s="4" t="s">
        <v>216</v>
      </c>
      <c r="E15" s="4" t="n">
        <v>120</v>
      </c>
      <c r="G15" s="4" t="n">
        <v>2</v>
      </c>
      <c r="H15" s="11" t="n">
        <f aca="false">IF(C15="validity",F15,E15)</f>
        <v>120</v>
      </c>
      <c r="I15" s="8" t="n">
        <f aca="false">IF(H15&gt;0,(E15-G15)/H15,"")</f>
        <v>0.983333333333333</v>
      </c>
    </row>
    <row r="16" customFormat="false" ht="15" hidden="false" customHeight="false" outlineLevel="0" collapsed="false">
      <c r="A16" s="4" t="s">
        <v>217</v>
      </c>
      <c r="B16" s="4" t="s">
        <v>102</v>
      </c>
      <c r="C16" s="4" t="s">
        <v>22</v>
      </c>
      <c r="D16" s="4" t="s">
        <v>204</v>
      </c>
      <c r="E16" s="4" t="n">
        <v>120</v>
      </c>
      <c r="F16" s="4" t="n">
        <v>119</v>
      </c>
      <c r="G16" s="4" t="n">
        <v>2</v>
      </c>
      <c r="H16" s="11" t="n">
        <f aca="false">IF(C16="validity",F16,E16)</f>
        <v>119</v>
      </c>
      <c r="I16" s="8" t="n">
        <f aca="false">IF(H16&gt;0,(E16-G16)/H16,"")</f>
        <v>0.991596638655462</v>
      </c>
    </row>
    <row r="17" customFormat="false" ht="15" hidden="false" customHeight="false" outlineLevel="0" collapsed="false">
      <c r="A17" s="4" t="s">
        <v>218</v>
      </c>
      <c r="B17" s="4" t="s">
        <v>103</v>
      </c>
      <c r="C17" s="4" t="s">
        <v>22</v>
      </c>
      <c r="D17" s="4" t="s">
        <v>202</v>
      </c>
      <c r="E17" s="4" t="n">
        <v>68</v>
      </c>
      <c r="F17" s="4" t="n">
        <v>68</v>
      </c>
      <c r="G17" s="4" t="n">
        <v>3</v>
      </c>
      <c r="H17" s="11" t="n">
        <f aca="false">IF(C17="validity",F17,E17)</f>
        <v>68</v>
      </c>
      <c r="I17" s="8" t="n">
        <f aca="false">IF(H17&gt;0,(E17-G17)/H17,"")</f>
        <v>0.955882352941177</v>
      </c>
    </row>
    <row r="18" customFormat="false" ht="15" hidden="false" customHeight="false" outlineLevel="0" collapsed="false">
      <c r="A18" s="4" t="s">
        <v>219</v>
      </c>
      <c r="B18" s="4" t="s">
        <v>104</v>
      </c>
      <c r="C18" s="4" t="s">
        <v>22</v>
      </c>
      <c r="D18" s="4" t="s">
        <v>202</v>
      </c>
      <c r="E18" s="4" t="n">
        <v>39</v>
      </c>
      <c r="F18" s="4" t="n">
        <v>39</v>
      </c>
      <c r="G18" s="4" t="n">
        <v>0</v>
      </c>
      <c r="H18" s="11" t="n">
        <f aca="false">IF(C18="validity",F18,E18)</f>
        <v>39</v>
      </c>
      <c r="I18" s="8" t="n">
        <f aca="false">IF(H18&gt;0,(E18-G18)/H18,"")</f>
        <v>1</v>
      </c>
    </row>
    <row r="19" customFormat="false" ht="15" hidden="false" customHeight="false" outlineLevel="0" collapsed="false">
      <c r="A19" s="4" t="s">
        <v>220</v>
      </c>
      <c r="B19" s="4" t="s">
        <v>106</v>
      </c>
      <c r="C19" s="4" t="s">
        <v>21</v>
      </c>
      <c r="D19" s="4" t="s">
        <v>204</v>
      </c>
      <c r="E19" s="4" t="n">
        <v>71</v>
      </c>
      <c r="F19" s="4" t="n">
        <v>71</v>
      </c>
      <c r="G19" s="4" t="n">
        <v>0</v>
      </c>
      <c r="H19" s="11" t="n">
        <f aca="false">IF(C19="validity",F19,E19)</f>
        <v>71</v>
      </c>
      <c r="I19" s="8" t="n">
        <f aca="false">IF(H19&gt;0,(E19-G19)/H19,"")</f>
        <v>1</v>
      </c>
    </row>
    <row r="20" customFormat="false" ht="15" hidden="false" customHeight="false" outlineLevel="0" collapsed="false">
      <c r="A20" s="4" t="s">
        <v>221</v>
      </c>
      <c r="B20" s="4" t="s">
        <v>106</v>
      </c>
      <c r="C20" s="4" t="s">
        <v>25</v>
      </c>
      <c r="D20" s="4" t="s">
        <v>202</v>
      </c>
      <c r="E20" s="4" t="n">
        <v>1</v>
      </c>
      <c r="G20" s="4" t="n">
        <v>0</v>
      </c>
      <c r="H20" s="11" t="n">
        <f aca="false">IF(C20="validity",F20,E20)</f>
        <v>1</v>
      </c>
      <c r="I20" s="8" t="n">
        <f aca="false">IF(H20&gt;0,(E20-G20)/H20,"")</f>
        <v>1</v>
      </c>
    </row>
    <row r="21" customFormat="false" ht="15" hidden="false" customHeight="false" outlineLevel="0" collapsed="false">
      <c r="A21" s="4" t="s">
        <v>222</v>
      </c>
      <c r="B21" s="4" t="s">
        <v>107</v>
      </c>
      <c r="C21" s="4" t="s">
        <v>24</v>
      </c>
      <c r="D21" s="4" t="s">
        <v>210</v>
      </c>
      <c r="E21" s="4" t="n">
        <v>81</v>
      </c>
      <c r="G21" s="4" t="n">
        <v>2</v>
      </c>
      <c r="H21" s="11" t="n">
        <f aca="false">IF(C21="validity",F21,E21)</f>
        <v>81</v>
      </c>
      <c r="I21" s="8" t="n">
        <f aca="false">IF(H21&gt;0,(E21-G21)/H21,"")</f>
        <v>0.975308641975309</v>
      </c>
    </row>
    <row r="22" customFormat="false" ht="15" hidden="false" customHeight="false" outlineLevel="0" collapsed="false">
      <c r="A22" s="4" t="s">
        <v>223</v>
      </c>
      <c r="B22" s="4" t="s">
        <v>107</v>
      </c>
      <c r="C22" s="4" t="s">
        <v>25</v>
      </c>
      <c r="D22" s="4" t="s">
        <v>204</v>
      </c>
      <c r="E22" s="4" t="n">
        <v>1</v>
      </c>
      <c r="G22" s="4" t="n">
        <v>0</v>
      </c>
      <c r="H22" s="11" t="n">
        <f aca="false">IF(C22="validity",F22,E22)</f>
        <v>1</v>
      </c>
      <c r="I22" s="8" t="n">
        <f aca="false">IF(H22&gt;0,(E22-G22)/H22,"")</f>
        <v>1</v>
      </c>
    </row>
    <row r="23" customFormat="false" ht="15" hidden="false" customHeight="false" outlineLevel="0" collapsed="false">
      <c r="A23" s="4" t="s">
        <v>224</v>
      </c>
      <c r="B23" s="4" t="s">
        <v>107</v>
      </c>
      <c r="C23" s="4" t="s">
        <v>22</v>
      </c>
      <c r="D23" s="4" t="s">
        <v>202</v>
      </c>
      <c r="E23" s="4" t="n">
        <v>82</v>
      </c>
      <c r="F23" s="4" t="n">
        <v>82</v>
      </c>
      <c r="G23" s="4" t="n">
        <v>1</v>
      </c>
      <c r="H23" s="11" t="n">
        <f aca="false">IF(C23="validity",F23,E23)</f>
        <v>82</v>
      </c>
      <c r="I23" s="8" t="n">
        <f aca="false">IF(H23&gt;0,(E23-G23)/H23,"")</f>
        <v>0.987804878048781</v>
      </c>
    </row>
    <row r="24" customFormat="false" ht="15" hidden="false" customHeight="false" outlineLevel="0" collapsed="false">
      <c r="A24" s="4" t="s">
        <v>225</v>
      </c>
      <c r="B24" s="4" t="s">
        <v>108</v>
      </c>
      <c r="C24" s="4" t="s">
        <v>23</v>
      </c>
      <c r="D24" s="4" t="s">
        <v>204</v>
      </c>
      <c r="E24" s="4" t="n">
        <v>66</v>
      </c>
      <c r="G24" s="4" t="n">
        <v>1</v>
      </c>
      <c r="H24" s="11" t="n">
        <f aca="false">IF(C24="validity",F24,E24)</f>
        <v>66</v>
      </c>
      <c r="I24" s="8" t="n">
        <f aca="false">IF(H24&gt;0,(E24-G24)/H24,"")</f>
        <v>0.984848484848485</v>
      </c>
    </row>
    <row r="25" customFormat="false" ht="15" hidden="false" customHeight="false" outlineLevel="0" collapsed="false">
      <c r="A25" s="4" t="s">
        <v>226</v>
      </c>
      <c r="B25" s="4" t="s">
        <v>110</v>
      </c>
      <c r="C25" s="4" t="s">
        <v>21</v>
      </c>
      <c r="D25" s="4" t="s">
        <v>202</v>
      </c>
      <c r="E25" s="4" t="n">
        <v>54</v>
      </c>
      <c r="F25" s="4" t="n">
        <v>50</v>
      </c>
      <c r="G25" s="4" t="n">
        <v>4</v>
      </c>
      <c r="H25" s="11" t="n">
        <f aca="false">IF(C25="validity",F25,E25)</f>
        <v>54</v>
      </c>
      <c r="I25" s="8" t="n">
        <f aca="false">IF(H25&gt;0,(E25-G25)/H25,"")</f>
        <v>0.925925925925926</v>
      </c>
    </row>
    <row r="26" customFormat="false" ht="15" hidden="false" customHeight="false" outlineLevel="0" collapsed="false">
      <c r="A26" s="4" t="s">
        <v>227</v>
      </c>
      <c r="B26" s="4" t="s">
        <v>110</v>
      </c>
      <c r="C26" s="4" t="s">
        <v>23</v>
      </c>
      <c r="D26" s="4" t="s">
        <v>216</v>
      </c>
      <c r="E26" s="4" t="n">
        <v>62</v>
      </c>
      <c r="G26" s="4" t="n">
        <v>0</v>
      </c>
      <c r="H26" s="11" t="n">
        <f aca="false">IF(C26="validity",F26,E26)</f>
        <v>62</v>
      </c>
      <c r="I26" s="8" t="n">
        <f aca="false">IF(H26&gt;0,(E26-G26)/H26,"")</f>
        <v>1</v>
      </c>
    </row>
    <row r="27" customFormat="false" ht="15" hidden="false" customHeight="false" outlineLevel="0" collapsed="false">
      <c r="A27" s="4" t="s">
        <v>228</v>
      </c>
      <c r="B27" s="4" t="s">
        <v>110</v>
      </c>
      <c r="C27" s="4" t="s">
        <v>22</v>
      </c>
      <c r="D27" s="4" t="s">
        <v>202</v>
      </c>
      <c r="E27" s="4" t="n">
        <v>54</v>
      </c>
      <c r="F27" s="4" t="n">
        <v>54</v>
      </c>
      <c r="G27" s="4" t="n">
        <v>4</v>
      </c>
      <c r="H27" s="11" t="n">
        <f aca="false">IF(C27="validity",F27,E27)</f>
        <v>54</v>
      </c>
      <c r="I27" s="8" t="n">
        <f aca="false">IF(H27&gt;0,(E27-G27)/H27,"")</f>
        <v>0.925925925925926</v>
      </c>
    </row>
    <row r="28" customFormat="false" ht="15" hidden="false" customHeight="false" outlineLevel="0" collapsed="false">
      <c r="A28" s="4" t="s">
        <v>229</v>
      </c>
      <c r="B28" s="4" t="s">
        <v>111</v>
      </c>
      <c r="C28" s="4" t="s">
        <v>24</v>
      </c>
      <c r="D28" s="4" t="s">
        <v>202</v>
      </c>
      <c r="E28" s="4" t="n">
        <v>79</v>
      </c>
      <c r="G28" s="4" t="n">
        <v>9</v>
      </c>
      <c r="H28" s="11" t="n">
        <f aca="false">IF(C28="validity",F28,E28)</f>
        <v>79</v>
      </c>
      <c r="I28" s="8" t="n">
        <f aca="false">IF(H28&gt;0,(E28-G28)/H28,"")</f>
        <v>0.886075949367089</v>
      </c>
    </row>
    <row r="29" customFormat="false" ht="15" hidden="false" customHeight="false" outlineLevel="0" collapsed="false">
      <c r="A29" s="4" t="s">
        <v>230</v>
      </c>
      <c r="B29" s="4" t="s">
        <v>112</v>
      </c>
      <c r="C29" s="4" t="s">
        <v>24</v>
      </c>
      <c r="D29" s="4" t="s">
        <v>216</v>
      </c>
      <c r="E29" s="4" t="n">
        <v>108</v>
      </c>
      <c r="G29" s="4" t="n">
        <v>0</v>
      </c>
      <c r="H29" s="11" t="n">
        <f aca="false">IF(C29="validity",F29,E29)</f>
        <v>108</v>
      </c>
      <c r="I29" s="8" t="n">
        <f aca="false">IF(H29&gt;0,(E29-G29)/H29,"")</f>
        <v>1</v>
      </c>
    </row>
    <row r="30" customFormat="false" ht="15" hidden="false" customHeight="false" outlineLevel="0" collapsed="false">
      <c r="A30" s="4" t="s">
        <v>231</v>
      </c>
      <c r="B30" s="4" t="s">
        <v>112</v>
      </c>
      <c r="C30" s="4" t="s">
        <v>24</v>
      </c>
      <c r="D30" s="4" t="s">
        <v>210</v>
      </c>
      <c r="E30" s="4" t="n">
        <v>106</v>
      </c>
      <c r="G30" s="4" t="n">
        <v>7</v>
      </c>
      <c r="H30" s="11" t="n">
        <f aca="false">IF(C30="validity",F30,E30)</f>
        <v>106</v>
      </c>
      <c r="I30" s="8" t="n">
        <f aca="false">IF(H30&gt;0,(E30-G30)/H30,"")</f>
        <v>0.933962264150943</v>
      </c>
    </row>
    <row r="31" customFormat="false" ht="15" hidden="false" customHeight="false" outlineLevel="0" collapsed="false">
      <c r="A31" s="4" t="s">
        <v>232</v>
      </c>
      <c r="B31" s="4" t="s">
        <v>113</v>
      </c>
      <c r="C31" s="4" t="s">
        <v>21</v>
      </c>
      <c r="D31" s="4" t="s">
        <v>202</v>
      </c>
      <c r="E31" s="4" t="n">
        <v>58</v>
      </c>
      <c r="F31" s="4" t="n">
        <v>56</v>
      </c>
      <c r="G31" s="4" t="n">
        <v>2</v>
      </c>
      <c r="H31" s="11" t="n">
        <f aca="false">IF(C31="validity",F31,E31)</f>
        <v>58</v>
      </c>
      <c r="I31" s="8" t="n">
        <f aca="false">IF(H31&gt;0,(E31-G31)/H31,"")</f>
        <v>0.96551724137931</v>
      </c>
    </row>
    <row r="32" customFormat="false" ht="15" hidden="false" customHeight="false" outlineLevel="0" collapsed="false">
      <c r="A32" s="4" t="s">
        <v>233</v>
      </c>
      <c r="B32" s="4" t="s">
        <v>113</v>
      </c>
      <c r="C32" s="4" t="s">
        <v>24</v>
      </c>
      <c r="D32" s="4" t="s">
        <v>202</v>
      </c>
      <c r="E32" s="4" t="n">
        <v>61</v>
      </c>
      <c r="G32" s="4" t="n">
        <v>0</v>
      </c>
      <c r="H32" s="11" t="n">
        <f aca="false">IF(C32="validity",F32,E32)</f>
        <v>61</v>
      </c>
      <c r="I32" s="8" t="n">
        <f aca="false">IF(H32&gt;0,(E32-G32)/H32,"")</f>
        <v>1</v>
      </c>
    </row>
    <row r="33" customFormat="false" ht="15" hidden="false" customHeight="false" outlineLevel="0" collapsed="false">
      <c r="A33" s="4" t="s">
        <v>234</v>
      </c>
      <c r="B33" s="4" t="s">
        <v>113</v>
      </c>
      <c r="C33" s="4" t="s">
        <v>25</v>
      </c>
      <c r="D33" s="4" t="s">
        <v>204</v>
      </c>
      <c r="E33" s="4" t="n">
        <v>1</v>
      </c>
      <c r="G33" s="4" t="n">
        <v>1</v>
      </c>
      <c r="H33" s="11" t="n">
        <f aca="false">IF(C33="validity",F33,E33)</f>
        <v>1</v>
      </c>
      <c r="I33" s="8" t="n">
        <f aca="false">IF(H33&gt;0,(E33-G33)/H33,"")</f>
        <v>0</v>
      </c>
    </row>
    <row r="34" customFormat="false" ht="15" hidden="false" customHeight="false" outlineLevel="0" collapsed="false">
      <c r="A34" s="4" t="s">
        <v>235</v>
      </c>
      <c r="B34" s="4" t="s">
        <v>113</v>
      </c>
      <c r="C34" s="4" t="s">
        <v>23</v>
      </c>
      <c r="D34" s="4" t="s">
        <v>216</v>
      </c>
      <c r="E34" s="4" t="n">
        <v>66</v>
      </c>
      <c r="G34" s="4" t="n">
        <v>0</v>
      </c>
      <c r="H34" s="11" t="n">
        <f aca="false">IF(C34="validity",F34,E34)</f>
        <v>66</v>
      </c>
      <c r="I34" s="8" t="n">
        <f aca="false">IF(H34&gt;0,(E34-G34)/H34,"")</f>
        <v>1</v>
      </c>
    </row>
    <row r="35" customFormat="false" ht="15" hidden="false" customHeight="false" outlineLevel="0" collapsed="false">
      <c r="A35" s="4" t="s">
        <v>236</v>
      </c>
      <c r="B35" s="4" t="s">
        <v>113</v>
      </c>
      <c r="C35" s="4" t="s">
        <v>22</v>
      </c>
      <c r="D35" s="4" t="s">
        <v>204</v>
      </c>
      <c r="E35" s="4" t="n">
        <v>66</v>
      </c>
      <c r="F35" s="4" t="n">
        <v>66</v>
      </c>
      <c r="G35" s="4" t="n">
        <v>0</v>
      </c>
      <c r="H35" s="11" t="n">
        <f aca="false">IF(C35="validity",F35,E35)</f>
        <v>66</v>
      </c>
      <c r="I35" s="8" t="n">
        <f aca="false">IF(H35&gt;0,(E35-G35)/H35,"")</f>
        <v>1</v>
      </c>
    </row>
    <row r="36" customFormat="false" ht="15" hidden="false" customHeight="false" outlineLevel="0" collapsed="false">
      <c r="A36" s="4" t="s">
        <v>237</v>
      </c>
      <c r="B36" s="4" t="s">
        <v>115</v>
      </c>
      <c r="C36" s="4" t="s">
        <v>24</v>
      </c>
      <c r="D36" s="4" t="s">
        <v>210</v>
      </c>
      <c r="E36" s="4" t="n">
        <v>82</v>
      </c>
      <c r="G36" s="4" t="n">
        <v>1</v>
      </c>
      <c r="H36" s="11" t="n">
        <f aca="false">IF(C36="validity",F36,E36)</f>
        <v>82</v>
      </c>
      <c r="I36" s="8" t="n">
        <f aca="false">IF(H36&gt;0,(E36-G36)/H36,"")</f>
        <v>0.987804878048781</v>
      </c>
    </row>
    <row r="37" customFormat="false" ht="15" hidden="false" customHeight="false" outlineLevel="0" collapsed="false">
      <c r="A37" s="4" t="s">
        <v>238</v>
      </c>
      <c r="B37" s="4" t="s">
        <v>115</v>
      </c>
      <c r="C37" s="4" t="s">
        <v>25</v>
      </c>
      <c r="D37" s="4" t="s">
        <v>202</v>
      </c>
      <c r="E37" s="4" t="n">
        <v>1</v>
      </c>
      <c r="G37" s="4" t="n">
        <v>1</v>
      </c>
      <c r="H37" s="11" t="n">
        <f aca="false">IF(C37="validity",F37,E37)</f>
        <v>1</v>
      </c>
      <c r="I37" s="8" t="n">
        <f aca="false">IF(H37&gt;0,(E37-G37)/H37,"")</f>
        <v>0</v>
      </c>
    </row>
    <row r="38" customFormat="false" ht="15" hidden="false" customHeight="false" outlineLevel="0" collapsed="false">
      <c r="A38" s="4" t="s">
        <v>239</v>
      </c>
      <c r="B38" s="4" t="s">
        <v>115</v>
      </c>
      <c r="C38" s="4" t="s">
        <v>23</v>
      </c>
      <c r="D38" s="4" t="s">
        <v>216</v>
      </c>
      <c r="E38" s="4" t="n">
        <v>84</v>
      </c>
      <c r="G38" s="4" t="n">
        <v>0</v>
      </c>
      <c r="H38" s="11" t="n">
        <f aca="false">IF(C38="validity",F38,E38)</f>
        <v>84</v>
      </c>
      <c r="I38" s="8" t="n">
        <f aca="false">IF(H38&gt;0,(E38-G38)/H38,"")</f>
        <v>1</v>
      </c>
    </row>
    <row r="39" customFormat="false" ht="15" hidden="false" customHeight="false" outlineLevel="0" collapsed="false">
      <c r="A39" s="4" t="s">
        <v>240</v>
      </c>
      <c r="B39" s="4" t="s">
        <v>117</v>
      </c>
      <c r="C39" s="4" t="s">
        <v>21</v>
      </c>
      <c r="D39" s="4" t="s">
        <v>204</v>
      </c>
      <c r="E39" s="4" t="n">
        <v>116</v>
      </c>
      <c r="F39" s="4" t="n">
        <v>114</v>
      </c>
      <c r="G39" s="4" t="n">
        <v>2</v>
      </c>
      <c r="H39" s="11" t="n">
        <f aca="false">IF(C39="validity",F39,E39)</f>
        <v>116</v>
      </c>
      <c r="I39" s="8" t="n">
        <f aca="false">IF(H39&gt;0,(E39-G39)/H39,"")</f>
        <v>0.982758620689655</v>
      </c>
    </row>
    <row r="40" customFormat="false" ht="15" hidden="false" customHeight="false" outlineLevel="0" collapsed="false">
      <c r="A40" s="4" t="s">
        <v>241</v>
      </c>
      <c r="B40" s="4" t="s">
        <v>117</v>
      </c>
      <c r="C40" s="4" t="s">
        <v>23</v>
      </c>
      <c r="D40" s="4" t="s">
        <v>202</v>
      </c>
      <c r="E40" s="4" t="n">
        <v>116</v>
      </c>
      <c r="G40" s="4" t="n">
        <v>2</v>
      </c>
      <c r="H40" s="11" t="n">
        <f aca="false">IF(C40="validity",F40,E40)</f>
        <v>116</v>
      </c>
      <c r="I40" s="8" t="n">
        <f aca="false">IF(H40&gt;0,(E40-G40)/H40,"")</f>
        <v>0.982758620689655</v>
      </c>
    </row>
    <row r="41" customFormat="false" ht="15" hidden="false" customHeight="false" outlineLevel="0" collapsed="false">
      <c r="A41" s="4" t="s">
        <v>242</v>
      </c>
      <c r="B41" s="4" t="s">
        <v>118</v>
      </c>
      <c r="C41" s="4" t="s">
        <v>24</v>
      </c>
      <c r="D41" s="4" t="s">
        <v>202</v>
      </c>
      <c r="E41" s="4" t="n">
        <v>45</v>
      </c>
      <c r="G41" s="4" t="n">
        <v>1</v>
      </c>
      <c r="H41" s="11" t="n">
        <f aca="false">IF(C41="validity",F41,E41)</f>
        <v>45</v>
      </c>
      <c r="I41" s="8" t="n">
        <f aca="false">IF(H41&gt;0,(E41-G41)/H41,"")</f>
        <v>0.977777777777778</v>
      </c>
    </row>
    <row r="42" customFormat="false" ht="15" hidden="false" customHeight="false" outlineLevel="0" collapsed="false">
      <c r="A42" s="4" t="s">
        <v>243</v>
      </c>
      <c r="B42" s="4" t="s">
        <v>119</v>
      </c>
      <c r="C42" s="4" t="s">
        <v>24</v>
      </c>
      <c r="D42" s="4" t="s">
        <v>202</v>
      </c>
      <c r="E42" s="4" t="n">
        <v>49</v>
      </c>
      <c r="G42" s="4" t="n">
        <v>3</v>
      </c>
      <c r="H42" s="11" t="n">
        <f aca="false">IF(C42="validity",F42,E42)</f>
        <v>49</v>
      </c>
      <c r="I42" s="8" t="n">
        <f aca="false">IF(H42&gt;0,(E42-G42)/H42,"")</f>
        <v>0.938775510204082</v>
      </c>
    </row>
    <row r="43" customFormat="false" ht="15" hidden="false" customHeight="false" outlineLevel="0" collapsed="false">
      <c r="A43" s="4" t="s">
        <v>244</v>
      </c>
      <c r="B43" s="4" t="s">
        <v>120</v>
      </c>
      <c r="C43" s="4" t="s">
        <v>21</v>
      </c>
      <c r="D43" s="4" t="s">
        <v>204</v>
      </c>
      <c r="E43" s="4" t="n">
        <v>100</v>
      </c>
      <c r="F43" s="4" t="n">
        <v>93</v>
      </c>
      <c r="G43" s="4" t="n">
        <v>7</v>
      </c>
      <c r="H43" s="11" t="n">
        <f aca="false">IF(C43="validity",F43,E43)</f>
        <v>100</v>
      </c>
      <c r="I43" s="8" t="n">
        <f aca="false">IF(H43&gt;0,(E43-G43)/H43,"")</f>
        <v>0.93</v>
      </c>
    </row>
    <row r="44" customFormat="false" ht="15" hidden="false" customHeight="false" outlineLevel="0" collapsed="false">
      <c r="A44" s="4" t="s">
        <v>245</v>
      </c>
      <c r="B44" s="4" t="s">
        <v>122</v>
      </c>
      <c r="C44" s="4" t="s">
        <v>24</v>
      </c>
      <c r="D44" s="4" t="s">
        <v>204</v>
      </c>
      <c r="E44" s="4" t="n">
        <v>83</v>
      </c>
      <c r="G44" s="4" t="n">
        <v>12</v>
      </c>
      <c r="H44" s="11" t="n">
        <f aca="false">IF(C44="validity",F44,E44)</f>
        <v>83</v>
      </c>
      <c r="I44" s="8" t="n">
        <f aca="false">IF(H44&gt;0,(E44-G44)/H44,"")</f>
        <v>0.855421686746988</v>
      </c>
    </row>
    <row r="45" customFormat="false" ht="15" hidden="false" customHeight="false" outlineLevel="0" collapsed="false">
      <c r="A45" s="4" t="s">
        <v>246</v>
      </c>
      <c r="B45" s="4" t="s">
        <v>122</v>
      </c>
      <c r="C45" s="4" t="s">
        <v>22</v>
      </c>
      <c r="D45" s="4" t="s">
        <v>204</v>
      </c>
      <c r="E45" s="4" t="n">
        <v>72</v>
      </c>
      <c r="F45" s="4" t="n">
        <v>72</v>
      </c>
      <c r="G45" s="4" t="n">
        <v>11</v>
      </c>
      <c r="H45" s="11" t="n">
        <f aca="false">IF(C45="validity",F45,E45)</f>
        <v>72</v>
      </c>
      <c r="I45" s="8" t="n">
        <f aca="false">IF(H45&gt;0,(E45-G45)/H45,"")</f>
        <v>0.847222222222222</v>
      </c>
    </row>
    <row r="46" customFormat="false" ht="15" hidden="false" customHeight="false" outlineLevel="0" collapsed="false">
      <c r="A46" s="4" t="s">
        <v>247</v>
      </c>
      <c r="B46" s="4" t="s">
        <v>124</v>
      </c>
      <c r="C46" s="4" t="s">
        <v>21</v>
      </c>
      <c r="D46" s="4" t="s">
        <v>202</v>
      </c>
      <c r="E46" s="4" t="n">
        <v>114</v>
      </c>
      <c r="F46" s="4" t="n">
        <v>110</v>
      </c>
      <c r="G46" s="4" t="n">
        <v>4</v>
      </c>
      <c r="H46" s="11" t="n">
        <f aca="false">IF(C46="validity",F46,E46)</f>
        <v>114</v>
      </c>
      <c r="I46" s="8" t="n">
        <f aca="false">IF(H46&gt;0,(E46-G46)/H46,"")</f>
        <v>0.964912280701754</v>
      </c>
    </row>
    <row r="47" customFormat="false" ht="15" hidden="false" customHeight="false" outlineLevel="0" collapsed="false">
      <c r="A47" s="4" t="s">
        <v>248</v>
      </c>
      <c r="B47" s="4" t="s">
        <v>124</v>
      </c>
      <c r="C47" s="4" t="s">
        <v>24</v>
      </c>
      <c r="D47" s="4" t="s">
        <v>202</v>
      </c>
      <c r="E47" s="4" t="n">
        <v>114</v>
      </c>
      <c r="G47" s="4" t="n">
        <v>7</v>
      </c>
      <c r="H47" s="11" t="n">
        <f aca="false">IF(C47="validity",F47,E47)</f>
        <v>114</v>
      </c>
      <c r="I47" s="8" t="n">
        <f aca="false">IF(H47&gt;0,(E47-G47)/H47,"")</f>
        <v>0.93859649122807</v>
      </c>
    </row>
    <row r="48" customFormat="false" ht="15" hidden="false" customHeight="false" outlineLevel="0" collapsed="false">
      <c r="A48" s="4" t="s">
        <v>249</v>
      </c>
      <c r="B48" s="4" t="s">
        <v>125</v>
      </c>
      <c r="C48" s="4" t="s">
        <v>21</v>
      </c>
      <c r="D48" s="4" t="s">
        <v>204</v>
      </c>
      <c r="E48" s="4" t="n">
        <v>89</v>
      </c>
      <c r="F48" s="4" t="n">
        <v>84</v>
      </c>
      <c r="G48" s="4" t="n">
        <v>5</v>
      </c>
      <c r="H48" s="11" t="n">
        <f aca="false">IF(C48="validity",F48,E48)</f>
        <v>89</v>
      </c>
      <c r="I48" s="8" t="n">
        <f aca="false">IF(H48&gt;0,(E48-G48)/H48,"")</f>
        <v>0.943820224719101</v>
      </c>
    </row>
    <row r="49" customFormat="false" ht="15" hidden="false" customHeight="false" outlineLevel="0" collapsed="false">
      <c r="A49" s="4" t="s">
        <v>250</v>
      </c>
      <c r="B49" s="4" t="s">
        <v>125</v>
      </c>
      <c r="C49" s="4" t="s">
        <v>23</v>
      </c>
      <c r="D49" s="4" t="s">
        <v>202</v>
      </c>
      <c r="E49" s="4" t="n">
        <v>89</v>
      </c>
      <c r="G49" s="4" t="n">
        <v>2</v>
      </c>
      <c r="H49" s="11" t="n">
        <f aca="false">IF(C49="validity",F49,E49)</f>
        <v>89</v>
      </c>
      <c r="I49" s="8" t="n">
        <f aca="false">IF(H49&gt;0,(E49-G49)/H49,"")</f>
        <v>0.97752808988764</v>
      </c>
    </row>
    <row r="50" customFormat="false" ht="15" hidden="false" customHeight="false" outlineLevel="0" collapsed="false">
      <c r="A50" s="4" t="s">
        <v>251</v>
      </c>
      <c r="B50" s="4" t="s">
        <v>125</v>
      </c>
      <c r="C50" s="4" t="s">
        <v>22</v>
      </c>
      <c r="D50" s="4" t="s">
        <v>210</v>
      </c>
      <c r="E50" s="4" t="n">
        <v>78</v>
      </c>
      <c r="F50" s="4" t="n">
        <v>75</v>
      </c>
      <c r="G50" s="4" t="n">
        <v>5</v>
      </c>
      <c r="H50" s="11" t="n">
        <f aca="false">IF(C50="validity",F50,E50)</f>
        <v>75</v>
      </c>
      <c r="I50" s="8" t="n">
        <f aca="false">IF(H50&gt;0,(E50-G50)/H50,"")</f>
        <v>0.973333333333333</v>
      </c>
    </row>
    <row r="51" customFormat="false" ht="15" hidden="false" customHeight="false" outlineLevel="0" collapsed="false">
      <c r="A51" s="4" t="s">
        <v>252</v>
      </c>
      <c r="B51" s="4" t="s">
        <v>127</v>
      </c>
      <c r="C51" s="4" t="s">
        <v>22</v>
      </c>
      <c r="D51" s="4" t="s">
        <v>204</v>
      </c>
      <c r="E51" s="4" t="n">
        <v>70</v>
      </c>
      <c r="F51" s="4" t="n">
        <v>70</v>
      </c>
      <c r="G51" s="4" t="n">
        <v>2</v>
      </c>
      <c r="H51" s="11" t="n">
        <f aca="false">IF(C51="validity",F51,E51)</f>
        <v>70</v>
      </c>
      <c r="I51" s="8" t="n">
        <f aca="false">IF(H51&gt;0,(E51-G51)/H51,"")</f>
        <v>0.971428571428571</v>
      </c>
    </row>
    <row r="52" customFormat="false" ht="15" hidden="false" customHeight="false" outlineLevel="0" collapsed="false">
      <c r="A52" s="4" t="s">
        <v>253</v>
      </c>
      <c r="B52" s="4" t="s">
        <v>128</v>
      </c>
      <c r="C52" s="4" t="s">
        <v>21</v>
      </c>
      <c r="D52" s="4" t="s">
        <v>204</v>
      </c>
      <c r="E52" s="4" t="n">
        <v>49</v>
      </c>
      <c r="F52" s="4" t="n">
        <v>47</v>
      </c>
      <c r="G52" s="4" t="n">
        <v>2</v>
      </c>
      <c r="H52" s="11" t="n">
        <f aca="false">IF(C52="validity",F52,E52)</f>
        <v>49</v>
      </c>
      <c r="I52" s="8" t="n">
        <f aca="false">IF(H52&gt;0,(E52-G52)/H52,"")</f>
        <v>0.959183673469388</v>
      </c>
    </row>
    <row r="53" customFormat="false" ht="15" hidden="false" customHeight="false" outlineLevel="0" collapsed="false">
      <c r="A53" s="4" t="s">
        <v>254</v>
      </c>
      <c r="B53" s="4" t="s">
        <v>128</v>
      </c>
      <c r="C53" s="4" t="s">
        <v>25</v>
      </c>
      <c r="D53" s="4" t="s">
        <v>202</v>
      </c>
      <c r="E53" s="4" t="n">
        <v>1</v>
      </c>
      <c r="G53" s="4" t="n">
        <v>1</v>
      </c>
      <c r="H53" s="11" t="n">
        <f aca="false">IF(C53="validity",F53,E53)</f>
        <v>1</v>
      </c>
      <c r="I53" s="8" t="n">
        <f aca="false">IF(H53&gt;0,(E53-G53)/H53,"")</f>
        <v>0</v>
      </c>
    </row>
    <row r="54" customFormat="false" ht="15" hidden="false" customHeight="false" outlineLevel="0" collapsed="false">
      <c r="A54" s="4" t="s">
        <v>255</v>
      </c>
      <c r="B54" s="4" t="s">
        <v>129</v>
      </c>
      <c r="C54" s="4" t="s">
        <v>22</v>
      </c>
      <c r="D54" s="4" t="s">
        <v>204</v>
      </c>
      <c r="E54" s="4" t="n">
        <v>120</v>
      </c>
      <c r="F54" s="4" t="n">
        <v>120</v>
      </c>
      <c r="G54" s="4" t="n">
        <v>8</v>
      </c>
      <c r="H54" s="11" t="n">
        <f aca="false">IF(C54="validity",F54,E54)</f>
        <v>120</v>
      </c>
      <c r="I54" s="8" t="n">
        <f aca="false">IF(H54&gt;0,(E54-G54)/H54,"")</f>
        <v>0.933333333333333</v>
      </c>
    </row>
    <row r="55" customFormat="false" ht="15" hidden="false" customHeight="false" outlineLevel="0" collapsed="false">
      <c r="A55" s="4" t="s">
        <v>256</v>
      </c>
      <c r="B55" s="4" t="s">
        <v>130</v>
      </c>
      <c r="C55" s="4" t="s">
        <v>23</v>
      </c>
      <c r="D55" s="4" t="s">
        <v>202</v>
      </c>
      <c r="E55" s="4" t="n">
        <v>70</v>
      </c>
      <c r="G55" s="4" t="n">
        <v>1</v>
      </c>
      <c r="H55" s="11" t="n">
        <f aca="false">IF(C55="validity",F55,E55)</f>
        <v>70</v>
      </c>
      <c r="I55" s="8" t="n">
        <f aca="false">IF(H55&gt;0,(E55-G55)/H55,"")</f>
        <v>0.985714285714286</v>
      </c>
    </row>
    <row r="56" customFormat="false" ht="15" hidden="false" customHeight="false" outlineLevel="0" collapsed="false">
      <c r="A56" s="4" t="s">
        <v>257</v>
      </c>
      <c r="B56" s="4" t="s">
        <v>131</v>
      </c>
      <c r="C56" s="4" t="s">
        <v>21</v>
      </c>
      <c r="D56" s="4" t="s">
        <v>202</v>
      </c>
      <c r="E56" s="4" t="n">
        <v>66</v>
      </c>
      <c r="F56" s="4" t="n">
        <v>65</v>
      </c>
      <c r="G56" s="4" t="n">
        <v>1</v>
      </c>
      <c r="H56" s="11" t="n">
        <f aca="false">IF(C56="validity",F56,E56)</f>
        <v>66</v>
      </c>
      <c r="I56" s="8" t="n">
        <f aca="false">IF(H56&gt;0,(E56-G56)/H56,"")</f>
        <v>0.984848484848485</v>
      </c>
    </row>
    <row r="57" customFormat="false" ht="15" hidden="false" customHeight="false" outlineLevel="0" collapsed="false">
      <c r="A57" s="4" t="s">
        <v>258</v>
      </c>
      <c r="B57" s="4" t="s">
        <v>131</v>
      </c>
      <c r="C57" s="4" t="s">
        <v>25</v>
      </c>
      <c r="D57" s="4" t="s">
        <v>202</v>
      </c>
      <c r="E57" s="4" t="n">
        <v>1</v>
      </c>
      <c r="G57" s="4" t="n">
        <v>0</v>
      </c>
      <c r="H57" s="11" t="n">
        <f aca="false">IF(C57="validity",F57,E57)</f>
        <v>1</v>
      </c>
      <c r="I57" s="8" t="n">
        <f aca="false">IF(H57&gt;0,(E57-G57)/H57,"")</f>
        <v>1</v>
      </c>
    </row>
    <row r="58" customFormat="false" ht="15" hidden="false" customHeight="false" outlineLevel="0" collapsed="false">
      <c r="A58" s="4" t="s">
        <v>259</v>
      </c>
      <c r="B58" s="4" t="s">
        <v>131</v>
      </c>
      <c r="C58" s="4" t="s">
        <v>23</v>
      </c>
      <c r="D58" s="4" t="s">
        <v>202</v>
      </c>
      <c r="E58" s="4" t="n">
        <v>66</v>
      </c>
      <c r="G58" s="4" t="n">
        <v>1</v>
      </c>
      <c r="H58" s="11" t="n">
        <f aca="false">IF(C58="validity",F58,E58)</f>
        <v>66</v>
      </c>
      <c r="I58" s="8" t="n">
        <f aca="false">IF(H58&gt;0,(E58-G58)/H58,"")</f>
        <v>0.984848484848485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5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0"/>
    <col collapsed="false" customWidth="true" hidden="false" outlineLevel="0" max="3" min="3" style="0" width="36"/>
    <col collapsed="false" customWidth="true" hidden="false" outlineLevel="0" max="9" min="7" style="0" width="17"/>
    <col collapsed="false" customWidth="true" hidden="false" outlineLevel="0" max="16" min="16" style="0" width="17"/>
    <col collapsed="false" customWidth="true" hidden="false" outlineLevel="0" max="18" min="18" style="0" width="20"/>
  </cols>
  <sheetData>
    <row r="1" customFormat="false" ht="17.35" hidden="false" customHeight="false" outlineLevel="0" collapsed="false">
      <c r="A1" s="1" t="s">
        <v>260</v>
      </c>
    </row>
    <row r="2" customFormat="false" ht="15" hidden="false" customHeight="false" outlineLevel="0" collapsed="false">
      <c r="A2" s="0" t="s">
        <v>261</v>
      </c>
    </row>
    <row r="3" customFormat="false" ht="41.75" hidden="false" customHeight="false" outlineLevel="0" collapsed="false">
      <c r="A3" s="7" t="s">
        <v>262</v>
      </c>
      <c r="B3" s="7" t="s">
        <v>77</v>
      </c>
      <c r="C3" s="7" t="s">
        <v>193</v>
      </c>
      <c r="D3" s="7" t="s">
        <v>263</v>
      </c>
      <c r="E3" s="7" t="s">
        <v>195</v>
      </c>
      <c r="F3" s="7" t="s">
        <v>264</v>
      </c>
      <c r="G3" s="7" t="s">
        <v>265</v>
      </c>
      <c r="H3" s="7" t="s">
        <v>266</v>
      </c>
      <c r="I3" s="7" t="s">
        <v>267</v>
      </c>
      <c r="J3" s="7" t="s">
        <v>268</v>
      </c>
      <c r="K3" s="7" t="s">
        <v>269</v>
      </c>
      <c r="L3" s="7" t="s">
        <v>270</v>
      </c>
      <c r="M3" s="7" t="s">
        <v>271</v>
      </c>
      <c r="N3" s="7" t="s">
        <v>272</v>
      </c>
      <c r="O3" s="7" t="s">
        <v>273</v>
      </c>
      <c r="P3" s="7" t="s">
        <v>274</v>
      </c>
      <c r="Q3" s="7" t="s">
        <v>275</v>
      </c>
      <c r="R3" s="7" t="s">
        <v>276</v>
      </c>
      <c r="S3" s="7" t="s">
        <v>277</v>
      </c>
      <c r="T3" s="7" t="s">
        <v>278</v>
      </c>
      <c r="U3" s="7" t="s">
        <v>279</v>
      </c>
      <c r="V3" s="7" t="s">
        <v>280</v>
      </c>
      <c r="W3" s="7" t="s">
        <v>281</v>
      </c>
    </row>
    <row r="4" customFormat="false" ht="15" hidden="false" customHeight="false" outlineLevel="0" collapsed="false">
      <c r="A4" s="4" t="s">
        <v>282</v>
      </c>
      <c r="B4" s="4" t="s">
        <v>95</v>
      </c>
      <c r="C4" s="4" t="s">
        <v>205</v>
      </c>
      <c r="D4" s="4" t="s">
        <v>283</v>
      </c>
      <c r="E4" s="4" t="s">
        <v>204</v>
      </c>
      <c r="F4" s="4" t="s">
        <v>277</v>
      </c>
      <c r="G4" s="5" t="n">
        <v>46216.1069444444</v>
      </c>
      <c r="H4" s="5" t="n">
        <v>46220.1138888889</v>
      </c>
      <c r="I4" s="5" t="n">
        <v>46220.1451388889</v>
      </c>
      <c r="J4" s="4" t="s">
        <v>284</v>
      </c>
      <c r="K4" s="4" t="s">
        <v>282</v>
      </c>
      <c r="L4" s="4" t="s">
        <v>205</v>
      </c>
      <c r="M4" s="4" t="n">
        <v>1</v>
      </c>
      <c r="N4" s="4" t="n">
        <v>1</v>
      </c>
      <c r="O4" s="4" t="n">
        <v>0</v>
      </c>
      <c r="P4" s="12"/>
      <c r="Q4" s="4" t="n">
        <v>0</v>
      </c>
      <c r="R4" s="0" t="str">
        <f aca="false">INDEX(Owners!$B$4:$B$21,MATCH(D4,Owners!$A$4:$A$21,0))</f>
        <v>Data Platform</v>
      </c>
      <c r="S4" s="6" t="b">
        <f aca="false">AND(F4="closed",ISNUMBER(H4),H4&lt;=Controls!$B$4)</f>
        <v>1</v>
      </c>
      <c r="T4" s="6" t="b">
        <f aca="false">AND(ISNUMBER(I4),I4&lt;=Controls!$B$4,J4="rerun",K4=A4,L4=C4,M4=N4,O4=0,I4&gt;=G4,IF(ISNUMBER(P4),I4&gt;=P4,TRUE()))</f>
        <v>1</v>
      </c>
      <c r="U4" s="0" t="str">
        <f aca="false">IF(AND(S4,T4),"resolved",IF(S4,"claimed","open"))</f>
        <v>resolved</v>
      </c>
      <c r="V4" s="11" t="n">
        <f aca="false">ROUND((IF(U4="resolved",I4,IF(U4="claimed",H4,Controls!$B$4))-G4)*24,4)</f>
        <v>96.9167</v>
      </c>
      <c r="W4" s="6" t="b">
        <f aca="false">INDEX(Owners!$E$4:$E$21,MATCH(D4,Owners!$A$4:$A$21,0))</f>
        <v>1</v>
      </c>
    </row>
    <row r="5" customFormat="false" ht="15" hidden="false" customHeight="false" outlineLevel="0" collapsed="false">
      <c r="A5" s="4" t="s">
        <v>285</v>
      </c>
      <c r="B5" s="4" t="s">
        <v>97</v>
      </c>
      <c r="C5" s="4" t="s">
        <v>208</v>
      </c>
      <c r="D5" s="4" t="s">
        <v>286</v>
      </c>
      <c r="E5" s="4" t="s">
        <v>202</v>
      </c>
      <c r="F5" s="4" t="s">
        <v>277</v>
      </c>
      <c r="G5" s="5" t="n">
        <v>46216.1194444444</v>
      </c>
      <c r="H5" s="5" t="n">
        <v>46218.9583333333</v>
      </c>
      <c r="I5" s="5" t="n">
        <v>46219.5180555556</v>
      </c>
      <c r="J5" s="4" t="s">
        <v>284</v>
      </c>
      <c r="K5" s="4" t="s">
        <v>285</v>
      </c>
      <c r="L5" s="4" t="s">
        <v>208</v>
      </c>
      <c r="M5" s="4" t="n">
        <v>1</v>
      </c>
      <c r="N5" s="4" t="n">
        <v>1</v>
      </c>
      <c r="O5" s="4" t="n">
        <v>0</v>
      </c>
      <c r="P5" s="12"/>
      <c r="Q5" s="4" t="n">
        <v>0</v>
      </c>
      <c r="R5" s="0" t="str">
        <f aca="false">INDEX(Owners!$B$4:$B$21,MATCH(D5,Owners!$A$4:$A$21,0))</f>
        <v>Finance Systems</v>
      </c>
      <c r="S5" s="6" t="b">
        <f aca="false">AND(F5="closed",ISNUMBER(H5),H5&lt;=Controls!$B$4)</f>
        <v>1</v>
      </c>
      <c r="T5" s="6" t="b">
        <f aca="false">AND(ISNUMBER(I5),I5&lt;=Controls!$B$4,J5="rerun",K5=A5,L5=C5,M5=N5,O5=0,I5&gt;=G5,IF(ISNUMBER(P5),I5&gt;=P5,TRUE()))</f>
        <v>1</v>
      </c>
      <c r="U5" s="0" t="str">
        <f aca="false">IF(AND(S5,T5),"resolved",IF(S5,"claimed","open"))</f>
        <v>resolved</v>
      </c>
      <c r="V5" s="11" t="n">
        <f aca="false">ROUND((IF(U5="resolved",I5,IF(U5="claimed",H5,Controls!$B$4))-G5)*24,4)</f>
        <v>81.5667</v>
      </c>
      <c r="W5" s="6" t="b">
        <f aca="false">INDEX(Owners!$E$4:$E$21,MATCH(D5,Owners!$A$4:$A$21,0))</f>
        <v>0</v>
      </c>
    </row>
    <row r="6" customFormat="false" ht="15" hidden="false" customHeight="false" outlineLevel="0" collapsed="false">
      <c r="A6" s="4" t="s">
        <v>287</v>
      </c>
      <c r="B6" s="4" t="s">
        <v>117</v>
      </c>
      <c r="C6" s="4" t="s">
        <v>240</v>
      </c>
      <c r="D6" s="4" t="s">
        <v>288</v>
      </c>
      <c r="E6" s="4" t="s">
        <v>204</v>
      </c>
      <c r="F6" s="4" t="s">
        <v>277</v>
      </c>
      <c r="G6" s="5" t="n">
        <v>46216.2458333333</v>
      </c>
      <c r="H6" s="5" t="n">
        <v>46218.6104166667</v>
      </c>
      <c r="I6" s="5" t="n">
        <v>46218.7756944444</v>
      </c>
      <c r="J6" s="4" t="s">
        <v>284</v>
      </c>
      <c r="K6" s="4" t="s">
        <v>287</v>
      </c>
      <c r="L6" s="4" t="s">
        <v>240</v>
      </c>
      <c r="M6" s="4" t="n">
        <v>1</v>
      </c>
      <c r="N6" s="4" t="n">
        <v>1</v>
      </c>
      <c r="O6" s="4" t="n">
        <v>0</v>
      </c>
      <c r="P6" s="12"/>
      <c r="Q6" s="4" t="n">
        <v>0</v>
      </c>
      <c r="R6" s="0" t="str">
        <f aca="false">INDEX(Owners!$B$4:$B$21,MATCH(D6,Owners!$A$4:$A$21,0))</f>
        <v>Support Operations</v>
      </c>
      <c r="S6" s="6" t="b">
        <f aca="false">AND(F6="closed",ISNUMBER(H6),H6&lt;=Controls!$B$4)</f>
        <v>1</v>
      </c>
      <c r="T6" s="6" t="b">
        <f aca="false">AND(ISNUMBER(I6),I6&lt;=Controls!$B$4,J6="rerun",K6=A6,L6=C6,M6=N6,O6=0,I6&gt;=G6,IF(ISNUMBER(P6),I6&gt;=P6,TRUE()))</f>
        <v>1</v>
      </c>
      <c r="U6" s="0" t="str">
        <f aca="false">IF(AND(S6,T6),"resolved",IF(S6,"claimed","open"))</f>
        <v>resolved</v>
      </c>
      <c r="V6" s="11" t="n">
        <f aca="false">ROUND((IF(U6="resolved",I6,IF(U6="claimed",H6,Controls!$B$4))-G6)*24,4)</f>
        <v>60.7167</v>
      </c>
      <c r="W6" s="6" t="b">
        <f aca="false">INDEX(Owners!$E$4:$E$21,MATCH(D6,Owners!$A$4:$A$21,0))</f>
        <v>1</v>
      </c>
    </row>
    <row r="7" customFormat="false" ht="15" hidden="false" customHeight="false" outlineLevel="0" collapsed="false">
      <c r="A7" s="4" t="s">
        <v>289</v>
      </c>
      <c r="B7" s="4" t="s">
        <v>102</v>
      </c>
      <c r="C7" s="4" t="s">
        <v>217</v>
      </c>
      <c r="D7" s="4" t="s">
        <v>290</v>
      </c>
      <c r="E7" s="4" t="s">
        <v>204</v>
      </c>
      <c r="F7" s="4" t="s">
        <v>277</v>
      </c>
      <c r="G7" s="5" t="n">
        <v>46217.0923611111</v>
      </c>
      <c r="H7" s="5" t="n">
        <v>46217.7229166667</v>
      </c>
      <c r="I7" s="12"/>
      <c r="N7" s="4" t="n">
        <v>1</v>
      </c>
      <c r="P7" s="12"/>
      <c r="Q7" s="4" t="n">
        <v>0</v>
      </c>
      <c r="R7" s="0" t="str">
        <f aca="false">INDEX(Owners!$B$4:$B$21,MATCH(D7,Owners!$A$4:$A$21,0))</f>
        <v>Customer Data</v>
      </c>
      <c r="S7" s="6" t="b">
        <f aca="false">AND(F7="closed",ISNUMBER(H7),H7&lt;=Controls!$B$4)</f>
        <v>1</v>
      </c>
      <c r="T7" s="6" t="b">
        <f aca="false">AND(ISNUMBER(I7),I7&lt;=Controls!$B$4,J7="rerun",K7=A7,L7=C7,M7=N7,O7=0,I7&gt;=G7,IF(ISNUMBER(P7),I7&gt;=P7,TRUE()))</f>
        <v>0</v>
      </c>
      <c r="U7" s="0" t="str">
        <f aca="false">IF(AND(S7,T7),"resolved",IF(S7,"claimed","open"))</f>
        <v>claimed</v>
      </c>
      <c r="V7" s="11" t="n">
        <f aca="false">ROUND((IF(U7="resolved",I7,IF(U7="claimed",H7,Controls!$B$4))-G7)*24,4)</f>
        <v>15.1333</v>
      </c>
      <c r="W7" s="6" t="b">
        <f aca="false">INDEX(Owners!$E$4:$E$21,MATCH(D7,Owners!$A$4:$A$21,0))</f>
        <v>1</v>
      </c>
    </row>
    <row r="8" customFormat="false" ht="15" hidden="false" customHeight="false" outlineLevel="0" collapsed="false">
      <c r="A8" s="4" t="s">
        <v>291</v>
      </c>
      <c r="B8" s="4" t="s">
        <v>119</v>
      </c>
      <c r="C8" s="4" t="s">
        <v>243</v>
      </c>
      <c r="D8" s="4" t="s">
        <v>292</v>
      </c>
      <c r="E8" s="4" t="s">
        <v>202</v>
      </c>
      <c r="F8" s="4" t="s">
        <v>277</v>
      </c>
      <c r="G8" s="5" t="n">
        <v>46217.1604166667</v>
      </c>
      <c r="H8" s="5" t="n">
        <v>46219.2979166667</v>
      </c>
      <c r="I8" s="5" t="n">
        <v>46219.3861111111</v>
      </c>
      <c r="J8" s="4" t="s">
        <v>284</v>
      </c>
      <c r="K8" s="4" t="s">
        <v>291</v>
      </c>
      <c r="L8" s="4" t="s">
        <v>243</v>
      </c>
      <c r="M8" s="4" t="n">
        <v>1</v>
      </c>
      <c r="N8" s="4" t="n">
        <v>1</v>
      </c>
      <c r="O8" s="4" t="n">
        <v>0</v>
      </c>
      <c r="P8" s="12"/>
      <c r="Q8" s="4" t="n">
        <v>0</v>
      </c>
      <c r="R8" s="0" t="str">
        <f aca="false">INDEX(Owners!$B$4:$B$21,MATCH(D8,Owners!$A$4:$A$21,0))</f>
        <v>Support Operations</v>
      </c>
      <c r="S8" s="6" t="b">
        <f aca="false">AND(F8="closed",ISNUMBER(H8),H8&lt;=Controls!$B$4)</f>
        <v>1</v>
      </c>
      <c r="T8" s="6" t="b">
        <f aca="false">AND(ISNUMBER(I8),I8&lt;=Controls!$B$4,J8="rerun",K8=A8,L8=C8,M8=N8,O8=0,I8&gt;=G8,IF(ISNUMBER(P8),I8&gt;=P8,TRUE()))</f>
        <v>1</v>
      </c>
      <c r="U8" s="0" t="str">
        <f aca="false">IF(AND(S8,T8),"resolved",IF(S8,"claimed","open"))</f>
        <v>resolved</v>
      </c>
      <c r="V8" s="11" t="n">
        <f aca="false">ROUND((IF(U8="resolved",I8,IF(U8="claimed",H8,Controls!$B$4))-G8)*24,4)</f>
        <v>53.4167</v>
      </c>
      <c r="W8" s="6" t="b">
        <f aca="false">INDEX(Owners!$E$4:$E$21,MATCH(D8,Owners!$A$4:$A$21,0))</f>
        <v>1</v>
      </c>
    </row>
    <row r="9" customFormat="false" ht="15" hidden="false" customHeight="false" outlineLevel="0" collapsed="false">
      <c r="A9" s="4" t="s">
        <v>293</v>
      </c>
      <c r="B9" s="4" t="s">
        <v>110</v>
      </c>
      <c r="C9" s="4" t="s">
        <v>228</v>
      </c>
      <c r="D9" s="4" t="s">
        <v>286</v>
      </c>
      <c r="E9" s="4" t="s">
        <v>202</v>
      </c>
      <c r="F9" s="4" t="s">
        <v>277</v>
      </c>
      <c r="G9" s="5" t="n">
        <v>46217.2145833333</v>
      </c>
      <c r="H9" s="5" t="n">
        <v>46218.9479166667</v>
      </c>
      <c r="I9" s="5" t="n">
        <v>46219.4868055556</v>
      </c>
      <c r="J9" s="4" t="s">
        <v>284</v>
      </c>
      <c r="K9" s="4" t="s">
        <v>293</v>
      </c>
      <c r="L9" s="4" t="s">
        <v>228</v>
      </c>
      <c r="M9" s="4" t="n">
        <v>1</v>
      </c>
      <c r="N9" s="4" t="n">
        <v>1</v>
      </c>
      <c r="O9" s="4" t="n">
        <v>0</v>
      </c>
      <c r="P9" s="12"/>
      <c r="Q9" s="4" t="n">
        <v>0</v>
      </c>
      <c r="R9" s="0" t="str">
        <f aca="false">INDEX(Owners!$B$4:$B$21,MATCH(D9,Owners!$A$4:$A$21,0))</f>
        <v>Finance Systems</v>
      </c>
      <c r="S9" s="6" t="b">
        <f aca="false">AND(F9="closed",ISNUMBER(H9),H9&lt;=Controls!$B$4)</f>
        <v>1</v>
      </c>
      <c r="T9" s="6" t="b">
        <f aca="false">AND(ISNUMBER(I9),I9&lt;=Controls!$B$4,J9="rerun",K9=A9,L9=C9,M9=N9,O9=0,I9&gt;=G9,IF(ISNUMBER(P9),I9&gt;=P9,TRUE()))</f>
        <v>1</v>
      </c>
      <c r="U9" s="0" t="str">
        <f aca="false">IF(AND(S9,T9),"resolved",IF(S9,"claimed","open"))</f>
        <v>resolved</v>
      </c>
      <c r="V9" s="11" t="n">
        <f aca="false">ROUND((IF(U9="resolved",I9,IF(U9="claimed",H9,Controls!$B$4))-G9)*24,4)</f>
        <v>54.5333</v>
      </c>
      <c r="W9" s="6" t="b">
        <f aca="false">INDEX(Owners!$E$4:$E$21,MATCH(D9,Owners!$A$4:$A$21,0))</f>
        <v>0</v>
      </c>
    </row>
    <row r="10" customFormat="false" ht="15" hidden="false" customHeight="false" outlineLevel="0" collapsed="false">
      <c r="A10" s="4" t="s">
        <v>294</v>
      </c>
      <c r="B10" s="4" t="s">
        <v>97</v>
      </c>
      <c r="C10" s="4" t="s">
        <v>208</v>
      </c>
      <c r="D10" s="4" t="s">
        <v>286</v>
      </c>
      <c r="E10" s="4" t="s">
        <v>202</v>
      </c>
      <c r="F10" s="4" t="s">
        <v>277</v>
      </c>
      <c r="G10" s="5" t="n">
        <v>46218.1194444444</v>
      </c>
      <c r="H10" s="5" t="n">
        <v>46220.1979166667</v>
      </c>
      <c r="I10" s="5" t="n">
        <v>46220.2527777778</v>
      </c>
      <c r="J10" s="4" t="s">
        <v>284</v>
      </c>
      <c r="K10" s="4" t="s">
        <v>294</v>
      </c>
      <c r="L10" s="4" t="s">
        <v>208</v>
      </c>
      <c r="M10" s="4" t="n">
        <v>1</v>
      </c>
      <c r="N10" s="4" t="n">
        <v>1</v>
      </c>
      <c r="O10" s="4" t="n">
        <v>0</v>
      </c>
      <c r="P10" s="12"/>
      <c r="Q10" s="4" t="n">
        <v>0</v>
      </c>
      <c r="R10" s="0" t="str">
        <f aca="false">INDEX(Owners!$B$4:$B$21,MATCH(D10,Owners!$A$4:$A$21,0))</f>
        <v>Finance Systems</v>
      </c>
      <c r="S10" s="6" t="b">
        <f aca="false">AND(F10="closed",ISNUMBER(H10),H10&lt;=Controls!$B$4)</f>
        <v>1</v>
      </c>
      <c r="T10" s="6" t="b">
        <f aca="false">AND(ISNUMBER(I10),I10&lt;=Controls!$B$4,J10="rerun",K10=A10,L10=C10,M10=N10,O10=0,I10&gt;=G10,IF(ISNUMBER(P10),I10&gt;=P10,TRUE()))</f>
        <v>1</v>
      </c>
      <c r="U10" s="0" t="str">
        <f aca="false">IF(AND(S10,T10),"resolved",IF(S10,"claimed","open"))</f>
        <v>resolved</v>
      </c>
      <c r="V10" s="11" t="n">
        <f aca="false">ROUND((IF(U10="resolved",I10,IF(U10="claimed",H10,Controls!$B$4))-G10)*24,4)</f>
        <v>51.2</v>
      </c>
      <c r="W10" s="6" t="b">
        <f aca="false">INDEX(Owners!$E$4:$E$21,MATCH(D10,Owners!$A$4:$A$21,0))</f>
        <v>0</v>
      </c>
    </row>
    <row r="11" customFormat="false" ht="15" hidden="false" customHeight="false" outlineLevel="0" collapsed="false">
      <c r="A11" s="4" t="s">
        <v>295</v>
      </c>
      <c r="B11" s="4" t="s">
        <v>111</v>
      </c>
      <c r="C11" s="4" t="s">
        <v>229</v>
      </c>
      <c r="D11" s="4" t="s">
        <v>296</v>
      </c>
      <c r="E11" s="4" t="s">
        <v>202</v>
      </c>
      <c r="F11" s="4" t="s">
        <v>277</v>
      </c>
      <c r="G11" s="5" t="n">
        <v>46218.1645833333</v>
      </c>
      <c r="H11" s="5" t="n">
        <v>46218.8701388889</v>
      </c>
      <c r="I11" s="12"/>
      <c r="N11" s="4" t="n">
        <v>1</v>
      </c>
      <c r="P11" s="12"/>
      <c r="Q11" s="4" t="n">
        <v>0</v>
      </c>
      <c r="R11" s="0" t="str">
        <f aca="false">INDEX(Owners!$B$4:$B$21,MATCH(D11,Owners!$A$4:$A$21,0))</f>
        <v>Data Platform</v>
      </c>
      <c r="S11" s="6" t="b">
        <f aca="false">AND(F11="closed",ISNUMBER(H11),H11&lt;=Controls!$B$4)</f>
        <v>1</v>
      </c>
      <c r="T11" s="6" t="b">
        <f aca="false">AND(ISNUMBER(I11),I11&lt;=Controls!$B$4,J11="rerun",K11=A11,L11=C11,M11=N11,O11=0,I11&gt;=G11,IF(ISNUMBER(P11),I11&gt;=P11,TRUE()))</f>
        <v>0</v>
      </c>
      <c r="U11" s="0" t="str">
        <f aca="false">IF(AND(S11,T11),"resolved",IF(S11,"claimed","open"))</f>
        <v>claimed</v>
      </c>
      <c r="V11" s="11" t="n">
        <f aca="false">ROUND((IF(U11="resolved",I11,IF(U11="claimed",H11,Controls!$B$4))-G11)*24,4)</f>
        <v>16.9333</v>
      </c>
      <c r="W11" s="6" t="b">
        <f aca="false">INDEX(Owners!$E$4:$E$21,MATCH(D11,Owners!$A$4:$A$21,0))</f>
        <v>1</v>
      </c>
    </row>
    <row r="12" customFormat="false" ht="15" hidden="false" customHeight="false" outlineLevel="0" collapsed="false">
      <c r="A12" s="4" t="s">
        <v>297</v>
      </c>
      <c r="B12" s="4" t="s">
        <v>110</v>
      </c>
      <c r="C12" s="4" t="s">
        <v>227</v>
      </c>
      <c r="D12" s="4" t="s">
        <v>286</v>
      </c>
      <c r="E12" s="4" t="s">
        <v>216</v>
      </c>
      <c r="F12" s="4" t="s">
        <v>277</v>
      </c>
      <c r="G12" s="5" t="n">
        <v>46218.2236111111</v>
      </c>
      <c r="H12" s="5" t="n">
        <v>46218.5597222222</v>
      </c>
      <c r="I12" s="5" t="n">
        <v>46219.1638888889</v>
      </c>
      <c r="J12" s="4" t="s">
        <v>284</v>
      </c>
      <c r="K12" s="4" t="s">
        <v>297</v>
      </c>
      <c r="L12" s="4" t="s">
        <v>227</v>
      </c>
      <c r="M12" s="4" t="n">
        <v>1</v>
      </c>
      <c r="N12" s="4" t="n">
        <v>1</v>
      </c>
      <c r="O12" s="4" t="n">
        <v>0</v>
      </c>
      <c r="P12" s="12"/>
      <c r="Q12" s="4" t="n">
        <v>0</v>
      </c>
      <c r="R12" s="0" t="str">
        <f aca="false">INDEX(Owners!$B$4:$B$21,MATCH(D12,Owners!$A$4:$A$21,0))</f>
        <v>Finance Systems</v>
      </c>
      <c r="S12" s="6" t="b">
        <f aca="false">AND(F12="closed",ISNUMBER(H12),H12&lt;=Controls!$B$4)</f>
        <v>1</v>
      </c>
      <c r="T12" s="6" t="b">
        <f aca="false">AND(ISNUMBER(I12),I12&lt;=Controls!$B$4,J12="rerun",K12=A12,L12=C12,M12=N12,O12=0,I12&gt;=G12,IF(ISNUMBER(P12),I12&gt;=P12,TRUE()))</f>
        <v>1</v>
      </c>
      <c r="U12" s="0" t="str">
        <f aca="false">IF(AND(S12,T12),"resolved",IF(S12,"claimed","open"))</f>
        <v>resolved</v>
      </c>
      <c r="V12" s="11" t="n">
        <f aca="false">ROUND((IF(U12="resolved",I12,IF(U12="claimed",H12,Controls!$B$4))-G12)*24,4)</f>
        <v>22.5667</v>
      </c>
      <c r="W12" s="6" t="b">
        <f aca="false">INDEX(Owners!$E$4:$E$21,MATCH(D12,Owners!$A$4:$A$21,0))</f>
        <v>0</v>
      </c>
    </row>
    <row r="13" customFormat="false" ht="15" hidden="false" customHeight="false" outlineLevel="0" collapsed="false">
      <c r="A13" s="4" t="s">
        <v>298</v>
      </c>
      <c r="B13" s="4" t="s">
        <v>110</v>
      </c>
      <c r="C13" s="4" t="s">
        <v>226</v>
      </c>
      <c r="D13" s="4" t="s">
        <v>286</v>
      </c>
      <c r="E13" s="4" t="s">
        <v>202</v>
      </c>
      <c r="F13" s="4" t="s">
        <v>277</v>
      </c>
      <c r="G13" s="5" t="n">
        <v>46218.2326388889</v>
      </c>
      <c r="H13" s="5" t="n">
        <v>46222.8326388889</v>
      </c>
      <c r="I13" s="5" t="n">
        <v>46223.3284722222</v>
      </c>
      <c r="J13" s="4" t="s">
        <v>284</v>
      </c>
      <c r="K13" s="4" t="s">
        <v>298</v>
      </c>
      <c r="L13" s="4" t="s">
        <v>226</v>
      </c>
      <c r="M13" s="4" t="n">
        <v>1</v>
      </c>
      <c r="N13" s="4" t="n">
        <v>1</v>
      </c>
      <c r="O13" s="4" t="n">
        <v>0</v>
      </c>
      <c r="P13" s="12"/>
      <c r="Q13" s="4" t="n">
        <v>0</v>
      </c>
      <c r="R13" s="0" t="str">
        <f aca="false">INDEX(Owners!$B$4:$B$21,MATCH(D13,Owners!$A$4:$A$21,0))</f>
        <v>Finance Systems</v>
      </c>
      <c r="S13" s="6" t="b">
        <f aca="false">AND(F13="closed",ISNUMBER(H13),H13&lt;=Controls!$B$4)</f>
        <v>1</v>
      </c>
      <c r="T13" s="6" t="b">
        <f aca="false">AND(ISNUMBER(I13),I13&lt;=Controls!$B$4,J13="rerun",K13=A13,L13=C13,M13=N13,O13=0,I13&gt;=G13,IF(ISNUMBER(P13),I13&gt;=P13,TRUE()))</f>
        <v>1</v>
      </c>
      <c r="U13" s="0" t="str">
        <f aca="false">IF(AND(S13,T13),"resolved",IF(S13,"claimed","open"))</f>
        <v>resolved</v>
      </c>
      <c r="V13" s="11" t="n">
        <f aca="false">ROUND((IF(U13="resolved",I13,IF(U13="claimed",H13,Controls!$B$4))-G13)*24,4)</f>
        <v>122.3</v>
      </c>
      <c r="W13" s="6" t="b">
        <f aca="false">INDEX(Owners!$E$4:$E$21,MATCH(D13,Owners!$A$4:$A$21,0))</f>
        <v>0</v>
      </c>
    </row>
    <row r="14" customFormat="false" ht="15" hidden="false" customHeight="false" outlineLevel="0" collapsed="false">
      <c r="A14" s="4" t="s">
        <v>299</v>
      </c>
      <c r="B14" s="4" t="s">
        <v>102</v>
      </c>
      <c r="C14" s="4" t="s">
        <v>217</v>
      </c>
      <c r="D14" s="4" t="s">
        <v>290</v>
      </c>
      <c r="E14" s="4" t="s">
        <v>204</v>
      </c>
      <c r="F14" s="4" t="s">
        <v>277</v>
      </c>
      <c r="G14" s="5" t="n">
        <v>46219.0923611111</v>
      </c>
      <c r="H14" s="5" t="n">
        <v>46220.78125</v>
      </c>
      <c r="I14" s="5" t="n">
        <v>46221.2840277778</v>
      </c>
      <c r="J14" s="4" t="s">
        <v>284</v>
      </c>
      <c r="K14" s="4" t="s">
        <v>299</v>
      </c>
      <c r="L14" s="4" t="s">
        <v>217</v>
      </c>
      <c r="M14" s="4" t="n">
        <v>1</v>
      </c>
      <c r="N14" s="4" t="n">
        <v>1</v>
      </c>
      <c r="O14" s="4" t="n">
        <v>0</v>
      </c>
      <c r="P14" s="12"/>
      <c r="Q14" s="4" t="n">
        <v>0</v>
      </c>
      <c r="R14" s="0" t="str">
        <f aca="false">INDEX(Owners!$B$4:$B$21,MATCH(D14,Owners!$A$4:$A$21,0))</f>
        <v>Customer Data</v>
      </c>
      <c r="S14" s="6" t="b">
        <f aca="false">AND(F14="closed",ISNUMBER(H14),H14&lt;=Controls!$B$4)</f>
        <v>1</v>
      </c>
      <c r="T14" s="6" t="b">
        <f aca="false">AND(ISNUMBER(I14),I14&lt;=Controls!$B$4,J14="rerun",K14=A14,L14=C14,M14=N14,O14=0,I14&gt;=G14,IF(ISNUMBER(P14),I14&gt;=P14,TRUE()))</f>
        <v>1</v>
      </c>
      <c r="U14" s="0" t="str">
        <f aca="false">IF(AND(S14,T14),"resolved",IF(S14,"claimed","open"))</f>
        <v>resolved</v>
      </c>
      <c r="V14" s="11" t="n">
        <f aca="false">ROUND((IF(U14="resolved",I14,IF(U14="claimed",H14,Controls!$B$4))-G14)*24,4)</f>
        <v>52.6</v>
      </c>
      <c r="W14" s="6" t="b">
        <f aca="false">INDEX(Owners!$E$4:$E$21,MATCH(D14,Owners!$A$4:$A$21,0))</f>
        <v>1</v>
      </c>
    </row>
    <row r="15" customFormat="false" ht="15" hidden="false" customHeight="false" outlineLevel="0" collapsed="false">
      <c r="A15" s="4" t="s">
        <v>300</v>
      </c>
      <c r="B15" s="4" t="s">
        <v>124</v>
      </c>
      <c r="C15" s="4" t="s">
        <v>248</v>
      </c>
      <c r="D15" s="4" t="s">
        <v>301</v>
      </c>
      <c r="E15" s="4" t="s">
        <v>202</v>
      </c>
      <c r="F15" s="4" t="s">
        <v>277</v>
      </c>
      <c r="G15" s="5" t="n">
        <v>46219.1423611111</v>
      </c>
      <c r="H15" s="5" t="n">
        <v>46219.4875</v>
      </c>
      <c r="I15" s="5" t="n">
        <v>46219.6319444445</v>
      </c>
      <c r="J15" s="4" t="s">
        <v>284</v>
      </c>
      <c r="K15" s="4" t="s">
        <v>300</v>
      </c>
      <c r="L15" s="4" t="s">
        <v>248</v>
      </c>
      <c r="M15" s="4" t="n">
        <v>1</v>
      </c>
      <c r="N15" s="4" t="n">
        <v>1</v>
      </c>
      <c r="O15" s="4" t="n">
        <v>0</v>
      </c>
      <c r="P15" s="12"/>
      <c r="Q15" s="4" t="n">
        <v>0</v>
      </c>
      <c r="R15" s="0" t="str">
        <f aca="false">INDEX(Owners!$B$4:$B$21,MATCH(D15,Owners!$A$4:$A$21,0))</f>
        <v>Data Platform</v>
      </c>
      <c r="S15" s="6" t="b">
        <f aca="false">AND(F15="closed",ISNUMBER(H15),H15&lt;=Controls!$B$4)</f>
        <v>1</v>
      </c>
      <c r="T15" s="6" t="b">
        <f aca="false">AND(ISNUMBER(I15),I15&lt;=Controls!$B$4,J15="rerun",K15=A15,L15=C15,M15=N15,O15=0,I15&gt;=G15,IF(ISNUMBER(P15),I15&gt;=P15,TRUE()))</f>
        <v>1</v>
      </c>
      <c r="U15" s="0" t="str">
        <f aca="false">IF(AND(S15,T15),"resolved",IF(S15,"claimed","open"))</f>
        <v>resolved</v>
      </c>
      <c r="V15" s="11" t="n">
        <f aca="false">ROUND((IF(U15="resolved",I15,IF(U15="claimed",H15,Controls!$B$4))-G15)*24,4)</f>
        <v>11.75</v>
      </c>
      <c r="W15" s="6" t="b">
        <f aca="false">INDEX(Owners!$E$4:$E$21,MATCH(D15,Owners!$A$4:$A$21,0))</f>
        <v>1</v>
      </c>
    </row>
    <row r="16" customFormat="false" ht="15" hidden="false" customHeight="false" outlineLevel="0" collapsed="false">
      <c r="A16" s="4" t="s">
        <v>302</v>
      </c>
      <c r="B16" s="4" t="s">
        <v>111</v>
      </c>
      <c r="C16" s="4" t="s">
        <v>229</v>
      </c>
      <c r="D16" s="4" t="s">
        <v>296</v>
      </c>
      <c r="E16" s="4" t="s">
        <v>202</v>
      </c>
      <c r="F16" s="4" t="s">
        <v>277</v>
      </c>
      <c r="G16" s="5" t="n">
        <v>46219.1645833333</v>
      </c>
      <c r="H16" s="5" t="n">
        <v>46219.6777777778</v>
      </c>
      <c r="I16" s="5" t="n">
        <v>46219.7826388889</v>
      </c>
      <c r="J16" s="4" t="s">
        <v>284</v>
      </c>
      <c r="K16" s="4" t="s">
        <v>302</v>
      </c>
      <c r="L16" s="4" t="s">
        <v>229</v>
      </c>
      <c r="M16" s="4" t="n">
        <v>1</v>
      </c>
      <c r="N16" s="4" t="n">
        <v>1</v>
      </c>
      <c r="O16" s="4" t="n">
        <v>0</v>
      </c>
      <c r="P16" s="12"/>
      <c r="Q16" s="4" t="n">
        <v>0</v>
      </c>
      <c r="R16" s="0" t="str">
        <f aca="false">INDEX(Owners!$B$4:$B$21,MATCH(D16,Owners!$A$4:$A$21,0))</f>
        <v>Data Platform</v>
      </c>
      <c r="S16" s="6" t="b">
        <f aca="false">AND(F16="closed",ISNUMBER(H16),H16&lt;=Controls!$B$4)</f>
        <v>1</v>
      </c>
      <c r="T16" s="6" t="b">
        <f aca="false">AND(ISNUMBER(I16),I16&lt;=Controls!$B$4,J16="rerun",K16=A16,L16=C16,M16=N16,O16=0,I16&gt;=G16,IF(ISNUMBER(P16),I16&gt;=P16,TRUE()))</f>
        <v>1</v>
      </c>
      <c r="U16" s="0" t="str">
        <f aca="false">IF(AND(S16,T16),"resolved",IF(S16,"claimed","open"))</f>
        <v>resolved</v>
      </c>
      <c r="V16" s="11" t="n">
        <f aca="false">ROUND((IF(U16="resolved",I16,IF(U16="claimed",H16,Controls!$B$4))-G16)*24,4)</f>
        <v>14.8333</v>
      </c>
      <c r="W16" s="6" t="b">
        <f aca="false">INDEX(Owners!$E$4:$E$21,MATCH(D16,Owners!$A$4:$A$21,0))</f>
        <v>1</v>
      </c>
    </row>
    <row r="17" customFormat="false" ht="15" hidden="false" customHeight="false" outlineLevel="0" collapsed="false">
      <c r="A17" s="4" t="s">
        <v>303</v>
      </c>
      <c r="B17" s="4" t="s">
        <v>128</v>
      </c>
      <c r="C17" s="4" t="s">
        <v>304</v>
      </c>
      <c r="D17" s="4" t="s">
        <v>283</v>
      </c>
      <c r="E17" s="4" t="s">
        <v>204</v>
      </c>
      <c r="F17" s="4" t="s">
        <v>277</v>
      </c>
      <c r="G17" s="5" t="n">
        <v>46220.1020833333</v>
      </c>
      <c r="H17" s="5" t="n">
        <v>46221.6034722222</v>
      </c>
      <c r="I17" s="5" t="n">
        <v>46221.6243055556</v>
      </c>
      <c r="J17" s="4" t="s">
        <v>284</v>
      </c>
      <c r="K17" s="4" t="s">
        <v>303</v>
      </c>
      <c r="L17" s="4" t="s">
        <v>304</v>
      </c>
      <c r="M17" s="4" t="n">
        <v>1</v>
      </c>
      <c r="N17" s="4" t="n">
        <v>1</v>
      </c>
      <c r="O17" s="4" t="n">
        <v>0</v>
      </c>
      <c r="P17" s="12"/>
      <c r="Q17" s="4" t="n">
        <v>0</v>
      </c>
      <c r="R17" s="0" t="str">
        <f aca="false">INDEX(Owners!$B$4:$B$21,MATCH(D17,Owners!$A$4:$A$21,0))</f>
        <v>Data Platform</v>
      </c>
      <c r="S17" s="6" t="b">
        <f aca="false">AND(F17="closed",ISNUMBER(H17),H17&lt;=Controls!$B$4)</f>
        <v>1</v>
      </c>
      <c r="T17" s="6" t="b">
        <f aca="false">AND(ISNUMBER(I17),I17&lt;=Controls!$B$4,J17="rerun",K17=A17,L17=C17,M17=N17,O17=0,I17&gt;=G17,IF(ISNUMBER(P17),I17&gt;=P17,TRUE()))</f>
        <v>1</v>
      </c>
      <c r="U17" s="0" t="str">
        <f aca="false">IF(AND(S17,T17),"resolved",IF(S17,"claimed","open"))</f>
        <v>resolved</v>
      </c>
      <c r="V17" s="11" t="n">
        <f aca="false">ROUND((IF(U17="resolved",I17,IF(U17="claimed",H17,Controls!$B$4))-G17)*24,4)</f>
        <v>36.5333</v>
      </c>
      <c r="W17" s="6" t="b">
        <f aca="false">INDEX(Owners!$E$4:$E$21,MATCH(D17,Owners!$A$4:$A$21,0))</f>
        <v>1</v>
      </c>
    </row>
    <row r="18" customFormat="false" ht="15" hidden="false" customHeight="false" outlineLevel="0" collapsed="false">
      <c r="A18" s="4" t="s">
        <v>305</v>
      </c>
      <c r="B18" s="4" t="s">
        <v>124</v>
      </c>
      <c r="C18" s="4" t="s">
        <v>248</v>
      </c>
      <c r="D18" s="4" t="s">
        <v>301</v>
      </c>
      <c r="E18" s="4" t="s">
        <v>202</v>
      </c>
      <c r="F18" s="4" t="s">
        <v>277</v>
      </c>
      <c r="G18" s="5" t="n">
        <v>46220.1423611111</v>
      </c>
      <c r="H18" s="5" t="n">
        <v>46220.7423611111</v>
      </c>
      <c r="I18" s="5" t="n">
        <v>46220.8319444444</v>
      </c>
      <c r="J18" s="4" t="s">
        <v>284</v>
      </c>
      <c r="K18" s="4" t="s">
        <v>305</v>
      </c>
      <c r="L18" s="4" t="s">
        <v>248</v>
      </c>
      <c r="M18" s="4" t="n">
        <v>1</v>
      </c>
      <c r="N18" s="4" t="n">
        <v>1</v>
      </c>
      <c r="O18" s="4" t="n">
        <v>0</v>
      </c>
      <c r="P18" s="12"/>
      <c r="Q18" s="4" t="n">
        <v>0</v>
      </c>
      <c r="R18" s="0" t="str">
        <f aca="false">INDEX(Owners!$B$4:$B$21,MATCH(D18,Owners!$A$4:$A$21,0))</f>
        <v>Data Platform</v>
      </c>
      <c r="S18" s="6" t="b">
        <f aca="false">AND(F18="closed",ISNUMBER(H18),H18&lt;=Controls!$B$4)</f>
        <v>1</v>
      </c>
      <c r="T18" s="6" t="b">
        <f aca="false">AND(ISNUMBER(I18),I18&lt;=Controls!$B$4,J18="rerun",K18=A18,L18=C18,M18=N18,O18=0,I18&gt;=G18,IF(ISNUMBER(P18),I18&gt;=P18,TRUE()))</f>
        <v>1</v>
      </c>
      <c r="U18" s="0" t="str">
        <f aca="false">IF(AND(S18,T18),"resolved",IF(S18,"claimed","open"))</f>
        <v>resolved</v>
      </c>
      <c r="V18" s="11" t="n">
        <f aca="false">ROUND((IF(U18="resolved",I18,IF(U18="claimed",H18,Controls!$B$4))-G18)*24,4)</f>
        <v>16.55</v>
      </c>
      <c r="W18" s="6" t="b">
        <f aca="false">INDEX(Owners!$E$4:$E$21,MATCH(D18,Owners!$A$4:$A$21,0))</f>
        <v>1</v>
      </c>
    </row>
    <row r="19" customFormat="false" ht="15" hidden="false" customHeight="false" outlineLevel="0" collapsed="false">
      <c r="A19" s="4" t="s">
        <v>306</v>
      </c>
      <c r="B19" s="4" t="s">
        <v>109</v>
      </c>
      <c r="C19" s="4" t="s">
        <v>307</v>
      </c>
      <c r="D19" s="4" t="s">
        <v>292</v>
      </c>
      <c r="E19" s="4" t="s">
        <v>202</v>
      </c>
      <c r="F19" s="4" t="s">
        <v>277</v>
      </c>
      <c r="G19" s="5" t="n">
        <v>46220.1555555556</v>
      </c>
      <c r="H19" s="5" t="n">
        <v>46221.1861111111</v>
      </c>
      <c r="I19" s="12"/>
      <c r="N19" s="4" t="n">
        <v>1</v>
      </c>
      <c r="P19" s="12"/>
      <c r="Q19" s="4" t="n">
        <v>0</v>
      </c>
      <c r="R19" s="0" t="str">
        <f aca="false">INDEX(Owners!$B$4:$B$21,MATCH(D19,Owners!$A$4:$A$21,0))</f>
        <v>Support Operations</v>
      </c>
      <c r="S19" s="6" t="b">
        <f aca="false">AND(F19="closed",ISNUMBER(H19),H19&lt;=Controls!$B$4)</f>
        <v>1</v>
      </c>
      <c r="T19" s="6" t="b">
        <f aca="false">AND(ISNUMBER(I19),I19&lt;=Controls!$B$4,J19="rerun",K19=A19,L19=C19,M19=N19,O19=0,I19&gt;=G19,IF(ISNUMBER(P19),I19&gt;=P19,TRUE()))</f>
        <v>0</v>
      </c>
      <c r="U19" s="0" t="str">
        <f aca="false">IF(AND(S19,T19),"resolved",IF(S19,"claimed","open"))</f>
        <v>claimed</v>
      </c>
      <c r="V19" s="11" t="n">
        <f aca="false">ROUND((IF(U19="resolved",I19,IF(U19="claimed",H19,Controls!$B$4))-G19)*24,4)</f>
        <v>24.7333</v>
      </c>
      <c r="W19" s="6" t="b">
        <f aca="false">INDEX(Owners!$E$4:$E$21,MATCH(D19,Owners!$A$4:$A$21,0))</f>
        <v>1</v>
      </c>
    </row>
    <row r="20" customFormat="false" ht="15" hidden="false" customHeight="false" outlineLevel="0" collapsed="false">
      <c r="A20" s="4" t="s">
        <v>308</v>
      </c>
      <c r="B20" s="4" t="s">
        <v>110</v>
      </c>
      <c r="C20" s="4" t="s">
        <v>228</v>
      </c>
      <c r="D20" s="4" t="s">
        <v>286</v>
      </c>
      <c r="E20" s="4" t="s">
        <v>202</v>
      </c>
      <c r="F20" s="4" t="s">
        <v>277</v>
      </c>
      <c r="G20" s="5" t="n">
        <v>46220.2145833333</v>
      </c>
      <c r="H20" s="5" t="n">
        <v>46226.6104166667</v>
      </c>
      <c r="I20" s="5" t="n">
        <v>46227.175</v>
      </c>
      <c r="J20" s="4" t="s">
        <v>284</v>
      </c>
      <c r="K20" s="4" t="s">
        <v>308</v>
      </c>
      <c r="L20" s="4" t="s">
        <v>228</v>
      </c>
      <c r="M20" s="4" t="n">
        <v>1</v>
      </c>
      <c r="N20" s="4" t="n">
        <v>1</v>
      </c>
      <c r="O20" s="4" t="n">
        <v>0</v>
      </c>
      <c r="P20" s="12"/>
      <c r="Q20" s="4" t="n">
        <v>0</v>
      </c>
      <c r="R20" s="0" t="str">
        <f aca="false">INDEX(Owners!$B$4:$B$21,MATCH(D20,Owners!$A$4:$A$21,0))</f>
        <v>Finance Systems</v>
      </c>
      <c r="S20" s="6" t="b">
        <f aca="false">AND(F20="closed",ISNUMBER(H20),H20&lt;=Controls!$B$4)</f>
        <v>1</v>
      </c>
      <c r="T20" s="6" t="b">
        <f aca="false">AND(ISNUMBER(I20),I20&lt;=Controls!$B$4,J20="rerun",K20=A20,L20=C20,M20=N20,O20=0,I20&gt;=G20,IF(ISNUMBER(P20),I20&gt;=P20,TRUE()))</f>
        <v>1</v>
      </c>
      <c r="U20" s="0" t="str">
        <f aca="false">IF(AND(S20,T20),"resolved",IF(S20,"claimed","open"))</f>
        <v>resolved</v>
      </c>
      <c r="V20" s="11" t="n">
        <f aca="false">ROUND((IF(U20="resolved",I20,IF(U20="claimed",H20,Controls!$B$4))-G20)*24,4)</f>
        <v>167.05</v>
      </c>
      <c r="W20" s="6" t="b">
        <f aca="false">INDEX(Owners!$E$4:$E$21,MATCH(D20,Owners!$A$4:$A$21,0))</f>
        <v>0</v>
      </c>
    </row>
    <row r="21" customFormat="false" ht="15" hidden="false" customHeight="false" outlineLevel="0" collapsed="false">
      <c r="A21" s="4" t="s">
        <v>309</v>
      </c>
      <c r="B21" s="4" t="s">
        <v>115</v>
      </c>
      <c r="C21" s="4" t="s">
        <v>238</v>
      </c>
      <c r="D21" s="4" t="s">
        <v>301</v>
      </c>
      <c r="E21" s="4" t="s">
        <v>202</v>
      </c>
      <c r="F21" s="4" t="s">
        <v>277</v>
      </c>
      <c r="G21" s="5" t="n">
        <v>46220.9930555556</v>
      </c>
      <c r="H21" s="5" t="n">
        <v>46221.6527777778</v>
      </c>
      <c r="I21" s="5" t="n">
        <v>46221.6979166667</v>
      </c>
      <c r="J21" s="4" t="s">
        <v>284</v>
      </c>
      <c r="K21" s="4" t="s">
        <v>309</v>
      </c>
      <c r="L21" s="4" t="s">
        <v>238</v>
      </c>
      <c r="M21" s="4" t="n">
        <v>1</v>
      </c>
      <c r="N21" s="4" t="n">
        <v>1</v>
      </c>
      <c r="O21" s="4" t="n">
        <v>0</v>
      </c>
      <c r="P21" s="12"/>
      <c r="Q21" s="4" t="n">
        <v>0</v>
      </c>
      <c r="R21" s="0" t="str">
        <f aca="false">INDEX(Owners!$B$4:$B$21,MATCH(D21,Owners!$A$4:$A$21,0))</f>
        <v>Data Platform</v>
      </c>
      <c r="S21" s="6" t="b">
        <f aca="false">AND(F21="closed",ISNUMBER(H21),H21&lt;=Controls!$B$4)</f>
        <v>1</v>
      </c>
      <c r="T21" s="6" t="b">
        <f aca="false">AND(ISNUMBER(I21),I21&lt;=Controls!$B$4,J21="rerun",K21=A21,L21=C21,M21=N21,O21=0,I21&gt;=G21,IF(ISNUMBER(P21),I21&gt;=P21,TRUE()))</f>
        <v>1</v>
      </c>
      <c r="U21" s="0" t="str">
        <f aca="false">IF(AND(S21,T21),"resolved",IF(S21,"claimed","open"))</f>
        <v>resolved</v>
      </c>
      <c r="V21" s="11" t="n">
        <f aca="false">ROUND((IF(U21="resolved",I21,IF(U21="claimed",H21,Controls!$B$4))-G21)*24,4)</f>
        <v>16.9167</v>
      </c>
      <c r="W21" s="6" t="b">
        <f aca="false">INDEX(Owners!$E$4:$E$21,MATCH(D21,Owners!$A$4:$A$21,0))</f>
        <v>1</v>
      </c>
    </row>
    <row r="22" customFormat="false" ht="15" hidden="false" customHeight="false" outlineLevel="0" collapsed="false">
      <c r="A22" s="4" t="s">
        <v>310</v>
      </c>
      <c r="B22" s="4" t="s">
        <v>102</v>
      </c>
      <c r="C22" s="4" t="s">
        <v>217</v>
      </c>
      <c r="D22" s="4" t="s">
        <v>290</v>
      </c>
      <c r="E22" s="4" t="s">
        <v>204</v>
      </c>
      <c r="F22" s="4" t="s">
        <v>277</v>
      </c>
      <c r="G22" s="5" t="n">
        <v>46221.0923611111</v>
      </c>
      <c r="H22" s="5" t="n">
        <v>46222.8569444444</v>
      </c>
      <c r="I22" s="5" t="n">
        <v>46223.30625</v>
      </c>
      <c r="J22" s="4" t="s">
        <v>284</v>
      </c>
      <c r="K22" s="4" t="s">
        <v>310</v>
      </c>
      <c r="L22" s="4" t="s">
        <v>217</v>
      </c>
      <c r="M22" s="4" t="n">
        <v>1</v>
      </c>
      <c r="N22" s="4" t="n">
        <v>1</v>
      </c>
      <c r="O22" s="4" t="n">
        <v>0</v>
      </c>
      <c r="P22" s="12"/>
      <c r="Q22" s="4" t="n">
        <v>0</v>
      </c>
      <c r="R22" s="0" t="str">
        <f aca="false">INDEX(Owners!$B$4:$B$21,MATCH(D22,Owners!$A$4:$A$21,0))</f>
        <v>Customer Data</v>
      </c>
      <c r="S22" s="6" t="b">
        <f aca="false">AND(F22="closed",ISNUMBER(H22),H22&lt;=Controls!$B$4)</f>
        <v>1</v>
      </c>
      <c r="T22" s="6" t="b">
        <f aca="false">AND(ISNUMBER(I22),I22&lt;=Controls!$B$4,J22="rerun",K22=A22,L22=C22,M22=N22,O22=0,I22&gt;=G22,IF(ISNUMBER(P22),I22&gt;=P22,TRUE()))</f>
        <v>1</v>
      </c>
      <c r="U22" s="0" t="str">
        <f aca="false">IF(AND(S22,T22),"resolved",IF(S22,"claimed","open"))</f>
        <v>resolved</v>
      </c>
      <c r="V22" s="11" t="n">
        <f aca="false">ROUND((IF(U22="resolved",I22,IF(U22="claimed",H22,Controls!$B$4))-G22)*24,4)</f>
        <v>53.1333</v>
      </c>
      <c r="W22" s="6" t="b">
        <f aca="false">INDEX(Owners!$E$4:$E$21,MATCH(D22,Owners!$A$4:$A$21,0))</f>
        <v>1</v>
      </c>
    </row>
    <row r="23" customFormat="false" ht="15" hidden="false" customHeight="false" outlineLevel="0" collapsed="false">
      <c r="A23" s="4" t="s">
        <v>311</v>
      </c>
      <c r="B23" s="4" t="s">
        <v>95</v>
      </c>
      <c r="C23" s="4" t="s">
        <v>205</v>
      </c>
      <c r="D23" s="4" t="s">
        <v>283</v>
      </c>
      <c r="E23" s="4" t="s">
        <v>204</v>
      </c>
      <c r="F23" s="4" t="s">
        <v>277</v>
      </c>
      <c r="G23" s="5" t="n">
        <v>46221.1069444444</v>
      </c>
      <c r="H23" s="5" t="n">
        <v>46224.0541666667</v>
      </c>
      <c r="I23" s="12"/>
      <c r="N23" s="4" t="n">
        <v>1</v>
      </c>
      <c r="P23" s="12"/>
      <c r="Q23" s="4" t="n">
        <v>0</v>
      </c>
      <c r="R23" s="0" t="str">
        <f aca="false">INDEX(Owners!$B$4:$B$21,MATCH(D23,Owners!$A$4:$A$21,0))</f>
        <v>Data Platform</v>
      </c>
      <c r="S23" s="6" t="b">
        <f aca="false">AND(F23="closed",ISNUMBER(H23),H23&lt;=Controls!$B$4)</f>
        <v>1</v>
      </c>
      <c r="T23" s="6" t="b">
        <f aca="false">AND(ISNUMBER(I23),I23&lt;=Controls!$B$4,J23="rerun",K23=A23,L23=C23,M23=N23,O23=0,I23&gt;=G23,IF(ISNUMBER(P23),I23&gt;=P23,TRUE()))</f>
        <v>0</v>
      </c>
      <c r="U23" s="0" t="str">
        <f aca="false">IF(AND(S23,T23),"resolved",IF(S23,"claimed","open"))</f>
        <v>claimed</v>
      </c>
      <c r="V23" s="11" t="n">
        <f aca="false">ROUND((IF(U23="resolved",I23,IF(U23="claimed",H23,Controls!$B$4))-G23)*24,4)</f>
        <v>70.7333</v>
      </c>
      <c r="W23" s="6" t="b">
        <f aca="false">INDEX(Owners!$E$4:$E$21,MATCH(D23,Owners!$A$4:$A$21,0))</f>
        <v>1</v>
      </c>
    </row>
    <row r="24" customFormat="false" ht="15" hidden="false" customHeight="false" outlineLevel="0" collapsed="false">
      <c r="A24" s="4" t="s">
        <v>312</v>
      </c>
      <c r="B24" s="4" t="s">
        <v>97</v>
      </c>
      <c r="C24" s="4" t="s">
        <v>208</v>
      </c>
      <c r="D24" s="4" t="s">
        <v>286</v>
      </c>
      <c r="E24" s="4" t="s">
        <v>202</v>
      </c>
      <c r="F24" s="4" t="s">
        <v>277</v>
      </c>
      <c r="G24" s="5" t="n">
        <v>46221.1194444444</v>
      </c>
      <c r="H24" s="5" t="n">
        <v>46223.2840277778</v>
      </c>
      <c r="I24" s="5" t="n">
        <v>46223.3256944444</v>
      </c>
      <c r="J24" s="4" t="s">
        <v>284</v>
      </c>
      <c r="K24" s="4" t="s">
        <v>312</v>
      </c>
      <c r="L24" s="4" t="s">
        <v>208</v>
      </c>
      <c r="M24" s="4" t="n">
        <v>1</v>
      </c>
      <c r="N24" s="4" t="n">
        <v>1</v>
      </c>
      <c r="O24" s="4" t="n">
        <v>0</v>
      </c>
      <c r="P24" s="12"/>
      <c r="Q24" s="4" t="n">
        <v>0</v>
      </c>
      <c r="R24" s="0" t="str">
        <f aca="false">INDEX(Owners!$B$4:$B$21,MATCH(D24,Owners!$A$4:$A$21,0))</f>
        <v>Finance Systems</v>
      </c>
      <c r="S24" s="6" t="b">
        <f aca="false">AND(F24="closed",ISNUMBER(H24),H24&lt;=Controls!$B$4)</f>
        <v>1</v>
      </c>
      <c r="T24" s="6" t="b">
        <f aca="false">AND(ISNUMBER(I24),I24&lt;=Controls!$B$4,J24="rerun",K24=A24,L24=C24,M24=N24,O24=0,I24&gt;=G24,IF(ISNUMBER(P24),I24&gt;=P24,TRUE()))</f>
        <v>1</v>
      </c>
      <c r="U24" s="0" t="str">
        <f aca="false">IF(AND(S24,T24),"resolved",IF(S24,"claimed","open"))</f>
        <v>resolved</v>
      </c>
      <c r="V24" s="11" t="n">
        <f aca="false">ROUND((IF(U24="resolved",I24,IF(U24="claimed",H24,Controls!$B$4))-G24)*24,4)</f>
        <v>52.95</v>
      </c>
      <c r="W24" s="6" t="b">
        <f aca="false">INDEX(Owners!$E$4:$E$21,MATCH(D24,Owners!$A$4:$A$21,0))</f>
        <v>0</v>
      </c>
    </row>
    <row r="25" customFormat="false" ht="15" hidden="false" customHeight="false" outlineLevel="0" collapsed="false">
      <c r="A25" s="4" t="s">
        <v>313</v>
      </c>
      <c r="B25" s="4" t="s">
        <v>124</v>
      </c>
      <c r="C25" s="4" t="s">
        <v>247</v>
      </c>
      <c r="D25" s="4" t="s">
        <v>301</v>
      </c>
      <c r="E25" s="4" t="s">
        <v>202</v>
      </c>
      <c r="F25" s="4" t="s">
        <v>277</v>
      </c>
      <c r="G25" s="5" t="n">
        <v>46221.1513888889</v>
      </c>
      <c r="H25" s="5" t="n">
        <v>46222.8416666667</v>
      </c>
      <c r="I25" s="5" t="n">
        <v>46222.9291666667</v>
      </c>
      <c r="J25" s="4" t="s">
        <v>284</v>
      </c>
      <c r="K25" s="4" t="s">
        <v>313</v>
      </c>
      <c r="L25" s="4" t="s">
        <v>247</v>
      </c>
      <c r="M25" s="4" t="n">
        <v>1</v>
      </c>
      <c r="N25" s="4" t="n">
        <v>1</v>
      </c>
      <c r="O25" s="4" t="n">
        <v>0</v>
      </c>
      <c r="P25" s="12"/>
      <c r="Q25" s="4" t="n">
        <v>0</v>
      </c>
      <c r="R25" s="0" t="str">
        <f aca="false">INDEX(Owners!$B$4:$B$21,MATCH(D25,Owners!$A$4:$A$21,0))</f>
        <v>Data Platform</v>
      </c>
      <c r="S25" s="6" t="b">
        <f aca="false">AND(F25="closed",ISNUMBER(H25),H25&lt;=Controls!$B$4)</f>
        <v>1</v>
      </c>
      <c r="T25" s="6" t="b">
        <f aca="false">AND(ISNUMBER(I25),I25&lt;=Controls!$B$4,J25="rerun",K25=A25,L25=C25,M25=N25,O25=0,I25&gt;=G25,IF(ISNUMBER(P25),I25&gt;=P25,TRUE()))</f>
        <v>1</v>
      </c>
      <c r="U25" s="0" t="str">
        <f aca="false">IF(AND(S25,T25),"resolved",IF(S25,"claimed","open"))</f>
        <v>resolved</v>
      </c>
      <c r="V25" s="11" t="n">
        <f aca="false">ROUND((IF(U25="resolved",I25,IF(U25="claimed",H25,Controls!$B$4))-G25)*24,4)</f>
        <v>42.6667</v>
      </c>
      <c r="W25" s="6" t="b">
        <f aca="false">INDEX(Owners!$E$4:$E$21,MATCH(D25,Owners!$A$4:$A$21,0))</f>
        <v>1</v>
      </c>
    </row>
    <row r="26" customFormat="false" ht="15" hidden="false" customHeight="false" outlineLevel="0" collapsed="false">
      <c r="A26" s="4" t="s">
        <v>314</v>
      </c>
      <c r="B26" s="4" t="s">
        <v>111</v>
      </c>
      <c r="C26" s="4" t="s">
        <v>229</v>
      </c>
      <c r="D26" s="4" t="s">
        <v>296</v>
      </c>
      <c r="E26" s="4" t="s">
        <v>202</v>
      </c>
      <c r="F26" s="4" t="s">
        <v>277</v>
      </c>
      <c r="G26" s="5" t="n">
        <v>46221.1645833333</v>
      </c>
      <c r="H26" s="5" t="n">
        <v>46222.6840277778</v>
      </c>
      <c r="I26" s="5" t="n">
        <v>46222.7125</v>
      </c>
      <c r="J26" s="4" t="s">
        <v>284</v>
      </c>
      <c r="K26" s="4" t="s">
        <v>314</v>
      </c>
      <c r="L26" s="4" t="s">
        <v>229</v>
      </c>
      <c r="M26" s="4" t="n">
        <v>1</v>
      </c>
      <c r="N26" s="4" t="n">
        <v>1</v>
      </c>
      <c r="O26" s="4" t="n">
        <v>0</v>
      </c>
      <c r="P26" s="12"/>
      <c r="Q26" s="4" t="n">
        <v>0</v>
      </c>
      <c r="R26" s="0" t="str">
        <f aca="false">INDEX(Owners!$B$4:$B$21,MATCH(D26,Owners!$A$4:$A$21,0))</f>
        <v>Data Platform</v>
      </c>
      <c r="S26" s="6" t="b">
        <f aca="false">AND(F26="closed",ISNUMBER(H26),H26&lt;=Controls!$B$4)</f>
        <v>1</v>
      </c>
      <c r="T26" s="6" t="b">
        <f aca="false">AND(ISNUMBER(I26),I26&lt;=Controls!$B$4,J26="rerun",K26=A26,L26=C26,M26=N26,O26=0,I26&gt;=G26,IF(ISNUMBER(P26),I26&gt;=P26,TRUE()))</f>
        <v>1</v>
      </c>
      <c r="U26" s="0" t="str">
        <f aca="false">IF(AND(S26,T26),"resolved",IF(S26,"claimed","open"))</f>
        <v>resolved</v>
      </c>
      <c r="V26" s="11" t="n">
        <f aca="false">ROUND((IF(U26="resolved",I26,IF(U26="claimed",H26,Controls!$B$4))-G26)*24,4)</f>
        <v>37.15</v>
      </c>
      <c r="W26" s="6" t="b">
        <f aca="false">INDEX(Owners!$E$4:$E$21,MATCH(D26,Owners!$A$4:$A$21,0))</f>
        <v>1</v>
      </c>
    </row>
    <row r="27" customFormat="false" ht="15" hidden="false" customHeight="false" outlineLevel="0" collapsed="false">
      <c r="A27" s="4" t="s">
        <v>315</v>
      </c>
      <c r="B27" s="4" t="s">
        <v>110</v>
      </c>
      <c r="C27" s="4" t="s">
        <v>228</v>
      </c>
      <c r="D27" s="4" t="s">
        <v>286</v>
      </c>
      <c r="E27" s="4" t="s">
        <v>202</v>
      </c>
      <c r="F27" s="4" t="s">
        <v>277</v>
      </c>
      <c r="G27" s="5" t="n">
        <v>46221.2145833333</v>
      </c>
      <c r="H27" s="5" t="n">
        <v>46225.8090277778</v>
      </c>
      <c r="I27" s="5" t="n">
        <v>46226.2361111111</v>
      </c>
      <c r="J27" s="4" t="s">
        <v>284</v>
      </c>
      <c r="K27" s="4" t="s">
        <v>315</v>
      </c>
      <c r="L27" s="4" t="s">
        <v>228</v>
      </c>
      <c r="M27" s="4" t="n">
        <v>1</v>
      </c>
      <c r="N27" s="4" t="n">
        <v>1</v>
      </c>
      <c r="O27" s="4" t="n">
        <v>0</v>
      </c>
      <c r="P27" s="12"/>
      <c r="Q27" s="4" t="n">
        <v>0</v>
      </c>
      <c r="R27" s="0" t="str">
        <f aca="false">INDEX(Owners!$B$4:$B$21,MATCH(D27,Owners!$A$4:$A$21,0))</f>
        <v>Finance Systems</v>
      </c>
      <c r="S27" s="6" t="b">
        <f aca="false">AND(F27="closed",ISNUMBER(H27),H27&lt;=Controls!$B$4)</f>
        <v>1</v>
      </c>
      <c r="T27" s="6" t="b">
        <f aca="false">AND(ISNUMBER(I27),I27&lt;=Controls!$B$4,J27="rerun",K27=A27,L27=C27,M27=N27,O27=0,I27&gt;=G27,IF(ISNUMBER(P27),I27&gt;=P27,TRUE()))</f>
        <v>1</v>
      </c>
      <c r="U27" s="0" t="str">
        <f aca="false">IF(AND(S27,T27),"resolved",IF(S27,"claimed","open"))</f>
        <v>resolved</v>
      </c>
      <c r="V27" s="11" t="n">
        <f aca="false">ROUND((IF(U27="resolved",I27,IF(U27="claimed",H27,Controls!$B$4))-G27)*24,4)</f>
        <v>120.5167</v>
      </c>
      <c r="W27" s="6" t="b">
        <f aca="false">INDEX(Owners!$E$4:$E$21,MATCH(D27,Owners!$A$4:$A$21,0))</f>
        <v>0</v>
      </c>
    </row>
    <row r="28" customFormat="false" ht="15" hidden="false" customHeight="false" outlineLevel="0" collapsed="false">
      <c r="A28" s="4" t="s">
        <v>316</v>
      </c>
      <c r="B28" s="4" t="s">
        <v>95</v>
      </c>
      <c r="C28" s="4" t="s">
        <v>205</v>
      </c>
      <c r="D28" s="4" t="s">
        <v>283</v>
      </c>
      <c r="E28" s="4" t="s">
        <v>204</v>
      </c>
      <c r="F28" s="4" t="s">
        <v>277</v>
      </c>
      <c r="G28" s="5" t="n">
        <v>46222.1069444444</v>
      </c>
      <c r="H28" s="5" t="n">
        <v>46225.3541666667</v>
      </c>
      <c r="I28" s="5" t="n">
        <v>46225.5166666667</v>
      </c>
      <c r="J28" s="4" t="s">
        <v>284</v>
      </c>
      <c r="K28" s="4" t="s">
        <v>316</v>
      </c>
      <c r="L28" s="4" t="s">
        <v>205</v>
      </c>
      <c r="M28" s="4" t="n">
        <v>1</v>
      </c>
      <c r="N28" s="4" t="n">
        <v>1</v>
      </c>
      <c r="O28" s="4" t="n">
        <v>0</v>
      </c>
      <c r="P28" s="12"/>
      <c r="Q28" s="4" t="n">
        <v>0</v>
      </c>
      <c r="R28" s="0" t="str">
        <f aca="false">INDEX(Owners!$B$4:$B$21,MATCH(D28,Owners!$A$4:$A$21,0))</f>
        <v>Data Platform</v>
      </c>
      <c r="S28" s="6" t="b">
        <f aca="false">AND(F28="closed",ISNUMBER(H28),H28&lt;=Controls!$B$4)</f>
        <v>1</v>
      </c>
      <c r="T28" s="6" t="b">
        <f aca="false">AND(ISNUMBER(I28),I28&lt;=Controls!$B$4,J28="rerun",K28=A28,L28=C28,M28=N28,O28=0,I28&gt;=G28,IF(ISNUMBER(P28),I28&gt;=P28,TRUE()))</f>
        <v>1</v>
      </c>
      <c r="U28" s="0" t="str">
        <f aca="false">IF(AND(S28,T28),"resolved",IF(S28,"claimed","open"))</f>
        <v>resolved</v>
      </c>
      <c r="V28" s="11" t="n">
        <f aca="false">ROUND((IF(U28="resolved",I28,IF(U28="claimed",H28,Controls!$B$4))-G28)*24,4)</f>
        <v>81.8333</v>
      </c>
      <c r="W28" s="6" t="b">
        <f aca="false">INDEX(Owners!$E$4:$E$21,MATCH(D28,Owners!$A$4:$A$21,0))</f>
        <v>1</v>
      </c>
    </row>
    <row r="29" customFormat="false" ht="15" hidden="false" customHeight="false" outlineLevel="0" collapsed="false">
      <c r="A29" s="4" t="s">
        <v>317</v>
      </c>
      <c r="B29" s="4" t="s">
        <v>124</v>
      </c>
      <c r="C29" s="4" t="s">
        <v>248</v>
      </c>
      <c r="D29" s="4" t="s">
        <v>301</v>
      </c>
      <c r="E29" s="4" t="s">
        <v>202</v>
      </c>
      <c r="F29" s="4" t="s">
        <v>277</v>
      </c>
      <c r="G29" s="5" t="n">
        <v>46222.1423611111</v>
      </c>
      <c r="H29" s="5" t="n">
        <v>46223.0263888889</v>
      </c>
      <c r="I29" s="5" t="n">
        <v>46223.1715277778</v>
      </c>
      <c r="J29" s="4" t="s">
        <v>284</v>
      </c>
      <c r="K29" s="4" t="s">
        <v>317</v>
      </c>
      <c r="L29" s="4" t="s">
        <v>248</v>
      </c>
      <c r="M29" s="4" t="n">
        <v>1</v>
      </c>
      <c r="N29" s="4" t="n">
        <v>1</v>
      </c>
      <c r="O29" s="4" t="n">
        <v>0</v>
      </c>
      <c r="P29" s="12"/>
      <c r="Q29" s="4" t="n">
        <v>0</v>
      </c>
      <c r="R29" s="0" t="str">
        <f aca="false">INDEX(Owners!$B$4:$B$21,MATCH(D29,Owners!$A$4:$A$21,0))</f>
        <v>Data Platform</v>
      </c>
      <c r="S29" s="6" t="b">
        <f aca="false">AND(F29="closed",ISNUMBER(H29),H29&lt;=Controls!$B$4)</f>
        <v>1</v>
      </c>
      <c r="T29" s="6" t="b">
        <f aca="false">AND(ISNUMBER(I29),I29&lt;=Controls!$B$4,J29="rerun",K29=A29,L29=C29,M29=N29,O29=0,I29&gt;=G29,IF(ISNUMBER(P29),I29&gt;=P29,TRUE()))</f>
        <v>1</v>
      </c>
      <c r="U29" s="0" t="str">
        <f aca="false">IF(AND(S29,T29),"resolved",IF(S29,"claimed","open"))</f>
        <v>resolved</v>
      </c>
      <c r="V29" s="11" t="n">
        <f aca="false">ROUND((IF(U29="resolved",I29,IF(U29="claimed",H29,Controls!$B$4))-G29)*24,4)</f>
        <v>24.7</v>
      </c>
      <c r="W29" s="6" t="b">
        <f aca="false">INDEX(Owners!$E$4:$E$21,MATCH(D29,Owners!$A$4:$A$21,0))</f>
        <v>1</v>
      </c>
    </row>
    <row r="30" customFormat="false" ht="15" hidden="false" customHeight="false" outlineLevel="0" collapsed="false">
      <c r="A30" s="4" t="s">
        <v>318</v>
      </c>
      <c r="B30" s="4" t="s">
        <v>113</v>
      </c>
      <c r="C30" s="4" t="s">
        <v>232</v>
      </c>
      <c r="D30" s="4" t="s">
        <v>296</v>
      </c>
      <c r="E30" s="4" t="s">
        <v>202</v>
      </c>
      <c r="F30" s="4" t="s">
        <v>277</v>
      </c>
      <c r="G30" s="5" t="n">
        <v>46222.1826388889</v>
      </c>
      <c r="H30" s="5" t="n">
        <v>46222.5069444445</v>
      </c>
      <c r="I30" s="5" t="n">
        <v>46222.6965277778</v>
      </c>
      <c r="J30" s="4" t="s">
        <v>284</v>
      </c>
      <c r="K30" s="4" t="s">
        <v>318</v>
      </c>
      <c r="L30" s="4" t="s">
        <v>232</v>
      </c>
      <c r="M30" s="4" t="n">
        <v>1</v>
      </c>
      <c r="N30" s="4" t="n">
        <v>1</v>
      </c>
      <c r="O30" s="4" t="n">
        <v>0</v>
      </c>
      <c r="P30" s="12"/>
      <c r="Q30" s="4" t="n">
        <v>0</v>
      </c>
      <c r="R30" s="0" t="str">
        <f aca="false">INDEX(Owners!$B$4:$B$21,MATCH(D30,Owners!$A$4:$A$21,0))</f>
        <v>Data Platform</v>
      </c>
      <c r="S30" s="6" t="b">
        <f aca="false">AND(F30="closed",ISNUMBER(H30),H30&lt;=Controls!$B$4)</f>
        <v>1</v>
      </c>
      <c r="T30" s="6" t="b">
        <f aca="false">AND(ISNUMBER(I30),I30&lt;=Controls!$B$4,J30="rerun",K30=A30,L30=C30,M30=N30,O30=0,I30&gt;=G30,IF(ISNUMBER(P30),I30&gt;=P30,TRUE()))</f>
        <v>1</v>
      </c>
      <c r="U30" s="0" t="str">
        <f aca="false">IF(AND(S30,T30),"resolved",IF(S30,"claimed","open"))</f>
        <v>resolved</v>
      </c>
      <c r="V30" s="11" t="n">
        <f aca="false">ROUND((IF(U30="resolved",I30,IF(U30="claimed",H30,Controls!$B$4))-G30)*24,4)</f>
        <v>12.3333</v>
      </c>
      <c r="W30" s="6" t="b">
        <f aca="false">INDEX(Owners!$E$4:$E$21,MATCH(D30,Owners!$A$4:$A$21,0))</f>
        <v>1</v>
      </c>
    </row>
    <row r="31" customFormat="false" ht="15" hidden="false" customHeight="false" outlineLevel="0" collapsed="false">
      <c r="A31" s="4" t="s">
        <v>319</v>
      </c>
      <c r="B31" s="4" t="s">
        <v>112</v>
      </c>
      <c r="C31" s="4" t="s">
        <v>231</v>
      </c>
      <c r="D31" s="4" t="s">
        <v>320</v>
      </c>
      <c r="E31" s="4" t="s">
        <v>210</v>
      </c>
      <c r="F31" s="4" t="s">
        <v>277</v>
      </c>
      <c r="G31" s="5" t="n">
        <v>46222.2277777778</v>
      </c>
      <c r="H31" s="5" t="n">
        <v>46224.7458333333</v>
      </c>
      <c r="I31" s="12"/>
      <c r="N31" s="4" t="n">
        <v>1</v>
      </c>
      <c r="P31" s="12"/>
      <c r="Q31" s="4" t="n">
        <v>0</v>
      </c>
      <c r="R31" s="0" t="str">
        <f aca="false">INDEX(Owners!$B$4:$B$21,MATCH(D31,Owners!$A$4:$A$21,0))</f>
        <v>Data Governance</v>
      </c>
      <c r="S31" s="6" t="b">
        <f aca="false">AND(F31="closed",ISNUMBER(H31),H31&lt;=Controls!$B$4)</f>
        <v>1</v>
      </c>
      <c r="T31" s="6" t="b">
        <f aca="false">AND(ISNUMBER(I31),I31&lt;=Controls!$B$4,J31="rerun",K31=A31,L31=C31,M31=N31,O31=0,I31&gt;=G31,IF(ISNUMBER(P31),I31&gt;=P31,TRUE()))</f>
        <v>0</v>
      </c>
      <c r="U31" s="0" t="str">
        <f aca="false">IF(AND(S31,T31),"resolved",IF(S31,"claimed","open"))</f>
        <v>claimed</v>
      </c>
      <c r="V31" s="11" t="n">
        <f aca="false">ROUND((IF(U31="resolved",I31,IF(U31="claimed",H31,Controls!$B$4))-G31)*24,4)</f>
        <v>60.4333</v>
      </c>
      <c r="W31" s="6" t="b">
        <f aca="false">INDEX(Owners!$E$4:$E$21,MATCH(D31,Owners!$A$4:$A$21,0))</f>
        <v>1</v>
      </c>
    </row>
    <row r="32" customFormat="false" ht="15" hidden="false" customHeight="false" outlineLevel="0" collapsed="false">
      <c r="A32" s="4" t="s">
        <v>321</v>
      </c>
      <c r="B32" s="4" t="s">
        <v>110</v>
      </c>
      <c r="C32" s="4" t="s">
        <v>226</v>
      </c>
      <c r="D32" s="4" t="s">
        <v>286</v>
      </c>
      <c r="E32" s="4" t="s">
        <v>202</v>
      </c>
      <c r="F32" s="4" t="s">
        <v>277</v>
      </c>
      <c r="G32" s="5" t="n">
        <v>46222.2326388889</v>
      </c>
      <c r="H32" s="5" t="n">
        <v>46223.7527777778</v>
      </c>
      <c r="I32" s="5" t="n">
        <v>46223.8430555556</v>
      </c>
      <c r="J32" s="4" t="s">
        <v>284</v>
      </c>
      <c r="K32" s="4" t="s">
        <v>321</v>
      </c>
      <c r="L32" s="4" t="s">
        <v>226</v>
      </c>
      <c r="M32" s="4" t="n">
        <v>1</v>
      </c>
      <c r="N32" s="4" t="n">
        <v>1</v>
      </c>
      <c r="O32" s="4" t="n">
        <v>0</v>
      </c>
      <c r="P32" s="12"/>
      <c r="Q32" s="4" t="n">
        <v>0</v>
      </c>
      <c r="R32" s="0" t="str">
        <f aca="false">INDEX(Owners!$B$4:$B$21,MATCH(D32,Owners!$A$4:$A$21,0))</f>
        <v>Finance Systems</v>
      </c>
      <c r="S32" s="6" t="b">
        <f aca="false">AND(F32="closed",ISNUMBER(H32),H32&lt;=Controls!$B$4)</f>
        <v>1</v>
      </c>
      <c r="T32" s="6" t="b">
        <f aca="false">AND(ISNUMBER(I32),I32&lt;=Controls!$B$4,J32="rerun",K32=A32,L32=C32,M32=N32,O32=0,I32&gt;=G32,IF(ISNUMBER(P32),I32&gt;=P32,TRUE()))</f>
        <v>1</v>
      </c>
      <c r="U32" s="0" t="str">
        <f aca="false">IF(AND(S32,T32),"resolved",IF(S32,"claimed","open"))</f>
        <v>resolved</v>
      </c>
      <c r="V32" s="11" t="n">
        <f aca="false">ROUND((IF(U32="resolved",I32,IF(U32="claimed",H32,Controls!$B$4))-G32)*24,4)</f>
        <v>38.65</v>
      </c>
      <c r="W32" s="6" t="b">
        <f aca="false">INDEX(Owners!$E$4:$E$21,MATCH(D32,Owners!$A$4:$A$21,0))</f>
        <v>0</v>
      </c>
    </row>
    <row r="33" customFormat="false" ht="15" hidden="false" customHeight="false" outlineLevel="0" collapsed="false">
      <c r="A33" s="4" t="s">
        <v>322</v>
      </c>
      <c r="B33" s="4" t="s">
        <v>98</v>
      </c>
      <c r="C33" s="4" t="s">
        <v>323</v>
      </c>
      <c r="D33" s="4" t="s">
        <v>324</v>
      </c>
      <c r="E33" s="4" t="s">
        <v>202</v>
      </c>
      <c r="F33" s="4" t="s">
        <v>277</v>
      </c>
      <c r="G33" s="5" t="n">
        <v>46223.0840277778</v>
      </c>
      <c r="H33" s="5" t="n">
        <v>46230.1423611111</v>
      </c>
      <c r="I33" s="5" t="n">
        <v>46230.1881944445</v>
      </c>
      <c r="J33" s="4" t="s">
        <v>284</v>
      </c>
      <c r="K33" s="4" t="s">
        <v>322</v>
      </c>
      <c r="L33" s="4" t="s">
        <v>323</v>
      </c>
      <c r="M33" s="4" t="n">
        <v>1</v>
      </c>
      <c r="N33" s="4" t="n">
        <v>1</v>
      </c>
      <c r="O33" s="4" t="n">
        <v>0</v>
      </c>
      <c r="P33" s="12"/>
      <c r="Q33" s="4" t="n">
        <v>0</v>
      </c>
      <c r="R33" s="0" t="str">
        <f aca="false">INDEX(Owners!$B$4:$B$21,MATCH(D33,Owners!$A$4:$A$21,0))</f>
        <v>Finance Systems</v>
      </c>
      <c r="S33" s="6" t="b">
        <f aca="false">AND(F33="closed",ISNUMBER(H33),H33&lt;=Controls!$B$4)</f>
        <v>1</v>
      </c>
      <c r="T33" s="6" t="b">
        <f aca="false">AND(ISNUMBER(I33),I33&lt;=Controls!$B$4,J33="rerun",K33=A33,L33=C33,M33=N33,O33=0,I33&gt;=G33,IF(ISNUMBER(P33),I33&gt;=P33,TRUE()))</f>
        <v>1</v>
      </c>
      <c r="U33" s="0" t="str">
        <f aca="false">IF(AND(S33,T33),"resolved",IF(S33,"claimed","open"))</f>
        <v>resolved</v>
      </c>
      <c r="V33" s="11" t="n">
        <f aca="false">ROUND((IF(U33="resolved",I33,IF(U33="claimed",H33,Controls!$B$4))-G33)*24,4)</f>
        <v>170.5</v>
      </c>
      <c r="W33" s="6" t="b">
        <f aca="false">INDEX(Owners!$E$4:$E$21,MATCH(D33,Owners!$A$4:$A$21,0))</f>
        <v>1</v>
      </c>
    </row>
    <row r="34" customFormat="false" ht="15" hidden="false" customHeight="false" outlineLevel="0" collapsed="false">
      <c r="A34" s="4" t="s">
        <v>325</v>
      </c>
      <c r="B34" s="4" t="s">
        <v>107</v>
      </c>
      <c r="C34" s="4" t="s">
        <v>224</v>
      </c>
      <c r="D34" s="4" t="s">
        <v>326</v>
      </c>
      <c r="E34" s="4" t="s">
        <v>202</v>
      </c>
      <c r="F34" s="4" t="s">
        <v>277</v>
      </c>
      <c r="G34" s="5" t="n">
        <v>46223.0972222222</v>
      </c>
      <c r="H34" s="5" t="n">
        <v>46224.55625</v>
      </c>
      <c r="I34" s="12"/>
      <c r="N34" s="4" t="n">
        <v>1</v>
      </c>
      <c r="P34" s="12"/>
      <c r="Q34" s="4" t="n">
        <v>0</v>
      </c>
      <c r="R34" s="0" t="str">
        <f aca="false">INDEX(Owners!$B$4:$B$21,MATCH(D34,Owners!$A$4:$A$21,0))</f>
        <v>Customer Data</v>
      </c>
      <c r="S34" s="6" t="b">
        <f aca="false">AND(F34="closed",ISNUMBER(H34),H34&lt;=Controls!$B$4)</f>
        <v>1</v>
      </c>
      <c r="T34" s="6" t="b">
        <f aca="false">AND(ISNUMBER(I34),I34&lt;=Controls!$B$4,J34="rerun",K34=A34,L34=C34,M34=N34,O34=0,I34&gt;=G34,IF(ISNUMBER(P34),I34&gt;=P34,TRUE()))</f>
        <v>0</v>
      </c>
      <c r="U34" s="0" t="str">
        <f aca="false">IF(AND(S34,T34),"resolved",IF(S34,"claimed","open"))</f>
        <v>claimed</v>
      </c>
      <c r="V34" s="11" t="n">
        <f aca="false">ROUND((IF(U34="resolved",I34,IF(U34="claimed",H34,Controls!$B$4))-G34)*24,4)</f>
        <v>35.0167</v>
      </c>
      <c r="W34" s="6" t="b">
        <f aca="false">INDEX(Owners!$E$4:$E$21,MATCH(D34,Owners!$A$4:$A$21,0))</f>
        <v>0</v>
      </c>
    </row>
    <row r="35" customFormat="false" ht="15" hidden="false" customHeight="false" outlineLevel="0" collapsed="false">
      <c r="A35" s="4" t="s">
        <v>327</v>
      </c>
      <c r="B35" s="4" t="s">
        <v>95</v>
      </c>
      <c r="C35" s="4" t="s">
        <v>205</v>
      </c>
      <c r="D35" s="4" t="s">
        <v>283</v>
      </c>
      <c r="E35" s="4" t="s">
        <v>204</v>
      </c>
      <c r="F35" s="4" t="s">
        <v>277</v>
      </c>
      <c r="G35" s="5" t="n">
        <v>46223.1069444444</v>
      </c>
      <c r="H35" s="5" t="n">
        <v>46224.0638888889</v>
      </c>
      <c r="I35" s="5" t="n">
        <v>46224.0916666667</v>
      </c>
      <c r="J35" s="4" t="s">
        <v>284</v>
      </c>
      <c r="K35" s="4" t="s">
        <v>327</v>
      </c>
      <c r="L35" s="4" t="s">
        <v>205</v>
      </c>
      <c r="M35" s="4" t="n">
        <v>1</v>
      </c>
      <c r="N35" s="4" t="n">
        <v>1</v>
      </c>
      <c r="O35" s="4" t="n">
        <v>0</v>
      </c>
      <c r="P35" s="12"/>
      <c r="Q35" s="4" t="n">
        <v>0</v>
      </c>
      <c r="R35" s="0" t="str">
        <f aca="false">INDEX(Owners!$B$4:$B$21,MATCH(D35,Owners!$A$4:$A$21,0))</f>
        <v>Data Platform</v>
      </c>
      <c r="S35" s="6" t="b">
        <f aca="false">AND(F35="closed",ISNUMBER(H35),H35&lt;=Controls!$B$4)</f>
        <v>1</v>
      </c>
      <c r="T35" s="6" t="b">
        <f aca="false">AND(ISNUMBER(I35),I35&lt;=Controls!$B$4,J35="rerun",K35=A35,L35=C35,M35=N35,O35=0,I35&gt;=G35,IF(ISNUMBER(P35),I35&gt;=P35,TRUE()))</f>
        <v>1</v>
      </c>
      <c r="U35" s="0" t="str">
        <f aca="false">IF(AND(S35,T35),"resolved",IF(S35,"claimed","open"))</f>
        <v>resolved</v>
      </c>
      <c r="V35" s="11" t="n">
        <f aca="false">ROUND((IF(U35="resolved",I35,IF(U35="claimed",H35,Controls!$B$4))-G35)*24,4)</f>
        <v>23.6333</v>
      </c>
      <c r="W35" s="6" t="b">
        <f aca="false">INDEX(Owners!$E$4:$E$21,MATCH(D35,Owners!$A$4:$A$21,0))</f>
        <v>1</v>
      </c>
    </row>
    <row r="36" customFormat="false" ht="15" hidden="false" customHeight="false" outlineLevel="0" collapsed="false">
      <c r="A36" s="4" t="s">
        <v>328</v>
      </c>
      <c r="B36" s="4" t="s">
        <v>128</v>
      </c>
      <c r="C36" s="4" t="s">
        <v>253</v>
      </c>
      <c r="D36" s="4" t="s">
        <v>283</v>
      </c>
      <c r="E36" s="4" t="s">
        <v>204</v>
      </c>
      <c r="F36" s="4" t="s">
        <v>277</v>
      </c>
      <c r="G36" s="5" t="n">
        <v>46223.1111111111</v>
      </c>
      <c r="H36" s="5" t="n">
        <v>46224.7819444445</v>
      </c>
      <c r="I36" s="5" t="n">
        <v>46224.9729166667</v>
      </c>
      <c r="J36" s="4" t="s">
        <v>284</v>
      </c>
      <c r="K36" s="4" t="s">
        <v>328</v>
      </c>
      <c r="L36" s="4" t="s">
        <v>253</v>
      </c>
      <c r="M36" s="4" t="n">
        <v>1</v>
      </c>
      <c r="N36" s="4" t="n">
        <v>1</v>
      </c>
      <c r="O36" s="4" t="n">
        <v>0</v>
      </c>
      <c r="P36" s="12"/>
      <c r="Q36" s="4" t="n">
        <v>0</v>
      </c>
      <c r="R36" s="0" t="str">
        <f aca="false">INDEX(Owners!$B$4:$B$21,MATCH(D36,Owners!$A$4:$A$21,0))</f>
        <v>Data Platform</v>
      </c>
      <c r="S36" s="6" t="b">
        <f aca="false">AND(F36="closed",ISNUMBER(H36),H36&lt;=Controls!$B$4)</f>
        <v>1</v>
      </c>
      <c r="T36" s="6" t="b">
        <f aca="false">AND(ISNUMBER(I36),I36&lt;=Controls!$B$4,J36="rerun",K36=A36,L36=C36,M36=N36,O36=0,I36&gt;=G36,IF(ISNUMBER(P36),I36&gt;=P36,TRUE()))</f>
        <v>1</v>
      </c>
      <c r="U36" s="0" t="str">
        <f aca="false">IF(AND(S36,T36),"resolved",IF(S36,"claimed","open"))</f>
        <v>resolved</v>
      </c>
      <c r="V36" s="11" t="n">
        <f aca="false">ROUND((IF(U36="resolved",I36,IF(U36="claimed",H36,Controls!$B$4))-G36)*24,4)</f>
        <v>44.6833</v>
      </c>
      <c r="W36" s="6" t="b">
        <f aca="false">INDEX(Owners!$E$4:$E$21,MATCH(D36,Owners!$A$4:$A$21,0))</f>
        <v>1</v>
      </c>
    </row>
    <row r="37" customFormat="false" ht="15" hidden="false" customHeight="false" outlineLevel="0" collapsed="false">
      <c r="A37" s="4" t="s">
        <v>329</v>
      </c>
      <c r="B37" s="4" t="s">
        <v>92</v>
      </c>
      <c r="C37" s="4" t="s">
        <v>201</v>
      </c>
      <c r="D37" s="4" t="s">
        <v>330</v>
      </c>
      <c r="E37" s="4" t="s">
        <v>202</v>
      </c>
      <c r="F37" s="4" t="s">
        <v>277</v>
      </c>
      <c r="G37" s="5" t="n">
        <v>46223.1465277778</v>
      </c>
      <c r="H37" s="5" t="n">
        <v>46225.1145833333</v>
      </c>
      <c r="I37" s="5" t="n">
        <v>46225.50625</v>
      </c>
      <c r="J37" s="4" t="s">
        <v>284</v>
      </c>
      <c r="K37" s="4" t="s">
        <v>329</v>
      </c>
      <c r="L37" s="4" t="s">
        <v>201</v>
      </c>
      <c r="M37" s="4" t="n">
        <v>1</v>
      </c>
      <c r="N37" s="4" t="n">
        <v>1</v>
      </c>
      <c r="O37" s="4" t="n">
        <v>0</v>
      </c>
      <c r="P37" s="12"/>
      <c r="Q37" s="4" t="n">
        <v>0</v>
      </c>
      <c r="R37" s="0" t="str">
        <f aca="false">INDEX(Owners!$B$4:$B$21,MATCH(D37,Owners!$A$4:$A$21,0))</f>
        <v>Supply Chain</v>
      </c>
      <c r="S37" s="6" t="b">
        <f aca="false">AND(F37="closed",ISNUMBER(H37),H37&lt;=Controls!$B$4)</f>
        <v>1</v>
      </c>
      <c r="T37" s="6" t="b">
        <f aca="false">AND(ISNUMBER(I37),I37&lt;=Controls!$B$4,J37="rerun",K37=A37,L37=C37,M37=N37,O37=0,I37&gt;=G37,IF(ISNUMBER(P37),I37&gt;=P37,TRUE()))</f>
        <v>1</v>
      </c>
      <c r="U37" s="0" t="str">
        <f aca="false">IF(AND(S37,T37),"resolved",IF(S37,"claimed","open"))</f>
        <v>resolved</v>
      </c>
      <c r="V37" s="11" t="n">
        <f aca="false">ROUND((IF(U37="resolved",I37,IF(U37="claimed",H37,Controls!$B$4))-G37)*24,4)</f>
        <v>56.6333</v>
      </c>
      <c r="W37" s="6" t="b">
        <f aca="false">INDEX(Owners!$E$4:$E$21,MATCH(D37,Owners!$A$4:$A$21,0))</f>
        <v>1</v>
      </c>
    </row>
    <row r="38" customFormat="false" ht="15" hidden="false" customHeight="false" outlineLevel="0" collapsed="false">
      <c r="A38" s="4" t="s">
        <v>331</v>
      </c>
      <c r="B38" s="4" t="s">
        <v>124</v>
      </c>
      <c r="C38" s="4" t="s">
        <v>247</v>
      </c>
      <c r="D38" s="4" t="s">
        <v>301</v>
      </c>
      <c r="E38" s="4" t="s">
        <v>202</v>
      </c>
      <c r="F38" s="4" t="s">
        <v>277</v>
      </c>
      <c r="G38" s="5" t="n">
        <v>46223.1513888889</v>
      </c>
      <c r="H38" s="5" t="n">
        <v>46225.7243055556</v>
      </c>
      <c r="I38" s="12"/>
      <c r="N38" s="4" t="n">
        <v>1</v>
      </c>
      <c r="P38" s="12"/>
      <c r="Q38" s="4" t="n">
        <v>0</v>
      </c>
      <c r="R38" s="0" t="str">
        <f aca="false">INDEX(Owners!$B$4:$B$21,MATCH(D38,Owners!$A$4:$A$21,0))</f>
        <v>Data Platform</v>
      </c>
      <c r="S38" s="6" t="b">
        <f aca="false">AND(F38="closed",ISNUMBER(H38),H38&lt;=Controls!$B$4)</f>
        <v>1</v>
      </c>
      <c r="T38" s="6" t="b">
        <f aca="false">AND(ISNUMBER(I38),I38&lt;=Controls!$B$4,J38="rerun",K38=A38,L38=C38,M38=N38,O38=0,I38&gt;=G38,IF(ISNUMBER(P38),I38&gt;=P38,TRUE()))</f>
        <v>0</v>
      </c>
      <c r="U38" s="0" t="str">
        <f aca="false">IF(AND(S38,T38),"resolved",IF(S38,"claimed","open"))</f>
        <v>claimed</v>
      </c>
      <c r="V38" s="11" t="n">
        <f aca="false">ROUND((IF(U38="resolved",I38,IF(U38="claimed",H38,Controls!$B$4))-G38)*24,4)</f>
        <v>61.75</v>
      </c>
      <c r="W38" s="6" t="b">
        <f aca="false">INDEX(Owners!$E$4:$E$21,MATCH(D38,Owners!$A$4:$A$21,0))</f>
        <v>1</v>
      </c>
    </row>
    <row r="39" customFormat="false" ht="15" hidden="false" customHeight="false" outlineLevel="0" collapsed="false">
      <c r="A39" s="4" t="s">
        <v>332</v>
      </c>
      <c r="B39" s="4" t="s">
        <v>119</v>
      </c>
      <c r="C39" s="4" t="s">
        <v>243</v>
      </c>
      <c r="D39" s="4" t="s">
        <v>292</v>
      </c>
      <c r="E39" s="4" t="s">
        <v>202</v>
      </c>
      <c r="F39" s="4" t="s">
        <v>277</v>
      </c>
      <c r="G39" s="5" t="n">
        <v>46223.1604166667</v>
      </c>
      <c r="H39" s="5" t="n">
        <v>46225.95625</v>
      </c>
      <c r="I39" s="5" t="n">
        <v>46226.2409722222</v>
      </c>
      <c r="J39" s="4" t="s">
        <v>284</v>
      </c>
      <c r="K39" s="4" t="s">
        <v>332</v>
      </c>
      <c r="L39" s="4" t="s">
        <v>243</v>
      </c>
      <c r="M39" s="4" t="n">
        <v>1</v>
      </c>
      <c r="N39" s="4" t="n">
        <v>1</v>
      </c>
      <c r="O39" s="4" t="n">
        <v>0</v>
      </c>
      <c r="P39" s="12"/>
      <c r="Q39" s="4" t="n">
        <v>0</v>
      </c>
      <c r="R39" s="0" t="str">
        <f aca="false">INDEX(Owners!$B$4:$B$21,MATCH(D39,Owners!$A$4:$A$21,0))</f>
        <v>Support Operations</v>
      </c>
      <c r="S39" s="6" t="b">
        <f aca="false">AND(F39="closed",ISNUMBER(H39),H39&lt;=Controls!$B$4)</f>
        <v>1</v>
      </c>
      <c r="T39" s="6" t="b">
        <f aca="false">AND(ISNUMBER(I39),I39&lt;=Controls!$B$4,J39="rerun",K39=A39,L39=C39,M39=N39,O39=0,I39&gt;=G39,IF(ISNUMBER(P39),I39&gt;=P39,TRUE()))</f>
        <v>1</v>
      </c>
      <c r="U39" s="0" t="str">
        <f aca="false">IF(AND(S39,T39),"resolved",IF(S39,"claimed","open"))</f>
        <v>resolved</v>
      </c>
      <c r="V39" s="11" t="n">
        <f aca="false">ROUND((IF(U39="resolved",I39,IF(U39="claimed",H39,Controls!$B$4))-G39)*24,4)</f>
        <v>73.9333</v>
      </c>
      <c r="W39" s="6" t="b">
        <f aca="false">INDEX(Owners!$E$4:$E$21,MATCH(D39,Owners!$A$4:$A$21,0))</f>
        <v>1</v>
      </c>
    </row>
    <row r="40" customFormat="false" ht="15" hidden="false" customHeight="false" outlineLevel="0" collapsed="false">
      <c r="A40" s="4" t="s">
        <v>333</v>
      </c>
      <c r="B40" s="4" t="s">
        <v>125</v>
      </c>
      <c r="C40" s="4" t="s">
        <v>250</v>
      </c>
      <c r="D40" s="4" t="s">
        <v>334</v>
      </c>
      <c r="E40" s="4" t="s">
        <v>202</v>
      </c>
      <c r="F40" s="4" t="s">
        <v>277</v>
      </c>
      <c r="G40" s="5" t="n">
        <v>46223.1875</v>
      </c>
      <c r="H40" s="5" t="n">
        <v>46232.8416666667</v>
      </c>
      <c r="I40" s="5" t="n">
        <v>46232.9506944444</v>
      </c>
      <c r="J40" s="4" t="s">
        <v>284</v>
      </c>
      <c r="K40" s="4" t="s">
        <v>333</v>
      </c>
      <c r="L40" s="4" t="s">
        <v>250</v>
      </c>
      <c r="M40" s="4" t="n">
        <v>1</v>
      </c>
      <c r="N40" s="4" t="n">
        <v>1</v>
      </c>
      <c r="O40" s="4" t="n">
        <v>0</v>
      </c>
      <c r="P40" s="12"/>
      <c r="Q40" s="4" t="n">
        <v>0</v>
      </c>
      <c r="R40" s="0" t="str">
        <f aca="false">INDEX(Owners!$B$4:$B$21,MATCH(D40,Owners!$A$4:$A$21,0))</f>
        <v>Supply Chain</v>
      </c>
      <c r="S40" s="6" t="b">
        <f aca="false">AND(F40="closed",ISNUMBER(H40),H40&lt;=Controls!$B$4)</f>
        <v>1</v>
      </c>
      <c r="T40" s="6" t="b">
        <f aca="false">AND(ISNUMBER(I40),I40&lt;=Controls!$B$4,J40="rerun",K40=A40,L40=C40,M40=N40,O40=0,I40&gt;=G40,IF(ISNUMBER(P40),I40&gt;=P40,TRUE()))</f>
        <v>1</v>
      </c>
      <c r="U40" s="0" t="str">
        <f aca="false">IF(AND(S40,T40),"resolved",IF(S40,"claimed","open"))</f>
        <v>resolved</v>
      </c>
      <c r="V40" s="11" t="n">
        <f aca="false">ROUND((IF(U40="resolved",I40,IF(U40="claimed",H40,Controls!$B$4))-G40)*24,4)</f>
        <v>234.3167</v>
      </c>
      <c r="W40" s="6" t="b">
        <f aca="false">INDEX(Owners!$E$4:$E$21,MATCH(D40,Owners!$A$4:$A$21,0))</f>
        <v>0</v>
      </c>
    </row>
    <row r="41" customFormat="false" ht="15" hidden="false" customHeight="false" outlineLevel="0" collapsed="false">
      <c r="A41" s="4" t="s">
        <v>335</v>
      </c>
      <c r="B41" s="4" t="s">
        <v>110</v>
      </c>
      <c r="C41" s="4" t="s">
        <v>226</v>
      </c>
      <c r="D41" s="4" t="s">
        <v>286</v>
      </c>
      <c r="E41" s="4" t="s">
        <v>202</v>
      </c>
      <c r="F41" s="4" t="s">
        <v>277</v>
      </c>
      <c r="G41" s="5" t="n">
        <v>46223.2326388889</v>
      </c>
      <c r="H41" s="5" t="n">
        <v>46225.1368055556</v>
      </c>
      <c r="I41" s="5" t="n">
        <v>46225.4604166667</v>
      </c>
      <c r="J41" s="4" t="s">
        <v>284</v>
      </c>
      <c r="K41" s="4" t="s">
        <v>335</v>
      </c>
      <c r="L41" s="4" t="s">
        <v>226</v>
      </c>
      <c r="M41" s="4" t="n">
        <v>1</v>
      </c>
      <c r="N41" s="4" t="n">
        <v>1</v>
      </c>
      <c r="O41" s="4" t="n">
        <v>0</v>
      </c>
      <c r="P41" s="12"/>
      <c r="Q41" s="4" t="n">
        <v>0</v>
      </c>
      <c r="R41" s="0" t="str">
        <f aca="false">INDEX(Owners!$B$4:$B$21,MATCH(D41,Owners!$A$4:$A$21,0))</f>
        <v>Finance Systems</v>
      </c>
      <c r="S41" s="6" t="b">
        <f aca="false">AND(F41="closed",ISNUMBER(H41),H41&lt;=Controls!$B$4)</f>
        <v>1</v>
      </c>
      <c r="T41" s="6" t="b">
        <f aca="false">AND(ISNUMBER(I41),I41&lt;=Controls!$B$4,J41="rerun",K41=A41,L41=C41,M41=N41,O41=0,I41&gt;=G41,IF(ISNUMBER(P41),I41&gt;=P41,TRUE()))</f>
        <v>1</v>
      </c>
      <c r="U41" s="0" t="str">
        <f aca="false">IF(AND(S41,T41),"resolved",IF(S41,"claimed","open"))</f>
        <v>resolved</v>
      </c>
      <c r="V41" s="11" t="n">
        <f aca="false">ROUND((IF(U41="resolved",I41,IF(U41="claimed",H41,Controls!$B$4))-G41)*24,4)</f>
        <v>53.4667</v>
      </c>
      <c r="W41" s="6" t="b">
        <f aca="false">INDEX(Owners!$E$4:$E$21,MATCH(D41,Owners!$A$4:$A$21,0))</f>
        <v>0</v>
      </c>
    </row>
    <row r="42" customFormat="false" ht="15" hidden="false" customHeight="false" outlineLevel="0" collapsed="false">
      <c r="A42" s="4" t="s">
        <v>336</v>
      </c>
      <c r="B42" s="4" t="s">
        <v>117</v>
      </c>
      <c r="C42" s="4" t="s">
        <v>240</v>
      </c>
      <c r="D42" s="4" t="s">
        <v>288</v>
      </c>
      <c r="E42" s="4" t="s">
        <v>204</v>
      </c>
      <c r="F42" s="4" t="s">
        <v>277</v>
      </c>
      <c r="G42" s="5" t="n">
        <v>46223.2458333333</v>
      </c>
      <c r="H42" s="5" t="n">
        <v>46228.8625</v>
      </c>
      <c r="I42" s="5" t="n">
        <v>46229.3305555556</v>
      </c>
      <c r="J42" s="4" t="s">
        <v>284</v>
      </c>
      <c r="K42" s="4" t="s">
        <v>336</v>
      </c>
      <c r="L42" s="4" t="s">
        <v>240</v>
      </c>
      <c r="M42" s="4" t="n">
        <v>1</v>
      </c>
      <c r="N42" s="4" t="n">
        <v>1</v>
      </c>
      <c r="O42" s="4" t="n">
        <v>0</v>
      </c>
      <c r="P42" s="12"/>
      <c r="Q42" s="4" t="n">
        <v>0</v>
      </c>
      <c r="R42" s="0" t="str">
        <f aca="false">INDEX(Owners!$B$4:$B$21,MATCH(D42,Owners!$A$4:$A$21,0))</f>
        <v>Support Operations</v>
      </c>
      <c r="S42" s="6" t="b">
        <f aca="false">AND(F42="closed",ISNUMBER(H42),H42&lt;=Controls!$B$4)</f>
        <v>1</v>
      </c>
      <c r="T42" s="6" t="b">
        <f aca="false">AND(ISNUMBER(I42),I42&lt;=Controls!$B$4,J42="rerun",K42=A42,L42=C42,M42=N42,O42=0,I42&gt;=G42,IF(ISNUMBER(P42),I42&gt;=P42,TRUE()))</f>
        <v>1</v>
      </c>
      <c r="U42" s="0" t="str">
        <f aca="false">IF(AND(S42,T42),"resolved",IF(S42,"claimed","open"))</f>
        <v>resolved</v>
      </c>
      <c r="V42" s="11" t="n">
        <f aca="false">ROUND((IF(U42="resolved",I42,IF(U42="claimed",H42,Controls!$B$4))-G42)*24,4)</f>
        <v>146.0333</v>
      </c>
      <c r="W42" s="6" t="b">
        <f aca="false">INDEX(Owners!$E$4:$E$21,MATCH(D42,Owners!$A$4:$A$21,0))</f>
        <v>1</v>
      </c>
    </row>
    <row r="43" customFormat="false" ht="15" hidden="false" customHeight="false" outlineLevel="0" collapsed="false">
      <c r="A43" s="4" t="s">
        <v>337</v>
      </c>
      <c r="B43" s="4" t="s">
        <v>113</v>
      </c>
      <c r="C43" s="4" t="s">
        <v>234</v>
      </c>
      <c r="D43" s="4" t="s">
        <v>296</v>
      </c>
      <c r="E43" s="4" t="s">
        <v>204</v>
      </c>
      <c r="F43" s="4" t="s">
        <v>277</v>
      </c>
      <c r="G43" s="5" t="n">
        <v>46223.9930555556</v>
      </c>
      <c r="H43" s="5" t="n">
        <v>46226.4041666667</v>
      </c>
      <c r="I43" s="5" t="n">
        <v>46226.5222222222</v>
      </c>
      <c r="J43" s="4" t="s">
        <v>284</v>
      </c>
      <c r="K43" s="4" t="s">
        <v>337</v>
      </c>
      <c r="L43" s="4" t="s">
        <v>234</v>
      </c>
      <c r="M43" s="4" t="n">
        <v>1</v>
      </c>
      <c r="N43" s="4" t="n">
        <v>1</v>
      </c>
      <c r="O43" s="4" t="n">
        <v>0</v>
      </c>
      <c r="P43" s="12"/>
      <c r="Q43" s="4" t="n">
        <v>0</v>
      </c>
      <c r="R43" s="0" t="str">
        <f aca="false">INDEX(Owners!$B$4:$B$21,MATCH(D43,Owners!$A$4:$A$21,0))</f>
        <v>Data Platform</v>
      </c>
      <c r="S43" s="6" t="b">
        <f aca="false">AND(F43="closed",ISNUMBER(H43),H43&lt;=Controls!$B$4)</f>
        <v>1</v>
      </c>
      <c r="T43" s="6" t="b">
        <f aca="false">AND(ISNUMBER(I43),I43&lt;=Controls!$B$4,J43="rerun",K43=A43,L43=C43,M43=N43,O43=0,I43&gt;=G43,IF(ISNUMBER(P43),I43&gt;=P43,TRUE()))</f>
        <v>1</v>
      </c>
      <c r="U43" s="0" t="str">
        <f aca="false">IF(AND(S43,T43),"resolved",IF(S43,"claimed","open"))</f>
        <v>resolved</v>
      </c>
      <c r="V43" s="11" t="n">
        <f aca="false">ROUND((IF(U43="resolved",I43,IF(U43="claimed",H43,Controls!$B$4))-G43)*24,4)</f>
        <v>60.7</v>
      </c>
      <c r="W43" s="6" t="b">
        <f aca="false">INDEX(Owners!$E$4:$E$21,MATCH(D43,Owners!$A$4:$A$21,0))</f>
        <v>1</v>
      </c>
    </row>
    <row r="44" customFormat="false" ht="15" hidden="false" customHeight="false" outlineLevel="0" collapsed="false">
      <c r="A44" s="4" t="s">
        <v>338</v>
      </c>
      <c r="B44" s="4" t="s">
        <v>97</v>
      </c>
      <c r="C44" s="4" t="s">
        <v>208</v>
      </c>
      <c r="D44" s="4" t="s">
        <v>286</v>
      </c>
      <c r="E44" s="4" t="s">
        <v>202</v>
      </c>
      <c r="F44" s="4" t="s">
        <v>277</v>
      </c>
      <c r="G44" s="5" t="n">
        <v>46224.1194444444</v>
      </c>
      <c r="H44" s="5" t="n">
        <v>46227.4819444444</v>
      </c>
      <c r="I44" s="5" t="n">
        <v>46227.7631944444</v>
      </c>
      <c r="J44" s="4" t="s">
        <v>284</v>
      </c>
      <c r="K44" s="4" t="s">
        <v>338</v>
      </c>
      <c r="L44" s="4" t="s">
        <v>208</v>
      </c>
      <c r="M44" s="4" t="n">
        <v>1</v>
      </c>
      <c r="N44" s="4" t="n">
        <v>1</v>
      </c>
      <c r="O44" s="4" t="n">
        <v>0</v>
      </c>
      <c r="P44" s="12"/>
      <c r="Q44" s="4" t="n">
        <v>0</v>
      </c>
      <c r="R44" s="0" t="str">
        <f aca="false">INDEX(Owners!$B$4:$B$21,MATCH(D44,Owners!$A$4:$A$21,0))</f>
        <v>Finance Systems</v>
      </c>
      <c r="S44" s="6" t="b">
        <f aca="false">AND(F44="closed",ISNUMBER(H44),H44&lt;=Controls!$B$4)</f>
        <v>1</v>
      </c>
      <c r="T44" s="6" t="b">
        <f aca="false">AND(ISNUMBER(I44),I44&lt;=Controls!$B$4,J44="rerun",K44=A44,L44=C44,M44=N44,O44=0,I44&gt;=G44,IF(ISNUMBER(P44),I44&gt;=P44,TRUE()))</f>
        <v>1</v>
      </c>
      <c r="U44" s="0" t="str">
        <f aca="false">IF(AND(S44,T44),"resolved",IF(S44,"claimed","open"))</f>
        <v>resolved</v>
      </c>
      <c r="V44" s="11" t="n">
        <f aca="false">ROUND((IF(U44="resolved",I44,IF(U44="claimed",H44,Controls!$B$4))-G44)*24,4)</f>
        <v>87.45</v>
      </c>
      <c r="W44" s="6" t="b">
        <f aca="false">INDEX(Owners!$E$4:$E$21,MATCH(D44,Owners!$A$4:$A$21,0))</f>
        <v>0</v>
      </c>
    </row>
    <row r="45" customFormat="false" ht="15" hidden="false" customHeight="false" outlineLevel="0" collapsed="false">
      <c r="A45" s="4" t="s">
        <v>339</v>
      </c>
      <c r="B45" s="4" t="s">
        <v>113</v>
      </c>
      <c r="C45" s="4" t="s">
        <v>232</v>
      </c>
      <c r="D45" s="4" t="s">
        <v>296</v>
      </c>
      <c r="E45" s="4" t="s">
        <v>202</v>
      </c>
      <c r="F45" s="4" t="s">
        <v>277</v>
      </c>
      <c r="G45" s="5" t="n">
        <v>46224.1826388889</v>
      </c>
      <c r="H45" s="5" t="n">
        <v>46225.7423611111</v>
      </c>
      <c r="I45" s="5" t="n">
        <v>46225.8347222222</v>
      </c>
      <c r="J45" s="4" t="s">
        <v>284</v>
      </c>
      <c r="K45" s="4" t="s">
        <v>339</v>
      </c>
      <c r="L45" s="4" t="s">
        <v>232</v>
      </c>
      <c r="M45" s="4" t="n">
        <v>1</v>
      </c>
      <c r="N45" s="4" t="n">
        <v>1</v>
      </c>
      <c r="O45" s="4" t="n">
        <v>0</v>
      </c>
      <c r="P45" s="12"/>
      <c r="Q45" s="4" t="n">
        <v>0</v>
      </c>
      <c r="R45" s="0" t="str">
        <f aca="false">INDEX(Owners!$B$4:$B$21,MATCH(D45,Owners!$A$4:$A$21,0))</f>
        <v>Data Platform</v>
      </c>
      <c r="S45" s="6" t="b">
        <f aca="false">AND(F45="closed",ISNUMBER(H45),H45&lt;=Controls!$B$4)</f>
        <v>1</v>
      </c>
      <c r="T45" s="6" t="b">
        <f aca="false">AND(ISNUMBER(I45),I45&lt;=Controls!$B$4,J45="rerun",K45=A45,L45=C45,M45=N45,O45=0,I45&gt;=G45,IF(ISNUMBER(P45),I45&gt;=P45,TRUE()))</f>
        <v>1</v>
      </c>
      <c r="U45" s="0" t="str">
        <f aca="false">IF(AND(S45,T45),"resolved",IF(S45,"claimed","open"))</f>
        <v>resolved</v>
      </c>
      <c r="V45" s="11" t="n">
        <f aca="false">ROUND((IF(U45="resolved",I45,IF(U45="claimed",H45,Controls!$B$4))-G45)*24,4)</f>
        <v>39.65</v>
      </c>
      <c r="W45" s="6" t="b">
        <f aca="false">INDEX(Owners!$E$4:$E$21,MATCH(D45,Owners!$A$4:$A$21,0))</f>
        <v>1</v>
      </c>
    </row>
    <row r="46" customFormat="false" ht="15" hidden="false" customHeight="false" outlineLevel="0" collapsed="false">
      <c r="A46" s="4" t="s">
        <v>340</v>
      </c>
      <c r="B46" s="4" t="s">
        <v>113</v>
      </c>
      <c r="C46" s="4" t="s">
        <v>234</v>
      </c>
      <c r="D46" s="4" t="s">
        <v>296</v>
      </c>
      <c r="E46" s="4" t="s">
        <v>204</v>
      </c>
      <c r="F46" s="4" t="s">
        <v>277</v>
      </c>
      <c r="G46" s="5" t="n">
        <v>46224.9930555556</v>
      </c>
      <c r="H46" s="5" t="n">
        <v>46225.6826388889</v>
      </c>
      <c r="I46" s="12"/>
      <c r="N46" s="4" t="n">
        <v>1</v>
      </c>
      <c r="P46" s="12"/>
      <c r="Q46" s="4" t="n">
        <v>0</v>
      </c>
      <c r="R46" s="0" t="str">
        <f aca="false">INDEX(Owners!$B$4:$B$21,MATCH(D46,Owners!$A$4:$A$21,0))</f>
        <v>Data Platform</v>
      </c>
      <c r="S46" s="6" t="b">
        <f aca="false">AND(F46="closed",ISNUMBER(H46),H46&lt;=Controls!$B$4)</f>
        <v>1</v>
      </c>
      <c r="T46" s="6" t="b">
        <f aca="false">AND(ISNUMBER(I46),I46&lt;=Controls!$B$4,J46="rerun",K46=A46,L46=C46,M46=N46,O46=0,I46&gt;=G46,IF(ISNUMBER(P46),I46&gt;=P46,TRUE()))</f>
        <v>0</v>
      </c>
      <c r="U46" s="0" t="str">
        <f aca="false">IF(AND(S46,T46),"resolved",IF(S46,"claimed","open"))</f>
        <v>claimed</v>
      </c>
      <c r="V46" s="11" t="n">
        <f aca="false">ROUND((IF(U46="resolved",I46,IF(U46="claimed",H46,Controls!$B$4))-G46)*24,4)</f>
        <v>16.55</v>
      </c>
      <c r="W46" s="6" t="b">
        <f aca="false">INDEX(Owners!$E$4:$E$21,MATCH(D46,Owners!$A$4:$A$21,0))</f>
        <v>1</v>
      </c>
    </row>
    <row r="47" customFormat="false" ht="15" hidden="false" customHeight="false" outlineLevel="0" collapsed="false">
      <c r="A47" s="4" t="s">
        <v>341</v>
      </c>
      <c r="B47" s="4" t="s">
        <v>98</v>
      </c>
      <c r="C47" s="4" t="s">
        <v>323</v>
      </c>
      <c r="D47" s="4" t="s">
        <v>324</v>
      </c>
      <c r="E47" s="4" t="s">
        <v>202</v>
      </c>
      <c r="F47" s="4" t="s">
        <v>277</v>
      </c>
      <c r="G47" s="5" t="n">
        <v>46225.0840277778</v>
      </c>
      <c r="H47" s="5" t="n">
        <v>46227.0368055556</v>
      </c>
      <c r="I47" s="5" t="n">
        <v>46227.4090277778</v>
      </c>
      <c r="J47" s="4" t="s">
        <v>284</v>
      </c>
      <c r="K47" s="4" t="s">
        <v>341</v>
      </c>
      <c r="L47" s="4" t="s">
        <v>323</v>
      </c>
      <c r="M47" s="4" t="n">
        <v>1</v>
      </c>
      <c r="N47" s="4" t="n">
        <v>1</v>
      </c>
      <c r="O47" s="4" t="n">
        <v>0</v>
      </c>
      <c r="P47" s="12"/>
      <c r="Q47" s="4" t="n">
        <v>0</v>
      </c>
      <c r="R47" s="0" t="str">
        <f aca="false">INDEX(Owners!$B$4:$B$21,MATCH(D47,Owners!$A$4:$A$21,0))</f>
        <v>Finance Systems</v>
      </c>
      <c r="S47" s="6" t="b">
        <f aca="false">AND(F47="closed",ISNUMBER(H47),H47&lt;=Controls!$B$4)</f>
        <v>1</v>
      </c>
      <c r="T47" s="6" t="b">
        <f aca="false">AND(ISNUMBER(I47),I47&lt;=Controls!$B$4,J47="rerun",K47=A47,L47=C47,M47=N47,O47=0,I47&gt;=G47,IF(ISNUMBER(P47),I47&gt;=P47,TRUE()))</f>
        <v>1</v>
      </c>
      <c r="U47" s="0" t="str">
        <f aca="false">IF(AND(S47,T47),"resolved",IF(S47,"claimed","open"))</f>
        <v>resolved</v>
      </c>
      <c r="V47" s="11" t="n">
        <f aca="false">ROUND((IF(U47="resolved",I47,IF(U47="claimed",H47,Controls!$B$4))-G47)*24,4)</f>
        <v>55.8</v>
      </c>
      <c r="W47" s="6" t="b">
        <f aca="false">INDEX(Owners!$E$4:$E$21,MATCH(D47,Owners!$A$4:$A$21,0))</f>
        <v>1</v>
      </c>
    </row>
    <row r="48" customFormat="false" ht="15" hidden="false" customHeight="false" outlineLevel="0" collapsed="false">
      <c r="A48" s="4" t="s">
        <v>342</v>
      </c>
      <c r="B48" s="4" t="s">
        <v>128</v>
      </c>
      <c r="C48" s="4" t="s">
        <v>253</v>
      </c>
      <c r="D48" s="4" t="s">
        <v>283</v>
      </c>
      <c r="E48" s="4" t="s">
        <v>204</v>
      </c>
      <c r="F48" s="4" t="s">
        <v>277</v>
      </c>
      <c r="G48" s="5" t="n">
        <v>46225.1111111111</v>
      </c>
      <c r="H48" s="5" t="n">
        <v>46226.1319444445</v>
      </c>
      <c r="I48" s="5" t="n">
        <v>46226.2645833333</v>
      </c>
      <c r="J48" s="4" t="s">
        <v>284</v>
      </c>
      <c r="K48" s="4" t="s">
        <v>342</v>
      </c>
      <c r="L48" s="4" t="s">
        <v>253</v>
      </c>
      <c r="M48" s="4" t="n">
        <v>1</v>
      </c>
      <c r="N48" s="4" t="n">
        <v>1</v>
      </c>
      <c r="O48" s="4" t="n">
        <v>0</v>
      </c>
      <c r="P48" s="12"/>
      <c r="Q48" s="4" t="n">
        <v>0</v>
      </c>
      <c r="R48" s="0" t="str">
        <f aca="false">INDEX(Owners!$B$4:$B$21,MATCH(D48,Owners!$A$4:$A$21,0))</f>
        <v>Data Platform</v>
      </c>
      <c r="S48" s="6" t="b">
        <f aca="false">AND(F48="closed",ISNUMBER(H48),H48&lt;=Controls!$B$4)</f>
        <v>1</v>
      </c>
      <c r="T48" s="6" t="b">
        <f aca="false">AND(ISNUMBER(I48),I48&lt;=Controls!$B$4,J48="rerun",K48=A48,L48=C48,M48=N48,O48=0,I48&gt;=G48,IF(ISNUMBER(P48),I48&gt;=P48,TRUE()))</f>
        <v>1</v>
      </c>
      <c r="U48" s="0" t="str">
        <f aca="false">IF(AND(S48,T48),"resolved",IF(S48,"claimed","open"))</f>
        <v>resolved</v>
      </c>
      <c r="V48" s="11" t="n">
        <f aca="false">ROUND((IF(U48="resolved",I48,IF(U48="claimed",H48,Controls!$B$4))-G48)*24,4)</f>
        <v>27.6833</v>
      </c>
      <c r="W48" s="6" t="b">
        <f aca="false">INDEX(Owners!$E$4:$E$21,MATCH(D48,Owners!$A$4:$A$21,0))</f>
        <v>1</v>
      </c>
    </row>
    <row r="49" customFormat="false" ht="15" hidden="false" customHeight="false" outlineLevel="0" collapsed="false">
      <c r="A49" s="4" t="s">
        <v>343</v>
      </c>
      <c r="B49" s="4" t="s">
        <v>97</v>
      </c>
      <c r="C49" s="4" t="s">
        <v>208</v>
      </c>
      <c r="D49" s="4" t="s">
        <v>286</v>
      </c>
      <c r="E49" s="4" t="s">
        <v>202</v>
      </c>
      <c r="F49" s="4" t="s">
        <v>277</v>
      </c>
      <c r="G49" s="5" t="n">
        <v>46225.1194444444</v>
      </c>
      <c r="H49" s="5" t="n">
        <v>46226.9152777778</v>
      </c>
      <c r="I49" s="12"/>
      <c r="N49" s="4" t="n">
        <v>1</v>
      </c>
      <c r="P49" s="12"/>
      <c r="Q49" s="4" t="n">
        <v>0</v>
      </c>
      <c r="R49" s="0" t="str">
        <f aca="false">INDEX(Owners!$B$4:$B$21,MATCH(D49,Owners!$A$4:$A$21,0))</f>
        <v>Finance Systems</v>
      </c>
      <c r="S49" s="6" t="b">
        <f aca="false">AND(F49="closed",ISNUMBER(H49),H49&lt;=Controls!$B$4)</f>
        <v>1</v>
      </c>
      <c r="T49" s="6" t="b">
        <f aca="false">AND(ISNUMBER(I49),I49&lt;=Controls!$B$4,J49="rerun",K49=A49,L49=C49,M49=N49,O49=0,I49&gt;=G49,IF(ISNUMBER(P49),I49&gt;=P49,TRUE()))</f>
        <v>0</v>
      </c>
      <c r="U49" s="0" t="str">
        <f aca="false">IF(AND(S49,T49),"resolved",IF(S49,"claimed","open"))</f>
        <v>claimed</v>
      </c>
      <c r="V49" s="11" t="n">
        <f aca="false">ROUND((IF(U49="resolved",I49,IF(U49="claimed",H49,Controls!$B$4))-G49)*24,4)</f>
        <v>43.1</v>
      </c>
      <c r="W49" s="6" t="b">
        <f aca="false">INDEX(Owners!$E$4:$E$21,MATCH(D49,Owners!$A$4:$A$21,0))</f>
        <v>0</v>
      </c>
    </row>
    <row r="50" customFormat="false" ht="15" hidden="false" customHeight="false" outlineLevel="0" collapsed="false">
      <c r="A50" s="4" t="s">
        <v>344</v>
      </c>
      <c r="B50" s="4" t="s">
        <v>92</v>
      </c>
      <c r="C50" s="4" t="s">
        <v>201</v>
      </c>
      <c r="D50" s="4" t="s">
        <v>330</v>
      </c>
      <c r="E50" s="4" t="s">
        <v>202</v>
      </c>
      <c r="F50" s="4" t="s">
        <v>277</v>
      </c>
      <c r="G50" s="5" t="n">
        <v>46225.1465277778</v>
      </c>
      <c r="H50" s="5" t="n">
        <v>46230.7854166667</v>
      </c>
      <c r="I50" s="5" t="n">
        <v>46230.9229166667</v>
      </c>
      <c r="J50" s="4" t="s">
        <v>284</v>
      </c>
      <c r="K50" s="4" t="s">
        <v>344</v>
      </c>
      <c r="L50" s="4" t="s">
        <v>201</v>
      </c>
      <c r="M50" s="4" t="n">
        <v>1</v>
      </c>
      <c r="N50" s="4" t="n">
        <v>1</v>
      </c>
      <c r="O50" s="4" t="n">
        <v>0</v>
      </c>
      <c r="P50" s="12"/>
      <c r="Q50" s="4" t="n">
        <v>0</v>
      </c>
      <c r="R50" s="0" t="str">
        <f aca="false">INDEX(Owners!$B$4:$B$21,MATCH(D50,Owners!$A$4:$A$21,0))</f>
        <v>Supply Chain</v>
      </c>
      <c r="S50" s="6" t="b">
        <f aca="false">AND(F50="closed",ISNUMBER(H50),H50&lt;=Controls!$B$4)</f>
        <v>1</v>
      </c>
      <c r="T50" s="6" t="b">
        <f aca="false">AND(ISNUMBER(I50),I50&lt;=Controls!$B$4,J50="rerun",K50=A50,L50=C50,M50=N50,O50=0,I50&gt;=G50,IF(ISNUMBER(P50),I50&gt;=P50,TRUE()))</f>
        <v>1</v>
      </c>
      <c r="U50" s="0" t="str">
        <f aca="false">IF(AND(S50,T50),"resolved",IF(S50,"claimed","open"))</f>
        <v>resolved</v>
      </c>
      <c r="V50" s="11" t="n">
        <f aca="false">ROUND((IF(U50="resolved",I50,IF(U50="claimed",H50,Controls!$B$4))-G50)*24,4)</f>
        <v>138.6333</v>
      </c>
      <c r="W50" s="6" t="b">
        <f aca="false">INDEX(Owners!$E$4:$E$21,MATCH(D50,Owners!$A$4:$A$21,0))</f>
        <v>1</v>
      </c>
    </row>
    <row r="51" customFormat="false" ht="15" hidden="false" customHeight="false" outlineLevel="0" collapsed="false">
      <c r="A51" s="4" t="s">
        <v>345</v>
      </c>
      <c r="B51" s="4" t="s">
        <v>97</v>
      </c>
      <c r="C51" s="4" t="s">
        <v>208</v>
      </c>
      <c r="D51" s="4" t="s">
        <v>286</v>
      </c>
      <c r="E51" s="4" t="s">
        <v>202</v>
      </c>
      <c r="F51" s="4" t="s">
        <v>277</v>
      </c>
      <c r="G51" s="5" t="n">
        <v>46226.1194444444</v>
      </c>
      <c r="H51" s="5" t="n">
        <v>46227.6027777778</v>
      </c>
      <c r="I51" s="5" t="n">
        <v>46227.99375</v>
      </c>
      <c r="J51" s="4" t="s">
        <v>284</v>
      </c>
      <c r="K51" s="4" t="s">
        <v>345</v>
      </c>
      <c r="L51" s="4" t="s">
        <v>208</v>
      </c>
      <c r="M51" s="4" t="n">
        <v>1</v>
      </c>
      <c r="N51" s="4" t="n">
        <v>1</v>
      </c>
      <c r="O51" s="4" t="n">
        <v>0</v>
      </c>
      <c r="P51" s="12"/>
      <c r="Q51" s="4" t="n">
        <v>0</v>
      </c>
      <c r="R51" s="0" t="str">
        <f aca="false">INDEX(Owners!$B$4:$B$21,MATCH(D51,Owners!$A$4:$A$21,0))</f>
        <v>Finance Systems</v>
      </c>
      <c r="S51" s="6" t="b">
        <f aca="false">AND(F51="closed",ISNUMBER(H51),H51&lt;=Controls!$B$4)</f>
        <v>1</v>
      </c>
      <c r="T51" s="6" t="b">
        <f aca="false">AND(ISNUMBER(I51),I51&lt;=Controls!$B$4,J51="rerun",K51=A51,L51=C51,M51=N51,O51=0,I51&gt;=G51,IF(ISNUMBER(P51),I51&gt;=P51,TRUE()))</f>
        <v>1</v>
      </c>
      <c r="U51" s="0" t="str">
        <f aca="false">IF(AND(S51,T51),"resolved",IF(S51,"claimed","open"))</f>
        <v>resolved</v>
      </c>
      <c r="V51" s="11" t="n">
        <f aca="false">ROUND((IF(U51="resolved",I51,IF(U51="claimed",H51,Controls!$B$4))-G51)*24,4)</f>
        <v>44.9833</v>
      </c>
      <c r="W51" s="6" t="b">
        <f aca="false">INDEX(Owners!$E$4:$E$21,MATCH(D51,Owners!$A$4:$A$21,0))</f>
        <v>0</v>
      </c>
    </row>
    <row r="52" customFormat="false" ht="15" hidden="false" customHeight="false" outlineLevel="0" collapsed="false">
      <c r="A52" s="4" t="s">
        <v>346</v>
      </c>
      <c r="B52" s="4" t="s">
        <v>124</v>
      </c>
      <c r="C52" s="4" t="s">
        <v>247</v>
      </c>
      <c r="D52" s="4" t="s">
        <v>301</v>
      </c>
      <c r="E52" s="4" t="s">
        <v>202</v>
      </c>
      <c r="F52" s="4" t="s">
        <v>277</v>
      </c>
      <c r="G52" s="5" t="n">
        <v>46226.1513888889</v>
      </c>
      <c r="H52" s="5" t="n">
        <v>46227.9076388889</v>
      </c>
      <c r="I52" s="5" t="n">
        <v>46228.0263888889</v>
      </c>
      <c r="J52" s="4" t="s">
        <v>284</v>
      </c>
      <c r="K52" s="4" t="s">
        <v>346</v>
      </c>
      <c r="L52" s="4" t="s">
        <v>247</v>
      </c>
      <c r="M52" s="4" t="n">
        <v>1</v>
      </c>
      <c r="N52" s="4" t="n">
        <v>1</v>
      </c>
      <c r="O52" s="4" t="n">
        <v>0</v>
      </c>
      <c r="P52" s="12"/>
      <c r="Q52" s="4" t="n">
        <v>0</v>
      </c>
      <c r="R52" s="0" t="str">
        <f aca="false">INDEX(Owners!$B$4:$B$21,MATCH(D52,Owners!$A$4:$A$21,0))</f>
        <v>Data Platform</v>
      </c>
      <c r="S52" s="6" t="b">
        <f aca="false">AND(F52="closed",ISNUMBER(H52),H52&lt;=Controls!$B$4)</f>
        <v>1</v>
      </c>
      <c r="T52" s="6" t="b">
        <f aca="false">AND(ISNUMBER(I52),I52&lt;=Controls!$B$4,J52="rerun",K52=A52,L52=C52,M52=N52,O52=0,I52&gt;=G52,IF(ISNUMBER(P52),I52&gt;=P52,TRUE()))</f>
        <v>1</v>
      </c>
      <c r="U52" s="0" t="str">
        <f aca="false">IF(AND(S52,T52),"resolved",IF(S52,"claimed","open"))</f>
        <v>resolved</v>
      </c>
      <c r="V52" s="11" t="n">
        <f aca="false">ROUND((IF(U52="resolved",I52,IF(U52="claimed",H52,Controls!$B$4))-G52)*24,4)</f>
        <v>45</v>
      </c>
      <c r="W52" s="6" t="b">
        <f aca="false">INDEX(Owners!$E$4:$E$21,MATCH(D52,Owners!$A$4:$A$21,0))</f>
        <v>1</v>
      </c>
    </row>
    <row r="53" customFormat="false" ht="15" hidden="false" customHeight="false" outlineLevel="0" collapsed="false">
      <c r="A53" s="4" t="s">
        <v>347</v>
      </c>
      <c r="B53" s="4" t="s">
        <v>117</v>
      </c>
      <c r="C53" s="4" t="s">
        <v>240</v>
      </c>
      <c r="D53" s="4" t="s">
        <v>288</v>
      </c>
      <c r="E53" s="4" t="s">
        <v>204</v>
      </c>
      <c r="F53" s="4" t="s">
        <v>277</v>
      </c>
      <c r="G53" s="5" t="n">
        <v>46226.2458333333</v>
      </c>
      <c r="H53" s="5" t="n">
        <v>46227.5756944444</v>
      </c>
      <c r="I53" s="12"/>
      <c r="N53" s="4" t="n">
        <v>1</v>
      </c>
      <c r="P53" s="12"/>
      <c r="Q53" s="4" t="n">
        <v>0</v>
      </c>
      <c r="R53" s="0" t="str">
        <f aca="false">INDEX(Owners!$B$4:$B$21,MATCH(D53,Owners!$A$4:$A$21,0))</f>
        <v>Support Operations</v>
      </c>
      <c r="S53" s="6" t="b">
        <f aca="false">AND(F53="closed",ISNUMBER(H53),H53&lt;=Controls!$B$4)</f>
        <v>1</v>
      </c>
      <c r="T53" s="6" t="b">
        <f aca="false">AND(ISNUMBER(I53),I53&lt;=Controls!$B$4,J53="rerun",K53=A53,L53=C53,M53=N53,O53=0,I53&gt;=G53,IF(ISNUMBER(P53),I53&gt;=P53,TRUE()))</f>
        <v>0</v>
      </c>
      <c r="U53" s="0" t="str">
        <f aca="false">IF(AND(S53,T53),"resolved",IF(S53,"claimed","open"))</f>
        <v>claimed</v>
      </c>
      <c r="V53" s="11" t="n">
        <f aca="false">ROUND((IF(U53="resolved",I53,IF(U53="claimed",H53,Controls!$B$4))-G53)*24,4)</f>
        <v>31.9167</v>
      </c>
      <c r="W53" s="6" t="b">
        <f aca="false">INDEX(Owners!$E$4:$E$21,MATCH(D53,Owners!$A$4:$A$21,0))</f>
        <v>1</v>
      </c>
    </row>
    <row r="54" customFormat="false" ht="15" hidden="false" customHeight="false" outlineLevel="0" collapsed="false">
      <c r="A54" s="4" t="s">
        <v>348</v>
      </c>
      <c r="B54" s="4" t="s">
        <v>97</v>
      </c>
      <c r="C54" s="4" t="s">
        <v>208</v>
      </c>
      <c r="D54" s="4" t="s">
        <v>286</v>
      </c>
      <c r="E54" s="4" t="s">
        <v>202</v>
      </c>
      <c r="F54" s="4" t="s">
        <v>277</v>
      </c>
      <c r="G54" s="5" t="n">
        <v>46227.1194444444</v>
      </c>
      <c r="H54" s="5" t="n">
        <v>46236.3451388889</v>
      </c>
      <c r="I54" s="5" t="n">
        <v>46236.4055555556</v>
      </c>
      <c r="J54" s="4" t="s">
        <v>284</v>
      </c>
      <c r="K54" s="4" t="s">
        <v>348</v>
      </c>
      <c r="L54" s="4" t="s">
        <v>208</v>
      </c>
      <c r="M54" s="4" t="n">
        <v>1</v>
      </c>
      <c r="N54" s="4" t="n">
        <v>1</v>
      </c>
      <c r="O54" s="4" t="n">
        <v>0</v>
      </c>
      <c r="P54" s="12"/>
      <c r="Q54" s="4" t="n">
        <v>0</v>
      </c>
      <c r="R54" s="0" t="str">
        <f aca="false">INDEX(Owners!$B$4:$B$21,MATCH(D54,Owners!$A$4:$A$21,0))</f>
        <v>Finance Systems</v>
      </c>
      <c r="S54" s="6" t="b">
        <f aca="false">AND(F54="closed",ISNUMBER(H54),H54&lt;=Controls!$B$4)</f>
        <v>1</v>
      </c>
      <c r="T54" s="6" t="b">
        <f aca="false">AND(ISNUMBER(I54),I54&lt;=Controls!$B$4,J54="rerun",K54=A54,L54=C54,M54=N54,O54=0,I54&gt;=G54,IF(ISNUMBER(P54),I54&gt;=P54,TRUE()))</f>
        <v>1</v>
      </c>
      <c r="U54" s="0" t="str">
        <f aca="false">IF(AND(S54,T54),"resolved",IF(S54,"claimed","open"))</f>
        <v>resolved</v>
      </c>
      <c r="V54" s="11" t="n">
        <f aca="false">ROUND((IF(U54="resolved",I54,IF(U54="claimed",H54,Controls!$B$4))-G54)*24,4)</f>
        <v>222.8667</v>
      </c>
      <c r="W54" s="6" t="b">
        <f aca="false">INDEX(Owners!$E$4:$E$21,MATCH(D54,Owners!$A$4:$A$21,0))</f>
        <v>0</v>
      </c>
    </row>
    <row r="55" customFormat="false" ht="15" hidden="false" customHeight="false" outlineLevel="0" collapsed="false">
      <c r="A55" s="4" t="s">
        <v>349</v>
      </c>
      <c r="B55" s="4" t="s">
        <v>122</v>
      </c>
      <c r="C55" s="4" t="s">
        <v>245</v>
      </c>
      <c r="D55" s="4" t="s">
        <v>350</v>
      </c>
      <c r="E55" s="4" t="s">
        <v>204</v>
      </c>
      <c r="F55" s="4" t="s">
        <v>277</v>
      </c>
      <c r="G55" s="5" t="n">
        <v>46227.1291666667</v>
      </c>
      <c r="H55" s="5" t="n">
        <v>46229.4597222222</v>
      </c>
      <c r="I55" s="5" t="n">
        <v>46229.6965277778</v>
      </c>
      <c r="J55" s="4" t="s">
        <v>284</v>
      </c>
      <c r="K55" s="4" t="s">
        <v>349</v>
      </c>
      <c r="L55" s="4" t="s">
        <v>245</v>
      </c>
      <c r="M55" s="4" t="n">
        <v>1</v>
      </c>
      <c r="N55" s="4" t="n">
        <v>1</v>
      </c>
      <c r="O55" s="4" t="n">
        <v>0</v>
      </c>
      <c r="P55" s="12"/>
      <c r="Q55" s="4" t="n">
        <v>0</v>
      </c>
      <c r="R55" s="0" t="str">
        <f aca="false">INDEX(Owners!$B$4:$B$21,MATCH(D55,Owners!$A$4:$A$21,0))</f>
        <v>Supply Chain</v>
      </c>
      <c r="S55" s="6" t="b">
        <f aca="false">AND(F55="closed",ISNUMBER(H55),H55&lt;=Controls!$B$4)</f>
        <v>1</v>
      </c>
      <c r="T55" s="6" t="b">
        <f aca="false">AND(ISNUMBER(I55),I55&lt;=Controls!$B$4,J55="rerun",K55=A55,L55=C55,M55=N55,O55=0,I55&gt;=G55,IF(ISNUMBER(P55),I55&gt;=P55,TRUE()))</f>
        <v>1</v>
      </c>
      <c r="U55" s="0" t="str">
        <f aca="false">IF(AND(S55,T55),"resolved",IF(S55,"claimed","open"))</f>
        <v>resolved</v>
      </c>
      <c r="V55" s="11" t="n">
        <f aca="false">ROUND((IF(U55="resolved",I55,IF(U55="claimed",H55,Controls!$B$4))-G55)*24,4)</f>
        <v>61.6167</v>
      </c>
      <c r="W55" s="6" t="b">
        <f aca="false">INDEX(Owners!$E$4:$E$21,MATCH(D55,Owners!$A$4:$A$21,0))</f>
        <v>1</v>
      </c>
    </row>
    <row r="56" customFormat="false" ht="15" hidden="false" customHeight="false" outlineLevel="0" collapsed="false">
      <c r="A56" s="4" t="s">
        <v>351</v>
      </c>
      <c r="B56" s="4" t="s">
        <v>119</v>
      </c>
      <c r="C56" s="4" t="s">
        <v>243</v>
      </c>
      <c r="D56" s="4" t="s">
        <v>292</v>
      </c>
      <c r="E56" s="4" t="s">
        <v>202</v>
      </c>
      <c r="F56" s="4" t="s">
        <v>277</v>
      </c>
      <c r="G56" s="5" t="n">
        <v>46227.1604166667</v>
      </c>
      <c r="H56" s="5" t="n">
        <v>46235.7270833333</v>
      </c>
      <c r="I56" s="5" t="n">
        <v>46236.0472222222</v>
      </c>
      <c r="J56" s="4" t="s">
        <v>284</v>
      </c>
      <c r="K56" s="4" t="s">
        <v>351</v>
      </c>
      <c r="L56" s="4" t="s">
        <v>243</v>
      </c>
      <c r="M56" s="4" t="n">
        <v>1</v>
      </c>
      <c r="N56" s="4" t="n">
        <v>1</v>
      </c>
      <c r="O56" s="4" t="n">
        <v>0</v>
      </c>
      <c r="P56" s="12"/>
      <c r="Q56" s="4" t="n">
        <v>0</v>
      </c>
      <c r="R56" s="0" t="str">
        <f aca="false">INDEX(Owners!$B$4:$B$21,MATCH(D56,Owners!$A$4:$A$21,0))</f>
        <v>Support Operations</v>
      </c>
      <c r="S56" s="6" t="b">
        <f aca="false">AND(F56="closed",ISNUMBER(H56),H56&lt;=Controls!$B$4)</f>
        <v>1</v>
      </c>
      <c r="T56" s="6" t="b">
        <f aca="false">AND(ISNUMBER(I56),I56&lt;=Controls!$B$4,J56="rerun",K56=A56,L56=C56,M56=N56,O56=0,I56&gt;=G56,IF(ISNUMBER(P56),I56&gt;=P56,TRUE()))</f>
        <v>1</v>
      </c>
      <c r="U56" s="0" t="str">
        <f aca="false">IF(AND(S56,T56),"resolved",IF(S56,"claimed","open"))</f>
        <v>resolved</v>
      </c>
      <c r="V56" s="11" t="n">
        <f aca="false">ROUND((IF(U56="resolved",I56,IF(U56="claimed",H56,Controls!$B$4))-G56)*24,4)</f>
        <v>213.2833</v>
      </c>
      <c r="W56" s="6" t="b">
        <f aca="false">INDEX(Owners!$E$4:$E$21,MATCH(D56,Owners!$A$4:$A$21,0))</f>
        <v>1</v>
      </c>
    </row>
    <row r="57" customFormat="false" ht="15" hidden="false" customHeight="false" outlineLevel="0" collapsed="false">
      <c r="A57" s="4" t="s">
        <v>352</v>
      </c>
      <c r="B57" s="4" t="s">
        <v>98</v>
      </c>
      <c r="C57" s="4" t="s">
        <v>211</v>
      </c>
      <c r="D57" s="4" t="s">
        <v>324</v>
      </c>
      <c r="E57" s="4" t="s">
        <v>204</v>
      </c>
      <c r="F57" s="4" t="s">
        <v>277</v>
      </c>
      <c r="G57" s="5" t="n">
        <v>46227.2416666667</v>
      </c>
      <c r="H57" s="5" t="n">
        <v>46228.3305555556</v>
      </c>
      <c r="I57" s="5" t="n">
        <v>46228.5909722222</v>
      </c>
      <c r="J57" s="4" t="s">
        <v>284</v>
      </c>
      <c r="K57" s="4" t="s">
        <v>352</v>
      </c>
      <c r="L57" s="4" t="s">
        <v>211</v>
      </c>
      <c r="M57" s="4" t="n">
        <v>1</v>
      </c>
      <c r="N57" s="4" t="n">
        <v>1</v>
      </c>
      <c r="O57" s="4" t="n">
        <v>0</v>
      </c>
      <c r="P57" s="12"/>
      <c r="Q57" s="4" t="n">
        <v>0</v>
      </c>
      <c r="R57" s="0" t="str">
        <f aca="false">INDEX(Owners!$B$4:$B$21,MATCH(D57,Owners!$A$4:$A$21,0))</f>
        <v>Finance Systems</v>
      </c>
      <c r="S57" s="6" t="b">
        <f aca="false">AND(F57="closed",ISNUMBER(H57),H57&lt;=Controls!$B$4)</f>
        <v>1</v>
      </c>
      <c r="T57" s="6" t="b">
        <f aca="false">AND(ISNUMBER(I57),I57&lt;=Controls!$B$4,J57="rerun",K57=A57,L57=C57,M57=N57,O57=0,I57&gt;=G57,IF(ISNUMBER(P57),I57&gt;=P57,TRUE()))</f>
        <v>1</v>
      </c>
      <c r="U57" s="0" t="str">
        <f aca="false">IF(AND(S57,T57),"resolved",IF(S57,"claimed","open"))</f>
        <v>resolved</v>
      </c>
      <c r="V57" s="11" t="n">
        <f aca="false">ROUND((IF(U57="resolved",I57,IF(U57="claimed",H57,Controls!$B$4))-G57)*24,4)</f>
        <v>32.3833</v>
      </c>
      <c r="W57" s="6" t="b">
        <f aca="false">INDEX(Owners!$E$4:$E$21,MATCH(D57,Owners!$A$4:$A$21,0))</f>
        <v>1</v>
      </c>
    </row>
    <row r="58" customFormat="false" ht="15" hidden="false" customHeight="false" outlineLevel="0" collapsed="false">
      <c r="A58" s="4" t="s">
        <v>353</v>
      </c>
      <c r="B58" s="4" t="s">
        <v>107</v>
      </c>
      <c r="C58" s="4" t="s">
        <v>224</v>
      </c>
      <c r="D58" s="4" t="s">
        <v>326</v>
      </c>
      <c r="E58" s="4" t="s">
        <v>202</v>
      </c>
      <c r="F58" s="4" t="s">
        <v>277</v>
      </c>
      <c r="G58" s="5" t="n">
        <v>46228.0972222222</v>
      </c>
      <c r="H58" s="5" t="n">
        <v>46228.83125</v>
      </c>
      <c r="I58" s="12"/>
      <c r="N58" s="4" t="n">
        <v>1</v>
      </c>
      <c r="P58" s="12"/>
      <c r="Q58" s="4" t="n">
        <v>0</v>
      </c>
      <c r="R58" s="0" t="str">
        <f aca="false">INDEX(Owners!$B$4:$B$21,MATCH(D58,Owners!$A$4:$A$21,0))</f>
        <v>Customer Data</v>
      </c>
      <c r="S58" s="6" t="b">
        <f aca="false">AND(F58="closed",ISNUMBER(H58),H58&lt;=Controls!$B$4)</f>
        <v>1</v>
      </c>
      <c r="T58" s="6" t="b">
        <f aca="false">AND(ISNUMBER(I58),I58&lt;=Controls!$B$4,J58="rerun",K58=A58,L58=C58,M58=N58,O58=0,I58&gt;=G58,IF(ISNUMBER(P58),I58&gt;=P58,TRUE()))</f>
        <v>0</v>
      </c>
      <c r="U58" s="0" t="str">
        <f aca="false">IF(AND(S58,T58),"resolved",IF(S58,"claimed","open"))</f>
        <v>claimed</v>
      </c>
      <c r="V58" s="11" t="n">
        <f aca="false">ROUND((IF(U58="resolved",I58,IF(U58="claimed",H58,Controls!$B$4))-G58)*24,4)</f>
        <v>17.6167</v>
      </c>
      <c r="W58" s="6" t="b">
        <f aca="false">INDEX(Owners!$E$4:$E$21,MATCH(D58,Owners!$A$4:$A$21,0))</f>
        <v>0</v>
      </c>
    </row>
    <row r="59" customFormat="false" ht="15" hidden="false" customHeight="false" outlineLevel="0" collapsed="false">
      <c r="A59" s="4" t="s">
        <v>354</v>
      </c>
      <c r="B59" s="4" t="s">
        <v>124</v>
      </c>
      <c r="C59" s="4" t="s">
        <v>247</v>
      </c>
      <c r="D59" s="4" t="s">
        <v>301</v>
      </c>
      <c r="E59" s="4" t="s">
        <v>202</v>
      </c>
      <c r="F59" s="4" t="s">
        <v>277</v>
      </c>
      <c r="G59" s="5" t="n">
        <v>46228.1513888889</v>
      </c>
      <c r="H59" s="5" t="n">
        <v>46228.6465277778</v>
      </c>
      <c r="I59" s="5" t="n">
        <v>46228.7701388889</v>
      </c>
      <c r="J59" s="4" t="s">
        <v>284</v>
      </c>
      <c r="K59" s="4" t="s">
        <v>354</v>
      </c>
      <c r="L59" s="4" t="s">
        <v>247</v>
      </c>
      <c r="M59" s="4" t="n">
        <v>1</v>
      </c>
      <c r="N59" s="4" t="n">
        <v>1</v>
      </c>
      <c r="O59" s="4" t="n">
        <v>0</v>
      </c>
      <c r="P59" s="12"/>
      <c r="Q59" s="4" t="n">
        <v>0</v>
      </c>
      <c r="R59" s="0" t="str">
        <f aca="false">INDEX(Owners!$B$4:$B$21,MATCH(D59,Owners!$A$4:$A$21,0))</f>
        <v>Data Platform</v>
      </c>
      <c r="S59" s="6" t="b">
        <f aca="false">AND(F59="closed",ISNUMBER(H59),H59&lt;=Controls!$B$4)</f>
        <v>1</v>
      </c>
      <c r="T59" s="6" t="b">
        <f aca="false">AND(ISNUMBER(I59),I59&lt;=Controls!$B$4,J59="rerun",K59=A59,L59=C59,M59=N59,O59=0,I59&gt;=G59,IF(ISNUMBER(P59),I59&gt;=P59,TRUE()))</f>
        <v>1</v>
      </c>
      <c r="U59" s="0" t="str">
        <f aca="false">IF(AND(S59,T59),"resolved",IF(S59,"claimed","open"))</f>
        <v>resolved</v>
      </c>
      <c r="V59" s="11" t="n">
        <f aca="false">ROUND((IF(U59="resolved",I59,IF(U59="claimed",H59,Controls!$B$4))-G59)*24,4)</f>
        <v>14.85</v>
      </c>
      <c r="W59" s="6" t="b">
        <f aca="false">INDEX(Owners!$E$4:$E$21,MATCH(D59,Owners!$A$4:$A$21,0))</f>
        <v>1</v>
      </c>
    </row>
    <row r="60" customFormat="false" ht="15" hidden="false" customHeight="false" outlineLevel="0" collapsed="false">
      <c r="A60" s="4" t="s">
        <v>355</v>
      </c>
      <c r="B60" s="4" t="s">
        <v>117</v>
      </c>
      <c r="C60" s="4" t="s">
        <v>240</v>
      </c>
      <c r="D60" s="4" t="s">
        <v>288</v>
      </c>
      <c r="E60" s="4" t="s">
        <v>204</v>
      </c>
      <c r="F60" s="4" t="s">
        <v>277</v>
      </c>
      <c r="G60" s="5" t="n">
        <v>46228.2458333333</v>
      </c>
      <c r="H60" s="5" t="n">
        <v>46228.9125</v>
      </c>
      <c r="I60" s="12"/>
      <c r="N60" s="4" t="n">
        <v>1</v>
      </c>
      <c r="P60" s="12"/>
      <c r="Q60" s="4" t="n">
        <v>0</v>
      </c>
      <c r="R60" s="0" t="str">
        <f aca="false">INDEX(Owners!$B$4:$B$21,MATCH(D60,Owners!$A$4:$A$21,0))</f>
        <v>Support Operations</v>
      </c>
      <c r="S60" s="6" t="b">
        <f aca="false">AND(F60="closed",ISNUMBER(H60),H60&lt;=Controls!$B$4)</f>
        <v>1</v>
      </c>
      <c r="T60" s="6" t="b">
        <f aca="false">AND(ISNUMBER(I60),I60&lt;=Controls!$B$4,J60="rerun",K60=A60,L60=C60,M60=N60,O60=0,I60&gt;=G60,IF(ISNUMBER(P60),I60&gt;=P60,TRUE()))</f>
        <v>0</v>
      </c>
      <c r="U60" s="0" t="str">
        <f aca="false">IF(AND(S60,T60),"resolved",IF(S60,"claimed","open"))</f>
        <v>claimed</v>
      </c>
      <c r="V60" s="11" t="n">
        <f aca="false">ROUND((IF(U60="resolved",I60,IF(U60="claimed",H60,Controls!$B$4))-G60)*24,4)</f>
        <v>16</v>
      </c>
      <c r="W60" s="6" t="b">
        <f aca="false">INDEX(Owners!$E$4:$E$21,MATCH(D60,Owners!$A$4:$A$21,0))</f>
        <v>1</v>
      </c>
    </row>
    <row r="61" customFormat="false" ht="15" hidden="false" customHeight="false" outlineLevel="0" collapsed="false">
      <c r="A61" s="4" t="s">
        <v>356</v>
      </c>
      <c r="B61" s="4" t="s">
        <v>113</v>
      </c>
      <c r="C61" s="4" t="s">
        <v>234</v>
      </c>
      <c r="D61" s="4" t="s">
        <v>296</v>
      </c>
      <c r="E61" s="4" t="s">
        <v>204</v>
      </c>
      <c r="F61" s="4" t="s">
        <v>277</v>
      </c>
      <c r="G61" s="5" t="n">
        <v>46228.9930555556</v>
      </c>
      <c r="H61" s="5" t="n">
        <v>46232.2395833333</v>
      </c>
      <c r="I61" s="12"/>
      <c r="N61" s="4" t="n">
        <v>1</v>
      </c>
      <c r="P61" s="12"/>
      <c r="Q61" s="4" t="n">
        <v>0</v>
      </c>
      <c r="R61" s="0" t="str">
        <f aca="false">INDEX(Owners!$B$4:$B$21,MATCH(D61,Owners!$A$4:$A$21,0))</f>
        <v>Data Platform</v>
      </c>
      <c r="S61" s="6" t="b">
        <f aca="false">AND(F61="closed",ISNUMBER(H61),H61&lt;=Controls!$B$4)</f>
        <v>1</v>
      </c>
      <c r="T61" s="6" t="b">
        <f aca="false">AND(ISNUMBER(I61),I61&lt;=Controls!$B$4,J61="rerun",K61=A61,L61=C61,M61=N61,O61=0,I61&gt;=G61,IF(ISNUMBER(P61),I61&gt;=P61,TRUE()))</f>
        <v>0</v>
      </c>
      <c r="U61" s="0" t="str">
        <f aca="false">IF(AND(S61,T61),"resolved",IF(S61,"claimed","open"))</f>
        <v>claimed</v>
      </c>
      <c r="V61" s="11" t="n">
        <f aca="false">ROUND((IF(U61="resolved",I61,IF(U61="claimed",H61,Controls!$B$4))-G61)*24,4)</f>
        <v>77.9167</v>
      </c>
      <c r="W61" s="6" t="b">
        <f aca="false">INDEX(Owners!$E$4:$E$21,MATCH(D61,Owners!$A$4:$A$21,0))</f>
        <v>1</v>
      </c>
    </row>
    <row r="62" customFormat="false" ht="15" hidden="false" customHeight="false" outlineLevel="0" collapsed="false">
      <c r="A62" s="4" t="s">
        <v>357</v>
      </c>
      <c r="B62" s="4" t="s">
        <v>127</v>
      </c>
      <c r="C62" s="4" t="s">
        <v>252</v>
      </c>
      <c r="D62" s="4" t="s">
        <v>358</v>
      </c>
      <c r="E62" s="4" t="s">
        <v>204</v>
      </c>
      <c r="F62" s="4" t="s">
        <v>277</v>
      </c>
      <c r="G62" s="5" t="n">
        <v>46229.0888888889</v>
      </c>
      <c r="H62" s="5" t="n">
        <v>46231.5604166667</v>
      </c>
      <c r="I62" s="5" t="n">
        <v>46231.7472222222</v>
      </c>
      <c r="J62" s="4" t="s">
        <v>284</v>
      </c>
      <c r="K62" s="4" t="s">
        <v>357</v>
      </c>
      <c r="L62" s="4" t="s">
        <v>252</v>
      </c>
      <c r="M62" s="4" t="n">
        <v>1</v>
      </c>
      <c r="N62" s="4" t="n">
        <v>1</v>
      </c>
      <c r="O62" s="4" t="n">
        <v>0</v>
      </c>
      <c r="P62" s="12"/>
      <c r="Q62" s="4" t="n">
        <v>0</v>
      </c>
      <c r="R62" s="0" t="str">
        <f aca="false">INDEX(Owners!$B$4:$B$21,MATCH(D62,Owners!$A$4:$A$21,0))</f>
        <v>Finance Systems</v>
      </c>
      <c r="S62" s="6" t="b">
        <f aca="false">AND(F62="closed",ISNUMBER(H62),H62&lt;=Controls!$B$4)</f>
        <v>1</v>
      </c>
      <c r="T62" s="6" t="b">
        <f aca="false">AND(ISNUMBER(I62),I62&lt;=Controls!$B$4,J62="rerun",K62=A62,L62=C62,M62=N62,O62=0,I62&gt;=G62,IF(ISNUMBER(P62),I62&gt;=P62,TRUE()))</f>
        <v>1</v>
      </c>
      <c r="U62" s="0" t="str">
        <f aca="false">IF(AND(S62,T62),"resolved",IF(S62,"claimed","open"))</f>
        <v>resolved</v>
      </c>
      <c r="V62" s="11" t="n">
        <f aca="false">ROUND((IF(U62="resolved",I62,IF(U62="claimed",H62,Controls!$B$4))-G62)*24,4)</f>
        <v>63.8</v>
      </c>
      <c r="W62" s="6" t="b">
        <f aca="false">INDEX(Owners!$E$4:$E$21,MATCH(D62,Owners!$A$4:$A$21,0))</f>
        <v>1</v>
      </c>
    </row>
    <row r="63" customFormat="false" ht="15" hidden="false" customHeight="false" outlineLevel="0" collapsed="false">
      <c r="A63" s="4" t="s">
        <v>359</v>
      </c>
      <c r="B63" s="4" t="s">
        <v>97</v>
      </c>
      <c r="C63" s="4" t="s">
        <v>208</v>
      </c>
      <c r="D63" s="4" t="s">
        <v>286</v>
      </c>
      <c r="E63" s="4" t="s">
        <v>202</v>
      </c>
      <c r="F63" s="4" t="s">
        <v>277</v>
      </c>
      <c r="G63" s="5" t="n">
        <v>46229.1194444444</v>
      </c>
      <c r="H63" s="5" t="n">
        <v>46232.4819444444</v>
      </c>
      <c r="I63" s="5" t="n">
        <v>46232.5784722222</v>
      </c>
      <c r="J63" s="4" t="s">
        <v>284</v>
      </c>
      <c r="K63" s="4" t="s">
        <v>359</v>
      </c>
      <c r="L63" s="4" t="s">
        <v>208</v>
      </c>
      <c r="M63" s="4" t="n">
        <v>1</v>
      </c>
      <c r="N63" s="4" t="n">
        <v>1</v>
      </c>
      <c r="O63" s="4" t="n">
        <v>0</v>
      </c>
      <c r="P63" s="12"/>
      <c r="Q63" s="4" t="n">
        <v>0</v>
      </c>
      <c r="R63" s="0" t="str">
        <f aca="false">INDEX(Owners!$B$4:$B$21,MATCH(D63,Owners!$A$4:$A$21,0))</f>
        <v>Finance Systems</v>
      </c>
      <c r="S63" s="6" t="b">
        <f aca="false">AND(F63="closed",ISNUMBER(H63),H63&lt;=Controls!$B$4)</f>
        <v>1</v>
      </c>
      <c r="T63" s="6" t="b">
        <f aca="false">AND(ISNUMBER(I63),I63&lt;=Controls!$B$4,J63="rerun",K63=A63,L63=C63,M63=N63,O63=0,I63&gt;=G63,IF(ISNUMBER(P63),I63&gt;=P63,TRUE()))</f>
        <v>1</v>
      </c>
      <c r="U63" s="0" t="str">
        <f aca="false">IF(AND(S63,T63),"resolved",IF(S63,"claimed","open"))</f>
        <v>resolved</v>
      </c>
      <c r="V63" s="11" t="n">
        <f aca="false">ROUND((IF(U63="resolved",I63,IF(U63="claimed",H63,Controls!$B$4))-G63)*24,4)</f>
        <v>83.0167</v>
      </c>
      <c r="W63" s="6" t="b">
        <f aca="false">INDEX(Owners!$E$4:$E$21,MATCH(D63,Owners!$A$4:$A$21,0))</f>
        <v>0</v>
      </c>
    </row>
    <row r="64" customFormat="false" ht="15" hidden="false" customHeight="false" outlineLevel="0" collapsed="false">
      <c r="A64" s="4" t="s">
        <v>360</v>
      </c>
      <c r="B64" s="4" t="s">
        <v>92</v>
      </c>
      <c r="C64" s="4" t="s">
        <v>201</v>
      </c>
      <c r="D64" s="4" t="s">
        <v>330</v>
      </c>
      <c r="E64" s="4" t="s">
        <v>202</v>
      </c>
      <c r="F64" s="4" t="s">
        <v>277</v>
      </c>
      <c r="G64" s="5" t="n">
        <v>46229.1465277778</v>
      </c>
      <c r="H64" s="5" t="n">
        <v>46230.1638888889</v>
      </c>
      <c r="I64" s="5" t="n">
        <v>46230.7722222222</v>
      </c>
      <c r="J64" s="4" t="s">
        <v>284</v>
      </c>
      <c r="K64" s="4" t="s">
        <v>360</v>
      </c>
      <c r="L64" s="4" t="s">
        <v>201</v>
      </c>
      <c r="M64" s="4" t="n">
        <v>1</v>
      </c>
      <c r="N64" s="4" t="n">
        <v>1</v>
      </c>
      <c r="O64" s="4" t="n">
        <v>0</v>
      </c>
      <c r="P64" s="12"/>
      <c r="Q64" s="4" t="n">
        <v>0</v>
      </c>
      <c r="R64" s="0" t="str">
        <f aca="false">INDEX(Owners!$B$4:$B$21,MATCH(D64,Owners!$A$4:$A$21,0))</f>
        <v>Supply Chain</v>
      </c>
      <c r="S64" s="6" t="b">
        <f aca="false">AND(F64="closed",ISNUMBER(H64),H64&lt;=Controls!$B$4)</f>
        <v>1</v>
      </c>
      <c r="T64" s="6" t="b">
        <f aca="false">AND(ISNUMBER(I64),I64&lt;=Controls!$B$4,J64="rerun",K64=A64,L64=C64,M64=N64,O64=0,I64&gt;=G64,IF(ISNUMBER(P64),I64&gt;=P64,TRUE()))</f>
        <v>1</v>
      </c>
      <c r="U64" s="0" t="str">
        <f aca="false">IF(AND(S64,T64),"resolved",IF(S64,"claimed","open"))</f>
        <v>resolved</v>
      </c>
      <c r="V64" s="11" t="n">
        <f aca="false">ROUND((IF(U64="resolved",I64,IF(U64="claimed",H64,Controls!$B$4))-G64)*24,4)</f>
        <v>39.0167</v>
      </c>
      <c r="W64" s="6" t="b">
        <f aca="false">INDEX(Owners!$E$4:$E$21,MATCH(D64,Owners!$A$4:$A$21,0))</f>
        <v>1</v>
      </c>
    </row>
    <row r="65" customFormat="false" ht="15" hidden="false" customHeight="false" outlineLevel="0" collapsed="false">
      <c r="A65" s="4" t="s">
        <v>361</v>
      </c>
      <c r="B65" s="4" t="s">
        <v>131</v>
      </c>
      <c r="C65" s="4" t="s">
        <v>257</v>
      </c>
      <c r="D65" s="4" t="s">
        <v>283</v>
      </c>
      <c r="E65" s="4" t="s">
        <v>202</v>
      </c>
      <c r="F65" s="4" t="s">
        <v>277</v>
      </c>
      <c r="G65" s="5" t="n">
        <v>46229.1923611111</v>
      </c>
      <c r="H65" s="5" t="n">
        <v>46229.5201388889</v>
      </c>
      <c r="I65" s="5" t="n">
        <v>46229.7145833333</v>
      </c>
      <c r="J65" s="4" t="s">
        <v>284</v>
      </c>
      <c r="K65" s="4" t="s">
        <v>361</v>
      </c>
      <c r="L65" s="4" t="s">
        <v>257</v>
      </c>
      <c r="M65" s="4" t="n">
        <v>1</v>
      </c>
      <c r="N65" s="4" t="n">
        <v>1</v>
      </c>
      <c r="O65" s="4" t="n">
        <v>0</v>
      </c>
      <c r="P65" s="12"/>
      <c r="Q65" s="4" t="n">
        <v>0</v>
      </c>
      <c r="R65" s="0" t="str">
        <f aca="false">INDEX(Owners!$B$4:$B$21,MATCH(D65,Owners!$A$4:$A$21,0))</f>
        <v>Data Platform</v>
      </c>
      <c r="S65" s="6" t="b">
        <f aca="false">AND(F65="closed",ISNUMBER(H65),H65&lt;=Controls!$B$4)</f>
        <v>1</v>
      </c>
      <c r="T65" s="6" t="b">
        <f aca="false">AND(ISNUMBER(I65),I65&lt;=Controls!$B$4,J65="rerun",K65=A65,L65=C65,M65=N65,O65=0,I65&gt;=G65,IF(ISNUMBER(P65),I65&gt;=P65,TRUE()))</f>
        <v>1</v>
      </c>
      <c r="U65" s="0" t="str">
        <f aca="false">IF(AND(S65,T65),"resolved",IF(S65,"claimed","open"))</f>
        <v>resolved</v>
      </c>
      <c r="V65" s="11" t="n">
        <f aca="false">ROUND((IF(U65="resolved",I65,IF(U65="claimed",H65,Controls!$B$4))-G65)*24,4)</f>
        <v>12.5333</v>
      </c>
      <c r="W65" s="6" t="b">
        <f aca="false">INDEX(Owners!$E$4:$E$21,MATCH(D65,Owners!$A$4:$A$21,0))</f>
        <v>1</v>
      </c>
    </row>
    <row r="66" customFormat="false" ht="15" hidden="false" customHeight="false" outlineLevel="0" collapsed="false">
      <c r="A66" s="4" t="s">
        <v>362</v>
      </c>
      <c r="B66" s="4" t="s">
        <v>98</v>
      </c>
      <c r="C66" s="4" t="s">
        <v>211</v>
      </c>
      <c r="D66" s="4" t="s">
        <v>324</v>
      </c>
      <c r="E66" s="4" t="s">
        <v>204</v>
      </c>
      <c r="F66" s="4" t="s">
        <v>277</v>
      </c>
      <c r="G66" s="5" t="n">
        <v>46229.2416666667</v>
      </c>
      <c r="H66" s="5" t="n">
        <v>46236.8701388889</v>
      </c>
      <c r="I66" s="5" t="n">
        <v>46237.0548611111</v>
      </c>
      <c r="J66" s="4" t="s">
        <v>284</v>
      </c>
      <c r="K66" s="4" t="s">
        <v>362</v>
      </c>
      <c r="L66" s="4" t="s">
        <v>211</v>
      </c>
      <c r="M66" s="4" t="n">
        <v>1</v>
      </c>
      <c r="N66" s="4" t="n">
        <v>1</v>
      </c>
      <c r="O66" s="4" t="n">
        <v>0</v>
      </c>
      <c r="P66" s="12"/>
      <c r="Q66" s="4" t="n">
        <v>0</v>
      </c>
      <c r="R66" s="0" t="str">
        <f aca="false">INDEX(Owners!$B$4:$B$21,MATCH(D66,Owners!$A$4:$A$21,0))</f>
        <v>Finance Systems</v>
      </c>
      <c r="S66" s="6" t="b">
        <f aca="false">AND(F66="closed",ISNUMBER(H66),H66&lt;=Controls!$B$4)</f>
        <v>1</v>
      </c>
      <c r="T66" s="6" t="b">
        <f aca="false">AND(ISNUMBER(I66),I66&lt;=Controls!$B$4,J66="rerun",K66=A66,L66=C66,M66=N66,O66=0,I66&gt;=G66,IF(ISNUMBER(P66),I66&gt;=P66,TRUE()))</f>
        <v>1</v>
      </c>
      <c r="U66" s="0" t="str">
        <f aca="false">IF(AND(S66,T66),"resolved",IF(S66,"claimed","open"))</f>
        <v>resolved</v>
      </c>
      <c r="V66" s="11" t="n">
        <f aca="false">ROUND((IF(U66="resolved",I66,IF(U66="claimed",H66,Controls!$B$4))-G66)*24,4)</f>
        <v>187.5167</v>
      </c>
      <c r="W66" s="6" t="b">
        <f aca="false">INDEX(Owners!$E$4:$E$21,MATCH(D66,Owners!$A$4:$A$21,0))</f>
        <v>1</v>
      </c>
    </row>
    <row r="67" customFormat="false" ht="15" hidden="false" customHeight="false" outlineLevel="0" collapsed="false">
      <c r="A67" s="4" t="s">
        <v>363</v>
      </c>
      <c r="B67" s="4" t="s">
        <v>118</v>
      </c>
      <c r="C67" s="4" t="s">
        <v>364</v>
      </c>
      <c r="D67" s="4" t="s">
        <v>296</v>
      </c>
      <c r="E67" s="4" t="s">
        <v>202</v>
      </c>
      <c r="F67" s="4" t="s">
        <v>277</v>
      </c>
      <c r="G67" s="5" t="n">
        <v>46229.9930555556</v>
      </c>
      <c r="H67" s="5" t="n">
        <v>46230.8138888889</v>
      </c>
      <c r="I67" s="5" t="n">
        <v>46230.9076388889</v>
      </c>
      <c r="J67" s="4" t="s">
        <v>284</v>
      </c>
      <c r="K67" s="4" t="s">
        <v>363</v>
      </c>
      <c r="L67" s="4" t="s">
        <v>364</v>
      </c>
      <c r="M67" s="4" t="n">
        <v>1</v>
      </c>
      <c r="N67" s="4" t="n">
        <v>1</v>
      </c>
      <c r="O67" s="4" t="n">
        <v>0</v>
      </c>
      <c r="P67" s="12"/>
      <c r="Q67" s="4" t="n">
        <v>0</v>
      </c>
      <c r="R67" s="0" t="str">
        <f aca="false">INDEX(Owners!$B$4:$B$21,MATCH(D67,Owners!$A$4:$A$21,0))</f>
        <v>Data Platform</v>
      </c>
      <c r="S67" s="6" t="b">
        <f aca="false">AND(F67="closed",ISNUMBER(H67),H67&lt;=Controls!$B$4)</f>
        <v>1</v>
      </c>
      <c r="T67" s="6" t="b">
        <f aca="false">AND(ISNUMBER(I67),I67&lt;=Controls!$B$4,J67="rerun",K67=A67,L67=C67,M67=N67,O67=0,I67&gt;=G67,IF(ISNUMBER(P67),I67&gt;=P67,TRUE()))</f>
        <v>1</v>
      </c>
      <c r="U67" s="0" t="str">
        <f aca="false">IF(AND(S67,T67),"resolved",IF(S67,"claimed","open"))</f>
        <v>resolved</v>
      </c>
      <c r="V67" s="11" t="n">
        <f aca="false">ROUND((IF(U67="resolved",I67,IF(U67="claimed",H67,Controls!$B$4))-G67)*24,4)</f>
        <v>21.95</v>
      </c>
      <c r="W67" s="6" t="b">
        <f aca="false">INDEX(Owners!$E$4:$E$21,MATCH(D67,Owners!$A$4:$A$21,0))</f>
        <v>1</v>
      </c>
    </row>
    <row r="68" customFormat="false" ht="15" hidden="false" customHeight="false" outlineLevel="0" collapsed="false">
      <c r="A68" s="4" t="s">
        <v>365</v>
      </c>
      <c r="B68" s="4" t="s">
        <v>98</v>
      </c>
      <c r="C68" s="4" t="s">
        <v>323</v>
      </c>
      <c r="D68" s="4" t="s">
        <v>324</v>
      </c>
      <c r="E68" s="4" t="s">
        <v>202</v>
      </c>
      <c r="F68" s="4" t="s">
        <v>277</v>
      </c>
      <c r="G68" s="5" t="n">
        <v>46230.0840277778</v>
      </c>
      <c r="H68" s="5" t="n">
        <v>46230.9708333333</v>
      </c>
      <c r="I68" s="5" t="n">
        <v>46231.4736111111</v>
      </c>
      <c r="J68" s="4" t="s">
        <v>284</v>
      </c>
      <c r="K68" s="4" t="s">
        <v>365</v>
      </c>
      <c r="L68" s="4" t="s">
        <v>323</v>
      </c>
      <c r="M68" s="4" t="n">
        <v>1</v>
      </c>
      <c r="N68" s="4" t="n">
        <v>1</v>
      </c>
      <c r="O68" s="4" t="n">
        <v>0</v>
      </c>
      <c r="P68" s="12"/>
      <c r="Q68" s="4" t="n">
        <v>0</v>
      </c>
      <c r="R68" s="0" t="str">
        <f aca="false">INDEX(Owners!$B$4:$B$21,MATCH(D68,Owners!$A$4:$A$21,0))</f>
        <v>Finance Systems</v>
      </c>
      <c r="S68" s="6" t="b">
        <f aca="false">AND(F68="closed",ISNUMBER(H68),H68&lt;=Controls!$B$4)</f>
        <v>1</v>
      </c>
      <c r="T68" s="6" t="b">
        <f aca="false">AND(ISNUMBER(I68),I68&lt;=Controls!$B$4,J68="rerun",K68=A68,L68=C68,M68=N68,O68=0,I68&gt;=G68,IF(ISNUMBER(P68),I68&gt;=P68,TRUE()))</f>
        <v>1</v>
      </c>
      <c r="U68" s="0" t="str">
        <f aca="false">IF(AND(S68,T68),"resolved",IF(S68,"claimed","open"))</f>
        <v>resolved</v>
      </c>
      <c r="V68" s="11" t="n">
        <f aca="false">ROUND((IF(U68="resolved",I68,IF(U68="claimed",H68,Controls!$B$4))-G68)*24,4)</f>
        <v>33.35</v>
      </c>
      <c r="W68" s="6" t="b">
        <f aca="false">INDEX(Owners!$E$4:$E$21,MATCH(D68,Owners!$A$4:$A$21,0))</f>
        <v>1</v>
      </c>
    </row>
    <row r="69" customFormat="false" ht="15" hidden="false" customHeight="false" outlineLevel="0" collapsed="false">
      <c r="A69" s="4" t="s">
        <v>366</v>
      </c>
      <c r="B69" s="4" t="s">
        <v>128</v>
      </c>
      <c r="C69" s="4" t="s">
        <v>304</v>
      </c>
      <c r="D69" s="4" t="s">
        <v>283</v>
      </c>
      <c r="E69" s="4" t="s">
        <v>204</v>
      </c>
      <c r="F69" s="4" t="s">
        <v>277</v>
      </c>
      <c r="G69" s="5" t="n">
        <v>46230.1020833333</v>
      </c>
      <c r="H69" s="5" t="n">
        <v>46239.2520833333</v>
      </c>
      <c r="I69" s="12"/>
      <c r="N69" s="4" t="n">
        <v>1</v>
      </c>
      <c r="P69" s="12"/>
      <c r="Q69" s="4" t="n">
        <v>0</v>
      </c>
      <c r="R69" s="0" t="str">
        <f aca="false">INDEX(Owners!$B$4:$B$21,MATCH(D69,Owners!$A$4:$A$21,0))</f>
        <v>Data Platform</v>
      </c>
      <c r="S69" s="6" t="b">
        <f aca="false">AND(F69="closed",ISNUMBER(H69),H69&lt;=Controls!$B$4)</f>
        <v>1</v>
      </c>
      <c r="T69" s="6" t="b">
        <f aca="false">AND(ISNUMBER(I69),I69&lt;=Controls!$B$4,J69="rerun",K69=A69,L69=C69,M69=N69,O69=0,I69&gt;=G69,IF(ISNUMBER(P69),I69&gt;=P69,TRUE()))</f>
        <v>0</v>
      </c>
      <c r="U69" s="0" t="str">
        <f aca="false">IF(AND(S69,T69),"resolved",IF(S69,"claimed","open"))</f>
        <v>claimed</v>
      </c>
      <c r="V69" s="11" t="n">
        <f aca="false">ROUND((IF(U69="resolved",I69,IF(U69="claimed",H69,Controls!$B$4))-G69)*24,4)</f>
        <v>219.6</v>
      </c>
      <c r="W69" s="6" t="b">
        <f aca="false">INDEX(Owners!$E$4:$E$21,MATCH(D69,Owners!$A$4:$A$21,0))</f>
        <v>1</v>
      </c>
    </row>
    <row r="70" customFormat="false" ht="15" hidden="false" customHeight="false" outlineLevel="0" collapsed="false">
      <c r="A70" s="4" t="s">
        <v>367</v>
      </c>
      <c r="B70" s="4" t="s">
        <v>122</v>
      </c>
      <c r="C70" s="4" t="s">
        <v>245</v>
      </c>
      <c r="D70" s="4" t="s">
        <v>350</v>
      </c>
      <c r="E70" s="4" t="s">
        <v>204</v>
      </c>
      <c r="F70" s="4" t="s">
        <v>277</v>
      </c>
      <c r="G70" s="5" t="n">
        <v>46230.1291666667</v>
      </c>
      <c r="H70" s="5" t="n">
        <v>46237.6083333333</v>
      </c>
      <c r="I70" s="5" t="n">
        <v>46237.7881944445</v>
      </c>
      <c r="J70" s="4" t="s">
        <v>284</v>
      </c>
      <c r="K70" s="4" t="s">
        <v>367</v>
      </c>
      <c r="L70" s="4" t="s">
        <v>245</v>
      </c>
      <c r="M70" s="4" t="n">
        <v>1</v>
      </c>
      <c r="N70" s="4" t="n">
        <v>1</v>
      </c>
      <c r="O70" s="4" t="n">
        <v>0</v>
      </c>
      <c r="P70" s="12"/>
      <c r="Q70" s="4" t="n">
        <v>0</v>
      </c>
      <c r="R70" s="0" t="str">
        <f aca="false">INDEX(Owners!$B$4:$B$21,MATCH(D70,Owners!$A$4:$A$21,0))</f>
        <v>Supply Chain</v>
      </c>
      <c r="S70" s="6" t="b">
        <f aca="false">AND(F70="closed",ISNUMBER(H70),H70&lt;=Controls!$B$4)</f>
        <v>1</v>
      </c>
      <c r="T70" s="6" t="b">
        <f aca="false">AND(ISNUMBER(I70),I70&lt;=Controls!$B$4,J70="rerun",K70=A70,L70=C70,M70=N70,O70=0,I70&gt;=G70,IF(ISNUMBER(P70),I70&gt;=P70,TRUE()))</f>
        <v>1</v>
      </c>
      <c r="U70" s="0" t="str">
        <f aca="false">IF(AND(S70,T70),"resolved",IF(S70,"claimed","open"))</f>
        <v>resolved</v>
      </c>
      <c r="V70" s="11" t="n">
        <f aca="false">ROUND((IF(U70="resolved",I70,IF(U70="claimed",H70,Controls!$B$4))-G70)*24,4)</f>
        <v>183.8167</v>
      </c>
      <c r="W70" s="6" t="b">
        <f aca="false">INDEX(Owners!$E$4:$E$21,MATCH(D70,Owners!$A$4:$A$21,0))</f>
        <v>1</v>
      </c>
    </row>
    <row r="71" customFormat="false" ht="15" hidden="false" customHeight="false" outlineLevel="0" collapsed="false">
      <c r="A71" s="4" t="s">
        <v>368</v>
      </c>
      <c r="B71" s="4" t="s">
        <v>109</v>
      </c>
      <c r="C71" s="4" t="s">
        <v>307</v>
      </c>
      <c r="D71" s="4" t="s">
        <v>292</v>
      </c>
      <c r="E71" s="4" t="s">
        <v>202</v>
      </c>
      <c r="F71" s="4" t="s">
        <v>277</v>
      </c>
      <c r="G71" s="5" t="n">
        <v>46230.1555555556</v>
      </c>
      <c r="H71" s="5" t="n">
        <v>46235.8659722222</v>
      </c>
      <c r="I71" s="5" t="n">
        <v>46236.0805555556</v>
      </c>
      <c r="J71" s="4" t="s">
        <v>284</v>
      </c>
      <c r="K71" s="4" t="s">
        <v>368</v>
      </c>
      <c r="L71" s="4" t="s">
        <v>307</v>
      </c>
      <c r="M71" s="4" t="n">
        <v>1</v>
      </c>
      <c r="N71" s="4" t="n">
        <v>1</v>
      </c>
      <c r="O71" s="4" t="n">
        <v>0</v>
      </c>
      <c r="P71" s="12"/>
      <c r="Q71" s="4" t="n">
        <v>0</v>
      </c>
      <c r="R71" s="0" t="str">
        <f aca="false">INDEX(Owners!$B$4:$B$21,MATCH(D71,Owners!$A$4:$A$21,0))</f>
        <v>Support Operations</v>
      </c>
      <c r="S71" s="6" t="b">
        <f aca="false">AND(F71="closed",ISNUMBER(H71),H71&lt;=Controls!$B$4)</f>
        <v>1</v>
      </c>
      <c r="T71" s="6" t="b">
        <f aca="false">AND(ISNUMBER(I71),I71&lt;=Controls!$B$4,J71="rerun",K71=A71,L71=C71,M71=N71,O71=0,I71&gt;=G71,IF(ISNUMBER(P71),I71&gt;=P71,TRUE()))</f>
        <v>1</v>
      </c>
      <c r="U71" s="0" t="str">
        <f aca="false">IF(AND(S71,T71),"resolved",IF(S71,"claimed","open"))</f>
        <v>resolved</v>
      </c>
      <c r="V71" s="11" t="n">
        <f aca="false">ROUND((IF(U71="resolved",I71,IF(U71="claimed",H71,Controls!$B$4))-G71)*24,4)</f>
        <v>142.2</v>
      </c>
      <c r="W71" s="6" t="b">
        <f aca="false">INDEX(Owners!$E$4:$E$21,MATCH(D71,Owners!$A$4:$A$21,0))</f>
        <v>1</v>
      </c>
    </row>
    <row r="72" customFormat="false" ht="15" hidden="false" customHeight="false" outlineLevel="0" collapsed="false">
      <c r="A72" s="4" t="s">
        <v>369</v>
      </c>
      <c r="B72" s="4" t="s">
        <v>111</v>
      </c>
      <c r="C72" s="4" t="s">
        <v>229</v>
      </c>
      <c r="D72" s="4" t="s">
        <v>296</v>
      </c>
      <c r="E72" s="4" t="s">
        <v>202</v>
      </c>
      <c r="F72" s="4" t="s">
        <v>277</v>
      </c>
      <c r="G72" s="5" t="n">
        <v>46230.1645833333</v>
      </c>
      <c r="H72" s="5" t="n">
        <v>46231.1631944445</v>
      </c>
      <c r="I72" s="12"/>
      <c r="N72" s="4" t="n">
        <v>1</v>
      </c>
      <c r="P72" s="12"/>
      <c r="Q72" s="4" t="n">
        <v>0</v>
      </c>
      <c r="R72" s="0" t="str">
        <f aca="false">INDEX(Owners!$B$4:$B$21,MATCH(D72,Owners!$A$4:$A$21,0))</f>
        <v>Data Platform</v>
      </c>
      <c r="S72" s="6" t="b">
        <f aca="false">AND(F72="closed",ISNUMBER(H72),H72&lt;=Controls!$B$4)</f>
        <v>1</v>
      </c>
      <c r="T72" s="6" t="b">
        <f aca="false">AND(ISNUMBER(I72),I72&lt;=Controls!$B$4,J72="rerun",K72=A72,L72=C72,M72=N72,O72=0,I72&gt;=G72,IF(ISNUMBER(P72),I72&gt;=P72,TRUE()))</f>
        <v>0</v>
      </c>
      <c r="U72" s="0" t="str">
        <f aca="false">IF(AND(S72,T72),"resolved",IF(S72,"claimed","open"))</f>
        <v>claimed</v>
      </c>
      <c r="V72" s="11" t="n">
        <f aca="false">ROUND((IF(U72="resolved",I72,IF(U72="claimed",H72,Controls!$B$4))-G72)*24,4)</f>
        <v>23.9667</v>
      </c>
      <c r="W72" s="6" t="b">
        <f aca="false">INDEX(Owners!$E$4:$E$21,MATCH(D72,Owners!$A$4:$A$21,0))</f>
        <v>1</v>
      </c>
    </row>
    <row r="73" customFormat="false" ht="15" hidden="false" customHeight="false" outlineLevel="0" collapsed="false">
      <c r="A73" s="4" t="s">
        <v>370</v>
      </c>
      <c r="B73" s="4" t="s">
        <v>98</v>
      </c>
      <c r="C73" s="4" t="s">
        <v>323</v>
      </c>
      <c r="D73" s="4" t="s">
        <v>324</v>
      </c>
      <c r="E73" s="4" t="s">
        <v>202</v>
      </c>
      <c r="F73" s="4" t="s">
        <v>277</v>
      </c>
      <c r="G73" s="5" t="n">
        <v>46231.0840277778</v>
      </c>
      <c r="H73" s="5" t="n">
        <v>46236.6298611111</v>
      </c>
      <c r="I73" s="5" t="n">
        <v>46236.7111111111</v>
      </c>
      <c r="J73" s="4" t="s">
        <v>284</v>
      </c>
      <c r="K73" s="4" t="s">
        <v>370</v>
      </c>
      <c r="L73" s="4" t="s">
        <v>323</v>
      </c>
      <c r="M73" s="4" t="n">
        <v>1</v>
      </c>
      <c r="N73" s="4" t="n">
        <v>1</v>
      </c>
      <c r="O73" s="4" t="n">
        <v>0</v>
      </c>
      <c r="P73" s="12"/>
      <c r="Q73" s="4" t="n">
        <v>0</v>
      </c>
      <c r="R73" s="0" t="str">
        <f aca="false">INDEX(Owners!$B$4:$B$21,MATCH(D73,Owners!$A$4:$A$21,0))</f>
        <v>Finance Systems</v>
      </c>
      <c r="S73" s="6" t="b">
        <f aca="false">AND(F73="closed",ISNUMBER(H73),H73&lt;=Controls!$B$4)</f>
        <v>1</v>
      </c>
      <c r="T73" s="6" t="b">
        <f aca="false">AND(ISNUMBER(I73),I73&lt;=Controls!$B$4,J73="rerun",K73=A73,L73=C73,M73=N73,O73=0,I73&gt;=G73,IF(ISNUMBER(P73),I73&gt;=P73,TRUE()))</f>
        <v>1</v>
      </c>
      <c r="U73" s="0" t="str">
        <f aca="false">IF(AND(S73,T73),"resolved",IF(S73,"claimed","open"))</f>
        <v>resolved</v>
      </c>
      <c r="V73" s="11" t="n">
        <f aca="false">ROUND((IF(U73="resolved",I73,IF(U73="claimed",H73,Controls!$B$4))-G73)*24,4)</f>
        <v>135.05</v>
      </c>
      <c r="W73" s="6" t="b">
        <f aca="false">INDEX(Owners!$E$4:$E$21,MATCH(D73,Owners!$A$4:$A$21,0))</f>
        <v>1</v>
      </c>
    </row>
    <row r="74" customFormat="false" ht="15" hidden="false" customHeight="false" outlineLevel="0" collapsed="false">
      <c r="A74" s="4" t="s">
        <v>371</v>
      </c>
      <c r="B74" s="4" t="s">
        <v>102</v>
      </c>
      <c r="C74" s="4" t="s">
        <v>215</v>
      </c>
      <c r="D74" s="4" t="s">
        <v>290</v>
      </c>
      <c r="E74" s="4" t="s">
        <v>216</v>
      </c>
      <c r="F74" s="4" t="s">
        <v>277</v>
      </c>
      <c r="G74" s="5" t="n">
        <v>46231.1013888889</v>
      </c>
      <c r="H74" s="5" t="n">
        <v>46235.1902777778</v>
      </c>
      <c r="I74" s="5" t="n">
        <v>46235.2763888889</v>
      </c>
      <c r="J74" s="4" t="s">
        <v>284</v>
      </c>
      <c r="K74" s="4" t="s">
        <v>371</v>
      </c>
      <c r="L74" s="4" t="s">
        <v>215</v>
      </c>
      <c r="M74" s="4" t="n">
        <v>1</v>
      </c>
      <c r="N74" s="4" t="n">
        <v>1</v>
      </c>
      <c r="O74" s="4" t="n">
        <v>0</v>
      </c>
      <c r="P74" s="12"/>
      <c r="Q74" s="4" t="n">
        <v>0</v>
      </c>
      <c r="R74" s="0" t="str">
        <f aca="false">INDEX(Owners!$B$4:$B$21,MATCH(D74,Owners!$A$4:$A$21,0))</f>
        <v>Customer Data</v>
      </c>
      <c r="S74" s="6" t="b">
        <f aca="false">AND(F74="closed",ISNUMBER(H74),H74&lt;=Controls!$B$4)</f>
        <v>1</v>
      </c>
      <c r="T74" s="6" t="b">
        <f aca="false">AND(ISNUMBER(I74),I74&lt;=Controls!$B$4,J74="rerun",K74=A74,L74=C74,M74=N74,O74=0,I74&gt;=G74,IF(ISNUMBER(P74),I74&gt;=P74,TRUE()))</f>
        <v>1</v>
      </c>
      <c r="U74" s="0" t="str">
        <f aca="false">IF(AND(S74,T74),"resolved",IF(S74,"claimed","open"))</f>
        <v>resolved</v>
      </c>
      <c r="V74" s="11" t="n">
        <f aca="false">ROUND((IF(U74="resolved",I74,IF(U74="claimed",H74,Controls!$B$4))-G74)*24,4)</f>
        <v>100.2</v>
      </c>
      <c r="W74" s="6" t="b">
        <f aca="false">INDEX(Owners!$E$4:$E$21,MATCH(D74,Owners!$A$4:$A$21,0))</f>
        <v>1</v>
      </c>
    </row>
    <row r="75" customFormat="false" ht="15" hidden="false" customHeight="false" outlineLevel="0" collapsed="false">
      <c r="A75" s="4" t="s">
        <v>372</v>
      </c>
      <c r="B75" s="4" t="s">
        <v>128</v>
      </c>
      <c r="C75" s="4" t="s">
        <v>304</v>
      </c>
      <c r="D75" s="4" t="s">
        <v>283</v>
      </c>
      <c r="E75" s="4" t="s">
        <v>204</v>
      </c>
      <c r="F75" s="4" t="s">
        <v>277</v>
      </c>
      <c r="G75" s="5" t="n">
        <v>46231.1020833333</v>
      </c>
      <c r="H75" s="5" t="n">
        <v>46233.46875</v>
      </c>
      <c r="I75" s="5" t="n">
        <v>46233.6409722222</v>
      </c>
      <c r="J75" s="4" t="s">
        <v>284</v>
      </c>
      <c r="K75" s="4" t="s">
        <v>372</v>
      </c>
      <c r="L75" s="4" t="s">
        <v>304</v>
      </c>
      <c r="M75" s="4" t="n">
        <v>1</v>
      </c>
      <c r="N75" s="4" t="n">
        <v>1</v>
      </c>
      <c r="O75" s="4" t="n">
        <v>0</v>
      </c>
      <c r="P75" s="12"/>
      <c r="Q75" s="4" t="n">
        <v>0</v>
      </c>
      <c r="R75" s="0" t="str">
        <f aca="false">INDEX(Owners!$B$4:$B$21,MATCH(D75,Owners!$A$4:$A$21,0))</f>
        <v>Data Platform</v>
      </c>
      <c r="S75" s="6" t="b">
        <f aca="false">AND(F75="closed",ISNUMBER(H75),H75&lt;=Controls!$B$4)</f>
        <v>1</v>
      </c>
      <c r="T75" s="6" t="b">
        <f aca="false">AND(ISNUMBER(I75),I75&lt;=Controls!$B$4,J75="rerun",K75=A75,L75=C75,M75=N75,O75=0,I75&gt;=G75,IF(ISNUMBER(P75),I75&gt;=P75,TRUE()))</f>
        <v>1</v>
      </c>
      <c r="U75" s="0" t="str">
        <f aca="false">IF(AND(S75,T75),"resolved",IF(S75,"claimed","open"))</f>
        <v>resolved</v>
      </c>
      <c r="V75" s="11" t="n">
        <f aca="false">ROUND((IF(U75="resolved",I75,IF(U75="claimed",H75,Controls!$B$4))-G75)*24,4)</f>
        <v>60.9333</v>
      </c>
      <c r="W75" s="6" t="b">
        <f aca="false">INDEX(Owners!$E$4:$E$21,MATCH(D75,Owners!$A$4:$A$21,0))</f>
        <v>1</v>
      </c>
    </row>
    <row r="76" customFormat="false" ht="15" hidden="false" customHeight="false" outlineLevel="0" collapsed="false">
      <c r="A76" s="4" t="s">
        <v>373</v>
      </c>
      <c r="B76" s="4" t="s">
        <v>119</v>
      </c>
      <c r="C76" s="4" t="s">
        <v>243</v>
      </c>
      <c r="D76" s="4" t="s">
        <v>292</v>
      </c>
      <c r="E76" s="4" t="s">
        <v>202</v>
      </c>
      <c r="F76" s="4" t="s">
        <v>277</v>
      </c>
      <c r="G76" s="5" t="n">
        <v>46231.1604166667</v>
      </c>
      <c r="H76" s="5" t="n">
        <v>46232.26875</v>
      </c>
      <c r="I76" s="12"/>
      <c r="N76" s="4" t="n">
        <v>1</v>
      </c>
      <c r="P76" s="12"/>
      <c r="Q76" s="4" t="n">
        <v>0</v>
      </c>
      <c r="R76" s="0" t="str">
        <f aca="false">INDEX(Owners!$B$4:$B$21,MATCH(D76,Owners!$A$4:$A$21,0))</f>
        <v>Support Operations</v>
      </c>
      <c r="S76" s="6" t="b">
        <f aca="false">AND(F76="closed",ISNUMBER(H76),H76&lt;=Controls!$B$4)</f>
        <v>1</v>
      </c>
      <c r="T76" s="6" t="b">
        <f aca="false">AND(ISNUMBER(I76),I76&lt;=Controls!$B$4,J76="rerun",K76=A76,L76=C76,M76=N76,O76=0,I76&gt;=G76,IF(ISNUMBER(P76),I76&gt;=P76,TRUE()))</f>
        <v>0</v>
      </c>
      <c r="U76" s="0" t="str">
        <f aca="false">IF(AND(S76,T76),"resolved",IF(S76,"claimed","open"))</f>
        <v>claimed</v>
      </c>
      <c r="V76" s="11" t="n">
        <f aca="false">ROUND((IF(U76="resolved",I76,IF(U76="claimed",H76,Controls!$B$4))-G76)*24,4)</f>
        <v>26.6</v>
      </c>
      <c r="W76" s="6" t="b">
        <f aca="false">INDEX(Owners!$E$4:$E$21,MATCH(D76,Owners!$A$4:$A$21,0))</f>
        <v>1</v>
      </c>
    </row>
    <row r="77" customFormat="false" ht="15" hidden="false" customHeight="false" outlineLevel="0" collapsed="false">
      <c r="A77" s="4" t="s">
        <v>374</v>
      </c>
      <c r="B77" s="4" t="s">
        <v>125</v>
      </c>
      <c r="C77" s="4" t="s">
        <v>250</v>
      </c>
      <c r="D77" s="4" t="s">
        <v>334</v>
      </c>
      <c r="E77" s="4" t="s">
        <v>202</v>
      </c>
      <c r="F77" s="4" t="s">
        <v>277</v>
      </c>
      <c r="G77" s="5" t="n">
        <v>46231.1875</v>
      </c>
      <c r="H77" s="5" t="n">
        <v>46232.0798611111</v>
      </c>
      <c r="I77" s="5" t="n">
        <v>46232.3138888889</v>
      </c>
      <c r="J77" s="4" t="s">
        <v>284</v>
      </c>
      <c r="K77" s="4" t="s">
        <v>374</v>
      </c>
      <c r="L77" s="4" t="s">
        <v>250</v>
      </c>
      <c r="M77" s="4" t="n">
        <v>1</v>
      </c>
      <c r="N77" s="4" t="n">
        <v>1</v>
      </c>
      <c r="O77" s="4" t="n">
        <v>0</v>
      </c>
      <c r="P77" s="12"/>
      <c r="Q77" s="4" t="n">
        <v>0</v>
      </c>
      <c r="R77" s="0" t="str">
        <f aca="false">INDEX(Owners!$B$4:$B$21,MATCH(D77,Owners!$A$4:$A$21,0))</f>
        <v>Supply Chain</v>
      </c>
      <c r="S77" s="6" t="b">
        <f aca="false">AND(F77="closed",ISNUMBER(H77),H77&lt;=Controls!$B$4)</f>
        <v>1</v>
      </c>
      <c r="T77" s="6" t="b">
        <f aca="false">AND(ISNUMBER(I77),I77&lt;=Controls!$B$4,J77="rerun",K77=A77,L77=C77,M77=N77,O77=0,I77&gt;=G77,IF(ISNUMBER(P77),I77&gt;=P77,TRUE()))</f>
        <v>1</v>
      </c>
      <c r="U77" s="0" t="str">
        <f aca="false">IF(AND(S77,T77),"resolved",IF(S77,"claimed","open"))</f>
        <v>resolved</v>
      </c>
      <c r="V77" s="11" t="n">
        <f aca="false">ROUND((IF(U77="resolved",I77,IF(U77="claimed",H77,Controls!$B$4))-G77)*24,4)</f>
        <v>27.0333</v>
      </c>
      <c r="W77" s="6" t="b">
        <f aca="false">INDEX(Owners!$E$4:$E$21,MATCH(D77,Owners!$A$4:$A$21,0))</f>
        <v>0</v>
      </c>
    </row>
    <row r="78" customFormat="false" ht="15" hidden="false" customHeight="false" outlineLevel="0" collapsed="false">
      <c r="A78" s="4" t="s">
        <v>375</v>
      </c>
      <c r="B78" s="4" t="s">
        <v>110</v>
      </c>
      <c r="C78" s="4" t="s">
        <v>226</v>
      </c>
      <c r="D78" s="4" t="s">
        <v>286</v>
      </c>
      <c r="E78" s="4" t="s">
        <v>202</v>
      </c>
      <c r="F78" s="4" t="s">
        <v>277</v>
      </c>
      <c r="G78" s="5" t="n">
        <v>46231.2326388889</v>
      </c>
      <c r="H78" s="5" t="n">
        <v>46232.6104166667</v>
      </c>
      <c r="I78" s="5" t="n">
        <v>46232.7631944444</v>
      </c>
      <c r="J78" s="4" t="s">
        <v>284</v>
      </c>
      <c r="K78" s="4" t="s">
        <v>375</v>
      </c>
      <c r="L78" s="4" t="s">
        <v>226</v>
      </c>
      <c r="M78" s="4" t="n">
        <v>1</v>
      </c>
      <c r="N78" s="4" t="n">
        <v>1</v>
      </c>
      <c r="O78" s="4" t="n">
        <v>0</v>
      </c>
      <c r="P78" s="12"/>
      <c r="Q78" s="4" t="n">
        <v>0</v>
      </c>
      <c r="R78" s="0" t="str">
        <f aca="false">INDEX(Owners!$B$4:$B$21,MATCH(D78,Owners!$A$4:$A$21,0))</f>
        <v>Finance Systems</v>
      </c>
      <c r="S78" s="6" t="b">
        <f aca="false">AND(F78="closed",ISNUMBER(H78),H78&lt;=Controls!$B$4)</f>
        <v>1</v>
      </c>
      <c r="T78" s="6" t="b">
        <f aca="false">AND(ISNUMBER(I78),I78&lt;=Controls!$B$4,J78="rerun",K78=A78,L78=C78,M78=N78,O78=0,I78&gt;=G78,IF(ISNUMBER(P78),I78&gt;=P78,TRUE()))</f>
        <v>1</v>
      </c>
      <c r="U78" s="0" t="str">
        <f aca="false">IF(AND(S78,T78),"resolved",IF(S78,"claimed","open"))</f>
        <v>resolved</v>
      </c>
      <c r="V78" s="11" t="n">
        <f aca="false">ROUND((IF(U78="resolved",I78,IF(U78="claimed",H78,Controls!$B$4))-G78)*24,4)</f>
        <v>36.7333</v>
      </c>
      <c r="W78" s="6" t="b">
        <f aca="false">INDEX(Owners!$E$4:$E$21,MATCH(D78,Owners!$A$4:$A$21,0))</f>
        <v>0</v>
      </c>
    </row>
    <row r="79" customFormat="false" ht="15" hidden="false" customHeight="false" outlineLevel="0" collapsed="false">
      <c r="A79" s="4" t="s">
        <v>376</v>
      </c>
      <c r="B79" s="4" t="s">
        <v>127</v>
      </c>
      <c r="C79" s="4" t="s">
        <v>252</v>
      </c>
      <c r="D79" s="4" t="s">
        <v>358</v>
      </c>
      <c r="E79" s="4" t="s">
        <v>204</v>
      </c>
      <c r="F79" s="4" t="s">
        <v>277</v>
      </c>
      <c r="G79" s="5" t="n">
        <v>46232.0888888889</v>
      </c>
      <c r="H79" s="5" t="n">
        <v>46233.0861111111</v>
      </c>
      <c r="I79" s="12"/>
      <c r="N79" s="4" t="n">
        <v>1</v>
      </c>
      <c r="P79" s="12"/>
      <c r="Q79" s="4" t="n">
        <v>0</v>
      </c>
      <c r="R79" s="0" t="str">
        <f aca="false">INDEX(Owners!$B$4:$B$21,MATCH(D79,Owners!$A$4:$A$21,0))</f>
        <v>Finance Systems</v>
      </c>
      <c r="S79" s="6" t="b">
        <f aca="false">AND(F79="closed",ISNUMBER(H79),H79&lt;=Controls!$B$4)</f>
        <v>1</v>
      </c>
      <c r="T79" s="6" t="b">
        <f aca="false">AND(ISNUMBER(I79),I79&lt;=Controls!$B$4,J79="rerun",K79=A79,L79=C79,M79=N79,O79=0,I79&gt;=G79,IF(ISNUMBER(P79),I79&gt;=P79,TRUE()))</f>
        <v>0</v>
      </c>
      <c r="U79" s="0" t="str">
        <f aca="false">IF(AND(S79,T79),"resolved",IF(S79,"claimed","open"))</f>
        <v>claimed</v>
      </c>
      <c r="V79" s="11" t="n">
        <f aca="false">ROUND((IF(U79="resolved",I79,IF(U79="claimed",H79,Controls!$B$4))-G79)*24,4)</f>
        <v>23.9333</v>
      </c>
      <c r="W79" s="6" t="b">
        <f aca="false">INDEX(Owners!$E$4:$E$21,MATCH(D79,Owners!$A$4:$A$21,0))</f>
        <v>1</v>
      </c>
    </row>
    <row r="80" customFormat="false" ht="15" hidden="false" customHeight="false" outlineLevel="0" collapsed="false">
      <c r="A80" s="4" t="s">
        <v>377</v>
      </c>
      <c r="B80" s="4" t="s">
        <v>128</v>
      </c>
      <c r="C80" s="4" t="s">
        <v>304</v>
      </c>
      <c r="D80" s="4" t="s">
        <v>283</v>
      </c>
      <c r="E80" s="4" t="s">
        <v>204</v>
      </c>
      <c r="F80" s="4" t="s">
        <v>277</v>
      </c>
      <c r="G80" s="5" t="n">
        <v>46232.1020833333</v>
      </c>
      <c r="H80" s="5" t="n">
        <v>46232.9645833333</v>
      </c>
      <c r="I80" s="5" t="n">
        <v>46233.1340277778</v>
      </c>
      <c r="J80" s="4" t="s">
        <v>284</v>
      </c>
      <c r="K80" s="4" t="s">
        <v>377</v>
      </c>
      <c r="L80" s="4" t="s">
        <v>304</v>
      </c>
      <c r="M80" s="4" t="n">
        <v>1</v>
      </c>
      <c r="N80" s="4" t="n">
        <v>1</v>
      </c>
      <c r="O80" s="4" t="n">
        <v>0</v>
      </c>
      <c r="P80" s="12"/>
      <c r="Q80" s="4" t="n">
        <v>0</v>
      </c>
      <c r="R80" s="0" t="str">
        <f aca="false">INDEX(Owners!$B$4:$B$21,MATCH(D80,Owners!$A$4:$A$21,0))</f>
        <v>Data Platform</v>
      </c>
      <c r="S80" s="6" t="b">
        <f aca="false">AND(F80="closed",ISNUMBER(H80),H80&lt;=Controls!$B$4)</f>
        <v>1</v>
      </c>
      <c r="T80" s="6" t="b">
        <f aca="false">AND(ISNUMBER(I80),I80&lt;=Controls!$B$4,J80="rerun",K80=A80,L80=C80,M80=N80,O80=0,I80&gt;=G80,IF(ISNUMBER(P80),I80&gt;=P80,TRUE()))</f>
        <v>1</v>
      </c>
      <c r="U80" s="0" t="str">
        <f aca="false">IF(AND(S80,T80),"resolved",IF(S80,"claimed","open"))</f>
        <v>resolved</v>
      </c>
      <c r="V80" s="11" t="n">
        <f aca="false">ROUND((IF(U80="resolved",I80,IF(U80="claimed",H80,Controls!$B$4))-G80)*24,4)</f>
        <v>24.7667</v>
      </c>
      <c r="W80" s="6" t="b">
        <f aca="false">INDEX(Owners!$E$4:$E$21,MATCH(D80,Owners!$A$4:$A$21,0))</f>
        <v>1</v>
      </c>
    </row>
    <row r="81" customFormat="false" ht="15" hidden="false" customHeight="false" outlineLevel="0" collapsed="false">
      <c r="A81" s="4" t="s">
        <v>378</v>
      </c>
      <c r="B81" s="4" t="s">
        <v>95</v>
      </c>
      <c r="C81" s="4" t="s">
        <v>205</v>
      </c>
      <c r="D81" s="4" t="s">
        <v>283</v>
      </c>
      <c r="E81" s="4" t="s">
        <v>204</v>
      </c>
      <c r="F81" s="4" t="s">
        <v>277</v>
      </c>
      <c r="G81" s="5" t="n">
        <v>46232.1069444444</v>
      </c>
      <c r="H81" s="5" t="n">
        <v>46234.1277777778</v>
      </c>
      <c r="I81" s="5" t="n">
        <v>46234.1833333333</v>
      </c>
      <c r="J81" s="4" t="s">
        <v>284</v>
      </c>
      <c r="K81" s="4" t="s">
        <v>378</v>
      </c>
      <c r="L81" s="4" t="s">
        <v>205</v>
      </c>
      <c r="M81" s="4" t="n">
        <v>1</v>
      </c>
      <c r="N81" s="4" t="n">
        <v>1</v>
      </c>
      <c r="O81" s="4" t="n">
        <v>0</v>
      </c>
      <c r="P81" s="12"/>
      <c r="Q81" s="4" t="n">
        <v>0</v>
      </c>
      <c r="R81" s="0" t="str">
        <f aca="false">INDEX(Owners!$B$4:$B$21,MATCH(D81,Owners!$A$4:$A$21,0))</f>
        <v>Data Platform</v>
      </c>
      <c r="S81" s="6" t="b">
        <f aca="false">AND(F81="closed",ISNUMBER(H81),H81&lt;=Controls!$B$4)</f>
        <v>1</v>
      </c>
      <c r="T81" s="6" t="b">
        <f aca="false">AND(ISNUMBER(I81),I81&lt;=Controls!$B$4,J81="rerun",K81=A81,L81=C81,M81=N81,O81=0,I81&gt;=G81,IF(ISNUMBER(P81),I81&gt;=P81,TRUE()))</f>
        <v>1</v>
      </c>
      <c r="U81" s="0" t="str">
        <f aca="false">IF(AND(S81,T81),"resolved",IF(S81,"claimed","open"))</f>
        <v>resolved</v>
      </c>
      <c r="V81" s="11" t="n">
        <f aca="false">ROUND((IF(U81="resolved",I81,IF(U81="claimed",H81,Controls!$B$4))-G81)*24,4)</f>
        <v>49.8333</v>
      </c>
      <c r="W81" s="6" t="b">
        <f aca="false">INDEX(Owners!$E$4:$E$21,MATCH(D81,Owners!$A$4:$A$21,0))</f>
        <v>1</v>
      </c>
    </row>
    <row r="82" customFormat="false" ht="15" hidden="false" customHeight="false" outlineLevel="0" collapsed="false">
      <c r="A82" s="4" t="s">
        <v>379</v>
      </c>
      <c r="B82" s="4" t="s">
        <v>124</v>
      </c>
      <c r="C82" s="4" t="s">
        <v>248</v>
      </c>
      <c r="D82" s="4" t="s">
        <v>301</v>
      </c>
      <c r="E82" s="4" t="s">
        <v>202</v>
      </c>
      <c r="F82" s="4" t="s">
        <v>277</v>
      </c>
      <c r="G82" s="5" t="n">
        <v>46232.1423611111</v>
      </c>
      <c r="H82" s="5" t="n">
        <v>46232.9520833333</v>
      </c>
      <c r="I82" s="5" t="n">
        <v>46233.1465277778</v>
      </c>
      <c r="J82" s="4" t="s">
        <v>284</v>
      </c>
      <c r="K82" s="4" t="s">
        <v>379</v>
      </c>
      <c r="L82" s="4" t="s">
        <v>248</v>
      </c>
      <c r="M82" s="4" t="n">
        <v>1</v>
      </c>
      <c r="N82" s="4" t="n">
        <v>1</v>
      </c>
      <c r="O82" s="4" t="n">
        <v>0</v>
      </c>
      <c r="P82" s="12"/>
      <c r="Q82" s="4" t="n">
        <v>0</v>
      </c>
      <c r="R82" s="0" t="str">
        <f aca="false">INDEX(Owners!$B$4:$B$21,MATCH(D82,Owners!$A$4:$A$21,0))</f>
        <v>Data Platform</v>
      </c>
      <c r="S82" s="6" t="b">
        <f aca="false">AND(F82="closed",ISNUMBER(H82),H82&lt;=Controls!$B$4)</f>
        <v>1</v>
      </c>
      <c r="T82" s="6" t="b">
        <f aca="false">AND(ISNUMBER(I82),I82&lt;=Controls!$B$4,J82="rerun",K82=A82,L82=C82,M82=N82,O82=0,I82&gt;=G82,IF(ISNUMBER(P82),I82&gt;=P82,TRUE()))</f>
        <v>1</v>
      </c>
      <c r="U82" s="0" t="str">
        <f aca="false">IF(AND(S82,T82),"resolved",IF(S82,"claimed","open"))</f>
        <v>resolved</v>
      </c>
      <c r="V82" s="11" t="n">
        <f aca="false">ROUND((IF(U82="resolved",I82,IF(U82="claimed",H82,Controls!$B$4))-G82)*24,4)</f>
        <v>24.1</v>
      </c>
      <c r="W82" s="6" t="b">
        <f aca="false">INDEX(Owners!$E$4:$E$21,MATCH(D82,Owners!$A$4:$A$21,0))</f>
        <v>1</v>
      </c>
    </row>
    <row r="83" customFormat="false" ht="15" hidden="false" customHeight="false" outlineLevel="0" collapsed="false">
      <c r="A83" s="4" t="s">
        <v>380</v>
      </c>
      <c r="B83" s="4" t="s">
        <v>124</v>
      </c>
      <c r="C83" s="4" t="s">
        <v>247</v>
      </c>
      <c r="D83" s="4" t="s">
        <v>301</v>
      </c>
      <c r="E83" s="4" t="s">
        <v>202</v>
      </c>
      <c r="F83" s="4" t="s">
        <v>277</v>
      </c>
      <c r="G83" s="5" t="n">
        <v>46232.1513888889</v>
      </c>
      <c r="H83" s="5" t="n">
        <v>46235.1736111111</v>
      </c>
      <c r="I83" s="12"/>
      <c r="N83" s="4" t="n">
        <v>1</v>
      </c>
      <c r="P83" s="12"/>
      <c r="Q83" s="4" t="n">
        <v>0</v>
      </c>
      <c r="R83" s="0" t="str">
        <f aca="false">INDEX(Owners!$B$4:$B$21,MATCH(D83,Owners!$A$4:$A$21,0))</f>
        <v>Data Platform</v>
      </c>
      <c r="S83" s="6" t="b">
        <f aca="false">AND(F83="closed",ISNUMBER(H83),H83&lt;=Controls!$B$4)</f>
        <v>1</v>
      </c>
      <c r="T83" s="6" t="b">
        <f aca="false">AND(ISNUMBER(I83),I83&lt;=Controls!$B$4,J83="rerun",K83=A83,L83=C83,M83=N83,O83=0,I83&gt;=G83,IF(ISNUMBER(P83),I83&gt;=P83,TRUE()))</f>
        <v>0</v>
      </c>
      <c r="U83" s="0" t="str">
        <f aca="false">IF(AND(S83,T83),"resolved",IF(S83,"claimed","open"))</f>
        <v>claimed</v>
      </c>
      <c r="V83" s="11" t="n">
        <f aca="false">ROUND((IF(U83="resolved",I83,IF(U83="claimed",H83,Controls!$B$4))-G83)*24,4)</f>
        <v>72.5333</v>
      </c>
      <c r="W83" s="6" t="b">
        <f aca="false">INDEX(Owners!$E$4:$E$21,MATCH(D83,Owners!$A$4:$A$21,0))</f>
        <v>1</v>
      </c>
    </row>
    <row r="84" customFormat="false" ht="15" hidden="false" customHeight="false" outlineLevel="0" collapsed="false">
      <c r="A84" s="4" t="s">
        <v>381</v>
      </c>
      <c r="B84" s="4" t="s">
        <v>125</v>
      </c>
      <c r="C84" s="4" t="s">
        <v>251</v>
      </c>
      <c r="D84" s="4" t="s">
        <v>334</v>
      </c>
      <c r="E84" s="4" t="s">
        <v>210</v>
      </c>
      <c r="F84" s="4" t="s">
        <v>277</v>
      </c>
      <c r="G84" s="5" t="n">
        <v>46232.1784722222</v>
      </c>
      <c r="H84" s="5" t="n">
        <v>46234.3888888889</v>
      </c>
      <c r="I84" s="5" t="n">
        <v>46234.6944444445</v>
      </c>
      <c r="J84" s="4" t="s">
        <v>284</v>
      </c>
      <c r="K84" s="4" t="s">
        <v>381</v>
      </c>
      <c r="L84" s="4" t="s">
        <v>251</v>
      </c>
      <c r="M84" s="4" t="n">
        <v>1</v>
      </c>
      <c r="N84" s="4" t="n">
        <v>1</v>
      </c>
      <c r="O84" s="4" t="n">
        <v>0</v>
      </c>
      <c r="P84" s="12"/>
      <c r="Q84" s="4" t="n">
        <v>0</v>
      </c>
      <c r="R84" s="0" t="str">
        <f aca="false">INDEX(Owners!$B$4:$B$21,MATCH(D84,Owners!$A$4:$A$21,0))</f>
        <v>Supply Chain</v>
      </c>
      <c r="S84" s="6" t="b">
        <f aca="false">AND(F84="closed",ISNUMBER(H84),H84&lt;=Controls!$B$4)</f>
        <v>1</v>
      </c>
      <c r="T84" s="6" t="b">
        <f aca="false">AND(ISNUMBER(I84),I84&lt;=Controls!$B$4,J84="rerun",K84=A84,L84=C84,M84=N84,O84=0,I84&gt;=G84,IF(ISNUMBER(P84),I84&gt;=P84,TRUE()))</f>
        <v>1</v>
      </c>
      <c r="U84" s="0" t="str">
        <f aca="false">IF(AND(S84,T84),"resolved",IF(S84,"claimed","open"))</f>
        <v>resolved</v>
      </c>
      <c r="V84" s="11" t="n">
        <f aca="false">ROUND((IF(U84="resolved",I84,IF(U84="claimed",H84,Controls!$B$4))-G84)*24,4)</f>
        <v>60.3833</v>
      </c>
      <c r="W84" s="6" t="b">
        <f aca="false">INDEX(Owners!$E$4:$E$21,MATCH(D84,Owners!$A$4:$A$21,0))</f>
        <v>0</v>
      </c>
    </row>
    <row r="85" customFormat="false" ht="15" hidden="false" customHeight="false" outlineLevel="0" collapsed="false">
      <c r="A85" s="4" t="s">
        <v>382</v>
      </c>
      <c r="B85" s="4" t="s">
        <v>125</v>
      </c>
      <c r="C85" s="4" t="s">
        <v>250</v>
      </c>
      <c r="D85" s="4" t="s">
        <v>334</v>
      </c>
      <c r="E85" s="4" t="s">
        <v>202</v>
      </c>
      <c r="F85" s="4" t="s">
        <v>277</v>
      </c>
      <c r="G85" s="5" t="n">
        <v>46232.1875</v>
      </c>
      <c r="H85" s="5" t="n">
        <v>46233.4854166667</v>
      </c>
      <c r="I85" s="12"/>
      <c r="N85" s="4" t="n">
        <v>1</v>
      </c>
      <c r="P85" s="12"/>
      <c r="Q85" s="4" t="n">
        <v>0</v>
      </c>
      <c r="R85" s="0" t="str">
        <f aca="false">INDEX(Owners!$B$4:$B$21,MATCH(D85,Owners!$A$4:$A$21,0))</f>
        <v>Supply Chain</v>
      </c>
      <c r="S85" s="6" t="b">
        <f aca="false">AND(F85="closed",ISNUMBER(H85),H85&lt;=Controls!$B$4)</f>
        <v>1</v>
      </c>
      <c r="T85" s="6" t="b">
        <f aca="false">AND(ISNUMBER(I85),I85&lt;=Controls!$B$4,J85="rerun",K85=A85,L85=C85,M85=N85,O85=0,I85&gt;=G85,IF(ISNUMBER(P85),I85&gt;=P85,TRUE()))</f>
        <v>0</v>
      </c>
      <c r="U85" s="0" t="str">
        <f aca="false">IF(AND(S85,T85),"resolved",IF(S85,"claimed","open"))</f>
        <v>claimed</v>
      </c>
      <c r="V85" s="11" t="n">
        <f aca="false">ROUND((IF(U85="resolved",I85,IF(U85="claimed",H85,Controls!$B$4))-G85)*24,4)</f>
        <v>31.15</v>
      </c>
      <c r="W85" s="6" t="b">
        <f aca="false">INDEX(Owners!$E$4:$E$21,MATCH(D85,Owners!$A$4:$A$21,0))</f>
        <v>0</v>
      </c>
    </row>
    <row r="86" customFormat="false" ht="15" hidden="false" customHeight="false" outlineLevel="0" collapsed="false">
      <c r="A86" s="4" t="s">
        <v>383</v>
      </c>
      <c r="B86" s="4" t="s">
        <v>107</v>
      </c>
      <c r="C86" s="4" t="s">
        <v>224</v>
      </c>
      <c r="D86" s="4" t="s">
        <v>326</v>
      </c>
      <c r="E86" s="4" t="s">
        <v>202</v>
      </c>
      <c r="F86" s="4" t="s">
        <v>277</v>
      </c>
      <c r="G86" s="5" t="n">
        <v>46233.0972222222</v>
      </c>
      <c r="H86" s="5" t="n">
        <v>46237.6055555556</v>
      </c>
      <c r="I86" s="5" t="n">
        <v>46238.1118055556</v>
      </c>
      <c r="J86" s="4" t="s">
        <v>284</v>
      </c>
      <c r="K86" s="4" t="s">
        <v>383</v>
      </c>
      <c r="L86" s="4" t="s">
        <v>224</v>
      </c>
      <c r="M86" s="4" t="n">
        <v>1</v>
      </c>
      <c r="N86" s="4" t="n">
        <v>1</v>
      </c>
      <c r="O86" s="4" t="n">
        <v>0</v>
      </c>
      <c r="P86" s="12"/>
      <c r="Q86" s="4" t="n">
        <v>0</v>
      </c>
      <c r="R86" s="0" t="str">
        <f aca="false">INDEX(Owners!$B$4:$B$21,MATCH(D86,Owners!$A$4:$A$21,0))</f>
        <v>Customer Data</v>
      </c>
      <c r="S86" s="6" t="b">
        <f aca="false">AND(F86="closed",ISNUMBER(H86),H86&lt;=Controls!$B$4)</f>
        <v>1</v>
      </c>
      <c r="T86" s="6" t="b">
        <f aca="false">AND(ISNUMBER(I86),I86&lt;=Controls!$B$4,J86="rerun",K86=A86,L86=C86,M86=N86,O86=0,I86&gt;=G86,IF(ISNUMBER(P86),I86&gt;=P86,TRUE()))</f>
        <v>1</v>
      </c>
      <c r="U86" s="0" t="str">
        <f aca="false">IF(AND(S86,T86),"resolved",IF(S86,"claimed","open"))</f>
        <v>resolved</v>
      </c>
      <c r="V86" s="11" t="n">
        <f aca="false">ROUND((IF(U86="resolved",I86,IF(U86="claimed",H86,Controls!$B$4))-G86)*24,4)</f>
        <v>120.35</v>
      </c>
      <c r="W86" s="6" t="b">
        <f aca="false">INDEX(Owners!$E$4:$E$21,MATCH(D86,Owners!$A$4:$A$21,0))</f>
        <v>0</v>
      </c>
    </row>
    <row r="87" customFormat="false" ht="15" hidden="false" customHeight="false" outlineLevel="0" collapsed="false">
      <c r="A87" s="4" t="s">
        <v>384</v>
      </c>
      <c r="B87" s="4" t="s">
        <v>111</v>
      </c>
      <c r="C87" s="4" t="s">
        <v>229</v>
      </c>
      <c r="D87" s="4" t="s">
        <v>296</v>
      </c>
      <c r="E87" s="4" t="s">
        <v>202</v>
      </c>
      <c r="F87" s="4" t="s">
        <v>277</v>
      </c>
      <c r="G87" s="5" t="n">
        <v>46233.1645833333</v>
      </c>
      <c r="H87" s="5" t="n">
        <v>46234.56875</v>
      </c>
      <c r="I87" s="5" t="n">
        <v>46234.7465277778</v>
      </c>
      <c r="J87" s="4" t="s">
        <v>284</v>
      </c>
      <c r="K87" s="4" t="s">
        <v>384</v>
      </c>
      <c r="L87" s="4" t="s">
        <v>229</v>
      </c>
      <c r="M87" s="4" t="n">
        <v>1</v>
      </c>
      <c r="N87" s="4" t="n">
        <v>1</v>
      </c>
      <c r="O87" s="4" t="n">
        <v>0</v>
      </c>
      <c r="P87" s="12"/>
      <c r="Q87" s="4" t="n">
        <v>0</v>
      </c>
      <c r="R87" s="0" t="str">
        <f aca="false">INDEX(Owners!$B$4:$B$21,MATCH(D87,Owners!$A$4:$A$21,0))</f>
        <v>Data Platform</v>
      </c>
      <c r="S87" s="6" t="b">
        <f aca="false">AND(F87="closed",ISNUMBER(H87),H87&lt;=Controls!$B$4)</f>
        <v>1</v>
      </c>
      <c r="T87" s="6" t="b">
        <f aca="false">AND(ISNUMBER(I87),I87&lt;=Controls!$B$4,J87="rerun",K87=A87,L87=C87,M87=N87,O87=0,I87&gt;=G87,IF(ISNUMBER(P87),I87&gt;=P87,TRUE()))</f>
        <v>1</v>
      </c>
      <c r="U87" s="0" t="str">
        <f aca="false">IF(AND(S87,T87),"resolved",IF(S87,"claimed","open"))</f>
        <v>resolved</v>
      </c>
      <c r="V87" s="11" t="n">
        <f aca="false">ROUND((IF(U87="resolved",I87,IF(U87="claimed",H87,Controls!$B$4))-G87)*24,4)</f>
        <v>37.9667</v>
      </c>
      <c r="W87" s="6" t="b">
        <f aca="false">INDEX(Owners!$E$4:$E$21,MATCH(D87,Owners!$A$4:$A$21,0))</f>
        <v>1</v>
      </c>
    </row>
    <row r="88" customFormat="false" ht="15" hidden="false" customHeight="false" outlineLevel="0" collapsed="false">
      <c r="A88" s="4" t="s">
        <v>385</v>
      </c>
      <c r="B88" s="4" t="s">
        <v>131</v>
      </c>
      <c r="C88" s="4" t="s">
        <v>257</v>
      </c>
      <c r="D88" s="4" t="s">
        <v>283</v>
      </c>
      <c r="E88" s="4" t="s">
        <v>202</v>
      </c>
      <c r="F88" s="4" t="s">
        <v>277</v>
      </c>
      <c r="G88" s="5" t="n">
        <v>46233.1923611111</v>
      </c>
      <c r="H88" s="5" t="n">
        <v>46234.1993055556</v>
      </c>
      <c r="I88" s="12"/>
      <c r="N88" s="4" t="n">
        <v>1</v>
      </c>
      <c r="P88" s="12"/>
      <c r="Q88" s="4" t="n">
        <v>0</v>
      </c>
      <c r="R88" s="0" t="str">
        <f aca="false">INDEX(Owners!$B$4:$B$21,MATCH(D88,Owners!$A$4:$A$21,0))</f>
        <v>Data Platform</v>
      </c>
      <c r="S88" s="6" t="b">
        <f aca="false">AND(F88="closed",ISNUMBER(H88),H88&lt;=Controls!$B$4)</f>
        <v>1</v>
      </c>
      <c r="T88" s="6" t="b">
        <f aca="false">AND(ISNUMBER(I88),I88&lt;=Controls!$B$4,J88="rerun",K88=A88,L88=C88,M88=N88,O88=0,I88&gt;=G88,IF(ISNUMBER(P88),I88&gt;=P88,TRUE()))</f>
        <v>0</v>
      </c>
      <c r="U88" s="0" t="str">
        <f aca="false">IF(AND(S88,T88),"resolved",IF(S88,"claimed","open"))</f>
        <v>claimed</v>
      </c>
      <c r="V88" s="11" t="n">
        <f aca="false">ROUND((IF(U88="resolved",I88,IF(U88="claimed",H88,Controls!$B$4))-G88)*24,4)</f>
        <v>24.1667</v>
      </c>
      <c r="W88" s="6" t="b">
        <f aca="false">INDEX(Owners!$E$4:$E$21,MATCH(D88,Owners!$A$4:$A$21,0))</f>
        <v>1</v>
      </c>
    </row>
    <row r="89" customFormat="false" ht="15" hidden="false" customHeight="false" outlineLevel="0" collapsed="false">
      <c r="A89" s="4" t="s">
        <v>386</v>
      </c>
      <c r="B89" s="4" t="s">
        <v>98</v>
      </c>
      <c r="C89" s="4" t="s">
        <v>323</v>
      </c>
      <c r="D89" s="4" t="s">
        <v>324</v>
      </c>
      <c r="E89" s="4" t="s">
        <v>202</v>
      </c>
      <c r="F89" s="4" t="s">
        <v>277</v>
      </c>
      <c r="G89" s="5" t="n">
        <v>46234.0840277778</v>
      </c>
      <c r="H89" s="5" t="n">
        <v>46237.5111111111</v>
      </c>
      <c r="I89" s="5" t="n">
        <v>46237.6229166667</v>
      </c>
      <c r="J89" s="4" t="s">
        <v>284</v>
      </c>
      <c r="K89" s="4" t="s">
        <v>386</v>
      </c>
      <c r="L89" s="4" t="s">
        <v>323</v>
      </c>
      <c r="M89" s="4" t="n">
        <v>1</v>
      </c>
      <c r="N89" s="4" t="n">
        <v>1</v>
      </c>
      <c r="O89" s="4" t="n">
        <v>0</v>
      </c>
      <c r="P89" s="12"/>
      <c r="Q89" s="4" t="n">
        <v>0</v>
      </c>
      <c r="R89" s="0" t="str">
        <f aca="false">INDEX(Owners!$B$4:$B$21,MATCH(D89,Owners!$A$4:$A$21,0))</f>
        <v>Finance Systems</v>
      </c>
      <c r="S89" s="6" t="b">
        <f aca="false">AND(F89="closed",ISNUMBER(H89),H89&lt;=Controls!$B$4)</f>
        <v>1</v>
      </c>
      <c r="T89" s="6" t="b">
        <f aca="false">AND(ISNUMBER(I89),I89&lt;=Controls!$B$4,J89="rerun",K89=A89,L89=C89,M89=N89,O89=0,I89&gt;=G89,IF(ISNUMBER(P89),I89&gt;=P89,TRUE()))</f>
        <v>1</v>
      </c>
      <c r="U89" s="0" t="str">
        <f aca="false">IF(AND(S89,T89),"resolved",IF(S89,"claimed","open"))</f>
        <v>resolved</v>
      </c>
      <c r="V89" s="11" t="n">
        <f aca="false">ROUND((IF(U89="resolved",I89,IF(U89="claimed",H89,Controls!$B$4))-G89)*24,4)</f>
        <v>84.9333</v>
      </c>
      <c r="W89" s="6" t="b">
        <f aca="false">INDEX(Owners!$E$4:$E$21,MATCH(D89,Owners!$A$4:$A$21,0))</f>
        <v>1</v>
      </c>
    </row>
    <row r="90" customFormat="false" ht="15" hidden="false" customHeight="false" outlineLevel="0" collapsed="false">
      <c r="A90" s="4" t="s">
        <v>387</v>
      </c>
      <c r="B90" s="4" t="s">
        <v>107</v>
      </c>
      <c r="C90" s="4" t="s">
        <v>224</v>
      </c>
      <c r="D90" s="4" t="s">
        <v>326</v>
      </c>
      <c r="E90" s="4" t="s">
        <v>202</v>
      </c>
      <c r="F90" s="4" t="s">
        <v>277</v>
      </c>
      <c r="G90" s="5" t="n">
        <v>46234.0972222222</v>
      </c>
      <c r="H90" s="5" t="n">
        <v>46239.8076388889</v>
      </c>
      <c r="I90" s="5" t="n">
        <v>46240.0118055556</v>
      </c>
      <c r="J90" s="4" t="s">
        <v>284</v>
      </c>
      <c r="K90" s="4" t="s">
        <v>387</v>
      </c>
      <c r="L90" s="4" t="s">
        <v>224</v>
      </c>
      <c r="M90" s="4" t="n">
        <v>1</v>
      </c>
      <c r="N90" s="4" t="n">
        <v>1</v>
      </c>
      <c r="O90" s="4" t="n">
        <v>0</v>
      </c>
      <c r="P90" s="12"/>
      <c r="Q90" s="4" t="n">
        <v>0</v>
      </c>
      <c r="R90" s="0" t="str">
        <f aca="false">INDEX(Owners!$B$4:$B$21,MATCH(D90,Owners!$A$4:$A$21,0))</f>
        <v>Customer Data</v>
      </c>
      <c r="S90" s="6" t="b">
        <f aca="false">AND(F90="closed",ISNUMBER(H90),H90&lt;=Controls!$B$4)</f>
        <v>1</v>
      </c>
      <c r="T90" s="6" t="b">
        <f aca="false">AND(ISNUMBER(I90),I90&lt;=Controls!$B$4,J90="rerun",K90=A90,L90=C90,M90=N90,O90=0,I90&gt;=G90,IF(ISNUMBER(P90),I90&gt;=P90,TRUE()))</f>
        <v>1</v>
      </c>
      <c r="U90" s="0" t="str">
        <f aca="false">IF(AND(S90,T90),"resolved",IF(S90,"claimed","open"))</f>
        <v>resolved</v>
      </c>
      <c r="V90" s="11" t="n">
        <f aca="false">ROUND((IF(U90="resolved",I90,IF(U90="claimed",H90,Controls!$B$4))-G90)*24,4)</f>
        <v>141.95</v>
      </c>
      <c r="W90" s="6" t="b">
        <f aca="false">INDEX(Owners!$E$4:$E$21,MATCH(D90,Owners!$A$4:$A$21,0))</f>
        <v>0</v>
      </c>
    </row>
    <row r="91" customFormat="false" ht="15" hidden="false" customHeight="false" outlineLevel="0" collapsed="false">
      <c r="A91" s="4" t="s">
        <v>388</v>
      </c>
      <c r="B91" s="4" t="s">
        <v>97</v>
      </c>
      <c r="C91" s="4" t="s">
        <v>208</v>
      </c>
      <c r="D91" s="4" t="s">
        <v>286</v>
      </c>
      <c r="E91" s="4" t="s">
        <v>202</v>
      </c>
      <c r="F91" s="4" t="s">
        <v>277</v>
      </c>
      <c r="G91" s="5" t="n">
        <v>46234.1194444444</v>
      </c>
      <c r="H91" s="5" t="n">
        <v>46236.5145833333</v>
      </c>
      <c r="I91" s="5" t="n">
        <v>46237.0923611111</v>
      </c>
      <c r="J91" s="4" t="s">
        <v>284</v>
      </c>
      <c r="K91" s="4" t="s">
        <v>388</v>
      </c>
      <c r="L91" s="4" t="s">
        <v>208</v>
      </c>
      <c r="M91" s="4" t="n">
        <v>1</v>
      </c>
      <c r="N91" s="4" t="n">
        <v>1</v>
      </c>
      <c r="O91" s="4" t="n">
        <v>0</v>
      </c>
      <c r="P91" s="12"/>
      <c r="Q91" s="4" t="n">
        <v>0</v>
      </c>
      <c r="R91" s="0" t="str">
        <f aca="false">INDEX(Owners!$B$4:$B$21,MATCH(D91,Owners!$A$4:$A$21,0))</f>
        <v>Finance Systems</v>
      </c>
      <c r="S91" s="6" t="b">
        <f aca="false">AND(F91="closed",ISNUMBER(H91),H91&lt;=Controls!$B$4)</f>
        <v>1</v>
      </c>
      <c r="T91" s="6" t="b">
        <f aca="false">AND(ISNUMBER(I91),I91&lt;=Controls!$B$4,J91="rerun",K91=A91,L91=C91,M91=N91,O91=0,I91&gt;=G91,IF(ISNUMBER(P91),I91&gt;=P91,TRUE()))</f>
        <v>1</v>
      </c>
      <c r="U91" s="0" t="str">
        <f aca="false">IF(AND(S91,T91),"resolved",IF(S91,"claimed","open"))</f>
        <v>resolved</v>
      </c>
      <c r="V91" s="11" t="n">
        <f aca="false">ROUND((IF(U91="resolved",I91,IF(U91="claimed",H91,Controls!$B$4))-G91)*24,4)</f>
        <v>71.35</v>
      </c>
      <c r="W91" s="6" t="b">
        <f aca="false">INDEX(Owners!$E$4:$E$21,MATCH(D91,Owners!$A$4:$A$21,0))</f>
        <v>0</v>
      </c>
    </row>
    <row r="92" customFormat="false" ht="15" hidden="false" customHeight="false" outlineLevel="0" collapsed="false">
      <c r="A92" s="4" t="s">
        <v>389</v>
      </c>
      <c r="B92" s="4" t="s">
        <v>119</v>
      </c>
      <c r="C92" s="4" t="s">
        <v>243</v>
      </c>
      <c r="D92" s="4" t="s">
        <v>292</v>
      </c>
      <c r="E92" s="4" t="s">
        <v>202</v>
      </c>
      <c r="F92" s="4" t="s">
        <v>277</v>
      </c>
      <c r="G92" s="5" t="n">
        <v>46234.1604166667</v>
      </c>
      <c r="H92" s="5" t="n">
        <v>46235.4923611111</v>
      </c>
      <c r="I92" s="5" t="n">
        <v>46236.0909722222</v>
      </c>
      <c r="J92" s="4" t="s">
        <v>284</v>
      </c>
      <c r="K92" s="4" t="s">
        <v>389</v>
      </c>
      <c r="L92" s="4" t="s">
        <v>243</v>
      </c>
      <c r="M92" s="4" t="n">
        <v>1</v>
      </c>
      <c r="N92" s="4" t="n">
        <v>1</v>
      </c>
      <c r="O92" s="4" t="n">
        <v>0</v>
      </c>
      <c r="P92" s="12"/>
      <c r="Q92" s="4" t="n">
        <v>0</v>
      </c>
      <c r="R92" s="0" t="str">
        <f aca="false">INDEX(Owners!$B$4:$B$21,MATCH(D92,Owners!$A$4:$A$21,0))</f>
        <v>Support Operations</v>
      </c>
      <c r="S92" s="6" t="b">
        <f aca="false">AND(F92="closed",ISNUMBER(H92),H92&lt;=Controls!$B$4)</f>
        <v>1</v>
      </c>
      <c r="T92" s="6" t="b">
        <f aca="false">AND(ISNUMBER(I92),I92&lt;=Controls!$B$4,J92="rerun",K92=A92,L92=C92,M92=N92,O92=0,I92&gt;=G92,IF(ISNUMBER(P92),I92&gt;=P92,TRUE()))</f>
        <v>1</v>
      </c>
      <c r="U92" s="0" t="str">
        <f aca="false">IF(AND(S92,T92),"resolved",IF(S92,"claimed","open"))</f>
        <v>resolved</v>
      </c>
      <c r="V92" s="11" t="n">
        <f aca="false">ROUND((IF(U92="resolved",I92,IF(U92="claimed",H92,Controls!$B$4))-G92)*24,4)</f>
        <v>46.3333</v>
      </c>
      <c r="W92" s="6" t="b">
        <f aca="false">INDEX(Owners!$E$4:$E$21,MATCH(D92,Owners!$A$4:$A$21,0))</f>
        <v>1</v>
      </c>
    </row>
    <row r="93" customFormat="false" ht="15" hidden="false" customHeight="false" outlineLevel="0" collapsed="false">
      <c r="A93" s="4" t="s">
        <v>390</v>
      </c>
      <c r="B93" s="4" t="s">
        <v>125</v>
      </c>
      <c r="C93" s="4" t="s">
        <v>250</v>
      </c>
      <c r="D93" s="4" t="s">
        <v>334</v>
      </c>
      <c r="E93" s="4" t="s">
        <v>202</v>
      </c>
      <c r="F93" s="4" t="s">
        <v>277</v>
      </c>
      <c r="G93" s="5" t="n">
        <v>46234.1875</v>
      </c>
      <c r="H93" s="5" t="n">
        <v>46236.7722222222</v>
      </c>
      <c r="I93" s="5" t="n">
        <v>46237.2840277778</v>
      </c>
      <c r="J93" s="4" t="s">
        <v>284</v>
      </c>
      <c r="K93" s="4" t="s">
        <v>390</v>
      </c>
      <c r="L93" s="4" t="s">
        <v>250</v>
      </c>
      <c r="M93" s="4" t="n">
        <v>1</v>
      </c>
      <c r="N93" s="4" t="n">
        <v>1</v>
      </c>
      <c r="O93" s="4" t="n">
        <v>0</v>
      </c>
      <c r="P93" s="12"/>
      <c r="Q93" s="4" t="n">
        <v>0</v>
      </c>
      <c r="R93" s="0" t="str">
        <f aca="false">INDEX(Owners!$B$4:$B$21,MATCH(D93,Owners!$A$4:$A$21,0))</f>
        <v>Supply Chain</v>
      </c>
      <c r="S93" s="6" t="b">
        <f aca="false">AND(F93="closed",ISNUMBER(H93),H93&lt;=Controls!$B$4)</f>
        <v>1</v>
      </c>
      <c r="T93" s="6" t="b">
        <f aca="false">AND(ISNUMBER(I93),I93&lt;=Controls!$B$4,J93="rerun",K93=A93,L93=C93,M93=N93,O93=0,I93&gt;=G93,IF(ISNUMBER(P93),I93&gt;=P93,TRUE()))</f>
        <v>1</v>
      </c>
      <c r="U93" s="0" t="str">
        <f aca="false">IF(AND(S93,T93),"resolved",IF(S93,"claimed","open"))</f>
        <v>resolved</v>
      </c>
      <c r="V93" s="11" t="n">
        <f aca="false">ROUND((IF(U93="resolved",I93,IF(U93="claimed",H93,Controls!$B$4))-G93)*24,4)</f>
        <v>74.3167</v>
      </c>
      <c r="W93" s="6" t="b">
        <f aca="false">INDEX(Owners!$E$4:$E$21,MATCH(D93,Owners!$A$4:$A$21,0))</f>
        <v>0</v>
      </c>
    </row>
    <row r="94" customFormat="false" ht="15" hidden="false" customHeight="false" outlineLevel="0" collapsed="false">
      <c r="A94" s="4" t="s">
        <v>391</v>
      </c>
      <c r="B94" s="4" t="s">
        <v>110</v>
      </c>
      <c r="C94" s="4" t="s">
        <v>228</v>
      </c>
      <c r="D94" s="4" t="s">
        <v>286</v>
      </c>
      <c r="E94" s="4" t="s">
        <v>202</v>
      </c>
      <c r="F94" s="4" t="s">
        <v>277</v>
      </c>
      <c r="G94" s="5" t="n">
        <v>46234.2145833333</v>
      </c>
      <c r="H94" s="5" t="n">
        <v>46234.8493055556</v>
      </c>
      <c r="I94" s="12"/>
      <c r="N94" s="4" t="n">
        <v>1</v>
      </c>
      <c r="P94" s="12"/>
      <c r="Q94" s="4" t="n">
        <v>0</v>
      </c>
      <c r="R94" s="0" t="str">
        <f aca="false">INDEX(Owners!$B$4:$B$21,MATCH(D94,Owners!$A$4:$A$21,0))</f>
        <v>Finance Systems</v>
      </c>
      <c r="S94" s="6" t="b">
        <f aca="false">AND(F94="closed",ISNUMBER(H94),H94&lt;=Controls!$B$4)</f>
        <v>1</v>
      </c>
      <c r="T94" s="6" t="b">
        <f aca="false">AND(ISNUMBER(I94),I94&lt;=Controls!$B$4,J94="rerun",K94=A94,L94=C94,M94=N94,O94=0,I94&gt;=G94,IF(ISNUMBER(P94),I94&gt;=P94,TRUE()))</f>
        <v>0</v>
      </c>
      <c r="U94" s="0" t="str">
        <f aca="false">IF(AND(S94,T94),"resolved",IF(S94,"claimed","open"))</f>
        <v>claimed</v>
      </c>
      <c r="V94" s="11" t="n">
        <f aca="false">ROUND((IF(U94="resolved",I94,IF(U94="claimed",H94,Controls!$B$4))-G94)*24,4)</f>
        <v>15.2333</v>
      </c>
      <c r="W94" s="6" t="b">
        <f aca="false">INDEX(Owners!$E$4:$E$21,MATCH(D94,Owners!$A$4:$A$21,0))</f>
        <v>0</v>
      </c>
    </row>
    <row r="95" customFormat="false" ht="15" hidden="false" customHeight="false" outlineLevel="0" collapsed="false">
      <c r="A95" s="4" t="s">
        <v>392</v>
      </c>
      <c r="B95" s="4" t="s">
        <v>98</v>
      </c>
      <c r="C95" s="4" t="s">
        <v>211</v>
      </c>
      <c r="D95" s="4" t="s">
        <v>324</v>
      </c>
      <c r="E95" s="4" t="s">
        <v>204</v>
      </c>
      <c r="F95" s="4" t="s">
        <v>277</v>
      </c>
      <c r="G95" s="5" t="n">
        <v>46234.2416666667</v>
      </c>
      <c r="H95" s="5" t="n">
        <v>46236.2694444444</v>
      </c>
      <c r="I95" s="5" t="n">
        <v>46236.4423611111</v>
      </c>
      <c r="J95" s="4" t="s">
        <v>284</v>
      </c>
      <c r="K95" s="4" t="s">
        <v>392</v>
      </c>
      <c r="L95" s="4" t="s">
        <v>211</v>
      </c>
      <c r="M95" s="4" t="n">
        <v>1</v>
      </c>
      <c r="N95" s="4" t="n">
        <v>1</v>
      </c>
      <c r="O95" s="4" t="n">
        <v>0</v>
      </c>
      <c r="P95" s="12"/>
      <c r="Q95" s="4" t="n">
        <v>0</v>
      </c>
      <c r="R95" s="0" t="str">
        <f aca="false">INDEX(Owners!$B$4:$B$21,MATCH(D95,Owners!$A$4:$A$21,0))</f>
        <v>Finance Systems</v>
      </c>
      <c r="S95" s="6" t="b">
        <f aca="false">AND(F95="closed",ISNUMBER(H95),H95&lt;=Controls!$B$4)</f>
        <v>1</v>
      </c>
      <c r="T95" s="6" t="b">
        <f aca="false">AND(ISNUMBER(I95),I95&lt;=Controls!$B$4,J95="rerun",K95=A95,L95=C95,M95=N95,O95=0,I95&gt;=G95,IF(ISNUMBER(P95),I95&gt;=P95,TRUE()))</f>
        <v>1</v>
      </c>
      <c r="U95" s="0" t="str">
        <f aca="false">IF(AND(S95,T95),"resolved",IF(S95,"claimed","open"))</f>
        <v>resolved</v>
      </c>
      <c r="V95" s="11" t="n">
        <f aca="false">ROUND((IF(U95="resolved",I95,IF(U95="claimed",H95,Controls!$B$4))-G95)*24,4)</f>
        <v>52.8167</v>
      </c>
      <c r="W95" s="6" t="b">
        <f aca="false">INDEX(Owners!$E$4:$E$21,MATCH(D95,Owners!$A$4:$A$21,0))</f>
        <v>1</v>
      </c>
    </row>
    <row r="96" customFormat="false" ht="15" hidden="false" customHeight="false" outlineLevel="0" collapsed="false">
      <c r="A96" s="4" t="s">
        <v>393</v>
      </c>
      <c r="B96" s="4" t="s">
        <v>131</v>
      </c>
      <c r="C96" s="4" t="s">
        <v>258</v>
      </c>
      <c r="D96" s="4" t="s">
        <v>283</v>
      </c>
      <c r="E96" s="4" t="s">
        <v>202</v>
      </c>
      <c r="F96" s="4" t="s">
        <v>277</v>
      </c>
      <c r="G96" s="5" t="n">
        <v>46234.9930555556</v>
      </c>
      <c r="H96" s="5" t="n">
        <v>46235.4395833333</v>
      </c>
      <c r="I96" s="5" t="n">
        <v>46235.6319444445</v>
      </c>
      <c r="J96" s="4" t="s">
        <v>284</v>
      </c>
      <c r="K96" s="4" t="s">
        <v>393</v>
      </c>
      <c r="L96" s="4" t="s">
        <v>258</v>
      </c>
      <c r="M96" s="4" t="n">
        <v>1</v>
      </c>
      <c r="N96" s="4" t="n">
        <v>1</v>
      </c>
      <c r="O96" s="4" t="n">
        <v>0</v>
      </c>
      <c r="P96" s="12"/>
      <c r="Q96" s="4" t="n">
        <v>0</v>
      </c>
      <c r="R96" s="0" t="str">
        <f aca="false">INDEX(Owners!$B$4:$B$21,MATCH(D96,Owners!$A$4:$A$21,0))</f>
        <v>Data Platform</v>
      </c>
      <c r="S96" s="6" t="b">
        <f aca="false">AND(F96="closed",ISNUMBER(H96),H96&lt;=Controls!$B$4)</f>
        <v>1</v>
      </c>
      <c r="T96" s="6" t="b">
        <f aca="false">AND(ISNUMBER(I96),I96&lt;=Controls!$B$4,J96="rerun",K96=A96,L96=C96,M96=N96,O96=0,I96&gt;=G96,IF(ISNUMBER(P96),I96&gt;=P96,TRUE()))</f>
        <v>1</v>
      </c>
      <c r="U96" s="0" t="str">
        <f aca="false">IF(AND(S96,T96),"resolved",IF(S96,"claimed","open"))</f>
        <v>resolved</v>
      </c>
      <c r="V96" s="11" t="n">
        <f aca="false">ROUND((IF(U96="resolved",I96,IF(U96="claimed",H96,Controls!$B$4))-G96)*24,4)</f>
        <v>15.3333</v>
      </c>
      <c r="W96" s="6" t="b">
        <f aca="false">INDEX(Owners!$E$4:$E$21,MATCH(D96,Owners!$A$4:$A$21,0))</f>
        <v>1</v>
      </c>
    </row>
    <row r="97" customFormat="false" ht="15" hidden="false" customHeight="false" outlineLevel="0" collapsed="false">
      <c r="A97" s="4" t="s">
        <v>394</v>
      </c>
      <c r="B97" s="4" t="s">
        <v>102</v>
      </c>
      <c r="C97" s="4" t="s">
        <v>213</v>
      </c>
      <c r="D97" s="4" t="s">
        <v>290</v>
      </c>
      <c r="E97" s="4" t="s">
        <v>202</v>
      </c>
      <c r="F97" s="4" t="s">
        <v>277</v>
      </c>
      <c r="G97" s="5" t="n">
        <v>46235.0833333333</v>
      </c>
      <c r="H97" s="5" t="n">
        <v>46236.9861111111</v>
      </c>
      <c r="I97" s="5" t="n">
        <v>46237.3402777778</v>
      </c>
      <c r="J97" s="4" t="s">
        <v>284</v>
      </c>
      <c r="K97" s="4" t="s">
        <v>394</v>
      </c>
      <c r="L97" s="4" t="s">
        <v>213</v>
      </c>
      <c r="M97" s="4" t="n">
        <v>1</v>
      </c>
      <c r="N97" s="4" t="n">
        <v>1</v>
      </c>
      <c r="O97" s="4" t="n">
        <v>0</v>
      </c>
      <c r="P97" s="12"/>
      <c r="Q97" s="4" t="n">
        <v>0</v>
      </c>
      <c r="R97" s="0" t="str">
        <f aca="false">INDEX(Owners!$B$4:$B$21,MATCH(D97,Owners!$A$4:$A$21,0))</f>
        <v>Customer Data</v>
      </c>
      <c r="S97" s="6" t="b">
        <f aca="false">AND(F97="closed",ISNUMBER(H97),H97&lt;=Controls!$B$4)</f>
        <v>1</v>
      </c>
      <c r="T97" s="6" t="b">
        <f aca="false">AND(ISNUMBER(I97),I97&lt;=Controls!$B$4,J97="rerun",K97=A97,L97=C97,M97=N97,O97=0,I97&gt;=G97,IF(ISNUMBER(P97),I97&gt;=P97,TRUE()))</f>
        <v>1</v>
      </c>
      <c r="U97" s="0" t="str">
        <f aca="false">IF(AND(S97,T97),"resolved",IF(S97,"claimed","open"))</f>
        <v>resolved</v>
      </c>
      <c r="V97" s="11" t="n">
        <f aca="false">ROUND((IF(U97="resolved",I97,IF(U97="claimed",H97,Controls!$B$4))-G97)*24,4)</f>
        <v>54.1667</v>
      </c>
      <c r="W97" s="6" t="b">
        <f aca="false">INDEX(Owners!$E$4:$E$21,MATCH(D97,Owners!$A$4:$A$21,0))</f>
        <v>1</v>
      </c>
    </row>
    <row r="98" customFormat="false" ht="15" hidden="false" customHeight="false" outlineLevel="0" collapsed="false">
      <c r="A98" s="4" t="s">
        <v>395</v>
      </c>
      <c r="B98" s="4" t="s">
        <v>98</v>
      </c>
      <c r="C98" s="4" t="s">
        <v>323</v>
      </c>
      <c r="D98" s="4" t="s">
        <v>324</v>
      </c>
      <c r="E98" s="4" t="s">
        <v>202</v>
      </c>
      <c r="F98" s="4" t="s">
        <v>277</v>
      </c>
      <c r="G98" s="5" t="n">
        <v>46235.0840277778</v>
      </c>
      <c r="H98" s="5" t="n">
        <v>46237.0326388889</v>
      </c>
      <c r="I98" s="5" t="n">
        <v>46237.6041666667</v>
      </c>
      <c r="J98" s="4" t="s">
        <v>284</v>
      </c>
      <c r="K98" s="4" t="s">
        <v>395</v>
      </c>
      <c r="L98" s="4" t="s">
        <v>323</v>
      </c>
      <c r="M98" s="4" t="n">
        <v>1</v>
      </c>
      <c r="N98" s="4" t="n">
        <v>1</v>
      </c>
      <c r="O98" s="4" t="n">
        <v>0</v>
      </c>
      <c r="P98" s="12"/>
      <c r="Q98" s="4" t="n">
        <v>0</v>
      </c>
      <c r="R98" s="0" t="str">
        <f aca="false">INDEX(Owners!$B$4:$B$21,MATCH(D98,Owners!$A$4:$A$21,0))</f>
        <v>Finance Systems</v>
      </c>
      <c r="S98" s="6" t="b">
        <f aca="false">AND(F98="closed",ISNUMBER(H98),H98&lt;=Controls!$B$4)</f>
        <v>1</v>
      </c>
      <c r="T98" s="6" t="b">
        <f aca="false">AND(ISNUMBER(I98),I98&lt;=Controls!$B$4,J98="rerun",K98=A98,L98=C98,M98=N98,O98=0,I98&gt;=G98,IF(ISNUMBER(P98),I98&gt;=P98,TRUE()))</f>
        <v>1</v>
      </c>
      <c r="U98" s="0" t="str">
        <f aca="false">IF(AND(S98,T98),"resolved",IF(S98,"claimed","open"))</f>
        <v>resolved</v>
      </c>
      <c r="V98" s="11" t="n">
        <f aca="false">ROUND((IF(U98="resolved",I98,IF(U98="claimed",H98,Controls!$B$4))-G98)*24,4)</f>
        <v>60.4833</v>
      </c>
      <c r="W98" s="6" t="b">
        <f aca="false">INDEX(Owners!$E$4:$E$21,MATCH(D98,Owners!$A$4:$A$21,0))</f>
        <v>1</v>
      </c>
    </row>
    <row r="99" customFormat="false" ht="15" hidden="false" customHeight="false" outlineLevel="0" collapsed="false">
      <c r="A99" s="4" t="s">
        <v>396</v>
      </c>
      <c r="B99" s="4" t="s">
        <v>102</v>
      </c>
      <c r="C99" s="4" t="s">
        <v>217</v>
      </c>
      <c r="D99" s="4" t="s">
        <v>290</v>
      </c>
      <c r="E99" s="4" t="s">
        <v>204</v>
      </c>
      <c r="F99" s="4" t="s">
        <v>277</v>
      </c>
      <c r="G99" s="5" t="n">
        <v>46235.0923611111</v>
      </c>
      <c r="H99" s="5" t="n">
        <v>46236.7743055556</v>
      </c>
      <c r="I99" s="5" t="n">
        <v>46237.2680555556</v>
      </c>
      <c r="J99" s="4" t="s">
        <v>284</v>
      </c>
      <c r="K99" s="4" t="s">
        <v>396</v>
      </c>
      <c r="L99" s="4" t="s">
        <v>217</v>
      </c>
      <c r="M99" s="4" t="n">
        <v>1</v>
      </c>
      <c r="N99" s="4" t="n">
        <v>1</v>
      </c>
      <c r="O99" s="4" t="n">
        <v>0</v>
      </c>
      <c r="P99" s="12"/>
      <c r="Q99" s="4" t="n">
        <v>0</v>
      </c>
      <c r="R99" s="0" t="str">
        <f aca="false">INDEX(Owners!$B$4:$B$21,MATCH(D99,Owners!$A$4:$A$21,0))</f>
        <v>Customer Data</v>
      </c>
      <c r="S99" s="6" t="b">
        <f aca="false">AND(F99="closed",ISNUMBER(H99),H99&lt;=Controls!$B$4)</f>
        <v>1</v>
      </c>
      <c r="T99" s="6" t="b">
        <f aca="false">AND(ISNUMBER(I99),I99&lt;=Controls!$B$4,J99="rerun",K99=A99,L99=C99,M99=N99,O99=0,I99&gt;=G99,IF(ISNUMBER(P99),I99&gt;=P99,TRUE()))</f>
        <v>1</v>
      </c>
      <c r="U99" s="0" t="str">
        <f aca="false">IF(AND(S99,T99),"resolved",IF(S99,"claimed","open"))</f>
        <v>resolved</v>
      </c>
      <c r="V99" s="11" t="n">
        <f aca="false">ROUND((IF(U99="resolved",I99,IF(U99="claimed",H99,Controls!$B$4))-G99)*24,4)</f>
        <v>52.2167</v>
      </c>
      <c r="W99" s="6" t="b">
        <f aca="false">INDEX(Owners!$E$4:$E$21,MATCH(D99,Owners!$A$4:$A$21,0))</f>
        <v>1</v>
      </c>
    </row>
    <row r="100" customFormat="false" ht="15" hidden="false" customHeight="false" outlineLevel="0" collapsed="false">
      <c r="A100" s="4" t="s">
        <v>397</v>
      </c>
      <c r="B100" s="4" t="s">
        <v>128</v>
      </c>
      <c r="C100" s="4" t="s">
        <v>253</v>
      </c>
      <c r="D100" s="4" t="s">
        <v>283</v>
      </c>
      <c r="E100" s="4" t="s">
        <v>204</v>
      </c>
      <c r="F100" s="4" t="s">
        <v>277</v>
      </c>
      <c r="G100" s="5" t="n">
        <v>46235.1111111111</v>
      </c>
      <c r="H100" s="5" t="n">
        <v>46235.7243055556</v>
      </c>
      <c r="I100" s="5" t="n">
        <v>46235.7756944444</v>
      </c>
      <c r="J100" s="4" t="s">
        <v>284</v>
      </c>
      <c r="K100" s="4" t="s">
        <v>397</v>
      </c>
      <c r="L100" s="4" t="s">
        <v>253</v>
      </c>
      <c r="M100" s="4" t="n">
        <v>1</v>
      </c>
      <c r="N100" s="4" t="n">
        <v>1</v>
      </c>
      <c r="O100" s="4" t="n">
        <v>0</v>
      </c>
      <c r="P100" s="12"/>
      <c r="Q100" s="4" t="n">
        <v>0</v>
      </c>
      <c r="R100" s="0" t="str">
        <f aca="false">INDEX(Owners!$B$4:$B$21,MATCH(D100,Owners!$A$4:$A$21,0))</f>
        <v>Data Platform</v>
      </c>
      <c r="S100" s="6" t="b">
        <f aca="false">AND(F100="closed",ISNUMBER(H100),H100&lt;=Controls!$B$4)</f>
        <v>1</v>
      </c>
      <c r="T100" s="6" t="b">
        <f aca="false">AND(ISNUMBER(I100),I100&lt;=Controls!$B$4,J100="rerun",K100=A100,L100=C100,M100=N100,O100=0,I100&gt;=G100,IF(ISNUMBER(P100),I100&gt;=P100,TRUE()))</f>
        <v>1</v>
      </c>
      <c r="U100" s="0" t="str">
        <f aca="false">IF(AND(S100,T100),"resolved",IF(S100,"claimed","open"))</f>
        <v>resolved</v>
      </c>
      <c r="V100" s="11" t="n">
        <f aca="false">ROUND((IF(U100="resolved",I100,IF(U100="claimed",H100,Controls!$B$4))-G100)*24,4)</f>
        <v>15.95</v>
      </c>
      <c r="W100" s="6" t="b">
        <f aca="false">INDEX(Owners!$E$4:$E$21,MATCH(D100,Owners!$A$4:$A$21,0))</f>
        <v>1</v>
      </c>
    </row>
    <row r="101" customFormat="false" ht="15" hidden="false" customHeight="false" outlineLevel="0" collapsed="false">
      <c r="A101" s="4" t="s">
        <v>398</v>
      </c>
      <c r="B101" s="4" t="s">
        <v>131</v>
      </c>
      <c r="C101" s="4" t="s">
        <v>257</v>
      </c>
      <c r="D101" s="4" t="s">
        <v>283</v>
      </c>
      <c r="E101" s="4" t="s">
        <v>202</v>
      </c>
      <c r="F101" s="4" t="s">
        <v>277</v>
      </c>
      <c r="G101" s="5" t="n">
        <v>46235.1923611111</v>
      </c>
      <c r="H101" s="5" t="n">
        <v>46235.6444444444</v>
      </c>
      <c r="I101" s="5" t="n">
        <v>46235.80625</v>
      </c>
      <c r="J101" s="4" t="s">
        <v>284</v>
      </c>
      <c r="K101" s="4" t="s">
        <v>398</v>
      </c>
      <c r="L101" s="4" t="s">
        <v>257</v>
      </c>
      <c r="M101" s="4" t="n">
        <v>1</v>
      </c>
      <c r="N101" s="4" t="n">
        <v>1</v>
      </c>
      <c r="O101" s="4" t="n">
        <v>0</v>
      </c>
      <c r="P101" s="12"/>
      <c r="Q101" s="4" t="n">
        <v>0</v>
      </c>
      <c r="R101" s="0" t="str">
        <f aca="false">INDEX(Owners!$B$4:$B$21,MATCH(D101,Owners!$A$4:$A$21,0))</f>
        <v>Data Platform</v>
      </c>
      <c r="S101" s="6" t="b">
        <f aca="false">AND(F101="closed",ISNUMBER(H101),H101&lt;=Controls!$B$4)</f>
        <v>1</v>
      </c>
      <c r="T101" s="6" t="b">
        <f aca="false">AND(ISNUMBER(I101),I101&lt;=Controls!$B$4,J101="rerun",K101=A101,L101=C101,M101=N101,O101=0,I101&gt;=G101,IF(ISNUMBER(P101),I101&gt;=P101,TRUE()))</f>
        <v>1</v>
      </c>
      <c r="U101" s="0" t="str">
        <f aca="false">IF(AND(S101,T101),"resolved",IF(S101,"claimed","open"))</f>
        <v>resolved</v>
      </c>
      <c r="V101" s="11" t="n">
        <f aca="false">ROUND((IF(U101="resolved",I101,IF(U101="claimed",H101,Controls!$B$4))-G101)*24,4)</f>
        <v>14.7333</v>
      </c>
      <c r="W101" s="6" t="b">
        <f aca="false">INDEX(Owners!$E$4:$E$21,MATCH(D101,Owners!$A$4:$A$21,0))</f>
        <v>1</v>
      </c>
    </row>
    <row r="102" customFormat="false" ht="15" hidden="false" customHeight="false" outlineLevel="0" collapsed="false">
      <c r="A102" s="4" t="s">
        <v>399</v>
      </c>
      <c r="B102" s="4" t="s">
        <v>110</v>
      </c>
      <c r="C102" s="4" t="s">
        <v>228</v>
      </c>
      <c r="D102" s="4" t="s">
        <v>286</v>
      </c>
      <c r="E102" s="4" t="s">
        <v>202</v>
      </c>
      <c r="F102" s="4" t="s">
        <v>277</v>
      </c>
      <c r="G102" s="5" t="n">
        <v>46235.2145833333</v>
      </c>
      <c r="H102" s="5" t="n">
        <v>46238.3666666667</v>
      </c>
      <c r="I102" s="12"/>
      <c r="N102" s="4" t="n">
        <v>1</v>
      </c>
      <c r="P102" s="12"/>
      <c r="Q102" s="4" t="n">
        <v>0</v>
      </c>
      <c r="R102" s="0" t="str">
        <f aca="false">INDEX(Owners!$B$4:$B$21,MATCH(D102,Owners!$A$4:$A$21,0))</f>
        <v>Finance Systems</v>
      </c>
      <c r="S102" s="6" t="b">
        <f aca="false">AND(F102="closed",ISNUMBER(H102),H102&lt;=Controls!$B$4)</f>
        <v>1</v>
      </c>
      <c r="T102" s="6" t="b">
        <f aca="false">AND(ISNUMBER(I102),I102&lt;=Controls!$B$4,J102="rerun",K102=A102,L102=C102,M102=N102,O102=0,I102&gt;=G102,IF(ISNUMBER(P102),I102&gt;=P102,TRUE()))</f>
        <v>0</v>
      </c>
      <c r="U102" s="0" t="str">
        <f aca="false">IF(AND(S102,T102),"resolved",IF(S102,"claimed","open"))</f>
        <v>claimed</v>
      </c>
      <c r="V102" s="11" t="n">
        <f aca="false">ROUND((IF(U102="resolved",I102,IF(U102="claimed",H102,Controls!$B$4))-G102)*24,4)</f>
        <v>75.65</v>
      </c>
      <c r="W102" s="6" t="b">
        <f aca="false">INDEX(Owners!$E$4:$E$21,MATCH(D102,Owners!$A$4:$A$21,0))</f>
        <v>0</v>
      </c>
    </row>
    <row r="103" customFormat="false" ht="15" hidden="false" customHeight="false" outlineLevel="0" collapsed="false">
      <c r="A103" s="4" t="s">
        <v>400</v>
      </c>
      <c r="B103" s="4" t="s">
        <v>112</v>
      </c>
      <c r="C103" s="4" t="s">
        <v>231</v>
      </c>
      <c r="D103" s="4" t="s">
        <v>320</v>
      </c>
      <c r="E103" s="4" t="s">
        <v>210</v>
      </c>
      <c r="F103" s="4" t="s">
        <v>277</v>
      </c>
      <c r="G103" s="5" t="n">
        <v>46235.2277777778</v>
      </c>
      <c r="H103" s="5" t="n">
        <v>46236.8284722222</v>
      </c>
      <c r="I103" s="5" t="n">
        <v>46237.2798611111</v>
      </c>
      <c r="J103" s="4" t="s">
        <v>284</v>
      </c>
      <c r="K103" s="4" t="s">
        <v>400</v>
      </c>
      <c r="L103" s="4" t="s">
        <v>231</v>
      </c>
      <c r="M103" s="4" t="n">
        <v>1</v>
      </c>
      <c r="N103" s="4" t="n">
        <v>1</v>
      </c>
      <c r="O103" s="4" t="n">
        <v>0</v>
      </c>
      <c r="P103" s="12"/>
      <c r="Q103" s="4" t="n">
        <v>0</v>
      </c>
      <c r="R103" s="0" t="str">
        <f aca="false">INDEX(Owners!$B$4:$B$21,MATCH(D103,Owners!$A$4:$A$21,0))</f>
        <v>Data Governance</v>
      </c>
      <c r="S103" s="6" t="b">
        <f aca="false">AND(F103="closed",ISNUMBER(H103),H103&lt;=Controls!$B$4)</f>
        <v>1</v>
      </c>
      <c r="T103" s="6" t="b">
        <f aca="false">AND(ISNUMBER(I103),I103&lt;=Controls!$B$4,J103="rerun",K103=A103,L103=C103,M103=N103,O103=0,I103&gt;=G103,IF(ISNUMBER(P103),I103&gt;=P103,TRUE()))</f>
        <v>1</v>
      </c>
      <c r="U103" s="0" t="str">
        <f aca="false">IF(AND(S103,T103),"resolved",IF(S103,"claimed","open"))</f>
        <v>resolved</v>
      </c>
      <c r="V103" s="11" t="n">
        <f aca="false">ROUND((IF(U103="resolved",I103,IF(U103="claimed",H103,Controls!$B$4))-G103)*24,4)</f>
        <v>49.25</v>
      </c>
      <c r="W103" s="6" t="b">
        <f aca="false">INDEX(Owners!$E$4:$E$21,MATCH(D103,Owners!$A$4:$A$21,0))</f>
        <v>1</v>
      </c>
    </row>
    <row r="104" customFormat="false" ht="15" hidden="false" customHeight="false" outlineLevel="0" collapsed="false">
      <c r="A104" s="4" t="s">
        <v>401</v>
      </c>
      <c r="B104" s="4" t="s">
        <v>110</v>
      </c>
      <c r="C104" s="4" t="s">
        <v>226</v>
      </c>
      <c r="D104" s="4" t="s">
        <v>286</v>
      </c>
      <c r="E104" s="4" t="s">
        <v>202</v>
      </c>
      <c r="F104" s="4" t="s">
        <v>277</v>
      </c>
      <c r="G104" s="5" t="n">
        <v>46235.2326388889</v>
      </c>
      <c r="H104" s="5" t="n">
        <v>46236.69375</v>
      </c>
      <c r="I104" s="5" t="n">
        <v>46237.2944444444</v>
      </c>
      <c r="J104" s="4" t="s">
        <v>284</v>
      </c>
      <c r="K104" s="4" t="s">
        <v>401</v>
      </c>
      <c r="L104" s="4" t="s">
        <v>226</v>
      </c>
      <c r="M104" s="4" t="n">
        <v>1</v>
      </c>
      <c r="N104" s="4" t="n">
        <v>1</v>
      </c>
      <c r="O104" s="4" t="n">
        <v>0</v>
      </c>
      <c r="P104" s="12"/>
      <c r="Q104" s="4" t="n">
        <v>0</v>
      </c>
      <c r="R104" s="0" t="str">
        <f aca="false">INDEX(Owners!$B$4:$B$21,MATCH(D104,Owners!$A$4:$A$21,0))</f>
        <v>Finance Systems</v>
      </c>
      <c r="S104" s="6" t="b">
        <f aca="false">AND(F104="closed",ISNUMBER(H104),H104&lt;=Controls!$B$4)</f>
        <v>1</v>
      </c>
      <c r="T104" s="6" t="b">
        <f aca="false">AND(ISNUMBER(I104),I104&lt;=Controls!$B$4,J104="rerun",K104=A104,L104=C104,M104=N104,O104=0,I104&gt;=G104,IF(ISNUMBER(P104),I104&gt;=P104,TRUE()))</f>
        <v>1</v>
      </c>
      <c r="U104" s="0" t="str">
        <f aca="false">IF(AND(S104,T104),"resolved",IF(S104,"claimed","open"))</f>
        <v>resolved</v>
      </c>
      <c r="V104" s="11" t="n">
        <f aca="false">ROUND((IF(U104="resolved",I104,IF(U104="claimed",H104,Controls!$B$4))-G104)*24,4)</f>
        <v>49.4833</v>
      </c>
      <c r="W104" s="6" t="b">
        <f aca="false">INDEX(Owners!$E$4:$E$21,MATCH(D104,Owners!$A$4:$A$21,0))</f>
        <v>0</v>
      </c>
    </row>
    <row r="105" customFormat="false" ht="15" hidden="false" customHeight="false" outlineLevel="0" collapsed="false">
      <c r="A105" s="4" t="s">
        <v>402</v>
      </c>
      <c r="B105" s="4" t="s">
        <v>115</v>
      </c>
      <c r="C105" s="4" t="s">
        <v>238</v>
      </c>
      <c r="D105" s="4" t="s">
        <v>301</v>
      </c>
      <c r="E105" s="4" t="s">
        <v>202</v>
      </c>
      <c r="F105" s="4" t="s">
        <v>277</v>
      </c>
      <c r="G105" s="5" t="n">
        <v>46235.9930555556</v>
      </c>
      <c r="H105" s="5" t="n">
        <v>46236.8930555556</v>
      </c>
      <c r="I105" s="5" t="n">
        <v>46237.0083333333</v>
      </c>
      <c r="J105" s="4" t="s">
        <v>284</v>
      </c>
      <c r="K105" s="4" t="s">
        <v>402</v>
      </c>
      <c r="L105" s="4" t="s">
        <v>238</v>
      </c>
      <c r="M105" s="4" t="n">
        <v>1</v>
      </c>
      <c r="N105" s="4" t="n">
        <v>1</v>
      </c>
      <c r="O105" s="4" t="n">
        <v>0</v>
      </c>
      <c r="P105" s="12"/>
      <c r="Q105" s="4" t="n">
        <v>0</v>
      </c>
      <c r="R105" s="0" t="str">
        <f aca="false">INDEX(Owners!$B$4:$B$21,MATCH(D105,Owners!$A$4:$A$21,0))</f>
        <v>Data Platform</v>
      </c>
      <c r="S105" s="6" t="b">
        <f aca="false">AND(F105="closed",ISNUMBER(H105),H105&lt;=Controls!$B$4)</f>
        <v>1</v>
      </c>
      <c r="T105" s="6" t="b">
        <f aca="false">AND(ISNUMBER(I105),I105&lt;=Controls!$B$4,J105="rerun",K105=A105,L105=C105,M105=N105,O105=0,I105&gt;=G105,IF(ISNUMBER(P105),I105&gt;=P105,TRUE()))</f>
        <v>1</v>
      </c>
      <c r="U105" s="0" t="str">
        <f aca="false">IF(AND(S105,T105),"resolved",IF(S105,"claimed","open"))</f>
        <v>resolved</v>
      </c>
      <c r="V105" s="11" t="n">
        <f aca="false">ROUND((IF(U105="resolved",I105,IF(U105="claimed",H105,Controls!$B$4))-G105)*24,4)</f>
        <v>24.3667</v>
      </c>
      <c r="W105" s="6" t="b">
        <f aca="false">INDEX(Owners!$E$4:$E$21,MATCH(D105,Owners!$A$4:$A$21,0))</f>
        <v>1</v>
      </c>
    </row>
    <row r="106" customFormat="false" ht="15" hidden="false" customHeight="false" outlineLevel="0" collapsed="false">
      <c r="A106" s="4" t="s">
        <v>403</v>
      </c>
      <c r="B106" s="4" t="s">
        <v>127</v>
      </c>
      <c r="C106" s="4" t="s">
        <v>252</v>
      </c>
      <c r="D106" s="4" t="s">
        <v>358</v>
      </c>
      <c r="E106" s="4" t="s">
        <v>204</v>
      </c>
      <c r="F106" s="4" t="s">
        <v>277</v>
      </c>
      <c r="G106" s="5" t="n">
        <v>46236.0888888889</v>
      </c>
      <c r="H106" s="5" t="n">
        <v>46237.2513888889</v>
      </c>
      <c r="I106" s="12"/>
      <c r="N106" s="4" t="n">
        <v>1</v>
      </c>
      <c r="P106" s="12"/>
      <c r="Q106" s="4" t="n">
        <v>0</v>
      </c>
      <c r="R106" s="0" t="str">
        <f aca="false">INDEX(Owners!$B$4:$B$21,MATCH(D106,Owners!$A$4:$A$21,0))</f>
        <v>Finance Systems</v>
      </c>
      <c r="S106" s="6" t="b">
        <f aca="false">AND(F106="closed",ISNUMBER(H106),H106&lt;=Controls!$B$4)</f>
        <v>1</v>
      </c>
      <c r="T106" s="6" t="b">
        <f aca="false">AND(ISNUMBER(I106),I106&lt;=Controls!$B$4,J106="rerun",K106=A106,L106=C106,M106=N106,O106=0,I106&gt;=G106,IF(ISNUMBER(P106),I106&gt;=P106,TRUE()))</f>
        <v>0</v>
      </c>
      <c r="U106" s="0" t="str">
        <f aca="false">IF(AND(S106,T106),"resolved",IF(S106,"claimed","open"))</f>
        <v>claimed</v>
      </c>
      <c r="V106" s="11" t="n">
        <f aca="false">ROUND((IF(U106="resolved",I106,IF(U106="claimed",H106,Controls!$B$4))-G106)*24,4)</f>
        <v>27.9</v>
      </c>
      <c r="W106" s="6" t="b">
        <f aca="false">INDEX(Owners!$E$4:$E$21,MATCH(D106,Owners!$A$4:$A$21,0))</f>
        <v>1</v>
      </c>
    </row>
    <row r="107" customFormat="false" ht="15" hidden="false" customHeight="false" outlineLevel="0" collapsed="false">
      <c r="A107" s="4" t="s">
        <v>404</v>
      </c>
      <c r="B107" s="4" t="s">
        <v>92</v>
      </c>
      <c r="C107" s="4" t="s">
        <v>201</v>
      </c>
      <c r="D107" s="4" t="s">
        <v>330</v>
      </c>
      <c r="E107" s="4" t="s">
        <v>202</v>
      </c>
      <c r="F107" s="4" t="s">
        <v>277</v>
      </c>
      <c r="G107" s="5" t="n">
        <v>46236.1465277778</v>
      </c>
      <c r="H107" s="5" t="n">
        <v>46237.7583333333</v>
      </c>
      <c r="I107" s="5" t="n">
        <v>46238.0340277778</v>
      </c>
      <c r="J107" s="4" t="s">
        <v>284</v>
      </c>
      <c r="K107" s="4" t="s">
        <v>404</v>
      </c>
      <c r="L107" s="4" t="s">
        <v>201</v>
      </c>
      <c r="M107" s="4" t="n">
        <v>1</v>
      </c>
      <c r="N107" s="4" t="n">
        <v>1</v>
      </c>
      <c r="O107" s="4" t="n">
        <v>0</v>
      </c>
      <c r="P107" s="12"/>
      <c r="Q107" s="4" t="n">
        <v>0</v>
      </c>
      <c r="R107" s="0" t="str">
        <f aca="false">INDEX(Owners!$B$4:$B$21,MATCH(D107,Owners!$A$4:$A$21,0))</f>
        <v>Supply Chain</v>
      </c>
      <c r="S107" s="6" t="b">
        <f aca="false">AND(F107="closed",ISNUMBER(H107),H107&lt;=Controls!$B$4)</f>
        <v>1</v>
      </c>
      <c r="T107" s="6" t="b">
        <f aca="false">AND(ISNUMBER(I107),I107&lt;=Controls!$B$4,J107="rerun",K107=A107,L107=C107,M107=N107,O107=0,I107&gt;=G107,IF(ISNUMBER(P107),I107&gt;=P107,TRUE()))</f>
        <v>1</v>
      </c>
      <c r="U107" s="0" t="str">
        <f aca="false">IF(AND(S107,T107),"resolved",IF(S107,"claimed","open"))</f>
        <v>resolved</v>
      </c>
      <c r="V107" s="11" t="n">
        <f aca="false">ROUND((IF(U107="resolved",I107,IF(U107="claimed",H107,Controls!$B$4))-G107)*24,4)</f>
        <v>45.3</v>
      </c>
      <c r="W107" s="6" t="b">
        <f aca="false">INDEX(Owners!$E$4:$E$21,MATCH(D107,Owners!$A$4:$A$21,0))</f>
        <v>1</v>
      </c>
    </row>
    <row r="108" customFormat="false" ht="15" hidden="false" customHeight="false" outlineLevel="0" collapsed="false">
      <c r="A108" s="4" t="s">
        <v>405</v>
      </c>
      <c r="B108" s="4" t="s">
        <v>124</v>
      </c>
      <c r="C108" s="4" t="s">
        <v>247</v>
      </c>
      <c r="D108" s="4" t="s">
        <v>301</v>
      </c>
      <c r="E108" s="4" t="s">
        <v>202</v>
      </c>
      <c r="F108" s="4" t="s">
        <v>277</v>
      </c>
      <c r="G108" s="5" t="n">
        <v>46236.1513888889</v>
      </c>
      <c r="H108" s="5" t="n">
        <v>46237.3986111111</v>
      </c>
      <c r="I108" s="12"/>
      <c r="N108" s="4" t="n">
        <v>1</v>
      </c>
      <c r="P108" s="12"/>
      <c r="Q108" s="4" t="n">
        <v>0</v>
      </c>
      <c r="R108" s="0" t="str">
        <f aca="false">INDEX(Owners!$B$4:$B$21,MATCH(D108,Owners!$A$4:$A$21,0))</f>
        <v>Data Platform</v>
      </c>
      <c r="S108" s="6" t="b">
        <f aca="false">AND(F108="closed",ISNUMBER(H108),H108&lt;=Controls!$B$4)</f>
        <v>1</v>
      </c>
      <c r="T108" s="6" t="b">
        <f aca="false">AND(ISNUMBER(I108),I108&lt;=Controls!$B$4,J108="rerun",K108=A108,L108=C108,M108=N108,O108=0,I108&gt;=G108,IF(ISNUMBER(P108),I108&gt;=P108,TRUE()))</f>
        <v>0</v>
      </c>
      <c r="U108" s="0" t="str">
        <f aca="false">IF(AND(S108,T108),"resolved",IF(S108,"claimed","open"))</f>
        <v>claimed</v>
      </c>
      <c r="V108" s="11" t="n">
        <f aca="false">ROUND((IF(U108="resolved",I108,IF(U108="claimed",H108,Controls!$B$4))-G108)*24,4)</f>
        <v>29.9333</v>
      </c>
      <c r="W108" s="6" t="b">
        <f aca="false">INDEX(Owners!$E$4:$E$21,MATCH(D108,Owners!$A$4:$A$21,0))</f>
        <v>1</v>
      </c>
    </row>
    <row r="109" customFormat="false" ht="15" hidden="false" customHeight="false" outlineLevel="0" collapsed="false">
      <c r="A109" s="4" t="s">
        <v>406</v>
      </c>
      <c r="B109" s="4" t="s">
        <v>109</v>
      </c>
      <c r="C109" s="4" t="s">
        <v>307</v>
      </c>
      <c r="D109" s="4" t="s">
        <v>292</v>
      </c>
      <c r="E109" s="4" t="s">
        <v>202</v>
      </c>
      <c r="F109" s="4" t="s">
        <v>277</v>
      </c>
      <c r="G109" s="5" t="n">
        <v>46236.1555555556</v>
      </c>
      <c r="H109" s="5" t="n">
        <v>46237.7194444445</v>
      </c>
      <c r="I109" s="5" t="n">
        <v>46238.1666666667</v>
      </c>
      <c r="J109" s="4" t="s">
        <v>284</v>
      </c>
      <c r="K109" s="4" t="s">
        <v>406</v>
      </c>
      <c r="L109" s="4" t="s">
        <v>307</v>
      </c>
      <c r="M109" s="4" t="n">
        <v>1</v>
      </c>
      <c r="N109" s="4" t="n">
        <v>1</v>
      </c>
      <c r="O109" s="4" t="n">
        <v>0</v>
      </c>
      <c r="P109" s="12"/>
      <c r="Q109" s="4" t="n">
        <v>0</v>
      </c>
      <c r="R109" s="0" t="str">
        <f aca="false">INDEX(Owners!$B$4:$B$21,MATCH(D109,Owners!$A$4:$A$21,0))</f>
        <v>Support Operations</v>
      </c>
      <c r="S109" s="6" t="b">
        <f aca="false">AND(F109="closed",ISNUMBER(H109),H109&lt;=Controls!$B$4)</f>
        <v>1</v>
      </c>
      <c r="T109" s="6" t="b">
        <f aca="false">AND(ISNUMBER(I109),I109&lt;=Controls!$B$4,J109="rerun",K109=A109,L109=C109,M109=N109,O109=0,I109&gt;=G109,IF(ISNUMBER(P109),I109&gt;=P109,TRUE()))</f>
        <v>1</v>
      </c>
      <c r="U109" s="0" t="str">
        <f aca="false">IF(AND(S109,T109),"resolved",IF(S109,"claimed","open"))</f>
        <v>resolved</v>
      </c>
      <c r="V109" s="11" t="n">
        <f aca="false">ROUND((IF(U109="resolved",I109,IF(U109="claimed",H109,Controls!$B$4))-G109)*24,4)</f>
        <v>48.2667</v>
      </c>
      <c r="W109" s="6" t="b">
        <f aca="false">INDEX(Owners!$E$4:$E$21,MATCH(D109,Owners!$A$4:$A$21,0))</f>
        <v>1</v>
      </c>
    </row>
    <row r="110" customFormat="false" ht="15" hidden="false" customHeight="false" outlineLevel="0" collapsed="false">
      <c r="A110" s="4" t="s">
        <v>407</v>
      </c>
      <c r="B110" s="4" t="s">
        <v>131</v>
      </c>
      <c r="C110" s="4" t="s">
        <v>257</v>
      </c>
      <c r="D110" s="4" t="s">
        <v>283</v>
      </c>
      <c r="E110" s="4" t="s">
        <v>202</v>
      </c>
      <c r="F110" s="4" t="s">
        <v>277</v>
      </c>
      <c r="G110" s="5" t="n">
        <v>46236.1923611111</v>
      </c>
      <c r="H110" s="5" t="n">
        <v>46236.6868055556</v>
      </c>
      <c r="I110" s="5" t="n">
        <v>46236.7701388889</v>
      </c>
      <c r="J110" s="4" t="s">
        <v>284</v>
      </c>
      <c r="K110" s="4" t="s">
        <v>407</v>
      </c>
      <c r="L110" s="4" t="s">
        <v>257</v>
      </c>
      <c r="M110" s="4" t="n">
        <v>1</v>
      </c>
      <c r="N110" s="4" t="n">
        <v>1</v>
      </c>
      <c r="O110" s="4" t="n">
        <v>0</v>
      </c>
      <c r="P110" s="12"/>
      <c r="Q110" s="4" t="n">
        <v>0</v>
      </c>
      <c r="R110" s="0" t="str">
        <f aca="false">INDEX(Owners!$B$4:$B$21,MATCH(D110,Owners!$A$4:$A$21,0))</f>
        <v>Data Platform</v>
      </c>
      <c r="S110" s="6" t="b">
        <f aca="false">AND(F110="closed",ISNUMBER(H110),H110&lt;=Controls!$B$4)</f>
        <v>1</v>
      </c>
      <c r="T110" s="6" t="b">
        <f aca="false">AND(ISNUMBER(I110),I110&lt;=Controls!$B$4,J110="rerun",K110=A110,L110=C110,M110=N110,O110=0,I110&gt;=G110,IF(ISNUMBER(P110),I110&gt;=P110,TRUE()))</f>
        <v>1</v>
      </c>
      <c r="U110" s="0" t="str">
        <f aca="false">IF(AND(S110,T110),"resolved",IF(S110,"claimed","open"))</f>
        <v>resolved</v>
      </c>
      <c r="V110" s="11" t="n">
        <f aca="false">ROUND((IF(U110="resolved",I110,IF(U110="claimed",H110,Controls!$B$4))-G110)*24,4)</f>
        <v>13.8667</v>
      </c>
      <c r="W110" s="6" t="b">
        <f aca="false">INDEX(Owners!$E$4:$E$21,MATCH(D110,Owners!$A$4:$A$21,0))</f>
        <v>1</v>
      </c>
    </row>
    <row r="111" customFormat="false" ht="15" hidden="false" customHeight="false" outlineLevel="0" collapsed="false">
      <c r="A111" s="4" t="s">
        <v>408</v>
      </c>
      <c r="B111" s="4" t="s">
        <v>102</v>
      </c>
      <c r="C111" s="4" t="s">
        <v>217</v>
      </c>
      <c r="D111" s="4" t="s">
        <v>290</v>
      </c>
      <c r="E111" s="4" t="s">
        <v>204</v>
      </c>
      <c r="F111" s="4" t="s">
        <v>277</v>
      </c>
      <c r="G111" s="5" t="n">
        <v>46237.0923611111</v>
      </c>
      <c r="H111" s="5" t="n">
        <v>46244.1236111111</v>
      </c>
      <c r="I111" s="5" t="n">
        <v>46244.6222222222</v>
      </c>
      <c r="J111" s="4" t="s">
        <v>284</v>
      </c>
      <c r="K111" s="4" t="s">
        <v>408</v>
      </c>
      <c r="L111" s="4" t="s">
        <v>217</v>
      </c>
      <c r="M111" s="4" t="n">
        <v>1</v>
      </c>
      <c r="N111" s="4" t="n">
        <v>1</v>
      </c>
      <c r="O111" s="4" t="n">
        <v>0</v>
      </c>
      <c r="P111" s="12"/>
      <c r="Q111" s="4" t="n">
        <v>0</v>
      </c>
      <c r="R111" s="0" t="str">
        <f aca="false">INDEX(Owners!$B$4:$B$21,MATCH(D111,Owners!$A$4:$A$21,0))</f>
        <v>Customer Data</v>
      </c>
      <c r="S111" s="6" t="b">
        <f aca="false">AND(F111="closed",ISNUMBER(H111),H111&lt;=Controls!$B$4)</f>
        <v>1</v>
      </c>
      <c r="T111" s="6" t="b">
        <f aca="false">AND(ISNUMBER(I111),I111&lt;=Controls!$B$4,J111="rerun",K111=A111,L111=C111,M111=N111,O111=0,I111&gt;=G111,IF(ISNUMBER(P111),I111&gt;=P111,TRUE()))</f>
        <v>1</v>
      </c>
      <c r="U111" s="0" t="str">
        <f aca="false">IF(AND(S111,T111),"resolved",IF(S111,"claimed","open"))</f>
        <v>resolved</v>
      </c>
      <c r="V111" s="11" t="n">
        <f aca="false">ROUND((IF(U111="resolved",I111,IF(U111="claimed",H111,Controls!$B$4))-G111)*24,4)</f>
        <v>180.7167</v>
      </c>
      <c r="W111" s="6" t="b">
        <f aca="false">INDEX(Owners!$E$4:$E$21,MATCH(D111,Owners!$A$4:$A$21,0))</f>
        <v>1</v>
      </c>
    </row>
    <row r="112" customFormat="false" ht="15" hidden="false" customHeight="false" outlineLevel="0" collapsed="false">
      <c r="A112" s="4" t="s">
        <v>409</v>
      </c>
      <c r="B112" s="4" t="s">
        <v>109</v>
      </c>
      <c r="C112" s="4" t="s">
        <v>307</v>
      </c>
      <c r="D112" s="4" t="s">
        <v>292</v>
      </c>
      <c r="E112" s="4" t="s">
        <v>202</v>
      </c>
      <c r="F112" s="4" t="s">
        <v>277</v>
      </c>
      <c r="G112" s="5" t="n">
        <v>46237.1555555556</v>
      </c>
      <c r="H112" s="5" t="n">
        <v>46238.8673611111</v>
      </c>
      <c r="I112" s="5" t="n">
        <v>46239.1381944444</v>
      </c>
      <c r="J112" s="4" t="s">
        <v>284</v>
      </c>
      <c r="K112" s="4" t="s">
        <v>409</v>
      </c>
      <c r="L112" s="4" t="s">
        <v>307</v>
      </c>
      <c r="M112" s="4" t="n">
        <v>1</v>
      </c>
      <c r="N112" s="4" t="n">
        <v>1</v>
      </c>
      <c r="O112" s="4" t="n">
        <v>0</v>
      </c>
      <c r="P112" s="12"/>
      <c r="Q112" s="4" t="n">
        <v>0</v>
      </c>
      <c r="R112" s="0" t="str">
        <f aca="false">INDEX(Owners!$B$4:$B$21,MATCH(D112,Owners!$A$4:$A$21,0))</f>
        <v>Support Operations</v>
      </c>
      <c r="S112" s="6" t="b">
        <f aca="false">AND(F112="closed",ISNUMBER(H112),H112&lt;=Controls!$B$4)</f>
        <v>1</v>
      </c>
      <c r="T112" s="6" t="b">
        <f aca="false">AND(ISNUMBER(I112),I112&lt;=Controls!$B$4,J112="rerun",K112=A112,L112=C112,M112=N112,O112=0,I112&gt;=G112,IF(ISNUMBER(P112),I112&gt;=P112,TRUE()))</f>
        <v>1</v>
      </c>
      <c r="U112" s="0" t="str">
        <f aca="false">IF(AND(S112,T112),"resolved",IF(S112,"claimed","open"))</f>
        <v>resolved</v>
      </c>
      <c r="V112" s="11" t="n">
        <f aca="false">ROUND((IF(U112="resolved",I112,IF(U112="claimed",H112,Controls!$B$4))-G112)*24,4)</f>
        <v>47.5833</v>
      </c>
      <c r="W112" s="6" t="b">
        <f aca="false">INDEX(Owners!$E$4:$E$21,MATCH(D112,Owners!$A$4:$A$21,0))</f>
        <v>1</v>
      </c>
    </row>
    <row r="113" customFormat="false" ht="15" hidden="false" customHeight="false" outlineLevel="0" collapsed="false">
      <c r="A113" s="4" t="s">
        <v>410</v>
      </c>
      <c r="B113" s="4" t="s">
        <v>110</v>
      </c>
      <c r="C113" s="4" t="s">
        <v>228</v>
      </c>
      <c r="D113" s="4" t="s">
        <v>286</v>
      </c>
      <c r="E113" s="4" t="s">
        <v>202</v>
      </c>
      <c r="F113" s="4" t="s">
        <v>277</v>
      </c>
      <c r="G113" s="5" t="n">
        <v>46237.2145833333</v>
      </c>
      <c r="H113" s="5" t="n">
        <v>46239.1076388889</v>
      </c>
      <c r="I113" s="12"/>
      <c r="N113" s="4" t="n">
        <v>1</v>
      </c>
      <c r="P113" s="12"/>
      <c r="Q113" s="4" t="n">
        <v>0</v>
      </c>
      <c r="R113" s="0" t="str">
        <f aca="false">INDEX(Owners!$B$4:$B$21,MATCH(D113,Owners!$A$4:$A$21,0))</f>
        <v>Finance Systems</v>
      </c>
      <c r="S113" s="6" t="b">
        <f aca="false">AND(F113="closed",ISNUMBER(H113),H113&lt;=Controls!$B$4)</f>
        <v>1</v>
      </c>
      <c r="T113" s="6" t="b">
        <f aca="false">AND(ISNUMBER(I113),I113&lt;=Controls!$B$4,J113="rerun",K113=A113,L113=C113,M113=N113,O113=0,I113&gt;=G113,IF(ISNUMBER(P113),I113&gt;=P113,TRUE()))</f>
        <v>0</v>
      </c>
      <c r="U113" s="0" t="str">
        <f aca="false">IF(AND(S113,T113),"resolved",IF(S113,"claimed","open"))</f>
        <v>claimed</v>
      </c>
      <c r="V113" s="11" t="n">
        <f aca="false">ROUND((IF(U113="resolved",I113,IF(U113="claimed",H113,Controls!$B$4))-G113)*24,4)</f>
        <v>45.4333</v>
      </c>
      <c r="W113" s="6" t="b">
        <f aca="false">INDEX(Owners!$E$4:$E$21,MATCH(D113,Owners!$A$4:$A$21,0))</f>
        <v>0</v>
      </c>
    </row>
    <row r="114" customFormat="false" ht="15" hidden="false" customHeight="false" outlineLevel="0" collapsed="false">
      <c r="A114" s="4" t="s">
        <v>411</v>
      </c>
      <c r="B114" s="4" t="s">
        <v>112</v>
      </c>
      <c r="C114" s="4" t="s">
        <v>231</v>
      </c>
      <c r="D114" s="4" t="s">
        <v>320</v>
      </c>
      <c r="E114" s="4" t="s">
        <v>210</v>
      </c>
      <c r="F114" s="4" t="s">
        <v>277</v>
      </c>
      <c r="G114" s="5" t="n">
        <v>46237.2277777778</v>
      </c>
      <c r="H114" s="5" t="n">
        <v>46239.0055555556</v>
      </c>
      <c r="I114" s="5" t="n">
        <v>46239.2458333333</v>
      </c>
      <c r="J114" s="4" t="s">
        <v>284</v>
      </c>
      <c r="K114" s="4" t="s">
        <v>411</v>
      </c>
      <c r="L114" s="4" t="s">
        <v>231</v>
      </c>
      <c r="M114" s="4" t="n">
        <v>1</v>
      </c>
      <c r="N114" s="4" t="n">
        <v>1</v>
      </c>
      <c r="O114" s="4" t="n">
        <v>0</v>
      </c>
      <c r="P114" s="12"/>
      <c r="Q114" s="4" t="n">
        <v>0</v>
      </c>
      <c r="R114" s="0" t="str">
        <f aca="false">INDEX(Owners!$B$4:$B$21,MATCH(D114,Owners!$A$4:$A$21,0))</f>
        <v>Data Governance</v>
      </c>
      <c r="S114" s="6" t="b">
        <f aca="false">AND(F114="closed",ISNUMBER(H114),H114&lt;=Controls!$B$4)</f>
        <v>1</v>
      </c>
      <c r="T114" s="6" t="b">
        <f aca="false">AND(ISNUMBER(I114),I114&lt;=Controls!$B$4,J114="rerun",K114=A114,L114=C114,M114=N114,O114=0,I114&gt;=G114,IF(ISNUMBER(P114),I114&gt;=P114,TRUE()))</f>
        <v>1</v>
      </c>
      <c r="U114" s="0" t="str">
        <f aca="false">IF(AND(S114,T114),"resolved",IF(S114,"claimed","open"))</f>
        <v>resolved</v>
      </c>
      <c r="V114" s="11" t="n">
        <f aca="false">ROUND((IF(U114="resolved",I114,IF(U114="claimed",H114,Controls!$B$4))-G114)*24,4)</f>
        <v>48.4333</v>
      </c>
      <c r="W114" s="6" t="b">
        <f aca="false">INDEX(Owners!$E$4:$E$21,MATCH(D114,Owners!$A$4:$A$21,0))</f>
        <v>1</v>
      </c>
    </row>
    <row r="115" customFormat="false" ht="15" hidden="false" customHeight="false" outlineLevel="0" collapsed="false">
      <c r="A115" s="4" t="s">
        <v>412</v>
      </c>
      <c r="B115" s="4" t="s">
        <v>117</v>
      </c>
      <c r="C115" s="4" t="s">
        <v>241</v>
      </c>
      <c r="D115" s="4" t="s">
        <v>288</v>
      </c>
      <c r="E115" s="4" t="s">
        <v>202</v>
      </c>
      <c r="F115" s="4" t="s">
        <v>277</v>
      </c>
      <c r="G115" s="5" t="n">
        <v>46237.2368055556</v>
      </c>
      <c r="H115" s="5" t="n">
        <v>46237.8375</v>
      </c>
      <c r="I115" s="12"/>
      <c r="N115" s="4" t="n">
        <v>1</v>
      </c>
      <c r="P115" s="12"/>
      <c r="Q115" s="4" t="n">
        <v>0</v>
      </c>
      <c r="R115" s="0" t="str">
        <f aca="false">INDEX(Owners!$B$4:$B$21,MATCH(D115,Owners!$A$4:$A$21,0))</f>
        <v>Support Operations</v>
      </c>
      <c r="S115" s="6" t="b">
        <f aca="false">AND(F115="closed",ISNUMBER(H115),H115&lt;=Controls!$B$4)</f>
        <v>1</v>
      </c>
      <c r="T115" s="6" t="b">
        <f aca="false">AND(ISNUMBER(I115),I115&lt;=Controls!$B$4,J115="rerun",K115=A115,L115=C115,M115=N115,O115=0,I115&gt;=G115,IF(ISNUMBER(P115),I115&gt;=P115,TRUE()))</f>
        <v>0</v>
      </c>
      <c r="U115" s="0" t="str">
        <f aca="false">IF(AND(S115,T115),"resolved",IF(S115,"claimed","open"))</f>
        <v>claimed</v>
      </c>
      <c r="V115" s="11" t="n">
        <f aca="false">ROUND((IF(U115="resolved",I115,IF(U115="claimed",H115,Controls!$B$4))-G115)*24,4)</f>
        <v>14.4167</v>
      </c>
      <c r="W115" s="6" t="b">
        <f aca="false">INDEX(Owners!$E$4:$E$21,MATCH(D115,Owners!$A$4:$A$21,0))</f>
        <v>1</v>
      </c>
    </row>
    <row r="116" customFormat="false" ht="15" hidden="false" customHeight="false" outlineLevel="0" collapsed="false">
      <c r="A116" s="4" t="s">
        <v>413</v>
      </c>
      <c r="B116" s="4" t="s">
        <v>98</v>
      </c>
      <c r="C116" s="4" t="s">
        <v>211</v>
      </c>
      <c r="D116" s="4" t="s">
        <v>324</v>
      </c>
      <c r="E116" s="4" t="s">
        <v>204</v>
      </c>
      <c r="F116" s="4" t="s">
        <v>277</v>
      </c>
      <c r="G116" s="5" t="n">
        <v>46237.2416666667</v>
      </c>
      <c r="H116" s="5" t="n">
        <v>46238.0770833333</v>
      </c>
      <c r="I116" s="5" t="n">
        <v>46238.2104166667</v>
      </c>
      <c r="J116" s="4" t="s">
        <v>284</v>
      </c>
      <c r="K116" s="4" t="s">
        <v>413</v>
      </c>
      <c r="L116" s="4" t="s">
        <v>211</v>
      </c>
      <c r="M116" s="4" t="n">
        <v>1</v>
      </c>
      <c r="N116" s="4" t="n">
        <v>1</v>
      </c>
      <c r="O116" s="4" t="n">
        <v>0</v>
      </c>
      <c r="P116" s="12"/>
      <c r="Q116" s="4" t="n">
        <v>0</v>
      </c>
      <c r="R116" s="0" t="str">
        <f aca="false">INDEX(Owners!$B$4:$B$21,MATCH(D116,Owners!$A$4:$A$21,0))</f>
        <v>Finance Systems</v>
      </c>
      <c r="S116" s="6" t="b">
        <f aca="false">AND(F116="closed",ISNUMBER(H116),H116&lt;=Controls!$B$4)</f>
        <v>1</v>
      </c>
      <c r="T116" s="6" t="b">
        <f aca="false">AND(ISNUMBER(I116),I116&lt;=Controls!$B$4,J116="rerun",K116=A116,L116=C116,M116=N116,O116=0,I116&gt;=G116,IF(ISNUMBER(P116),I116&gt;=P116,TRUE()))</f>
        <v>1</v>
      </c>
      <c r="U116" s="0" t="str">
        <f aca="false">IF(AND(S116,T116),"resolved",IF(S116,"claimed","open"))</f>
        <v>resolved</v>
      </c>
      <c r="V116" s="11" t="n">
        <f aca="false">ROUND((IF(U116="resolved",I116,IF(U116="claimed",H116,Controls!$B$4))-G116)*24,4)</f>
        <v>23.25</v>
      </c>
      <c r="W116" s="6" t="b">
        <f aca="false">INDEX(Owners!$E$4:$E$21,MATCH(D116,Owners!$A$4:$A$21,0))</f>
        <v>1</v>
      </c>
    </row>
    <row r="117" customFormat="false" ht="15" hidden="false" customHeight="false" outlineLevel="0" collapsed="false">
      <c r="A117" s="4" t="s">
        <v>414</v>
      </c>
      <c r="B117" s="4" t="s">
        <v>117</v>
      </c>
      <c r="C117" s="4" t="s">
        <v>240</v>
      </c>
      <c r="D117" s="4" t="s">
        <v>288</v>
      </c>
      <c r="E117" s="4" t="s">
        <v>204</v>
      </c>
      <c r="F117" s="4" t="s">
        <v>277</v>
      </c>
      <c r="G117" s="5" t="n">
        <v>46237.2458333333</v>
      </c>
      <c r="H117" s="5" t="n">
        <v>46240.0861111111</v>
      </c>
      <c r="I117" s="5" t="n">
        <v>46240.5083333333</v>
      </c>
      <c r="J117" s="4" t="s">
        <v>284</v>
      </c>
      <c r="K117" s="4" t="s">
        <v>414</v>
      </c>
      <c r="L117" s="4" t="s">
        <v>240</v>
      </c>
      <c r="M117" s="4" t="n">
        <v>1</v>
      </c>
      <c r="N117" s="4" t="n">
        <v>1</v>
      </c>
      <c r="O117" s="4" t="n">
        <v>0</v>
      </c>
      <c r="P117" s="12"/>
      <c r="Q117" s="4" t="n">
        <v>0</v>
      </c>
      <c r="R117" s="0" t="str">
        <f aca="false">INDEX(Owners!$B$4:$B$21,MATCH(D117,Owners!$A$4:$A$21,0))</f>
        <v>Support Operations</v>
      </c>
      <c r="S117" s="6" t="b">
        <f aca="false">AND(F117="closed",ISNUMBER(H117),H117&lt;=Controls!$B$4)</f>
        <v>1</v>
      </c>
      <c r="T117" s="6" t="b">
        <f aca="false">AND(ISNUMBER(I117),I117&lt;=Controls!$B$4,J117="rerun",K117=A117,L117=C117,M117=N117,O117=0,I117&gt;=G117,IF(ISNUMBER(P117),I117&gt;=P117,TRUE()))</f>
        <v>1</v>
      </c>
      <c r="U117" s="0" t="str">
        <f aca="false">IF(AND(S117,T117),"resolved",IF(S117,"claimed","open"))</f>
        <v>resolved</v>
      </c>
      <c r="V117" s="11" t="n">
        <f aca="false">ROUND((IF(U117="resolved",I117,IF(U117="claimed",H117,Controls!$B$4))-G117)*24,4)</f>
        <v>78.3</v>
      </c>
      <c r="W117" s="6" t="b">
        <f aca="false">INDEX(Owners!$E$4:$E$21,MATCH(D117,Owners!$A$4:$A$21,0))</f>
        <v>1</v>
      </c>
    </row>
    <row r="118" customFormat="false" ht="15" hidden="false" customHeight="false" outlineLevel="0" collapsed="false">
      <c r="A118" s="4" t="s">
        <v>415</v>
      </c>
      <c r="B118" s="4" t="s">
        <v>131</v>
      </c>
      <c r="C118" s="4" t="s">
        <v>258</v>
      </c>
      <c r="D118" s="4" t="s">
        <v>283</v>
      </c>
      <c r="E118" s="4" t="s">
        <v>202</v>
      </c>
      <c r="F118" s="4" t="s">
        <v>277</v>
      </c>
      <c r="G118" s="5" t="n">
        <v>46237.9930555556</v>
      </c>
      <c r="H118" s="5" t="n">
        <v>46238.7402777778</v>
      </c>
      <c r="I118" s="12"/>
      <c r="N118" s="4" t="n">
        <v>1</v>
      </c>
      <c r="P118" s="12"/>
      <c r="Q118" s="4" t="n">
        <v>0</v>
      </c>
      <c r="R118" s="0" t="str">
        <f aca="false">INDEX(Owners!$B$4:$B$21,MATCH(D118,Owners!$A$4:$A$21,0))</f>
        <v>Data Platform</v>
      </c>
      <c r="S118" s="6" t="b">
        <f aca="false">AND(F118="closed",ISNUMBER(H118),H118&lt;=Controls!$B$4)</f>
        <v>1</v>
      </c>
      <c r="T118" s="6" t="b">
        <f aca="false">AND(ISNUMBER(I118),I118&lt;=Controls!$B$4,J118="rerun",K118=A118,L118=C118,M118=N118,O118=0,I118&gt;=G118,IF(ISNUMBER(P118),I118&gt;=P118,TRUE()))</f>
        <v>0</v>
      </c>
      <c r="U118" s="0" t="str">
        <f aca="false">IF(AND(S118,T118),"resolved",IF(S118,"claimed","open"))</f>
        <v>claimed</v>
      </c>
      <c r="V118" s="11" t="n">
        <f aca="false">ROUND((IF(U118="resolved",I118,IF(U118="claimed",H118,Controls!$B$4))-G118)*24,4)</f>
        <v>17.9333</v>
      </c>
      <c r="W118" s="6" t="b">
        <f aca="false">INDEX(Owners!$E$4:$E$21,MATCH(D118,Owners!$A$4:$A$21,0))</f>
        <v>1</v>
      </c>
    </row>
    <row r="119" customFormat="false" ht="15" hidden="false" customHeight="false" outlineLevel="0" collapsed="false">
      <c r="A119" s="4" t="s">
        <v>416</v>
      </c>
      <c r="B119" s="4" t="s">
        <v>102</v>
      </c>
      <c r="C119" s="4" t="s">
        <v>213</v>
      </c>
      <c r="D119" s="4" t="s">
        <v>290</v>
      </c>
      <c r="E119" s="4" t="s">
        <v>202</v>
      </c>
      <c r="F119" s="4" t="s">
        <v>277</v>
      </c>
      <c r="G119" s="5" t="n">
        <v>46238.0833333333</v>
      </c>
      <c r="H119" s="5" t="n">
        <v>46239.5826388889</v>
      </c>
      <c r="I119" s="5" t="n">
        <v>46239.8291666667</v>
      </c>
      <c r="J119" s="4" t="s">
        <v>284</v>
      </c>
      <c r="K119" s="4" t="s">
        <v>416</v>
      </c>
      <c r="L119" s="4" t="s">
        <v>213</v>
      </c>
      <c r="M119" s="4" t="n">
        <v>1</v>
      </c>
      <c r="N119" s="4" t="n">
        <v>1</v>
      </c>
      <c r="O119" s="4" t="n">
        <v>0</v>
      </c>
      <c r="P119" s="12"/>
      <c r="Q119" s="4" t="n">
        <v>0</v>
      </c>
      <c r="R119" s="0" t="str">
        <f aca="false">INDEX(Owners!$B$4:$B$21,MATCH(D119,Owners!$A$4:$A$21,0))</f>
        <v>Customer Data</v>
      </c>
      <c r="S119" s="6" t="b">
        <f aca="false">AND(F119="closed",ISNUMBER(H119),H119&lt;=Controls!$B$4)</f>
        <v>1</v>
      </c>
      <c r="T119" s="6" t="b">
        <f aca="false">AND(ISNUMBER(I119),I119&lt;=Controls!$B$4,J119="rerun",K119=A119,L119=C119,M119=N119,O119=0,I119&gt;=G119,IF(ISNUMBER(P119),I119&gt;=P119,TRUE()))</f>
        <v>1</v>
      </c>
      <c r="U119" s="0" t="str">
        <f aca="false">IF(AND(S119,T119),"resolved",IF(S119,"claimed","open"))</f>
        <v>resolved</v>
      </c>
      <c r="V119" s="11" t="n">
        <f aca="false">ROUND((IF(U119="resolved",I119,IF(U119="claimed",H119,Controls!$B$4))-G119)*24,4)</f>
        <v>41.9</v>
      </c>
      <c r="W119" s="6" t="b">
        <f aca="false">INDEX(Owners!$E$4:$E$21,MATCH(D119,Owners!$A$4:$A$21,0))</f>
        <v>1</v>
      </c>
    </row>
    <row r="120" customFormat="false" ht="15" hidden="false" customHeight="false" outlineLevel="0" collapsed="false">
      <c r="A120" s="4" t="s">
        <v>417</v>
      </c>
      <c r="B120" s="4" t="s">
        <v>122</v>
      </c>
      <c r="C120" s="4" t="s">
        <v>246</v>
      </c>
      <c r="D120" s="4" t="s">
        <v>350</v>
      </c>
      <c r="E120" s="4" t="s">
        <v>204</v>
      </c>
      <c r="F120" s="4" t="s">
        <v>277</v>
      </c>
      <c r="G120" s="5" t="n">
        <v>46238.1381944444</v>
      </c>
      <c r="H120" s="5" t="n">
        <v>46238.9944444444</v>
      </c>
      <c r="I120" s="5" t="n">
        <v>46239.4972222222</v>
      </c>
      <c r="J120" s="4" t="s">
        <v>284</v>
      </c>
      <c r="K120" s="4" t="s">
        <v>417</v>
      </c>
      <c r="L120" s="4" t="s">
        <v>246</v>
      </c>
      <c r="M120" s="4" t="n">
        <v>1</v>
      </c>
      <c r="N120" s="4" t="n">
        <v>1</v>
      </c>
      <c r="O120" s="4" t="n">
        <v>0</v>
      </c>
      <c r="P120" s="12"/>
      <c r="Q120" s="4" t="n">
        <v>0</v>
      </c>
      <c r="R120" s="0" t="str">
        <f aca="false">INDEX(Owners!$B$4:$B$21,MATCH(D120,Owners!$A$4:$A$21,0))</f>
        <v>Supply Chain</v>
      </c>
      <c r="S120" s="6" t="b">
        <f aca="false">AND(F120="closed",ISNUMBER(H120),H120&lt;=Controls!$B$4)</f>
        <v>1</v>
      </c>
      <c r="T120" s="6" t="b">
        <f aca="false">AND(ISNUMBER(I120),I120&lt;=Controls!$B$4,J120="rerun",K120=A120,L120=C120,M120=N120,O120=0,I120&gt;=G120,IF(ISNUMBER(P120),I120&gt;=P120,TRUE()))</f>
        <v>1</v>
      </c>
      <c r="U120" s="0" t="str">
        <f aca="false">IF(AND(S120,T120),"resolved",IF(S120,"claimed","open"))</f>
        <v>resolved</v>
      </c>
      <c r="V120" s="11" t="n">
        <f aca="false">ROUND((IF(U120="resolved",I120,IF(U120="claimed",H120,Controls!$B$4))-G120)*24,4)</f>
        <v>32.6167</v>
      </c>
      <c r="W120" s="6" t="b">
        <f aca="false">INDEX(Owners!$E$4:$E$21,MATCH(D120,Owners!$A$4:$A$21,0))</f>
        <v>1</v>
      </c>
    </row>
    <row r="121" customFormat="false" ht="15" hidden="false" customHeight="false" outlineLevel="0" collapsed="false">
      <c r="A121" s="4" t="s">
        <v>418</v>
      </c>
      <c r="B121" s="4" t="s">
        <v>111</v>
      </c>
      <c r="C121" s="4" t="s">
        <v>229</v>
      </c>
      <c r="D121" s="4" t="s">
        <v>296</v>
      </c>
      <c r="E121" s="4" t="s">
        <v>202</v>
      </c>
      <c r="F121" s="4" t="s">
        <v>277</v>
      </c>
      <c r="G121" s="5" t="n">
        <v>46238.1645833333</v>
      </c>
      <c r="H121" s="5" t="n">
        <v>46239.5236111111</v>
      </c>
      <c r="I121" s="12"/>
      <c r="N121" s="4" t="n">
        <v>1</v>
      </c>
      <c r="P121" s="12"/>
      <c r="Q121" s="4" t="n">
        <v>0</v>
      </c>
      <c r="R121" s="0" t="str">
        <f aca="false">INDEX(Owners!$B$4:$B$21,MATCH(D121,Owners!$A$4:$A$21,0))</f>
        <v>Data Platform</v>
      </c>
      <c r="S121" s="6" t="b">
        <f aca="false">AND(F121="closed",ISNUMBER(H121),H121&lt;=Controls!$B$4)</f>
        <v>1</v>
      </c>
      <c r="T121" s="6" t="b">
        <f aca="false">AND(ISNUMBER(I121),I121&lt;=Controls!$B$4,J121="rerun",K121=A121,L121=C121,M121=N121,O121=0,I121&gt;=G121,IF(ISNUMBER(P121),I121&gt;=P121,TRUE()))</f>
        <v>0</v>
      </c>
      <c r="U121" s="0" t="str">
        <f aca="false">IF(AND(S121,T121),"resolved",IF(S121,"claimed","open"))</f>
        <v>claimed</v>
      </c>
      <c r="V121" s="11" t="n">
        <f aca="false">ROUND((IF(U121="resolved",I121,IF(U121="claimed",H121,Controls!$B$4))-G121)*24,4)</f>
        <v>32.6167</v>
      </c>
      <c r="W121" s="6" t="b">
        <f aca="false">INDEX(Owners!$E$4:$E$21,MATCH(D121,Owners!$A$4:$A$21,0))</f>
        <v>1</v>
      </c>
    </row>
    <row r="122" customFormat="false" ht="15" hidden="false" customHeight="false" outlineLevel="0" collapsed="false">
      <c r="A122" s="4" t="s">
        <v>419</v>
      </c>
      <c r="B122" s="4" t="s">
        <v>110</v>
      </c>
      <c r="C122" s="4" t="s">
        <v>228</v>
      </c>
      <c r="D122" s="4" t="s">
        <v>286</v>
      </c>
      <c r="E122" s="4" t="s">
        <v>202</v>
      </c>
      <c r="F122" s="4" t="s">
        <v>277</v>
      </c>
      <c r="G122" s="5" t="n">
        <v>46238.2145833333</v>
      </c>
      <c r="H122" s="5" t="n">
        <v>46241.1354166667</v>
      </c>
      <c r="I122" s="12"/>
      <c r="N122" s="4" t="n">
        <v>1</v>
      </c>
      <c r="P122" s="12"/>
      <c r="Q122" s="4" t="n">
        <v>0</v>
      </c>
      <c r="R122" s="0" t="str">
        <f aca="false">INDEX(Owners!$B$4:$B$21,MATCH(D122,Owners!$A$4:$A$21,0))</f>
        <v>Finance Systems</v>
      </c>
      <c r="S122" s="6" t="b">
        <f aca="false">AND(F122="closed",ISNUMBER(H122),H122&lt;=Controls!$B$4)</f>
        <v>1</v>
      </c>
      <c r="T122" s="6" t="b">
        <f aca="false">AND(ISNUMBER(I122),I122&lt;=Controls!$B$4,J122="rerun",K122=A122,L122=C122,M122=N122,O122=0,I122&gt;=G122,IF(ISNUMBER(P122),I122&gt;=P122,TRUE()))</f>
        <v>0</v>
      </c>
      <c r="U122" s="0" t="str">
        <f aca="false">IF(AND(S122,T122),"resolved",IF(S122,"claimed","open"))</f>
        <v>claimed</v>
      </c>
      <c r="V122" s="11" t="n">
        <f aca="false">ROUND((IF(U122="resolved",I122,IF(U122="claimed",H122,Controls!$B$4))-G122)*24,4)</f>
        <v>70.1</v>
      </c>
      <c r="W122" s="6" t="b">
        <f aca="false">INDEX(Owners!$E$4:$E$21,MATCH(D122,Owners!$A$4:$A$21,0))</f>
        <v>0</v>
      </c>
    </row>
    <row r="123" customFormat="false" ht="15" hidden="false" customHeight="false" outlineLevel="0" collapsed="false">
      <c r="A123" s="4" t="s">
        <v>420</v>
      </c>
      <c r="B123" s="4" t="s">
        <v>117</v>
      </c>
      <c r="C123" s="4" t="s">
        <v>241</v>
      </c>
      <c r="D123" s="4" t="s">
        <v>288</v>
      </c>
      <c r="E123" s="4" t="s">
        <v>202</v>
      </c>
      <c r="F123" s="4" t="s">
        <v>277</v>
      </c>
      <c r="G123" s="5" t="n">
        <v>46238.2368055556</v>
      </c>
      <c r="H123" s="5" t="n">
        <v>46240.4006944444</v>
      </c>
      <c r="I123" s="12"/>
      <c r="N123" s="4" t="n">
        <v>1</v>
      </c>
      <c r="P123" s="12"/>
      <c r="Q123" s="4" t="n">
        <v>0</v>
      </c>
      <c r="R123" s="0" t="str">
        <f aca="false">INDEX(Owners!$B$4:$B$21,MATCH(D123,Owners!$A$4:$A$21,0))</f>
        <v>Support Operations</v>
      </c>
      <c r="S123" s="6" t="b">
        <f aca="false">AND(F123="closed",ISNUMBER(H123),H123&lt;=Controls!$B$4)</f>
        <v>1</v>
      </c>
      <c r="T123" s="6" t="b">
        <f aca="false">AND(ISNUMBER(I123),I123&lt;=Controls!$B$4,J123="rerun",K123=A123,L123=C123,M123=N123,O123=0,I123&gt;=G123,IF(ISNUMBER(P123),I123&gt;=P123,TRUE()))</f>
        <v>0</v>
      </c>
      <c r="U123" s="0" t="str">
        <f aca="false">IF(AND(S123,T123),"resolved",IF(S123,"claimed","open"))</f>
        <v>claimed</v>
      </c>
      <c r="V123" s="11" t="n">
        <f aca="false">ROUND((IF(U123="resolved",I123,IF(U123="claimed",H123,Controls!$B$4))-G123)*24,4)</f>
        <v>51.9333</v>
      </c>
      <c r="W123" s="6" t="b">
        <f aca="false">INDEX(Owners!$E$4:$E$21,MATCH(D123,Owners!$A$4:$A$21,0))</f>
        <v>1</v>
      </c>
    </row>
    <row r="124" customFormat="false" ht="15" hidden="false" customHeight="false" outlineLevel="0" collapsed="false">
      <c r="A124" s="4" t="s">
        <v>421</v>
      </c>
      <c r="B124" s="4" t="s">
        <v>131</v>
      </c>
      <c r="C124" s="4" t="s">
        <v>258</v>
      </c>
      <c r="D124" s="4" t="s">
        <v>283</v>
      </c>
      <c r="E124" s="4" t="s">
        <v>202</v>
      </c>
      <c r="F124" s="4" t="s">
        <v>277</v>
      </c>
      <c r="G124" s="5" t="n">
        <v>46238.9930555556</v>
      </c>
      <c r="H124" s="5" t="n">
        <v>46240.7569444445</v>
      </c>
      <c r="I124" s="12"/>
      <c r="N124" s="4" t="n">
        <v>1</v>
      </c>
      <c r="P124" s="12"/>
      <c r="Q124" s="4" t="n">
        <v>0</v>
      </c>
      <c r="R124" s="0" t="str">
        <f aca="false">INDEX(Owners!$B$4:$B$21,MATCH(D124,Owners!$A$4:$A$21,0))</f>
        <v>Data Platform</v>
      </c>
      <c r="S124" s="6" t="b">
        <f aca="false">AND(F124="closed",ISNUMBER(H124),H124&lt;=Controls!$B$4)</f>
        <v>1</v>
      </c>
      <c r="T124" s="6" t="b">
        <f aca="false">AND(ISNUMBER(I124),I124&lt;=Controls!$B$4,J124="rerun",K124=A124,L124=C124,M124=N124,O124=0,I124&gt;=G124,IF(ISNUMBER(P124),I124&gt;=P124,TRUE()))</f>
        <v>0</v>
      </c>
      <c r="U124" s="0" t="str">
        <f aca="false">IF(AND(S124,T124),"resolved",IF(S124,"claimed","open"))</f>
        <v>claimed</v>
      </c>
      <c r="V124" s="11" t="n">
        <f aca="false">ROUND((IF(U124="resolved",I124,IF(U124="claimed",H124,Controls!$B$4))-G124)*24,4)</f>
        <v>42.3333</v>
      </c>
      <c r="W124" s="6" t="b">
        <f aca="false">INDEX(Owners!$E$4:$E$21,MATCH(D124,Owners!$A$4:$A$21,0))</f>
        <v>1</v>
      </c>
    </row>
    <row r="125" customFormat="false" ht="15" hidden="false" customHeight="false" outlineLevel="0" collapsed="false">
      <c r="A125" s="4" t="s">
        <v>422</v>
      </c>
      <c r="B125" s="4" t="s">
        <v>128</v>
      </c>
      <c r="C125" s="4" t="s">
        <v>304</v>
      </c>
      <c r="D125" s="4" t="s">
        <v>283</v>
      </c>
      <c r="E125" s="4" t="s">
        <v>204</v>
      </c>
      <c r="F125" s="4" t="s">
        <v>277</v>
      </c>
      <c r="G125" s="5" t="n">
        <v>46239.1020833333</v>
      </c>
      <c r="H125" s="5" t="n">
        <v>46240.6993055556</v>
      </c>
      <c r="I125" s="5" t="n">
        <v>46240.83125</v>
      </c>
      <c r="J125" s="4" t="s">
        <v>284</v>
      </c>
      <c r="K125" s="4" t="s">
        <v>422</v>
      </c>
      <c r="L125" s="4" t="s">
        <v>304</v>
      </c>
      <c r="M125" s="4" t="n">
        <v>1</v>
      </c>
      <c r="N125" s="4" t="n">
        <v>1</v>
      </c>
      <c r="O125" s="4" t="n">
        <v>0</v>
      </c>
      <c r="P125" s="12"/>
      <c r="Q125" s="4" t="n">
        <v>0</v>
      </c>
      <c r="R125" s="0" t="str">
        <f aca="false">INDEX(Owners!$B$4:$B$21,MATCH(D125,Owners!$A$4:$A$21,0))</f>
        <v>Data Platform</v>
      </c>
      <c r="S125" s="6" t="b">
        <f aca="false">AND(F125="closed",ISNUMBER(H125),H125&lt;=Controls!$B$4)</f>
        <v>1</v>
      </c>
      <c r="T125" s="6" t="b">
        <f aca="false">AND(ISNUMBER(I125),I125&lt;=Controls!$B$4,J125="rerun",K125=A125,L125=C125,M125=N125,O125=0,I125&gt;=G125,IF(ISNUMBER(P125),I125&gt;=P125,TRUE()))</f>
        <v>1</v>
      </c>
      <c r="U125" s="0" t="str">
        <f aca="false">IF(AND(S125,T125),"resolved",IF(S125,"claimed","open"))</f>
        <v>resolved</v>
      </c>
      <c r="V125" s="11" t="n">
        <f aca="false">ROUND((IF(U125="resolved",I125,IF(U125="claimed",H125,Controls!$B$4))-G125)*24,4)</f>
        <v>41.5</v>
      </c>
      <c r="W125" s="6" t="b">
        <f aca="false">INDEX(Owners!$E$4:$E$21,MATCH(D125,Owners!$A$4:$A$21,0))</f>
        <v>1</v>
      </c>
    </row>
    <row r="126" customFormat="false" ht="15" hidden="false" customHeight="false" outlineLevel="0" collapsed="false">
      <c r="A126" s="4" t="s">
        <v>423</v>
      </c>
      <c r="B126" s="4" t="s">
        <v>128</v>
      </c>
      <c r="C126" s="4" t="s">
        <v>253</v>
      </c>
      <c r="D126" s="4" t="s">
        <v>283</v>
      </c>
      <c r="E126" s="4" t="s">
        <v>204</v>
      </c>
      <c r="F126" s="4" t="s">
        <v>277</v>
      </c>
      <c r="G126" s="5" t="n">
        <v>46239.1111111111</v>
      </c>
      <c r="H126" s="5" t="n">
        <v>46243.7569444445</v>
      </c>
      <c r="I126" s="5" t="n">
        <v>46243.8597222222</v>
      </c>
      <c r="J126" s="4" t="s">
        <v>284</v>
      </c>
      <c r="K126" s="4" t="s">
        <v>423</v>
      </c>
      <c r="L126" s="4" t="s">
        <v>253</v>
      </c>
      <c r="M126" s="4" t="n">
        <v>1</v>
      </c>
      <c r="N126" s="4" t="n">
        <v>1</v>
      </c>
      <c r="O126" s="4" t="n">
        <v>0</v>
      </c>
      <c r="P126" s="12"/>
      <c r="Q126" s="4" t="n">
        <v>0</v>
      </c>
      <c r="R126" s="0" t="str">
        <f aca="false">INDEX(Owners!$B$4:$B$21,MATCH(D126,Owners!$A$4:$A$21,0))</f>
        <v>Data Platform</v>
      </c>
      <c r="S126" s="6" t="b">
        <f aca="false">AND(F126="closed",ISNUMBER(H126),H126&lt;=Controls!$B$4)</f>
        <v>1</v>
      </c>
      <c r="T126" s="6" t="b">
        <f aca="false">AND(ISNUMBER(I126),I126&lt;=Controls!$B$4,J126="rerun",K126=A126,L126=C126,M126=N126,O126=0,I126&gt;=G126,IF(ISNUMBER(P126),I126&gt;=P126,TRUE()))</f>
        <v>1</v>
      </c>
      <c r="U126" s="0" t="str">
        <f aca="false">IF(AND(S126,T126),"resolved",IF(S126,"claimed","open"))</f>
        <v>resolved</v>
      </c>
      <c r="V126" s="11" t="n">
        <f aca="false">ROUND((IF(U126="resolved",I126,IF(U126="claimed",H126,Controls!$B$4))-G126)*24,4)</f>
        <v>113.9667</v>
      </c>
      <c r="W126" s="6" t="b">
        <f aca="false">INDEX(Owners!$E$4:$E$21,MATCH(D126,Owners!$A$4:$A$21,0))</f>
        <v>1</v>
      </c>
    </row>
    <row r="127" customFormat="false" ht="15" hidden="false" customHeight="false" outlineLevel="0" collapsed="false">
      <c r="A127" s="4" t="s">
        <v>424</v>
      </c>
      <c r="B127" s="4" t="s">
        <v>113</v>
      </c>
      <c r="C127" s="4" t="s">
        <v>232</v>
      </c>
      <c r="D127" s="4" t="s">
        <v>296</v>
      </c>
      <c r="E127" s="4" t="s">
        <v>202</v>
      </c>
      <c r="F127" s="4" t="s">
        <v>277</v>
      </c>
      <c r="G127" s="5" t="n">
        <v>46239.1826388889</v>
      </c>
      <c r="H127" s="5" t="n">
        <v>46240.0472222222</v>
      </c>
      <c r="I127" s="5" t="n">
        <v>46240.15</v>
      </c>
      <c r="J127" s="4" t="s">
        <v>284</v>
      </c>
      <c r="K127" s="4" t="s">
        <v>424</v>
      </c>
      <c r="L127" s="4" t="s">
        <v>232</v>
      </c>
      <c r="M127" s="4" t="n">
        <v>1</v>
      </c>
      <c r="N127" s="4" t="n">
        <v>1</v>
      </c>
      <c r="O127" s="4" t="n">
        <v>0</v>
      </c>
      <c r="P127" s="12"/>
      <c r="Q127" s="4" t="n">
        <v>0</v>
      </c>
      <c r="R127" s="0" t="str">
        <f aca="false">INDEX(Owners!$B$4:$B$21,MATCH(D127,Owners!$A$4:$A$21,0))</f>
        <v>Data Platform</v>
      </c>
      <c r="S127" s="6" t="b">
        <f aca="false">AND(F127="closed",ISNUMBER(H127),H127&lt;=Controls!$B$4)</f>
        <v>1</v>
      </c>
      <c r="T127" s="6" t="b">
        <f aca="false">AND(ISNUMBER(I127),I127&lt;=Controls!$B$4,J127="rerun",K127=A127,L127=C127,M127=N127,O127=0,I127&gt;=G127,IF(ISNUMBER(P127),I127&gt;=P127,TRUE()))</f>
        <v>1</v>
      </c>
      <c r="U127" s="0" t="str">
        <f aca="false">IF(AND(S127,T127),"resolved",IF(S127,"claimed","open"))</f>
        <v>resolved</v>
      </c>
      <c r="V127" s="11" t="n">
        <f aca="false">ROUND((IF(U127="resolved",I127,IF(U127="claimed",H127,Controls!$B$4))-G127)*24,4)</f>
        <v>23.2167</v>
      </c>
      <c r="W127" s="6" t="b">
        <f aca="false">INDEX(Owners!$E$4:$E$21,MATCH(D127,Owners!$A$4:$A$21,0))</f>
        <v>1</v>
      </c>
    </row>
    <row r="128" customFormat="false" ht="15" hidden="false" customHeight="false" outlineLevel="0" collapsed="false">
      <c r="A128" s="4" t="s">
        <v>425</v>
      </c>
      <c r="B128" s="4" t="s">
        <v>98</v>
      </c>
      <c r="C128" s="4" t="s">
        <v>211</v>
      </c>
      <c r="D128" s="4" t="s">
        <v>324</v>
      </c>
      <c r="E128" s="4" t="s">
        <v>204</v>
      </c>
      <c r="F128" s="4" t="s">
        <v>277</v>
      </c>
      <c r="G128" s="5" t="n">
        <v>46239.2416666667</v>
      </c>
      <c r="H128" s="5" t="n">
        <v>46240.8888888889</v>
      </c>
      <c r="I128" s="5" t="n">
        <v>46241.1236111111</v>
      </c>
      <c r="J128" s="4" t="s">
        <v>284</v>
      </c>
      <c r="K128" s="4" t="s">
        <v>425</v>
      </c>
      <c r="L128" s="4" t="s">
        <v>211</v>
      </c>
      <c r="M128" s="4" t="n">
        <v>1</v>
      </c>
      <c r="N128" s="4" t="n">
        <v>1</v>
      </c>
      <c r="O128" s="4" t="n">
        <v>0</v>
      </c>
      <c r="P128" s="12"/>
      <c r="Q128" s="4" t="n">
        <v>0</v>
      </c>
      <c r="R128" s="0" t="str">
        <f aca="false">INDEX(Owners!$B$4:$B$21,MATCH(D128,Owners!$A$4:$A$21,0))</f>
        <v>Finance Systems</v>
      </c>
      <c r="S128" s="6" t="b">
        <f aca="false">AND(F128="closed",ISNUMBER(H128),H128&lt;=Controls!$B$4)</f>
        <v>1</v>
      </c>
      <c r="T128" s="6" t="b">
        <f aca="false">AND(ISNUMBER(I128),I128&lt;=Controls!$B$4,J128="rerun",K128=A128,L128=C128,M128=N128,O128=0,I128&gt;=G128,IF(ISNUMBER(P128),I128&gt;=P128,TRUE()))</f>
        <v>1</v>
      </c>
      <c r="U128" s="0" t="str">
        <f aca="false">IF(AND(S128,T128),"resolved",IF(S128,"claimed","open"))</f>
        <v>resolved</v>
      </c>
      <c r="V128" s="11" t="n">
        <f aca="false">ROUND((IF(U128="resolved",I128,IF(U128="claimed",H128,Controls!$B$4))-G128)*24,4)</f>
        <v>45.1667</v>
      </c>
      <c r="W128" s="6" t="b">
        <f aca="false">INDEX(Owners!$E$4:$E$21,MATCH(D128,Owners!$A$4:$A$21,0))</f>
        <v>1</v>
      </c>
    </row>
    <row r="129" customFormat="false" ht="15" hidden="false" customHeight="false" outlineLevel="0" collapsed="false">
      <c r="A129" s="4" t="s">
        <v>426</v>
      </c>
      <c r="B129" s="4" t="s">
        <v>113</v>
      </c>
      <c r="C129" s="4" t="s">
        <v>234</v>
      </c>
      <c r="D129" s="4" t="s">
        <v>296</v>
      </c>
      <c r="E129" s="4" t="s">
        <v>204</v>
      </c>
      <c r="F129" s="4" t="s">
        <v>277</v>
      </c>
      <c r="G129" s="5" t="n">
        <v>46239.9930555556</v>
      </c>
      <c r="H129" s="5" t="n">
        <v>46242.3715277778</v>
      </c>
      <c r="I129" s="5" t="n">
        <v>46242.4402777778</v>
      </c>
      <c r="J129" s="4" t="s">
        <v>284</v>
      </c>
      <c r="K129" s="4" t="s">
        <v>426</v>
      </c>
      <c r="L129" s="4" t="s">
        <v>234</v>
      </c>
      <c r="M129" s="4" t="n">
        <v>1</v>
      </c>
      <c r="N129" s="4" t="n">
        <v>1</v>
      </c>
      <c r="O129" s="4" t="n">
        <v>0</v>
      </c>
      <c r="P129" s="12"/>
      <c r="Q129" s="4" t="n">
        <v>0</v>
      </c>
      <c r="R129" s="0" t="str">
        <f aca="false">INDEX(Owners!$B$4:$B$21,MATCH(D129,Owners!$A$4:$A$21,0))</f>
        <v>Data Platform</v>
      </c>
      <c r="S129" s="6" t="b">
        <f aca="false">AND(F129="closed",ISNUMBER(H129),H129&lt;=Controls!$B$4)</f>
        <v>1</v>
      </c>
      <c r="T129" s="6" t="b">
        <f aca="false">AND(ISNUMBER(I129),I129&lt;=Controls!$B$4,J129="rerun",K129=A129,L129=C129,M129=N129,O129=0,I129&gt;=G129,IF(ISNUMBER(P129),I129&gt;=P129,TRUE()))</f>
        <v>1</v>
      </c>
      <c r="U129" s="0" t="str">
        <f aca="false">IF(AND(S129,T129),"resolved",IF(S129,"claimed","open"))</f>
        <v>resolved</v>
      </c>
      <c r="V129" s="11" t="n">
        <f aca="false">ROUND((IF(U129="resolved",I129,IF(U129="claimed",H129,Controls!$B$4))-G129)*24,4)</f>
        <v>58.7333</v>
      </c>
      <c r="W129" s="6" t="b">
        <f aca="false">INDEX(Owners!$E$4:$E$21,MATCH(D129,Owners!$A$4:$A$21,0))</f>
        <v>1</v>
      </c>
    </row>
    <row r="130" customFormat="false" ht="15" hidden="false" customHeight="false" outlineLevel="0" collapsed="false">
      <c r="A130" s="4" t="s">
        <v>427</v>
      </c>
      <c r="B130" s="4" t="s">
        <v>107</v>
      </c>
      <c r="C130" s="4" t="s">
        <v>224</v>
      </c>
      <c r="D130" s="4" t="s">
        <v>326</v>
      </c>
      <c r="E130" s="4" t="s">
        <v>202</v>
      </c>
      <c r="F130" s="4" t="s">
        <v>277</v>
      </c>
      <c r="G130" s="5" t="n">
        <v>46240.0972222222</v>
      </c>
      <c r="H130" s="5" t="n">
        <v>46242.9125</v>
      </c>
      <c r="I130" s="5" t="n">
        <v>46242.9555555556</v>
      </c>
      <c r="J130" s="4" t="s">
        <v>284</v>
      </c>
      <c r="K130" s="4" t="s">
        <v>427</v>
      </c>
      <c r="L130" s="4" t="s">
        <v>224</v>
      </c>
      <c r="M130" s="4" t="n">
        <v>1</v>
      </c>
      <c r="N130" s="4" t="n">
        <v>1</v>
      </c>
      <c r="O130" s="4" t="n">
        <v>0</v>
      </c>
      <c r="P130" s="12"/>
      <c r="Q130" s="4" t="n">
        <v>0</v>
      </c>
      <c r="R130" s="0" t="str">
        <f aca="false">INDEX(Owners!$B$4:$B$21,MATCH(D130,Owners!$A$4:$A$21,0))</f>
        <v>Customer Data</v>
      </c>
      <c r="S130" s="6" t="b">
        <f aca="false">AND(F130="closed",ISNUMBER(H130),H130&lt;=Controls!$B$4)</f>
        <v>1</v>
      </c>
      <c r="T130" s="6" t="b">
        <f aca="false">AND(ISNUMBER(I130),I130&lt;=Controls!$B$4,J130="rerun",K130=A130,L130=C130,M130=N130,O130=0,I130&gt;=G130,IF(ISNUMBER(P130),I130&gt;=P130,TRUE()))</f>
        <v>1</v>
      </c>
      <c r="U130" s="0" t="str">
        <f aca="false">IF(AND(S130,T130),"resolved",IF(S130,"claimed","open"))</f>
        <v>resolved</v>
      </c>
      <c r="V130" s="11" t="n">
        <f aca="false">ROUND((IF(U130="resolved",I130,IF(U130="claimed",H130,Controls!$B$4))-G130)*24,4)</f>
        <v>68.6</v>
      </c>
      <c r="W130" s="6" t="b">
        <f aca="false">INDEX(Owners!$E$4:$E$21,MATCH(D130,Owners!$A$4:$A$21,0))</f>
        <v>0</v>
      </c>
    </row>
    <row r="131" customFormat="false" ht="15" hidden="false" customHeight="false" outlineLevel="0" collapsed="false">
      <c r="A131" s="4" t="s">
        <v>428</v>
      </c>
      <c r="B131" s="4" t="s">
        <v>128</v>
      </c>
      <c r="C131" s="4" t="s">
        <v>304</v>
      </c>
      <c r="D131" s="4" t="s">
        <v>283</v>
      </c>
      <c r="E131" s="4" t="s">
        <v>204</v>
      </c>
      <c r="F131" s="4" t="s">
        <v>277</v>
      </c>
      <c r="G131" s="5" t="n">
        <v>46240.1020833333</v>
      </c>
      <c r="H131" s="5" t="n">
        <v>46241.8909722222</v>
      </c>
      <c r="I131" s="5" t="n">
        <v>46241.9347222222</v>
      </c>
      <c r="J131" s="4" t="s">
        <v>284</v>
      </c>
      <c r="K131" s="4" t="s">
        <v>428</v>
      </c>
      <c r="L131" s="4" t="s">
        <v>304</v>
      </c>
      <c r="M131" s="4" t="n">
        <v>1</v>
      </c>
      <c r="N131" s="4" t="n">
        <v>1</v>
      </c>
      <c r="O131" s="4" t="n">
        <v>0</v>
      </c>
      <c r="P131" s="12"/>
      <c r="Q131" s="4" t="n">
        <v>0</v>
      </c>
      <c r="R131" s="0" t="str">
        <f aca="false">INDEX(Owners!$B$4:$B$21,MATCH(D131,Owners!$A$4:$A$21,0))</f>
        <v>Data Platform</v>
      </c>
      <c r="S131" s="6" t="b">
        <f aca="false">AND(F131="closed",ISNUMBER(H131),H131&lt;=Controls!$B$4)</f>
        <v>1</v>
      </c>
      <c r="T131" s="6" t="b">
        <f aca="false">AND(ISNUMBER(I131),I131&lt;=Controls!$B$4,J131="rerun",K131=A131,L131=C131,M131=N131,O131=0,I131&gt;=G131,IF(ISNUMBER(P131),I131&gt;=P131,TRUE()))</f>
        <v>1</v>
      </c>
      <c r="U131" s="0" t="str">
        <f aca="false">IF(AND(S131,T131),"resolved",IF(S131,"claimed","open"))</f>
        <v>resolved</v>
      </c>
      <c r="V131" s="11" t="n">
        <f aca="false">ROUND((IF(U131="resolved",I131,IF(U131="claimed",H131,Controls!$B$4))-G131)*24,4)</f>
        <v>43.9833</v>
      </c>
      <c r="W131" s="6" t="b">
        <f aca="false">INDEX(Owners!$E$4:$E$21,MATCH(D131,Owners!$A$4:$A$21,0))</f>
        <v>1</v>
      </c>
    </row>
    <row r="132" customFormat="false" ht="15" hidden="false" customHeight="false" outlineLevel="0" collapsed="false">
      <c r="A132" s="4" t="s">
        <v>429</v>
      </c>
      <c r="B132" s="4" t="s">
        <v>124</v>
      </c>
      <c r="C132" s="4" t="s">
        <v>247</v>
      </c>
      <c r="D132" s="4" t="s">
        <v>301</v>
      </c>
      <c r="E132" s="4" t="s">
        <v>202</v>
      </c>
      <c r="F132" s="4" t="s">
        <v>277</v>
      </c>
      <c r="G132" s="5" t="n">
        <v>46240.1513888889</v>
      </c>
      <c r="H132" s="5" t="n">
        <v>46240.5680555556</v>
      </c>
      <c r="I132" s="5" t="n">
        <v>46240.7625</v>
      </c>
      <c r="J132" s="4" t="s">
        <v>284</v>
      </c>
      <c r="K132" s="4" t="s">
        <v>429</v>
      </c>
      <c r="L132" s="4" t="s">
        <v>247</v>
      </c>
      <c r="M132" s="4" t="n">
        <v>1</v>
      </c>
      <c r="N132" s="4" t="n">
        <v>1</v>
      </c>
      <c r="O132" s="4" t="n">
        <v>0</v>
      </c>
      <c r="P132" s="12"/>
      <c r="Q132" s="4" t="n">
        <v>0</v>
      </c>
      <c r="R132" s="0" t="str">
        <f aca="false">INDEX(Owners!$B$4:$B$21,MATCH(D132,Owners!$A$4:$A$21,0))</f>
        <v>Data Platform</v>
      </c>
      <c r="S132" s="6" t="b">
        <f aca="false">AND(F132="closed",ISNUMBER(H132),H132&lt;=Controls!$B$4)</f>
        <v>1</v>
      </c>
      <c r="T132" s="6" t="b">
        <f aca="false">AND(ISNUMBER(I132),I132&lt;=Controls!$B$4,J132="rerun",K132=A132,L132=C132,M132=N132,O132=0,I132&gt;=G132,IF(ISNUMBER(P132),I132&gt;=P132,TRUE()))</f>
        <v>1</v>
      </c>
      <c r="U132" s="0" t="str">
        <f aca="false">IF(AND(S132,T132),"resolved",IF(S132,"claimed","open"))</f>
        <v>resolved</v>
      </c>
      <c r="V132" s="11" t="n">
        <f aca="false">ROUND((IF(U132="resolved",I132,IF(U132="claimed",H132,Controls!$B$4))-G132)*24,4)</f>
        <v>14.6667</v>
      </c>
      <c r="W132" s="6" t="b">
        <f aca="false">INDEX(Owners!$E$4:$E$21,MATCH(D132,Owners!$A$4:$A$21,0))</f>
        <v>1</v>
      </c>
    </row>
    <row r="133" customFormat="false" ht="15" hidden="false" customHeight="false" outlineLevel="0" collapsed="false">
      <c r="A133" s="4" t="s">
        <v>430</v>
      </c>
      <c r="B133" s="4" t="s">
        <v>111</v>
      </c>
      <c r="C133" s="4" t="s">
        <v>229</v>
      </c>
      <c r="D133" s="4" t="s">
        <v>296</v>
      </c>
      <c r="E133" s="4" t="s">
        <v>202</v>
      </c>
      <c r="F133" s="4" t="s">
        <v>277</v>
      </c>
      <c r="G133" s="5" t="n">
        <v>46240.1645833333</v>
      </c>
      <c r="H133" s="5" t="n">
        <v>46240.8104166667</v>
      </c>
      <c r="I133" s="12"/>
      <c r="N133" s="4" t="n">
        <v>1</v>
      </c>
      <c r="P133" s="12"/>
      <c r="Q133" s="4" t="n">
        <v>0</v>
      </c>
      <c r="R133" s="0" t="str">
        <f aca="false">INDEX(Owners!$B$4:$B$21,MATCH(D133,Owners!$A$4:$A$21,0))</f>
        <v>Data Platform</v>
      </c>
      <c r="S133" s="6" t="b">
        <f aca="false">AND(F133="closed",ISNUMBER(H133),H133&lt;=Controls!$B$4)</f>
        <v>1</v>
      </c>
      <c r="T133" s="6" t="b">
        <f aca="false">AND(ISNUMBER(I133),I133&lt;=Controls!$B$4,J133="rerun",K133=A133,L133=C133,M133=N133,O133=0,I133&gt;=G133,IF(ISNUMBER(P133),I133&gt;=P133,TRUE()))</f>
        <v>0</v>
      </c>
      <c r="U133" s="0" t="str">
        <f aca="false">IF(AND(S133,T133),"resolved",IF(S133,"claimed","open"))</f>
        <v>claimed</v>
      </c>
      <c r="V133" s="11" t="n">
        <f aca="false">ROUND((IF(U133="resolved",I133,IF(U133="claimed",H133,Controls!$B$4))-G133)*24,4)</f>
        <v>15.5</v>
      </c>
      <c r="W133" s="6" t="b">
        <f aca="false">INDEX(Owners!$E$4:$E$21,MATCH(D133,Owners!$A$4:$A$21,0))</f>
        <v>1</v>
      </c>
    </row>
    <row r="134" customFormat="false" ht="15" hidden="false" customHeight="false" outlineLevel="0" collapsed="false">
      <c r="A134" s="4" t="s">
        <v>431</v>
      </c>
      <c r="B134" s="4" t="s">
        <v>113</v>
      </c>
      <c r="C134" s="4" t="s">
        <v>232</v>
      </c>
      <c r="D134" s="4" t="s">
        <v>296</v>
      </c>
      <c r="E134" s="4" t="s">
        <v>202</v>
      </c>
      <c r="F134" s="4" t="s">
        <v>277</v>
      </c>
      <c r="G134" s="5" t="n">
        <v>46240.1826388889</v>
      </c>
      <c r="H134" s="5" t="n">
        <v>46241.0527777778</v>
      </c>
      <c r="I134" s="5" t="n">
        <v>46241.1277777778</v>
      </c>
      <c r="J134" s="4" t="s">
        <v>284</v>
      </c>
      <c r="K134" s="4" t="s">
        <v>431</v>
      </c>
      <c r="L134" s="4" t="s">
        <v>232</v>
      </c>
      <c r="M134" s="4" t="n">
        <v>1</v>
      </c>
      <c r="N134" s="4" t="n">
        <v>1</v>
      </c>
      <c r="O134" s="4" t="n">
        <v>0</v>
      </c>
      <c r="P134" s="12"/>
      <c r="Q134" s="4" t="n">
        <v>0</v>
      </c>
      <c r="R134" s="0" t="str">
        <f aca="false">INDEX(Owners!$B$4:$B$21,MATCH(D134,Owners!$A$4:$A$21,0))</f>
        <v>Data Platform</v>
      </c>
      <c r="S134" s="6" t="b">
        <f aca="false">AND(F134="closed",ISNUMBER(H134),H134&lt;=Controls!$B$4)</f>
        <v>1</v>
      </c>
      <c r="T134" s="6" t="b">
        <f aca="false">AND(ISNUMBER(I134),I134&lt;=Controls!$B$4,J134="rerun",K134=A134,L134=C134,M134=N134,O134=0,I134&gt;=G134,IF(ISNUMBER(P134),I134&gt;=P134,TRUE()))</f>
        <v>1</v>
      </c>
      <c r="U134" s="0" t="str">
        <f aca="false">IF(AND(S134,T134),"resolved",IF(S134,"claimed","open"))</f>
        <v>resolved</v>
      </c>
      <c r="V134" s="11" t="n">
        <f aca="false">ROUND((IF(U134="resolved",I134,IF(U134="claimed",H134,Controls!$B$4))-G134)*24,4)</f>
        <v>22.6833</v>
      </c>
      <c r="W134" s="6" t="b">
        <f aca="false">INDEX(Owners!$E$4:$E$21,MATCH(D134,Owners!$A$4:$A$21,0))</f>
        <v>1</v>
      </c>
    </row>
    <row r="135" customFormat="false" ht="15" hidden="false" customHeight="false" outlineLevel="0" collapsed="false">
      <c r="A135" s="4" t="s">
        <v>432</v>
      </c>
      <c r="B135" s="4" t="s">
        <v>131</v>
      </c>
      <c r="C135" s="4" t="s">
        <v>257</v>
      </c>
      <c r="D135" s="4" t="s">
        <v>283</v>
      </c>
      <c r="E135" s="4" t="s">
        <v>202</v>
      </c>
      <c r="F135" s="4" t="s">
        <v>277</v>
      </c>
      <c r="G135" s="5" t="n">
        <v>46240.1923611111</v>
      </c>
      <c r="H135" s="5" t="n">
        <v>46240.9395833333</v>
      </c>
      <c r="I135" s="5" t="n">
        <v>46240.9722222222</v>
      </c>
      <c r="J135" s="4" t="s">
        <v>284</v>
      </c>
      <c r="K135" s="4" t="s">
        <v>432</v>
      </c>
      <c r="L135" s="4" t="s">
        <v>257</v>
      </c>
      <c r="M135" s="4" t="n">
        <v>1</v>
      </c>
      <c r="N135" s="4" t="n">
        <v>1</v>
      </c>
      <c r="O135" s="4" t="n">
        <v>0</v>
      </c>
      <c r="P135" s="12"/>
      <c r="Q135" s="4" t="n">
        <v>0</v>
      </c>
      <c r="R135" s="0" t="str">
        <f aca="false">INDEX(Owners!$B$4:$B$21,MATCH(D135,Owners!$A$4:$A$21,0))</f>
        <v>Data Platform</v>
      </c>
      <c r="S135" s="6" t="b">
        <f aca="false">AND(F135="closed",ISNUMBER(H135),H135&lt;=Controls!$B$4)</f>
        <v>1</v>
      </c>
      <c r="T135" s="6" t="b">
        <f aca="false">AND(ISNUMBER(I135),I135&lt;=Controls!$B$4,J135="rerun",K135=A135,L135=C135,M135=N135,O135=0,I135&gt;=G135,IF(ISNUMBER(P135),I135&gt;=P135,TRUE()))</f>
        <v>1</v>
      </c>
      <c r="U135" s="0" t="str">
        <f aca="false">IF(AND(S135,T135),"resolved",IF(S135,"claimed","open"))</f>
        <v>resolved</v>
      </c>
      <c r="V135" s="11" t="n">
        <f aca="false">ROUND((IF(U135="resolved",I135,IF(U135="claimed",H135,Controls!$B$4))-G135)*24,4)</f>
        <v>18.7167</v>
      </c>
      <c r="W135" s="6" t="b">
        <f aca="false">INDEX(Owners!$E$4:$E$21,MATCH(D135,Owners!$A$4:$A$21,0))</f>
        <v>1</v>
      </c>
    </row>
    <row r="136" customFormat="false" ht="15" hidden="false" customHeight="false" outlineLevel="0" collapsed="false">
      <c r="A136" s="4" t="s">
        <v>433</v>
      </c>
      <c r="B136" s="4" t="s">
        <v>117</v>
      </c>
      <c r="C136" s="4" t="s">
        <v>241</v>
      </c>
      <c r="D136" s="4" t="s">
        <v>288</v>
      </c>
      <c r="E136" s="4" t="s">
        <v>202</v>
      </c>
      <c r="F136" s="4" t="s">
        <v>277</v>
      </c>
      <c r="G136" s="5" t="n">
        <v>46240.2368055556</v>
      </c>
      <c r="H136" s="5" t="n">
        <v>46244.9902777778</v>
      </c>
      <c r="I136" s="5" t="n">
        <v>46245.1152777778</v>
      </c>
      <c r="J136" s="4" t="s">
        <v>284</v>
      </c>
      <c r="K136" s="4" t="s">
        <v>433</v>
      </c>
      <c r="L136" s="4" t="s">
        <v>241</v>
      </c>
      <c r="M136" s="4" t="n">
        <v>1</v>
      </c>
      <c r="N136" s="4" t="n">
        <v>1</v>
      </c>
      <c r="O136" s="4" t="n">
        <v>0</v>
      </c>
      <c r="P136" s="12"/>
      <c r="Q136" s="4" t="n">
        <v>0</v>
      </c>
      <c r="R136" s="0" t="str">
        <f aca="false">INDEX(Owners!$B$4:$B$21,MATCH(D136,Owners!$A$4:$A$21,0))</f>
        <v>Support Operations</v>
      </c>
      <c r="S136" s="6" t="b">
        <f aca="false">AND(F136="closed",ISNUMBER(H136),H136&lt;=Controls!$B$4)</f>
        <v>1</v>
      </c>
      <c r="T136" s="6" t="b">
        <f aca="false">AND(ISNUMBER(I136),I136&lt;=Controls!$B$4,J136="rerun",K136=A136,L136=C136,M136=N136,O136=0,I136&gt;=G136,IF(ISNUMBER(P136),I136&gt;=P136,TRUE()))</f>
        <v>1</v>
      </c>
      <c r="U136" s="0" t="str">
        <f aca="false">IF(AND(S136,T136),"resolved",IF(S136,"claimed","open"))</f>
        <v>resolved</v>
      </c>
      <c r="V136" s="11" t="n">
        <f aca="false">ROUND((IF(U136="resolved",I136,IF(U136="claimed",H136,Controls!$B$4))-G136)*24,4)</f>
        <v>117.0833</v>
      </c>
      <c r="W136" s="6" t="b">
        <f aca="false">INDEX(Owners!$E$4:$E$21,MATCH(D136,Owners!$A$4:$A$21,0))</f>
        <v>1</v>
      </c>
    </row>
    <row r="137" customFormat="false" ht="15" hidden="false" customHeight="false" outlineLevel="0" collapsed="false">
      <c r="A137" s="4" t="s">
        <v>434</v>
      </c>
      <c r="B137" s="4" t="s">
        <v>98</v>
      </c>
      <c r="C137" s="4" t="s">
        <v>211</v>
      </c>
      <c r="D137" s="4" t="s">
        <v>324</v>
      </c>
      <c r="E137" s="4" t="s">
        <v>204</v>
      </c>
      <c r="F137" s="4" t="s">
        <v>277</v>
      </c>
      <c r="G137" s="5" t="n">
        <v>46240.2416666667</v>
      </c>
      <c r="H137" s="5" t="n">
        <v>46240.8229166667</v>
      </c>
      <c r="I137" s="12"/>
      <c r="N137" s="4" t="n">
        <v>1</v>
      </c>
      <c r="P137" s="12"/>
      <c r="Q137" s="4" t="n">
        <v>0</v>
      </c>
      <c r="R137" s="0" t="str">
        <f aca="false">INDEX(Owners!$B$4:$B$21,MATCH(D137,Owners!$A$4:$A$21,0))</f>
        <v>Finance Systems</v>
      </c>
      <c r="S137" s="6" t="b">
        <f aca="false">AND(F137="closed",ISNUMBER(H137),H137&lt;=Controls!$B$4)</f>
        <v>1</v>
      </c>
      <c r="T137" s="6" t="b">
        <f aca="false">AND(ISNUMBER(I137),I137&lt;=Controls!$B$4,J137="rerun",K137=A137,L137=C137,M137=N137,O137=0,I137&gt;=G137,IF(ISNUMBER(P137),I137&gt;=P137,TRUE()))</f>
        <v>0</v>
      </c>
      <c r="U137" s="0" t="str">
        <f aca="false">IF(AND(S137,T137),"resolved",IF(S137,"claimed","open"))</f>
        <v>claimed</v>
      </c>
      <c r="V137" s="11" t="n">
        <f aca="false">ROUND((IF(U137="resolved",I137,IF(U137="claimed",H137,Controls!$B$4))-G137)*24,4)</f>
        <v>13.95</v>
      </c>
      <c r="W137" s="6" t="b">
        <f aca="false">INDEX(Owners!$E$4:$E$21,MATCH(D137,Owners!$A$4:$A$21,0))</f>
        <v>1</v>
      </c>
    </row>
    <row r="138" customFormat="false" ht="15" hidden="false" customHeight="false" outlineLevel="0" collapsed="false">
      <c r="A138" s="4" t="s">
        <v>435</v>
      </c>
      <c r="B138" s="4" t="s">
        <v>117</v>
      </c>
      <c r="C138" s="4" t="s">
        <v>240</v>
      </c>
      <c r="D138" s="4" t="s">
        <v>288</v>
      </c>
      <c r="E138" s="4" t="s">
        <v>204</v>
      </c>
      <c r="F138" s="4" t="s">
        <v>277</v>
      </c>
      <c r="G138" s="5" t="n">
        <v>46240.2458333333</v>
      </c>
      <c r="H138" s="5" t="n">
        <v>46255.3784722222</v>
      </c>
      <c r="I138" s="5" t="n">
        <v>46255.4701388889</v>
      </c>
      <c r="J138" s="4" t="s">
        <v>284</v>
      </c>
      <c r="K138" s="4" t="s">
        <v>435</v>
      </c>
      <c r="L138" s="4" t="s">
        <v>240</v>
      </c>
      <c r="M138" s="4" t="n">
        <v>1</v>
      </c>
      <c r="N138" s="4" t="n">
        <v>1</v>
      </c>
      <c r="O138" s="4" t="n">
        <v>0</v>
      </c>
      <c r="P138" s="12"/>
      <c r="Q138" s="4" t="n">
        <v>0</v>
      </c>
      <c r="R138" s="0" t="str">
        <f aca="false">INDEX(Owners!$B$4:$B$21,MATCH(D138,Owners!$A$4:$A$21,0))</f>
        <v>Support Operations</v>
      </c>
      <c r="S138" s="6" t="b">
        <f aca="false">AND(F138="closed",ISNUMBER(H138),H138&lt;=Controls!$B$4)</f>
        <v>1</v>
      </c>
      <c r="T138" s="6" t="b">
        <f aca="false">AND(ISNUMBER(I138),I138&lt;=Controls!$B$4,J138="rerun",K138=A138,L138=C138,M138=N138,O138=0,I138&gt;=G138,IF(ISNUMBER(P138),I138&gt;=P138,TRUE()))</f>
        <v>1</v>
      </c>
      <c r="U138" s="0" t="str">
        <f aca="false">IF(AND(S138,T138),"resolved",IF(S138,"claimed","open"))</f>
        <v>resolved</v>
      </c>
      <c r="V138" s="11" t="n">
        <f aca="false">ROUND((IF(U138="resolved",I138,IF(U138="claimed",H138,Controls!$B$4))-G138)*24,4)</f>
        <v>365.3833</v>
      </c>
      <c r="W138" s="6" t="b">
        <f aca="false">INDEX(Owners!$E$4:$E$21,MATCH(D138,Owners!$A$4:$A$21,0))</f>
        <v>1</v>
      </c>
    </row>
    <row r="139" customFormat="false" ht="15" hidden="false" customHeight="false" outlineLevel="0" collapsed="false">
      <c r="A139" s="4" t="s">
        <v>436</v>
      </c>
      <c r="B139" s="4" t="s">
        <v>127</v>
      </c>
      <c r="C139" s="4" t="s">
        <v>252</v>
      </c>
      <c r="D139" s="4" t="s">
        <v>358</v>
      </c>
      <c r="E139" s="4" t="s">
        <v>204</v>
      </c>
      <c r="F139" s="4" t="s">
        <v>277</v>
      </c>
      <c r="G139" s="5" t="n">
        <v>46241.0888888889</v>
      </c>
      <c r="H139" s="5" t="n">
        <v>46241.9229166667</v>
      </c>
      <c r="I139" s="12"/>
      <c r="N139" s="4" t="n">
        <v>1</v>
      </c>
      <c r="P139" s="12"/>
      <c r="Q139" s="4" t="n">
        <v>0</v>
      </c>
      <c r="R139" s="0" t="str">
        <f aca="false">INDEX(Owners!$B$4:$B$21,MATCH(D139,Owners!$A$4:$A$21,0))</f>
        <v>Finance Systems</v>
      </c>
      <c r="S139" s="6" t="b">
        <f aca="false">AND(F139="closed",ISNUMBER(H139),H139&lt;=Controls!$B$4)</f>
        <v>1</v>
      </c>
      <c r="T139" s="6" t="b">
        <f aca="false">AND(ISNUMBER(I139),I139&lt;=Controls!$B$4,J139="rerun",K139=A139,L139=C139,M139=N139,O139=0,I139&gt;=G139,IF(ISNUMBER(P139),I139&gt;=P139,TRUE()))</f>
        <v>0</v>
      </c>
      <c r="U139" s="0" t="str">
        <f aca="false">IF(AND(S139,T139),"resolved",IF(S139,"claimed","open"))</f>
        <v>claimed</v>
      </c>
      <c r="V139" s="11" t="n">
        <f aca="false">ROUND((IF(U139="resolved",I139,IF(U139="claimed",H139,Controls!$B$4))-G139)*24,4)</f>
        <v>20.0167</v>
      </c>
      <c r="W139" s="6" t="b">
        <f aca="false">INDEX(Owners!$E$4:$E$21,MATCH(D139,Owners!$A$4:$A$21,0))</f>
        <v>1</v>
      </c>
    </row>
    <row r="140" customFormat="false" ht="15" hidden="false" customHeight="false" outlineLevel="0" collapsed="false">
      <c r="A140" s="4" t="s">
        <v>437</v>
      </c>
      <c r="B140" s="4" t="s">
        <v>107</v>
      </c>
      <c r="C140" s="4" t="s">
        <v>224</v>
      </c>
      <c r="D140" s="4" t="s">
        <v>326</v>
      </c>
      <c r="E140" s="4" t="s">
        <v>202</v>
      </c>
      <c r="F140" s="4" t="s">
        <v>277</v>
      </c>
      <c r="G140" s="5" t="n">
        <v>46241.0972222222</v>
      </c>
      <c r="H140" s="5" t="n">
        <v>46243.0048611111</v>
      </c>
      <c r="I140" s="5" t="n">
        <v>46243.3729166667</v>
      </c>
      <c r="J140" s="4" t="s">
        <v>284</v>
      </c>
      <c r="K140" s="4" t="s">
        <v>437</v>
      </c>
      <c r="L140" s="4" t="s">
        <v>224</v>
      </c>
      <c r="M140" s="4" t="n">
        <v>1</v>
      </c>
      <c r="N140" s="4" t="n">
        <v>1</v>
      </c>
      <c r="O140" s="4" t="n">
        <v>0</v>
      </c>
      <c r="P140" s="12"/>
      <c r="Q140" s="4" t="n">
        <v>0</v>
      </c>
      <c r="R140" s="0" t="str">
        <f aca="false">INDEX(Owners!$B$4:$B$21,MATCH(D140,Owners!$A$4:$A$21,0))</f>
        <v>Customer Data</v>
      </c>
      <c r="S140" s="6" t="b">
        <f aca="false">AND(F140="closed",ISNUMBER(H140),H140&lt;=Controls!$B$4)</f>
        <v>1</v>
      </c>
      <c r="T140" s="6" t="b">
        <f aca="false">AND(ISNUMBER(I140),I140&lt;=Controls!$B$4,J140="rerun",K140=A140,L140=C140,M140=N140,O140=0,I140&gt;=G140,IF(ISNUMBER(P140),I140&gt;=P140,TRUE()))</f>
        <v>1</v>
      </c>
      <c r="U140" s="0" t="str">
        <f aca="false">IF(AND(S140,T140),"resolved",IF(S140,"claimed","open"))</f>
        <v>resolved</v>
      </c>
      <c r="V140" s="11" t="n">
        <f aca="false">ROUND((IF(U140="resolved",I140,IF(U140="claimed",H140,Controls!$B$4))-G140)*24,4)</f>
        <v>54.6167</v>
      </c>
      <c r="W140" s="6" t="b">
        <f aca="false">INDEX(Owners!$E$4:$E$21,MATCH(D140,Owners!$A$4:$A$21,0))</f>
        <v>0</v>
      </c>
    </row>
    <row r="141" customFormat="false" ht="15" hidden="false" customHeight="false" outlineLevel="0" collapsed="false">
      <c r="A141" s="4" t="s">
        <v>438</v>
      </c>
      <c r="B141" s="4" t="s">
        <v>95</v>
      </c>
      <c r="C141" s="4" t="s">
        <v>205</v>
      </c>
      <c r="D141" s="4" t="s">
        <v>283</v>
      </c>
      <c r="E141" s="4" t="s">
        <v>204</v>
      </c>
      <c r="F141" s="4" t="s">
        <v>277</v>
      </c>
      <c r="G141" s="5" t="n">
        <v>46241.1069444444</v>
      </c>
      <c r="H141" s="5" t="n">
        <v>46242.9402777778</v>
      </c>
      <c r="I141" s="12"/>
      <c r="N141" s="4" t="n">
        <v>1</v>
      </c>
      <c r="P141" s="12"/>
      <c r="Q141" s="4" t="n">
        <v>0</v>
      </c>
      <c r="R141" s="0" t="str">
        <f aca="false">INDEX(Owners!$B$4:$B$21,MATCH(D141,Owners!$A$4:$A$21,0))</f>
        <v>Data Platform</v>
      </c>
      <c r="S141" s="6" t="b">
        <f aca="false">AND(F141="closed",ISNUMBER(H141),H141&lt;=Controls!$B$4)</f>
        <v>1</v>
      </c>
      <c r="T141" s="6" t="b">
        <f aca="false">AND(ISNUMBER(I141),I141&lt;=Controls!$B$4,J141="rerun",K141=A141,L141=C141,M141=N141,O141=0,I141&gt;=G141,IF(ISNUMBER(P141),I141&gt;=P141,TRUE()))</f>
        <v>0</v>
      </c>
      <c r="U141" s="0" t="str">
        <f aca="false">IF(AND(S141,T141),"resolved",IF(S141,"claimed","open"))</f>
        <v>claimed</v>
      </c>
      <c r="V141" s="11" t="n">
        <f aca="false">ROUND((IF(U141="resolved",I141,IF(U141="claimed",H141,Controls!$B$4))-G141)*24,4)</f>
        <v>44</v>
      </c>
      <c r="W141" s="6" t="b">
        <f aca="false">INDEX(Owners!$E$4:$E$21,MATCH(D141,Owners!$A$4:$A$21,0))</f>
        <v>1</v>
      </c>
    </row>
    <row r="142" customFormat="false" ht="15" hidden="false" customHeight="false" outlineLevel="0" collapsed="false">
      <c r="A142" s="4" t="s">
        <v>439</v>
      </c>
      <c r="B142" s="4" t="s">
        <v>92</v>
      </c>
      <c r="C142" s="4" t="s">
        <v>201</v>
      </c>
      <c r="D142" s="4" t="s">
        <v>330</v>
      </c>
      <c r="E142" s="4" t="s">
        <v>202</v>
      </c>
      <c r="F142" s="4" t="s">
        <v>277</v>
      </c>
      <c r="G142" s="5" t="n">
        <v>46241.1465277778</v>
      </c>
      <c r="H142" s="5" t="n">
        <v>46243.6923611111</v>
      </c>
      <c r="I142" s="5" t="n">
        <v>46244.1263888889</v>
      </c>
      <c r="J142" s="4" t="s">
        <v>284</v>
      </c>
      <c r="K142" s="4" t="s">
        <v>439</v>
      </c>
      <c r="L142" s="4" t="s">
        <v>201</v>
      </c>
      <c r="M142" s="4" t="n">
        <v>1</v>
      </c>
      <c r="N142" s="4" t="n">
        <v>1</v>
      </c>
      <c r="O142" s="4" t="n">
        <v>0</v>
      </c>
      <c r="P142" s="12"/>
      <c r="Q142" s="4" t="n">
        <v>0</v>
      </c>
      <c r="R142" s="0" t="str">
        <f aca="false">INDEX(Owners!$B$4:$B$21,MATCH(D142,Owners!$A$4:$A$21,0))</f>
        <v>Supply Chain</v>
      </c>
      <c r="S142" s="6" t="b">
        <f aca="false">AND(F142="closed",ISNUMBER(H142),H142&lt;=Controls!$B$4)</f>
        <v>1</v>
      </c>
      <c r="T142" s="6" t="b">
        <f aca="false">AND(ISNUMBER(I142),I142&lt;=Controls!$B$4,J142="rerun",K142=A142,L142=C142,M142=N142,O142=0,I142&gt;=G142,IF(ISNUMBER(P142),I142&gt;=P142,TRUE()))</f>
        <v>1</v>
      </c>
      <c r="U142" s="0" t="str">
        <f aca="false">IF(AND(S142,T142),"resolved",IF(S142,"claimed","open"))</f>
        <v>resolved</v>
      </c>
      <c r="V142" s="11" t="n">
        <f aca="false">ROUND((IF(U142="resolved",I142,IF(U142="claimed",H142,Controls!$B$4))-G142)*24,4)</f>
        <v>71.5167</v>
      </c>
      <c r="W142" s="6" t="b">
        <f aca="false">INDEX(Owners!$E$4:$E$21,MATCH(D142,Owners!$A$4:$A$21,0))</f>
        <v>1</v>
      </c>
    </row>
    <row r="143" customFormat="false" ht="15" hidden="false" customHeight="false" outlineLevel="0" collapsed="false">
      <c r="A143" s="4" t="s">
        <v>440</v>
      </c>
      <c r="B143" s="4" t="s">
        <v>119</v>
      </c>
      <c r="C143" s="4" t="s">
        <v>243</v>
      </c>
      <c r="D143" s="4" t="s">
        <v>292</v>
      </c>
      <c r="E143" s="4" t="s">
        <v>202</v>
      </c>
      <c r="F143" s="4" t="s">
        <v>277</v>
      </c>
      <c r="G143" s="5" t="n">
        <v>46241.1604166667</v>
      </c>
      <c r="H143" s="5" t="n">
        <v>46242.9368055556</v>
      </c>
      <c r="I143" s="5" t="n">
        <v>46243.4694444445</v>
      </c>
      <c r="J143" s="4" t="s">
        <v>284</v>
      </c>
      <c r="K143" s="4" t="s">
        <v>440</v>
      </c>
      <c r="L143" s="4" t="s">
        <v>243</v>
      </c>
      <c r="M143" s="4" t="n">
        <v>1</v>
      </c>
      <c r="N143" s="4" t="n">
        <v>1</v>
      </c>
      <c r="O143" s="4" t="n">
        <v>0</v>
      </c>
      <c r="P143" s="12"/>
      <c r="Q143" s="4" t="n">
        <v>0</v>
      </c>
      <c r="R143" s="0" t="str">
        <f aca="false">INDEX(Owners!$B$4:$B$21,MATCH(D143,Owners!$A$4:$A$21,0))</f>
        <v>Support Operations</v>
      </c>
      <c r="S143" s="6" t="b">
        <f aca="false">AND(F143="closed",ISNUMBER(H143),H143&lt;=Controls!$B$4)</f>
        <v>1</v>
      </c>
      <c r="T143" s="6" t="b">
        <f aca="false">AND(ISNUMBER(I143),I143&lt;=Controls!$B$4,J143="rerun",K143=A143,L143=C143,M143=N143,O143=0,I143&gt;=G143,IF(ISNUMBER(P143),I143&gt;=P143,TRUE()))</f>
        <v>1</v>
      </c>
      <c r="U143" s="0" t="str">
        <f aca="false">IF(AND(S143,T143),"resolved",IF(S143,"claimed","open"))</f>
        <v>resolved</v>
      </c>
      <c r="V143" s="11" t="n">
        <f aca="false">ROUND((IF(U143="resolved",I143,IF(U143="claimed",H143,Controls!$B$4))-G143)*24,4)</f>
        <v>55.4167</v>
      </c>
      <c r="W143" s="6" t="b">
        <f aca="false">INDEX(Owners!$E$4:$E$21,MATCH(D143,Owners!$A$4:$A$21,0))</f>
        <v>1</v>
      </c>
    </row>
    <row r="144" customFormat="false" ht="15" hidden="false" customHeight="false" outlineLevel="0" collapsed="false">
      <c r="A144" s="4" t="s">
        <v>441</v>
      </c>
      <c r="B144" s="4" t="s">
        <v>125</v>
      </c>
      <c r="C144" s="4" t="s">
        <v>250</v>
      </c>
      <c r="D144" s="4" t="s">
        <v>334</v>
      </c>
      <c r="E144" s="4" t="s">
        <v>202</v>
      </c>
      <c r="F144" s="4" t="s">
        <v>277</v>
      </c>
      <c r="G144" s="5" t="n">
        <v>46241.1875</v>
      </c>
      <c r="H144" s="5" t="n">
        <v>46246.55</v>
      </c>
      <c r="I144" s="5" t="n">
        <v>46246.7569444445</v>
      </c>
      <c r="J144" s="4" t="s">
        <v>284</v>
      </c>
      <c r="K144" s="4" t="s">
        <v>441</v>
      </c>
      <c r="L144" s="4" t="s">
        <v>250</v>
      </c>
      <c r="M144" s="4" t="n">
        <v>1</v>
      </c>
      <c r="N144" s="4" t="n">
        <v>1</v>
      </c>
      <c r="O144" s="4" t="n">
        <v>0</v>
      </c>
      <c r="P144" s="12"/>
      <c r="Q144" s="4" t="n">
        <v>0</v>
      </c>
      <c r="R144" s="0" t="str">
        <f aca="false">INDEX(Owners!$B$4:$B$21,MATCH(D144,Owners!$A$4:$A$21,0))</f>
        <v>Supply Chain</v>
      </c>
      <c r="S144" s="6" t="b">
        <f aca="false">AND(F144="closed",ISNUMBER(H144),H144&lt;=Controls!$B$4)</f>
        <v>1</v>
      </c>
      <c r="T144" s="6" t="b">
        <f aca="false">AND(ISNUMBER(I144),I144&lt;=Controls!$B$4,J144="rerun",K144=A144,L144=C144,M144=N144,O144=0,I144&gt;=G144,IF(ISNUMBER(P144),I144&gt;=P144,TRUE()))</f>
        <v>1</v>
      </c>
      <c r="U144" s="0" t="str">
        <f aca="false">IF(AND(S144,T144),"resolved",IF(S144,"claimed","open"))</f>
        <v>resolved</v>
      </c>
      <c r="V144" s="11" t="n">
        <f aca="false">ROUND((IF(U144="resolved",I144,IF(U144="claimed",H144,Controls!$B$4))-G144)*24,4)</f>
        <v>133.6667</v>
      </c>
      <c r="W144" s="6" t="b">
        <f aca="false">INDEX(Owners!$E$4:$E$21,MATCH(D144,Owners!$A$4:$A$21,0))</f>
        <v>0</v>
      </c>
    </row>
    <row r="145" customFormat="false" ht="15" hidden="false" customHeight="false" outlineLevel="0" collapsed="false">
      <c r="A145" s="4" t="s">
        <v>442</v>
      </c>
      <c r="B145" s="4" t="s">
        <v>112</v>
      </c>
      <c r="C145" s="4" t="s">
        <v>231</v>
      </c>
      <c r="D145" s="4" t="s">
        <v>320</v>
      </c>
      <c r="E145" s="4" t="s">
        <v>210</v>
      </c>
      <c r="F145" s="4" t="s">
        <v>277</v>
      </c>
      <c r="G145" s="5" t="n">
        <v>46241.2277777778</v>
      </c>
      <c r="H145" s="5" t="n">
        <v>46242.8430555556</v>
      </c>
      <c r="I145" s="12"/>
      <c r="N145" s="4" t="n">
        <v>1</v>
      </c>
      <c r="P145" s="12"/>
      <c r="Q145" s="4" t="n">
        <v>0</v>
      </c>
      <c r="R145" s="0" t="str">
        <f aca="false">INDEX(Owners!$B$4:$B$21,MATCH(D145,Owners!$A$4:$A$21,0))</f>
        <v>Data Governance</v>
      </c>
      <c r="S145" s="6" t="b">
        <f aca="false">AND(F145="closed",ISNUMBER(H145),H145&lt;=Controls!$B$4)</f>
        <v>1</v>
      </c>
      <c r="T145" s="6" t="b">
        <f aca="false">AND(ISNUMBER(I145),I145&lt;=Controls!$B$4,J145="rerun",K145=A145,L145=C145,M145=N145,O145=0,I145&gt;=G145,IF(ISNUMBER(P145),I145&gt;=P145,TRUE()))</f>
        <v>0</v>
      </c>
      <c r="U145" s="0" t="str">
        <f aca="false">IF(AND(S145,T145),"resolved",IF(S145,"claimed","open"))</f>
        <v>claimed</v>
      </c>
      <c r="V145" s="11" t="n">
        <f aca="false">ROUND((IF(U145="resolved",I145,IF(U145="claimed",H145,Controls!$B$4))-G145)*24,4)</f>
        <v>38.7667</v>
      </c>
      <c r="W145" s="6" t="b">
        <f aca="false">INDEX(Owners!$E$4:$E$21,MATCH(D145,Owners!$A$4:$A$21,0))</f>
        <v>1</v>
      </c>
    </row>
    <row r="146" customFormat="false" ht="15" hidden="false" customHeight="false" outlineLevel="0" collapsed="false">
      <c r="A146" s="4" t="s">
        <v>443</v>
      </c>
      <c r="B146" s="4" t="s">
        <v>113</v>
      </c>
      <c r="C146" s="4" t="s">
        <v>234</v>
      </c>
      <c r="D146" s="4" t="s">
        <v>296</v>
      </c>
      <c r="E146" s="4" t="s">
        <v>204</v>
      </c>
      <c r="F146" s="4" t="s">
        <v>277</v>
      </c>
      <c r="G146" s="5" t="n">
        <v>46241.9930555556</v>
      </c>
      <c r="H146" s="5" t="n">
        <v>46244.7541666667</v>
      </c>
      <c r="I146" s="5" t="n">
        <v>46244.9430555556</v>
      </c>
      <c r="J146" s="4" t="s">
        <v>284</v>
      </c>
      <c r="K146" s="4" t="s">
        <v>443</v>
      </c>
      <c r="L146" s="4" t="s">
        <v>234</v>
      </c>
      <c r="M146" s="4" t="n">
        <v>1</v>
      </c>
      <c r="N146" s="4" t="n">
        <v>1</v>
      </c>
      <c r="O146" s="4" t="n">
        <v>0</v>
      </c>
      <c r="P146" s="12"/>
      <c r="Q146" s="4" t="n">
        <v>0</v>
      </c>
      <c r="R146" s="0" t="str">
        <f aca="false">INDEX(Owners!$B$4:$B$21,MATCH(D146,Owners!$A$4:$A$21,0))</f>
        <v>Data Platform</v>
      </c>
      <c r="S146" s="6" t="b">
        <f aca="false">AND(F146="closed",ISNUMBER(H146),H146&lt;=Controls!$B$4)</f>
        <v>1</v>
      </c>
      <c r="T146" s="6" t="b">
        <f aca="false">AND(ISNUMBER(I146),I146&lt;=Controls!$B$4,J146="rerun",K146=A146,L146=C146,M146=N146,O146=0,I146&gt;=G146,IF(ISNUMBER(P146),I146&gt;=P146,TRUE()))</f>
        <v>1</v>
      </c>
      <c r="U146" s="0" t="str">
        <f aca="false">IF(AND(S146,T146),"resolved",IF(S146,"claimed","open"))</f>
        <v>resolved</v>
      </c>
      <c r="V146" s="11" t="n">
        <f aca="false">ROUND((IF(U146="resolved",I146,IF(U146="claimed",H146,Controls!$B$4))-G146)*24,4)</f>
        <v>70.8</v>
      </c>
      <c r="W146" s="6" t="b">
        <f aca="false">INDEX(Owners!$E$4:$E$21,MATCH(D146,Owners!$A$4:$A$21,0))</f>
        <v>1</v>
      </c>
    </row>
    <row r="147" customFormat="false" ht="15" hidden="false" customHeight="false" outlineLevel="0" collapsed="false">
      <c r="A147" s="4" t="s">
        <v>444</v>
      </c>
      <c r="B147" s="4" t="s">
        <v>107</v>
      </c>
      <c r="C147" s="4" t="s">
        <v>224</v>
      </c>
      <c r="D147" s="4" t="s">
        <v>326</v>
      </c>
      <c r="E147" s="4" t="s">
        <v>202</v>
      </c>
      <c r="F147" s="4" t="s">
        <v>277</v>
      </c>
      <c r="G147" s="5" t="n">
        <v>46242.0972222222</v>
      </c>
      <c r="H147" s="5" t="n">
        <v>46244.15</v>
      </c>
      <c r="I147" s="12"/>
      <c r="N147" s="4" t="n">
        <v>1</v>
      </c>
      <c r="P147" s="12"/>
      <c r="Q147" s="4" t="n">
        <v>0</v>
      </c>
      <c r="R147" s="0" t="str">
        <f aca="false">INDEX(Owners!$B$4:$B$21,MATCH(D147,Owners!$A$4:$A$21,0))</f>
        <v>Customer Data</v>
      </c>
      <c r="S147" s="6" t="b">
        <f aca="false">AND(F147="closed",ISNUMBER(H147),H147&lt;=Controls!$B$4)</f>
        <v>1</v>
      </c>
      <c r="T147" s="6" t="b">
        <f aca="false">AND(ISNUMBER(I147),I147&lt;=Controls!$B$4,J147="rerun",K147=A147,L147=C147,M147=N147,O147=0,I147&gt;=G147,IF(ISNUMBER(P147),I147&gt;=P147,TRUE()))</f>
        <v>0</v>
      </c>
      <c r="U147" s="0" t="str">
        <f aca="false">IF(AND(S147,T147),"resolved",IF(S147,"claimed","open"))</f>
        <v>claimed</v>
      </c>
      <c r="V147" s="11" t="n">
        <f aca="false">ROUND((IF(U147="resolved",I147,IF(U147="claimed",H147,Controls!$B$4))-G147)*24,4)</f>
        <v>49.2667</v>
      </c>
      <c r="W147" s="6" t="b">
        <f aca="false">INDEX(Owners!$E$4:$E$21,MATCH(D147,Owners!$A$4:$A$21,0))</f>
        <v>0</v>
      </c>
    </row>
    <row r="148" customFormat="false" ht="15" hidden="false" customHeight="false" outlineLevel="0" collapsed="false">
      <c r="A148" s="4" t="s">
        <v>445</v>
      </c>
      <c r="B148" s="4" t="s">
        <v>122</v>
      </c>
      <c r="C148" s="4" t="s">
        <v>245</v>
      </c>
      <c r="D148" s="4" t="s">
        <v>350</v>
      </c>
      <c r="E148" s="4" t="s">
        <v>204</v>
      </c>
      <c r="F148" s="4" t="s">
        <v>277</v>
      </c>
      <c r="G148" s="5" t="n">
        <v>46242.1291666667</v>
      </c>
      <c r="H148" s="5" t="n">
        <v>46244.5916666667</v>
      </c>
      <c r="I148" s="5" t="n">
        <v>46244.8006944444</v>
      </c>
      <c r="J148" s="4" t="s">
        <v>284</v>
      </c>
      <c r="K148" s="4" t="s">
        <v>445</v>
      </c>
      <c r="L148" s="4" t="s">
        <v>245</v>
      </c>
      <c r="M148" s="4" t="n">
        <v>1</v>
      </c>
      <c r="N148" s="4" t="n">
        <v>1</v>
      </c>
      <c r="O148" s="4" t="n">
        <v>0</v>
      </c>
      <c r="P148" s="12"/>
      <c r="Q148" s="4" t="n">
        <v>0</v>
      </c>
      <c r="R148" s="0" t="str">
        <f aca="false">INDEX(Owners!$B$4:$B$21,MATCH(D148,Owners!$A$4:$A$21,0))</f>
        <v>Supply Chain</v>
      </c>
      <c r="S148" s="6" t="b">
        <f aca="false">AND(F148="closed",ISNUMBER(H148),H148&lt;=Controls!$B$4)</f>
        <v>1</v>
      </c>
      <c r="T148" s="6" t="b">
        <f aca="false">AND(ISNUMBER(I148),I148&lt;=Controls!$B$4,J148="rerun",K148=A148,L148=C148,M148=N148,O148=0,I148&gt;=G148,IF(ISNUMBER(P148),I148&gt;=P148,TRUE()))</f>
        <v>1</v>
      </c>
      <c r="U148" s="0" t="str">
        <f aca="false">IF(AND(S148,T148),"resolved",IF(S148,"claimed","open"))</f>
        <v>resolved</v>
      </c>
      <c r="V148" s="11" t="n">
        <f aca="false">ROUND((IF(U148="resolved",I148,IF(U148="claimed",H148,Controls!$B$4))-G148)*24,4)</f>
        <v>64.1167</v>
      </c>
      <c r="W148" s="6" t="b">
        <f aca="false">INDEX(Owners!$E$4:$E$21,MATCH(D148,Owners!$A$4:$A$21,0))</f>
        <v>1</v>
      </c>
    </row>
    <row r="149" customFormat="false" ht="15" hidden="false" customHeight="false" outlineLevel="0" collapsed="false">
      <c r="A149" s="4" t="s">
        <v>446</v>
      </c>
      <c r="B149" s="4" t="s">
        <v>109</v>
      </c>
      <c r="C149" s="4" t="s">
        <v>307</v>
      </c>
      <c r="D149" s="4" t="s">
        <v>292</v>
      </c>
      <c r="E149" s="4" t="s">
        <v>202</v>
      </c>
      <c r="F149" s="4" t="s">
        <v>277</v>
      </c>
      <c r="G149" s="5" t="n">
        <v>46242.1555555556</v>
      </c>
      <c r="H149" s="5" t="n">
        <v>46250.2527777778</v>
      </c>
      <c r="I149" s="5" t="n">
        <v>46250.3638888889</v>
      </c>
      <c r="J149" s="4" t="s">
        <v>284</v>
      </c>
      <c r="K149" s="4" t="s">
        <v>446</v>
      </c>
      <c r="L149" s="4" t="s">
        <v>307</v>
      </c>
      <c r="M149" s="4" t="n">
        <v>1</v>
      </c>
      <c r="N149" s="4" t="n">
        <v>1</v>
      </c>
      <c r="O149" s="4" t="n">
        <v>0</v>
      </c>
      <c r="P149" s="12"/>
      <c r="Q149" s="4" t="n">
        <v>0</v>
      </c>
      <c r="R149" s="0" t="str">
        <f aca="false">INDEX(Owners!$B$4:$B$21,MATCH(D149,Owners!$A$4:$A$21,0))</f>
        <v>Support Operations</v>
      </c>
      <c r="S149" s="6" t="b">
        <f aca="false">AND(F149="closed",ISNUMBER(H149),H149&lt;=Controls!$B$4)</f>
        <v>1</v>
      </c>
      <c r="T149" s="6" t="b">
        <f aca="false">AND(ISNUMBER(I149),I149&lt;=Controls!$B$4,J149="rerun",K149=A149,L149=C149,M149=N149,O149=0,I149&gt;=G149,IF(ISNUMBER(P149),I149&gt;=P149,TRUE()))</f>
        <v>1</v>
      </c>
      <c r="U149" s="0" t="str">
        <f aca="false">IF(AND(S149,T149),"resolved",IF(S149,"claimed","open"))</f>
        <v>resolved</v>
      </c>
      <c r="V149" s="11" t="n">
        <f aca="false">ROUND((IF(U149="resolved",I149,IF(U149="claimed",H149,Controls!$B$4))-G149)*24,4)</f>
        <v>197</v>
      </c>
      <c r="W149" s="6" t="b">
        <f aca="false">INDEX(Owners!$E$4:$E$21,MATCH(D149,Owners!$A$4:$A$21,0))</f>
        <v>1</v>
      </c>
    </row>
    <row r="150" customFormat="false" ht="15" hidden="false" customHeight="false" outlineLevel="0" collapsed="false">
      <c r="A150" s="4" t="s">
        <v>447</v>
      </c>
      <c r="B150" s="4" t="s">
        <v>117</v>
      </c>
      <c r="C150" s="4" t="s">
        <v>241</v>
      </c>
      <c r="D150" s="4" t="s">
        <v>288</v>
      </c>
      <c r="E150" s="4" t="s">
        <v>202</v>
      </c>
      <c r="F150" s="4" t="s">
        <v>277</v>
      </c>
      <c r="G150" s="5" t="n">
        <v>46242.2368055556</v>
      </c>
      <c r="H150" s="5" t="n">
        <v>46243.5041666667</v>
      </c>
      <c r="I150" s="5" t="n">
        <v>46243.9756944445</v>
      </c>
      <c r="J150" s="4" t="s">
        <v>284</v>
      </c>
      <c r="K150" s="4" t="s">
        <v>447</v>
      </c>
      <c r="L150" s="4" t="s">
        <v>241</v>
      </c>
      <c r="M150" s="4" t="n">
        <v>1</v>
      </c>
      <c r="N150" s="4" t="n">
        <v>1</v>
      </c>
      <c r="O150" s="4" t="n">
        <v>0</v>
      </c>
      <c r="P150" s="12"/>
      <c r="Q150" s="4" t="n">
        <v>0</v>
      </c>
      <c r="R150" s="0" t="str">
        <f aca="false">INDEX(Owners!$B$4:$B$21,MATCH(D150,Owners!$A$4:$A$21,0))</f>
        <v>Support Operations</v>
      </c>
      <c r="S150" s="6" t="b">
        <f aca="false">AND(F150="closed",ISNUMBER(H150),H150&lt;=Controls!$B$4)</f>
        <v>1</v>
      </c>
      <c r="T150" s="6" t="b">
        <f aca="false">AND(ISNUMBER(I150),I150&lt;=Controls!$B$4,J150="rerun",K150=A150,L150=C150,M150=N150,O150=0,I150&gt;=G150,IF(ISNUMBER(P150),I150&gt;=P150,TRUE()))</f>
        <v>1</v>
      </c>
      <c r="U150" s="0" t="str">
        <f aca="false">IF(AND(S150,T150),"resolved",IF(S150,"claimed","open"))</f>
        <v>resolved</v>
      </c>
      <c r="V150" s="11" t="n">
        <f aca="false">ROUND((IF(U150="resolved",I150,IF(U150="claimed",H150,Controls!$B$4))-G150)*24,4)</f>
        <v>41.7333</v>
      </c>
      <c r="W150" s="6" t="b">
        <f aca="false">INDEX(Owners!$E$4:$E$21,MATCH(D150,Owners!$A$4:$A$21,0))</f>
        <v>1</v>
      </c>
    </row>
    <row r="151" customFormat="false" ht="15" hidden="false" customHeight="false" outlineLevel="0" collapsed="false">
      <c r="A151" s="4" t="s">
        <v>448</v>
      </c>
      <c r="B151" s="4" t="s">
        <v>102</v>
      </c>
      <c r="C151" s="4" t="s">
        <v>213</v>
      </c>
      <c r="D151" s="4" t="s">
        <v>290</v>
      </c>
      <c r="E151" s="4" t="s">
        <v>202</v>
      </c>
      <c r="F151" s="4" t="s">
        <v>277</v>
      </c>
      <c r="G151" s="5" t="n">
        <v>46243.0833333333</v>
      </c>
      <c r="H151" s="5" t="n">
        <v>46245.825</v>
      </c>
      <c r="I151" s="5" t="n">
        <v>46245.8923611111</v>
      </c>
      <c r="J151" s="4" t="s">
        <v>284</v>
      </c>
      <c r="K151" s="4" t="s">
        <v>448</v>
      </c>
      <c r="L151" s="4" t="s">
        <v>213</v>
      </c>
      <c r="M151" s="4" t="n">
        <v>1</v>
      </c>
      <c r="N151" s="4" t="n">
        <v>1</v>
      </c>
      <c r="O151" s="4" t="n">
        <v>0</v>
      </c>
      <c r="P151" s="12"/>
      <c r="Q151" s="4" t="n">
        <v>0</v>
      </c>
      <c r="R151" s="0" t="str">
        <f aca="false">INDEX(Owners!$B$4:$B$21,MATCH(D151,Owners!$A$4:$A$21,0))</f>
        <v>Customer Data</v>
      </c>
      <c r="S151" s="6" t="b">
        <f aca="false">AND(F151="closed",ISNUMBER(H151),H151&lt;=Controls!$B$4)</f>
        <v>1</v>
      </c>
      <c r="T151" s="6" t="b">
        <f aca="false">AND(ISNUMBER(I151),I151&lt;=Controls!$B$4,J151="rerun",K151=A151,L151=C151,M151=N151,O151=0,I151&gt;=G151,IF(ISNUMBER(P151),I151&gt;=P151,TRUE()))</f>
        <v>1</v>
      </c>
      <c r="U151" s="0" t="str">
        <f aca="false">IF(AND(S151,T151),"resolved",IF(S151,"claimed","open"))</f>
        <v>resolved</v>
      </c>
      <c r="V151" s="11" t="n">
        <f aca="false">ROUND((IF(U151="resolved",I151,IF(U151="claimed",H151,Controls!$B$4))-G151)*24,4)</f>
        <v>67.4167</v>
      </c>
      <c r="W151" s="6" t="b">
        <f aca="false">INDEX(Owners!$E$4:$E$21,MATCH(D151,Owners!$A$4:$A$21,0))</f>
        <v>1</v>
      </c>
    </row>
    <row r="152" customFormat="false" ht="15" hidden="false" customHeight="false" outlineLevel="0" collapsed="false">
      <c r="A152" s="4" t="s">
        <v>449</v>
      </c>
      <c r="B152" s="4" t="s">
        <v>107</v>
      </c>
      <c r="C152" s="4" t="s">
        <v>224</v>
      </c>
      <c r="D152" s="4" t="s">
        <v>326</v>
      </c>
      <c r="E152" s="4" t="s">
        <v>202</v>
      </c>
      <c r="F152" s="4" t="s">
        <v>277</v>
      </c>
      <c r="G152" s="5" t="n">
        <v>46243.0972222222</v>
      </c>
      <c r="H152" s="5" t="n">
        <v>46245.2027777778</v>
      </c>
      <c r="I152" s="5" t="n">
        <v>46245.2888888889</v>
      </c>
      <c r="J152" s="4" t="s">
        <v>284</v>
      </c>
      <c r="K152" s="4" t="s">
        <v>449</v>
      </c>
      <c r="L152" s="4" t="s">
        <v>224</v>
      </c>
      <c r="M152" s="4" t="n">
        <v>1</v>
      </c>
      <c r="N152" s="4" t="n">
        <v>1</v>
      </c>
      <c r="O152" s="4" t="n">
        <v>0</v>
      </c>
      <c r="P152" s="12"/>
      <c r="Q152" s="4" t="n">
        <v>0</v>
      </c>
      <c r="R152" s="0" t="str">
        <f aca="false">INDEX(Owners!$B$4:$B$21,MATCH(D152,Owners!$A$4:$A$21,0))</f>
        <v>Customer Data</v>
      </c>
      <c r="S152" s="6" t="b">
        <f aca="false">AND(F152="closed",ISNUMBER(H152),H152&lt;=Controls!$B$4)</f>
        <v>1</v>
      </c>
      <c r="T152" s="6" t="b">
        <f aca="false">AND(ISNUMBER(I152),I152&lt;=Controls!$B$4,J152="rerun",K152=A152,L152=C152,M152=N152,O152=0,I152&gt;=G152,IF(ISNUMBER(P152),I152&gt;=P152,TRUE()))</f>
        <v>1</v>
      </c>
      <c r="U152" s="0" t="str">
        <f aca="false">IF(AND(S152,T152),"resolved",IF(S152,"claimed","open"))</f>
        <v>resolved</v>
      </c>
      <c r="V152" s="11" t="n">
        <f aca="false">ROUND((IF(U152="resolved",I152,IF(U152="claimed",H152,Controls!$B$4))-G152)*24,4)</f>
        <v>52.6</v>
      </c>
      <c r="W152" s="6" t="b">
        <f aca="false">INDEX(Owners!$E$4:$E$21,MATCH(D152,Owners!$A$4:$A$21,0))</f>
        <v>0</v>
      </c>
    </row>
    <row r="153" customFormat="false" ht="15" hidden="false" customHeight="false" outlineLevel="0" collapsed="false">
      <c r="A153" s="4" t="s">
        <v>450</v>
      </c>
      <c r="B153" s="4" t="s">
        <v>124</v>
      </c>
      <c r="C153" s="4" t="s">
        <v>247</v>
      </c>
      <c r="D153" s="4" t="s">
        <v>301</v>
      </c>
      <c r="E153" s="4" t="s">
        <v>202</v>
      </c>
      <c r="F153" s="4" t="s">
        <v>277</v>
      </c>
      <c r="G153" s="5" t="n">
        <v>46243.1513888889</v>
      </c>
      <c r="H153" s="5" t="n">
        <v>46243.8493055556</v>
      </c>
      <c r="I153" s="5" t="n">
        <v>46243.9770833333</v>
      </c>
      <c r="J153" s="4" t="s">
        <v>284</v>
      </c>
      <c r="K153" s="4" t="s">
        <v>450</v>
      </c>
      <c r="L153" s="4" t="s">
        <v>247</v>
      </c>
      <c r="M153" s="4" t="n">
        <v>1</v>
      </c>
      <c r="N153" s="4" t="n">
        <v>1</v>
      </c>
      <c r="O153" s="4" t="n">
        <v>0</v>
      </c>
      <c r="P153" s="12"/>
      <c r="Q153" s="4" t="n">
        <v>0</v>
      </c>
      <c r="R153" s="0" t="str">
        <f aca="false">INDEX(Owners!$B$4:$B$21,MATCH(D153,Owners!$A$4:$A$21,0))</f>
        <v>Data Platform</v>
      </c>
      <c r="S153" s="6" t="b">
        <f aca="false">AND(F153="closed",ISNUMBER(H153),H153&lt;=Controls!$B$4)</f>
        <v>1</v>
      </c>
      <c r="T153" s="6" t="b">
        <f aca="false">AND(ISNUMBER(I153),I153&lt;=Controls!$B$4,J153="rerun",K153=A153,L153=C153,M153=N153,O153=0,I153&gt;=G153,IF(ISNUMBER(P153),I153&gt;=P153,TRUE()))</f>
        <v>1</v>
      </c>
      <c r="U153" s="0" t="str">
        <f aca="false">IF(AND(S153,T153),"resolved",IF(S153,"claimed","open"))</f>
        <v>resolved</v>
      </c>
      <c r="V153" s="11" t="n">
        <f aca="false">ROUND((IF(U153="resolved",I153,IF(U153="claimed",H153,Controls!$B$4))-G153)*24,4)</f>
        <v>19.8167</v>
      </c>
      <c r="W153" s="6" t="b">
        <f aca="false">INDEX(Owners!$E$4:$E$21,MATCH(D153,Owners!$A$4:$A$21,0))</f>
        <v>1</v>
      </c>
    </row>
    <row r="154" customFormat="false" ht="15" hidden="false" customHeight="false" outlineLevel="0" collapsed="false">
      <c r="A154" s="4" t="s">
        <v>451</v>
      </c>
      <c r="B154" s="4" t="s">
        <v>119</v>
      </c>
      <c r="C154" s="4" t="s">
        <v>243</v>
      </c>
      <c r="D154" s="4" t="s">
        <v>292</v>
      </c>
      <c r="E154" s="4" t="s">
        <v>202</v>
      </c>
      <c r="F154" s="4" t="s">
        <v>277</v>
      </c>
      <c r="G154" s="5" t="n">
        <v>46243.1604166667</v>
      </c>
      <c r="H154" s="5" t="n">
        <v>46244.4597222222</v>
      </c>
      <c r="I154" s="5" t="n">
        <v>46244.7979166667</v>
      </c>
      <c r="J154" s="4" t="s">
        <v>284</v>
      </c>
      <c r="K154" s="4" t="s">
        <v>451</v>
      </c>
      <c r="L154" s="4" t="s">
        <v>243</v>
      </c>
      <c r="M154" s="4" t="n">
        <v>1</v>
      </c>
      <c r="N154" s="4" t="n">
        <v>1</v>
      </c>
      <c r="O154" s="4" t="n">
        <v>0</v>
      </c>
      <c r="P154" s="12"/>
      <c r="Q154" s="4" t="n">
        <v>0</v>
      </c>
      <c r="R154" s="0" t="str">
        <f aca="false">INDEX(Owners!$B$4:$B$21,MATCH(D154,Owners!$A$4:$A$21,0))</f>
        <v>Support Operations</v>
      </c>
      <c r="S154" s="6" t="b">
        <f aca="false">AND(F154="closed",ISNUMBER(H154),H154&lt;=Controls!$B$4)</f>
        <v>1</v>
      </c>
      <c r="T154" s="6" t="b">
        <f aca="false">AND(ISNUMBER(I154),I154&lt;=Controls!$B$4,J154="rerun",K154=A154,L154=C154,M154=N154,O154=0,I154&gt;=G154,IF(ISNUMBER(P154),I154&gt;=P154,TRUE()))</f>
        <v>1</v>
      </c>
      <c r="U154" s="0" t="str">
        <f aca="false">IF(AND(S154,T154),"resolved",IF(S154,"claimed","open"))</f>
        <v>resolved</v>
      </c>
      <c r="V154" s="11" t="n">
        <f aca="false">ROUND((IF(U154="resolved",I154,IF(U154="claimed",H154,Controls!$B$4))-G154)*24,4)</f>
        <v>39.3</v>
      </c>
      <c r="W154" s="6" t="b">
        <f aca="false">INDEX(Owners!$E$4:$E$21,MATCH(D154,Owners!$A$4:$A$21,0))</f>
        <v>1</v>
      </c>
    </row>
    <row r="155" customFormat="false" ht="15" hidden="false" customHeight="false" outlineLevel="0" collapsed="false">
      <c r="A155" s="4" t="s">
        <v>452</v>
      </c>
      <c r="B155" s="4" t="s">
        <v>111</v>
      </c>
      <c r="C155" s="4" t="s">
        <v>229</v>
      </c>
      <c r="D155" s="4" t="s">
        <v>296</v>
      </c>
      <c r="E155" s="4" t="s">
        <v>202</v>
      </c>
      <c r="F155" s="4" t="s">
        <v>277</v>
      </c>
      <c r="G155" s="5" t="n">
        <v>46243.1645833333</v>
      </c>
      <c r="H155" s="5" t="n">
        <v>46244.7090277778</v>
      </c>
      <c r="I155" s="5" t="n">
        <v>46244.7868055556</v>
      </c>
      <c r="J155" s="4" t="s">
        <v>284</v>
      </c>
      <c r="K155" s="4" t="s">
        <v>452</v>
      </c>
      <c r="L155" s="4" t="s">
        <v>229</v>
      </c>
      <c r="M155" s="4" t="n">
        <v>1</v>
      </c>
      <c r="N155" s="4" t="n">
        <v>1</v>
      </c>
      <c r="O155" s="4" t="n">
        <v>0</v>
      </c>
      <c r="P155" s="12"/>
      <c r="Q155" s="4" t="n">
        <v>0</v>
      </c>
      <c r="R155" s="0" t="str">
        <f aca="false">INDEX(Owners!$B$4:$B$21,MATCH(D155,Owners!$A$4:$A$21,0))</f>
        <v>Data Platform</v>
      </c>
      <c r="S155" s="6" t="b">
        <f aca="false">AND(F155="closed",ISNUMBER(H155),H155&lt;=Controls!$B$4)</f>
        <v>1</v>
      </c>
      <c r="T155" s="6" t="b">
        <f aca="false">AND(ISNUMBER(I155),I155&lt;=Controls!$B$4,J155="rerun",K155=A155,L155=C155,M155=N155,O155=0,I155&gt;=G155,IF(ISNUMBER(P155),I155&gt;=P155,TRUE()))</f>
        <v>1</v>
      </c>
      <c r="U155" s="0" t="str">
        <f aca="false">IF(AND(S155,T155),"resolved",IF(S155,"claimed","open"))</f>
        <v>resolved</v>
      </c>
      <c r="V155" s="11" t="n">
        <f aca="false">ROUND((IF(U155="resolved",I155,IF(U155="claimed",H155,Controls!$B$4))-G155)*24,4)</f>
        <v>38.9333</v>
      </c>
      <c r="W155" s="6" t="b">
        <f aca="false">INDEX(Owners!$E$4:$E$21,MATCH(D155,Owners!$A$4:$A$21,0))</f>
        <v>1</v>
      </c>
    </row>
    <row r="156" customFormat="false" ht="15" hidden="false" customHeight="false" outlineLevel="0" collapsed="false">
      <c r="A156" s="4" t="s">
        <v>453</v>
      </c>
      <c r="B156" s="4" t="s">
        <v>113</v>
      </c>
      <c r="C156" s="4" t="s">
        <v>232</v>
      </c>
      <c r="D156" s="4" t="s">
        <v>296</v>
      </c>
      <c r="E156" s="4" t="s">
        <v>202</v>
      </c>
      <c r="F156" s="4" t="s">
        <v>277</v>
      </c>
      <c r="G156" s="5" t="n">
        <v>46243.1826388889</v>
      </c>
      <c r="H156" s="5" t="n">
        <v>46244.5222222222</v>
      </c>
      <c r="I156" s="12"/>
      <c r="N156" s="4" t="n">
        <v>1</v>
      </c>
      <c r="P156" s="12"/>
      <c r="Q156" s="4" t="n">
        <v>0</v>
      </c>
      <c r="R156" s="0" t="str">
        <f aca="false">INDEX(Owners!$B$4:$B$21,MATCH(D156,Owners!$A$4:$A$21,0))</f>
        <v>Data Platform</v>
      </c>
      <c r="S156" s="6" t="b">
        <f aca="false">AND(F156="closed",ISNUMBER(H156),H156&lt;=Controls!$B$4)</f>
        <v>1</v>
      </c>
      <c r="T156" s="6" t="b">
        <f aca="false">AND(ISNUMBER(I156),I156&lt;=Controls!$B$4,J156="rerun",K156=A156,L156=C156,M156=N156,O156=0,I156&gt;=G156,IF(ISNUMBER(P156),I156&gt;=P156,TRUE()))</f>
        <v>0</v>
      </c>
      <c r="U156" s="0" t="str">
        <f aca="false">IF(AND(S156,T156),"resolved",IF(S156,"claimed","open"))</f>
        <v>claimed</v>
      </c>
      <c r="V156" s="11" t="n">
        <f aca="false">ROUND((IF(U156="resolved",I156,IF(U156="claimed",H156,Controls!$B$4))-G156)*24,4)</f>
        <v>32.15</v>
      </c>
      <c r="W156" s="6" t="b">
        <f aca="false">INDEX(Owners!$E$4:$E$21,MATCH(D156,Owners!$A$4:$A$21,0))</f>
        <v>1</v>
      </c>
    </row>
    <row r="157" customFormat="false" ht="15" hidden="false" customHeight="false" outlineLevel="0" collapsed="false">
      <c r="A157" s="4" t="s">
        <v>454</v>
      </c>
      <c r="B157" s="4" t="s">
        <v>115</v>
      </c>
      <c r="C157" s="4" t="s">
        <v>238</v>
      </c>
      <c r="D157" s="4" t="s">
        <v>301</v>
      </c>
      <c r="E157" s="4" t="s">
        <v>202</v>
      </c>
      <c r="F157" s="4" t="s">
        <v>277</v>
      </c>
      <c r="G157" s="5" t="n">
        <v>46243.9930555556</v>
      </c>
      <c r="H157" s="5" t="n">
        <v>46244.6388888889</v>
      </c>
      <c r="I157" s="5" t="n">
        <v>46244.6777777778</v>
      </c>
      <c r="J157" s="4" t="s">
        <v>284</v>
      </c>
      <c r="K157" s="4" t="s">
        <v>454</v>
      </c>
      <c r="L157" s="4" t="s">
        <v>238</v>
      </c>
      <c r="M157" s="4" t="n">
        <v>1</v>
      </c>
      <c r="N157" s="4" t="n">
        <v>1</v>
      </c>
      <c r="O157" s="4" t="n">
        <v>0</v>
      </c>
      <c r="P157" s="12"/>
      <c r="Q157" s="4" t="n">
        <v>0</v>
      </c>
      <c r="R157" s="0" t="str">
        <f aca="false">INDEX(Owners!$B$4:$B$21,MATCH(D157,Owners!$A$4:$A$21,0))</f>
        <v>Data Platform</v>
      </c>
      <c r="S157" s="6" t="b">
        <f aca="false">AND(F157="closed",ISNUMBER(H157),H157&lt;=Controls!$B$4)</f>
        <v>1</v>
      </c>
      <c r="T157" s="6" t="b">
        <f aca="false">AND(ISNUMBER(I157),I157&lt;=Controls!$B$4,J157="rerun",K157=A157,L157=C157,M157=N157,O157=0,I157&gt;=G157,IF(ISNUMBER(P157),I157&gt;=P157,TRUE()))</f>
        <v>1</v>
      </c>
      <c r="U157" s="0" t="str">
        <f aca="false">IF(AND(S157,T157),"resolved",IF(S157,"claimed","open"))</f>
        <v>resolved</v>
      </c>
      <c r="V157" s="11" t="n">
        <f aca="false">ROUND((IF(U157="resolved",I157,IF(U157="claimed",H157,Controls!$B$4))-G157)*24,4)</f>
        <v>16.4333</v>
      </c>
      <c r="W157" s="6" t="b">
        <f aca="false">INDEX(Owners!$E$4:$E$21,MATCH(D157,Owners!$A$4:$A$21,0))</f>
        <v>1</v>
      </c>
    </row>
    <row r="158" customFormat="false" ht="15" hidden="false" customHeight="false" outlineLevel="0" collapsed="false">
      <c r="A158" s="4" t="s">
        <v>455</v>
      </c>
      <c r="B158" s="4" t="s">
        <v>124</v>
      </c>
      <c r="C158" s="4" t="s">
        <v>248</v>
      </c>
      <c r="D158" s="4" t="s">
        <v>301</v>
      </c>
      <c r="E158" s="4" t="s">
        <v>202</v>
      </c>
      <c r="F158" s="4" t="s">
        <v>277</v>
      </c>
      <c r="G158" s="5" t="n">
        <v>46244.1423611111</v>
      </c>
      <c r="H158" s="5" t="n">
        <v>46247.1118055556</v>
      </c>
      <c r="I158" s="12"/>
      <c r="N158" s="4" t="n">
        <v>1</v>
      </c>
      <c r="P158" s="12"/>
      <c r="Q158" s="4" t="n">
        <v>0</v>
      </c>
      <c r="R158" s="0" t="str">
        <f aca="false">INDEX(Owners!$B$4:$B$21,MATCH(D158,Owners!$A$4:$A$21,0))</f>
        <v>Data Platform</v>
      </c>
      <c r="S158" s="6" t="b">
        <f aca="false">AND(F158="closed",ISNUMBER(H158),H158&lt;=Controls!$B$4)</f>
        <v>1</v>
      </c>
      <c r="T158" s="6" t="b">
        <f aca="false">AND(ISNUMBER(I158),I158&lt;=Controls!$B$4,J158="rerun",K158=A158,L158=C158,M158=N158,O158=0,I158&gt;=G158,IF(ISNUMBER(P158),I158&gt;=P158,TRUE()))</f>
        <v>0</v>
      </c>
      <c r="U158" s="0" t="str">
        <f aca="false">IF(AND(S158,T158),"resolved",IF(S158,"claimed","open"))</f>
        <v>claimed</v>
      </c>
      <c r="V158" s="11" t="n">
        <f aca="false">ROUND((IF(U158="resolved",I158,IF(U158="claimed",H158,Controls!$B$4))-G158)*24,4)</f>
        <v>71.2667</v>
      </c>
      <c r="W158" s="6" t="b">
        <f aca="false">INDEX(Owners!$E$4:$E$21,MATCH(D158,Owners!$A$4:$A$21,0))</f>
        <v>1</v>
      </c>
    </row>
    <row r="159" customFormat="false" ht="15" hidden="false" customHeight="false" outlineLevel="0" collapsed="false">
      <c r="A159" s="4" t="s">
        <v>456</v>
      </c>
      <c r="B159" s="4" t="s">
        <v>131</v>
      </c>
      <c r="C159" s="4" t="s">
        <v>259</v>
      </c>
      <c r="D159" s="4" t="s">
        <v>283</v>
      </c>
      <c r="E159" s="4" t="s">
        <v>202</v>
      </c>
      <c r="F159" s="4" t="s">
        <v>277</v>
      </c>
      <c r="G159" s="5" t="n">
        <v>46244.2013888889</v>
      </c>
      <c r="H159" s="5" t="n">
        <v>46245.0895833333</v>
      </c>
      <c r="I159" s="5" t="n">
        <v>46245.2527777778</v>
      </c>
      <c r="J159" s="4" t="s">
        <v>284</v>
      </c>
      <c r="K159" s="4" t="s">
        <v>456</v>
      </c>
      <c r="L159" s="4" t="s">
        <v>259</v>
      </c>
      <c r="M159" s="4" t="n">
        <v>1</v>
      </c>
      <c r="N159" s="4" t="n">
        <v>1</v>
      </c>
      <c r="O159" s="4" t="n">
        <v>0</v>
      </c>
      <c r="P159" s="12"/>
      <c r="Q159" s="4" t="n">
        <v>0</v>
      </c>
      <c r="R159" s="0" t="str">
        <f aca="false">INDEX(Owners!$B$4:$B$21,MATCH(D159,Owners!$A$4:$A$21,0))</f>
        <v>Data Platform</v>
      </c>
      <c r="S159" s="6" t="b">
        <f aca="false">AND(F159="closed",ISNUMBER(H159),H159&lt;=Controls!$B$4)</f>
        <v>1</v>
      </c>
      <c r="T159" s="6" t="b">
        <f aca="false">AND(ISNUMBER(I159),I159&lt;=Controls!$B$4,J159="rerun",K159=A159,L159=C159,M159=N159,O159=0,I159&gt;=G159,IF(ISNUMBER(P159),I159&gt;=P159,TRUE()))</f>
        <v>1</v>
      </c>
      <c r="U159" s="0" t="str">
        <f aca="false">IF(AND(S159,T159),"resolved",IF(S159,"claimed","open"))</f>
        <v>resolved</v>
      </c>
      <c r="V159" s="11" t="n">
        <f aca="false">ROUND((IF(U159="resolved",I159,IF(U159="claimed",H159,Controls!$B$4))-G159)*24,4)</f>
        <v>25.2333</v>
      </c>
      <c r="W159" s="6" t="b">
        <f aca="false">INDEX(Owners!$E$4:$E$21,MATCH(D159,Owners!$A$4:$A$21,0))</f>
        <v>1</v>
      </c>
    </row>
    <row r="160" customFormat="false" ht="15" hidden="false" customHeight="false" outlineLevel="0" collapsed="false">
      <c r="A160" s="4" t="s">
        <v>457</v>
      </c>
      <c r="B160" s="4" t="s">
        <v>117</v>
      </c>
      <c r="C160" s="4" t="s">
        <v>240</v>
      </c>
      <c r="D160" s="4" t="s">
        <v>288</v>
      </c>
      <c r="E160" s="4" t="s">
        <v>204</v>
      </c>
      <c r="F160" s="4" t="s">
        <v>277</v>
      </c>
      <c r="G160" s="5" t="n">
        <v>46244.2458333333</v>
      </c>
      <c r="H160" s="5" t="n">
        <v>46246.6138888889</v>
      </c>
      <c r="I160" s="5" t="n">
        <v>46246.9840277778</v>
      </c>
      <c r="J160" s="4" t="s">
        <v>284</v>
      </c>
      <c r="K160" s="4" t="s">
        <v>457</v>
      </c>
      <c r="L160" s="4" t="s">
        <v>240</v>
      </c>
      <c r="M160" s="4" t="n">
        <v>1</v>
      </c>
      <c r="N160" s="4" t="n">
        <v>1</v>
      </c>
      <c r="O160" s="4" t="n">
        <v>0</v>
      </c>
      <c r="P160" s="12"/>
      <c r="Q160" s="4" t="n">
        <v>0</v>
      </c>
      <c r="R160" s="0" t="str">
        <f aca="false">INDEX(Owners!$B$4:$B$21,MATCH(D160,Owners!$A$4:$A$21,0))</f>
        <v>Support Operations</v>
      </c>
      <c r="S160" s="6" t="b">
        <f aca="false">AND(F160="closed",ISNUMBER(H160),H160&lt;=Controls!$B$4)</f>
        <v>1</v>
      </c>
      <c r="T160" s="6" t="b">
        <f aca="false">AND(ISNUMBER(I160),I160&lt;=Controls!$B$4,J160="rerun",K160=A160,L160=C160,M160=N160,O160=0,I160&gt;=G160,IF(ISNUMBER(P160),I160&gt;=P160,TRUE()))</f>
        <v>1</v>
      </c>
      <c r="U160" s="0" t="str">
        <f aca="false">IF(AND(S160,T160),"resolved",IF(S160,"claimed","open"))</f>
        <v>resolved</v>
      </c>
      <c r="V160" s="11" t="n">
        <f aca="false">ROUND((IF(U160="resolved",I160,IF(U160="claimed",H160,Controls!$B$4))-G160)*24,4)</f>
        <v>65.7167</v>
      </c>
      <c r="W160" s="6" t="b">
        <f aca="false">INDEX(Owners!$E$4:$E$21,MATCH(D160,Owners!$A$4:$A$21,0))</f>
        <v>1</v>
      </c>
    </row>
    <row r="161" customFormat="false" ht="15" hidden="false" customHeight="false" outlineLevel="0" collapsed="false">
      <c r="A161" s="4" t="s">
        <v>458</v>
      </c>
      <c r="B161" s="4" t="s">
        <v>118</v>
      </c>
      <c r="C161" s="4" t="s">
        <v>364</v>
      </c>
      <c r="D161" s="4" t="s">
        <v>296</v>
      </c>
      <c r="E161" s="4" t="s">
        <v>202</v>
      </c>
      <c r="F161" s="4" t="s">
        <v>277</v>
      </c>
      <c r="G161" s="5" t="n">
        <v>46244.9930555556</v>
      </c>
      <c r="H161" s="5" t="n">
        <v>46245.5847222222</v>
      </c>
      <c r="I161" s="5" t="n">
        <v>46245.6104166667</v>
      </c>
      <c r="J161" s="4" t="s">
        <v>284</v>
      </c>
      <c r="K161" s="4" t="s">
        <v>458</v>
      </c>
      <c r="L161" s="4" t="s">
        <v>364</v>
      </c>
      <c r="M161" s="4" t="n">
        <v>1</v>
      </c>
      <c r="N161" s="4" t="n">
        <v>1</v>
      </c>
      <c r="O161" s="4" t="n">
        <v>0</v>
      </c>
      <c r="P161" s="12"/>
      <c r="Q161" s="4" t="n">
        <v>0</v>
      </c>
      <c r="R161" s="0" t="str">
        <f aca="false">INDEX(Owners!$B$4:$B$21,MATCH(D161,Owners!$A$4:$A$21,0))</f>
        <v>Data Platform</v>
      </c>
      <c r="S161" s="6" t="b">
        <f aca="false">AND(F161="closed",ISNUMBER(H161),H161&lt;=Controls!$B$4)</f>
        <v>1</v>
      </c>
      <c r="T161" s="6" t="b">
        <f aca="false">AND(ISNUMBER(I161),I161&lt;=Controls!$B$4,J161="rerun",K161=A161,L161=C161,M161=N161,O161=0,I161&gt;=G161,IF(ISNUMBER(P161),I161&gt;=P161,TRUE()))</f>
        <v>1</v>
      </c>
      <c r="U161" s="0" t="str">
        <f aca="false">IF(AND(S161,T161),"resolved",IF(S161,"claimed","open"))</f>
        <v>resolved</v>
      </c>
      <c r="V161" s="11" t="n">
        <f aca="false">ROUND((IF(U161="resolved",I161,IF(U161="claimed",H161,Controls!$B$4))-G161)*24,4)</f>
        <v>14.8167</v>
      </c>
      <c r="W161" s="6" t="b">
        <f aca="false">INDEX(Owners!$E$4:$E$21,MATCH(D161,Owners!$A$4:$A$21,0))</f>
        <v>1</v>
      </c>
    </row>
    <row r="162" customFormat="false" ht="15" hidden="false" customHeight="false" outlineLevel="0" collapsed="false">
      <c r="A162" s="4" t="s">
        <v>459</v>
      </c>
      <c r="B162" s="4" t="s">
        <v>102</v>
      </c>
      <c r="C162" s="4" t="s">
        <v>213</v>
      </c>
      <c r="D162" s="4" t="s">
        <v>290</v>
      </c>
      <c r="E162" s="4" t="s">
        <v>202</v>
      </c>
      <c r="F162" s="4" t="s">
        <v>277</v>
      </c>
      <c r="G162" s="5" t="n">
        <v>46245.0833333333</v>
      </c>
      <c r="H162" s="5" t="n">
        <v>46252.2416666667</v>
      </c>
      <c r="I162" s="5" t="n">
        <v>46252.3055555556</v>
      </c>
      <c r="J162" s="4" t="s">
        <v>284</v>
      </c>
      <c r="K162" s="4" t="s">
        <v>459</v>
      </c>
      <c r="L162" s="4" t="s">
        <v>213</v>
      </c>
      <c r="M162" s="4" t="n">
        <v>1</v>
      </c>
      <c r="N162" s="4" t="n">
        <v>1</v>
      </c>
      <c r="O162" s="4" t="n">
        <v>0</v>
      </c>
      <c r="P162" s="12"/>
      <c r="Q162" s="4" t="n">
        <v>0</v>
      </c>
      <c r="R162" s="0" t="str">
        <f aca="false">INDEX(Owners!$B$4:$B$21,MATCH(D162,Owners!$A$4:$A$21,0))</f>
        <v>Customer Data</v>
      </c>
      <c r="S162" s="6" t="b">
        <f aca="false">AND(F162="closed",ISNUMBER(H162),H162&lt;=Controls!$B$4)</f>
        <v>1</v>
      </c>
      <c r="T162" s="6" t="b">
        <f aca="false">AND(ISNUMBER(I162),I162&lt;=Controls!$B$4,J162="rerun",K162=A162,L162=C162,M162=N162,O162=0,I162&gt;=G162,IF(ISNUMBER(P162),I162&gt;=P162,TRUE()))</f>
        <v>1</v>
      </c>
      <c r="U162" s="0" t="str">
        <f aca="false">IF(AND(S162,T162),"resolved",IF(S162,"claimed","open"))</f>
        <v>resolved</v>
      </c>
      <c r="V162" s="11" t="n">
        <f aca="false">ROUND((IF(U162="resolved",I162,IF(U162="claimed",H162,Controls!$B$4))-G162)*24,4)</f>
        <v>173.3333</v>
      </c>
      <c r="W162" s="6" t="b">
        <f aca="false">INDEX(Owners!$E$4:$E$21,MATCH(D162,Owners!$A$4:$A$21,0))</f>
        <v>1</v>
      </c>
    </row>
    <row r="163" customFormat="false" ht="15" hidden="false" customHeight="false" outlineLevel="0" collapsed="false">
      <c r="A163" s="4" t="s">
        <v>460</v>
      </c>
      <c r="B163" s="4" t="s">
        <v>128</v>
      </c>
      <c r="C163" s="4" t="s">
        <v>304</v>
      </c>
      <c r="D163" s="4" t="s">
        <v>283</v>
      </c>
      <c r="E163" s="4" t="s">
        <v>204</v>
      </c>
      <c r="F163" s="4" t="s">
        <v>277</v>
      </c>
      <c r="G163" s="5" t="n">
        <v>46245.1020833333</v>
      </c>
      <c r="H163" s="5" t="n">
        <v>46245.9097222222</v>
      </c>
      <c r="I163" s="5" t="n">
        <v>46246.0069444445</v>
      </c>
      <c r="J163" s="4" t="s">
        <v>284</v>
      </c>
      <c r="K163" s="4" t="s">
        <v>460</v>
      </c>
      <c r="L163" s="4" t="s">
        <v>304</v>
      </c>
      <c r="M163" s="4" t="n">
        <v>1</v>
      </c>
      <c r="N163" s="4" t="n">
        <v>1</v>
      </c>
      <c r="O163" s="4" t="n">
        <v>0</v>
      </c>
      <c r="P163" s="12"/>
      <c r="Q163" s="4" t="n">
        <v>0</v>
      </c>
      <c r="R163" s="0" t="str">
        <f aca="false">INDEX(Owners!$B$4:$B$21,MATCH(D163,Owners!$A$4:$A$21,0))</f>
        <v>Data Platform</v>
      </c>
      <c r="S163" s="6" t="b">
        <f aca="false">AND(F163="closed",ISNUMBER(H163),H163&lt;=Controls!$B$4)</f>
        <v>1</v>
      </c>
      <c r="T163" s="6" t="b">
        <f aca="false">AND(ISNUMBER(I163),I163&lt;=Controls!$B$4,J163="rerun",K163=A163,L163=C163,M163=N163,O163=0,I163&gt;=G163,IF(ISNUMBER(P163),I163&gt;=P163,TRUE()))</f>
        <v>1</v>
      </c>
      <c r="U163" s="0" t="str">
        <f aca="false">IF(AND(S163,T163),"resolved",IF(S163,"claimed","open"))</f>
        <v>resolved</v>
      </c>
      <c r="V163" s="11" t="n">
        <f aca="false">ROUND((IF(U163="resolved",I163,IF(U163="claimed",H163,Controls!$B$4))-G163)*24,4)</f>
        <v>21.7167</v>
      </c>
      <c r="W163" s="6" t="b">
        <f aca="false">INDEX(Owners!$E$4:$E$21,MATCH(D163,Owners!$A$4:$A$21,0))</f>
        <v>1</v>
      </c>
    </row>
    <row r="164" customFormat="false" ht="15" hidden="false" customHeight="false" outlineLevel="0" collapsed="false">
      <c r="A164" s="4" t="s">
        <v>461</v>
      </c>
      <c r="B164" s="4" t="s">
        <v>124</v>
      </c>
      <c r="C164" s="4" t="s">
        <v>248</v>
      </c>
      <c r="D164" s="4" t="s">
        <v>301</v>
      </c>
      <c r="E164" s="4" t="s">
        <v>202</v>
      </c>
      <c r="F164" s="4" t="s">
        <v>277</v>
      </c>
      <c r="G164" s="5" t="n">
        <v>46245.1423611111</v>
      </c>
      <c r="H164" s="5" t="n">
        <v>46245.7229166667</v>
      </c>
      <c r="I164" s="5" t="n">
        <v>46245.9152777778</v>
      </c>
      <c r="J164" s="4" t="s">
        <v>284</v>
      </c>
      <c r="K164" s="4" t="s">
        <v>461</v>
      </c>
      <c r="L164" s="4" t="s">
        <v>248</v>
      </c>
      <c r="M164" s="4" t="n">
        <v>1</v>
      </c>
      <c r="N164" s="4" t="n">
        <v>1</v>
      </c>
      <c r="O164" s="4" t="n">
        <v>0</v>
      </c>
      <c r="P164" s="12"/>
      <c r="Q164" s="4" t="n">
        <v>0</v>
      </c>
      <c r="R164" s="0" t="str">
        <f aca="false">INDEX(Owners!$B$4:$B$21,MATCH(D164,Owners!$A$4:$A$21,0))</f>
        <v>Data Platform</v>
      </c>
      <c r="S164" s="6" t="b">
        <f aca="false">AND(F164="closed",ISNUMBER(H164),H164&lt;=Controls!$B$4)</f>
        <v>1</v>
      </c>
      <c r="T164" s="6" t="b">
        <f aca="false">AND(ISNUMBER(I164),I164&lt;=Controls!$B$4,J164="rerun",K164=A164,L164=C164,M164=N164,O164=0,I164&gt;=G164,IF(ISNUMBER(P164),I164&gt;=P164,TRUE()))</f>
        <v>1</v>
      </c>
      <c r="U164" s="0" t="str">
        <f aca="false">IF(AND(S164,T164),"resolved",IF(S164,"claimed","open"))</f>
        <v>resolved</v>
      </c>
      <c r="V164" s="11" t="n">
        <f aca="false">ROUND((IF(U164="resolved",I164,IF(U164="claimed",H164,Controls!$B$4))-G164)*24,4)</f>
        <v>18.55</v>
      </c>
      <c r="W164" s="6" t="b">
        <f aca="false">INDEX(Owners!$E$4:$E$21,MATCH(D164,Owners!$A$4:$A$21,0))</f>
        <v>1</v>
      </c>
    </row>
    <row r="165" customFormat="false" ht="15" hidden="false" customHeight="false" outlineLevel="0" collapsed="false">
      <c r="A165" s="4" t="s">
        <v>462</v>
      </c>
      <c r="B165" s="4" t="s">
        <v>92</v>
      </c>
      <c r="C165" s="4" t="s">
        <v>201</v>
      </c>
      <c r="D165" s="4" t="s">
        <v>330</v>
      </c>
      <c r="E165" s="4" t="s">
        <v>202</v>
      </c>
      <c r="F165" s="4" t="s">
        <v>277</v>
      </c>
      <c r="G165" s="5" t="n">
        <v>46245.1465277778</v>
      </c>
      <c r="H165" s="5" t="n">
        <v>46249.4444444445</v>
      </c>
      <c r="I165" s="5" t="n">
        <v>46249.6347222222</v>
      </c>
      <c r="J165" s="4" t="s">
        <v>284</v>
      </c>
      <c r="K165" s="4" t="s">
        <v>462</v>
      </c>
      <c r="L165" s="4" t="s">
        <v>201</v>
      </c>
      <c r="M165" s="4" t="n">
        <v>1</v>
      </c>
      <c r="N165" s="4" t="n">
        <v>1</v>
      </c>
      <c r="O165" s="4" t="n">
        <v>0</v>
      </c>
      <c r="P165" s="12"/>
      <c r="Q165" s="4" t="n">
        <v>0</v>
      </c>
      <c r="R165" s="0" t="str">
        <f aca="false">INDEX(Owners!$B$4:$B$21,MATCH(D165,Owners!$A$4:$A$21,0))</f>
        <v>Supply Chain</v>
      </c>
      <c r="S165" s="6" t="b">
        <f aca="false">AND(F165="closed",ISNUMBER(H165),H165&lt;=Controls!$B$4)</f>
        <v>1</v>
      </c>
      <c r="T165" s="6" t="b">
        <f aca="false">AND(ISNUMBER(I165),I165&lt;=Controls!$B$4,J165="rerun",K165=A165,L165=C165,M165=N165,O165=0,I165&gt;=G165,IF(ISNUMBER(P165),I165&gt;=P165,TRUE()))</f>
        <v>1</v>
      </c>
      <c r="U165" s="0" t="str">
        <f aca="false">IF(AND(S165,T165),"resolved",IF(S165,"claimed","open"))</f>
        <v>resolved</v>
      </c>
      <c r="V165" s="11" t="n">
        <f aca="false">ROUND((IF(U165="resolved",I165,IF(U165="claimed",H165,Controls!$B$4))-G165)*24,4)</f>
        <v>107.7167</v>
      </c>
      <c r="W165" s="6" t="b">
        <f aca="false">INDEX(Owners!$E$4:$E$21,MATCH(D165,Owners!$A$4:$A$21,0))</f>
        <v>1</v>
      </c>
    </row>
    <row r="166" customFormat="false" ht="15" hidden="false" customHeight="false" outlineLevel="0" collapsed="false">
      <c r="A166" s="4" t="s">
        <v>463</v>
      </c>
      <c r="B166" s="4" t="s">
        <v>125</v>
      </c>
      <c r="C166" s="4" t="s">
        <v>250</v>
      </c>
      <c r="D166" s="4" t="s">
        <v>334</v>
      </c>
      <c r="E166" s="4" t="s">
        <v>202</v>
      </c>
      <c r="F166" s="4" t="s">
        <v>277</v>
      </c>
      <c r="G166" s="5" t="n">
        <v>46245.1875</v>
      </c>
      <c r="H166" s="5" t="n">
        <v>46246.4611111111</v>
      </c>
      <c r="I166" s="5" t="n">
        <v>46246.9729166667</v>
      </c>
      <c r="J166" s="4" t="s">
        <v>284</v>
      </c>
      <c r="K166" s="4" t="s">
        <v>463</v>
      </c>
      <c r="L166" s="4" t="s">
        <v>250</v>
      </c>
      <c r="M166" s="4" t="n">
        <v>1</v>
      </c>
      <c r="N166" s="4" t="n">
        <v>1</v>
      </c>
      <c r="O166" s="4" t="n">
        <v>0</v>
      </c>
      <c r="P166" s="12"/>
      <c r="Q166" s="4" t="n">
        <v>0</v>
      </c>
      <c r="R166" s="0" t="str">
        <f aca="false">INDEX(Owners!$B$4:$B$21,MATCH(D166,Owners!$A$4:$A$21,0))</f>
        <v>Supply Chain</v>
      </c>
      <c r="S166" s="6" t="b">
        <f aca="false">AND(F166="closed",ISNUMBER(H166),H166&lt;=Controls!$B$4)</f>
        <v>1</v>
      </c>
      <c r="T166" s="6" t="b">
        <f aca="false">AND(ISNUMBER(I166),I166&lt;=Controls!$B$4,J166="rerun",K166=A166,L166=C166,M166=N166,O166=0,I166&gt;=G166,IF(ISNUMBER(P166),I166&gt;=P166,TRUE()))</f>
        <v>1</v>
      </c>
      <c r="U166" s="0" t="str">
        <f aca="false">IF(AND(S166,T166),"resolved",IF(S166,"claimed","open"))</f>
        <v>resolved</v>
      </c>
      <c r="V166" s="11" t="n">
        <f aca="false">ROUND((IF(U166="resolved",I166,IF(U166="claimed",H166,Controls!$B$4))-G166)*24,4)</f>
        <v>42.85</v>
      </c>
      <c r="W166" s="6" t="b">
        <f aca="false">INDEX(Owners!$E$4:$E$21,MATCH(D166,Owners!$A$4:$A$21,0))</f>
        <v>0</v>
      </c>
    </row>
    <row r="167" customFormat="false" ht="15" hidden="false" customHeight="false" outlineLevel="0" collapsed="false">
      <c r="A167" s="4" t="s">
        <v>464</v>
      </c>
      <c r="B167" s="4" t="s">
        <v>131</v>
      </c>
      <c r="C167" s="4" t="s">
        <v>259</v>
      </c>
      <c r="D167" s="4" t="s">
        <v>283</v>
      </c>
      <c r="E167" s="4" t="s">
        <v>202</v>
      </c>
      <c r="F167" s="4" t="s">
        <v>277</v>
      </c>
      <c r="G167" s="5" t="n">
        <v>46245.2013888889</v>
      </c>
      <c r="H167" s="5" t="n">
        <v>46245.6645833333</v>
      </c>
      <c r="I167" s="5" t="n">
        <v>46245.7277777778</v>
      </c>
      <c r="J167" s="4" t="s">
        <v>284</v>
      </c>
      <c r="K167" s="4" t="s">
        <v>464</v>
      </c>
      <c r="L167" s="4" t="s">
        <v>259</v>
      </c>
      <c r="M167" s="4" t="n">
        <v>1</v>
      </c>
      <c r="N167" s="4" t="n">
        <v>1</v>
      </c>
      <c r="O167" s="4" t="n">
        <v>0</v>
      </c>
      <c r="P167" s="12"/>
      <c r="Q167" s="4" t="n">
        <v>0</v>
      </c>
      <c r="R167" s="0" t="str">
        <f aca="false">INDEX(Owners!$B$4:$B$21,MATCH(D167,Owners!$A$4:$A$21,0))</f>
        <v>Data Platform</v>
      </c>
      <c r="S167" s="6" t="b">
        <f aca="false">AND(F167="closed",ISNUMBER(H167),H167&lt;=Controls!$B$4)</f>
        <v>1</v>
      </c>
      <c r="T167" s="6" t="b">
        <f aca="false">AND(ISNUMBER(I167),I167&lt;=Controls!$B$4,J167="rerun",K167=A167,L167=C167,M167=N167,O167=0,I167&gt;=G167,IF(ISNUMBER(P167),I167&gt;=P167,TRUE()))</f>
        <v>1</v>
      </c>
      <c r="U167" s="0" t="str">
        <f aca="false">IF(AND(S167,T167),"resolved",IF(S167,"claimed","open"))</f>
        <v>resolved</v>
      </c>
      <c r="V167" s="11" t="n">
        <f aca="false">ROUND((IF(U167="resolved",I167,IF(U167="claimed",H167,Controls!$B$4))-G167)*24,4)</f>
        <v>12.6333</v>
      </c>
      <c r="W167" s="6" t="b">
        <f aca="false">INDEX(Owners!$E$4:$E$21,MATCH(D167,Owners!$A$4:$A$21,0))</f>
        <v>1</v>
      </c>
    </row>
    <row r="168" customFormat="false" ht="15" hidden="false" customHeight="false" outlineLevel="0" collapsed="false">
      <c r="A168" s="4" t="s">
        <v>465</v>
      </c>
      <c r="B168" s="4" t="s">
        <v>98</v>
      </c>
      <c r="C168" s="4" t="s">
        <v>211</v>
      </c>
      <c r="D168" s="4" t="s">
        <v>324</v>
      </c>
      <c r="E168" s="4" t="s">
        <v>204</v>
      </c>
      <c r="F168" s="4" t="s">
        <v>277</v>
      </c>
      <c r="G168" s="5" t="n">
        <v>46245.2416666667</v>
      </c>
      <c r="H168" s="5" t="n">
        <v>46247.7083333333</v>
      </c>
      <c r="I168" s="12"/>
      <c r="N168" s="4" t="n">
        <v>2</v>
      </c>
      <c r="P168" s="12"/>
      <c r="Q168" s="4" t="n">
        <v>0</v>
      </c>
      <c r="R168" s="0" t="str">
        <f aca="false">INDEX(Owners!$B$4:$B$21,MATCH(D168,Owners!$A$4:$A$21,0))</f>
        <v>Finance Systems</v>
      </c>
      <c r="S168" s="6" t="b">
        <f aca="false">AND(F168="closed",ISNUMBER(H168),H168&lt;=Controls!$B$4)</f>
        <v>1</v>
      </c>
      <c r="T168" s="6" t="b">
        <f aca="false">AND(ISNUMBER(I168),I168&lt;=Controls!$B$4,J168="rerun",K168=A168,L168=C168,M168=N168,O168=0,I168&gt;=G168,IF(ISNUMBER(P168),I168&gt;=P168,TRUE()))</f>
        <v>0</v>
      </c>
      <c r="U168" s="0" t="str">
        <f aca="false">IF(AND(S168,T168),"resolved",IF(S168,"claimed","open"))</f>
        <v>claimed</v>
      </c>
      <c r="V168" s="11" t="n">
        <f aca="false">ROUND((IF(U168="resolved",I168,IF(U168="claimed",H168,Controls!$B$4))-G168)*24,4)</f>
        <v>59.2</v>
      </c>
      <c r="W168" s="6" t="b">
        <f aca="false">INDEX(Owners!$E$4:$E$21,MATCH(D168,Owners!$A$4:$A$21,0))</f>
        <v>1</v>
      </c>
    </row>
    <row r="169" customFormat="false" ht="15" hidden="false" customHeight="false" outlineLevel="0" collapsed="false">
      <c r="A169" s="4" t="s">
        <v>466</v>
      </c>
      <c r="B169" s="4" t="s">
        <v>118</v>
      </c>
      <c r="C169" s="4" t="s">
        <v>364</v>
      </c>
      <c r="D169" s="4" t="s">
        <v>296</v>
      </c>
      <c r="E169" s="4" t="s">
        <v>202</v>
      </c>
      <c r="F169" s="4" t="s">
        <v>277</v>
      </c>
      <c r="G169" s="5" t="n">
        <v>46245.9930555556</v>
      </c>
      <c r="H169" s="5" t="n">
        <v>46250.5951388889</v>
      </c>
      <c r="I169" s="12"/>
      <c r="N169" s="4" t="n">
        <v>1</v>
      </c>
      <c r="P169" s="12"/>
      <c r="Q169" s="4" t="n">
        <v>0</v>
      </c>
      <c r="R169" s="0" t="str">
        <f aca="false">INDEX(Owners!$B$4:$B$21,MATCH(D169,Owners!$A$4:$A$21,0))</f>
        <v>Data Platform</v>
      </c>
      <c r="S169" s="6" t="b">
        <f aca="false">AND(F169="closed",ISNUMBER(H169),H169&lt;=Controls!$B$4)</f>
        <v>1</v>
      </c>
      <c r="T169" s="6" t="b">
        <f aca="false">AND(ISNUMBER(I169),I169&lt;=Controls!$B$4,J169="rerun",K169=A169,L169=C169,M169=N169,O169=0,I169&gt;=G169,IF(ISNUMBER(P169),I169&gt;=P169,TRUE()))</f>
        <v>0</v>
      </c>
      <c r="U169" s="0" t="str">
        <f aca="false">IF(AND(S169,T169),"resolved",IF(S169,"claimed","open"))</f>
        <v>claimed</v>
      </c>
      <c r="V169" s="11" t="n">
        <f aca="false">ROUND((IF(U169="resolved",I169,IF(U169="claimed",H169,Controls!$B$4))-G169)*24,4)</f>
        <v>110.45</v>
      </c>
      <c r="W169" s="6" t="b">
        <f aca="false">INDEX(Owners!$E$4:$E$21,MATCH(D169,Owners!$A$4:$A$21,0))</f>
        <v>1</v>
      </c>
    </row>
    <row r="170" customFormat="false" ht="15" hidden="false" customHeight="false" outlineLevel="0" collapsed="false">
      <c r="A170" s="4" t="s">
        <v>467</v>
      </c>
      <c r="B170" s="4" t="s">
        <v>127</v>
      </c>
      <c r="C170" s="4" t="s">
        <v>252</v>
      </c>
      <c r="D170" s="4" t="s">
        <v>358</v>
      </c>
      <c r="E170" s="4" t="s">
        <v>204</v>
      </c>
      <c r="F170" s="4" t="s">
        <v>277</v>
      </c>
      <c r="G170" s="5" t="n">
        <v>46246.0888888889</v>
      </c>
      <c r="H170" s="5" t="n">
        <v>46248.9305555556</v>
      </c>
      <c r="I170" s="12"/>
      <c r="N170" s="4" t="n">
        <v>1</v>
      </c>
      <c r="P170" s="12"/>
      <c r="Q170" s="4" t="n">
        <v>0</v>
      </c>
      <c r="R170" s="0" t="str">
        <f aca="false">INDEX(Owners!$B$4:$B$21,MATCH(D170,Owners!$A$4:$A$21,0))</f>
        <v>Finance Systems</v>
      </c>
      <c r="S170" s="6" t="b">
        <f aca="false">AND(F170="closed",ISNUMBER(H170),H170&lt;=Controls!$B$4)</f>
        <v>1</v>
      </c>
      <c r="T170" s="6" t="b">
        <f aca="false">AND(ISNUMBER(I170),I170&lt;=Controls!$B$4,J170="rerun",K170=A170,L170=C170,M170=N170,O170=0,I170&gt;=G170,IF(ISNUMBER(P170),I170&gt;=P170,TRUE()))</f>
        <v>0</v>
      </c>
      <c r="U170" s="0" t="str">
        <f aca="false">IF(AND(S170,T170),"resolved",IF(S170,"claimed","open"))</f>
        <v>claimed</v>
      </c>
      <c r="V170" s="11" t="n">
        <f aca="false">ROUND((IF(U170="resolved",I170,IF(U170="claimed",H170,Controls!$B$4))-G170)*24,4)</f>
        <v>68.2</v>
      </c>
      <c r="W170" s="6" t="b">
        <f aca="false">INDEX(Owners!$E$4:$E$21,MATCH(D170,Owners!$A$4:$A$21,0))</f>
        <v>1</v>
      </c>
    </row>
    <row r="171" customFormat="false" ht="15" hidden="false" customHeight="false" outlineLevel="0" collapsed="false">
      <c r="A171" s="4" t="s">
        <v>468</v>
      </c>
      <c r="B171" s="4" t="s">
        <v>102</v>
      </c>
      <c r="C171" s="4" t="s">
        <v>217</v>
      </c>
      <c r="D171" s="4" t="s">
        <v>290</v>
      </c>
      <c r="E171" s="4" t="s">
        <v>204</v>
      </c>
      <c r="F171" s="4" t="s">
        <v>277</v>
      </c>
      <c r="G171" s="5" t="n">
        <v>46246.0923611111</v>
      </c>
      <c r="H171" s="5" t="n">
        <v>46249.9152777778</v>
      </c>
      <c r="I171" s="5" t="n">
        <v>46250.5284722222</v>
      </c>
      <c r="J171" s="4" t="s">
        <v>284</v>
      </c>
      <c r="K171" s="4" t="s">
        <v>468</v>
      </c>
      <c r="L171" s="4" t="s">
        <v>217</v>
      </c>
      <c r="M171" s="4" t="n">
        <v>1</v>
      </c>
      <c r="N171" s="4" t="n">
        <v>1</v>
      </c>
      <c r="O171" s="4" t="n">
        <v>0</v>
      </c>
      <c r="P171" s="12"/>
      <c r="Q171" s="4" t="n">
        <v>0</v>
      </c>
      <c r="R171" s="0" t="str">
        <f aca="false">INDEX(Owners!$B$4:$B$21,MATCH(D171,Owners!$A$4:$A$21,0))</f>
        <v>Customer Data</v>
      </c>
      <c r="S171" s="6" t="b">
        <f aca="false">AND(F171="closed",ISNUMBER(H171),H171&lt;=Controls!$B$4)</f>
        <v>1</v>
      </c>
      <c r="T171" s="6" t="b">
        <f aca="false">AND(ISNUMBER(I171),I171&lt;=Controls!$B$4,J171="rerun",K171=A171,L171=C171,M171=N171,O171=0,I171&gt;=G171,IF(ISNUMBER(P171),I171&gt;=P171,TRUE()))</f>
        <v>1</v>
      </c>
      <c r="U171" s="0" t="str">
        <f aca="false">IF(AND(S171,T171),"resolved",IF(S171,"claimed","open"))</f>
        <v>resolved</v>
      </c>
      <c r="V171" s="11" t="n">
        <f aca="false">ROUND((IF(U171="resolved",I171,IF(U171="claimed",H171,Controls!$B$4))-G171)*24,4)</f>
        <v>106.4667</v>
      </c>
      <c r="W171" s="6" t="b">
        <f aca="false">INDEX(Owners!$E$4:$E$21,MATCH(D171,Owners!$A$4:$A$21,0))</f>
        <v>1</v>
      </c>
    </row>
    <row r="172" customFormat="false" ht="15" hidden="false" customHeight="false" outlineLevel="0" collapsed="false">
      <c r="A172" s="4" t="s">
        <v>469</v>
      </c>
      <c r="B172" s="4" t="s">
        <v>128</v>
      </c>
      <c r="C172" s="4" t="s">
        <v>304</v>
      </c>
      <c r="D172" s="4" t="s">
        <v>283</v>
      </c>
      <c r="E172" s="4" t="s">
        <v>204</v>
      </c>
      <c r="F172" s="4" t="s">
        <v>277</v>
      </c>
      <c r="G172" s="5" t="n">
        <v>46246.1020833333</v>
      </c>
      <c r="H172" s="5" t="n">
        <v>46246.4604166667</v>
      </c>
      <c r="I172" s="5" t="n">
        <v>46246.5798611111</v>
      </c>
      <c r="J172" s="4" t="s">
        <v>284</v>
      </c>
      <c r="K172" s="4" t="s">
        <v>469</v>
      </c>
      <c r="L172" s="4" t="s">
        <v>304</v>
      </c>
      <c r="M172" s="4" t="n">
        <v>1</v>
      </c>
      <c r="N172" s="4" t="n">
        <v>1</v>
      </c>
      <c r="O172" s="4" t="n">
        <v>0</v>
      </c>
      <c r="P172" s="12"/>
      <c r="Q172" s="4" t="n">
        <v>0</v>
      </c>
      <c r="R172" s="0" t="str">
        <f aca="false">INDEX(Owners!$B$4:$B$21,MATCH(D172,Owners!$A$4:$A$21,0))</f>
        <v>Data Platform</v>
      </c>
      <c r="S172" s="6" t="b">
        <f aca="false">AND(F172="closed",ISNUMBER(H172),H172&lt;=Controls!$B$4)</f>
        <v>1</v>
      </c>
      <c r="T172" s="6" t="b">
        <f aca="false">AND(ISNUMBER(I172),I172&lt;=Controls!$B$4,J172="rerun",K172=A172,L172=C172,M172=N172,O172=0,I172&gt;=G172,IF(ISNUMBER(P172),I172&gt;=P172,TRUE()))</f>
        <v>1</v>
      </c>
      <c r="U172" s="0" t="str">
        <f aca="false">IF(AND(S172,T172),"resolved",IF(S172,"claimed","open"))</f>
        <v>resolved</v>
      </c>
      <c r="V172" s="11" t="n">
        <f aca="false">ROUND((IF(U172="resolved",I172,IF(U172="claimed",H172,Controls!$B$4))-G172)*24,4)</f>
        <v>11.4667</v>
      </c>
      <c r="W172" s="6" t="b">
        <f aca="false">INDEX(Owners!$E$4:$E$21,MATCH(D172,Owners!$A$4:$A$21,0))</f>
        <v>1</v>
      </c>
    </row>
    <row r="173" customFormat="false" ht="15" hidden="false" customHeight="false" outlineLevel="0" collapsed="false">
      <c r="A173" s="4" t="s">
        <v>470</v>
      </c>
      <c r="B173" s="4" t="s">
        <v>128</v>
      </c>
      <c r="C173" s="4" t="s">
        <v>253</v>
      </c>
      <c r="D173" s="4" t="s">
        <v>283</v>
      </c>
      <c r="E173" s="4" t="s">
        <v>204</v>
      </c>
      <c r="F173" s="4" t="s">
        <v>277</v>
      </c>
      <c r="G173" s="5" t="n">
        <v>46246.1111111111</v>
      </c>
      <c r="H173" s="5" t="n">
        <v>46246.9083333333</v>
      </c>
      <c r="I173" s="5" t="n">
        <v>46247.1118055556</v>
      </c>
      <c r="J173" s="4" t="s">
        <v>284</v>
      </c>
      <c r="K173" s="4" t="s">
        <v>470</v>
      </c>
      <c r="L173" s="4" t="s">
        <v>253</v>
      </c>
      <c r="M173" s="4" t="n">
        <v>1</v>
      </c>
      <c r="N173" s="4" t="n">
        <v>1</v>
      </c>
      <c r="O173" s="4" t="n">
        <v>0</v>
      </c>
      <c r="P173" s="12"/>
      <c r="Q173" s="4" t="n">
        <v>0</v>
      </c>
      <c r="R173" s="0" t="str">
        <f aca="false">INDEX(Owners!$B$4:$B$21,MATCH(D173,Owners!$A$4:$A$21,0))</f>
        <v>Data Platform</v>
      </c>
      <c r="S173" s="6" t="b">
        <f aca="false">AND(F173="closed",ISNUMBER(H173),H173&lt;=Controls!$B$4)</f>
        <v>1</v>
      </c>
      <c r="T173" s="6" t="b">
        <f aca="false">AND(ISNUMBER(I173),I173&lt;=Controls!$B$4,J173="rerun",K173=A173,L173=C173,M173=N173,O173=0,I173&gt;=G173,IF(ISNUMBER(P173),I173&gt;=P173,TRUE()))</f>
        <v>1</v>
      </c>
      <c r="U173" s="0" t="str">
        <f aca="false">IF(AND(S173,T173),"resolved",IF(S173,"claimed","open"))</f>
        <v>resolved</v>
      </c>
      <c r="V173" s="11" t="n">
        <f aca="false">ROUND((IF(U173="resolved",I173,IF(U173="claimed",H173,Controls!$B$4))-G173)*24,4)</f>
        <v>24.0167</v>
      </c>
      <c r="W173" s="6" t="b">
        <f aca="false">INDEX(Owners!$E$4:$E$21,MATCH(D173,Owners!$A$4:$A$21,0))</f>
        <v>1</v>
      </c>
    </row>
    <row r="174" customFormat="false" ht="15" hidden="false" customHeight="false" outlineLevel="0" collapsed="false">
      <c r="A174" s="4" t="s">
        <v>471</v>
      </c>
      <c r="B174" s="4" t="s">
        <v>124</v>
      </c>
      <c r="C174" s="4" t="s">
        <v>248</v>
      </c>
      <c r="D174" s="4" t="s">
        <v>301</v>
      </c>
      <c r="E174" s="4" t="s">
        <v>202</v>
      </c>
      <c r="F174" s="4" t="s">
        <v>277</v>
      </c>
      <c r="G174" s="5" t="n">
        <v>46246.1423611111</v>
      </c>
      <c r="H174" s="5" t="n">
        <v>46249.3152777778</v>
      </c>
      <c r="I174" s="12"/>
      <c r="N174" s="4" t="n">
        <v>1</v>
      </c>
      <c r="P174" s="12"/>
      <c r="Q174" s="4" t="n">
        <v>0</v>
      </c>
      <c r="R174" s="0" t="str">
        <f aca="false">INDEX(Owners!$B$4:$B$21,MATCH(D174,Owners!$A$4:$A$21,0))</f>
        <v>Data Platform</v>
      </c>
      <c r="S174" s="6" t="b">
        <f aca="false">AND(F174="closed",ISNUMBER(H174),H174&lt;=Controls!$B$4)</f>
        <v>1</v>
      </c>
      <c r="T174" s="6" t="b">
        <f aca="false">AND(ISNUMBER(I174),I174&lt;=Controls!$B$4,J174="rerun",K174=A174,L174=C174,M174=N174,O174=0,I174&gt;=G174,IF(ISNUMBER(P174),I174&gt;=P174,TRUE()))</f>
        <v>0</v>
      </c>
      <c r="U174" s="0" t="str">
        <f aca="false">IF(AND(S174,T174),"resolved",IF(S174,"claimed","open"))</f>
        <v>claimed</v>
      </c>
      <c r="V174" s="11" t="n">
        <f aca="false">ROUND((IF(U174="resolved",I174,IF(U174="claimed",H174,Controls!$B$4))-G174)*24,4)</f>
        <v>76.15</v>
      </c>
      <c r="W174" s="6" t="b">
        <f aca="false">INDEX(Owners!$E$4:$E$21,MATCH(D174,Owners!$A$4:$A$21,0))</f>
        <v>1</v>
      </c>
    </row>
    <row r="175" customFormat="false" ht="15" hidden="false" customHeight="false" outlineLevel="0" collapsed="false">
      <c r="A175" s="4" t="s">
        <v>472</v>
      </c>
      <c r="B175" s="4" t="s">
        <v>112</v>
      </c>
      <c r="C175" s="4" t="s">
        <v>231</v>
      </c>
      <c r="D175" s="4" t="s">
        <v>320</v>
      </c>
      <c r="E175" s="4" t="s">
        <v>210</v>
      </c>
      <c r="F175" s="4" t="s">
        <v>277</v>
      </c>
      <c r="G175" s="5" t="n">
        <v>46246.2277777778</v>
      </c>
      <c r="H175" s="5" t="n">
        <v>46248.3506944445</v>
      </c>
      <c r="I175" s="5" t="n">
        <v>46248.9111111111</v>
      </c>
      <c r="J175" s="4" t="s">
        <v>284</v>
      </c>
      <c r="K175" s="4" t="s">
        <v>472</v>
      </c>
      <c r="L175" s="4" t="s">
        <v>231</v>
      </c>
      <c r="M175" s="4" t="n">
        <v>1</v>
      </c>
      <c r="N175" s="4" t="n">
        <v>1</v>
      </c>
      <c r="O175" s="4" t="n">
        <v>0</v>
      </c>
      <c r="P175" s="12"/>
      <c r="Q175" s="4" t="n">
        <v>0</v>
      </c>
      <c r="R175" s="0" t="str">
        <f aca="false">INDEX(Owners!$B$4:$B$21,MATCH(D175,Owners!$A$4:$A$21,0))</f>
        <v>Data Governance</v>
      </c>
      <c r="S175" s="6" t="b">
        <f aca="false">AND(F175="closed",ISNUMBER(H175),H175&lt;=Controls!$B$4)</f>
        <v>1</v>
      </c>
      <c r="T175" s="6" t="b">
        <f aca="false">AND(ISNUMBER(I175),I175&lt;=Controls!$B$4,J175="rerun",K175=A175,L175=C175,M175=N175,O175=0,I175&gt;=G175,IF(ISNUMBER(P175),I175&gt;=P175,TRUE()))</f>
        <v>1</v>
      </c>
      <c r="U175" s="0" t="str">
        <f aca="false">IF(AND(S175,T175),"resolved",IF(S175,"claimed","open"))</f>
        <v>resolved</v>
      </c>
      <c r="V175" s="11" t="n">
        <f aca="false">ROUND((IF(U175="resolved",I175,IF(U175="claimed",H175,Controls!$B$4))-G175)*24,4)</f>
        <v>64.4</v>
      </c>
      <c r="W175" s="6" t="b">
        <f aca="false">INDEX(Owners!$E$4:$E$21,MATCH(D175,Owners!$A$4:$A$21,0))</f>
        <v>1</v>
      </c>
    </row>
    <row r="176" customFormat="false" ht="15" hidden="false" customHeight="false" outlineLevel="0" collapsed="false">
      <c r="A176" s="4" t="s">
        <v>473</v>
      </c>
      <c r="B176" s="4" t="s">
        <v>110</v>
      </c>
      <c r="C176" s="4" t="s">
        <v>226</v>
      </c>
      <c r="D176" s="4" t="s">
        <v>286</v>
      </c>
      <c r="E176" s="4" t="s">
        <v>202</v>
      </c>
      <c r="F176" s="4" t="s">
        <v>277</v>
      </c>
      <c r="G176" s="5" t="n">
        <v>46246.2326388889</v>
      </c>
      <c r="H176" s="5" t="n">
        <v>46247.3069444444</v>
      </c>
      <c r="I176" s="5" t="n">
        <v>46247.8694444444</v>
      </c>
      <c r="J176" s="4" t="s">
        <v>284</v>
      </c>
      <c r="K176" s="4" t="s">
        <v>473</v>
      </c>
      <c r="L176" s="4" t="s">
        <v>226</v>
      </c>
      <c r="M176" s="4" t="n">
        <v>1</v>
      </c>
      <c r="N176" s="4" t="n">
        <v>1</v>
      </c>
      <c r="O176" s="4" t="n">
        <v>0</v>
      </c>
      <c r="P176" s="12"/>
      <c r="Q176" s="4" t="n">
        <v>0</v>
      </c>
      <c r="R176" s="0" t="str">
        <f aca="false">INDEX(Owners!$B$4:$B$21,MATCH(D176,Owners!$A$4:$A$21,0))</f>
        <v>Finance Systems</v>
      </c>
      <c r="S176" s="6" t="b">
        <f aca="false">AND(F176="closed",ISNUMBER(H176),H176&lt;=Controls!$B$4)</f>
        <v>1</v>
      </c>
      <c r="T176" s="6" t="b">
        <f aca="false">AND(ISNUMBER(I176),I176&lt;=Controls!$B$4,J176="rerun",K176=A176,L176=C176,M176=N176,O176=0,I176&gt;=G176,IF(ISNUMBER(P176),I176&gt;=P176,TRUE()))</f>
        <v>1</v>
      </c>
      <c r="U176" s="0" t="str">
        <f aca="false">IF(AND(S176,T176),"resolved",IF(S176,"claimed","open"))</f>
        <v>resolved</v>
      </c>
      <c r="V176" s="11" t="n">
        <f aca="false">ROUND((IF(U176="resolved",I176,IF(U176="claimed",H176,Controls!$B$4))-G176)*24,4)</f>
        <v>39.2833</v>
      </c>
      <c r="W176" s="6" t="b">
        <f aca="false">INDEX(Owners!$E$4:$E$21,MATCH(D176,Owners!$A$4:$A$21,0))</f>
        <v>0</v>
      </c>
    </row>
    <row r="177" customFormat="false" ht="15" hidden="false" customHeight="false" outlineLevel="0" collapsed="false">
      <c r="A177" s="4" t="s">
        <v>474</v>
      </c>
      <c r="B177" s="4" t="s">
        <v>120</v>
      </c>
      <c r="C177" s="4" t="s">
        <v>244</v>
      </c>
      <c r="D177" s="4" t="s">
        <v>326</v>
      </c>
      <c r="E177" s="4" t="s">
        <v>204</v>
      </c>
      <c r="F177" s="4" t="s">
        <v>277</v>
      </c>
      <c r="G177" s="5" t="n">
        <v>46246.2375</v>
      </c>
      <c r="H177" s="5" t="n">
        <v>46247.8590277778</v>
      </c>
      <c r="I177" s="5" t="n">
        <v>46248.4527777778</v>
      </c>
      <c r="J177" s="4" t="s">
        <v>284</v>
      </c>
      <c r="K177" s="4" t="s">
        <v>474</v>
      </c>
      <c r="L177" s="4" t="s">
        <v>244</v>
      </c>
      <c r="M177" s="4" t="n">
        <v>1</v>
      </c>
      <c r="N177" s="4" t="n">
        <v>1</v>
      </c>
      <c r="O177" s="4" t="n">
        <v>0</v>
      </c>
      <c r="P177" s="12"/>
      <c r="Q177" s="4" t="n">
        <v>0</v>
      </c>
      <c r="R177" s="0" t="str">
        <f aca="false">INDEX(Owners!$B$4:$B$21,MATCH(D177,Owners!$A$4:$A$21,0))</f>
        <v>Customer Data</v>
      </c>
      <c r="S177" s="6" t="b">
        <f aca="false">AND(F177="closed",ISNUMBER(H177),H177&lt;=Controls!$B$4)</f>
        <v>1</v>
      </c>
      <c r="T177" s="6" t="b">
        <f aca="false">AND(ISNUMBER(I177),I177&lt;=Controls!$B$4,J177="rerun",K177=A177,L177=C177,M177=N177,O177=0,I177&gt;=G177,IF(ISNUMBER(P177),I177&gt;=P177,TRUE()))</f>
        <v>1</v>
      </c>
      <c r="U177" s="0" t="str">
        <f aca="false">IF(AND(S177,T177),"resolved",IF(S177,"claimed","open"))</f>
        <v>resolved</v>
      </c>
      <c r="V177" s="11" t="n">
        <f aca="false">ROUND((IF(U177="resolved",I177,IF(U177="claimed",H177,Controls!$B$4))-G177)*24,4)</f>
        <v>53.1667</v>
      </c>
      <c r="W177" s="6" t="b">
        <f aca="false">INDEX(Owners!$E$4:$E$21,MATCH(D177,Owners!$A$4:$A$21,0))</f>
        <v>0</v>
      </c>
    </row>
    <row r="178" customFormat="false" ht="15" hidden="false" customHeight="false" outlineLevel="0" collapsed="false">
      <c r="A178" s="4" t="s">
        <v>475</v>
      </c>
      <c r="B178" s="4" t="s">
        <v>103</v>
      </c>
      <c r="C178" s="4" t="s">
        <v>218</v>
      </c>
      <c r="D178" s="4" t="s">
        <v>350</v>
      </c>
      <c r="E178" s="4" t="s">
        <v>202</v>
      </c>
      <c r="F178" s="4" t="s">
        <v>277</v>
      </c>
      <c r="G178" s="5" t="n">
        <v>46247.0979166667</v>
      </c>
      <c r="H178" s="5" t="n">
        <v>46249.2590277778</v>
      </c>
      <c r="I178" s="5" t="n">
        <v>46249.8680555556</v>
      </c>
      <c r="J178" s="4" t="s">
        <v>284</v>
      </c>
      <c r="K178" s="4" t="s">
        <v>475</v>
      </c>
      <c r="L178" s="4" t="s">
        <v>218</v>
      </c>
      <c r="M178" s="4" t="n">
        <v>1</v>
      </c>
      <c r="N178" s="4" t="n">
        <v>1</v>
      </c>
      <c r="O178" s="4" t="n">
        <v>0</v>
      </c>
      <c r="P178" s="12"/>
      <c r="Q178" s="4" t="n">
        <v>0</v>
      </c>
      <c r="R178" s="0" t="str">
        <f aca="false">INDEX(Owners!$B$4:$B$21,MATCH(D178,Owners!$A$4:$A$21,0))</f>
        <v>Supply Chain</v>
      </c>
      <c r="S178" s="6" t="b">
        <f aca="false">AND(F178="closed",ISNUMBER(H178),H178&lt;=Controls!$B$4)</f>
        <v>1</v>
      </c>
      <c r="T178" s="6" t="b">
        <f aca="false">AND(ISNUMBER(I178),I178&lt;=Controls!$B$4,J178="rerun",K178=A178,L178=C178,M178=N178,O178=0,I178&gt;=G178,IF(ISNUMBER(P178),I178&gt;=P178,TRUE()))</f>
        <v>1</v>
      </c>
      <c r="U178" s="0" t="str">
        <f aca="false">IF(AND(S178,T178),"resolved",IF(S178,"claimed","open"))</f>
        <v>resolved</v>
      </c>
      <c r="V178" s="11" t="n">
        <f aca="false">ROUND((IF(U178="resolved",I178,IF(U178="claimed",H178,Controls!$B$4))-G178)*24,4)</f>
        <v>66.4833</v>
      </c>
      <c r="W178" s="6" t="b">
        <f aca="false">INDEX(Owners!$E$4:$E$21,MATCH(D178,Owners!$A$4:$A$21,0))</f>
        <v>1</v>
      </c>
    </row>
    <row r="179" customFormat="false" ht="15" hidden="false" customHeight="false" outlineLevel="0" collapsed="false">
      <c r="A179" s="4" t="s">
        <v>476</v>
      </c>
      <c r="B179" s="4" t="s">
        <v>102</v>
      </c>
      <c r="C179" s="4" t="s">
        <v>215</v>
      </c>
      <c r="D179" s="4" t="s">
        <v>290</v>
      </c>
      <c r="E179" s="4" t="s">
        <v>216</v>
      </c>
      <c r="F179" s="4" t="s">
        <v>277</v>
      </c>
      <c r="G179" s="5" t="n">
        <v>46247.1013888889</v>
      </c>
      <c r="H179" s="5" t="n">
        <v>46249.3638888889</v>
      </c>
      <c r="I179" s="5" t="n">
        <v>46249.4902777778</v>
      </c>
      <c r="J179" s="4" t="s">
        <v>284</v>
      </c>
      <c r="K179" s="4" t="s">
        <v>476</v>
      </c>
      <c r="L179" s="4" t="s">
        <v>215</v>
      </c>
      <c r="M179" s="4" t="n">
        <v>1</v>
      </c>
      <c r="N179" s="4" t="n">
        <v>1</v>
      </c>
      <c r="O179" s="4" t="n">
        <v>0</v>
      </c>
      <c r="P179" s="12"/>
      <c r="Q179" s="4" t="n">
        <v>0</v>
      </c>
      <c r="R179" s="0" t="str">
        <f aca="false">INDEX(Owners!$B$4:$B$21,MATCH(D179,Owners!$A$4:$A$21,0))</f>
        <v>Customer Data</v>
      </c>
      <c r="S179" s="6" t="b">
        <f aca="false">AND(F179="closed",ISNUMBER(H179),H179&lt;=Controls!$B$4)</f>
        <v>1</v>
      </c>
      <c r="T179" s="6" t="b">
        <f aca="false">AND(ISNUMBER(I179),I179&lt;=Controls!$B$4,J179="rerun",K179=A179,L179=C179,M179=N179,O179=0,I179&gt;=G179,IF(ISNUMBER(P179),I179&gt;=P179,TRUE()))</f>
        <v>1</v>
      </c>
      <c r="U179" s="0" t="str">
        <f aca="false">IF(AND(S179,T179),"resolved",IF(S179,"claimed","open"))</f>
        <v>resolved</v>
      </c>
      <c r="V179" s="11" t="n">
        <f aca="false">ROUND((IF(U179="resolved",I179,IF(U179="claimed",H179,Controls!$B$4))-G179)*24,4)</f>
        <v>57.3333</v>
      </c>
      <c r="W179" s="6" t="b">
        <f aca="false">INDEX(Owners!$E$4:$E$21,MATCH(D179,Owners!$A$4:$A$21,0))</f>
        <v>1</v>
      </c>
    </row>
    <row r="180" customFormat="false" ht="15" hidden="false" customHeight="false" outlineLevel="0" collapsed="false">
      <c r="A180" s="4" t="s">
        <v>477</v>
      </c>
      <c r="B180" s="4" t="s">
        <v>125</v>
      </c>
      <c r="C180" s="4" t="s">
        <v>251</v>
      </c>
      <c r="D180" s="4" t="s">
        <v>334</v>
      </c>
      <c r="E180" s="4" t="s">
        <v>210</v>
      </c>
      <c r="F180" s="4" t="s">
        <v>277</v>
      </c>
      <c r="G180" s="5" t="n">
        <v>46247.1784722222</v>
      </c>
      <c r="H180" s="5" t="n">
        <v>46249.0215277778</v>
      </c>
      <c r="I180" s="5" t="n">
        <v>46249.0694444445</v>
      </c>
      <c r="J180" s="4" t="s">
        <v>284</v>
      </c>
      <c r="K180" s="4" t="s">
        <v>477</v>
      </c>
      <c r="L180" s="4" t="s">
        <v>251</v>
      </c>
      <c r="M180" s="4" t="n">
        <v>2</v>
      </c>
      <c r="N180" s="4" t="n">
        <v>2</v>
      </c>
      <c r="O180" s="4" t="n">
        <v>0</v>
      </c>
      <c r="P180" s="12"/>
      <c r="Q180" s="4" t="n">
        <v>0</v>
      </c>
      <c r="R180" s="0" t="str">
        <f aca="false">INDEX(Owners!$B$4:$B$21,MATCH(D180,Owners!$A$4:$A$21,0))</f>
        <v>Supply Chain</v>
      </c>
      <c r="S180" s="6" t="b">
        <f aca="false">AND(F180="closed",ISNUMBER(H180),H180&lt;=Controls!$B$4)</f>
        <v>1</v>
      </c>
      <c r="T180" s="6" t="b">
        <f aca="false">AND(ISNUMBER(I180),I180&lt;=Controls!$B$4,J180="rerun",K180=A180,L180=C180,M180=N180,O180=0,I180&gt;=G180,IF(ISNUMBER(P180),I180&gt;=P180,TRUE()))</f>
        <v>1</v>
      </c>
      <c r="U180" s="0" t="str">
        <f aca="false">IF(AND(S180,T180),"resolved",IF(S180,"claimed","open"))</f>
        <v>resolved</v>
      </c>
      <c r="V180" s="11" t="n">
        <f aca="false">ROUND((IF(U180="resolved",I180,IF(U180="claimed",H180,Controls!$B$4))-G180)*24,4)</f>
        <v>45.3833</v>
      </c>
      <c r="W180" s="6" t="b">
        <f aca="false">INDEX(Owners!$E$4:$E$21,MATCH(D180,Owners!$A$4:$A$21,0))</f>
        <v>0</v>
      </c>
    </row>
    <row r="181" customFormat="false" ht="15" hidden="false" customHeight="false" outlineLevel="0" collapsed="false">
      <c r="A181" s="4" t="s">
        <v>478</v>
      </c>
      <c r="B181" s="4" t="s">
        <v>113</v>
      </c>
      <c r="C181" s="4" t="s">
        <v>232</v>
      </c>
      <c r="D181" s="4" t="s">
        <v>296</v>
      </c>
      <c r="E181" s="4" t="s">
        <v>202</v>
      </c>
      <c r="F181" s="4" t="s">
        <v>277</v>
      </c>
      <c r="G181" s="5" t="n">
        <v>46247.1826388889</v>
      </c>
      <c r="H181" s="5" t="n">
        <v>46248.6104166667</v>
      </c>
      <c r="I181" s="12"/>
      <c r="N181" s="4" t="n">
        <v>1</v>
      </c>
      <c r="P181" s="12"/>
      <c r="Q181" s="4" t="n">
        <v>0</v>
      </c>
      <c r="R181" s="0" t="str">
        <f aca="false">INDEX(Owners!$B$4:$B$21,MATCH(D181,Owners!$A$4:$A$21,0))</f>
        <v>Data Platform</v>
      </c>
      <c r="S181" s="6" t="b">
        <f aca="false">AND(F181="closed",ISNUMBER(H181),H181&lt;=Controls!$B$4)</f>
        <v>1</v>
      </c>
      <c r="T181" s="6" t="b">
        <f aca="false">AND(ISNUMBER(I181),I181&lt;=Controls!$B$4,J181="rerun",K181=A181,L181=C181,M181=N181,O181=0,I181&gt;=G181,IF(ISNUMBER(P181),I181&gt;=P181,TRUE()))</f>
        <v>0</v>
      </c>
      <c r="U181" s="0" t="str">
        <f aca="false">IF(AND(S181,T181),"resolved",IF(S181,"claimed","open"))</f>
        <v>claimed</v>
      </c>
      <c r="V181" s="11" t="n">
        <f aca="false">ROUND((IF(U181="resolved",I181,IF(U181="claimed",H181,Controls!$B$4))-G181)*24,4)</f>
        <v>34.2667</v>
      </c>
      <c r="W181" s="6" t="b">
        <f aca="false">INDEX(Owners!$E$4:$E$21,MATCH(D181,Owners!$A$4:$A$21,0))</f>
        <v>1</v>
      </c>
    </row>
    <row r="182" customFormat="false" ht="15" hidden="false" customHeight="false" outlineLevel="0" collapsed="false">
      <c r="A182" s="4" t="s">
        <v>479</v>
      </c>
      <c r="B182" s="4" t="s">
        <v>131</v>
      </c>
      <c r="C182" s="4" t="s">
        <v>257</v>
      </c>
      <c r="D182" s="4" t="s">
        <v>283</v>
      </c>
      <c r="E182" s="4" t="s">
        <v>202</v>
      </c>
      <c r="F182" s="4" t="s">
        <v>277</v>
      </c>
      <c r="G182" s="5" t="n">
        <v>46247.1923611111</v>
      </c>
      <c r="H182" s="5" t="n">
        <v>46248.2555555556</v>
      </c>
      <c r="I182" s="12"/>
      <c r="N182" s="4" t="n">
        <v>1</v>
      </c>
      <c r="P182" s="12"/>
      <c r="Q182" s="4" t="n">
        <v>0</v>
      </c>
      <c r="R182" s="0" t="str">
        <f aca="false">INDEX(Owners!$B$4:$B$21,MATCH(D182,Owners!$A$4:$A$21,0))</f>
        <v>Data Platform</v>
      </c>
      <c r="S182" s="6" t="b">
        <f aca="false">AND(F182="closed",ISNUMBER(H182),H182&lt;=Controls!$B$4)</f>
        <v>1</v>
      </c>
      <c r="T182" s="6" t="b">
        <f aca="false">AND(ISNUMBER(I182),I182&lt;=Controls!$B$4,J182="rerun",K182=A182,L182=C182,M182=N182,O182=0,I182&gt;=G182,IF(ISNUMBER(P182),I182&gt;=P182,TRUE()))</f>
        <v>0</v>
      </c>
      <c r="U182" s="0" t="str">
        <f aca="false">IF(AND(S182,T182),"resolved",IF(S182,"claimed","open"))</f>
        <v>claimed</v>
      </c>
      <c r="V182" s="11" t="n">
        <f aca="false">ROUND((IF(U182="resolved",I182,IF(U182="claimed",H182,Controls!$B$4))-G182)*24,4)</f>
        <v>25.5167</v>
      </c>
      <c r="W182" s="6" t="b">
        <f aca="false">INDEX(Owners!$E$4:$E$21,MATCH(D182,Owners!$A$4:$A$21,0))</f>
        <v>1</v>
      </c>
    </row>
    <row r="183" customFormat="false" ht="15" hidden="false" customHeight="false" outlineLevel="0" collapsed="false">
      <c r="A183" s="4" t="s">
        <v>480</v>
      </c>
      <c r="B183" s="4" t="s">
        <v>118</v>
      </c>
      <c r="C183" s="4" t="s">
        <v>242</v>
      </c>
      <c r="D183" s="4" t="s">
        <v>296</v>
      </c>
      <c r="E183" s="4" t="s">
        <v>202</v>
      </c>
      <c r="F183" s="4" t="s">
        <v>277</v>
      </c>
      <c r="G183" s="5" t="n">
        <v>46247.1965277778</v>
      </c>
      <c r="H183" s="5" t="n">
        <v>46250.4319444444</v>
      </c>
      <c r="I183" s="12"/>
      <c r="N183" s="4" t="n">
        <v>1</v>
      </c>
      <c r="P183" s="12"/>
      <c r="Q183" s="4" t="n">
        <v>0</v>
      </c>
      <c r="R183" s="0" t="str">
        <f aca="false">INDEX(Owners!$B$4:$B$21,MATCH(D183,Owners!$A$4:$A$21,0))</f>
        <v>Data Platform</v>
      </c>
      <c r="S183" s="6" t="b">
        <f aca="false">AND(F183="closed",ISNUMBER(H183),H183&lt;=Controls!$B$4)</f>
        <v>1</v>
      </c>
      <c r="T183" s="6" t="b">
        <f aca="false">AND(ISNUMBER(I183),I183&lt;=Controls!$B$4,J183="rerun",K183=A183,L183=C183,M183=N183,O183=0,I183&gt;=G183,IF(ISNUMBER(P183),I183&gt;=P183,TRUE()))</f>
        <v>0</v>
      </c>
      <c r="U183" s="0" t="str">
        <f aca="false">IF(AND(S183,T183),"resolved",IF(S183,"claimed","open"))</f>
        <v>claimed</v>
      </c>
      <c r="V183" s="11" t="n">
        <f aca="false">ROUND((IF(U183="resolved",I183,IF(U183="claimed",H183,Controls!$B$4))-G183)*24,4)</f>
        <v>77.65</v>
      </c>
      <c r="W183" s="6" t="b">
        <f aca="false">INDEX(Owners!$E$4:$E$21,MATCH(D183,Owners!$A$4:$A$21,0))</f>
        <v>1</v>
      </c>
    </row>
    <row r="184" customFormat="false" ht="15" hidden="false" customHeight="false" outlineLevel="0" collapsed="false">
      <c r="A184" s="4" t="s">
        <v>481</v>
      </c>
      <c r="B184" s="4" t="s">
        <v>110</v>
      </c>
      <c r="C184" s="4" t="s">
        <v>226</v>
      </c>
      <c r="D184" s="4" t="s">
        <v>286</v>
      </c>
      <c r="E184" s="4" t="s">
        <v>202</v>
      </c>
      <c r="F184" s="4" t="s">
        <v>277</v>
      </c>
      <c r="G184" s="5" t="n">
        <v>46247.2326388889</v>
      </c>
      <c r="H184" s="5" t="n">
        <v>46252.0256944444</v>
      </c>
      <c r="I184" s="5" t="n">
        <v>46252.4326388889</v>
      </c>
      <c r="J184" s="4" t="s">
        <v>284</v>
      </c>
      <c r="K184" s="4" t="s">
        <v>481</v>
      </c>
      <c r="L184" s="4" t="s">
        <v>226</v>
      </c>
      <c r="M184" s="4" t="n">
        <v>1</v>
      </c>
      <c r="N184" s="4" t="n">
        <v>1</v>
      </c>
      <c r="O184" s="4" t="n">
        <v>0</v>
      </c>
      <c r="P184" s="12"/>
      <c r="Q184" s="4" t="n">
        <v>0</v>
      </c>
      <c r="R184" s="0" t="str">
        <f aca="false">INDEX(Owners!$B$4:$B$21,MATCH(D184,Owners!$A$4:$A$21,0))</f>
        <v>Finance Systems</v>
      </c>
      <c r="S184" s="6" t="b">
        <f aca="false">AND(F184="closed",ISNUMBER(H184),H184&lt;=Controls!$B$4)</f>
        <v>1</v>
      </c>
      <c r="T184" s="6" t="b">
        <f aca="false">AND(ISNUMBER(I184),I184&lt;=Controls!$B$4,J184="rerun",K184=A184,L184=C184,M184=N184,O184=0,I184&gt;=G184,IF(ISNUMBER(P184),I184&gt;=P184,TRUE()))</f>
        <v>1</v>
      </c>
      <c r="U184" s="0" t="str">
        <f aca="false">IF(AND(S184,T184),"resolved",IF(S184,"claimed","open"))</f>
        <v>resolved</v>
      </c>
      <c r="V184" s="11" t="n">
        <f aca="false">ROUND((IF(U184="resolved",I184,IF(U184="claimed",H184,Controls!$B$4))-G184)*24,4)</f>
        <v>124.8</v>
      </c>
      <c r="W184" s="6" t="b">
        <f aca="false">INDEX(Owners!$E$4:$E$21,MATCH(D184,Owners!$A$4:$A$21,0))</f>
        <v>0</v>
      </c>
    </row>
    <row r="185" customFormat="false" ht="15" hidden="false" customHeight="false" outlineLevel="0" collapsed="false">
      <c r="A185" s="4" t="s">
        <v>482</v>
      </c>
      <c r="B185" s="4" t="s">
        <v>101</v>
      </c>
      <c r="C185" s="4" t="s">
        <v>212</v>
      </c>
      <c r="D185" s="4" t="s">
        <v>483</v>
      </c>
      <c r="E185" s="4" t="s">
        <v>210</v>
      </c>
      <c r="F185" s="4" t="s">
        <v>277</v>
      </c>
      <c r="G185" s="5" t="n">
        <v>46247.2465277778</v>
      </c>
      <c r="H185" s="5" t="n">
        <v>46247.7854166667</v>
      </c>
      <c r="I185" s="12"/>
      <c r="N185" s="4" t="n">
        <v>1</v>
      </c>
      <c r="P185" s="12"/>
      <c r="Q185" s="4" t="n">
        <v>0</v>
      </c>
      <c r="R185" s="0" t="str">
        <f aca="false">INDEX(Owners!$B$4:$B$21,MATCH(D185,Owners!$A$4:$A$21,0))</f>
        <v>Customer Data</v>
      </c>
      <c r="S185" s="6" t="b">
        <f aca="false">AND(F185="closed",ISNUMBER(H185),H185&lt;=Controls!$B$4)</f>
        <v>1</v>
      </c>
      <c r="T185" s="6" t="b">
        <f aca="false">AND(ISNUMBER(I185),I185&lt;=Controls!$B$4,J185="rerun",K185=A185,L185=C185,M185=N185,O185=0,I185&gt;=G185,IF(ISNUMBER(P185),I185&gt;=P185,TRUE()))</f>
        <v>0</v>
      </c>
      <c r="U185" s="0" t="str">
        <f aca="false">IF(AND(S185,T185),"resolved",IF(S185,"claimed","open"))</f>
        <v>claimed</v>
      </c>
      <c r="V185" s="11" t="n">
        <f aca="false">ROUND((IF(U185="resolved",I185,IF(U185="claimed",H185,Controls!$B$4))-G185)*24,4)</f>
        <v>12.9333</v>
      </c>
      <c r="W185" s="6" t="b">
        <f aca="false">INDEX(Owners!$E$4:$E$21,MATCH(D185,Owners!$A$4:$A$21,0))</f>
        <v>1</v>
      </c>
    </row>
    <row r="186" customFormat="false" ht="15" hidden="false" customHeight="false" outlineLevel="0" collapsed="false">
      <c r="A186" s="4" t="s">
        <v>484</v>
      </c>
      <c r="B186" s="4" t="s">
        <v>127</v>
      </c>
      <c r="C186" s="4" t="s">
        <v>252</v>
      </c>
      <c r="D186" s="4" t="s">
        <v>358</v>
      </c>
      <c r="E186" s="4" t="s">
        <v>204</v>
      </c>
      <c r="F186" s="4" t="s">
        <v>277</v>
      </c>
      <c r="G186" s="5" t="n">
        <v>46248.0888888889</v>
      </c>
      <c r="H186" s="5" t="n">
        <v>46255.5111111111</v>
      </c>
      <c r="I186" s="5" t="n">
        <v>46256.0340277778</v>
      </c>
      <c r="J186" s="4" t="s">
        <v>284</v>
      </c>
      <c r="K186" s="4" t="s">
        <v>484</v>
      </c>
      <c r="L186" s="4" t="s">
        <v>252</v>
      </c>
      <c r="M186" s="4" t="n">
        <v>1</v>
      </c>
      <c r="N186" s="4" t="n">
        <v>1</v>
      </c>
      <c r="O186" s="4" t="n">
        <v>0</v>
      </c>
      <c r="P186" s="12"/>
      <c r="Q186" s="4" t="n">
        <v>0</v>
      </c>
      <c r="R186" s="0" t="str">
        <f aca="false">INDEX(Owners!$B$4:$B$21,MATCH(D186,Owners!$A$4:$A$21,0))</f>
        <v>Finance Systems</v>
      </c>
      <c r="S186" s="6" t="b">
        <f aca="false">AND(F186="closed",ISNUMBER(H186),H186&lt;=Controls!$B$4)</f>
        <v>1</v>
      </c>
      <c r="T186" s="6" t="b">
        <f aca="false">AND(ISNUMBER(I186),I186&lt;=Controls!$B$4,J186="rerun",K186=A186,L186=C186,M186=N186,O186=0,I186&gt;=G186,IF(ISNUMBER(P186),I186&gt;=P186,TRUE()))</f>
        <v>1</v>
      </c>
      <c r="U186" s="0" t="str">
        <f aca="false">IF(AND(S186,T186),"resolved",IF(S186,"claimed","open"))</f>
        <v>resolved</v>
      </c>
      <c r="V186" s="11" t="n">
        <f aca="false">ROUND((IF(U186="resolved",I186,IF(U186="claimed",H186,Controls!$B$4))-G186)*24,4)</f>
        <v>190.6833</v>
      </c>
      <c r="W186" s="6" t="b">
        <f aca="false">INDEX(Owners!$E$4:$E$21,MATCH(D186,Owners!$A$4:$A$21,0))</f>
        <v>1</v>
      </c>
    </row>
    <row r="187" customFormat="false" ht="15" hidden="false" customHeight="false" outlineLevel="0" collapsed="false">
      <c r="A187" s="4" t="s">
        <v>485</v>
      </c>
      <c r="B187" s="4" t="s">
        <v>103</v>
      </c>
      <c r="C187" s="4" t="s">
        <v>218</v>
      </c>
      <c r="D187" s="4" t="s">
        <v>350</v>
      </c>
      <c r="E187" s="4" t="s">
        <v>202</v>
      </c>
      <c r="F187" s="4" t="s">
        <v>277</v>
      </c>
      <c r="G187" s="5" t="n">
        <v>46248.0979166667</v>
      </c>
      <c r="H187" s="5" t="n">
        <v>46249.7881944445</v>
      </c>
      <c r="I187" s="12"/>
      <c r="N187" s="4" t="n">
        <v>1</v>
      </c>
      <c r="P187" s="12"/>
      <c r="Q187" s="4" t="n">
        <v>0</v>
      </c>
      <c r="R187" s="0" t="str">
        <f aca="false">INDEX(Owners!$B$4:$B$21,MATCH(D187,Owners!$A$4:$A$21,0))</f>
        <v>Supply Chain</v>
      </c>
      <c r="S187" s="6" t="b">
        <f aca="false">AND(F187="closed",ISNUMBER(H187),H187&lt;=Controls!$B$4)</f>
        <v>1</v>
      </c>
      <c r="T187" s="6" t="b">
        <f aca="false">AND(ISNUMBER(I187),I187&lt;=Controls!$B$4,J187="rerun",K187=A187,L187=C187,M187=N187,O187=0,I187&gt;=G187,IF(ISNUMBER(P187),I187&gt;=P187,TRUE()))</f>
        <v>0</v>
      </c>
      <c r="U187" s="0" t="str">
        <f aca="false">IF(AND(S187,T187),"resolved",IF(S187,"claimed","open"))</f>
        <v>claimed</v>
      </c>
      <c r="V187" s="11" t="n">
        <f aca="false">ROUND((IF(U187="resolved",I187,IF(U187="claimed",H187,Controls!$B$4))-G187)*24,4)</f>
        <v>40.5667</v>
      </c>
      <c r="W187" s="6" t="b">
        <f aca="false">INDEX(Owners!$E$4:$E$21,MATCH(D187,Owners!$A$4:$A$21,0))</f>
        <v>1</v>
      </c>
    </row>
    <row r="188" customFormat="false" ht="15" hidden="false" customHeight="false" outlineLevel="0" collapsed="false">
      <c r="A188" s="4" t="s">
        <v>486</v>
      </c>
      <c r="B188" s="4" t="s">
        <v>115</v>
      </c>
      <c r="C188" s="4" t="s">
        <v>237</v>
      </c>
      <c r="D188" s="4" t="s">
        <v>301</v>
      </c>
      <c r="E188" s="4" t="s">
        <v>210</v>
      </c>
      <c r="F188" s="4" t="s">
        <v>277</v>
      </c>
      <c r="G188" s="5" t="n">
        <v>46248.1152777778</v>
      </c>
      <c r="H188" s="5" t="n">
        <v>46249.4083333333</v>
      </c>
      <c r="I188" s="5" t="n">
        <v>46249.4319444444</v>
      </c>
      <c r="J188" s="4" t="s">
        <v>284</v>
      </c>
      <c r="K188" s="4" t="s">
        <v>486</v>
      </c>
      <c r="L188" s="4" t="s">
        <v>237</v>
      </c>
      <c r="M188" s="4" t="n">
        <v>1</v>
      </c>
      <c r="N188" s="4" t="n">
        <v>1</v>
      </c>
      <c r="O188" s="4" t="n">
        <v>0</v>
      </c>
      <c r="P188" s="12"/>
      <c r="Q188" s="4" t="n">
        <v>0</v>
      </c>
      <c r="R188" s="0" t="str">
        <f aca="false">INDEX(Owners!$B$4:$B$21,MATCH(D188,Owners!$A$4:$A$21,0))</f>
        <v>Data Platform</v>
      </c>
      <c r="S188" s="6" t="b">
        <f aca="false">AND(F188="closed",ISNUMBER(H188),H188&lt;=Controls!$B$4)</f>
        <v>1</v>
      </c>
      <c r="T188" s="6" t="b">
        <f aca="false">AND(ISNUMBER(I188),I188&lt;=Controls!$B$4,J188="rerun",K188=A188,L188=C188,M188=N188,O188=0,I188&gt;=G188,IF(ISNUMBER(P188),I188&gt;=P188,TRUE()))</f>
        <v>1</v>
      </c>
      <c r="U188" s="0" t="str">
        <f aca="false">IF(AND(S188,T188),"resolved",IF(S188,"claimed","open"))</f>
        <v>resolved</v>
      </c>
      <c r="V188" s="11" t="n">
        <f aca="false">ROUND((IF(U188="resolved",I188,IF(U188="claimed",H188,Controls!$B$4))-G188)*24,4)</f>
        <v>31.6</v>
      </c>
      <c r="W188" s="6" t="b">
        <f aca="false">INDEX(Owners!$E$4:$E$21,MATCH(D188,Owners!$A$4:$A$21,0))</f>
        <v>1</v>
      </c>
    </row>
    <row r="189" customFormat="false" ht="15" hidden="false" customHeight="false" outlineLevel="0" collapsed="false">
      <c r="A189" s="4" t="s">
        <v>487</v>
      </c>
      <c r="B189" s="4" t="s">
        <v>125</v>
      </c>
      <c r="C189" s="4" t="s">
        <v>250</v>
      </c>
      <c r="D189" s="4" t="s">
        <v>334</v>
      </c>
      <c r="E189" s="4" t="s">
        <v>202</v>
      </c>
      <c r="F189" s="4" t="s">
        <v>277</v>
      </c>
      <c r="G189" s="5" t="n">
        <v>46248.1875</v>
      </c>
      <c r="H189" s="5" t="n">
        <v>46252.3958333333</v>
      </c>
      <c r="I189" s="5" t="n">
        <v>46252.7076388889</v>
      </c>
      <c r="J189" s="4" t="s">
        <v>284</v>
      </c>
      <c r="K189" s="4" t="s">
        <v>487</v>
      </c>
      <c r="L189" s="4" t="s">
        <v>250</v>
      </c>
      <c r="M189" s="4" t="n">
        <v>1</v>
      </c>
      <c r="N189" s="4" t="n">
        <v>1</v>
      </c>
      <c r="O189" s="4" t="n">
        <v>0</v>
      </c>
      <c r="P189" s="12"/>
      <c r="Q189" s="4" t="n">
        <v>0</v>
      </c>
      <c r="R189" s="0" t="str">
        <f aca="false">INDEX(Owners!$B$4:$B$21,MATCH(D189,Owners!$A$4:$A$21,0))</f>
        <v>Supply Chain</v>
      </c>
      <c r="S189" s="6" t="b">
        <f aca="false">AND(F189="closed",ISNUMBER(H189),H189&lt;=Controls!$B$4)</f>
        <v>1</v>
      </c>
      <c r="T189" s="6" t="b">
        <f aca="false">AND(ISNUMBER(I189),I189&lt;=Controls!$B$4,J189="rerun",K189=A189,L189=C189,M189=N189,O189=0,I189&gt;=G189,IF(ISNUMBER(P189),I189&gt;=P189,TRUE()))</f>
        <v>1</v>
      </c>
      <c r="U189" s="0" t="str">
        <f aca="false">IF(AND(S189,T189),"resolved",IF(S189,"claimed","open"))</f>
        <v>resolved</v>
      </c>
      <c r="V189" s="11" t="n">
        <f aca="false">ROUND((IF(U189="resolved",I189,IF(U189="claimed",H189,Controls!$B$4))-G189)*24,4)</f>
        <v>108.4833</v>
      </c>
      <c r="W189" s="6" t="b">
        <f aca="false">INDEX(Owners!$E$4:$E$21,MATCH(D189,Owners!$A$4:$A$21,0))</f>
        <v>0</v>
      </c>
    </row>
    <row r="190" customFormat="false" ht="15" hidden="false" customHeight="false" outlineLevel="0" collapsed="false">
      <c r="A190" s="4" t="s">
        <v>488</v>
      </c>
      <c r="B190" s="4" t="s">
        <v>110</v>
      </c>
      <c r="C190" s="4" t="s">
        <v>227</v>
      </c>
      <c r="D190" s="4" t="s">
        <v>286</v>
      </c>
      <c r="E190" s="4" t="s">
        <v>216</v>
      </c>
      <c r="F190" s="4" t="s">
        <v>277</v>
      </c>
      <c r="G190" s="5" t="n">
        <v>46248.2236111111</v>
      </c>
      <c r="H190" s="5" t="n">
        <v>46248.4472222222</v>
      </c>
      <c r="I190" s="5" t="n">
        <v>46249.0069444445</v>
      </c>
      <c r="J190" s="4" t="s">
        <v>284</v>
      </c>
      <c r="K190" s="4" t="s">
        <v>488</v>
      </c>
      <c r="L190" s="4" t="s">
        <v>227</v>
      </c>
      <c r="M190" s="4" t="n">
        <v>1</v>
      </c>
      <c r="N190" s="4" t="n">
        <v>1</v>
      </c>
      <c r="O190" s="4" t="n">
        <v>0</v>
      </c>
      <c r="P190" s="12"/>
      <c r="Q190" s="4" t="n">
        <v>0</v>
      </c>
      <c r="R190" s="0" t="str">
        <f aca="false">INDEX(Owners!$B$4:$B$21,MATCH(D190,Owners!$A$4:$A$21,0))</f>
        <v>Finance Systems</v>
      </c>
      <c r="S190" s="6" t="b">
        <f aca="false">AND(F190="closed",ISNUMBER(H190),H190&lt;=Controls!$B$4)</f>
        <v>1</v>
      </c>
      <c r="T190" s="6" t="b">
        <f aca="false">AND(ISNUMBER(I190),I190&lt;=Controls!$B$4,J190="rerun",K190=A190,L190=C190,M190=N190,O190=0,I190&gt;=G190,IF(ISNUMBER(P190),I190&gt;=P190,TRUE()))</f>
        <v>1</v>
      </c>
      <c r="U190" s="0" t="str">
        <f aca="false">IF(AND(S190,T190),"resolved",IF(S190,"claimed","open"))</f>
        <v>resolved</v>
      </c>
      <c r="V190" s="11" t="n">
        <f aca="false">ROUND((IF(U190="resolved",I190,IF(U190="claimed",H190,Controls!$B$4))-G190)*24,4)</f>
        <v>18.8</v>
      </c>
      <c r="W190" s="6" t="b">
        <f aca="false">INDEX(Owners!$E$4:$E$21,MATCH(D190,Owners!$A$4:$A$21,0))</f>
        <v>0</v>
      </c>
    </row>
    <row r="191" customFormat="false" ht="15" hidden="false" customHeight="false" outlineLevel="0" collapsed="false">
      <c r="A191" s="4" t="s">
        <v>489</v>
      </c>
      <c r="B191" s="4" t="s">
        <v>110</v>
      </c>
      <c r="C191" s="4" t="s">
        <v>226</v>
      </c>
      <c r="D191" s="4" t="s">
        <v>286</v>
      </c>
      <c r="E191" s="4" t="s">
        <v>202</v>
      </c>
      <c r="F191" s="4" t="s">
        <v>277</v>
      </c>
      <c r="G191" s="5" t="n">
        <v>46248.2326388889</v>
      </c>
      <c r="H191" s="5" t="n">
        <v>46250.4354166667</v>
      </c>
      <c r="I191" s="5" t="n">
        <v>46250.8840277778</v>
      </c>
      <c r="J191" s="4" t="s">
        <v>284</v>
      </c>
      <c r="K191" s="4" t="s">
        <v>489</v>
      </c>
      <c r="L191" s="4" t="s">
        <v>226</v>
      </c>
      <c r="M191" s="4" t="n">
        <v>1</v>
      </c>
      <c r="N191" s="4" t="n">
        <v>1</v>
      </c>
      <c r="O191" s="4" t="n">
        <v>0</v>
      </c>
      <c r="P191" s="12"/>
      <c r="Q191" s="4" t="n">
        <v>0</v>
      </c>
      <c r="R191" s="0" t="str">
        <f aca="false">INDEX(Owners!$B$4:$B$21,MATCH(D191,Owners!$A$4:$A$21,0))</f>
        <v>Finance Systems</v>
      </c>
      <c r="S191" s="6" t="b">
        <f aca="false">AND(F191="closed",ISNUMBER(H191),H191&lt;=Controls!$B$4)</f>
        <v>1</v>
      </c>
      <c r="T191" s="6" t="b">
        <f aca="false">AND(ISNUMBER(I191),I191&lt;=Controls!$B$4,J191="rerun",K191=A191,L191=C191,M191=N191,O191=0,I191&gt;=G191,IF(ISNUMBER(P191),I191&gt;=P191,TRUE()))</f>
        <v>1</v>
      </c>
      <c r="U191" s="0" t="str">
        <f aca="false">IF(AND(S191,T191),"resolved",IF(S191,"claimed","open"))</f>
        <v>resolved</v>
      </c>
      <c r="V191" s="11" t="n">
        <f aca="false">ROUND((IF(U191="resolved",I191,IF(U191="claimed",H191,Controls!$B$4))-G191)*24,4)</f>
        <v>63.6333</v>
      </c>
      <c r="W191" s="6" t="b">
        <f aca="false">INDEX(Owners!$E$4:$E$21,MATCH(D191,Owners!$A$4:$A$21,0))</f>
        <v>0</v>
      </c>
    </row>
    <row r="192" customFormat="false" ht="15" hidden="false" customHeight="false" outlineLevel="0" collapsed="false">
      <c r="A192" s="4" t="s">
        <v>490</v>
      </c>
      <c r="B192" s="4" t="s">
        <v>117</v>
      </c>
      <c r="C192" s="4" t="s">
        <v>241</v>
      </c>
      <c r="D192" s="4" t="s">
        <v>288</v>
      </c>
      <c r="E192" s="4" t="s">
        <v>202</v>
      </c>
      <c r="F192" s="4" t="s">
        <v>277</v>
      </c>
      <c r="G192" s="5" t="n">
        <v>46248.2368055556</v>
      </c>
      <c r="H192" s="5" t="n">
        <v>46250.49375</v>
      </c>
      <c r="I192" s="5" t="n">
        <v>46250.6930555556</v>
      </c>
      <c r="J192" s="4" t="s">
        <v>284</v>
      </c>
      <c r="K192" s="4" t="s">
        <v>490</v>
      </c>
      <c r="L192" s="4" t="s">
        <v>241</v>
      </c>
      <c r="M192" s="4" t="n">
        <v>1</v>
      </c>
      <c r="N192" s="4" t="n">
        <v>1</v>
      </c>
      <c r="O192" s="4" t="n">
        <v>0</v>
      </c>
      <c r="P192" s="12"/>
      <c r="Q192" s="4" t="n">
        <v>0</v>
      </c>
      <c r="R192" s="0" t="str">
        <f aca="false">INDEX(Owners!$B$4:$B$21,MATCH(D192,Owners!$A$4:$A$21,0))</f>
        <v>Support Operations</v>
      </c>
      <c r="S192" s="6" t="b">
        <f aca="false">AND(F192="closed",ISNUMBER(H192),H192&lt;=Controls!$B$4)</f>
        <v>1</v>
      </c>
      <c r="T192" s="6" t="b">
        <f aca="false">AND(ISNUMBER(I192),I192&lt;=Controls!$B$4,J192="rerun",K192=A192,L192=C192,M192=N192,O192=0,I192&gt;=G192,IF(ISNUMBER(P192),I192&gt;=P192,TRUE()))</f>
        <v>1</v>
      </c>
      <c r="U192" s="0" t="str">
        <f aca="false">IF(AND(S192,T192),"resolved",IF(S192,"claimed","open"))</f>
        <v>resolved</v>
      </c>
      <c r="V192" s="11" t="n">
        <f aca="false">ROUND((IF(U192="resolved",I192,IF(U192="claimed",H192,Controls!$B$4))-G192)*24,4)</f>
        <v>58.95</v>
      </c>
      <c r="W192" s="6" t="b">
        <f aca="false">INDEX(Owners!$E$4:$E$21,MATCH(D192,Owners!$A$4:$A$21,0))</f>
        <v>1</v>
      </c>
    </row>
    <row r="193" customFormat="false" ht="15" hidden="false" customHeight="false" outlineLevel="0" collapsed="false">
      <c r="A193" s="4" t="s">
        <v>491</v>
      </c>
      <c r="B193" s="4" t="s">
        <v>113</v>
      </c>
      <c r="C193" s="4" t="s">
        <v>234</v>
      </c>
      <c r="D193" s="4" t="s">
        <v>296</v>
      </c>
      <c r="E193" s="4" t="s">
        <v>204</v>
      </c>
      <c r="F193" s="4" t="s">
        <v>277</v>
      </c>
      <c r="G193" s="5" t="n">
        <v>46248.9930555556</v>
      </c>
      <c r="H193" s="5" t="n">
        <v>46249.6104166667</v>
      </c>
      <c r="I193" s="12"/>
      <c r="N193" s="4" t="n">
        <v>1</v>
      </c>
      <c r="P193" s="12"/>
      <c r="Q193" s="4" t="n">
        <v>0</v>
      </c>
      <c r="R193" s="0" t="str">
        <f aca="false">INDEX(Owners!$B$4:$B$21,MATCH(D193,Owners!$A$4:$A$21,0))</f>
        <v>Data Platform</v>
      </c>
      <c r="S193" s="6" t="b">
        <f aca="false">AND(F193="closed",ISNUMBER(H193),H193&lt;=Controls!$B$4)</f>
        <v>1</v>
      </c>
      <c r="T193" s="6" t="b">
        <f aca="false">AND(ISNUMBER(I193),I193&lt;=Controls!$B$4,J193="rerun",K193=A193,L193=C193,M193=N193,O193=0,I193&gt;=G193,IF(ISNUMBER(P193),I193&gt;=P193,TRUE()))</f>
        <v>0</v>
      </c>
      <c r="U193" s="0" t="str">
        <f aca="false">IF(AND(S193,T193),"resolved",IF(S193,"claimed","open"))</f>
        <v>claimed</v>
      </c>
      <c r="V193" s="11" t="n">
        <f aca="false">ROUND((IF(U193="resolved",I193,IF(U193="claimed",H193,Controls!$B$4))-G193)*24,4)</f>
        <v>14.8167</v>
      </c>
      <c r="W193" s="6" t="b">
        <f aca="false">INDEX(Owners!$E$4:$E$21,MATCH(D193,Owners!$A$4:$A$21,0))</f>
        <v>1</v>
      </c>
    </row>
    <row r="194" customFormat="false" ht="15" hidden="false" customHeight="false" outlineLevel="0" collapsed="false">
      <c r="A194" s="4" t="s">
        <v>492</v>
      </c>
      <c r="B194" s="4" t="s">
        <v>98</v>
      </c>
      <c r="C194" s="4" t="s">
        <v>323</v>
      </c>
      <c r="D194" s="4" t="s">
        <v>324</v>
      </c>
      <c r="E194" s="4" t="s">
        <v>202</v>
      </c>
      <c r="F194" s="4" t="s">
        <v>277</v>
      </c>
      <c r="G194" s="5" t="n">
        <v>46249.0840277778</v>
      </c>
      <c r="H194" s="5" t="n">
        <v>46256.1944444445</v>
      </c>
      <c r="I194" s="5" t="n">
        <v>46256.4930555556</v>
      </c>
      <c r="J194" s="4" t="s">
        <v>284</v>
      </c>
      <c r="K194" s="4" t="s">
        <v>492</v>
      </c>
      <c r="L194" s="4" t="s">
        <v>323</v>
      </c>
      <c r="M194" s="4" t="n">
        <v>1</v>
      </c>
      <c r="N194" s="4" t="n">
        <v>1</v>
      </c>
      <c r="O194" s="4" t="n">
        <v>0</v>
      </c>
      <c r="P194" s="12"/>
      <c r="Q194" s="4" t="n">
        <v>0</v>
      </c>
      <c r="R194" s="0" t="str">
        <f aca="false">INDEX(Owners!$B$4:$B$21,MATCH(D194,Owners!$A$4:$A$21,0))</f>
        <v>Finance Systems</v>
      </c>
      <c r="S194" s="6" t="b">
        <f aca="false">AND(F194="closed",ISNUMBER(H194),H194&lt;=Controls!$B$4)</f>
        <v>1</v>
      </c>
      <c r="T194" s="6" t="b">
        <f aca="false">AND(ISNUMBER(I194),I194&lt;=Controls!$B$4,J194="rerun",K194=A194,L194=C194,M194=N194,O194=0,I194&gt;=G194,IF(ISNUMBER(P194),I194&gt;=P194,TRUE()))</f>
        <v>1</v>
      </c>
      <c r="U194" s="0" t="str">
        <f aca="false">IF(AND(S194,T194),"resolved",IF(S194,"claimed","open"))</f>
        <v>resolved</v>
      </c>
      <c r="V194" s="11" t="n">
        <f aca="false">ROUND((IF(U194="resolved",I194,IF(U194="claimed",H194,Controls!$B$4))-G194)*24,4)</f>
        <v>177.8167</v>
      </c>
      <c r="W194" s="6" t="b">
        <f aca="false">INDEX(Owners!$E$4:$E$21,MATCH(D194,Owners!$A$4:$A$21,0))</f>
        <v>1</v>
      </c>
    </row>
    <row r="195" customFormat="false" ht="15" hidden="false" customHeight="false" outlineLevel="0" collapsed="false">
      <c r="A195" s="4" t="s">
        <v>493</v>
      </c>
      <c r="B195" s="4" t="s">
        <v>127</v>
      </c>
      <c r="C195" s="4" t="s">
        <v>252</v>
      </c>
      <c r="D195" s="4" t="s">
        <v>358</v>
      </c>
      <c r="E195" s="4" t="s">
        <v>204</v>
      </c>
      <c r="F195" s="4" t="s">
        <v>277</v>
      </c>
      <c r="G195" s="5" t="n">
        <v>46249.0888888889</v>
      </c>
      <c r="H195" s="5" t="n">
        <v>46252.9611111111</v>
      </c>
      <c r="I195" s="5" t="n">
        <v>46253.3326388889</v>
      </c>
      <c r="J195" s="4" t="s">
        <v>284</v>
      </c>
      <c r="K195" s="4" t="s">
        <v>493</v>
      </c>
      <c r="L195" s="4" t="s">
        <v>252</v>
      </c>
      <c r="M195" s="4" t="n">
        <v>1</v>
      </c>
      <c r="N195" s="4" t="n">
        <v>1</v>
      </c>
      <c r="O195" s="4" t="n">
        <v>0</v>
      </c>
      <c r="P195" s="12"/>
      <c r="Q195" s="4" t="n">
        <v>0</v>
      </c>
      <c r="R195" s="0" t="str">
        <f aca="false">INDEX(Owners!$B$4:$B$21,MATCH(D195,Owners!$A$4:$A$21,0))</f>
        <v>Finance Systems</v>
      </c>
      <c r="S195" s="6" t="b">
        <f aca="false">AND(F195="closed",ISNUMBER(H195),H195&lt;=Controls!$B$4)</f>
        <v>1</v>
      </c>
      <c r="T195" s="6" t="b">
        <f aca="false">AND(ISNUMBER(I195),I195&lt;=Controls!$B$4,J195="rerun",K195=A195,L195=C195,M195=N195,O195=0,I195&gt;=G195,IF(ISNUMBER(P195),I195&gt;=P195,TRUE()))</f>
        <v>1</v>
      </c>
      <c r="U195" s="0" t="str">
        <f aca="false">IF(AND(S195,T195),"resolved",IF(S195,"claimed","open"))</f>
        <v>resolved</v>
      </c>
      <c r="V195" s="11" t="n">
        <f aca="false">ROUND((IF(U195="resolved",I195,IF(U195="claimed",H195,Controls!$B$4))-G195)*24,4)</f>
        <v>101.85</v>
      </c>
      <c r="W195" s="6" t="b">
        <f aca="false">INDEX(Owners!$E$4:$E$21,MATCH(D195,Owners!$A$4:$A$21,0))</f>
        <v>1</v>
      </c>
    </row>
    <row r="196" customFormat="false" ht="15" hidden="false" customHeight="false" outlineLevel="0" collapsed="false">
      <c r="A196" s="4" t="s">
        <v>494</v>
      </c>
      <c r="B196" s="4" t="s">
        <v>97</v>
      </c>
      <c r="C196" s="4" t="s">
        <v>208</v>
      </c>
      <c r="D196" s="4" t="s">
        <v>286</v>
      </c>
      <c r="E196" s="4" t="s">
        <v>202</v>
      </c>
      <c r="F196" s="4" t="s">
        <v>277</v>
      </c>
      <c r="G196" s="5" t="n">
        <v>46249.1194444444</v>
      </c>
      <c r="H196" s="5" t="n">
        <v>46251.4083333333</v>
      </c>
      <c r="I196" s="12"/>
      <c r="N196" s="4" t="n">
        <v>2</v>
      </c>
      <c r="P196" s="12"/>
      <c r="Q196" s="4" t="n">
        <v>0</v>
      </c>
      <c r="R196" s="0" t="str">
        <f aca="false">INDEX(Owners!$B$4:$B$21,MATCH(D196,Owners!$A$4:$A$21,0))</f>
        <v>Finance Systems</v>
      </c>
      <c r="S196" s="6" t="b">
        <f aca="false">AND(F196="closed",ISNUMBER(H196),H196&lt;=Controls!$B$4)</f>
        <v>1</v>
      </c>
      <c r="T196" s="6" t="b">
        <f aca="false">AND(ISNUMBER(I196),I196&lt;=Controls!$B$4,J196="rerun",K196=A196,L196=C196,M196=N196,O196=0,I196&gt;=G196,IF(ISNUMBER(P196),I196&gt;=P196,TRUE()))</f>
        <v>0</v>
      </c>
      <c r="U196" s="0" t="str">
        <f aca="false">IF(AND(S196,T196),"resolved",IF(S196,"claimed","open"))</f>
        <v>claimed</v>
      </c>
      <c r="V196" s="11" t="n">
        <f aca="false">ROUND((IF(U196="resolved",I196,IF(U196="claimed",H196,Controls!$B$4))-G196)*24,4)</f>
        <v>54.9333</v>
      </c>
      <c r="W196" s="6" t="b">
        <f aca="false">INDEX(Owners!$E$4:$E$21,MATCH(D196,Owners!$A$4:$A$21,0))</f>
        <v>0</v>
      </c>
    </row>
    <row r="197" customFormat="false" ht="15" hidden="false" customHeight="false" outlineLevel="0" collapsed="false">
      <c r="A197" s="4" t="s">
        <v>495</v>
      </c>
      <c r="B197" s="4" t="s">
        <v>124</v>
      </c>
      <c r="C197" s="4" t="s">
        <v>248</v>
      </c>
      <c r="D197" s="4" t="s">
        <v>301</v>
      </c>
      <c r="E197" s="4" t="s">
        <v>202</v>
      </c>
      <c r="F197" s="4" t="s">
        <v>277</v>
      </c>
      <c r="G197" s="5" t="n">
        <v>46249.1423611111</v>
      </c>
      <c r="H197" s="5" t="n">
        <v>46250.6868055556</v>
      </c>
      <c r="I197" s="5" t="n">
        <v>46250.7659722222</v>
      </c>
      <c r="J197" s="4" t="s">
        <v>284</v>
      </c>
      <c r="K197" s="4" t="s">
        <v>495</v>
      </c>
      <c r="L197" s="4" t="s">
        <v>248</v>
      </c>
      <c r="M197" s="4" t="n">
        <v>1</v>
      </c>
      <c r="N197" s="4" t="n">
        <v>1</v>
      </c>
      <c r="O197" s="4" t="n">
        <v>0</v>
      </c>
      <c r="P197" s="12"/>
      <c r="Q197" s="4" t="n">
        <v>0</v>
      </c>
      <c r="R197" s="0" t="str">
        <f aca="false">INDEX(Owners!$B$4:$B$21,MATCH(D197,Owners!$A$4:$A$21,0))</f>
        <v>Data Platform</v>
      </c>
      <c r="S197" s="6" t="b">
        <f aca="false">AND(F197="closed",ISNUMBER(H197),H197&lt;=Controls!$B$4)</f>
        <v>1</v>
      </c>
      <c r="T197" s="6" t="b">
        <f aca="false">AND(ISNUMBER(I197),I197&lt;=Controls!$B$4,J197="rerun",K197=A197,L197=C197,M197=N197,O197=0,I197&gt;=G197,IF(ISNUMBER(P197),I197&gt;=P197,TRUE()))</f>
        <v>1</v>
      </c>
      <c r="U197" s="0" t="str">
        <f aca="false">IF(AND(S197,T197),"resolved",IF(S197,"claimed","open"))</f>
        <v>resolved</v>
      </c>
      <c r="V197" s="11" t="n">
        <f aca="false">ROUND((IF(U197="resolved",I197,IF(U197="claimed",H197,Controls!$B$4))-G197)*24,4)</f>
        <v>38.9667</v>
      </c>
      <c r="W197" s="6" t="b">
        <f aca="false">INDEX(Owners!$E$4:$E$21,MATCH(D197,Owners!$A$4:$A$21,0))</f>
        <v>1</v>
      </c>
    </row>
    <row r="198" customFormat="false" ht="15" hidden="false" customHeight="false" outlineLevel="0" collapsed="false">
      <c r="A198" s="4" t="s">
        <v>496</v>
      </c>
      <c r="B198" s="4" t="s">
        <v>129</v>
      </c>
      <c r="C198" s="4" t="s">
        <v>255</v>
      </c>
      <c r="D198" s="4" t="s">
        <v>497</v>
      </c>
      <c r="E198" s="4" t="s">
        <v>204</v>
      </c>
      <c r="F198" s="4" t="s">
        <v>277</v>
      </c>
      <c r="G198" s="5" t="n">
        <v>46249.1743055556</v>
      </c>
      <c r="H198" s="5" t="n">
        <v>46251.4631944444</v>
      </c>
      <c r="I198" s="5" t="n">
        <v>46251.9347222222</v>
      </c>
      <c r="J198" s="4" t="s">
        <v>284</v>
      </c>
      <c r="K198" s="4" t="s">
        <v>496</v>
      </c>
      <c r="L198" s="4" t="s">
        <v>255</v>
      </c>
      <c r="M198" s="4" t="n">
        <v>1</v>
      </c>
      <c r="N198" s="4" t="n">
        <v>1</v>
      </c>
      <c r="O198" s="4" t="n">
        <v>0</v>
      </c>
      <c r="P198" s="12"/>
      <c r="Q198" s="4" t="n">
        <v>0</v>
      </c>
      <c r="R198" s="0" t="str">
        <f aca="false">INDEX(Owners!$B$4:$B$21,MATCH(D198,Owners!$A$4:$A$21,0))</f>
        <v>Support Operations</v>
      </c>
      <c r="S198" s="6" t="b">
        <f aca="false">AND(F198="closed",ISNUMBER(H198),H198&lt;=Controls!$B$4)</f>
        <v>1</v>
      </c>
      <c r="T198" s="6" t="b">
        <f aca="false">AND(ISNUMBER(I198),I198&lt;=Controls!$B$4,J198="rerun",K198=A198,L198=C198,M198=N198,O198=0,I198&gt;=G198,IF(ISNUMBER(P198),I198&gt;=P198,TRUE()))</f>
        <v>1</v>
      </c>
      <c r="U198" s="0" t="str">
        <f aca="false">IF(AND(S198,T198),"resolved",IF(S198,"claimed","open"))</f>
        <v>resolved</v>
      </c>
      <c r="V198" s="11" t="n">
        <f aca="false">ROUND((IF(U198="resolved",I198,IF(U198="claimed",H198,Controls!$B$4))-G198)*24,4)</f>
        <v>66.25</v>
      </c>
      <c r="W198" s="6" t="b">
        <f aca="false">INDEX(Owners!$E$4:$E$21,MATCH(D198,Owners!$A$4:$A$21,0))</f>
        <v>1</v>
      </c>
    </row>
    <row r="199" customFormat="false" ht="15" hidden="false" customHeight="false" outlineLevel="0" collapsed="false">
      <c r="A199" s="4" t="s">
        <v>498</v>
      </c>
      <c r="B199" s="4" t="s">
        <v>125</v>
      </c>
      <c r="C199" s="4" t="s">
        <v>250</v>
      </c>
      <c r="D199" s="4" t="s">
        <v>334</v>
      </c>
      <c r="E199" s="4" t="s">
        <v>202</v>
      </c>
      <c r="F199" s="4" t="s">
        <v>277</v>
      </c>
      <c r="G199" s="5" t="n">
        <v>46249.1875</v>
      </c>
      <c r="H199" s="5" t="n">
        <v>46253.4236111111</v>
      </c>
      <c r="I199" s="5" t="n">
        <v>46253.9152777778</v>
      </c>
      <c r="J199" s="4" t="s">
        <v>284</v>
      </c>
      <c r="K199" s="4" t="s">
        <v>498</v>
      </c>
      <c r="L199" s="4" t="s">
        <v>250</v>
      </c>
      <c r="M199" s="4" t="n">
        <v>1</v>
      </c>
      <c r="N199" s="4" t="n">
        <v>1</v>
      </c>
      <c r="O199" s="4" t="n">
        <v>0</v>
      </c>
      <c r="P199" s="12"/>
      <c r="Q199" s="4" t="n">
        <v>0</v>
      </c>
      <c r="R199" s="0" t="str">
        <f aca="false">INDEX(Owners!$B$4:$B$21,MATCH(D199,Owners!$A$4:$A$21,0))</f>
        <v>Supply Chain</v>
      </c>
      <c r="S199" s="6" t="b">
        <f aca="false">AND(F199="closed",ISNUMBER(H199),H199&lt;=Controls!$B$4)</f>
        <v>1</v>
      </c>
      <c r="T199" s="6" t="b">
        <f aca="false">AND(ISNUMBER(I199),I199&lt;=Controls!$B$4,J199="rerun",K199=A199,L199=C199,M199=N199,O199=0,I199&gt;=G199,IF(ISNUMBER(P199),I199&gt;=P199,TRUE()))</f>
        <v>1</v>
      </c>
      <c r="U199" s="0" t="str">
        <f aca="false">IF(AND(S199,T199),"resolved",IF(S199,"claimed","open"))</f>
        <v>resolved</v>
      </c>
      <c r="V199" s="11" t="n">
        <f aca="false">ROUND((IF(U199="resolved",I199,IF(U199="claimed",H199,Controls!$B$4))-G199)*24,4)</f>
        <v>113.4667</v>
      </c>
      <c r="W199" s="6" t="b">
        <f aca="false">INDEX(Owners!$E$4:$E$21,MATCH(D199,Owners!$A$4:$A$21,0))</f>
        <v>0</v>
      </c>
    </row>
    <row r="200" customFormat="false" ht="15" hidden="false" customHeight="false" outlineLevel="0" collapsed="false">
      <c r="A200" s="4" t="s">
        <v>499</v>
      </c>
      <c r="B200" s="4" t="s">
        <v>98</v>
      </c>
      <c r="C200" s="4" t="s">
        <v>323</v>
      </c>
      <c r="D200" s="4" t="s">
        <v>324</v>
      </c>
      <c r="E200" s="4" t="s">
        <v>202</v>
      </c>
      <c r="F200" s="4" t="s">
        <v>277</v>
      </c>
      <c r="G200" s="5" t="n">
        <v>46250.0840277778</v>
      </c>
      <c r="H200" s="5" t="n">
        <v>46253.2576388889</v>
      </c>
      <c r="I200" s="5" t="n">
        <v>46253.7020833333</v>
      </c>
      <c r="J200" s="4" t="s">
        <v>284</v>
      </c>
      <c r="K200" s="4" t="s">
        <v>499</v>
      </c>
      <c r="L200" s="4" t="s">
        <v>323</v>
      </c>
      <c r="M200" s="4" t="n">
        <v>1</v>
      </c>
      <c r="N200" s="4" t="n">
        <v>1</v>
      </c>
      <c r="O200" s="4" t="n">
        <v>0</v>
      </c>
      <c r="P200" s="12"/>
      <c r="Q200" s="4" t="n">
        <v>0</v>
      </c>
      <c r="R200" s="0" t="str">
        <f aca="false">INDEX(Owners!$B$4:$B$21,MATCH(D200,Owners!$A$4:$A$21,0))</f>
        <v>Finance Systems</v>
      </c>
      <c r="S200" s="6" t="b">
        <f aca="false">AND(F200="closed",ISNUMBER(H200),H200&lt;=Controls!$B$4)</f>
        <v>1</v>
      </c>
      <c r="T200" s="6" t="b">
        <f aca="false">AND(ISNUMBER(I200),I200&lt;=Controls!$B$4,J200="rerun",K200=A200,L200=C200,M200=N200,O200=0,I200&gt;=G200,IF(ISNUMBER(P200),I200&gt;=P200,TRUE()))</f>
        <v>1</v>
      </c>
      <c r="U200" s="0" t="str">
        <f aca="false">IF(AND(S200,T200),"resolved",IF(S200,"claimed","open"))</f>
        <v>resolved</v>
      </c>
      <c r="V200" s="11" t="n">
        <f aca="false">ROUND((IF(U200="resolved",I200,IF(U200="claimed",H200,Controls!$B$4))-G200)*24,4)</f>
        <v>86.8333</v>
      </c>
      <c r="W200" s="6" t="b">
        <f aca="false">INDEX(Owners!$E$4:$E$21,MATCH(D200,Owners!$A$4:$A$21,0))</f>
        <v>1</v>
      </c>
    </row>
    <row r="201" customFormat="false" ht="15" hidden="false" customHeight="false" outlineLevel="0" collapsed="false">
      <c r="A201" s="4" t="s">
        <v>500</v>
      </c>
      <c r="B201" s="4" t="s">
        <v>115</v>
      </c>
      <c r="C201" s="4" t="s">
        <v>237</v>
      </c>
      <c r="D201" s="4" t="s">
        <v>301</v>
      </c>
      <c r="E201" s="4" t="s">
        <v>210</v>
      </c>
      <c r="F201" s="4" t="s">
        <v>277</v>
      </c>
      <c r="G201" s="5" t="n">
        <v>46250.1152777778</v>
      </c>
      <c r="H201" s="5" t="n">
        <v>46251.8013888889</v>
      </c>
      <c r="I201" s="5" t="n">
        <v>46251.8881944444</v>
      </c>
      <c r="J201" s="4" t="s">
        <v>284</v>
      </c>
      <c r="K201" s="4" t="s">
        <v>500</v>
      </c>
      <c r="L201" s="4" t="s">
        <v>237</v>
      </c>
      <c r="M201" s="4" t="n">
        <v>1</v>
      </c>
      <c r="N201" s="4" t="n">
        <v>1</v>
      </c>
      <c r="O201" s="4" t="n">
        <v>0</v>
      </c>
      <c r="P201" s="12"/>
      <c r="Q201" s="4" t="n">
        <v>0</v>
      </c>
      <c r="R201" s="0" t="str">
        <f aca="false">INDEX(Owners!$B$4:$B$21,MATCH(D201,Owners!$A$4:$A$21,0))</f>
        <v>Data Platform</v>
      </c>
      <c r="S201" s="6" t="b">
        <f aca="false">AND(F201="closed",ISNUMBER(H201),H201&lt;=Controls!$B$4)</f>
        <v>1</v>
      </c>
      <c r="T201" s="6" t="b">
        <f aca="false">AND(ISNUMBER(I201),I201&lt;=Controls!$B$4,J201="rerun",K201=A201,L201=C201,M201=N201,O201=0,I201&gt;=G201,IF(ISNUMBER(P201),I201&gt;=P201,TRUE()))</f>
        <v>1</v>
      </c>
      <c r="U201" s="0" t="str">
        <f aca="false">IF(AND(S201,T201),"resolved",IF(S201,"claimed","open"))</f>
        <v>resolved</v>
      </c>
      <c r="V201" s="11" t="n">
        <f aca="false">ROUND((IF(U201="resolved",I201,IF(U201="claimed",H201,Controls!$B$4))-G201)*24,4)</f>
        <v>42.55</v>
      </c>
      <c r="W201" s="6" t="b">
        <f aca="false">INDEX(Owners!$E$4:$E$21,MATCH(D201,Owners!$A$4:$A$21,0))</f>
        <v>1</v>
      </c>
    </row>
    <row r="202" customFormat="false" ht="15" hidden="false" customHeight="false" outlineLevel="0" collapsed="false">
      <c r="A202" s="4" t="s">
        <v>501</v>
      </c>
      <c r="B202" s="4" t="s">
        <v>122</v>
      </c>
      <c r="C202" s="4" t="s">
        <v>245</v>
      </c>
      <c r="D202" s="4" t="s">
        <v>350</v>
      </c>
      <c r="E202" s="4" t="s">
        <v>204</v>
      </c>
      <c r="F202" s="4" t="s">
        <v>277</v>
      </c>
      <c r="G202" s="5" t="n">
        <v>46250.1291666667</v>
      </c>
      <c r="H202" s="5" t="n">
        <v>46254.1069444444</v>
      </c>
      <c r="I202" s="5" t="n">
        <v>46254.5159722222</v>
      </c>
      <c r="J202" s="4" t="s">
        <v>284</v>
      </c>
      <c r="K202" s="4" t="s">
        <v>501</v>
      </c>
      <c r="L202" s="4" t="s">
        <v>245</v>
      </c>
      <c r="M202" s="4" t="n">
        <v>1</v>
      </c>
      <c r="N202" s="4" t="n">
        <v>1</v>
      </c>
      <c r="O202" s="4" t="n">
        <v>0</v>
      </c>
      <c r="P202" s="12"/>
      <c r="Q202" s="4" t="n">
        <v>0</v>
      </c>
      <c r="R202" s="0" t="str">
        <f aca="false">INDEX(Owners!$B$4:$B$21,MATCH(D202,Owners!$A$4:$A$21,0))</f>
        <v>Supply Chain</v>
      </c>
      <c r="S202" s="6" t="b">
        <f aca="false">AND(F202="closed",ISNUMBER(H202),H202&lt;=Controls!$B$4)</f>
        <v>1</v>
      </c>
      <c r="T202" s="6" t="b">
        <f aca="false">AND(ISNUMBER(I202),I202&lt;=Controls!$B$4,J202="rerun",K202=A202,L202=C202,M202=N202,O202=0,I202&gt;=G202,IF(ISNUMBER(P202),I202&gt;=P202,TRUE()))</f>
        <v>1</v>
      </c>
      <c r="U202" s="0" t="str">
        <f aca="false">IF(AND(S202,T202),"resolved",IF(S202,"claimed","open"))</f>
        <v>resolved</v>
      </c>
      <c r="V202" s="11" t="n">
        <f aca="false">ROUND((IF(U202="resolved",I202,IF(U202="claimed",H202,Controls!$B$4))-G202)*24,4)</f>
        <v>105.2833</v>
      </c>
      <c r="W202" s="6" t="b">
        <f aca="false">INDEX(Owners!$E$4:$E$21,MATCH(D202,Owners!$A$4:$A$21,0))</f>
        <v>1</v>
      </c>
    </row>
    <row r="203" customFormat="false" ht="15" hidden="false" customHeight="false" outlineLevel="0" collapsed="false">
      <c r="A203" s="4" t="s">
        <v>502</v>
      </c>
      <c r="B203" s="4" t="s">
        <v>109</v>
      </c>
      <c r="C203" s="4" t="s">
        <v>307</v>
      </c>
      <c r="D203" s="4" t="s">
        <v>292</v>
      </c>
      <c r="E203" s="4" t="s">
        <v>202</v>
      </c>
      <c r="F203" s="4" t="s">
        <v>277</v>
      </c>
      <c r="G203" s="5" t="n">
        <v>46250.1555555556</v>
      </c>
      <c r="H203" s="5" t="n">
        <v>46251.4069444445</v>
      </c>
      <c r="I203" s="5" t="n">
        <v>46251.5840277778</v>
      </c>
      <c r="J203" s="4" t="s">
        <v>284</v>
      </c>
      <c r="K203" s="4" t="s">
        <v>502</v>
      </c>
      <c r="L203" s="4" t="s">
        <v>307</v>
      </c>
      <c r="M203" s="4" t="n">
        <v>1</v>
      </c>
      <c r="N203" s="4" t="n">
        <v>1</v>
      </c>
      <c r="O203" s="4" t="n">
        <v>0</v>
      </c>
      <c r="P203" s="12"/>
      <c r="Q203" s="4" t="n">
        <v>0</v>
      </c>
      <c r="R203" s="0" t="str">
        <f aca="false">INDEX(Owners!$B$4:$B$21,MATCH(D203,Owners!$A$4:$A$21,0))</f>
        <v>Support Operations</v>
      </c>
      <c r="S203" s="6" t="b">
        <f aca="false">AND(F203="closed",ISNUMBER(H203),H203&lt;=Controls!$B$4)</f>
        <v>1</v>
      </c>
      <c r="T203" s="6" t="b">
        <f aca="false">AND(ISNUMBER(I203),I203&lt;=Controls!$B$4,J203="rerun",K203=A203,L203=C203,M203=N203,O203=0,I203&gt;=G203,IF(ISNUMBER(P203),I203&gt;=P203,TRUE()))</f>
        <v>1</v>
      </c>
      <c r="U203" s="0" t="str">
        <f aca="false">IF(AND(S203,T203),"resolved",IF(S203,"claimed","open"))</f>
        <v>resolved</v>
      </c>
      <c r="V203" s="11" t="n">
        <f aca="false">ROUND((IF(U203="resolved",I203,IF(U203="claimed",H203,Controls!$B$4))-G203)*24,4)</f>
        <v>34.2833</v>
      </c>
      <c r="W203" s="6" t="b">
        <f aca="false">INDEX(Owners!$E$4:$E$21,MATCH(D203,Owners!$A$4:$A$21,0))</f>
        <v>1</v>
      </c>
    </row>
    <row r="204" customFormat="false" ht="15" hidden="false" customHeight="false" outlineLevel="0" collapsed="false">
      <c r="A204" s="4" t="s">
        <v>503</v>
      </c>
      <c r="B204" s="4" t="s">
        <v>119</v>
      </c>
      <c r="C204" s="4" t="s">
        <v>243</v>
      </c>
      <c r="D204" s="4" t="s">
        <v>292</v>
      </c>
      <c r="E204" s="4" t="s">
        <v>202</v>
      </c>
      <c r="F204" s="4" t="s">
        <v>277</v>
      </c>
      <c r="G204" s="5" t="n">
        <v>46250.1604166667</v>
      </c>
      <c r="H204" s="5" t="n">
        <v>46254.9715277778</v>
      </c>
      <c r="I204" s="5" t="n">
        <v>46255.2284722222</v>
      </c>
      <c r="J204" s="4" t="s">
        <v>284</v>
      </c>
      <c r="K204" s="4" t="s">
        <v>503</v>
      </c>
      <c r="L204" s="4" t="s">
        <v>243</v>
      </c>
      <c r="M204" s="4" t="n">
        <v>1</v>
      </c>
      <c r="N204" s="4" t="n">
        <v>1</v>
      </c>
      <c r="O204" s="4" t="n">
        <v>0</v>
      </c>
      <c r="P204" s="12"/>
      <c r="Q204" s="4" t="n">
        <v>0</v>
      </c>
      <c r="R204" s="0" t="str">
        <f aca="false">INDEX(Owners!$B$4:$B$21,MATCH(D204,Owners!$A$4:$A$21,0))</f>
        <v>Support Operations</v>
      </c>
      <c r="S204" s="6" t="b">
        <f aca="false">AND(F204="closed",ISNUMBER(H204),H204&lt;=Controls!$B$4)</f>
        <v>1</v>
      </c>
      <c r="T204" s="6" t="b">
        <f aca="false">AND(ISNUMBER(I204),I204&lt;=Controls!$B$4,J204="rerun",K204=A204,L204=C204,M204=N204,O204=0,I204&gt;=G204,IF(ISNUMBER(P204),I204&gt;=P204,TRUE()))</f>
        <v>1</v>
      </c>
      <c r="U204" s="0" t="str">
        <f aca="false">IF(AND(S204,T204),"resolved",IF(S204,"claimed","open"))</f>
        <v>resolved</v>
      </c>
      <c r="V204" s="11" t="n">
        <f aca="false">ROUND((IF(U204="resolved",I204,IF(U204="claimed",H204,Controls!$B$4))-G204)*24,4)</f>
        <v>121.6333</v>
      </c>
      <c r="W204" s="6" t="b">
        <f aca="false">INDEX(Owners!$E$4:$E$21,MATCH(D204,Owners!$A$4:$A$21,0))</f>
        <v>1</v>
      </c>
    </row>
    <row r="205" customFormat="false" ht="15" hidden="false" customHeight="false" outlineLevel="0" collapsed="false">
      <c r="A205" s="4" t="s">
        <v>504</v>
      </c>
      <c r="B205" s="4" t="s">
        <v>113</v>
      </c>
      <c r="C205" s="4" t="s">
        <v>232</v>
      </c>
      <c r="D205" s="4" t="s">
        <v>296</v>
      </c>
      <c r="E205" s="4" t="s">
        <v>202</v>
      </c>
      <c r="F205" s="4" t="s">
        <v>277</v>
      </c>
      <c r="G205" s="5" t="n">
        <v>46250.1826388889</v>
      </c>
      <c r="H205" s="5" t="n">
        <v>46253.5555555556</v>
      </c>
      <c r="I205" s="12"/>
      <c r="N205" s="4" t="n">
        <v>1</v>
      </c>
      <c r="P205" s="12"/>
      <c r="Q205" s="4" t="n">
        <v>0</v>
      </c>
      <c r="R205" s="0" t="str">
        <f aca="false">INDEX(Owners!$B$4:$B$21,MATCH(D205,Owners!$A$4:$A$21,0))</f>
        <v>Data Platform</v>
      </c>
      <c r="S205" s="6" t="b">
        <f aca="false">AND(F205="closed",ISNUMBER(H205),H205&lt;=Controls!$B$4)</f>
        <v>1</v>
      </c>
      <c r="T205" s="6" t="b">
        <f aca="false">AND(ISNUMBER(I205),I205&lt;=Controls!$B$4,J205="rerun",K205=A205,L205=C205,M205=N205,O205=0,I205&gt;=G205,IF(ISNUMBER(P205),I205&gt;=P205,TRUE()))</f>
        <v>0</v>
      </c>
      <c r="U205" s="0" t="str">
        <f aca="false">IF(AND(S205,T205),"resolved",IF(S205,"claimed","open"))</f>
        <v>claimed</v>
      </c>
      <c r="V205" s="11" t="n">
        <f aca="false">ROUND((IF(U205="resolved",I205,IF(U205="claimed",H205,Controls!$B$4))-G205)*24,4)</f>
        <v>80.95</v>
      </c>
      <c r="W205" s="6" t="b">
        <f aca="false">INDEX(Owners!$E$4:$E$21,MATCH(D205,Owners!$A$4:$A$21,0))</f>
        <v>1</v>
      </c>
    </row>
    <row r="206" customFormat="false" ht="15" hidden="false" customHeight="false" outlineLevel="0" collapsed="false">
      <c r="A206" s="4" t="s">
        <v>505</v>
      </c>
      <c r="B206" s="4" t="s">
        <v>110</v>
      </c>
      <c r="C206" s="4" t="s">
        <v>228</v>
      </c>
      <c r="D206" s="4" t="s">
        <v>286</v>
      </c>
      <c r="E206" s="4" t="s">
        <v>202</v>
      </c>
      <c r="F206" s="4" t="s">
        <v>277</v>
      </c>
      <c r="G206" s="5" t="n">
        <v>46250.2145833333</v>
      </c>
      <c r="H206" s="5" t="n">
        <v>46251.9006944444</v>
      </c>
      <c r="I206" s="5" t="n">
        <v>46252.1645833333</v>
      </c>
      <c r="J206" s="4" t="s">
        <v>284</v>
      </c>
      <c r="K206" s="4" t="s">
        <v>505</v>
      </c>
      <c r="L206" s="4" t="s">
        <v>228</v>
      </c>
      <c r="M206" s="4" t="n">
        <v>2</v>
      </c>
      <c r="N206" s="4" t="n">
        <v>2</v>
      </c>
      <c r="O206" s="4" t="n">
        <v>0</v>
      </c>
      <c r="P206" s="12"/>
      <c r="Q206" s="4" t="n">
        <v>0</v>
      </c>
      <c r="R206" s="0" t="str">
        <f aca="false">INDEX(Owners!$B$4:$B$21,MATCH(D206,Owners!$A$4:$A$21,0))</f>
        <v>Finance Systems</v>
      </c>
      <c r="S206" s="6" t="b">
        <f aca="false">AND(F206="closed",ISNUMBER(H206),H206&lt;=Controls!$B$4)</f>
        <v>1</v>
      </c>
      <c r="T206" s="6" t="b">
        <f aca="false">AND(ISNUMBER(I206),I206&lt;=Controls!$B$4,J206="rerun",K206=A206,L206=C206,M206=N206,O206=0,I206&gt;=G206,IF(ISNUMBER(P206),I206&gt;=P206,TRUE()))</f>
        <v>1</v>
      </c>
      <c r="U206" s="0" t="str">
        <f aca="false">IF(AND(S206,T206),"resolved",IF(S206,"claimed","open"))</f>
        <v>resolved</v>
      </c>
      <c r="V206" s="11" t="n">
        <f aca="false">ROUND((IF(U206="resolved",I206,IF(U206="claimed",H206,Controls!$B$4))-G206)*24,4)</f>
        <v>46.8</v>
      </c>
      <c r="W206" s="6" t="b">
        <f aca="false">INDEX(Owners!$E$4:$E$21,MATCH(D206,Owners!$A$4:$A$21,0))</f>
        <v>0</v>
      </c>
    </row>
    <row r="207" customFormat="false" ht="15" hidden="false" customHeight="false" outlineLevel="0" collapsed="false">
      <c r="A207" s="4" t="s">
        <v>506</v>
      </c>
      <c r="B207" s="4" t="s">
        <v>98</v>
      </c>
      <c r="C207" s="4" t="s">
        <v>211</v>
      </c>
      <c r="D207" s="4" t="s">
        <v>324</v>
      </c>
      <c r="E207" s="4" t="s">
        <v>204</v>
      </c>
      <c r="F207" s="4" t="s">
        <v>277</v>
      </c>
      <c r="G207" s="5" t="n">
        <v>46250.2416666667</v>
      </c>
      <c r="H207" s="5" t="n">
        <v>46256.025</v>
      </c>
      <c r="I207" s="5" t="n">
        <v>46256.4875</v>
      </c>
      <c r="J207" s="4" t="s">
        <v>284</v>
      </c>
      <c r="K207" s="4" t="s">
        <v>506</v>
      </c>
      <c r="L207" s="4" t="s">
        <v>211</v>
      </c>
      <c r="M207" s="4" t="n">
        <v>3</v>
      </c>
      <c r="N207" s="4" t="n">
        <v>3</v>
      </c>
      <c r="O207" s="4" t="n">
        <v>0</v>
      </c>
      <c r="P207" s="12"/>
      <c r="Q207" s="4" t="n">
        <v>0</v>
      </c>
      <c r="R207" s="0" t="str">
        <f aca="false">INDEX(Owners!$B$4:$B$21,MATCH(D207,Owners!$A$4:$A$21,0))</f>
        <v>Finance Systems</v>
      </c>
      <c r="S207" s="6" t="b">
        <f aca="false">AND(F207="closed",ISNUMBER(H207),H207&lt;=Controls!$B$4)</f>
        <v>1</v>
      </c>
      <c r="T207" s="6" t="b">
        <f aca="false">AND(ISNUMBER(I207),I207&lt;=Controls!$B$4,J207="rerun",K207=A207,L207=C207,M207=N207,O207=0,I207&gt;=G207,IF(ISNUMBER(P207),I207&gt;=P207,TRUE()))</f>
        <v>1</v>
      </c>
      <c r="U207" s="0" t="str">
        <f aca="false">IF(AND(S207,T207),"resolved",IF(S207,"claimed","open"))</f>
        <v>resolved</v>
      </c>
      <c r="V207" s="11" t="n">
        <f aca="false">ROUND((IF(U207="resolved",I207,IF(U207="claimed",H207,Controls!$B$4))-G207)*24,4)</f>
        <v>149.9</v>
      </c>
      <c r="W207" s="6" t="b">
        <f aca="false">INDEX(Owners!$E$4:$E$21,MATCH(D207,Owners!$A$4:$A$21,0))</f>
        <v>1</v>
      </c>
    </row>
    <row r="208" customFormat="false" ht="15" hidden="false" customHeight="false" outlineLevel="0" collapsed="false">
      <c r="A208" s="4" t="s">
        <v>507</v>
      </c>
      <c r="B208" s="4" t="s">
        <v>103</v>
      </c>
      <c r="C208" s="4" t="s">
        <v>218</v>
      </c>
      <c r="D208" s="4" t="s">
        <v>350</v>
      </c>
      <c r="E208" s="4" t="s">
        <v>202</v>
      </c>
      <c r="F208" s="4" t="s">
        <v>277</v>
      </c>
      <c r="G208" s="5" t="n">
        <v>46251.0979166667</v>
      </c>
      <c r="H208" s="5" t="n">
        <v>46254.43125</v>
      </c>
      <c r="I208" s="5" t="n">
        <v>46254.9513888889</v>
      </c>
      <c r="J208" s="4" t="s">
        <v>284</v>
      </c>
      <c r="K208" s="4" t="s">
        <v>507</v>
      </c>
      <c r="L208" s="4" t="s">
        <v>218</v>
      </c>
      <c r="M208" s="4" t="n">
        <v>1</v>
      </c>
      <c r="N208" s="4" t="n">
        <v>1</v>
      </c>
      <c r="O208" s="4" t="n">
        <v>0</v>
      </c>
      <c r="P208" s="12"/>
      <c r="Q208" s="4" t="n">
        <v>0</v>
      </c>
      <c r="R208" s="0" t="str">
        <f aca="false">INDEX(Owners!$B$4:$B$21,MATCH(D208,Owners!$A$4:$A$21,0))</f>
        <v>Supply Chain</v>
      </c>
      <c r="S208" s="6" t="b">
        <f aca="false">AND(F208="closed",ISNUMBER(H208),H208&lt;=Controls!$B$4)</f>
        <v>1</v>
      </c>
      <c r="T208" s="6" t="b">
        <f aca="false">AND(ISNUMBER(I208),I208&lt;=Controls!$B$4,J208="rerun",K208=A208,L208=C208,M208=N208,O208=0,I208&gt;=G208,IF(ISNUMBER(P208),I208&gt;=P208,TRUE()))</f>
        <v>1</v>
      </c>
      <c r="U208" s="0" t="str">
        <f aca="false">IF(AND(S208,T208),"resolved",IF(S208,"claimed","open"))</f>
        <v>resolved</v>
      </c>
      <c r="V208" s="11" t="n">
        <f aca="false">ROUND((IF(U208="resolved",I208,IF(U208="claimed",H208,Controls!$B$4))-G208)*24,4)</f>
        <v>92.4833</v>
      </c>
      <c r="W208" s="6" t="b">
        <f aca="false">INDEX(Owners!$E$4:$E$21,MATCH(D208,Owners!$A$4:$A$21,0))</f>
        <v>1</v>
      </c>
    </row>
    <row r="209" customFormat="false" ht="15" hidden="false" customHeight="false" outlineLevel="0" collapsed="false">
      <c r="A209" s="4" t="s">
        <v>508</v>
      </c>
      <c r="B209" s="4" t="s">
        <v>128</v>
      </c>
      <c r="C209" s="4" t="s">
        <v>253</v>
      </c>
      <c r="D209" s="4" t="s">
        <v>283</v>
      </c>
      <c r="E209" s="4" t="s">
        <v>204</v>
      </c>
      <c r="F209" s="4" t="s">
        <v>277</v>
      </c>
      <c r="G209" s="5" t="n">
        <v>46251.1111111111</v>
      </c>
      <c r="H209" s="5" t="n">
        <v>46252.8090277778</v>
      </c>
      <c r="I209" s="5" t="n">
        <v>46252.9430555556</v>
      </c>
      <c r="J209" s="4" t="s">
        <v>284</v>
      </c>
      <c r="K209" s="4" t="s">
        <v>508</v>
      </c>
      <c r="L209" s="4" t="s">
        <v>253</v>
      </c>
      <c r="M209" s="4" t="n">
        <v>1</v>
      </c>
      <c r="N209" s="4" t="n">
        <v>1</v>
      </c>
      <c r="O209" s="4" t="n">
        <v>0</v>
      </c>
      <c r="P209" s="12"/>
      <c r="Q209" s="4" t="n">
        <v>0</v>
      </c>
      <c r="R209" s="0" t="str">
        <f aca="false">INDEX(Owners!$B$4:$B$21,MATCH(D209,Owners!$A$4:$A$21,0))</f>
        <v>Data Platform</v>
      </c>
      <c r="S209" s="6" t="b">
        <f aca="false">AND(F209="closed",ISNUMBER(H209),H209&lt;=Controls!$B$4)</f>
        <v>1</v>
      </c>
      <c r="T209" s="6" t="b">
        <f aca="false">AND(ISNUMBER(I209),I209&lt;=Controls!$B$4,J209="rerun",K209=A209,L209=C209,M209=N209,O209=0,I209&gt;=G209,IF(ISNUMBER(P209),I209&gt;=P209,TRUE()))</f>
        <v>1</v>
      </c>
      <c r="U209" s="0" t="str">
        <f aca="false">IF(AND(S209,T209),"resolved",IF(S209,"claimed","open"))</f>
        <v>resolved</v>
      </c>
      <c r="V209" s="11" t="n">
        <f aca="false">ROUND((IF(U209="resolved",I209,IF(U209="claimed",H209,Controls!$B$4))-G209)*24,4)</f>
        <v>43.9667</v>
      </c>
      <c r="W209" s="6" t="b">
        <f aca="false">INDEX(Owners!$E$4:$E$21,MATCH(D209,Owners!$A$4:$A$21,0))</f>
        <v>1</v>
      </c>
    </row>
    <row r="210" customFormat="false" ht="15" hidden="false" customHeight="false" outlineLevel="0" collapsed="false">
      <c r="A210" s="4" t="s">
        <v>509</v>
      </c>
      <c r="B210" s="4" t="s">
        <v>106</v>
      </c>
      <c r="C210" s="4" t="s">
        <v>221</v>
      </c>
      <c r="D210" s="4" t="s">
        <v>301</v>
      </c>
      <c r="E210" s="4" t="s">
        <v>202</v>
      </c>
      <c r="F210" s="4" t="s">
        <v>277</v>
      </c>
      <c r="G210" s="5" t="n">
        <v>46251.9930555556</v>
      </c>
      <c r="H210" s="5" t="n">
        <v>46254.3055555556</v>
      </c>
      <c r="I210" s="12"/>
      <c r="N210" s="4" t="n">
        <v>1</v>
      </c>
      <c r="P210" s="12"/>
      <c r="Q210" s="4" t="n">
        <v>0</v>
      </c>
      <c r="R210" s="0" t="str">
        <f aca="false">INDEX(Owners!$B$4:$B$21,MATCH(D210,Owners!$A$4:$A$21,0))</f>
        <v>Data Platform</v>
      </c>
      <c r="S210" s="6" t="b">
        <f aca="false">AND(F210="closed",ISNUMBER(H210),H210&lt;=Controls!$B$4)</f>
        <v>1</v>
      </c>
      <c r="T210" s="6" t="b">
        <f aca="false">AND(ISNUMBER(I210),I210&lt;=Controls!$B$4,J210="rerun",K210=A210,L210=C210,M210=N210,O210=0,I210&gt;=G210,IF(ISNUMBER(P210),I210&gt;=P210,TRUE()))</f>
        <v>0</v>
      </c>
      <c r="U210" s="0" t="str">
        <f aca="false">IF(AND(S210,T210),"resolved",IF(S210,"claimed","open"))</f>
        <v>claimed</v>
      </c>
      <c r="V210" s="11" t="n">
        <f aca="false">ROUND((IF(U210="resolved",I210,IF(U210="claimed",H210,Controls!$B$4))-G210)*24,4)</f>
        <v>55.5</v>
      </c>
      <c r="W210" s="6" t="b">
        <f aca="false">INDEX(Owners!$E$4:$E$21,MATCH(D210,Owners!$A$4:$A$21,0))</f>
        <v>1</v>
      </c>
    </row>
    <row r="211" customFormat="false" ht="15" hidden="false" customHeight="false" outlineLevel="0" collapsed="false">
      <c r="A211" s="4" t="s">
        <v>510</v>
      </c>
      <c r="B211" s="4" t="s">
        <v>131</v>
      </c>
      <c r="C211" s="4" t="s">
        <v>258</v>
      </c>
      <c r="D211" s="4" t="s">
        <v>283</v>
      </c>
      <c r="E211" s="4" t="s">
        <v>202</v>
      </c>
      <c r="F211" s="4" t="s">
        <v>277</v>
      </c>
      <c r="G211" s="5" t="n">
        <v>46251.9930555556</v>
      </c>
      <c r="H211" s="5" t="n">
        <v>46254.7659722222</v>
      </c>
      <c r="I211" s="12"/>
      <c r="N211" s="4" t="n">
        <v>1</v>
      </c>
      <c r="P211" s="12"/>
      <c r="Q211" s="4" t="n">
        <v>0</v>
      </c>
      <c r="R211" s="0" t="str">
        <f aca="false">INDEX(Owners!$B$4:$B$21,MATCH(D211,Owners!$A$4:$A$21,0))</f>
        <v>Data Platform</v>
      </c>
      <c r="S211" s="6" t="b">
        <f aca="false">AND(F211="closed",ISNUMBER(H211),H211&lt;=Controls!$B$4)</f>
        <v>1</v>
      </c>
      <c r="T211" s="6" t="b">
        <f aca="false">AND(ISNUMBER(I211),I211&lt;=Controls!$B$4,J211="rerun",K211=A211,L211=C211,M211=N211,O211=0,I211&gt;=G211,IF(ISNUMBER(P211),I211&gt;=P211,TRUE()))</f>
        <v>0</v>
      </c>
      <c r="U211" s="0" t="str">
        <f aca="false">IF(AND(S211,T211),"resolved",IF(S211,"claimed","open"))</f>
        <v>claimed</v>
      </c>
      <c r="V211" s="11" t="n">
        <f aca="false">ROUND((IF(U211="resolved",I211,IF(U211="claimed",H211,Controls!$B$4))-G211)*24,4)</f>
        <v>66.55</v>
      </c>
      <c r="W211" s="6" t="b">
        <f aca="false">INDEX(Owners!$E$4:$E$21,MATCH(D211,Owners!$A$4:$A$21,0))</f>
        <v>1</v>
      </c>
    </row>
    <row r="212" customFormat="false" ht="15" hidden="false" customHeight="false" outlineLevel="0" collapsed="false">
      <c r="A212" s="4" t="s">
        <v>511</v>
      </c>
      <c r="B212" s="4" t="s">
        <v>124</v>
      </c>
      <c r="C212" s="4" t="s">
        <v>248</v>
      </c>
      <c r="D212" s="4" t="s">
        <v>301</v>
      </c>
      <c r="E212" s="4" t="s">
        <v>202</v>
      </c>
      <c r="F212" s="4" t="s">
        <v>277</v>
      </c>
      <c r="G212" s="5" t="n">
        <v>46252.1423611111</v>
      </c>
      <c r="H212" s="5" t="n">
        <v>46252.7368055556</v>
      </c>
      <c r="I212" s="5" t="n">
        <v>46252.9131944445</v>
      </c>
      <c r="J212" s="4" t="s">
        <v>284</v>
      </c>
      <c r="K212" s="4" t="s">
        <v>511</v>
      </c>
      <c r="L212" s="4" t="s">
        <v>248</v>
      </c>
      <c r="M212" s="4" t="n">
        <v>1</v>
      </c>
      <c r="N212" s="4" t="n">
        <v>1</v>
      </c>
      <c r="O212" s="4" t="n">
        <v>0</v>
      </c>
      <c r="P212" s="12"/>
      <c r="Q212" s="4" t="n">
        <v>0</v>
      </c>
      <c r="R212" s="0" t="str">
        <f aca="false">INDEX(Owners!$B$4:$B$21,MATCH(D212,Owners!$A$4:$A$21,0))</f>
        <v>Data Platform</v>
      </c>
      <c r="S212" s="6" t="b">
        <f aca="false">AND(F212="closed",ISNUMBER(H212),H212&lt;=Controls!$B$4)</f>
        <v>1</v>
      </c>
      <c r="T212" s="6" t="b">
        <f aca="false">AND(ISNUMBER(I212),I212&lt;=Controls!$B$4,J212="rerun",K212=A212,L212=C212,M212=N212,O212=0,I212&gt;=G212,IF(ISNUMBER(P212),I212&gt;=P212,TRUE()))</f>
        <v>1</v>
      </c>
      <c r="U212" s="0" t="str">
        <f aca="false">IF(AND(S212,T212),"resolved",IF(S212,"claimed","open"))</f>
        <v>resolved</v>
      </c>
      <c r="V212" s="11" t="n">
        <f aca="false">ROUND((IF(U212="resolved",I212,IF(U212="claimed",H212,Controls!$B$4))-G212)*24,4)</f>
        <v>18.5</v>
      </c>
      <c r="W212" s="6" t="b">
        <f aca="false">INDEX(Owners!$E$4:$E$21,MATCH(D212,Owners!$A$4:$A$21,0))</f>
        <v>1</v>
      </c>
    </row>
    <row r="213" customFormat="false" ht="15" hidden="false" customHeight="false" outlineLevel="0" collapsed="false">
      <c r="A213" s="4" t="s">
        <v>512</v>
      </c>
      <c r="B213" s="4" t="s">
        <v>124</v>
      </c>
      <c r="C213" s="4" t="s">
        <v>247</v>
      </c>
      <c r="D213" s="4" t="s">
        <v>301</v>
      </c>
      <c r="E213" s="4" t="s">
        <v>202</v>
      </c>
      <c r="F213" s="4" t="s">
        <v>277</v>
      </c>
      <c r="G213" s="5" t="n">
        <v>46252.1513888889</v>
      </c>
      <c r="H213" s="5" t="n">
        <v>46255.1444444444</v>
      </c>
      <c r="I213" s="12"/>
      <c r="N213" s="4" t="n">
        <v>1</v>
      </c>
      <c r="P213" s="12"/>
      <c r="Q213" s="4" t="n">
        <v>0</v>
      </c>
      <c r="R213" s="0" t="str">
        <f aca="false">INDEX(Owners!$B$4:$B$21,MATCH(D213,Owners!$A$4:$A$21,0))</f>
        <v>Data Platform</v>
      </c>
      <c r="S213" s="6" t="b">
        <f aca="false">AND(F213="closed",ISNUMBER(H213),H213&lt;=Controls!$B$4)</f>
        <v>1</v>
      </c>
      <c r="T213" s="6" t="b">
        <f aca="false">AND(ISNUMBER(I213),I213&lt;=Controls!$B$4,J213="rerun",K213=A213,L213=C213,M213=N213,O213=0,I213&gt;=G213,IF(ISNUMBER(P213),I213&gt;=P213,TRUE()))</f>
        <v>0</v>
      </c>
      <c r="U213" s="0" t="str">
        <f aca="false">IF(AND(S213,T213),"resolved",IF(S213,"claimed","open"))</f>
        <v>claimed</v>
      </c>
      <c r="V213" s="11" t="n">
        <f aca="false">ROUND((IF(U213="resolved",I213,IF(U213="claimed",H213,Controls!$B$4))-G213)*24,4)</f>
        <v>71.8333</v>
      </c>
      <c r="W213" s="6" t="b">
        <f aca="false">INDEX(Owners!$E$4:$E$21,MATCH(D213,Owners!$A$4:$A$21,0))</f>
        <v>1</v>
      </c>
    </row>
    <row r="214" customFormat="false" ht="15" hidden="false" customHeight="false" outlineLevel="0" collapsed="false">
      <c r="A214" s="4" t="s">
        <v>513</v>
      </c>
      <c r="B214" s="4" t="s">
        <v>119</v>
      </c>
      <c r="C214" s="4" t="s">
        <v>243</v>
      </c>
      <c r="D214" s="4" t="s">
        <v>292</v>
      </c>
      <c r="E214" s="4" t="s">
        <v>202</v>
      </c>
      <c r="F214" s="4" t="s">
        <v>277</v>
      </c>
      <c r="G214" s="5" t="n">
        <v>46252.1604166667</v>
      </c>
      <c r="H214" s="5" t="n">
        <v>46254.7909722222</v>
      </c>
      <c r="I214" s="5" t="n">
        <v>46255.1486111111</v>
      </c>
      <c r="J214" s="4" t="s">
        <v>284</v>
      </c>
      <c r="K214" s="4" t="s">
        <v>513</v>
      </c>
      <c r="L214" s="4" t="s">
        <v>243</v>
      </c>
      <c r="M214" s="4" t="n">
        <v>1</v>
      </c>
      <c r="N214" s="4" t="n">
        <v>1</v>
      </c>
      <c r="O214" s="4" t="n">
        <v>0</v>
      </c>
      <c r="P214" s="12"/>
      <c r="Q214" s="4" t="n">
        <v>0</v>
      </c>
      <c r="R214" s="0" t="str">
        <f aca="false">INDEX(Owners!$B$4:$B$21,MATCH(D214,Owners!$A$4:$A$21,0))</f>
        <v>Support Operations</v>
      </c>
      <c r="S214" s="6" t="b">
        <f aca="false">AND(F214="closed",ISNUMBER(H214),H214&lt;=Controls!$B$4)</f>
        <v>1</v>
      </c>
      <c r="T214" s="6" t="b">
        <f aca="false">AND(ISNUMBER(I214),I214&lt;=Controls!$B$4,J214="rerun",K214=A214,L214=C214,M214=N214,O214=0,I214&gt;=G214,IF(ISNUMBER(P214),I214&gt;=P214,TRUE()))</f>
        <v>1</v>
      </c>
      <c r="U214" s="0" t="str">
        <f aca="false">IF(AND(S214,T214),"resolved",IF(S214,"claimed","open"))</f>
        <v>resolved</v>
      </c>
      <c r="V214" s="11" t="n">
        <f aca="false">ROUND((IF(U214="resolved",I214,IF(U214="claimed",H214,Controls!$B$4))-G214)*24,4)</f>
        <v>71.7167</v>
      </c>
      <c r="W214" s="6" t="b">
        <f aca="false">INDEX(Owners!$E$4:$E$21,MATCH(D214,Owners!$A$4:$A$21,0))</f>
        <v>1</v>
      </c>
    </row>
    <row r="215" customFormat="false" ht="15" hidden="false" customHeight="false" outlineLevel="0" collapsed="false">
      <c r="A215" s="4" t="s">
        <v>514</v>
      </c>
      <c r="B215" s="4" t="s">
        <v>111</v>
      </c>
      <c r="C215" s="4" t="s">
        <v>229</v>
      </c>
      <c r="D215" s="4" t="s">
        <v>296</v>
      </c>
      <c r="E215" s="4" t="s">
        <v>202</v>
      </c>
      <c r="F215" s="4" t="s">
        <v>277</v>
      </c>
      <c r="G215" s="5" t="n">
        <v>46252.1645833333</v>
      </c>
      <c r="H215" s="5" t="n">
        <v>46254.625</v>
      </c>
      <c r="I215" s="12"/>
      <c r="N215" s="4" t="n">
        <v>1</v>
      </c>
      <c r="P215" s="12"/>
      <c r="Q215" s="4" t="n">
        <v>0</v>
      </c>
      <c r="R215" s="0" t="str">
        <f aca="false">INDEX(Owners!$B$4:$B$21,MATCH(D215,Owners!$A$4:$A$21,0))</f>
        <v>Data Platform</v>
      </c>
      <c r="S215" s="6" t="b">
        <f aca="false">AND(F215="closed",ISNUMBER(H215),H215&lt;=Controls!$B$4)</f>
        <v>1</v>
      </c>
      <c r="T215" s="6" t="b">
        <f aca="false">AND(ISNUMBER(I215),I215&lt;=Controls!$B$4,J215="rerun",K215=A215,L215=C215,M215=N215,O215=0,I215&gt;=G215,IF(ISNUMBER(P215),I215&gt;=P215,TRUE()))</f>
        <v>0</v>
      </c>
      <c r="U215" s="0" t="str">
        <f aca="false">IF(AND(S215,T215),"resolved",IF(S215,"claimed","open"))</f>
        <v>claimed</v>
      </c>
      <c r="V215" s="11" t="n">
        <f aca="false">ROUND((IF(U215="resolved",I215,IF(U215="claimed",H215,Controls!$B$4))-G215)*24,4)</f>
        <v>59.05</v>
      </c>
      <c r="W215" s="6" t="b">
        <f aca="false">INDEX(Owners!$E$4:$E$21,MATCH(D215,Owners!$A$4:$A$21,0))</f>
        <v>1</v>
      </c>
    </row>
    <row r="216" customFormat="false" ht="15" hidden="false" customHeight="false" outlineLevel="0" collapsed="false">
      <c r="A216" s="4" t="s">
        <v>515</v>
      </c>
      <c r="B216" s="4" t="s">
        <v>110</v>
      </c>
      <c r="C216" s="4" t="s">
        <v>228</v>
      </c>
      <c r="D216" s="4" t="s">
        <v>286</v>
      </c>
      <c r="E216" s="4" t="s">
        <v>202</v>
      </c>
      <c r="F216" s="4" t="s">
        <v>277</v>
      </c>
      <c r="G216" s="5" t="n">
        <v>46252.2145833333</v>
      </c>
      <c r="H216" s="5" t="n">
        <v>46259.3395833333</v>
      </c>
      <c r="I216" s="5" t="n">
        <v>46259.8291666667</v>
      </c>
      <c r="J216" s="4" t="s">
        <v>284</v>
      </c>
      <c r="K216" s="4" t="s">
        <v>515</v>
      </c>
      <c r="L216" s="4" t="s">
        <v>228</v>
      </c>
      <c r="M216" s="4" t="n">
        <v>2</v>
      </c>
      <c r="N216" s="4" t="n">
        <v>2</v>
      </c>
      <c r="O216" s="4" t="n">
        <v>0</v>
      </c>
      <c r="P216" s="12"/>
      <c r="Q216" s="4" t="n">
        <v>0</v>
      </c>
      <c r="R216" s="0" t="str">
        <f aca="false">INDEX(Owners!$B$4:$B$21,MATCH(D216,Owners!$A$4:$A$21,0))</f>
        <v>Finance Systems</v>
      </c>
      <c r="S216" s="6" t="b">
        <f aca="false">AND(F216="closed",ISNUMBER(H216),H216&lt;=Controls!$B$4)</f>
        <v>1</v>
      </c>
      <c r="T216" s="6" t="b">
        <f aca="false">AND(ISNUMBER(I216),I216&lt;=Controls!$B$4,J216="rerun",K216=A216,L216=C216,M216=N216,O216=0,I216&gt;=G216,IF(ISNUMBER(P216),I216&gt;=P216,TRUE()))</f>
        <v>1</v>
      </c>
      <c r="U216" s="0" t="str">
        <f aca="false">IF(AND(S216,T216),"resolved",IF(S216,"claimed","open"))</f>
        <v>resolved</v>
      </c>
      <c r="V216" s="11" t="n">
        <f aca="false">ROUND((IF(U216="resolved",I216,IF(U216="claimed",H216,Controls!$B$4))-G216)*24,4)</f>
        <v>182.75</v>
      </c>
      <c r="W216" s="6" t="b">
        <f aca="false">INDEX(Owners!$E$4:$E$21,MATCH(D216,Owners!$A$4:$A$21,0))</f>
        <v>0</v>
      </c>
    </row>
    <row r="217" customFormat="false" ht="15" hidden="false" customHeight="false" outlineLevel="0" collapsed="false">
      <c r="A217" s="4" t="s">
        <v>516</v>
      </c>
      <c r="B217" s="4" t="s">
        <v>112</v>
      </c>
      <c r="C217" s="4" t="s">
        <v>231</v>
      </c>
      <c r="D217" s="4" t="s">
        <v>320</v>
      </c>
      <c r="E217" s="4" t="s">
        <v>210</v>
      </c>
      <c r="F217" s="4" t="s">
        <v>277</v>
      </c>
      <c r="G217" s="5" t="n">
        <v>46252.2277777778</v>
      </c>
      <c r="H217" s="5" t="n">
        <v>46263.9291666667</v>
      </c>
      <c r="I217" s="5" t="n">
        <v>46264.4944444444</v>
      </c>
      <c r="J217" s="4" t="s">
        <v>284</v>
      </c>
      <c r="K217" s="4" t="s">
        <v>516</v>
      </c>
      <c r="L217" s="4" t="s">
        <v>231</v>
      </c>
      <c r="M217" s="4" t="n">
        <v>1</v>
      </c>
      <c r="N217" s="4" t="n">
        <v>1</v>
      </c>
      <c r="O217" s="4" t="n">
        <v>0</v>
      </c>
      <c r="P217" s="12"/>
      <c r="Q217" s="4" t="n">
        <v>0</v>
      </c>
      <c r="R217" s="0" t="str">
        <f aca="false">INDEX(Owners!$B$4:$B$21,MATCH(D217,Owners!$A$4:$A$21,0))</f>
        <v>Data Governance</v>
      </c>
      <c r="S217" s="6" t="b">
        <f aca="false">AND(F217="closed",ISNUMBER(H217),H217&lt;=Controls!$B$4)</f>
        <v>1</v>
      </c>
      <c r="T217" s="6" t="b">
        <f aca="false">AND(ISNUMBER(I217),I217&lt;=Controls!$B$4,J217="rerun",K217=A217,L217=C217,M217=N217,O217=0,I217&gt;=G217,IF(ISNUMBER(P217),I217&gt;=P217,TRUE()))</f>
        <v>1</v>
      </c>
      <c r="U217" s="0" t="str">
        <f aca="false">IF(AND(S217,T217),"resolved",IF(S217,"claimed","open"))</f>
        <v>resolved</v>
      </c>
      <c r="V217" s="11" t="n">
        <f aca="false">ROUND((IF(U217="resolved",I217,IF(U217="claimed",H217,Controls!$B$4))-G217)*24,4)</f>
        <v>294.4</v>
      </c>
      <c r="W217" s="6" t="b">
        <f aca="false">INDEX(Owners!$E$4:$E$21,MATCH(D217,Owners!$A$4:$A$21,0))</f>
        <v>1</v>
      </c>
    </row>
    <row r="218" customFormat="false" ht="15" hidden="false" customHeight="false" outlineLevel="0" collapsed="false">
      <c r="A218" s="4" t="s">
        <v>517</v>
      </c>
      <c r="B218" s="4" t="s">
        <v>117</v>
      </c>
      <c r="C218" s="4" t="s">
        <v>240</v>
      </c>
      <c r="D218" s="4" t="s">
        <v>288</v>
      </c>
      <c r="E218" s="4" t="s">
        <v>204</v>
      </c>
      <c r="F218" s="4" t="s">
        <v>277</v>
      </c>
      <c r="G218" s="5" t="n">
        <v>46252.2458333333</v>
      </c>
      <c r="H218" s="5" t="n">
        <v>46254.7430555556</v>
      </c>
      <c r="I218" s="5" t="n">
        <v>46254.8034722222</v>
      </c>
      <c r="J218" s="4" t="s">
        <v>284</v>
      </c>
      <c r="K218" s="4" t="s">
        <v>517</v>
      </c>
      <c r="L218" s="4" t="s">
        <v>240</v>
      </c>
      <c r="M218" s="4" t="n">
        <v>1</v>
      </c>
      <c r="N218" s="4" t="n">
        <v>1</v>
      </c>
      <c r="O218" s="4" t="n">
        <v>0</v>
      </c>
      <c r="P218" s="12"/>
      <c r="Q218" s="4" t="n">
        <v>0</v>
      </c>
      <c r="R218" s="0" t="str">
        <f aca="false">INDEX(Owners!$B$4:$B$21,MATCH(D218,Owners!$A$4:$A$21,0))</f>
        <v>Support Operations</v>
      </c>
      <c r="S218" s="6" t="b">
        <f aca="false">AND(F218="closed",ISNUMBER(H218),H218&lt;=Controls!$B$4)</f>
        <v>1</v>
      </c>
      <c r="T218" s="6" t="b">
        <f aca="false">AND(ISNUMBER(I218),I218&lt;=Controls!$B$4,J218="rerun",K218=A218,L218=C218,M218=N218,O218=0,I218&gt;=G218,IF(ISNUMBER(P218),I218&gt;=P218,TRUE()))</f>
        <v>1</v>
      </c>
      <c r="U218" s="0" t="str">
        <f aca="false">IF(AND(S218,T218),"resolved",IF(S218,"claimed","open"))</f>
        <v>resolved</v>
      </c>
      <c r="V218" s="11" t="n">
        <f aca="false">ROUND((IF(U218="resolved",I218,IF(U218="claimed",H218,Controls!$B$4))-G218)*24,4)</f>
        <v>61.3833</v>
      </c>
      <c r="W218" s="6" t="b">
        <f aca="false">INDEX(Owners!$E$4:$E$21,MATCH(D218,Owners!$A$4:$A$21,0))</f>
        <v>1</v>
      </c>
    </row>
    <row r="219" customFormat="false" ht="15" hidden="false" customHeight="false" outlineLevel="0" collapsed="false">
      <c r="A219" s="4" t="s">
        <v>518</v>
      </c>
      <c r="B219" s="4" t="s">
        <v>113</v>
      </c>
      <c r="C219" s="4" t="s">
        <v>234</v>
      </c>
      <c r="D219" s="4" t="s">
        <v>296</v>
      </c>
      <c r="E219" s="4" t="s">
        <v>204</v>
      </c>
      <c r="F219" s="4" t="s">
        <v>277</v>
      </c>
      <c r="G219" s="5" t="n">
        <v>46252.9930555556</v>
      </c>
      <c r="H219" s="5" t="n">
        <v>46255.3708333333</v>
      </c>
      <c r="I219" s="12"/>
      <c r="N219" s="4" t="n">
        <v>1</v>
      </c>
      <c r="P219" s="12"/>
      <c r="Q219" s="4" t="n">
        <v>0</v>
      </c>
      <c r="R219" s="0" t="str">
        <f aca="false">INDEX(Owners!$B$4:$B$21,MATCH(D219,Owners!$A$4:$A$21,0))</f>
        <v>Data Platform</v>
      </c>
      <c r="S219" s="6" t="b">
        <f aca="false">AND(F219="closed",ISNUMBER(H219),H219&lt;=Controls!$B$4)</f>
        <v>1</v>
      </c>
      <c r="T219" s="6" t="b">
        <f aca="false">AND(ISNUMBER(I219),I219&lt;=Controls!$B$4,J219="rerun",K219=A219,L219=C219,M219=N219,O219=0,I219&gt;=G219,IF(ISNUMBER(P219),I219&gt;=P219,TRUE()))</f>
        <v>0</v>
      </c>
      <c r="U219" s="0" t="str">
        <f aca="false">IF(AND(S219,T219),"resolved",IF(S219,"claimed","open"))</f>
        <v>claimed</v>
      </c>
      <c r="V219" s="11" t="n">
        <f aca="false">ROUND((IF(U219="resolved",I219,IF(U219="claimed",H219,Controls!$B$4))-G219)*24,4)</f>
        <v>57.0667</v>
      </c>
      <c r="W219" s="6" t="b">
        <f aca="false">INDEX(Owners!$E$4:$E$21,MATCH(D219,Owners!$A$4:$A$21,0))</f>
        <v>1</v>
      </c>
    </row>
    <row r="220" customFormat="false" ht="15" hidden="false" customHeight="false" outlineLevel="0" collapsed="false">
      <c r="A220" s="4" t="s">
        <v>519</v>
      </c>
      <c r="B220" s="4" t="s">
        <v>107</v>
      </c>
      <c r="C220" s="4" t="s">
        <v>224</v>
      </c>
      <c r="D220" s="4" t="s">
        <v>326</v>
      </c>
      <c r="E220" s="4" t="s">
        <v>202</v>
      </c>
      <c r="F220" s="4" t="s">
        <v>277</v>
      </c>
      <c r="G220" s="5" t="n">
        <v>46253.0972222222</v>
      </c>
      <c r="H220" s="5" t="n">
        <v>46255.2159722222</v>
      </c>
      <c r="I220" s="12"/>
      <c r="N220" s="4" t="n">
        <v>1</v>
      </c>
      <c r="P220" s="12"/>
      <c r="Q220" s="4" t="n">
        <v>0</v>
      </c>
      <c r="R220" s="0" t="str">
        <f aca="false">INDEX(Owners!$B$4:$B$21,MATCH(D220,Owners!$A$4:$A$21,0))</f>
        <v>Customer Data</v>
      </c>
      <c r="S220" s="6" t="b">
        <f aca="false">AND(F220="closed",ISNUMBER(H220),H220&lt;=Controls!$B$4)</f>
        <v>1</v>
      </c>
      <c r="T220" s="6" t="b">
        <f aca="false">AND(ISNUMBER(I220),I220&lt;=Controls!$B$4,J220="rerun",K220=A220,L220=C220,M220=N220,O220=0,I220&gt;=G220,IF(ISNUMBER(P220),I220&gt;=P220,TRUE()))</f>
        <v>0</v>
      </c>
      <c r="U220" s="0" t="str">
        <f aca="false">IF(AND(S220,T220),"resolved",IF(S220,"claimed","open"))</f>
        <v>claimed</v>
      </c>
      <c r="V220" s="11" t="n">
        <f aca="false">ROUND((IF(U220="resolved",I220,IF(U220="claimed",H220,Controls!$B$4))-G220)*24,4)</f>
        <v>50.85</v>
      </c>
      <c r="W220" s="6" t="b">
        <f aca="false">INDEX(Owners!$E$4:$E$21,MATCH(D220,Owners!$A$4:$A$21,0))</f>
        <v>0</v>
      </c>
    </row>
    <row r="221" customFormat="false" ht="15" hidden="false" customHeight="false" outlineLevel="0" collapsed="false">
      <c r="A221" s="4" t="s">
        <v>520</v>
      </c>
      <c r="B221" s="4" t="s">
        <v>119</v>
      </c>
      <c r="C221" s="4" t="s">
        <v>243</v>
      </c>
      <c r="D221" s="4" t="s">
        <v>292</v>
      </c>
      <c r="E221" s="4" t="s">
        <v>202</v>
      </c>
      <c r="F221" s="4" t="s">
        <v>277</v>
      </c>
      <c r="G221" s="5" t="n">
        <v>46253.1604166667</v>
      </c>
      <c r="H221" s="5" t="n">
        <v>46254.3694444444</v>
      </c>
      <c r="I221" s="5" t="n">
        <v>46254.85625</v>
      </c>
      <c r="J221" s="4" t="s">
        <v>284</v>
      </c>
      <c r="K221" s="4" t="s">
        <v>520</v>
      </c>
      <c r="L221" s="4" t="s">
        <v>243</v>
      </c>
      <c r="M221" s="4" t="n">
        <v>1</v>
      </c>
      <c r="N221" s="4" t="n">
        <v>1</v>
      </c>
      <c r="O221" s="4" t="n">
        <v>0</v>
      </c>
      <c r="P221" s="12"/>
      <c r="Q221" s="4" t="n">
        <v>0</v>
      </c>
      <c r="R221" s="0" t="str">
        <f aca="false">INDEX(Owners!$B$4:$B$21,MATCH(D221,Owners!$A$4:$A$21,0))</f>
        <v>Support Operations</v>
      </c>
      <c r="S221" s="6" t="b">
        <f aca="false">AND(F221="closed",ISNUMBER(H221),H221&lt;=Controls!$B$4)</f>
        <v>1</v>
      </c>
      <c r="T221" s="6" t="b">
        <f aca="false">AND(ISNUMBER(I221),I221&lt;=Controls!$B$4,J221="rerun",K221=A221,L221=C221,M221=N221,O221=0,I221&gt;=G221,IF(ISNUMBER(P221),I221&gt;=P221,TRUE()))</f>
        <v>1</v>
      </c>
      <c r="U221" s="0" t="str">
        <f aca="false">IF(AND(S221,T221),"resolved",IF(S221,"claimed","open"))</f>
        <v>resolved</v>
      </c>
      <c r="V221" s="11" t="n">
        <f aca="false">ROUND((IF(U221="resolved",I221,IF(U221="claimed",H221,Controls!$B$4))-G221)*24,4)</f>
        <v>40.7</v>
      </c>
      <c r="W221" s="6" t="b">
        <f aca="false">INDEX(Owners!$E$4:$E$21,MATCH(D221,Owners!$A$4:$A$21,0))</f>
        <v>1</v>
      </c>
    </row>
    <row r="222" customFormat="false" ht="15" hidden="false" customHeight="false" outlineLevel="0" collapsed="false">
      <c r="A222" s="4" t="s">
        <v>521</v>
      </c>
      <c r="B222" s="4" t="s">
        <v>111</v>
      </c>
      <c r="C222" s="4" t="s">
        <v>229</v>
      </c>
      <c r="D222" s="4" t="s">
        <v>296</v>
      </c>
      <c r="E222" s="4" t="s">
        <v>202</v>
      </c>
      <c r="F222" s="4" t="s">
        <v>277</v>
      </c>
      <c r="G222" s="5" t="n">
        <v>46253.1645833333</v>
      </c>
      <c r="H222" s="5" t="n">
        <v>46256.5722222222</v>
      </c>
      <c r="I222" s="5" t="n">
        <v>46256.6847222222</v>
      </c>
      <c r="J222" s="4" t="s">
        <v>284</v>
      </c>
      <c r="K222" s="4" t="s">
        <v>521</v>
      </c>
      <c r="L222" s="4" t="s">
        <v>229</v>
      </c>
      <c r="M222" s="4" t="n">
        <v>1</v>
      </c>
      <c r="N222" s="4" t="n">
        <v>1</v>
      </c>
      <c r="O222" s="4" t="n">
        <v>0</v>
      </c>
      <c r="P222" s="12"/>
      <c r="Q222" s="4" t="n">
        <v>0</v>
      </c>
      <c r="R222" s="0" t="str">
        <f aca="false">INDEX(Owners!$B$4:$B$21,MATCH(D222,Owners!$A$4:$A$21,0))</f>
        <v>Data Platform</v>
      </c>
      <c r="S222" s="6" t="b">
        <f aca="false">AND(F222="closed",ISNUMBER(H222),H222&lt;=Controls!$B$4)</f>
        <v>1</v>
      </c>
      <c r="T222" s="6" t="b">
        <f aca="false">AND(ISNUMBER(I222),I222&lt;=Controls!$B$4,J222="rerun",K222=A222,L222=C222,M222=N222,O222=0,I222&gt;=G222,IF(ISNUMBER(P222),I222&gt;=P222,TRUE()))</f>
        <v>1</v>
      </c>
      <c r="U222" s="0" t="str">
        <f aca="false">IF(AND(S222,T222),"resolved",IF(S222,"claimed","open"))</f>
        <v>resolved</v>
      </c>
      <c r="V222" s="11" t="n">
        <f aca="false">ROUND((IF(U222="resolved",I222,IF(U222="claimed",H222,Controls!$B$4))-G222)*24,4)</f>
        <v>84.4833</v>
      </c>
      <c r="W222" s="6" t="b">
        <f aca="false">INDEX(Owners!$E$4:$E$21,MATCH(D222,Owners!$A$4:$A$21,0))</f>
        <v>1</v>
      </c>
    </row>
    <row r="223" customFormat="false" ht="15" hidden="false" customHeight="false" outlineLevel="0" collapsed="false">
      <c r="A223" s="4" t="s">
        <v>522</v>
      </c>
      <c r="B223" s="4" t="s">
        <v>113</v>
      </c>
      <c r="C223" s="4" t="s">
        <v>232</v>
      </c>
      <c r="D223" s="4" t="s">
        <v>296</v>
      </c>
      <c r="E223" s="4" t="s">
        <v>202</v>
      </c>
      <c r="F223" s="4" t="s">
        <v>277</v>
      </c>
      <c r="G223" s="5" t="n">
        <v>46253.1826388889</v>
      </c>
      <c r="H223" s="5" t="n">
        <v>46253.8618055556</v>
      </c>
      <c r="I223" s="5" t="n">
        <v>46253.9083333333</v>
      </c>
      <c r="J223" s="4" t="s">
        <v>284</v>
      </c>
      <c r="K223" s="4" t="s">
        <v>522</v>
      </c>
      <c r="L223" s="4" t="s">
        <v>232</v>
      </c>
      <c r="M223" s="4" t="n">
        <v>2</v>
      </c>
      <c r="N223" s="4" t="n">
        <v>2</v>
      </c>
      <c r="O223" s="4" t="n">
        <v>0</v>
      </c>
      <c r="P223" s="12"/>
      <c r="Q223" s="4" t="n">
        <v>0</v>
      </c>
      <c r="R223" s="0" t="str">
        <f aca="false">INDEX(Owners!$B$4:$B$21,MATCH(D223,Owners!$A$4:$A$21,0))</f>
        <v>Data Platform</v>
      </c>
      <c r="S223" s="6" t="b">
        <f aca="false">AND(F223="closed",ISNUMBER(H223),H223&lt;=Controls!$B$4)</f>
        <v>1</v>
      </c>
      <c r="T223" s="6" t="b">
        <f aca="false">AND(ISNUMBER(I223),I223&lt;=Controls!$B$4,J223="rerun",K223=A223,L223=C223,M223=N223,O223=0,I223&gt;=G223,IF(ISNUMBER(P223),I223&gt;=P223,TRUE()))</f>
        <v>1</v>
      </c>
      <c r="U223" s="0" t="str">
        <f aca="false">IF(AND(S223,T223),"resolved",IF(S223,"claimed","open"))</f>
        <v>resolved</v>
      </c>
      <c r="V223" s="11" t="n">
        <f aca="false">ROUND((IF(U223="resolved",I223,IF(U223="claimed",H223,Controls!$B$4))-G223)*24,4)</f>
        <v>17.4167</v>
      </c>
      <c r="W223" s="6" t="b">
        <f aca="false">INDEX(Owners!$E$4:$E$21,MATCH(D223,Owners!$A$4:$A$21,0))</f>
        <v>1</v>
      </c>
    </row>
    <row r="224" customFormat="false" ht="15" hidden="false" customHeight="false" outlineLevel="0" collapsed="false">
      <c r="A224" s="4" t="s">
        <v>523</v>
      </c>
      <c r="B224" s="4" t="s">
        <v>125</v>
      </c>
      <c r="C224" s="4" t="s">
        <v>250</v>
      </c>
      <c r="D224" s="4" t="s">
        <v>334</v>
      </c>
      <c r="E224" s="4" t="s">
        <v>202</v>
      </c>
      <c r="F224" s="4" t="s">
        <v>277</v>
      </c>
      <c r="G224" s="5" t="n">
        <v>46253.1875</v>
      </c>
      <c r="H224" s="5" t="n">
        <v>46255.925</v>
      </c>
      <c r="I224" s="12"/>
      <c r="N224" s="4" t="n">
        <v>1</v>
      </c>
      <c r="P224" s="12"/>
      <c r="Q224" s="4" t="n">
        <v>0</v>
      </c>
      <c r="R224" s="0" t="str">
        <f aca="false">INDEX(Owners!$B$4:$B$21,MATCH(D224,Owners!$A$4:$A$21,0))</f>
        <v>Supply Chain</v>
      </c>
      <c r="S224" s="6" t="b">
        <f aca="false">AND(F224="closed",ISNUMBER(H224),H224&lt;=Controls!$B$4)</f>
        <v>1</v>
      </c>
      <c r="T224" s="6" t="b">
        <f aca="false">AND(ISNUMBER(I224),I224&lt;=Controls!$B$4,J224="rerun",K224=A224,L224=C224,M224=N224,O224=0,I224&gt;=G224,IF(ISNUMBER(P224),I224&gt;=P224,TRUE()))</f>
        <v>0</v>
      </c>
      <c r="U224" s="0" t="str">
        <f aca="false">IF(AND(S224,T224),"resolved",IF(S224,"claimed","open"))</f>
        <v>claimed</v>
      </c>
      <c r="V224" s="11" t="n">
        <f aca="false">ROUND((IF(U224="resolved",I224,IF(U224="claimed",H224,Controls!$B$4))-G224)*24,4)</f>
        <v>65.7</v>
      </c>
      <c r="W224" s="6" t="b">
        <f aca="false">INDEX(Owners!$E$4:$E$21,MATCH(D224,Owners!$A$4:$A$21,0))</f>
        <v>0</v>
      </c>
    </row>
    <row r="225" customFormat="false" ht="15" hidden="false" customHeight="false" outlineLevel="0" collapsed="false">
      <c r="A225" s="4" t="s">
        <v>524</v>
      </c>
      <c r="B225" s="4" t="s">
        <v>110</v>
      </c>
      <c r="C225" s="4" t="s">
        <v>228</v>
      </c>
      <c r="D225" s="4" t="s">
        <v>286</v>
      </c>
      <c r="E225" s="4" t="s">
        <v>202</v>
      </c>
      <c r="F225" s="4" t="s">
        <v>277</v>
      </c>
      <c r="G225" s="5" t="n">
        <v>46253.2145833333</v>
      </c>
      <c r="H225" s="5" t="n">
        <v>46253.7770833333</v>
      </c>
      <c r="I225" s="12"/>
      <c r="N225" s="4" t="n">
        <v>2</v>
      </c>
      <c r="P225" s="12"/>
      <c r="Q225" s="4" t="n">
        <v>0</v>
      </c>
      <c r="R225" s="0" t="str">
        <f aca="false">INDEX(Owners!$B$4:$B$21,MATCH(D225,Owners!$A$4:$A$21,0))</f>
        <v>Finance Systems</v>
      </c>
      <c r="S225" s="6" t="b">
        <f aca="false">AND(F225="closed",ISNUMBER(H225),H225&lt;=Controls!$B$4)</f>
        <v>1</v>
      </c>
      <c r="T225" s="6" t="b">
        <f aca="false">AND(ISNUMBER(I225),I225&lt;=Controls!$B$4,J225="rerun",K225=A225,L225=C225,M225=N225,O225=0,I225&gt;=G225,IF(ISNUMBER(P225),I225&gt;=P225,TRUE()))</f>
        <v>0</v>
      </c>
      <c r="U225" s="0" t="str">
        <f aca="false">IF(AND(S225,T225),"resolved",IF(S225,"claimed","open"))</f>
        <v>claimed</v>
      </c>
      <c r="V225" s="11" t="n">
        <f aca="false">ROUND((IF(U225="resolved",I225,IF(U225="claimed",H225,Controls!$B$4))-G225)*24,4)</f>
        <v>13.5</v>
      </c>
      <c r="W225" s="6" t="b">
        <f aca="false">INDEX(Owners!$E$4:$E$21,MATCH(D225,Owners!$A$4:$A$21,0))</f>
        <v>0</v>
      </c>
    </row>
    <row r="226" customFormat="false" ht="15" hidden="false" customHeight="false" outlineLevel="0" collapsed="false">
      <c r="A226" s="4" t="s">
        <v>525</v>
      </c>
      <c r="B226" s="4" t="s">
        <v>110</v>
      </c>
      <c r="C226" s="4" t="s">
        <v>226</v>
      </c>
      <c r="D226" s="4" t="s">
        <v>286</v>
      </c>
      <c r="E226" s="4" t="s">
        <v>202</v>
      </c>
      <c r="F226" s="4" t="s">
        <v>277</v>
      </c>
      <c r="G226" s="5" t="n">
        <v>46253.2326388889</v>
      </c>
      <c r="H226" s="5" t="n">
        <v>46260.0076388889</v>
      </c>
      <c r="I226" s="5" t="n">
        <v>46260.2159722222</v>
      </c>
      <c r="J226" s="4" t="s">
        <v>284</v>
      </c>
      <c r="K226" s="4" t="s">
        <v>525</v>
      </c>
      <c r="L226" s="4" t="s">
        <v>226</v>
      </c>
      <c r="M226" s="4" t="n">
        <v>1</v>
      </c>
      <c r="N226" s="4" t="n">
        <v>1</v>
      </c>
      <c r="O226" s="4" t="n">
        <v>0</v>
      </c>
      <c r="P226" s="12"/>
      <c r="Q226" s="4" t="n">
        <v>0</v>
      </c>
      <c r="R226" s="0" t="str">
        <f aca="false">INDEX(Owners!$B$4:$B$21,MATCH(D226,Owners!$A$4:$A$21,0))</f>
        <v>Finance Systems</v>
      </c>
      <c r="S226" s="6" t="b">
        <f aca="false">AND(F226="closed",ISNUMBER(H226),H226&lt;=Controls!$B$4)</f>
        <v>1</v>
      </c>
      <c r="T226" s="6" t="b">
        <f aca="false">AND(ISNUMBER(I226),I226&lt;=Controls!$B$4,J226="rerun",K226=A226,L226=C226,M226=N226,O226=0,I226&gt;=G226,IF(ISNUMBER(P226),I226&gt;=P226,TRUE()))</f>
        <v>1</v>
      </c>
      <c r="U226" s="0" t="str">
        <f aca="false">IF(AND(S226,T226),"resolved",IF(S226,"claimed","open"))</f>
        <v>resolved</v>
      </c>
      <c r="V226" s="11" t="n">
        <f aca="false">ROUND((IF(U226="resolved",I226,IF(U226="claimed",H226,Controls!$B$4))-G226)*24,4)</f>
        <v>167.6</v>
      </c>
      <c r="W226" s="6" t="b">
        <f aca="false">INDEX(Owners!$E$4:$E$21,MATCH(D226,Owners!$A$4:$A$21,0))</f>
        <v>0</v>
      </c>
    </row>
    <row r="227" customFormat="false" ht="15" hidden="false" customHeight="false" outlineLevel="0" collapsed="false">
      <c r="A227" s="4" t="s">
        <v>526</v>
      </c>
      <c r="B227" s="4" t="s">
        <v>120</v>
      </c>
      <c r="C227" s="4" t="s">
        <v>244</v>
      </c>
      <c r="D227" s="4" t="s">
        <v>326</v>
      </c>
      <c r="E227" s="4" t="s">
        <v>204</v>
      </c>
      <c r="F227" s="4" t="s">
        <v>277</v>
      </c>
      <c r="G227" s="5" t="n">
        <v>46253.2375</v>
      </c>
      <c r="H227" s="5" t="n">
        <v>46255.2277777778</v>
      </c>
      <c r="I227" s="5" t="n">
        <v>46255.3277777778</v>
      </c>
      <c r="J227" s="4" t="s">
        <v>284</v>
      </c>
      <c r="K227" s="4" t="s">
        <v>526</v>
      </c>
      <c r="L227" s="4" t="s">
        <v>244</v>
      </c>
      <c r="M227" s="4" t="n">
        <v>1</v>
      </c>
      <c r="N227" s="4" t="n">
        <v>1</v>
      </c>
      <c r="O227" s="4" t="n">
        <v>0</v>
      </c>
      <c r="P227" s="12"/>
      <c r="Q227" s="4" t="n">
        <v>0</v>
      </c>
      <c r="R227" s="0" t="str">
        <f aca="false">INDEX(Owners!$B$4:$B$21,MATCH(D227,Owners!$A$4:$A$21,0))</f>
        <v>Customer Data</v>
      </c>
      <c r="S227" s="6" t="b">
        <f aca="false">AND(F227="closed",ISNUMBER(H227),H227&lt;=Controls!$B$4)</f>
        <v>1</v>
      </c>
      <c r="T227" s="6" t="b">
        <f aca="false">AND(ISNUMBER(I227),I227&lt;=Controls!$B$4,J227="rerun",K227=A227,L227=C227,M227=N227,O227=0,I227&gt;=G227,IF(ISNUMBER(P227),I227&gt;=P227,TRUE()))</f>
        <v>1</v>
      </c>
      <c r="U227" s="0" t="str">
        <f aca="false">IF(AND(S227,T227),"resolved",IF(S227,"claimed","open"))</f>
        <v>resolved</v>
      </c>
      <c r="V227" s="11" t="n">
        <f aca="false">ROUND((IF(U227="resolved",I227,IF(U227="claimed",H227,Controls!$B$4))-G227)*24,4)</f>
        <v>50.1667</v>
      </c>
      <c r="W227" s="6" t="b">
        <f aca="false">INDEX(Owners!$E$4:$E$21,MATCH(D227,Owners!$A$4:$A$21,0))</f>
        <v>0</v>
      </c>
    </row>
    <row r="228" customFormat="false" ht="15" hidden="false" customHeight="false" outlineLevel="0" collapsed="false">
      <c r="A228" s="4" t="s">
        <v>527</v>
      </c>
      <c r="B228" s="4" t="s">
        <v>109</v>
      </c>
      <c r="C228" s="4" t="s">
        <v>307</v>
      </c>
      <c r="D228" s="4" t="s">
        <v>292</v>
      </c>
      <c r="E228" s="4" t="s">
        <v>202</v>
      </c>
      <c r="F228" s="4" t="s">
        <v>277</v>
      </c>
      <c r="G228" s="5" t="n">
        <v>46254.1555555556</v>
      </c>
      <c r="H228" s="5" t="n">
        <v>46254.9958333333</v>
      </c>
      <c r="I228" s="5" t="n">
        <v>46255.3868055556</v>
      </c>
      <c r="J228" s="4" t="s">
        <v>284</v>
      </c>
      <c r="K228" s="4" t="s">
        <v>527</v>
      </c>
      <c r="L228" s="4" t="s">
        <v>307</v>
      </c>
      <c r="M228" s="4" t="n">
        <v>1</v>
      </c>
      <c r="N228" s="4" t="n">
        <v>1</v>
      </c>
      <c r="O228" s="4" t="n">
        <v>0</v>
      </c>
      <c r="P228" s="12"/>
      <c r="Q228" s="4" t="n">
        <v>0</v>
      </c>
      <c r="R228" s="0" t="str">
        <f aca="false">INDEX(Owners!$B$4:$B$21,MATCH(D228,Owners!$A$4:$A$21,0))</f>
        <v>Support Operations</v>
      </c>
      <c r="S228" s="6" t="b">
        <f aca="false">AND(F228="closed",ISNUMBER(H228),H228&lt;=Controls!$B$4)</f>
        <v>1</v>
      </c>
      <c r="T228" s="6" t="b">
        <f aca="false">AND(ISNUMBER(I228),I228&lt;=Controls!$B$4,J228="rerun",K228=A228,L228=C228,M228=N228,O228=0,I228&gt;=G228,IF(ISNUMBER(P228),I228&gt;=P228,TRUE()))</f>
        <v>1</v>
      </c>
      <c r="U228" s="0" t="str">
        <f aca="false">IF(AND(S228,T228),"resolved",IF(S228,"claimed","open"))</f>
        <v>resolved</v>
      </c>
      <c r="V228" s="11" t="n">
        <f aca="false">ROUND((IF(U228="resolved",I228,IF(U228="claimed",H228,Controls!$B$4))-G228)*24,4)</f>
        <v>29.55</v>
      </c>
      <c r="W228" s="6" t="b">
        <f aca="false">INDEX(Owners!$E$4:$E$21,MATCH(D228,Owners!$A$4:$A$21,0))</f>
        <v>1</v>
      </c>
    </row>
    <row r="229" customFormat="false" ht="15" hidden="false" customHeight="false" outlineLevel="0" collapsed="false">
      <c r="A229" s="4" t="s">
        <v>528</v>
      </c>
      <c r="B229" s="4" t="s">
        <v>119</v>
      </c>
      <c r="C229" s="4" t="s">
        <v>243</v>
      </c>
      <c r="D229" s="4" t="s">
        <v>292</v>
      </c>
      <c r="E229" s="4" t="s">
        <v>202</v>
      </c>
      <c r="F229" s="4" t="s">
        <v>277</v>
      </c>
      <c r="G229" s="5" t="n">
        <v>46254.1604166667</v>
      </c>
      <c r="H229" s="5" t="n">
        <v>46255.6020833333</v>
      </c>
      <c r="I229" s="12"/>
      <c r="N229" s="4" t="n">
        <v>1</v>
      </c>
      <c r="P229" s="12"/>
      <c r="Q229" s="4" t="n">
        <v>0</v>
      </c>
      <c r="R229" s="0" t="str">
        <f aca="false">INDEX(Owners!$B$4:$B$21,MATCH(D229,Owners!$A$4:$A$21,0))</f>
        <v>Support Operations</v>
      </c>
      <c r="S229" s="6" t="b">
        <f aca="false">AND(F229="closed",ISNUMBER(H229),H229&lt;=Controls!$B$4)</f>
        <v>1</v>
      </c>
      <c r="T229" s="6" t="b">
        <f aca="false">AND(ISNUMBER(I229),I229&lt;=Controls!$B$4,J229="rerun",K229=A229,L229=C229,M229=N229,O229=0,I229&gt;=G229,IF(ISNUMBER(P229),I229&gt;=P229,TRUE()))</f>
        <v>0</v>
      </c>
      <c r="U229" s="0" t="str">
        <f aca="false">IF(AND(S229,T229),"resolved",IF(S229,"claimed","open"))</f>
        <v>claimed</v>
      </c>
      <c r="V229" s="11" t="n">
        <f aca="false">ROUND((IF(U229="resolved",I229,IF(U229="claimed",H229,Controls!$B$4))-G229)*24,4)</f>
        <v>34.6</v>
      </c>
      <c r="W229" s="6" t="b">
        <f aca="false">INDEX(Owners!$E$4:$E$21,MATCH(D229,Owners!$A$4:$A$21,0))</f>
        <v>1</v>
      </c>
    </row>
    <row r="230" customFormat="false" ht="15" hidden="false" customHeight="false" outlineLevel="0" collapsed="false">
      <c r="A230" s="4" t="s">
        <v>529</v>
      </c>
      <c r="B230" s="4" t="s">
        <v>131</v>
      </c>
      <c r="C230" s="4" t="s">
        <v>259</v>
      </c>
      <c r="D230" s="4" t="s">
        <v>283</v>
      </c>
      <c r="E230" s="4" t="s">
        <v>202</v>
      </c>
      <c r="F230" s="4" t="s">
        <v>277</v>
      </c>
      <c r="G230" s="5" t="n">
        <v>46254.2013888889</v>
      </c>
      <c r="H230" s="5" t="n">
        <v>46257.34375</v>
      </c>
      <c r="I230" s="5" t="n">
        <v>46257.4555555556</v>
      </c>
      <c r="J230" s="4" t="s">
        <v>284</v>
      </c>
      <c r="K230" s="4" t="s">
        <v>529</v>
      </c>
      <c r="L230" s="4" t="s">
        <v>259</v>
      </c>
      <c r="M230" s="4" t="n">
        <v>1</v>
      </c>
      <c r="N230" s="4" t="n">
        <v>1</v>
      </c>
      <c r="O230" s="4" t="n">
        <v>0</v>
      </c>
      <c r="P230" s="12"/>
      <c r="Q230" s="4" t="n">
        <v>0</v>
      </c>
      <c r="R230" s="0" t="str">
        <f aca="false">INDEX(Owners!$B$4:$B$21,MATCH(D230,Owners!$A$4:$A$21,0))</f>
        <v>Data Platform</v>
      </c>
      <c r="S230" s="6" t="b">
        <f aca="false">AND(F230="closed",ISNUMBER(H230),H230&lt;=Controls!$B$4)</f>
        <v>1</v>
      </c>
      <c r="T230" s="6" t="b">
        <f aca="false">AND(ISNUMBER(I230),I230&lt;=Controls!$B$4,J230="rerun",K230=A230,L230=C230,M230=N230,O230=0,I230&gt;=G230,IF(ISNUMBER(P230),I230&gt;=P230,TRUE()))</f>
        <v>1</v>
      </c>
      <c r="U230" s="0" t="str">
        <f aca="false">IF(AND(S230,T230),"resolved",IF(S230,"claimed","open"))</f>
        <v>resolved</v>
      </c>
      <c r="V230" s="11" t="n">
        <f aca="false">ROUND((IF(U230="resolved",I230,IF(U230="claimed",H230,Controls!$B$4))-G230)*24,4)</f>
        <v>78.1</v>
      </c>
      <c r="W230" s="6" t="b">
        <f aca="false">INDEX(Owners!$E$4:$E$21,MATCH(D230,Owners!$A$4:$A$21,0))</f>
        <v>1</v>
      </c>
    </row>
    <row r="231" customFormat="false" ht="15" hidden="false" customHeight="false" outlineLevel="0" collapsed="false">
      <c r="A231" s="4" t="s">
        <v>530</v>
      </c>
      <c r="B231" s="4" t="s">
        <v>112</v>
      </c>
      <c r="C231" s="4" t="s">
        <v>231</v>
      </c>
      <c r="D231" s="4" t="s">
        <v>320</v>
      </c>
      <c r="E231" s="4" t="s">
        <v>210</v>
      </c>
      <c r="F231" s="4" t="s">
        <v>277</v>
      </c>
      <c r="G231" s="5" t="n">
        <v>46254.2277777778</v>
      </c>
      <c r="H231" s="5" t="n">
        <v>46254.9840277778</v>
      </c>
      <c r="I231" s="12"/>
      <c r="N231" s="4" t="n">
        <v>1</v>
      </c>
      <c r="P231" s="12"/>
      <c r="Q231" s="4" t="n">
        <v>0</v>
      </c>
      <c r="R231" s="0" t="str">
        <f aca="false">INDEX(Owners!$B$4:$B$21,MATCH(D231,Owners!$A$4:$A$21,0))</f>
        <v>Data Governance</v>
      </c>
      <c r="S231" s="6" t="b">
        <f aca="false">AND(F231="closed",ISNUMBER(H231),H231&lt;=Controls!$B$4)</f>
        <v>1</v>
      </c>
      <c r="T231" s="6" t="b">
        <f aca="false">AND(ISNUMBER(I231),I231&lt;=Controls!$B$4,J231="rerun",K231=A231,L231=C231,M231=N231,O231=0,I231&gt;=G231,IF(ISNUMBER(P231),I231&gt;=P231,TRUE()))</f>
        <v>0</v>
      </c>
      <c r="U231" s="0" t="str">
        <f aca="false">IF(AND(S231,T231),"resolved",IF(S231,"claimed","open"))</f>
        <v>claimed</v>
      </c>
      <c r="V231" s="11" t="n">
        <f aca="false">ROUND((IF(U231="resolved",I231,IF(U231="claimed",H231,Controls!$B$4))-G231)*24,4)</f>
        <v>18.15</v>
      </c>
      <c r="W231" s="6" t="b">
        <f aca="false">INDEX(Owners!$E$4:$E$21,MATCH(D231,Owners!$A$4:$A$21,0))</f>
        <v>1</v>
      </c>
    </row>
    <row r="232" customFormat="false" ht="15" hidden="false" customHeight="false" outlineLevel="0" collapsed="false">
      <c r="A232" s="4" t="s">
        <v>531</v>
      </c>
      <c r="B232" s="4" t="s">
        <v>110</v>
      </c>
      <c r="C232" s="4" t="s">
        <v>226</v>
      </c>
      <c r="D232" s="4" t="s">
        <v>286</v>
      </c>
      <c r="E232" s="4" t="s">
        <v>202</v>
      </c>
      <c r="F232" s="4" t="s">
        <v>277</v>
      </c>
      <c r="G232" s="5" t="n">
        <v>46254.2326388889</v>
      </c>
      <c r="H232" s="5" t="n">
        <v>46261.1284722222</v>
      </c>
      <c r="I232" s="5" t="n">
        <v>46261.6854166667</v>
      </c>
      <c r="J232" s="4" t="s">
        <v>284</v>
      </c>
      <c r="K232" s="4" t="s">
        <v>531</v>
      </c>
      <c r="L232" s="4" t="s">
        <v>226</v>
      </c>
      <c r="M232" s="4" t="n">
        <v>1</v>
      </c>
      <c r="N232" s="4" t="n">
        <v>1</v>
      </c>
      <c r="O232" s="4" t="n">
        <v>0</v>
      </c>
      <c r="P232" s="12"/>
      <c r="Q232" s="4" t="n">
        <v>0</v>
      </c>
      <c r="R232" s="0" t="str">
        <f aca="false">INDEX(Owners!$B$4:$B$21,MATCH(D232,Owners!$A$4:$A$21,0))</f>
        <v>Finance Systems</v>
      </c>
      <c r="S232" s="6" t="b">
        <f aca="false">AND(F232="closed",ISNUMBER(H232),H232&lt;=Controls!$B$4)</f>
        <v>1</v>
      </c>
      <c r="T232" s="6" t="b">
        <f aca="false">AND(ISNUMBER(I232),I232&lt;=Controls!$B$4,J232="rerun",K232=A232,L232=C232,M232=N232,O232=0,I232&gt;=G232,IF(ISNUMBER(P232),I232&gt;=P232,TRUE()))</f>
        <v>1</v>
      </c>
      <c r="U232" s="0" t="str">
        <f aca="false">IF(AND(S232,T232),"resolved",IF(S232,"claimed","open"))</f>
        <v>resolved</v>
      </c>
      <c r="V232" s="11" t="n">
        <f aca="false">ROUND((IF(U232="resolved",I232,IF(U232="claimed",H232,Controls!$B$4))-G232)*24,4)</f>
        <v>178.8667</v>
      </c>
      <c r="W232" s="6" t="b">
        <f aca="false">INDEX(Owners!$E$4:$E$21,MATCH(D232,Owners!$A$4:$A$21,0))</f>
        <v>0</v>
      </c>
    </row>
    <row r="233" customFormat="false" ht="15" hidden="false" customHeight="false" outlineLevel="0" collapsed="false">
      <c r="A233" s="4" t="s">
        <v>532</v>
      </c>
      <c r="B233" s="4" t="s">
        <v>117</v>
      </c>
      <c r="C233" s="4" t="s">
        <v>240</v>
      </c>
      <c r="D233" s="4" t="s">
        <v>288</v>
      </c>
      <c r="E233" s="4" t="s">
        <v>204</v>
      </c>
      <c r="F233" s="4" t="s">
        <v>277</v>
      </c>
      <c r="G233" s="5" t="n">
        <v>46254.2458333333</v>
      </c>
      <c r="H233" s="5" t="n">
        <v>46260.3833333333</v>
      </c>
      <c r="I233" s="5" t="n">
        <v>46260.8215277778</v>
      </c>
      <c r="J233" s="4" t="s">
        <v>284</v>
      </c>
      <c r="K233" s="4" t="s">
        <v>532</v>
      </c>
      <c r="L233" s="4" t="s">
        <v>240</v>
      </c>
      <c r="M233" s="4" t="n">
        <v>1</v>
      </c>
      <c r="N233" s="4" t="n">
        <v>1</v>
      </c>
      <c r="O233" s="4" t="n">
        <v>0</v>
      </c>
      <c r="P233" s="12"/>
      <c r="Q233" s="4" t="n">
        <v>0</v>
      </c>
      <c r="R233" s="0" t="str">
        <f aca="false">INDEX(Owners!$B$4:$B$21,MATCH(D233,Owners!$A$4:$A$21,0))</f>
        <v>Support Operations</v>
      </c>
      <c r="S233" s="6" t="b">
        <f aca="false">AND(F233="closed",ISNUMBER(H233),H233&lt;=Controls!$B$4)</f>
        <v>1</v>
      </c>
      <c r="T233" s="6" t="b">
        <f aca="false">AND(ISNUMBER(I233),I233&lt;=Controls!$B$4,J233="rerun",K233=A233,L233=C233,M233=N233,O233=0,I233&gt;=G233,IF(ISNUMBER(P233),I233&gt;=P233,TRUE()))</f>
        <v>1</v>
      </c>
      <c r="U233" s="0" t="str">
        <f aca="false">IF(AND(S233,T233),"resolved",IF(S233,"claimed","open"))</f>
        <v>resolved</v>
      </c>
      <c r="V233" s="11" t="n">
        <f aca="false">ROUND((IF(U233="resolved",I233,IF(U233="claimed",H233,Controls!$B$4))-G233)*24,4)</f>
        <v>157.8167</v>
      </c>
      <c r="W233" s="6" t="b">
        <f aca="false">INDEX(Owners!$E$4:$E$21,MATCH(D233,Owners!$A$4:$A$21,0))</f>
        <v>1</v>
      </c>
    </row>
    <row r="234" customFormat="false" ht="15" hidden="false" customHeight="false" outlineLevel="0" collapsed="false">
      <c r="A234" s="4" t="s">
        <v>533</v>
      </c>
      <c r="B234" s="4" t="s">
        <v>107</v>
      </c>
      <c r="C234" s="4" t="s">
        <v>222</v>
      </c>
      <c r="D234" s="4" t="s">
        <v>326</v>
      </c>
      <c r="E234" s="4" t="s">
        <v>210</v>
      </c>
      <c r="F234" s="4" t="s">
        <v>277</v>
      </c>
      <c r="G234" s="5" t="n">
        <v>46255.0881944444</v>
      </c>
      <c r="H234" s="5" t="n">
        <v>46258.6631944445</v>
      </c>
      <c r="I234" s="5" t="n">
        <v>46259.1326388889</v>
      </c>
      <c r="J234" s="4" t="s">
        <v>284</v>
      </c>
      <c r="K234" s="4" t="s">
        <v>533</v>
      </c>
      <c r="L234" s="4" t="s">
        <v>222</v>
      </c>
      <c r="M234" s="4" t="n">
        <v>1</v>
      </c>
      <c r="N234" s="4" t="n">
        <v>1</v>
      </c>
      <c r="O234" s="4" t="n">
        <v>0</v>
      </c>
      <c r="P234" s="12"/>
      <c r="Q234" s="4" t="n">
        <v>0</v>
      </c>
      <c r="R234" s="0" t="str">
        <f aca="false">INDEX(Owners!$B$4:$B$21,MATCH(D234,Owners!$A$4:$A$21,0))</f>
        <v>Customer Data</v>
      </c>
      <c r="S234" s="6" t="b">
        <f aca="false">AND(F234="closed",ISNUMBER(H234),H234&lt;=Controls!$B$4)</f>
        <v>1</v>
      </c>
      <c r="T234" s="6" t="b">
        <f aca="false">AND(ISNUMBER(I234),I234&lt;=Controls!$B$4,J234="rerun",K234=A234,L234=C234,M234=N234,O234=0,I234&gt;=G234,IF(ISNUMBER(P234),I234&gt;=P234,TRUE()))</f>
        <v>1</v>
      </c>
      <c r="U234" s="0" t="str">
        <f aca="false">IF(AND(S234,T234),"resolved",IF(S234,"claimed","open"))</f>
        <v>resolved</v>
      </c>
      <c r="V234" s="11" t="n">
        <f aca="false">ROUND((IF(U234="resolved",I234,IF(U234="claimed",H234,Controls!$B$4))-G234)*24,4)</f>
        <v>97.0667</v>
      </c>
      <c r="W234" s="6" t="b">
        <f aca="false">INDEX(Owners!$E$4:$E$21,MATCH(D234,Owners!$A$4:$A$21,0))</f>
        <v>0</v>
      </c>
    </row>
    <row r="235" customFormat="false" ht="15" hidden="false" customHeight="false" outlineLevel="0" collapsed="false">
      <c r="A235" s="4" t="s">
        <v>534</v>
      </c>
      <c r="B235" s="4" t="s">
        <v>109</v>
      </c>
      <c r="C235" s="4" t="s">
        <v>307</v>
      </c>
      <c r="D235" s="4" t="s">
        <v>292</v>
      </c>
      <c r="E235" s="4" t="s">
        <v>202</v>
      </c>
      <c r="F235" s="4" t="s">
        <v>277</v>
      </c>
      <c r="G235" s="5" t="n">
        <v>46255.1555555556</v>
      </c>
      <c r="H235" s="5" t="n">
        <v>46257.5659722222</v>
      </c>
      <c r="I235" s="5" t="n">
        <v>46258.0298611111</v>
      </c>
      <c r="J235" s="4" t="s">
        <v>284</v>
      </c>
      <c r="K235" s="4" t="s">
        <v>534</v>
      </c>
      <c r="L235" s="4" t="s">
        <v>307</v>
      </c>
      <c r="M235" s="4" t="n">
        <v>1</v>
      </c>
      <c r="N235" s="4" t="n">
        <v>1</v>
      </c>
      <c r="O235" s="4" t="n">
        <v>0</v>
      </c>
      <c r="P235" s="12"/>
      <c r="Q235" s="4" t="n">
        <v>0</v>
      </c>
      <c r="R235" s="0" t="str">
        <f aca="false">INDEX(Owners!$B$4:$B$21,MATCH(D235,Owners!$A$4:$A$21,0))</f>
        <v>Support Operations</v>
      </c>
      <c r="S235" s="6" t="b">
        <f aca="false">AND(F235="closed",ISNUMBER(H235),H235&lt;=Controls!$B$4)</f>
        <v>1</v>
      </c>
      <c r="T235" s="6" t="b">
        <f aca="false">AND(ISNUMBER(I235),I235&lt;=Controls!$B$4,J235="rerun",K235=A235,L235=C235,M235=N235,O235=0,I235&gt;=G235,IF(ISNUMBER(P235),I235&gt;=P235,TRUE()))</f>
        <v>1</v>
      </c>
      <c r="U235" s="0" t="str">
        <f aca="false">IF(AND(S235,T235),"resolved",IF(S235,"claimed","open"))</f>
        <v>resolved</v>
      </c>
      <c r="V235" s="11" t="n">
        <f aca="false">ROUND((IF(U235="resolved",I235,IF(U235="claimed",H235,Controls!$B$4))-G235)*24,4)</f>
        <v>68.9833</v>
      </c>
      <c r="W235" s="6" t="b">
        <f aca="false">INDEX(Owners!$E$4:$E$21,MATCH(D235,Owners!$A$4:$A$21,0))</f>
        <v>1</v>
      </c>
    </row>
    <row r="236" customFormat="false" ht="15" hidden="false" customHeight="false" outlineLevel="0" collapsed="false">
      <c r="A236" s="4" t="s">
        <v>535</v>
      </c>
      <c r="B236" s="4" t="s">
        <v>125</v>
      </c>
      <c r="C236" s="4" t="s">
        <v>251</v>
      </c>
      <c r="D236" s="4" t="s">
        <v>334</v>
      </c>
      <c r="E236" s="4" t="s">
        <v>210</v>
      </c>
      <c r="F236" s="4" t="s">
        <v>277</v>
      </c>
      <c r="G236" s="5" t="n">
        <v>46255.1784722222</v>
      </c>
      <c r="H236" s="5" t="n">
        <v>46258.0201388889</v>
      </c>
      <c r="I236" s="12"/>
      <c r="N236" s="4" t="n">
        <v>2</v>
      </c>
      <c r="P236" s="12"/>
      <c r="Q236" s="4" t="n">
        <v>0</v>
      </c>
      <c r="R236" s="0" t="str">
        <f aca="false">INDEX(Owners!$B$4:$B$21,MATCH(D236,Owners!$A$4:$A$21,0))</f>
        <v>Supply Chain</v>
      </c>
      <c r="S236" s="6" t="b">
        <f aca="false">AND(F236="closed",ISNUMBER(H236),H236&lt;=Controls!$B$4)</f>
        <v>1</v>
      </c>
      <c r="T236" s="6" t="b">
        <f aca="false">AND(ISNUMBER(I236),I236&lt;=Controls!$B$4,J236="rerun",K236=A236,L236=C236,M236=N236,O236=0,I236&gt;=G236,IF(ISNUMBER(P236),I236&gt;=P236,TRUE()))</f>
        <v>0</v>
      </c>
      <c r="U236" s="0" t="str">
        <f aca="false">IF(AND(S236,T236),"resolved",IF(S236,"claimed","open"))</f>
        <v>claimed</v>
      </c>
      <c r="V236" s="11" t="n">
        <f aca="false">ROUND((IF(U236="resolved",I236,IF(U236="claimed",H236,Controls!$B$4))-G236)*24,4)</f>
        <v>68.2</v>
      </c>
      <c r="W236" s="6" t="b">
        <f aca="false">INDEX(Owners!$E$4:$E$21,MATCH(D236,Owners!$A$4:$A$21,0))</f>
        <v>0</v>
      </c>
    </row>
    <row r="237" customFormat="false" ht="15" hidden="false" customHeight="false" outlineLevel="0" collapsed="false">
      <c r="A237" s="4" t="s">
        <v>536</v>
      </c>
      <c r="B237" s="4" t="s">
        <v>131</v>
      </c>
      <c r="C237" s="4" t="s">
        <v>257</v>
      </c>
      <c r="D237" s="4" t="s">
        <v>283</v>
      </c>
      <c r="E237" s="4" t="s">
        <v>202</v>
      </c>
      <c r="F237" s="4" t="s">
        <v>277</v>
      </c>
      <c r="G237" s="5" t="n">
        <v>46255.1923611111</v>
      </c>
      <c r="H237" s="5" t="n">
        <v>46255.8034722222</v>
      </c>
      <c r="I237" s="5" t="n">
        <v>46255.875</v>
      </c>
      <c r="J237" s="4" t="s">
        <v>284</v>
      </c>
      <c r="K237" s="4" t="s">
        <v>536</v>
      </c>
      <c r="L237" s="4" t="s">
        <v>257</v>
      </c>
      <c r="M237" s="4" t="n">
        <v>1</v>
      </c>
      <c r="N237" s="4" t="n">
        <v>1</v>
      </c>
      <c r="O237" s="4" t="n">
        <v>0</v>
      </c>
      <c r="P237" s="12"/>
      <c r="Q237" s="4" t="n">
        <v>0</v>
      </c>
      <c r="R237" s="0" t="str">
        <f aca="false">INDEX(Owners!$B$4:$B$21,MATCH(D237,Owners!$A$4:$A$21,0))</f>
        <v>Data Platform</v>
      </c>
      <c r="S237" s="6" t="b">
        <f aca="false">AND(F237="closed",ISNUMBER(H237),H237&lt;=Controls!$B$4)</f>
        <v>1</v>
      </c>
      <c r="T237" s="6" t="b">
        <f aca="false">AND(ISNUMBER(I237),I237&lt;=Controls!$B$4,J237="rerun",K237=A237,L237=C237,M237=N237,O237=0,I237&gt;=G237,IF(ISNUMBER(P237),I237&gt;=P237,TRUE()))</f>
        <v>1</v>
      </c>
      <c r="U237" s="0" t="str">
        <f aca="false">IF(AND(S237,T237),"resolved",IF(S237,"claimed","open"))</f>
        <v>resolved</v>
      </c>
      <c r="V237" s="11" t="n">
        <f aca="false">ROUND((IF(U237="resolved",I237,IF(U237="claimed",H237,Controls!$B$4))-G237)*24,4)</f>
        <v>16.3833</v>
      </c>
      <c r="W237" s="6" t="b">
        <f aca="false">INDEX(Owners!$E$4:$E$21,MATCH(D237,Owners!$A$4:$A$21,0))</f>
        <v>1</v>
      </c>
    </row>
    <row r="238" customFormat="false" ht="15" hidden="false" customHeight="false" outlineLevel="0" collapsed="false">
      <c r="A238" s="4" t="s">
        <v>537</v>
      </c>
      <c r="B238" s="4" t="s">
        <v>117</v>
      </c>
      <c r="C238" s="4" t="s">
        <v>241</v>
      </c>
      <c r="D238" s="4" t="s">
        <v>288</v>
      </c>
      <c r="E238" s="4" t="s">
        <v>202</v>
      </c>
      <c r="F238" s="4" t="s">
        <v>277</v>
      </c>
      <c r="G238" s="5" t="n">
        <v>46255.2368055556</v>
      </c>
      <c r="H238" s="5" t="n">
        <v>46259.5993055556</v>
      </c>
      <c r="I238" s="5" t="n">
        <v>46259.6729166667</v>
      </c>
      <c r="J238" s="4" t="s">
        <v>284</v>
      </c>
      <c r="K238" s="4" t="s">
        <v>537</v>
      </c>
      <c r="L238" s="4" t="s">
        <v>241</v>
      </c>
      <c r="M238" s="4" t="n">
        <v>1</v>
      </c>
      <c r="N238" s="4" t="n">
        <v>1</v>
      </c>
      <c r="O238" s="4" t="n">
        <v>0</v>
      </c>
      <c r="P238" s="12"/>
      <c r="Q238" s="4" t="n">
        <v>0</v>
      </c>
      <c r="R238" s="0" t="str">
        <f aca="false">INDEX(Owners!$B$4:$B$21,MATCH(D238,Owners!$A$4:$A$21,0))</f>
        <v>Support Operations</v>
      </c>
      <c r="S238" s="6" t="b">
        <f aca="false">AND(F238="closed",ISNUMBER(H238),H238&lt;=Controls!$B$4)</f>
        <v>1</v>
      </c>
      <c r="T238" s="6" t="b">
        <f aca="false">AND(ISNUMBER(I238),I238&lt;=Controls!$B$4,J238="rerun",K238=A238,L238=C238,M238=N238,O238=0,I238&gt;=G238,IF(ISNUMBER(P238),I238&gt;=P238,TRUE()))</f>
        <v>1</v>
      </c>
      <c r="U238" s="0" t="str">
        <f aca="false">IF(AND(S238,T238),"resolved",IF(S238,"claimed","open"))</f>
        <v>resolved</v>
      </c>
      <c r="V238" s="11" t="n">
        <f aca="false">ROUND((IF(U238="resolved",I238,IF(U238="claimed",H238,Controls!$B$4))-G238)*24,4)</f>
        <v>106.4667</v>
      </c>
      <c r="W238" s="6" t="b">
        <f aca="false">INDEX(Owners!$E$4:$E$21,MATCH(D238,Owners!$A$4:$A$21,0))</f>
        <v>1</v>
      </c>
    </row>
    <row r="239" customFormat="false" ht="15" hidden="false" customHeight="false" outlineLevel="0" collapsed="false">
      <c r="A239" s="4" t="s">
        <v>538</v>
      </c>
      <c r="B239" s="4" t="s">
        <v>92</v>
      </c>
      <c r="C239" s="4" t="s">
        <v>201</v>
      </c>
      <c r="D239" s="4" t="s">
        <v>330</v>
      </c>
      <c r="E239" s="4" t="s">
        <v>202</v>
      </c>
      <c r="F239" s="4" t="s">
        <v>277</v>
      </c>
      <c r="G239" s="5" t="n">
        <v>46256.1465277778</v>
      </c>
      <c r="H239" s="5" t="n">
        <v>46267.0770833333</v>
      </c>
      <c r="I239" s="5" t="n">
        <v>46267.26875</v>
      </c>
      <c r="J239" s="4" t="s">
        <v>284</v>
      </c>
      <c r="K239" s="4" t="s">
        <v>538</v>
      </c>
      <c r="L239" s="4" t="s">
        <v>201</v>
      </c>
      <c r="M239" s="4" t="n">
        <v>1</v>
      </c>
      <c r="N239" s="4" t="n">
        <v>1</v>
      </c>
      <c r="O239" s="4" t="n">
        <v>0</v>
      </c>
      <c r="P239" s="12"/>
      <c r="Q239" s="4" t="n">
        <v>0</v>
      </c>
      <c r="R239" s="0" t="str">
        <f aca="false">INDEX(Owners!$B$4:$B$21,MATCH(D239,Owners!$A$4:$A$21,0))</f>
        <v>Supply Chain</v>
      </c>
      <c r="S239" s="6" t="b">
        <f aca="false">AND(F239="closed",ISNUMBER(H239),H239&lt;=Controls!$B$4)</f>
        <v>1</v>
      </c>
      <c r="T239" s="6" t="b">
        <f aca="false">AND(ISNUMBER(I239),I239&lt;=Controls!$B$4,J239="rerun",K239=A239,L239=C239,M239=N239,O239=0,I239&gt;=G239,IF(ISNUMBER(P239),I239&gt;=P239,TRUE()))</f>
        <v>1</v>
      </c>
      <c r="U239" s="0" t="str">
        <f aca="false">IF(AND(S239,T239),"resolved",IF(S239,"claimed","open"))</f>
        <v>resolved</v>
      </c>
      <c r="V239" s="11" t="n">
        <f aca="false">ROUND((IF(U239="resolved",I239,IF(U239="claimed",H239,Controls!$B$4))-G239)*24,4)</f>
        <v>266.9333</v>
      </c>
      <c r="W239" s="6" t="b">
        <f aca="false">INDEX(Owners!$E$4:$E$21,MATCH(D239,Owners!$A$4:$A$21,0))</f>
        <v>1</v>
      </c>
    </row>
    <row r="240" customFormat="false" ht="15" hidden="false" customHeight="false" outlineLevel="0" collapsed="false">
      <c r="A240" s="4" t="s">
        <v>539</v>
      </c>
      <c r="B240" s="4" t="s">
        <v>118</v>
      </c>
      <c r="C240" s="4" t="s">
        <v>242</v>
      </c>
      <c r="D240" s="4" t="s">
        <v>296</v>
      </c>
      <c r="E240" s="4" t="s">
        <v>202</v>
      </c>
      <c r="F240" s="4" t="s">
        <v>277</v>
      </c>
      <c r="G240" s="5" t="n">
        <v>46256.1965277778</v>
      </c>
      <c r="H240" s="5" t="n">
        <v>46257.8798611111</v>
      </c>
      <c r="I240" s="5" t="n">
        <v>46258.0715277778</v>
      </c>
      <c r="J240" s="4" t="s">
        <v>284</v>
      </c>
      <c r="K240" s="4" t="s">
        <v>539</v>
      </c>
      <c r="L240" s="4" t="s">
        <v>242</v>
      </c>
      <c r="M240" s="4" t="n">
        <v>1</v>
      </c>
      <c r="N240" s="4" t="n">
        <v>1</v>
      </c>
      <c r="O240" s="4" t="n">
        <v>0</v>
      </c>
      <c r="P240" s="12"/>
      <c r="Q240" s="4" t="n">
        <v>0</v>
      </c>
      <c r="R240" s="0" t="str">
        <f aca="false">INDEX(Owners!$B$4:$B$21,MATCH(D240,Owners!$A$4:$A$21,0))</f>
        <v>Data Platform</v>
      </c>
      <c r="S240" s="6" t="b">
        <f aca="false">AND(F240="closed",ISNUMBER(H240),H240&lt;=Controls!$B$4)</f>
        <v>1</v>
      </c>
      <c r="T240" s="6" t="b">
        <f aca="false">AND(ISNUMBER(I240),I240&lt;=Controls!$B$4,J240="rerun",K240=A240,L240=C240,M240=N240,O240=0,I240&gt;=G240,IF(ISNUMBER(P240),I240&gt;=P240,TRUE()))</f>
        <v>1</v>
      </c>
      <c r="U240" s="0" t="str">
        <f aca="false">IF(AND(S240,T240),"resolved",IF(S240,"claimed","open"))</f>
        <v>resolved</v>
      </c>
      <c r="V240" s="11" t="n">
        <f aca="false">ROUND((IF(U240="resolved",I240,IF(U240="claimed",H240,Controls!$B$4))-G240)*24,4)</f>
        <v>45</v>
      </c>
      <c r="W240" s="6" t="b">
        <f aca="false">INDEX(Owners!$E$4:$E$21,MATCH(D240,Owners!$A$4:$A$21,0))</f>
        <v>1</v>
      </c>
    </row>
    <row r="241" customFormat="false" ht="15" hidden="false" customHeight="false" outlineLevel="0" collapsed="false">
      <c r="A241" s="4" t="s">
        <v>540</v>
      </c>
      <c r="B241" s="4" t="s">
        <v>110</v>
      </c>
      <c r="C241" s="4" t="s">
        <v>226</v>
      </c>
      <c r="D241" s="4" t="s">
        <v>286</v>
      </c>
      <c r="E241" s="4" t="s">
        <v>202</v>
      </c>
      <c r="F241" s="4" t="s">
        <v>277</v>
      </c>
      <c r="G241" s="5" t="n">
        <v>46256.2326388889</v>
      </c>
      <c r="H241" s="5" t="n">
        <v>46258.4604166667</v>
      </c>
      <c r="I241" s="5" t="n">
        <v>46258.6381944444</v>
      </c>
      <c r="J241" s="4" t="s">
        <v>284</v>
      </c>
      <c r="K241" s="4" t="s">
        <v>540</v>
      </c>
      <c r="L241" s="4" t="s">
        <v>226</v>
      </c>
      <c r="M241" s="4" t="n">
        <v>1</v>
      </c>
      <c r="N241" s="4" t="n">
        <v>1</v>
      </c>
      <c r="O241" s="4" t="n">
        <v>0</v>
      </c>
      <c r="P241" s="12"/>
      <c r="Q241" s="4" t="n">
        <v>0</v>
      </c>
      <c r="R241" s="0" t="str">
        <f aca="false">INDEX(Owners!$B$4:$B$21,MATCH(D241,Owners!$A$4:$A$21,0))</f>
        <v>Finance Systems</v>
      </c>
      <c r="S241" s="6" t="b">
        <f aca="false">AND(F241="closed",ISNUMBER(H241),H241&lt;=Controls!$B$4)</f>
        <v>1</v>
      </c>
      <c r="T241" s="6" t="b">
        <f aca="false">AND(ISNUMBER(I241),I241&lt;=Controls!$B$4,J241="rerun",K241=A241,L241=C241,M241=N241,O241=0,I241&gt;=G241,IF(ISNUMBER(P241),I241&gt;=P241,TRUE()))</f>
        <v>1</v>
      </c>
      <c r="U241" s="0" t="str">
        <f aca="false">IF(AND(S241,T241),"resolved",IF(S241,"claimed","open"))</f>
        <v>resolved</v>
      </c>
      <c r="V241" s="11" t="n">
        <f aca="false">ROUND((IF(U241="resolved",I241,IF(U241="claimed",H241,Controls!$B$4))-G241)*24,4)</f>
        <v>57.7333</v>
      </c>
      <c r="W241" s="6" t="b">
        <f aca="false">INDEX(Owners!$E$4:$E$21,MATCH(D241,Owners!$A$4:$A$21,0))</f>
        <v>0</v>
      </c>
    </row>
    <row r="242" customFormat="false" ht="15" hidden="false" customHeight="false" outlineLevel="0" collapsed="false">
      <c r="A242" s="4" t="s">
        <v>541</v>
      </c>
      <c r="B242" s="4" t="s">
        <v>127</v>
      </c>
      <c r="C242" s="4" t="s">
        <v>252</v>
      </c>
      <c r="D242" s="4" t="s">
        <v>358</v>
      </c>
      <c r="E242" s="4" t="s">
        <v>204</v>
      </c>
      <c r="F242" s="4" t="s">
        <v>277</v>
      </c>
      <c r="G242" s="5" t="n">
        <v>46257.0888888889</v>
      </c>
      <c r="H242" s="5" t="n">
        <v>46258.9375</v>
      </c>
      <c r="I242" s="5" t="n">
        <v>46259.1013888889</v>
      </c>
      <c r="J242" s="4" t="s">
        <v>284</v>
      </c>
      <c r="K242" s="4" t="s">
        <v>541</v>
      </c>
      <c r="L242" s="4" t="s">
        <v>252</v>
      </c>
      <c r="M242" s="4" t="n">
        <v>1</v>
      </c>
      <c r="N242" s="4" t="n">
        <v>1</v>
      </c>
      <c r="O242" s="4" t="n">
        <v>0</v>
      </c>
      <c r="P242" s="12"/>
      <c r="Q242" s="4" t="n">
        <v>0</v>
      </c>
      <c r="R242" s="0" t="str">
        <f aca="false">INDEX(Owners!$B$4:$B$21,MATCH(D242,Owners!$A$4:$A$21,0))</f>
        <v>Finance Systems</v>
      </c>
      <c r="S242" s="6" t="b">
        <f aca="false">AND(F242="closed",ISNUMBER(H242),H242&lt;=Controls!$B$4)</f>
        <v>1</v>
      </c>
      <c r="T242" s="6" t="b">
        <f aca="false">AND(ISNUMBER(I242),I242&lt;=Controls!$B$4,J242="rerun",K242=A242,L242=C242,M242=N242,O242=0,I242&gt;=G242,IF(ISNUMBER(P242),I242&gt;=P242,TRUE()))</f>
        <v>1</v>
      </c>
      <c r="U242" s="0" t="str">
        <f aca="false">IF(AND(S242,T242),"resolved",IF(S242,"claimed","open"))</f>
        <v>resolved</v>
      </c>
      <c r="V242" s="11" t="n">
        <f aca="false">ROUND((IF(U242="resolved",I242,IF(U242="claimed",H242,Controls!$B$4))-G242)*24,4)</f>
        <v>48.3</v>
      </c>
      <c r="W242" s="6" t="b">
        <f aca="false">INDEX(Owners!$E$4:$E$21,MATCH(D242,Owners!$A$4:$A$21,0))</f>
        <v>1</v>
      </c>
    </row>
    <row r="243" customFormat="false" ht="15" hidden="false" customHeight="false" outlineLevel="0" collapsed="false">
      <c r="A243" s="4" t="s">
        <v>542</v>
      </c>
      <c r="B243" s="4" t="s">
        <v>107</v>
      </c>
      <c r="C243" s="4" t="s">
        <v>224</v>
      </c>
      <c r="D243" s="4" t="s">
        <v>326</v>
      </c>
      <c r="E243" s="4" t="s">
        <v>202</v>
      </c>
      <c r="F243" s="4" t="s">
        <v>277</v>
      </c>
      <c r="G243" s="5" t="n">
        <v>46257.0972222222</v>
      </c>
      <c r="H243" s="5" t="n">
        <v>46260.0034722222</v>
      </c>
      <c r="I243" s="5" t="n">
        <v>46260.4194444444</v>
      </c>
      <c r="J243" s="4" t="s">
        <v>284</v>
      </c>
      <c r="K243" s="4" t="s">
        <v>542</v>
      </c>
      <c r="L243" s="4" t="s">
        <v>224</v>
      </c>
      <c r="M243" s="4" t="n">
        <v>1</v>
      </c>
      <c r="N243" s="4" t="n">
        <v>1</v>
      </c>
      <c r="O243" s="4" t="n">
        <v>0</v>
      </c>
      <c r="P243" s="12"/>
      <c r="Q243" s="4" t="n">
        <v>0</v>
      </c>
      <c r="R243" s="0" t="str">
        <f aca="false">INDEX(Owners!$B$4:$B$21,MATCH(D243,Owners!$A$4:$A$21,0))</f>
        <v>Customer Data</v>
      </c>
      <c r="S243" s="6" t="b">
        <f aca="false">AND(F243="closed",ISNUMBER(H243),H243&lt;=Controls!$B$4)</f>
        <v>1</v>
      </c>
      <c r="T243" s="6" t="b">
        <f aca="false">AND(ISNUMBER(I243),I243&lt;=Controls!$B$4,J243="rerun",K243=A243,L243=C243,M243=N243,O243=0,I243&gt;=G243,IF(ISNUMBER(P243),I243&gt;=P243,TRUE()))</f>
        <v>1</v>
      </c>
      <c r="U243" s="0" t="str">
        <f aca="false">IF(AND(S243,T243),"resolved",IF(S243,"claimed","open"))</f>
        <v>resolved</v>
      </c>
      <c r="V243" s="11" t="n">
        <f aca="false">ROUND((IF(U243="resolved",I243,IF(U243="claimed",H243,Controls!$B$4))-G243)*24,4)</f>
        <v>79.7333</v>
      </c>
      <c r="W243" s="6" t="b">
        <f aca="false">INDEX(Owners!$E$4:$E$21,MATCH(D243,Owners!$A$4:$A$21,0))</f>
        <v>0</v>
      </c>
    </row>
    <row r="244" customFormat="false" ht="15" hidden="false" customHeight="false" outlineLevel="0" collapsed="false">
      <c r="A244" s="4" t="s">
        <v>543</v>
      </c>
      <c r="B244" s="4" t="s">
        <v>111</v>
      </c>
      <c r="C244" s="4" t="s">
        <v>229</v>
      </c>
      <c r="D244" s="4" t="s">
        <v>296</v>
      </c>
      <c r="E244" s="4" t="s">
        <v>202</v>
      </c>
      <c r="F244" s="4" t="s">
        <v>277</v>
      </c>
      <c r="G244" s="5" t="n">
        <v>46257.1645833333</v>
      </c>
      <c r="H244" s="5" t="n">
        <v>46257.7513888889</v>
      </c>
      <c r="I244" s="5" t="n">
        <v>46257.8291666667</v>
      </c>
      <c r="J244" s="4" t="s">
        <v>284</v>
      </c>
      <c r="K244" s="4" t="s">
        <v>543</v>
      </c>
      <c r="L244" s="4" t="s">
        <v>229</v>
      </c>
      <c r="M244" s="4" t="n">
        <v>1</v>
      </c>
      <c r="N244" s="4" t="n">
        <v>1</v>
      </c>
      <c r="O244" s="4" t="n">
        <v>0</v>
      </c>
      <c r="P244" s="12"/>
      <c r="Q244" s="4" t="n">
        <v>0</v>
      </c>
      <c r="R244" s="0" t="str">
        <f aca="false">INDEX(Owners!$B$4:$B$21,MATCH(D244,Owners!$A$4:$A$21,0))</f>
        <v>Data Platform</v>
      </c>
      <c r="S244" s="6" t="b">
        <f aca="false">AND(F244="closed",ISNUMBER(H244),H244&lt;=Controls!$B$4)</f>
        <v>1</v>
      </c>
      <c r="T244" s="6" t="b">
        <f aca="false">AND(ISNUMBER(I244),I244&lt;=Controls!$B$4,J244="rerun",K244=A244,L244=C244,M244=N244,O244=0,I244&gt;=G244,IF(ISNUMBER(P244),I244&gt;=P244,TRUE()))</f>
        <v>1</v>
      </c>
      <c r="U244" s="0" t="str">
        <f aca="false">IF(AND(S244,T244),"resolved",IF(S244,"claimed","open"))</f>
        <v>resolved</v>
      </c>
      <c r="V244" s="11" t="n">
        <f aca="false">ROUND((IF(U244="resolved",I244,IF(U244="claimed",H244,Controls!$B$4))-G244)*24,4)</f>
        <v>15.95</v>
      </c>
      <c r="W244" s="6" t="b">
        <f aca="false">INDEX(Owners!$E$4:$E$21,MATCH(D244,Owners!$A$4:$A$21,0))</f>
        <v>1</v>
      </c>
    </row>
    <row r="245" customFormat="false" ht="15" hidden="false" customHeight="false" outlineLevel="0" collapsed="false">
      <c r="A245" s="4" t="s">
        <v>544</v>
      </c>
      <c r="B245" s="4" t="s">
        <v>125</v>
      </c>
      <c r="C245" s="4" t="s">
        <v>250</v>
      </c>
      <c r="D245" s="4" t="s">
        <v>334</v>
      </c>
      <c r="E245" s="4" t="s">
        <v>202</v>
      </c>
      <c r="F245" s="4" t="s">
        <v>277</v>
      </c>
      <c r="G245" s="5" t="n">
        <v>46257.1875</v>
      </c>
      <c r="H245" s="5" t="n">
        <v>46258.5694444445</v>
      </c>
      <c r="I245" s="5" t="n">
        <v>46259.0013888889</v>
      </c>
      <c r="J245" s="4" t="s">
        <v>284</v>
      </c>
      <c r="K245" s="4" t="s">
        <v>544</v>
      </c>
      <c r="L245" s="4" t="s">
        <v>250</v>
      </c>
      <c r="M245" s="4" t="n">
        <v>1</v>
      </c>
      <c r="N245" s="4" t="n">
        <v>1</v>
      </c>
      <c r="O245" s="4" t="n">
        <v>0</v>
      </c>
      <c r="P245" s="12"/>
      <c r="Q245" s="4" t="n">
        <v>0</v>
      </c>
      <c r="R245" s="0" t="str">
        <f aca="false">INDEX(Owners!$B$4:$B$21,MATCH(D245,Owners!$A$4:$A$21,0))</f>
        <v>Supply Chain</v>
      </c>
      <c r="S245" s="6" t="b">
        <f aca="false">AND(F245="closed",ISNUMBER(H245),H245&lt;=Controls!$B$4)</f>
        <v>1</v>
      </c>
      <c r="T245" s="6" t="b">
        <f aca="false">AND(ISNUMBER(I245),I245&lt;=Controls!$B$4,J245="rerun",K245=A245,L245=C245,M245=N245,O245=0,I245&gt;=G245,IF(ISNUMBER(P245),I245&gt;=P245,TRUE()))</f>
        <v>1</v>
      </c>
      <c r="U245" s="0" t="str">
        <f aca="false">IF(AND(S245,T245),"resolved",IF(S245,"claimed","open"))</f>
        <v>resolved</v>
      </c>
      <c r="V245" s="11" t="n">
        <f aca="false">ROUND((IF(U245="resolved",I245,IF(U245="claimed",H245,Controls!$B$4))-G245)*24,4)</f>
        <v>43.5333</v>
      </c>
      <c r="W245" s="6" t="b">
        <f aca="false">INDEX(Owners!$E$4:$E$21,MATCH(D245,Owners!$A$4:$A$21,0))</f>
        <v>0</v>
      </c>
    </row>
    <row r="246" customFormat="false" ht="15" hidden="false" customHeight="false" outlineLevel="0" collapsed="false">
      <c r="A246" s="4" t="s">
        <v>545</v>
      </c>
      <c r="B246" s="4" t="s">
        <v>110</v>
      </c>
      <c r="C246" s="4" t="s">
        <v>228</v>
      </c>
      <c r="D246" s="4" t="s">
        <v>286</v>
      </c>
      <c r="E246" s="4" t="s">
        <v>202</v>
      </c>
      <c r="F246" s="4" t="s">
        <v>277</v>
      </c>
      <c r="G246" s="5" t="n">
        <v>46257.2145833333</v>
      </c>
      <c r="H246" s="5" t="n">
        <v>46258.5541666667</v>
      </c>
      <c r="I246" s="5" t="n">
        <v>46259.1361111111</v>
      </c>
      <c r="J246" s="4" t="s">
        <v>284</v>
      </c>
      <c r="K246" s="4" t="s">
        <v>545</v>
      </c>
      <c r="L246" s="4" t="s">
        <v>228</v>
      </c>
      <c r="M246" s="4" t="n">
        <v>2</v>
      </c>
      <c r="N246" s="4" t="n">
        <v>2</v>
      </c>
      <c r="O246" s="4" t="n">
        <v>0</v>
      </c>
      <c r="P246" s="12"/>
      <c r="Q246" s="4" t="n">
        <v>0</v>
      </c>
      <c r="R246" s="0" t="str">
        <f aca="false">INDEX(Owners!$B$4:$B$21,MATCH(D246,Owners!$A$4:$A$21,0))</f>
        <v>Finance Systems</v>
      </c>
      <c r="S246" s="6" t="b">
        <f aca="false">AND(F246="closed",ISNUMBER(H246),H246&lt;=Controls!$B$4)</f>
        <v>1</v>
      </c>
      <c r="T246" s="6" t="b">
        <f aca="false">AND(ISNUMBER(I246),I246&lt;=Controls!$B$4,J246="rerun",K246=A246,L246=C246,M246=N246,O246=0,I246&gt;=G246,IF(ISNUMBER(P246),I246&gt;=P246,TRUE()))</f>
        <v>1</v>
      </c>
      <c r="U246" s="0" t="str">
        <f aca="false">IF(AND(S246,T246),"resolved",IF(S246,"claimed","open"))</f>
        <v>resolved</v>
      </c>
      <c r="V246" s="11" t="n">
        <f aca="false">ROUND((IF(U246="resolved",I246,IF(U246="claimed",H246,Controls!$B$4))-G246)*24,4)</f>
        <v>46.1167</v>
      </c>
      <c r="W246" s="6" t="b">
        <f aca="false">INDEX(Owners!$E$4:$E$21,MATCH(D246,Owners!$A$4:$A$21,0))</f>
        <v>0</v>
      </c>
    </row>
    <row r="247" customFormat="false" ht="15" hidden="false" customHeight="false" outlineLevel="0" collapsed="false">
      <c r="A247" s="4" t="s">
        <v>546</v>
      </c>
      <c r="B247" s="4" t="s">
        <v>98</v>
      </c>
      <c r="C247" s="4" t="s">
        <v>323</v>
      </c>
      <c r="D247" s="4" t="s">
        <v>324</v>
      </c>
      <c r="E247" s="4" t="s">
        <v>202</v>
      </c>
      <c r="F247" s="4" t="s">
        <v>277</v>
      </c>
      <c r="G247" s="5" t="n">
        <v>46258.0840277778</v>
      </c>
      <c r="H247" s="5" t="n">
        <v>46262.68125</v>
      </c>
      <c r="I247" s="5" t="n">
        <v>46263.1951388889</v>
      </c>
      <c r="J247" s="4" t="s">
        <v>284</v>
      </c>
      <c r="K247" s="4" t="s">
        <v>546</v>
      </c>
      <c r="L247" s="4" t="s">
        <v>323</v>
      </c>
      <c r="M247" s="4" t="n">
        <v>1</v>
      </c>
      <c r="N247" s="4" t="n">
        <v>1</v>
      </c>
      <c r="O247" s="4" t="n">
        <v>0</v>
      </c>
      <c r="P247" s="12"/>
      <c r="Q247" s="4" t="n">
        <v>0</v>
      </c>
      <c r="R247" s="0" t="str">
        <f aca="false">INDEX(Owners!$B$4:$B$21,MATCH(D247,Owners!$A$4:$A$21,0))</f>
        <v>Finance Systems</v>
      </c>
      <c r="S247" s="6" t="b">
        <f aca="false">AND(F247="closed",ISNUMBER(H247),H247&lt;=Controls!$B$4)</f>
        <v>1</v>
      </c>
      <c r="T247" s="6" t="b">
        <f aca="false">AND(ISNUMBER(I247),I247&lt;=Controls!$B$4,J247="rerun",K247=A247,L247=C247,M247=N247,O247=0,I247&gt;=G247,IF(ISNUMBER(P247),I247&gt;=P247,TRUE()))</f>
        <v>1</v>
      </c>
      <c r="U247" s="0" t="str">
        <f aca="false">IF(AND(S247,T247),"resolved",IF(S247,"claimed","open"))</f>
        <v>resolved</v>
      </c>
      <c r="V247" s="11" t="n">
        <f aca="false">ROUND((IF(U247="resolved",I247,IF(U247="claimed",H247,Controls!$B$4))-G247)*24,4)</f>
        <v>122.6667</v>
      </c>
      <c r="W247" s="6" t="b">
        <f aca="false">INDEX(Owners!$E$4:$E$21,MATCH(D247,Owners!$A$4:$A$21,0))</f>
        <v>1</v>
      </c>
    </row>
    <row r="248" customFormat="false" ht="15" hidden="false" customHeight="false" outlineLevel="0" collapsed="false">
      <c r="A248" s="4" t="s">
        <v>547</v>
      </c>
      <c r="B248" s="4" t="s">
        <v>128</v>
      </c>
      <c r="C248" s="4" t="s">
        <v>304</v>
      </c>
      <c r="D248" s="4" t="s">
        <v>283</v>
      </c>
      <c r="E248" s="4" t="s">
        <v>204</v>
      </c>
      <c r="F248" s="4" t="s">
        <v>277</v>
      </c>
      <c r="G248" s="5" t="n">
        <v>46258.1020833333</v>
      </c>
      <c r="H248" s="5" t="n">
        <v>46260.0222222222</v>
      </c>
      <c r="I248" s="5" t="n">
        <v>46260.1347222222</v>
      </c>
      <c r="J248" s="4" t="s">
        <v>284</v>
      </c>
      <c r="K248" s="4" t="s">
        <v>547</v>
      </c>
      <c r="L248" s="4" t="s">
        <v>304</v>
      </c>
      <c r="M248" s="4" t="n">
        <v>1</v>
      </c>
      <c r="N248" s="4" t="n">
        <v>1</v>
      </c>
      <c r="O248" s="4" t="n">
        <v>0</v>
      </c>
      <c r="P248" s="12"/>
      <c r="Q248" s="4" t="n">
        <v>0</v>
      </c>
      <c r="R248" s="0" t="str">
        <f aca="false">INDEX(Owners!$B$4:$B$21,MATCH(D248,Owners!$A$4:$A$21,0))</f>
        <v>Data Platform</v>
      </c>
      <c r="S248" s="6" t="b">
        <f aca="false">AND(F248="closed",ISNUMBER(H248),H248&lt;=Controls!$B$4)</f>
        <v>1</v>
      </c>
      <c r="T248" s="6" t="b">
        <f aca="false">AND(ISNUMBER(I248),I248&lt;=Controls!$B$4,J248="rerun",K248=A248,L248=C248,M248=N248,O248=0,I248&gt;=G248,IF(ISNUMBER(P248),I248&gt;=P248,TRUE()))</f>
        <v>1</v>
      </c>
      <c r="U248" s="0" t="str">
        <f aca="false">IF(AND(S248,T248),"resolved",IF(S248,"claimed","open"))</f>
        <v>resolved</v>
      </c>
      <c r="V248" s="11" t="n">
        <f aca="false">ROUND((IF(U248="resolved",I248,IF(U248="claimed",H248,Controls!$B$4))-G248)*24,4)</f>
        <v>48.7833</v>
      </c>
      <c r="W248" s="6" t="b">
        <f aca="false">INDEX(Owners!$E$4:$E$21,MATCH(D248,Owners!$A$4:$A$21,0))</f>
        <v>1</v>
      </c>
    </row>
    <row r="249" customFormat="false" ht="15" hidden="false" customHeight="false" outlineLevel="0" collapsed="false">
      <c r="A249" s="4" t="s">
        <v>548</v>
      </c>
      <c r="B249" s="4" t="s">
        <v>97</v>
      </c>
      <c r="C249" s="4" t="s">
        <v>208</v>
      </c>
      <c r="D249" s="4" t="s">
        <v>286</v>
      </c>
      <c r="E249" s="4" t="s">
        <v>202</v>
      </c>
      <c r="F249" s="4" t="s">
        <v>277</v>
      </c>
      <c r="G249" s="5" t="n">
        <v>46258.1194444444</v>
      </c>
      <c r="H249" s="5" t="n">
        <v>46260.025</v>
      </c>
      <c r="I249" s="5" t="n">
        <v>46260.2895833333</v>
      </c>
      <c r="J249" s="4" t="s">
        <v>284</v>
      </c>
      <c r="K249" s="4" t="s">
        <v>548</v>
      </c>
      <c r="L249" s="4" t="s">
        <v>208</v>
      </c>
      <c r="M249" s="4" t="n">
        <v>2</v>
      </c>
      <c r="N249" s="4" t="n">
        <v>2</v>
      </c>
      <c r="O249" s="4" t="n">
        <v>0</v>
      </c>
      <c r="P249" s="12"/>
      <c r="Q249" s="4" t="n">
        <v>0</v>
      </c>
      <c r="R249" s="0" t="str">
        <f aca="false">INDEX(Owners!$B$4:$B$21,MATCH(D249,Owners!$A$4:$A$21,0))</f>
        <v>Finance Systems</v>
      </c>
      <c r="S249" s="6" t="b">
        <f aca="false">AND(F249="closed",ISNUMBER(H249),H249&lt;=Controls!$B$4)</f>
        <v>1</v>
      </c>
      <c r="T249" s="6" t="b">
        <f aca="false">AND(ISNUMBER(I249),I249&lt;=Controls!$B$4,J249="rerun",K249=A249,L249=C249,M249=N249,O249=0,I249&gt;=G249,IF(ISNUMBER(P249),I249&gt;=P249,TRUE()))</f>
        <v>1</v>
      </c>
      <c r="U249" s="0" t="str">
        <f aca="false">IF(AND(S249,T249),"resolved",IF(S249,"claimed","open"))</f>
        <v>resolved</v>
      </c>
      <c r="V249" s="11" t="n">
        <f aca="false">ROUND((IF(U249="resolved",I249,IF(U249="claimed",H249,Controls!$B$4))-G249)*24,4)</f>
        <v>52.0833</v>
      </c>
      <c r="W249" s="6" t="b">
        <f aca="false">INDEX(Owners!$E$4:$E$21,MATCH(D249,Owners!$A$4:$A$21,0))</f>
        <v>0</v>
      </c>
    </row>
    <row r="250" customFormat="false" ht="15" hidden="false" customHeight="false" outlineLevel="0" collapsed="false">
      <c r="A250" s="4" t="s">
        <v>549</v>
      </c>
      <c r="B250" s="4" t="s">
        <v>92</v>
      </c>
      <c r="C250" s="4" t="s">
        <v>201</v>
      </c>
      <c r="D250" s="4" t="s">
        <v>330</v>
      </c>
      <c r="E250" s="4" t="s">
        <v>202</v>
      </c>
      <c r="F250" s="4" t="s">
        <v>277</v>
      </c>
      <c r="G250" s="5" t="n">
        <v>46258.1465277778</v>
      </c>
      <c r="H250" s="5" t="n">
        <v>46259.8506944445</v>
      </c>
      <c r="I250" s="5" t="n">
        <v>46260.0944444445</v>
      </c>
      <c r="J250" s="4" t="s">
        <v>284</v>
      </c>
      <c r="K250" s="4" t="s">
        <v>549</v>
      </c>
      <c r="L250" s="4" t="s">
        <v>201</v>
      </c>
      <c r="M250" s="4" t="n">
        <v>1</v>
      </c>
      <c r="N250" s="4" t="n">
        <v>1</v>
      </c>
      <c r="O250" s="4" t="n">
        <v>0</v>
      </c>
      <c r="P250" s="12"/>
      <c r="Q250" s="4" t="n">
        <v>0</v>
      </c>
      <c r="R250" s="0" t="str">
        <f aca="false">INDEX(Owners!$B$4:$B$21,MATCH(D250,Owners!$A$4:$A$21,0))</f>
        <v>Supply Chain</v>
      </c>
      <c r="S250" s="6" t="b">
        <f aca="false">AND(F250="closed",ISNUMBER(H250),H250&lt;=Controls!$B$4)</f>
        <v>1</v>
      </c>
      <c r="T250" s="6" t="b">
        <f aca="false">AND(ISNUMBER(I250),I250&lt;=Controls!$B$4,J250="rerun",K250=A250,L250=C250,M250=N250,O250=0,I250&gt;=G250,IF(ISNUMBER(P250),I250&gt;=P250,TRUE()))</f>
        <v>1</v>
      </c>
      <c r="U250" s="0" t="str">
        <f aca="false">IF(AND(S250,T250),"resolved",IF(S250,"claimed","open"))</f>
        <v>resolved</v>
      </c>
      <c r="V250" s="11" t="n">
        <f aca="false">ROUND((IF(U250="resolved",I250,IF(U250="claimed",H250,Controls!$B$4))-G250)*24,4)</f>
        <v>46.75</v>
      </c>
      <c r="W250" s="6" t="b">
        <f aca="false">INDEX(Owners!$E$4:$E$21,MATCH(D250,Owners!$A$4:$A$21,0))</f>
        <v>1</v>
      </c>
    </row>
    <row r="251" customFormat="false" ht="15" hidden="false" customHeight="false" outlineLevel="0" collapsed="false">
      <c r="A251" s="4" t="s">
        <v>550</v>
      </c>
      <c r="B251" s="4" t="s">
        <v>111</v>
      </c>
      <c r="C251" s="4" t="s">
        <v>229</v>
      </c>
      <c r="D251" s="4" t="s">
        <v>296</v>
      </c>
      <c r="E251" s="4" t="s">
        <v>202</v>
      </c>
      <c r="F251" s="4" t="s">
        <v>277</v>
      </c>
      <c r="G251" s="5" t="n">
        <v>46258.1645833333</v>
      </c>
      <c r="H251" s="5" t="n">
        <v>46260.6173611111</v>
      </c>
      <c r="I251" s="12"/>
      <c r="N251" s="4" t="n">
        <v>1</v>
      </c>
      <c r="P251" s="12"/>
      <c r="Q251" s="4" t="n">
        <v>0</v>
      </c>
      <c r="R251" s="0" t="str">
        <f aca="false">INDEX(Owners!$B$4:$B$21,MATCH(D251,Owners!$A$4:$A$21,0))</f>
        <v>Data Platform</v>
      </c>
      <c r="S251" s="6" t="b">
        <f aca="false">AND(F251="closed",ISNUMBER(H251),H251&lt;=Controls!$B$4)</f>
        <v>1</v>
      </c>
      <c r="T251" s="6" t="b">
        <f aca="false">AND(ISNUMBER(I251),I251&lt;=Controls!$B$4,J251="rerun",K251=A251,L251=C251,M251=N251,O251=0,I251&gt;=G251,IF(ISNUMBER(P251),I251&gt;=P251,TRUE()))</f>
        <v>0</v>
      </c>
      <c r="U251" s="0" t="str">
        <f aca="false">IF(AND(S251,T251),"resolved",IF(S251,"claimed","open"))</f>
        <v>claimed</v>
      </c>
      <c r="V251" s="11" t="n">
        <f aca="false">ROUND((IF(U251="resolved",I251,IF(U251="claimed",H251,Controls!$B$4))-G251)*24,4)</f>
        <v>58.8667</v>
      </c>
      <c r="W251" s="6" t="b">
        <f aca="false">INDEX(Owners!$E$4:$E$21,MATCH(D251,Owners!$A$4:$A$21,0))</f>
        <v>1</v>
      </c>
    </row>
    <row r="252" customFormat="false" ht="15" hidden="false" customHeight="false" outlineLevel="0" collapsed="false">
      <c r="A252" s="4" t="s">
        <v>551</v>
      </c>
      <c r="B252" s="4" t="s">
        <v>129</v>
      </c>
      <c r="C252" s="4" t="s">
        <v>255</v>
      </c>
      <c r="D252" s="4" t="s">
        <v>497</v>
      </c>
      <c r="E252" s="4" t="s">
        <v>204</v>
      </c>
      <c r="F252" s="4" t="s">
        <v>277</v>
      </c>
      <c r="G252" s="5" t="n">
        <v>46258.1743055556</v>
      </c>
      <c r="H252" s="5" t="n">
        <v>46260.0263888889</v>
      </c>
      <c r="I252" s="5" t="n">
        <v>46260.3041666667</v>
      </c>
      <c r="J252" s="4" t="s">
        <v>284</v>
      </c>
      <c r="K252" s="4" t="s">
        <v>551</v>
      </c>
      <c r="L252" s="4" t="s">
        <v>255</v>
      </c>
      <c r="M252" s="4" t="n">
        <v>1</v>
      </c>
      <c r="N252" s="4" t="n">
        <v>1</v>
      </c>
      <c r="O252" s="4" t="n">
        <v>0</v>
      </c>
      <c r="P252" s="12"/>
      <c r="Q252" s="4" t="n">
        <v>0</v>
      </c>
      <c r="R252" s="0" t="str">
        <f aca="false">INDEX(Owners!$B$4:$B$21,MATCH(D252,Owners!$A$4:$A$21,0))</f>
        <v>Support Operations</v>
      </c>
      <c r="S252" s="6" t="b">
        <f aca="false">AND(F252="closed",ISNUMBER(H252),H252&lt;=Controls!$B$4)</f>
        <v>1</v>
      </c>
      <c r="T252" s="6" t="b">
        <f aca="false">AND(ISNUMBER(I252),I252&lt;=Controls!$B$4,J252="rerun",K252=A252,L252=C252,M252=N252,O252=0,I252&gt;=G252,IF(ISNUMBER(P252),I252&gt;=P252,TRUE()))</f>
        <v>1</v>
      </c>
      <c r="U252" s="0" t="str">
        <f aca="false">IF(AND(S252,T252),"resolved",IF(S252,"claimed","open"))</f>
        <v>resolved</v>
      </c>
      <c r="V252" s="11" t="n">
        <f aca="false">ROUND((IF(U252="resolved",I252,IF(U252="claimed",H252,Controls!$B$4))-G252)*24,4)</f>
        <v>51.1167</v>
      </c>
      <c r="W252" s="6" t="b">
        <f aca="false">INDEX(Owners!$E$4:$E$21,MATCH(D252,Owners!$A$4:$A$21,0))</f>
        <v>1</v>
      </c>
    </row>
    <row r="253" customFormat="false" ht="15" hidden="false" customHeight="false" outlineLevel="0" collapsed="false">
      <c r="A253" s="4" t="s">
        <v>552</v>
      </c>
      <c r="B253" s="4" t="s">
        <v>130</v>
      </c>
      <c r="C253" s="4" t="s">
        <v>256</v>
      </c>
      <c r="D253" s="4" t="s">
        <v>553</v>
      </c>
      <c r="E253" s="4" t="s">
        <v>202</v>
      </c>
      <c r="F253" s="4" t="s">
        <v>277</v>
      </c>
      <c r="G253" s="5" t="n">
        <v>46258.1833333333</v>
      </c>
      <c r="H253" s="5" t="n">
        <v>46259.0479166667</v>
      </c>
      <c r="I253" s="5" t="n">
        <v>46259.1069444444</v>
      </c>
      <c r="J253" s="4" t="s">
        <v>284</v>
      </c>
      <c r="K253" s="4" t="s">
        <v>552</v>
      </c>
      <c r="L253" s="4" t="s">
        <v>256</v>
      </c>
      <c r="M253" s="4" t="n">
        <v>1</v>
      </c>
      <c r="N253" s="4" t="n">
        <v>1</v>
      </c>
      <c r="O253" s="4" t="n">
        <v>0</v>
      </c>
      <c r="P253" s="12"/>
      <c r="Q253" s="4" t="n">
        <v>0</v>
      </c>
      <c r="R253" s="0" t="str">
        <f aca="false">INDEX(Owners!$B$4:$B$21,MATCH(D253,Owners!$A$4:$A$21,0))</f>
        <v>Data Governance</v>
      </c>
      <c r="S253" s="6" t="b">
        <f aca="false">AND(F253="closed",ISNUMBER(H253),H253&lt;=Controls!$B$4)</f>
        <v>1</v>
      </c>
      <c r="T253" s="6" t="b">
        <f aca="false">AND(ISNUMBER(I253),I253&lt;=Controls!$B$4,J253="rerun",K253=A253,L253=C253,M253=N253,O253=0,I253&gt;=G253,IF(ISNUMBER(P253),I253&gt;=P253,TRUE()))</f>
        <v>1</v>
      </c>
      <c r="U253" s="0" t="str">
        <f aca="false">IF(AND(S253,T253),"resolved",IF(S253,"claimed","open"))</f>
        <v>resolved</v>
      </c>
      <c r="V253" s="11" t="n">
        <f aca="false">ROUND((IF(U253="resolved",I253,IF(U253="claimed",H253,Controls!$B$4))-G253)*24,4)</f>
        <v>22.1667</v>
      </c>
      <c r="W253" s="6" t="b">
        <f aca="false">INDEX(Owners!$E$4:$E$21,MATCH(D253,Owners!$A$4:$A$21,0))</f>
        <v>1</v>
      </c>
    </row>
    <row r="254" customFormat="false" ht="15" hidden="false" customHeight="false" outlineLevel="0" collapsed="false">
      <c r="A254" s="4" t="s">
        <v>554</v>
      </c>
      <c r="B254" s="4" t="s">
        <v>98</v>
      </c>
      <c r="C254" s="4" t="s">
        <v>211</v>
      </c>
      <c r="D254" s="4" t="s">
        <v>324</v>
      </c>
      <c r="E254" s="4" t="s">
        <v>204</v>
      </c>
      <c r="F254" s="4" t="s">
        <v>277</v>
      </c>
      <c r="G254" s="5" t="n">
        <v>46258.2416666667</v>
      </c>
      <c r="H254" s="5" t="n">
        <v>46258.9361111111</v>
      </c>
      <c r="I254" s="12"/>
      <c r="N254" s="4" t="n">
        <v>3</v>
      </c>
      <c r="P254" s="12"/>
      <c r="Q254" s="4" t="n">
        <v>0</v>
      </c>
      <c r="R254" s="0" t="str">
        <f aca="false">INDEX(Owners!$B$4:$B$21,MATCH(D254,Owners!$A$4:$A$21,0))</f>
        <v>Finance Systems</v>
      </c>
      <c r="S254" s="6" t="b">
        <f aca="false">AND(F254="closed",ISNUMBER(H254),H254&lt;=Controls!$B$4)</f>
        <v>1</v>
      </c>
      <c r="T254" s="6" t="b">
        <f aca="false">AND(ISNUMBER(I254),I254&lt;=Controls!$B$4,J254="rerun",K254=A254,L254=C254,M254=N254,O254=0,I254&gt;=G254,IF(ISNUMBER(P254),I254&gt;=P254,TRUE()))</f>
        <v>0</v>
      </c>
      <c r="U254" s="0" t="str">
        <f aca="false">IF(AND(S254,T254),"resolved",IF(S254,"claimed","open"))</f>
        <v>claimed</v>
      </c>
      <c r="V254" s="11" t="n">
        <f aca="false">ROUND((IF(U254="resolved",I254,IF(U254="claimed",H254,Controls!$B$4))-G254)*24,4)</f>
        <v>16.6667</v>
      </c>
      <c r="W254" s="6" t="b">
        <f aca="false">INDEX(Owners!$E$4:$E$21,MATCH(D254,Owners!$A$4:$A$21,0))</f>
        <v>1</v>
      </c>
    </row>
    <row r="255" customFormat="false" ht="15" hidden="false" customHeight="false" outlineLevel="0" collapsed="false">
      <c r="A255" s="4" t="s">
        <v>555</v>
      </c>
      <c r="B255" s="4" t="s">
        <v>107</v>
      </c>
      <c r="C255" s="4" t="s">
        <v>224</v>
      </c>
      <c r="D255" s="4" t="s">
        <v>326</v>
      </c>
      <c r="E255" s="4" t="s">
        <v>202</v>
      </c>
      <c r="F255" s="4" t="s">
        <v>556</v>
      </c>
      <c r="G255" s="5" t="n">
        <v>46259.0972222222</v>
      </c>
      <c r="H255" s="12"/>
      <c r="I255" s="12"/>
      <c r="N255" s="4" t="n">
        <v>1</v>
      </c>
      <c r="P255" s="12"/>
      <c r="Q255" s="4" t="n">
        <v>0</v>
      </c>
      <c r="R255" s="0" t="str">
        <f aca="false">INDEX(Owners!$B$4:$B$21,MATCH(D255,Owners!$A$4:$A$21,0))</f>
        <v>Customer Data</v>
      </c>
      <c r="S255" s="6" t="b">
        <f aca="false">AND(F255="closed",ISNUMBER(H255),H255&lt;=Controls!$B$4)</f>
        <v>0</v>
      </c>
      <c r="T255" s="6" t="b">
        <f aca="false">AND(ISNUMBER(I255),I255&lt;=Controls!$B$4,J255="rerun",K255=A255,L255=C255,M255=N255,O255=0,I255&gt;=G255,IF(ISNUMBER(P255),I255&gt;=P255,TRUE()))</f>
        <v>0</v>
      </c>
      <c r="U255" s="0" t="str">
        <f aca="false">IF(AND(S255,T255),"resolved",IF(S255,"claimed","open"))</f>
        <v>open</v>
      </c>
      <c r="V255" s="11" t="n">
        <f aca="false">ROUND((IF(U255="resolved",I255,IF(U255="claimed",H255,Controls!$B$4))-G255)*24,4)</f>
        <v>981.6667</v>
      </c>
      <c r="W255" s="6" t="b">
        <f aca="false">INDEX(Owners!$E$4:$E$21,MATCH(D255,Owners!$A$4:$A$21,0))</f>
        <v>0</v>
      </c>
    </row>
    <row r="256" customFormat="false" ht="15" hidden="false" customHeight="false" outlineLevel="0" collapsed="false">
      <c r="A256" s="4" t="s">
        <v>557</v>
      </c>
      <c r="B256" s="4" t="s">
        <v>97</v>
      </c>
      <c r="C256" s="4" t="s">
        <v>208</v>
      </c>
      <c r="D256" s="4" t="s">
        <v>286</v>
      </c>
      <c r="E256" s="4" t="s">
        <v>202</v>
      </c>
      <c r="F256" s="4" t="s">
        <v>277</v>
      </c>
      <c r="G256" s="5" t="n">
        <v>46259.1194444444</v>
      </c>
      <c r="H256" s="5" t="n">
        <v>46266.1965277778</v>
      </c>
      <c r="I256" s="5" t="n">
        <v>46266.3416666667</v>
      </c>
      <c r="J256" s="4" t="s">
        <v>284</v>
      </c>
      <c r="K256" s="4" t="s">
        <v>557</v>
      </c>
      <c r="L256" s="4" t="s">
        <v>208</v>
      </c>
      <c r="M256" s="4" t="n">
        <v>2</v>
      </c>
      <c r="N256" s="4" t="n">
        <v>2</v>
      </c>
      <c r="O256" s="4" t="n">
        <v>0</v>
      </c>
      <c r="P256" s="12"/>
      <c r="Q256" s="4" t="n">
        <v>0</v>
      </c>
      <c r="R256" s="0" t="str">
        <f aca="false">INDEX(Owners!$B$4:$B$21,MATCH(D256,Owners!$A$4:$A$21,0))</f>
        <v>Finance Systems</v>
      </c>
      <c r="S256" s="6" t="b">
        <f aca="false">AND(F256="closed",ISNUMBER(H256),H256&lt;=Controls!$B$4)</f>
        <v>1</v>
      </c>
      <c r="T256" s="6" t="b">
        <f aca="false">AND(ISNUMBER(I256),I256&lt;=Controls!$B$4,J256="rerun",K256=A256,L256=C256,M256=N256,O256=0,I256&gt;=G256,IF(ISNUMBER(P256),I256&gt;=P256,TRUE()))</f>
        <v>1</v>
      </c>
      <c r="U256" s="0" t="str">
        <f aca="false">IF(AND(S256,T256),"resolved",IF(S256,"claimed","open"))</f>
        <v>resolved</v>
      </c>
      <c r="V256" s="11" t="n">
        <f aca="false">ROUND((IF(U256="resolved",I256,IF(U256="claimed",H256,Controls!$B$4))-G256)*24,4)</f>
        <v>173.3333</v>
      </c>
      <c r="W256" s="6" t="b">
        <f aca="false">INDEX(Owners!$E$4:$E$21,MATCH(D256,Owners!$A$4:$A$21,0))</f>
        <v>0</v>
      </c>
    </row>
    <row r="257" customFormat="false" ht="15" hidden="false" customHeight="false" outlineLevel="0" collapsed="false">
      <c r="A257" s="4" t="s">
        <v>558</v>
      </c>
      <c r="B257" s="4" t="s">
        <v>122</v>
      </c>
      <c r="C257" s="4" t="s">
        <v>245</v>
      </c>
      <c r="D257" s="4" t="s">
        <v>350</v>
      </c>
      <c r="E257" s="4" t="s">
        <v>204</v>
      </c>
      <c r="F257" s="4" t="s">
        <v>556</v>
      </c>
      <c r="G257" s="5" t="n">
        <v>46259.1291666667</v>
      </c>
      <c r="H257" s="12"/>
      <c r="I257" s="12"/>
      <c r="N257" s="4" t="n">
        <v>1</v>
      </c>
      <c r="P257" s="12"/>
      <c r="Q257" s="4" t="n">
        <v>0</v>
      </c>
      <c r="R257" s="0" t="str">
        <f aca="false">INDEX(Owners!$B$4:$B$21,MATCH(D257,Owners!$A$4:$A$21,0))</f>
        <v>Supply Chain</v>
      </c>
      <c r="S257" s="6" t="b">
        <f aca="false">AND(F257="closed",ISNUMBER(H257),H257&lt;=Controls!$B$4)</f>
        <v>0</v>
      </c>
      <c r="T257" s="6" t="b">
        <f aca="false">AND(ISNUMBER(I257),I257&lt;=Controls!$B$4,J257="rerun",K257=A257,L257=C257,M257=N257,O257=0,I257&gt;=G257,IF(ISNUMBER(P257),I257&gt;=P257,TRUE()))</f>
        <v>0</v>
      </c>
      <c r="U257" s="0" t="str">
        <f aca="false">IF(AND(S257,T257),"resolved",IF(S257,"claimed","open"))</f>
        <v>open</v>
      </c>
      <c r="V257" s="11" t="n">
        <f aca="false">ROUND((IF(U257="resolved",I257,IF(U257="claimed",H257,Controls!$B$4))-G257)*24,4)</f>
        <v>980.9</v>
      </c>
      <c r="W257" s="6" t="b">
        <f aca="false">INDEX(Owners!$E$4:$E$21,MATCH(D257,Owners!$A$4:$A$21,0))</f>
        <v>1</v>
      </c>
    </row>
    <row r="258" customFormat="false" ht="15" hidden="false" customHeight="false" outlineLevel="0" collapsed="false">
      <c r="A258" s="4" t="s">
        <v>559</v>
      </c>
      <c r="B258" s="4" t="s">
        <v>124</v>
      </c>
      <c r="C258" s="4" t="s">
        <v>248</v>
      </c>
      <c r="D258" s="4" t="s">
        <v>301</v>
      </c>
      <c r="E258" s="4" t="s">
        <v>202</v>
      </c>
      <c r="F258" s="4" t="s">
        <v>277</v>
      </c>
      <c r="G258" s="5" t="n">
        <v>46259.1423611111</v>
      </c>
      <c r="H258" s="5" t="n">
        <v>46259.4673611111</v>
      </c>
      <c r="I258" s="5" t="n">
        <v>46259.6715277778</v>
      </c>
      <c r="J258" s="4" t="s">
        <v>284</v>
      </c>
      <c r="K258" s="4" t="s">
        <v>559</v>
      </c>
      <c r="L258" s="4" t="s">
        <v>248</v>
      </c>
      <c r="M258" s="4" t="n">
        <v>1</v>
      </c>
      <c r="N258" s="4" t="n">
        <v>1</v>
      </c>
      <c r="O258" s="4" t="n">
        <v>0</v>
      </c>
      <c r="P258" s="12"/>
      <c r="Q258" s="4" t="n">
        <v>0</v>
      </c>
      <c r="R258" s="0" t="str">
        <f aca="false">INDEX(Owners!$B$4:$B$21,MATCH(D258,Owners!$A$4:$A$21,0))</f>
        <v>Data Platform</v>
      </c>
      <c r="S258" s="6" t="b">
        <f aca="false">AND(F258="closed",ISNUMBER(H258),H258&lt;=Controls!$B$4)</f>
        <v>1</v>
      </c>
      <c r="T258" s="6" t="b">
        <f aca="false">AND(ISNUMBER(I258),I258&lt;=Controls!$B$4,J258="rerun",K258=A258,L258=C258,M258=N258,O258=0,I258&gt;=G258,IF(ISNUMBER(P258),I258&gt;=P258,TRUE()))</f>
        <v>1</v>
      </c>
      <c r="U258" s="0" t="str">
        <f aca="false">IF(AND(S258,T258),"resolved",IF(S258,"claimed","open"))</f>
        <v>resolved</v>
      </c>
      <c r="V258" s="11" t="n">
        <f aca="false">ROUND((IF(U258="resolved",I258,IF(U258="claimed",H258,Controls!$B$4))-G258)*24,4)</f>
        <v>12.7</v>
      </c>
      <c r="W258" s="6" t="b">
        <f aca="false">INDEX(Owners!$E$4:$E$21,MATCH(D258,Owners!$A$4:$A$21,0))</f>
        <v>1</v>
      </c>
    </row>
    <row r="259" customFormat="false" ht="15" hidden="false" customHeight="false" outlineLevel="0" collapsed="false">
      <c r="A259" s="4" t="s">
        <v>560</v>
      </c>
      <c r="B259" s="4" t="s">
        <v>124</v>
      </c>
      <c r="C259" s="4" t="s">
        <v>247</v>
      </c>
      <c r="D259" s="4" t="s">
        <v>301</v>
      </c>
      <c r="E259" s="4" t="s">
        <v>202</v>
      </c>
      <c r="F259" s="4" t="s">
        <v>556</v>
      </c>
      <c r="G259" s="5" t="n">
        <v>46259.1513888889</v>
      </c>
      <c r="H259" s="12"/>
      <c r="I259" s="12"/>
      <c r="N259" s="4" t="n">
        <v>1</v>
      </c>
      <c r="P259" s="12"/>
      <c r="Q259" s="4" t="n">
        <v>0</v>
      </c>
      <c r="R259" s="0" t="str">
        <f aca="false">INDEX(Owners!$B$4:$B$21,MATCH(D259,Owners!$A$4:$A$21,0))</f>
        <v>Data Platform</v>
      </c>
      <c r="S259" s="6" t="b">
        <f aca="false">AND(F259="closed",ISNUMBER(H259),H259&lt;=Controls!$B$4)</f>
        <v>0</v>
      </c>
      <c r="T259" s="6" t="b">
        <f aca="false">AND(ISNUMBER(I259),I259&lt;=Controls!$B$4,J259="rerun",K259=A259,L259=C259,M259=N259,O259=0,I259&gt;=G259,IF(ISNUMBER(P259),I259&gt;=P259,TRUE()))</f>
        <v>0</v>
      </c>
      <c r="U259" s="0" t="str">
        <f aca="false">IF(AND(S259,T259),"resolved",IF(S259,"claimed","open"))</f>
        <v>open</v>
      </c>
      <c r="V259" s="11" t="n">
        <f aca="false">ROUND((IF(U259="resolved",I259,IF(U259="claimed",H259,Controls!$B$4))-G259)*24,4)</f>
        <v>980.3667</v>
      </c>
      <c r="W259" s="6" t="b">
        <f aca="false">INDEX(Owners!$E$4:$E$21,MATCH(D259,Owners!$A$4:$A$21,0))</f>
        <v>1</v>
      </c>
    </row>
    <row r="260" customFormat="false" ht="15" hidden="false" customHeight="false" outlineLevel="0" collapsed="false">
      <c r="A260" s="4" t="s">
        <v>561</v>
      </c>
      <c r="B260" s="4" t="s">
        <v>109</v>
      </c>
      <c r="C260" s="4" t="s">
        <v>307</v>
      </c>
      <c r="D260" s="4" t="s">
        <v>292</v>
      </c>
      <c r="E260" s="4" t="s">
        <v>202</v>
      </c>
      <c r="F260" s="4" t="s">
        <v>562</v>
      </c>
      <c r="G260" s="5" t="n">
        <v>46259.1555555556</v>
      </c>
      <c r="H260" s="5" t="n">
        <v>46260.6305555556</v>
      </c>
      <c r="I260" s="5" t="n">
        <v>46260.8506944445</v>
      </c>
      <c r="J260" s="4" t="s">
        <v>284</v>
      </c>
      <c r="K260" s="4" t="s">
        <v>561</v>
      </c>
      <c r="L260" s="4" t="s">
        <v>307</v>
      </c>
      <c r="M260" s="4" t="n">
        <v>1</v>
      </c>
      <c r="N260" s="4" t="n">
        <v>1</v>
      </c>
      <c r="O260" s="4" t="n">
        <v>0</v>
      </c>
      <c r="P260" s="5" t="n">
        <v>46273.1138888889</v>
      </c>
      <c r="Q260" s="4" t="n">
        <v>1</v>
      </c>
      <c r="R260" s="0" t="str">
        <f aca="false">INDEX(Owners!$B$4:$B$21,MATCH(D260,Owners!$A$4:$A$21,0))</f>
        <v>Support Operations</v>
      </c>
      <c r="S260" s="6" t="b">
        <f aca="false">AND(F260="closed",ISNUMBER(H260),H260&lt;=Controls!$B$4)</f>
        <v>0</v>
      </c>
      <c r="T260" s="6" t="b">
        <f aca="false">AND(ISNUMBER(I260),I260&lt;=Controls!$B$4,J260="rerun",K260=A260,L260=C260,M260=N260,O260=0,I260&gt;=G260,IF(ISNUMBER(P260),I260&gt;=P260,TRUE()))</f>
        <v>0</v>
      </c>
      <c r="U260" s="0" t="str">
        <f aca="false">IF(AND(S260,T260),"resolved",IF(S260,"claimed","open"))</f>
        <v>open</v>
      </c>
      <c r="V260" s="11" t="n">
        <f aca="false">ROUND((IF(U260="resolved",I260,IF(U260="claimed",H260,Controls!$B$4))-G260)*24,4)</f>
        <v>980.2667</v>
      </c>
      <c r="W260" s="6" t="b">
        <f aca="false">INDEX(Owners!$E$4:$E$21,MATCH(D260,Owners!$A$4:$A$21,0))</f>
        <v>1</v>
      </c>
    </row>
    <row r="261" customFormat="false" ht="15" hidden="false" customHeight="false" outlineLevel="0" collapsed="false">
      <c r="A261" s="4" t="s">
        <v>563</v>
      </c>
      <c r="B261" s="4" t="s">
        <v>96</v>
      </c>
      <c r="C261" s="4" t="s">
        <v>206</v>
      </c>
      <c r="D261" s="4" t="s">
        <v>330</v>
      </c>
      <c r="E261" s="4" t="s">
        <v>202</v>
      </c>
      <c r="F261" s="4" t="s">
        <v>277</v>
      </c>
      <c r="G261" s="5" t="n">
        <v>46259.2194444445</v>
      </c>
      <c r="H261" s="5" t="n">
        <v>46266.3944444444</v>
      </c>
      <c r="I261" s="5" t="n">
        <v>46266.8555555556</v>
      </c>
      <c r="J261" s="4" t="s">
        <v>284</v>
      </c>
      <c r="K261" s="4" t="s">
        <v>563</v>
      </c>
      <c r="L261" s="4" t="s">
        <v>206</v>
      </c>
      <c r="M261" s="4" t="n">
        <v>1</v>
      </c>
      <c r="N261" s="4" t="n">
        <v>1</v>
      </c>
      <c r="O261" s="4" t="n">
        <v>0</v>
      </c>
      <c r="P261" s="12"/>
      <c r="Q261" s="4" t="n">
        <v>0</v>
      </c>
      <c r="R261" s="0" t="str">
        <f aca="false">INDEX(Owners!$B$4:$B$21,MATCH(D261,Owners!$A$4:$A$21,0))</f>
        <v>Supply Chain</v>
      </c>
      <c r="S261" s="6" t="b">
        <f aca="false">AND(F261="closed",ISNUMBER(H261),H261&lt;=Controls!$B$4)</f>
        <v>1</v>
      </c>
      <c r="T261" s="6" t="b">
        <f aca="false">AND(ISNUMBER(I261),I261&lt;=Controls!$B$4,J261="rerun",K261=A261,L261=C261,M261=N261,O261=0,I261&gt;=G261,IF(ISNUMBER(P261),I261&gt;=P261,TRUE()))</f>
        <v>1</v>
      </c>
      <c r="U261" s="0" t="str">
        <f aca="false">IF(AND(S261,T261),"resolved",IF(S261,"claimed","open"))</f>
        <v>resolved</v>
      </c>
      <c r="V261" s="11" t="n">
        <f aca="false">ROUND((IF(U261="resolved",I261,IF(U261="claimed",H261,Controls!$B$4))-G261)*24,4)</f>
        <v>183.2667</v>
      </c>
      <c r="W261" s="6" t="b">
        <f aca="false">INDEX(Owners!$E$4:$E$21,MATCH(D261,Owners!$A$4:$A$21,0))</f>
        <v>1</v>
      </c>
    </row>
    <row r="262" customFormat="false" ht="15" hidden="false" customHeight="false" outlineLevel="0" collapsed="false">
      <c r="A262" s="4" t="s">
        <v>564</v>
      </c>
      <c r="B262" s="4" t="s">
        <v>103</v>
      </c>
      <c r="C262" s="4" t="s">
        <v>218</v>
      </c>
      <c r="D262" s="4" t="s">
        <v>350</v>
      </c>
      <c r="E262" s="4" t="s">
        <v>202</v>
      </c>
      <c r="F262" s="4" t="s">
        <v>277</v>
      </c>
      <c r="G262" s="5" t="n">
        <v>46260.0979166667</v>
      </c>
      <c r="H262" s="5" t="n">
        <v>46261.4319444444</v>
      </c>
      <c r="I262" s="5" t="n">
        <v>46261.7430555556</v>
      </c>
      <c r="J262" s="4" t="s">
        <v>284</v>
      </c>
      <c r="K262" s="4" t="s">
        <v>564</v>
      </c>
      <c r="L262" s="4" t="s">
        <v>218</v>
      </c>
      <c r="M262" s="4" t="n">
        <v>1</v>
      </c>
      <c r="N262" s="4" t="n">
        <v>1</v>
      </c>
      <c r="O262" s="4" t="n">
        <v>0</v>
      </c>
      <c r="P262" s="12"/>
      <c r="Q262" s="4" t="n">
        <v>0</v>
      </c>
      <c r="R262" s="0" t="str">
        <f aca="false">INDEX(Owners!$B$4:$B$21,MATCH(D262,Owners!$A$4:$A$21,0))</f>
        <v>Supply Chain</v>
      </c>
      <c r="S262" s="6" t="b">
        <f aca="false">AND(F262="closed",ISNUMBER(H262),H262&lt;=Controls!$B$4)</f>
        <v>1</v>
      </c>
      <c r="T262" s="6" t="b">
        <f aca="false">AND(ISNUMBER(I262),I262&lt;=Controls!$B$4,J262="rerun",K262=A262,L262=C262,M262=N262,O262=0,I262&gt;=G262,IF(ISNUMBER(P262),I262&gt;=P262,TRUE()))</f>
        <v>1</v>
      </c>
      <c r="U262" s="0" t="str">
        <f aca="false">IF(AND(S262,T262),"resolved",IF(S262,"claimed","open"))</f>
        <v>resolved</v>
      </c>
      <c r="V262" s="11" t="n">
        <f aca="false">ROUND((IF(U262="resolved",I262,IF(U262="claimed",H262,Controls!$B$4))-G262)*24,4)</f>
        <v>39.4833</v>
      </c>
      <c r="W262" s="6" t="b">
        <f aca="false">INDEX(Owners!$E$4:$E$21,MATCH(D262,Owners!$A$4:$A$21,0))</f>
        <v>1</v>
      </c>
    </row>
    <row r="263" customFormat="false" ht="15" hidden="false" customHeight="false" outlineLevel="0" collapsed="false">
      <c r="A263" s="4" t="s">
        <v>565</v>
      </c>
      <c r="B263" s="4" t="s">
        <v>128</v>
      </c>
      <c r="C263" s="4" t="s">
        <v>304</v>
      </c>
      <c r="D263" s="4" t="s">
        <v>283</v>
      </c>
      <c r="E263" s="4" t="s">
        <v>204</v>
      </c>
      <c r="F263" s="4" t="s">
        <v>277</v>
      </c>
      <c r="G263" s="5" t="n">
        <v>46260.1020833333</v>
      </c>
      <c r="H263" s="5" t="n">
        <v>46260.7180555556</v>
      </c>
      <c r="I263" s="5" t="n">
        <v>46260.8013888889</v>
      </c>
      <c r="J263" s="4" t="s">
        <v>284</v>
      </c>
      <c r="K263" s="4" t="s">
        <v>565</v>
      </c>
      <c r="L263" s="4" t="s">
        <v>304</v>
      </c>
      <c r="M263" s="4" t="n">
        <v>1</v>
      </c>
      <c r="N263" s="4" t="n">
        <v>1</v>
      </c>
      <c r="O263" s="4" t="n">
        <v>0</v>
      </c>
      <c r="P263" s="12"/>
      <c r="Q263" s="4" t="n">
        <v>0</v>
      </c>
      <c r="R263" s="0" t="str">
        <f aca="false">INDEX(Owners!$B$4:$B$21,MATCH(D263,Owners!$A$4:$A$21,0))</f>
        <v>Data Platform</v>
      </c>
      <c r="S263" s="6" t="b">
        <f aca="false">AND(F263="closed",ISNUMBER(H263),H263&lt;=Controls!$B$4)</f>
        <v>1</v>
      </c>
      <c r="T263" s="6" t="b">
        <f aca="false">AND(ISNUMBER(I263),I263&lt;=Controls!$B$4,J263="rerun",K263=A263,L263=C263,M263=N263,O263=0,I263&gt;=G263,IF(ISNUMBER(P263),I263&gt;=P263,TRUE()))</f>
        <v>1</v>
      </c>
      <c r="U263" s="0" t="str">
        <f aca="false">IF(AND(S263,T263),"resolved",IF(S263,"claimed","open"))</f>
        <v>resolved</v>
      </c>
      <c r="V263" s="11" t="n">
        <f aca="false">ROUND((IF(U263="resolved",I263,IF(U263="claimed",H263,Controls!$B$4))-G263)*24,4)</f>
        <v>16.7833</v>
      </c>
      <c r="W263" s="6" t="b">
        <f aca="false">INDEX(Owners!$E$4:$E$21,MATCH(D263,Owners!$A$4:$A$21,0))</f>
        <v>1</v>
      </c>
    </row>
    <row r="264" customFormat="false" ht="15" hidden="false" customHeight="false" outlineLevel="0" collapsed="false">
      <c r="A264" s="4" t="s">
        <v>566</v>
      </c>
      <c r="B264" s="4" t="s">
        <v>131</v>
      </c>
      <c r="C264" s="4" t="s">
        <v>257</v>
      </c>
      <c r="D264" s="4" t="s">
        <v>283</v>
      </c>
      <c r="E264" s="4" t="s">
        <v>202</v>
      </c>
      <c r="F264" s="4" t="s">
        <v>562</v>
      </c>
      <c r="G264" s="5" t="n">
        <v>46260.1923611111</v>
      </c>
      <c r="H264" s="12"/>
      <c r="I264" s="12"/>
      <c r="N264" s="4" t="n">
        <v>1</v>
      </c>
      <c r="P264" s="12"/>
      <c r="Q264" s="4" t="n">
        <v>0</v>
      </c>
      <c r="R264" s="0" t="str">
        <f aca="false">INDEX(Owners!$B$4:$B$21,MATCH(D264,Owners!$A$4:$A$21,0))</f>
        <v>Data Platform</v>
      </c>
      <c r="S264" s="6" t="b">
        <f aca="false">AND(F264="closed",ISNUMBER(H264),H264&lt;=Controls!$B$4)</f>
        <v>0</v>
      </c>
      <c r="T264" s="6" t="b">
        <f aca="false">AND(ISNUMBER(I264),I264&lt;=Controls!$B$4,J264="rerun",K264=A264,L264=C264,M264=N264,O264=0,I264&gt;=G264,IF(ISNUMBER(P264),I264&gt;=P264,TRUE()))</f>
        <v>0</v>
      </c>
      <c r="U264" s="0" t="str">
        <f aca="false">IF(AND(S264,T264),"resolved",IF(S264,"claimed","open"))</f>
        <v>open</v>
      </c>
      <c r="V264" s="11" t="n">
        <f aca="false">ROUND((IF(U264="resolved",I264,IF(U264="claimed",H264,Controls!$B$4))-G264)*24,4)</f>
        <v>955.3833</v>
      </c>
      <c r="W264" s="6" t="b">
        <f aca="false">INDEX(Owners!$E$4:$E$21,MATCH(D264,Owners!$A$4:$A$21,0))</f>
        <v>1</v>
      </c>
    </row>
    <row r="265" customFormat="false" ht="15" hidden="false" customHeight="false" outlineLevel="0" collapsed="false">
      <c r="A265" s="4" t="s">
        <v>567</v>
      </c>
      <c r="B265" s="4" t="s">
        <v>96</v>
      </c>
      <c r="C265" s="4" t="s">
        <v>206</v>
      </c>
      <c r="D265" s="4" t="s">
        <v>330</v>
      </c>
      <c r="E265" s="4" t="s">
        <v>202</v>
      </c>
      <c r="F265" s="4" t="s">
        <v>277</v>
      </c>
      <c r="G265" s="5" t="n">
        <v>46260.2194444445</v>
      </c>
      <c r="H265" s="5" t="n">
        <v>46261.65625</v>
      </c>
      <c r="I265" s="5" t="n">
        <v>46261.8416666667</v>
      </c>
      <c r="J265" s="4" t="s">
        <v>284</v>
      </c>
      <c r="K265" s="4" t="s">
        <v>567</v>
      </c>
      <c r="L265" s="4" t="s">
        <v>206</v>
      </c>
      <c r="M265" s="4" t="n">
        <v>1</v>
      </c>
      <c r="N265" s="4" t="n">
        <v>1</v>
      </c>
      <c r="O265" s="4" t="n">
        <v>0</v>
      </c>
      <c r="P265" s="12"/>
      <c r="Q265" s="4" t="n">
        <v>0</v>
      </c>
      <c r="R265" s="0" t="str">
        <f aca="false">INDEX(Owners!$B$4:$B$21,MATCH(D265,Owners!$A$4:$A$21,0))</f>
        <v>Supply Chain</v>
      </c>
      <c r="S265" s="6" t="b">
        <f aca="false">AND(F265="closed",ISNUMBER(H265),H265&lt;=Controls!$B$4)</f>
        <v>1</v>
      </c>
      <c r="T265" s="6" t="b">
        <f aca="false">AND(ISNUMBER(I265),I265&lt;=Controls!$B$4,J265="rerun",K265=A265,L265=C265,M265=N265,O265=0,I265&gt;=G265,IF(ISNUMBER(P265),I265&gt;=P265,TRUE()))</f>
        <v>1</v>
      </c>
      <c r="U265" s="0" t="str">
        <f aca="false">IF(AND(S265,T265),"resolved",IF(S265,"claimed","open"))</f>
        <v>resolved</v>
      </c>
      <c r="V265" s="11" t="n">
        <f aca="false">ROUND((IF(U265="resolved",I265,IF(U265="claimed",H265,Controls!$B$4))-G265)*24,4)</f>
        <v>38.9333</v>
      </c>
      <c r="W265" s="6" t="b">
        <f aca="false">INDEX(Owners!$E$4:$E$21,MATCH(D265,Owners!$A$4:$A$21,0))</f>
        <v>1</v>
      </c>
    </row>
    <row r="266" customFormat="false" ht="15" hidden="false" customHeight="false" outlineLevel="0" collapsed="false">
      <c r="A266" s="4" t="s">
        <v>568</v>
      </c>
      <c r="B266" s="4" t="s">
        <v>110</v>
      </c>
      <c r="C266" s="4" t="s">
        <v>226</v>
      </c>
      <c r="D266" s="4" t="s">
        <v>286</v>
      </c>
      <c r="E266" s="4" t="s">
        <v>202</v>
      </c>
      <c r="F266" s="4" t="s">
        <v>277</v>
      </c>
      <c r="G266" s="5" t="n">
        <v>46260.2326388889</v>
      </c>
      <c r="H266" s="5" t="n">
        <v>46263.0534722222</v>
      </c>
      <c r="I266" s="5" t="n">
        <v>46263.3284722222</v>
      </c>
      <c r="J266" s="4" t="s">
        <v>284</v>
      </c>
      <c r="K266" s="4" t="s">
        <v>568</v>
      </c>
      <c r="L266" s="4" t="s">
        <v>226</v>
      </c>
      <c r="M266" s="4" t="n">
        <v>1</v>
      </c>
      <c r="N266" s="4" t="n">
        <v>1</v>
      </c>
      <c r="O266" s="4" t="n">
        <v>0</v>
      </c>
      <c r="P266" s="12"/>
      <c r="Q266" s="4" t="n">
        <v>0</v>
      </c>
      <c r="R266" s="0" t="str">
        <f aca="false">INDEX(Owners!$B$4:$B$21,MATCH(D266,Owners!$A$4:$A$21,0))</f>
        <v>Finance Systems</v>
      </c>
      <c r="S266" s="6" t="b">
        <f aca="false">AND(F266="closed",ISNUMBER(H266),H266&lt;=Controls!$B$4)</f>
        <v>1</v>
      </c>
      <c r="T266" s="6" t="b">
        <f aca="false">AND(ISNUMBER(I266),I266&lt;=Controls!$B$4,J266="rerun",K266=A266,L266=C266,M266=N266,O266=0,I266&gt;=G266,IF(ISNUMBER(P266),I266&gt;=P266,TRUE()))</f>
        <v>1</v>
      </c>
      <c r="U266" s="0" t="str">
        <f aca="false">IF(AND(S266,T266),"resolved",IF(S266,"claimed","open"))</f>
        <v>resolved</v>
      </c>
      <c r="V266" s="11" t="n">
        <f aca="false">ROUND((IF(U266="resolved",I266,IF(U266="claimed",H266,Controls!$B$4))-G266)*24,4)</f>
        <v>74.3</v>
      </c>
      <c r="W266" s="6" t="b">
        <f aca="false">INDEX(Owners!$E$4:$E$21,MATCH(D266,Owners!$A$4:$A$21,0))</f>
        <v>0</v>
      </c>
    </row>
    <row r="267" customFormat="false" ht="15" hidden="false" customHeight="false" outlineLevel="0" collapsed="false">
      <c r="A267" s="4" t="s">
        <v>569</v>
      </c>
      <c r="B267" s="4" t="s">
        <v>117</v>
      </c>
      <c r="C267" s="4" t="s">
        <v>241</v>
      </c>
      <c r="D267" s="4" t="s">
        <v>288</v>
      </c>
      <c r="E267" s="4" t="s">
        <v>202</v>
      </c>
      <c r="F267" s="4" t="s">
        <v>277</v>
      </c>
      <c r="G267" s="5" t="n">
        <v>46260.2368055556</v>
      </c>
      <c r="H267" s="5" t="n">
        <v>46262.2</v>
      </c>
      <c r="I267" s="5" t="n">
        <v>46262.4611111111</v>
      </c>
      <c r="J267" s="4" t="s">
        <v>284</v>
      </c>
      <c r="K267" s="4" t="s">
        <v>569</v>
      </c>
      <c r="L267" s="4" t="s">
        <v>241</v>
      </c>
      <c r="M267" s="4" t="n">
        <v>1</v>
      </c>
      <c r="N267" s="4" t="n">
        <v>1</v>
      </c>
      <c r="O267" s="4" t="n">
        <v>0</v>
      </c>
      <c r="P267" s="12"/>
      <c r="Q267" s="4" t="n">
        <v>0</v>
      </c>
      <c r="R267" s="0" t="str">
        <f aca="false">INDEX(Owners!$B$4:$B$21,MATCH(D267,Owners!$A$4:$A$21,0))</f>
        <v>Support Operations</v>
      </c>
      <c r="S267" s="6" t="b">
        <f aca="false">AND(F267="closed",ISNUMBER(H267),H267&lt;=Controls!$B$4)</f>
        <v>1</v>
      </c>
      <c r="T267" s="6" t="b">
        <f aca="false">AND(ISNUMBER(I267),I267&lt;=Controls!$B$4,J267="rerun",K267=A267,L267=C267,M267=N267,O267=0,I267&gt;=G267,IF(ISNUMBER(P267),I267&gt;=P267,TRUE()))</f>
        <v>1</v>
      </c>
      <c r="U267" s="0" t="str">
        <f aca="false">IF(AND(S267,T267),"resolved",IF(S267,"claimed","open"))</f>
        <v>resolved</v>
      </c>
      <c r="V267" s="11" t="n">
        <f aca="false">ROUND((IF(U267="resolved",I267,IF(U267="claimed",H267,Controls!$B$4))-G267)*24,4)</f>
        <v>53.3833</v>
      </c>
      <c r="W267" s="6" t="b">
        <f aca="false">INDEX(Owners!$E$4:$E$21,MATCH(D267,Owners!$A$4:$A$21,0))</f>
        <v>1</v>
      </c>
    </row>
    <row r="268" customFormat="false" ht="15" hidden="false" customHeight="false" outlineLevel="0" collapsed="false">
      <c r="A268" s="4" t="s">
        <v>570</v>
      </c>
      <c r="B268" s="4" t="s">
        <v>98</v>
      </c>
      <c r="C268" s="4" t="s">
        <v>323</v>
      </c>
      <c r="D268" s="4" t="s">
        <v>324</v>
      </c>
      <c r="E268" s="4" t="s">
        <v>202</v>
      </c>
      <c r="F268" s="4" t="s">
        <v>277</v>
      </c>
      <c r="G268" s="5" t="n">
        <v>46261.0840277778</v>
      </c>
      <c r="H268" s="5" t="n">
        <v>46263.1979166667</v>
      </c>
      <c r="I268" s="5" t="n">
        <v>46263.7097222222</v>
      </c>
      <c r="J268" s="4" t="s">
        <v>284</v>
      </c>
      <c r="K268" s="4" t="s">
        <v>570</v>
      </c>
      <c r="L268" s="4" t="s">
        <v>323</v>
      </c>
      <c r="M268" s="4" t="n">
        <v>1</v>
      </c>
      <c r="N268" s="4" t="n">
        <v>1</v>
      </c>
      <c r="O268" s="4" t="n">
        <v>0</v>
      </c>
      <c r="P268" s="12"/>
      <c r="Q268" s="4" t="n">
        <v>0</v>
      </c>
      <c r="R268" s="0" t="str">
        <f aca="false">INDEX(Owners!$B$4:$B$21,MATCH(D268,Owners!$A$4:$A$21,0))</f>
        <v>Finance Systems</v>
      </c>
      <c r="S268" s="6" t="b">
        <f aca="false">AND(F268="closed",ISNUMBER(H268),H268&lt;=Controls!$B$4)</f>
        <v>1</v>
      </c>
      <c r="T268" s="6" t="b">
        <f aca="false">AND(ISNUMBER(I268),I268&lt;=Controls!$B$4,J268="rerun",K268=A268,L268=C268,M268=N268,O268=0,I268&gt;=G268,IF(ISNUMBER(P268),I268&gt;=P268,TRUE()))</f>
        <v>1</v>
      </c>
      <c r="U268" s="0" t="str">
        <f aca="false">IF(AND(S268,T268),"resolved",IF(S268,"claimed","open"))</f>
        <v>resolved</v>
      </c>
      <c r="V268" s="11" t="n">
        <f aca="false">ROUND((IF(U268="resolved",I268,IF(U268="claimed",H268,Controls!$B$4))-G268)*24,4)</f>
        <v>63.0167</v>
      </c>
      <c r="W268" s="6" t="b">
        <f aca="false">INDEX(Owners!$E$4:$E$21,MATCH(D268,Owners!$A$4:$A$21,0))</f>
        <v>1</v>
      </c>
    </row>
    <row r="269" customFormat="false" ht="15" hidden="false" customHeight="false" outlineLevel="0" collapsed="false">
      <c r="A269" s="4" t="s">
        <v>571</v>
      </c>
      <c r="B269" s="4" t="s">
        <v>103</v>
      </c>
      <c r="C269" s="4" t="s">
        <v>218</v>
      </c>
      <c r="D269" s="4" t="s">
        <v>350</v>
      </c>
      <c r="E269" s="4" t="s">
        <v>202</v>
      </c>
      <c r="F269" s="4" t="s">
        <v>562</v>
      </c>
      <c r="G269" s="5" t="n">
        <v>46261.0979166667</v>
      </c>
      <c r="H269" s="12"/>
      <c r="I269" s="12"/>
      <c r="N269" s="4" t="n">
        <v>1</v>
      </c>
      <c r="P269" s="12"/>
      <c r="Q269" s="4" t="n">
        <v>0</v>
      </c>
      <c r="R269" s="0" t="str">
        <f aca="false">INDEX(Owners!$B$4:$B$21,MATCH(D269,Owners!$A$4:$A$21,0))</f>
        <v>Supply Chain</v>
      </c>
      <c r="S269" s="6" t="b">
        <f aca="false">AND(F269="closed",ISNUMBER(H269),H269&lt;=Controls!$B$4)</f>
        <v>0</v>
      </c>
      <c r="T269" s="6" t="b">
        <f aca="false">AND(ISNUMBER(I269),I269&lt;=Controls!$B$4,J269="rerun",K269=A269,L269=C269,M269=N269,O269=0,I269&gt;=G269,IF(ISNUMBER(P269),I269&gt;=P269,TRUE()))</f>
        <v>0</v>
      </c>
      <c r="U269" s="0" t="str">
        <f aca="false">IF(AND(S269,T269),"resolved",IF(S269,"claimed","open"))</f>
        <v>open</v>
      </c>
      <c r="V269" s="11" t="n">
        <f aca="false">ROUND((IF(U269="resolved",I269,IF(U269="claimed",H269,Controls!$B$4))-G269)*24,4)</f>
        <v>933.65</v>
      </c>
      <c r="W269" s="6" t="b">
        <f aca="false">INDEX(Owners!$E$4:$E$21,MATCH(D269,Owners!$A$4:$A$21,0))</f>
        <v>1</v>
      </c>
    </row>
    <row r="270" customFormat="false" ht="15" hidden="false" customHeight="false" outlineLevel="0" collapsed="false">
      <c r="A270" s="4" t="s">
        <v>572</v>
      </c>
      <c r="B270" s="4" t="s">
        <v>95</v>
      </c>
      <c r="C270" s="4" t="s">
        <v>205</v>
      </c>
      <c r="D270" s="4" t="s">
        <v>283</v>
      </c>
      <c r="E270" s="4" t="s">
        <v>204</v>
      </c>
      <c r="F270" s="4" t="s">
        <v>277</v>
      </c>
      <c r="G270" s="5" t="n">
        <v>46261.1069444444</v>
      </c>
      <c r="H270" s="5" t="n">
        <v>46261.7972222222</v>
      </c>
      <c r="I270" s="5" t="n">
        <v>46261.9326388889</v>
      </c>
      <c r="J270" s="4" t="s">
        <v>284</v>
      </c>
      <c r="K270" s="4" t="s">
        <v>572</v>
      </c>
      <c r="L270" s="4" t="s">
        <v>205</v>
      </c>
      <c r="M270" s="4" t="n">
        <v>1</v>
      </c>
      <c r="N270" s="4" t="n">
        <v>1</v>
      </c>
      <c r="O270" s="4" t="n">
        <v>0</v>
      </c>
      <c r="P270" s="12"/>
      <c r="Q270" s="4" t="n">
        <v>0</v>
      </c>
      <c r="R270" s="0" t="str">
        <f aca="false">INDEX(Owners!$B$4:$B$21,MATCH(D270,Owners!$A$4:$A$21,0))</f>
        <v>Data Platform</v>
      </c>
      <c r="S270" s="6" t="b">
        <f aca="false">AND(F270="closed",ISNUMBER(H270),H270&lt;=Controls!$B$4)</f>
        <v>1</v>
      </c>
      <c r="T270" s="6" t="b">
        <f aca="false">AND(ISNUMBER(I270),I270&lt;=Controls!$B$4,J270="rerun",K270=A270,L270=C270,M270=N270,O270=0,I270&gt;=G270,IF(ISNUMBER(P270),I270&gt;=P270,TRUE()))</f>
        <v>1</v>
      </c>
      <c r="U270" s="0" t="str">
        <f aca="false">IF(AND(S270,T270),"resolved",IF(S270,"claimed","open"))</f>
        <v>resolved</v>
      </c>
      <c r="V270" s="11" t="n">
        <f aca="false">ROUND((IF(U270="resolved",I270,IF(U270="claimed",H270,Controls!$B$4))-G270)*24,4)</f>
        <v>19.8167</v>
      </c>
      <c r="W270" s="6" t="b">
        <f aca="false">INDEX(Owners!$E$4:$E$21,MATCH(D270,Owners!$A$4:$A$21,0))</f>
        <v>1</v>
      </c>
    </row>
    <row r="271" customFormat="false" ht="15" hidden="false" customHeight="false" outlineLevel="0" collapsed="false">
      <c r="A271" s="4" t="s">
        <v>573</v>
      </c>
      <c r="B271" s="4" t="s">
        <v>128</v>
      </c>
      <c r="C271" s="4" t="s">
        <v>253</v>
      </c>
      <c r="D271" s="4" t="s">
        <v>283</v>
      </c>
      <c r="E271" s="4" t="s">
        <v>204</v>
      </c>
      <c r="F271" s="4" t="s">
        <v>562</v>
      </c>
      <c r="G271" s="5" t="n">
        <v>46261.1111111111</v>
      </c>
      <c r="H271" s="12"/>
      <c r="I271" s="12"/>
      <c r="N271" s="4" t="n">
        <v>1</v>
      </c>
      <c r="P271" s="12"/>
      <c r="Q271" s="4" t="n">
        <v>0</v>
      </c>
      <c r="R271" s="0" t="str">
        <f aca="false">INDEX(Owners!$B$4:$B$21,MATCH(D271,Owners!$A$4:$A$21,0))</f>
        <v>Data Platform</v>
      </c>
      <c r="S271" s="6" t="b">
        <f aca="false">AND(F271="closed",ISNUMBER(H271),H271&lt;=Controls!$B$4)</f>
        <v>0</v>
      </c>
      <c r="T271" s="6" t="b">
        <f aca="false">AND(ISNUMBER(I271),I271&lt;=Controls!$B$4,J271="rerun",K271=A271,L271=C271,M271=N271,O271=0,I271&gt;=G271,IF(ISNUMBER(P271),I271&gt;=P271,TRUE()))</f>
        <v>0</v>
      </c>
      <c r="U271" s="0" t="str">
        <f aca="false">IF(AND(S271,T271),"resolved",IF(S271,"claimed","open"))</f>
        <v>open</v>
      </c>
      <c r="V271" s="11" t="n">
        <f aca="false">ROUND((IF(U271="resolved",I271,IF(U271="claimed",H271,Controls!$B$4))-G271)*24,4)</f>
        <v>933.3333</v>
      </c>
      <c r="W271" s="6" t="b">
        <f aca="false">INDEX(Owners!$E$4:$E$21,MATCH(D271,Owners!$A$4:$A$21,0))</f>
        <v>1</v>
      </c>
    </row>
    <row r="272" customFormat="false" ht="15" hidden="false" customHeight="false" outlineLevel="0" collapsed="false">
      <c r="A272" s="4" t="s">
        <v>574</v>
      </c>
      <c r="B272" s="4" t="s">
        <v>122</v>
      </c>
      <c r="C272" s="4" t="s">
        <v>245</v>
      </c>
      <c r="D272" s="4" t="s">
        <v>350</v>
      </c>
      <c r="E272" s="4" t="s">
        <v>204</v>
      </c>
      <c r="F272" s="4" t="s">
        <v>277</v>
      </c>
      <c r="G272" s="5" t="n">
        <v>46261.1291666667</v>
      </c>
      <c r="H272" s="5" t="n">
        <v>46262.8604166667</v>
      </c>
      <c r="I272" s="5" t="n">
        <v>46263.4652777778</v>
      </c>
      <c r="J272" s="4" t="s">
        <v>284</v>
      </c>
      <c r="K272" s="4" t="s">
        <v>574</v>
      </c>
      <c r="L272" s="4" t="s">
        <v>245</v>
      </c>
      <c r="M272" s="4" t="n">
        <v>1</v>
      </c>
      <c r="N272" s="4" t="n">
        <v>1</v>
      </c>
      <c r="O272" s="4" t="n">
        <v>0</v>
      </c>
      <c r="P272" s="12"/>
      <c r="Q272" s="4" t="n">
        <v>0</v>
      </c>
      <c r="R272" s="0" t="str">
        <f aca="false">INDEX(Owners!$B$4:$B$21,MATCH(D272,Owners!$A$4:$A$21,0))</f>
        <v>Supply Chain</v>
      </c>
      <c r="S272" s="6" t="b">
        <f aca="false">AND(F272="closed",ISNUMBER(H272),H272&lt;=Controls!$B$4)</f>
        <v>1</v>
      </c>
      <c r="T272" s="6" t="b">
        <f aca="false">AND(ISNUMBER(I272),I272&lt;=Controls!$B$4,J272="rerun",K272=A272,L272=C272,M272=N272,O272=0,I272&gt;=G272,IF(ISNUMBER(P272),I272&gt;=P272,TRUE()))</f>
        <v>1</v>
      </c>
      <c r="U272" s="0" t="str">
        <f aca="false">IF(AND(S272,T272),"resolved",IF(S272,"claimed","open"))</f>
        <v>resolved</v>
      </c>
      <c r="V272" s="11" t="n">
        <f aca="false">ROUND((IF(U272="resolved",I272,IF(U272="claimed",H272,Controls!$B$4))-G272)*24,4)</f>
        <v>56.0667</v>
      </c>
      <c r="W272" s="6" t="b">
        <f aca="false">INDEX(Owners!$E$4:$E$21,MATCH(D272,Owners!$A$4:$A$21,0))</f>
        <v>1</v>
      </c>
    </row>
    <row r="273" customFormat="false" ht="15" hidden="false" customHeight="false" outlineLevel="0" collapsed="false">
      <c r="A273" s="4" t="s">
        <v>575</v>
      </c>
      <c r="B273" s="4" t="s">
        <v>122</v>
      </c>
      <c r="C273" s="4" t="s">
        <v>246</v>
      </c>
      <c r="D273" s="4" t="s">
        <v>350</v>
      </c>
      <c r="E273" s="4" t="s">
        <v>204</v>
      </c>
      <c r="F273" s="4" t="s">
        <v>277</v>
      </c>
      <c r="G273" s="5" t="n">
        <v>46261.1381944444</v>
      </c>
      <c r="H273" s="5" t="n">
        <v>46262.8131944445</v>
      </c>
      <c r="I273" s="5" t="n">
        <v>46263.3381944444</v>
      </c>
      <c r="J273" s="4" t="s">
        <v>284</v>
      </c>
      <c r="K273" s="4" t="s">
        <v>575</v>
      </c>
      <c r="L273" s="4" t="s">
        <v>246</v>
      </c>
      <c r="M273" s="4" t="n">
        <v>2</v>
      </c>
      <c r="N273" s="4" t="n">
        <v>2</v>
      </c>
      <c r="O273" s="4" t="n">
        <v>0</v>
      </c>
      <c r="P273" s="12"/>
      <c r="Q273" s="4" t="n">
        <v>0</v>
      </c>
      <c r="R273" s="0" t="str">
        <f aca="false">INDEX(Owners!$B$4:$B$21,MATCH(D273,Owners!$A$4:$A$21,0))</f>
        <v>Supply Chain</v>
      </c>
      <c r="S273" s="6" t="b">
        <f aca="false">AND(F273="closed",ISNUMBER(H273),H273&lt;=Controls!$B$4)</f>
        <v>1</v>
      </c>
      <c r="T273" s="6" t="b">
        <f aca="false">AND(ISNUMBER(I273),I273&lt;=Controls!$B$4,J273="rerun",K273=A273,L273=C273,M273=N273,O273=0,I273&gt;=G273,IF(ISNUMBER(P273),I273&gt;=P273,TRUE()))</f>
        <v>1</v>
      </c>
      <c r="U273" s="0" t="str">
        <f aca="false">IF(AND(S273,T273),"resolved",IF(S273,"claimed","open"))</f>
        <v>resolved</v>
      </c>
      <c r="V273" s="11" t="n">
        <f aca="false">ROUND((IF(U273="resolved",I273,IF(U273="claimed",H273,Controls!$B$4))-G273)*24,4)</f>
        <v>52.8</v>
      </c>
      <c r="W273" s="6" t="b">
        <f aca="false">INDEX(Owners!$E$4:$E$21,MATCH(D273,Owners!$A$4:$A$21,0))</f>
        <v>1</v>
      </c>
    </row>
    <row r="274" customFormat="false" ht="15" hidden="false" customHeight="false" outlineLevel="0" collapsed="false">
      <c r="A274" s="4" t="s">
        <v>576</v>
      </c>
      <c r="B274" s="4" t="s">
        <v>111</v>
      </c>
      <c r="C274" s="4" t="s">
        <v>229</v>
      </c>
      <c r="D274" s="4" t="s">
        <v>296</v>
      </c>
      <c r="E274" s="4" t="s">
        <v>202</v>
      </c>
      <c r="F274" s="4" t="s">
        <v>277</v>
      </c>
      <c r="G274" s="5" t="n">
        <v>46261.1645833333</v>
      </c>
      <c r="H274" s="5" t="n">
        <v>46261.7291666667</v>
      </c>
      <c r="I274" s="5" t="n">
        <v>46261.8423611111</v>
      </c>
      <c r="J274" s="4" t="s">
        <v>284</v>
      </c>
      <c r="K274" s="4" t="s">
        <v>576</v>
      </c>
      <c r="L274" s="4" t="s">
        <v>229</v>
      </c>
      <c r="M274" s="4" t="n">
        <v>1</v>
      </c>
      <c r="N274" s="4" t="n">
        <v>1</v>
      </c>
      <c r="O274" s="4" t="n">
        <v>0</v>
      </c>
      <c r="P274" s="12"/>
      <c r="Q274" s="4" t="n">
        <v>0</v>
      </c>
      <c r="R274" s="0" t="str">
        <f aca="false">INDEX(Owners!$B$4:$B$21,MATCH(D274,Owners!$A$4:$A$21,0))</f>
        <v>Data Platform</v>
      </c>
      <c r="S274" s="6" t="b">
        <f aca="false">AND(F274="closed",ISNUMBER(H274),H274&lt;=Controls!$B$4)</f>
        <v>1</v>
      </c>
      <c r="T274" s="6" t="b">
        <f aca="false">AND(ISNUMBER(I274),I274&lt;=Controls!$B$4,J274="rerun",K274=A274,L274=C274,M274=N274,O274=0,I274&gt;=G274,IF(ISNUMBER(P274),I274&gt;=P274,TRUE()))</f>
        <v>1</v>
      </c>
      <c r="U274" s="0" t="str">
        <f aca="false">IF(AND(S274,T274),"resolved",IF(S274,"claimed","open"))</f>
        <v>resolved</v>
      </c>
      <c r="V274" s="11" t="n">
        <f aca="false">ROUND((IF(U274="resolved",I274,IF(U274="claimed",H274,Controls!$B$4))-G274)*24,4)</f>
        <v>16.2667</v>
      </c>
      <c r="W274" s="6" t="b">
        <f aca="false">INDEX(Owners!$E$4:$E$21,MATCH(D274,Owners!$A$4:$A$21,0))</f>
        <v>1</v>
      </c>
    </row>
    <row r="275" customFormat="false" ht="15" hidden="false" customHeight="false" outlineLevel="0" collapsed="false">
      <c r="A275" s="4" t="s">
        <v>577</v>
      </c>
      <c r="B275" s="4" t="s">
        <v>125</v>
      </c>
      <c r="C275" s="4" t="s">
        <v>251</v>
      </c>
      <c r="D275" s="4" t="s">
        <v>334</v>
      </c>
      <c r="E275" s="4" t="s">
        <v>210</v>
      </c>
      <c r="F275" s="4" t="s">
        <v>277</v>
      </c>
      <c r="G275" s="5" t="n">
        <v>46261.1784722222</v>
      </c>
      <c r="H275" s="5" t="n">
        <v>46262.5756944444</v>
      </c>
      <c r="I275" s="5" t="n">
        <v>46263.0680555556</v>
      </c>
      <c r="J275" s="4" t="s">
        <v>284</v>
      </c>
      <c r="K275" s="4" t="s">
        <v>577</v>
      </c>
      <c r="L275" s="4" t="s">
        <v>251</v>
      </c>
      <c r="M275" s="4" t="n">
        <v>2</v>
      </c>
      <c r="N275" s="4" t="n">
        <v>2</v>
      </c>
      <c r="O275" s="4" t="n">
        <v>0</v>
      </c>
      <c r="P275" s="12"/>
      <c r="Q275" s="4" t="n">
        <v>0</v>
      </c>
      <c r="R275" s="0" t="str">
        <f aca="false">INDEX(Owners!$B$4:$B$21,MATCH(D275,Owners!$A$4:$A$21,0))</f>
        <v>Supply Chain</v>
      </c>
      <c r="S275" s="6" t="b">
        <f aca="false">AND(F275="closed",ISNUMBER(H275),H275&lt;=Controls!$B$4)</f>
        <v>1</v>
      </c>
      <c r="T275" s="6" t="b">
        <f aca="false">AND(ISNUMBER(I275),I275&lt;=Controls!$B$4,J275="rerun",K275=A275,L275=C275,M275=N275,O275=0,I275&gt;=G275,IF(ISNUMBER(P275),I275&gt;=P275,TRUE()))</f>
        <v>1</v>
      </c>
      <c r="U275" s="0" t="str">
        <f aca="false">IF(AND(S275,T275),"resolved",IF(S275,"claimed","open"))</f>
        <v>resolved</v>
      </c>
      <c r="V275" s="11" t="n">
        <f aca="false">ROUND((IF(U275="resolved",I275,IF(U275="claimed",H275,Controls!$B$4))-G275)*24,4)</f>
        <v>45.35</v>
      </c>
      <c r="W275" s="6" t="b">
        <f aca="false">INDEX(Owners!$E$4:$E$21,MATCH(D275,Owners!$A$4:$A$21,0))</f>
        <v>0</v>
      </c>
    </row>
    <row r="276" customFormat="false" ht="15" hidden="false" customHeight="false" outlineLevel="0" collapsed="false">
      <c r="A276" s="4" t="s">
        <v>578</v>
      </c>
      <c r="B276" s="4" t="s">
        <v>131</v>
      </c>
      <c r="C276" s="4" t="s">
        <v>259</v>
      </c>
      <c r="D276" s="4" t="s">
        <v>283</v>
      </c>
      <c r="E276" s="4" t="s">
        <v>202</v>
      </c>
      <c r="F276" s="4" t="s">
        <v>277</v>
      </c>
      <c r="G276" s="5" t="n">
        <v>46261.2013888889</v>
      </c>
      <c r="H276" s="5" t="n">
        <v>46262.0819444444</v>
      </c>
      <c r="I276" s="5" t="n">
        <v>46262.2451388889</v>
      </c>
      <c r="J276" s="4" t="s">
        <v>284</v>
      </c>
      <c r="K276" s="4" t="s">
        <v>578</v>
      </c>
      <c r="L276" s="4" t="s">
        <v>259</v>
      </c>
      <c r="M276" s="4" t="n">
        <v>1</v>
      </c>
      <c r="N276" s="4" t="n">
        <v>1</v>
      </c>
      <c r="O276" s="4" t="n">
        <v>0</v>
      </c>
      <c r="P276" s="12"/>
      <c r="Q276" s="4" t="n">
        <v>0</v>
      </c>
      <c r="R276" s="0" t="str">
        <f aca="false">INDEX(Owners!$B$4:$B$21,MATCH(D276,Owners!$A$4:$A$21,0))</f>
        <v>Data Platform</v>
      </c>
      <c r="S276" s="6" t="b">
        <f aca="false">AND(F276="closed",ISNUMBER(H276),H276&lt;=Controls!$B$4)</f>
        <v>1</v>
      </c>
      <c r="T276" s="6" t="b">
        <f aca="false">AND(ISNUMBER(I276),I276&lt;=Controls!$B$4,J276="rerun",K276=A276,L276=C276,M276=N276,O276=0,I276&gt;=G276,IF(ISNUMBER(P276),I276&gt;=P276,TRUE()))</f>
        <v>1</v>
      </c>
      <c r="U276" s="0" t="str">
        <f aca="false">IF(AND(S276,T276),"resolved",IF(S276,"claimed","open"))</f>
        <v>resolved</v>
      </c>
      <c r="V276" s="11" t="n">
        <f aca="false">ROUND((IF(U276="resolved",I276,IF(U276="claimed",H276,Controls!$B$4))-G276)*24,4)</f>
        <v>25.05</v>
      </c>
      <c r="W276" s="6" t="b">
        <f aca="false">INDEX(Owners!$E$4:$E$21,MATCH(D276,Owners!$A$4:$A$21,0))</f>
        <v>1</v>
      </c>
    </row>
    <row r="277" customFormat="false" ht="15" hidden="false" customHeight="false" outlineLevel="0" collapsed="false">
      <c r="A277" s="4" t="s">
        <v>579</v>
      </c>
      <c r="B277" s="4" t="s">
        <v>96</v>
      </c>
      <c r="C277" s="4" t="s">
        <v>206</v>
      </c>
      <c r="D277" s="4" t="s">
        <v>330</v>
      </c>
      <c r="E277" s="4" t="s">
        <v>202</v>
      </c>
      <c r="F277" s="4" t="s">
        <v>556</v>
      </c>
      <c r="G277" s="5" t="n">
        <v>46261.2194444445</v>
      </c>
      <c r="H277" s="12"/>
      <c r="I277" s="12"/>
      <c r="N277" s="4" t="n">
        <v>1</v>
      </c>
      <c r="P277" s="12"/>
      <c r="Q277" s="4" t="n">
        <v>0</v>
      </c>
      <c r="R277" s="0" t="str">
        <f aca="false">INDEX(Owners!$B$4:$B$21,MATCH(D277,Owners!$A$4:$A$21,0))</f>
        <v>Supply Chain</v>
      </c>
      <c r="S277" s="6" t="b">
        <f aca="false">AND(F277="closed",ISNUMBER(H277),H277&lt;=Controls!$B$4)</f>
        <v>0</v>
      </c>
      <c r="T277" s="6" t="b">
        <f aca="false">AND(ISNUMBER(I277),I277&lt;=Controls!$B$4,J277="rerun",K277=A277,L277=C277,M277=N277,O277=0,I277&gt;=G277,IF(ISNUMBER(P277),I277&gt;=P277,TRUE()))</f>
        <v>0</v>
      </c>
      <c r="U277" s="0" t="str">
        <f aca="false">IF(AND(S277,T277),"resolved",IF(S277,"claimed","open"))</f>
        <v>open</v>
      </c>
      <c r="V277" s="11" t="n">
        <f aca="false">ROUND((IF(U277="resolved",I277,IF(U277="claimed",H277,Controls!$B$4))-G277)*24,4)</f>
        <v>930.7333</v>
      </c>
      <c r="W277" s="6" t="b">
        <f aca="false">INDEX(Owners!$E$4:$E$21,MATCH(D277,Owners!$A$4:$A$21,0))</f>
        <v>1</v>
      </c>
    </row>
    <row r="278" customFormat="false" ht="15" hidden="false" customHeight="false" outlineLevel="0" collapsed="false">
      <c r="A278" s="4" t="s">
        <v>580</v>
      </c>
      <c r="B278" s="4" t="s">
        <v>107</v>
      </c>
      <c r="C278" s="4" t="s">
        <v>224</v>
      </c>
      <c r="D278" s="4" t="s">
        <v>326</v>
      </c>
      <c r="E278" s="4" t="s">
        <v>202</v>
      </c>
      <c r="F278" s="4" t="s">
        <v>556</v>
      </c>
      <c r="G278" s="5" t="n">
        <v>46262.0972222222</v>
      </c>
      <c r="H278" s="12"/>
      <c r="I278" s="12"/>
      <c r="N278" s="4" t="n">
        <v>1</v>
      </c>
      <c r="P278" s="12"/>
      <c r="Q278" s="4" t="n">
        <v>0</v>
      </c>
      <c r="R278" s="0" t="str">
        <f aca="false">INDEX(Owners!$B$4:$B$21,MATCH(D278,Owners!$A$4:$A$21,0))</f>
        <v>Customer Data</v>
      </c>
      <c r="S278" s="6" t="b">
        <f aca="false">AND(F278="closed",ISNUMBER(H278),H278&lt;=Controls!$B$4)</f>
        <v>0</v>
      </c>
      <c r="T278" s="6" t="b">
        <f aca="false">AND(ISNUMBER(I278),I278&lt;=Controls!$B$4,J278="rerun",K278=A278,L278=C278,M278=N278,O278=0,I278&gt;=G278,IF(ISNUMBER(P278),I278&gt;=P278,TRUE()))</f>
        <v>0</v>
      </c>
      <c r="U278" s="0" t="str">
        <f aca="false">IF(AND(S278,T278),"resolved",IF(S278,"claimed","open"))</f>
        <v>open</v>
      </c>
      <c r="V278" s="11" t="n">
        <f aca="false">ROUND((IF(U278="resolved",I278,IF(U278="claimed",H278,Controls!$B$4))-G278)*24,4)</f>
        <v>909.6667</v>
      </c>
      <c r="W278" s="6" t="b">
        <f aca="false">INDEX(Owners!$E$4:$E$21,MATCH(D278,Owners!$A$4:$A$21,0))</f>
        <v>0</v>
      </c>
    </row>
    <row r="279" customFormat="false" ht="15" hidden="false" customHeight="false" outlineLevel="0" collapsed="false">
      <c r="A279" s="4" t="s">
        <v>581</v>
      </c>
      <c r="B279" s="4" t="s">
        <v>95</v>
      </c>
      <c r="C279" s="4" t="s">
        <v>205</v>
      </c>
      <c r="D279" s="4" t="s">
        <v>283</v>
      </c>
      <c r="E279" s="4" t="s">
        <v>204</v>
      </c>
      <c r="F279" s="4" t="s">
        <v>556</v>
      </c>
      <c r="G279" s="5" t="n">
        <v>46262.1069444444</v>
      </c>
      <c r="H279" s="12"/>
      <c r="I279" s="12"/>
      <c r="N279" s="4" t="n">
        <v>1</v>
      </c>
      <c r="P279" s="12"/>
      <c r="Q279" s="4" t="n">
        <v>0</v>
      </c>
      <c r="R279" s="0" t="str">
        <f aca="false">INDEX(Owners!$B$4:$B$21,MATCH(D279,Owners!$A$4:$A$21,0))</f>
        <v>Data Platform</v>
      </c>
      <c r="S279" s="6" t="b">
        <f aca="false">AND(F279="closed",ISNUMBER(H279),H279&lt;=Controls!$B$4)</f>
        <v>0</v>
      </c>
      <c r="T279" s="6" t="b">
        <f aca="false">AND(ISNUMBER(I279),I279&lt;=Controls!$B$4,J279="rerun",K279=A279,L279=C279,M279=N279,O279=0,I279&gt;=G279,IF(ISNUMBER(P279),I279&gt;=P279,TRUE()))</f>
        <v>0</v>
      </c>
      <c r="U279" s="0" t="str">
        <f aca="false">IF(AND(S279,T279),"resolved",IF(S279,"claimed","open"))</f>
        <v>open</v>
      </c>
      <c r="V279" s="11" t="n">
        <f aca="false">ROUND((IF(U279="resolved",I279,IF(U279="claimed",H279,Controls!$B$4))-G279)*24,4)</f>
        <v>909.4333</v>
      </c>
      <c r="W279" s="6" t="b">
        <f aca="false">INDEX(Owners!$E$4:$E$21,MATCH(D279,Owners!$A$4:$A$21,0))</f>
        <v>1</v>
      </c>
    </row>
    <row r="280" customFormat="false" ht="15" hidden="false" customHeight="false" outlineLevel="0" collapsed="false">
      <c r="A280" s="4" t="s">
        <v>582</v>
      </c>
      <c r="B280" s="4" t="s">
        <v>109</v>
      </c>
      <c r="C280" s="4" t="s">
        <v>307</v>
      </c>
      <c r="D280" s="4" t="s">
        <v>292</v>
      </c>
      <c r="E280" s="4" t="s">
        <v>202</v>
      </c>
      <c r="F280" s="4" t="s">
        <v>277</v>
      </c>
      <c r="G280" s="5" t="n">
        <v>46262.1555555556</v>
      </c>
      <c r="H280" s="5" t="n">
        <v>46264.4791666667</v>
      </c>
      <c r="I280" s="5" t="n">
        <v>46265.0715277778</v>
      </c>
      <c r="J280" s="4" t="s">
        <v>284</v>
      </c>
      <c r="K280" s="4" t="s">
        <v>582</v>
      </c>
      <c r="L280" s="4" t="s">
        <v>307</v>
      </c>
      <c r="M280" s="4" t="n">
        <v>1</v>
      </c>
      <c r="N280" s="4" t="n">
        <v>1</v>
      </c>
      <c r="O280" s="4" t="n">
        <v>0</v>
      </c>
      <c r="P280" s="12"/>
      <c r="Q280" s="4" t="n">
        <v>0</v>
      </c>
      <c r="R280" s="0" t="str">
        <f aca="false">INDEX(Owners!$B$4:$B$21,MATCH(D280,Owners!$A$4:$A$21,0))</f>
        <v>Support Operations</v>
      </c>
      <c r="S280" s="6" t="b">
        <f aca="false">AND(F280="closed",ISNUMBER(H280),H280&lt;=Controls!$B$4)</f>
        <v>1</v>
      </c>
      <c r="T280" s="6" t="b">
        <f aca="false">AND(ISNUMBER(I280),I280&lt;=Controls!$B$4,J280="rerun",K280=A280,L280=C280,M280=N280,O280=0,I280&gt;=G280,IF(ISNUMBER(P280),I280&gt;=P280,TRUE()))</f>
        <v>1</v>
      </c>
      <c r="U280" s="0" t="str">
        <f aca="false">IF(AND(S280,T280),"resolved",IF(S280,"claimed","open"))</f>
        <v>resolved</v>
      </c>
      <c r="V280" s="11" t="n">
        <f aca="false">ROUND((IF(U280="resolved",I280,IF(U280="claimed",H280,Controls!$B$4))-G280)*24,4)</f>
        <v>69.9833</v>
      </c>
      <c r="W280" s="6" t="b">
        <f aca="false">INDEX(Owners!$E$4:$E$21,MATCH(D280,Owners!$A$4:$A$21,0))</f>
        <v>1</v>
      </c>
    </row>
    <row r="281" customFormat="false" ht="15" hidden="false" customHeight="false" outlineLevel="0" collapsed="false">
      <c r="A281" s="4" t="s">
        <v>583</v>
      </c>
      <c r="B281" s="4" t="s">
        <v>119</v>
      </c>
      <c r="C281" s="4" t="s">
        <v>243</v>
      </c>
      <c r="D281" s="4" t="s">
        <v>292</v>
      </c>
      <c r="E281" s="4" t="s">
        <v>202</v>
      </c>
      <c r="F281" s="4" t="s">
        <v>556</v>
      </c>
      <c r="G281" s="5" t="n">
        <v>46262.1604166667</v>
      </c>
      <c r="H281" s="12"/>
      <c r="I281" s="12"/>
      <c r="N281" s="4" t="n">
        <v>1</v>
      </c>
      <c r="P281" s="12"/>
      <c r="Q281" s="4" t="n">
        <v>0</v>
      </c>
      <c r="R281" s="0" t="str">
        <f aca="false">INDEX(Owners!$B$4:$B$21,MATCH(D281,Owners!$A$4:$A$21,0))</f>
        <v>Support Operations</v>
      </c>
      <c r="S281" s="6" t="b">
        <f aca="false">AND(F281="closed",ISNUMBER(H281),H281&lt;=Controls!$B$4)</f>
        <v>0</v>
      </c>
      <c r="T281" s="6" t="b">
        <f aca="false">AND(ISNUMBER(I281),I281&lt;=Controls!$B$4,J281="rerun",K281=A281,L281=C281,M281=N281,O281=0,I281&gt;=G281,IF(ISNUMBER(P281),I281&gt;=P281,TRUE()))</f>
        <v>0</v>
      </c>
      <c r="U281" s="0" t="str">
        <f aca="false">IF(AND(S281,T281),"resolved",IF(S281,"claimed","open"))</f>
        <v>open</v>
      </c>
      <c r="V281" s="11" t="n">
        <f aca="false">ROUND((IF(U281="resolved",I281,IF(U281="claimed",H281,Controls!$B$4))-G281)*24,4)</f>
        <v>908.15</v>
      </c>
      <c r="W281" s="6" t="b">
        <f aca="false">INDEX(Owners!$E$4:$E$21,MATCH(D281,Owners!$A$4:$A$21,0))</f>
        <v>1</v>
      </c>
    </row>
    <row r="282" customFormat="false" ht="15" hidden="false" customHeight="false" outlineLevel="0" collapsed="false">
      <c r="A282" s="4" t="s">
        <v>584</v>
      </c>
      <c r="B282" s="4" t="s">
        <v>125</v>
      </c>
      <c r="C282" s="4" t="s">
        <v>249</v>
      </c>
      <c r="D282" s="4" t="s">
        <v>334</v>
      </c>
      <c r="E282" s="4" t="s">
        <v>204</v>
      </c>
      <c r="F282" s="4" t="s">
        <v>277</v>
      </c>
      <c r="G282" s="5" t="n">
        <v>46262.1694444444</v>
      </c>
      <c r="H282" s="5" t="n">
        <v>46264.3055555556</v>
      </c>
      <c r="I282" s="5" t="n">
        <v>46264.6541666667</v>
      </c>
      <c r="J282" s="4" t="s">
        <v>284</v>
      </c>
      <c r="K282" s="4" t="s">
        <v>584</v>
      </c>
      <c r="L282" s="4" t="s">
        <v>249</v>
      </c>
      <c r="M282" s="4" t="n">
        <v>1</v>
      </c>
      <c r="N282" s="4" t="n">
        <v>1</v>
      </c>
      <c r="O282" s="4" t="n">
        <v>0</v>
      </c>
      <c r="P282" s="12"/>
      <c r="Q282" s="4" t="n">
        <v>0</v>
      </c>
      <c r="R282" s="0" t="str">
        <f aca="false">INDEX(Owners!$B$4:$B$21,MATCH(D282,Owners!$A$4:$A$21,0))</f>
        <v>Supply Chain</v>
      </c>
      <c r="S282" s="6" t="b">
        <f aca="false">AND(F282="closed",ISNUMBER(H282),H282&lt;=Controls!$B$4)</f>
        <v>1</v>
      </c>
      <c r="T282" s="6" t="b">
        <f aca="false">AND(ISNUMBER(I282),I282&lt;=Controls!$B$4,J282="rerun",K282=A282,L282=C282,M282=N282,O282=0,I282&gt;=G282,IF(ISNUMBER(P282),I282&gt;=P282,TRUE()))</f>
        <v>1</v>
      </c>
      <c r="U282" s="0" t="str">
        <f aca="false">IF(AND(S282,T282),"resolved",IF(S282,"claimed","open"))</f>
        <v>resolved</v>
      </c>
      <c r="V282" s="11" t="n">
        <f aca="false">ROUND((IF(U282="resolved",I282,IF(U282="claimed",H282,Controls!$B$4))-G282)*24,4)</f>
        <v>59.6333</v>
      </c>
      <c r="W282" s="6" t="b">
        <f aca="false">INDEX(Owners!$E$4:$E$21,MATCH(D282,Owners!$A$4:$A$21,0))</f>
        <v>0</v>
      </c>
    </row>
    <row r="283" customFormat="false" ht="15" hidden="false" customHeight="false" outlineLevel="0" collapsed="false">
      <c r="A283" s="4" t="s">
        <v>585</v>
      </c>
      <c r="B283" s="4" t="s">
        <v>96</v>
      </c>
      <c r="C283" s="4" t="s">
        <v>206</v>
      </c>
      <c r="D283" s="4" t="s">
        <v>330</v>
      </c>
      <c r="E283" s="4" t="s">
        <v>202</v>
      </c>
      <c r="F283" s="4" t="s">
        <v>277</v>
      </c>
      <c r="G283" s="5" t="n">
        <v>46262.2194444445</v>
      </c>
      <c r="H283" s="5" t="n">
        <v>46263.0729166667</v>
      </c>
      <c r="I283" s="5" t="n">
        <v>46263.2819444445</v>
      </c>
      <c r="J283" s="4" t="s">
        <v>284</v>
      </c>
      <c r="K283" s="4" t="s">
        <v>585</v>
      </c>
      <c r="L283" s="4" t="s">
        <v>206</v>
      </c>
      <c r="M283" s="4" t="n">
        <v>1</v>
      </c>
      <c r="N283" s="4" t="n">
        <v>1</v>
      </c>
      <c r="O283" s="4" t="n">
        <v>0</v>
      </c>
      <c r="P283" s="12"/>
      <c r="Q283" s="4" t="n">
        <v>0</v>
      </c>
      <c r="R283" s="0" t="str">
        <f aca="false">INDEX(Owners!$B$4:$B$21,MATCH(D283,Owners!$A$4:$A$21,0))</f>
        <v>Supply Chain</v>
      </c>
      <c r="S283" s="6" t="b">
        <f aca="false">AND(F283="closed",ISNUMBER(H283),H283&lt;=Controls!$B$4)</f>
        <v>1</v>
      </c>
      <c r="T283" s="6" t="b">
        <f aca="false">AND(ISNUMBER(I283),I283&lt;=Controls!$B$4,J283="rerun",K283=A283,L283=C283,M283=N283,O283=0,I283&gt;=G283,IF(ISNUMBER(P283),I283&gt;=P283,TRUE()))</f>
        <v>1</v>
      </c>
      <c r="U283" s="0" t="str">
        <f aca="false">IF(AND(S283,T283),"resolved",IF(S283,"claimed","open"))</f>
        <v>resolved</v>
      </c>
      <c r="V283" s="11" t="n">
        <f aca="false">ROUND((IF(U283="resolved",I283,IF(U283="claimed",H283,Controls!$B$4))-G283)*24,4)</f>
        <v>25.5</v>
      </c>
      <c r="W283" s="6" t="b">
        <f aca="false">INDEX(Owners!$E$4:$E$21,MATCH(D283,Owners!$A$4:$A$21,0))</f>
        <v>1</v>
      </c>
    </row>
    <row r="284" customFormat="false" ht="15" hidden="false" customHeight="false" outlineLevel="0" collapsed="false">
      <c r="A284" s="4" t="s">
        <v>586</v>
      </c>
      <c r="B284" s="4" t="s">
        <v>120</v>
      </c>
      <c r="C284" s="4" t="s">
        <v>244</v>
      </c>
      <c r="D284" s="4" t="s">
        <v>326</v>
      </c>
      <c r="E284" s="4" t="s">
        <v>204</v>
      </c>
      <c r="F284" s="4" t="s">
        <v>556</v>
      </c>
      <c r="G284" s="5" t="n">
        <v>46262.2375</v>
      </c>
      <c r="H284" s="12"/>
      <c r="I284" s="12"/>
      <c r="N284" s="4" t="n">
        <v>1</v>
      </c>
      <c r="P284" s="12"/>
      <c r="Q284" s="4" t="n">
        <v>0</v>
      </c>
      <c r="R284" s="0" t="str">
        <f aca="false">INDEX(Owners!$B$4:$B$21,MATCH(D284,Owners!$A$4:$A$21,0))</f>
        <v>Customer Data</v>
      </c>
      <c r="S284" s="6" t="b">
        <f aca="false">AND(F284="closed",ISNUMBER(H284),H284&lt;=Controls!$B$4)</f>
        <v>0</v>
      </c>
      <c r="T284" s="6" t="b">
        <f aca="false">AND(ISNUMBER(I284),I284&lt;=Controls!$B$4,J284="rerun",K284=A284,L284=C284,M284=N284,O284=0,I284&gt;=G284,IF(ISNUMBER(P284),I284&gt;=P284,TRUE()))</f>
        <v>0</v>
      </c>
      <c r="U284" s="0" t="str">
        <f aca="false">IF(AND(S284,T284),"resolved",IF(S284,"claimed","open"))</f>
        <v>open</v>
      </c>
      <c r="V284" s="11" t="n">
        <f aca="false">ROUND((IF(U284="resolved",I284,IF(U284="claimed",H284,Controls!$B$4))-G284)*24,4)</f>
        <v>906.3</v>
      </c>
      <c r="W284" s="6" t="b">
        <f aca="false">INDEX(Owners!$E$4:$E$21,MATCH(D284,Owners!$A$4:$A$21,0))</f>
        <v>0</v>
      </c>
    </row>
    <row r="285" customFormat="false" ht="15" hidden="false" customHeight="false" outlineLevel="0" collapsed="false">
      <c r="A285" s="4" t="s">
        <v>587</v>
      </c>
      <c r="B285" s="4" t="s">
        <v>107</v>
      </c>
      <c r="C285" s="4" t="s">
        <v>223</v>
      </c>
      <c r="D285" s="4" t="s">
        <v>326</v>
      </c>
      <c r="E285" s="4" t="s">
        <v>204</v>
      </c>
      <c r="F285" s="4" t="s">
        <v>562</v>
      </c>
      <c r="G285" s="5" t="n">
        <v>46262.9930555556</v>
      </c>
      <c r="H285" s="12"/>
      <c r="I285" s="12"/>
      <c r="N285" s="4" t="n">
        <v>1</v>
      </c>
      <c r="P285" s="12"/>
      <c r="Q285" s="4" t="n">
        <v>0</v>
      </c>
      <c r="R285" s="0" t="str">
        <f aca="false">INDEX(Owners!$B$4:$B$21,MATCH(D285,Owners!$A$4:$A$21,0))</f>
        <v>Customer Data</v>
      </c>
      <c r="S285" s="6" t="b">
        <f aca="false">AND(F285="closed",ISNUMBER(H285),H285&lt;=Controls!$B$4)</f>
        <v>0</v>
      </c>
      <c r="T285" s="6" t="b">
        <f aca="false">AND(ISNUMBER(I285),I285&lt;=Controls!$B$4,J285="rerun",K285=A285,L285=C285,M285=N285,O285=0,I285&gt;=G285,IF(ISNUMBER(P285),I285&gt;=P285,TRUE()))</f>
        <v>0</v>
      </c>
      <c r="U285" s="0" t="str">
        <f aca="false">IF(AND(S285,T285),"resolved",IF(S285,"claimed","open"))</f>
        <v>open</v>
      </c>
      <c r="V285" s="11" t="n">
        <f aca="false">ROUND((IF(U285="resolved",I285,IF(U285="claimed",H285,Controls!$B$4))-G285)*24,4)</f>
        <v>888.1667</v>
      </c>
      <c r="W285" s="6" t="b">
        <f aca="false">INDEX(Owners!$E$4:$E$21,MATCH(D285,Owners!$A$4:$A$21,0))</f>
        <v>0</v>
      </c>
    </row>
    <row r="286" customFormat="false" ht="15" hidden="false" customHeight="false" outlineLevel="0" collapsed="false">
      <c r="A286" s="4" t="s">
        <v>588</v>
      </c>
      <c r="B286" s="4" t="s">
        <v>127</v>
      </c>
      <c r="C286" s="4" t="s">
        <v>252</v>
      </c>
      <c r="D286" s="4" t="s">
        <v>358</v>
      </c>
      <c r="E286" s="4" t="s">
        <v>204</v>
      </c>
      <c r="F286" s="4" t="s">
        <v>277</v>
      </c>
      <c r="G286" s="5" t="n">
        <v>46263.0888888889</v>
      </c>
      <c r="H286" s="5" t="n">
        <v>46269.6513888889</v>
      </c>
      <c r="I286" s="5" t="n">
        <v>46269.7</v>
      </c>
      <c r="J286" s="4" t="s">
        <v>284</v>
      </c>
      <c r="K286" s="4" t="s">
        <v>588</v>
      </c>
      <c r="L286" s="4" t="s">
        <v>252</v>
      </c>
      <c r="M286" s="4" t="n">
        <v>1</v>
      </c>
      <c r="N286" s="4" t="n">
        <v>1</v>
      </c>
      <c r="O286" s="4" t="n">
        <v>0</v>
      </c>
      <c r="P286" s="12"/>
      <c r="Q286" s="4" t="n">
        <v>0</v>
      </c>
      <c r="R286" s="0" t="str">
        <f aca="false">INDEX(Owners!$B$4:$B$21,MATCH(D286,Owners!$A$4:$A$21,0))</f>
        <v>Finance Systems</v>
      </c>
      <c r="S286" s="6" t="b">
        <f aca="false">AND(F286="closed",ISNUMBER(H286),H286&lt;=Controls!$B$4)</f>
        <v>1</v>
      </c>
      <c r="T286" s="6" t="b">
        <f aca="false">AND(ISNUMBER(I286),I286&lt;=Controls!$B$4,J286="rerun",K286=A286,L286=C286,M286=N286,O286=0,I286&gt;=G286,IF(ISNUMBER(P286),I286&gt;=P286,TRUE()))</f>
        <v>1</v>
      </c>
      <c r="U286" s="0" t="str">
        <f aca="false">IF(AND(S286,T286),"resolved",IF(S286,"claimed","open"))</f>
        <v>resolved</v>
      </c>
      <c r="V286" s="11" t="n">
        <f aca="false">ROUND((IF(U286="resolved",I286,IF(U286="claimed",H286,Controls!$B$4))-G286)*24,4)</f>
        <v>158.6667</v>
      </c>
      <c r="W286" s="6" t="b">
        <f aca="false">INDEX(Owners!$E$4:$E$21,MATCH(D286,Owners!$A$4:$A$21,0))</f>
        <v>1</v>
      </c>
    </row>
    <row r="287" customFormat="false" ht="15" hidden="false" customHeight="false" outlineLevel="0" collapsed="false">
      <c r="A287" s="4" t="s">
        <v>589</v>
      </c>
      <c r="B287" s="4" t="s">
        <v>128</v>
      </c>
      <c r="C287" s="4" t="s">
        <v>253</v>
      </c>
      <c r="D287" s="4" t="s">
        <v>283</v>
      </c>
      <c r="E287" s="4" t="s">
        <v>204</v>
      </c>
      <c r="F287" s="4" t="s">
        <v>556</v>
      </c>
      <c r="G287" s="5" t="n">
        <v>46263.1111111111</v>
      </c>
      <c r="H287" s="12"/>
      <c r="I287" s="12"/>
      <c r="N287" s="4" t="n">
        <v>1</v>
      </c>
      <c r="P287" s="12"/>
      <c r="Q287" s="4" t="n">
        <v>0</v>
      </c>
      <c r="R287" s="0" t="str">
        <f aca="false">INDEX(Owners!$B$4:$B$21,MATCH(D287,Owners!$A$4:$A$21,0))</f>
        <v>Data Platform</v>
      </c>
      <c r="S287" s="6" t="b">
        <f aca="false">AND(F287="closed",ISNUMBER(H287),H287&lt;=Controls!$B$4)</f>
        <v>0</v>
      </c>
      <c r="T287" s="6" t="b">
        <f aca="false">AND(ISNUMBER(I287),I287&lt;=Controls!$B$4,J287="rerun",K287=A287,L287=C287,M287=N287,O287=0,I287&gt;=G287,IF(ISNUMBER(P287),I287&gt;=P287,TRUE()))</f>
        <v>0</v>
      </c>
      <c r="U287" s="0" t="str">
        <f aca="false">IF(AND(S287,T287),"resolved",IF(S287,"claimed","open"))</f>
        <v>open</v>
      </c>
      <c r="V287" s="11" t="n">
        <f aca="false">ROUND((IF(U287="resolved",I287,IF(U287="claimed",H287,Controls!$B$4))-G287)*24,4)</f>
        <v>885.3333</v>
      </c>
      <c r="W287" s="6" t="b">
        <f aca="false">INDEX(Owners!$E$4:$E$21,MATCH(D287,Owners!$A$4:$A$21,0))</f>
        <v>1</v>
      </c>
    </row>
    <row r="288" customFormat="false" ht="15" hidden="false" customHeight="false" outlineLevel="0" collapsed="false">
      <c r="A288" s="4" t="s">
        <v>590</v>
      </c>
      <c r="B288" s="4" t="s">
        <v>122</v>
      </c>
      <c r="C288" s="4" t="s">
        <v>246</v>
      </c>
      <c r="D288" s="4" t="s">
        <v>350</v>
      </c>
      <c r="E288" s="4" t="s">
        <v>204</v>
      </c>
      <c r="F288" s="4" t="s">
        <v>562</v>
      </c>
      <c r="G288" s="5" t="n">
        <v>46263.1381944444</v>
      </c>
      <c r="H288" s="12"/>
      <c r="I288" s="12"/>
      <c r="N288" s="4" t="n">
        <v>2</v>
      </c>
      <c r="P288" s="12"/>
      <c r="Q288" s="4" t="n">
        <v>0</v>
      </c>
      <c r="R288" s="0" t="str">
        <f aca="false">INDEX(Owners!$B$4:$B$21,MATCH(D288,Owners!$A$4:$A$21,0))</f>
        <v>Supply Chain</v>
      </c>
      <c r="S288" s="6" t="b">
        <f aca="false">AND(F288="closed",ISNUMBER(H288),H288&lt;=Controls!$B$4)</f>
        <v>0</v>
      </c>
      <c r="T288" s="6" t="b">
        <f aca="false">AND(ISNUMBER(I288),I288&lt;=Controls!$B$4,J288="rerun",K288=A288,L288=C288,M288=N288,O288=0,I288&gt;=G288,IF(ISNUMBER(P288),I288&gt;=P288,TRUE()))</f>
        <v>0</v>
      </c>
      <c r="U288" s="0" t="str">
        <f aca="false">IF(AND(S288,T288),"resolved",IF(S288,"claimed","open"))</f>
        <v>open</v>
      </c>
      <c r="V288" s="11" t="n">
        <f aca="false">ROUND((IF(U288="resolved",I288,IF(U288="claimed",H288,Controls!$B$4))-G288)*24,4)</f>
        <v>884.6833</v>
      </c>
      <c r="W288" s="6" t="b">
        <f aca="false">INDEX(Owners!$E$4:$E$21,MATCH(D288,Owners!$A$4:$A$21,0))</f>
        <v>1</v>
      </c>
    </row>
    <row r="289" customFormat="false" ht="15" hidden="false" customHeight="false" outlineLevel="0" collapsed="false">
      <c r="A289" s="4" t="s">
        <v>591</v>
      </c>
      <c r="B289" s="4" t="s">
        <v>109</v>
      </c>
      <c r="C289" s="4" t="s">
        <v>307</v>
      </c>
      <c r="D289" s="4" t="s">
        <v>292</v>
      </c>
      <c r="E289" s="4" t="s">
        <v>202</v>
      </c>
      <c r="F289" s="4" t="s">
        <v>562</v>
      </c>
      <c r="G289" s="5" t="n">
        <v>46263.1555555556</v>
      </c>
      <c r="H289" s="12"/>
      <c r="I289" s="12"/>
      <c r="N289" s="4" t="n">
        <v>1</v>
      </c>
      <c r="P289" s="12"/>
      <c r="Q289" s="4" t="n">
        <v>0</v>
      </c>
      <c r="R289" s="0" t="str">
        <f aca="false">INDEX(Owners!$B$4:$B$21,MATCH(D289,Owners!$A$4:$A$21,0))</f>
        <v>Support Operations</v>
      </c>
      <c r="S289" s="6" t="b">
        <f aca="false">AND(F289="closed",ISNUMBER(H289),H289&lt;=Controls!$B$4)</f>
        <v>0</v>
      </c>
      <c r="T289" s="6" t="b">
        <f aca="false">AND(ISNUMBER(I289),I289&lt;=Controls!$B$4,J289="rerun",K289=A289,L289=C289,M289=N289,O289=0,I289&gt;=G289,IF(ISNUMBER(P289),I289&gt;=P289,TRUE()))</f>
        <v>0</v>
      </c>
      <c r="U289" s="0" t="str">
        <f aca="false">IF(AND(S289,T289),"resolved",IF(S289,"claimed","open"))</f>
        <v>open</v>
      </c>
      <c r="V289" s="11" t="n">
        <f aca="false">ROUND((IF(U289="resolved",I289,IF(U289="claimed",H289,Controls!$B$4))-G289)*24,4)</f>
        <v>884.2667</v>
      </c>
      <c r="W289" s="6" t="b">
        <f aca="false">INDEX(Owners!$E$4:$E$21,MATCH(D289,Owners!$A$4:$A$21,0))</f>
        <v>1</v>
      </c>
    </row>
    <row r="290" customFormat="false" ht="15" hidden="false" customHeight="false" outlineLevel="0" collapsed="false">
      <c r="A290" s="4" t="s">
        <v>592</v>
      </c>
      <c r="B290" s="4" t="s">
        <v>119</v>
      </c>
      <c r="C290" s="4" t="s">
        <v>243</v>
      </c>
      <c r="D290" s="4" t="s">
        <v>292</v>
      </c>
      <c r="E290" s="4" t="s">
        <v>202</v>
      </c>
      <c r="F290" s="4" t="s">
        <v>277</v>
      </c>
      <c r="G290" s="5" t="n">
        <v>46263.1604166667</v>
      </c>
      <c r="H290" s="5" t="n">
        <v>46264.6958333333</v>
      </c>
      <c r="I290" s="5" t="n">
        <v>46265.2340277778</v>
      </c>
      <c r="J290" s="4" t="s">
        <v>284</v>
      </c>
      <c r="K290" s="4" t="s">
        <v>592</v>
      </c>
      <c r="L290" s="4" t="s">
        <v>243</v>
      </c>
      <c r="M290" s="4" t="n">
        <v>1</v>
      </c>
      <c r="N290" s="4" t="n">
        <v>1</v>
      </c>
      <c r="O290" s="4" t="n">
        <v>0</v>
      </c>
      <c r="P290" s="12"/>
      <c r="Q290" s="4" t="n">
        <v>0</v>
      </c>
      <c r="R290" s="0" t="str">
        <f aca="false">INDEX(Owners!$B$4:$B$21,MATCH(D290,Owners!$A$4:$A$21,0))</f>
        <v>Support Operations</v>
      </c>
      <c r="S290" s="6" t="b">
        <f aca="false">AND(F290="closed",ISNUMBER(H290),H290&lt;=Controls!$B$4)</f>
        <v>1</v>
      </c>
      <c r="T290" s="6" t="b">
        <f aca="false">AND(ISNUMBER(I290),I290&lt;=Controls!$B$4,J290="rerun",K290=A290,L290=C290,M290=N290,O290=0,I290&gt;=G290,IF(ISNUMBER(P290),I290&gt;=P290,TRUE()))</f>
        <v>1</v>
      </c>
      <c r="U290" s="0" t="str">
        <f aca="false">IF(AND(S290,T290),"resolved",IF(S290,"claimed","open"))</f>
        <v>resolved</v>
      </c>
      <c r="V290" s="11" t="n">
        <f aca="false">ROUND((IF(U290="resolved",I290,IF(U290="claimed",H290,Controls!$B$4))-G290)*24,4)</f>
        <v>49.7667</v>
      </c>
      <c r="W290" s="6" t="b">
        <f aca="false">INDEX(Owners!$E$4:$E$21,MATCH(D290,Owners!$A$4:$A$21,0))</f>
        <v>1</v>
      </c>
    </row>
    <row r="291" customFormat="false" ht="15" hidden="false" customHeight="false" outlineLevel="0" collapsed="false">
      <c r="A291" s="4" t="s">
        <v>593</v>
      </c>
      <c r="B291" s="4" t="s">
        <v>111</v>
      </c>
      <c r="C291" s="4" t="s">
        <v>229</v>
      </c>
      <c r="D291" s="4" t="s">
        <v>296</v>
      </c>
      <c r="E291" s="4" t="s">
        <v>202</v>
      </c>
      <c r="F291" s="4" t="s">
        <v>562</v>
      </c>
      <c r="G291" s="5" t="n">
        <v>46263.1645833333</v>
      </c>
      <c r="H291" s="12"/>
      <c r="I291" s="12"/>
      <c r="N291" s="4" t="n">
        <v>1</v>
      </c>
      <c r="P291" s="12"/>
      <c r="Q291" s="4" t="n">
        <v>0</v>
      </c>
      <c r="R291" s="0" t="str">
        <f aca="false">INDEX(Owners!$B$4:$B$21,MATCH(D291,Owners!$A$4:$A$21,0))</f>
        <v>Data Platform</v>
      </c>
      <c r="S291" s="6" t="b">
        <f aca="false">AND(F291="closed",ISNUMBER(H291),H291&lt;=Controls!$B$4)</f>
        <v>0</v>
      </c>
      <c r="T291" s="6" t="b">
        <f aca="false">AND(ISNUMBER(I291),I291&lt;=Controls!$B$4,J291="rerun",K291=A291,L291=C291,M291=N291,O291=0,I291&gt;=G291,IF(ISNUMBER(P291),I291&gt;=P291,TRUE()))</f>
        <v>0</v>
      </c>
      <c r="U291" s="0" t="str">
        <f aca="false">IF(AND(S291,T291),"resolved",IF(S291,"claimed","open"))</f>
        <v>open</v>
      </c>
      <c r="V291" s="11" t="n">
        <f aca="false">ROUND((IF(U291="resolved",I291,IF(U291="claimed",H291,Controls!$B$4))-G291)*24,4)</f>
        <v>884.05</v>
      </c>
      <c r="W291" s="6" t="b">
        <f aca="false">INDEX(Owners!$E$4:$E$21,MATCH(D291,Owners!$A$4:$A$21,0))</f>
        <v>1</v>
      </c>
    </row>
    <row r="292" customFormat="false" ht="15" hidden="false" customHeight="false" outlineLevel="0" collapsed="false">
      <c r="A292" s="4" t="s">
        <v>594</v>
      </c>
      <c r="B292" s="4" t="s">
        <v>129</v>
      </c>
      <c r="C292" s="4" t="s">
        <v>255</v>
      </c>
      <c r="D292" s="4" t="s">
        <v>497</v>
      </c>
      <c r="E292" s="4" t="s">
        <v>204</v>
      </c>
      <c r="F292" s="4" t="s">
        <v>277</v>
      </c>
      <c r="G292" s="5" t="n">
        <v>46263.1743055556</v>
      </c>
      <c r="H292" s="5" t="n">
        <v>46266.7472222222</v>
      </c>
      <c r="I292" s="12"/>
      <c r="N292" s="4" t="n">
        <v>1</v>
      </c>
      <c r="P292" s="12"/>
      <c r="Q292" s="4" t="n">
        <v>0</v>
      </c>
      <c r="R292" s="0" t="str">
        <f aca="false">INDEX(Owners!$B$4:$B$21,MATCH(D292,Owners!$A$4:$A$21,0))</f>
        <v>Support Operations</v>
      </c>
      <c r="S292" s="6" t="b">
        <f aca="false">AND(F292="closed",ISNUMBER(H292),H292&lt;=Controls!$B$4)</f>
        <v>1</v>
      </c>
      <c r="T292" s="6" t="b">
        <f aca="false">AND(ISNUMBER(I292),I292&lt;=Controls!$B$4,J292="rerun",K292=A292,L292=C292,M292=N292,O292=0,I292&gt;=G292,IF(ISNUMBER(P292),I292&gt;=P292,TRUE()))</f>
        <v>0</v>
      </c>
      <c r="U292" s="0" t="str">
        <f aca="false">IF(AND(S292,T292),"resolved",IF(S292,"claimed","open"))</f>
        <v>claimed</v>
      </c>
      <c r="V292" s="11" t="n">
        <f aca="false">ROUND((IF(U292="resolved",I292,IF(U292="claimed",H292,Controls!$B$4))-G292)*24,4)</f>
        <v>85.75</v>
      </c>
      <c r="W292" s="6" t="b">
        <f aca="false">INDEX(Owners!$E$4:$E$21,MATCH(D292,Owners!$A$4:$A$21,0))</f>
        <v>1</v>
      </c>
    </row>
    <row r="293" customFormat="false" ht="15" hidden="false" customHeight="false" outlineLevel="0" collapsed="false">
      <c r="A293" s="4" t="s">
        <v>595</v>
      </c>
      <c r="B293" s="4" t="s">
        <v>113</v>
      </c>
      <c r="C293" s="4" t="s">
        <v>232</v>
      </c>
      <c r="D293" s="4" t="s">
        <v>296</v>
      </c>
      <c r="E293" s="4" t="s">
        <v>202</v>
      </c>
      <c r="F293" s="4" t="s">
        <v>277</v>
      </c>
      <c r="G293" s="5" t="n">
        <v>46263.1826388889</v>
      </c>
      <c r="H293" s="5" t="n">
        <v>46264.4798611111</v>
      </c>
      <c r="I293" s="5" t="n">
        <v>46264.5069444445</v>
      </c>
      <c r="J293" s="4" t="s">
        <v>284</v>
      </c>
      <c r="K293" s="4" t="s">
        <v>595</v>
      </c>
      <c r="L293" s="4" t="s">
        <v>232</v>
      </c>
      <c r="M293" s="4" t="n">
        <v>2</v>
      </c>
      <c r="N293" s="4" t="n">
        <v>2</v>
      </c>
      <c r="O293" s="4" t="n">
        <v>0</v>
      </c>
      <c r="P293" s="12"/>
      <c r="Q293" s="4" t="n">
        <v>0</v>
      </c>
      <c r="R293" s="0" t="str">
        <f aca="false">INDEX(Owners!$B$4:$B$21,MATCH(D293,Owners!$A$4:$A$21,0))</f>
        <v>Data Platform</v>
      </c>
      <c r="S293" s="6" t="b">
        <f aca="false">AND(F293="closed",ISNUMBER(H293),H293&lt;=Controls!$B$4)</f>
        <v>1</v>
      </c>
      <c r="T293" s="6" t="b">
        <f aca="false">AND(ISNUMBER(I293),I293&lt;=Controls!$B$4,J293="rerun",K293=A293,L293=C293,M293=N293,O293=0,I293&gt;=G293,IF(ISNUMBER(P293),I293&gt;=P293,TRUE()))</f>
        <v>1</v>
      </c>
      <c r="U293" s="0" t="str">
        <f aca="false">IF(AND(S293,T293),"resolved",IF(S293,"claimed","open"))</f>
        <v>resolved</v>
      </c>
      <c r="V293" s="11" t="n">
        <f aca="false">ROUND((IF(U293="resolved",I293,IF(U293="claimed",H293,Controls!$B$4))-G293)*24,4)</f>
        <v>31.7833</v>
      </c>
      <c r="W293" s="6" t="b">
        <f aca="false">INDEX(Owners!$E$4:$E$21,MATCH(D293,Owners!$A$4:$A$21,0))</f>
        <v>1</v>
      </c>
    </row>
    <row r="294" customFormat="false" ht="15" hidden="false" customHeight="false" outlineLevel="0" collapsed="false">
      <c r="A294" s="4" t="s">
        <v>596</v>
      </c>
      <c r="B294" s="4" t="s">
        <v>131</v>
      </c>
      <c r="C294" s="4" t="s">
        <v>259</v>
      </c>
      <c r="D294" s="4" t="s">
        <v>283</v>
      </c>
      <c r="E294" s="4" t="s">
        <v>202</v>
      </c>
      <c r="F294" s="4" t="s">
        <v>277</v>
      </c>
      <c r="G294" s="5" t="n">
        <v>46263.2013888889</v>
      </c>
      <c r="H294" s="5" t="n">
        <v>46264.2368055556</v>
      </c>
      <c r="I294" s="5" t="n">
        <v>46264.3347222222</v>
      </c>
      <c r="J294" s="4" t="s">
        <v>284</v>
      </c>
      <c r="K294" s="4" t="s">
        <v>596</v>
      </c>
      <c r="L294" s="4" t="s">
        <v>259</v>
      </c>
      <c r="M294" s="4" t="n">
        <v>1</v>
      </c>
      <c r="N294" s="4" t="n">
        <v>1</v>
      </c>
      <c r="O294" s="4" t="n">
        <v>0</v>
      </c>
      <c r="P294" s="12"/>
      <c r="Q294" s="4" t="n">
        <v>0</v>
      </c>
      <c r="R294" s="0" t="str">
        <f aca="false">INDEX(Owners!$B$4:$B$21,MATCH(D294,Owners!$A$4:$A$21,0))</f>
        <v>Data Platform</v>
      </c>
      <c r="S294" s="6" t="b">
        <f aca="false">AND(F294="closed",ISNUMBER(H294),H294&lt;=Controls!$B$4)</f>
        <v>1</v>
      </c>
      <c r="T294" s="6" t="b">
        <f aca="false">AND(ISNUMBER(I294),I294&lt;=Controls!$B$4,J294="rerun",K294=A294,L294=C294,M294=N294,O294=0,I294&gt;=G294,IF(ISNUMBER(P294),I294&gt;=P294,TRUE()))</f>
        <v>1</v>
      </c>
      <c r="U294" s="0" t="str">
        <f aca="false">IF(AND(S294,T294),"resolved",IF(S294,"claimed","open"))</f>
        <v>resolved</v>
      </c>
      <c r="V294" s="11" t="n">
        <f aca="false">ROUND((IF(U294="resolved",I294,IF(U294="claimed",H294,Controls!$B$4))-G294)*24,4)</f>
        <v>27.2</v>
      </c>
      <c r="W294" s="6" t="b">
        <f aca="false">INDEX(Owners!$E$4:$E$21,MATCH(D294,Owners!$A$4:$A$21,0))</f>
        <v>1</v>
      </c>
    </row>
    <row r="295" customFormat="false" ht="15" hidden="false" customHeight="false" outlineLevel="0" collapsed="false">
      <c r="A295" s="4" t="s">
        <v>597</v>
      </c>
      <c r="B295" s="4" t="s">
        <v>112</v>
      </c>
      <c r="C295" s="4" t="s">
        <v>231</v>
      </c>
      <c r="D295" s="4" t="s">
        <v>320</v>
      </c>
      <c r="E295" s="4" t="s">
        <v>210</v>
      </c>
      <c r="F295" s="4" t="s">
        <v>277</v>
      </c>
      <c r="G295" s="5" t="n">
        <v>46263.2277777778</v>
      </c>
      <c r="H295" s="5" t="n">
        <v>46265.5673611111</v>
      </c>
      <c r="I295" s="5" t="n">
        <v>46266.1743055556</v>
      </c>
      <c r="J295" s="4" t="s">
        <v>284</v>
      </c>
      <c r="K295" s="4" t="s">
        <v>597</v>
      </c>
      <c r="L295" s="4" t="s">
        <v>231</v>
      </c>
      <c r="M295" s="4" t="n">
        <v>1</v>
      </c>
      <c r="N295" s="4" t="n">
        <v>1</v>
      </c>
      <c r="O295" s="4" t="n">
        <v>0</v>
      </c>
      <c r="P295" s="12"/>
      <c r="Q295" s="4" t="n">
        <v>0</v>
      </c>
      <c r="R295" s="0" t="str">
        <f aca="false">INDEX(Owners!$B$4:$B$21,MATCH(D295,Owners!$A$4:$A$21,0))</f>
        <v>Data Governance</v>
      </c>
      <c r="S295" s="6" t="b">
        <f aca="false">AND(F295="closed",ISNUMBER(H295),H295&lt;=Controls!$B$4)</f>
        <v>1</v>
      </c>
      <c r="T295" s="6" t="b">
        <f aca="false">AND(ISNUMBER(I295),I295&lt;=Controls!$B$4,J295="rerun",K295=A295,L295=C295,M295=N295,O295=0,I295&gt;=G295,IF(ISNUMBER(P295),I295&gt;=P295,TRUE()))</f>
        <v>1</v>
      </c>
      <c r="U295" s="0" t="str">
        <f aca="false">IF(AND(S295,T295),"resolved",IF(S295,"claimed","open"))</f>
        <v>resolved</v>
      </c>
      <c r="V295" s="11" t="n">
        <f aca="false">ROUND((IF(U295="resolved",I295,IF(U295="claimed",H295,Controls!$B$4))-G295)*24,4)</f>
        <v>70.7167</v>
      </c>
      <c r="W295" s="6" t="b">
        <f aca="false">INDEX(Owners!$E$4:$E$21,MATCH(D295,Owners!$A$4:$A$21,0))</f>
        <v>1</v>
      </c>
    </row>
    <row r="296" customFormat="false" ht="15" hidden="false" customHeight="false" outlineLevel="0" collapsed="false">
      <c r="A296" s="4" t="s">
        <v>598</v>
      </c>
      <c r="B296" s="4" t="s">
        <v>120</v>
      </c>
      <c r="C296" s="4" t="s">
        <v>244</v>
      </c>
      <c r="D296" s="4" t="s">
        <v>326</v>
      </c>
      <c r="E296" s="4" t="s">
        <v>204</v>
      </c>
      <c r="F296" s="4" t="s">
        <v>556</v>
      </c>
      <c r="G296" s="5" t="n">
        <v>46263.2375</v>
      </c>
      <c r="H296" s="12"/>
      <c r="I296" s="12"/>
      <c r="N296" s="4" t="n">
        <v>1</v>
      </c>
      <c r="P296" s="12"/>
      <c r="Q296" s="4" t="n">
        <v>0</v>
      </c>
      <c r="R296" s="0" t="str">
        <f aca="false">INDEX(Owners!$B$4:$B$21,MATCH(D296,Owners!$A$4:$A$21,0))</f>
        <v>Customer Data</v>
      </c>
      <c r="S296" s="6" t="b">
        <f aca="false">AND(F296="closed",ISNUMBER(H296),H296&lt;=Controls!$B$4)</f>
        <v>0</v>
      </c>
      <c r="T296" s="6" t="b">
        <f aca="false">AND(ISNUMBER(I296),I296&lt;=Controls!$B$4,J296="rerun",K296=A296,L296=C296,M296=N296,O296=0,I296&gt;=G296,IF(ISNUMBER(P296),I296&gt;=P296,TRUE()))</f>
        <v>0</v>
      </c>
      <c r="U296" s="0" t="str">
        <f aca="false">IF(AND(S296,T296),"resolved",IF(S296,"claimed","open"))</f>
        <v>open</v>
      </c>
      <c r="V296" s="11" t="n">
        <f aca="false">ROUND((IF(U296="resolved",I296,IF(U296="claimed",H296,Controls!$B$4))-G296)*24,4)</f>
        <v>882.3</v>
      </c>
      <c r="W296" s="6" t="b">
        <f aca="false">INDEX(Owners!$E$4:$E$21,MATCH(D296,Owners!$A$4:$A$21,0))</f>
        <v>0</v>
      </c>
    </row>
    <row r="297" customFormat="false" ht="15" hidden="false" customHeight="false" outlineLevel="0" collapsed="false">
      <c r="A297" s="4" t="s">
        <v>599</v>
      </c>
      <c r="B297" s="4" t="s">
        <v>98</v>
      </c>
      <c r="C297" s="4" t="s">
        <v>211</v>
      </c>
      <c r="D297" s="4" t="s">
        <v>324</v>
      </c>
      <c r="E297" s="4" t="s">
        <v>204</v>
      </c>
      <c r="F297" s="4" t="s">
        <v>277</v>
      </c>
      <c r="G297" s="5" t="n">
        <v>46263.2416666667</v>
      </c>
      <c r="H297" s="5" t="n">
        <v>46272.1861111111</v>
      </c>
      <c r="I297" s="5" t="n">
        <v>46272.3729166667</v>
      </c>
      <c r="J297" s="4" t="s">
        <v>284</v>
      </c>
      <c r="K297" s="4" t="s">
        <v>599</v>
      </c>
      <c r="L297" s="4" t="s">
        <v>211</v>
      </c>
      <c r="M297" s="4" t="n">
        <v>3</v>
      </c>
      <c r="N297" s="4" t="n">
        <v>3</v>
      </c>
      <c r="O297" s="4" t="n">
        <v>0</v>
      </c>
      <c r="P297" s="12"/>
      <c r="Q297" s="4" t="n">
        <v>0</v>
      </c>
      <c r="R297" s="0" t="str">
        <f aca="false">INDEX(Owners!$B$4:$B$21,MATCH(D297,Owners!$A$4:$A$21,0))</f>
        <v>Finance Systems</v>
      </c>
      <c r="S297" s="6" t="b">
        <f aca="false">AND(F297="closed",ISNUMBER(H297),H297&lt;=Controls!$B$4)</f>
        <v>1</v>
      </c>
      <c r="T297" s="6" t="b">
        <f aca="false">AND(ISNUMBER(I297),I297&lt;=Controls!$B$4,J297="rerun",K297=A297,L297=C297,M297=N297,O297=0,I297&gt;=G297,IF(ISNUMBER(P297),I297&gt;=P297,TRUE()))</f>
        <v>1</v>
      </c>
      <c r="U297" s="0" t="str">
        <f aca="false">IF(AND(S297,T297),"resolved",IF(S297,"claimed","open"))</f>
        <v>resolved</v>
      </c>
      <c r="V297" s="11" t="n">
        <f aca="false">ROUND((IF(U297="resolved",I297,IF(U297="claimed",H297,Controls!$B$4))-G297)*24,4)</f>
        <v>219.15</v>
      </c>
      <c r="W297" s="6" t="b">
        <f aca="false">INDEX(Owners!$E$4:$E$21,MATCH(D297,Owners!$A$4:$A$21,0))</f>
        <v>1</v>
      </c>
    </row>
    <row r="298" customFormat="false" ht="15" hidden="false" customHeight="false" outlineLevel="0" collapsed="false">
      <c r="A298" s="4" t="s">
        <v>600</v>
      </c>
      <c r="B298" s="4" t="s">
        <v>95</v>
      </c>
      <c r="C298" s="4" t="s">
        <v>205</v>
      </c>
      <c r="D298" s="4" t="s">
        <v>283</v>
      </c>
      <c r="E298" s="4" t="s">
        <v>204</v>
      </c>
      <c r="F298" s="4" t="s">
        <v>562</v>
      </c>
      <c r="G298" s="5" t="n">
        <v>46264.1069444444</v>
      </c>
      <c r="H298" s="12"/>
      <c r="I298" s="12"/>
      <c r="N298" s="4" t="n">
        <v>1</v>
      </c>
      <c r="P298" s="12"/>
      <c r="Q298" s="4" t="n">
        <v>0</v>
      </c>
      <c r="R298" s="0" t="str">
        <f aca="false">INDEX(Owners!$B$4:$B$21,MATCH(D298,Owners!$A$4:$A$21,0))</f>
        <v>Data Platform</v>
      </c>
      <c r="S298" s="6" t="b">
        <f aca="false">AND(F298="closed",ISNUMBER(H298),H298&lt;=Controls!$B$4)</f>
        <v>0</v>
      </c>
      <c r="T298" s="6" t="b">
        <f aca="false">AND(ISNUMBER(I298),I298&lt;=Controls!$B$4,J298="rerun",K298=A298,L298=C298,M298=N298,O298=0,I298&gt;=G298,IF(ISNUMBER(P298),I298&gt;=P298,TRUE()))</f>
        <v>0</v>
      </c>
      <c r="U298" s="0" t="str">
        <f aca="false">IF(AND(S298,T298),"resolved",IF(S298,"claimed","open"))</f>
        <v>open</v>
      </c>
      <c r="V298" s="11" t="n">
        <f aca="false">ROUND((IF(U298="resolved",I298,IF(U298="claimed",H298,Controls!$B$4))-G298)*24,4)</f>
        <v>861.4333</v>
      </c>
      <c r="W298" s="6" t="b">
        <f aca="false">INDEX(Owners!$E$4:$E$21,MATCH(D298,Owners!$A$4:$A$21,0))</f>
        <v>1</v>
      </c>
    </row>
    <row r="299" customFormat="false" ht="15" hidden="false" customHeight="false" outlineLevel="0" collapsed="false">
      <c r="A299" s="4" t="s">
        <v>601</v>
      </c>
      <c r="B299" s="4" t="s">
        <v>124</v>
      </c>
      <c r="C299" s="4" t="s">
        <v>247</v>
      </c>
      <c r="D299" s="4" t="s">
        <v>301</v>
      </c>
      <c r="E299" s="4" t="s">
        <v>202</v>
      </c>
      <c r="F299" s="4" t="s">
        <v>277</v>
      </c>
      <c r="G299" s="5" t="n">
        <v>46264.1513888889</v>
      </c>
      <c r="H299" s="5" t="n">
        <v>46264.9625</v>
      </c>
      <c r="I299" s="5" t="n">
        <v>46265.0541666667</v>
      </c>
      <c r="J299" s="4" t="s">
        <v>284</v>
      </c>
      <c r="K299" s="4" t="s">
        <v>601</v>
      </c>
      <c r="L299" s="4" t="s">
        <v>247</v>
      </c>
      <c r="M299" s="4" t="n">
        <v>1</v>
      </c>
      <c r="N299" s="4" t="n">
        <v>1</v>
      </c>
      <c r="O299" s="4" t="n">
        <v>0</v>
      </c>
      <c r="P299" s="12"/>
      <c r="Q299" s="4" t="n">
        <v>0</v>
      </c>
      <c r="R299" s="0" t="str">
        <f aca="false">INDEX(Owners!$B$4:$B$21,MATCH(D299,Owners!$A$4:$A$21,0))</f>
        <v>Data Platform</v>
      </c>
      <c r="S299" s="6" t="b">
        <f aca="false">AND(F299="closed",ISNUMBER(H299),H299&lt;=Controls!$B$4)</f>
        <v>1</v>
      </c>
      <c r="T299" s="6" t="b">
        <f aca="false">AND(ISNUMBER(I299),I299&lt;=Controls!$B$4,J299="rerun",K299=A299,L299=C299,M299=N299,O299=0,I299&gt;=G299,IF(ISNUMBER(P299),I299&gt;=P299,TRUE()))</f>
        <v>1</v>
      </c>
      <c r="U299" s="0" t="str">
        <f aca="false">IF(AND(S299,T299),"resolved",IF(S299,"claimed","open"))</f>
        <v>resolved</v>
      </c>
      <c r="V299" s="11" t="n">
        <f aca="false">ROUND((IF(U299="resolved",I299,IF(U299="claimed",H299,Controls!$B$4))-G299)*24,4)</f>
        <v>21.6667</v>
      </c>
      <c r="W299" s="6" t="b">
        <f aca="false">INDEX(Owners!$E$4:$E$21,MATCH(D299,Owners!$A$4:$A$21,0))</f>
        <v>1</v>
      </c>
    </row>
    <row r="300" customFormat="false" ht="15" hidden="false" customHeight="false" outlineLevel="0" collapsed="false">
      <c r="A300" s="4" t="s">
        <v>602</v>
      </c>
      <c r="B300" s="4" t="s">
        <v>111</v>
      </c>
      <c r="C300" s="4" t="s">
        <v>229</v>
      </c>
      <c r="D300" s="4" t="s">
        <v>296</v>
      </c>
      <c r="E300" s="4" t="s">
        <v>202</v>
      </c>
      <c r="F300" s="4" t="s">
        <v>277</v>
      </c>
      <c r="G300" s="5" t="n">
        <v>46264.1645833333</v>
      </c>
      <c r="H300" s="5" t="n">
        <v>46270.1673611111</v>
      </c>
      <c r="I300" s="12"/>
      <c r="N300" s="4" t="n">
        <v>1</v>
      </c>
      <c r="P300" s="12"/>
      <c r="Q300" s="4" t="n">
        <v>0</v>
      </c>
      <c r="R300" s="0" t="str">
        <f aca="false">INDEX(Owners!$B$4:$B$21,MATCH(D300,Owners!$A$4:$A$21,0))</f>
        <v>Data Platform</v>
      </c>
      <c r="S300" s="6" t="b">
        <f aca="false">AND(F300="closed",ISNUMBER(H300),H300&lt;=Controls!$B$4)</f>
        <v>1</v>
      </c>
      <c r="T300" s="6" t="b">
        <f aca="false">AND(ISNUMBER(I300),I300&lt;=Controls!$B$4,J300="rerun",K300=A300,L300=C300,M300=N300,O300=0,I300&gt;=G300,IF(ISNUMBER(P300),I300&gt;=P300,TRUE()))</f>
        <v>0</v>
      </c>
      <c r="U300" s="0" t="str">
        <f aca="false">IF(AND(S300,T300),"resolved",IF(S300,"claimed","open"))</f>
        <v>claimed</v>
      </c>
      <c r="V300" s="11" t="n">
        <f aca="false">ROUND((IF(U300="resolved",I300,IF(U300="claimed",H300,Controls!$B$4))-G300)*24,4)</f>
        <v>144.0667</v>
      </c>
      <c r="W300" s="6" t="b">
        <f aca="false">INDEX(Owners!$E$4:$E$21,MATCH(D300,Owners!$A$4:$A$21,0))</f>
        <v>1</v>
      </c>
    </row>
    <row r="301" customFormat="false" ht="15" hidden="false" customHeight="false" outlineLevel="0" collapsed="false">
      <c r="A301" s="4" t="s">
        <v>603</v>
      </c>
      <c r="B301" s="4" t="s">
        <v>125</v>
      </c>
      <c r="C301" s="4" t="s">
        <v>249</v>
      </c>
      <c r="D301" s="4" t="s">
        <v>334</v>
      </c>
      <c r="E301" s="4" t="s">
        <v>204</v>
      </c>
      <c r="F301" s="4" t="s">
        <v>277</v>
      </c>
      <c r="G301" s="5" t="n">
        <v>46264.1694444444</v>
      </c>
      <c r="H301" s="5" t="n">
        <v>46266.925</v>
      </c>
      <c r="I301" s="12"/>
      <c r="N301" s="4" t="n">
        <v>1</v>
      </c>
      <c r="P301" s="12"/>
      <c r="Q301" s="4" t="n">
        <v>0</v>
      </c>
      <c r="R301" s="0" t="str">
        <f aca="false">INDEX(Owners!$B$4:$B$21,MATCH(D301,Owners!$A$4:$A$21,0))</f>
        <v>Supply Chain</v>
      </c>
      <c r="S301" s="6" t="b">
        <f aca="false">AND(F301="closed",ISNUMBER(H301),H301&lt;=Controls!$B$4)</f>
        <v>1</v>
      </c>
      <c r="T301" s="6" t="b">
        <f aca="false">AND(ISNUMBER(I301),I301&lt;=Controls!$B$4,J301="rerun",K301=A301,L301=C301,M301=N301,O301=0,I301&gt;=G301,IF(ISNUMBER(P301),I301&gt;=P301,TRUE()))</f>
        <v>0</v>
      </c>
      <c r="U301" s="0" t="str">
        <f aca="false">IF(AND(S301,T301),"resolved",IF(S301,"claimed","open"))</f>
        <v>claimed</v>
      </c>
      <c r="V301" s="11" t="n">
        <f aca="false">ROUND((IF(U301="resolved",I301,IF(U301="claimed",H301,Controls!$B$4))-G301)*24,4)</f>
        <v>66.1333</v>
      </c>
      <c r="W301" s="6" t="b">
        <f aca="false">INDEX(Owners!$E$4:$E$21,MATCH(D301,Owners!$A$4:$A$21,0))</f>
        <v>0</v>
      </c>
    </row>
    <row r="302" customFormat="false" ht="15" hidden="false" customHeight="false" outlineLevel="0" collapsed="false">
      <c r="A302" s="4" t="s">
        <v>604</v>
      </c>
      <c r="B302" s="4" t="s">
        <v>129</v>
      </c>
      <c r="C302" s="4" t="s">
        <v>255</v>
      </c>
      <c r="D302" s="4" t="s">
        <v>497</v>
      </c>
      <c r="E302" s="4" t="s">
        <v>204</v>
      </c>
      <c r="F302" s="4" t="s">
        <v>277</v>
      </c>
      <c r="G302" s="5" t="n">
        <v>46264.1743055556</v>
      </c>
      <c r="H302" s="5" t="n">
        <v>46268.8020833333</v>
      </c>
      <c r="I302" s="5" t="n">
        <v>46269.3409722222</v>
      </c>
      <c r="J302" s="4" t="s">
        <v>284</v>
      </c>
      <c r="K302" s="4" t="s">
        <v>604</v>
      </c>
      <c r="L302" s="4" t="s">
        <v>255</v>
      </c>
      <c r="M302" s="4" t="n">
        <v>1</v>
      </c>
      <c r="N302" s="4" t="n">
        <v>1</v>
      </c>
      <c r="O302" s="4" t="n">
        <v>0</v>
      </c>
      <c r="P302" s="12"/>
      <c r="Q302" s="4" t="n">
        <v>0</v>
      </c>
      <c r="R302" s="0" t="str">
        <f aca="false">INDEX(Owners!$B$4:$B$21,MATCH(D302,Owners!$A$4:$A$21,0))</f>
        <v>Support Operations</v>
      </c>
      <c r="S302" s="6" t="b">
        <f aca="false">AND(F302="closed",ISNUMBER(H302),H302&lt;=Controls!$B$4)</f>
        <v>1</v>
      </c>
      <c r="T302" s="6" t="b">
        <f aca="false">AND(ISNUMBER(I302),I302&lt;=Controls!$B$4,J302="rerun",K302=A302,L302=C302,M302=N302,O302=0,I302&gt;=G302,IF(ISNUMBER(P302),I302&gt;=P302,TRUE()))</f>
        <v>1</v>
      </c>
      <c r="U302" s="0" t="str">
        <f aca="false">IF(AND(S302,T302),"resolved",IF(S302,"claimed","open"))</f>
        <v>resolved</v>
      </c>
      <c r="V302" s="11" t="n">
        <f aca="false">ROUND((IF(U302="resolved",I302,IF(U302="claimed",H302,Controls!$B$4))-G302)*24,4)</f>
        <v>124</v>
      </c>
      <c r="W302" s="6" t="b">
        <f aca="false">INDEX(Owners!$E$4:$E$21,MATCH(D302,Owners!$A$4:$A$21,0))</f>
        <v>1</v>
      </c>
    </row>
    <row r="303" customFormat="false" ht="15" hidden="false" customHeight="false" outlineLevel="0" collapsed="false">
      <c r="A303" s="4" t="s">
        <v>605</v>
      </c>
      <c r="B303" s="4" t="s">
        <v>130</v>
      </c>
      <c r="C303" s="4" t="s">
        <v>256</v>
      </c>
      <c r="D303" s="4" t="s">
        <v>553</v>
      </c>
      <c r="E303" s="4" t="s">
        <v>202</v>
      </c>
      <c r="F303" s="4" t="s">
        <v>562</v>
      </c>
      <c r="G303" s="5" t="n">
        <v>46264.1833333333</v>
      </c>
      <c r="H303" s="12"/>
      <c r="I303" s="12"/>
      <c r="N303" s="4" t="n">
        <v>1</v>
      </c>
      <c r="P303" s="12"/>
      <c r="Q303" s="4" t="n">
        <v>0</v>
      </c>
      <c r="R303" s="0" t="str">
        <f aca="false">INDEX(Owners!$B$4:$B$21,MATCH(D303,Owners!$A$4:$A$21,0))</f>
        <v>Data Governance</v>
      </c>
      <c r="S303" s="6" t="b">
        <f aca="false">AND(F303="closed",ISNUMBER(H303),H303&lt;=Controls!$B$4)</f>
        <v>0</v>
      </c>
      <c r="T303" s="6" t="b">
        <f aca="false">AND(ISNUMBER(I303),I303&lt;=Controls!$B$4,J303="rerun",K303=A303,L303=C303,M303=N303,O303=0,I303&gt;=G303,IF(ISNUMBER(P303),I303&gt;=P303,TRUE()))</f>
        <v>0</v>
      </c>
      <c r="U303" s="0" t="str">
        <f aca="false">IF(AND(S303,T303),"resolved",IF(S303,"claimed","open"))</f>
        <v>open</v>
      </c>
      <c r="V303" s="11" t="n">
        <f aca="false">ROUND((IF(U303="resolved",I303,IF(U303="claimed",H303,Controls!$B$4))-G303)*24,4)</f>
        <v>859.6</v>
      </c>
      <c r="W303" s="6" t="b">
        <f aca="false">INDEX(Owners!$E$4:$E$21,MATCH(D303,Owners!$A$4:$A$21,0))</f>
        <v>1</v>
      </c>
    </row>
    <row r="304" customFormat="false" ht="15" hidden="false" customHeight="false" outlineLevel="0" collapsed="false">
      <c r="A304" s="4" t="s">
        <v>606</v>
      </c>
      <c r="B304" s="4" t="s">
        <v>125</v>
      </c>
      <c r="C304" s="4" t="s">
        <v>250</v>
      </c>
      <c r="D304" s="4" t="s">
        <v>334</v>
      </c>
      <c r="E304" s="4" t="s">
        <v>202</v>
      </c>
      <c r="F304" s="4" t="s">
        <v>562</v>
      </c>
      <c r="G304" s="5" t="n">
        <v>46264.1875</v>
      </c>
      <c r="H304" s="12"/>
      <c r="I304" s="12"/>
      <c r="N304" s="4" t="n">
        <v>1</v>
      </c>
      <c r="P304" s="12"/>
      <c r="Q304" s="4" t="n">
        <v>0</v>
      </c>
      <c r="R304" s="0" t="str">
        <f aca="false">INDEX(Owners!$B$4:$B$21,MATCH(D304,Owners!$A$4:$A$21,0))</f>
        <v>Supply Chain</v>
      </c>
      <c r="S304" s="6" t="b">
        <f aca="false">AND(F304="closed",ISNUMBER(H304),H304&lt;=Controls!$B$4)</f>
        <v>0</v>
      </c>
      <c r="T304" s="6" t="b">
        <f aca="false">AND(ISNUMBER(I304),I304&lt;=Controls!$B$4,J304="rerun",K304=A304,L304=C304,M304=N304,O304=0,I304&gt;=G304,IF(ISNUMBER(P304),I304&gt;=P304,TRUE()))</f>
        <v>0</v>
      </c>
      <c r="U304" s="0" t="str">
        <f aca="false">IF(AND(S304,T304),"resolved",IF(S304,"claimed","open"))</f>
        <v>open</v>
      </c>
      <c r="V304" s="11" t="n">
        <f aca="false">ROUND((IF(U304="resolved",I304,IF(U304="claimed",H304,Controls!$B$4))-G304)*24,4)</f>
        <v>859.5</v>
      </c>
      <c r="W304" s="6" t="b">
        <f aca="false">INDEX(Owners!$E$4:$E$21,MATCH(D304,Owners!$A$4:$A$21,0))</f>
        <v>0</v>
      </c>
    </row>
    <row r="305" customFormat="false" ht="15" hidden="false" customHeight="false" outlineLevel="0" collapsed="false">
      <c r="A305" s="4" t="s">
        <v>607</v>
      </c>
      <c r="B305" s="4" t="s">
        <v>131</v>
      </c>
      <c r="C305" s="4" t="s">
        <v>257</v>
      </c>
      <c r="D305" s="4" t="s">
        <v>283</v>
      </c>
      <c r="E305" s="4" t="s">
        <v>202</v>
      </c>
      <c r="F305" s="4" t="s">
        <v>277</v>
      </c>
      <c r="G305" s="5" t="n">
        <v>46264.1923611111</v>
      </c>
      <c r="H305" s="5" t="n">
        <v>46264.9819444444</v>
      </c>
      <c r="I305" s="12"/>
      <c r="N305" s="4" t="n">
        <v>1</v>
      </c>
      <c r="P305" s="12"/>
      <c r="Q305" s="4" t="n">
        <v>0</v>
      </c>
      <c r="R305" s="0" t="str">
        <f aca="false">INDEX(Owners!$B$4:$B$21,MATCH(D305,Owners!$A$4:$A$21,0))</f>
        <v>Data Platform</v>
      </c>
      <c r="S305" s="6" t="b">
        <f aca="false">AND(F305="closed",ISNUMBER(H305),H305&lt;=Controls!$B$4)</f>
        <v>1</v>
      </c>
      <c r="T305" s="6" t="b">
        <f aca="false">AND(ISNUMBER(I305),I305&lt;=Controls!$B$4,J305="rerun",K305=A305,L305=C305,M305=N305,O305=0,I305&gt;=G305,IF(ISNUMBER(P305),I305&gt;=P305,TRUE()))</f>
        <v>0</v>
      </c>
      <c r="U305" s="0" t="str">
        <f aca="false">IF(AND(S305,T305),"resolved",IF(S305,"claimed","open"))</f>
        <v>claimed</v>
      </c>
      <c r="V305" s="11" t="n">
        <f aca="false">ROUND((IF(U305="resolved",I305,IF(U305="claimed",H305,Controls!$B$4))-G305)*24,4)</f>
        <v>18.95</v>
      </c>
      <c r="W305" s="6" t="b">
        <f aca="false">INDEX(Owners!$E$4:$E$21,MATCH(D305,Owners!$A$4:$A$21,0))</f>
        <v>1</v>
      </c>
    </row>
    <row r="306" customFormat="false" ht="15" hidden="false" customHeight="false" outlineLevel="0" collapsed="false">
      <c r="A306" s="4" t="s">
        <v>608</v>
      </c>
      <c r="B306" s="4" t="s">
        <v>96</v>
      </c>
      <c r="C306" s="4" t="s">
        <v>206</v>
      </c>
      <c r="D306" s="4" t="s">
        <v>330</v>
      </c>
      <c r="E306" s="4" t="s">
        <v>202</v>
      </c>
      <c r="F306" s="4" t="s">
        <v>277</v>
      </c>
      <c r="G306" s="5" t="n">
        <v>46264.2194444445</v>
      </c>
      <c r="H306" s="5" t="n">
        <v>46265.3590277778</v>
      </c>
      <c r="I306" s="12"/>
      <c r="N306" s="4" t="n">
        <v>1</v>
      </c>
      <c r="P306" s="12"/>
      <c r="Q306" s="4" t="n">
        <v>0</v>
      </c>
      <c r="R306" s="0" t="str">
        <f aca="false">INDEX(Owners!$B$4:$B$21,MATCH(D306,Owners!$A$4:$A$21,0))</f>
        <v>Supply Chain</v>
      </c>
      <c r="S306" s="6" t="b">
        <f aca="false">AND(F306="closed",ISNUMBER(H306),H306&lt;=Controls!$B$4)</f>
        <v>1</v>
      </c>
      <c r="T306" s="6" t="b">
        <f aca="false">AND(ISNUMBER(I306),I306&lt;=Controls!$B$4,J306="rerun",K306=A306,L306=C306,M306=N306,O306=0,I306&gt;=G306,IF(ISNUMBER(P306),I306&gt;=P306,TRUE()))</f>
        <v>0</v>
      </c>
      <c r="U306" s="0" t="str">
        <f aca="false">IF(AND(S306,T306),"resolved",IF(S306,"claimed","open"))</f>
        <v>claimed</v>
      </c>
      <c r="V306" s="11" t="n">
        <f aca="false">ROUND((IF(U306="resolved",I306,IF(U306="claimed",H306,Controls!$B$4))-G306)*24,4)</f>
        <v>27.35</v>
      </c>
      <c r="W306" s="6" t="b">
        <f aca="false">INDEX(Owners!$E$4:$E$21,MATCH(D306,Owners!$A$4:$A$21,0))</f>
        <v>1</v>
      </c>
    </row>
    <row r="307" customFormat="false" ht="15" hidden="false" customHeight="false" outlineLevel="0" collapsed="false">
      <c r="A307" s="4" t="s">
        <v>609</v>
      </c>
      <c r="B307" s="4" t="s">
        <v>117</v>
      </c>
      <c r="C307" s="4" t="s">
        <v>241</v>
      </c>
      <c r="D307" s="4" t="s">
        <v>288</v>
      </c>
      <c r="E307" s="4" t="s">
        <v>202</v>
      </c>
      <c r="F307" s="4" t="s">
        <v>562</v>
      </c>
      <c r="G307" s="5" t="n">
        <v>46264.2368055556</v>
      </c>
      <c r="H307" s="12"/>
      <c r="I307" s="12"/>
      <c r="N307" s="4" t="n">
        <v>1</v>
      </c>
      <c r="P307" s="12"/>
      <c r="Q307" s="4" t="n">
        <v>0</v>
      </c>
      <c r="R307" s="0" t="str">
        <f aca="false">INDEX(Owners!$B$4:$B$21,MATCH(D307,Owners!$A$4:$A$21,0))</f>
        <v>Support Operations</v>
      </c>
      <c r="S307" s="6" t="b">
        <f aca="false">AND(F307="closed",ISNUMBER(H307),H307&lt;=Controls!$B$4)</f>
        <v>0</v>
      </c>
      <c r="T307" s="6" t="b">
        <f aca="false">AND(ISNUMBER(I307),I307&lt;=Controls!$B$4,J307="rerun",K307=A307,L307=C307,M307=N307,O307=0,I307&gt;=G307,IF(ISNUMBER(P307),I307&gt;=P307,TRUE()))</f>
        <v>0</v>
      </c>
      <c r="U307" s="0" t="str">
        <f aca="false">IF(AND(S307,T307),"resolved",IF(S307,"claimed","open"))</f>
        <v>open</v>
      </c>
      <c r="V307" s="11" t="n">
        <f aca="false">ROUND((IF(U307="resolved",I307,IF(U307="claimed",H307,Controls!$B$4))-G307)*24,4)</f>
        <v>858.3167</v>
      </c>
      <c r="W307" s="6" t="b">
        <f aca="false">INDEX(Owners!$E$4:$E$21,MATCH(D307,Owners!$A$4:$A$21,0))</f>
        <v>1</v>
      </c>
    </row>
    <row r="308" customFormat="false" ht="15" hidden="false" customHeight="false" outlineLevel="0" collapsed="false">
      <c r="A308" s="4" t="s">
        <v>610</v>
      </c>
      <c r="B308" s="4" t="s">
        <v>98</v>
      </c>
      <c r="C308" s="4" t="s">
        <v>323</v>
      </c>
      <c r="D308" s="4" t="s">
        <v>324</v>
      </c>
      <c r="E308" s="4" t="s">
        <v>202</v>
      </c>
      <c r="F308" s="4" t="s">
        <v>277</v>
      </c>
      <c r="G308" s="5" t="n">
        <v>46265.0840277778</v>
      </c>
      <c r="H308" s="5" t="n">
        <v>46266.4708333333</v>
      </c>
      <c r="I308" s="12"/>
      <c r="N308" s="4" t="n">
        <v>1</v>
      </c>
      <c r="P308" s="12"/>
      <c r="Q308" s="4" t="n">
        <v>0</v>
      </c>
      <c r="R308" s="0" t="str">
        <f aca="false">INDEX(Owners!$B$4:$B$21,MATCH(D308,Owners!$A$4:$A$21,0))</f>
        <v>Finance Systems</v>
      </c>
      <c r="S308" s="6" t="b">
        <f aca="false">AND(F308="closed",ISNUMBER(H308),H308&lt;=Controls!$B$4)</f>
        <v>1</v>
      </c>
      <c r="T308" s="6" t="b">
        <f aca="false">AND(ISNUMBER(I308),I308&lt;=Controls!$B$4,J308="rerun",K308=A308,L308=C308,M308=N308,O308=0,I308&gt;=G308,IF(ISNUMBER(P308),I308&gt;=P308,TRUE()))</f>
        <v>0</v>
      </c>
      <c r="U308" s="0" t="str">
        <f aca="false">IF(AND(S308,T308),"resolved",IF(S308,"claimed","open"))</f>
        <v>claimed</v>
      </c>
      <c r="V308" s="11" t="n">
        <f aca="false">ROUND((IF(U308="resolved",I308,IF(U308="claimed",H308,Controls!$B$4))-G308)*24,4)</f>
        <v>33.2833</v>
      </c>
      <c r="W308" s="6" t="b">
        <f aca="false">INDEX(Owners!$E$4:$E$21,MATCH(D308,Owners!$A$4:$A$21,0))</f>
        <v>1</v>
      </c>
    </row>
    <row r="309" customFormat="false" ht="15" hidden="false" customHeight="false" outlineLevel="0" collapsed="false">
      <c r="A309" s="4" t="s">
        <v>611</v>
      </c>
      <c r="B309" s="4" t="s">
        <v>127</v>
      </c>
      <c r="C309" s="4" t="s">
        <v>252</v>
      </c>
      <c r="D309" s="4" t="s">
        <v>358</v>
      </c>
      <c r="E309" s="4" t="s">
        <v>204</v>
      </c>
      <c r="F309" s="4" t="s">
        <v>277</v>
      </c>
      <c r="G309" s="5" t="n">
        <v>46265.0888888889</v>
      </c>
      <c r="H309" s="5" t="n">
        <v>46268.0826388889</v>
      </c>
      <c r="I309" s="5" t="n">
        <v>46268.5458333333</v>
      </c>
      <c r="J309" s="4" t="s">
        <v>284</v>
      </c>
      <c r="K309" s="4" t="s">
        <v>611</v>
      </c>
      <c r="L309" s="4" t="s">
        <v>252</v>
      </c>
      <c r="M309" s="4" t="n">
        <v>1</v>
      </c>
      <c r="N309" s="4" t="n">
        <v>1</v>
      </c>
      <c r="O309" s="4" t="n">
        <v>0</v>
      </c>
      <c r="P309" s="12"/>
      <c r="Q309" s="4" t="n">
        <v>0</v>
      </c>
      <c r="R309" s="0" t="str">
        <f aca="false">INDEX(Owners!$B$4:$B$21,MATCH(D309,Owners!$A$4:$A$21,0))</f>
        <v>Finance Systems</v>
      </c>
      <c r="S309" s="6" t="b">
        <f aca="false">AND(F309="closed",ISNUMBER(H309),H309&lt;=Controls!$B$4)</f>
        <v>1</v>
      </c>
      <c r="T309" s="6" t="b">
        <f aca="false">AND(ISNUMBER(I309),I309&lt;=Controls!$B$4,J309="rerun",K309=A309,L309=C309,M309=N309,O309=0,I309&gt;=G309,IF(ISNUMBER(P309),I309&gt;=P309,TRUE()))</f>
        <v>1</v>
      </c>
      <c r="U309" s="0" t="str">
        <f aca="false">IF(AND(S309,T309),"resolved",IF(S309,"claimed","open"))</f>
        <v>resolved</v>
      </c>
      <c r="V309" s="11" t="n">
        <f aca="false">ROUND((IF(U309="resolved",I309,IF(U309="claimed",H309,Controls!$B$4))-G309)*24,4)</f>
        <v>82.9667</v>
      </c>
      <c r="W309" s="6" t="b">
        <f aca="false">INDEX(Owners!$E$4:$E$21,MATCH(D309,Owners!$A$4:$A$21,0))</f>
        <v>1</v>
      </c>
    </row>
    <row r="310" customFormat="false" ht="15" hidden="false" customHeight="false" outlineLevel="0" collapsed="false">
      <c r="A310" s="4" t="s">
        <v>612</v>
      </c>
      <c r="B310" s="4" t="s">
        <v>103</v>
      </c>
      <c r="C310" s="4" t="s">
        <v>218</v>
      </c>
      <c r="D310" s="4" t="s">
        <v>350</v>
      </c>
      <c r="E310" s="4" t="s">
        <v>202</v>
      </c>
      <c r="F310" s="4" t="s">
        <v>556</v>
      </c>
      <c r="G310" s="5" t="n">
        <v>46265.0979166667</v>
      </c>
      <c r="H310" s="12"/>
      <c r="I310" s="12"/>
      <c r="N310" s="4" t="n">
        <v>1</v>
      </c>
      <c r="P310" s="12"/>
      <c r="Q310" s="4" t="n">
        <v>0</v>
      </c>
      <c r="R310" s="0" t="str">
        <f aca="false">INDEX(Owners!$B$4:$B$21,MATCH(D310,Owners!$A$4:$A$21,0))</f>
        <v>Supply Chain</v>
      </c>
      <c r="S310" s="6" t="b">
        <f aca="false">AND(F310="closed",ISNUMBER(H310),H310&lt;=Controls!$B$4)</f>
        <v>0</v>
      </c>
      <c r="T310" s="6" t="b">
        <f aca="false">AND(ISNUMBER(I310),I310&lt;=Controls!$B$4,J310="rerun",K310=A310,L310=C310,M310=N310,O310=0,I310&gt;=G310,IF(ISNUMBER(P310),I310&gt;=P310,TRUE()))</f>
        <v>0</v>
      </c>
      <c r="U310" s="0" t="str">
        <f aca="false">IF(AND(S310,T310),"resolved",IF(S310,"claimed","open"))</f>
        <v>open</v>
      </c>
      <c r="V310" s="11" t="n">
        <f aca="false">ROUND((IF(U310="resolved",I310,IF(U310="claimed",H310,Controls!$B$4))-G310)*24,4)</f>
        <v>837.65</v>
      </c>
      <c r="W310" s="6" t="b">
        <f aca="false">INDEX(Owners!$E$4:$E$21,MATCH(D310,Owners!$A$4:$A$21,0))</f>
        <v>1</v>
      </c>
    </row>
    <row r="311" customFormat="false" ht="15" hidden="false" customHeight="false" outlineLevel="0" collapsed="false">
      <c r="A311" s="4" t="s">
        <v>613</v>
      </c>
      <c r="B311" s="4" t="s">
        <v>130</v>
      </c>
      <c r="C311" s="4" t="s">
        <v>256</v>
      </c>
      <c r="D311" s="4" t="s">
        <v>553</v>
      </c>
      <c r="E311" s="4" t="s">
        <v>202</v>
      </c>
      <c r="F311" s="4" t="s">
        <v>277</v>
      </c>
      <c r="G311" s="5" t="n">
        <v>46265.1833333333</v>
      </c>
      <c r="H311" s="5" t="n">
        <v>46267.4868055556</v>
      </c>
      <c r="I311" s="5" t="n">
        <v>46268.0277777778</v>
      </c>
      <c r="J311" s="4" t="s">
        <v>284</v>
      </c>
      <c r="K311" s="4" t="s">
        <v>613</v>
      </c>
      <c r="L311" s="4" t="s">
        <v>256</v>
      </c>
      <c r="M311" s="4" t="n">
        <v>1</v>
      </c>
      <c r="N311" s="4" t="n">
        <v>1</v>
      </c>
      <c r="O311" s="4" t="n">
        <v>0</v>
      </c>
      <c r="P311" s="12"/>
      <c r="Q311" s="4" t="n">
        <v>0</v>
      </c>
      <c r="R311" s="0" t="str">
        <f aca="false">INDEX(Owners!$B$4:$B$21,MATCH(D311,Owners!$A$4:$A$21,0))</f>
        <v>Data Governance</v>
      </c>
      <c r="S311" s="6" t="b">
        <f aca="false">AND(F311="closed",ISNUMBER(H311),H311&lt;=Controls!$B$4)</f>
        <v>1</v>
      </c>
      <c r="T311" s="6" t="b">
        <f aca="false">AND(ISNUMBER(I311),I311&lt;=Controls!$B$4,J311="rerun",K311=A311,L311=C311,M311=N311,O311=0,I311&gt;=G311,IF(ISNUMBER(P311),I311&gt;=P311,TRUE()))</f>
        <v>1</v>
      </c>
      <c r="U311" s="0" t="str">
        <f aca="false">IF(AND(S311,T311),"resolved",IF(S311,"claimed","open"))</f>
        <v>resolved</v>
      </c>
      <c r="V311" s="11" t="n">
        <f aca="false">ROUND((IF(U311="resolved",I311,IF(U311="claimed",H311,Controls!$B$4))-G311)*24,4)</f>
        <v>68.2667</v>
      </c>
      <c r="W311" s="6" t="b">
        <f aca="false">INDEX(Owners!$E$4:$E$21,MATCH(D311,Owners!$A$4:$A$21,0))</f>
        <v>1</v>
      </c>
    </row>
    <row r="312" customFormat="false" ht="15" hidden="false" customHeight="false" outlineLevel="0" collapsed="false">
      <c r="A312" s="4" t="s">
        <v>614</v>
      </c>
      <c r="B312" s="4" t="s">
        <v>117</v>
      </c>
      <c r="C312" s="4" t="s">
        <v>241</v>
      </c>
      <c r="D312" s="4" t="s">
        <v>288</v>
      </c>
      <c r="E312" s="4" t="s">
        <v>202</v>
      </c>
      <c r="F312" s="4" t="s">
        <v>277</v>
      </c>
      <c r="G312" s="5" t="n">
        <v>46265.2368055556</v>
      </c>
      <c r="H312" s="5" t="n">
        <v>46272.5145833333</v>
      </c>
      <c r="I312" s="5" t="n">
        <v>46272.9284722222</v>
      </c>
      <c r="J312" s="4" t="s">
        <v>284</v>
      </c>
      <c r="K312" s="4" t="s">
        <v>614</v>
      </c>
      <c r="L312" s="4" t="s">
        <v>241</v>
      </c>
      <c r="M312" s="4" t="n">
        <v>1</v>
      </c>
      <c r="N312" s="4" t="n">
        <v>1</v>
      </c>
      <c r="O312" s="4" t="n">
        <v>0</v>
      </c>
      <c r="P312" s="12"/>
      <c r="Q312" s="4" t="n">
        <v>0</v>
      </c>
      <c r="R312" s="0" t="str">
        <f aca="false">INDEX(Owners!$B$4:$B$21,MATCH(D312,Owners!$A$4:$A$21,0))</f>
        <v>Support Operations</v>
      </c>
      <c r="S312" s="6" t="b">
        <f aca="false">AND(F312="closed",ISNUMBER(H312),H312&lt;=Controls!$B$4)</f>
        <v>1</v>
      </c>
      <c r="T312" s="6" t="b">
        <f aca="false">AND(ISNUMBER(I312),I312&lt;=Controls!$B$4,J312="rerun",K312=A312,L312=C312,M312=N312,O312=0,I312&gt;=G312,IF(ISNUMBER(P312),I312&gt;=P312,TRUE()))</f>
        <v>1</v>
      </c>
      <c r="U312" s="0" t="str">
        <f aca="false">IF(AND(S312,T312),"resolved",IF(S312,"claimed","open"))</f>
        <v>resolved</v>
      </c>
      <c r="V312" s="11" t="n">
        <f aca="false">ROUND((IF(U312="resolved",I312,IF(U312="claimed",H312,Controls!$B$4))-G312)*24,4)</f>
        <v>184.6</v>
      </c>
      <c r="W312" s="6" t="b">
        <f aca="false">INDEX(Owners!$E$4:$E$21,MATCH(D312,Owners!$A$4:$A$21,0))</f>
        <v>1</v>
      </c>
    </row>
    <row r="313" customFormat="false" ht="15" hidden="false" customHeight="false" outlineLevel="0" collapsed="false">
      <c r="A313" s="4" t="s">
        <v>615</v>
      </c>
      <c r="B313" s="4" t="s">
        <v>98</v>
      </c>
      <c r="C313" s="4" t="s">
        <v>211</v>
      </c>
      <c r="D313" s="4" t="s">
        <v>324</v>
      </c>
      <c r="E313" s="4" t="s">
        <v>204</v>
      </c>
      <c r="F313" s="4" t="s">
        <v>277</v>
      </c>
      <c r="G313" s="5" t="n">
        <v>46265.2416666667</v>
      </c>
      <c r="H313" s="5" t="n">
        <v>46267.0777777778</v>
      </c>
      <c r="I313" s="5" t="n">
        <v>46267.5798611111</v>
      </c>
      <c r="J313" s="4" t="s">
        <v>284</v>
      </c>
      <c r="K313" s="4" t="s">
        <v>615</v>
      </c>
      <c r="L313" s="4" t="s">
        <v>211</v>
      </c>
      <c r="M313" s="4" t="n">
        <v>3</v>
      </c>
      <c r="N313" s="4" t="n">
        <v>3</v>
      </c>
      <c r="O313" s="4" t="n">
        <v>0</v>
      </c>
      <c r="P313" s="12"/>
      <c r="Q313" s="4" t="n">
        <v>0</v>
      </c>
      <c r="R313" s="0" t="str">
        <f aca="false">INDEX(Owners!$B$4:$B$21,MATCH(D313,Owners!$A$4:$A$21,0))</f>
        <v>Finance Systems</v>
      </c>
      <c r="S313" s="6" t="b">
        <f aca="false">AND(F313="closed",ISNUMBER(H313),H313&lt;=Controls!$B$4)</f>
        <v>1</v>
      </c>
      <c r="T313" s="6" t="b">
        <f aca="false">AND(ISNUMBER(I313),I313&lt;=Controls!$B$4,J313="rerun",K313=A313,L313=C313,M313=N313,O313=0,I313&gt;=G313,IF(ISNUMBER(P313),I313&gt;=P313,TRUE()))</f>
        <v>1</v>
      </c>
      <c r="U313" s="0" t="str">
        <f aca="false">IF(AND(S313,T313),"resolved",IF(S313,"claimed","open"))</f>
        <v>resolved</v>
      </c>
      <c r="V313" s="11" t="n">
        <f aca="false">ROUND((IF(U313="resolved",I313,IF(U313="claimed",H313,Controls!$B$4))-G313)*24,4)</f>
        <v>56.1167</v>
      </c>
      <c r="W313" s="6" t="b">
        <f aca="false">INDEX(Owners!$E$4:$E$21,MATCH(D313,Owners!$A$4:$A$21,0))</f>
        <v>1</v>
      </c>
    </row>
    <row r="314" customFormat="false" ht="15" hidden="false" customHeight="false" outlineLevel="0" collapsed="false">
      <c r="A314" s="4" t="s">
        <v>616</v>
      </c>
      <c r="B314" s="4" t="s">
        <v>117</v>
      </c>
      <c r="C314" s="4" t="s">
        <v>240</v>
      </c>
      <c r="D314" s="4" t="s">
        <v>288</v>
      </c>
      <c r="E314" s="4" t="s">
        <v>204</v>
      </c>
      <c r="F314" s="4" t="s">
        <v>277</v>
      </c>
      <c r="G314" s="5" t="n">
        <v>46265.2458333333</v>
      </c>
      <c r="H314" s="5" t="n">
        <v>46265.9423611111</v>
      </c>
      <c r="I314" s="12"/>
      <c r="N314" s="4" t="n">
        <v>1</v>
      </c>
      <c r="P314" s="12"/>
      <c r="Q314" s="4" t="n">
        <v>0</v>
      </c>
      <c r="R314" s="0" t="str">
        <f aca="false">INDEX(Owners!$B$4:$B$21,MATCH(D314,Owners!$A$4:$A$21,0))</f>
        <v>Support Operations</v>
      </c>
      <c r="S314" s="6" t="b">
        <f aca="false">AND(F314="closed",ISNUMBER(H314),H314&lt;=Controls!$B$4)</f>
        <v>1</v>
      </c>
      <c r="T314" s="6" t="b">
        <f aca="false">AND(ISNUMBER(I314),I314&lt;=Controls!$B$4,J314="rerun",K314=A314,L314=C314,M314=N314,O314=0,I314&gt;=G314,IF(ISNUMBER(P314),I314&gt;=P314,TRUE()))</f>
        <v>0</v>
      </c>
      <c r="U314" s="0" t="str">
        <f aca="false">IF(AND(S314,T314),"resolved",IF(S314,"claimed","open"))</f>
        <v>claimed</v>
      </c>
      <c r="V314" s="11" t="n">
        <f aca="false">ROUND((IF(U314="resolved",I314,IF(U314="claimed",H314,Controls!$B$4))-G314)*24,4)</f>
        <v>16.7167</v>
      </c>
      <c r="W314" s="6" t="b">
        <f aca="false">INDEX(Owners!$E$4:$E$21,MATCH(D314,Owners!$A$4:$A$21,0))</f>
        <v>1</v>
      </c>
    </row>
    <row r="315" customFormat="false" ht="15" hidden="false" customHeight="false" outlineLevel="0" collapsed="false">
      <c r="A315" s="4" t="s">
        <v>617</v>
      </c>
      <c r="B315" s="4" t="s">
        <v>115</v>
      </c>
      <c r="C315" s="4" t="s">
        <v>237</v>
      </c>
      <c r="D315" s="4" t="s">
        <v>301</v>
      </c>
      <c r="E315" s="4" t="s">
        <v>210</v>
      </c>
      <c r="F315" s="4" t="s">
        <v>562</v>
      </c>
      <c r="G315" s="5" t="n">
        <v>46266.1152777778</v>
      </c>
      <c r="H315" s="12"/>
      <c r="I315" s="12"/>
      <c r="N315" s="4" t="n">
        <v>1</v>
      </c>
      <c r="P315" s="12"/>
      <c r="Q315" s="4" t="n">
        <v>0</v>
      </c>
      <c r="R315" s="0" t="str">
        <f aca="false">INDEX(Owners!$B$4:$B$21,MATCH(D315,Owners!$A$4:$A$21,0))</f>
        <v>Data Platform</v>
      </c>
      <c r="S315" s="6" t="b">
        <f aca="false">AND(F315="closed",ISNUMBER(H315),H315&lt;=Controls!$B$4)</f>
        <v>0</v>
      </c>
      <c r="T315" s="6" t="b">
        <f aca="false">AND(ISNUMBER(I315),I315&lt;=Controls!$B$4,J315="rerun",K315=A315,L315=C315,M315=N315,O315=0,I315&gt;=G315,IF(ISNUMBER(P315),I315&gt;=P315,TRUE()))</f>
        <v>0</v>
      </c>
      <c r="U315" s="0" t="str">
        <f aca="false">IF(AND(S315,T315),"resolved",IF(S315,"claimed","open"))</f>
        <v>open</v>
      </c>
      <c r="V315" s="11" t="n">
        <f aca="false">ROUND((IF(U315="resolved",I315,IF(U315="claimed",H315,Controls!$B$4))-G315)*24,4)</f>
        <v>813.2333</v>
      </c>
      <c r="W315" s="6" t="b">
        <f aca="false">INDEX(Owners!$E$4:$E$21,MATCH(D315,Owners!$A$4:$A$21,0))</f>
        <v>1</v>
      </c>
    </row>
    <row r="316" customFormat="false" ht="15" hidden="false" customHeight="false" outlineLevel="0" collapsed="false">
      <c r="A316" s="4" t="s">
        <v>618</v>
      </c>
      <c r="B316" s="4" t="s">
        <v>124</v>
      </c>
      <c r="C316" s="4" t="s">
        <v>247</v>
      </c>
      <c r="D316" s="4" t="s">
        <v>301</v>
      </c>
      <c r="E316" s="4" t="s">
        <v>202</v>
      </c>
      <c r="F316" s="4" t="s">
        <v>562</v>
      </c>
      <c r="G316" s="5" t="n">
        <v>46266.1513888889</v>
      </c>
      <c r="H316" s="12"/>
      <c r="I316" s="12"/>
      <c r="N316" s="4" t="n">
        <v>1</v>
      </c>
      <c r="P316" s="12"/>
      <c r="Q316" s="4" t="n">
        <v>0</v>
      </c>
      <c r="R316" s="0" t="str">
        <f aca="false">INDEX(Owners!$B$4:$B$21,MATCH(D316,Owners!$A$4:$A$21,0))</f>
        <v>Data Platform</v>
      </c>
      <c r="S316" s="6" t="b">
        <f aca="false">AND(F316="closed",ISNUMBER(H316),H316&lt;=Controls!$B$4)</f>
        <v>0</v>
      </c>
      <c r="T316" s="6" t="b">
        <f aca="false">AND(ISNUMBER(I316),I316&lt;=Controls!$B$4,J316="rerun",K316=A316,L316=C316,M316=N316,O316=0,I316&gt;=G316,IF(ISNUMBER(P316),I316&gt;=P316,TRUE()))</f>
        <v>0</v>
      </c>
      <c r="U316" s="0" t="str">
        <f aca="false">IF(AND(S316,T316),"resolved",IF(S316,"claimed","open"))</f>
        <v>open</v>
      </c>
      <c r="V316" s="11" t="n">
        <f aca="false">ROUND((IF(U316="resolved",I316,IF(U316="claimed",H316,Controls!$B$4))-G316)*24,4)</f>
        <v>812.3667</v>
      </c>
      <c r="W316" s="6" t="b">
        <f aca="false">INDEX(Owners!$E$4:$E$21,MATCH(D316,Owners!$A$4:$A$21,0))</f>
        <v>1</v>
      </c>
    </row>
    <row r="317" customFormat="false" ht="15" hidden="false" customHeight="false" outlineLevel="0" collapsed="false">
      <c r="A317" s="4" t="s">
        <v>619</v>
      </c>
      <c r="B317" s="4" t="s">
        <v>125</v>
      </c>
      <c r="C317" s="4" t="s">
        <v>249</v>
      </c>
      <c r="D317" s="4" t="s">
        <v>334</v>
      </c>
      <c r="E317" s="4" t="s">
        <v>204</v>
      </c>
      <c r="F317" s="4" t="s">
        <v>277</v>
      </c>
      <c r="G317" s="5" t="n">
        <v>46266.1694444444</v>
      </c>
      <c r="H317" s="5" t="n">
        <v>46267.6375</v>
      </c>
      <c r="I317" s="5" t="n">
        <v>46268.0006944445</v>
      </c>
      <c r="J317" s="4" t="s">
        <v>284</v>
      </c>
      <c r="K317" s="4" t="s">
        <v>619</v>
      </c>
      <c r="L317" s="4" t="s">
        <v>249</v>
      </c>
      <c r="M317" s="4" t="n">
        <v>1</v>
      </c>
      <c r="N317" s="4" t="n">
        <v>1</v>
      </c>
      <c r="O317" s="4" t="n">
        <v>0</v>
      </c>
      <c r="P317" s="12"/>
      <c r="Q317" s="4" t="n">
        <v>0</v>
      </c>
      <c r="R317" s="0" t="str">
        <f aca="false">INDEX(Owners!$B$4:$B$21,MATCH(D317,Owners!$A$4:$A$21,0))</f>
        <v>Supply Chain</v>
      </c>
      <c r="S317" s="6" t="b">
        <f aca="false">AND(F317="closed",ISNUMBER(H317),H317&lt;=Controls!$B$4)</f>
        <v>1</v>
      </c>
      <c r="T317" s="6" t="b">
        <f aca="false">AND(ISNUMBER(I317),I317&lt;=Controls!$B$4,J317="rerun",K317=A317,L317=C317,M317=N317,O317=0,I317&gt;=G317,IF(ISNUMBER(P317),I317&gt;=P317,TRUE()))</f>
        <v>1</v>
      </c>
      <c r="U317" s="0" t="str">
        <f aca="false">IF(AND(S317,T317),"resolved",IF(S317,"claimed","open"))</f>
        <v>resolved</v>
      </c>
      <c r="V317" s="11" t="n">
        <f aca="false">ROUND((IF(U317="resolved",I317,IF(U317="claimed",H317,Controls!$B$4))-G317)*24,4)</f>
        <v>43.95</v>
      </c>
      <c r="W317" s="6" t="b">
        <f aca="false">INDEX(Owners!$E$4:$E$21,MATCH(D317,Owners!$A$4:$A$21,0))</f>
        <v>0</v>
      </c>
    </row>
    <row r="318" customFormat="false" ht="15" hidden="false" customHeight="false" outlineLevel="0" collapsed="false">
      <c r="A318" s="4" t="s">
        <v>620</v>
      </c>
      <c r="B318" s="4" t="s">
        <v>130</v>
      </c>
      <c r="C318" s="4" t="s">
        <v>256</v>
      </c>
      <c r="D318" s="4" t="s">
        <v>553</v>
      </c>
      <c r="E318" s="4" t="s">
        <v>202</v>
      </c>
      <c r="F318" s="4" t="s">
        <v>562</v>
      </c>
      <c r="G318" s="5" t="n">
        <v>46266.1833333333</v>
      </c>
      <c r="H318" s="12"/>
      <c r="I318" s="12"/>
      <c r="N318" s="4" t="n">
        <v>1</v>
      </c>
      <c r="P318" s="12"/>
      <c r="Q318" s="4" t="n">
        <v>0</v>
      </c>
      <c r="R318" s="0" t="str">
        <f aca="false">INDEX(Owners!$B$4:$B$21,MATCH(D318,Owners!$A$4:$A$21,0))</f>
        <v>Data Governance</v>
      </c>
      <c r="S318" s="6" t="b">
        <f aca="false">AND(F318="closed",ISNUMBER(H318),H318&lt;=Controls!$B$4)</f>
        <v>0</v>
      </c>
      <c r="T318" s="6" t="b">
        <f aca="false">AND(ISNUMBER(I318),I318&lt;=Controls!$B$4,J318="rerun",K318=A318,L318=C318,M318=N318,O318=0,I318&gt;=G318,IF(ISNUMBER(P318),I318&gt;=P318,TRUE()))</f>
        <v>0</v>
      </c>
      <c r="U318" s="0" t="str">
        <f aca="false">IF(AND(S318,T318),"resolved",IF(S318,"claimed","open"))</f>
        <v>open</v>
      </c>
      <c r="V318" s="11" t="n">
        <f aca="false">ROUND((IF(U318="resolved",I318,IF(U318="claimed",H318,Controls!$B$4))-G318)*24,4)</f>
        <v>811.6</v>
      </c>
      <c r="W318" s="6" t="b">
        <f aca="false">INDEX(Owners!$E$4:$E$21,MATCH(D318,Owners!$A$4:$A$21,0))</f>
        <v>1</v>
      </c>
    </row>
    <row r="319" customFormat="false" ht="15" hidden="false" customHeight="false" outlineLevel="0" collapsed="false">
      <c r="A319" s="4" t="s">
        <v>621</v>
      </c>
      <c r="B319" s="4" t="s">
        <v>112</v>
      </c>
      <c r="C319" s="4" t="s">
        <v>231</v>
      </c>
      <c r="D319" s="4" t="s">
        <v>320</v>
      </c>
      <c r="E319" s="4" t="s">
        <v>210</v>
      </c>
      <c r="F319" s="4" t="s">
        <v>277</v>
      </c>
      <c r="G319" s="5" t="n">
        <v>46266.2277777778</v>
      </c>
      <c r="H319" s="5" t="n">
        <v>46268.2111111111</v>
      </c>
      <c r="I319" s="12"/>
      <c r="N319" s="4" t="n">
        <v>1</v>
      </c>
      <c r="P319" s="12"/>
      <c r="Q319" s="4" t="n">
        <v>0</v>
      </c>
      <c r="R319" s="0" t="str">
        <f aca="false">INDEX(Owners!$B$4:$B$21,MATCH(D319,Owners!$A$4:$A$21,0))</f>
        <v>Data Governance</v>
      </c>
      <c r="S319" s="6" t="b">
        <f aca="false">AND(F319="closed",ISNUMBER(H319),H319&lt;=Controls!$B$4)</f>
        <v>1</v>
      </c>
      <c r="T319" s="6" t="b">
        <f aca="false">AND(ISNUMBER(I319),I319&lt;=Controls!$B$4,J319="rerun",K319=A319,L319=C319,M319=N319,O319=0,I319&gt;=G319,IF(ISNUMBER(P319),I319&gt;=P319,TRUE()))</f>
        <v>0</v>
      </c>
      <c r="U319" s="0" t="str">
        <f aca="false">IF(AND(S319,T319),"resolved",IF(S319,"claimed","open"))</f>
        <v>claimed</v>
      </c>
      <c r="V319" s="11" t="n">
        <f aca="false">ROUND((IF(U319="resolved",I319,IF(U319="claimed",H319,Controls!$B$4))-G319)*24,4)</f>
        <v>47.6</v>
      </c>
      <c r="W319" s="6" t="b">
        <f aca="false">INDEX(Owners!$E$4:$E$21,MATCH(D319,Owners!$A$4:$A$21,0))</f>
        <v>1</v>
      </c>
    </row>
    <row r="320" customFormat="false" ht="15" hidden="false" customHeight="false" outlineLevel="0" collapsed="false">
      <c r="A320" s="4" t="s">
        <v>622</v>
      </c>
      <c r="B320" s="4" t="s">
        <v>98</v>
      </c>
      <c r="C320" s="4" t="s">
        <v>211</v>
      </c>
      <c r="D320" s="4" t="s">
        <v>324</v>
      </c>
      <c r="E320" s="4" t="s">
        <v>204</v>
      </c>
      <c r="F320" s="4" t="s">
        <v>277</v>
      </c>
      <c r="G320" s="5" t="n">
        <v>46266.2416666667</v>
      </c>
      <c r="H320" s="5" t="n">
        <v>46270</v>
      </c>
      <c r="I320" s="5" t="n">
        <v>46270.4402777778</v>
      </c>
      <c r="J320" s="4" t="s">
        <v>284</v>
      </c>
      <c r="K320" s="4" t="s">
        <v>622</v>
      </c>
      <c r="L320" s="4" t="s">
        <v>211</v>
      </c>
      <c r="M320" s="4" t="n">
        <v>3</v>
      </c>
      <c r="N320" s="4" t="n">
        <v>3</v>
      </c>
      <c r="O320" s="4" t="n">
        <v>0</v>
      </c>
      <c r="P320" s="12"/>
      <c r="Q320" s="4" t="n">
        <v>0</v>
      </c>
      <c r="R320" s="0" t="str">
        <f aca="false">INDEX(Owners!$B$4:$B$21,MATCH(D320,Owners!$A$4:$A$21,0))</f>
        <v>Finance Systems</v>
      </c>
      <c r="S320" s="6" t="b">
        <f aca="false">AND(F320="closed",ISNUMBER(H320),H320&lt;=Controls!$B$4)</f>
        <v>1</v>
      </c>
      <c r="T320" s="6" t="b">
        <f aca="false">AND(ISNUMBER(I320),I320&lt;=Controls!$B$4,J320="rerun",K320=A320,L320=C320,M320=N320,O320=0,I320&gt;=G320,IF(ISNUMBER(P320),I320&gt;=P320,TRUE()))</f>
        <v>1</v>
      </c>
      <c r="U320" s="0" t="str">
        <f aca="false">IF(AND(S320,T320),"resolved",IF(S320,"claimed","open"))</f>
        <v>resolved</v>
      </c>
      <c r="V320" s="11" t="n">
        <f aca="false">ROUND((IF(U320="resolved",I320,IF(U320="claimed",H320,Controls!$B$4))-G320)*24,4)</f>
        <v>100.7667</v>
      </c>
      <c r="W320" s="6" t="b">
        <f aca="false">INDEX(Owners!$E$4:$E$21,MATCH(D320,Owners!$A$4:$A$21,0))</f>
        <v>1</v>
      </c>
    </row>
    <row r="321" customFormat="false" ht="15" hidden="false" customHeight="false" outlineLevel="0" collapsed="false">
      <c r="A321" s="4" t="s">
        <v>623</v>
      </c>
      <c r="B321" s="4" t="s">
        <v>102</v>
      </c>
      <c r="C321" s="4" t="s">
        <v>213</v>
      </c>
      <c r="D321" s="4" t="s">
        <v>290</v>
      </c>
      <c r="E321" s="4" t="s">
        <v>202</v>
      </c>
      <c r="F321" s="4" t="s">
        <v>277</v>
      </c>
      <c r="G321" s="5" t="n">
        <v>46267.0833333333</v>
      </c>
      <c r="H321" s="5" t="n">
        <v>46271.3791666667</v>
      </c>
      <c r="I321" s="5" t="n">
        <v>46271.6097222222</v>
      </c>
      <c r="J321" s="4" t="s">
        <v>284</v>
      </c>
      <c r="K321" s="4" t="s">
        <v>623</v>
      </c>
      <c r="L321" s="4" t="s">
        <v>213</v>
      </c>
      <c r="M321" s="4" t="n">
        <v>1</v>
      </c>
      <c r="N321" s="4" t="n">
        <v>1</v>
      </c>
      <c r="O321" s="4" t="n">
        <v>0</v>
      </c>
      <c r="P321" s="12"/>
      <c r="Q321" s="4" t="n">
        <v>0</v>
      </c>
      <c r="R321" s="0" t="str">
        <f aca="false">INDEX(Owners!$B$4:$B$21,MATCH(D321,Owners!$A$4:$A$21,0))</f>
        <v>Customer Data</v>
      </c>
      <c r="S321" s="6" t="b">
        <f aca="false">AND(F321="closed",ISNUMBER(H321),H321&lt;=Controls!$B$4)</f>
        <v>1</v>
      </c>
      <c r="T321" s="6" t="b">
        <f aca="false">AND(ISNUMBER(I321),I321&lt;=Controls!$B$4,J321="rerun",K321=A321,L321=C321,M321=N321,O321=0,I321&gt;=G321,IF(ISNUMBER(P321),I321&gt;=P321,TRUE()))</f>
        <v>1</v>
      </c>
      <c r="U321" s="0" t="str">
        <f aca="false">IF(AND(S321,T321),"resolved",IF(S321,"claimed","open"))</f>
        <v>resolved</v>
      </c>
      <c r="V321" s="11" t="n">
        <f aca="false">ROUND((IF(U321="resolved",I321,IF(U321="claimed",H321,Controls!$B$4))-G321)*24,4)</f>
        <v>108.6333</v>
      </c>
      <c r="W321" s="6" t="b">
        <f aca="false">INDEX(Owners!$E$4:$E$21,MATCH(D321,Owners!$A$4:$A$21,0))</f>
        <v>1</v>
      </c>
    </row>
    <row r="322" customFormat="false" ht="15" hidden="false" customHeight="false" outlineLevel="0" collapsed="false">
      <c r="A322" s="4" t="s">
        <v>624</v>
      </c>
      <c r="B322" s="4" t="s">
        <v>103</v>
      </c>
      <c r="C322" s="4" t="s">
        <v>218</v>
      </c>
      <c r="D322" s="4" t="s">
        <v>350</v>
      </c>
      <c r="E322" s="4" t="s">
        <v>202</v>
      </c>
      <c r="F322" s="4" t="s">
        <v>556</v>
      </c>
      <c r="G322" s="5" t="n">
        <v>46267.0979166667</v>
      </c>
      <c r="H322" s="12"/>
      <c r="I322" s="12"/>
      <c r="N322" s="4" t="n">
        <v>1</v>
      </c>
      <c r="P322" s="12"/>
      <c r="Q322" s="4" t="n">
        <v>0</v>
      </c>
      <c r="R322" s="0" t="str">
        <f aca="false">INDEX(Owners!$B$4:$B$21,MATCH(D322,Owners!$A$4:$A$21,0))</f>
        <v>Supply Chain</v>
      </c>
      <c r="S322" s="6" t="b">
        <f aca="false">AND(F322="closed",ISNUMBER(H322),H322&lt;=Controls!$B$4)</f>
        <v>0</v>
      </c>
      <c r="T322" s="6" t="b">
        <f aca="false">AND(ISNUMBER(I322),I322&lt;=Controls!$B$4,J322="rerun",K322=A322,L322=C322,M322=N322,O322=0,I322&gt;=G322,IF(ISNUMBER(P322),I322&gt;=P322,TRUE()))</f>
        <v>0</v>
      </c>
      <c r="U322" s="0" t="str">
        <f aca="false">IF(AND(S322,T322),"resolved",IF(S322,"claimed","open"))</f>
        <v>open</v>
      </c>
      <c r="V322" s="11" t="n">
        <f aca="false">ROUND((IF(U322="resolved",I322,IF(U322="claimed",H322,Controls!$B$4))-G322)*24,4)</f>
        <v>789.65</v>
      </c>
      <c r="W322" s="6" t="b">
        <f aca="false">INDEX(Owners!$E$4:$E$21,MATCH(D322,Owners!$A$4:$A$21,0))</f>
        <v>1</v>
      </c>
    </row>
    <row r="323" customFormat="false" ht="15" hidden="false" customHeight="false" outlineLevel="0" collapsed="false">
      <c r="A323" s="4" t="s">
        <v>625</v>
      </c>
      <c r="B323" s="4" t="s">
        <v>124</v>
      </c>
      <c r="C323" s="4" t="s">
        <v>248</v>
      </c>
      <c r="D323" s="4" t="s">
        <v>301</v>
      </c>
      <c r="E323" s="4" t="s">
        <v>202</v>
      </c>
      <c r="F323" s="4" t="s">
        <v>277</v>
      </c>
      <c r="G323" s="5" t="n">
        <v>46267.1423611111</v>
      </c>
      <c r="H323" s="5" t="n">
        <v>46267.4979166667</v>
      </c>
      <c r="I323" s="5" t="n">
        <v>46267.5319444445</v>
      </c>
      <c r="J323" s="4" t="s">
        <v>284</v>
      </c>
      <c r="K323" s="4" t="s">
        <v>625</v>
      </c>
      <c r="L323" s="4" t="s">
        <v>248</v>
      </c>
      <c r="M323" s="4" t="n">
        <v>1</v>
      </c>
      <c r="N323" s="4" t="n">
        <v>1</v>
      </c>
      <c r="O323" s="4" t="n">
        <v>0</v>
      </c>
      <c r="P323" s="12"/>
      <c r="Q323" s="4" t="n">
        <v>0</v>
      </c>
      <c r="R323" s="0" t="str">
        <f aca="false">INDEX(Owners!$B$4:$B$21,MATCH(D323,Owners!$A$4:$A$21,0))</f>
        <v>Data Platform</v>
      </c>
      <c r="S323" s="6" t="b">
        <f aca="false">AND(F323="closed",ISNUMBER(H323),H323&lt;=Controls!$B$4)</f>
        <v>1</v>
      </c>
      <c r="T323" s="6" t="b">
        <f aca="false">AND(ISNUMBER(I323),I323&lt;=Controls!$B$4,J323="rerun",K323=A323,L323=C323,M323=N323,O323=0,I323&gt;=G323,IF(ISNUMBER(P323),I323&gt;=P323,TRUE()))</f>
        <v>1</v>
      </c>
      <c r="U323" s="0" t="str">
        <f aca="false">IF(AND(S323,T323),"resolved",IF(S323,"claimed","open"))</f>
        <v>resolved</v>
      </c>
      <c r="V323" s="11" t="n">
        <f aca="false">ROUND((IF(U323="resolved",I323,IF(U323="claimed",H323,Controls!$B$4))-G323)*24,4)</f>
        <v>9.35</v>
      </c>
      <c r="W323" s="6" t="b">
        <f aca="false">INDEX(Owners!$E$4:$E$21,MATCH(D323,Owners!$A$4:$A$21,0))</f>
        <v>1</v>
      </c>
    </row>
    <row r="324" customFormat="false" ht="15" hidden="false" customHeight="false" outlineLevel="0" collapsed="false">
      <c r="A324" s="4" t="s">
        <v>626</v>
      </c>
      <c r="B324" s="4" t="s">
        <v>111</v>
      </c>
      <c r="C324" s="4" t="s">
        <v>229</v>
      </c>
      <c r="D324" s="4" t="s">
        <v>296</v>
      </c>
      <c r="E324" s="4" t="s">
        <v>202</v>
      </c>
      <c r="F324" s="4" t="s">
        <v>556</v>
      </c>
      <c r="G324" s="5" t="n">
        <v>46267.1645833333</v>
      </c>
      <c r="H324" s="12"/>
      <c r="I324" s="12"/>
      <c r="N324" s="4" t="n">
        <v>1</v>
      </c>
      <c r="P324" s="12"/>
      <c r="Q324" s="4" t="n">
        <v>0</v>
      </c>
      <c r="R324" s="0" t="str">
        <f aca="false">INDEX(Owners!$B$4:$B$21,MATCH(D324,Owners!$A$4:$A$21,0))</f>
        <v>Data Platform</v>
      </c>
      <c r="S324" s="6" t="b">
        <f aca="false">AND(F324="closed",ISNUMBER(H324),H324&lt;=Controls!$B$4)</f>
        <v>0</v>
      </c>
      <c r="T324" s="6" t="b">
        <f aca="false">AND(ISNUMBER(I324),I324&lt;=Controls!$B$4,J324="rerun",K324=A324,L324=C324,M324=N324,O324=0,I324&gt;=G324,IF(ISNUMBER(P324),I324&gt;=P324,TRUE()))</f>
        <v>0</v>
      </c>
      <c r="U324" s="0" t="str">
        <f aca="false">IF(AND(S324,T324),"resolved",IF(S324,"claimed","open"))</f>
        <v>open</v>
      </c>
      <c r="V324" s="11" t="n">
        <f aca="false">ROUND((IF(U324="resolved",I324,IF(U324="claimed",H324,Controls!$B$4))-G324)*24,4)</f>
        <v>788.05</v>
      </c>
      <c r="W324" s="6" t="b">
        <f aca="false">INDEX(Owners!$E$4:$E$21,MATCH(D324,Owners!$A$4:$A$21,0))</f>
        <v>1</v>
      </c>
    </row>
    <row r="325" customFormat="false" ht="15" hidden="false" customHeight="false" outlineLevel="0" collapsed="false">
      <c r="A325" s="4" t="s">
        <v>627</v>
      </c>
      <c r="B325" s="4" t="s">
        <v>130</v>
      </c>
      <c r="C325" s="4" t="s">
        <v>256</v>
      </c>
      <c r="D325" s="4" t="s">
        <v>553</v>
      </c>
      <c r="E325" s="4" t="s">
        <v>202</v>
      </c>
      <c r="F325" s="4" t="s">
        <v>277</v>
      </c>
      <c r="G325" s="5" t="n">
        <v>46267.1833333333</v>
      </c>
      <c r="H325" s="5" t="n">
        <v>46267.925</v>
      </c>
      <c r="I325" s="12"/>
      <c r="N325" s="4" t="n">
        <v>1</v>
      </c>
      <c r="P325" s="12"/>
      <c r="Q325" s="4" t="n">
        <v>0</v>
      </c>
      <c r="R325" s="0" t="str">
        <f aca="false">INDEX(Owners!$B$4:$B$21,MATCH(D325,Owners!$A$4:$A$21,0))</f>
        <v>Data Governance</v>
      </c>
      <c r="S325" s="6" t="b">
        <f aca="false">AND(F325="closed",ISNUMBER(H325),H325&lt;=Controls!$B$4)</f>
        <v>1</v>
      </c>
      <c r="T325" s="6" t="b">
        <f aca="false">AND(ISNUMBER(I325),I325&lt;=Controls!$B$4,J325="rerun",K325=A325,L325=C325,M325=N325,O325=0,I325&gt;=G325,IF(ISNUMBER(P325),I325&gt;=P325,TRUE()))</f>
        <v>0</v>
      </c>
      <c r="U325" s="0" t="str">
        <f aca="false">IF(AND(S325,T325),"resolved",IF(S325,"claimed","open"))</f>
        <v>claimed</v>
      </c>
      <c r="V325" s="11" t="n">
        <f aca="false">ROUND((IF(U325="resolved",I325,IF(U325="claimed",H325,Controls!$B$4))-G325)*24,4)</f>
        <v>17.8</v>
      </c>
      <c r="W325" s="6" t="b">
        <f aca="false">INDEX(Owners!$E$4:$E$21,MATCH(D325,Owners!$A$4:$A$21,0))</f>
        <v>1</v>
      </c>
    </row>
    <row r="326" customFormat="false" ht="15" hidden="false" customHeight="false" outlineLevel="0" collapsed="false">
      <c r="A326" s="4" t="s">
        <v>628</v>
      </c>
      <c r="B326" s="4" t="s">
        <v>131</v>
      </c>
      <c r="C326" s="4" t="s">
        <v>259</v>
      </c>
      <c r="D326" s="4" t="s">
        <v>283</v>
      </c>
      <c r="E326" s="4" t="s">
        <v>202</v>
      </c>
      <c r="F326" s="4" t="s">
        <v>277</v>
      </c>
      <c r="G326" s="5" t="n">
        <v>46267.2013888889</v>
      </c>
      <c r="H326" s="5" t="n">
        <v>46268.8888888889</v>
      </c>
      <c r="I326" s="5" t="n">
        <v>46268.9638888889</v>
      </c>
      <c r="J326" s="4" t="s">
        <v>284</v>
      </c>
      <c r="K326" s="4" t="s">
        <v>628</v>
      </c>
      <c r="L326" s="4" t="s">
        <v>259</v>
      </c>
      <c r="M326" s="4" t="n">
        <v>1</v>
      </c>
      <c r="N326" s="4" t="n">
        <v>1</v>
      </c>
      <c r="O326" s="4" t="n">
        <v>0</v>
      </c>
      <c r="P326" s="12"/>
      <c r="Q326" s="4" t="n">
        <v>0</v>
      </c>
      <c r="R326" s="0" t="str">
        <f aca="false">INDEX(Owners!$B$4:$B$21,MATCH(D326,Owners!$A$4:$A$21,0))</f>
        <v>Data Platform</v>
      </c>
      <c r="S326" s="6" t="b">
        <f aca="false">AND(F326="closed",ISNUMBER(H326),H326&lt;=Controls!$B$4)</f>
        <v>1</v>
      </c>
      <c r="T326" s="6" t="b">
        <f aca="false">AND(ISNUMBER(I326),I326&lt;=Controls!$B$4,J326="rerun",K326=A326,L326=C326,M326=N326,O326=0,I326&gt;=G326,IF(ISNUMBER(P326),I326&gt;=P326,TRUE()))</f>
        <v>1</v>
      </c>
      <c r="U326" s="0" t="str">
        <f aca="false">IF(AND(S326,T326),"resolved",IF(S326,"claimed","open"))</f>
        <v>resolved</v>
      </c>
      <c r="V326" s="11" t="n">
        <f aca="false">ROUND((IF(U326="resolved",I326,IF(U326="claimed",H326,Controls!$B$4))-G326)*24,4)</f>
        <v>42.3</v>
      </c>
      <c r="W326" s="6" t="b">
        <f aca="false">INDEX(Owners!$E$4:$E$21,MATCH(D326,Owners!$A$4:$A$21,0))</f>
        <v>1</v>
      </c>
    </row>
    <row r="327" customFormat="false" ht="15" hidden="false" customHeight="false" outlineLevel="0" collapsed="false">
      <c r="A327" s="4" t="s">
        <v>629</v>
      </c>
      <c r="B327" s="4" t="s">
        <v>112</v>
      </c>
      <c r="C327" s="4" t="s">
        <v>231</v>
      </c>
      <c r="D327" s="4" t="s">
        <v>320</v>
      </c>
      <c r="E327" s="4" t="s">
        <v>210</v>
      </c>
      <c r="F327" s="4" t="s">
        <v>556</v>
      </c>
      <c r="G327" s="5" t="n">
        <v>46267.2277777778</v>
      </c>
      <c r="H327" s="12"/>
      <c r="I327" s="12"/>
      <c r="N327" s="4" t="n">
        <v>1</v>
      </c>
      <c r="P327" s="12"/>
      <c r="Q327" s="4" t="n">
        <v>0</v>
      </c>
      <c r="R327" s="0" t="str">
        <f aca="false">INDEX(Owners!$B$4:$B$21,MATCH(D327,Owners!$A$4:$A$21,0))</f>
        <v>Data Governance</v>
      </c>
      <c r="S327" s="6" t="b">
        <f aca="false">AND(F327="closed",ISNUMBER(H327),H327&lt;=Controls!$B$4)</f>
        <v>0</v>
      </c>
      <c r="T327" s="6" t="b">
        <f aca="false">AND(ISNUMBER(I327),I327&lt;=Controls!$B$4,J327="rerun",K327=A327,L327=C327,M327=N327,O327=0,I327&gt;=G327,IF(ISNUMBER(P327),I327&gt;=P327,TRUE()))</f>
        <v>0</v>
      </c>
      <c r="U327" s="0" t="str">
        <f aca="false">IF(AND(S327,T327),"resolved",IF(S327,"claimed","open"))</f>
        <v>open</v>
      </c>
      <c r="V327" s="11" t="n">
        <f aca="false">ROUND((IF(U327="resolved",I327,IF(U327="claimed",H327,Controls!$B$4))-G327)*24,4)</f>
        <v>786.5333</v>
      </c>
      <c r="W327" s="6" t="b">
        <f aca="false">INDEX(Owners!$E$4:$E$21,MATCH(D327,Owners!$A$4:$A$21,0))</f>
        <v>1</v>
      </c>
    </row>
    <row r="328" customFormat="false" ht="15" hidden="false" customHeight="false" outlineLevel="0" collapsed="false">
      <c r="A328" s="4" t="s">
        <v>630</v>
      </c>
      <c r="B328" s="4" t="s">
        <v>117</v>
      </c>
      <c r="C328" s="4" t="s">
        <v>241</v>
      </c>
      <c r="D328" s="4" t="s">
        <v>288</v>
      </c>
      <c r="E328" s="4" t="s">
        <v>202</v>
      </c>
      <c r="F328" s="4" t="s">
        <v>562</v>
      </c>
      <c r="G328" s="5" t="n">
        <v>46267.2368055556</v>
      </c>
      <c r="H328" s="12"/>
      <c r="I328" s="12"/>
      <c r="N328" s="4" t="n">
        <v>1</v>
      </c>
      <c r="P328" s="12"/>
      <c r="Q328" s="4" t="n">
        <v>0</v>
      </c>
      <c r="R328" s="0" t="str">
        <f aca="false">INDEX(Owners!$B$4:$B$21,MATCH(D328,Owners!$A$4:$A$21,0))</f>
        <v>Support Operations</v>
      </c>
      <c r="S328" s="6" t="b">
        <f aca="false">AND(F328="closed",ISNUMBER(H328),H328&lt;=Controls!$B$4)</f>
        <v>0</v>
      </c>
      <c r="T328" s="6" t="b">
        <f aca="false">AND(ISNUMBER(I328),I328&lt;=Controls!$B$4,J328="rerun",K328=A328,L328=C328,M328=N328,O328=0,I328&gt;=G328,IF(ISNUMBER(P328),I328&gt;=P328,TRUE()))</f>
        <v>0</v>
      </c>
      <c r="U328" s="0" t="str">
        <f aca="false">IF(AND(S328,T328),"resolved",IF(S328,"claimed","open"))</f>
        <v>open</v>
      </c>
      <c r="V328" s="11" t="n">
        <f aca="false">ROUND((IF(U328="resolved",I328,IF(U328="claimed",H328,Controls!$B$4))-G328)*24,4)</f>
        <v>786.3167</v>
      </c>
      <c r="W328" s="6" t="b">
        <f aca="false">INDEX(Owners!$E$4:$E$21,MATCH(D328,Owners!$A$4:$A$21,0))</f>
        <v>1</v>
      </c>
    </row>
    <row r="329" customFormat="false" ht="15" hidden="false" customHeight="false" outlineLevel="0" collapsed="false">
      <c r="A329" s="4" t="s">
        <v>631</v>
      </c>
      <c r="B329" s="4" t="s">
        <v>98</v>
      </c>
      <c r="C329" s="4" t="s">
        <v>323</v>
      </c>
      <c r="D329" s="4" t="s">
        <v>324</v>
      </c>
      <c r="E329" s="4" t="s">
        <v>202</v>
      </c>
      <c r="F329" s="4" t="s">
        <v>277</v>
      </c>
      <c r="G329" s="5" t="n">
        <v>46268.0840277778</v>
      </c>
      <c r="H329" s="5" t="n">
        <v>46271.5402777778</v>
      </c>
      <c r="I329" s="12"/>
      <c r="N329" s="4" t="n">
        <v>1</v>
      </c>
      <c r="P329" s="12"/>
      <c r="Q329" s="4" t="n">
        <v>0</v>
      </c>
      <c r="R329" s="0" t="str">
        <f aca="false">INDEX(Owners!$B$4:$B$21,MATCH(D329,Owners!$A$4:$A$21,0))</f>
        <v>Finance Systems</v>
      </c>
      <c r="S329" s="6" t="b">
        <f aca="false">AND(F329="closed",ISNUMBER(H329),H329&lt;=Controls!$B$4)</f>
        <v>1</v>
      </c>
      <c r="T329" s="6" t="b">
        <f aca="false">AND(ISNUMBER(I329),I329&lt;=Controls!$B$4,J329="rerun",K329=A329,L329=C329,M329=N329,O329=0,I329&gt;=G329,IF(ISNUMBER(P329),I329&gt;=P329,TRUE()))</f>
        <v>0</v>
      </c>
      <c r="U329" s="0" t="str">
        <f aca="false">IF(AND(S329,T329),"resolved",IF(S329,"claimed","open"))</f>
        <v>claimed</v>
      </c>
      <c r="V329" s="11" t="n">
        <f aca="false">ROUND((IF(U329="resolved",I329,IF(U329="claimed",H329,Controls!$B$4))-G329)*24,4)</f>
        <v>82.95</v>
      </c>
      <c r="W329" s="6" t="b">
        <f aca="false">INDEX(Owners!$E$4:$E$21,MATCH(D329,Owners!$A$4:$A$21,0))</f>
        <v>1</v>
      </c>
    </row>
    <row r="330" customFormat="false" ht="15" hidden="false" customHeight="false" outlineLevel="0" collapsed="false">
      <c r="A330" s="4" t="s">
        <v>632</v>
      </c>
      <c r="B330" s="4" t="s">
        <v>97</v>
      </c>
      <c r="C330" s="4" t="s">
        <v>208</v>
      </c>
      <c r="D330" s="4" t="s">
        <v>286</v>
      </c>
      <c r="E330" s="4" t="s">
        <v>202</v>
      </c>
      <c r="F330" s="4" t="s">
        <v>556</v>
      </c>
      <c r="G330" s="5" t="n">
        <v>46268.1194444444</v>
      </c>
      <c r="H330" s="12"/>
      <c r="I330" s="12"/>
      <c r="N330" s="4" t="n">
        <v>2</v>
      </c>
      <c r="P330" s="12"/>
      <c r="Q330" s="4" t="n">
        <v>0</v>
      </c>
      <c r="R330" s="0" t="str">
        <f aca="false">INDEX(Owners!$B$4:$B$21,MATCH(D330,Owners!$A$4:$A$21,0))</f>
        <v>Finance Systems</v>
      </c>
      <c r="S330" s="6" t="b">
        <f aca="false">AND(F330="closed",ISNUMBER(H330),H330&lt;=Controls!$B$4)</f>
        <v>0</v>
      </c>
      <c r="T330" s="6" t="b">
        <f aca="false">AND(ISNUMBER(I330),I330&lt;=Controls!$B$4,J330="rerun",K330=A330,L330=C330,M330=N330,O330=0,I330&gt;=G330,IF(ISNUMBER(P330),I330&gt;=P330,TRUE()))</f>
        <v>0</v>
      </c>
      <c r="U330" s="0" t="str">
        <f aca="false">IF(AND(S330,T330),"resolved",IF(S330,"claimed","open"))</f>
        <v>open</v>
      </c>
      <c r="V330" s="11" t="n">
        <f aca="false">ROUND((IF(U330="resolved",I330,IF(U330="claimed",H330,Controls!$B$4))-G330)*24,4)</f>
        <v>765.1333</v>
      </c>
      <c r="W330" s="6" t="b">
        <f aca="false">INDEX(Owners!$E$4:$E$21,MATCH(D330,Owners!$A$4:$A$21,0))</f>
        <v>0</v>
      </c>
    </row>
    <row r="331" customFormat="false" ht="15" hidden="false" customHeight="false" outlineLevel="0" collapsed="false">
      <c r="A331" s="4" t="s">
        <v>633</v>
      </c>
      <c r="B331" s="4" t="s">
        <v>122</v>
      </c>
      <c r="C331" s="4" t="s">
        <v>245</v>
      </c>
      <c r="D331" s="4" t="s">
        <v>350</v>
      </c>
      <c r="E331" s="4" t="s">
        <v>204</v>
      </c>
      <c r="F331" s="4" t="s">
        <v>556</v>
      </c>
      <c r="G331" s="5" t="n">
        <v>46268.1291666667</v>
      </c>
      <c r="H331" s="12"/>
      <c r="I331" s="12"/>
      <c r="N331" s="4" t="n">
        <v>1</v>
      </c>
      <c r="P331" s="12"/>
      <c r="Q331" s="4" t="n">
        <v>0</v>
      </c>
      <c r="R331" s="0" t="str">
        <f aca="false">INDEX(Owners!$B$4:$B$21,MATCH(D331,Owners!$A$4:$A$21,0))</f>
        <v>Supply Chain</v>
      </c>
      <c r="S331" s="6" t="b">
        <f aca="false">AND(F331="closed",ISNUMBER(H331),H331&lt;=Controls!$B$4)</f>
        <v>0</v>
      </c>
      <c r="T331" s="6" t="b">
        <f aca="false">AND(ISNUMBER(I331),I331&lt;=Controls!$B$4,J331="rerun",K331=A331,L331=C331,M331=N331,O331=0,I331&gt;=G331,IF(ISNUMBER(P331),I331&gt;=P331,TRUE()))</f>
        <v>0</v>
      </c>
      <c r="U331" s="0" t="str">
        <f aca="false">IF(AND(S331,T331),"resolved",IF(S331,"claimed","open"))</f>
        <v>open</v>
      </c>
      <c r="V331" s="11" t="n">
        <f aca="false">ROUND((IF(U331="resolved",I331,IF(U331="claimed",H331,Controls!$B$4))-G331)*24,4)</f>
        <v>764.9</v>
      </c>
      <c r="W331" s="6" t="b">
        <f aca="false">INDEX(Owners!$E$4:$E$21,MATCH(D331,Owners!$A$4:$A$21,0))</f>
        <v>1</v>
      </c>
    </row>
    <row r="332" customFormat="false" ht="15" hidden="false" customHeight="false" outlineLevel="0" collapsed="false">
      <c r="A332" s="4" t="s">
        <v>634</v>
      </c>
      <c r="B332" s="4" t="s">
        <v>92</v>
      </c>
      <c r="C332" s="4" t="s">
        <v>201</v>
      </c>
      <c r="D332" s="4" t="s">
        <v>330</v>
      </c>
      <c r="E332" s="4" t="s">
        <v>202</v>
      </c>
      <c r="F332" s="4" t="s">
        <v>277</v>
      </c>
      <c r="G332" s="5" t="n">
        <v>46268.1465277778</v>
      </c>
      <c r="H332" s="5" t="n">
        <v>46273.5902777778</v>
      </c>
      <c r="I332" s="5" t="n">
        <v>46273.8861111111</v>
      </c>
      <c r="J332" s="4" t="s">
        <v>284</v>
      </c>
      <c r="K332" s="4" t="s">
        <v>634</v>
      </c>
      <c r="L332" s="4" t="s">
        <v>201</v>
      </c>
      <c r="M332" s="4" t="n">
        <v>1</v>
      </c>
      <c r="N332" s="4" t="n">
        <v>1</v>
      </c>
      <c r="O332" s="4" t="n">
        <v>0</v>
      </c>
      <c r="P332" s="12"/>
      <c r="Q332" s="4" t="n">
        <v>0</v>
      </c>
      <c r="R332" s="0" t="str">
        <f aca="false">INDEX(Owners!$B$4:$B$21,MATCH(D332,Owners!$A$4:$A$21,0))</f>
        <v>Supply Chain</v>
      </c>
      <c r="S332" s="6" t="b">
        <f aca="false">AND(F332="closed",ISNUMBER(H332),H332&lt;=Controls!$B$4)</f>
        <v>1</v>
      </c>
      <c r="T332" s="6" t="b">
        <f aca="false">AND(ISNUMBER(I332),I332&lt;=Controls!$B$4,J332="rerun",K332=A332,L332=C332,M332=N332,O332=0,I332&gt;=G332,IF(ISNUMBER(P332),I332&gt;=P332,TRUE()))</f>
        <v>1</v>
      </c>
      <c r="U332" s="0" t="str">
        <f aca="false">IF(AND(S332,T332),"resolved",IF(S332,"claimed","open"))</f>
        <v>resolved</v>
      </c>
      <c r="V332" s="11" t="n">
        <f aca="false">ROUND((IF(U332="resolved",I332,IF(U332="claimed",H332,Controls!$B$4))-G332)*24,4)</f>
        <v>137.75</v>
      </c>
      <c r="W332" s="6" t="b">
        <f aca="false">INDEX(Owners!$E$4:$E$21,MATCH(D332,Owners!$A$4:$A$21,0))</f>
        <v>1</v>
      </c>
    </row>
    <row r="333" customFormat="false" ht="15" hidden="false" customHeight="false" outlineLevel="0" collapsed="false">
      <c r="A333" s="4" t="s">
        <v>635</v>
      </c>
      <c r="B333" s="4" t="s">
        <v>128</v>
      </c>
      <c r="C333" s="4" t="s">
        <v>254</v>
      </c>
      <c r="D333" s="4" t="s">
        <v>283</v>
      </c>
      <c r="E333" s="4" t="s">
        <v>202</v>
      </c>
      <c r="F333" s="4" t="s">
        <v>562</v>
      </c>
      <c r="G333" s="5" t="n">
        <v>46268.9930555556</v>
      </c>
      <c r="H333" s="12"/>
      <c r="I333" s="12"/>
      <c r="N333" s="4" t="n">
        <v>1</v>
      </c>
      <c r="P333" s="12"/>
      <c r="Q333" s="4" t="n">
        <v>0</v>
      </c>
      <c r="R333" s="0" t="str">
        <f aca="false">INDEX(Owners!$B$4:$B$21,MATCH(D333,Owners!$A$4:$A$21,0))</f>
        <v>Data Platform</v>
      </c>
      <c r="S333" s="6" t="b">
        <f aca="false">AND(F333="closed",ISNUMBER(H333),H333&lt;=Controls!$B$4)</f>
        <v>0</v>
      </c>
      <c r="T333" s="6" t="b">
        <f aca="false">AND(ISNUMBER(I333),I333&lt;=Controls!$B$4,J333="rerun",K333=A333,L333=C333,M333=N333,O333=0,I333&gt;=G333,IF(ISNUMBER(P333),I333&gt;=P333,TRUE()))</f>
        <v>0</v>
      </c>
      <c r="U333" s="0" t="str">
        <f aca="false">IF(AND(S333,T333),"resolved",IF(S333,"claimed","open"))</f>
        <v>open</v>
      </c>
      <c r="V333" s="11" t="n">
        <f aca="false">ROUND((IF(U333="resolved",I333,IF(U333="claimed",H333,Controls!$B$4))-G333)*24,4)</f>
        <v>744.1667</v>
      </c>
      <c r="W333" s="6" t="b">
        <f aca="false">INDEX(Owners!$E$4:$E$21,MATCH(D333,Owners!$A$4:$A$21,0))</f>
        <v>1</v>
      </c>
    </row>
    <row r="334" customFormat="false" ht="15" hidden="false" customHeight="false" outlineLevel="0" collapsed="false">
      <c r="A334" s="4" t="s">
        <v>636</v>
      </c>
      <c r="B334" s="4" t="s">
        <v>127</v>
      </c>
      <c r="C334" s="4" t="s">
        <v>252</v>
      </c>
      <c r="D334" s="4" t="s">
        <v>358</v>
      </c>
      <c r="E334" s="4" t="s">
        <v>204</v>
      </c>
      <c r="F334" s="4" t="s">
        <v>562</v>
      </c>
      <c r="G334" s="5" t="n">
        <v>46269.0888888889</v>
      </c>
      <c r="H334" s="12"/>
      <c r="I334" s="12"/>
      <c r="N334" s="4" t="n">
        <v>1</v>
      </c>
      <c r="P334" s="12"/>
      <c r="Q334" s="4" t="n">
        <v>0</v>
      </c>
      <c r="R334" s="0" t="str">
        <f aca="false">INDEX(Owners!$B$4:$B$21,MATCH(D334,Owners!$A$4:$A$21,0))</f>
        <v>Finance Systems</v>
      </c>
      <c r="S334" s="6" t="b">
        <f aca="false">AND(F334="closed",ISNUMBER(H334),H334&lt;=Controls!$B$4)</f>
        <v>0</v>
      </c>
      <c r="T334" s="6" t="b">
        <f aca="false">AND(ISNUMBER(I334),I334&lt;=Controls!$B$4,J334="rerun",K334=A334,L334=C334,M334=N334,O334=0,I334&gt;=G334,IF(ISNUMBER(P334),I334&gt;=P334,TRUE()))</f>
        <v>0</v>
      </c>
      <c r="U334" s="0" t="str">
        <f aca="false">IF(AND(S334,T334),"resolved",IF(S334,"claimed","open"))</f>
        <v>open</v>
      </c>
      <c r="V334" s="11" t="n">
        <f aca="false">ROUND((IF(U334="resolved",I334,IF(U334="claimed",H334,Controls!$B$4))-G334)*24,4)</f>
        <v>741.8667</v>
      </c>
      <c r="W334" s="6" t="b">
        <f aca="false">INDEX(Owners!$E$4:$E$21,MATCH(D334,Owners!$A$4:$A$21,0))</f>
        <v>1</v>
      </c>
    </row>
    <row r="335" customFormat="false" ht="15" hidden="false" customHeight="false" outlineLevel="0" collapsed="false">
      <c r="A335" s="4" t="s">
        <v>637</v>
      </c>
      <c r="B335" s="4" t="s">
        <v>102</v>
      </c>
      <c r="C335" s="4" t="s">
        <v>217</v>
      </c>
      <c r="D335" s="4" t="s">
        <v>290</v>
      </c>
      <c r="E335" s="4" t="s">
        <v>204</v>
      </c>
      <c r="F335" s="4" t="s">
        <v>562</v>
      </c>
      <c r="G335" s="5" t="n">
        <v>46269.0923611111</v>
      </c>
      <c r="H335" s="12"/>
      <c r="I335" s="12"/>
      <c r="N335" s="4" t="n">
        <v>1</v>
      </c>
      <c r="P335" s="12"/>
      <c r="Q335" s="4" t="n">
        <v>0</v>
      </c>
      <c r="R335" s="0" t="str">
        <f aca="false">INDEX(Owners!$B$4:$B$21,MATCH(D335,Owners!$A$4:$A$21,0))</f>
        <v>Customer Data</v>
      </c>
      <c r="S335" s="6" t="b">
        <f aca="false">AND(F335="closed",ISNUMBER(H335),H335&lt;=Controls!$B$4)</f>
        <v>0</v>
      </c>
      <c r="T335" s="6" t="b">
        <f aca="false">AND(ISNUMBER(I335),I335&lt;=Controls!$B$4,J335="rerun",K335=A335,L335=C335,M335=N335,O335=0,I335&gt;=G335,IF(ISNUMBER(P335),I335&gt;=P335,TRUE()))</f>
        <v>0</v>
      </c>
      <c r="U335" s="0" t="str">
        <f aca="false">IF(AND(S335,T335),"resolved",IF(S335,"claimed","open"))</f>
        <v>open</v>
      </c>
      <c r="V335" s="11" t="n">
        <f aca="false">ROUND((IF(U335="resolved",I335,IF(U335="claimed",H335,Controls!$B$4))-G335)*24,4)</f>
        <v>741.7833</v>
      </c>
      <c r="W335" s="6" t="b">
        <f aca="false">INDEX(Owners!$E$4:$E$21,MATCH(D335,Owners!$A$4:$A$21,0))</f>
        <v>1</v>
      </c>
    </row>
    <row r="336" customFormat="false" ht="15" hidden="false" customHeight="false" outlineLevel="0" collapsed="false">
      <c r="A336" s="4" t="s">
        <v>638</v>
      </c>
      <c r="B336" s="4" t="s">
        <v>124</v>
      </c>
      <c r="C336" s="4" t="s">
        <v>248</v>
      </c>
      <c r="D336" s="4" t="s">
        <v>301</v>
      </c>
      <c r="E336" s="4" t="s">
        <v>202</v>
      </c>
      <c r="F336" s="4" t="s">
        <v>556</v>
      </c>
      <c r="G336" s="5" t="n">
        <v>46269.1423611111</v>
      </c>
      <c r="H336" s="12"/>
      <c r="I336" s="12"/>
      <c r="N336" s="4" t="n">
        <v>1</v>
      </c>
      <c r="P336" s="12"/>
      <c r="Q336" s="4" t="n">
        <v>0</v>
      </c>
      <c r="R336" s="0" t="str">
        <f aca="false">INDEX(Owners!$B$4:$B$21,MATCH(D336,Owners!$A$4:$A$21,0))</f>
        <v>Data Platform</v>
      </c>
      <c r="S336" s="6" t="b">
        <f aca="false">AND(F336="closed",ISNUMBER(H336),H336&lt;=Controls!$B$4)</f>
        <v>0</v>
      </c>
      <c r="T336" s="6" t="b">
        <f aca="false">AND(ISNUMBER(I336),I336&lt;=Controls!$B$4,J336="rerun",K336=A336,L336=C336,M336=N336,O336=0,I336&gt;=G336,IF(ISNUMBER(P336),I336&gt;=P336,TRUE()))</f>
        <v>0</v>
      </c>
      <c r="U336" s="0" t="str">
        <f aca="false">IF(AND(S336,T336),"resolved",IF(S336,"claimed","open"))</f>
        <v>open</v>
      </c>
      <c r="V336" s="11" t="n">
        <f aca="false">ROUND((IF(U336="resolved",I336,IF(U336="claimed",H336,Controls!$B$4))-G336)*24,4)</f>
        <v>740.5833</v>
      </c>
      <c r="W336" s="6" t="b">
        <f aca="false">INDEX(Owners!$E$4:$E$21,MATCH(D336,Owners!$A$4:$A$21,0))</f>
        <v>1</v>
      </c>
    </row>
    <row r="337" customFormat="false" ht="15" hidden="false" customHeight="false" outlineLevel="0" collapsed="false">
      <c r="A337" s="4" t="s">
        <v>639</v>
      </c>
      <c r="B337" s="4" t="s">
        <v>109</v>
      </c>
      <c r="C337" s="4" t="s">
        <v>307</v>
      </c>
      <c r="D337" s="4" t="s">
        <v>292</v>
      </c>
      <c r="E337" s="4" t="s">
        <v>202</v>
      </c>
      <c r="F337" s="4" t="s">
        <v>277</v>
      </c>
      <c r="G337" s="5" t="n">
        <v>46269.1555555556</v>
      </c>
      <c r="H337" s="5" t="n">
        <v>46270.0909722222</v>
      </c>
      <c r="I337" s="5" t="n">
        <v>46270.2347222222</v>
      </c>
      <c r="J337" s="4" t="s">
        <v>284</v>
      </c>
      <c r="K337" s="4" t="s">
        <v>639</v>
      </c>
      <c r="L337" s="4" t="s">
        <v>307</v>
      </c>
      <c r="M337" s="4" t="n">
        <v>1</v>
      </c>
      <c r="N337" s="4" t="n">
        <v>1</v>
      </c>
      <c r="O337" s="4" t="n">
        <v>0</v>
      </c>
      <c r="P337" s="12"/>
      <c r="Q337" s="4" t="n">
        <v>0</v>
      </c>
      <c r="R337" s="0" t="str">
        <f aca="false">INDEX(Owners!$B$4:$B$21,MATCH(D337,Owners!$A$4:$A$21,0))</f>
        <v>Support Operations</v>
      </c>
      <c r="S337" s="6" t="b">
        <f aca="false">AND(F337="closed",ISNUMBER(H337),H337&lt;=Controls!$B$4)</f>
        <v>1</v>
      </c>
      <c r="T337" s="6" t="b">
        <f aca="false">AND(ISNUMBER(I337),I337&lt;=Controls!$B$4,J337="rerun",K337=A337,L337=C337,M337=N337,O337=0,I337&gt;=G337,IF(ISNUMBER(P337),I337&gt;=P337,TRUE()))</f>
        <v>1</v>
      </c>
      <c r="U337" s="0" t="str">
        <f aca="false">IF(AND(S337,T337),"resolved",IF(S337,"claimed","open"))</f>
        <v>resolved</v>
      </c>
      <c r="V337" s="11" t="n">
        <f aca="false">ROUND((IF(U337="resolved",I337,IF(U337="claimed",H337,Controls!$B$4))-G337)*24,4)</f>
        <v>25.9</v>
      </c>
      <c r="W337" s="6" t="b">
        <f aca="false">INDEX(Owners!$E$4:$E$21,MATCH(D337,Owners!$A$4:$A$21,0))</f>
        <v>1</v>
      </c>
    </row>
    <row r="338" customFormat="false" ht="15" hidden="false" customHeight="false" outlineLevel="0" collapsed="false">
      <c r="A338" s="4" t="s">
        <v>640</v>
      </c>
      <c r="B338" s="4" t="s">
        <v>119</v>
      </c>
      <c r="C338" s="4" t="s">
        <v>243</v>
      </c>
      <c r="D338" s="4" t="s">
        <v>292</v>
      </c>
      <c r="E338" s="4" t="s">
        <v>202</v>
      </c>
      <c r="F338" s="4" t="s">
        <v>277</v>
      </c>
      <c r="G338" s="5" t="n">
        <v>46269.1604166667</v>
      </c>
      <c r="H338" s="5" t="n">
        <v>46271.0041666667</v>
      </c>
      <c r="I338" s="5" t="n">
        <v>46271.5409722222</v>
      </c>
      <c r="J338" s="4" t="s">
        <v>284</v>
      </c>
      <c r="K338" s="4" t="s">
        <v>640</v>
      </c>
      <c r="L338" s="4" t="s">
        <v>243</v>
      </c>
      <c r="M338" s="4" t="n">
        <v>1</v>
      </c>
      <c r="N338" s="4" t="n">
        <v>1</v>
      </c>
      <c r="O338" s="4" t="n">
        <v>0</v>
      </c>
      <c r="P338" s="12"/>
      <c r="Q338" s="4" t="n">
        <v>0</v>
      </c>
      <c r="R338" s="0" t="str">
        <f aca="false">INDEX(Owners!$B$4:$B$21,MATCH(D338,Owners!$A$4:$A$21,0))</f>
        <v>Support Operations</v>
      </c>
      <c r="S338" s="6" t="b">
        <f aca="false">AND(F338="closed",ISNUMBER(H338),H338&lt;=Controls!$B$4)</f>
        <v>1</v>
      </c>
      <c r="T338" s="6" t="b">
        <f aca="false">AND(ISNUMBER(I338),I338&lt;=Controls!$B$4,J338="rerun",K338=A338,L338=C338,M338=N338,O338=0,I338&gt;=G338,IF(ISNUMBER(P338),I338&gt;=P338,TRUE()))</f>
        <v>1</v>
      </c>
      <c r="U338" s="0" t="str">
        <f aca="false">IF(AND(S338,T338),"resolved",IF(S338,"claimed","open"))</f>
        <v>resolved</v>
      </c>
      <c r="V338" s="11" t="n">
        <f aca="false">ROUND((IF(U338="resolved",I338,IF(U338="claimed",H338,Controls!$B$4))-G338)*24,4)</f>
        <v>57.1333</v>
      </c>
      <c r="W338" s="6" t="b">
        <f aca="false">INDEX(Owners!$E$4:$E$21,MATCH(D338,Owners!$A$4:$A$21,0))</f>
        <v>1</v>
      </c>
    </row>
    <row r="339" customFormat="false" ht="15" hidden="false" customHeight="false" outlineLevel="0" collapsed="false">
      <c r="A339" s="4" t="s">
        <v>641</v>
      </c>
      <c r="B339" s="4" t="s">
        <v>125</v>
      </c>
      <c r="C339" s="4" t="s">
        <v>250</v>
      </c>
      <c r="D339" s="4" t="s">
        <v>334</v>
      </c>
      <c r="E339" s="4" t="s">
        <v>202</v>
      </c>
      <c r="F339" s="4" t="s">
        <v>277</v>
      </c>
      <c r="G339" s="5" t="n">
        <v>46269.1875</v>
      </c>
      <c r="H339" s="5" t="n">
        <v>46269.7395833333</v>
      </c>
      <c r="I339" s="12"/>
      <c r="N339" s="4" t="n">
        <v>1</v>
      </c>
      <c r="P339" s="12"/>
      <c r="Q339" s="4" t="n">
        <v>0</v>
      </c>
      <c r="R339" s="0" t="str">
        <f aca="false">INDEX(Owners!$B$4:$B$21,MATCH(D339,Owners!$A$4:$A$21,0))</f>
        <v>Supply Chain</v>
      </c>
      <c r="S339" s="6" t="b">
        <f aca="false">AND(F339="closed",ISNUMBER(H339),H339&lt;=Controls!$B$4)</f>
        <v>1</v>
      </c>
      <c r="T339" s="6" t="b">
        <f aca="false">AND(ISNUMBER(I339),I339&lt;=Controls!$B$4,J339="rerun",K339=A339,L339=C339,M339=N339,O339=0,I339&gt;=G339,IF(ISNUMBER(P339),I339&gt;=P339,TRUE()))</f>
        <v>0</v>
      </c>
      <c r="U339" s="0" t="str">
        <f aca="false">IF(AND(S339,T339),"resolved",IF(S339,"claimed","open"))</f>
        <v>claimed</v>
      </c>
      <c r="V339" s="11" t="n">
        <f aca="false">ROUND((IF(U339="resolved",I339,IF(U339="claimed",H339,Controls!$B$4))-G339)*24,4)</f>
        <v>13.25</v>
      </c>
      <c r="W339" s="6" t="b">
        <f aca="false">INDEX(Owners!$E$4:$E$21,MATCH(D339,Owners!$A$4:$A$21,0))</f>
        <v>0</v>
      </c>
    </row>
    <row r="340" customFormat="false" ht="15" hidden="false" customHeight="false" outlineLevel="0" collapsed="false">
      <c r="A340" s="4" t="s">
        <v>642</v>
      </c>
      <c r="B340" s="4" t="s">
        <v>131</v>
      </c>
      <c r="C340" s="4" t="s">
        <v>257</v>
      </c>
      <c r="D340" s="4" t="s">
        <v>283</v>
      </c>
      <c r="E340" s="4" t="s">
        <v>202</v>
      </c>
      <c r="F340" s="4" t="s">
        <v>277</v>
      </c>
      <c r="G340" s="5" t="n">
        <v>46269.1923611111</v>
      </c>
      <c r="H340" s="5" t="n">
        <v>46269.6465277778</v>
      </c>
      <c r="I340" s="5" t="n">
        <v>46269.76875</v>
      </c>
      <c r="J340" s="4" t="s">
        <v>284</v>
      </c>
      <c r="K340" s="4" t="s">
        <v>642</v>
      </c>
      <c r="L340" s="4" t="s">
        <v>257</v>
      </c>
      <c r="M340" s="4" t="n">
        <v>1</v>
      </c>
      <c r="N340" s="4" t="n">
        <v>1</v>
      </c>
      <c r="O340" s="4" t="n">
        <v>0</v>
      </c>
      <c r="P340" s="12"/>
      <c r="Q340" s="4" t="n">
        <v>0</v>
      </c>
      <c r="R340" s="0" t="str">
        <f aca="false">INDEX(Owners!$B$4:$B$21,MATCH(D340,Owners!$A$4:$A$21,0))</f>
        <v>Data Platform</v>
      </c>
      <c r="S340" s="6" t="b">
        <f aca="false">AND(F340="closed",ISNUMBER(H340),H340&lt;=Controls!$B$4)</f>
        <v>1</v>
      </c>
      <c r="T340" s="6" t="b">
        <f aca="false">AND(ISNUMBER(I340),I340&lt;=Controls!$B$4,J340="rerun",K340=A340,L340=C340,M340=N340,O340=0,I340&gt;=G340,IF(ISNUMBER(P340),I340&gt;=P340,TRUE()))</f>
        <v>1</v>
      </c>
      <c r="U340" s="0" t="str">
        <f aca="false">IF(AND(S340,T340),"resolved",IF(S340,"claimed","open"))</f>
        <v>resolved</v>
      </c>
      <c r="V340" s="11" t="n">
        <f aca="false">ROUND((IF(U340="resolved",I340,IF(U340="claimed",H340,Controls!$B$4))-G340)*24,4)</f>
        <v>13.8333</v>
      </c>
      <c r="W340" s="6" t="b">
        <f aca="false">INDEX(Owners!$E$4:$E$21,MATCH(D340,Owners!$A$4:$A$21,0))</f>
        <v>1</v>
      </c>
    </row>
    <row r="341" customFormat="false" ht="15" hidden="false" customHeight="false" outlineLevel="0" collapsed="false">
      <c r="A341" s="4" t="s">
        <v>643</v>
      </c>
      <c r="B341" s="4" t="s">
        <v>128</v>
      </c>
      <c r="C341" s="4" t="s">
        <v>254</v>
      </c>
      <c r="D341" s="4" t="s">
        <v>283</v>
      </c>
      <c r="E341" s="4" t="s">
        <v>202</v>
      </c>
      <c r="F341" s="4" t="s">
        <v>277</v>
      </c>
      <c r="G341" s="5" t="n">
        <v>46269.9930555556</v>
      </c>
      <c r="H341" s="5" t="n">
        <v>46272.3243055556</v>
      </c>
      <c r="I341" s="5" t="n">
        <v>46272.4819444444</v>
      </c>
      <c r="J341" s="4" t="s">
        <v>284</v>
      </c>
      <c r="K341" s="4" t="s">
        <v>643</v>
      </c>
      <c r="L341" s="4" t="s">
        <v>254</v>
      </c>
      <c r="M341" s="4" t="n">
        <v>1</v>
      </c>
      <c r="N341" s="4" t="n">
        <v>1</v>
      </c>
      <c r="O341" s="4" t="n">
        <v>0</v>
      </c>
      <c r="P341" s="12"/>
      <c r="Q341" s="4" t="n">
        <v>0</v>
      </c>
      <c r="R341" s="0" t="str">
        <f aca="false">INDEX(Owners!$B$4:$B$21,MATCH(D341,Owners!$A$4:$A$21,0))</f>
        <v>Data Platform</v>
      </c>
      <c r="S341" s="6" t="b">
        <f aca="false">AND(F341="closed",ISNUMBER(H341),H341&lt;=Controls!$B$4)</f>
        <v>1</v>
      </c>
      <c r="T341" s="6" t="b">
        <f aca="false">AND(ISNUMBER(I341),I341&lt;=Controls!$B$4,J341="rerun",K341=A341,L341=C341,M341=N341,O341=0,I341&gt;=G341,IF(ISNUMBER(P341),I341&gt;=P341,TRUE()))</f>
        <v>1</v>
      </c>
      <c r="U341" s="0" t="str">
        <f aca="false">IF(AND(S341,T341),"resolved",IF(S341,"claimed","open"))</f>
        <v>resolved</v>
      </c>
      <c r="V341" s="11" t="n">
        <f aca="false">ROUND((IF(U341="resolved",I341,IF(U341="claimed",H341,Controls!$B$4))-G341)*24,4)</f>
        <v>59.7333</v>
      </c>
      <c r="W341" s="6" t="b">
        <f aca="false">INDEX(Owners!$E$4:$E$21,MATCH(D341,Owners!$A$4:$A$21,0))</f>
        <v>1</v>
      </c>
    </row>
    <row r="342" customFormat="false" ht="15" hidden="false" customHeight="false" outlineLevel="0" collapsed="false">
      <c r="A342" s="4" t="s">
        <v>644</v>
      </c>
      <c r="B342" s="4" t="s">
        <v>102</v>
      </c>
      <c r="C342" s="4" t="s">
        <v>213</v>
      </c>
      <c r="D342" s="4" t="s">
        <v>290</v>
      </c>
      <c r="E342" s="4" t="s">
        <v>202</v>
      </c>
      <c r="F342" s="4" t="s">
        <v>277</v>
      </c>
      <c r="G342" s="5" t="n">
        <v>46270.0833333333</v>
      </c>
      <c r="H342" s="5" t="n">
        <v>46270.7006944444</v>
      </c>
      <c r="I342" s="12"/>
      <c r="N342" s="4" t="n">
        <v>1</v>
      </c>
      <c r="P342" s="12"/>
      <c r="Q342" s="4" t="n">
        <v>0</v>
      </c>
      <c r="R342" s="0" t="str">
        <f aca="false">INDEX(Owners!$B$4:$B$21,MATCH(D342,Owners!$A$4:$A$21,0))</f>
        <v>Customer Data</v>
      </c>
      <c r="S342" s="6" t="b">
        <f aca="false">AND(F342="closed",ISNUMBER(H342),H342&lt;=Controls!$B$4)</f>
        <v>1</v>
      </c>
      <c r="T342" s="6" t="b">
        <f aca="false">AND(ISNUMBER(I342),I342&lt;=Controls!$B$4,J342="rerun",K342=A342,L342=C342,M342=N342,O342=0,I342&gt;=G342,IF(ISNUMBER(P342),I342&gt;=P342,TRUE()))</f>
        <v>0</v>
      </c>
      <c r="U342" s="0" t="str">
        <f aca="false">IF(AND(S342,T342),"resolved",IF(S342,"claimed","open"))</f>
        <v>claimed</v>
      </c>
      <c r="V342" s="11" t="n">
        <f aca="false">ROUND((IF(U342="resolved",I342,IF(U342="claimed",H342,Controls!$B$4))-G342)*24,4)</f>
        <v>14.8167</v>
      </c>
      <c r="W342" s="6" t="b">
        <f aca="false">INDEX(Owners!$E$4:$E$21,MATCH(D342,Owners!$A$4:$A$21,0))</f>
        <v>1</v>
      </c>
    </row>
    <row r="343" customFormat="false" ht="15" hidden="false" customHeight="false" outlineLevel="0" collapsed="false">
      <c r="A343" s="4" t="s">
        <v>645</v>
      </c>
      <c r="B343" s="4" t="s">
        <v>115</v>
      </c>
      <c r="C343" s="4" t="s">
        <v>239</v>
      </c>
      <c r="D343" s="4" t="s">
        <v>301</v>
      </c>
      <c r="E343" s="4" t="s">
        <v>216</v>
      </c>
      <c r="F343" s="4" t="s">
        <v>277</v>
      </c>
      <c r="G343" s="5" t="n">
        <v>46270.1243055556</v>
      </c>
      <c r="H343" s="5" t="n">
        <v>46270.2611111111</v>
      </c>
      <c r="I343" s="5" t="n">
        <v>46270.3777777778</v>
      </c>
      <c r="J343" s="4" t="s">
        <v>284</v>
      </c>
      <c r="K343" s="4" t="s">
        <v>645</v>
      </c>
      <c r="L343" s="4" t="s">
        <v>239</v>
      </c>
      <c r="M343" s="4" t="n">
        <v>1</v>
      </c>
      <c r="N343" s="4" t="n">
        <v>1</v>
      </c>
      <c r="O343" s="4" t="n">
        <v>0</v>
      </c>
      <c r="P343" s="12"/>
      <c r="Q343" s="4" t="n">
        <v>0</v>
      </c>
      <c r="R343" s="0" t="str">
        <f aca="false">INDEX(Owners!$B$4:$B$21,MATCH(D343,Owners!$A$4:$A$21,0))</f>
        <v>Data Platform</v>
      </c>
      <c r="S343" s="6" t="b">
        <f aca="false">AND(F343="closed",ISNUMBER(H343),H343&lt;=Controls!$B$4)</f>
        <v>1</v>
      </c>
      <c r="T343" s="6" t="b">
        <f aca="false">AND(ISNUMBER(I343),I343&lt;=Controls!$B$4,J343="rerun",K343=A343,L343=C343,M343=N343,O343=0,I343&gt;=G343,IF(ISNUMBER(P343),I343&gt;=P343,TRUE()))</f>
        <v>1</v>
      </c>
      <c r="U343" s="0" t="str">
        <f aca="false">IF(AND(S343,T343),"resolved",IF(S343,"claimed","open"))</f>
        <v>resolved</v>
      </c>
      <c r="V343" s="11" t="n">
        <f aca="false">ROUND((IF(U343="resolved",I343,IF(U343="claimed",H343,Controls!$B$4))-G343)*24,4)</f>
        <v>6.0833</v>
      </c>
      <c r="W343" s="6" t="b">
        <f aca="false">INDEX(Owners!$E$4:$E$21,MATCH(D343,Owners!$A$4:$A$21,0))</f>
        <v>1</v>
      </c>
    </row>
    <row r="344" customFormat="false" ht="15" hidden="false" customHeight="false" outlineLevel="0" collapsed="false">
      <c r="A344" s="4" t="s">
        <v>646</v>
      </c>
      <c r="B344" s="4" t="s">
        <v>124</v>
      </c>
      <c r="C344" s="4" t="s">
        <v>248</v>
      </c>
      <c r="D344" s="4" t="s">
        <v>301</v>
      </c>
      <c r="E344" s="4" t="s">
        <v>202</v>
      </c>
      <c r="F344" s="4" t="s">
        <v>562</v>
      </c>
      <c r="G344" s="5" t="n">
        <v>46270.1423611111</v>
      </c>
      <c r="H344" s="12"/>
      <c r="I344" s="12"/>
      <c r="N344" s="4" t="n">
        <v>1</v>
      </c>
      <c r="P344" s="12"/>
      <c r="Q344" s="4" t="n">
        <v>0</v>
      </c>
      <c r="R344" s="0" t="str">
        <f aca="false">INDEX(Owners!$B$4:$B$21,MATCH(D344,Owners!$A$4:$A$21,0))</f>
        <v>Data Platform</v>
      </c>
      <c r="S344" s="6" t="b">
        <f aca="false">AND(F344="closed",ISNUMBER(H344),H344&lt;=Controls!$B$4)</f>
        <v>0</v>
      </c>
      <c r="T344" s="6" t="b">
        <f aca="false">AND(ISNUMBER(I344),I344&lt;=Controls!$B$4,J344="rerun",K344=A344,L344=C344,M344=N344,O344=0,I344&gt;=G344,IF(ISNUMBER(P344),I344&gt;=P344,TRUE()))</f>
        <v>0</v>
      </c>
      <c r="U344" s="0" t="str">
        <f aca="false">IF(AND(S344,T344),"resolved",IF(S344,"claimed","open"))</f>
        <v>open</v>
      </c>
      <c r="V344" s="11" t="n">
        <f aca="false">ROUND((IF(U344="resolved",I344,IF(U344="claimed",H344,Controls!$B$4))-G344)*24,4)</f>
        <v>716.5833</v>
      </c>
      <c r="W344" s="6" t="b">
        <f aca="false">INDEX(Owners!$E$4:$E$21,MATCH(D344,Owners!$A$4:$A$21,0))</f>
        <v>1</v>
      </c>
    </row>
    <row r="345" customFormat="false" ht="15" hidden="false" customHeight="false" outlineLevel="0" collapsed="false">
      <c r="A345" s="4" t="s">
        <v>647</v>
      </c>
      <c r="B345" s="4" t="s">
        <v>119</v>
      </c>
      <c r="C345" s="4" t="s">
        <v>243</v>
      </c>
      <c r="D345" s="4" t="s">
        <v>292</v>
      </c>
      <c r="E345" s="4" t="s">
        <v>202</v>
      </c>
      <c r="F345" s="4" t="s">
        <v>277</v>
      </c>
      <c r="G345" s="5" t="n">
        <v>46270.1604166667</v>
      </c>
      <c r="H345" s="5" t="n">
        <v>46272.2638888889</v>
      </c>
      <c r="I345" s="5" t="n">
        <v>46272.8375</v>
      </c>
      <c r="J345" s="4" t="s">
        <v>284</v>
      </c>
      <c r="K345" s="4" t="s">
        <v>647</v>
      </c>
      <c r="L345" s="4" t="s">
        <v>243</v>
      </c>
      <c r="M345" s="4" t="n">
        <v>1</v>
      </c>
      <c r="N345" s="4" t="n">
        <v>1</v>
      </c>
      <c r="O345" s="4" t="n">
        <v>0</v>
      </c>
      <c r="P345" s="12"/>
      <c r="Q345" s="4" t="n">
        <v>0</v>
      </c>
      <c r="R345" s="0" t="str">
        <f aca="false">INDEX(Owners!$B$4:$B$21,MATCH(D345,Owners!$A$4:$A$21,0))</f>
        <v>Support Operations</v>
      </c>
      <c r="S345" s="6" t="b">
        <f aca="false">AND(F345="closed",ISNUMBER(H345),H345&lt;=Controls!$B$4)</f>
        <v>1</v>
      </c>
      <c r="T345" s="6" t="b">
        <f aca="false">AND(ISNUMBER(I345),I345&lt;=Controls!$B$4,J345="rerun",K345=A345,L345=C345,M345=N345,O345=0,I345&gt;=G345,IF(ISNUMBER(P345),I345&gt;=P345,TRUE()))</f>
        <v>1</v>
      </c>
      <c r="U345" s="0" t="str">
        <f aca="false">IF(AND(S345,T345),"resolved",IF(S345,"claimed","open"))</f>
        <v>resolved</v>
      </c>
      <c r="V345" s="11" t="n">
        <f aca="false">ROUND((IF(U345="resolved",I345,IF(U345="claimed",H345,Controls!$B$4))-G345)*24,4)</f>
        <v>64.25</v>
      </c>
      <c r="W345" s="6" t="b">
        <f aca="false">INDEX(Owners!$E$4:$E$21,MATCH(D345,Owners!$A$4:$A$21,0))</f>
        <v>1</v>
      </c>
    </row>
    <row r="346" customFormat="false" ht="15" hidden="false" customHeight="false" outlineLevel="0" collapsed="false">
      <c r="A346" s="4" t="s">
        <v>648</v>
      </c>
      <c r="B346" s="4" t="s">
        <v>124</v>
      </c>
      <c r="C346" s="4" t="s">
        <v>247</v>
      </c>
      <c r="D346" s="4" t="s">
        <v>301</v>
      </c>
      <c r="E346" s="4" t="s">
        <v>202</v>
      </c>
      <c r="F346" s="4" t="s">
        <v>277</v>
      </c>
      <c r="G346" s="5" t="n">
        <v>46271.1513888889</v>
      </c>
      <c r="H346" s="5" t="n">
        <v>46274.1805555556</v>
      </c>
      <c r="I346" s="5" t="n">
        <v>46274.2041666667</v>
      </c>
      <c r="J346" s="4" t="s">
        <v>284</v>
      </c>
      <c r="K346" s="4" t="s">
        <v>648</v>
      </c>
      <c r="L346" s="4" t="s">
        <v>247</v>
      </c>
      <c r="M346" s="4" t="n">
        <v>1</v>
      </c>
      <c r="N346" s="4" t="n">
        <v>1</v>
      </c>
      <c r="O346" s="4" t="n">
        <v>0</v>
      </c>
      <c r="P346" s="12"/>
      <c r="Q346" s="4" t="n">
        <v>0</v>
      </c>
      <c r="R346" s="0" t="str">
        <f aca="false">INDEX(Owners!$B$4:$B$21,MATCH(D346,Owners!$A$4:$A$21,0))</f>
        <v>Data Platform</v>
      </c>
      <c r="S346" s="6" t="b">
        <f aca="false">AND(F346="closed",ISNUMBER(H346),H346&lt;=Controls!$B$4)</f>
        <v>1</v>
      </c>
      <c r="T346" s="6" t="b">
        <f aca="false">AND(ISNUMBER(I346),I346&lt;=Controls!$B$4,J346="rerun",K346=A346,L346=C346,M346=N346,O346=0,I346&gt;=G346,IF(ISNUMBER(P346),I346&gt;=P346,TRUE()))</f>
        <v>1</v>
      </c>
      <c r="U346" s="0" t="str">
        <f aca="false">IF(AND(S346,T346),"resolved",IF(S346,"claimed","open"))</f>
        <v>resolved</v>
      </c>
      <c r="V346" s="11" t="n">
        <f aca="false">ROUND((IF(U346="resolved",I346,IF(U346="claimed",H346,Controls!$B$4))-G346)*24,4)</f>
        <v>73.2667</v>
      </c>
      <c r="W346" s="6" t="b">
        <f aca="false">INDEX(Owners!$E$4:$E$21,MATCH(D346,Owners!$A$4:$A$21,0))</f>
        <v>1</v>
      </c>
    </row>
    <row r="347" customFormat="false" ht="15" hidden="false" customHeight="false" outlineLevel="0" collapsed="false">
      <c r="A347" s="4" t="s">
        <v>649</v>
      </c>
      <c r="B347" s="4" t="s">
        <v>109</v>
      </c>
      <c r="C347" s="4" t="s">
        <v>307</v>
      </c>
      <c r="D347" s="4" t="s">
        <v>292</v>
      </c>
      <c r="E347" s="4" t="s">
        <v>202</v>
      </c>
      <c r="F347" s="4" t="s">
        <v>277</v>
      </c>
      <c r="G347" s="5" t="n">
        <v>46271.1555555556</v>
      </c>
      <c r="H347" s="5" t="n">
        <v>46272.9291666667</v>
      </c>
      <c r="I347" s="5" t="n">
        <v>46273.4645833333</v>
      </c>
      <c r="J347" s="4" t="s">
        <v>284</v>
      </c>
      <c r="K347" s="4" t="s">
        <v>649</v>
      </c>
      <c r="L347" s="4" t="s">
        <v>307</v>
      </c>
      <c r="M347" s="4" t="n">
        <v>1</v>
      </c>
      <c r="N347" s="4" t="n">
        <v>1</v>
      </c>
      <c r="O347" s="4" t="n">
        <v>0</v>
      </c>
      <c r="P347" s="12"/>
      <c r="Q347" s="4" t="n">
        <v>0</v>
      </c>
      <c r="R347" s="0" t="str">
        <f aca="false">INDEX(Owners!$B$4:$B$21,MATCH(D347,Owners!$A$4:$A$21,0))</f>
        <v>Support Operations</v>
      </c>
      <c r="S347" s="6" t="b">
        <f aca="false">AND(F347="closed",ISNUMBER(H347),H347&lt;=Controls!$B$4)</f>
        <v>1</v>
      </c>
      <c r="T347" s="6" t="b">
        <f aca="false">AND(ISNUMBER(I347),I347&lt;=Controls!$B$4,J347="rerun",K347=A347,L347=C347,M347=N347,O347=0,I347&gt;=G347,IF(ISNUMBER(P347),I347&gt;=P347,TRUE()))</f>
        <v>1</v>
      </c>
      <c r="U347" s="0" t="str">
        <f aca="false">IF(AND(S347,T347),"resolved",IF(S347,"claimed","open"))</f>
        <v>resolved</v>
      </c>
      <c r="V347" s="11" t="n">
        <f aca="false">ROUND((IF(U347="resolved",I347,IF(U347="claimed",H347,Controls!$B$4))-G347)*24,4)</f>
        <v>55.4167</v>
      </c>
      <c r="W347" s="6" t="b">
        <f aca="false">INDEX(Owners!$E$4:$E$21,MATCH(D347,Owners!$A$4:$A$21,0))</f>
        <v>1</v>
      </c>
    </row>
    <row r="348" customFormat="false" ht="15" hidden="false" customHeight="false" outlineLevel="0" collapsed="false">
      <c r="A348" s="4" t="s">
        <v>650</v>
      </c>
      <c r="B348" s="4" t="s">
        <v>131</v>
      </c>
      <c r="C348" s="4" t="s">
        <v>257</v>
      </c>
      <c r="D348" s="4" t="s">
        <v>283</v>
      </c>
      <c r="E348" s="4" t="s">
        <v>202</v>
      </c>
      <c r="F348" s="4" t="s">
        <v>277</v>
      </c>
      <c r="G348" s="5" t="n">
        <v>46271.1923611111</v>
      </c>
      <c r="H348" s="5" t="n">
        <v>46271.9958333333</v>
      </c>
      <c r="I348" s="5" t="n">
        <v>46272.1479166667</v>
      </c>
      <c r="J348" s="4" t="s">
        <v>284</v>
      </c>
      <c r="K348" s="4" t="s">
        <v>650</v>
      </c>
      <c r="L348" s="4" t="s">
        <v>257</v>
      </c>
      <c r="M348" s="4" t="n">
        <v>1</v>
      </c>
      <c r="N348" s="4" t="n">
        <v>1</v>
      </c>
      <c r="O348" s="4" t="n">
        <v>0</v>
      </c>
      <c r="P348" s="12"/>
      <c r="Q348" s="4" t="n">
        <v>0</v>
      </c>
      <c r="R348" s="0" t="str">
        <f aca="false">INDEX(Owners!$B$4:$B$21,MATCH(D348,Owners!$A$4:$A$21,0))</f>
        <v>Data Platform</v>
      </c>
      <c r="S348" s="6" t="b">
        <f aca="false">AND(F348="closed",ISNUMBER(H348),H348&lt;=Controls!$B$4)</f>
        <v>1</v>
      </c>
      <c r="T348" s="6" t="b">
        <f aca="false">AND(ISNUMBER(I348),I348&lt;=Controls!$B$4,J348="rerun",K348=A348,L348=C348,M348=N348,O348=0,I348&gt;=G348,IF(ISNUMBER(P348),I348&gt;=P348,TRUE()))</f>
        <v>1</v>
      </c>
      <c r="U348" s="0" t="str">
        <f aca="false">IF(AND(S348,T348),"resolved",IF(S348,"claimed","open"))</f>
        <v>resolved</v>
      </c>
      <c r="V348" s="11" t="n">
        <f aca="false">ROUND((IF(U348="resolved",I348,IF(U348="claimed",H348,Controls!$B$4))-G348)*24,4)</f>
        <v>22.9333</v>
      </c>
      <c r="W348" s="6" t="b">
        <f aca="false">INDEX(Owners!$E$4:$E$21,MATCH(D348,Owners!$A$4:$A$21,0))</f>
        <v>1</v>
      </c>
    </row>
    <row r="349" customFormat="false" ht="15" hidden="false" customHeight="false" outlineLevel="0" collapsed="false">
      <c r="A349" s="4" t="s">
        <v>651</v>
      </c>
      <c r="B349" s="4" t="s">
        <v>96</v>
      </c>
      <c r="C349" s="4" t="s">
        <v>206</v>
      </c>
      <c r="D349" s="4" t="s">
        <v>330</v>
      </c>
      <c r="E349" s="4" t="s">
        <v>202</v>
      </c>
      <c r="F349" s="4" t="s">
        <v>556</v>
      </c>
      <c r="G349" s="5" t="n">
        <v>46271.2194444445</v>
      </c>
      <c r="H349" s="12"/>
      <c r="I349" s="12"/>
      <c r="N349" s="4" t="n">
        <v>1</v>
      </c>
      <c r="P349" s="12"/>
      <c r="Q349" s="4" t="n">
        <v>0</v>
      </c>
      <c r="R349" s="0" t="str">
        <f aca="false">INDEX(Owners!$B$4:$B$21,MATCH(D349,Owners!$A$4:$A$21,0))</f>
        <v>Supply Chain</v>
      </c>
      <c r="S349" s="6" t="b">
        <f aca="false">AND(F349="closed",ISNUMBER(H349),H349&lt;=Controls!$B$4)</f>
        <v>0</v>
      </c>
      <c r="T349" s="6" t="b">
        <f aca="false">AND(ISNUMBER(I349),I349&lt;=Controls!$B$4,J349="rerun",K349=A349,L349=C349,M349=N349,O349=0,I349&gt;=G349,IF(ISNUMBER(P349),I349&gt;=P349,TRUE()))</f>
        <v>0</v>
      </c>
      <c r="U349" s="0" t="str">
        <f aca="false">IF(AND(S349,T349),"resolved",IF(S349,"claimed","open"))</f>
        <v>open</v>
      </c>
      <c r="V349" s="11" t="n">
        <f aca="false">ROUND((IF(U349="resolved",I349,IF(U349="claimed",H349,Controls!$B$4))-G349)*24,4)</f>
        <v>690.7333</v>
      </c>
      <c r="W349" s="6" t="b">
        <f aca="false">INDEX(Owners!$E$4:$E$21,MATCH(D349,Owners!$A$4:$A$21,0))</f>
        <v>1</v>
      </c>
    </row>
    <row r="350" customFormat="false" ht="15" hidden="false" customHeight="false" outlineLevel="0" collapsed="false">
      <c r="A350" s="4" t="s">
        <v>652</v>
      </c>
      <c r="B350" s="4" t="s">
        <v>110</v>
      </c>
      <c r="C350" s="4" t="s">
        <v>226</v>
      </c>
      <c r="D350" s="4" t="s">
        <v>286</v>
      </c>
      <c r="E350" s="4" t="s">
        <v>202</v>
      </c>
      <c r="F350" s="4" t="s">
        <v>556</v>
      </c>
      <c r="G350" s="5" t="n">
        <v>46271.2326388889</v>
      </c>
      <c r="H350" s="12"/>
      <c r="I350" s="12"/>
      <c r="N350" s="4" t="n">
        <v>1</v>
      </c>
      <c r="P350" s="12"/>
      <c r="Q350" s="4" t="n">
        <v>0</v>
      </c>
      <c r="R350" s="0" t="str">
        <f aca="false">INDEX(Owners!$B$4:$B$21,MATCH(D350,Owners!$A$4:$A$21,0))</f>
        <v>Finance Systems</v>
      </c>
      <c r="S350" s="6" t="b">
        <f aca="false">AND(F350="closed",ISNUMBER(H350),H350&lt;=Controls!$B$4)</f>
        <v>0</v>
      </c>
      <c r="T350" s="6" t="b">
        <f aca="false">AND(ISNUMBER(I350),I350&lt;=Controls!$B$4,J350="rerun",K350=A350,L350=C350,M350=N350,O350=0,I350&gt;=G350,IF(ISNUMBER(P350),I350&gt;=P350,TRUE()))</f>
        <v>0</v>
      </c>
      <c r="U350" s="0" t="str">
        <f aca="false">IF(AND(S350,T350),"resolved",IF(S350,"claimed","open"))</f>
        <v>open</v>
      </c>
      <c r="V350" s="11" t="n">
        <f aca="false">ROUND((IF(U350="resolved",I350,IF(U350="claimed",H350,Controls!$B$4))-G350)*24,4)</f>
        <v>690.4167</v>
      </c>
      <c r="W350" s="6" t="b">
        <f aca="false">INDEX(Owners!$E$4:$E$21,MATCH(D350,Owners!$A$4:$A$21,0))</f>
        <v>0</v>
      </c>
    </row>
    <row r="351" customFormat="false" ht="15" hidden="false" customHeight="false" outlineLevel="0" collapsed="false">
      <c r="A351" s="4" t="s">
        <v>653</v>
      </c>
      <c r="B351" s="4" t="s">
        <v>120</v>
      </c>
      <c r="C351" s="4" t="s">
        <v>244</v>
      </c>
      <c r="D351" s="4" t="s">
        <v>326</v>
      </c>
      <c r="E351" s="4" t="s">
        <v>204</v>
      </c>
      <c r="F351" s="4" t="s">
        <v>556</v>
      </c>
      <c r="G351" s="5" t="n">
        <v>46271.2375</v>
      </c>
      <c r="H351" s="12"/>
      <c r="I351" s="12"/>
      <c r="N351" s="4" t="n">
        <v>1</v>
      </c>
      <c r="P351" s="12"/>
      <c r="Q351" s="4" t="n">
        <v>0</v>
      </c>
      <c r="R351" s="0" t="str">
        <f aca="false">INDEX(Owners!$B$4:$B$21,MATCH(D351,Owners!$A$4:$A$21,0))</f>
        <v>Customer Data</v>
      </c>
      <c r="S351" s="6" t="b">
        <f aca="false">AND(F351="closed",ISNUMBER(H351),H351&lt;=Controls!$B$4)</f>
        <v>0</v>
      </c>
      <c r="T351" s="6" t="b">
        <f aca="false">AND(ISNUMBER(I351),I351&lt;=Controls!$B$4,J351="rerun",K351=A351,L351=C351,M351=N351,O351=0,I351&gt;=G351,IF(ISNUMBER(P351),I351&gt;=P351,TRUE()))</f>
        <v>0</v>
      </c>
      <c r="U351" s="0" t="str">
        <f aca="false">IF(AND(S351,T351),"resolved",IF(S351,"claimed","open"))</f>
        <v>open</v>
      </c>
      <c r="V351" s="11" t="n">
        <f aca="false">ROUND((IF(U351="resolved",I351,IF(U351="claimed",H351,Controls!$B$4))-G351)*24,4)</f>
        <v>690.3</v>
      </c>
      <c r="W351" s="6" t="b">
        <f aca="false">INDEX(Owners!$E$4:$E$21,MATCH(D351,Owners!$A$4:$A$21,0))</f>
        <v>0</v>
      </c>
    </row>
    <row r="352" customFormat="false" ht="15" hidden="false" customHeight="false" outlineLevel="0" collapsed="false">
      <c r="A352" s="4" t="s">
        <v>654</v>
      </c>
      <c r="B352" s="4" t="s">
        <v>98</v>
      </c>
      <c r="C352" s="4" t="s">
        <v>211</v>
      </c>
      <c r="D352" s="4" t="s">
        <v>324</v>
      </c>
      <c r="E352" s="4" t="s">
        <v>204</v>
      </c>
      <c r="F352" s="4" t="s">
        <v>277</v>
      </c>
      <c r="G352" s="5" t="n">
        <v>46271.2416666667</v>
      </c>
      <c r="H352" s="5" t="n">
        <v>46279.3659722222</v>
      </c>
      <c r="I352" s="5" t="n">
        <v>46279.4208333333</v>
      </c>
      <c r="J352" s="4" t="s">
        <v>284</v>
      </c>
      <c r="K352" s="4" t="s">
        <v>654</v>
      </c>
      <c r="L352" s="4" t="s">
        <v>211</v>
      </c>
      <c r="M352" s="4" t="n">
        <v>3</v>
      </c>
      <c r="N352" s="4" t="n">
        <v>3</v>
      </c>
      <c r="O352" s="4" t="n">
        <v>0</v>
      </c>
      <c r="P352" s="5" t="n">
        <v>46276.9458333333</v>
      </c>
      <c r="Q352" s="4" t="n">
        <v>1</v>
      </c>
      <c r="R352" s="0" t="str">
        <f aca="false">INDEX(Owners!$B$4:$B$21,MATCH(D352,Owners!$A$4:$A$21,0))</f>
        <v>Finance Systems</v>
      </c>
      <c r="S352" s="6" t="b">
        <f aca="false">AND(F352="closed",ISNUMBER(H352),H352&lt;=Controls!$B$4)</f>
        <v>1</v>
      </c>
      <c r="T352" s="6" t="b">
        <f aca="false">AND(ISNUMBER(I352),I352&lt;=Controls!$B$4,J352="rerun",K352=A352,L352=C352,M352=N352,O352=0,I352&gt;=G352,IF(ISNUMBER(P352),I352&gt;=P352,TRUE()))</f>
        <v>1</v>
      </c>
      <c r="U352" s="0" t="str">
        <f aca="false">IF(AND(S352,T352),"resolved",IF(S352,"claimed","open"))</f>
        <v>resolved</v>
      </c>
      <c r="V352" s="11" t="n">
        <f aca="false">ROUND((IF(U352="resolved",I352,IF(U352="claimed",H352,Controls!$B$4))-G352)*24,4)</f>
        <v>196.3</v>
      </c>
      <c r="W352" s="6" t="b">
        <f aca="false">INDEX(Owners!$E$4:$E$21,MATCH(D352,Owners!$A$4:$A$21,0))</f>
        <v>1</v>
      </c>
    </row>
    <row r="353" customFormat="false" ht="15" hidden="false" customHeight="false" outlineLevel="0" collapsed="false">
      <c r="A353" s="4" t="s">
        <v>655</v>
      </c>
      <c r="B353" s="4" t="s">
        <v>117</v>
      </c>
      <c r="C353" s="4" t="s">
        <v>240</v>
      </c>
      <c r="D353" s="4" t="s">
        <v>288</v>
      </c>
      <c r="E353" s="4" t="s">
        <v>204</v>
      </c>
      <c r="F353" s="4" t="s">
        <v>277</v>
      </c>
      <c r="G353" s="5" t="n">
        <v>46271.2458333333</v>
      </c>
      <c r="H353" s="5" t="n">
        <v>46272.1319444445</v>
      </c>
      <c r="I353" s="5" t="n">
        <v>46272.6013888889</v>
      </c>
      <c r="J353" s="4" t="s">
        <v>284</v>
      </c>
      <c r="K353" s="4" t="s">
        <v>655</v>
      </c>
      <c r="L353" s="4" t="s">
        <v>240</v>
      </c>
      <c r="M353" s="4" t="n">
        <v>1</v>
      </c>
      <c r="N353" s="4" t="n">
        <v>1</v>
      </c>
      <c r="O353" s="4" t="n">
        <v>0</v>
      </c>
      <c r="P353" s="12"/>
      <c r="Q353" s="4" t="n">
        <v>0</v>
      </c>
      <c r="R353" s="0" t="str">
        <f aca="false">INDEX(Owners!$B$4:$B$21,MATCH(D353,Owners!$A$4:$A$21,0))</f>
        <v>Support Operations</v>
      </c>
      <c r="S353" s="6" t="b">
        <f aca="false">AND(F353="closed",ISNUMBER(H353),H353&lt;=Controls!$B$4)</f>
        <v>1</v>
      </c>
      <c r="T353" s="6" t="b">
        <f aca="false">AND(ISNUMBER(I353),I353&lt;=Controls!$B$4,J353="rerun",K353=A353,L353=C353,M353=N353,O353=0,I353&gt;=G353,IF(ISNUMBER(P353),I353&gt;=P353,TRUE()))</f>
        <v>1</v>
      </c>
      <c r="U353" s="0" t="str">
        <f aca="false">IF(AND(S353,T353),"resolved",IF(S353,"claimed","open"))</f>
        <v>resolved</v>
      </c>
      <c r="V353" s="11" t="n">
        <f aca="false">ROUND((IF(U353="resolved",I353,IF(U353="claimed",H353,Controls!$B$4))-G353)*24,4)</f>
        <v>32.5333</v>
      </c>
      <c r="W353" s="6" t="b">
        <f aca="false">INDEX(Owners!$E$4:$E$21,MATCH(D353,Owners!$A$4:$A$21,0))</f>
        <v>1</v>
      </c>
    </row>
    <row r="354" customFormat="false" ht="15" hidden="false" customHeight="false" outlineLevel="0" collapsed="false">
      <c r="A354" s="4" t="s">
        <v>656</v>
      </c>
      <c r="B354" s="4" t="s">
        <v>127</v>
      </c>
      <c r="C354" s="4" t="s">
        <v>252</v>
      </c>
      <c r="D354" s="4" t="s">
        <v>358</v>
      </c>
      <c r="E354" s="4" t="s">
        <v>204</v>
      </c>
      <c r="F354" s="4" t="s">
        <v>562</v>
      </c>
      <c r="G354" s="5" t="n">
        <v>46272.0888888889</v>
      </c>
      <c r="H354" s="12"/>
      <c r="I354" s="12"/>
      <c r="N354" s="4" t="n">
        <v>1</v>
      </c>
      <c r="P354" s="12"/>
      <c r="Q354" s="4" t="n">
        <v>0</v>
      </c>
      <c r="R354" s="0" t="str">
        <f aca="false">INDEX(Owners!$B$4:$B$21,MATCH(D354,Owners!$A$4:$A$21,0))</f>
        <v>Finance Systems</v>
      </c>
      <c r="S354" s="6" t="b">
        <f aca="false">AND(F354="closed",ISNUMBER(H354),H354&lt;=Controls!$B$4)</f>
        <v>0</v>
      </c>
      <c r="T354" s="6" t="b">
        <f aca="false">AND(ISNUMBER(I354),I354&lt;=Controls!$B$4,J354="rerun",K354=A354,L354=C354,M354=N354,O354=0,I354&gt;=G354,IF(ISNUMBER(P354),I354&gt;=P354,TRUE()))</f>
        <v>0</v>
      </c>
      <c r="U354" s="0" t="str">
        <f aca="false">IF(AND(S354,T354),"resolved",IF(S354,"claimed","open"))</f>
        <v>open</v>
      </c>
      <c r="V354" s="11" t="n">
        <f aca="false">ROUND((IF(U354="resolved",I354,IF(U354="claimed",H354,Controls!$B$4))-G354)*24,4)</f>
        <v>669.8667</v>
      </c>
      <c r="W354" s="6" t="b">
        <f aca="false">INDEX(Owners!$E$4:$E$21,MATCH(D354,Owners!$A$4:$A$21,0))</f>
        <v>1</v>
      </c>
    </row>
    <row r="355" customFormat="false" ht="15" hidden="false" customHeight="false" outlineLevel="0" collapsed="false">
      <c r="A355" s="4" t="s">
        <v>657</v>
      </c>
      <c r="B355" s="4" t="s">
        <v>113</v>
      </c>
      <c r="C355" s="4" t="s">
        <v>232</v>
      </c>
      <c r="D355" s="4" t="s">
        <v>296</v>
      </c>
      <c r="E355" s="4" t="s">
        <v>202</v>
      </c>
      <c r="F355" s="4" t="s">
        <v>277</v>
      </c>
      <c r="G355" s="5" t="n">
        <v>46272.1826388889</v>
      </c>
      <c r="H355" s="5" t="n">
        <v>46273.0180555556</v>
      </c>
      <c r="I355" s="5" t="n">
        <v>46273.0451388889</v>
      </c>
      <c r="J355" s="4" t="s">
        <v>284</v>
      </c>
      <c r="K355" s="4" t="s">
        <v>657</v>
      </c>
      <c r="L355" s="4" t="s">
        <v>232</v>
      </c>
      <c r="M355" s="4" t="n">
        <v>2</v>
      </c>
      <c r="N355" s="4" t="n">
        <v>2</v>
      </c>
      <c r="O355" s="4" t="n">
        <v>0</v>
      </c>
      <c r="P355" s="12"/>
      <c r="Q355" s="4" t="n">
        <v>0</v>
      </c>
      <c r="R355" s="0" t="str">
        <f aca="false">INDEX(Owners!$B$4:$B$21,MATCH(D355,Owners!$A$4:$A$21,0))</f>
        <v>Data Platform</v>
      </c>
      <c r="S355" s="6" t="b">
        <f aca="false">AND(F355="closed",ISNUMBER(H355),H355&lt;=Controls!$B$4)</f>
        <v>1</v>
      </c>
      <c r="T355" s="6" t="b">
        <f aca="false">AND(ISNUMBER(I355),I355&lt;=Controls!$B$4,J355="rerun",K355=A355,L355=C355,M355=N355,O355=0,I355&gt;=G355,IF(ISNUMBER(P355),I355&gt;=P355,TRUE()))</f>
        <v>1</v>
      </c>
      <c r="U355" s="0" t="str">
        <f aca="false">IF(AND(S355,T355),"resolved",IF(S355,"claimed","open"))</f>
        <v>resolved</v>
      </c>
      <c r="V355" s="11" t="n">
        <f aca="false">ROUND((IF(U355="resolved",I355,IF(U355="claimed",H355,Controls!$B$4))-G355)*24,4)</f>
        <v>20.7</v>
      </c>
      <c r="W355" s="6" t="b">
        <f aca="false">INDEX(Owners!$E$4:$E$21,MATCH(D355,Owners!$A$4:$A$21,0))</f>
        <v>1</v>
      </c>
    </row>
    <row r="356" customFormat="false" ht="15" hidden="false" customHeight="false" outlineLevel="0" collapsed="false">
      <c r="A356" s="4" t="s">
        <v>658</v>
      </c>
      <c r="B356" s="4" t="s">
        <v>125</v>
      </c>
      <c r="C356" s="4" t="s">
        <v>250</v>
      </c>
      <c r="D356" s="4" t="s">
        <v>334</v>
      </c>
      <c r="E356" s="4" t="s">
        <v>202</v>
      </c>
      <c r="F356" s="4" t="s">
        <v>562</v>
      </c>
      <c r="G356" s="5" t="n">
        <v>46272.1875</v>
      </c>
      <c r="H356" s="12"/>
      <c r="I356" s="12"/>
      <c r="N356" s="4" t="n">
        <v>1</v>
      </c>
      <c r="P356" s="12"/>
      <c r="Q356" s="4" t="n">
        <v>0</v>
      </c>
      <c r="R356" s="0" t="str">
        <f aca="false">INDEX(Owners!$B$4:$B$21,MATCH(D356,Owners!$A$4:$A$21,0))</f>
        <v>Supply Chain</v>
      </c>
      <c r="S356" s="6" t="b">
        <f aca="false">AND(F356="closed",ISNUMBER(H356),H356&lt;=Controls!$B$4)</f>
        <v>0</v>
      </c>
      <c r="T356" s="6" t="b">
        <f aca="false">AND(ISNUMBER(I356),I356&lt;=Controls!$B$4,J356="rerun",K356=A356,L356=C356,M356=N356,O356=0,I356&gt;=G356,IF(ISNUMBER(P356),I356&gt;=P356,TRUE()))</f>
        <v>0</v>
      </c>
      <c r="U356" s="0" t="str">
        <f aca="false">IF(AND(S356,T356),"resolved",IF(S356,"claimed","open"))</f>
        <v>open</v>
      </c>
      <c r="V356" s="11" t="n">
        <f aca="false">ROUND((IF(U356="resolved",I356,IF(U356="claimed",H356,Controls!$B$4))-G356)*24,4)</f>
        <v>667.5</v>
      </c>
      <c r="W356" s="6" t="b">
        <f aca="false">INDEX(Owners!$E$4:$E$21,MATCH(D356,Owners!$A$4:$A$21,0))</f>
        <v>0</v>
      </c>
    </row>
    <row r="357" customFormat="false" ht="15" hidden="false" customHeight="false" outlineLevel="0" collapsed="false">
      <c r="A357" s="4" t="s">
        <v>659</v>
      </c>
      <c r="B357" s="4" t="s">
        <v>110</v>
      </c>
      <c r="C357" s="4" t="s">
        <v>228</v>
      </c>
      <c r="D357" s="4" t="s">
        <v>286</v>
      </c>
      <c r="E357" s="4" t="s">
        <v>202</v>
      </c>
      <c r="F357" s="4" t="s">
        <v>556</v>
      </c>
      <c r="G357" s="5" t="n">
        <v>46272.2145833333</v>
      </c>
      <c r="H357" s="12"/>
      <c r="I357" s="12"/>
      <c r="N357" s="4" t="n">
        <v>2</v>
      </c>
      <c r="P357" s="12"/>
      <c r="Q357" s="4" t="n">
        <v>0</v>
      </c>
      <c r="R357" s="0" t="str">
        <f aca="false">INDEX(Owners!$B$4:$B$21,MATCH(D357,Owners!$A$4:$A$21,0))</f>
        <v>Finance Systems</v>
      </c>
      <c r="S357" s="6" t="b">
        <f aca="false">AND(F357="closed",ISNUMBER(H357),H357&lt;=Controls!$B$4)</f>
        <v>0</v>
      </c>
      <c r="T357" s="6" t="b">
        <f aca="false">AND(ISNUMBER(I357),I357&lt;=Controls!$B$4,J357="rerun",K357=A357,L357=C357,M357=N357,O357=0,I357&gt;=G357,IF(ISNUMBER(P357),I357&gt;=P357,TRUE()))</f>
        <v>0</v>
      </c>
      <c r="U357" s="0" t="str">
        <f aca="false">IF(AND(S357,T357),"resolved",IF(S357,"claimed","open"))</f>
        <v>open</v>
      </c>
      <c r="V357" s="11" t="n">
        <f aca="false">ROUND((IF(U357="resolved",I357,IF(U357="claimed",H357,Controls!$B$4))-G357)*24,4)</f>
        <v>666.85</v>
      </c>
      <c r="W357" s="6" t="b">
        <f aca="false">INDEX(Owners!$E$4:$E$21,MATCH(D357,Owners!$A$4:$A$21,0))</f>
        <v>0</v>
      </c>
    </row>
    <row r="358" customFormat="false" ht="15" hidden="false" customHeight="false" outlineLevel="0" collapsed="false">
      <c r="A358" s="4" t="s">
        <v>660</v>
      </c>
      <c r="B358" s="4" t="s">
        <v>96</v>
      </c>
      <c r="C358" s="4" t="s">
        <v>206</v>
      </c>
      <c r="D358" s="4" t="s">
        <v>330</v>
      </c>
      <c r="E358" s="4" t="s">
        <v>202</v>
      </c>
      <c r="F358" s="4" t="s">
        <v>556</v>
      </c>
      <c r="G358" s="5" t="n">
        <v>46272.2194444445</v>
      </c>
      <c r="H358" s="12"/>
      <c r="I358" s="12"/>
      <c r="N358" s="4" t="n">
        <v>1</v>
      </c>
      <c r="P358" s="12"/>
      <c r="Q358" s="4" t="n">
        <v>0</v>
      </c>
      <c r="R358" s="0" t="str">
        <f aca="false">INDEX(Owners!$B$4:$B$21,MATCH(D358,Owners!$A$4:$A$21,0))</f>
        <v>Supply Chain</v>
      </c>
      <c r="S358" s="6" t="b">
        <f aca="false">AND(F358="closed",ISNUMBER(H358),H358&lt;=Controls!$B$4)</f>
        <v>0</v>
      </c>
      <c r="T358" s="6" t="b">
        <f aca="false">AND(ISNUMBER(I358),I358&lt;=Controls!$B$4,J358="rerun",K358=A358,L358=C358,M358=N358,O358=0,I358&gt;=G358,IF(ISNUMBER(P358),I358&gt;=P358,TRUE()))</f>
        <v>0</v>
      </c>
      <c r="U358" s="0" t="str">
        <f aca="false">IF(AND(S358,T358),"resolved",IF(S358,"claimed","open"))</f>
        <v>open</v>
      </c>
      <c r="V358" s="11" t="n">
        <f aca="false">ROUND((IF(U358="resolved",I358,IF(U358="claimed",H358,Controls!$B$4))-G358)*24,4)</f>
        <v>666.7333</v>
      </c>
      <c r="W358" s="6" t="b">
        <f aca="false">INDEX(Owners!$E$4:$E$21,MATCH(D358,Owners!$A$4:$A$21,0))</f>
        <v>1</v>
      </c>
    </row>
    <row r="359" customFormat="false" ht="15" hidden="false" customHeight="false" outlineLevel="0" collapsed="false">
      <c r="A359" s="4" t="s">
        <v>661</v>
      </c>
      <c r="B359" s="4" t="s">
        <v>110</v>
      </c>
      <c r="C359" s="4" t="s">
        <v>226</v>
      </c>
      <c r="D359" s="4" t="s">
        <v>286</v>
      </c>
      <c r="E359" s="4" t="s">
        <v>202</v>
      </c>
      <c r="F359" s="4" t="s">
        <v>556</v>
      </c>
      <c r="G359" s="5" t="n">
        <v>46272.2326388889</v>
      </c>
      <c r="H359" s="12"/>
      <c r="I359" s="12"/>
      <c r="N359" s="4" t="n">
        <v>1</v>
      </c>
      <c r="P359" s="12"/>
      <c r="Q359" s="4" t="n">
        <v>0</v>
      </c>
      <c r="R359" s="0" t="str">
        <f aca="false">INDEX(Owners!$B$4:$B$21,MATCH(D359,Owners!$A$4:$A$21,0))</f>
        <v>Finance Systems</v>
      </c>
      <c r="S359" s="6" t="b">
        <f aca="false">AND(F359="closed",ISNUMBER(H359),H359&lt;=Controls!$B$4)</f>
        <v>0</v>
      </c>
      <c r="T359" s="6" t="b">
        <f aca="false">AND(ISNUMBER(I359),I359&lt;=Controls!$B$4,J359="rerun",K359=A359,L359=C359,M359=N359,O359=0,I359&gt;=G359,IF(ISNUMBER(P359),I359&gt;=P359,TRUE()))</f>
        <v>0</v>
      </c>
      <c r="U359" s="0" t="str">
        <f aca="false">IF(AND(S359,T359),"resolved",IF(S359,"claimed","open"))</f>
        <v>open</v>
      </c>
      <c r="V359" s="11" t="n">
        <f aca="false">ROUND((IF(U359="resolved",I359,IF(U359="claimed",H359,Controls!$B$4))-G359)*24,4)</f>
        <v>666.4167</v>
      </c>
      <c r="W359" s="6" t="b">
        <f aca="false">INDEX(Owners!$E$4:$E$21,MATCH(D359,Owners!$A$4:$A$21,0))</f>
        <v>0</v>
      </c>
    </row>
    <row r="360" customFormat="false" ht="15" hidden="false" customHeight="false" outlineLevel="0" collapsed="false">
      <c r="A360" s="4" t="s">
        <v>662</v>
      </c>
      <c r="B360" s="4" t="s">
        <v>98</v>
      </c>
      <c r="C360" s="4" t="s">
        <v>323</v>
      </c>
      <c r="D360" s="4" t="s">
        <v>324</v>
      </c>
      <c r="E360" s="4" t="s">
        <v>202</v>
      </c>
      <c r="F360" s="4" t="s">
        <v>556</v>
      </c>
      <c r="G360" s="5" t="n">
        <v>46273.0840277778</v>
      </c>
      <c r="H360" s="12"/>
      <c r="I360" s="12"/>
      <c r="N360" s="4" t="n">
        <v>1</v>
      </c>
      <c r="P360" s="12"/>
      <c r="Q360" s="4" t="n">
        <v>0</v>
      </c>
      <c r="R360" s="0" t="str">
        <f aca="false">INDEX(Owners!$B$4:$B$21,MATCH(D360,Owners!$A$4:$A$21,0))</f>
        <v>Finance Systems</v>
      </c>
      <c r="S360" s="6" t="b">
        <f aca="false">AND(F360="closed",ISNUMBER(H360),H360&lt;=Controls!$B$4)</f>
        <v>0</v>
      </c>
      <c r="T360" s="6" t="b">
        <f aca="false">AND(ISNUMBER(I360),I360&lt;=Controls!$B$4,J360="rerun",K360=A360,L360=C360,M360=N360,O360=0,I360&gt;=G360,IF(ISNUMBER(P360),I360&gt;=P360,TRUE()))</f>
        <v>0</v>
      </c>
      <c r="U360" s="0" t="str">
        <f aca="false">IF(AND(S360,T360),"resolved",IF(S360,"claimed","open"))</f>
        <v>open</v>
      </c>
      <c r="V360" s="11" t="n">
        <f aca="false">ROUND((IF(U360="resolved",I360,IF(U360="claimed",H360,Controls!$B$4))-G360)*24,4)</f>
        <v>645.9833</v>
      </c>
      <c r="W360" s="6" t="b">
        <f aca="false">INDEX(Owners!$E$4:$E$21,MATCH(D360,Owners!$A$4:$A$21,0))</f>
        <v>1</v>
      </c>
    </row>
    <row r="361" customFormat="false" ht="15" hidden="false" customHeight="false" outlineLevel="0" collapsed="false">
      <c r="A361" s="4" t="s">
        <v>663</v>
      </c>
      <c r="B361" s="4" t="s">
        <v>128</v>
      </c>
      <c r="C361" s="4" t="s">
        <v>304</v>
      </c>
      <c r="D361" s="4" t="s">
        <v>283</v>
      </c>
      <c r="E361" s="4" t="s">
        <v>204</v>
      </c>
      <c r="F361" s="4" t="s">
        <v>556</v>
      </c>
      <c r="G361" s="5" t="n">
        <v>46273.1020833333</v>
      </c>
      <c r="H361" s="12"/>
      <c r="I361" s="12"/>
      <c r="N361" s="4" t="n">
        <v>1</v>
      </c>
      <c r="P361" s="12"/>
      <c r="Q361" s="4" t="n">
        <v>0</v>
      </c>
      <c r="R361" s="0" t="str">
        <f aca="false">INDEX(Owners!$B$4:$B$21,MATCH(D361,Owners!$A$4:$A$21,0))</f>
        <v>Data Platform</v>
      </c>
      <c r="S361" s="6" t="b">
        <f aca="false">AND(F361="closed",ISNUMBER(H361),H361&lt;=Controls!$B$4)</f>
        <v>0</v>
      </c>
      <c r="T361" s="6" t="b">
        <f aca="false">AND(ISNUMBER(I361),I361&lt;=Controls!$B$4,J361="rerun",K361=A361,L361=C361,M361=N361,O361=0,I361&gt;=G361,IF(ISNUMBER(P361),I361&gt;=P361,TRUE()))</f>
        <v>0</v>
      </c>
      <c r="U361" s="0" t="str">
        <f aca="false">IF(AND(S361,T361),"resolved",IF(S361,"claimed","open"))</f>
        <v>open</v>
      </c>
      <c r="V361" s="11" t="n">
        <f aca="false">ROUND((IF(U361="resolved",I361,IF(U361="claimed",H361,Controls!$B$4))-G361)*24,4)</f>
        <v>645.55</v>
      </c>
      <c r="W361" s="6" t="b">
        <f aca="false">INDEX(Owners!$E$4:$E$21,MATCH(D361,Owners!$A$4:$A$21,0))</f>
        <v>1</v>
      </c>
    </row>
    <row r="362" customFormat="false" ht="15" hidden="false" customHeight="false" outlineLevel="0" collapsed="false">
      <c r="A362" s="4" t="s">
        <v>664</v>
      </c>
      <c r="B362" s="4" t="s">
        <v>97</v>
      </c>
      <c r="C362" s="4" t="s">
        <v>208</v>
      </c>
      <c r="D362" s="4" t="s">
        <v>286</v>
      </c>
      <c r="E362" s="4" t="s">
        <v>202</v>
      </c>
      <c r="F362" s="4" t="s">
        <v>562</v>
      </c>
      <c r="G362" s="5" t="n">
        <v>46273.1194444444</v>
      </c>
      <c r="H362" s="12"/>
      <c r="I362" s="12"/>
      <c r="N362" s="4" t="n">
        <v>2</v>
      </c>
      <c r="P362" s="12"/>
      <c r="Q362" s="4" t="n">
        <v>0</v>
      </c>
      <c r="R362" s="0" t="str">
        <f aca="false">INDEX(Owners!$B$4:$B$21,MATCH(D362,Owners!$A$4:$A$21,0))</f>
        <v>Finance Systems</v>
      </c>
      <c r="S362" s="6" t="b">
        <f aca="false">AND(F362="closed",ISNUMBER(H362),H362&lt;=Controls!$B$4)</f>
        <v>0</v>
      </c>
      <c r="T362" s="6" t="b">
        <f aca="false">AND(ISNUMBER(I362),I362&lt;=Controls!$B$4,J362="rerun",K362=A362,L362=C362,M362=N362,O362=0,I362&gt;=G362,IF(ISNUMBER(P362),I362&gt;=P362,TRUE()))</f>
        <v>0</v>
      </c>
      <c r="U362" s="0" t="str">
        <f aca="false">IF(AND(S362,T362),"resolved",IF(S362,"claimed","open"))</f>
        <v>open</v>
      </c>
      <c r="V362" s="11" t="n">
        <f aca="false">ROUND((IF(U362="resolved",I362,IF(U362="claimed",H362,Controls!$B$4))-G362)*24,4)</f>
        <v>645.1333</v>
      </c>
      <c r="W362" s="6" t="b">
        <f aca="false">INDEX(Owners!$E$4:$E$21,MATCH(D362,Owners!$A$4:$A$21,0))</f>
        <v>0</v>
      </c>
    </row>
    <row r="363" customFormat="false" ht="15" hidden="false" customHeight="false" outlineLevel="0" collapsed="false">
      <c r="A363" s="4" t="s">
        <v>665</v>
      </c>
      <c r="B363" s="4" t="s">
        <v>124</v>
      </c>
      <c r="C363" s="4" t="s">
        <v>248</v>
      </c>
      <c r="D363" s="4" t="s">
        <v>301</v>
      </c>
      <c r="E363" s="4" t="s">
        <v>202</v>
      </c>
      <c r="F363" s="4" t="s">
        <v>556</v>
      </c>
      <c r="G363" s="5" t="n">
        <v>46273.1423611111</v>
      </c>
      <c r="H363" s="12"/>
      <c r="I363" s="12"/>
      <c r="N363" s="4" t="n">
        <v>1</v>
      </c>
      <c r="P363" s="12"/>
      <c r="Q363" s="4" t="n">
        <v>0</v>
      </c>
      <c r="R363" s="0" t="str">
        <f aca="false">INDEX(Owners!$B$4:$B$21,MATCH(D363,Owners!$A$4:$A$21,0))</f>
        <v>Data Platform</v>
      </c>
      <c r="S363" s="6" t="b">
        <f aca="false">AND(F363="closed",ISNUMBER(H363),H363&lt;=Controls!$B$4)</f>
        <v>0</v>
      </c>
      <c r="T363" s="6" t="b">
        <f aca="false">AND(ISNUMBER(I363),I363&lt;=Controls!$B$4,J363="rerun",K363=A363,L363=C363,M363=N363,O363=0,I363&gt;=G363,IF(ISNUMBER(P363),I363&gt;=P363,TRUE()))</f>
        <v>0</v>
      </c>
      <c r="U363" s="0" t="str">
        <f aca="false">IF(AND(S363,T363),"resolved",IF(S363,"claimed","open"))</f>
        <v>open</v>
      </c>
      <c r="V363" s="11" t="n">
        <f aca="false">ROUND((IF(U363="resolved",I363,IF(U363="claimed",H363,Controls!$B$4))-G363)*24,4)</f>
        <v>644.5833</v>
      </c>
      <c r="W363" s="6" t="b">
        <f aca="false">INDEX(Owners!$E$4:$E$21,MATCH(D363,Owners!$A$4:$A$21,0))</f>
        <v>1</v>
      </c>
    </row>
    <row r="364" customFormat="false" ht="15" hidden="false" customHeight="false" outlineLevel="0" collapsed="false">
      <c r="A364" s="4" t="s">
        <v>666</v>
      </c>
      <c r="B364" s="4" t="s">
        <v>111</v>
      </c>
      <c r="C364" s="4" t="s">
        <v>229</v>
      </c>
      <c r="D364" s="4" t="s">
        <v>296</v>
      </c>
      <c r="E364" s="4" t="s">
        <v>202</v>
      </c>
      <c r="F364" s="4" t="s">
        <v>277</v>
      </c>
      <c r="G364" s="5" t="n">
        <v>46273.1645833333</v>
      </c>
      <c r="H364" s="5" t="n">
        <v>46277.5444444444</v>
      </c>
      <c r="I364" s="12"/>
      <c r="N364" s="4" t="n">
        <v>1</v>
      </c>
      <c r="P364" s="12"/>
      <c r="Q364" s="4" t="n">
        <v>0</v>
      </c>
      <c r="R364" s="0" t="str">
        <f aca="false">INDEX(Owners!$B$4:$B$21,MATCH(D364,Owners!$A$4:$A$21,0))</f>
        <v>Data Platform</v>
      </c>
      <c r="S364" s="6" t="b">
        <f aca="false">AND(F364="closed",ISNUMBER(H364),H364&lt;=Controls!$B$4)</f>
        <v>1</v>
      </c>
      <c r="T364" s="6" t="b">
        <f aca="false">AND(ISNUMBER(I364),I364&lt;=Controls!$B$4,J364="rerun",K364=A364,L364=C364,M364=N364,O364=0,I364&gt;=G364,IF(ISNUMBER(P364),I364&gt;=P364,TRUE()))</f>
        <v>0</v>
      </c>
      <c r="U364" s="0" t="str">
        <f aca="false">IF(AND(S364,T364),"resolved",IF(S364,"claimed","open"))</f>
        <v>claimed</v>
      </c>
      <c r="V364" s="11" t="n">
        <f aca="false">ROUND((IF(U364="resolved",I364,IF(U364="claimed",H364,Controls!$B$4))-G364)*24,4)</f>
        <v>105.1167</v>
      </c>
      <c r="W364" s="6" t="b">
        <f aca="false">INDEX(Owners!$E$4:$E$21,MATCH(D364,Owners!$A$4:$A$21,0))</f>
        <v>1</v>
      </c>
    </row>
    <row r="365" customFormat="false" ht="15" hidden="false" customHeight="false" outlineLevel="0" collapsed="false">
      <c r="A365" s="4" t="s">
        <v>667</v>
      </c>
      <c r="B365" s="4" t="s">
        <v>110</v>
      </c>
      <c r="C365" s="4" t="s">
        <v>228</v>
      </c>
      <c r="D365" s="4" t="s">
        <v>286</v>
      </c>
      <c r="E365" s="4" t="s">
        <v>202</v>
      </c>
      <c r="F365" s="4" t="s">
        <v>562</v>
      </c>
      <c r="G365" s="5" t="n">
        <v>46273.2145833333</v>
      </c>
      <c r="H365" s="12"/>
      <c r="I365" s="12"/>
      <c r="N365" s="4" t="n">
        <v>2</v>
      </c>
      <c r="P365" s="12"/>
      <c r="Q365" s="4" t="n">
        <v>0</v>
      </c>
      <c r="R365" s="0" t="str">
        <f aca="false">INDEX(Owners!$B$4:$B$21,MATCH(D365,Owners!$A$4:$A$21,0))</f>
        <v>Finance Systems</v>
      </c>
      <c r="S365" s="6" t="b">
        <f aca="false">AND(F365="closed",ISNUMBER(H365),H365&lt;=Controls!$B$4)</f>
        <v>0</v>
      </c>
      <c r="T365" s="6" t="b">
        <f aca="false">AND(ISNUMBER(I365),I365&lt;=Controls!$B$4,J365="rerun",K365=A365,L365=C365,M365=N365,O365=0,I365&gt;=G365,IF(ISNUMBER(P365),I365&gt;=P365,TRUE()))</f>
        <v>0</v>
      </c>
      <c r="U365" s="0" t="str">
        <f aca="false">IF(AND(S365,T365),"resolved",IF(S365,"claimed","open"))</f>
        <v>open</v>
      </c>
      <c r="V365" s="11" t="n">
        <f aca="false">ROUND((IF(U365="resolved",I365,IF(U365="claimed",H365,Controls!$B$4))-G365)*24,4)</f>
        <v>642.85</v>
      </c>
      <c r="W365" s="6" t="b">
        <f aca="false">INDEX(Owners!$E$4:$E$21,MATCH(D365,Owners!$A$4:$A$21,0))</f>
        <v>0</v>
      </c>
    </row>
    <row r="366" customFormat="false" ht="15" hidden="false" customHeight="false" outlineLevel="0" collapsed="false">
      <c r="A366" s="4" t="s">
        <v>668</v>
      </c>
      <c r="B366" s="4" t="s">
        <v>110</v>
      </c>
      <c r="C366" s="4" t="s">
        <v>226</v>
      </c>
      <c r="D366" s="4" t="s">
        <v>286</v>
      </c>
      <c r="E366" s="4" t="s">
        <v>202</v>
      </c>
      <c r="F366" s="4" t="s">
        <v>277</v>
      </c>
      <c r="G366" s="5" t="n">
        <v>46273.2326388889</v>
      </c>
      <c r="H366" s="5" t="n">
        <v>46274.8548611111</v>
      </c>
      <c r="I366" s="5" t="n">
        <v>46275.3701388889</v>
      </c>
      <c r="J366" s="4" t="s">
        <v>284</v>
      </c>
      <c r="K366" s="4" t="s">
        <v>668</v>
      </c>
      <c r="L366" s="4" t="s">
        <v>226</v>
      </c>
      <c r="M366" s="4" t="n">
        <v>1</v>
      </c>
      <c r="N366" s="4" t="n">
        <v>1</v>
      </c>
      <c r="O366" s="4" t="n">
        <v>0</v>
      </c>
      <c r="P366" s="12"/>
      <c r="Q366" s="4" t="n">
        <v>0</v>
      </c>
      <c r="R366" s="0" t="str">
        <f aca="false">INDEX(Owners!$B$4:$B$21,MATCH(D366,Owners!$A$4:$A$21,0))</f>
        <v>Finance Systems</v>
      </c>
      <c r="S366" s="6" t="b">
        <f aca="false">AND(F366="closed",ISNUMBER(H366),H366&lt;=Controls!$B$4)</f>
        <v>1</v>
      </c>
      <c r="T366" s="6" t="b">
        <f aca="false">AND(ISNUMBER(I366),I366&lt;=Controls!$B$4,J366="rerun",K366=A366,L366=C366,M366=N366,O366=0,I366&gt;=G366,IF(ISNUMBER(P366),I366&gt;=P366,TRUE()))</f>
        <v>1</v>
      </c>
      <c r="U366" s="0" t="str">
        <f aca="false">IF(AND(S366,T366),"resolved",IF(S366,"claimed","open"))</f>
        <v>resolved</v>
      </c>
      <c r="V366" s="11" t="n">
        <f aca="false">ROUND((IF(U366="resolved",I366,IF(U366="claimed",H366,Controls!$B$4))-G366)*24,4)</f>
        <v>51.3</v>
      </c>
      <c r="W366" s="6" t="b">
        <f aca="false">INDEX(Owners!$E$4:$E$21,MATCH(D366,Owners!$A$4:$A$21,0))</f>
        <v>0</v>
      </c>
    </row>
    <row r="367" customFormat="false" ht="15" hidden="false" customHeight="false" outlineLevel="0" collapsed="false">
      <c r="A367" s="4" t="s">
        <v>669</v>
      </c>
      <c r="B367" s="4" t="s">
        <v>120</v>
      </c>
      <c r="C367" s="4" t="s">
        <v>244</v>
      </c>
      <c r="D367" s="4" t="s">
        <v>326</v>
      </c>
      <c r="E367" s="4" t="s">
        <v>204</v>
      </c>
      <c r="F367" s="4" t="s">
        <v>556</v>
      </c>
      <c r="G367" s="5" t="n">
        <v>46273.2375</v>
      </c>
      <c r="H367" s="12"/>
      <c r="I367" s="12"/>
      <c r="N367" s="4" t="n">
        <v>1</v>
      </c>
      <c r="P367" s="12"/>
      <c r="Q367" s="4" t="n">
        <v>0</v>
      </c>
      <c r="R367" s="0" t="str">
        <f aca="false">INDEX(Owners!$B$4:$B$21,MATCH(D367,Owners!$A$4:$A$21,0))</f>
        <v>Customer Data</v>
      </c>
      <c r="S367" s="6" t="b">
        <f aca="false">AND(F367="closed",ISNUMBER(H367),H367&lt;=Controls!$B$4)</f>
        <v>0</v>
      </c>
      <c r="T367" s="6" t="b">
        <f aca="false">AND(ISNUMBER(I367),I367&lt;=Controls!$B$4,J367="rerun",K367=A367,L367=C367,M367=N367,O367=0,I367&gt;=G367,IF(ISNUMBER(P367),I367&gt;=P367,TRUE()))</f>
        <v>0</v>
      </c>
      <c r="U367" s="0" t="str">
        <f aca="false">IF(AND(S367,T367),"resolved",IF(S367,"claimed","open"))</f>
        <v>open</v>
      </c>
      <c r="V367" s="11" t="n">
        <f aca="false">ROUND((IF(U367="resolved",I367,IF(U367="claimed",H367,Controls!$B$4))-G367)*24,4)</f>
        <v>642.3</v>
      </c>
      <c r="W367" s="6" t="b">
        <f aca="false">INDEX(Owners!$E$4:$E$21,MATCH(D367,Owners!$A$4:$A$21,0))</f>
        <v>0</v>
      </c>
    </row>
    <row r="368" customFormat="false" ht="15" hidden="false" customHeight="false" outlineLevel="0" collapsed="false">
      <c r="A368" s="4" t="s">
        <v>670</v>
      </c>
      <c r="B368" s="4" t="s">
        <v>98</v>
      </c>
      <c r="C368" s="4" t="s">
        <v>211</v>
      </c>
      <c r="D368" s="4" t="s">
        <v>324</v>
      </c>
      <c r="E368" s="4" t="s">
        <v>204</v>
      </c>
      <c r="F368" s="4" t="s">
        <v>277</v>
      </c>
      <c r="G368" s="5" t="n">
        <v>46273.2416666667</v>
      </c>
      <c r="H368" s="5" t="n">
        <v>46274.1416666667</v>
      </c>
      <c r="I368" s="5" t="n">
        <v>46274.6555555556</v>
      </c>
      <c r="J368" s="4" t="s">
        <v>284</v>
      </c>
      <c r="K368" s="4" t="s">
        <v>670</v>
      </c>
      <c r="L368" s="4" t="s">
        <v>211</v>
      </c>
      <c r="M368" s="4" t="n">
        <v>3</v>
      </c>
      <c r="N368" s="4" t="n">
        <v>3</v>
      </c>
      <c r="O368" s="4" t="n">
        <v>0</v>
      </c>
      <c r="P368" s="12"/>
      <c r="Q368" s="4" t="n">
        <v>0</v>
      </c>
      <c r="R368" s="0" t="str">
        <f aca="false">INDEX(Owners!$B$4:$B$21,MATCH(D368,Owners!$A$4:$A$21,0))</f>
        <v>Finance Systems</v>
      </c>
      <c r="S368" s="6" t="b">
        <f aca="false">AND(F368="closed",ISNUMBER(H368),H368&lt;=Controls!$B$4)</f>
        <v>1</v>
      </c>
      <c r="T368" s="6" t="b">
        <f aca="false">AND(ISNUMBER(I368),I368&lt;=Controls!$B$4,J368="rerun",K368=A368,L368=C368,M368=N368,O368=0,I368&gt;=G368,IF(ISNUMBER(P368),I368&gt;=P368,TRUE()))</f>
        <v>1</v>
      </c>
      <c r="U368" s="0" t="str">
        <f aca="false">IF(AND(S368,T368),"resolved",IF(S368,"claimed","open"))</f>
        <v>resolved</v>
      </c>
      <c r="V368" s="11" t="n">
        <f aca="false">ROUND((IF(U368="resolved",I368,IF(U368="claimed",H368,Controls!$B$4))-G368)*24,4)</f>
        <v>33.9333</v>
      </c>
      <c r="W368" s="6" t="b">
        <f aca="false">INDEX(Owners!$E$4:$E$21,MATCH(D368,Owners!$A$4:$A$21,0))</f>
        <v>1</v>
      </c>
    </row>
    <row r="369" customFormat="false" ht="15" hidden="false" customHeight="false" outlineLevel="0" collapsed="false">
      <c r="A369" s="4" t="s">
        <v>671</v>
      </c>
      <c r="B369" s="4" t="s">
        <v>127</v>
      </c>
      <c r="C369" s="4" t="s">
        <v>252</v>
      </c>
      <c r="D369" s="4" t="s">
        <v>358</v>
      </c>
      <c r="E369" s="4" t="s">
        <v>204</v>
      </c>
      <c r="F369" s="4" t="s">
        <v>277</v>
      </c>
      <c r="G369" s="5" t="n">
        <v>46274.0888888889</v>
      </c>
      <c r="H369" s="5" t="n">
        <v>46280.8194444445</v>
      </c>
      <c r="I369" s="5" t="n">
        <v>46281.1611111111</v>
      </c>
      <c r="J369" s="4" t="s">
        <v>284</v>
      </c>
      <c r="K369" s="4" t="s">
        <v>671</v>
      </c>
      <c r="L369" s="4" t="s">
        <v>252</v>
      </c>
      <c r="M369" s="4" t="n">
        <v>1</v>
      </c>
      <c r="N369" s="4" t="n">
        <v>1</v>
      </c>
      <c r="O369" s="4" t="n">
        <v>0</v>
      </c>
      <c r="P369" s="12"/>
      <c r="Q369" s="4" t="n">
        <v>0</v>
      </c>
      <c r="R369" s="0" t="str">
        <f aca="false">INDEX(Owners!$B$4:$B$21,MATCH(D369,Owners!$A$4:$A$21,0))</f>
        <v>Finance Systems</v>
      </c>
      <c r="S369" s="6" t="b">
        <f aca="false">AND(F369="closed",ISNUMBER(H369),H369&lt;=Controls!$B$4)</f>
        <v>1</v>
      </c>
      <c r="T369" s="6" t="b">
        <f aca="false">AND(ISNUMBER(I369),I369&lt;=Controls!$B$4,J369="rerun",K369=A369,L369=C369,M369=N369,O369=0,I369&gt;=G369,IF(ISNUMBER(P369),I369&gt;=P369,TRUE()))</f>
        <v>1</v>
      </c>
      <c r="U369" s="0" t="str">
        <f aca="false">IF(AND(S369,T369),"resolved",IF(S369,"claimed","open"))</f>
        <v>resolved</v>
      </c>
      <c r="V369" s="11" t="n">
        <f aca="false">ROUND((IF(U369="resolved",I369,IF(U369="claimed",H369,Controls!$B$4))-G369)*24,4)</f>
        <v>169.7333</v>
      </c>
      <c r="W369" s="6" t="b">
        <f aca="false">INDEX(Owners!$E$4:$E$21,MATCH(D369,Owners!$A$4:$A$21,0))</f>
        <v>1</v>
      </c>
    </row>
    <row r="370" customFormat="false" ht="15" hidden="false" customHeight="false" outlineLevel="0" collapsed="false">
      <c r="A370" s="4" t="s">
        <v>672</v>
      </c>
      <c r="B370" s="4" t="s">
        <v>95</v>
      </c>
      <c r="C370" s="4" t="s">
        <v>205</v>
      </c>
      <c r="D370" s="4" t="s">
        <v>283</v>
      </c>
      <c r="E370" s="4" t="s">
        <v>204</v>
      </c>
      <c r="F370" s="4" t="s">
        <v>277</v>
      </c>
      <c r="G370" s="5" t="n">
        <v>46274.1069444444</v>
      </c>
      <c r="H370" s="5" t="n">
        <v>46277.6402777778</v>
      </c>
      <c r="I370" s="5" t="n">
        <v>46277.7590277778</v>
      </c>
      <c r="J370" s="4" t="s">
        <v>284</v>
      </c>
      <c r="K370" s="4" t="s">
        <v>672</v>
      </c>
      <c r="L370" s="4" t="s">
        <v>205</v>
      </c>
      <c r="M370" s="4" t="n">
        <v>1</v>
      </c>
      <c r="N370" s="4" t="n">
        <v>1</v>
      </c>
      <c r="O370" s="4" t="n">
        <v>0</v>
      </c>
      <c r="P370" s="12"/>
      <c r="Q370" s="4" t="n">
        <v>0</v>
      </c>
      <c r="R370" s="0" t="str">
        <f aca="false">INDEX(Owners!$B$4:$B$21,MATCH(D370,Owners!$A$4:$A$21,0))</f>
        <v>Data Platform</v>
      </c>
      <c r="S370" s="6" t="b">
        <f aca="false">AND(F370="closed",ISNUMBER(H370),H370&lt;=Controls!$B$4)</f>
        <v>1</v>
      </c>
      <c r="T370" s="6" t="b">
        <f aca="false">AND(ISNUMBER(I370),I370&lt;=Controls!$B$4,J370="rerun",K370=A370,L370=C370,M370=N370,O370=0,I370&gt;=G370,IF(ISNUMBER(P370),I370&gt;=P370,TRUE()))</f>
        <v>1</v>
      </c>
      <c r="U370" s="0" t="str">
        <f aca="false">IF(AND(S370,T370),"resolved",IF(S370,"claimed","open"))</f>
        <v>resolved</v>
      </c>
      <c r="V370" s="11" t="n">
        <f aca="false">ROUND((IF(U370="resolved",I370,IF(U370="claimed",H370,Controls!$B$4))-G370)*24,4)</f>
        <v>87.65</v>
      </c>
      <c r="W370" s="6" t="b">
        <f aca="false">INDEX(Owners!$E$4:$E$21,MATCH(D370,Owners!$A$4:$A$21,0))</f>
        <v>1</v>
      </c>
    </row>
    <row r="371" customFormat="false" ht="15" hidden="false" customHeight="false" outlineLevel="0" collapsed="false">
      <c r="A371" s="4" t="s">
        <v>673</v>
      </c>
      <c r="B371" s="4" t="s">
        <v>92</v>
      </c>
      <c r="C371" s="4" t="s">
        <v>201</v>
      </c>
      <c r="D371" s="4" t="s">
        <v>330</v>
      </c>
      <c r="E371" s="4" t="s">
        <v>202</v>
      </c>
      <c r="F371" s="4" t="s">
        <v>562</v>
      </c>
      <c r="G371" s="5" t="n">
        <v>46274.1465277778</v>
      </c>
      <c r="H371" s="12"/>
      <c r="I371" s="12"/>
      <c r="N371" s="4" t="n">
        <v>1</v>
      </c>
      <c r="P371" s="12"/>
      <c r="Q371" s="4" t="n">
        <v>0</v>
      </c>
      <c r="R371" s="0" t="str">
        <f aca="false">INDEX(Owners!$B$4:$B$21,MATCH(D371,Owners!$A$4:$A$21,0))</f>
        <v>Supply Chain</v>
      </c>
      <c r="S371" s="6" t="b">
        <f aca="false">AND(F371="closed",ISNUMBER(H371),H371&lt;=Controls!$B$4)</f>
        <v>0</v>
      </c>
      <c r="T371" s="6" t="b">
        <f aca="false">AND(ISNUMBER(I371),I371&lt;=Controls!$B$4,J371="rerun",K371=A371,L371=C371,M371=N371,O371=0,I371&gt;=G371,IF(ISNUMBER(P371),I371&gt;=P371,TRUE()))</f>
        <v>0</v>
      </c>
      <c r="U371" s="0" t="str">
        <f aca="false">IF(AND(S371,T371),"resolved",IF(S371,"claimed","open"))</f>
        <v>open</v>
      </c>
      <c r="V371" s="11" t="n">
        <f aca="false">ROUND((IF(U371="resolved",I371,IF(U371="claimed",H371,Controls!$B$4))-G371)*24,4)</f>
        <v>620.4833</v>
      </c>
      <c r="W371" s="6" t="b">
        <f aca="false">INDEX(Owners!$E$4:$E$21,MATCH(D371,Owners!$A$4:$A$21,0))</f>
        <v>1</v>
      </c>
    </row>
    <row r="372" customFormat="false" ht="15" hidden="false" customHeight="false" outlineLevel="0" collapsed="false">
      <c r="A372" s="4" t="s">
        <v>674</v>
      </c>
      <c r="B372" s="4" t="s">
        <v>111</v>
      </c>
      <c r="C372" s="4" t="s">
        <v>229</v>
      </c>
      <c r="D372" s="4" t="s">
        <v>296</v>
      </c>
      <c r="E372" s="4" t="s">
        <v>202</v>
      </c>
      <c r="F372" s="4" t="s">
        <v>556</v>
      </c>
      <c r="G372" s="5" t="n">
        <v>46274.1645833333</v>
      </c>
      <c r="H372" s="12"/>
      <c r="I372" s="12"/>
      <c r="N372" s="4" t="n">
        <v>1</v>
      </c>
      <c r="P372" s="12"/>
      <c r="Q372" s="4" t="n">
        <v>0</v>
      </c>
      <c r="R372" s="0" t="str">
        <f aca="false">INDEX(Owners!$B$4:$B$21,MATCH(D372,Owners!$A$4:$A$21,0))</f>
        <v>Data Platform</v>
      </c>
      <c r="S372" s="6" t="b">
        <f aca="false">AND(F372="closed",ISNUMBER(H372),H372&lt;=Controls!$B$4)</f>
        <v>0</v>
      </c>
      <c r="T372" s="6" t="b">
        <f aca="false">AND(ISNUMBER(I372),I372&lt;=Controls!$B$4,J372="rerun",K372=A372,L372=C372,M372=N372,O372=0,I372&gt;=G372,IF(ISNUMBER(P372),I372&gt;=P372,TRUE()))</f>
        <v>0</v>
      </c>
      <c r="U372" s="0" t="str">
        <f aca="false">IF(AND(S372,T372),"resolved",IF(S372,"claimed","open"))</f>
        <v>open</v>
      </c>
      <c r="V372" s="11" t="n">
        <f aca="false">ROUND((IF(U372="resolved",I372,IF(U372="claimed",H372,Controls!$B$4))-G372)*24,4)</f>
        <v>620.05</v>
      </c>
      <c r="W372" s="6" t="b">
        <f aca="false">INDEX(Owners!$E$4:$E$21,MATCH(D372,Owners!$A$4:$A$21,0))</f>
        <v>1</v>
      </c>
    </row>
    <row r="373" customFormat="false" ht="15" hidden="false" customHeight="false" outlineLevel="0" collapsed="false">
      <c r="A373" s="4" t="s">
        <v>675</v>
      </c>
      <c r="B373" s="4" t="s">
        <v>125</v>
      </c>
      <c r="C373" s="4" t="s">
        <v>249</v>
      </c>
      <c r="D373" s="4" t="s">
        <v>334</v>
      </c>
      <c r="E373" s="4" t="s">
        <v>204</v>
      </c>
      <c r="F373" s="4" t="s">
        <v>277</v>
      </c>
      <c r="G373" s="5" t="n">
        <v>46274.1694444444</v>
      </c>
      <c r="H373" s="5" t="n">
        <v>46279.7277777778</v>
      </c>
      <c r="I373" s="5" t="n">
        <v>46280.0090277778</v>
      </c>
      <c r="J373" s="4" t="s">
        <v>284</v>
      </c>
      <c r="K373" s="4" t="s">
        <v>675</v>
      </c>
      <c r="L373" s="4" t="s">
        <v>249</v>
      </c>
      <c r="M373" s="4" t="n">
        <v>1</v>
      </c>
      <c r="N373" s="4" t="n">
        <v>1</v>
      </c>
      <c r="O373" s="4" t="n">
        <v>0</v>
      </c>
      <c r="P373" s="12"/>
      <c r="Q373" s="4" t="n">
        <v>0</v>
      </c>
      <c r="R373" s="0" t="str">
        <f aca="false">INDEX(Owners!$B$4:$B$21,MATCH(D373,Owners!$A$4:$A$21,0))</f>
        <v>Supply Chain</v>
      </c>
      <c r="S373" s="6" t="b">
        <f aca="false">AND(F373="closed",ISNUMBER(H373),H373&lt;=Controls!$B$4)</f>
        <v>1</v>
      </c>
      <c r="T373" s="6" t="b">
        <f aca="false">AND(ISNUMBER(I373),I373&lt;=Controls!$B$4,J373="rerun",K373=A373,L373=C373,M373=N373,O373=0,I373&gt;=G373,IF(ISNUMBER(P373),I373&gt;=P373,TRUE()))</f>
        <v>1</v>
      </c>
      <c r="U373" s="0" t="str">
        <f aca="false">IF(AND(S373,T373),"resolved",IF(S373,"claimed","open"))</f>
        <v>resolved</v>
      </c>
      <c r="V373" s="11" t="n">
        <f aca="false">ROUND((IF(U373="resolved",I373,IF(U373="claimed",H373,Controls!$B$4))-G373)*24,4)</f>
        <v>140.15</v>
      </c>
      <c r="W373" s="6" t="b">
        <f aca="false">INDEX(Owners!$E$4:$E$21,MATCH(D373,Owners!$A$4:$A$21,0))</f>
        <v>0</v>
      </c>
    </row>
    <row r="374" customFormat="false" ht="15" hidden="false" customHeight="false" outlineLevel="0" collapsed="false">
      <c r="A374" s="4" t="s">
        <v>676</v>
      </c>
      <c r="B374" s="4" t="s">
        <v>131</v>
      </c>
      <c r="C374" s="4" t="s">
        <v>257</v>
      </c>
      <c r="D374" s="4" t="s">
        <v>283</v>
      </c>
      <c r="E374" s="4" t="s">
        <v>202</v>
      </c>
      <c r="F374" s="4" t="s">
        <v>562</v>
      </c>
      <c r="G374" s="5" t="n">
        <v>46274.1923611111</v>
      </c>
      <c r="H374" s="12"/>
      <c r="I374" s="12"/>
      <c r="N374" s="4" t="n">
        <v>1</v>
      </c>
      <c r="P374" s="12"/>
      <c r="Q374" s="4" t="n">
        <v>0</v>
      </c>
      <c r="R374" s="0" t="str">
        <f aca="false">INDEX(Owners!$B$4:$B$21,MATCH(D374,Owners!$A$4:$A$21,0))</f>
        <v>Data Platform</v>
      </c>
      <c r="S374" s="6" t="b">
        <f aca="false">AND(F374="closed",ISNUMBER(H374),H374&lt;=Controls!$B$4)</f>
        <v>0</v>
      </c>
      <c r="T374" s="6" t="b">
        <f aca="false">AND(ISNUMBER(I374),I374&lt;=Controls!$B$4,J374="rerun",K374=A374,L374=C374,M374=N374,O374=0,I374&gt;=G374,IF(ISNUMBER(P374),I374&gt;=P374,TRUE()))</f>
        <v>0</v>
      </c>
      <c r="U374" s="0" t="str">
        <f aca="false">IF(AND(S374,T374),"resolved",IF(S374,"claimed","open"))</f>
        <v>open</v>
      </c>
      <c r="V374" s="11" t="n">
        <f aca="false">ROUND((IF(U374="resolved",I374,IF(U374="claimed",H374,Controls!$B$4))-G374)*24,4)</f>
        <v>619.3833</v>
      </c>
      <c r="W374" s="6" t="b">
        <f aca="false">INDEX(Owners!$E$4:$E$21,MATCH(D374,Owners!$A$4:$A$21,0))</f>
        <v>1</v>
      </c>
    </row>
    <row r="375" customFormat="false" ht="15" hidden="false" customHeight="false" outlineLevel="0" collapsed="false">
      <c r="A375" s="4" t="s">
        <v>677</v>
      </c>
      <c r="B375" s="4" t="s">
        <v>131</v>
      </c>
      <c r="C375" s="4" t="s">
        <v>259</v>
      </c>
      <c r="D375" s="4" t="s">
        <v>283</v>
      </c>
      <c r="E375" s="4" t="s">
        <v>202</v>
      </c>
      <c r="F375" s="4" t="s">
        <v>562</v>
      </c>
      <c r="G375" s="5" t="n">
        <v>46274.2013888889</v>
      </c>
      <c r="H375" s="5" t="n">
        <v>46275.7625</v>
      </c>
      <c r="I375" s="5" t="n">
        <v>46275.9416666667</v>
      </c>
      <c r="J375" s="4" t="s">
        <v>284</v>
      </c>
      <c r="K375" s="4" t="s">
        <v>677</v>
      </c>
      <c r="L375" s="4" t="s">
        <v>259</v>
      </c>
      <c r="M375" s="4" t="n">
        <v>1</v>
      </c>
      <c r="N375" s="4" t="n">
        <v>1</v>
      </c>
      <c r="O375" s="4" t="n">
        <v>0</v>
      </c>
      <c r="P375" s="5" t="n">
        <v>46285.7395833333</v>
      </c>
      <c r="Q375" s="4" t="n">
        <v>1</v>
      </c>
      <c r="R375" s="0" t="str">
        <f aca="false">INDEX(Owners!$B$4:$B$21,MATCH(D375,Owners!$A$4:$A$21,0))</f>
        <v>Data Platform</v>
      </c>
      <c r="S375" s="6" t="b">
        <f aca="false">AND(F375="closed",ISNUMBER(H375),H375&lt;=Controls!$B$4)</f>
        <v>0</v>
      </c>
      <c r="T375" s="6" t="b">
        <f aca="false">AND(ISNUMBER(I375),I375&lt;=Controls!$B$4,J375="rerun",K375=A375,L375=C375,M375=N375,O375=0,I375&gt;=G375,IF(ISNUMBER(P375),I375&gt;=P375,TRUE()))</f>
        <v>0</v>
      </c>
      <c r="U375" s="0" t="str">
        <f aca="false">IF(AND(S375,T375),"resolved",IF(S375,"claimed","open"))</f>
        <v>open</v>
      </c>
      <c r="V375" s="11" t="n">
        <f aca="false">ROUND((IF(U375="resolved",I375,IF(U375="claimed",H375,Controls!$B$4))-G375)*24,4)</f>
        <v>619.1667</v>
      </c>
      <c r="W375" s="6" t="b">
        <f aca="false">INDEX(Owners!$E$4:$E$21,MATCH(D375,Owners!$A$4:$A$21,0))</f>
        <v>1</v>
      </c>
    </row>
    <row r="376" customFormat="false" ht="15" hidden="false" customHeight="false" outlineLevel="0" collapsed="false">
      <c r="A376" s="4" t="s">
        <v>678</v>
      </c>
      <c r="B376" s="4" t="s">
        <v>110</v>
      </c>
      <c r="C376" s="4" t="s">
        <v>227</v>
      </c>
      <c r="D376" s="4" t="s">
        <v>286</v>
      </c>
      <c r="E376" s="4" t="s">
        <v>216</v>
      </c>
      <c r="F376" s="4" t="s">
        <v>277</v>
      </c>
      <c r="G376" s="5" t="n">
        <v>46274.2236111111</v>
      </c>
      <c r="H376" s="5" t="n">
        <v>46276.1875</v>
      </c>
      <c r="I376" s="5" t="n">
        <v>46276.7451388889</v>
      </c>
      <c r="J376" s="4" t="s">
        <v>284</v>
      </c>
      <c r="K376" s="4" t="s">
        <v>678</v>
      </c>
      <c r="L376" s="4" t="s">
        <v>227</v>
      </c>
      <c r="M376" s="4" t="n">
        <v>1</v>
      </c>
      <c r="N376" s="4" t="n">
        <v>1</v>
      </c>
      <c r="O376" s="4" t="n">
        <v>0</v>
      </c>
      <c r="P376" s="12"/>
      <c r="Q376" s="4" t="n">
        <v>0</v>
      </c>
      <c r="R376" s="0" t="str">
        <f aca="false">INDEX(Owners!$B$4:$B$21,MATCH(D376,Owners!$A$4:$A$21,0))</f>
        <v>Finance Systems</v>
      </c>
      <c r="S376" s="6" t="b">
        <f aca="false">AND(F376="closed",ISNUMBER(H376),H376&lt;=Controls!$B$4)</f>
        <v>1</v>
      </c>
      <c r="T376" s="6" t="b">
        <f aca="false">AND(ISNUMBER(I376),I376&lt;=Controls!$B$4,J376="rerun",K376=A376,L376=C376,M376=N376,O376=0,I376&gt;=G376,IF(ISNUMBER(P376),I376&gt;=P376,TRUE()))</f>
        <v>1</v>
      </c>
      <c r="U376" s="0" t="str">
        <f aca="false">IF(AND(S376,T376),"resolved",IF(S376,"claimed","open"))</f>
        <v>resolved</v>
      </c>
      <c r="V376" s="11" t="n">
        <f aca="false">ROUND((IF(U376="resolved",I376,IF(U376="claimed",H376,Controls!$B$4))-G376)*24,4)</f>
        <v>60.5167</v>
      </c>
      <c r="W376" s="6" t="b">
        <f aca="false">INDEX(Owners!$E$4:$E$21,MATCH(D376,Owners!$A$4:$A$21,0))</f>
        <v>0</v>
      </c>
    </row>
    <row r="377" customFormat="false" ht="15" hidden="false" customHeight="false" outlineLevel="0" collapsed="false">
      <c r="A377" s="4" t="s">
        <v>679</v>
      </c>
      <c r="B377" s="4" t="s">
        <v>124</v>
      </c>
      <c r="C377" s="4" t="s">
        <v>248</v>
      </c>
      <c r="D377" s="4" t="s">
        <v>301</v>
      </c>
      <c r="E377" s="4" t="s">
        <v>202</v>
      </c>
      <c r="F377" s="4" t="s">
        <v>277</v>
      </c>
      <c r="G377" s="5" t="n">
        <v>46275.1423611111</v>
      </c>
      <c r="H377" s="5" t="n">
        <v>46276.25</v>
      </c>
      <c r="I377" s="12"/>
      <c r="N377" s="4" t="n">
        <v>1</v>
      </c>
      <c r="P377" s="12"/>
      <c r="Q377" s="4" t="n">
        <v>0</v>
      </c>
      <c r="R377" s="0" t="str">
        <f aca="false">INDEX(Owners!$B$4:$B$21,MATCH(D377,Owners!$A$4:$A$21,0))</f>
        <v>Data Platform</v>
      </c>
      <c r="S377" s="6" t="b">
        <f aca="false">AND(F377="closed",ISNUMBER(H377),H377&lt;=Controls!$B$4)</f>
        <v>1</v>
      </c>
      <c r="T377" s="6" t="b">
        <f aca="false">AND(ISNUMBER(I377),I377&lt;=Controls!$B$4,J377="rerun",K377=A377,L377=C377,M377=N377,O377=0,I377&gt;=G377,IF(ISNUMBER(P377),I377&gt;=P377,TRUE()))</f>
        <v>0</v>
      </c>
      <c r="U377" s="0" t="str">
        <f aca="false">IF(AND(S377,T377),"resolved",IF(S377,"claimed","open"))</f>
        <v>claimed</v>
      </c>
      <c r="V377" s="11" t="n">
        <f aca="false">ROUND((IF(U377="resolved",I377,IF(U377="claimed",H377,Controls!$B$4))-G377)*24,4)</f>
        <v>26.5833</v>
      </c>
      <c r="W377" s="6" t="b">
        <f aca="false">INDEX(Owners!$E$4:$E$21,MATCH(D377,Owners!$A$4:$A$21,0))</f>
        <v>1</v>
      </c>
    </row>
    <row r="378" customFormat="false" ht="15" hidden="false" customHeight="false" outlineLevel="0" collapsed="false">
      <c r="A378" s="4" t="s">
        <v>680</v>
      </c>
      <c r="B378" s="4" t="s">
        <v>92</v>
      </c>
      <c r="C378" s="4" t="s">
        <v>201</v>
      </c>
      <c r="D378" s="4" t="s">
        <v>330</v>
      </c>
      <c r="E378" s="4" t="s">
        <v>202</v>
      </c>
      <c r="F378" s="4" t="s">
        <v>277</v>
      </c>
      <c r="G378" s="5" t="n">
        <v>46275.1465277778</v>
      </c>
      <c r="H378" s="5" t="n">
        <v>46276.375</v>
      </c>
      <c r="I378" s="5" t="n">
        <v>46276.8930555556</v>
      </c>
      <c r="J378" s="4" t="s">
        <v>284</v>
      </c>
      <c r="K378" s="4" t="s">
        <v>680</v>
      </c>
      <c r="L378" s="4" t="s">
        <v>201</v>
      </c>
      <c r="M378" s="4" t="n">
        <v>1</v>
      </c>
      <c r="N378" s="4" t="n">
        <v>1</v>
      </c>
      <c r="O378" s="4" t="n">
        <v>0</v>
      </c>
      <c r="P378" s="12"/>
      <c r="Q378" s="4" t="n">
        <v>0</v>
      </c>
      <c r="R378" s="0" t="str">
        <f aca="false">INDEX(Owners!$B$4:$B$21,MATCH(D378,Owners!$A$4:$A$21,0))</f>
        <v>Supply Chain</v>
      </c>
      <c r="S378" s="6" t="b">
        <f aca="false">AND(F378="closed",ISNUMBER(H378),H378&lt;=Controls!$B$4)</f>
        <v>1</v>
      </c>
      <c r="T378" s="6" t="b">
        <f aca="false">AND(ISNUMBER(I378),I378&lt;=Controls!$B$4,J378="rerun",K378=A378,L378=C378,M378=N378,O378=0,I378&gt;=G378,IF(ISNUMBER(P378),I378&gt;=P378,TRUE()))</f>
        <v>1</v>
      </c>
      <c r="U378" s="0" t="str">
        <f aca="false">IF(AND(S378,T378),"resolved",IF(S378,"claimed","open"))</f>
        <v>resolved</v>
      </c>
      <c r="V378" s="11" t="n">
        <f aca="false">ROUND((IF(U378="resolved",I378,IF(U378="claimed",H378,Controls!$B$4))-G378)*24,4)</f>
        <v>41.9167</v>
      </c>
      <c r="W378" s="6" t="b">
        <f aca="false">INDEX(Owners!$E$4:$E$21,MATCH(D378,Owners!$A$4:$A$21,0))</f>
        <v>1</v>
      </c>
    </row>
    <row r="379" customFormat="false" ht="15" hidden="false" customHeight="false" outlineLevel="0" collapsed="false">
      <c r="A379" s="4" t="s">
        <v>681</v>
      </c>
      <c r="B379" s="4" t="s">
        <v>124</v>
      </c>
      <c r="C379" s="4" t="s">
        <v>247</v>
      </c>
      <c r="D379" s="4" t="s">
        <v>301</v>
      </c>
      <c r="E379" s="4" t="s">
        <v>202</v>
      </c>
      <c r="F379" s="4" t="s">
        <v>277</v>
      </c>
      <c r="G379" s="5" t="n">
        <v>46275.1513888889</v>
      </c>
      <c r="H379" s="5" t="n">
        <v>46277.1444444444</v>
      </c>
      <c r="I379" s="12"/>
      <c r="N379" s="4" t="n">
        <v>1</v>
      </c>
      <c r="P379" s="12"/>
      <c r="Q379" s="4" t="n">
        <v>0</v>
      </c>
      <c r="R379" s="0" t="str">
        <f aca="false">INDEX(Owners!$B$4:$B$21,MATCH(D379,Owners!$A$4:$A$21,0))</f>
        <v>Data Platform</v>
      </c>
      <c r="S379" s="6" t="b">
        <f aca="false">AND(F379="closed",ISNUMBER(H379),H379&lt;=Controls!$B$4)</f>
        <v>1</v>
      </c>
      <c r="T379" s="6" t="b">
        <f aca="false">AND(ISNUMBER(I379),I379&lt;=Controls!$B$4,J379="rerun",K379=A379,L379=C379,M379=N379,O379=0,I379&gt;=G379,IF(ISNUMBER(P379),I379&gt;=P379,TRUE()))</f>
        <v>0</v>
      </c>
      <c r="U379" s="0" t="str">
        <f aca="false">IF(AND(S379,T379),"resolved",IF(S379,"claimed","open"))</f>
        <v>claimed</v>
      </c>
      <c r="V379" s="11" t="n">
        <f aca="false">ROUND((IF(U379="resolved",I379,IF(U379="claimed",H379,Controls!$B$4))-G379)*24,4)</f>
        <v>47.8333</v>
      </c>
      <c r="W379" s="6" t="b">
        <f aca="false">INDEX(Owners!$E$4:$E$21,MATCH(D379,Owners!$A$4:$A$21,0))</f>
        <v>1</v>
      </c>
    </row>
    <row r="380" customFormat="false" ht="15" hidden="false" customHeight="false" outlineLevel="0" collapsed="false">
      <c r="A380" s="4" t="s">
        <v>682</v>
      </c>
      <c r="B380" s="4" t="s">
        <v>109</v>
      </c>
      <c r="C380" s="4" t="s">
        <v>307</v>
      </c>
      <c r="D380" s="4" t="s">
        <v>292</v>
      </c>
      <c r="E380" s="4" t="s">
        <v>202</v>
      </c>
      <c r="F380" s="4" t="s">
        <v>277</v>
      </c>
      <c r="G380" s="5" t="n">
        <v>46275.1555555556</v>
      </c>
      <c r="H380" s="5" t="n">
        <v>46276.9430555556</v>
      </c>
      <c r="I380" s="5" t="n">
        <v>46277.2930555556</v>
      </c>
      <c r="J380" s="4" t="s">
        <v>284</v>
      </c>
      <c r="K380" s="4" t="s">
        <v>682</v>
      </c>
      <c r="L380" s="4" t="s">
        <v>307</v>
      </c>
      <c r="M380" s="4" t="n">
        <v>1</v>
      </c>
      <c r="N380" s="4" t="n">
        <v>1</v>
      </c>
      <c r="O380" s="4" t="n">
        <v>0</v>
      </c>
      <c r="P380" s="12"/>
      <c r="Q380" s="4" t="n">
        <v>0</v>
      </c>
      <c r="R380" s="0" t="str">
        <f aca="false">INDEX(Owners!$B$4:$B$21,MATCH(D380,Owners!$A$4:$A$21,0))</f>
        <v>Support Operations</v>
      </c>
      <c r="S380" s="6" t="b">
        <f aca="false">AND(F380="closed",ISNUMBER(H380),H380&lt;=Controls!$B$4)</f>
        <v>1</v>
      </c>
      <c r="T380" s="6" t="b">
        <f aca="false">AND(ISNUMBER(I380),I380&lt;=Controls!$B$4,J380="rerun",K380=A380,L380=C380,M380=N380,O380=0,I380&gt;=G380,IF(ISNUMBER(P380),I380&gt;=P380,TRUE()))</f>
        <v>1</v>
      </c>
      <c r="U380" s="0" t="str">
        <f aca="false">IF(AND(S380,T380),"resolved",IF(S380,"claimed","open"))</f>
        <v>resolved</v>
      </c>
      <c r="V380" s="11" t="n">
        <f aca="false">ROUND((IF(U380="resolved",I380,IF(U380="claimed",H380,Controls!$B$4))-G380)*24,4)</f>
        <v>51.3</v>
      </c>
      <c r="W380" s="6" t="b">
        <f aca="false">INDEX(Owners!$E$4:$E$21,MATCH(D380,Owners!$A$4:$A$21,0))</f>
        <v>1</v>
      </c>
    </row>
    <row r="381" customFormat="false" ht="15" hidden="false" customHeight="false" outlineLevel="0" collapsed="false">
      <c r="A381" s="4" t="s">
        <v>683</v>
      </c>
      <c r="B381" s="4" t="s">
        <v>118</v>
      </c>
      <c r="C381" s="4" t="s">
        <v>242</v>
      </c>
      <c r="D381" s="4" t="s">
        <v>296</v>
      </c>
      <c r="E381" s="4" t="s">
        <v>202</v>
      </c>
      <c r="F381" s="4" t="s">
        <v>277</v>
      </c>
      <c r="G381" s="5" t="n">
        <v>46275.1965277778</v>
      </c>
      <c r="H381" s="5" t="n">
        <v>46275.6888888889</v>
      </c>
      <c r="I381" s="5" t="n">
        <v>46275.8479166667</v>
      </c>
      <c r="J381" s="4" t="s">
        <v>284</v>
      </c>
      <c r="K381" s="4" t="s">
        <v>683</v>
      </c>
      <c r="L381" s="4" t="s">
        <v>242</v>
      </c>
      <c r="M381" s="4" t="n">
        <v>1</v>
      </c>
      <c r="N381" s="4" t="n">
        <v>1</v>
      </c>
      <c r="O381" s="4" t="n">
        <v>0</v>
      </c>
      <c r="P381" s="12"/>
      <c r="Q381" s="4" t="n">
        <v>0</v>
      </c>
      <c r="R381" s="0" t="str">
        <f aca="false">INDEX(Owners!$B$4:$B$21,MATCH(D381,Owners!$A$4:$A$21,0))</f>
        <v>Data Platform</v>
      </c>
      <c r="S381" s="6" t="b">
        <f aca="false">AND(F381="closed",ISNUMBER(H381),H381&lt;=Controls!$B$4)</f>
        <v>1</v>
      </c>
      <c r="T381" s="6" t="b">
        <f aca="false">AND(ISNUMBER(I381),I381&lt;=Controls!$B$4,J381="rerun",K381=A381,L381=C381,M381=N381,O381=0,I381&gt;=G381,IF(ISNUMBER(P381),I381&gt;=P381,TRUE()))</f>
        <v>1</v>
      </c>
      <c r="U381" s="0" t="str">
        <f aca="false">IF(AND(S381,T381),"resolved",IF(S381,"claimed","open"))</f>
        <v>resolved</v>
      </c>
      <c r="V381" s="11" t="n">
        <f aca="false">ROUND((IF(U381="resolved",I381,IF(U381="claimed",H381,Controls!$B$4))-G381)*24,4)</f>
        <v>15.6333</v>
      </c>
      <c r="W381" s="6" t="b">
        <f aca="false">INDEX(Owners!$E$4:$E$21,MATCH(D381,Owners!$A$4:$A$21,0))</f>
        <v>1</v>
      </c>
    </row>
    <row r="382" customFormat="false" ht="15" hidden="false" customHeight="false" outlineLevel="0" collapsed="false">
      <c r="A382" s="4" t="s">
        <v>684</v>
      </c>
      <c r="B382" s="4" t="s">
        <v>96</v>
      </c>
      <c r="C382" s="4" t="s">
        <v>206</v>
      </c>
      <c r="D382" s="4" t="s">
        <v>330</v>
      </c>
      <c r="E382" s="4" t="s">
        <v>202</v>
      </c>
      <c r="F382" s="4" t="s">
        <v>562</v>
      </c>
      <c r="G382" s="5" t="n">
        <v>46275.2194444445</v>
      </c>
      <c r="H382" s="12"/>
      <c r="I382" s="12"/>
      <c r="N382" s="4" t="n">
        <v>1</v>
      </c>
      <c r="P382" s="12"/>
      <c r="Q382" s="4" t="n">
        <v>0</v>
      </c>
      <c r="R382" s="0" t="str">
        <f aca="false">INDEX(Owners!$B$4:$B$21,MATCH(D382,Owners!$A$4:$A$21,0))</f>
        <v>Supply Chain</v>
      </c>
      <c r="S382" s="6" t="b">
        <f aca="false">AND(F382="closed",ISNUMBER(H382),H382&lt;=Controls!$B$4)</f>
        <v>0</v>
      </c>
      <c r="T382" s="6" t="b">
        <f aca="false">AND(ISNUMBER(I382),I382&lt;=Controls!$B$4,J382="rerun",K382=A382,L382=C382,M382=N382,O382=0,I382&gt;=G382,IF(ISNUMBER(P382),I382&gt;=P382,TRUE()))</f>
        <v>0</v>
      </c>
      <c r="U382" s="0" t="str">
        <f aca="false">IF(AND(S382,T382),"resolved",IF(S382,"claimed","open"))</f>
        <v>open</v>
      </c>
      <c r="V382" s="11" t="n">
        <f aca="false">ROUND((IF(U382="resolved",I382,IF(U382="claimed",H382,Controls!$B$4))-G382)*24,4)</f>
        <v>594.7333</v>
      </c>
      <c r="W382" s="6" t="b">
        <f aca="false">INDEX(Owners!$E$4:$E$21,MATCH(D382,Owners!$A$4:$A$21,0))</f>
        <v>1</v>
      </c>
    </row>
    <row r="383" customFormat="false" ht="15" hidden="false" customHeight="false" outlineLevel="0" collapsed="false">
      <c r="A383" s="4" t="s">
        <v>685</v>
      </c>
      <c r="B383" s="4" t="s">
        <v>120</v>
      </c>
      <c r="C383" s="4" t="s">
        <v>244</v>
      </c>
      <c r="D383" s="4" t="s">
        <v>326</v>
      </c>
      <c r="E383" s="4" t="s">
        <v>204</v>
      </c>
      <c r="F383" s="4" t="s">
        <v>562</v>
      </c>
      <c r="G383" s="5" t="n">
        <v>46275.2375</v>
      </c>
      <c r="H383" s="12"/>
      <c r="I383" s="12"/>
      <c r="N383" s="4" t="n">
        <v>1</v>
      </c>
      <c r="P383" s="12"/>
      <c r="Q383" s="4" t="n">
        <v>0</v>
      </c>
      <c r="R383" s="0" t="str">
        <f aca="false">INDEX(Owners!$B$4:$B$21,MATCH(D383,Owners!$A$4:$A$21,0))</f>
        <v>Customer Data</v>
      </c>
      <c r="S383" s="6" t="b">
        <f aca="false">AND(F383="closed",ISNUMBER(H383),H383&lt;=Controls!$B$4)</f>
        <v>0</v>
      </c>
      <c r="T383" s="6" t="b">
        <f aca="false">AND(ISNUMBER(I383),I383&lt;=Controls!$B$4,J383="rerun",K383=A383,L383=C383,M383=N383,O383=0,I383&gt;=G383,IF(ISNUMBER(P383),I383&gt;=P383,TRUE()))</f>
        <v>0</v>
      </c>
      <c r="U383" s="0" t="str">
        <f aca="false">IF(AND(S383,T383),"resolved",IF(S383,"claimed","open"))</f>
        <v>open</v>
      </c>
      <c r="V383" s="11" t="n">
        <f aca="false">ROUND((IF(U383="resolved",I383,IF(U383="claimed",H383,Controls!$B$4))-G383)*24,4)</f>
        <v>594.3</v>
      </c>
      <c r="W383" s="6" t="b">
        <f aca="false">INDEX(Owners!$E$4:$E$21,MATCH(D383,Owners!$A$4:$A$21,0))</f>
        <v>0</v>
      </c>
    </row>
    <row r="384" customFormat="false" ht="15" hidden="false" customHeight="false" outlineLevel="0" collapsed="false">
      <c r="A384" s="4" t="s">
        <v>686</v>
      </c>
      <c r="B384" s="4" t="s">
        <v>117</v>
      </c>
      <c r="C384" s="4" t="s">
        <v>240</v>
      </c>
      <c r="D384" s="4" t="s">
        <v>288</v>
      </c>
      <c r="E384" s="4" t="s">
        <v>204</v>
      </c>
      <c r="F384" s="4" t="s">
        <v>277</v>
      </c>
      <c r="G384" s="5" t="n">
        <v>46275.2458333333</v>
      </c>
      <c r="H384" s="5" t="n">
        <v>46276.8152777778</v>
      </c>
      <c r="I384" s="5" t="n">
        <v>46277.3590277778</v>
      </c>
      <c r="J384" s="4" t="s">
        <v>284</v>
      </c>
      <c r="K384" s="4" t="s">
        <v>686</v>
      </c>
      <c r="L384" s="4" t="s">
        <v>240</v>
      </c>
      <c r="M384" s="4" t="n">
        <v>1</v>
      </c>
      <c r="N384" s="4" t="n">
        <v>1</v>
      </c>
      <c r="O384" s="4" t="n">
        <v>0</v>
      </c>
      <c r="P384" s="12"/>
      <c r="Q384" s="4" t="n">
        <v>0</v>
      </c>
      <c r="R384" s="0" t="str">
        <f aca="false">INDEX(Owners!$B$4:$B$21,MATCH(D384,Owners!$A$4:$A$21,0))</f>
        <v>Support Operations</v>
      </c>
      <c r="S384" s="6" t="b">
        <f aca="false">AND(F384="closed",ISNUMBER(H384),H384&lt;=Controls!$B$4)</f>
        <v>1</v>
      </c>
      <c r="T384" s="6" t="b">
        <f aca="false">AND(ISNUMBER(I384),I384&lt;=Controls!$B$4,J384="rerun",K384=A384,L384=C384,M384=N384,O384=0,I384&gt;=G384,IF(ISNUMBER(P384),I384&gt;=P384,TRUE()))</f>
        <v>1</v>
      </c>
      <c r="U384" s="0" t="str">
        <f aca="false">IF(AND(S384,T384),"resolved",IF(S384,"claimed","open"))</f>
        <v>resolved</v>
      </c>
      <c r="V384" s="11" t="n">
        <f aca="false">ROUND((IF(U384="resolved",I384,IF(U384="claimed",H384,Controls!$B$4))-G384)*24,4)</f>
        <v>50.7167</v>
      </c>
      <c r="W384" s="6" t="b">
        <f aca="false">INDEX(Owners!$E$4:$E$21,MATCH(D384,Owners!$A$4:$A$21,0))</f>
        <v>1</v>
      </c>
    </row>
    <row r="385" customFormat="false" ht="15" hidden="false" customHeight="false" outlineLevel="0" collapsed="false">
      <c r="A385" s="4" t="s">
        <v>687</v>
      </c>
      <c r="B385" s="4" t="s">
        <v>131</v>
      </c>
      <c r="C385" s="4" t="s">
        <v>258</v>
      </c>
      <c r="D385" s="4" t="s">
        <v>283</v>
      </c>
      <c r="E385" s="4" t="s">
        <v>202</v>
      </c>
      <c r="F385" s="4" t="s">
        <v>277</v>
      </c>
      <c r="G385" s="5" t="n">
        <v>46275.9930555556</v>
      </c>
      <c r="H385" s="5" t="n">
        <v>46278.7409722222</v>
      </c>
      <c r="I385" s="5" t="n">
        <v>46278.8805555556</v>
      </c>
      <c r="J385" s="4" t="s">
        <v>284</v>
      </c>
      <c r="K385" s="4" t="s">
        <v>687</v>
      </c>
      <c r="L385" s="4" t="s">
        <v>258</v>
      </c>
      <c r="M385" s="4" t="n">
        <v>1</v>
      </c>
      <c r="N385" s="4" t="n">
        <v>1</v>
      </c>
      <c r="O385" s="4" t="n">
        <v>0</v>
      </c>
      <c r="P385" s="12"/>
      <c r="Q385" s="4" t="n">
        <v>0</v>
      </c>
      <c r="R385" s="0" t="str">
        <f aca="false">INDEX(Owners!$B$4:$B$21,MATCH(D385,Owners!$A$4:$A$21,0))</f>
        <v>Data Platform</v>
      </c>
      <c r="S385" s="6" t="b">
        <f aca="false">AND(F385="closed",ISNUMBER(H385),H385&lt;=Controls!$B$4)</f>
        <v>1</v>
      </c>
      <c r="T385" s="6" t="b">
        <f aca="false">AND(ISNUMBER(I385),I385&lt;=Controls!$B$4,J385="rerun",K385=A385,L385=C385,M385=N385,O385=0,I385&gt;=G385,IF(ISNUMBER(P385),I385&gt;=P385,TRUE()))</f>
        <v>1</v>
      </c>
      <c r="U385" s="0" t="str">
        <f aca="false">IF(AND(S385,T385),"resolved",IF(S385,"claimed","open"))</f>
        <v>resolved</v>
      </c>
      <c r="V385" s="11" t="n">
        <f aca="false">ROUND((IF(U385="resolved",I385,IF(U385="claimed",H385,Controls!$B$4))-G385)*24,4)</f>
        <v>69.3</v>
      </c>
      <c r="W385" s="6" t="b">
        <f aca="false">INDEX(Owners!$E$4:$E$21,MATCH(D385,Owners!$A$4:$A$21,0))</f>
        <v>1</v>
      </c>
    </row>
    <row r="386" customFormat="false" ht="15" hidden="false" customHeight="false" outlineLevel="0" collapsed="false">
      <c r="A386" s="4" t="s">
        <v>688</v>
      </c>
      <c r="B386" s="4" t="s">
        <v>128</v>
      </c>
      <c r="C386" s="4" t="s">
        <v>304</v>
      </c>
      <c r="D386" s="4" t="s">
        <v>283</v>
      </c>
      <c r="E386" s="4" t="s">
        <v>204</v>
      </c>
      <c r="F386" s="4" t="s">
        <v>556</v>
      </c>
      <c r="G386" s="5" t="n">
        <v>46276.1020833333</v>
      </c>
      <c r="H386" s="12"/>
      <c r="I386" s="12"/>
      <c r="N386" s="4" t="n">
        <v>1</v>
      </c>
      <c r="P386" s="12"/>
      <c r="Q386" s="4" t="n">
        <v>0</v>
      </c>
      <c r="R386" s="0" t="str">
        <f aca="false">INDEX(Owners!$B$4:$B$21,MATCH(D386,Owners!$A$4:$A$21,0))</f>
        <v>Data Platform</v>
      </c>
      <c r="S386" s="6" t="b">
        <f aca="false">AND(F386="closed",ISNUMBER(H386),H386&lt;=Controls!$B$4)</f>
        <v>0</v>
      </c>
      <c r="T386" s="6" t="b">
        <f aca="false">AND(ISNUMBER(I386),I386&lt;=Controls!$B$4,J386="rerun",K386=A386,L386=C386,M386=N386,O386=0,I386&gt;=G386,IF(ISNUMBER(P386),I386&gt;=P386,TRUE()))</f>
        <v>0</v>
      </c>
      <c r="U386" s="0" t="str">
        <f aca="false">IF(AND(S386,T386),"resolved",IF(S386,"claimed","open"))</f>
        <v>open</v>
      </c>
      <c r="V386" s="11" t="n">
        <f aca="false">ROUND((IF(U386="resolved",I386,IF(U386="claimed",H386,Controls!$B$4))-G386)*24,4)</f>
        <v>573.55</v>
      </c>
      <c r="W386" s="6" t="b">
        <f aca="false">INDEX(Owners!$E$4:$E$21,MATCH(D386,Owners!$A$4:$A$21,0))</f>
        <v>1</v>
      </c>
    </row>
    <row r="387" customFormat="false" ht="15" hidden="false" customHeight="false" outlineLevel="0" collapsed="false">
      <c r="A387" s="4" t="s">
        <v>689</v>
      </c>
      <c r="B387" s="4" t="s">
        <v>97</v>
      </c>
      <c r="C387" s="4" t="s">
        <v>208</v>
      </c>
      <c r="D387" s="4" t="s">
        <v>286</v>
      </c>
      <c r="E387" s="4" t="s">
        <v>202</v>
      </c>
      <c r="F387" s="4" t="s">
        <v>562</v>
      </c>
      <c r="G387" s="5" t="n">
        <v>46276.1194444444</v>
      </c>
      <c r="H387" s="12"/>
      <c r="I387" s="12"/>
      <c r="N387" s="4" t="n">
        <v>2</v>
      </c>
      <c r="P387" s="12"/>
      <c r="Q387" s="4" t="n">
        <v>0</v>
      </c>
      <c r="R387" s="0" t="str">
        <f aca="false">INDEX(Owners!$B$4:$B$21,MATCH(D387,Owners!$A$4:$A$21,0))</f>
        <v>Finance Systems</v>
      </c>
      <c r="S387" s="6" t="b">
        <f aca="false">AND(F387="closed",ISNUMBER(H387),H387&lt;=Controls!$B$4)</f>
        <v>0</v>
      </c>
      <c r="T387" s="6" t="b">
        <f aca="false">AND(ISNUMBER(I387),I387&lt;=Controls!$B$4,J387="rerun",K387=A387,L387=C387,M387=N387,O387=0,I387&gt;=G387,IF(ISNUMBER(P387),I387&gt;=P387,TRUE()))</f>
        <v>0</v>
      </c>
      <c r="U387" s="0" t="str">
        <f aca="false">IF(AND(S387,T387),"resolved",IF(S387,"claimed","open"))</f>
        <v>open</v>
      </c>
      <c r="V387" s="11" t="n">
        <f aca="false">ROUND((IF(U387="resolved",I387,IF(U387="claimed",H387,Controls!$B$4))-G387)*24,4)</f>
        <v>573.1333</v>
      </c>
      <c r="W387" s="6" t="b">
        <f aca="false">INDEX(Owners!$E$4:$E$21,MATCH(D387,Owners!$A$4:$A$21,0))</f>
        <v>0</v>
      </c>
    </row>
    <row r="388" customFormat="false" ht="15" hidden="false" customHeight="false" outlineLevel="0" collapsed="false">
      <c r="A388" s="4" t="s">
        <v>690</v>
      </c>
      <c r="B388" s="4" t="s">
        <v>125</v>
      </c>
      <c r="C388" s="4" t="s">
        <v>249</v>
      </c>
      <c r="D388" s="4" t="s">
        <v>334</v>
      </c>
      <c r="E388" s="4" t="s">
        <v>204</v>
      </c>
      <c r="F388" s="4" t="s">
        <v>277</v>
      </c>
      <c r="G388" s="5" t="n">
        <v>46276.1694444444</v>
      </c>
      <c r="H388" s="5" t="n">
        <v>46277.2916666667</v>
      </c>
      <c r="I388" s="5" t="n">
        <v>46277.4409722222</v>
      </c>
      <c r="J388" s="4" t="s">
        <v>284</v>
      </c>
      <c r="K388" s="4" t="s">
        <v>690</v>
      </c>
      <c r="L388" s="4" t="s">
        <v>249</v>
      </c>
      <c r="M388" s="4" t="n">
        <v>1</v>
      </c>
      <c r="N388" s="4" t="n">
        <v>1</v>
      </c>
      <c r="O388" s="4" t="n">
        <v>0</v>
      </c>
      <c r="P388" s="12"/>
      <c r="Q388" s="4" t="n">
        <v>0</v>
      </c>
      <c r="R388" s="0" t="str">
        <f aca="false">INDEX(Owners!$B$4:$B$21,MATCH(D388,Owners!$A$4:$A$21,0))</f>
        <v>Supply Chain</v>
      </c>
      <c r="S388" s="6" t="b">
        <f aca="false">AND(F388="closed",ISNUMBER(H388),H388&lt;=Controls!$B$4)</f>
        <v>1</v>
      </c>
      <c r="T388" s="6" t="b">
        <f aca="false">AND(ISNUMBER(I388),I388&lt;=Controls!$B$4,J388="rerun",K388=A388,L388=C388,M388=N388,O388=0,I388&gt;=G388,IF(ISNUMBER(P388),I388&gt;=P388,TRUE()))</f>
        <v>1</v>
      </c>
      <c r="U388" s="0" t="str">
        <f aca="false">IF(AND(S388,T388),"resolved",IF(S388,"claimed","open"))</f>
        <v>resolved</v>
      </c>
      <c r="V388" s="11" t="n">
        <f aca="false">ROUND((IF(U388="resolved",I388,IF(U388="claimed",H388,Controls!$B$4))-G388)*24,4)</f>
        <v>30.5167</v>
      </c>
      <c r="W388" s="6" t="b">
        <f aca="false">INDEX(Owners!$E$4:$E$21,MATCH(D388,Owners!$A$4:$A$21,0))</f>
        <v>0</v>
      </c>
    </row>
    <row r="389" customFormat="false" ht="15" hidden="false" customHeight="false" outlineLevel="0" collapsed="false">
      <c r="A389" s="4" t="s">
        <v>691</v>
      </c>
      <c r="B389" s="4" t="s">
        <v>113</v>
      </c>
      <c r="C389" s="4" t="s">
        <v>232</v>
      </c>
      <c r="D389" s="4" t="s">
        <v>296</v>
      </c>
      <c r="E389" s="4" t="s">
        <v>202</v>
      </c>
      <c r="F389" s="4" t="s">
        <v>277</v>
      </c>
      <c r="G389" s="5" t="n">
        <v>46276.1826388889</v>
      </c>
      <c r="H389" s="5" t="n">
        <v>46276.8104166667</v>
      </c>
      <c r="I389" s="5" t="n">
        <v>46276.8763888889</v>
      </c>
      <c r="J389" s="4" t="s">
        <v>284</v>
      </c>
      <c r="K389" s="4" t="s">
        <v>691</v>
      </c>
      <c r="L389" s="4" t="s">
        <v>232</v>
      </c>
      <c r="M389" s="4" t="n">
        <v>2</v>
      </c>
      <c r="N389" s="4" t="n">
        <v>2</v>
      </c>
      <c r="O389" s="4" t="n">
        <v>0</v>
      </c>
      <c r="P389" s="12"/>
      <c r="Q389" s="4" t="n">
        <v>0</v>
      </c>
      <c r="R389" s="0" t="str">
        <f aca="false">INDEX(Owners!$B$4:$B$21,MATCH(D389,Owners!$A$4:$A$21,0))</f>
        <v>Data Platform</v>
      </c>
      <c r="S389" s="6" t="b">
        <f aca="false">AND(F389="closed",ISNUMBER(H389),H389&lt;=Controls!$B$4)</f>
        <v>1</v>
      </c>
      <c r="T389" s="6" t="b">
        <f aca="false">AND(ISNUMBER(I389),I389&lt;=Controls!$B$4,J389="rerun",K389=A389,L389=C389,M389=N389,O389=0,I389&gt;=G389,IF(ISNUMBER(P389),I389&gt;=P389,TRUE()))</f>
        <v>1</v>
      </c>
      <c r="U389" s="0" t="str">
        <f aca="false">IF(AND(S389,T389),"resolved",IF(S389,"claimed","open"))</f>
        <v>resolved</v>
      </c>
      <c r="V389" s="11" t="n">
        <f aca="false">ROUND((IF(U389="resolved",I389,IF(U389="claimed",H389,Controls!$B$4))-G389)*24,4)</f>
        <v>16.65</v>
      </c>
      <c r="W389" s="6" t="b">
        <f aca="false">INDEX(Owners!$E$4:$E$21,MATCH(D389,Owners!$A$4:$A$21,0))</f>
        <v>1</v>
      </c>
    </row>
    <row r="390" customFormat="false" ht="15" hidden="false" customHeight="false" outlineLevel="0" collapsed="false">
      <c r="A390" s="4" t="s">
        <v>692</v>
      </c>
      <c r="B390" s="4" t="s">
        <v>110</v>
      </c>
      <c r="C390" s="4" t="s">
        <v>226</v>
      </c>
      <c r="D390" s="4" t="s">
        <v>286</v>
      </c>
      <c r="E390" s="4" t="s">
        <v>202</v>
      </c>
      <c r="F390" s="4" t="s">
        <v>562</v>
      </c>
      <c r="G390" s="5" t="n">
        <v>46276.2326388889</v>
      </c>
      <c r="H390" s="12"/>
      <c r="I390" s="12"/>
      <c r="N390" s="4" t="n">
        <v>1</v>
      </c>
      <c r="P390" s="12"/>
      <c r="Q390" s="4" t="n">
        <v>0</v>
      </c>
      <c r="R390" s="0" t="str">
        <f aca="false">INDEX(Owners!$B$4:$B$21,MATCH(D390,Owners!$A$4:$A$21,0))</f>
        <v>Finance Systems</v>
      </c>
      <c r="S390" s="6" t="b">
        <f aca="false">AND(F390="closed",ISNUMBER(H390),H390&lt;=Controls!$B$4)</f>
        <v>0</v>
      </c>
      <c r="T390" s="6" t="b">
        <f aca="false">AND(ISNUMBER(I390),I390&lt;=Controls!$B$4,J390="rerun",K390=A390,L390=C390,M390=N390,O390=0,I390&gt;=G390,IF(ISNUMBER(P390),I390&gt;=P390,TRUE()))</f>
        <v>0</v>
      </c>
      <c r="U390" s="0" t="str">
        <f aca="false">IF(AND(S390,T390),"resolved",IF(S390,"claimed","open"))</f>
        <v>open</v>
      </c>
      <c r="V390" s="11" t="n">
        <f aca="false">ROUND((IF(U390="resolved",I390,IF(U390="claimed",H390,Controls!$B$4))-G390)*24,4)</f>
        <v>570.4167</v>
      </c>
      <c r="W390" s="6" t="b">
        <f aca="false">INDEX(Owners!$E$4:$E$21,MATCH(D390,Owners!$A$4:$A$21,0))</f>
        <v>0</v>
      </c>
    </row>
    <row r="391" customFormat="false" ht="15" hidden="false" customHeight="false" outlineLevel="0" collapsed="false">
      <c r="A391" s="4" t="s">
        <v>693</v>
      </c>
      <c r="B391" s="4" t="s">
        <v>98</v>
      </c>
      <c r="C391" s="4" t="s">
        <v>323</v>
      </c>
      <c r="D391" s="4" t="s">
        <v>324</v>
      </c>
      <c r="E391" s="4" t="s">
        <v>202</v>
      </c>
      <c r="F391" s="4" t="s">
        <v>562</v>
      </c>
      <c r="G391" s="5" t="n">
        <v>46277.0840277778</v>
      </c>
      <c r="H391" s="12"/>
      <c r="I391" s="12"/>
      <c r="N391" s="4" t="n">
        <v>1</v>
      </c>
      <c r="P391" s="12"/>
      <c r="Q391" s="4" t="n">
        <v>0</v>
      </c>
      <c r="R391" s="0" t="str">
        <f aca="false">INDEX(Owners!$B$4:$B$21,MATCH(D391,Owners!$A$4:$A$21,0))</f>
        <v>Finance Systems</v>
      </c>
      <c r="S391" s="6" t="b">
        <f aca="false">AND(F391="closed",ISNUMBER(H391),H391&lt;=Controls!$B$4)</f>
        <v>0</v>
      </c>
      <c r="T391" s="6" t="b">
        <f aca="false">AND(ISNUMBER(I391),I391&lt;=Controls!$B$4,J391="rerun",K391=A391,L391=C391,M391=N391,O391=0,I391&gt;=G391,IF(ISNUMBER(P391),I391&gt;=P391,TRUE()))</f>
        <v>0</v>
      </c>
      <c r="U391" s="0" t="str">
        <f aca="false">IF(AND(S391,T391),"resolved",IF(S391,"claimed","open"))</f>
        <v>open</v>
      </c>
      <c r="V391" s="11" t="n">
        <f aca="false">ROUND((IF(U391="resolved",I391,IF(U391="claimed",H391,Controls!$B$4))-G391)*24,4)</f>
        <v>549.9833</v>
      </c>
      <c r="W391" s="6" t="b">
        <f aca="false">INDEX(Owners!$E$4:$E$21,MATCH(D391,Owners!$A$4:$A$21,0))</f>
        <v>1</v>
      </c>
    </row>
    <row r="392" customFormat="false" ht="15" hidden="false" customHeight="false" outlineLevel="0" collapsed="false">
      <c r="A392" s="4" t="s">
        <v>694</v>
      </c>
      <c r="B392" s="4" t="s">
        <v>115</v>
      </c>
      <c r="C392" s="4" t="s">
        <v>237</v>
      </c>
      <c r="D392" s="4" t="s">
        <v>301</v>
      </c>
      <c r="E392" s="4" t="s">
        <v>210</v>
      </c>
      <c r="F392" s="4" t="s">
        <v>277</v>
      </c>
      <c r="G392" s="5" t="n">
        <v>46277.1152777778</v>
      </c>
      <c r="H392" s="5" t="n">
        <v>46277.9611111111</v>
      </c>
      <c r="I392" s="5" t="n">
        <v>46278.0652777778</v>
      </c>
      <c r="J392" s="4" t="s">
        <v>284</v>
      </c>
      <c r="K392" s="4" t="s">
        <v>694</v>
      </c>
      <c r="L392" s="4" t="s">
        <v>237</v>
      </c>
      <c r="M392" s="4" t="n">
        <v>1</v>
      </c>
      <c r="N392" s="4" t="n">
        <v>1</v>
      </c>
      <c r="O392" s="4" t="n">
        <v>0</v>
      </c>
      <c r="P392" s="12"/>
      <c r="Q392" s="4" t="n">
        <v>0</v>
      </c>
      <c r="R392" s="0" t="str">
        <f aca="false">INDEX(Owners!$B$4:$B$21,MATCH(D392,Owners!$A$4:$A$21,0))</f>
        <v>Data Platform</v>
      </c>
      <c r="S392" s="6" t="b">
        <f aca="false">AND(F392="closed",ISNUMBER(H392),H392&lt;=Controls!$B$4)</f>
        <v>1</v>
      </c>
      <c r="T392" s="6" t="b">
        <f aca="false">AND(ISNUMBER(I392),I392&lt;=Controls!$B$4,J392="rerun",K392=A392,L392=C392,M392=N392,O392=0,I392&gt;=G392,IF(ISNUMBER(P392),I392&gt;=P392,TRUE()))</f>
        <v>1</v>
      </c>
      <c r="U392" s="0" t="str">
        <f aca="false">IF(AND(S392,T392),"resolved",IF(S392,"claimed","open"))</f>
        <v>resolved</v>
      </c>
      <c r="V392" s="11" t="n">
        <f aca="false">ROUND((IF(U392="resolved",I392,IF(U392="claimed",H392,Controls!$B$4))-G392)*24,4)</f>
        <v>22.8</v>
      </c>
      <c r="W392" s="6" t="b">
        <f aca="false">INDEX(Owners!$E$4:$E$21,MATCH(D392,Owners!$A$4:$A$21,0))</f>
        <v>1</v>
      </c>
    </row>
    <row r="393" customFormat="false" ht="15" hidden="false" customHeight="false" outlineLevel="0" collapsed="false">
      <c r="A393" s="4" t="s">
        <v>695</v>
      </c>
      <c r="B393" s="4" t="s">
        <v>92</v>
      </c>
      <c r="C393" s="4" t="s">
        <v>201</v>
      </c>
      <c r="D393" s="4" t="s">
        <v>330</v>
      </c>
      <c r="E393" s="4" t="s">
        <v>202</v>
      </c>
      <c r="F393" s="4" t="s">
        <v>277</v>
      </c>
      <c r="G393" s="5" t="n">
        <v>46277.1465277778</v>
      </c>
      <c r="H393" s="5" t="n">
        <v>46279.6138888889</v>
      </c>
      <c r="I393" s="5" t="n">
        <v>46280.0666666667</v>
      </c>
      <c r="J393" s="4" t="s">
        <v>284</v>
      </c>
      <c r="K393" s="4" t="s">
        <v>695</v>
      </c>
      <c r="L393" s="4" t="s">
        <v>201</v>
      </c>
      <c r="M393" s="4" t="n">
        <v>1</v>
      </c>
      <c r="N393" s="4" t="n">
        <v>1</v>
      </c>
      <c r="O393" s="4" t="n">
        <v>0</v>
      </c>
      <c r="P393" s="12"/>
      <c r="Q393" s="4" t="n">
        <v>0</v>
      </c>
      <c r="R393" s="0" t="str">
        <f aca="false">INDEX(Owners!$B$4:$B$21,MATCH(D393,Owners!$A$4:$A$21,0))</f>
        <v>Supply Chain</v>
      </c>
      <c r="S393" s="6" t="b">
        <f aca="false">AND(F393="closed",ISNUMBER(H393),H393&lt;=Controls!$B$4)</f>
        <v>1</v>
      </c>
      <c r="T393" s="6" t="b">
        <f aca="false">AND(ISNUMBER(I393),I393&lt;=Controls!$B$4,J393="rerun",K393=A393,L393=C393,M393=N393,O393=0,I393&gt;=G393,IF(ISNUMBER(P393),I393&gt;=P393,TRUE()))</f>
        <v>1</v>
      </c>
      <c r="U393" s="0" t="str">
        <f aca="false">IF(AND(S393,T393),"resolved",IF(S393,"claimed","open"))</f>
        <v>resolved</v>
      </c>
      <c r="V393" s="11" t="n">
        <f aca="false">ROUND((IF(U393="resolved",I393,IF(U393="claimed",H393,Controls!$B$4))-G393)*24,4)</f>
        <v>70.0833</v>
      </c>
      <c r="W393" s="6" t="b">
        <f aca="false">INDEX(Owners!$E$4:$E$21,MATCH(D393,Owners!$A$4:$A$21,0))</f>
        <v>1</v>
      </c>
    </row>
    <row r="394" customFormat="false" ht="15" hidden="false" customHeight="false" outlineLevel="0" collapsed="false">
      <c r="A394" s="4" t="s">
        <v>696</v>
      </c>
      <c r="B394" s="4" t="s">
        <v>131</v>
      </c>
      <c r="C394" s="4" t="s">
        <v>257</v>
      </c>
      <c r="D394" s="4" t="s">
        <v>283</v>
      </c>
      <c r="E394" s="4" t="s">
        <v>202</v>
      </c>
      <c r="F394" s="4" t="s">
        <v>277</v>
      </c>
      <c r="G394" s="5" t="n">
        <v>46277.1923611111</v>
      </c>
      <c r="H394" s="5" t="n">
        <v>46278.5090277778</v>
      </c>
      <c r="I394" s="5" t="n">
        <v>46278.6305555556</v>
      </c>
      <c r="J394" s="4" t="s">
        <v>284</v>
      </c>
      <c r="K394" s="4" t="s">
        <v>696</v>
      </c>
      <c r="L394" s="4" t="s">
        <v>257</v>
      </c>
      <c r="M394" s="4" t="n">
        <v>1</v>
      </c>
      <c r="N394" s="4" t="n">
        <v>1</v>
      </c>
      <c r="O394" s="4" t="n">
        <v>0</v>
      </c>
      <c r="P394" s="12"/>
      <c r="Q394" s="4" t="n">
        <v>0</v>
      </c>
      <c r="R394" s="0" t="str">
        <f aca="false">INDEX(Owners!$B$4:$B$21,MATCH(D394,Owners!$A$4:$A$21,0))</f>
        <v>Data Platform</v>
      </c>
      <c r="S394" s="6" t="b">
        <f aca="false">AND(F394="closed",ISNUMBER(H394),H394&lt;=Controls!$B$4)</f>
        <v>1</v>
      </c>
      <c r="T394" s="6" t="b">
        <f aca="false">AND(ISNUMBER(I394),I394&lt;=Controls!$B$4,J394="rerun",K394=A394,L394=C394,M394=N394,O394=0,I394&gt;=G394,IF(ISNUMBER(P394),I394&gt;=P394,TRUE()))</f>
        <v>1</v>
      </c>
      <c r="U394" s="0" t="str">
        <f aca="false">IF(AND(S394,T394),"resolved",IF(S394,"claimed","open"))</f>
        <v>resolved</v>
      </c>
      <c r="V394" s="11" t="n">
        <f aca="false">ROUND((IF(U394="resolved",I394,IF(U394="claimed",H394,Controls!$B$4))-G394)*24,4)</f>
        <v>34.5167</v>
      </c>
      <c r="W394" s="6" t="b">
        <f aca="false">INDEX(Owners!$E$4:$E$21,MATCH(D394,Owners!$A$4:$A$21,0))</f>
        <v>1</v>
      </c>
    </row>
    <row r="395" customFormat="false" ht="15" hidden="false" customHeight="false" outlineLevel="0" collapsed="false">
      <c r="A395" s="4" t="s">
        <v>697</v>
      </c>
      <c r="B395" s="4" t="s">
        <v>118</v>
      </c>
      <c r="C395" s="4" t="s">
        <v>242</v>
      </c>
      <c r="D395" s="4" t="s">
        <v>296</v>
      </c>
      <c r="E395" s="4" t="s">
        <v>202</v>
      </c>
      <c r="F395" s="4" t="s">
        <v>562</v>
      </c>
      <c r="G395" s="5" t="n">
        <v>46277.1965277778</v>
      </c>
      <c r="H395" s="12"/>
      <c r="I395" s="12"/>
      <c r="N395" s="4" t="n">
        <v>1</v>
      </c>
      <c r="P395" s="12"/>
      <c r="Q395" s="4" t="n">
        <v>0</v>
      </c>
      <c r="R395" s="0" t="str">
        <f aca="false">INDEX(Owners!$B$4:$B$21,MATCH(D395,Owners!$A$4:$A$21,0))</f>
        <v>Data Platform</v>
      </c>
      <c r="S395" s="6" t="b">
        <f aca="false">AND(F395="closed",ISNUMBER(H395),H395&lt;=Controls!$B$4)</f>
        <v>0</v>
      </c>
      <c r="T395" s="6" t="b">
        <f aca="false">AND(ISNUMBER(I395),I395&lt;=Controls!$B$4,J395="rerun",K395=A395,L395=C395,M395=N395,O395=0,I395&gt;=G395,IF(ISNUMBER(P395),I395&gt;=P395,TRUE()))</f>
        <v>0</v>
      </c>
      <c r="U395" s="0" t="str">
        <f aca="false">IF(AND(S395,T395),"resolved",IF(S395,"claimed","open"))</f>
        <v>open</v>
      </c>
      <c r="V395" s="11" t="n">
        <f aca="false">ROUND((IF(U395="resolved",I395,IF(U395="claimed",H395,Controls!$B$4))-G395)*24,4)</f>
        <v>547.2833</v>
      </c>
      <c r="W395" s="6" t="b">
        <f aca="false">INDEX(Owners!$E$4:$E$21,MATCH(D395,Owners!$A$4:$A$21,0))</f>
        <v>1</v>
      </c>
    </row>
    <row r="396" customFormat="false" ht="15" hidden="false" customHeight="false" outlineLevel="0" collapsed="false">
      <c r="A396" s="4" t="s">
        <v>698</v>
      </c>
      <c r="B396" s="4" t="s">
        <v>127</v>
      </c>
      <c r="C396" s="4" t="s">
        <v>252</v>
      </c>
      <c r="D396" s="4" t="s">
        <v>358</v>
      </c>
      <c r="E396" s="4" t="s">
        <v>204</v>
      </c>
      <c r="F396" s="4" t="s">
        <v>277</v>
      </c>
      <c r="G396" s="5" t="n">
        <v>46278.0888888889</v>
      </c>
      <c r="H396" s="5" t="n">
        <v>46279.7236111111</v>
      </c>
      <c r="I396" s="5" t="n">
        <v>46280.2104166667</v>
      </c>
      <c r="J396" s="4" t="s">
        <v>284</v>
      </c>
      <c r="K396" s="4" t="s">
        <v>698</v>
      </c>
      <c r="L396" s="4" t="s">
        <v>252</v>
      </c>
      <c r="M396" s="4" t="n">
        <v>1</v>
      </c>
      <c r="N396" s="4" t="n">
        <v>1</v>
      </c>
      <c r="O396" s="4" t="n">
        <v>0</v>
      </c>
      <c r="P396" s="12"/>
      <c r="Q396" s="4" t="n">
        <v>0</v>
      </c>
      <c r="R396" s="0" t="str">
        <f aca="false">INDEX(Owners!$B$4:$B$21,MATCH(D396,Owners!$A$4:$A$21,0))</f>
        <v>Finance Systems</v>
      </c>
      <c r="S396" s="6" t="b">
        <f aca="false">AND(F396="closed",ISNUMBER(H396),H396&lt;=Controls!$B$4)</f>
        <v>1</v>
      </c>
      <c r="T396" s="6" t="b">
        <f aca="false">AND(ISNUMBER(I396),I396&lt;=Controls!$B$4,J396="rerun",K396=A396,L396=C396,M396=N396,O396=0,I396&gt;=G396,IF(ISNUMBER(P396),I396&gt;=P396,TRUE()))</f>
        <v>1</v>
      </c>
      <c r="U396" s="0" t="str">
        <f aca="false">IF(AND(S396,T396),"resolved",IF(S396,"claimed","open"))</f>
        <v>resolved</v>
      </c>
      <c r="V396" s="11" t="n">
        <f aca="false">ROUND((IF(U396="resolved",I396,IF(U396="claimed",H396,Controls!$B$4))-G396)*24,4)</f>
        <v>50.9167</v>
      </c>
      <c r="W396" s="6" t="b">
        <f aca="false">INDEX(Owners!$E$4:$E$21,MATCH(D396,Owners!$A$4:$A$21,0))</f>
        <v>1</v>
      </c>
    </row>
    <row r="397" customFormat="false" ht="15" hidden="false" customHeight="false" outlineLevel="0" collapsed="false">
      <c r="A397" s="4" t="s">
        <v>699</v>
      </c>
      <c r="B397" s="4" t="s">
        <v>102</v>
      </c>
      <c r="C397" s="4" t="s">
        <v>217</v>
      </c>
      <c r="D397" s="4" t="s">
        <v>290</v>
      </c>
      <c r="E397" s="4" t="s">
        <v>204</v>
      </c>
      <c r="F397" s="4" t="s">
        <v>277</v>
      </c>
      <c r="G397" s="5" t="n">
        <v>46278.0923611111</v>
      </c>
      <c r="H397" s="5" t="n">
        <v>46279.6423611111</v>
      </c>
      <c r="I397" s="12"/>
      <c r="N397" s="4" t="n">
        <v>1</v>
      </c>
      <c r="P397" s="12"/>
      <c r="Q397" s="4" t="n">
        <v>0</v>
      </c>
      <c r="R397" s="0" t="str">
        <f aca="false">INDEX(Owners!$B$4:$B$21,MATCH(D397,Owners!$A$4:$A$21,0))</f>
        <v>Customer Data</v>
      </c>
      <c r="S397" s="6" t="b">
        <f aca="false">AND(F397="closed",ISNUMBER(H397),H397&lt;=Controls!$B$4)</f>
        <v>1</v>
      </c>
      <c r="T397" s="6" t="b">
        <f aca="false">AND(ISNUMBER(I397),I397&lt;=Controls!$B$4,J397="rerun",K397=A397,L397=C397,M397=N397,O397=0,I397&gt;=G397,IF(ISNUMBER(P397),I397&gt;=P397,TRUE()))</f>
        <v>0</v>
      </c>
      <c r="U397" s="0" t="str">
        <f aca="false">IF(AND(S397,T397),"resolved",IF(S397,"claimed","open"))</f>
        <v>claimed</v>
      </c>
      <c r="V397" s="11" t="n">
        <f aca="false">ROUND((IF(U397="resolved",I397,IF(U397="claimed",H397,Controls!$B$4))-G397)*24,4)</f>
        <v>37.2</v>
      </c>
      <c r="W397" s="6" t="b">
        <f aca="false">INDEX(Owners!$E$4:$E$21,MATCH(D397,Owners!$A$4:$A$21,0))</f>
        <v>1</v>
      </c>
    </row>
    <row r="398" customFormat="false" ht="15" hidden="false" customHeight="false" outlineLevel="0" collapsed="false">
      <c r="A398" s="4" t="s">
        <v>700</v>
      </c>
      <c r="B398" s="4" t="s">
        <v>103</v>
      </c>
      <c r="C398" s="4" t="s">
        <v>218</v>
      </c>
      <c r="D398" s="4" t="s">
        <v>350</v>
      </c>
      <c r="E398" s="4" t="s">
        <v>202</v>
      </c>
      <c r="F398" s="4" t="s">
        <v>277</v>
      </c>
      <c r="G398" s="5" t="n">
        <v>46278.0979166667</v>
      </c>
      <c r="H398" s="5" t="n">
        <v>46279.4347222222</v>
      </c>
      <c r="I398" s="5" t="n">
        <v>46280.0277777778</v>
      </c>
      <c r="J398" s="4" t="s">
        <v>284</v>
      </c>
      <c r="K398" s="4" t="s">
        <v>700</v>
      </c>
      <c r="L398" s="4" t="s">
        <v>218</v>
      </c>
      <c r="M398" s="4" t="n">
        <v>1</v>
      </c>
      <c r="N398" s="4" t="n">
        <v>1</v>
      </c>
      <c r="O398" s="4" t="n">
        <v>0</v>
      </c>
      <c r="P398" s="12"/>
      <c r="Q398" s="4" t="n">
        <v>0</v>
      </c>
      <c r="R398" s="0" t="str">
        <f aca="false">INDEX(Owners!$B$4:$B$21,MATCH(D398,Owners!$A$4:$A$21,0))</f>
        <v>Supply Chain</v>
      </c>
      <c r="S398" s="6" t="b">
        <f aca="false">AND(F398="closed",ISNUMBER(H398),H398&lt;=Controls!$B$4)</f>
        <v>1</v>
      </c>
      <c r="T398" s="6" t="b">
        <f aca="false">AND(ISNUMBER(I398),I398&lt;=Controls!$B$4,J398="rerun",K398=A398,L398=C398,M398=N398,O398=0,I398&gt;=G398,IF(ISNUMBER(P398),I398&gt;=P398,TRUE()))</f>
        <v>1</v>
      </c>
      <c r="U398" s="0" t="str">
        <f aca="false">IF(AND(S398,T398),"resolved",IF(S398,"claimed","open"))</f>
        <v>resolved</v>
      </c>
      <c r="V398" s="11" t="n">
        <f aca="false">ROUND((IF(U398="resolved",I398,IF(U398="claimed",H398,Controls!$B$4))-G398)*24,4)</f>
        <v>46.3167</v>
      </c>
      <c r="W398" s="6" t="b">
        <f aca="false">INDEX(Owners!$E$4:$E$21,MATCH(D398,Owners!$A$4:$A$21,0))</f>
        <v>1</v>
      </c>
    </row>
    <row r="399" customFormat="false" ht="15" hidden="false" customHeight="false" outlineLevel="0" collapsed="false">
      <c r="A399" s="4" t="s">
        <v>701</v>
      </c>
      <c r="B399" s="4" t="s">
        <v>128</v>
      </c>
      <c r="C399" s="4" t="s">
        <v>304</v>
      </c>
      <c r="D399" s="4" t="s">
        <v>283</v>
      </c>
      <c r="E399" s="4" t="s">
        <v>204</v>
      </c>
      <c r="F399" s="4" t="s">
        <v>556</v>
      </c>
      <c r="G399" s="5" t="n">
        <v>46278.1020833333</v>
      </c>
      <c r="H399" s="12"/>
      <c r="I399" s="12"/>
      <c r="N399" s="4" t="n">
        <v>1</v>
      </c>
      <c r="P399" s="12"/>
      <c r="Q399" s="4" t="n">
        <v>0</v>
      </c>
      <c r="R399" s="0" t="str">
        <f aca="false">INDEX(Owners!$B$4:$B$21,MATCH(D399,Owners!$A$4:$A$21,0))</f>
        <v>Data Platform</v>
      </c>
      <c r="S399" s="6" t="b">
        <f aca="false">AND(F399="closed",ISNUMBER(H399),H399&lt;=Controls!$B$4)</f>
        <v>0</v>
      </c>
      <c r="T399" s="6" t="b">
        <f aca="false">AND(ISNUMBER(I399),I399&lt;=Controls!$B$4,J399="rerun",K399=A399,L399=C399,M399=N399,O399=0,I399&gt;=G399,IF(ISNUMBER(P399),I399&gt;=P399,TRUE()))</f>
        <v>0</v>
      </c>
      <c r="U399" s="0" t="str">
        <f aca="false">IF(AND(S399,T399),"resolved",IF(S399,"claimed","open"))</f>
        <v>open</v>
      </c>
      <c r="V399" s="11" t="n">
        <f aca="false">ROUND((IF(U399="resolved",I399,IF(U399="claimed",H399,Controls!$B$4))-G399)*24,4)</f>
        <v>525.55</v>
      </c>
      <c r="W399" s="6" t="b">
        <f aca="false">INDEX(Owners!$E$4:$E$21,MATCH(D399,Owners!$A$4:$A$21,0))</f>
        <v>1</v>
      </c>
    </row>
    <row r="400" customFormat="false" ht="15" hidden="false" customHeight="false" outlineLevel="0" collapsed="false">
      <c r="A400" s="4" t="s">
        <v>702</v>
      </c>
      <c r="B400" s="4" t="s">
        <v>128</v>
      </c>
      <c r="C400" s="4" t="s">
        <v>253</v>
      </c>
      <c r="D400" s="4" t="s">
        <v>283</v>
      </c>
      <c r="E400" s="4" t="s">
        <v>204</v>
      </c>
      <c r="F400" s="4" t="s">
        <v>277</v>
      </c>
      <c r="G400" s="5" t="n">
        <v>46278.1111111111</v>
      </c>
      <c r="H400" s="5" t="n">
        <v>46279.0152777778</v>
      </c>
      <c r="I400" s="5" t="n">
        <v>46279.0923611111</v>
      </c>
      <c r="J400" s="4" t="s">
        <v>284</v>
      </c>
      <c r="K400" s="4" t="s">
        <v>702</v>
      </c>
      <c r="L400" s="4" t="s">
        <v>253</v>
      </c>
      <c r="M400" s="4" t="n">
        <v>1</v>
      </c>
      <c r="N400" s="4" t="n">
        <v>1</v>
      </c>
      <c r="O400" s="4" t="n">
        <v>0</v>
      </c>
      <c r="P400" s="12"/>
      <c r="Q400" s="4" t="n">
        <v>0</v>
      </c>
      <c r="R400" s="0" t="str">
        <f aca="false">INDEX(Owners!$B$4:$B$21,MATCH(D400,Owners!$A$4:$A$21,0))</f>
        <v>Data Platform</v>
      </c>
      <c r="S400" s="6" t="b">
        <f aca="false">AND(F400="closed",ISNUMBER(H400),H400&lt;=Controls!$B$4)</f>
        <v>1</v>
      </c>
      <c r="T400" s="6" t="b">
        <f aca="false">AND(ISNUMBER(I400),I400&lt;=Controls!$B$4,J400="rerun",K400=A400,L400=C400,M400=N400,O400=0,I400&gt;=G400,IF(ISNUMBER(P400),I400&gt;=P400,TRUE()))</f>
        <v>1</v>
      </c>
      <c r="U400" s="0" t="str">
        <f aca="false">IF(AND(S400,T400),"resolved",IF(S400,"claimed","open"))</f>
        <v>resolved</v>
      </c>
      <c r="V400" s="11" t="n">
        <f aca="false">ROUND((IF(U400="resolved",I400,IF(U400="claimed",H400,Controls!$B$4))-G400)*24,4)</f>
        <v>23.55</v>
      </c>
      <c r="W400" s="6" t="b">
        <f aca="false">INDEX(Owners!$E$4:$E$21,MATCH(D400,Owners!$A$4:$A$21,0))</f>
        <v>1</v>
      </c>
    </row>
    <row r="401" customFormat="false" ht="15" hidden="false" customHeight="false" outlineLevel="0" collapsed="false">
      <c r="A401" s="4" t="s">
        <v>703</v>
      </c>
      <c r="B401" s="4" t="s">
        <v>129</v>
      </c>
      <c r="C401" s="4" t="s">
        <v>255</v>
      </c>
      <c r="D401" s="4" t="s">
        <v>497</v>
      </c>
      <c r="E401" s="4" t="s">
        <v>204</v>
      </c>
      <c r="F401" s="4" t="s">
        <v>556</v>
      </c>
      <c r="G401" s="5" t="n">
        <v>46278.1743055556</v>
      </c>
      <c r="H401" s="12"/>
      <c r="I401" s="12"/>
      <c r="N401" s="4" t="n">
        <v>1</v>
      </c>
      <c r="P401" s="12"/>
      <c r="Q401" s="4" t="n">
        <v>0</v>
      </c>
      <c r="R401" s="0" t="str">
        <f aca="false">INDEX(Owners!$B$4:$B$21,MATCH(D401,Owners!$A$4:$A$21,0))</f>
        <v>Support Operations</v>
      </c>
      <c r="S401" s="6" t="b">
        <f aca="false">AND(F401="closed",ISNUMBER(H401),H401&lt;=Controls!$B$4)</f>
        <v>0</v>
      </c>
      <c r="T401" s="6" t="b">
        <f aca="false">AND(ISNUMBER(I401),I401&lt;=Controls!$B$4,J401="rerun",K401=A401,L401=C401,M401=N401,O401=0,I401&gt;=G401,IF(ISNUMBER(P401),I401&gt;=P401,TRUE()))</f>
        <v>0</v>
      </c>
      <c r="U401" s="0" t="str">
        <f aca="false">IF(AND(S401,T401),"resolved",IF(S401,"claimed","open"))</f>
        <v>open</v>
      </c>
      <c r="V401" s="11" t="n">
        <f aca="false">ROUND((IF(U401="resolved",I401,IF(U401="claimed",H401,Controls!$B$4))-G401)*24,4)</f>
        <v>523.8167</v>
      </c>
      <c r="W401" s="6" t="b">
        <f aca="false">INDEX(Owners!$E$4:$E$21,MATCH(D401,Owners!$A$4:$A$21,0))</f>
        <v>1</v>
      </c>
    </row>
    <row r="402" customFormat="false" ht="15" hidden="false" customHeight="false" outlineLevel="0" collapsed="false">
      <c r="A402" s="4" t="s">
        <v>704</v>
      </c>
      <c r="B402" s="4" t="s">
        <v>131</v>
      </c>
      <c r="C402" s="4" t="s">
        <v>257</v>
      </c>
      <c r="D402" s="4" t="s">
        <v>283</v>
      </c>
      <c r="E402" s="4" t="s">
        <v>202</v>
      </c>
      <c r="F402" s="4" t="s">
        <v>556</v>
      </c>
      <c r="G402" s="5" t="n">
        <v>46278.1923611111</v>
      </c>
      <c r="H402" s="12"/>
      <c r="I402" s="12"/>
      <c r="N402" s="4" t="n">
        <v>1</v>
      </c>
      <c r="P402" s="12"/>
      <c r="Q402" s="4" t="n">
        <v>0</v>
      </c>
      <c r="R402" s="0" t="str">
        <f aca="false">INDEX(Owners!$B$4:$B$21,MATCH(D402,Owners!$A$4:$A$21,0))</f>
        <v>Data Platform</v>
      </c>
      <c r="S402" s="6" t="b">
        <f aca="false">AND(F402="closed",ISNUMBER(H402),H402&lt;=Controls!$B$4)</f>
        <v>0</v>
      </c>
      <c r="T402" s="6" t="b">
        <f aca="false">AND(ISNUMBER(I402),I402&lt;=Controls!$B$4,J402="rerun",K402=A402,L402=C402,M402=N402,O402=0,I402&gt;=G402,IF(ISNUMBER(P402),I402&gt;=P402,TRUE()))</f>
        <v>0</v>
      </c>
      <c r="U402" s="0" t="str">
        <f aca="false">IF(AND(S402,T402),"resolved",IF(S402,"claimed","open"))</f>
        <v>open</v>
      </c>
      <c r="V402" s="11" t="n">
        <f aca="false">ROUND((IF(U402="resolved",I402,IF(U402="claimed",H402,Controls!$B$4))-G402)*24,4)</f>
        <v>523.3833</v>
      </c>
      <c r="W402" s="6" t="b">
        <f aca="false">INDEX(Owners!$E$4:$E$21,MATCH(D402,Owners!$A$4:$A$21,0))</f>
        <v>1</v>
      </c>
    </row>
    <row r="403" customFormat="false" ht="15" hidden="false" customHeight="false" outlineLevel="0" collapsed="false">
      <c r="A403" s="4" t="s">
        <v>705</v>
      </c>
      <c r="B403" s="4" t="s">
        <v>96</v>
      </c>
      <c r="C403" s="4" t="s">
        <v>206</v>
      </c>
      <c r="D403" s="4" t="s">
        <v>330</v>
      </c>
      <c r="E403" s="4" t="s">
        <v>202</v>
      </c>
      <c r="F403" s="4" t="s">
        <v>562</v>
      </c>
      <c r="G403" s="5" t="n">
        <v>46278.2194444445</v>
      </c>
      <c r="H403" s="12"/>
      <c r="I403" s="12"/>
      <c r="N403" s="4" t="n">
        <v>1</v>
      </c>
      <c r="P403" s="12"/>
      <c r="Q403" s="4" t="n">
        <v>0</v>
      </c>
      <c r="R403" s="0" t="str">
        <f aca="false">INDEX(Owners!$B$4:$B$21,MATCH(D403,Owners!$A$4:$A$21,0))</f>
        <v>Supply Chain</v>
      </c>
      <c r="S403" s="6" t="b">
        <f aca="false">AND(F403="closed",ISNUMBER(H403),H403&lt;=Controls!$B$4)</f>
        <v>0</v>
      </c>
      <c r="T403" s="6" t="b">
        <f aca="false">AND(ISNUMBER(I403),I403&lt;=Controls!$B$4,J403="rerun",K403=A403,L403=C403,M403=N403,O403=0,I403&gt;=G403,IF(ISNUMBER(P403),I403&gt;=P403,TRUE()))</f>
        <v>0</v>
      </c>
      <c r="U403" s="0" t="str">
        <f aca="false">IF(AND(S403,T403),"resolved",IF(S403,"claimed","open"))</f>
        <v>open</v>
      </c>
      <c r="V403" s="11" t="n">
        <f aca="false">ROUND((IF(U403="resolved",I403,IF(U403="claimed",H403,Controls!$B$4))-G403)*24,4)</f>
        <v>522.7333</v>
      </c>
      <c r="W403" s="6" t="b">
        <f aca="false">INDEX(Owners!$E$4:$E$21,MATCH(D403,Owners!$A$4:$A$21,0))</f>
        <v>1</v>
      </c>
    </row>
    <row r="404" customFormat="false" ht="15" hidden="false" customHeight="false" outlineLevel="0" collapsed="false">
      <c r="A404" s="4" t="s">
        <v>706</v>
      </c>
      <c r="B404" s="4" t="s">
        <v>102</v>
      </c>
      <c r="C404" s="4" t="s">
        <v>213</v>
      </c>
      <c r="D404" s="4" t="s">
        <v>290</v>
      </c>
      <c r="E404" s="4" t="s">
        <v>202</v>
      </c>
      <c r="F404" s="4" t="s">
        <v>562</v>
      </c>
      <c r="G404" s="5" t="n">
        <v>46279.0833333333</v>
      </c>
      <c r="H404" s="12"/>
      <c r="I404" s="12"/>
      <c r="N404" s="4" t="n">
        <v>1</v>
      </c>
      <c r="P404" s="12"/>
      <c r="Q404" s="4" t="n">
        <v>0</v>
      </c>
      <c r="R404" s="0" t="str">
        <f aca="false">INDEX(Owners!$B$4:$B$21,MATCH(D404,Owners!$A$4:$A$21,0))</f>
        <v>Customer Data</v>
      </c>
      <c r="S404" s="6" t="b">
        <f aca="false">AND(F404="closed",ISNUMBER(H404),H404&lt;=Controls!$B$4)</f>
        <v>0</v>
      </c>
      <c r="T404" s="6" t="b">
        <f aca="false">AND(ISNUMBER(I404),I404&lt;=Controls!$B$4,J404="rerun",K404=A404,L404=C404,M404=N404,O404=0,I404&gt;=G404,IF(ISNUMBER(P404),I404&gt;=P404,TRUE()))</f>
        <v>0</v>
      </c>
      <c r="U404" s="0" t="str">
        <f aca="false">IF(AND(S404,T404),"resolved",IF(S404,"claimed","open"))</f>
        <v>open</v>
      </c>
      <c r="V404" s="11" t="n">
        <f aca="false">ROUND((IF(U404="resolved",I404,IF(U404="claimed",H404,Controls!$B$4))-G404)*24,4)</f>
        <v>502</v>
      </c>
      <c r="W404" s="6" t="b">
        <f aca="false">INDEX(Owners!$E$4:$E$21,MATCH(D404,Owners!$A$4:$A$21,0))</f>
        <v>1</v>
      </c>
    </row>
    <row r="405" customFormat="false" ht="15" hidden="false" customHeight="false" outlineLevel="0" collapsed="false">
      <c r="A405" s="4" t="s">
        <v>707</v>
      </c>
      <c r="B405" s="4" t="s">
        <v>127</v>
      </c>
      <c r="C405" s="4" t="s">
        <v>252</v>
      </c>
      <c r="D405" s="4" t="s">
        <v>358</v>
      </c>
      <c r="E405" s="4" t="s">
        <v>204</v>
      </c>
      <c r="F405" s="4" t="s">
        <v>277</v>
      </c>
      <c r="G405" s="5" t="n">
        <v>46279.0888888889</v>
      </c>
      <c r="H405" s="5" t="n">
        <v>46282.9125</v>
      </c>
      <c r="I405" s="5" t="n">
        <v>46283.3152777778</v>
      </c>
      <c r="J405" s="4" t="s">
        <v>284</v>
      </c>
      <c r="K405" s="4" t="s">
        <v>707</v>
      </c>
      <c r="L405" s="4" t="s">
        <v>252</v>
      </c>
      <c r="M405" s="4" t="n">
        <v>1</v>
      </c>
      <c r="N405" s="4" t="n">
        <v>1</v>
      </c>
      <c r="O405" s="4" t="n">
        <v>0</v>
      </c>
      <c r="P405" s="12"/>
      <c r="Q405" s="4" t="n">
        <v>0</v>
      </c>
      <c r="R405" s="0" t="str">
        <f aca="false">INDEX(Owners!$B$4:$B$21,MATCH(D405,Owners!$A$4:$A$21,0))</f>
        <v>Finance Systems</v>
      </c>
      <c r="S405" s="6" t="b">
        <f aca="false">AND(F405="closed",ISNUMBER(H405),H405&lt;=Controls!$B$4)</f>
        <v>1</v>
      </c>
      <c r="T405" s="6" t="b">
        <f aca="false">AND(ISNUMBER(I405),I405&lt;=Controls!$B$4,J405="rerun",K405=A405,L405=C405,M405=N405,O405=0,I405&gt;=G405,IF(ISNUMBER(P405),I405&gt;=P405,TRUE()))</f>
        <v>1</v>
      </c>
      <c r="U405" s="0" t="str">
        <f aca="false">IF(AND(S405,T405),"resolved",IF(S405,"claimed","open"))</f>
        <v>resolved</v>
      </c>
      <c r="V405" s="11" t="n">
        <f aca="false">ROUND((IF(U405="resolved",I405,IF(U405="claimed",H405,Controls!$B$4))-G405)*24,4)</f>
        <v>101.4333</v>
      </c>
      <c r="W405" s="6" t="b">
        <f aca="false">INDEX(Owners!$E$4:$E$21,MATCH(D405,Owners!$A$4:$A$21,0))</f>
        <v>1</v>
      </c>
    </row>
    <row r="406" customFormat="false" ht="15" hidden="false" customHeight="false" outlineLevel="0" collapsed="false">
      <c r="A406" s="4" t="s">
        <v>708</v>
      </c>
      <c r="B406" s="4" t="s">
        <v>128</v>
      </c>
      <c r="C406" s="4" t="s">
        <v>304</v>
      </c>
      <c r="D406" s="4" t="s">
        <v>283</v>
      </c>
      <c r="E406" s="4" t="s">
        <v>204</v>
      </c>
      <c r="F406" s="4" t="s">
        <v>556</v>
      </c>
      <c r="G406" s="5" t="n">
        <v>46279.1020833333</v>
      </c>
      <c r="H406" s="12"/>
      <c r="I406" s="12"/>
      <c r="N406" s="4" t="n">
        <v>1</v>
      </c>
      <c r="P406" s="12"/>
      <c r="Q406" s="4" t="n">
        <v>0</v>
      </c>
      <c r="R406" s="0" t="str">
        <f aca="false">INDEX(Owners!$B$4:$B$21,MATCH(D406,Owners!$A$4:$A$21,0))</f>
        <v>Data Platform</v>
      </c>
      <c r="S406" s="6" t="b">
        <f aca="false">AND(F406="closed",ISNUMBER(H406),H406&lt;=Controls!$B$4)</f>
        <v>0</v>
      </c>
      <c r="T406" s="6" t="b">
        <f aca="false">AND(ISNUMBER(I406),I406&lt;=Controls!$B$4,J406="rerun",K406=A406,L406=C406,M406=N406,O406=0,I406&gt;=G406,IF(ISNUMBER(P406),I406&gt;=P406,TRUE()))</f>
        <v>0</v>
      </c>
      <c r="U406" s="0" t="str">
        <f aca="false">IF(AND(S406,T406),"resolved",IF(S406,"claimed","open"))</f>
        <v>open</v>
      </c>
      <c r="V406" s="11" t="n">
        <f aca="false">ROUND((IF(U406="resolved",I406,IF(U406="claimed",H406,Controls!$B$4))-G406)*24,4)</f>
        <v>501.55</v>
      </c>
      <c r="W406" s="6" t="b">
        <f aca="false">INDEX(Owners!$E$4:$E$21,MATCH(D406,Owners!$A$4:$A$21,0))</f>
        <v>1</v>
      </c>
    </row>
    <row r="407" customFormat="false" ht="15" hidden="false" customHeight="false" outlineLevel="0" collapsed="false">
      <c r="A407" s="4" t="s">
        <v>709</v>
      </c>
      <c r="B407" s="4" t="s">
        <v>95</v>
      </c>
      <c r="C407" s="4" t="s">
        <v>205</v>
      </c>
      <c r="D407" s="4" t="s">
        <v>283</v>
      </c>
      <c r="E407" s="4" t="s">
        <v>204</v>
      </c>
      <c r="F407" s="4" t="s">
        <v>556</v>
      </c>
      <c r="G407" s="5" t="n">
        <v>46279.1069444444</v>
      </c>
      <c r="H407" s="12"/>
      <c r="I407" s="12"/>
      <c r="N407" s="4" t="n">
        <v>1</v>
      </c>
      <c r="P407" s="12"/>
      <c r="Q407" s="4" t="n">
        <v>0</v>
      </c>
      <c r="R407" s="0" t="str">
        <f aca="false">INDEX(Owners!$B$4:$B$21,MATCH(D407,Owners!$A$4:$A$21,0))</f>
        <v>Data Platform</v>
      </c>
      <c r="S407" s="6" t="b">
        <f aca="false">AND(F407="closed",ISNUMBER(H407),H407&lt;=Controls!$B$4)</f>
        <v>0</v>
      </c>
      <c r="T407" s="6" t="b">
        <f aca="false">AND(ISNUMBER(I407),I407&lt;=Controls!$B$4,J407="rerun",K407=A407,L407=C407,M407=N407,O407=0,I407&gt;=G407,IF(ISNUMBER(P407),I407&gt;=P407,TRUE()))</f>
        <v>0</v>
      </c>
      <c r="U407" s="0" t="str">
        <f aca="false">IF(AND(S407,T407),"resolved",IF(S407,"claimed","open"))</f>
        <v>open</v>
      </c>
      <c r="V407" s="11" t="n">
        <f aca="false">ROUND((IF(U407="resolved",I407,IF(U407="claimed",H407,Controls!$B$4))-G407)*24,4)</f>
        <v>501.4333</v>
      </c>
      <c r="W407" s="6" t="b">
        <f aca="false">INDEX(Owners!$E$4:$E$21,MATCH(D407,Owners!$A$4:$A$21,0))</f>
        <v>1</v>
      </c>
    </row>
    <row r="408" customFormat="false" ht="15" hidden="false" customHeight="false" outlineLevel="0" collapsed="false">
      <c r="A408" s="4" t="s">
        <v>710</v>
      </c>
      <c r="B408" s="4" t="s">
        <v>124</v>
      </c>
      <c r="C408" s="4" t="s">
        <v>248</v>
      </c>
      <c r="D408" s="4" t="s">
        <v>301</v>
      </c>
      <c r="E408" s="4" t="s">
        <v>202</v>
      </c>
      <c r="F408" s="4" t="s">
        <v>277</v>
      </c>
      <c r="G408" s="5" t="n">
        <v>46279.1423611111</v>
      </c>
      <c r="H408" s="5" t="n">
        <v>46279.8611111111</v>
      </c>
      <c r="I408" s="12"/>
      <c r="N408" s="4" t="n">
        <v>1</v>
      </c>
      <c r="P408" s="12"/>
      <c r="Q408" s="4" t="n">
        <v>0</v>
      </c>
      <c r="R408" s="0" t="str">
        <f aca="false">INDEX(Owners!$B$4:$B$21,MATCH(D408,Owners!$A$4:$A$21,0))</f>
        <v>Data Platform</v>
      </c>
      <c r="S408" s="6" t="b">
        <f aca="false">AND(F408="closed",ISNUMBER(H408),H408&lt;=Controls!$B$4)</f>
        <v>1</v>
      </c>
      <c r="T408" s="6" t="b">
        <f aca="false">AND(ISNUMBER(I408),I408&lt;=Controls!$B$4,J408="rerun",K408=A408,L408=C408,M408=N408,O408=0,I408&gt;=G408,IF(ISNUMBER(P408),I408&gt;=P408,TRUE()))</f>
        <v>0</v>
      </c>
      <c r="U408" s="0" t="str">
        <f aca="false">IF(AND(S408,T408),"resolved",IF(S408,"claimed","open"))</f>
        <v>claimed</v>
      </c>
      <c r="V408" s="11" t="n">
        <f aca="false">ROUND((IF(U408="resolved",I408,IF(U408="claimed",H408,Controls!$B$4))-G408)*24,4)</f>
        <v>17.25</v>
      </c>
      <c r="W408" s="6" t="b">
        <f aca="false">INDEX(Owners!$E$4:$E$21,MATCH(D408,Owners!$A$4:$A$21,0))</f>
        <v>1</v>
      </c>
    </row>
    <row r="409" customFormat="false" ht="15" hidden="false" customHeight="false" outlineLevel="0" collapsed="false">
      <c r="A409" s="4" t="s">
        <v>711</v>
      </c>
      <c r="B409" s="4" t="s">
        <v>92</v>
      </c>
      <c r="C409" s="4" t="s">
        <v>201</v>
      </c>
      <c r="D409" s="4" t="s">
        <v>330</v>
      </c>
      <c r="E409" s="4" t="s">
        <v>202</v>
      </c>
      <c r="F409" s="4" t="s">
        <v>277</v>
      </c>
      <c r="G409" s="5" t="n">
        <v>46279.1465277778</v>
      </c>
      <c r="H409" s="5" t="n">
        <v>46286.1604166667</v>
      </c>
      <c r="I409" s="5" t="n">
        <v>46286.4520833333</v>
      </c>
      <c r="J409" s="4" t="s">
        <v>284</v>
      </c>
      <c r="K409" s="4" t="s">
        <v>711</v>
      </c>
      <c r="L409" s="4" t="s">
        <v>201</v>
      </c>
      <c r="M409" s="4" t="n">
        <v>1</v>
      </c>
      <c r="N409" s="4" t="n">
        <v>1</v>
      </c>
      <c r="O409" s="4" t="n">
        <v>0</v>
      </c>
      <c r="P409" s="12"/>
      <c r="Q409" s="4" t="n">
        <v>0</v>
      </c>
      <c r="R409" s="0" t="str">
        <f aca="false">INDEX(Owners!$B$4:$B$21,MATCH(D409,Owners!$A$4:$A$21,0))</f>
        <v>Supply Chain</v>
      </c>
      <c r="S409" s="6" t="b">
        <f aca="false">AND(F409="closed",ISNUMBER(H409),H409&lt;=Controls!$B$4)</f>
        <v>1</v>
      </c>
      <c r="T409" s="6" t="b">
        <f aca="false">AND(ISNUMBER(I409),I409&lt;=Controls!$B$4,J409="rerun",K409=A409,L409=C409,M409=N409,O409=0,I409&gt;=G409,IF(ISNUMBER(P409),I409&gt;=P409,TRUE()))</f>
        <v>1</v>
      </c>
      <c r="U409" s="0" t="str">
        <f aca="false">IF(AND(S409,T409),"resolved",IF(S409,"claimed","open"))</f>
        <v>resolved</v>
      </c>
      <c r="V409" s="11" t="n">
        <f aca="false">ROUND((IF(U409="resolved",I409,IF(U409="claimed",H409,Controls!$B$4))-G409)*24,4)</f>
        <v>175.3333</v>
      </c>
      <c r="W409" s="6" t="b">
        <f aca="false">INDEX(Owners!$E$4:$E$21,MATCH(D409,Owners!$A$4:$A$21,0))</f>
        <v>1</v>
      </c>
    </row>
    <row r="410" customFormat="false" ht="15" hidden="false" customHeight="false" outlineLevel="0" collapsed="false">
      <c r="A410" s="4" t="s">
        <v>712</v>
      </c>
      <c r="B410" s="4" t="s">
        <v>109</v>
      </c>
      <c r="C410" s="4" t="s">
        <v>307</v>
      </c>
      <c r="D410" s="4" t="s">
        <v>292</v>
      </c>
      <c r="E410" s="4" t="s">
        <v>202</v>
      </c>
      <c r="F410" s="4" t="s">
        <v>562</v>
      </c>
      <c r="G410" s="5" t="n">
        <v>46279.1555555556</v>
      </c>
      <c r="H410" s="12"/>
      <c r="I410" s="12"/>
      <c r="N410" s="4" t="n">
        <v>1</v>
      </c>
      <c r="P410" s="12"/>
      <c r="Q410" s="4" t="n">
        <v>0</v>
      </c>
      <c r="R410" s="0" t="str">
        <f aca="false">INDEX(Owners!$B$4:$B$21,MATCH(D410,Owners!$A$4:$A$21,0))</f>
        <v>Support Operations</v>
      </c>
      <c r="S410" s="6" t="b">
        <f aca="false">AND(F410="closed",ISNUMBER(H410),H410&lt;=Controls!$B$4)</f>
        <v>0</v>
      </c>
      <c r="T410" s="6" t="b">
        <f aca="false">AND(ISNUMBER(I410),I410&lt;=Controls!$B$4,J410="rerun",K410=A410,L410=C410,M410=N410,O410=0,I410&gt;=G410,IF(ISNUMBER(P410),I410&gt;=P410,TRUE()))</f>
        <v>0</v>
      </c>
      <c r="U410" s="0" t="str">
        <f aca="false">IF(AND(S410,T410),"resolved",IF(S410,"claimed","open"))</f>
        <v>open</v>
      </c>
      <c r="V410" s="11" t="n">
        <f aca="false">ROUND((IF(U410="resolved",I410,IF(U410="claimed",H410,Controls!$B$4))-G410)*24,4)</f>
        <v>500.2667</v>
      </c>
      <c r="W410" s="6" t="b">
        <f aca="false">INDEX(Owners!$E$4:$E$21,MATCH(D410,Owners!$A$4:$A$21,0))</f>
        <v>1</v>
      </c>
    </row>
    <row r="411" customFormat="false" ht="15" hidden="false" customHeight="false" outlineLevel="0" collapsed="false">
      <c r="A411" s="4" t="s">
        <v>713</v>
      </c>
      <c r="B411" s="4" t="s">
        <v>111</v>
      </c>
      <c r="C411" s="4" t="s">
        <v>229</v>
      </c>
      <c r="D411" s="4" t="s">
        <v>296</v>
      </c>
      <c r="E411" s="4" t="s">
        <v>202</v>
      </c>
      <c r="F411" s="4" t="s">
        <v>277</v>
      </c>
      <c r="G411" s="5" t="n">
        <v>46279.1645833333</v>
      </c>
      <c r="H411" s="5" t="n">
        <v>46279.8263888889</v>
      </c>
      <c r="I411" s="5" t="n">
        <v>46279.9868055556</v>
      </c>
      <c r="J411" s="4" t="s">
        <v>284</v>
      </c>
      <c r="K411" s="4" t="s">
        <v>713</v>
      </c>
      <c r="L411" s="4" t="s">
        <v>229</v>
      </c>
      <c r="M411" s="4" t="n">
        <v>1</v>
      </c>
      <c r="N411" s="4" t="n">
        <v>1</v>
      </c>
      <c r="O411" s="4" t="n">
        <v>0</v>
      </c>
      <c r="P411" s="12"/>
      <c r="Q411" s="4" t="n">
        <v>0</v>
      </c>
      <c r="R411" s="0" t="str">
        <f aca="false">INDEX(Owners!$B$4:$B$21,MATCH(D411,Owners!$A$4:$A$21,0))</f>
        <v>Data Platform</v>
      </c>
      <c r="S411" s="6" t="b">
        <f aca="false">AND(F411="closed",ISNUMBER(H411),H411&lt;=Controls!$B$4)</f>
        <v>1</v>
      </c>
      <c r="T411" s="6" t="b">
        <f aca="false">AND(ISNUMBER(I411),I411&lt;=Controls!$B$4,J411="rerun",K411=A411,L411=C411,M411=N411,O411=0,I411&gt;=G411,IF(ISNUMBER(P411),I411&gt;=P411,TRUE()))</f>
        <v>1</v>
      </c>
      <c r="U411" s="0" t="str">
        <f aca="false">IF(AND(S411,T411),"resolved",IF(S411,"claimed","open"))</f>
        <v>resolved</v>
      </c>
      <c r="V411" s="11" t="n">
        <f aca="false">ROUND((IF(U411="resolved",I411,IF(U411="claimed",H411,Controls!$B$4))-G411)*24,4)</f>
        <v>19.7333</v>
      </c>
      <c r="W411" s="6" t="b">
        <f aca="false">INDEX(Owners!$E$4:$E$21,MATCH(D411,Owners!$A$4:$A$21,0))</f>
        <v>1</v>
      </c>
    </row>
    <row r="412" customFormat="false" ht="15" hidden="false" customHeight="false" outlineLevel="0" collapsed="false">
      <c r="A412" s="4" t="s">
        <v>714</v>
      </c>
      <c r="B412" s="4" t="s">
        <v>110</v>
      </c>
      <c r="C412" s="4" t="s">
        <v>226</v>
      </c>
      <c r="D412" s="4" t="s">
        <v>286</v>
      </c>
      <c r="E412" s="4" t="s">
        <v>202</v>
      </c>
      <c r="F412" s="4" t="s">
        <v>562</v>
      </c>
      <c r="G412" s="5" t="n">
        <v>46279.2326388889</v>
      </c>
      <c r="H412" s="12"/>
      <c r="I412" s="12"/>
      <c r="N412" s="4" t="n">
        <v>1</v>
      </c>
      <c r="P412" s="12"/>
      <c r="Q412" s="4" t="n">
        <v>0</v>
      </c>
      <c r="R412" s="0" t="str">
        <f aca="false">INDEX(Owners!$B$4:$B$21,MATCH(D412,Owners!$A$4:$A$21,0))</f>
        <v>Finance Systems</v>
      </c>
      <c r="S412" s="6" t="b">
        <f aca="false">AND(F412="closed",ISNUMBER(H412),H412&lt;=Controls!$B$4)</f>
        <v>0</v>
      </c>
      <c r="T412" s="6" t="b">
        <f aca="false">AND(ISNUMBER(I412),I412&lt;=Controls!$B$4,J412="rerun",K412=A412,L412=C412,M412=N412,O412=0,I412&gt;=G412,IF(ISNUMBER(P412),I412&gt;=P412,TRUE()))</f>
        <v>0</v>
      </c>
      <c r="U412" s="0" t="str">
        <f aca="false">IF(AND(S412,T412),"resolved",IF(S412,"claimed","open"))</f>
        <v>open</v>
      </c>
      <c r="V412" s="11" t="n">
        <f aca="false">ROUND((IF(U412="resolved",I412,IF(U412="claimed",H412,Controls!$B$4))-G412)*24,4)</f>
        <v>498.4167</v>
      </c>
      <c r="W412" s="6" t="b">
        <f aca="false">INDEX(Owners!$E$4:$E$21,MATCH(D412,Owners!$A$4:$A$21,0))</f>
        <v>0</v>
      </c>
    </row>
    <row r="413" customFormat="false" ht="15" hidden="false" customHeight="false" outlineLevel="0" collapsed="false">
      <c r="A413" s="4" t="s">
        <v>715</v>
      </c>
      <c r="B413" s="4" t="s">
        <v>102</v>
      </c>
      <c r="C413" s="4" t="s">
        <v>213</v>
      </c>
      <c r="D413" s="4" t="s">
        <v>290</v>
      </c>
      <c r="E413" s="4" t="s">
        <v>202</v>
      </c>
      <c r="F413" s="4" t="s">
        <v>562</v>
      </c>
      <c r="G413" s="5" t="n">
        <v>46280.0833333333</v>
      </c>
      <c r="H413" s="5" t="n">
        <v>46281.9236111111</v>
      </c>
      <c r="I413" s="5" t="n">
        <v>46282.5013888889</v>
      </c>
      <c r="J413" s="4" t="s">
        <v>284</v>
      </c>
      <c r="K413" s="4" t="s">
        <v>715</v>
      </c>
      <c r="L413" s="4" t="s">
        <v>213</v>
      </c>
      <c r="M413" s="4" t="n">
        <v>1</v>
      </c>
      <c r="N413" s="4" t="n">
        <v>1</v>
      </c>
      <c r="O413" s="4" t="n">
        <v>0</v>
      </c>
      <c r="P413" s="5" t="n">
        <v>46293.4479166667</v>
      </c>
      <c r="Q413" s="4" t="n">
        <v>1</v>
      </c>
      <c r="R413" s="0" t="str">
        <f aca="false">INDEX(Owners!$B$4:$B$21,MATCH(D413,Owners!$A$4:$A$21,0))</f>
        <v>Customer Data</v>
      </c>
      <c r="S413" s="6" t="b">
        <f aca="false">AND(F413="closed",ISNUMBER(H413),H413&lt;=Controls!$B$4)</f>
        <v>0</v>
      </c>
      <c r="T413" s="6" t="b">
        <f aca="false">AND(ISNUMBER(I413),I413&lt;=Controls!$B$4,J413="rerun",K413=A413,L413=C413,M413=N413,O413=0,I413&gt;=G413,IF(ISNUMBER(P413),I413&gt;=P413,TRUE()))</f>
        <v>0</v>
      </c>
      <c r="U413" s="0" t="str">
        <f aca="false">IF(AND(S413,T413),"resolved",IF(S413,"claimed","open"))</f>
        <v>open</v>
      </c>
      <c r="V413" s="11" t="n">
        <f aca="false">ROUND((IF(U413="resolved",I413,IF(U413="claimed",H413,Controls!$B$4))-G413)*24,4)</f>
        <v>478</v>
      </c>
      <c r="W413" s="6" t="b">
        <f aca="false">INDEX(Owners!$E$4:$E$21,MATCH(D413,Owners!$A$4:$A$21,0))</f>
        <v>1</v>
      </c>
    </row>
    <row r="414" customFormat="false" ht="15" hidden="false" customHeight="false" outlineLevel="0" collapsed="false">
      <c r="A414" s="4" t="s">
        <v>716</v>
      </c>
      <c r="B414" s="4" t="s">
        <v>107</v>
      </c>
      <c r="C414" s="4" t="s">
        <v>222</v>
      </c>
      <c r="D414" s="4" t="s">
        <v>326</v>
      </c>
      <c r="E414" s="4" t="s">
        <v>210</v>
      </c>
      <c r="F414" s="4" t="s">
        <v>556</v>
      </c>
      <c r="G414" s="5" t="n">
        <v>46280.0881944444</v>
      </c>
      <c r="H414" s="12"/>
      <c r="I414" s="12"/>
      <c r="N414" s="4" t="n">
        <v>1</v>
      </c>
      <c r="P414" s="12"/>
      <c r="Q414" s="4" t="n">
        <v>0</v>
      </c>
      <c r="R414" s="0" t="str">
        <f aca="false">INDEX(Owners!$B$4:$B$21,MATCH(D414,Owners!$A$4:$A$21,0))</f>
        <v>Customer Data</v>
      </c>
      <c r="S414" s="6" t="b">
        <f aca="false">AND(F414="closed",ISNUMBER(H414),H414&lt;=Controls!$B$4)</f>
        <v>0</v>
      </c>
      <c r="T414" s="6" t="b">
        <f aca="false">AND(ISNUMBER(I414),I414&lt;=Controls!$B$4,J414="rerun",K414=A414,L414=C414,M414=N414,O414=0,I414&gt;=G414,IF(ISNUMBER(P414),I414&gt;=P414,TRUE()))</f>
        <v>0</v>
      </c>
      <c r="U414" s="0" t="str">
        <f aca="false">IF(AND(S414,T414),"resolved",IF(S414,"claimed","open"))</f>
        <v>open</v>
      </c>
      <c r="V414" s="11" t="n">
        <f aca="false">ROUND((IF(U414="resolved",I414,IF(U414="claimed",H414,Controls!$B$4))-G414)*24,4)</f>
        <v>477.8833</v>
      </c>
      <c r="W414" s="6" t="b">
        <f aca="false">INDEX(Owners!$E$4:$E$21,MATCH(D414,Owners!$A$4:$A$21,0))</f>
        <v>0</v>
      </c>
    </row>
    <row r="415" customFormat="false" ht="15" hidden="false" customHeight="false" outlineLevel="0" collapsed="false">
      <c r="A415" s="4" t="s">
        <v>717</v>
      </c>
      <c r="B415" s="4" t="s">
        <v>102</v>
      </c>
      <c r="C415" s="4" t="s">
        <v>217</v>
      </c>
      <c r="D415" s="4" t="s">
        <v>290</v>
      </c>
      <c r="E415" s="4" t="s">
        <v>204</v>
      </c>
      <c r="F415" s="4" t="s">
        <v>277</v>
      </c>
      <c r="G415" s="5" t="n">
        <v>46280.0923611111</v>
      </c>
      <c r="H415" s="5" t="n">
        <v>46281.9402777778</v>
      </c>
      <c r="I415" s="5" t="n">
        <v>46282.2597222222</v>
      </c>
      <c r="J415" s="4" t="s">
        <v>284</v>
      </c>
      <c r="K415" s="4" t="s">
        <v>717</v>
      </c>
      <c r="L415" s="4" t="s">
        <v>217</v>
      </c>
      <c r="M415" s="4" t="n">
        <v>1</v>
      </c>
      <c r="N415" s="4" t="n">
        <v>1</v>
      </c>
      <c r="O415" s="4" t="n">
        <v>0</v>
      </c>
      <c r="P415" s="12"/>
      <c r="Q415" s="4" t="n">
        <v>0</v>
      </c>
      <c r="R415" s="0" t="str">
        <f aca="false">INDEX(Owners!$B$4:$B$21,MATCH(D415,Owners!$A$4:$A$21,0))</f>
        <v>Customer Data</v>
      </c>
      <c r="S415" s="6" t="b">
        <f aca="false">AND(F415="closed",ISNUMBER(H415),H415&lt;=Controls!$B$4)</f>
        <v>1</v>
      </c>
      <c r="T415" s="6" t="b">
        <f aca="false">AND(ISNUMBER(I415),I415&lt;=Controls!$B$4,J415="rerun",K415=A415,L415=C415,M415=N415,O415=0,I415&gt;=G415,IF(ISNUMBER(P415),I415&gt;=P415,TRUE()))</f>
        <v>1</v>
      </c>
      <c r="U415" s="0" t="str">
        <f aca="false">IF(AND(S415,T415),"resolved",IF(S415,"claimed","open"))</f>
        <v>resolved</v>
      </c>
      <c r="V415" s="11" t="n">
        <f aca="false">ROUND((IF(U415="resolved",I415,IF(U415="claimed",H415,Controls!$B$4))-G415)*24,4)</f>
        <v>52.0167</v>
      </c>
      <c r="W415" s="6" t="b">
        <f aca="false">INDEX(Owners!$E$4:$E$21,MATCH(D415,Owners!$A$4:$A$21,0))</f>
        <v>1</v>
      </c>
    </row>
    <row r="416" customFormat="false" ht="15" hidden="false" customHeight="false" outlineLevel="0" collapsed="false">
      <c r="A416" s="4" t="s">
        <v>718</v>
      </c>
      <c r="B416" s="4" t="s">
        <v>118</v>
      </c>
      <c r="C416" s="4" t="s">
        <v>242</v>
      </c>
      <c r="D416" s="4" t="s">
        <v>296</v>
      </c>
      <c r="E416" s="4" t="s">
        <v>202</v>
      </c>
      <c r="F416" s="4" t="s">
        <v>277</v>
      </c>
      <c r="G416" s="5" t="n">
        <v>46280.1965277778</v>
      </c>
      <c r="H416" s="5" t="n">
        <v>46280.9395833333</v>
      </c>
      <c r="I416" s="5" t="n">
        <v>46281.0305555556</v>
      </c>
      <c r="J416" s="4" t="s">
        <v>284</v>
      </c>
      <c r="K416" s="4" t="s">
        <v>718</v>
      </c>
      <c r="L416" s="4" t="s">
        <v>242</v>
      </c>
      <c r="M416" s="4" t="n">
        <v>1</v>
      </c>
      <c r="N416" s="4" t="n">
        <v>1</v>
      </c>
      <c r="O416" s="4" t="n">
        <v>0</v>
      </c>
      <c r="P416" s="12"/>
      <c r="Q416" s="4" t="n">
        <v>0</v>
      </c>
      <c r="R416" s="0" t="str">
        <f aca="false">INDEX(Owners!$B$4:$B$21,MATCH(D416,Owners!$A$4:$A$21,0))</f>
        <v>Data Platform</v>
      </c>
      <c r="S416" s="6" t="b">
        <f aca="false">AND(F416="closed",ISNUMBER(H416),H416&lt;=Controls!$B$4)</f>
        <v>1</v>
      </c>
      <c r="T416" s="6" t="b">
        <f aca="false">AND(ISNUMBER(I416),I416&lt;=Controls!$B$4,J416="rerun",K416=A416,L416=C416,M416=N416,O416=0,I416&gt;=G416,IF(ISNUMBER(P416),I416&gt;=P416,TRUE()))</f>
        <v>1</v>
      </c>
      <c r="U416" s="0" t="str">
        <f aca="false">IF(AND(S416,T416),"resolved",IF(S416,"claimed","open"))</f>
        <v>resolved</v>
      </c>
      <c r="V416" s="11" t="n">
        <f aca="false">ROUND((IF(U416="resolved",I416,IF(U416="claimed",H416,Controls!$B$4))-G416)*24,4)</f>
        <v>20.0167</v>
      </c>
      <c r="W416" s="6" t="b">
        <f aca="false">INDEX(Owners!$E$4:$E$21,MATCH(D416,Owners!$A$4:$A$21,0))</f>
        <v>1</v>
      </c>
    </row>
    <row r="417" customFormat="false" ht="15" hidden="false" customHeight="false" outlineLevel="0" collapsed="false">
      <c r="A417" s="4" t="s">
        <v>719</v>
      </c>
      <c r="B417" s="4" t="s">
        <v>110</v>
      </c>
      <c r="C417" s="4" t="s">
        <v>228</v>
      </c>
      <c r="D417" s="4" t="s">
        <v>286</v>
      </c>
      <c r="E417" s="4" t="s">
        <v>202</v>
      </c>
      <c r="F417" s="4" t="s">
        <v>562</v>
      </c>
      <c r="G417" s="5" t="n">
        <v>46280.2145833333</v>
      </c>
      <c r="H417" s="12"/>
      <c r="I417" s="12"/>
      <c r="N417" s="4" t="n">
        <v>2</v>
      </c>
      <c r="P417" s="12"/>
      <c r="Q417" s="4" t="n">
        <v>0</v>
      </c>
      <c r="R417" s="0" t="str">
        <f aca="false">INDEX(Owners!$B$4:$B$21,MATCH(D417,Owners!$A$4:$A$21,0))</f>
        <v>Finance Systems</v>
      </c>
      <c r="S417" s="6" t="b">
        <f aca="false">AND(F417="closed",ISNUMBER(H417),H417&lt;=Controls!$B$4)</f>
        <v>0</v>
      </c>
      <c r="T417" s="6" t="b">
        <f aca="false">AND(ISNUMBER(I417),I417&lt;=Controls!$B$4,J417="rerun",K417=A417,L417=C417,M417=N417,O417=0,I417&gt;=G417,IF(ISNUMBER(P417),I417&gt;=P417,TRUE()))</f>
        <v>0</v>
      </c>
      <c r="U417" s="0" t="str">
        <f aca="false">IF(AND(S417,T417),"resolved",IF(S417,"claimed","open"))</f>
        <v>open</v>
      </c>
      <c r="V417" s="11" t="n">
        <f aca="false">ROUND((IF(U417="resolved",I417,IF(U417="claimed",H417,Controls!$B$4))-G417)*24,4)</f>
        <v>474.85</v>
      </c>
      <c r="W417" s="6" t="b">
        <f aca="false">INDEX(Owners!$E$4:$E$21,MATCH(D417,Owners!$A$4:$A$21,0))</f>
        <v>0</v>
      </c>
    </row>
    <row r="418" customFormat="false" ht="15" hidden="false" customHeight="false" outlineLevel="0" collapsed="false">
      <c r="A418" s="4" t="s">
        <v>720</v>
      </c>
      <c r="B418" s="4" t="s">
        <v>110</v>
      </c>
      <c r="C418" s="4" t="s">
        <v>226</v>
      </c>
      <c r="D418" s="4" t="s">
        <v>286</v>
      </c>
      <c r="E418" s="4" t="s">
        <v>202</v>
      </c>
      <c r="F418" s="4" t="s">
        <v>556</v>
      </c>
      <c r="G418" s="5" t="n">
        <v>46280.2326388889</v>
      </c>
      <c r="H418" s="12"/>
      <c r="I418" s="12"/>
      <c r="N418" s="4" t="n">
        <v>1</v>
      </c>
      <c r="P418" s="12"/>
      <c r="Q418" s="4" t="n">
        <v>0</v>
      </c>
      <c r="R418" s="0" t="str">
        <f aca="false">INDEX(Owners!$B$4:$B$21,MATCH(D418,Owners!$A$4:$A$21,0))</f>
        <v>Finance Systems</v>
      </c>
      <c r="S418" s="6" t="b">
        <f aca="false">AND(F418="closed",ISNUMBER(H418),H418&lt;=Controls!$B$4)</f>
        <v>0</v>
      </c>
      <c r="T418" s="6" t="b">
        <f aca="false">AND(ISNUMBER(I418),I418&lt;=Controls!$B$4,J418="rerun",K418=A418,L418=C418,M418=N418,O418=0,I418&gt;=G418,IF(ISNUMBER(P418),I418&gt;=P418,TRUE()))</f>
        <v>0</v>
      </c>
      <c r="U418" s="0" t="str">
        <f aca="false">IF(AND(S418,T418),"resolved",IF(S418,"claimed","open"))</f>
        <v>open</v>
      </c>
      <c r="V418" s="11" t="n">
        <f aca="false">ROUND((IF(U418="resolved",I418,IF(U418="claimed",H418,Controls!$B$4))-G418)*24,4)</f>
        <v>474.4167</v>
      </c>
      <c r="W418" s="6" t="b">
        <f aca="false">INDEX(Owners!$E$4:$E$21,MATCH(D418,Owners!$A$4:$A$21,0))</f>
        <v>0</v>
      </c>
    </row>
    <row r="419" customFormat="false" ht="15" hidden="false" customHeight="false" outlineLevel="0" collapsed="false">
      <c r="A419" s="4" t="s">
        <v>721</v>
      </c>
      <c r="B419" s="4" t="s">
        <v>109</v>
      </c>
      <c r="C419" s="4" t="s">
        <v>307</v>
      </c>
      <c r="D419" s="4" t="s">
        <v>292</v>
      </c>
      <c r="E419" s="4" t="s">
        <v>202</v>
      </c>
      <c r="F419" s="4" t="s">
        <v>277</v>
      </c>
      <c r="G419" s="5" t="n">
        <v>46281.1555555556</v>
      </c>
      <c r="H419" s="5" t="n">
        <v>46282.0333333333</v>
      </c>
      <c r="I419" s="12"/>
      <c r="N419" s="4" t="n">
        <v>1</v>
      </c>
      <c r="P419" s="12"/>
      <c r="Q419" s="4" t="n">
        <v>0</v>
      </c>
      <c r="R419" s="0" t="str">
        <f aca="false">INDEX(Owners!$B$4:$B$21,MATCH(D419,Owners!$A$4:$A$21,0))</f>
        <v>Support Operations</v>
      </c>
      <c r="S419" s="6" t="b">
        <f aca="false">AND(F419="closed",ISNUMBER(H419),H419&lt;=Controls!$B$4)</f>
        <v>1</v>
      </c>
      <c r="T419" s="6" t="b">
        <f aca="false">AND(ISNUMBER(I419),I419&lt;=Controls!$B$4,J419="rerun",K419=A419,L419=C419,M419=N419,O419=0,I419&gt;=G419,IF(ISNUMBER(P419),I419&gt;=P419,TRUE()))</f>
        <v>0</v>
      </c>
      <c r="U419" s="0" t="str">
        <f aca="false">IF(AND(S419,T419),"resolved",IF(S419,"claimed","open"))</f>
        <v>claimed</v>
      </c>
      <c r="V419" s="11" t="n">
        <f aca="false">ROUND((IF(U419="resolved",I419,IF(U419="claimed",H419,Controls!$B$4))-G419)*24,4)</f>
        <v>21.0667</v>
      </c>
      <c r="W419" s="6" t="b">
        <f aca="false">INDEX(Owners!$E$4:$E$21,MATCH(D419,Owners!$A$4:$A$21,0))</f>
        <v>1</v>
      </c>
    </row>
    <row r="420" customFormat="false" ht="15" hidden="false" customHeight="false" outlineLevel="0" collapsed="false">
      <c r="A420" s="4" t="s">
        <v>722</v>
      </c>
      <c r="B420" s="4" t="s">
        <v>113</v>
      </c>
      <c r="C420" s="4" t="s">
        <v>232</v>
      </c>
      <c r="D420" s="4" t="s">
        <v>296</v>
      </c>
      <c r="E420" s="4" t="s">
        <v>202</v>
      </c>
      <c r="F420" s="4" t="s">
        <v>562</v>
      </c>
      <c r="G420" s="5" t="n">
        <v>46281.1826388889</v>
      </c>
      <c r="H420" s="5" t="n">
        <v>46283.0555555556</v>
      </c>
      <c r="I420" s="5" t="n">
        <v>46283.2465277778</v>
      </c>
      <c r="J420" s="4" t="s">
        <v>284</v>
      </c>
      <c r="K420" s="4" t="s">
        <v>722</v>
      </c>
      <c r="L420" s="4" t="s">
        <v>232</v>
      </c>
      <c r="M420" s="4" t="n">
        <v>2</v>
      </c>
      <c r="N420" s="4" t="n">
        <v>2</v>
      </c>
      <c r="O420" s="4" t="n">
        <v>0</v>
      </c>
      <c r="P420" s="5" t="n">
        <v>46293.6013888889</v>
      </c>
      <c r="Q420" s="4" t="n">
        <v>1</v>
      </c>
      <c r="R420" s="0" t="str">
        <f aca="false">INDEX(Owners!$B$4:$B$21,MATCH(D420,Owners!$A$4:$A$21,0))</f>
        <v>Data Platform</v>
      </c>
      <c r="S420" s="6" t="b">
        <f aca="false">AND(F420="closed",ISNUMBER(H420),H420&lt;=Controls!$B$4)</f>
        <v>0</v>
      </c>
      <c r="T420" s="6" t="b">
        <f aca="false">AND(ISNUMBER(I420),I420&lt;=Controls!$B$4,J420="rerun",K420=A420,L420=C420,M420=N420,O420=0,I420&gt;=G420,IF(ISNUMBER(P420),I420&gt;=P420,TRUE()))</f>
        <v>0</v>
      </c>
      <c r="U420" s="0" t="str">
        <f aca="false">IF(AND(S420,T420),"resolved",IF(S420,"claimed","open"))</f>
        <v>open</v>
      </c>
      <c r="V420" s="11" t="n">
        <f aca="false">ROUND((IF(U420="resolved",I420,IF(U420="claimed",H420,Controls!$B$4))-G420)*24,4)</f>
        <v>451.6167</v>
      </c>
      <c r="W420" s="6" t="b">
        <f aca="false">INDEX(Owners!$E$4:$E$21,MATCH(D420,Owners!$A$4:$A$21,0))</f>
        <v>1</v>
      </c>
    </row>
    <row r="421" customFormat="false" ht="15" hidden="false" customHeight="false" outlineLevel="0" collapsed="false">
      <c r="A421" s="4" t="s">
        <v>723</v>
      </c>
      <c r="B421" s="4" t="s">
        <v>118</v>
      </c>
      <c r="C421" s="4" t="s">
        <v>242</v>
      </c>
      <c r="D421" s="4" t="s">
        <v>296</v>
      </c>
      <c r="E421" s="4" t="s">
        <v>202</v>
      </c>
      <c r="F421" s="4" t="s">
        <v>277</v>
      </c>
      <c r="G421" s="5" t="n">
        <v>46281.1965277778</v>
      </c>
      <c r="H421" s="5" t="n">
        <v>46281.9590277778</v>
      </c>
      <c r="I421" s="5" t="n">
        <v>46281.9916666667</v>
      </c>
      <c r="J421" s="4" t="s">
        <v>284</v>
      </c>
      <c r="K421" s="4" t="s">
        <v>723</v>
      </c>
      <c r="L421" s="4" t="s">
        <v>242</v>
      </c>
      <c r="M421" s="4" t="n">
        <v>1</v>
      </c>
      <c r="N421" s="4" t="n">
        <v>1</v>
      </c>
      <c r="O421" s="4" t="n">
        <v>0</v>
      </c>
      <c r="P421" s="12"/>
      <c r="Q421" s="4" t="n">
        <v>0</v>
      </c>
      <c r="R421" s="0" t="str">
        <f aca="false">INDEX(Owners!$B$4:$B$21,MATCH(D421,Owners!$A$4:$A$21,0))</f>
        <v>Data Platform</v>
      </c>
      <c r="S421" s="6" t="b">
        <f aca="false">AND(F421="closed",ISNUMBER(H421),H421&lt;=Controls!$B$4)</f>
        <v>1</v>
      </c>
      <c r="T421" s="6" t="b">
        <f aca="false">AND(ISNUMBER(I421),I421&lt;=Controls!$B$4,J421="rerun",K421=A421,L421=C421,M421=N421,O421=0,I421&gt;=G421,IF(ISNUMBER(P421),I421&gt;=P421,TRUE()))</f>
        <v>1</v>
      </c>
      <c r="U421" s="0" t="str">
        <f aca="false">IF(AND(S421,T421),"resolved",IF(S421,"claimed","open"))</f>
        <v>resolved</v>
      </c>
      <c r="V421" s="11" t="n">
        <f aca="false">ROUND((IF(U421="resolved",I421,IF(U421="claimed",H421,Controls!$B$4))-G421)*24,4)</f>
        <v>19.0833</v>
      </c>
      <c r="W421" s="6" t="b">
        <f aca="false">INDEX(Owners!$E$4:$E$21,MATCH(D421,Owners!$A$4:$A$21,0))</f>
        <v>1</v>
      </c>
    </row>
    <row r="422" customFormat="false" ht="15" hidden="false" customHeight="false" outlineLevel="0" collapsed="false">
      <c r="A422" s="4" t="s">
        <v>724</v>
      </c>
      <c r="B422" s="4" t="s">
        <v>98</v>
      </c>
      <c r="C422" s="4" t="s">
        <v>211</v>
      </c>
      <c r="D422" s="4" t="s">
        <v>324</v>
      </c>
      <c r="E422" s="4" t="s">
        <v>204</v>
      </c>
      <c r="F422" s="4" t="s">
        <v>277</v>
      </c>
      <c r="G422" s="5" t="n">
        <v>46281.2416666667</v>
      </c>
      <c r="H422" s="5" t="n">
        <v>46282.9194444444</v>
      </c>
      <c r="I422" s="12"/>
      <c r="N422" s="4" t="n">
        <v>3</v>
      </c>
      <c r="P422" s="12"/>
      <c r="Q422" s="4" t="n">
        <v>0</v>
      </c>
      <c r="R422" s="0" t="str">
        <f aca="false">INDEX(Owners!$B$4:$B$21,MATCH(D422,Owners!$A$4:$A$21,0))</f>
        <v>Finance Systems</v>
      </c>
      <c r="S422" s="6" t="b">
        <f aca="false">AND(F422="closed",ISNUMBER(H422),H422&lt;=Controls!$B$4)</f>
        <v>1</v>
      </c>
      <c r="T422" s="6" t="b">
        <f aca="false">AND(ISNUMBER(I422),I422&lt;=Controls!$B$4,J422="rerun",K422=A422,L422=C422,M422=N422,O422=0,I422&gt;=G422,IF(ISNUMBER(P422),I422&gt;=P422,TRUE()))</f>
        <v>0</v>
      </c>
      <c r="U422" s="0" t="str">
        <f aca="false">IF(AND(S422,T422),"resolved",IF(S422,"claimed","open"))</f>
        <v>claimed</v>
      </c>
      <c r="V422" s="11" t="n">
        <f aca="false">ROUND((IF(U422="resolved",I422,IF(U422="claimed",H422,Controls!$B$4))-G422)*24,4)</f>
        <v>40.2667</v>
      </c>
      <c r="W422" s="6" t="b">
        <f aca="false">INDEX(Owners!$E$4:$E$21,MATCH(D422,Owners!$A$4:$A$21,0))</f>
        <v>1</v>
      </c>
    </row>
    <row r="423" customFormat="false" ht="15" hidden="false" customHeight="false" outlineLevel="0" collapsed="false">
      <c r="A423" s="4" t="s">
        <v>725</v>
      </c>
      <c r="B423" s="4" t="s">
        <v>98</v>
      </c>
      <c r="C423" s="4" t="s">
        <v>323</v>
      </c>
      <c r="D423" s="4" t="s">
        <v>324</v>
      </c>
      <c r="E423" s="4" t="s">
        <v>202</v>
      </c>
      <c r="F423" s="4" t="s">
        <v>562</v>
      </c>
      <c r="G423" s="5" t="n">
        <v>46282.0840277778</v>
      </c>
      <c r="H423" s="12"/>
      <c r="I423" s="12"/>
      <c r="N423" s="4" t="n">
        <v>1</v>
      </c>
      <c r="P423" s="12"/>
      <c r="Q423" s="4" t="n">
        <v>0</v>
      </c>
      <c r="R423" s="0" t="str">
        <f aca="false">INDEX(Owners!$B$4:$B$21,MATCH(D423,Owners!$A$4:$A$21,0))</f>
        <v>Finance Systems</v>
      </c>
      <c r="S423" s="6" t="b">
        <f aca="false">AND(F423="closed",ISNUMBER(H423),H423&lt;=Controls!$B$4)</f>
        <v>0</v>
      </c>
      <c r="T423" s="6" t="b">
        <f aca="false">AND(ISNUMBER(I423),I423&lt;=Controls!$B$4,J423="rerun",K423=A423,L423=C423,M423=N423,O423=0,I423&gt;=G423,IF(ISNUMBER(P423),I423&gt;=P423,TRUE()))</f>
        <v>0</v>
      </c>
      <c r="U423" s="0" t="str">
        <f aca="false">IF(AND(S423,T423),"resolved",IF(S423,"claimed","open"))</f>
        <v>open</v>
      </c>
      <c r="V423" s="11" t="n">
        <f aca="false">ROUND((IF(U423="resolved",I423,IF(U423="claimed",H423,Controls!$B$4))-G423)*24,4)</f>
        <v>429.9833</v>
      </c>
      <c r="W423" s="6" t="b">
        <f aca="false">INDEX(Owners!$E$4:$E$21,MATCH(D423,Owners!$A$4:$A$21,0))</f>
        <v>1</v>
      </c>
    </row>
    <row r="424" customFormat="false" ht="15" hidden="false" customHeight="false" outlineLevel="0" collapsed="false">
      <c r="A424" s="4" t="s">
        <v>726</v>
      </c>
      <c r="B424" s="4" t="s">
        <v>122</v>
      </c>
      <c r="C424" s="4" t="s">
        <v>246</v>
      </c>
      <c r="D424" s="4" t="s">
        <v>350</v>
      </c>
      <c r="E424" s="4" t="s">
        <v>204</v>
      </c>
      <c r="F424" s="4" t="s">
        <v>277</v>
      </c>
      <c r="G424" s="5" t="n">
        <v>46282.1381944444</v>
      </c>
      <c r="H424" s="5" t="n">
        <v>46283.0972222222</v>
      </c>
      <c r="I424" s="5" t="n">
        <v>46283.6347222222</v>
      </c>
      <c r="J424" s="4" t="s">
        <v>284</v>
      </c>
      <c r="K424" s="4" t="s">
        <v>726</v>
      </c>
      <c r="L424" s="4" t="s">
        <v>246</v>
      </c>
      <c r="M424" s="4" t="n">
        <v>2</v>
      </c>
      <c r="N424" s="4" t="n">
        <v>2</v>
      </c>
      <c r="O424" s="4" t="n">
        <v>0</v>
      </c>
      <c r="P424" s="12"/>
      <c r="Q424" s="4" t="n">
        <v>0</v>
      </c>
      <c r="R424" s="0" t="str">
        <f aca="false">INDEX(Owners!$B$4:$B$21,MATCH(D424,Owners!$A$4:$A$21,0))</f>
        <v>Supply Chain</v>
      </c>
      <c r="S424" s="6" t="b">
        <f aca="false">AND(F424="closed",ISNUMBER(H424),H424&lt;=Controls!$B$4)</f>
        <v>1</v>
      </c>
      <c r="T424" s="6" t="b">
        <f aca="false">AND(ISNUMBER(I424),I424&lt;=Controls!$B$4,J424="rerun",K424=A424,L424=C424,M424=N424,O424=0,I424&gt;=G424,IF(ISNUMBER(P424),I424&gt;=P424,TRUE()))</f>
        <v>1</v>
      </c>
      <c r="U424" s="0" t="str">
        <f aca="false">IF(AND(S424,T424),"resolved",IF(S424,"claimed","open"))</f>
        <v>resolved</v>
      </c>
      <c r="V424" s="11" t="n">
        <f aca="false">ROUND((IF(U424="resolved",I424,IF(U424="claimed",H424,Controls!$B$4))-G424)*24,4)</f>
        <v>35.9167</v>
      </c>
      <c r="W424" s="6" t="b">
        <f aca="false">INDEX(Owners!$E$4:$E$21,MATCH(D424,Owners!$A$4:$A$21,0))</f>
        <v>1</v>
      </c>
    </row>
    <row r="425" customFormat="false" ht="15" hidden="false" customHeight="false" outlineLevel="0" collapsed="false">
      <c r="A425" s="4" t="s">
        <v>727</v>
      </c>
      <c r="B425" s="4" t="s">
        <v>124</v>
      </c>
      <c r="C425" s="4" t="s">
        <v>248</v>
      </c>
      <c r="D425" s="4" t="s">
        <v>301</v>
      </c>
      <c r="E425" s="4" t="s">
        <v>202</v>
      </c>
      <c r="F425" s="4" t="s">
        <v>556</v>
      </c>
      <c r="G425" s="5" t="n">
        <v>46282.1423611111</v>
      </c>
      <c r="H425" s="12"/>
      <c r="I425" s="12"/>
      <c r="N425" s="4" t="n">
        <v>1</v>
      </c>
      <c r="P425" s="12"/>
      <c r="Q425" s="4" t="n">
        <v>0</v>
      </c>
      <c r="R425" s="0" t="str">
        <f aca="false">INDEX(Owners!$B$4:$B$21,MATCH(D425,Owners!$A$4:$A$21,0))</f>
        <v>Data Platform</v>
      </c>
      <c r="S425" s="6" t="b">
        <f aca="false">AND(F425="closed",ISNUMBER(H425),H425&lt;=Controls!$B$4)</f>
        <v>0</v>
      </c>
      <c r="T425" s="6" t="b">
        <f aca="false">AND(ISNUMBER(I425),I425&lt;=Controls!$B$4,J425="rerun",K425=A425,L425=C425,M425=N425,O425=0,I425&gt;=G425,IF(ISNUMBER(P425),I425&gt;=P425,TRUE()))</f>
        <v>0</v>
      </c>
      <c r="U425" s="0" t="str">
        <f aca="false">IF(AND(S425,T425),"resolved",IF(S425,"claimed","open"))</f>
        <v>open</v>
      </c>
      <c r="V425" s="11" t="n">
        <f aca="false">ROUND((IF(U425="resolved",I425,IF(U425="claimed",H425,Controls!$B$4))-G425)*24,4)</f>
        <v>428.5833</v>
      </c>
      <c r="W425" s="6" t="b">
        <f aca="false">INDEX(Owners!$E$4:$E$21,MATCH(D425,Owners!$A$4:$A$21,0))</f>
        <v>1</v>
      </c>
    </row>
    <row r="426" customFormat="false" ht="15" hidden="false" customHeight="false" outlineLevel="0" collapsed="false">
      <c r="A426" s="4" t="s">
        <v>728</v>
      </c>
      <c r="B426" s="4" t="s">
        <v>109</v>
      </c>
      <c r="C426" s="4" t="s">
        <v>307</v>
      </c>
      <c r="D426" s="4" t="s">
        <v>292</v>
      </c>
      <c r="E426" s="4" t="s">
        <v>202</v>
      </c>
      <c r="F426" s="4" t="s">
        <v>277</v>
      </c>
      <c r="G426" s="5" t="n">
        <v>46282.1555555556</v>
      </c>
      <c r="H426" s="5" t="n">
        <v>46283.2861111111</v>
      </c>
      <c r="I426" s="12"/>
      <c r="N426" s="4" t="n">
        <v>1</v>
      </c>
      <c r="P426" s="12"/>
      <c r="Q426" s="4" t="n">
        <v>0</v>
      </c>
      <c r="R426" s="0" t="str">
        <f aca="false">INDEX(Owners!$B$4:$B$21,MATCH(D426,Owners!$A$4:$A$21,0))</f>
        <v>Support Operations</v>
      </c>
      <c r="S426" s="6" t="b">
        <f aca="false">AND(F426="closed",ISNUMBER(H426),H426&lt;=Controls!$B$4)</f>
        <v>1</v>
      </c>
      <c r="T426" s="6" t="b">
        <f aca="false">AND(ISNUMBER(I426),I426&lt;=Controls!$B$4,J426="rerun",K426=A426,L426=C426,M426=N426,O426=0,I426&gt;=G426,IF(ISNUMBER(P426),I426&gt;=P426,TRUE()))</f>
        <v>0</v>
      </c>
      <c r="U426" s="0" t="str">
        <f aca="false">IF(AND(S426,T426),"resolved",IF(S426,"claimed","open"))</f>
        <v>claimed</v>
      </c>
      <c r="V426" s="11" t="n">
        <f aca="false">ROUND((IF(U426="resolved",I426,IF(U426="claimed",H426,Controls!$B$4))-G426)*24,4)</f>
        <v>27.1333</v>
      </c>
      <c r="W426" s="6" t="b">
        <f aca="false">INDEX(Owners!$E$4:$E$21,MATCH(D426,Owners!$A$4:$A$21,0))</f>
        <v>1</v>
      </c>
    </row>
    <row r="427" customFormat="false" ht="15" hidden="false" customHeight="false" outlineLevel="0" collapsed="false">
      <c r="A427" s="4" t="s">
        <v>729</v>
      </c>
      <c r="B427" s="4" t="s">
        <v>125</v>
      </c>
      <c r="C427" s="4" t="s">
        <v>250</v>
      </c>
      <c r="D427" s="4" t="s">
        <v>334</v>
      </c>
      <c r="E427" s="4" t="s">
        <v>202</v>
      </c>
      <c r="F427" s="4" t="s">
        <v>277</v>
      </c>
      <c r="G427" s="5" t="n">
        <v>46282.1875</v>
      </c>
      <c r="H427" s="5" t="n">
        <v>46285.4916666667</v>
      </c>
      <c r="I427" s="5" t="n">
        <v>46285.5763888889</v>
      </c>
      <c r="J427" s="4" t="s">
        <v>284</v>
      </c>
      <c r="K427" s="4" t="s">
        <v>729</v>
      </c>
      <c r="L427" s="4" t="s">
        <v>250</v>
      </c>
      <c r="M427" s="4" t="n">
        <v>1</v>
      </c>
      <c r="N427" s="4" t="n">
        <v>1</v>
      </c>
      <c r="O427" s="4" t="n">
        <v>0</v>
      </c>
      <c r="P427" s="12"/>
      <c r="Q427" s="4" t="n">
        <v>0</v>
      </c>
      <c r="R427" s="0" t="str">
        <f aca="false">INDEX(Owners!$B$4:$B$21,MATCH(D427,Owners!$A$4:$A$21,0))</f>
        <v>Supply Chain</v>
      </c>
      <c r="S427" s="6" t="b">
        <f aca="false">AND(F427="closed",ISNUMBER(H427),H427&lt;=Controls!$B$4)</f>
        <v>1</v>
      </c>
      <c r="T427" s="6" t="b">
        <f aca="false">AND(ISNUMBER(I427),I427&lt;=Controls!$B$4,J427="rerun",K427=A427,L427=C427,M427=N427,O427=0,I427&gt;=G427,IF(ISNUMBER(P427),I427&gt;=P427,TRUE()))</f>
        <v>1</v>
      </c>
      <c r="U427" s="0" t="str">
        <f aca="false">IF(AND(S427,T427),"resolved",IF(S427,"claimed","open"))</f>
        <v>resolved</v>
      </c>
      <c r="V427" s="11" t="n">
        <f aca="false">ROUND((IF(U427="resolved",I427,IF(U427="claimed",H427,Controls!$B$4))-G427)*24,4)</f>
        <v>81.3333</v>
      </c>
      <c r="W427" s="6" t="b">
        <f aca="false">INDEX(Owners!$E$4:$E$21,MATCH(D427,Owners!$A$4:$A$21,0))</f>
        <v>0</v>
      </c>
    </row>
    <row r="428" customFormat="false" ht="15" hidden="false" customHeight="false" outlineLevel="0" collapsed="false">
      <c r="A428" s="4" t="s">
        <v>730</v>
      </c>
      <c r="B428" s="4" t="s">
        <v>131</v>
      </c>
      <c r="C428" s="4" t="s">
        <v>259</v>
      </c>
      <c r="D428" s="4" t="s">
        <v>283</v>
      </c>
      <c r="E428" s="4" t="s">
        <v>202</v>
      </c>
      <c r="F428" s="4" t="s">
        <v>562</v>
      </c>
      <c r="G428" s="5" t="n">
        <v>46282.2013888889</v>
      </c>
      <c r="H428" s="12"/>
      <c r="I428" s="12"/>
      <c r="N428" s="4" t="n">
        <v>1</v>
      </c>
      <c r="P428" s="12"/>
      <c r="Q428" s="4" t="n">
        <v>0</v>
      </c>
      <c r="R428" s="0" t="str">
        <f aca="false">INDEX(Owners!$B$4:$B$21,MATCH(D428,Owners!$A$4:$A$21,0))</f>
        <v>Data Platform</v>
      </c>
      <c r="S428" s="6" t="b">
        <f aca="false">AND(F428="closed",ISNUMBER(H428),H428&lt;=Controls!$B$4)</f>
        <v>0</v>
      </c>
      <c r="T428" s="6" t="b">
        <f aca="false">AND(ISNUMBER(I428),I428&lt;=Controls!$B$4,J428="rerun",K428=A428,L428=C428,M428=N428,O428=0,I428&gt;=G428,IF(ISNUMBER(P428),I428&gt;=P428,TRUE()))</f>
        <v>0</v>
      </c>
      <c r="U428" s="0" t="str">
        <f aca="false">IF(AND(S428,T428),"resolved",IF(S428,"claimed","open"))</f>
        <v>open</v>
      </c>
      <c r="V428" s="11" t="n">
        <f aca="false">ROUND((IF(U428="resolved",I428,IF(U428="claimed",H428,Controls!$B$4))-G428)*24,4)</f>
        <v>427.1667</v>
      </c>
      <c r="W428" s="6" t="b">
        <f aca="false">INDEX(Owners!$E$4:$E$21,MATCH(D428,Owners!$A$4:$A$21,0))</f>
        <v>1</v>
      </c>
    </row>
    <row r="429" customFormat="false" ht="15" hidden="false" customHeight="false" outlineLevel="0" collapsed="false">
      <c r="A429" s="4" t="s">
        <v>731</v>
      </c>
      <c r="B429" s="4" t="s">
        <v>98</v>
      </c>
      <c r="C429" s="4" t="s">
        <v>323</v>
      </c>
      <c r="D429" s="4" t="s">
        <v>324</v>
      </c>
      <c r="E429" s="4" t="s">
        <v>202</v>
      </c>
      <c r="F429" s="4" t="s">
        <v>556</v>
      </c>
      <c r="G429" s="5" t="n">
        <v>46283.0840277778</v>
      </c>
      <c r="H429" s="12"/>
      <c r="I429" s="12"/>
      <c r="N429" s="4" t="n">
        <v>1</v>
      </c>
      <c r="P429" s="12"/>
      <c r="Q429" s="4" t="n">
        <v>0</v>
      </c>
      <c r="R429" s="0" t="str">
        <f aca="false">INDEX(Owners!$B$4:$B$21,MATCH(D429,Owners!$A$4:$A$21,0))</f>
        <v>Finance Systems</v>
      </c>
      <c r="S429" s="6" t="b">
        <f aca="false">AND(F429="closed",ISNUMBER(H429),H429&lt;=Controls!$B$4)</f>
        <v>0</v>
      </c>
      <c r="T429" s="6" t="b">
        <f aca="false">AND(ISNUMBER(I429),I429&lt;=Controls!$B$4,J429="rerun",K429=A429,L429=C429,M429=N429,O429=0,I429&gt;=G429,IF(ISNUMBER(P429),I429&gt;=P429,TRUE()))</f>
        <v>0</v>
      </c>
      <c r="U429" s="0" t="str">
        <f aca="false">IF(AND(S429,T429),"resolved",IF(S429,"claimed","open"))</f>
        <v>open</v>
      </c>
      <c r="V429" s="11" t="n">
        <f aca="false">ROUND((IF(U429="resolved",I429,IF(U429="claimed",H429,Controls!$B$4))-G429)*24,4)</f>
        <v>405.9833</v>
      </c>
      <c r="W429" s="6" t="b">
        <f aca="false">INDEX(Owners!$E$4:$E$21,MATCH(D429,Owners!$A$4:$A$21,0))</f>
        <v>1</v>
      </c>
    </row>
    <row r="430" customFormat="false" ht="15" hidden="false" customHeight="false" outlineLevel="0" collapsed="false">
      <c r="A430" s="4" t="s">
        <v>732</v>
      </c>
      <c r="B430" s="4" t="s">
        <v>127</v>
      </c>
      <c r="C430" s="4" t="s">
        <v>252</v>
      </c>
      <c r="D430" s="4" t="s">
        <v>358</v>
      </c>
      <c r="E430" s="4" t="s">
        <v>204</v>
      </c>
      <c r="F430" s="4" t="s">
        <v>277</v>
      </c>
      <c r="G430" s="5" t="n">
        <v>46283.0888888889</v>
      </c>
      <c r="H430" s="5" t="n">
        <v>46287.3916666667</v>
      </c>
      <c r="I430" s="5" t="n">
        <v>46287.85625</v>
      </c>
      <c r="J430" s="4" t="s">
        <v>284</v>
      </c>
      <c r="K430" s="4" t="s">
        <v>732</v>
      </c>
      <c r="L430" s="4" t="s">
        <v>252</v>
      </c>
      <c r="M430" s="4" t="n">
        <v>1</v>
      </c>
      <c r="N430" s="4" t="n">
        <v>1</v>
      </c>
      <c r="O430" s="4" t="n">
        <v>0</v>
      </c>
      <c r="P430" s="12"/>
      <c r="Q430" s="4" t="n">
        <v>0</v>
      </c>
      <c r="R430" s="0" t="str">
        <f aca="false">INDEX(Owners!$B$4:$B$21,MATCH(D430,Owners!$A$4:$A$21,0))</f>
        <v>Finance Systems</v>
      </c>
      <c r="S430" s="6" t="b">
        <f aca="false">AND(F430="closed",ISNUMBER(H430),H430&lt;=Controls!$B$4)</f>
        <v>1</v>
      </c>
      <c r="T430" s="6" t="b">
        <f aca="false">AND(ISNUMBER(I430),I430&lt;=Controls!$B$4,J430="rerun",K430=A430,L430=C430,M430=N430,O430=0,I430&gt;=G430,IF(ISNUMBER(P430),I430&gt;=P430,TRUE()))</f>
        <v>1</v>
      </c>
      <c r="U430" s="0" t="str">
        <f aca="false">IF(AND(S430,T430),"resolved",IF(S430,"claimed","open"))</f>
        <v>resolved</v>
      </c>
      <c r="V430" s="11" t="n">
        <f aca="false">ROUND((IF(U430="resolved",I430,IF(U430="claimed",H430,Controls!$B$4))-G430)*24,4)</f>
        <v>114.4167</v>
      </c>
      <c r="W430" s="6" t="b">
        <f aca="false">INDEX(Owners!$E$4:$E$21,MATCH(D430,Owners!$A$4:$A$21,0))</f>
        <v>1</v>
      </c>
    </row>
    <row r="431" customFormat="false" ht="15" hidden="false" customHeight="false" outlineLevel="0" collapsed="false">
      <c r="A431" s="4" t="s">
        <v>733</v>
      </c>
      <c r="B431" s="4" t="s">
        <v>103</v>
      </c>
      <c r="C431" s="4" t="s">
        <v>218</v>
      </c>
      <c r="D431" s="4" t="s">
        <v>350</v>
      </c>
      <c r="E431" s="4" t="s">
        <v>202</v>
      </c>
      <c r="F431" s="4" t="s">
        <v>562</v>
      </c>
      <c r="G431" s="5" t="n">
        <v>46283.0979166667</v>
      </c>
      <c r="H431" s="12"/>
      <c r="I431" s="12"/>
      <c r="N431" s="4" t="n">
        <v>2</v>
      </c>
      <c r="P431" s="12"/>
      <c r="Q431" s="4" t="n">
        <v>0</v>
      </c>
      <c r="R431" s="0" t="str">
        <f aca="false">INDEX(Owners!$B$4:$B$21,MATCH(D431,Owners!$A$4:$A$21,0))</f>
        <v>Supply Chain</v>
      </c>
      <c r="S431" s="6" t="b">
        <f aca="false">AND(F431="closed",ISNUMBER(H431),H431&lt;=Controls!$B$4)</f>
        <v>0</v>
      </c>
      <c r="T431" s="6" t="b">
        <f aca="false">AND(ISNUMBER(I431),I431&lt;=Controls!$B$4,J431="rerun",K431=A431,L431=C431,M431=N431,O431=0,I431&gt;=G431,IF(ISNUMBER(P431),I431&gt;=P431,TRUE()))</f>
        <v>0</v>
      </c>
      <c r="U431" s="0" t="str">
        <f aca="false">IF(AND(S431,T431),"resolved",IF(S431,"claimed","open"))</f>
        <v>open</v>
      </c>
      <c r="V431" s="11" t="n">
        <f aca="false">ROUND((IF(U431="resolved",I431,IF(U431="claimed",H431,Controls!$B$4))-G431)*24,4)</f>
        <v>405.65</v>
      </c>
      <c r="W431" s="6" t="b">
        <f aca="false">INDEX(Owners!$E$4:$E$21,MATCH(D431,Owners!$A$4:$A$21,0))</f>
        <v>1</v>
      </c>
    </row>
    <row r="432" customFormat="false" ht="15" hidden="false" customHeight="false" outlineLevel="0" collapsed="false">
      <c r="A432" s="4" t="s">
        <v>734</v>
      </c>
      <c r="B432" s="4" t="s">
        <v>108</v>
      </c>
      <c r="C432" s="4" t="s">
        <v>225</v>
      </c>
      <c r="D432" s="4" t="s">
        <v>330</v>
      </c>
      <c r="E432" s="4" t="s">
        <v>204</v>
      </c>
      <c r="F432" s="4" t="s">
        <v>277</v>
      </c>
      <c r="G432" s="5" t="n">
        <v>46283.1159722222</v>
      </c>
      <c r="H432" s="5" t="n">
        <v>46284.6604166667</v>
      </c>
      <c r="I432" s="12"/>
      <c r="N432" s="4" t="n">
        <v>1</v>
      </c>
      <c r="P432" s="12"/>
      <c r="Q432" s="4" t="n">
        <v>0</v>
      </c>
      <c r="R432" s="0" t="str">
        <f aca="false">INDEX(Owners!$B$4:$B$21,MATCH(D432,Owners!$A$4:$A$21,0))</f>
        <v>Supply Chain</v>
      </c>
      <c r="S432" s="6" t="b">
        <f aca="false">AND(F432="closed",ISNUMBER(H432),H432&lt;=Controls!$B$4)</f>
        <v>1</v>
      </c>
      <c r="T432" s="6" t="b">
        <f aca="false">AND(ISNUMBER(I432),I432&lt;=Controls!$B$4,J432="rerun",K432=A432,L432=C432,M432=N432,O432=0,I432&gt;=G432,IF(ISNUMBER(P432),I432&gt;=P432,TRUE()))</f>
        <v>0</v>
      </c>
      <c r="U432" s="0" t="str">
        <f aca="false">IF(AND(S432,T432),"resolved",IF(S432,"claimed","open"))</f>
        <v>claimed</v>
      </c>
      <c r="V432" s="11" t="n">
        <f aca="false">ROUND((IF(U432="resolved",I432,IF(U432="claimed",H432,Controls!$B$4))-G432)*24,4)</f>
        <v>37.0667</v>
      </c>
      <c r="W432" s="6" t="b">
        <f aca="false">INDEX(Owners!$E$4:$E$21,MATCH(D432,Owners!$A$4:$A$21,0))</f>
        <v>1</v>
      </c>
    </row>
    <row r="433" customFormat="false" ht="15" hidden="false" customHeight="false" outlineLevel="0" collapsed="false">
      <c r="A433" s="4" t="s">
        <v>735</v>
      </c>
      <c r="B433" s="4" t="s">
        <v>119</v>
      </c>
      <c r="C433" s="4" t="s">
        <v>243</v>
      </c>
      <c r="D433" s="4" t="s">
        <v>292</v>
      </c>
      <c r="E433" s="4" t="s">
        <v>202</v>
      </c>
      <c r="F433" s="4" t="s">
        <v>562</v>
      </c>
      <c r="G433" s="5" t="n">
        <v>46283.1604166667</v>
      </c>
      <c r="H433" s="12"/>
      <c r="I433" s="12"/>
      <c r="N433" s="4" t="n">
        <v>1</v>
      </c>
      <c r="P433" s="12"/>
      <c r="Q433" s="4" t="n">
        <v>0</v>
      </c>
      <c r="R433" s="0" t="str">
        <f aca="false">INDEX(Owners!$B$4:$B$21,MATCH(D433,Owners!$A$4:$A$21,0))</f>
        <v>Support Operations</v>
      </c>
      <c r="S433" s="6" t="b">
        <f aca="false">AND(F433="closed",ISNUMBER(H433),H433&lt;=Controls!$B$4)</f>
        <v>0</v>
      </c>
      <c r="T433" s="6" t="b">
        <f aca="false">AND(ISNUMBER(I433),I433&lt;=Controls!$B$4,J433="rerun",K433=A433,L433=C433,M433=N433,O433=0,I433&gt;=G433,IF(ISNUMBER(P433),I433&gt;=P433,TRUE()))</f>
        <v>0</v>
      </c>
      <c r="U433" s="0" t="str">
        <f aca="false">IF(AND(S433,T433),"resolved",IF(S433,"claimed","open"))</f>
        <v>open</v>
      </c>
      <c r="V433" s="11" t="n">
        <f aca="false">ROUND((IF(U433="resolved",I433,IF(U433="claimed",H433,Controls!$B$4))-G433)*24,4)</f>
        <v>404.15</v>
      </c>
      <c r="W433" s="6" t="b">
        <f aca="false">INDEX(Owners!$E$4:$E$21,MATCH(D433,Owners!$A$4:$A$21,0))</f>
        <v>1</v>
      </c>
    </row>
    <row r="434" customFormat="false" ht="15" hidden="false" customHeight="false" outlineLevel="0" collapsed="false">
      <c r="A434" s="4" t="s">
        <v>736</v>
      </c>
      <c r="B434" s="4" t="s">
        <v>113</v>
      </c>
      <c r="C434" s="4" t="s">
        <v>232</v>
      </c>
      <c r="D434" s="4" t="s">
        <v>296</v>
      </c>
      <c r="E434" s="4" t="s">
        <v>202</v>
      </c>
      <c r="F434" s="4" t="s">
        <v>562</v>
      </c>
      <c r="G434" s="5" t="n">
        <v>46283.1826388889</v>
      </c>
      <c r="H434" s="12"/>
      <c r="I434" s="12"/>
      <c r="N434" s="4" t="n">
        <v>2</v>
      </c>
      <c r="P434" s="12"/>
      <c r="Q434" s="4" t="n">
        <v>0</v>
      </c>
      <c r="R434" s="0" t="str">
        <f aca="false">INDEX(Owners!$B$4:$B$21,MATCH(D434,Owners!$A$4:$A$21,0))</f>
        <v>Data Platform</v>
      </c>
      <c r="S434" s="6" t="b">
        <f aca="false">AND(F434="closed",ISNUMBER(H434),H434&lt;=Controls!$B$4)</f>
        <v>0</v>
      </c>
      <c r="T434" s="6" t="b">
        <f aca="false">AND(ISNUMBER(I434),I434&lt;=Controls!$B$4,J434="rerun",K434=A434,L434=C434,M434=N434,O434=0,I434&gt;=G434,IF(ISNUMBER(P434),I434&gt;=P434,TRUE()))</f>
        <v>0</v>
      </c>
      <c r="U434" s="0" t="str">
        <f aca="false">IF(AND(S434,T434),"resolved",IF(S434,"claimed","open"))</f>
        <v>open</v>
      </c>
      <c r="V434" s="11" t="n">
        <f aca="false">ROUND((IF(U434="resolved",I434,IF(U434="claimed",H434,Controls!$B$4))-G434)*24,4)</f>
        <v>403.6167</v>
      </c>
      <c r="W434" s="6" t="b">
        <f aca="false">INDEX(Owners!$E$4:$E$21,MATCH(D434,Owners!$A$4:$A$21,0))</f>
        <v>1</v>
      </c>
    </row>
    <row r="435" customFormat="false" ht="15" hidden="false" customHeight="false" outlineLevel="0" collapsed="false">
      <c r="A435" s="4" t="s">
        <v>737</v>
      </c>
      <c r="B435" s="4" t="s">
        <v>112</v>
      </c>
      <c r="C435" s="4" t="s">
        <v>231</v>
      </c>
      <c r="D435" s="4" t="s">
        <v>320</v>
      </c>
      <c r="E435" s="4" t="s">
        <v>210</v>
      </c>
      <c r="F435" s="4" t="s">
        <v>556</v>
      </c>
      <c r="G435" s="5" t="n">
        <v>46283.2277777778</v>
      </c>
      <c r="H435" s="12"/>
      <c r="I435" s="12"/>
      <c r="N435" s="4" t="n">
        <v>1</v>
      </c>
      <c r="P435" s="12"/>
      <c r="Q435" s="4" t="n">
        <v>0</v>
      </c>
      <c r="R435" s="0" t="str">
        <f aca="false">INDEX(Owners!$B$4:$B$21,MATCH(D435,Owners!$A$4:$A$21,0))</f>
        <v>Data Governance</v>
      </c>
      <c r="S435" s="6" t="b">
        <f aca="false">AND(F435="closed",ISNUMBER(H435),H435&lt;=Controls!$B$4)</f>
        <v>0</v>
      </c>
      <c r="T435" s="6" t="b">
        <f aca="false">AND(ISNUMBER(I435),I435&lt;=Controls!$B$4,J435="rerun",K435=A435,L435=C435,M435=N435,O435=0,I435&gt;=G435,IF(ISNUMBER(P435),I435&gt;=P435,TRUE()))</f>
        <v>0</v>
      </c>
      <c r="U435" s="0" t="str">
        <f aca="false">IF(AND(S435,T435),"resolved",IF(S435,"claimed","open"))</f>
        <v>open</v>
      </c>
      <c r="V435" s="11" t="n">
        <f aca="false">ROUND((IF(U435="resolved",I435,IF(U435="claimed",H435,Controls!$B$4))-G435)*24,4)</f>
        <v>402.5333</v>
      </c>
      <c r="W435" s="6" t="b">
        <f aca="false">INDEX(Owners!$E$4:$E$21,MATCH(D435,Owners!$A$4:$A$21,0))</f>
        <v>1</v>
      </c>
    </row>
    <row r="436" customFormat="false" ht="15" hidden="false" customHeight="false" outlineLevel="0" collapsed="false">
      <c r="A436" s="4" t="s">
        <v>738</v>
      </c>
      <c r="B436" s="4" t="s">
        <v>107</v>
      </c>
      <c r="C436" s="4" t="s">
        <v>224</v>
      </c>
      <c r="D436" s="4" t="s">
        <v>326</v>
      </c>
      <c r="E436" s="4" t="s">
        <v>202</v>
      </c>
      <c r="F436" s="4" t="s">
        <v>556</v>
      </c>
      <c r="G436" s="5" t="n">
        <v>46284.0972222222</v>
      </c>
      <c r="H436" s="12"/>
      <c r="I436" s="12"/>
      <c r="N436" s="4" t="n">
        <v>1</v>
      </c>
      <c r="P436" s="12"/>
      <c r="Q436" s="4" t="n">
        <v>0</v>
      </c>
      <c r="R436" s="0" t="str">
        <f aca="false">INDEX(Owners!$B$4:$B$21,MATCH(D436,Owners!$A$4:$A$21,0))</f>
        <v>Customer Data</v>
      </c>
      <c r="S436" s="6" t="b">
        <f aca="false">AND(F436="closed",ISNUMBER(H436),H436&lt;=Controls!$B$4)</f>
        <v>0</v>
      </c>
      <c r="T436" s="6" t="b">
        <f aca="false">AND(ISNUMBER(I436),I436&lt;=Controls!$B$4,J436="rerun",K436=A436,L436=C436,M436=N436,O436=0,I436&gt;=G436,IF(ISNUMBER(P436),I436&gt;=P436,TRUE()))</f>
        <v>0</v>
      </c>
      <c r="U436" s="0" t="str">
        <f aca="false">IF(AND(S436,T436),"resolved",IF(S436,"claimed","open"))</f>
        <v>open</v>
      </c>
      <c r="V436" s="11" t="n">
        <f aca="false">ROUND((IF(U436="resolved",I436,IF(U436="claimed",H436,Controls!$B$4))-G436)*24,4)</f>
        <v>381.6667</v>
      </c>
      <c r="W436" s="6" t="b">
        <f aca="false">INDEX(Owners!$E$4:$E$21,MATCH(D436,Owners!$A$4:$A$21,0))</f>
        <v>0</v>
      </c>
    </row>
    <row r="437" customFormat="false" ht="15" hidden="false" customHeight="false" outlineLevel="0" collapsed="false">
      <c r="A437" s="4" t="s">
        <v>739</v>
      </c>
      <c r="B437" s="4" t="s">
        <v>95</v>
      </c>
      <c r="C437" s="4" t="s">
        <v>205</v>
      </c>
      <c r="D437" s="4" t="s">
        <v>283</v>
      </c>
      <c r="E437" s="4" t="s">
        <v>204</v>
      </c>
      <c r="F437" s="4" t="s">
        <v>277</v>
      </c>
      <c r="G437" s="5" t="n">
        <v>46284.1069444444</v>
      </c>
      <c r="H437" s="5" t="n">
        <v>46285.5729166667</v>
      </c>
      <c r="I437" s="12"/>
      <c r="N437" s="4" t="n">
        <v>1</v>
      </c>
      <c r="P437" s="12"/>
      <c r="Q437" s="4" t="n">
        <v>0</v>
      </c>
      <c r="R437" s="0" t="str">
        <f aca="false">INDEX(Owners!$B$4:$B$21,MATCH(D437,Owners!$A$4:$A$21,0))</f>
        <v>Data Platform</v>
      </c>
      <c r="S437" s="6" t="b">
        <f aca="false">AND(F437="closed",ISNUMBER(H437),H437&lt;=Controls!$B$4)</f>
        <v>1</v>
      </c>
      <c r="T437" s="6" t="b">
        <f aca="false">AND(ISNUMBER(I437),I437&lt;=Controls!$B$4,J437="rerun",K437=A437,L437=C437,M437=N437,O437=0,I437&gt;=G437,IF(ISNUMBER(P437),I437&gt;=P437,TRUE()))</f>
        <v>0</v>
      </c>
      <c r="U437" s="0" t="str">
        <f aca="false">IF(AND(S437,T437),"resolved",IF(S437,"claimed","open"))</f>
        <v>claimed</v>
      </c>
      <c r="V437" s="11" t="n">
        <f aca="false">ROUND((IF(U437="resolved",I437,IF(U437="claimed",H437,Controls!$B$4))-G437)*24,4)</f>
        <v>35.1833</v>
      </c>
      <c r="W437" s="6" t="b">
        <f aca="false">INDEX(Owners!$E$4:$E$21,MATCH(D437,Owners!$A$4:$A$21,0))</f>
        <v>1</v>
      </c>
    </row>
    <row r="438" customFormat="false" ht="15" hidden="false" customHeight="false" outlineLevel="0" collapsed="false">
      <c r="A438" s="4" t="s">
        <v>740</v>
      </c>
      <c r="B438" s="4" t="s">
        <v>124</v>
      </c>
      <c r="C438" s="4" t="s">
        <v>248</v>
      </c>
      <c r="D438" s="4" t="s">
        <v>301</v>
      </c>
      <c r="E438" s="4" t="s">
        <v>202</v>
      </c>
      <c r="F438" s="4" t="s">
        <v>562</v>
      </c>
      <c r="G438" s="5" t="n">
        <v>46284.1423611111</v>
      </c>
      <c r="H438" s="12"/>
      <c r="I438" s="12"/>
      <c r="N438" s="4" t="n">
        <v>1</v>
      </c>
      <c r="P438" s="12"/>
      <c r="Q438" s="4" t="n">
        <v>0</v>
      </c>
      <c r="R438" s="0" t="str">
        <f aca="false">INDEX(Owners!$B$4:$B$21,MATCH(D438,Owners!$A$4:$A$21,0))</f>
        <v>Data Platform</v>
      </c>
      <c r="S438" s="6" t="b">
        <f aca="false">AND(F438="closed",ISNUMBER(H438),H438&lt;=Controls!$B$4)</f>
        <v>0</v>
      </c>
      <c r="T438" s="6" t="b">
        <f aca="false">AND(ISNUMBER(I438),I438&lt;=Controls!$B$4,J438="rerun",K438=A438,L438=C438,M438=N438,O438=0,I438&gt;=G438,IF(ISNUMBER(P438),I438&gt;=P438,TRUE()))</f>
        <v>0</v>
      </c>
      <c r="U438" s="0" t="str">
        <f aca="false">IF(AND(S438,T438),"resolved",IF(S438,"claimed","open"))</f>
        <v>open</v>
      </c>
      <c r="V438" s="11" t="n">
        <f aca="false">ROUND((IF(U438="resolved",I438,IF(U438="claimed",H438,Controls!$B$4))-G438)*24,4)</f>
        <v>380.5833</v>
      </c>
      <c r="W438" s="6" t="b">
        <f aca="false">INDEX(Owners!$E$4:$E$21,MATCH(D438,Owners!$A$4:$A$21,0))</f>
        <v>1</v>
      </c>
    </row>
    <row r="439" customFormat="false" ht="15" hidden="false" customHeight="false" outlineLevel="0" collapsed="false">
      <c r="A439" s="4" t="s">
        <v>741</v>
      </c>
      <c r="B439" s="4" t="s">
        <v>113</v>
      </c>
      <c r="C439" s="4" t="s">
        <v>232</v>
      </c>
      <c r="D439" s="4" t="s">
        <v>296</v>
      </c>
      <c r="E439" s="4" t="s">
        <v>202</v>
      </c>
      <c r="F439" s="4" t="s">
        <v>277</v>
      </c>
      <c r="G439" s="5" t="n">
        <v>46284.1826388889</v>
      </c>
      <c r="H439" s="5" t="n">
        <v>46285.8243055556</v>
      </c>
      <c r="I439" s="5" t="n">
        <v>46285.8777777778</v>
      </c>
      <c r="J439" s="4" t="s">
        <v>284</v>
      </c>
      <c r="K439" s="4" t="s">
        <v>741</v>
      </c>
      <c r="L439" s="4" t="s">
        <v>232</v>
      </c>
      <c r="M439" s="4" t="n">
        <v>2</v>
      </c>
      <c r="N439" s="4" t="n">
        <v>2</v>
      </c>
      <c r="O439" s="4" t="n">
        <v>0</v>
      </c>
      <c r="P439" s="12"/>
      <c r="Q439" s="4" t="n">
        <v>0</v>
      </c>
      <c r="R439" s="0" t="str">
        <f aca="false">INDEX(Owners!$B$4:$B$21,MATCH(D439,Owners!$A$4:$A$21,0))</f>
        <v>Data Platform</v>
      </c>
      <c r="S439" s="6" t="b">
        <f aca="false">AND(F439="closed",ISNUMBER(H439),H439&lt;=Controls!$B$4)</f>
        <v>1</v>
      </c>
      <c r="T439" s="6" t="b">
        <f aca="false">AND(ISNUMBER(I439),I439&lt;=Controls!$B$4,J439="rerun",K439=A439,L439=C439,M439=N439,O439=0,I439&gt;=G439,IF(ISNUMBER(P439),I439&gt;=P439,TRUE()))</f>
        <v>1</v>
      </c>
      <c r="U439" s="0" t="str">
        <f aca="false">IF(AND(S439,T439),"resolved",IF(S439,"claimed","open"))</f>
        <v>resolved</v>
      </c>
      <c r="V439" s="11" t="n">
        <f aca="false">ROUND((IF(U439="resolved",I439,IF(U439="claimed",H439,Controls!$B$4))-G439)*24,4)</f>
        <v>40.6833</v>
      </c>
      <c r="W439" s="6" t="b">
        <f aca="false">INDEX(Owners!$E$4:$E$21,MATCH(D439,Owners!$A$4:$A$21,0))</f>
        <v>1</v>
      </c>
    </row>
    <row r="440" customFormat="false" ht="15" hidden="false" customHeight="false" outlineLevel="0" collapsed="false">
      <c r="A440" s="4" t="s">
        <v>742</v>
      </c>
      <c r="B440" s="4" t="s">
        <v>131</v>
      </c>
      <c r="C440" s="4" t="s">
        <v>259</v>
      </c>
      <c r="D440" s="4" t="s">
        <v>283</v>
      </c>
      <c r="E440" s="4" t="s">
        <v>202</v>
      </c>
      <c r="F440" s="4" t="s">
        <v>277</v>
      </c>
      <c r="G440" s="5" t="n">
        <v>46284.2013888889</v>
      </c>
      <c r="H440" s="5" t="n">
        <v>46285.9875</v>
      </c>
      <c r="I440" s="5" t="n">
        <v>46286.0763888889</v>
      </c>
      <c r="J440" s="4" t="s">
        <v>284</v>
      </c>
      <c r="K440" s="4" t="s">
        <v>742</v>
      </c>
      <c r="L440" s="4" t="s">
        <v>259</v>
      </c>
      <c r="M440" s="4" t="n">
        <v>1</v>
      </c>
      <c r="N440" s="4" t="n">
        <v>1</v>
      </c>
      <c r="O440" s="4" t="n">
        <v>0</v>
      </c>
      <c r="P440" s="12"/>
      <c r="Q440" s="4" t="n">
        <v>0</v>
      </c>
      <c r="R440" s="0" t="str">
        <f aca="false">INDEX(Owners!$B$4:$B$21,MATCH(D440,Owners!$A$4:$A$21,0))</f>
        <v>Data Platform</v>
      </c>
      <c r="S440" s="6" t="b">
        <f aca="false">AND(F440="closed",ISNUMBER(H440),H440&lt;=Controls!$B$4)</f>
        <v>1</v>
      </c>
      <c r="T440" s="6" t="b">
        <f aca="false">AND(ISNUMBER(I440),I440&lt;=Controls!$B$4,J440="rerun",K440=A440,L440=C440,M440=N440,O440=0,I440&gt;=G440,IF(ISNUMBER(P440),I440&gt;=P440,TRUE()))</f>
        <v>1</v>
      </c>
      <c r="U440" s="0" t="str">
        <f aca="false">IF(AND(S440,T440),"resolved",IF(S440,"claimed","open"))</f>
        <v>resolved</v>
      </c>
      <c r="V440" s="11" t="n">
        <f aca="false">ROUND((IF(U440="resolved",I440,IF(U440="claimed",H440,Controls!$B$4))-G440)*24,4)</f>
        <v>45</v>
      </c>
      <c r="W440" s="6" t="b">
        <f aca="false">INDEX(Owners!$E$4:$E$21,MATCH(D440,Owners!$A$4:$A$21,0))</f>
        <v>1</v>
      </c>
    </row>
    <row r="441" customFormat="false" ht="15" hidden="false" customHeight="false" outlineLevel="0" collapsed="false">
      <c r="A441" s="4" t="s">
        <v>743</v>
      </c>
      <c r="B441" s="4" t="s">
        <v>110</v>
      </c>
      <c r="C441" s="4" t="s">
        <v>228</v>
      </c>
      <c r="D441" s="4" t="s">
        <v>286</v>
      </c>
      <c r="E441" s="4" t="s">
        <v>202</v>
      </c>
      <c r="F441" s="4" t="s">
        <v>556</v>
      </c>
      <c r="G441" s="5" t="n">
        <v>46284.2145833333</v>
      </c>
      <c r="H441" s="12"/>
      <c r="I441" s="12"/>
      <c r="N441" s="4" t="n">
        <v>2</v>
      </c>
      <c r="P441" s="12"/>
      <c r="Q441" s="4" t="n">
        <v>0</v>
      </c>
      <c r="R441" s="0" t="str">
        <f aca="false">INDEX(Owners!$B$4:$B$21,MATCH(D441,Owners!$A$4:$A$21,0))</f>
        <v>Finance Systems</v>
      </c>
      <c r="S441" s="6" t="b">
        <f aca="false">AND(F441="closed",ISNUMBER(H441),H441&lt;=Controls!$B$4)</f>
        <v>0</v>
      </c>
      <c r="T441" s="6" t="b">
        <f aca="false">AND(ISNUMBER(I441),I441&lt;=Controls!$B$4,J441="rerun",K441=A441,L441=C441,M441=N441,O441=0,I441&gt;=G441,IF(ISNUMBER(P441),I441&gt;=P441,TRUE()))</f>
        <v>0</v>
      </c>
      <c r="U441" s="0" t="str">
        <f aca="false">IF(AND(S441,T441),"resolved",IF(S441,"claimed","open"))</f>
        <v>open</v>
      </c>
      <c r="V441" s="11" t="n">
        <f aca="false">ROUND((IF(U441="resolved",I441,IF(U441="claimed",H441,Controls!$B$4))-G441)*24,4)</f>
        <v>378.85</v>
      </c>
      <c r="W441" s="6" t="b">
        <f aca="false">INDEX(Owners!$E$4:$E$21,MATCH(D441,Owners!$A$4:$A$21,0))</f>
        <v>0</v>
      </c>
    </row>
    <row r="442" customFormat="false" ht="15" hidden="false" customHeight="false" outlineLevel="0" collapsed="false">
      <c r="A442" s="4" t="s">
        <v>744</v>
      </c>
      <c r="B442" s="4" t="s">
        <v>96</v>
      </c>
      <c r="C442" s="4" t="s">
        <v>206</v>
      </c>
      <c r="D442" s="4" t="s">
        <v>330</v>
      </c>
      <c r="E442" s="4" t="s">
        <v>202</v>
      </c>
      <c r="F442" s="4" t="s">
        <v>556</v>
      </c>
      <c r="G442" s="5" t="n">
        <v>46284.2194444445</v>
      </c>
      <c r="H442" s="12"/>
      <c r="I442" s="12"/>
      <c r="N442" s="4" t="n">
        <v>1</v>
      </c>
      <c r="P442" s="12"/>
      <c r="Q442" s="4" t="n">
        <v>0</v>
      </c>
      <c r="R442" s="0" t="str">
        <f aca="false">INDEX(Owners!$B$4:$B$21,MATCH(D442,Owners!$A$4:$A$21,0))</f>
        <v>Supply Chain</v>
      </c>
      <c r="S442" s="6" t="b">
        <f aca="false">AND(F442="closed",ISNUMBER(H442),H442&lt;=Controls!$B$4)</f>
        <v>0</v>
      </c>
      <c r="T442" s="6" t="b">
        <f aca="false">AND(ISNUMBER(I442),I442&lt;=Controls!$B$4,J442="rerun",K442=A442,L442=C442,M442=N442,O442=0,I442&gt;=G442,IF(ISNUMBER(P442),I442&gt;=P442,TRUE()))</f>
        <v>0</v>
      </c>
      <c r="U442" s="0" t="str">
        <f aca="false">IF(AND(S442,T442),"resolved",IF(S442,"claimed","open"))</f>
        <v>open</v>
      </c>
      <c r="V442" s="11" t="n">
        <f aca="false">ROUND((IF(U442="resolved",I442,IF(U442="claimed",H442,Controls!$B$4))-G442)*24,4)</f>
        <v>378.7333</v>
      </c>
      <c r="W442" s="6" t="b">
        <f aca="false">INDEX(Owners!$E$4:$E$21,MATCH(D442,Owners!$A$4:$A$21,0))</f>
        <v>1</v>
      </c>
    </row>
    <row r="443" customFormat="false" ht="15" hidden="false" customHeight="false" outlineLevel="0" collapsed="false">
      <c r="A443" s="4" t="s">
        <v>745</v>
      </c>
      <c r="B443" s="4" t="s">
        <v>117</v>
      </c>
      <c r="C443" s="4" t="s">
        <v>241</v>
      </c>
      <c r="D443" s="4" t="s">
        <v>288</v>
      </c>
      <c r="E443" s="4" t="s">
        <v>202</v>
      </c>
      <c r="F443" s="4" t="s">
        <v>277</v>
      </c>
      <c r="G443" s="5" t="n">
        <v>46284.2368055556</v>
      </c>
      <c r="H443" s="5" t="n">
        <v>46294.1951388889</v>
      </c>
      <c r="I443" s="5" t="n">
        <v>46294.6652777778</v>
      </c>
      <c r="J443" s="4" t="s">
        <v>284</v>
      </c>
      <c r="K443" s="4" t="s">
        <v>745</v>
      </c>
      <c r="L443" s="4" t="s">
        <v>241</v>
      </c>
      <c r="M443" s="4" t="n">
        <v>1</v>
      </c>
      <c r="N443" s="4" t="n">
        <v>1</v>
      </c>
      <c r="O443" s="4" t="n">
        <v>0</v>
      </c>
      <c r="P443" s="12"/>
      <c r="Q443" s="4" t="n">
        <v>0</v>
      </c>
      <c r="R443" s="0" t="str">
        <f aca="false">INDEX(Owners!$B$4:$B$21,MATCH(D443,Owners!$A$4:$A$21,0))</f>
        <v>Support Operations</v>
      </c>
      <c r="S443" s="6" t="b">
        <f aca="false">AND(F443="closed",ISNUMBER(H443),H443&lt;=Controls!$B$4)</f>
        <v>1</v>
      </c>
      <c r="T443" s="6" t="b">
        <f aca="false">AND(ISNUMBER(I443),I443&lt;=Controls!$B$4,J443="rerun",K443=A443,L443=C443,M443=N443,O443=0,I443&gt;=G443,IF(ISNUMBER(P443),I443&gt;=P443,TRUE()))</f>
        <v>1</v>
      </c>
      <c r="U443" s="0" t="str">
        <f aca="false">IF(AND(S443,T443),"resolved",IF(S443,"claimed","open"))</f>
        <v>resolved</v>
      </c>
      <c r="V443" s="11" t="n">
        <f aca="false">ROUND((IF(U443="resolved",I443,IF(U443="claimed",H443,Controls!$B$4))-G443)*24,4)</f>
        <v>250.2833</v>
      </c>
      <c r="W443" s="6" t="b">
        <f aca="false">INDEX(Owners!$E$4:$E$21,MATCH(D443,Owners!$A$4:$A$21,0))</f>
        <v>1</v>
      </c>
    </row>
    <row r="444" customFormat="false" ht="15" hidden="false" customHeight="false" outlineLevel="0" collapsed="false">
      <c r="A444" s="4" t="s">
        <v>746</v>
      </c>
      <c r="B444" s="4" t="s">
        <v>98</v>
      </c>
      <c r="C444" s="4" t="s">
        <v>211</v>
      </c>
      <c r="D444" s="4" t="s">
        <v>324</v>
      </c>
      <c r="E444" s="4" t="s">
        <v>204</v>
      </c>
      <c r="F444" s="4" t="s">
        <v>562</v>
      </c>
      <c r="G444" s="5" t="n">
        <v>46284.2416666667</v>
      </c>
      <c r="H444" s="12"/>
      <c r="I444" s="12"/>
      <c r="N444" s="4" t="n">
        <v>3</v>
      </c>
      <c r="P444" s="12"/>
      <c r="Q444" s="4" t="n">
        <v>0</v>
      </c>
      <c r="R444" s="0" t="str">
        <f aca="false">INDEX(Owners!$B$4:$B$21,MATCH(D444,Owners!$A$4:$A$21,0))</f>
        <v>Finance Systems</v>
      </c>
      <c r="S444" s="6" t="b">
        <f aca="false">AND(F444="closed",ISNUMBER(H444),H444&lt;=Controls!$B$4)</f>
        <v>0</v>
      </c>
      <c r="T444" s="6" t="b">
        <f aca="false">AND(ISNUMBER(I444),I444&lt;=Controls!$B$4,J444="rerun",K444=A444,L444=C444,M444=N444,O444=0,I444&gt;=G444,IF(ISNUMBER(P444),I444&gt;=P444,TRUE()))</f>
        <v>0</v>
      </c>
      <c r="U444" s="0" t="str">
        <f aca="false">IF(AND(S444,T444),"resolved",IF(S444,"claimed","open"))</f>
        <v>open</v>
      </c>
      <c r="V444" s="11" t="n">
        <f aca="false">ROUND((IF(U444="resolved",I444,IF(U444="claimed",H444,Controls!$B$4))-G444)*24,4)</f>
        <v>378.2</v>
      </c>
      <c r="W444" s="6" t="b">
        <f aca="false">INDEX(Owners!$E$4:$E$21,MATCH(D444,Owners!$A$4:$A$21,0))</f>
        <v>1</v>
      </c>
    </row>
    <row r="445" customFormat="false" ht="15" hidden="false" customHeight="false" outlineLevel="0" collapsed="false">
      <c r="A445" s="4" t="s">
        <v>747</v>
      </c>
      <c r="B445" s="4" t="s">
        <v>102</v>
      </c>
      <c r="C445" s="4" t="s">
        <v>217</v>
      </c>
      <c r="D445" s="4" t="s">
        <v>290</v>
      </c>
      <c r="E445" s="4" t="s">
        <v>204</v>
      </c>
      <c r="F445" s="4" t="s">
        <v>277</v>
      </c>
      <c r="G445" s="5" t="n">
        <v>46285.0923611111</v>
      </c>
      <c r="H445" s="5" t="n">
        <v>46286.2083333333</v>
      </c>
      <c r="I445" s="5" t="n">
        <v>46286.3506944445</v>
      </c>
      <c r="J445" s="4" t="s">
        <v>284</v>
      </c>
      <c r="K445" s="4" t="s">
        <v>747</v>
      </c>
      <c r="L445" s="4" t="s">
        <v>217</v>
      </c>
      <c r="M445" s="4" t="n">
        <v>1</v>
      </c>
      <c r="N445" s="4" t="n">
        <v>1</v>
      </c>
      <c r="O445" s="4" t="n">
        <v>0</v>
      </c>
      <c r="P445" s="12"/>
      <c r="Q445" s="4" t="n">
        <v>0</v>
      </c>
      <c r="R445" s="0" t="str">
        <f aca="false">INDEX(Owners!$B$4:$B$21,MATCH(D445,Owners!$A$4:$A$21,0))</f>
        <v>Customer Data</v>
      </c>
      <c r="S445" s="6" t="b">
        <f aca="false">AND(F445="closed",ISNUMBER(H445),H445&lt;=Controls!$B$4)</f>
        <v>1</v>
      </c>
      <c r="T445" s="6" t="b">
        <f aca="false">AND(ISNUMBER(I445),I445&lt;=Controls!$B$4,J445="rerun",K445=A445,L445=C445,M445=N445,O445=0,I445&gt;=G445,IF(ISNUMBER(P445),I445&gt;=P445,TRUE()))</f>
        <v>1</v>
      </c>
      <c r="U445" s="0" t="str">
        <f aca="false">IF(AND(S445,T445),"resolved",IF(S445,"claimed","open"))</f>
        <v>resolved</v>
      </c>
      <c r="V445" s="11" t="n">
        <f aca="false">ROUND((IF(U445="resolved",I445,IF(U445="claimed",H445,Controls!$B$4))-G445)*24,4)</f>
        <v>30.2</v>
      </c>
      <c r="W445" s="6" t="b">
        <f aca="false">INDEX(Owners!$E$4:$E$21,MATCH(D445,Owners!$A$4:$A$21,0))</f>
        <v>1</v>
      </c>
    </row>
    <row r="446" customFormat="false" ht="15" hidden="false" customHeight="false" outlineLevel="0" collapsed="false">
      <c r="A446" s="4" t="s">
        <v>748</v>
      </c>
      <c r="B446" s="4" t="s">
        <v>107</v>
      </c>
      <c r="C446" s="4" t="s">
        <v>224</v>
      </c>
      <c r="D446" s="4" t="s">
        <v>326</v>
      </c>
      <c r="E446" s="4" t="s">
        <v>202</v>
      </c>
      <c r="F446" s="4" t="s">
        <v>556</v>
      </c>
      <c r="G446" s="5" t="n">
        <v>46285.0972222222</v>
      </c>
      <c r="H446" s="12"/>
      <c r="I446" s="12"/>
      <c r="N446" s="4" t="n">
        <v>1</v>
      </c>
      <c r="P446" s="12"/>
      <c r="Q446" s="4" t="n">
        <v>0</v>
      </c>
      <c r="R446" s="0" t="str">
        <f aca="false">INDEX(Owners!$B$4:$B$21,MATCH(D446,Owners!$A$4:$A$21,0))</f>
        <v>Customer Data</v>
      </c>
      <c r="S446" s="6" t="b">
        <f aca="false">AND(F446="closed",ISNUMBER(H446),H446&lt;=Controls!$B$4)</f>
        <v>0</v>
      </c>
      <c r="T446" s="6" t="b">
        <f aca="false">AND(ISNUMBER(I446),I446&lt;=Controls!$B$4,J446="rerun",K446=A446,L446=C446,M446=N446,O446=0,I446&gt;=G446,IF(ISNUMBER(P446),I446&gt;=P446,TRUE()))</f>
        <v>0</v>
      </c>
      <c r="U446" s="0" t="str">
        <f aca="false">IF(AND(S446,T446),"resolved",IF(S446,"claimed","open"))</f>
        <v>open</v>
      </c>
      <c r="V446" s="11" t="n">
        <f aca="false">ROUND((IF(U446="resolved",I446,IF(U446="claimed",H446,Controls!$B$4))-G446)*24,4)</f>
        <v>357.6667</v>
      </c>
      <c r="W446" s="6" t="b">
        <f aca="false">INDEX(Owners!$E$4:$E$21,MATCH(D446,Owners!$A$4:$A$21,0))</f>
        <v>0</v>
      </c>
    </row>
    <row r="447" customFormat="false" ht="15" hidden="false" customHeight="false" outlineLevel="0" collapsed="false">
      <c r="A447" s="4" t="s">
        <v>749</v>
      </c>
      <c r="B447" s="4" t="s">
        <v>128</v>
      </c>
      <c r="C447" s="4" t="s">
        <v>253</v>
      </c>
      <c r="D447" s="4" t="s">
        <v>283</v>
      </c>
      <c r="E447" s="4" t="s">
        <v>204</v>
      </c>
      <c r="F447" s="4" t="s">
        <v>556</v>
      </c>
      <c r="G447" s="5" t="n">
        <v>46285.1111111111</v>
      </c>
      <c r="H447" s="12"/>
      <c r="I447" s="12"/>
      <c r="N447" s="4" t="n">
        <v>1</v>
      </c>
      <c r="P447" s="12"/>
      <c r="Q447" s="4" t="n">
        <v>0</v>
      </c>
      <c r="R447" s="0" t="str">
        <f aca="false">INDEX(Owners!$B$4:$B$21,MATCH(D447,Owners!$A$4:$A$21,0))</f>
        <v>Data Platform</v>
      </c>
      <c r="S447" s="6" t="b">
        <f aca="false">AND(F447="closed",ISNUMBER(H447),H447&lt;=Controls!$B$4)</f>
        <v>0</v>
      </c>
      <c r="T447" s="6" t="b">
        <f aca="false">AND(ISNUMBER(I447),I447&lt;=Controls!$B$4,J447="rerun",K447=A447,L447=C447,M447=N447,O447=0,I447&gt;=G447,IF(ISNUMBER(P447),I447&gt;=P447,TRUE()))</f>
        <v>0</v>
      </c>
      <c r="U447" s="0" t="str">
        <f aca="false">IF(AND(S447,T447),"resolved",IF(S447,"claimed","open"))</f>
        <v>open</v>
      </c>
      <c r="V447" s="11" t="n">
        <f aca="false">ROUND((IF(U447="resolved",I447,IF(U447="claimed",H447,Controls!$B$4))-G447)*24,4)</f>
        <v>357.3333</v>
      </c>
      <c r="W447" s="6" t="b">
        <f aca="false">INDEX(Owners!$E$4:$E$21,MATCH(D447,Owners!$A$4:$A$21,0))</f>
        <v>1</v>
      </c>
    </row>
    <row r="448" customFormat="false" ht="15" hidden="false" customHeight="false" outlineLevel="0" collapsed="false">
      <c r="A448" s="4" t="s">
        <v>750</v>
      </c>
      <c r="B448" s="4" t="s">
        <v>119</v>
      </c>
      <c r="C448" s="4" t="s">
        <v>243</v>
      </c>
      <c r="D448" s="4" t="s">
        <v>292</v>
      </c>
      <c r="E448" s="4" t="s">
        <v>202</v>
      </c>
      <c r="F448" s="4" t="s">
        <v>562</v>
      </c>
      <c r="G448" s="5" t="n">
        <v>46285.1604166667</v>
      </c>
      <c r="H448" s="12"/>
      <c r="I448" s="12"/>
      <c r="N448" s="4" t="n">
        <v>1</v>
      </c>
      <c r="P448" s="12"/>
      <c r="Q448" s="4" t="n">
        <v>0</v>
      </c>
      <c r="R448" s="0" t="str">
        <f aca="false">INDEX(Owners!$B$4:$B$21,MATCH(D448,Owners!$A$4:$A$21,0))</f>
        <v>Support Operations</v>
      </c>
      <c r="S448" s="6" t="b">
        <f aca="false">AND(F448="closed",ISNUMBER(H448),H448&lt;=Controls!$B$4)</f>
        <v>0</v>
      </c>
      <c r="T448" s="6" t="b">
        <f aca="false">AND(ISNUMBER(I448),I448&lt;=Controls!$B$4,J448="rerun",K448=A448,L448=C448,M448=N448,O448=0,I448&gt;=G448,IF(ISNUMBER(P448),I448&gt;=P448,TRUE()))</f>
        <v>0</v>
      </c>
      <c r="U448" s="0" t="str">
        <f aca="false">IF(AND(S448,T448),"resolved",IF(S448,"claimed","open"))</f>
        <v>open</v>
      </c>
      <c r="V448" s="11" t="n">
        <f aca="false">ROUND((IF(U448="resolved",I448,IF(U448="claimed",H448,Controls!$B$4))-G448)*24,4)</f>
        <v>356.15</v>
      </c>
      <c r="W448" s="6" t="b">
        <f aca="false">INDEX(Owners!$E$4:$E$21,MATCH(D448,Owners!$A$4:$A$21,0))</f>
        <v>1</v>
      </c>
    </row>
    <row r="449" customFormat="false" ht="15" hidden="false" customHeight="false" outlineLevel="0" collapsed="false">
      <c r="A449" s="4" t="s">
        <v>751</v>
      </c>
      <c r="B449" s="4" t="s">
        <v>111</v>
      </c>
      <c r="C449" s="4" t="s">
        <v>229</v>
      </c>
      <c r="D449" s="4" t="s">
        <v>296</v>
      </c>
      <c r="E449" s="4" t="s">
        <v>202</v>
      </c>
      <c r="F449" s="4" t="s">
        <v>562</v>
      </c>
      <c r="G449" s="5" t="n">
        <v>46285.1645833333</v>
      </c>
      <c r="H449" s="12"/>
      <c r="I449" s="12"/>
      <c r="N449" s="4" t="n">
        <v>2</v>
      </c>
      <c r="P449" s="12"/>
      <c r="Q449" s="4" t="n">
        <v>0</v>
      </c>
      <c r="R449" s="0" t="str">
        <f aca="false">INDEX(Owners!$B$4:$B$21,MATCH(D449,Owners!$A$4:$A$21,0))</f>
        <v>Data Platform</v>
      </c>
      <c r="S449" s="6" t="b">
        <f aca="false">AND(F449="closed",ISNUMBER(H449),H449&lt;=Controls!$B$4)</f>
        <v>0</v>
      </c>
      <c r="T449" s="6" t="b">
        <f aca="false">AND(ISNUMBER(I449),I449&lt;=Controls!$B$4,J449="rerun",K449=A449,L449=C449,M449=N449,O449=0,I449&gt;=G449,IF(ISNUMBER(P449),I449&gt;=P449,TRUE()))</f>
        <v>0</v>
      </c>
      <c r="U449" s="0" t="str">
        <f aca="false">IF(AND(S449,T449),"resolved",IF(S449,"claimed","open"))</f>
        <v>open</v>
      </c>
      <c r="V449" s="11" t="n">
        <f aca="false">ROUND((IF(U449="resolved",I449,IF(U449="claimed",H449,Controls!$B$4))-G449)*24,4)</f>
        <v>356.05</v>
      </c>
      <c r="W449" s="6" t="b">
        <f aca="false">INDEX(Owners!$E$4:$E$21,MATCH(D449,Owners!$A$4:$A$21,0))</f>
        <v>1</v>
      </c>
    </row>
    <row r="450" customFormat="false" ht="15" hidden="false" customHeight="false" outlineLevel="0" collapsed="false">
      <c r="A450" s="4" t="s">
        <v>752</v>
      </c>
      <c r="B450" s="4" t="s">
        <v>130</v>
      </c>
      <c r="C450" s="4" t="s">
        <v>256</v>
      </c>
      <c r="D450" s="4" t="s">
        <v>553</v>
      </c>
      <c r="E450" s="4" t="s">
        <v>202</v>
      </c>
      <c r="F450" s="4" t="s">
        <v>556</v>
      </c>
      <c r="G450" s="5" t="n">
        <v>46285.1833333333</v>
      </c>
      <c r="H450" s="12"/>
      <c r="I450" s="12"/>
      <c r="N450" s="4" t="n">
        <v>2</v>
      </c>
      <c r="P450" s="12"/>
      <c r="Q450" s="4" t="n">
        <v>0</v>
      </c>
      <c r="R450" s="0" t="str">
        <f aca="false">INDEX(Owners!$B$4:$B$21,MATCH(D450,Owners!$A$4:$A$21,0))</f>
        <v>Data Governance</v>
      </c>
      <c r="S450" s="6" t="b">
        <f aca="false">AND(F450="closed",ISNUMBER(H450),H450&lt;=Controls!$B$4)</f>
        <v>0</v>
      </c>
      <c r="T450" s="6" t="b">
        <f aca="false">AND(ISNUMBER(I450),I450&lt;=Controls!$B$4,J450="rerun",K450=A450,L450=C450,M450=N450,O450=0,I450&gt;=G450,IF(ISNUMBER(P450),I450&gt;=P450,TRUE()))</f>
        <v>0</v>
      </c>
      <c r="U450" s="0" t="str">
        <f aca="false">IF(AND(S450,T450),"resolved",IF(S450,"claimed","open"))</f>
        <v>open</v>
      </c>
      <c r="V450" s="11" t="n">
        <f aca="false">ROUND((IF(U450="resolved",I450,IF(U450="claimed",H450,Controls!$B$4))-G450)*24,4)</f>
        <v>355.6</v>
      </c>
      <c r="W450" s="6" t="b">
        <f aca="false">INDEX(Owners!$E$4:$E$21,MATCH(D450,Owners!$A$4:$A$21,0))</f>
        <v>1</v>
      </c>
    </row>
    <row r="451" customFormat="false" ht="15" hidden="false" customHeight="false" outlineLevel="0" collapsed="false">
      <c r="A451" s="4" t="s">
        <v>753</v>
      </c>
      <c r="B451" s="4" t="s">
        <v>125</v>
      </c>
      <c r="C451" s="4" t="s">
        <v>250</v>
      </c>
      <c r="D451" s="4" t="s">
        <v>334</v>
      </c>
      <c r="E451" s="4" t="s">
        <v>202</v>
      </c>
      <c r="F451" s="4" t="s">
        <v>277</v>
      </c>
      <c r="G451" s="5" t="n">
        <v>46285.1875</v>
      </c>
      <c r="H451" s="5" t="n">
        <v>46287.1361111111</v>
      </c>
      <c r="I451" s="12"/>
      <c r="N451" s="4" t="n">
        <v>1</v>
      </c>
      <c r="P451" s="12"/>
      <c r="Q451" s="4" t="n">
        <v>0</v>
      </c>
      <c r="R451" s="0" t="str">
        <f aca="false">INDEX(Owners!$B$4:$B$21,MATCH(D451,Owners!$A$4:$A$21,0))</f>
        <v>Supply Chain</v>
      </c>
      <c r="S451" s="6" t="b">
        <f aca="false">AND(F451="closed",ISNUMBER(H451),H451&lt;=Controls!$B$4)</f>
        <v>1</v>
      </c>
      <c r="T451" s="6" t="b">
        <f aca="false">AND(ISNUMBER(I451),I451&lt;=Controls!$B$4,J451="rerun",K451=A451,L451=C451,M451=N451,O451=0,I451&gt;=G451,IF(ISNUMBER(P451),I451&gt;=P451,TRUE()))</f>
        <v>0</v>
      </c>
      <c r="U451" s="0" t="str">
        <f aca="false">IF(AND(S451,T451),"resolved",IF(S451,"claimed","open"))</f>
        <v>claimed</v>
      </c>
      <c r="V451" s="11" t="n">
        <f aca="false">ROUND((IF(U451="resolved",I451,IF(U451="claimed",H451,Controls!$B$4))-G451)*24,4)</f>
        <v>46.7667</v>
      </c>
      <c r="W451" s="6" t="b">
        <f aca="false">INDEX(Owners!$E$4:$E$21,MATCH(D451,Owners!$A$4:$A$21,0))</f>
        <v>0</v>
      </c>
    </row>
    <row r="452" customFormat="false" ht="15" hidden="false" customHeight="false" outlineLevel="0" collapsed="false">
      <c r="A452" s="4" t="s">
        <v>754</v>
      </c>
      <c r="B452" s="4" t="s">
        <v>131</v>
      </c>
      <c r="C452" s="4" t="s">
        <v>258</v>
      </c>
      <c r="D452" s="4" t="s">
        <v>283</v>
      </c>
      <c r="E452" s="4" t="s">
        <v>202</v>
      </c>
      <c r="F452" s="4" t="s">
        <v>556</v>
      </c>
      <c r="G452" s="5" t="n">
        <v>46285.9930555556</v>
      </c>
      <c r="H452" s="12"/>
      <c r="I452" s="12"/>
      <c r="N452" s="4" t="n">
        <v>1</v>
      </c>
      <c r="P452" s="12"/>
      <c r="Q452" s="4" t="n">
        <v>0</v>
      </c>
      <c r="R452" s="0" t="str">
        <f aca="false">INDEX(Owners!$B$4:$B$21,MATCH(D452,Owners!$A$4:$A$21,0))</f>
        <v>Data Platform</v>
      </c>
      <c r="S452" s="6" t="b">
        <f aca="false">AND(F452="closed",ISNUMBER(H452),H452&lt;=Controls!$B$4)</f>
        <v>0</v>
      </c>
      <c r="T452" s="6" t="b">
        <f aca="false">AND(ISNUMBER(I452),I452&lt;=Controls!$B$4,J452="rerun",K452=A452,L452=C452,M452=N452,O452=0,I452&gt;=G452,IF(ISNUMBER(P452),I452&gt;=P452,TRUE()))</f>
        <v>0</v>
      </c>
      <c r="U452" s="0" t="str">
        <f aca="false">IF(AND(S452,T452),"resolved",IF(S452,"claimed","open"))</f>
        <v>open</v>
      </c>
      <c r="V452" s="11" t="n">
        <f aca="false">ROUND((IF(U452="resolved",I452,IF(U452="claimed",H452,Controls!$B$4))-G452)*24,4)</f>
        <v>336.1667</v>
      </c>
      <c r="W452" s="6" t="b">
        <f aca="false">INDEX(Owners!$E$4:$E$21,MATCH(D452,Owners!$A$4:$A$21,0))</f>
        <v>1</v>
      </c>
    </row>
    <row r="453" customFormat="false" ht="15" hidden="false" customHeight="false" outlineLevel="0" collapsed="false">
      <c r="A453" s="4" t="s">
        <v>755</v>
      </c>
      <c r="B453" s="4" t="s">
        <v>102</v>
      </c>
      <c r="C453" s="4" t="s">
        <v>213</v>
      </c>
      <c r="D453" s="4" t="s">
        <v>290</v>
      </c>
      <c r="E453" s="4" t="s">
        <v>202</v>
      </c>
      <c r="F453" s="4" t="s">
        <v>277</v>
      </c>
      <c r="G453" s="5" t="n">
        <v>46286.0833333333</v>
      </c>
      <c r="H453" s="5" t="n">
        <v>46286.8715277778</v>
      </c>
      <c r="I453" s="12"/>
      <c r="N453" s="4" t="n">
        <v>1</v>
      </c>
      <c r="P453" s="12"/>
      <c r="Q453" s="4" t="n">
        <v>0</v>
      </c>
      <c r="R453" s="0" t="str">
        <f aca="false">INDEX(Owners!$B$4:$B$21,MATCH(D453,Owners!$A$4:$A$21,0))</f>
        <v>Customer Data</v>
      </c>
      <c r="S453" s="6" t="b">
        <f aca="false">AND(F453="closed",ISNUMBER(H453),H453&lt;=Controls!$B$4)</f>
        <v>1</v>
      </c>
      <c r="T453" s="6" t="b">
        <f aca="false">AND(ISNUMBER(I453),I453&lt;=Controls!$B$4,J453="rerun",K453=A453,L453=C453,M453=N453,O453=0,I453&gt;=G453,IF(ISNUMBER(P453),I453&gt;=P453,TRUE()))</f>
        <v>0</v>
      </c>
      <c r="U453" s="0" t="str">
        <f aca="false">IF(AND(S453,T453),"resolved",IF(S453,"claimed","open"))</f>
        <v>claimed</v>
      </c>
      <c r="V453" s="11" t="n">
        <f aca="false">ROUND((IF(U453="resolved",I453,IF(U453="claimed",H453,Controls!$B$4))-G453)*24,4)</f>
        <v>18.9167</v>
      </c>
      <c r="W453" s="6" t="b">
        <f aca="false">INDEX(Owners!$E$4:$E$21,MATCH(D453,Owners!$A$4:$A$21,0))</f>
        <v>1</v>
      </c>
    </row>
    <row r="454" customFormat="false" ht="15" hidden="false" customHeight="false" outlineLevel="0" collapsed="false">
      <c r="A454" s="4" t="s">
        <v>756</v>
      </c>
      <c r="B454" s="4" t="s">
        <v>107</v>
      </c>
      <c r="C454" s="4" t="s">
        <v>224</v>
      </c>
      <c r="D454" s="4" t="s">
        <v>326</v>
      </c>
      <c r="E454" s="4" t="s">
        <v>202</v>
      </c>
      <c r="F454" s="4" t="s">
        <v>562</v>
      </c>
      <c r="G454" s="5" t="n">
        <v>46286.0972222222</v>
      </c>
      <c r="H454" s="12"/>
      <c r="I454" s="12"/>
      <c r="N454" s="4" t="n">
        <v>1</v>
      </c>
      <c r="P454" s="12"/>
      <c r="Q454" s="4" t="n">
        <v>0</v>
      </c>
      <c r="R454" s="0" t="str">
        <f aca="false">INDEX(Owners!$B$4:$B$21,MATCH(D454,Owners!$A$4:$A$21,0))</f>
        <v>Customer Data</v>
      </c>
      <c r="S454" s="6" t="b">
        <f aca="false">AND(F454="closed",ISNUMBER(H454),H454&lt;=Controls!$B$4)</f>
        <v>0</v>
      </c>
      <c r="T454" s="6" t="b">
        <f aca="false">AND(ISNUMBER(I454),I454&lt;=Controls!$B$4,J454="rerun",K454=A454,L454=C454,M454=N454,O454=0,I454&gt;=G454,IF(ISNUMBER(P454),I454&gt;=P454,TRUE()))</f>
        <v>0</v>
      </c>
      <c r="U454" s="0" t="str">
        <f aca="false">IF(AND(S454,T454),"resolved",IF(S454,"claimed","open"))</f>
        <v>open</v>
      </c>
      <c r="V454" s="11" t="n">
        <f aca="false">ROUND((IF(U454="resolved",I454,IF(U454="claimed",H454,Controls!$B$4))-G454)*24,4)</f>
        <v>333.6667</v>
      </c>
      <c r="W454" s="6" t="b">
        <f aca="false">INDEX(Owners!$E$4:$E$21,MATCH(D454,Owners!$A$4:$A$21,0))</f>
        <v>0</v>
      </c>
    </row>
    <row r="455" customFormat="false" ht="15" hidden="false" customHeight="false" outlineLevel="0" collapsed="false">
      <c r="A455" s="4" t="s">
        <v>757</v>
      </c>
      <c r="B455" s="4" t="s">
        <v>95</v>
      </c>
      <c r="C455" s="4" t="s">
        <v>205</v>
      </c>
      <c r="D455" s="4" t="s">
        <v>283</v>
      </c>
      <c r="E455" s="4" t="s">
        <v>204</v>
      </c>
      <c r="F455" s="4" t="s">
        <v>277</v>
      </c>
      <c r="G455" s="5" t="n">
        <v>46286.1069444444</v>
      </c>
      <c r="H455" s="5" t="n">
        <v>46286.7736111111</v>
      </c>
      <c r="I455" s="5" t="n">
        <v>46286.9430555556</v>
      </c>
      <c r="J455" s="4" t="s">
        <v>284</v>
      </c>
      <c r="K455" s="4" t="s">
        <v>757</v>
      </c>
      <c r="L455" s="4" t="s">
        <v>205</v>
      </c>
      <c r="M455" s="4" t="n">
        <v>1</v>
      </c>
      <c r="N455" s="4" t="n">
        <v>1</v>
      </c>
      <c r="O455" s="4" t="n">
        <v>0</v>
      </c>
      <c r="P455" s="12"/>
      <c r="Q455" s="4" t="n">
        <v>0</v>
      </c>
      <c r="R455" s="0" t="str">
        <f aca="false">INDEX(Owners!$B$4:$B$21,MATCH(D455,Owners!$A$4:$A$21,0))</f>
        <v>Data Platform</v>
      </c>
      <c r="S455" s="6" t="b">
        <f aca="false">AND(F455="closed",ISNUMBER(H455),H455&lt;=Controls!$B$4)</f>
        <v>1</v>
      </c>
      <c r="T455" s="6" t="b">
        <f aca="false">AND(ISNUMBER(I455),I455&lt;=Controls!$B$4,J455="rerun",K455=A455,L455=C455,M455=N455,O455=0,I455&gt;=G455,IF(ISNUMBER(P455),I455&gt;=P455,TRUE()))</f>
        <v>1</v>
      </c>
      <c r="U455" s="0" t="str">
        <f aca="false">IF(AND(S455,T455),"resolved",IF(S455,"claimed","open"))</f>
        <v>resolved</v>
      </c>
      <c r="V455" s="11" t="n">
        <f aca="false">ROUND((IF(U455="resolved",I455,IF(U455="claimed",H455,Controls!$B$4))-G455)*24,4)</f>
        <v>20.0667</v>
      </c>
      <c r="W455" s="6" t="b">
        <f aca="false">INDEX(Owners!$E$4:$E$21,MATCH(D455,Owners!$A$4:$A$21,0))</f>
        <v>1</v>
      </c>
    </row>
    <row r="456" customFormat="false" ht="15" hidden="false" customHeight="false" outlineLevel="0" collapsed="false">
      <c r="A456" s="4" t="s">
        <v>758</v>
      </c>
      <c r="B456" s="4" t="s">
        <v>128</v>
      </c>
      <c r="C456" s="4" t="s">
        <v>253</v>
      </c>
      <c r="D456" s="4" t="s">
        <v>283</v>
      </c>
      <c r="E456" s="4" t="s">
        <v>204</v>
      </c>
      <c r="F456" s="4" t="s">
        <v>556</v>
      </c>
      <c r="G456" s="5" t="n">
        <v>46286.1111111111</v>
      </c>
      <c r="H456" s="12"/>
      <c r="I456" s="12"/>
      <c r="N456" s="4" t="n">
        <v>1</v>
      </c>
      <c r="P456" s="12"/>
      <c r="Q456" s="4" t="n">
        <v>0</v>
      </c>
      <c r="R456" s="0" t="str">
        <f aca="false">INDEX(Owners!$B$4:$B$21,MATCH(D456,Owners!$A$4:$A$21,0))</f>
        <v>Data Platform</v>
      </c>
      <c r="S456" s="6" t="b">
        <f aca="false">AND(F456="closed",ISNUMBER(H456),H456&lt;=Controls!$B$4)</f>
        <v>0</v>
      </c>
      <c r="T456" s="6" t="b">
        <f aca="false">AND(ISNUMBER(I456),I456&lt;=Controls!$B$4,J456="rerun",K456=A456,L456=C456,M456=N456,O456=0,I456&gt;=G456,IF(ISNUMBER(P456),I456&gt;=P456,TRUE()))</f>
        <v>0</v>
      </c>
      <c r="U456" s="0" t="str">
        <f aca="false">IF(AND(S456,T456),"resolved",IF(S456,"claimed","open"))</f>
        <v>open</v>
      </c>
      <c r="V456" s="11" t="n">
        <f aca="false">ROUND((IF(U456="resolved",I456,IF(U456="claimed",H456,Controls!$B$4))-G456)*24,4)</f>
        <v>333.3333</v>
      </c>
      <c r="W456" s="6" t="b">
        <f aca="false">INDEX(Owners!$E$4:$E$21,MATCH(D456,Owners!$A$4:$A$21,0))</f>
        <v>1</v>
      </c>
    </row>
    <row r="457" customFormat="false" ht="15" hidden="false" customHeight="false" outlineLevel="0" collapsed="false">
      <c r="A457" s="4" t="s">
        <v>759</v>
      </c>
      <c r="B457" s="4" t="s">
        <v>115</v>
      </c>
      <c r="C457" s="4" t="s">
        <v>237</v>
      </c>
      <c r="D457" s="4" t="s">
        <v>301</v>
      </c>
      <c r="E457" s="4" t="s">
        <v>210</v>
      </c>
      <c r="F457" s="4" t="s">
        <v>277</v>
      </c>
      <c r="G457" s="5" t="n">
        <v>46286.1152777778</v>
      </c>
      <c r="H457" s="5" t="n">
        <v>46287.3777777778</v>
      </c>
      <c r="I457" s="5" t="n">
        <v>46287.4423611111</v>
      </c>
      <c r="J457" s="4" t="s">
        <v>284</v>
      </c>
      <c r="K457" s="4" t="s">
        <v>759</v>
      </c>
      <c r="L457" s="4" t="s">
        <v>237</v>
      </c>
      <c r="M457" s="4" t="n">
        <v>1</v>
      </c>
      <c r="N457" s="4" t="n">
        <v>1</v>
      </c>
      <c r="O457" s="4" t="n">
        <v>0</v>
      </c>
      <c r="P457" s="12"/>
      <c r="Q457" s="4" t="n">
        <v>0</v>
      </c>
      <c r="R457" s="0" t="str">
        <f aca="false">INDEX(Owners!$B$4:$B$21,MATCH(D457,Owners!$A$4:$A$21,0))</f>
        <v>Data Platform</v>
      </c>
      <c r="S457" s="6" t="b">
        <f aca="false">AND(F457="closed",ISNUMBER(H457),H457&lt;=Controls!$B$4)</f>
        <v>1</v>
      </c>
      <c r="T457" s="6" t="b">
        <f aca="false">AND(ISNUMBER(I457),I457&lt;=Controls!$B$4,J457="rerun",K457=A457,L457=C457,M457=N457,O457=0,I457&gt;=G457,IF(ISNUMBER(P457),I457&gt;=P457,TRUE()))</f>
        <v>1</v>
      </c>
      <c r="U457" s="0" t="str">
        <f aca="false">IF(AND(S457,T457),"resolved",IF(S457,"claimed","open"))</f>
        <v>resolved</v>
      </c>
      <c r="V457" s="11" t="n">
        <f aca="false">ROUND((IF(U457="resolved",I457,IF(U457="claimed",H457,Controls!$B$4))-G457)*24,4)</f>
        <v>31.85</v>
      </c>
      <c r="W457" s="6" t="b">
        <f aca="false">INDEX(Owners!$E$4:$E$21,MATCH(D457,Owners!$A$4:$A$21,0))</f>
        <v>1</v>
      </c>
    </row>
    <row r="458" customFormat="false" ht="15" hidden="false" customHeight="false" outlineLevel="0" collapsed="false">
      <c r="A458" s="4" t="s">
        <v>760</v>
      </c>
      <c r="B458" s="4" t="s">
        <v>108</v>
      </c>
      <c r="C458" s="4" t="s">
        <v>225</v>
      </c>
      <c r="D458" s="4" t="s">
        <v>330</v>
      </c>
      <c r="E458" s="4" t="s">
        <v>204</v>
      </c>
      <c r="F458" s="4" t="s">
        <v>562</v>
      </c>
      <c r="G458" s="5" t="n">
        <v>46286.1159722222</v>
      </c>
      <c r="H458" s="5" t="n">
        <v>46288.5868055556</v>
      </c>
      <c r="I458" s="5" t="n">
        <v>46288.68125</v>
      </c>
      <c r="J458" s="4" t="s">
        <v>284</v>
      </c>
      <c r="K458" s="4" t="s">
        <v>760</v>
      </c>
      <c r="L458" s="4" t="s">
        <v>225</v>
      </c>
      <c r="M458" s="4" t="n">
        <v>1</v>
      </c>
      <c r="N458" s="4" t="n">
        <v>1</v>
      </c>
      <c r="O458" s="4" t="n">
        <v>0</v>
      </c>
      <c r="P458" s="5" t="n">
        <v>46294.2347222222</v>
      </c>
      <c r="Q458" s="4" t="n">
        <v>1</v>
      </c>
      <c r="R458" s="0" t="str">
        <f aca="false">INDEX(Owners!$B$4:$B$21,MATCH(D458,Owners!$A$4:$A$21,0))</f>
        <v>Supply Chain</v>
      </c>
      <c r="S458" s="6" t="b">
        <f aca="false">AND(F458="closed",ISNUMBER(H458),H458&lt;=Controls!$B$4)</f>
        <v>0</v>
      </c>
      <c r="T458" s="6" t="b">
        <f aca="false">AND(ISNUMBER(I458),I458&lt;=Controls!$B$4,J458="rerun",K458=A458,L458=C458,M458=N458,O458=0,I458&gt;=G458,IF(ISNUMBER(P458),I458&gt;=P458,TRUE()))</f>
        <v>0</v>
      </c>
      <c r="U458" s="0" t="str">
        <f aca="false">IF(AND(S458,T458),"resolved",IF(S458,"claimed","open"))</f>
        <v>open</v>
      </c>
      <c r="V458" s="11" t="n">
        <f aca="false">ROUND((IF(U458="resolved",I458,IF(U458="claimed",H458,Controls!$B$4))-G458)*24,4)</f>
        <v>333.2167</v>
      </c>
      <c r="W458" s="6" t="b">
        <f aca="false">INDEX(Owners!$E$4:$E$21,MATCH(D458,Owners!$A$4:$A$21,0))</f>
        <v>1</v>
      </c>
    </row>
    <row r="459" customFormat="false" ht="15" hidden="false" customHeight="false" outlineLevel="0" collapsed="false">
      <c r="A459" s="4" t="s">
        <v>761</v>
      </c>
      <c r="B459" s="4" t="s">
        <v>122</v>
      </c>
      <c r="C459" s="4" t="s">
        <v>246</v>
      </c>
      <c r="D459" s="4" t="s">
        <v>350</v>
      </c>
      <c r="E459" s="4" t="s">
        <v>204</v>
      </c>
      <c r="F459" s="4" t="s">
        <v>277</v>
      </c>
      <c r="G459" s="5" t="n">
        <v>46286.1381944444</v>
      </c>
      <c r="H459" s="5" t="n">
        <v>46290.8048611111</v>
      </c>
      <c r="I459" s="5" t="n">
        <v>46291.4</v>
      </c>
      <c r="J459" s="4" t="s">
        <v>284</v>
      </c>
      <c r="K459" s="4" t="s">
        <v>761</v>
      </c>
      <c r="L459" s="4" t="s">
        <v>246</v>
      </c>
      <c r="M459" s="4" t="n">
        <v>2</v>
      </c>
      <c r="N459" s="4" t="n">
        <v>2</v>
      </c>
      <c r="O459" s="4" t="n">
        <v>0</v>
      </c>
      <c r="P459" s="12"/>
      <c r="Q459" s="4" t="n">
        <v>0</v>
      </c>
      <c r="R459" s="0" t="str">
        <f aca="false">INDEX(Owners!$B$4:$B$21,MATCH(D459,Owners!$A$4:$A$21,0))</f>
        <v>Supply Chain</v>
      </c>
      <c r="S459" s="6" t="b">
        <f aca="false">AND(F459="closed",ISNUMBER(H459),H459&lt;=Controls!$B$4)</f>
        <v>1</v>
      </c>
      <c r="T459" s="6" t="b">
        <f aca="false">AND(ISNUMBER(I459),I459&lt;=Controls!$B$4,J459="rerun",K459=A459,L459=C459,M459=N459,O459=0,I459&gt;=G459,IF(ISNUMBER(P459),I459&gt;=P459,TRUE()))</f>
        <v>1</v>
      </c>
      <c r="U459" s="0" t="str">
        <f aca="false">IF(AND(S459,T459),"resolved",IF(S459,"claimed","open"))</f>
        <v>resolved</v>
      </c>
      <c r="V459" s="11" t="n">
        <f aca="false">ROUND((IF(U459="resolved",I459,IF(U459="claimed",H459,Controls!$B$4))-G459)*24,4)</f>
        <v>126.2833</v>
      </c>
      <c r="W459" s="6" t="b">
        <f aca="false">INDEX(Owners!$E$4:$E$21,MATCH(D459,Owners!$A$4:$A$21,0))</f>
        <v>1</v>
      </c>
    </row>
    <row r="460" customFormat="false" ht="15" hidden="false" customHeight="false" outlineLevel="0" collapsed="false">
      <c r="A460" s="4" t="s">
        <v>762</v>
      </c>
      <c r="B460" s="4" t="s">
        <v>113</v>
      </c>
      <c r="C460" s="4" t="s">
        <v>232</v>
      </c>
      <c r="D460" s="4" t="s">
        <v>296</v>
      </c>
      <c r="E460" s="4" t="s">
        <v>202</v>
      </c>
      <c r="F460" s="4" t="s">
        <v>556</v>
      </c>
      <c r="G460" s="5" t="n">
        <v>46286.1826388889</v>
      </c>
      <c r="H460" s="12"/>
      <c r="I460" s="12"/>
      <c r="N460" s="4" t="n">
        <v>2</v>
      </c>
      <c r="P460" s="12"/>
      <c r="Q460" s="4" t="n">
        <v>0</v>
      </c>
      <c r="R460" s="0" t="str">
        <f aca="false">INDEX(Owners!$B$4:$B$21,MATCH(D460,Owners!$A$4:$A$21,0))</f>
        <v>Data Platform</v>
      </c>
      <c r="S460" s="6" t="b">
        <f aca="false">AND(F460="closed",ISNUMBER(H460),H460&lt;=Controls!$B$4)</f>
        <v>0</v>
      </c>
      <c r="T460" s="6" t="b">
        <f aca="false">AND(ISNUMBER(I460),I460&lt;=Controls!$B$4,J460="rerun",K460=A460,L460=C460,M460=N460,O460=0,I460&gt;=G460,IF(ISNUMBER(P460),I460&gt;=P460,TRUE()))</f>
        <v>0</v>
      </c>
      <c r="U460" s="0" t="str">
        <f aca="false">IF(AND(S460,T460),"resolved",IF(S460,"claimed","open"))</f>
        <v>open</v>
      </c>
      <c r="V460" s="11" t="n">
        <f aca="false">ROUND((IF(U460="resolved",I460,IF(U460="claimed",H460,Controls!$B$4))-G460)*24,4)</f>
        <v>331.6167</v>
      </c>
      <c r="W460" s="6" t="b">
        <f aca="false">INDEX(Owners!$E$4:$E$21,MATCH(D460,Owners!$A$4:$A$21,0))</f>
        <v>1</v>
      </c>
    </row>
    <row r="461" customFormat="false" ht="15" hidden="false" customHeight="false" outlineLevel="0" collapsed="false">
      <c r="A461" s="4" t="s">
        <v>763</v>
      </c>
      <c r="B461" s="4" t="s">
        <v>110</v>
      </c>
      <c r="C461" s="4" t="s">
        <v>228</v>
      </c>
      <c r="D461" s="4" t="s">
        <v>286</v>
      </c>
      <c r="E461" s="4" t="s">
        <v>202</v>
      </c>
      <c r="F461" s="4" t="s">
        <v>556</v>
      </c>
      <c r="G461" s="5" t="n">
        <v>46286.2145833333</v>
      </c>
      <c r="H461" s="12"/>
      <c r="I461" s="12"/>
      <c r="N461" s="4" t="n">
        <v>2</v>
      </c>
      <c r="P461" s="12"/>
      <c r="Q461" s="4" t="n">
        <v>0</v>
      </c>
      <c r="R461" s="0" t="str">
        <f aca="false">INDEX(Owners!$B$4:$B$21,MATCH(D461,Owners!$A$4:$A$21,0))</f>
        <v>Finance Systems</v>
      </c>
      <c r="S461" s="6" t="b">
        <f aca="false">AND(F461="closed",ISNUMBER(H461),H461&lt;=Controls!$B$4)</f>
        <v>0</v>
      </c>
      <c r="T461" s="6" t="b">
        <f aca="false">AND(ISNUMBER(I461),I461&lt;=Controls!$B$4,J461="rerun",K461=A461,L461=C461,M461=N461,O461=0,I461&gt;=G461,IF(ISNUMBER(P461),I461&gt;=P461,TRUE()))</f>
        <v>0</v>
      </c>
      <c r="U461" s="0" t="str">
        <f aca="false">IF(AND(S461,T461),"resolved",IF(S461,"claimed","open"))</f>
        <v>open</v>
      </c>
      <c r="V461" s="11" t="n">
        <f aca="false">ROUND((IF(U461="resolved",I461,IF(U461="claimed",H461,Controls!$B$4))-G461)*24,4)</f>
        <v>330.85</v>
      </c>
      <c r="W461" s="6" t="b">
        <f aca="false">INDEX(Owners!$E$4:$E$21,MATCH(D461,Owners!$A$4:$A$21,0))</f>
        <v>0</v>
      </c>
    </row>
    <row r="462" customFormat="false" ht="15" hidden="false" customHeight="false" outlineLevel="0" collapsed="false">
      <c r="A462" s="4" t="s">
        <v>764</v>
      </c>
      <c r="B462" s="4" t="s">
        <v>112</v>
      </c>
      <c r="C462" s="4" t="s">
        <v>231</v>
      </c>
      <c r="D462" s="4" t="s">
        <v>320</v>
      </c>
      <c r="E462" s="4" t="s">
        <v>210</v>
      </c>
      <c r="F462" s="4" t="s">
        <v>556</v>
      </c>
      <c r="G462" s="5" t="n">
        <v>46286.2277777778</v>
      </c>
      <c r="H462" s="12"/>
      <c r="I462" s="12"/>
      <c r="N462" s="4" t="n">
        <v>1</v>
      </c>
      <c r="P462" s="12"/>
      <c r="Q462" s="4" t="n">
        <v>0</v>
      </c>
      <c r="R462" s="0" t="str">
        <f aca="false">INDEX(Owners!$B$4:$B$21,MATCH(D462,Owners!$A$4:$A$21,0))</f>
        <v>Data Governance</v>
      </c>
      <c r="S462" s="6" t="b">
        <f aca="false">AND(F462="closed",ISNUMBER(H462),H462&lt;=Controls!$B$4)</f>
        <v>0</v>
      </c>
      <c r="T462" s="6" t="b">
        <f aca="false">AND(ISNUMBER(I462),I462&lt;=Controls!$B$4,J462="rerun",K462=A462,L462=C462,M462=N462,O462=0,I462&gt;=G462,IF(ISNUMBER(P462),I462&gt;=P462,TRUE()))</f>
        <v>0</v>
      </c>
      <c r="U462" s="0" t="str">
        <f aca="false">IF(AND(S462,T462),"resolved",IF(S462,"claimed","open"))</f>
        <v>open</v>
      </c>
      <c r="V462" s="11" t="n">
        <f aca="false">ROUND((IF(U462="resolved",I462,IF(U462="claimed",H462,Controls!$B$4))-G462)*24,4)</f>
        <v>330.5333</v>
      </c>
      <c r="W462" s="6" t="b">
        <f aca="false">INDEX(Owners!$E$4:$E$21,MATCH(D462,Owners!$A$4:$A$21,0))</f>
        <v>1</v>
      </c>
    </row>
    <row r="463" customFormat="false" ht="15" hidden="false" customHeight="false" outlineLevel="0" collapsed="false">
      <c r="A463" s="4" t="s">
        <v>765</v>
      </c>
      <c r="B463" s="4" t="s">
        <v>113</v>
      </c>
      <c r="C463" s="4" t="s">
        <v>234</v>
      </c>
      <c r="D463" s="4" t="s">
        <v>296</v>
      </c>
      <c r="E463" s="4" t="s">
        <v>204</v>
      </c>
      <c r="F463" s="4" t="s">
        <v>562</v>
      </c>
      <c r="G463" s="5" t="n">
        <v>46286.9930555556</v>
      </c>
      <c r="H463" s="12"/>
      <c r="I463" s="12"/>
      <c r="N463" s="4" t="n">
        <v>1</v>
      </c>
      <c r="P463" s="12"/>
      <c r="Q463" s="4" t="n">
        <v>0</v>
      </c>
      <c r="R463" s="0" t="str">
        <f aca="false">INDEX(Owners!$B$4:$B$21,MATCH(D463,Owners!$A$4:$A$21,0))</f>
        <v>Data Platform</v>
      </c>
      <c r="S463" s="6" t="b">
        <f aca="false">AND(F463="closed",ISNUMBER(H463),H463&lt;=Controls!$B$4)</f>
        <v>0</v>
      </c>
      <c r="T463" s="6" t="b">
        <f aca="false">AND(ISNUMBER(I463),I463&lt;=Controls!$B$4,J463="rerun",K463=A463,L463=C463,M463=N463,O463=0,I463&gt;=G463,IF(ISNUMBER(P463),I463&gt;=P463,TRUE()))</f>
        <v>0</v>
      </c>
      <c r="U463" s="0" t="str">
        <f aca="false">IF(AND(S463,T463),"resolved",IF(S463,"claimed","open"))</f>
        <v>open</v>
      </c>
      <c r="V463" s="11" t="n">
        <f aca="false">ROUND((IF(U463="resolved",I463,IF(U463="claimed",H463,Controls!$B$4))-G463)*24,4)</f>
        <v>312.1667</v>
      </c>
      <c r="W463" s="6" t="b">
        <f aca="false">INDEX(Owners!$E$4:$E$21,MATCH(D463,Owners!$A$4:$A$21,0))</f>
        <v>1</v>
      </c>
    </row>
    <row r="464" customFormat="false" ht="15" hidden="false" customHeight="false" outlineLevel="0" collapsed="false">
      <c r="A464" s="4" t="s">
        <v>766</v>
      </c>
      <c r="B464" s="4" t="s">
        <v>102</v>
      </c>
      <c r="C464" s="4" t="s">
        <v>215</v>
      </c>
      <c r="D464" s="4" t="s">
        <v>290</v>
      </c>
      <c r="E464" s="4" t="s">
        <v>216</v>
      </c>
      <c r="F464" s="4" t="s">
        <v>556</v>
      </c>
      <c r="G464" s="5" t="n">
        <v>46287.1013888889</v>
      </c>
      <c r="H464" s="12"/>
      <c r="I464" s="12"/>
      <c r="N464" s="4" t="n">
        <v>1</v>
      </c>
      <c r="P464" s="12"/>
      <c r="Q464" s="4" t="n">
        <v>0</v>
      </c>
      <c r="R464" s="0" t="str">
        <f aca="false">INDEX(Owners!$B$4:$B$21,MATCH(D464,Owners!$A$4:$A$21,0))</f>
        <v>Customer Data</v>
      </c>
      <c r="S464" s="6" t="b">
        <f aca="false">AND(F464="closed",ISNUMBER(H464),H464&lt;=Controls!$B$4)</f>
        <v>0</v>
      </c>
      <c r="T464" s="6" t="b">
        <f aca="false">AND(ISNUMBER(I464),I464&lt;=Controls!$B$4,J464="rerun",K464=A464,L464=C464,M464=N464,O464=0,I464&gt;=G464,IF(ISNUMBER(P464),I464&gt;=P464,TRUE()))</f>
        <v>0</v>
      </c>
      <c r="U464" s="0" t="str">
        <f aca="false">IF(AND(S464,T464),"resolved",IF(S464,"claimed","open"))</f>
        <v>open</v>
      </c>
      <c r="V464" s="11" t="n">
        <f aca="false">ROUND((IF(U464="resolved",I464,IF(U464="claimed",H464,Controls!$B$4))-G464)*24,4)</f>
        <v>309.5667</v>
      </c>
      <c r="W464" s="6" t="b">
        <f aca="false">INDEX(Owners!$E$4:$E$21,MATCH(D464,Owners!$A$4:$A$21,0))</f>
        <v>1</v>
      </c>
    </row>
    <row r="465" customFormat="false" ht="15" hidden="false" customHeight="false" outlineLevel="0" collapsed="false">
      <c r="A465" s="4" t="s">
        <v>767</v>
      </c>
      <c r="B465" s="4" t="s">
        <v>128</v>
      </c>
      <c r="C465" s="4" t="s">
        <v>253</v>
      </c>
      <c r="D465" s="4" t="s">
        <v>283</v>
      </c>
      <c r="E465" s="4" t="s">
        <v>204</v>
      </c>
      <c r="F465" s="4" t="s">
        <v>556</v>
      </c>
      <c r="G465" s="5" t="n">
        <v>46287.1111111111</v>
      </c>
      <c r="H465" s="12"/>
      <c r="I465" s="12"/>
      <c r="N465" s="4" t="n">
        <v>1</v>
      </c>
      <c r="P465" s="12"/>
      <c r="Q465" s="4" t="n">
        <v>0</v>
      </c>
      <c r="R465" s="0" t="str">
        <f aca="false">INDEX(Owners!$B$4:$B$21,MATCH(D465,Owners!$A$4:$A$21,0))</f>
        <v>Data Platform</v>
      </c>
      <c r="S465" s="6" t="b">
        <f aca="false">AND(F465="closed",ISNUMBER(H465),H465&lt;=Controls!$B$4)</f>
        <v>0</v>
      </c>
      <c r="T465" s="6" t="b">
        <f aca="false">AND(ISNUMBER(I465),I465&lt;=Controls!$B$4,J465="rerun",K465=A465,L465=C465,M465=N465,O465=0,I465&gt;=G465,IF(ISNUMBER(P465),I465&gt;=P465,TRUE()))</f>
        <v>0</v>
      </c>
      <c r="U465" s="0" t="str">
        <f aca="false">IF(AND(S465,T465),"resolved",IF(S465,"claimed","open"))</f>
        <v>open</v>
      </c>
      <c r="V465" s="11" t="n">
        <f aca="false">ROUND((IF(U465="resolved",I465,IF(U465="claimed",H465,Controls!$B$4))-G465)*24,4)</f>
        <v>309.3333</v>
      </c>
      <c r="W465" s="6" t="b">
        <f aca="false">INDEX(Owners!$E$4:$E$21,MATCH(D465,Owners!$A$4:$A$21,0))</f>
        <v>1</v>
      </c>
    </row>
    <row r="466" customFormat="false" ht="15" hidden="false" customHeight="false" outlineLevel="0" collapsed="false">
      <c r="A466" s="4" t="s">
        <v>768</v>
      </c>
      <c r="B466" s="4" t="s">
        <v>97</v>
      </c>
      <c r="C466" s="4" t="s">
        <v>208</v>
      </c>
      <c r="D466" s="4" t="s">
        <v>286</v>
      </c>
      <c r="E466" s="4" t="s">
        <v>202</v>
      </c>
      <c r="F466" s="4" t="s">
        <v>556</v>
      </c>
      <c r="G466" s="5" t="n">
        <v>46287.1194444444</v>
      </c>
      <c r="H466" s="12"/>
      <c r="I466" s="12"/>
      <c r="N466" s="4" t="n">
        <v>2</v>
      </c>
      <c r="P466" s="12"/>
      <c r="Q466" s="4" t="n">
        <v>0</v>
      </c>
      <c r="R466" s="0" t="str">
        <f aca="false">INDEX(Owners!$B$4:$B$21,MATCH(D466,Owners!$A$4:$A$21,0))</f>
        <v>Finance Systems</v>
      </c>
      <c r="S466" s="6" t="b">
        <f aca="false">AND(F466="closed",ISNUMBER(H466),H466&lt;=Controls!$B$4)</f>
        <v>0</v>
      </c>
      <c r="T466" s="6" t="b">
        <f aca="false">AND(ISNUMBER(I466),I466&lt;=Controls!$B$4,J466="rerun",K466=A466,L466=C466,M466=N466,O466=0,I466&gt;=G466,IF(ISNUMBER(P466),I466&gt;=P466,TRUE()))</f>
        <v>0</v>
      </c>
      <c r="U466" s="0" t="str">
        <f aca="false">IF(AND(S466,T466),"resolved",IF(S466,"claimed","open"))</f>
        <v>open</v>
      </c>
      <c r="V466" s="11" t="n">
        <f aca="false">ROUND((IF(U466="resolved",I466,IF(U466="claimed",H466,Controls!$B$4))-G466)*24,4)</f>
        <v>309.1333</v>
      </c>
      <c r="W466" s="6" t="b">
        <f aca="false">INDEX(Owners!$E$4:$E$21,MATCH(D466,Owners!$A$4:$A$21,0))</f>
        <v>0</v>
      </c>
    </row>
    <row r="467" customFormat="false" ht="15" hidden="false" customHeight="false" outlineLevel="0" collapsed="false">
      <c r="A467" s="4" t="s">
        <v>769</v>
      </c>
      <c r="B467" s="4" t="s">
        <v>111</v>
      </c>
      <c r="C467" s="4" t="s">
        <v>229</v>
      </c>
      <c r="D467" s="4" t="s">
        <v>296</v>
      </c>
      <c r="E467" s="4" t="s">
        <v>202</v>
      </c>
      <c r="F467" s="4" t="s">
        <v>277</v>
      </c>
      <c r="G467" s="5" t="n">
        <v>46287.1645833333</v>
      </c>
      <c r="H467" s="5" t="n">
        <v>46288.6715277778</v>
      </c>
      <c r="I467" s="12"/>
      <c r="N467" s="4" t="n">
        <v>2</v>
      </c>
      <c r="P467" s="12"/>
      <c r="Q467" s="4" t="n">
        <v>0</v>
      </c>
      <c r="R467" s="0" t="str">
        <f aca="false">INDEX(Owners!$B$4:$B$21,MATCH(D467,Owners!$A$4:$A$21,0))</f>
        <v>Data Platform</v>
      </c>
      <c r="S467" s="6" t="b">
        <f aca="false">AND(F467="closed",ISNUMBER(H467),H467&lt;=Controls!$B$4)</f>
        <v>1</v>
      </c>
      <c r="T467" s="6" t="b">
        <f aca="false">AND(ISNUMBER(I467),I467&lt;=Controls!$B$4,J467="rerun",K467=A467,L467=C467,M467=N467,O467=0,I467&gt;=G467,IF(ISNUMBER(P467),I467&gt;=P467,TRUE()))</f>
        <v>0</v>
      </c>
      <c r="U467" s="0" t="str">
        <f aca="false">IF(AND(S467,T467),"resolved",IF(S467,"claimed","open"))</f>
        <v>claimed</v>
      </c>
      <c r="V467" s="11" t="n">
        <f aca="false">ROUND((IF(U467="resolved",I467,IF(U467="claimed",H467,Controls!$B$4))-G467)*24,4)</f>
        <v>36.1667</v>
      </c>
      <c r="W467" s="6" t="b">
        <f aca="false">INDEX(Owners!$E$4:$E$21,MATCH(D467,Owners!$A$4:$A$21,0))</f>
        <v>1</v>
      </c>
    </row>
    <row r="468" customFormat="false" ht="15" hidden="false" customHeight="false" outlineLevel="0" collapsed="false">
      <c r="A468" s="4" t="s">
        <v>770</v>
      </c>
      <c r="B468" s="4" t="s">
        <v>125</v>
      </c>
      <c r="C468" s="4" t="s">
        <v>249</v>
      </c>
      <c r="D468" s="4" t="s">
        <v>334</v>
      </c>
      <c r="E468" s="4" t="s">
        <v>204</v>
      </c>
      <c r="F468" s="4" t="s">
        <v>277</v>
      </c>
      <c r="G468" s="5" t="n">
        <v>46287.1694444444</v>
      </c>
      <c r="H468" s="5" t="n">
        <v>46290.2361111111</v>
      </c>
      <c r="I468" s="5" t="n">
        <v>46290.4666666667</v>
      </c>
      <c r="J468" s="4" t="s">
        <v>284</v>
      </c>
      <c r="K468" s="4" t="s">
        <v>770</v>
      </c>
      <c r="L468" s="4" t="s">
        <v>249</v>
      </c>
      <c r="M468" s="4" t="n">
        <v>1</v>
      </c>
      <c r="N468" s="4" t="n">
        <v>1</v>
      </c>
      <c r="O468" s="4" t="n">
        <v>0</v>
      </c>
      <c r="P468" s="12"/>
      <c r="Q468" s="4" t="n">
        <v>0</v>
      </c>
      <c r="R468" s="0" t="str">
        <f aca="false">INDEX(Owners!$B$4:$B$21,MATCH(D468,Owners!$A$4:$A$21,0))</f>
        <v>Supply Chain</v>
      </c>
      <c r="S468" s="6" t="b">
        <f aca="false">AND(F468="closed",ISNUMBER(H468),H468&lt;=Controls!$B$4)</f>
        <v>1</v>
      </c>
      <c r="T468" s="6" t="b">
        <f aca="false">AND(ISNUMBER(I468),I468&lt;=Controls!$B$4,J468="rerun",K468=A468,L468=C468,M468=N468,O468=0,I468&gt;=G468,IF(ISNUMBER(P468),I468&gt;=P468,TRUE()))</f>
        <v>1</v>
      </c>
      <c r="U468" s="0" t="str">
        <f aca="false">IF(AND(S468,T468),"resolved",IF(S468,"claimed","open"))</f>
        <v>resolved</v>
      </c>
      <c r="V468" s="11" t="n">
        <f aca="false">ROUND((IF(U468="resolved",I468,IF(U468="claimed",H468,Controls!$B$4))-G468)*24,4)</f>
        <v>79.1333</v>
      </c>
      <c r="W468" s="6" t="b">
        <f aca="false">INDEX(Owners!$E$4:$E$21,MATCH(D468,Owners!$A$4:$A$21,0))</f>
        <v>0</v>
      </c>
    </row>
    <row r="469" customFormat="false" ht="15" hidden="false" customHeight="false" outlineLevel="0" collapsed="false">
      <c r="A469" s="4" t="s">
        <v>771</v>
      </c>
      <c r="B469" s="4" t="s">
        <v>129</v>
      </c>
      <c r="C469" s="4" t="s">
        <v>255</v>
      </c>
      <c r="D469" s="4" t="s">
        <v>497</v>
      </c>
      <c r="E469" s="4" t="s">
        <v>204</v>
      </c>
      <c r="F469" s="4" t="s">
        <v>277</v>
      </c>
      <c r="G469" s="5" t="n">
        <v>46287.1743055556</v>
      </c>
      <c r="H469" s="5" t="n">
        <v>46289.1451388889</v>
      </c>
      <c r="I469" s="5" t="n">
        <v>46289.7597222222</v>
      </c>
      <c r="J469" s="4" t="s">
        <v>284</v>
      </c>
      <c r="K469" s="4" t="s">
        <v>771</v>
      </c>
      <c r="L469" s="4" t="s">
        <v>255</v>
      </c>
      <c r="M469" s="4" t="n">
        <v>1</v>
      </c>
      <c r="N469" s="4" t="n">
        <v>1</v>
      </c>
      <c r="O469" s="4" t="n">
        <v>0</v>
      </c>
      <c r="P469" s="12"/>
      <c r="Q469" s="4" t="n">
        <v>0</v>
      </c>
      <c r="R469" s="0" t="str">
        <f aca="false">INDEX(Owners!$B$4:$B$21,MATCH(D469,Owners!$A$4:$A$21,0))</f>
        <v>Support Operations</v>
      </c>
      <c r="S469" s="6" t="b">
        <f aca="false">AND(F469="closed",ISNUMBER(H469),H469&lt;=Controls!$B$4)</f>
        <v>1</v>
      </c>
      <c r="T469" s="6" t="b">
        <f aca="false">AND(ISNUMBER(I469),I469&lt;=Controls!$B$4,J469="rerun",K469=A469,L469=C469,M469=N469,O469=0,I469&gt;=G469,IF(ISNUMBER(P469),I469&gt;=P469,TRUE()))</f>
        <v>1</v>
      </c>
      <c r="U469" s="0" t="str">
        <f aca="false">IF(AND(S469,T469),"resolved",IF(S469,"claimed","open"))</f>
        <v>resolved</v>
      </c>
      <c r="V469" s="11" t="n">
        <f aca="false">ROUND((IF(U469="resolved",I469,IF(U469="claimed",H469,Controls!$B$4))-G469)*24,4)</f>
        <v>62.05</v>
      </c>
      <c r="W469" s="6" t="b">
        <f aca="false">INDEX(Owners!$E$4:$E$21,MATCH(D469,Owners!$A$4:$A$21,0))</f>
        <v>1</v>
      </c>
    </row>
    <row r="470" customFormat="false" ht="15" hidden="false" customHeight="false" outlineLevel="0" collapsed="false">
      <c r="A470" s="4" t="s">
        <v>772</v>
      </c>
      <c r="B470" s="4" t="s">
        <v>113</v>
      </c>
      <c r="C470" s="4" t="s">
        <v>232</v>
      </c>
      <c r="D470" s="4" t="s">
        <v>296</v>
      </c>
      <c r="E470" s="4" t="s">
        <v>202</v>
      </c>
      <c r="F470" s="4" t="s">
        <v>277</v>
      </c>
      <c r="G470" s="5" t="n">
        <v>46287.1826388889</v>
      </c>
      <c r="H470" s="5" t="n">
        <v>46287.5541666667</v>
      </c>
      <c r="I470" s="5" t="n">
        <v>46287.6284722222</v>
      </c>
      <c r="J470" s="4" t="s">
        <v>284</v>
      </c>
      <c r="K470" s="4" t="s">
        <v>772</v>
      </c>
      <c r="L470" s="4" t="s">
        <v>232</v>
      </c>
      <c r="M470" s="4" t="n">
        <v>2</v>
      </c>
      <c r="N470" s="4" t="n">
        <v>2</v>
      </c>
      <c r="O470" s="4" t="n">
        <v>0</v>
      </c>
      <c r="P470" s="12"/>
      <c r="Q470" s="4" t="n">
        <v>0</v>
      </c>
      <c r="R470" s="0" t="str">
        <f aca="false">INDEX(Owners!$B$4:$B$21,MATCH(D470,Owners!$A$4:$A$21,0))</f>
        <v>Data Platform</v>
      </c>
      <c r="S470" s="6" t="b">
        <f aca="false">AND(F470="closed",ISNUMBER(H470),H470&lt;=Controls!$B$4)</f>
        <v>1</v>
      </c>
      <c r="T470" s="6" t="b">
        <f aca="false">AND(ISNUMBER(I470),I470&lt;=Controls!$B$4,J470="rerun",K470=A470,L470=C470,M470=N470,O470=0,I470&gt;=G470,IF(ISNUMBER(P470),I470&gt;=P470,TRUE()))</f>
        <v>1</v>
      </c>
      <c r="U470" s="0" t="str">
        <f aca="false">IF(AND(S470,T470),"resolved",IF(S470,"claimed","open"))</f>
        <v>resolved</v>
      </c>
      <c r="V470" s="11" t="n">
        <f aca="false">ROUND((IF(U470="resolved",I470,IF(U470="claimed",H470,Controls!$B$4))-G470)*24,4)</f>
        <v>10.7</v>
      </c>
      <c r="W470" s="6" t="b">
        <f aca="false">INDEX(Owners!$E$4:$E$21,MATCH(D470,Owners!$A$4:$A$21,0))</f>
        <v>1</v>
      </c>
    </row>
    <row r="471" customFormat="false" ht="15" hidden="false" customHeight="false" outlineLevel="0" collapsed="false">
      <c r="A471" s="4" t="s">
        <v>773</v>
      </c>
      <c r="B471" s="4" t="s">
        <v>96</v>
      </c>
      <c r="C471" s="4" t="s">
        <v>206</v>
      </c>
      <c r="D471" s="4" t="s">
        <v>330</v>
      </c>
      <c r="E471" s="4" t="s">
        <v>202</v>
      </c>
      <c r="F471" s="4" t="s">
        <v>277</v>
      </c>
      <c r="G471" s="5" t="n">
        <v>46287.2194444445</v>
      </c>
      <c r="H471" s="5" t="n">
        <v>46295.7222222222</v>
      </c>
      <c r="I471" s="5" t="n">
        <v>46296.16875</v>
      </c>
      <c r="J471" s="4" t="s">
        <v>284</v>
      </c>
      <c r="K471" s="4" t="s">
        <v>773</v>
      </c>
      <c r="L471" s="4" t="s">
        <v>206</v>
      </c>
      <c r="M471" s="4" t="n">
        <v>2</v>
      </c>
      <c r="N471" s="4" t="n">
        <v>2</v>
      </c>
      <c r="O471" s="4" t="n">
        <v>0</v>
      </c>
      <c r="P471" s="12"/>
      <c r="Q471" s="4" t="n">
        <v>0</v>
      </c>
      <c r="R471" s="0" t="str">
        <f aca="false">INDEX(Owners!$B$4:$B$21,MATCH(D471,Owners!$A$4:$A$21,0))</f>
        <v>Supply Chain</v>
      </c>
      <c r="S471" s="6" t="b">
        <f aca="false">AND(F471="closed",ISNUMBER(H471),H471&lt;=Controls!$B$4)</f>
        <v>1</v>
      </c>
      <c r="T471" s="6" t="b">
        <f aca="false">AND(ISNUMBER(I471),I471&lt;=Controls!$B$4,J471="rerun",K471=A471,L471=C471,M471=N471,O471=0,I471&gt;=G471,IF(ISNUMBER(P471),I471&gt;=P471,TRUE()))</f>
        <v>1</v>
      </c>
      <c r="U471" s="0" t="str">
        <f aca="false">IF(AND(S471,T471),"resolved",IF(S471,"claimed","open"))</f>
        <v>resolved</v>
      </c>
      <c r="V471" s="11" t="n">
        <f aca="false">ROUND((IF(U471="resolved",I471,IF(U471="claimed",H471,Controls!$B$4))-G471)*24,4)</f>
        <v>214.7833</v>
      </c>
      <c r="W471" s="6" t="b">
        <f aca="false">INDEX(Owners!$E$4:$E$21,MATCH(D471,Owners!$A$4:$A$21,0))</f>
        <v>1</v>
      </c>
    </row>
    <row r="472" customFormat="false" ht="15" hidden="false" customHeight="false" outlineLevel="0" collapsed="false">
      <c r="A472" s="4" t="s">
        <v>774</v>
      </c>
      <c r="B472" s="4" t="s">
        <v>117</v>
      </c>
      <c r="C472" s="4" t="s">
        <v>241</v>
      </c>
      <c r="D472" s="4" t="s">
        <v>288</v>
      </c>
      <c r="E472" s="4" t="s">
        <v>202</v>
      </c>
      <c r="F472" s="4" t="s">
        <v>277</v>
      </c>
      <c r="G472" s="5" t="n">
        <v>46287.2368055556</v>
      </c>
      <c r="H472" s="5" t="n">
        <v>46289.0465277778</v>
      </c>
      <c r="I472" s="5" t="n">
        <v>46289.5027777778</v>
      </c>
      <c r="J472" s="4" t="s">
        <v>284</v>
      </c>
      <c r="K472" s="4" t="s">
        <v>774</v>
      </c>
      <c r="L472" s="4" t="s">
        <v>241</v>
      </c>
      <c r="M472" s="4" t="n">
        <v>1</v>
      </c>
      <c r="N472" s="4" t="n">
        <v>1</v>
      </c>
      <c r="O472" s="4" t="n">
        <v>0</v>
      </c>
      <c r="P472" s="12"/>
      <c r="Q472" s="4" t="n">
        <v>0</v>
      </c>
      <c r="R472" s="0" t="str">
        <f aca="false">INDEX(Owners!$B$4:$B$21,MATCH(D472,Owners!$A$4:$A$21,0))</f>
        <v>Support Operations</v>
      </c>
      <c r="S472" s="6" t="b">
        <f aca="false">AND(F472="closed",ISNUMBER(H472),H472&lt;=Controls!$B$4)</f>
        <v>1</v>
      </c>
      <c r="T472" s="6" t="b">
        <f aca="false">AND(ISNUMBER(I472),I472&lt;=Controls!$B$4,J472="rerun",K472=A472,L472=C472,M472=N472,O472=0,I472&gt;=G472,IF(ISNUMBER(P472),I472&gt;=P472,TRUE()))</f>
        <v>1</v>
      </c>
      <c r="U472" s="0" t="str">
        <f aca="false">IF(AND(S472,T472),"resolved",IF(S472,"claimed","open"))</f>
        <v>resolved</v>
      </c>
      <c r="V472" s="11" t="n">
        <f aca="false">ROUND((IF(U472="resolved",I472,IF(U472="claimed",H472,Controls!$B$4))-G472)*24,4)</f>
        <v>54.3833</v>
      </c>
      <c r="W472" s="6" t="b">
        <f aca="false">INDEX(Owners!$E$4:$E$21,MATCH(D472,Owners!$A$4:$A$21,0))</f>
        <v>1</v>
      </c>
    </row>
    <row r="473" customFormat="false" ht="15" hidden="false" customHeight="false" outlineLevel="0" collapsed="false">
      <c r="A473" s="4" t="s">
        <v>775</v>
      </c>
      <c r="B473" s="4" t="s">
        <v>101</v>
      </c>
      <c r="C473" s="4" t="s">
        <v>212</v>
      </c>
      <c r="D473" s="4" t="s">
        <v>483</v>
      </c>
      <c r="E473" s="4" t="s">
        <v>210</v>
      </c>
      <c r="F473" s="4" t="s">
        <v>277</v>
      </c>
      <c r="G473" s="5" t="n">
        <v>46287.2465277778</v>
      </c>
      <c r="H473" s="5" t="n">
        <v>46290.7270833333</v>
      </c>
      <c r="I473" s="5" t="n">
        <v>46291.2076388889</v>
      </c>
      <c r="J473" s="4" t="s">
        <v>284</v>
      </c>
      <c r="K473" s="4" t="s">
        <v>775</v>
      </c>
      <c r="L473" s="4" t="s">
        <v>212</v>
      </c>
      <c r="M473" s="4" t="n">
        <v>1</v>
      </c>
      <c r="N473" s="4" t="n">
        <v>1</v>
      </c>
      <c r="O473" s="4" t="n">
        <v>0</v>
      </c>
      <c r="P473" s="12"/>
      <c r="Q473" s="4" t="n">
        <v>0</v>
      </c>
      <c r="R473" s="0" t="str">
        <f aca="false">INDEX(Owners!$B$4:$B$21,MATCH(D473,Owners!$A$4:$A$21,0))</f>
        <v>Customer Data</v>
      </c>
      <c r="S473" s="6" t="b">
        <f aca="false">AND(F473="closed",ISNUMBER(H473),H473&lt;=Controls!$B$4)</f>
        <v>1</v>
      </c>
      <c r="T473" s="6" t="b">
        <f aca="false">AND(ISNUMBER(I473),I473&lt;=Controls!$B$4,J473="rerun",K473=A473,L473=C473,M473=N473,O473=0,I473&gt;=G473,IF(ISNUMBER(P473),I473&gt;=P473,TRUE()))</f>
        <v>1</v>
      </c>
      <c r="U473" s="0" t="str">
        <f aca="false">IF(AND(S473,T473),"resolved",IF(S473,"claimed","open"))</f>
        <v>resolved</v>
      </c>
      <c r="V473" s="11" t="n">
        <f aca="false">ROUND((IF(U473="resolved",I473,IF(U473="claimed",H473,Controls!$B$4))-G473)*24,4)</f>
        <v>95.0667</v>
      </c>
      <c r="W473" s="6" t="b">
        <f aca="false">INDEX(Owners!$E$4:$E$21,MATCH(D473,Owners!$A$4:$A$21,0))</f>
        <v>1</v>
      </c>
    </row>
    <row r="474" customFormat="false" ht="15" hidden="false" customHeight="false" outlineLevel="0" collapsed="false">
      <c r="A474" s="4" t="s">
        <v>776</v>
      </c>
      <c r="B474" s="4" t="s">
        <v>96</v>
      </c>
      <c r="C474" s="4" t="s">
        <v>207</v>
      </c>
      <c r="D474" s="4" t="s">
        <v>330</v>
      </c>
      <c r="E474" s="4" t="s">
        <v>204</v>
      </c>
      <c r="F474" s="4" t="s">
        <v>556</v>
      </c>
      <c r="G474" s="5" t="n">
        <v>46287.9930555556</v>
      </c>
      <c r="H474" s="12"/>
      <c r="I474" s="12"/>
      <c r="N474" s="4" t="n">
        <v>1</v>
      </c>
      <c r="P474" s="12"/>
      <c r="Q474" s="4" t="n">
        <v>0</v>
      </c>
      <c r="R474" s="0" t="str">
        <f aca="false">INDEX(Owners!$B$4:$B$21,MATCH(D474,Owners!$A$4:$A$21,0))</f>
        <v>Supply Chain</v>
      </c>
      <c r="S474" s="6" t="b">
        <f aca="false">AND(F474="closed",ISNUMBER(H474),H474&lt;=Controls!$B$4)</f>
        <v>0</v>
      </c>
      <c r="T474" s="6" t="b">
        <f aca="false">AND(ISNUMBER(I474),I474&lt;=Controls!$B$4,J474="rerun",K474=A474,L474=C474,M474=N474,O474=0,I474&gt;=G474,IF(ISNUMBER(P474),I474&gt;=P474,TRUE()))</f>
        <v>0</v>
      </c>
      <c r="U474" s="0" t="str">
        <f aca="false">IF(AND(S474,T474),"resolved",IF(S474,"claimed","open"))</f>
        <v>open</v>
      </c>
      <c r="V474" s="11" t="n">
        <f aca="false">ROUND((IF(U474="resolved",I474,IF(U474="claimed",H474,Controls!$B$4))-G474)*24,4)</f>
        <v>288.1667</v>
      </c>
      <c r="W474" s="6" t="b">
        <f aca="false">INDEX(Owners!$E$4:$E$21,MATCH(D474,Owners!$A$4:$A$21,0))</f>
        <v>1</v>
      </c>
    </row>
    <row r="475" customFormat="false" ht="15" hidden="false" customHeight="false" outlineLevel="0" collapsed="false">
      <c r="A475" s="4" t="s">
        <v>777</v>
      </c>
      <c r="B475" s="4" t="s">
        <v>107</v>
      </c>
      <c r="C475" s="4" t="s">
        <v>222</v>
      </c>
      <c r="D475" s="4" t="s">
        <v>326</v>
      </c>
      <c r="E475" s="4" t="s">
        <v>210</v>
      </c>
      <c r="F475" s="4" t="s">
        <v>562</v>
      </c>
      <c r="G475" s="5" t="n">
        <v>46288.0881944444</v>
      </c>
      <c r="H475" s="12"/>
      <c r="I475" s="12"/>
      <c r="N475" s="4" t="n">
        <v>1</v>
      </c>
      <c r="P475" s="12"/>
      <c r="Q475" s="4" t="n">
        <v>0</v>
      </c>
      <c r="R475" s="0" t="str">
        <f aca="false">INDEX(Owners!$B$4:$B$21,MATCH(D475,Owners!$A$4:$A$21,0))</f>
        <v>Customer Data</v>
      </c>
      <c r="S475" s="6" t="b">
        <f aca="false">AND(F475="closed",ISNUMBER(H475),H475&lt;=Controls!$B$4)</f>
        <v>0</v>
      </c>
      <c r="T475" s="6" t="b">
        <f aca="false">AND(ISNUMBER(I475),I475&lt;=Controls!$B$4,J475="rerun",K475=A475,L475=C475,M475=N475,O475=0,I475&gt;=G475,IF(ISNUMBER(P475),I475&gt;=P475,TRUE()))</f>
        <v>0</v>
      </c>
      <c r="U475" s="0" t="str">
        <f aca="false">IF(AND(S475,T475),"resolved",IF(S475,"claimed","open"))</f>
        <v>open</v>
      </c>
      <c r="V475" s="11" t="n">
        <f aca="false">ROUND((IF(U475="resolved",I475,IF(U475="claimed",H475,Controls!$B$4))-G475)*24,4)</f>
        <v>285.8833</v>
      </c>
      <c r="W475" s="6" t="b">
        <f aca="false">INDEX(Owners!$E$4:$E$21,MATCH(D475,Owners!$A$4:$A$21,0))</f>
        <v>0</v>
      </c>
    </row>
    <row r="476" customFormat="false" ht="15" hidden="false" customHeight="false" outlineLevel="0" collapsed="false">
      <c r="A476" s="4" t="s">
        <v>778</v>
      </c>
      <c r="B476" s="4" t="s">
        <v>127</v>
      </c>
      <c r="C476" s="4" t="s">
        <v>252</v>
      </c>
      <c r="D476" s="4" t="s">
        <v>358</v>
      </c>
      <c r="E476" s="4" t="s">
        <v>204</v>
      </c>
      <c r="F476" s="4" t="s">
        <v>277</v>
      </c>
      <c r="G476" s="5" t="n">
        <v>46288.0888888889</v>
      </c>
      <c r="H476" s="5" t="n">
        <v>46289.28125</v>
      </c>
      <c r="I476" s="5" t="n">
        <v>46289.3479166667</v>
      </c>
      <c r="J476" s="4" t="s">
        <v>284</v>
      </c>
      <c r="K476" s="4" t="s">
        <v>778</v>
      </c>
      <c r="L476" s="4" t="s">
        <v>252</v>
      </c>
      <c r="M476" s="4" t="n">
        <v>1</v>
      </c>
      <c r="N476" s="4" t="n">
        <v>1</v>
      </c>
      <c r="O476" s="4" t="n">
        <v>0</v>
      </c>
      <c r="P476" s="12"/>
      <c r="Q476" s="4" t="n">
        <v>0</v>
      </c>
      <c r="R476" s="0" t="str">
        <f aca="false">INDEX(Owners!$B$4:$B$21,MATCH(D476,Owners!$A$4:$A$21,0))</f>
        <v>Finance Systems</v>
      </c>
      <c r="S476" s="6" t="b">
        <f aca="false">AND(F476="closed",ISNUMBER(H476),H476&lt;=Controls!$B$4)</f>
        <v>1</v>
      </c>
      <c r="T476" s="6" t="b">
        <f aca="false">AND(ISNUMBER(I476),I476&lt;=Controls!$B$4,J476="rerun",K476=A476,L476=C476,M476=N476,O476=0,I476&gt;=G476,IF(ISNUMBER(P476),I476&gt;=P476,TRUE()))</f>
        <v>1</v>
      </c>
      <c r="U476" s="0" t="str">
        <f aca="false">IF(AND(S476,T476),"resolved",IF(S476,"claimed","open"))</f>
        <v>resolved</v>
      </c>
      <c r="V476" s="11" t="n">
        <f aca="false">ROUND((IF(U476="resolved",I476,IF(U476="claimed",H476,Controls!$B$4))-G476)*24,4)</f>
        <v>30.2167</v>
      </c>
      <c r="W476" s="6" t="b">
        <f aca="false">INDEX(Owners!$E$4:$E$21,MATCH(D476,Owners!$A$4:$A$21,0))</f>
        <v>1</v>
      </c>
    </row>
    <row r="477" customFormat="false" ht="15" hidden="false" customHeight="false" outlineLevel="0" collapsed="false">
      <c r="A477" s="4" t="s">
        <v>779</v>
      </c>
      <c r="B477" s="4" t="s">
        <v>108</v>
      </c>
      <c r="C477" s="4" t="s">
        <v>225</v>
      </c>
      <c r="D477" s="4" t="s">
        <v>330</v>
      </c>
      <c r="E477" s="4" t="s">
        <v>204</v>
      </c>
      <c r="F477" s="4" t="s">
        <v>556</v>
      </c>
      <c r="G477" s="5" t="n">
        <v>46288.1159722222</v>
      </c>
      <c r="H477" s="12"/>
      <c r="I477" s="12"/>
      <c r="N477" s="4" t="n">
        <v>1</v>
      </c>
      <c r="P477" s="12"/>
      <c r="Q477" s="4" t="n">
        <v>0</v>
      </c>
      <c r="R477" s="0" t="str">
        <f aca="false">INDEX(Owners!$B$4:$B$21,MATCH(D477,Owners!$A$4:$A$21,0))</f>
        <v>Supply Chain</v>
      </c>
      <c r="S477" s="6" t="b">
        <f aca="false">AND(F477="closed",ISNUMBER(H477),H477&lt;=Controls!$B$4)</f>
        <v>0</v>
      </c>
      <c r="T477" s="6" t="b">
        <f aca="false">AND(ISNUMBER(I477),I477&lt;=Controls!$B$4,J477="rerun",K477=A477,L477=C477,M477=N477,O477=0,I477&gt;=G477,IF(ISNUMBER(P477),I477&gt;=P477,TRUE()))</f>
        <v>0</v>
      </c>
      <c r="U477" s="0" t="str">
        <f aca="false">IF(AND(S477,T477),"resolved",IF(S477,"claimed","open"))</f>
        <v>open</v>
      </c>
      <c r="V477" s="11" t="n">
        <f aca="false">ROUND((IF(U477="resolved",I477,IF(U477="claimed",H477,Controls!$B$4))-G477)*24,4)</f>
        <v>285.2167</v>
      </c>
      <c r="W477" s="6" t="b">
        <f aca="false">INDEX(Owners!$E$4:$E$21,MATCH(D477,Owners!$A$4:$A$21,0))</f>
        <v>1</v>
      </c>
    </row>
    <row r="478" customFormat="false" ht="15" hidden="false" customHeight="false" outlineLevel="0" collapsed="false">
      <c r="A478" s="4" t="s">
        <v>780</v>
      </c>
      <c r="B478" s="4" t="s">
        <v>124</v>
      </c>
      <c r="C478" s="4" t="s">
        <v>248</v>
      </c>
      <c r="D478" s="4" t="s">
        <v>301</v>
      </c>
      <c r="E478" s="4" t="s">
        <v>202</v>
      </c>
      <c r="F478" s="4" t="s">
        <v>277</v>
      </c>
      <c r="G478" s="5" t="n">
        <v>46288.1423611111</v>
      </c>
      <c r="H478" s="5" t="n">
        <v>46291.9194444444</v>
      </c>
      <c r="I478" s="5" t="n">
        <v>46292.0604166667</v>
      </c>
      <c r="J478" s="4" t="s">
        <v>284</v>
      </c>
      <c r="K478" s="4" t="s">
        <v>780</v>
      </c>
      <c r="L478" s="4" t="s">
        <v>248</v>
      </c>
      <c r="M478" s="4" t="n">
        <v>1</v>
      </c>
      <c r="N478" s="4" t="n">
        <v>1</v>
      </c>
      <c r="O478" s="4" t="n">
        <v>0</v>
      </c>
      <c r="P478" s="12"/>
      <c r="Q478" s="4" t="n">
        <v>0</v>
      </c>
      <c r="R478" s="0" t="str">
        <f aca="false">INDEX(Owners!$B$4:$B$21,MATCH(D478,Owners!$A$4:$A$21,0))</f>
        <v>Data Platform</v>
      </c>
      <c r="S478" s="6" t="b">
        <f aca="false">AND(F478="closed",ISNUMBER(H478),H478&lt;=Controls!$B$4)</f>
        <v>1</v>
      </c>
      <c r="T478" s="6" t="b">
        <f aca="false">AND(ISNUMBER(I478),I478&lt;=Controls!$B$4,J478="rerun",K478=A478,L478=C478,M478=N478,O478=0,I478&gt;=G478,IF(ISNUMBER(P478),I478&gt;=P478,TRUE()))</f>
        <v>1</v>
      </c>
      <c r="U478" s="0" t="str">
        <f aca="false">IF(AND(S478,T478),"resolved",IF(S478,"claimed","open"))</f>
        <v>resolved</v>
      </c>
      <c r="V478" s="11" t="n">
        <f aca="false">ROUND((IF(U478="resolved",I478,IF(U478="claimed",H478,Controls!$B$4))-G478)*24,4)</f>
        <v>94.0333</v>
      </c>
      <c r="W478" s="6" t="b">
        <f aca="false">INDEX(Owners!$E$4:$E$21,MATCH(D478,Owners!$A$4:$A$21,0))</f>
        <v>1</v>
      </c>
    </row>
    <row r="479" customFormat="false" ht="15" hidden="false" customHeight="false" outlineLevel="0" collapsed="false">
      <c r="A479" s="4" t="s">
        <v>781</v>
      </c>
      <c r="B479" s="4" t="s">
        <v>124</v>
      </c>
      <c r="C479" s="4" t="s">
        <v>247</v>
      </c>
      <c r="D479" s="4" t="s">
        <v>301</v>
      </c>
      <c r="E479" s="4" t="s">
        <v>202</v>
      </c>
      <c r="F479" s="4" t="s">
        <v>556</v>
      </c>
      <c r="G479" s="5" t="n">
        <v>46288.1513888889</v>
      </c>
      <c r="H479" s="12"/>
      <c r="I479" s="12"/>
      <c r="N479" s="4" t="n">
        <v>1</v>
      </c>
      <c r="P479" s="12"/>
      <c r="Q479" s="4" t="n">
        <v>0</v>
      </c>
      <c r="R479" s="0" t="str">
        <f aca="false">INDEX(Owners!$B$4:$B$21,MATCH(D479,Owners!$A$4:$A$21,0))</f>
        <v>Data Platform</v>
      </c>
      <c r="S479" s="6" t="b">
        <f aca="false">AND(F479="closed",ISNUMBER(H479),H479&lt;=Controls!$B$4)</f>
        <v>0</v>
      </c>
      <c r="T479" s="6" t="b">
        <f aca="false">AND(ISNUMBER(I479),I479&lt;=Controls!$B$4,J479="rerun",K479=A479,L479=C479,M479=N479,O479=0,I479&gt;=G479,IF(ISNUMBER(P479),I479&gt;=P479,TRUE()))</f>
        <v>0</v>
      </c>
      <c r="U479" s="0" t="str">
        <f aca="false">IF(AND(S479,T479),"resolved",IF(S479,"claimed","open"))</f>
        <v>open</v>
      </c>
      <c r="V479" s="11" t="n">
        <f aca="false">ROUND((IF(U479="resolved",I479,IF(U479="claimed",H479,Controls!$B$4))-G479)*24,4)</f>
        <v>284.3667</v>
      </c>
      <c r="W479" s="6" t="b">
        <f aca="false">INDEX(Owners!$E$4:$E$21,MATCH(D479,Owners!$A$4:$A$21,0))</f>
        <v>1</v>
      </c>
    </row>
    <row r="480" customFormat="false" ht="15" hidden="false" customHeight="false" outlineLevel="0" collapsed="false">
      <c r="A480" s="4" t="s">
        <v>782</v>
      </c>
      <c r="B480" s="4" t="s">
        <v>125</v>
      </c>
      <c r="C480" s="4" t="s">
        <v>249</v>
      </c>
      <c r="D480" s="4" t="s">
        <v>334</v>
      </c>
      <c r="E480" s="4" t="s">
        <v>204</v>
      </c>
      <c r="F480" s="4" t="s">
        <v>562</v>
      </c>
      <c r="G480" s="5" t="n">
        <v>46288.1694444444</v>
      </c>
      <c r="H480" s="12"/>
      <c r="I480" s="12"/>
      <c r="N480" s="4" t="n">
        <v>1</v>
      </c>
      <c r="P480" s="12"/>
      <c r="Q480" s="4" t="n">
        <v>0</v>
      </c>
      <c r="R480" s="0" t="str">
        <f aca="false">INDEX(Owners!$B$4:$B$21,MATCH(D480,Owners!$A$4:$A$21,0))</f>
        <v>Supply Chain</v>
      </c>
      <c r="S480" s="6" t="b">
        <f aca="false">AND(F480="closed",ISNUMBER(H480),H480&lt;=Controls!$B$4)</f>
        <v>0</v>
      </c>
      <c r="T480" s="6" t="b">
        <f aca="false">AND(ISNUMBER(I480),I480&lt;=Controls!$B$4,J480="rerun",K480=A480,L480=C480,M480=N480,O480=0,I480&gt;=G480,IF(ISNUMBER(P480),I480&gt;=P480,TRUE()))</f>
        <v>0</v>
      </c>
      <c r="U480" s="0" t="str">
        <f aca="false">IF(AND(S480,T480),"resolved",IF(S480,"claimed","open"))</f>
        <v>open</v>
      </c>
      <c r="V480" s="11" t="n">
        <f aca="false">ROUND((IF(U480="resolved",I480,IF(U480="claimed",H480,Controls!$B$4))-G480)*24,4)</f>
        <v>283.9333</v>
      </c>
      <c r="W480" s="6" t="b">
        <f aca="false">INDEX(Owners!$E$4:$E$21,MATCH(D480,Owners!$A$4:$A$21,0))</f>
        <v>0</v>
      </c>
    </row>
    <row r="481" customFormat="false" ht="15" hidden="false" customHeight="false" outlineLevel="0" collapsed="false">
      <c r="A481" s="4" t="s">
        <v>783</v>
      </c>
      <c r="B481" s="4" t="s">
        <v>113</v>
      </c>
      <c r="C481" s="4" t="s">
        <v>232</v>
      </c>
      <c r="D481" s="4" t="s">
        <v>296</v>
      </c>
      <c r="E481" s="4" t="s">
        <v>202</v>
      </c>
      <c r="F481" s="4" t="s">
        <v>277</v>
      </c>
      <c r="G481" s="5" t="n">
        <v>46288.1826388889</v>
      </c>
      <c r="H481" s="5" t="n">
        <v>46296.3881944444</v>
      </c>
      <c r="I481" s="12"/>
      <c r="N481" s="4" t="n">
        <v>2</v>
      </c>
      <c r="P481" s="12"/>
      <c r="Q481" s="4" t="n">
        <v>0</v>
      </c>
      <c r="R481" s="0" t="str">
        <f aca="false">INDEX(Owners!$B$4:$B$21,MATCH(D481,Owners!$A$4:$A$21,0))</f>
        <v>Data Platform</v>
      </c>
      <c r="S481" s="6" t="b">
        <f aca="false">AND(F481="closed",ISNUMBER(H481),H481&lt;=Controls!$B$4)</f>
        <v>1</v>
      </c>
      <c r="T481" s="6" t="b">
        <f aca="false">AND(ISNUMBER(I481),I481&lt;=Controls!$B$4,J481="rerun",K481=A481,L481=C481,M481=N481,O481=0,I481&gt;=G481,IF(ISNUMBER(P481),I481&gt;=P481,TRUE()))</f>
        <v>0</v>
      </c>
      <c r="U481" s="0" t="str">
        <f aca="false">IF(AND(S481,T481),"resolved",IF(S481,"claimed","open"))</f>
        <v>claimed</v>
      </c>
      <c r="V481" s="11" t="n">
        <f aca="false">ROUND((IF(U481="resolved",I481,IF(U481="claimed",H481,Controls!$B$4))-G481)*24,4)</f>
        <v>196.9333</v>
      </c>
      <c r="W481" s="6" t="b">
        <f aca="false">INDEX(Owners!$E$4:$E$21,MATCH(D481,Owners!$A$4:$A$21,0))</f>
        <v>1</v>
      </c>
    </row>
    <row r="482" customFormat="false" ht="15" hidden="false" customHeight="false" outlineLevel="0" collapsed="false">
      <c r="A482" s="4" t="s">
        <v>784</v>
      </c>
      <c r="B482" s="4" t="s">
        <v>131</v>
      </c>
      <c r="C482" s="4" t="s">
        <v>257</v>
      </c>
      <c r="D482" s="4" t="s">
        <v>283</v>
      </c>
      <c r="E482" s="4" t="s">
        <v>202</v>
      </c>
      <c r="F482" s="4" t="s">
        <v>562</v>
      </c>
      <c r="G482" s="5" t="n">
        <v>46288.1923611111</v>
      </c>
      <c r="H482" s="12"/>
      <c r="I482" s="12"/>
      <c r="N482" s="4" t="n">
        <v>1</v>
      </c>
      <c r="P482" s="12"/>
      <c r="Q482" s="4" t="n">
        <v>0</v>
      </c>
      <c r="R482" s="0" t="str">
        <f aca="false">INDEX(Owners!$B$4:$B$21,MATCH(D482,Owners!$A$4:$A$21,0))</f>
        <v>Data Platform</v>
      </c>
      <c r="S482" s="6" t="b">
        <f aca="false">AND(F482="closed",ISNUMBER(H482),H482&lt;=Controls!$B$4)</f>
        <v>0</v>
      </c>
      <c r="T482" s="6" t="b">
        <f aca="false">AND(ISNUMBER(I482),I482&lt;=Controls!$B$4,J482="rerun",K482=A482,L482=C482,M482=N482,O482=0,I482&gt;=G482,IF(ISNUMBER(P482),I482&gt;=P482,TRUE()))</f>
        <v>0</v>
      </c>
      <c r="U482" s="0" t="str">
        <f aca="false">IF(AND(S482,T482),"resolved",IF(S482,"claimed","open"))</f>
        <v>open</v>
      </c>
      <c r="V482" s="11" t="n">
        <f aca="false">ROUND((IF(U482="resolved",I482,IF(U482="claimed",H482,Controls!$B$4))-G482)*24,4)</f>
        <v>283.3833</v>
      </c>
      <c r="W482" s="6" t="b">
        <f aca="false">INDEX(Owners!$E$4:$E$21,MATCH(D482,Owners!$A$4:$A$21,0))</f>
        <v>1</v>
      </c>
    </row>
    <row r="483" customFormat="false" ht="15" hidden="false" customHeight="false" outlineLevel="0" collapsed="false">
      <c r="A483" s="4" t="s">
        <v>785</v>
      </c>
      <c r="B483" s="4" t="s">
        <v>118</v>
      </c>
      <c r="C483" s="4" t="s">
        <v>242</v>
      </c>
      <c r="D483" s="4" t="s">
        <v>296</v>
      </c>
      <c r="E483" s="4" t="s">
        <v>202</v>
      </c>
      <c r="F483" s="4" t="s">
        <v>277</v>
      </c>
      <c r="G483" s="5" t="n">
        <v>46288.1965277778</v>
      </c>
      <c r="H483" s="5" t="n">
        <v>46288.9423611111</v>
      </c>
      <c r="I483" s="5" t="n">
        <v>46289.1326388889</v>
      </c>
      <c r="J483" s="4" t="s">
        <v>284</v>
      </c>
      <c r="K483" s="4" t="s">
        <v>785</v>
      </c>
      <c r="L483" s="4" t="s">
        <v>242</v>
      </c>
      <c r="M483" s="4" t="n">
        <v>1</v>
      </c>
      <c r="N483" s="4" t="n">
        <v>1</v>
      </c>
      <c r="O483" s="4" t="n">
        <v>0</v>
      </c>
      <c r="P483" s="12"/>
      <c r="Q483" s="4" t="n">
        <v>0</v>
      </c>
      <c r="R483" s="0" t="str">
        <f aca="false">INDEX(Owners!$B$4:$B$21,MATCH(D483,Owners!$A$4:$A$21,0))</f>
        <v>Data Platform</v>
      </c>
      <c r="S483" s="6" t="b">
        <f aca="false">AND(F483="closed",ISNUMBER(H483),H483&lt;=Controls!$B$4)</f>
        <v>1</v>
      </c>
      <c r="T483" s="6" t="b">
        <f aca="false">AND(ISNUMBER(I483),I483&lt;=Controls!$B$4,J483="rerun",K483=A483,L483=C483,M483=N483,O483=0,I483&gt;=G483,IF(ISNUMBER(P483),I483&gt;=P483,TRUE()))</f>
        <v>1</v>
      </c>
      <c r="U483" s="0" t="str">
        <f aca="false">IF(AND(S483,T483),"resolved",IF(S483,"claimed","open"))</f>
        <v>resolved</v>
      </c>
      <c r="V483" s="11" t="n">
        <f aca="false">ROUND((IF(U483="resolved",I483,IF(U483="claimed",H483,Controls!$B$4))-G483)*24,4)</f>
        <v>22.4667</v>
      </c>
      <c r="W483" s="6" t="b">
        <f aca="false">INDEX(Owners!$E$4:$E$21,MATCH(D483,Owners!$A$4:$A$21,0))</f>
        <v>1</v>
      </c>
    </row>
    <row r="484" customFormat="false" ht="15" hidden="false" customHeight="false" outlineLevel="0" collapsed="false">
      <c r="A484" s="4" t="s">
        <v>786</v>
      </c>
      <c r="B484" s="4" t="s">
        <v>96</v>
      </c>
      <c r="C484" s="4" t="s">
        <v>206</v>
      </c>
      <c r="D484" s="4" t="s">
        <v>330</v>
      </c>
      <c r="E484" s="4" t="s">
        <v>202</v>
      </c>
      <c r="F484" s="4" t="s">
        <v>277</v>
      </c>
      <c r="G484" s="5" t="n">
        <v>46288.2194444445</v>
      </c>
      <c r="H484" s="5" t="n">
        <v>46290.5777777778</v>
      </c>
      <c r="I484" s="5" t="n">
        <v>46291.1423611111</v>
      </c>
      <c r="J484" s="4" t="s">
        <v>284</v>
      </c>
      <c r="K484" s="4" t="s">
        <v>786</v>
      </c>
      <c r="L484" s="4" t="s">
        <v>206</v>
      </c>
      <c r="M484" s="4" t="n">
        <v>2</v>
      </c>
      <c r="N484" s="4" t="n">
        <v>2</v>
      </c>
      <c r="O484" s="4" t="n">
        <v>0</v>
      </c>
      <c r="P484" s="12"/>
      <c r="Q484" s="4" t="n">
        <v>0</v>
      </c>
      <c r="R484" s="0" t="str">
        <f aca="false">INDEX(Owners!$B$4:$B$21,MATCH(D484,Owners!$A$4:$A$21,0))</f>
        <v>Supply Chain</v>
      </c>
      <c r="S484" s="6" t="b">
        <f aca="false">AND(F484="closed",ISNUMBER(H484),H484&lt;=Controls!$B$4)</f>
        <v>1</v>
      </c>
      <c r="T484" s="6" t="b">
        <f aca="false">AND(ISNUMBER(I484),I484&lt;=Controls!$B$4,J484="rerun",K484=A484,L484=C484,M484=N484,O484=0,I484&gt;=G484,IF(ISNUMBER(P484),I484&gt;=P484,TRUE()))</f>
        <v>1</v>
      </c>
      <c r="U484" s="0" t="str">
        <f aca="false">IF(AND(S484,T484),"resolved",IF(S484,"claimed","open"))</f>
        <v>resolved</v>
      </c>
      <c r="V484" s="11" t="n">
        <f aca="false">ROUND((IF(U484="resolved",I484,IF(U484="claimed",H484,Controls!$B$4))-G484)*24,4)</f>
        <v>70.15</v>
      </c>
      <c r="W484" s="6" t="b">
        <f aca="false">INDEX(Owners!$E$4:$E$21,MATCH(D484,Owners!$A$4:$A$21,0))</f>
        <v>1</v>
      </c>
    </row>
    <row r="485" customFormat="false" ht="15" hidden="false" customHeight="false" outlineLevel="0" collapsed="false">
      <c r="A485" s="4" t="s">
        <v>787</v>
      </c>
      <c r="B485" s="4" t="s">
        <v>117</v>
      </c>
      <c r="C485" s="4" t="s">
        <v>241</v>
      </c>
      <c r="D485" s="4" t="s">
        <v>288</v>
      </c>
      <c r="E485" s="4" t="s">
        <v>202</v>
      </c>
      <c r="F485" s="4" t="s">
        <v>277</v>
      </c>
      <c r="G485" s="5" t="n">
        <v>46288.2368055556</v>
      </c>
      <c r="H485" s="5" t="n">
        <v>46293.0993055556</v>
      </c>
      <c r="I485" s="5" t="n">
        <v>46293.5104166667</v>
      </c>
      <c r="J485" s="4" t="s">
        <v>284</v>
      </c>
      <c r="K485" s="4" t="s">
        <v>787</v>
      </c>
      <c r="L485" s="4" t="s">
        <v>241</v>
      </c>
      <c r="M485" s="4" t="n">
        <v>1</v>
      </c>
      <c r="N485" s="4" t="n">
        <v>1</v>
      </c>
      <c r="O485" s="4" t="n">
        <v>0</v>
      </c>
      <c r="P485" s="12"/>
      <c r="Q485" s="4" t="n">
        <v>0</v>
      </c>
      <c r="R485" s="0" t="str">
        <f aca="false">INDEX(Owners!$B$4:$B$21,MATCH(D485,Owners!$A$4:$A$21,0))</f>
        <v>Support Operations</v>
      </c>
      <c r="S485" s="6" t="b">
        <f aca="false">AND(F485="closed",ISNUMBER(H485),H485&lt;=Controls!$B$4)</f>
        <v>1</v>
      </c>
      <c r="T485" s="6" t="b">
        <f aca="false">AND(ISNUMBER(I485),I485&lt;=Controls!$B$4,J485="rerun",K485=A485,L485=C485,M485=N485,O485=0,I485&gt;=G485,IF(ISNUMBER(P485),I485&gt;=P485,TRUE()))</f>
        <v>1</v>
      </c>
      <c r="U485" s="0" t="str">
        <f aca="false">IF(AND(S485,T485),"resolved",IF(S485,"claimed","open"))</f>
        <v>resolved</v>
      </c>
      <c r="V485" s="11" t="n">
        <f aca="false">ROUND((IF(U485="resolved",I485,IF(U485="claimed",H485,Controls!$B$4))-G485)*24,4)</f>
        <v>126.5667</v>
      </c>
      <c r="W485" s="6" t="b">
        <f aca="false">INDEX(Owners!$E$4:$E$21,MATCH(D485,Owners!$A$4:$A$21,0))</f>
        <v>1</v>
      </c>
    </row>
    <row r="486" customFormat="false" ht="15" hidden="false" customHeight="false" outlineLevel="0" collapsed="false">
      <c r="A486" s="4" t="s">
        <v>788</v>
      </c>
      <c r="B486" s="4" t="s">
        <v>120</v>
      </c>
      <c r="C486" s="4" t="s">
        <v>244</v>
      </c>
      <c r="D486" s="4" t="s">
        <v>326</v>
      </c>
      <c r="E486" s="4" t="s">
        <v>204</v>
      </c>
      <c r="F486" s="4" t="s">
        <v>556</v>
      </c>
      <c r="G486" s="5" t="n">
        <v>46288.2375</v>
      </c>
      <c r="H486" s="12"/>
      <c r="I486" s="12"/>
      <c r="N486" s="4" t="n">
        <v>2</v>
      </c>
      <c r="P486" s="12"/>
      <c r="Q486" s="4" t="n">
        <v>0</v>
      </c>
      <c r="R486" s="0" t="str">
        <f aca="false">INDEX(Owners!$B$4:$B$21,MATCH(D486,Owners!$A$4:$A$21,0))</f>
        <v>Customer Data</v>
      </c>
      <c r="S486" s="6" t="b">
        <f aca="false">AND(F486="closed",ISNUMBER(H486),H486&lt;=Controls!$B$4)</f>
        <v>0</v>
      </c>
      <c r="T486" s="6" t="b">
        <f aca="false">AND(ISNUMBER(I486),I486&lt;=Controls!$B$4,J486="rerun",K486=A486,L486=C486,M486=N486,O486=0,I486&gt;=G486,IF(ISNUMBER(P486),I486&gt;=P486,TRUE()))</f>
        <v>0</v>
      </c>
      <c r="U486" s="0" t="str">
        <f aca="false">IF(AND(S486,T486),"resolved",IF(S486,"claimed","open"))</f>
        <v>open</v>
      </c>
      <c r="V486" s="11" t="n">
        <f aca="false">ROUND((IF(U486="resolved",I486,IF(U486="claimed",H486,Controls!$B$4))-G486)*24,4)</f>
        <v>282.3</v>
      </c>
      <c r="W486" s="6" t="b">
        <f aca="false">INDEX(Owners!$E$4:$E$21,MATCH(D486,Owners!$A$4:$A$21,0))</f>
        <v>0</v>
      </c>
    </row>
    <row r="487" customFormat="false" ht="15" hidden="false" customHeight="false" outlineLevel="0" collapsed="false">
      <c r="A487" s="4" t="s">
        <v>789</v>
      </c>
      <c r="B487" s="4" t="s">
        <v>102</v>
      </c>
      <c r="C487" s="4" t="s">
        <v>217</v>
      </c>
      <c r="D487" s="4" t="s">
        <v>290</v>
      </c>
      <c r="E487" s="4" t="s">
        <v>204</v>
      </c>
      <c r="F487" s="4" t="s">
        <v>556</v>
      </c>
      <c r="G487" s="5" t="n">
        <v>46289.0923611111</v>
      </c>
      <c r="H487" s="12"/>
      <c r="I487" s="12"/>
      <c r="N487" s="4" t="n">
        <v>1</v>
      </c>
      <c r="P487" s="12"/>
      <c r="Q487" s="4" t="n">
        <v>0</v>
      </c>
      <c r="R487" s="0" t="str">
        <f aca="false">INDEX(Owners!$B$4:$B$21,MATCH(D487,Owners!$A$4:$A$21,0))</f>
        <v>Customer Data</v>
      </c>
      <c r="S487" s="6" t="b">
        <f aca="false">AND(F487="closed",ISNUMBER(H487),H487&lt;=Controls!$B$4)</f>
        <v>0</v>
      </c>
      <c r="T487" s="6" t="b">
        <f aca="false">AND(ISNUMBER(I487),I487&lt;=Controls!$B$4,J487="rerun",K487=A487,L487=C487,M487=N487,O487=0,I487&gt;=G487,IF(ISNUMBER(P487),I487&gt;=P487,TRUE()))</f>
        <v>0</v>
      </c>
      <c r="U487" s="0" t="str">
        <f aca="false">IF(AND(S487,T487),"resolved",IF(S487,"claimed","open"))</f>
        <v>open</v>
      </c>
      <c r="V487" s="11" t="n">
        <f aca="false">ROUND((IF(U487="resolved",I487,IF(U487="claimed",H487,Controls!$B$4))-G487)*24,4)</f>
        <v>261.7833</v>
      </c>
      <c r="W487" s="6" t="b">
        <f aca="false">INDEX(Owners!$E$4:$E$21,MATCH(D487,Owners!$A$4:$A$21,0))</f>
        <v>1</v>
      </c>
    </row>
    <row r="488" customFormat="false" ht="15" hidden="false" customHeight="false" outlineLevel="0" collapsed="false">
      <c r="A488" s="4" t="s">
        <v>790</v>
      </c>
      <c r="B488" s="4" t="s">
        <v>95</v>
      </c>
      <c r="C488" s="4" t="s">
        <v>205</v>
      </c>
      <c r="D488" s="4" t="s">
        <v>283</v>
      </c>
      <c r="E488" s="4" t="s">
        <v>204</v>
      </c>
      <c r="F488" s="4" t="s">
        <v>277</v>
      </c>
      <c r="G488" s="5" t="n">
        <v>46289.1069444444</v>
      </c>
      <c r="H488" s="5" t="n">
        <v>46289.9270833333</v>
      </c>
      <c r="I488" s="5" t="n">
        <v>46290.0777777778</v>
      </c>
      <c r="J488" s="4" t="s">
        <v>284</v>
      </c>
      <c r="K488" s="4" t="s">
        <v>790</v>
      </c>
      <c r="L488" s="4" t="s">
        <v>205</v>
      </c>
      <c r="M488" s="4" t="n">
        <v>1</v>
      </c>
      <c r="N488" s="4" t="n">
        <v>1</v>
      </c>
      <c r="O488" s="4" t="n">
        <v>0</v>
      </c>
      <c r="P488" s="12"/>
      <c r="Q488" s="4" t="n">
        <v>0</v>
      </c>
      <c r="R488" s="0" t="str">
        <f aca="false">INDEX(Owners!$B$4:$B$21,MATCH(D488,Owners!$A$4:$A$21,0))</f>
        <v>Data Platform</v>
      </c>
      <c r="S488" s="6" t="b">
        <f aca="false">AND(F488="closed",ISNUMBER(H488),H488&lt;=Controls!$B$4)</f>
        <v>1</v>
      </c>
      <c r="T488" s="6" t="b">
        <f aca="false">AND(ISNUMBER(I488),I488&lt;=Controls!$B$4,J488="rerun",K488=A488,L488=C488,M488=N488,O488=0,I488&gt;=G488,IF(ISNUMBER(P488),I488&gt;=P488,TRUE()))</f>
        <v>1</v>
      </c>
      <c r="U488" s="0" t="str">
        <f aca="false">IF(AND(S488,T488),"resolved",IF(S488,"claimed","open"))</f>
        <v>resolved</v>
      </c>
      <c r="V488" s="11" t="n">
        <f aca="false">ROUND((IF(U488="resolved",I488,IF(U488="claimed",H488,Controls!$B$4))-G488)*24,4)</f>
        <v>23.3</v>
      </c>
      <c r="W488" s="6" t="b">
        <f aca="false">INDEX(Owners!$E$4:$E$21,MATCH(D488,Owners!$A$4:$A$21,0))</f>
        <v>1</v>
      </c>
    </row>
    <row r="489" customFormat="false" ht="15" hidden="false" customHeight="false" outlineLevel="0" collapsed="false">
      <c r="A489" s="4" t="s">
        <v>791</v>
      </c>
      <c r="B489" s="4" t="s">
        <v>108</v>
      </c>
      <c r="C489" s="4" t="s">
        <v>225</v>
      </c>
      <c r="D489" s="4" t="s">
        <v>330</v>
      </c>
      <c r="E489" s="4" t="s">
        <v>204</v>
      </c>
      <c r="F489" s="4" t="s">
        <v>277</v>
      </c>
      <c r="G489" s="5" t="n">
        <v>46289.1159722222</v>
      </c>
      <c r="H489" s="5" t="n">
        <v>46291.275</v>
      </c>
      <c r="I489" s="5" t="n">
        <v>46291.7375</v>
      </c>
      <c r="J489" s="4" t="s">
        <v>284</v>
      </c>
      <c r="K489" s="4" t="s">
        <v>791</v>
      </c>
      <c r="L489" s="4" t="s">
        <v>225</v>
      </c>
      <c r="M489" s="4" t="n">
        <v>1</v>
      </c>
      <c r="N489" s="4" t="n">
        <v>1</v>
      </c>
      <c r="O489" s="4" t="n">
        <v>0</v>
      </c>
      <c r="P489" s="12"/>
      <c r="Q489" s="4" t="n">
        <v>0</v>
      </c>
      <c r="R489" s="0" t="str">
        <f aca="false">INDEX(Owners!$B$4:$B$21,MATCH(D489,Owners!$A$4:$A$21,0))</f>
        <v>Supply Chain</v>
      </c>
      <c r="S489" s="6" t="b">
        <f aca="false">AND(F489="closed",ISNUMBER(H489),H489&lt;=Controls!$B$4)</f>
        <v>1</v>
      </c>
      <c r="T489" s="6" t="b">
        <f aca="false">AND(ISNUMBER(I489),I489&lt;=Controls!$B$4,J489="rerun",K489=A489,L489=C489,M489=N489,O489=0,I489&gt;=G489,IF(ISNUMBER(P489),I489&gt;=P489,TRUE()))</f>
        <v>1</v>
      </c>
      <c r="U489" s="0" t="str">
        <f aca="false">IF(AND(S489,T489),"resolved",IF(S489,"claimed","open"))</f>
        <v>resolved</v>
      </c>
      <c r="V489" s="11" t="n">
        <f aca="false">ROUND((IF(U489="resolved",I489,IF(U489="claimed",H489,Controls!$B$4))-G489)*24,4)</f>
        <v>62.9167</v>
      </c>
      <c r="W489" s="6" t="b">
        <f aca="false">INDEX(Owners!$E$4:$E$21,MATCH(D489,Owners!$A$4:$A$21,0))</f>
        <v>1</v>
      </c>
    </row>
    <row r="490" customFormat="false" ht="15" hidden="false" customHeight="false" outlineLevel="0" collapsed="false">
      <c r="A490" s="4" t="s">
        <v>792</v>
      </c>
      <c r="B490" s="4" t="s">
        <v>97</v>
      </c>
      <c r="C490" s="4" t="s">
        <v>208</v>
      </c>
      <c r="D490" s="4" t="s">
        <v>286</v>
      </c>
      <c r="E490" s="4" t="s">
        <v>202</v>
      </c>
      <c r="F490" s="4" t="s">
        <v>556</v>
      </c>
      <c r="G490" s="5" t="n">
        <v>46289.1194444444</v>
      </c>
      <c r="H490" s="12"/>
      <c r="I490" s="12"/>
      <c r="N490" s="4" t="n">
        <v>2</v>
      </c>
      <c r="P490" s="12"/>
      <c r="Q490" s="4" t="n">
        <v>0</v>
      </c>
      <c r="R490" s="0" t="str">
        <f aca="false">INDEX(Owners!$B$4:$B$21,MATCH(D490,Owners!$A$4:$A$21,0))</f>
        <v>Finance Systems</v>
      </c>
      <c r="S490" s="6" t="b">
        <f aca="false">AND(F490="closed",ISNUMBER(H490),H490&lt;=Controls!$B$4)</f>
        <v>0</v>
      </c>
      <c r="T490" s="6" t="b">
        <f aca="false">AND(ISNUMBER(I490),I490&lt;=Controls!$B$4,J490="rerun",K490=A490,L490=C490,M490=N490,O490=0,I490&gt;=G490,IF(ISNUMBER(P490),I490&gt;=P490,TRUE()))</f>
        <v>0</v>
      </c>
      <c r="U490" s="0" t="str">
        <f aca="false">IF(AND(S490,T490),"resolved",IF(S490,"claimed","open"))</f>
        <v>open</v>
      </c>
      <c r="V490" s="11" t="n">
        <f aca="false">ROUND((IF(U490="resolved",I490,IF(U490="claimed",H490,Controls!$B$4))-G490)*24,4)</f>
        <v>261.1333</v>
      </c>
      <c r="W490" s="6" t="b">
        <f aca="false">INDEX(Owners!$E$4:$E$21,MATCH(D490,Owners!$A$4:$A$21,0))</f>
        <v>0</v>
      </c>
    </row>
    <row r="491" customFormat="false" ht="15" hidden="false" customHeight="false" outlineLevel="0" collapsed="false">
      <c r="A491" s="4" t="s">
        <v>793</v>
      </c>
      <c r="B491" s="4" t="s">
        <v>119</v>
      </c>
      <c r="C491" s="4" t="s">
        <v>243</v>
      </c>
      <c r="D491" s="4" t="s">
        <v>292</v>
      </c>
      <c r="E491" s="4" t="s">
        <v>202</v>
      </c>
      <c r="F491" s="4" t="s">
        <v>277</v>
      </c>
      <c r="G491" s="5" t="n">
        <v>46289.1604166667</v>
      </c>
      <c r="H491" s="5" t="n">
        <v>46290.5784722222</v>
      </c>
      <c r="I491" s="5" t="n">
        <v>46291.1597222222</v>
      </c>
      <c r="J491" s="4" t="s">
        <v>284</v>
      </c>
      <c r="K491" s="4" t="s">
        <v>793</v>
      </c>
      <c r="L491" s="4" t="s">
        <v>243</v>
      </c>
      <c r="M491" s="4" t="n">
        <v>1</v>
      </c>
      <c r="N491" s="4" t="n">
        <v>1</v>
      </c>
      <c r="O491" s="4" t="n">
        <v>0</v>
      </c>
      <c r="P491" s="12"/>
      <c r="Q491" s="4" t="n">
        <v>0</v>
      </c>
      <c r="R491" s="0" t="str">
        <f aca="false">INDEX(Owners!$B$4:$B$21,MATCH(D491,Owners!$A$4:$A$21,0))</f>
        <v>Support Operations</v>
      </c>
      <c r="S491" s="6" t="b">
        <f aca="false">AND(F491="closed",ISNUMBER(H491),H491&lt;=Controls!$B$4)</f>
        <v>1</v>
      </c>
      <c r="T491" s="6" t="b">
        <f aca="false">AND(ISNUMBER(I491),I491&lt;=Controls!$B$4,J491="rerun",K491=A491,L491=C491,M491=N491,O491=0,I491&gt;=G491,IF(ISNUMBER(P491),I491&gt;=P491,TRUE()))</f>
        <v>1</v>
      </c>
      <c r="U491" s="0" t="str">
        <f aca="false">IF(AND(S491,T491),"resolved",IF(S491,"claimed","open"))</f>
        <v>resolved</v>
      </c>
      <c r="V491" s="11" t="n">
        <f aca="false">ROUND((IF(U491="resolved",I491,IF(U491="claimed",H491,Controls!$B$4))-G491)*24,4)</f>
        <v>47.9833</v>
      </c>
      <c r="W491" s="6" t="b">
        <f aca="false">INDEX(Owners!$E$4:$E$21,MATCH(D491,Owners!$A$4:$A$21,0))</f>
        <v>1</v>
      </c>
    </row>
    <row r="492" customFormat="false" ht="15" hidden="false" customHeight="false" outlineLevel="0" collapsed="false">
      <c r="A492" s="4" t="s">
        <v>794</v>
      </c>
      <c r="B492" s="4" t="s">
        <v>125</v>
      </c>
      <c r="C492" s="4" t="s">
        <v>249</v>
      </c>
      <c r="D492" s="4" t="s">
        <v>334</v>
      </c>
      <c r="E492" s="4" t="s">
        <v>204</v>
      </c>
      <c r="F492" s="4" t="s">
        <v>556</v>
      </c>
      <c r="G492" s="5" t="n">
        <v>46289.1694444444</v>
      </c>
      <c r="H492" s="12"/>
      <c r="I492" s="12"/>
      <c r="N492" s="4" t="n">
        <v>1</v>
      </c>
      <c r="P492" s="12"/>
      <c r="Q492" s="4" t="n">
        <v>0</v>
      </c>
      <c r="R492" s="0" t="str">
        <f aca="false">INDEX(Owners!$B$4:$B$21,MATCH(D492,Owners!$A$4:$A$21,0))</f>
        <v>Supply Chain</v>
      </c>
      <c r="S492" s="6" t="b">
        <f aca="false">AND(F492="closed",ISNUMBER(H492),H492&lt;=Controls!$B$4)</f>
        <v>0</v>
      </c>
      <c r="T492" s="6" t="b">
        <f aca="false">AND(ISNUMBER(I492),I492&lt;=Controls!$B$4,J492="rerun",K492=A492,L492=C492,M492=N492,O492=0,I492&gt;=G492,IF(ISNUMBER(P492),I492&gt;=P492,TRUE()))</f>
        <v>0</v>
      </c>
      <c r="U492" s="0" t="str">
        <f aca="false">IF(AND(S492,T492),"resolved",IF(S492,"claimed","open"))</f>
        <v>open</v>
      </c>
      <c r="V492" s="11" t="n">
        <f aca="false">ROUND((IF(U492="resolved",I492,IF(U492="claimed",H492,Controls!$B$4))-G492)*24,4)</f>
        <v>259.9333</v>
      </c>
      <c r="W492" s="6" t="b">
        <f aca="false">INDEX(Owners!$E$4:$E$21,MATCH(D492,Owners!$A$4:$A$21,0))</f>
        <v>0</v>
      </c>
    </row>
    <row r="493" customFormat="false" ht="15" hidden="false" customHeight="false" outlineLevel="0" collapsed="false">
      <c r="A493" s="4" t="s">
        <v>795</v>
      </c>
      <c r="B493" s="4" t="s">
        <v>130</v>
      </c>
      <c r="C493" s="4" t="s">
        <v>256</v>
      </c>
      <c r="D493" s="4" t="s">
        <v>553</v>
      </c>
      <c r="E493" s="4" t="s">
        <v>202</v>
      </c>
      <c r="F493" s="4" t="s">
        <v>556</v>
      </c>
      <c r="G493" s="5" t="n">
        <v>46289.1833333333</v>
      </c>
      <c r="H493" s="12"/>
      <c r="I493" s="12"/>
      <c r="N493" s="4" t="n">
        <v>2</v>
      </c>
      <c r="P493" s="12"/>
      <c r="Q493" s="4" t="n">
        <v>0</v>
      </c>
      <c r="R493" s="0" t="str">
        <f aca="false">INDEX(Owners!$B$4:$B$21,MATCH(D493,Owners!$A$4:$A$21,0))</f>
        <v>Data Governance</v>
      </c>
      <c r="S493" s="6" t="b">
        <f aca="false">AND(F493="closed",ISNUMBER(H493),H493&lt;=Controls!$B$4)</f>
        <v>0</v>
      </c>
      <c r="T493" s="6" t="b">
        <f aca="false">AND(ISNUMBER(I493),I493&lt;=Controls!$B$4,J493="rerun",K493=A493,L493=C493,M493=N493,O493=0,I493&gt;=G493,IF(ISNUMBER(P493),I493&gt;=P493,TRUE()))</f>
        <v>0</v>
      </c>
      <c r="U493" s="0" t="str">
        <f aca="false">IF(AND(S493,T493),"resolved",IF(S493,"claimed","open"))</f>
        <v>open</v>
      </c>
      <c r="V493" s="11" t="n">
        <f aca="false">ROUND((IF(U493="resolved",I493,IF(U493="claimed",H493,Controls!$B$4))-G493)*24,4)</f>
        <v>259.6</v>
      </c>
      <c r="W493" s="6" t="b">
        <f aca="false">INDEX(Owners!$E$4:$E$21,MATCH(D493,Owners!$A$4:$A$21,0))</f>
        <v>1</v>
      </c>
    </row>
    <row r="494" customFormat="false" ht="15" hidden="false" customHeight="false" outlineLevel="0" collapsed="false">
      <c r="A494" s="4" t="s">
        <v>796</v>
      </c>
      <c r="B494" s="4" t="s">
        <v>131</v>
      </c>
      <c r="C494" s="4" t="s">
        <v>257</v>
      </c>
      <c r="D494" s="4" t="s">
        <v>283</v>
      </c>
      <c r="E494" s="4" t="s">
        <v>202</v>
      </c>
      <c r="F494" s="4" t="s">
        <v>277</v>
      </c>
      <c r="G494" s="5" t="n">
        <v>46289.1923611111</v>
      </c>
      <c r="H494" s="5" t="n">
        <v>46289.5465277778</v>
      </c>
      <c r="I494" s="5" t="n">
        <v>46289.7138888889</v>
      </c>
      <c r="J494" s="4" t="s">
        <v>284</v>
      </c>
      <c r="K494" s="4" t="s">
        <v>796</v>
      </c>
      <c r="L494" s="4" t="s">
        <v>257</v>
      </c>
      <c r="M494" s="4" t="n">
        <v>1</v>
      </c>
      <c r="N494" s="4" t="n">
        <v>1</v>
      </c>
      <c r="O494" s="4" t="n">
        <v>0</v>
      </c>
      <c r="P494" s="12"/>
      <c r="Q494" s="4" t="n">
        <v>0</v>
      </c>
      <c r="R494" s="0" t="str">
        <f aca="false">INDEX(Owners!$B$4:$B$21,MATCH(D494,Owners!$A$4:$A$21,0))</f>
        <v>Data Platform</v>
      </c>
      <c r="S494" s="6" t="b">
        <f aca="false">AND(F494="closed",ISNUMBER(H494),H494&lt;=Controls!$B$4)</f>
        <v>1</v>
      </c>
      <c r="T494" s="6" t="b">
        <f aca="false">AND(ISNUMBER(I494),I494&lt;=Controls!$B$4,J494="rerun",K494=A494,L494=C494,M494=N494,O494=0,I494&gt;=G494,IF(ISNUMBER(P494),I494&gt;=P494,TRUE()))</f>
        <v>1</v>
      </c>
      <c r="U494" s="0" t="str">
        <f aca="false">IF(AND(S494,T494),"resolved",IF(S494,"claimed","open"))</f>
        <v>resolved</v>
      </c>
      <c r="V494" s="11" t="n">
        <f aca="false">ROUND((IF(U494="resolved",I494,IF(U494="claimed",H494,Controls!$B$4))-G494)*24,4)</f>
        <v>12.5167</v>
      </c>
      <c r="W494" s="6" t="b">
        <f aca="false">INDEX(Owners!$E$4:$E$21,MATCH(D494,Owners!$A$4:$A$21,0))</f>
        <v>1</v>
      </c>
    </row>
    <row r="495" customFormat="false" ht="15" hidden="false" customHeight="false" outlineLevel="0" collapsed="false">
      <c r="A495" s="4" t="s">
        <v>797</v>
      </c>
      <c r="B495" s="4" t="s">
        <v>110</v>
      </c>
      <c r="C495" s="4" t="s">
        <v>228</v>
      </c>
      <c r="D495" s="4" t="s">
        <v>286</v>
      </c>
      <c r="E495" s="4" t="s">
        <v>202</v>
      </c>
      <c r="F495" s="4" t="s">
        <v>562</v>
      </c>
      <c r="G495" s="5" t="n">
        <v>46289.2145833333</v>
      </c>
      <c r="H495" s="12"/>
      <c r="I495" s="12"/>
      <c r="N495" s="4" t="n">
        <v>2</v>
      </c>
      <c r="P495" s="12"/>
      <c r="Q495" s="4" t="n">
        <v>0</v>
      </c>
      <c r="R495" s="0" t="str">
        <f aca="false">INDEX(Owners!$B$4:$B$21,MATCH(D495,Owners!$A$4:$A$21,0))</f>
        <v>Finance Systems</v>
      </c>
      <c r="S495" s="6" t="b">
        <f aca="false">AND(F495="closed",ISNUMBER(H495),H495&lt;=Controls!$B$4)</f>
        <v>0</v>
      </c>
      <c r="T495" s="6" t="b">
        <f aca="false">AND(ISNUMBER(I495),I495&lt;=Controls!$B$4,J495="rerun",K495=A495,L495=C495,M495=N495,O495=0,I495&gt;=G495,IF(ISNUMBER(P495),I495&gt;=P495,TRUE()))</f>
        <v>0</v>
      </c>
      <c r="U495" s="0" t="str">
        <f aca="false">IF(AND(S495,T495),"resolved",IF(S495,"claimed","open"))</f>
        <v>open</v>
      </c>
      <c r="V495" s="11" t="n">
        <f aca="false">ROUND((IF(U495="resolved",I495,IF(U495="claimed",H495,Controls!$B$4))-G495)*24,4)</f>
        <v>258.85</v>
      </c>
      <c r="W495" s="6" t="b">
        <f aca="false">INDEX(Owners!$E$4:$E$21,MATCH(D495,Owners!$A$4:$A$21,0))</f>
        <v>0</v>
      </c>
    </row>
    <row r="496" customFormat="false" ht="15" hidden="false" customHeight="false" outlineLevel="0" collapsed="false">
      <c r="A496" s="4" t="s">
        <v>798</v>
      </c>
      <c r="B496" s="4" t="s">
        <v>96</v>
      </c>
      <c r="C496" s="4" t="s">
        <v>206</v>
      </c>
      <c r="D496" s="4" t="s">
        <v>330</v>
      </c>
      <c r="E496" s="4" t="s">
        <v>202</v>
      </c>
      <c r="F496" s="4" t="s">
        <v>277</v>
      </c>
      <c r="G496" s="5" t="n">
        <v>46289.2194444445</v>
      </c>
      <c r="H496" s="5" t="n">
        <v>46291.75</v>
      </c>
      <c r="I496" s="12"/>
      <c r="N496" s="4" t="n">
        <v>2</v>
      </c>
      <c r="P496" s="12"/>
      <c r="Q496" s="4" t="n">
        <v>0</v>
      </c>
      <c r="R496" s="0" t="str">
        <f aca="false">INDEX(Owners!$B$4:$B$21,MATCH(D496,Owners!$A$4:$A$21,0))</f>
        <v>Supply Chain</v>
      </c>
      <c r="S496" s="6" t="b">
        <f aca="false">AND(F496="closed",ISNUMBER(H496),H496&lt;=Controls!$B$4)</f>
        <v>1</v>
      </c>
      <c r="T496" s="6" t="b">
        <f aca="false">AND(ISNUMBER(I496),I496&lt;=Controls!$B$4,J496="rerun",K496=A496,L496=C496,M496=N496,O496=0,I496&gt;=G496,IF(ISNUMBER(P496),I496&gt;=P496,TRUE()))</f>
        <v>0</v>
      </c>
      <c r="U496" s="0" t="str">
        <f aca="false">IF(AND(S496,T496),"resolved",IF(S496,"claimed","open"))</f>
        <v>claimed</v>
      </c>
      <c r="V496" s="11" t="n">
        <f aca="false">ROUND((IF(U496="resolved",I496,IF(U496="claimed",H496,Controls!$B$4))-G496)*24,4)</f>
        <v>60.7333</v>
      </c>
      <c r="W496" s="6" t="b">
        <f aca="false">INDEX(Owners!$E$4:$E$21,MATCH(D496,Owners!$A$4:$A$21,0))</f>
        <v>1</v>
      </c>
    </row>
    <row r="497" customFormat="false" ht="15" hidden="false" customHeight="false" outlineLevel="0" collapsed="false">
      <c r="A497" s="4" t="s">
        <v>799</v>
      </c>
      <c r="B497" s="4" t="s">
        <v>112</v>
      </c>
      <c r="C497" s="4" t="s">
        <v>231</v>
      </c>
      <c r="D497" s="4" t="s">
        <v>320</v>
      </c>
      <c r="E497" s="4" t="s">
        <v>210</v>
      </c>
      <c r="F497" s="4" t="s">
        <v>562</v>
      </c>
      <c r="G497" s="5" t="n">
        <v>46289.2277777778</v>
      </c>
      <c r="H497" s="5" t="n">
        <v>46291.2340277778</v>
      </c>
      <c r="I497" s="5" t="n">
        <v>46291.5604166667</v>
      </c>
      <c r="J497" s="4" t="s">
        <v>284</v>
      </c>
      <c r="K497" s="4" t="s">
        <v>799</v>
      </c>
      <c r="L497" s="4" t="s">
        <v>231</v>
      </c>
      <c r="M497" s="4" t="n">
        <v>1</v>
      </c>
      <c r="N497" s="4" t="n">
        <v>1</v>
      </c>
      <c r="O497" s="4" t="n">
        <v>0</v>
      </c>
      <c r="P497" s="5" t="n">
        <v>46294.2979166667</v>
      </c>
      <c r="Q497" s="4" t="n">
        <v>1</v>
      </c>
      <c r="R497" s="0" t="str">
        <f aca="false">INDEX(Owners!$B$4:$B$21,MATCH(D497,Owners!$A$4:$A$21,0))</f>
        <v>Data Governance</v>
      </c>
      <c r="S497" s="6" t="b">
        <f aca="false">AND(F497="closed",ISNUMBER(H497),H497&lt;=Controls!$B$4)</f>
        <v>0</v>
      </c>
      <c r="T497" s="6" t="b">
        <f aca="false">AND(ISNUMBER(I497),I497&lt;=Controls!$B$4,J497="rerun",K497=A497,L497=C497,M497=N497,O497=0,I497&gt;=G497,IF(ISNUMBER(P497),I497&gt;=P497,TRUE()))</f>
        <v>0</v>
      </c>
      <c r="U497" s="0" t="str">
        <f aca="false">IF(AND(S497,T497),"resolved",IF(S497,"claimed","open"))</f>
        <v>open</v>
      </c>
      <c r="V497" s="11" t="n">
        <f aca="false">ROUND((IF(U497="resolved",I497,IF(U497="claimed",H497,Controls!$B$4))-G497)*24,4)</f>
        <v>258.5333</v>
      </c>
      <c r="W497" s="6" t="b">
        <f aca="false">INDEX(Owners!$E$4:$E$21,MATCH(D497,Owners!$A$4:$A$21,0))</f>
        <v>1</v>
      </c>
    </row>
    <row r="498" customFormat="false" ht="15" hidden="false" customHeight="false" outlineLevel="0" collapsed="false">
      <c r="A498" s="4" t="s">
        <v>800</v>
      </c>
      <c r="B498" s="4" t="s">
        <v>120</v>
      </c>
      <c r="C498" s="4" t="s">
        <v>244</v>
      </c>
      <c r="D498" s="4" t="s">
        <v>326</v>
      </c>
      <c r="E498" s="4" t="s">
        <v>204</v>
      </c>
      <c r="F498" s="4" t="s">
        <v>556</v>
      </c>
      <c r="G498" s="5" t="n">
        <v>46289.2375</v>
      </c>
      <c r="H498" s="12"/>
      <c r="I498" s="12"/>
      <c r="N498" s="4" t="n">
        <v>2</v>
      </c>
      <c r="P498" s="12"/>
      <c r="Q498" s="4" t="n">
        <v>0</v>
      </c>
      <c r="R498" s="0" t="str">
        <f aca="false">INDEX(Owners!$B$4:$B$21,MATCH(D498,Owners!$A$4:$A$21,0))</f>
        <v>Customer Data</v>
      </c>
      <c r="S498" s="6" t="b">
        <f aca="false">AND(F498="closed",ISNUMBER(H498),H498&lt;=Controls!$B$4)</f>
        <v>0</v>
      </c>
      <c r="T498" s="6" t="b">
        <f aca="false">AND(ISNUMBER(I498),I498&lt;=Controls!$B$4,J498="rerun",K498=A498,L498=C498,M498=N498,O498=0,I498&gt;=G498,IF(ISNUMBER(P498),I498&gt;=P498,TRUE()))</f>
        <v>0</v>
      </c>
      <c r="U498" s="0" t="str">
        <f aca="false">IF(AND(S498,T498),"resolved",IF(S498,"claimed","open"))</f>
        <v>open</v>
      </c>
      <c r="V498" s="11" t="n">
        <f aca="false">ROUND((IF(U498="resolved",I498,IF(U498="claimed",H498,Controls!$B$4))-G498)*24,4)</f>
        <v>258.3</v>
      </c>
      <c r="W498" s="6" t="b">
        <f aca="false">INDEX(Owners!$E$4:$E$21,MATCH(D498,Owners!$A$4:$A$21,0))</f>
        <v>0</v>
      </c>
    </row>
    <row r="499" customFormat="false" ht="15" hidden="false" customHeight="false" outlineLevel="0" collapsed="false">
      <c r="A499" s="4" t="s">
        <v>801</v>
      </c>
      <c r="B499" s="4" t="s">
        <v>98</v>
      </c>
      <c r="C499" s="4" t="s">
        <v>211</v>
      </c>
      <c r="D499" s="4" t="s">
        <v>324</v>
      </c>
      <c r="E499" s="4" t="s">
        <v>204</v>
      </c>
      <c r="F499" s="4" t="s">
        <v>277</v>
      </c>
      <c r="G499" s="5" t="n">
        <v>46289.2416666667</v>
      </c>
      <c r="H499" s="5" t="n">
        <v>46291.1472222222</v>
      </c>
      <c r="I499" s="5" t="n">
        <v>46291.7569444445</v>
      </c>
      <c r="J499" s="4" t="s">
        <v>284</v>
      </c>
      <c r="K499" s="4" t="s">
        <v>801</v>
      </c>
      <c r="L499" s="4" t="s">
        <v>211</v>
      </c>
      <c r="M499" s="4" t="n">
        <v>3</v>
      </c>
      <c r="N499" s="4" t="n">
        <v>3</v>
      </c>
      <c r="O499" s="4" t="n">
        <v>0</v>
      </c>
      <c r="P499" s="12"/>
      <c r="Q499" s="4" t="n">
        <v>0</v>
      </c>
      <c r="R499" s="0" t="str">
        <f aca="false">INDEX(Owners!$B$4:$B$21,MATCH(D499,Owners!$A$4:$A$21,0))</f>
        <v>Finance Systems</v>
      </c>
      <c r="S499" s="6" t="b">
        <f aca="false">AND(F499="closed",ISNUMBER(H499),H499&lt;=Controls!$B$4)</f>
        <v>1</v>
      </c>
      <c r="T499" s="6" t="b">
        <f aca="false">AND(ISNUMBER(I499),I499&lt;=Controls!$B$4,J499="rerun",K499=A499,L499=C499,M499=N499,O499=0,I499&gt;=G499,IF(ISNUMBER(P499),I499&gt;=P499,TRUE()))</f>
        <v>1</v>
      </c>
      <c r="U499" s="0" t="str">
        <f aca="false">IF(AND(S499,T499),"resolved",IF(S499,"claimed","open"))</f>
        <v>resolved</v>
      </c>
      <c r="V499" s="11" t="n">
        <f aca="false">ROUND((IF(U499="resolved",I499,IF(U499="claimed",H499,Controls!$B$4))-G499)*24,4)</f>
        <v>60.3667</v>
      </c>
      <c r="W499" s="6" t="b">
        <f aca="false">INDEX(Owners!$E$4:$E$21,MATCH(D499,Owners!$A$4:$A$21,0))</f>
        <v>1</v>
      </c>
    </row>
    <row r="500" customFormat="false" ht="15" hidden="false" customHeight="false" outlineLevel="0" collapsed="false">
      <c r="A500" s="4" t="s">
        <v>802</v>
      </c>
      <c r="B500" s="4" t="s">
        <v>98</v>
      </c>
      <c r="C500" s="4" t="s">
        <v>323</v>
      </c>
      <c r="D500" s="4" t="s">
        <v>324</v>
      </c>
      <c r="E500" s="4" t="s">
        <v>202</v>
      </c>
      <c r="F500" s="4" t="s">
        <v>277</v>
      </c>
      <c r="G500" s="5" t="n">
        <v>46290.0840277778</v>
      </c>
      <c r="H500" s="5" t="n">
        <v>46292.5979166667</v>
      </c>
      <c r="I500" s="5" t="n">
        <v>46292.7097222222</v>
      </c>
      <c r="J500" s="4" t="s">
        <v>284</v>
      </c>
      <c r="K500" s="4" t="s">
        <v>802</v>
      </c>
      <c r="L500" s="4" t="s">
        <v>323</v>
      </c>
      <c r="M500" s="4" t="n">
        <v>1</v>
      </c>
      <c r="N500" s="4" t="n">
        <v>1</v>
      </c>
      <c r="O500" s="4" t="n">
        <v>0</v>
      </c>
      <c r="P500" s="12"/>
      <c r="Q500" s="4" t="n">
        <v>0</v>
      </c>
      <c r="R500" s="0" t="str">
        <f aca="false">INDEX(Owners!$B$4:$B$21,MATCH(D500,Owners!$A$4:$A$21,0))</f>
        <v>Finance Systems</v>
      </c>
      <c r="S500" s="6" t="b">
        <f aca="false">AND(F500="closed",ISNUMBER(H500),H500&lt;=Controls!$B$4)</f>
        <v>1</v>
      </c>
      <c r="T500" s="6" t="b">
        <f aca="false">AND(ISNUMBER(I500),I500&lt;=Controls!$B$4,J500="rerun",K500=A500,L500=C500,M500=N500,O500=0,I500&gt;=G500,IF(ISNUMBER(P500),I500&gt;=P500,TRUE()))</f>
        <v>1</v>
      </c>
      <c r="U500" s="0" t="str">
        <f aca="false">IF(AND(S500,T500),"resolved",IF(S500,"claimed","open"))</f>
        <v>resolved</v>
      </c>
      <c r="V500" s="11" t="n">
        <f aca="false">ROUND((IF(U500="resolved",I500,IF(U500="claimed",H500,Controls!$B$4))-G500)*24,4)</f>
        <v>63.0167</v>
      </c>
      <c r="W500" s="6" t="b">
        <f aca="false">INDEX(Owners!$E$4:$E$21,MATCH(D500,Owners!$A$4:$A$21,0))</f>
        <v>1</v>
      </c>
    </row>
    <row r="501" customFormat="false" ht="15" hidden="false" customHeight="false" outlineLevel="0" collapsed="false">
      <c r="A501" s="4" t="s">
        <v>803</v>
      </c>
      <c r="B501" s="4" t="s">
        <v>127</v>
      </c>
      <c r="C501" s="4" t="s">
        <v>252</v>
      </c>
      <c r="D501" s="4" t="s">
        <v>358</v>
      </c>
      <c r="E501" s="4" t="s">
        <v>204</v>
      </c>
      <c r="F501" s="4" t="s">
        <v>556</v>
      </c>
      <c r="G501" s="5" t="n">
        <v>46290.0888888889</v>
      </c>
      <c r="H501" s="12"/>
      <c r="I501" s="12"/>
      <c r="N501" s="4" t="n">
        <v>1</v>
      </c>
      <c r="P501" s="12"/>
      <c r="Q501" s="4" t="n">
        <v>0</v>
      </c>
      <c r="R501" s="0" t="str">
        <f aca="false">INDEX(Owners!$B$4:$B$21,MATCH(D501,Owners!$A$4:$A$21,0))</f>
        <v>Finance Systems</v>
      </c>
      <c r="S501" s="6" t="b">
        <f aca="false">AND(F501="closed",ISNUMBER(H501),H501&lt;=Controls!$B$4)</f>
        <v>0</v>
      </c>
      <c r="T501" s="6" t="b">
        <f aca="false">AND(ISNUMBER(I501),I501&lt;=Controls!$B$4,J501="rerun",K501=A501,L501=C501,M501=N501,O501=0,I501&gt;=G501,IF(ISNUMBER(P501),I501&gt;=P501,TRUE()))</f>
        <v>0</v>
      </c>
      <c r="U501" s="0" t="str">
        <f aca="false">IF(AND(S501,T501),"resolved",IF(S501,"claimed","open"))</f>
        <v>open</v>
      </c>
      <c r="V501" s="11" t="n">
        <f aca="false">ROUND((IF(U501="resolved",I501,IF(U501="claimed",H501,Controls!$B$4))-G501)*24,4)</f>
        <v>237.8667</v>
      </c>
      <c r="W501" s="6" t="b">
        <f aca="false">INDEX(Owners!$E$4:$E$21,MATCH(D501,Owners!$A$4:$A$21,0))</f>
        <v>1</v>
      </c>
    </row>
    <row r="502" customFormat="false" ht="15" hidden="false" customHeight="false" outlineLevel="0" collapsed="false">
      <c r="A502" s="4" t="s">
        <v>804</v>
      </c>
      <c r="B502" s="4" t="s">
        <v>92</v>
      </c>
      <c r="C502" s="4" t="s">
        <v>201</v>
      </c>
      <c r="D502" s="4" t="s">
        <v>330</v>
      </c>
      <c r="E502" s="4" t="s">
        <v>202</v>
      </c>
      <c r="F502" s="4" t="s">
        <v>556</v>
      </c>
      <c r="G502" s="5" t="n">
        <v>46290.1465277778</v>
      </c>
      <c r="H502" s="12"/>
      <c r="I502" s="12"/>
      <c r="N502" s="4" t="n">
        <v>1</v>
      </c>
      <c r="P502" s="12"/>
      <c r="Q502" s="4" t="n">
        <v>0</v>
      </c>
      <c r="R502" s="0" t="str">
        <f aca="false">INDEX(Owners!$B$4:$B$21,MATCH(D502,Owners!$A$4:$A$21,0))</f>
        <v>Supply Chain</v>
      </c>
      <c r="S502" s="6" t="b">
        <f aca="false">AND(F502="closed",ISNUMBER(H502),H502&lt;=Controls!$B$4)</f>
        <v>0</v>
      </c>
      <c r="T502" s="6" t="b">
        <f aca="false">AND(ISNUMBER(I502),I502&lt;=Controls!$B$4,J502="rerun",K502=A502,L502=C502,M502=N502,O502=0,I502&gt;=G502,IF(ISNUMBER(P502),I502&gt;=P502,TRUE()))</f>
        <v>0</v>
      </c>
      <c r="U502" s="0" t="str">
        <f aca="false">IF(AND(S502,T502),"resolved",IF(S502,"claimed","open"))</f>
        <v>open</v>
      </c>
      <c r="V502" s="11" t="n">
        <f aca="false">ROUND((IF(U502="resolved",I502,IF(U502="claimed",H502,Controls!$B$4))-G502)*24,4)</f>
        <v>236.4833</v>
      </c>
      <c r="W502" s="6" t="b">
        <f aca="false">INDEX(Owners!$E$4:$E$21,MATCH(D502,Owners!$A$4:$A$21,0))</f>
        <v>1</v>
      </c>
    </row>
    <row r="503" customFormat="false" ht="15" hidden="false" customHeight="false" outlineLevel="0" collapsed="false">
      <c r="A503" s="4" t="s">
        <v>805</v>
      </c>
      <c r="B503" s="4" t="s">
        <v>131</v>
      </c>
      <c r="C503" s="4" t="s">
        <v>259</v>
      </c>
      <c r="D503" s="4" t="s">
        <v>283</v>
      </c>
      <c r="E503" s="4" t="s">
        <v>202</v>
      </c>
      <c r="F503" s="4" t="s">
        <v>277</v>
      </c>
      <c r="G503" s="5" t="n">
        <v>46290.2013888889</v>
      </c>
      <c r="H503" s="5" t="n">
        <v>46290.5138888889</v>
      </c>
      <c r="I503" s="5" t="n">
        <v>46290.6756944444</v>
      </c>
      <c r="J503" s="4" t="s">
        <v>284</v>
      </c>
      <c r="K503" s="4" t="s">
        <v>805</v>
      </c>
      <c r="L503" s="4" t="s">
        <v>259</v>
      </c>
      <c r="M503" s="4" t="n">
        <v>1</v>
      </c>
      <c r="N503" s="4" t="n">
        <v>1</v>
      </c>
      <c r="O503" s="4" t="n">
        <v>0</v>
      </c>
      <c r="P503" s="12"/>
      <c r="Q503" s="4" t="n">
        <v>0</v>
      </c>
      <c r="R503" s="0" t="str">
        <f aca="false">INDEX(Owners!$B$4:$B$21,MATCH(D503,Owners!$A$4:$A$21,0))</f>
        <v>Data Platform</v>
      </c>
      <c r="S503" s="6" t="b">
        <f aca="false">AND(F503="closed",ISNUMBER(H503),H503&lt;=Controls!$B$4)</f>
        <v>1</v>
      </c>
      <c r="T503" s="6" t="b">
        <f aca="false">AND(ISNUMBER(I503),I503&lt;=Controls!$B$4,J503="rerun",K503=A503,L503=C503,M503=N503,O503=0,I503&gt;=G503,IF(ISNUMBER(P503),I503&gt;=P503,TRUE()))</f>
        <v>1</v>
      </c>
      <c r="U503" s="0" t="str">
        <f aca="false">IF(AND(S503,T503),"resolved",IF(S503,"claimed","open"))</f>
        <v>resolved</v>
      </c>
      <c r="V503" s="11" t="n">
        <f aca="false">ROUND((IF(U503="resolved",I503,IF(U503="claimed",H503,Controls!$B$4))-G503)*24,4)</f>
        <v>11.3833</v>
      </c>
      <c r="W503" s="6" t="b">
        <f aca="false">INDEX(Owners!$E$4:$E$21,MATCH(D503,Owners!$A$4:$A$21,0))</f>
        <v>1</v>
      </c>
    </row>
    <row r="504" customFormat="false" ht="15" hidden="false" customHeight="false" outlineLevel="0" collapsed="false">
      <c r="A504" s="4" t="s">
        <v>806</v>
      </c>
      <c r="B504" s="4" t="s">
        <v>98</v>
      </c>
      <c r="C504" s="4" t="s">
        <v>323</v>
      </c>
      <c r="D504" s="4" t="s">
        <v>324</v>
      </c>
      <c r="E504" s="4" t="s">
        <v>202</v>
      </c>
      <c r="F504" s="4" t="s">
        <v>556</v>
      </c>
      <c r="G504" s="5" t="n">
        <v>46291.0840277778</v>
      </c>
      <c r="H504" s="12"/>
      <c r="I504" s="12"/>
      <c r="N504" s="4" t="n">
        <v>1</v>
      </c>
      <c r="P504" s="12"/>
      <c r="Q504" s="4" t="n">
        <v>0</v>
      </c>
      <c r="R504" s="0" t="str">
        <f aca="false">INDEX(Owners!$B$4:$B$21,MATCH(D504,Owners!$A$4:$A$21,0))</f>
        <v>Finance Systems</v>
      </c>
      <c r="S504" s="6" t="b">
        <f aca="false">AND(F504="closed",ISNUMBER(H504),H504&lt;=Controls!$B$4)</f>
        <v>0</v>
      </c>
      <c r="T504" s="6" t="b">
        <f aca="false">AND(ISNUMBER(I504),I504&lt;=Controls!$B$4,J504="rerun",K504=A504,L504=C504,M504=N504,O504=0,I504&gt;=G504,IF(ISNUMBER(P504),I504&gt;=P504,TRUE()))</f>
        <v>0</v>
      </c>
      <c r="U504" s="0" t="str">
        <f aca="false">IF(AND(S504,T504),"resolved",IF(S504,"claimed","open"))</f>
        <v>open</v>
      </c>
      <c r="V504" s="11" t="n">
        <f aca="false">ROUND((IF(U504="resolved",I504,IF(U504="claimed",H504,Controls!$B$4))-G504)*24,4)</f>
        <v>213.9833</v>
      </c>
      <c r="W504" s="6" t="b">
        <f aca="false">INDEX(Owners!$E$4:$E$21,MATCH(D504,Owners!$A$4:$A$21,0))</f>
        <v>1</v>
      </c>
    </row>
    <row r="505" customFormat="false" ht="15" hidden="false" customHeight="false" outlineLevel="0" collapsed="false">
      <c r="A505" s="4" t="s">
        <v>807</v>
      </c>
      <c r="B505" s="4" t="s">
        <v>103</v>
      </c>
      <c r="C505" s="4" t="s">
        <v>218</v>
      </c>
      <c r="D505" s="4" t="s">
        <v>350</v>
      </c>
      <c r="E505" s="4" t="s">
        <v>202</v>
      </c>
      <c r="F505" s="4" t="s">
        <v>277</v>
      </c>
      <c r="G505" s="5" t="n">
        <v>46291.0979166667</v>
      </c>
      <c r="H505" s="5" t="n">
        <v>46293.2590277778</v>
      </c>
      <c r="I505" s="12"/>
      <c r="N505" s="4" t="n">
        <v>2</v>
      </c>
      <c r="P505" s="12"/>
      <c r="Q505" s="4" t="n">
        <v>0</v>
      </c>
      <c r="R505" s="0" t="str">
        <f aca="false">INDEX(Owners!$B$4:$B$21,MATCH(D505,Owners!$A$4:$A$21,0))</f>
        <v>Supply Chain</v>
      </c>
      <c r="S505" s="6" t="b">
        <f aca="false">AND(F505="closed",ISNUMBER(H505),H505&lt;=Controls!$B$4)</f>
        <v>1</v>
      </c>
      <c r="T505" s="6" t="b">
        <f aca="false">AND(ISNUMBER(I505),I505&lt;=Controls!$B$4,J505="rerun",K505=A505,L505=C505,M505=N505,O505=0,I505&gt;=G505,IF(ISNUMBER(P505),I505&gt;=P505,TRUE()))</f>
        <v>0</v>
      </c>
      <c r="U505" s="0" t="str">
        <f aca="false">IF(AND(S505,T505),"resolved",IF(S505,"claimed","open"))</f>
        <v>claimed</v>
      </c>
      <c r="V505" s="11" t="n">
        <f aca="false">ROUND((IF(U505="resolved",I505,IF(U505="claimed",H505,Controls!$B$4))-G505)*24,4)</f>
        <v>51.8667</v>
      </c>
      <c r="W505" s="6" t="b">
        <f aca="false">INDEX(Owners!$E$4:$E$21,MATCH(D505,Owners!$A$4:$A$21,0))</f>
        <v>1</v>
      </c>
    </row>
    <row r="506" customFormat="false" ht="15" hidden="false" customHeight="false" outlineLevel="0" collapsed="false">
      <c r="A506" s="4" t="s">
        <v>808</v>
      </c>
      <c r="B506" s="4" t="s">
        <v>128</v>
      </c>
      <c r="C506" s="4" t="s">
        <v>253</v>
      </c>
      <c r="D506" s="4" t="s">
        <v>283</v>
      </c>
      <c r="E506" s="4" t="s">
        <v>204</v>
      </c>
      <c r="F506" s="4" t="s">
        <v>277</v>
      </c>
      <c r="G506" s="5" t="n">
        <v>46291.1111111111</v>
      </c>
      <c r="H506" s="5" t="n">
        <v>46295.2256944445</v>
      </c>
      <c r="I506" s="12"/>
      <c r="N506" s="4" t="n">
        <v>1</v>
      </c>
      <c r="P506" s="12"/>
      <c r="Q506" s="4" t="n">
        <v>0</v>
      </c>
      <c r="R506" s="0" t="str">
        <f aca="false">INDEX(Owners!$B$4:$B$21,MATCH(D506,Owners!$A$4:$A$21,0))</f>
        <v>Data Platform</v>
      </c>
      <c r="S506" s="6" t="b">
        <f aca="false">AND(F506="closed",ISNUMBER(H506),H506&lt;=Controls!$B$4)</f>
        <v>1</v>
      </c>
      <c r="T506" s="6" t="b">
        <f aca="false">AND(ISNUMBER(I506),I506&lt;=Controls!$B$4,J506="rerun",K506=A506,L506=C506,M506=N506,O506=0,I506&gt;=G506,IF(ISNUMBER(P506),I506&gt;=P506,TRUE()))</f>
        <v>0</v>
      </c>
      <c r="U506" s="0" t="str">
        <f aca="false">IF(AND(S506,T506),"resolved",IF(S506,"claimed","open"))</f>
        <v>claimed</v>
      </c>
      <c r="V506" s="11" t="n">
        <f aca="false">ROUND((IF(U506="resolved",I506,IF(U506="claimed",H506,Controls!$B$4))-G506)*24,4)</f>
        <v>98.75</v>
      </c>
      <c r="W506" s="6" t="b">
        <f aca="false">INDEX(Owners!$E$4:$E$21,MATCH(D506,Owners!$A$4:$A$21,0))</f>
        <v>1</v>
      </c>
    </row>
    <row r="507" customFormat="false" ht="15" hidden="false" customHeight="false" outlineLevel="0" collapsed="false">
      <c r="A507" s="4" t="s">
        <v>809</v>
      </c>
      <c r="B507" s="4" t="s">
        <v>108</v>
      </c>
      <c r="C507" s="4" t="s">
        <v>225</v>
      </c>
      <c r="D507" s="4" t="s">
        <v>330</v>
      </c>
      <c r="E507" s="4" t="s">
        <v>204</v>
      </c>
      <c r="F507" s="4" t="s">
        <v>277</v>
      </c>
      <c r="G507" s="5" t="n">
        <v>46291.1159722222</v>
      </c>
      <c r="H507" s="5" t="n">
        <v>46292.0888888889</v>
      </c>
      <c r="I507" s="5" t="n">
        <v>46292.3805555556</v>
      </c>
      <c r="J507" s="4" t="s">
        <v>284</v>
      </c>
      <c r="K507" s="4" t="s">
        <v>809</v>
      </c>
      <c r="L507" s="4" t="s">
        <v>225</v>
      </c>
      <c r="M507" s="4" t="n">
        <v>1</v>
      </c>
      <c r="N507" s="4" t="n">
        <v>1</v>
      </c>
      <c r="O507" s="4" t="n">
        <v>0</v>
      </c>
      <c r="P507" s="12"/>
      <c r="Q507" s="4" t="n">
        <v>0</v>
      </c>
      <c r="R507" s="0" t="str">
        <f aca="false">INDEX(Owners!$B$4:$B$21,MATCH(D507,Owners!$A$4:$A$21,0))</f>
        <v>Supply Chain</v>
      </c>
      <c r="S507" s="6" t="b">
        <f aca="false">AND(F507="closed",ISNUMBER(H507),H507&lt;=Controls!$B$4)</f>
        <v>1</v>
      </c>
      <c r="T507" s="6" t="b">
        <f aca="false">AND(ISNUMBER(I507),I507&lt;=Controls!$B$4,J507="rerun",K507=A507,L507=C507,M507=N507,O507=0,I507&gt;=G507,IF(ISNUMBER(P507),I507&gt;=P507,TRUE()))</f>
        <v>1</v>
      </c>
      <c r="U507" s="0" t="str">
        <f aca="false">IF(AND(S507,T507),"resolved",IF(S507,"claimed","open"))</f>
        <v>resolved</v>
      </c>
      <c r="V507" s="11" t="n">
        <f aca="false">ROUND((IF(U507="resolved",I507,IF(U507="claimed",H507,Controls!$B$4))-G507)*24,4)</f>
        <v>30.35</v>
      </c>
      <c r="W507" s="6" t="b">
        <f aca="false">INDEX(Owners!$E$4:$E$21,MATCH(D507,Owners!$A$4:$A$21,0))</f>
        <v>1</v>
      </c>
    </row>
    <row r="508" customFormat="false" ht="15" hidden="false" customHeight="false" outlineLevel="0" collapsed="false">
      <c r="A508" s="4" t="s">
        <v>810</v>
      </c>
      <c r="B508" s="4" t="s">
        <v>124</v>
      </c>
      <c r="C508" s="4" t="s">
        <v>248</v>
      </c>
      <c r="D508" s="4" t="s">
        <v>301</v>
      </c>
      <c r="E508" s="4" t="s">
        <v>202</v>
      </c>
      <c r="F508" s="4" t="s">
        <v>277</v>
      </c>
      <c r="G508" s="5" t="n">
        <v>46291.1423611111</v>
      </c>
      <c r="H508" s="5" t="n">
        <v>46292.9361111111</v>
      </c>
      <c r="I508" s="5" t="n">
        <v>46293.0729166667</v>
      </c>
      <c r="J508" s="4" t="s">
        <v>284</v>
      </c>
      <c r="K508" s="4" t="s">
        <v>810</v>
      </c>
      <c r="L508" s="4" t="s">
        <v>248</v>
      </c>
      <c r="M508" s="4" t="n">
        <v>1</v>
      </c>
      <c r="N508" s="4" t="n">
        <v>1</v>
      </c>
      <c r="O508" s="4" t="n">
        <v>0</v>
      </c>
      <c r="P508" s="12"/>
      <c r="Q508" s="4" t="n">
        <v>0</v>
      </c>
      <c r="R508" s="0" t="str">
        <f aca="false">INDEX(Owners!$B$4:$B$21,MATCH(D508,Owners!$A$4:$A$21,0))</f>
        <v>Data Platform</v>
      </c>
      <c r="S508" s="6" t="b">
        <f aca="false">AND(F508="closed",ISNUMBER(H508),H508&lt;=Controls!$B$4)</f>
        <v>1</v>
      </c>
      <c r="T508" s="6" t="b">
        <f aca="false">AND(ISNUMBER(I508),I508&lt;=Controls!$B$4,J508="rerun",K508=A508,L508=C508,M508=N508,O508=0,I508&gt;=G508,IF(ISNUMBER(P508),I508&gt;=P508,TRUE()))</f>
        <v>1</v>
      </c>
      <c r="U508" s="0" t="str">
        <f aca="false">IF(AND(S508,T508),"resolved",IF(S508,"claimed","open"))</f>
        <v>resolved</v>
      </c>
      <c r="V508" s="11" t="n">
        <f aca="false">ROUND((IF(U508="resolved",I508,IF(U508="claimed",H508,Controls!$B$4))-G508)*24,4)</f>
        <v>46.3333</v>
      </c>
      <c r="W508" s="6" t="b">
        <f aca="false">INDEX(Owners!$E$4:$E$21,MATCH(D508,Owners!$A$4:$A$21,0))</f>
        <v>1</v>
      </c>
    </row>
    <row r="509" customFormat="false" ht="15" hidden="false" customHeight="false" outlineLevel="0" collapsed="false">
      <c r="A509" s="4" t="s">
        <v>811</v>
      </c>
      <c r="B509" s="4" t="s">
        <v>124</v>
      </c>
      <c r="C509" s="4" t="s">
        <v>247</v>
      </c>
      <c r="D509" s="4" t="s">
        <v>301</v>
      </c>
      <c r="E509" s="4" t="s">
        <v>202</v>
      </c>
      <c r="F509" s="4" t="s">
        <v>277</v>
      </c>
      <c r="G509" s="5" t="n">
        <v>46291.1513888889</v>
      </c>
      <c r="H509" s="5" t="n">
        <v>46292.0125</v>
      </c>
      <c r="I509" s="5" t="n">
        <v>46292.0770833333</v>
      </c>
      <c r="J509" s="4" t="s">
        <v>284</v>
      </c>
      <c r="K509" s="4" t="s">
        <v>811</v>
      </c>
      <c r="L509" s="4" t="s">
        <v>247</v>
      </c>
      <c r="M509" s="4" t="n">
        <v>1</v>
      </c>
      <c r="N509" s="4" t="n">
        <v>1</v>
      </c>
      <c r="O509" s="4" t="n">
        <v>0</v>
      </c>
      <c r="P509" s="12"/>
      <c r="Q509" s="4" t="n">
        <v>0</v>
      </c>
      <c r="R509" s="0" t="str">
        <f aca="false">INDEX(Owners!$B$4:$B$21,MATCH(D509,Owners!$A$4:$A$21,0))</f>
        <v>Data Platform</v>
      </c>
      <c r="S509" s="6" t="b">
        <f aca="false">AND(F509="closed",ISNUMBER(H509),H509&lt;=Controls!$B$4)</f>
        <v>1</v>
      </c>
      <c r="T509" s="6" t="b">
        <f aca="false">AND(ISNUMBER(I509),I509&lt;=Controls!$B$4,J509="rerun",K509=A509,L509=C509,M509=N509,O509=0,I509&gt;=G509,IF(ISNUMBER(P509),I509&gt;=P509,TRUE()))</f>
        <v>1</v>
      </c>
      <c r="U509" s="0" t="str">
        <f aca="false">IF(AND(S509,T509),"resolved",IF(S509,"claimed","open"))</f>
        <v>resolved</v>
      </c>
      <c r="V509" s="11" t="n">
        <f aca="false">ROUND((IF(U509="resolved",I509,IF(U509="claimed",H509,Controls!$B$4))-G509)*24,4)</f>
        <v>22.2167</v>
      </c>
      <c r="W509" s="6" t="b">
        <f aca="false">INDEX(Owners!$E$4:$E$21,MATCH(D509,Owners!$A$4:$A$21,0))</f>
        <v>1</v>
      </c>
    </row>
    <row r="510" customFormat="false" ht="15" hidden="false" customHeight="false" outlineLevel="0" collapsed="false">
      <c r="A510" s="4" t="s">
        <v>812</v>
      </c>
      <c r="B510" s="4" t="s">
        <v>113</v>
      </c>
      <c r="C510" s="4" t="s">
        <v>232</v>
      </c>
      <c r="D510" s="4" t="s">
        <v>296</v>
      </c>
      <c r="E510" s="4" t="s">
        <v>202</v>
      </c>
      <c r="F510" s="4" t="s">
        <v>562</v>
      </c>
      <c r="G510" s="5" t="n">
        <v>46291.1826388889</v>
      </c>
      <c r="H510" s="12"/>
      <c r="I510" s="12"/>
      <c r="N510" s="4" t="n">
        <v>2</v>
      </c>
      <c r="P510" s="12"/>
      <c r="Q510" s="4" t="n">
        <v>0</v>
      </c>
      <c r="R510" s="0" t="str">
        <f aca="false">INDEX(Owners!$B$4:$B$21,MATCH(D510,Owners!$A$4:$A$21,0))</f>
        <v>Data Platform</v>
      </c>
      <c r="S510" s="6" t="b">
        <f aca="false">AND(F510="closed",ISNUMBER(H510),H510&lt;=Controls!$B$4)</f>
        <v>0</v>
      </c>
      <c r="T510" s="6" t="b">
        <f aca="false">AND(ISNUMBER(I510),I510&lt;=Controls!$B$4,J510="rerun",K510=A510,L510=C510,M510=N510,O510=0,I510&gt;=G510,IF(ISNUMBER(P510),I510&gt;=P510,TRUE()))</f>
        <v>0</v>
      </c>
      <c r="U510" s="0" t="str">
        <f aca="false">IF(AND(S510,T510),"resolved",IF(S510,"claimed","open"))</f>
        <v>open</v>
      </c>
      <c r="V510" s="11" t="n">
        <f aca="false">ROUND((IF(U510="resolved",I510,IF(U510="claimed",H510,Controls!$B$4))-G510)*24,4)</f>
        <v>211.6167</v>
      </c>
      <c r="W510" s="6" t="b">
        <f aca="false">INDEX(Owners!$E$4:$E$21,MATCH(D510,Owners!$A$4:$A$21,0))</f>
        <v>1</v>
      </c>
    </row>
    <row r="511" customFormat="false" ht="15" hidden="false" customHeight="false" outlineLevel="0" collapsed="false">
      <c r="A511" s="4" t="s">
        <v>813</v>
      </c>
      <c r="B511" s="4" t="s">
        <v>118</v>
      </c>
      <c r="C511" s="4" t="s">
        <v>242</v>
      </c>
      <c r="D511" s="4" t="s">
        <v>296</v>
      </c>
      <c r="E511" s="4" t="s">
        <v>202</v>
      </c>
      <c r="F511" s="4" t="s">
        <v>556</v>
      </c>
      <c r="G511" s="5" t="n">
        <v>46291.1965277778</v>
      </c>
      <c r="H511" s="12"/>
      <c r="I511" s="12"/>
      <c r="N511" s="4" t="n">
        <v>1</v>
      </c>
      <c r="P511" s="12"/>
      <c r="Q511" s="4" t="n">
        <v>0</v>
      </c>
      <c r="R511" s="0" t="str">
        <f aca="false">INDEX(Owners!$B$4:$B$21,MATCH(D511,Owners!$A$4:$A$21,0))</f>
        <v>Data Platform</v>
      </c>
      <c r="S511" s="6" t="b">
        <f aca="false">AND(F511="closed",ISNUMBER(H511),H511&lt;=Controls!$B$4)</f>
        <v>0</v>
      </c>
      <c r="T511" s="6" t="b">
        <f aca="false">AND(ISNUMBER(I511),I511&lt;=Controls!$B$4,J511="rerun",K511=A511,L511=C511,M511=N511,O511=0,I511&gt;=G511,IF(ISNUMBER(P511),I511&gt;=P511,TRUE()))</f>
        <v>0</v>
      </c>
      <c r="U511" s="0" t="str">
        <f aca="false">IF(AND(S511,T511),"resolved",IF(S511,"claimed","open"))</f>
        <v>open</v>
      </c>
      <c r="V511" s="11" t="n">
        <f aca="false">ROUND((IF(U511="resolved",I511,IF(U511="claimed",H511,Controls!$B$4))-G511)*24,4)</f>
        <v>211.2833</v>
      </c>
      <c r="W511" s="6" t="b">
        <f aca="false">INDEX(Owners!$E$4:$E$21,MATCH(D511,Owners!$A$4:$A$21,0))</f>
        <v>1</v>
      </c>
    </row>
    <row r="512" customFormat="false" ht="15" hidden="false" customHeight="false" outlineLevel="0" collapsed="false">
      <c r="A512" s="4" t="s">
        <v>814</v>
      </c>
      <c r="B512" s="4" t="s">
        <v>112</v>
      </c>
      <c r="C512" s="4" t="s">
        <v>231</v>
      </c>
      <c r="D512" s="4" t="s">
        <v>320</v>
      </c>
      <c r="E512" s="4" t="s">
        <v>210</v>
      </c>
      <c r="F512" s="4" t="s">
        <v>277</v>
      </c>
      <c r="G512" s="5" t="n">
        <v>46291.2277777778</v>
      </c>
      <c r="H512" s="5" t="n">
        <v>46294.1930555556</v>
      </c>
      <c r="I512" s="5" t="n">
        <v>46294.4680555556</v>
      </c>
      <c r="J512" s="4" t="s">
        <v>284</v>
      </c>
      <c r="K512" s="4" t="s">
        <v>814</v>
      </c>
      <c r="L512" s="4" t="s">
        <v>231</v>
      </c>
      <c r="M512" s="4" t="n">
        <v>1</v>
      </c>
      <c r="N512" s="4" t="n">
        <v>1</v>
      </c>
      <c r="O512" s="4" t="n">
        <v>0</v>
      </c>
      <c r="P512" s="12"/>
      <c r="Q512" s="4" t="n">
        <v>0</v>
      </c>
      <c r="R512" s="0" t="str">
        <f aca="false">INDEX(Owners!$B$4:$B$21,MATCH(D512,Owners!$A$4:$A$21,0))</f>
        <v>Data Governance</v>
      </c>
      <c r="S512" s="6" t="b">
        <f aca="false">AND(F512="closed",ISNUMBER(H512),H512&lt;=Controls!$B$4)</f>
        <v>1</v>
      </c>
      <c r="T512" s="6" t="b">
        <f aca="false">AND(ISNUMBER(I512),I512&lt;=Controls!$B$4,J512="rerun",K512=A512,L512=C512,M512=N512,O512=0,I512&gt;=G512,IF(ISNUMBER(P512),I512&gt;=P512,TRUE()))</f>
        <v>1</v>
      </c>
      <c r="U512" s="0" t="str">
        <f aca="false">IF(AND(S512,T512),"resolved",IF(S512,"claimed","open"))</f>
        <v>resolved</v>
      </c>
      <c r="V512" s="11" t="n">
        <f aca="false">ROUND((IF(U512="resolved",I512,IF(U512="claimed",H512,Controls!$B$4))-G512)*24,4)</f>
        <v>77.7667</v>
      </c>
      <c r="W512" s="6" t="b">
        <f aca="false">INDEX(Owners!$E$4:$E$21,MATCH(D512,Owners!$A$4:$A$21,0))</f>
        <v>1</v>
      </c>
    </row>
    <row r="513" customFormat="false" ht="15" hidden="false" customHeight="false" outlineLevel="0" collapsed="false">
      <c r="A513" s="4" t="s">
        <v>815</v>
      </c>
      <c r="B513" s="4" t="s">
        <v>117</v>
      </c>
      <c r="C513" s="4" t="s">
        <v>240</v>
      </c>
      <c r="D513" s="4" t="s">
        <v>288</v>
      </c>
      <c r="E513" s="4" t="s">
        <v>204</v>
      </c>
      <c r="F513" s="4" t="s">
        <v>556</v>
      </c>
      <c r="G513" s="5" t="n">
        <v>46291.2458333333</v>
      </c>
      <c r="H513" s="12"/>
      <c r="I513" s="12"/>
      <c r="N513" s="4" t="n">
        <v>1</v>
      </c>
      <c r="P513" s="12"/>
      <c r="Q513" s="4" t="n">
        <v>0</v>
      </c>
      <c r="R513" s="0" t="str">
        <f aca="false">INDEX(Owners!$B$4:$B$21,MATCH(D513,Owners!$A$4:$A$21,0))</f>
        <v>Support Operations</v>
      </c>
      <c r="S513" s="6" t="b">
        <f aca="false">AND(F513="closed",ISNUMBER(H513),H513&lt;=Controls!$B$4)</f>
        <v>0</v>
      </c>
      <c r="T513" s="6" t="b">
        <f aca="false">AND(ISNUMBER(I513),I513&lt;=Controls!$B$4,J513="rerun",K513=A513,L513=C513,M513=N513,O513=0,I513&gt;=G513,IF(ISNUMBER(P513),I513&gt;=P513,TRUE()))</f>
        <v>0</v>
      </c>
      <c r="U513" s="0" t="str">
        <f aca="false">IF(AND(S513,T513),"resolved",IF(S513,"claimed","open"))</f>
        <v>open</v>
      </c>
      <c r="V513" s="11" t="n">
        <f aca="false">ROUND((IF(U513="resolved",I513,IF(U513="claimed",H513,Controls!$B$4))-G513)*24,4)</f>
        <v>210.1</v>
      </c>
      <c r="W513" s="6" t="b">
        <f aca="false">INDEX(Owners!$E$4:$E$21,MATCH(D513,Owners!$A$4:$A$21,0))</f>
        <v>1</v>
      </c>
    </row>
    <row r="514" customFormat="false" ht="15" hidden="false" customHeight="false" outlineLevel="0" collapsed="false">
      <c r="A514" s="4" t="s">
        <v>816</v>
      </c>
      <c r="B514" s="4" t="s">
        <v>102</v>
      </c>
      <c r="C514" s="4" t="s">
        <v>213</v>
      </c>
      <c r="D514" s="4" t="s">
        <v>290</v>
      </c>
      <c r="E514" s="4" t="s">
        <v>202</v>
      </c>
      <c r="F514" s="4" t="s">
        <v>277</v>
      </c>
      <c r="G514" s="5" t="n">
        <v>46292.0833333333</v>
      </c>
      <c r="H514" s="5" t="n">
        <v>46294.2513888889</v>
      </c>
      <c r="I514" s="5" t="n">
        <v>46294.525</v>
      </c>
      <c r="J514" s="4" t="s">
        <v>284</v>
      </c>
      <c r="K514" s="4" t="s">
        <v>816</v>
      </c>
      <c r="L514" s="4" t="s">
        <v>213</v>
      </c>
      <c r="M514" s="4" t="n">
        <v>1</v>
      </c>
      <c r="N514" s="4" t="n">
        <v>1</v>
      </c>
      <c r="O514" s="4" t="n">
        <v>0</v>
      </c>
      <c r="P514" s="12"/>
      <c r="Q514" s="4" t="n">
        <v>0</v>
      </c>
      <c r="R514" s="0" t="str">
        <f aca="false">INDEX(Owners!$B$4:$B$21,MATCH(D514,Owners!$A$4:$A$21,0))</f>
        <v>Customer Data</v>
      </c>
      <c r="S514" s="6" t="b">
        <f aca="false">AND(F514="closed",ISNUMBER(H514),H514&lt;=Controls!$B$4)</f>
        <v>1</v>
      </c>
      <c r="T514" s="6" t="b">
        <f aca="false">AND(ISNUMBER(I514),I514&lt;=Controls!$B$4,J514="rerun",K514=A514,L514=C514,M514=N514,O514=0,I514&gt;=G514,IF(ISNUMBER(P514),I514&gt;=P514,TRUE()))</f>
        <v>1</v>
      </c>
      <c r="U514" s="0" t="str">
        <f aca="false">IF(AND(S514,T514),"resolved",IF(S514,"claimed","open"))</f>
        <v>resolved</v>
      </c>
      <c r="V514" s="11" t="n">
        <f aca="false">ROUND((IF(U514="resolved",I514,IF(U514="claimed",H514,Controls!$B$4))-G514)*24,4)</f>
        <v>58.6</v>
      </c>
      <c r="W514" s="6" t="b">
        <f aca="false">INDEX(Owners!$E$4:$E$21,MATCH(D514,Owners!$A$4:$A$21,0))</f>
        <v>1</v>
      </c>
    </row>
    <row r="515" customFormat="false" ht="15" hidden="false" customHeight="false" outlineLevel="0" collapsed="false">
      <c r="A515" s="4" t="s">
        <v>817</v>
      </c>
      <c r="B515" s="4" t="s">
        <v>95</v>
      </c>
      <c r="C515" s="4" t="s">
        <v>205</v>
      </c>
      <c r="D515" s="4" t="s">
        <v>283</v>
      </c>
      <c r="E515" s="4" t="s">
        <v>204</v>
      </c>
      <c r="F515" s="4" t="s">
        <v>277</v>
      </c>
      <c r="G515" s="5" t="n">
        <v>46292.1069444444</v>
      </c>
      <c r="H515" s="5" t="n">
        <v>46292.6722222222</v>
      </c>
      <c r="I515" s="5" t="n">
        <v>46292.875</v>
      </c>
      <c r="J515" s="4" t="s">
        <v>284</v>
      </c>
      <c r="K515" s="4" t="s">
        <v>817</v>
      </c>
      <c r="L515" s="4" t="s">
        <v>205</v>
      </c>
      <c r="M515" s="4" t="n">
        <v>1</v>
      </c>
      <c r="N515" s="4" t="n">
        <v>1</v>
      </c>
      <c r="O515" s="4" t="n">
        <v>0</v>
      </c>
      <c r="P515" s="12"/>
      <c r="Q515" s="4" t="n">
        <v>0</v>
      </c>
      <c r="R515" s="0" t="str">
        <f aca="false">INDEX(Owners!$B$4:$B$21,MATCH(D515,Owners!$A$4:$A$21,0))</f>
        <v>Data Platform</v>
      </c>
      <c r="S515" s="6" t="b">
        <f aca="false">AND(F515="closed",ISNUMBER(H515),H515&lt;=Controls!$B$4)</f>
        <v>1</v>
      </c>
      <c r="T515" s="6" t="b">
        <f aca="false">AND(ISNUMBER(I515),I515&lt;=Controls!$B$4,J515="rerun",K515=A515,L515=C515,M515=N515,O515=0,I515&gt;=G515,IF(ISNUMBER(P515),I515&gt;=P515,TRUE()))</f>
        <v>1</v>
      </c>
      <c r="U515" s="0" t="str">
        <f aca="false">IF(AND(S515,T515),"resolved",IF(S515,"claimed","open"))</f>
        <v>resolved</v>
      </c>
      <c r="V515" s="11" t="n">
        <f aca="false">ROUND((IF(U515="resolved",I515,IF(U515="claimed",H515,Controls!$B$4))-G515)*24,4)</f>
        <v>18.4333</v>
      </c>
      <c r="W515" s="6" t="b">
        <f aca="false">INDEX(Owners!$E$4:$E$21,MATCH(D515,Owners!$A$4:$A$21,0))</f>
        <v>1</v>
      </c>
    </row>
    <row r="516" customFormat="false" ht="15" hidden="false" customHeight="false" outlineLevel="0" collapsed="false">
      <c r="A516" s="4" t="s">
        <v>818</v>
      </c>
      <c r="B516" s="4" t="s">
        <v>115</v>
      </c>
      <c r="C516" s="4" t="s">
        <v>237</v>
      </c>
      <c r="D516" s="4" t="s">
        <v>301</v>
      </c>
      <c r="E516" s="4" t="s">
        <v>210</v>
      </c>
      <c r="F516" s="4" t="s">
        <v>562</v>
      </c>
      <c r="G516" s="5" t="n">
        <v>46292.1152777778</v>
      </c>
      <c r="H516" s="12"/>
      <c r="I516" s="12"/>
      <c r="N516" s="4" t="n">
        <v>1</v>
      </c>
      <c r="P516" s="12"/>
      <c r="Q516" s="4" t="n">
        <v>0</v>
      </c>
      <c r="R516" s="0" t="str">
        <f aca="false">INDEX(Owners!$B$4:$B$21,MATCH(D516,Owners!$A$4:$A$21,0))</f>
        <v>Data Platform</v>
      </c>
      <c r="S516" s="6" t="b">
        <f aca="false">AND(F516="closed",ISNUMBER(H516),H516&lt;=Controls!$B$4)</f>
        <v>0</v>
      </c>
      <c r="T516" s="6" t="b">
        <f aca="false">AND(ISNUMBER(I516),I516&lt;=Controls!$B$4,J516="rerun",K516=A516,L516=C516,M516=N516,O516=0,I516&gt;=G516,IF(ISNUMBER(P516),I516&gt;=P516,TRUE()))</f>
        <v>0</v>
      </c>
      <c r="U516" s="0" t="str">
        <f aca="false">IF(AND(S516,T516),"resolved",IF(S516,"claimed","open"))</f>
        <v>open</v>
      </c>
      <c r="V516" s="11" t="n">
        <f aca="false">ROUND((IF(U516="resolved",I516,IF(U516="claimed",H516,Controls!$B$4))-G516)*24,4)</f>
        <v>189.2333</v>
      </c>
      <c r="W516" s="6" t="b">
        <f aca="false">INDEX(Owners!$E$4:$E$21,MATCH(D516,Owners!$A$4:$A$21,0))</f>
        <v>1</v>
      </c>
    </row>
    <row r="517" customFormat="false" ht="15" hidden="false" customHeight="false" outlineLevel="0" collapsed="false">
      <c r="A517" s="4" t="s">
        <v>819</v>
      </c>
      <c r="B517" s="4" t="s">
        <v>118</v>
      </c>
      <c r="C517" s="4" t="s">
        <v>242</v>
      </c>
      <c r="D517" s="4" t="s">
        <v>296</v>
      </c>
      <c r="E517" s="4" t="s">
        <v>202</v>
      </c>
      <c r="F517" s="4" t="s">
        <v>277</v>
      </c>
      <c r="G517" s="5" t="n">
        <v>46292.1965277778</v>
      </c>
      <c r="H517" s="5" t="n">
        <v>46297.3541666667</v>
      </c>
      <c r="I517" s="5" t="n">
        <v>46297.4277777778</v>
      </c>
      <c r="J517" s="4" t="s">
        <v>284</v>
      </c>
      <c r="K517" s="4" t="s">
        <v>819</v>
      </c>
      <c r="L517" s="4" t="s">
        <v>242</v>
      </c>
      <c r="M517" s="4" t="n">
        <v>1</v>
      </c>
      <c r="N517" s="4" t="n">
        <v>1</v>
      </c>
      <c r="O517" s="4" t="n">
        <v>0</v>
      </c>
      <c r="P517" s="12"/>
      <c r="Q517" s="4" t="n">
        <v>0</v>
      </c>
      <c r="R517" s="0" t="str">
        <f aca="false">INDEX(Owners!$B$4:$B$21,MATCH(D517,Owners!$A$4:$A$21,0))</f>
        <v>Data Platform</v>
      </c>
      <c r="S517" s="6" t="b">
        <f aca="false">AND(F517="closed",ISNUMBER(H517),H517&lt;=Controls!$B$4)</f>
        <v>1</v>
      </c>
      <c r="T517" s="6" t="b">
        <f aca="false">AND(ISNUMBER(I517),I517&lt;=Controls!$B$4,J517="rerun",K517=A517,L517=C517,M517=N517,O517=0,I517&gt;=G517,IF(ISNUMBER(P517),I517&gt;=P517,TRUE()))</f>
        <v>1</v>
      </c>
      <c r="U517" s="0" t="str">
        <f aca="false">IF(AND(S517,T517),"resolved",IF(S517,"claimed","open"))</f>
        <v>resolved</v>
      </c>
      <c r="V517" s="11" t="n">
        <f aca="false">ROUND((IF(U517="resolved",I517,IF(U517="claimed",H517,Controls!$B$4))-G517)*24,4)</f>
        <v>125.55</v>
      </c>
      <c r="W517" s="6" t="b">
        <f aca="false">INDEX(Owners!$E$4:$E$21,MATCH(D517,Owners!$A$4:$A$21,0))</f>
        <v>1</v>
      </c>
    </row>
    <row r="518" customFormat="false" ht="15" hidden="false" customHeight="false" outlineLevel="0" collapsed="false">
      <c r="A518" s="4" t="s">
        <v>820</v>
      </c>
      <c r="B518" s="4" t="s">
        <v>120</v>
      </c>
      <c r="C518" s="4" t="s">
        <v>244</v>
      </c>
      <c r="D518" s="4" t="s">
        <v>326</v>
      </c>
      <c r="E518" s="4" t="s">
        <v>204</v>
      </c>
      <c r="F518" s="4" t="s">
        <v>562</v>
      </c>
      <c r="G518" s="5" t="n">
        <v>46292.2375</v>
      </c>
      <c r="H518" s="12"/>
      <c r="I518" s="12"/>
      <c r="N518" s="4" t="n">
        <v>2</v>
      </c>
      <c r="P518" s="12"/>
      <c r="Q518" s="4" t="n">
        <v>0</v>
      </c>
      <c r="R518" s="0" t="str">
        <f aca="false">INDEX(Owners!$B$4:$B$21,MATCH(D518,Owners!$A$4:$A$21,0))</f>
        <v>Customer Data</v>
      </c>
      <c r="S518" s="6" t="b">
        <f aca="false">AND(F518="closed",ISNUMBER(H518),H518&lt;=Controls!$B$4)</f>
        <v>0</v>
      </c>
      <c r="T518" s="6" t="b">
        <f aca="false">AND(ISNUMBER(I518),I518&lt;=Controls!$B$4,J518="rerun",K518=A518,L518=C518,M518=N518,O518=0,I518&gt;=G518,IF(ISNUMBER(P518),I518&gt;=P518,TRUE()))</f>
        <v>0</v>
      </c>
      <c r="U518" s="0" t="str">
        <f aca="false">IF(AND(S518,T518),"resolved",IF(S518,"claimed","open"))</f>
        <v>open</v>
      </c>
      <c r="V518" s="11" t="n">
        <f aca="false">ROUND((IF(U518="resolved",I518,IF(U518="claimed",H518,Controls!$B$4))-G518)*24,4)</f>
        <v>186.3</v>
      </c>
      <c r="W518" s="6" t="b">
        <f aca="false">INDEX(Owners!$E$4:$E$21,MATCH(D518,Owners!$A$4:$A$21,0))</f>
        <v>0</v>
      </c>
    </row>
    <row r="519" customFormat="false" ht="15" hidden="false" customHeight="false" outlineLevel="0" collapsed="false">
      <c r="A519" s="4" t="s">
        <v>821</v>
      </c>
      <c r="B519" s="4" t="s">
        <v>98</v>
      </c>
      <c r="C519" s="4" t="s">
        <v>211</v>
      </c>
      <c r="D519" s="4" t="s">
        <v>324</v>
      </c>
      <c r="E519" s="4" t="s">
        <v>204</v>
      </c>
      <c r="F519" s="4" t="s">
        <v>277</v>
      </c>
      <c r="G519" s="5" t="n">
        <v>46292.2416666667</v>
      </c>
      <c r="H519" s="5" t="n">
        <v>46298.3916666667</v>
      </c>
      <c r="I519" s="5" t="n">
        <v>46298.9048611111</v>
      </c>
      <c r="J519" s="4" t="s">
        <v>284</v>
      </c>
      <c r="K519" s="4" t="s">
        <v>821</v>
      </c>
      <c r="L519" s="4" t="s">
        <v>211</v>
      </c>
      <c r="M519" s="4" t="n">
        <v>3</v>
      </c>
      <c r="N519" s="4" t="n">
        <v>3</v>
      </c>
      <c r="O519" s="4" t="n">
        <v>0</v>
      </c>
      <c r="P519" s="12"/>
      <c r="Q519" s="4" t="n">
        <v>0</v>
      </c>
      <c r="R519" s="0" t="str">
        <f aca="false">INDEX(Owners!$B$4:$B$21,MATCH(D519,Owners!$A$4:$A$21,0))</f>
        <v>Finance Systems</v>
      </c>
      <c r="S519" s="6" t="b">
        <f aca="false">AND(F519="closed",ISNUMBER(H519),H519&lt;=Controls!$B$4)</f>
        <v>1</v>
      </c>
      <c r="T519" s="6" t="b">
        <f aca="false">AND(ISNUMBER(I519),I519&lt;=Controls!$B$4,J519="rerun",K519=A519,L519=C519,M519=N519,O519=0,I519&gt;=G519,IF(ISNUMBER(P519),I519&gt;=P519,TRUE()))</f>
        <v>1</v>
      </c>
      <c r="U519" s="0" t="str">
        <f aca="false">IF(AND(S519,T519),"resolved",IF(S519,"claimed","open"))</f>
        <v>resolved</v>
      </c>
      <c r="V519" s="11" t="n">
        <f aca="false">ROUND((IF(U519="resolved",I519,IF(U519="claimed",H519,Controls!$B$4))-G519)*24,4)</f>
        <v>159.9167</v>
      </c>
      <c r="W519" s="6" t="b">
        <f aca="false">INDEX(Owners!$E$4:$E$21,MATCH(D519,Owners!$A$4:$A$21,0))</f>
        <v>1</v>
      </c>
    </row>
    <row r="520" customFormat="false" ht="15" hidden="false" customHeight="false" outlineLevel="0" collapsed="false">
      <c r="A520" s="4" t="s">
        <v>822</v>
      </c>
      <c r="B520" s="4" t="s">
        <v>131</v>
      </c>
      <c r="C520" s="4" t="s">
        <v>258</v>
      </c>
      <c r="D520" s="4" t="s">
        <v>283</v>
      </c>
      <c r="E520" s="4" t="s">
        <v>202</v>
      </c>
      <c r="F520" s="4" t="s">
        <v>562</v>
      </c>
      <c r="G520" s="5" t="n">
        <v>46292.9930555556</v>
      </c>
      <c r="H520" s="5" t="n">
        <v>46293.5104166667</v>
      </c>
      <c r="I520" s="5" t="n">
        <v>46293.5597222222</v>
      </c>
      <c r="J520" s="4" t="s">
        <v>284</v>
      </c>
      <c r="K520" s="4" t="s">
        <v>822</v>
      </c>
      <c r="L520" s="4" t="s">
        <v>258</v>
      </c>
      <c r="M520" s="4" t="n">
        <v>1</v>
      </c>
      <c r="N520" s="4" t="n">
        <v>1</v>
      </c>
      <c r="O520" s="4" t="n">
        <v>0</v>
      </c>
      <c r="P520" s="5" t="n">
        <v>46294.6666666667</v>
      </c>
      <c r="Q520" s="4" t="n">
        <v>1</v>
      </c>
      <c r="R520" s="0" t="str">
        <f aca="false">INDEX(Owners!$B$4:$B$21,MATCH(D520,Owners!$A$4:$A$21,0))</f>
        <v>Data Platform</v>
      </c>
      <c r="S520" s="6" t="b">
        <f aca="false">AND(F520="closed",ISNUMBER(H520),H520&lt;=Controls!$B$4)</f>
        <v>0</v>
      </c>
      <c r="T520" s="6" t="b">
        <f aca="false">AND(ISNUMBER(I520),I520&lt;=Controls!$B$4,J520="rerun",K520=A520,L520=C520,M520=N520,O520=0,I520&gt;=G520,IF(ISNUMBER(P520),I520&gt;=P520,TRUE()))</f>
        <v>0</v>
      </c>
      <c r="U520" s="0" t="str">
        <f aca="false">IF(AND(S520,T520),"resolved",IF(S520,"claimed","open"))</f>
        <v>open</v>
      </c>
      <c r="V520" s="11" t="n">
        <f aca="false">ROUND((IF(U520="resolved",I520,IF(U520="claimed",H520,Controls!$B$4))-G520)*24,4)</f>
        <v>168.1667</v>
      </c>
      <c r="W520" s="6" t="b">
        <f aca="false">INDEX(Owners!$E$4:$E$21,MATCH(D520,Owners!$A$4:$A$21,0))</f>
        <v>1</v>
      </c>
    </row>
    <row r="521" customFormat="false" ht="15" hidden="false" customHeight="false" outlineLevel="0" collapsed="false">
      <c r="A521" s="4" t="s">
        <v>823</v>
      </c>
      <c r="B521" s="4" t="s">
        <v>102</v>
      </c>
      <c r="C521" s="4" t="s">
        <v>213</v>
      </c>
      <c r="D521" s="4" t="s">
        <v>290</v>
      </c>
      <c r="E521" s="4" t="s">
        <v>202</v>
      </c>
      <c r="F521" s="4" t="s">
        <v>556</v>
      </c>
      <c r="G521" s="5" t="n">
        <v>46293.0833333333</v>
      </c>
      <c r="H521" s="12"/>
      <c r="I521" s="12"/>
      <c r="N521" s="4" t="n">
        <v>1</v>
      </c>
      <c r="P521" s="12"/>
      <c r="Q521" s="4" t="n">
        <v>0</v>
      </c>
      <c r="R521" s="0" t="str">
        <f aca="false">INDEX(Owners!$B$4:$B$21,MATCH(D521,Owners!$A$4:$A$21,0))</f>
        <v>Customer Data</v>
      </c>
      <c r="S521" s="6" t="b">
        <f aca="false">AND(F521="closed",ISNUMBER(H521),H521&lt;=Controls!$B$4)</f>
        <v>0</v>
      </c>
      <c r="T521" s="6" t="b">
        <f aca="false">AND(ISNUMBER(I521),I521&lt;=Controls!$B$4,J521="rerun",K521=A521,L521=C521,M521=N521,O521=0,I521&gt;=G521,IF(ISNUMBER(P521),I521&gt;=P521,TRUE()))</f>
        <v>0</v>
      </c>
      <c r="U521" s="0" t="str">
        <f aca="false">IF(AND(S521,T521),"resolved",IF(S521,"claimed","open"))</f>
        <v>open</v>
      </c>
      <c r="V521" s="11" t="n">
        <f aca="false">ROUND((IF(U521="resolved",I521,IF(U521="claimed",H521,Controls!$B$4))-G521)*24,4)</f>
        <v>166</v>
      </c>
      <c r="W521" s="6" t="b">
        <f aca="false">INDEX(Owners!$E$4:$E$21,MATCH(D521,Owners!$A$4:$A$21,0))</f>
        <v>1</v>
      </c>
    </row>
    <row r="522" customFormat="false" ht="15" hidden="false" customHeight="false" outlineLevel="0" collapsed="false">
      <c r="A522" s="4" t="s">
        <v>824</v>
      </c>
      <c r="B522" s="4" t="s">
        <v>107</v>
      </c>
      <c r="C522" s="4" t="s">
        <v>222</v>
      </c>
      <c r="D522" s="4" t="s">
        <v>326</v>
      </c>
      <c r="E522" s="4" t="s">
        <v>210</v>
      </c>
      <c r="F522" s="4" t="s">
        <v>556</v>
      </c>
      <c r="G522" s="5" t="n">
        <v>46293.0881944444</v>
      </c>
      <c r="H522" s="12"/>
      <c r="I522" s="12"/>
      <c r="N522" s="4" t="n">
        <v>1</v>
      </c>
      <c r="P522" s="12"/>
      <c r="Q522" s="4" t="n">
        <v>0</v>
      </c>
      <c r="R522" s="0" t="str">
        <f aca="false">INDEX(Owners!$B$4:$B$21,MATCH(D522,Owners!$A$4:$A$21,0))</f>
        <v>Customer Data</v>
      </c>
      <c r="S522" s="6" t="b">
        <f aca="false">AND(F522="closed",ISNUMBER(H522),H522&lt;=Controls!$B$4)</f>
        <v>0</v>
      </c>
      <c r="T522" s="6" t="b">
        <f aca="false">AND(ISNUMBER(I522),I522&lt;=Controls!$B$4,J522="rerun",K522=A522,L522=C522,M522=N522,O522=0,I522&gt;=G522,IF(ISNUMBER(P522),I522&gt;=P522,TRUE()))</f>
        <v>0</v>
      </c>
      <c r="U522" s="0" t="str">
        <f aca="false">IF(AND(S522,T522),"resolved",IF(S522,"claimed","open"))</f>
        <v>open</v>
      </c>
      <c r="V522" s="11" t="n">
        <f aca="false">ROUND((IF(U522="resolved",I522,IF(U522="claimed",H522,Controls!$B$4))-G522)*24,4)</f>
        <v>165.8833</v>
      </c>
      <c r="W522" s="6" t="b">
        <f aca="false">INDEX(Owners!$E$4:$E$21,MATCH(D522,Owners!$A$4:$A$21,0))</f>
        <v>0</v>
      </c>
    </row>
    <row r="523" customFormat="false" ht="15" hidden="false" customHeight="false" outlineLevel="0" collapsed="false">
      <c r="A523" s="4" t="s">
        <v>825</v>
      </c>
      <c r="B523" s="4" t="s">
        <v>103</v>
      </c>
      <c r="C523" s="4" t="s">
        <v>218</v>
      </c>
      <c r="D523" s="4" t="s">
        <v>350</v>
      </c>
      <c r="E523" s="4" t="s">
        <v>202</v>
      </c>
      <c r="F523" s="4" t="s">
        <v>277</v>
      </c>
      <c r="G523" s="5" t="n">
        <v>46293.0979166667</v>
      </c>
      <c r="H523" s="5" t="n">
        <v>46294.4</v>
      </c>
      <c r="I523" s="5" t="n">
        <v>46294.7</v>
      </c>
      <c r="J523" s="4" t="s">
        <v>284</v>
      </c>
      <c r="K523" s="4" t="s">
        <v>825</v>
      </c>
      <c r="L523" s="4" t="s">
        <v>218</v>
      </c>
      <c r="M523" s="4" t="n">
        <v>2</v>
      </c>
      <c r="N523" s="4" t="n">
        <v>2</v>
      </c>
      <c r="O523" s="4" t="n">
        <v>0</v>
      </c>
      <c r="P523" s="12"/>
      <c r="Q523" s="4" t="n">
        <v>0</v>
      </c>
      <c r="R523" s="0" t="str">
        <f aca="false">INDEX(Owners!$B$4:$B$21,MATCH(D523,Owners!$A$4:$A$21,0))</f>
        <v>Supply Chain</v>
      </c>
      <c r="S523" s="6" t="b">
        <f aca="false">AND(F523="closed",ISNUMBER(H523),H523&lt;=Controls!$B$4)</f>
        <v>1</v>
      </c>
      <c r="T523" s="6" t="b">
        <f aca="false">AND(ISNUMBER(I523),I523&lt;=Controls!$B$4,J523="rerun",K523=A523,L523=C523,M523=N523,O523=0,I523&gt;=G523,IF(ISNUMBER(P523),I523&gt;=P523,TRUE()))</f>
        <v>1</v>
      </c>
      <c r="U523" s="0" t="str">
        <f aca="false">IF(AND(S523,T523),"resolved",IF(S523,"claimed","open"))</f>
        <v>resolved</v>
      </c>
      <c r="V523" s="11" t="n">
        <f aca="false">ROUND((IF(U523="resolved",I523,IF(U523="claimed",H523,Controls!$B$4))-G523)*24,4)</f>
        <v>38.45</v>
      </c>
      <c r="W523" s="6" t="b">
        <f aca="false">INDEX(Owners!$E$4:$E$21,MATCH(D523,Owners!$A$4:$A$21,0))</f>
        <v>1</v>
      </c>
    </row>
    <row r="524" customFormat="false" ht="15" hidden="false" customHeight="false" outlineLevel="0" collapsed="false">
      <c r="A524" s="4" t="s">
        <v>826</v>
      </c>
      <c r="B524" s="4" t="s">
        <v>92</v>
      </c>
      <c r="C524" s="4" t="s">
        <v>201</v>
      </c>
      <c r="D524" s="4" t="s">
        <v>330</v>
      </c>
      <c r="E524" s="4" t="s">
        <v>202</v>
      </c>
      <c r="F524" s="4" t="s">
        <v>277</v>
      </c>
      <c r="G524" s="5" t="n">
        <v>46293.1465277778</v>
      </c>
      <c r="H524" s="5" t="n">
        <v>46295.9104166667</v>
      </c>
      <c r="I524" s="12"/>
      <c r="N524" s="4" t="n">
        <v>1</v>
      </c>
      <c r="P524" s="12"/>
      <c r="Q524" s="4" t="n">
        <v>0</v>
      </c>
      <c r="R524" s="0" t="str">
        <f aca="false">INDEX(Owners!$B$4:$B$21,MATCH(D524,Owners!$A$4:$A$21,0))</f>
        <v>Supply Chain</v>
      </c>
      <c r="S524" s="6" t="b">
        <f aca="false">AND(F524="closed",ISNUMBER(H524),H524&lt;=Controls!$B$4)</f>
        <v>1</v>
      </c>
      <c r="T524" s="6" t="b">
        <f aca="false">AND(ISNUMBER(I524),I524&lt;=Controls!$B$4,J524="rerun",K524=A524,L524=C524,M524=N524,O524=0,I524&gt;=G524,IF(ISNUMBER(P524),I524&gt;=P524,TRUE()))</f>
        <v>0</v>
      </c>
      <c r="U524" s="0" t="str">
        <f aca="false">IF(AND(S524,T524),"resolved",IF(S524,"claimed","open"))</f>
        <v>claimed</v>
      </c>
      <c r="V524" s="11" t="n">
        <f aca="false">ROUND((IF(U524="resolved",I524,IF(U524="claimed",H524,Controls!$B$4))-G524)*24,4)</f>
        <v>66.3333</v>
      </c>
      <c r="W524" s="6" t="b">
        <f aca="false">INDEX(Owners!$E$4:$E$21,MATCH(D524,Owners!$A$4:$A$21,0))</f>
        <v>1</v>
      </c>
    </row>
    <row r="525" customFormat="false" ht="15" hidden="false" customHeight="false" outlineLevel="0" collapsed="false">
      <c r="A525" s="4" t="s">
        <v>827</v>
      </c>
      <c r="B525" s="4" t="s">
        <v>130</v>
      </c>
      <c r="C525" s="4" t="s">
        <v>256</v>
      </c>
      <c r="D525" s="4" t="s">
        <v>553</v>
      </c>
      <c r="E525" s="4" t="s">
        <v>202</v>
      </c>
      <c r="F525" s="4" t="s">
        <v>277</v>
      </c>
      <c r="G525" s="5" t="n">
        <v>46293.1833333333</v>
      </c>
      <c r="H525" s="5" t="n">
        <v>46294.8944444444</v>
      </c>
      <c r="I525" s="5" t="n">
        <v>46295.4881944444</v>
      </c>
      <c r="J525" s="4" t="s">
        <v>284</v>
      </c>
      <c r="K525" s="4" t="s">
        <v>827</v>
      </c>
      <c r="L525" s="4" t="s">
        <v>256</v>
      </c>
      <c r="M525" s="4" t="n">
        <v>2</v>
      </c>
      <c r="N525" s="4" t="n">
        <v>2</v>
      </c>
      <c r="O525" s="4" t="n">
        <v>0</v>
      </c>
      <c r="P525" s="12"/>
      <c r="Q525" s="4" t="n">
        <v>0</v>
      </c>
      <c r="R525" s="0" t="str">
        <f aca="false">INDEX(Owners!$B$4:$B$21,MATCH(D525,Owners!$A$4:$A$21,0))</f>
        <v>Data Governance</v>
      </c>
      <c r="S525" s="6" t="b">
        <f aca="false">AND(F525="closed",ISNUMBER(H525),H525&lt;=Controls!$B$4)</f>
        <v>1</v>
      </c>
      <c r="T525" s="6" t="b">
        <f aca="false">AND(ISNUMBER(I525),I525&lt;=Controls!$B$4,J525="rerun",K525=A525,L525=C525,M525=N525,O525=0,I525&gt;=G525,IF(ISNUMBER(P525),I525&gt;=P525,TRUE()))</f>
        <v>1</v>
      </c>
      <c r="U525" s="0" t="str">
        <f aca="false">IF(AND(S525,T525),"resolved",IF(S525,"claimed","open"))</f>
        <v>resolved</v>
      </c>
      <c r="V525" s="11" t="n">
        <f aca="false">ROUND((IF(U525="resolved",I525,IF(U525="claimed",H525,Controls!$B$4))-G525)*24,4)</f>
        <v>55.3167</v>
      </c>
      <c r="W525" s="6" t="b">
        <f aca="false">INDEX(Owners!$E$4:$E$21,MATCH(D525,Owners!$A$4:$A$21,0))</f>
        <v>1</v>
      </c>
    </row>
    <row r="526" customFormat="false" ht="15" hidden="false" customHeight="false" outlineLevel="0" collapsed="false">
      <c r="A526" s="4" t="s">
        <v>828</v>
      </c>
      <c r="B526" s="4" t="s">
        <v>131</v>
      </c>
      <c r="C526" s="4" t="s">
        <v>257</v>
      </c>
      <c r="D526" s="4" t="s">
        <v>283</v>
      </c>
      <c r="E526" s="4" t="s">
        <v>202</v>
      </c>
      <c r="F526" s="4" t="s">
        <v>277</v>
      </c>
      <c r="G526" s="5" t="n">
        <v>46293.1923611111</v>
      </c>
      <c r="H526" s="5" t="n">
        <v>46294.9576388889</v>
      </c>
      <c r="I526" s="5" t="n">
        <v>46295.0229166667</v>
      </c>
      <c r="J526" s="4" t="s">
        <v>284</v>
      </c>
      <c r="K526" s="4" t="s">
        <v>828</v>
      </c>
      <c r="L526" s="4" t="s">
        <v>257</v>
      </c>
      <c r="M526" s="4" t="n">
        <v>1</v>
      </c>
      <c r="N526" s="4" t="n">
        <v>1</v>
      </c>
      <c r="O526" s="4" t="n">
        <v>0</v>
      </c>
      <c r="P526" s="12"/>
      <c r="Q526" s="4" t="n">
        <v>0</v>
      </c>
      <c r="R526" s="0" t="str">
        <f aca="false">INDEX(Owners!$B$4:$B$21,MATCH(D526,Owners!$A$4:$A$21,0))</f>
        <v>Data Platform</v>
      </c>
      <c r="S526" s="6" t="b">
        <f aca="false">AND(F526="closed",ISNUMBER(H526),H526&lt;=Controls!$B$4)</f>
        <v>1</v>
      </c>
      <c r="T526" s="6" t="b">
        <f aca="false">AND(ISNUMBER(I526),I526&lt;=Controls!$B$4,J526="rerun",K526=A526,L526=C526,M526=N526,O526=0,I526&gt;=G526,IF(ISNUMBER(P526),I526&gt;=P526,TRUE()))</f>
        <v>1</v>
      </c>
      <c r="U526" s="0" t="str">
        <f aca="false">IF(AND(S526,T526),"resolved",IF(S526,"claimed","open"))</f>
        <v>resolved</v>
      </c>
      <c r="V526" s="11" t="n">
        <f aca="false">ROUND((IF(U526="resolved",I526,IF(U526="claimed",H526,Controls!$B$4))-G526)*24,4)</f>
        <v>43.9333</v>
      </c>
      <c r="W526" s="6" t="b">
        <f aca="false">INDEX(Owners!$E$4:$E$21,MATCH(D526,Owners!$A$4:$A$21,0))</f>
        <v>1</v>
      </c>
    </row>
    <row r="527" customFormat="false" ht="15" hidden="false" customHeight="false" outlineLevel="0" collapsed="false">
      <c r="A527" s="4" t="s">
        <v>829</v>
      </c>
      <c r="B527" s="4" t="s">
        <v>96</v>
      </c>
      <c r="C527" s="4" t="s">
        <v>206</v>
      </c>
      <c r="D527" s="4" t="s">
        <v>330</v>
      </c>
      <c r="E527" s="4" t="s">
        <v>202</v>
      </c>
      <c r="F527" s="4" t="s">
        <v>277</v>
      </c>
      <c r="G527" s="5" t="n">
        <v>46293.2194444445</v>
      </c>
      <c r="H527" s="5" t="n">
        <v>46294.5381944445</v>
      </c>
      <c r="I527" s="12"/>
      <c r="N527" s="4" t="n">
        <v>2</v>
      </c>
      <c r="P527" s="12"/>
      <c r="Q527" s="4" t="n">
        <v>0</v>
      </c>
      <c r="R527" s="0" t="str">
        <f aca="false">INDEX(Owners!$B$4:$B$21,MATCH(D527,Owners!$A$4:$A$21,0))</f>
        <v>Supply Chain</v>
      </c>
      <c r="S527" s="6" t="b">
        <f aca="false">AND(F527="closed",ISNUMBER(H527),H527&lt;=Controls!$B$4)</f>
        <v>1</v>
      </c>
      <c r="T527" s="6" t="b">
        <f aca="false">AND(ISNUMBER(I527),I527&lt;=Controls!$B$4,J527="rerun",K527=A527,L527=C527,M527=N527,O527=0,I527&gt;=G527,IF(ISNUMBER(P527),I527&gt;=P527,TRUE()))</f>
        <v>0</v>
      </c>
      <c r="U527" s="0" t="str">
        <f aca="false">IF(AND(S527,T527),"resolved",IF(S527,"claimed","open"))</f>
        <v>claimed</v>
      </c>
      <c r="V527" s="11" t="n">
        <f aca="false">ROUND((IF(U527="resolved",I527,IF(U527="claimed",H527,Controls!$B$4))-G527)*24,4)</f>
        <v>31.65</v>
      </c>
      <c r="W527" s="6" t="b">
        <f aca="false">INDEX(Owners!$E$4:$E$21,MATCH(D527,Owners!$A$4:$A$21,0))</f>
        <v>1</v>
      </c>
    </row>
    <row r="528" customFormat="false" ht="15" hidden="false" customHeight="false" outlineLevel="0" collapsed="false">
      <c r="A528" s="4" t="s">
        <v>830</v>
      </c>
      <c r="B528" s="4" t="s">
        <v>110</v>
      </c>
      <c r="C528" s="4" t="s">
        <v>226</v>
      </c>
      <c r="D528" s="4" t="s">
        <v>286</v>
      </c>
      <c r="E528" s="4" t="s">
        <v>202</v>
      </c>
      <c r="F528" s="4" t="s">
        <v>556</v>
      </c>
      <c r="G528" s="5" t="n">
        <v>46293.2326388889</v>
      </c>
      <c r="H528" s="12"/>
      <c r="I528" s="12"/>
      <c r="N528" s="4" t="n">
        <v>2</v>
      </c>
      <c r="P528" s="12"/>
      <c r="Q528" s="4" t="n">
        <v>0</v>
      </c>
      <c r="R528" s="0" t="str">
        <f aca="false">INDEX(Owners!$B$4:$B$21,MATCH(D528,Owners!$A$4:$A$21,0))</f>
        <v>Finance Systems</v>
      </c>
      <c r="S528" s="6" t="b">
        <f aca="false">AND(F528="closed",ISNUMBER(H528),H528&lt;=Controls!$B$4)</f>
        <v>0</v>
      </c>
      <c r="T528" s="6" t="b">
        <f aca="false">AND(ISNUMBER(I528),I528&lt;=Controls!$B$4,J528="rerun",K528=A528,L528=C528,M528=N528,O528=0,I528&gt;=G528,IF(ISNUMBER(P528),I528&gt;=P528,TRUE()))</f>
        <v>0</v>
      </c>
      <c r="U528" s="0" t="str">
        <f aca="false">IF(AND(S528,T528),"resolved",IF(S528,"claimed","open"))</f>
        <v>open</v>
      </c>
      <c r="V528" s="11" t="n">
        <f aca="false">ROUND((IF(U528="resolved",I528,IF(U528="claimed",H528,Controls!$B$4))-G528)*24,4)</f>
        <v>162.4167</v>
      </c>
      <c r="W528" s="6" t="b">
        <f aca="false">INDEX(Owners!$E$4:$E$21,MATCH(D528,Owners!$A$4:$A$21,0))</f>
        <v>0</v>
      </c>
    </row>
    <row r="529" customFormat="false" ht="15" hidden="false" customHeight="false" outlineLevel="0" collapsed="false">
      <c r="A529" s="4" t="s">
        <v>831</v>
      </c>
      <c r="B529" s="4" t="s">
        <v>128</v>
      </c>
      <c r="C529" s="4" t="s">
        <v>254</v>
      </c>
      <c r="D529" s="4" t="s">
        <v>283</v>
      </c>
      <c r="E529" s="4" t="s">
        <v>202</v>
      </c>
      <c r="F529" s="4" t="s">
        <v>277</v>
      </c>
      <c r="G529" s="5" t="n">
        <v>46293.9930555556</v>
      </c>
      <c r="H529" s="5" t="n">
        <v>46297.4340277778</v>
      </c>
      <c r="I529" s="5" t="n">
        <v>46297.6194444444</v>
      </c>
      <c r="J529" s="4" t="s">
        <v>284</v>
      </c>
      <c r="K529" s="4" t="s">
        <v>831</v>
      </c>
      <c r="L529" s="4" t="s">
        <v>254</v>
      </c>
      <c r="M529" s="4" t="n">
        <v>1</v>
      </c>
      <c r="N529" s="4" t="n">
        <v>1</v>
      </c>
      <c r="O529" s="4" t="n">
        <v>0</v>
      </c>
      <c r="P529" s="12"/>
      <c r="Q529" s="4" t="n">
        <v>0</v>
      </c>
      <c r="R529" s="0" t="str">
        <f aca="false">INDEX(Owners!$B$4:$B$21,MATCH(D529,Owners!$A$4:$A$21,0))</f>
        <v>Data Platform</v>
      </c>
      <c r="S529" s="6" t="b">
        <f aca="false">AND(F529="closed",ISNUMBER(H529),H529&lt;=Controls!$B$4)</f>
        <v>1</v>
      </c>
      <c r="T529" s="6" t="b">
        <f aca="false">AND(ISNUMBER(I529),I529&lt;=Controls!$B$4,J529="rerun",K529=A529,L529=C529,M529=N529,O529=0,I529&gt;=G529,IF(ISNUMBER(P529),I529&gt;=P529,TRUE()))</f>
        <v>1</v>
      </c>
      <c r="U529" s="0" t="str">
        <f aca="false">IF(AND(S529,T529),"resolved",IF(S529,"claimed","open"))</f>
        <v>resolved</v>
      </c>
      <c r="V529" s="11" t="n">
        <f aca="false">ROUND((IF(U529="resolved",I529,IF(U529="claimed",H529,Controls!$B$4))-G529)*24,4)</f>
        <v>87.0333</v>
      </c>
      <c r="W529" s="6" t="b">
        <f aca="false">INDEX(Owners!$E$4:$E$21,MATCH(D529,Owners!$A$4:$A$21,0))</f>
        <v>1</v>
      </c>
    </row>
    <row r="530" customFormat="false" ht="15" hidden="false" customHeight="false" outlineLevel="0" collapsed="false">
      <c r="A530" s="4" t="s">
        <v>832</v>
      </c>
      <c r="B530" s="4" t="s">
        <v>102</v>
      </c>
      <c r="C530" s="4" t="s">
        <v>213</v>
      </c>
      <c r="D530" s="4" t="s">
        <v>290</v>
      </c>
      <c r="E530" s="4" t="s">
        <v>202</v>
      </c>
      <c r="F530" s="4" t="s">
        <v>562</v>
      </c>
      <c r="G530" s="5" t="n">
        <v>46294.0833333333</v>
      </c>
      <c r="H530" s="5" t="n">
        <v>46295.4388888889</v>
      </c>
      <c r="I530" s="5" t="n">
        <v>46295.5791666667</v>
      </c>
      <c r="J530" s="4" t="s">
        <v>284</v>
      </c>
      <c r="K530" s="4" t="s">
        <v>832</v>
      </c>
      <c r="L530" s="4" t="s">
        <v>213</v>
      </c>
      <c r="M530" s="4" t="n">
        <v>1</v>
      </c>
      <c r="N530" s="4" t="n">
        <v>1</v>
      </c>
      <c r="O530" s="4" t="n">
        <v>0</v>
      </c>
      <c r="P530" s="5" t="n">
        <v>46298.225</v>
      </c>
      <c r="Q530" s="4" t="n">
        <v>1</v>
      </c>
      <c r="R530" s="0" t="str">
        <f aca="false">INDEX(Owners!$B$4:$B$21,MATCH(D530,Owners!$A$4:$A$21,0))</f>
        <v>Customer Data</v>
      </c>
      <c r="S530" s="6" t="b">
        <f aca="false">AND(F530="closed",ISNUMBER(H530),H530&lt;=Controls!$B$4)</f>
        <v>0</v>
      </c>
      <c r="T530" s="6" t="b">
        <f aca="false">AND(ISNUMBER(I530),I530&lt;=Controls!$B$4,J530="rerun",K530=A530,L530=C530,M530=N530,O530=0,I530&gt;=G530,IF(ISNUMBER(P530),I530&gt;=P530,TRUE()))</f>
        <v>0</v>
      </c>
      <c r="U530" s="0" t="str">
        <f aca="false">IF(AND(S530,T530),"resolved",IF(S530,"claimed","open"))</f>
        <v>open</v>
      </c>
      <c r="V530" s="11" t="n">
        <f aca="false">ROUND((IF(U530="resolved",I530,IF(U530="claimed",H530,Controls!$B$4))-G530)*24,4)</f>
        <v>142</v>
      </c>
      <c r="W530" s="6" t="b">
        <f aca="false">INDEX(Owners!$E$4:$E$21,MATCH(D530,Owners!$A$4:$A$21,0))</f>
        <v>1</v>
      </c>
    </row>
    <row r="531" customFormat="false" ht="15" hidden="false" customHeight="false" outlineLevel="0" collapsed="false">
      <c r="A531" s="4" t="s">
        <v>833</v>
      </c>
      <c r="B531" s="4" t="s">
        <v>108</v>
      </c>
      <c r="C531" s="4" t="s">
        <v>225</v>
      </c>
      <c r="D531" s="4" t="s">
        <v>330</v>
      </c>
      <c r="E531" s="4" t="s">
        <v>204</v>
      </c>
      <c r="F531" s="4" t="s">
        <v>277</v>
      </c>
      <c r="G531" s="5" t="n">
        <v>46294.1159722222</v>
      </c>
      <c r="H531" s="5" t="n">
        <v>46295.89375</v>
      </c>
      <c r="I531" s="5" t="n">
        <v>46295.9840277778</v>
      </c>
      <c r="J531" s="4" t="s">
        <v>284</v>
      </c>
      <c r="K531" s="4" t="s">
        <v>833</v>
      </c>
      <c r="L531" s="4" t="s">
        <v>225</v>
      </c>
      <c r="M531" s="4" t="n">
        <v>1</v>
      </c>
      <c r="N531" s="4" t="n">
        <v>1</v>
      </c>
      <c r="O531" s="4" t="n">
        <v>0</v>
      </c>
      <c r="P531" s="12"/>
      <c r="Q531" s="4" t="n">
        <v>0</v>
      </c>
      <c r="R531" s="0" t="str">
        <f aca="false">INDEX(Owners!$B$4:$B$21,MATCH(D531,Owners!$A$4:$A$21,0))</f>
        <v>Supply Chain</v>
      </c>
      <c r="S531" s="6" t="b">
        <f aca="false">AND(F531="closed",ISNUMBER(H531),H531&lt;=Controls!$B$4)</f>
        <v>1</v>
      </c>
      <c r="T531" s="6" t="b">
        <f aca="false">AND(ISNUMBER(I531),I531&lt;=Controls!$B$4,J531="rerun",K531=A531,L531=C531,M531=N531,O531=0,I531&gt;=G531,IF(ISNUMBER(P531),I531&gt;=P531,TRUE()))</f>
        <v>1</v>
      </c>
      <c r="U531" s="0" t="str">
        <f aca="false">IF(AND(S531,T531),"resolved",IF(S531,"claimed","open"))</f>
        <v>resolved</v>
      </c>
      <c r="V531" s="11" t="n">
        <f aca="false">ROUND((IF(U531="resolved",I531,IF(U531="claimed",H531,Controls!$B$4))-G531)*24,4)</f>
        <v>44.8333</v>
      </c>
      <c r="W531" s="6" t="b">
        <f aca="false">INDEX(Owners!$E$4:$E$21,MATCH(D531,Owners!$A$4:$A$21,0))</f>
        <v>1</v>
      </c>
    </row>
    <row r="532" customFormat="false" ht="15" hidden="false" customHeight="false" outlineLevel="0" collapsed="false">
      <c r="A532" s="4" t="s">
        <v>834</v>
      </c>
      <c r="B532" s="4" t="s">
        <v>124</v>
      </c>
      <c r="C532" s="4" t="s">
        <v>248</v>
      </c>
      <c r="D532" s="4" t="s">
        <v>301</v>
      </c>
      <c r="E532" s="4" t="s">
        <v>202</v>
      </c>
      <c r="F532" s="4" t="s">
        <v>277</v>
      </c>
      <c r="G532" s="5" t="n">
        <v>46294.1423611111</v>
      </c>
      <c r="H532" s="5" t="n">
        <v>46296.2916666667</v>
      </c>
      <c r="I532" s="5" t="n">
        <v>46296.34375</v>
      </c>
      <c r="J532" s="4" t="s">
        <v>284</v>
      </c>
      <c r="K532" s="4" t="s">
        <v>834</v>
      </c>
      <c r="L532" s="4" t="s">
        <v>248</v>
      </c>
      <c r="M532" s="4" t="n">
        <v>1</v>
      </c>
      <c r="N532" s="4" t="n">
        <v>1</v>
      </c>
      <c r="O532" s="4" t="n">
        <v>0</v>
      </c>
      <c r="P532" s="12"/>
      <c r="Q532" s="4" t="n">
        <v>0</v>
      </c>
      <c r="R532" s="0" t="str">
        <f aca="false">INDEX(Owners!$B$4:$B$21,MATCH(D532,Owners!$A$4:$A$21,0))</f>
        <v>Data Platform</v>
      </c>
      <c r="S532" s="6" t="b">
        <f aca="false">AND(F532="closed",ISNUMBER(H532),H532&lt;=Controls!$B$4)</f>
        <v>1</v>
      </c>
      <c r="T532" s="6" t="b">
        <f aca="false">AND(ISNUMBER(I532),I532&lt;=Controls!$B$4,J532="rerun",K532=A532,L532=C532,M532=N532,O532=0,I532&gt;=G532,IF(ISNUMBER(P532),I532&gt;=P532,TRUE()))</f>
        <v>1</v>
      </c>
      <c r="U532" s="0" t="str">
        <f aca="false">IF(AND(S532,T532),"resolved",IF(S532,"claimed","open"))</f>
        <v>resolved</v>
      </c>
      <c r="V532" s="11" t="n">
        <f aca="false">ROUND((IF(U532="resolved",I532,IF(U532="claimed",H532,Controls!$B$4))-G532)*24,4)</f>
        <v>52.8333</v>
      </c>
      <c r="W532" s="6" t="b">
        <f aca="false">INDEX(Owners!$E$4:$E$21,MATCH(D532,Owners!$A$4:$A$21,0))</f>
        <v>1</v>
      </c>
    </row>
    <row r="533" customFormat="false" ht="15" hidden="false" customHeight="false" outlineLevel="0" collapsed="false">
      <c r="A533" s="4" t="s">
        <v>835</v>
      </c>
      <c r="B533" s="4" t="s">
        <v>92</v>
      </c>
      <c r="C533" s="4" t="s">
        <v>201</v>
      </c>
      <c r="D533" s="4" t="s">
        <v>330</v>
      </c>
      <c r="E533" s="4" t="s">
        <v>202</v>
      </c>
      <c r="F533" s="4" t="s">
        <v>556</v>
      </c>
      <c r="G533" s="5" t="n">
        <v>46294.1465277778</v>
      </c>
      <c r="H533" s="12"/>
      <c r="I533" s="12"/>
      <c r="N533" s="4" t="n">
        <v>1</v>
      </c>
      <c r="P533" s="12"/>
      <c r="Q533" s="4" t="n">
        <v>0</v>
      </c>
      <c r="R533" s="0" t="str">
        <f aca="false">INDEX(Owners!$B$4:$B$21,MATCH(D533,Owners!$A$4:$A$21,0))</f>
        <v>Supply Chain</v>
      </c>
      <c r="S533" s="6" t="b">
        <f aca="false">AND(F533="closed",ISNUMBER(H533),H533&lt;=Controls!$B$4)</f>
        <v>0</v>
      </c>
      <c r="T533" s="6" t="b">
        <f aca="false">AND(ISNUMBER(I533),I533&lt;=Controls!$B$4,J533="rerun",K533=A533,L533=C533,M533=N533,O533=0,I533&gt;=G533,IF(ISNUMBER(P533),I533&gt;=P533,TRUE()))</f>
        <v>0</v>
      </c>
      <c r="U533" s="0" t="str">
        <f aca="false">IF(AND(S533,T533),"resolved",IF(S533,"claimed","open"))</f>
        <v>open</v>
      </c>
      <c r="V533" s="11" t="n">
        <f aca="false">ROUND((IF(U533="resolved",I533,IF(U533="claimed",H533,Controls!$B$4))-G533)*24,4)</f>
        <v>140.4833</v>
      </c>
      <c r="W533" s="6" t="b">
        <f aca="false">INDEX(Owners!$E$4:$E$21,MATCH(D533,Owners!$A$4:$A$21,0))</f>
        <v>1</v>
      </c>
    </row>
    <row r="534" customFormat="false" ht="15" hidden="false" customHeight="false" outlineLevel="0" collapsed="false">
      <c r="A534" s="4" t="s">
        <v>836</v>
      </c>
      <c r="B534" s="4" t="s">
        <v>129</v>
      </c>
      <c r="C534" s="4" t="s">
        <v>255</v>
      </c>
      <c r="D534" s="4" t="s">
        <v>497</v>
      </c>
      <c r="E534" s="4" t="s">
        <v>204</v>
      </c>
      <c r="F534" s="4" t="s">
        <v>562</v>
      </c>
      <c r="G534" s="5" t="n">
        <v>46294.1743055556</v>
      </c>
      <c r="H534" s="12"/>
      <c r="I534" s="12"/>
      <c r="N534" s="4" t="n">
        <v>1</v>
      </c>
      <c r="P534" s="12"/>
      <c r="Q534" s="4" t="n">
        <v>0</v>
      </c>
      <c r="R534" s="0" t="str">
        <f aca="false">INDEX(Owners!$B$4:$B$21,MATCH(D534,Owners!$A$4:$A$21,0))</f>
        <v>Support Operations</v>
      </c>
      <c r="S534" s="6" t="b">
        <f aca="false">AND(F534="closed",ISNUMBER(H534),H534&lt;=Controls!$B$4)</f>
        <v>0</v>
      </c>
      <c r="T534" s="6" t="b">
        <f aca="false">AND(ISNUMBER(I534),I534&lt;=Controls!$B$4,J534="rerun",K534=A534,L534=C534,M534=N534,O534=0,I534&gt;=G534,IF(ISNUMBER(P534),I534&gt;=P534,TRUE()))</f>
        <v>0</v>
      </c>
      <c r="U534" s="0" t="str">
        <f aca="false">IF(AND(S534,T534),"resolved",IF(S534,"claimed","open"))</f>
        <v>open</v>
      </c>
      <c r="V534" s="11" t="n">
        <f aca="false">ROUND((IF(U534="resolved",I534,IF(U534="claimed",H534,Controls!$B$4))-G534)*24,4)</f>
        <v>139.8167</v>
      </c>
      <c r="W534" s="6" t="b">
        <f aca="false">INDEX(Owners!$E$4:$E$21,MATCH(D534,Owners!$A$4:$A$21,0))</f>
        <v>1</v>
      </c>
    </row>
    <row r="535" customFormat="false" ht="15" hidden="false" customHeight="false" outlineLevel="0" collapsed="false">
      <c r="A535" s="4" t="s">
        <v>837</v>
      </c>
      <c r="B535" s="4" t="s">
        <v>96</v>
      </c>
      <c r="C535" s="4" t="s">
        <v>206</v>
      </c>
      <c r="D535" s="4" t="s">
        <v>330</v>
      </c>
      <c r="E535" s="4" t="s">
        <v>202</v>
      </c>
      <c r="F535" s="4" t="s">
        <v>562</v>
      </c>
      <c r="G535" s="5" t="n">
        <v>46294.2194444445</v>
      </c>
      <c r="H535" s="12"/>
      <c r="I535" s="12"/>
      <c r="N535" s="4" t="n">
        <v>2</v>
      </c>
      <c r="P535" s="12"/>
      <c r="Q535" s="4" t="n">
        <v>0</v>
      </c>
      <c r="R535" s="0" t="str">
        <f aca="false">INDEX(Owners!$B$4:$B$21,MATCH(D535,Owners!$A$4:$A$21,0))</f>
        <v>Supply Chain</v>
      </c>
      <c r="S535" s="6" t="b">
        <f aca="false">AND(F535="closed",ISNUMBER(H535),H535&lt;=Controls!$B$4)</f>
        <v>0</v>
      </c>
      <c r="T535" s="6" t="b">
        <f aca="false">AND(ISNUMBER(I535),I535&lt;=Controls!$B$4,J535="rerun",K535=A535,L535=C535,M535=N535,O535=0,I535&gt;=G535,IF(ISNUMBER(P535),I535&gt;=P535,TRUE()))</f>
        <v>0</v>
      </c>
      <c r="U535" s="0" t="str">
        <f aca="false">IF(AND(S535,T535),"resolved",IF(S535,"claimed","open"))</f>
        <v>open</v>
      </c>
      <c r="V535" s="11" t="n">
        <f aca="false">ROUND((IF(U535="resolved",I535,IF(U535="claimed",H535,Controls!$B$4))-G535)*24,4)</f>
        <v>138.7333</v>
      </c>
      <c r="W535" s="6" t="b">
        <f aca="false">INDEX(Owners!$E$4:$E$21,MATCH(D535,Owners!$A$4:$A$21,0))</f>
        <v>1</v>
      </c>
    </row>
    <row r="536" customFormat="false" ht="15" hidden="false" customHeight="false" outlineLevel="0" collapsed="false">
      <c r="A536" s="4" t="s">
        <v>838</v>
      </c>
      <c r="B536" s="4" t="s">
        <v>110</v>
      </c>
      <c r="C536" s="4" t="s">
        <v>226</v>
      </c>
      <c r="D536" s="4" t="s">
        <v>286</v>
      </c>
      <c r="E536" s="4" t="s">
        <v>202</v>
      </c>
      <c r="F536" s="4" t="s">
        <v>562</v>
      </c>
      <c r="G536" s="5" t="n">
        <v>46294.2326388889</v>
      </c>
      <c r="H536" s="12"/>
      <c r="I536" s="12"/>
      <c r="N536" s="4" t="n">
        <v>2</v>
      </c>
      <c r="P536" s="12"/>
      <c r="Q536" s="4" t="n">
        <v>0</v>
      </c>
      <c r="R536" s="0" t="str">
        <f aca="false">INDEX(Owners!$B$4:$B$21,MATCH(D536,Owners!$A$4:$A$21,0))</f>
        <v>Finance Systems</v>
      </c>
      <c r="S536" s="6" t="b">
        <f aca="false">AND(F536="closed",ISNUMBER(H536),H536&lt;=Controls!$B$4)</f>
        <v>0</v>
      </c>
      <c r="T536" s="6" t="b">
        <f aca="false">AND(ISNUMBER(I536),I536&lt;=Controls!$B$4,J536="rerun",K536=A536,L536=C536,M536=N536,O536=0,I536&gt;=G536,IF(ISNUMBER(P536),I536&gt;=P536,TRUE()))</f>
        <v>0</v>
      </c>
      <c r="U536" s="0" t="str">
        <f aca="false">IF(AND(S536,T536),"resolved",IF(S536,"claimed","open"))</f>
        <v>open</v>
      </c>
      <c r="V536" s="11" t="n">
        <f aca="false">ROUND((IF(U536="resolved",I536,IF(U536="claimed",H536,Controls!$B$4))-G536)*24,4)</f>
        <v>138.4167</v>
      </c>
      <c r="W536" s="6" t="b">
        <f aca="false">INDEX(Owners!$E$4:$E$21,MATCH(D536,Owners!$A$4:$A$21,0))</f>
        <v>0</v>
      </c>
    </row>
    <row r="537" customFormat="false" ht="15" hidden="false" customHeight="false" outlineLevel="0" collapsed="false">
      <c r="A537" s="4" t="s">
        <v>839</v>
      </c>
      <c r="B537" s="4" t="s">
        <v>115</v>
      </c>
      <c r="C537" s="4" t="s">
        <v>238</v>
      </c>
      <c r="D537" s="4" t="s">
        <v>301</v>
      </c>
      <c r="E537" s="4" t="s">
        <v>202</v>
      </c>
      <c r="F537" s="4" t="s">
        <v>277</v>
      </c>
      <c r="G537" s="5" t="n">
        <v>46294.9930555556</v>
      </c>
      <c r="H537" s="5" t="n">
        <v>46296.8402777778</v>
      </c>
      <c r="I537" s="5" t="n">
        <v>46296.9618055556</v>
      </c>
      <c r="J537" s="4" t="s">
        <v>284</v>
      </c>
      <c r="K537" s="4" t="s">
        <v>839</v>
      </c>
      <c r="L537" s="4" t="s">
        <v>238</v>
      </c>
      <c r="M537" s="4" t="n">
        <v>1</v>
      </c>
      <c r="N537" s="4" t="n">
        <v>1</v>
      </c>
      <c r="O537" s="4" t="n">
        <v>0</v>
      </c>
      <c r="P537" s="12"/>
      <c r="Q537" s="4" t="n">
        <v>0</v>
      </c>
      <c r="R537" s="0" t="str">
        <f aca="false">INDEX(Owners!$B$4:$B$21,MATCH(D537,Owners!$A$4:$A$21,0))</f>
        <v>Data Platform</v>
      </c>
      <c r="S537" s="6" t="b">
        <f aca="false">AND(F537="closed",ISNUMBER(H537),H537&lt;=Controls!$B$4)</f>
        <v>1</v>
      </c>
      <c r="T537" s="6" t="b">
        <f aca="false">AND(ISNUMBER(I537),I537&lt;=Controls!$B$4,J537="rerun",K537=A537,L537=C537,M537=N537,O537=0,I537&gt;=G537,IF(ISNUMBER(P537),I537&gt;=P537,TRUE()))</f>
        <v>1</v>
      </c>
      <c r="U537" s="0" t="str">
        <f aca="false">IF(AND(S537,T537),"resolved",IF(S537,"claimed","open"))</f>
        <v>resolved</v>
      </c>
      <c r="V537" s="11" t="n">
        <f aca="false">ROUND((IF(U537="resolved",I537,IF(U537="claimed",H537,Controls!$B$4))-G537)*24,4)</f>
        <v>47.25</v>
      </c>
      <c r="W537" s="6" t="b">
        <f aca="false">INDEX(Owners!$E$4:$E$21,MATCH(D537,Owners!$A$4:$A$21,0))</f>
        <v>1</v>
      </c>
    </row>
    <row r="538" customFormat="false" ht="15" hidden="false" customHeight="false" outlineLevel="0" collapsed="false">
      <c r="A538" s="4" t="s">
        <v>840</v>
      </c>
      <c r="B538" s="4" t="s">
        <v>107</v>
      </c>
      <c r="C538" s="4" t="s">
        <v>224</v>
      </c>
      <c r="D538" s="4" t="s">
        <v>326</v>
      </c>
      <c r="E538" s="4" t="s">
        <v>202</v>
      </c>
      <c r="F538" s="4" t="s">
        <v>556</v>
      </c>
      <c r="G538" s="5" t="n">
        <v>46295.0972222222</v>
      </c>
      <c r="H538" s="12"/>
      <c r="I538" s="12"/>
      <c r="N538" s="4" t="n">
        <v>1</v>
      </c>
      <c r="P538" s="12"/>
      <c r="Q538" s="4" t="n">
        <v>0</v>
      </c>
      <c r="R538" s="0" t="str">
        <f aca="false">INDEX(Owners!$B$4:$B$21,MATCH(D538,Owners!$A$4:$A$21,0))</f>
        <v>Customer Data</v>
      </c>
      <c r="S538" s="6" t="b">
        <f aca="false">AND(F538="closed",ISNUMBER(H538),H538&lt;=Controls!$B$4)</f>
        <v>0</v>
      </c>
      <c r="T538" s="6" t="b">
        <f aca="false">AND(ISNUMBER(I538),I538&lt;=Controls!$B$4,J538="rerun",K538=A538,L538=C538,M538=N538,O538=0,I538&gt;=G538,IF(ISNUMBER(P538),I538&gt;=P538,TRUE()))</f>
        <v>0</v>
      </c>
      <c r="U538" s="0" t="str">
        <f aca="false">IF(AND(S538,T538),"resolved",IF(S538,"claimed","open"))</f>
        <v>open</v>
      </c>
      <c r="V538" s="11" t="n">
        <f aca="false">ROUND((IF(U538="resolved",I538,IF(U538="claimed",H538,Controls!$B$4))-G538)*24,4)</f>
        <v>117.6667</v>
      </c>
      <c r="W538" s="6" t="b">
        <f aca="false">INDEX(Owners!$E$4:$E$21,MATCH(D538,Owners!$A$4:$A$21,0))</f>
        <v>0</v>
      </c>
    </row>
    <row r="539" customFormat="false" ht="15" hidden="false" customHeight="false" outlineLevel="0" collapsed="false">
      <c r="A539" s="4" t="s">
        <v>841</v>
      </c>
      <c r="B539" s="4" t="s">
        <v>103</v>
      </c>
      <c r="C539" s="4" t="s">
        <v>218</v>
      </c>
      <c r="D539" s="4" t="s">
        <v>350</v>
      </c>
      <c r="E539" s="4" t="s">
        <v>202</v>
      </c>
      <c r="F539" s="4" t="s">
        <v>277</v>
      </c>
      <c r="G539" s="5" t="n">
        <v>46295.0979166667</v>
      </c>
      <c r="H539" s="5" t="n">
        <v>46299.8118055556</v>
      </c>
      <c r="I539" s="5" t="n">
        <v>46299.8951388889</v>
      </c>
      <c r="J539" s="4" t="s">
        <v>284</v>
      </c>
      <c r="K539" s="4" t="s">
        <v>841</v>
      </c>
      <c r="L539" s="4" t="s">
        <v>218</v>
      </c>
      <c r="M539" s="4" t="n">
        <v>2</v>
      </c>
      <c r="N539" s="4" t="n">
        <v>2</v>
      </c>
      <c r="O539" s="4" t="n">
        <v>0</v>
      </c>
      <c r="P539" s="12"/>
      <c r="Q539" s="4" t="n">
        <v>0</v>
      </c>
      <c r="R539" s="0" t="str">
        <f aca="false">INDEX(Owners!$B$4:$B$21,MATCH(D539,Owners!$A$4:$A$21,0))</f>
        <v>Supply Chain</v>
      </c>
      <c r="S539" s="6" t="b">
        <f aca="false">AND(F539="closed",ISNUMBER(H539),H539&lt;=Controls!$B$4)</f>
        <v>1</v>
      </c>
      <c r="T539" s="6" t="b">
        <f aca="false">AND(ISNUMBER(I539),I539&lt;=Controls!$B$4,J539="rerun",K539=A539,L539=C539,M539=N539,O539=0,I539&gt;=G539,IF(ISNUMBER(P539),I539&gt;=P539,TRUE()))</f>
        <v>1</v>
      </c>
      <c r="U539" s="0" t="str">
        <f aca="false">IF(AND(S539,T539),"resolved",IF(S539,"claimed","open"))</f>
        <v>resolved</v>
      </c>
      <c r="V539" s="11" t="n">
        <f aca="false">ROUND((IF(U539="resolved",I539,IF(U539="claimed",H539,Controls!$B$4))-G539)*24,4)</f>
        <v>115.1333</v>
      </c>
      <c r="W539" s="6" t="b">
        <f aca="false">INDEX(Owners!$E$4:$E$21,MATCH(D539,Owners!$A$4:$A$21,0))</f>
        <v>1</v>
      </c>
    </row>
    <row r="540" customFormat="false" ht="15" hidden="false" customHeight="false" outlineLevel="0" collapsed="false">
      <c r="A540" s="4" t="s">
        <v>842</v>
      </c>
      <c r="B540" s="4" t="s">
        <v>95</v>
      </c>
      <c r="C540" s="4" t="s">
        <v>205</v>
      </c>
      <c r="D540" s="4" t="s">
        <v>283</v>
      </c>
      <c r="E540" s="4" t="s">
        <v>204</v>
      </c>
      <c r="F540" s="4" t="s">
        <v>277</v>
      </c>
      <c r="G540" s="5" t="n">
        <v>46295.1069444444</v>
      </c>
      <c r="H540" s="5" t="n">
        <v>46296.6444444444</v>
      </c>
      <c r="I540" s="5" t="n">
        <v>46296.6756944444</v>
      </c>
      <c r="J540" s="4" t="s">
        <v>284</v>
      </c>
      <c r="K540" s="4" t="s">
        <v>842</v>
      </c>
      <c r="L540" s="4" t="s">
        <v>205</v>
      </c>
      <c r="M540" s="4" t="n">
        <v>1</v>
      </c>
      <c r="N540" s="4" t="n">
        <v>1</v>
      </c>
      <c r="O540" s="4" t="n">
        <v>0</v>
      </c>
      <c r="P540" s="12"/>
      <c r="Q540" s="4" t="n">
        <v>0</v>
      </c>
      <c r="R540" s="0" t="str">
        <f aca="false">INDEX(Owners!$B$4:$B$21,MATCH(D540,Owners!$A$4:$A$21,0))</f>
        <v>Data Platform</v>
      </c>
      <c r="S540" s="6" t="b">
        <f aca="false">AND(F540="closed",ISNUMBER(H540),H540&lt;=Controls!$B$4)</f>
        <v>1</v>
      </c>
      <c r="T540" s="6" t="b">
        <f aca="false">AND(ISNUMBER(I540),I540&lt;=Controls!$B$4,J540="rerun",K540=A540,L540=C540,M540=N540,O540=0,I540&gt;=G540,IF(ISNUMBER(P540),I540&gt;=P540,TRUE()))</f>
        <v>1</v>
      </c>
      <c r="U540" s="0" t="str">
        <f aca="false">IF(AND(S540,T540),"resolved",IF(S540,"claimed","open"))</f>
        <v>resolved</v>
      </c>
      <c r="V540" s="11" t="n">
        <f aca="false">ROUND((IF(U540="resolved",I540,IF(U540="claimed",H540,Controls!$B$4))-G540)*24,4)</f>
        <v>37.65</v>
      </c>
      <c r="W540" s="6" t="b">
        <f aca="false">INDEX(Owners!$E$4:$E$21,MATCH(D540,Owners!$A$4:$A$21,0))</f>
        <v>1</v>
      </c>
    </row>
    <row r="541" customFormat="false" ht="15" hidden="false" customHeight="false" outlineLevel="0" collapsed="false">
      <c r="A541" s="4" t="s">
        <v>843</v>
      </c>
      <c r="B541" s="4" t="s">
        <v>115</v>
      </c>
      <c r="C541" s="4" t="s">
        <v>237</v>
      </c>
      <c r="D541" s="4" t="s">
        <v>301</v>
      </c>
      <c r="E541" s="4" t="s">
        <v>210</v>
      </c>
      <c r="F541" s="4" t="s">
        <v>277</v>
      </c>
      <c r="G541" s="5" t="n">
        <v>46295.1152777778</v>
      </c>
      <c r="H541" s="5" t="n">
        <v>46296.4215277778</v>
      </c>
      <c r="I541" s="12"/>
      <c r="N541" s="4" t="n">
        <v>1</v>
      </c>
      <c r="P541" s="12"/>
      <c r="Q541" s="4" t="n">
        <v>0</v>
      </c>
      <c r="R541" s="0" t="str">
        <f aca="false">INDEX(Owners!$B$4:$B$21,MATCH(D541,Owners!$A$4:$A$21,0))</f>
        <v>Data Platform</v>
      </c>
      <c r="S541" s="6" t="b">
        <f aca="false">AND(F541="closed",ISNUMBER(H541),H541&lt;=Controls!$B$4)</f>
        <v>1</v>
      </c>
      <c r="T541" s="6" t="b">
        <f aca="false">AND(ISNUMBER(I541),I541&lt;=Controls!$B$4,J541="rerun",K541=A541,L541=C541,M541=N541,O541=0,I541&gt;=G541,IF(ISNUMBER(P541),I541&gt;=P541,TRUE()))</f>
        <v>0</v>
      </c>
      <c r="U541" s="0" t="str">
        <f aca="false">IF(AND(S541,T541),"resolved",IF(S541,"claimed","open"))</f>
        <v>claimed</v>
      </c>
      <c r="V541" s="11" t="n">
        <f aca="false">ROUND((IF(U541="resolved",I541,IF(U541="claimed",H541,Controls!$B$4))-G541)*24,4)</f>
        <v>31.35</v>
      </c>
      <c r="W541" s="6" t="b">
        <f aca="false">INDEX(Owners!$E$4:$E$21,MATCH(D541,Owners!$A$4:$A$21,0))</f>
        <v>1</v>
      </c>
    </row>
    <row r="542" customFormat="false" ht="15" hidden="false" customHeight="false" outlineLevel="0" collapsed="false">
      <c r="A542" s="4" t="s">
        <v>844</v>
      </c>
      <c r="B542" s="4" t="s">
        <v>122</v>
      </c>
      <c r="C542" s="4" t="s">
        <v>245</v>
      </c>
      <c r="D542" s="4" t="s">
        <v>350</v>
      </c>
      <c r="E542" s="4" t="s">
        <v>204</v>
      </c>
      <c r="F542" s="4" t="s">
        <v>277</v>
      </c>
      <c r="G542" s="5" t="n">
        <v>46295.1291666667</v>
      </c>
      <c r="H542" s="5" t="n">
        <v>46297.6243055556</v>
      </c>
      <c r="I542" s="5" t="n">
        <v>46298.1215277778</v>
      </c>
      <c r="J542" s="4" t="s">
        <v>284</v>
      </c>
      <c r="K542" s="4" t="s">
        <v>844</v>
      </c>
      <c r="L542" s="4" t="s">
        <v>245</v>
      </c>
      <c r="M542" s="4" t="n">
        <v>1</v>
      </c>
      <c r="N542" s="4" t="n">
        <v>1</v>
      </c>
      <c r="O542" s="4" t="n">
        <v>0</v>
      </c>
      <c r="P542" s="12"/>
      <c r="Q542" s="4" t="n">
        <v>0</v>
      </c>
      <c r="R542" s="0" t="str">
        <f aca="false">INDEX(Owners!$B$4:$B$21,MATCH(D542,Owners!$A$4:$A$21,0))</f>
        <v>Supply Chain</v>
      </c>
      <c r="S542" s="6" t="b">
        <f aca="false">AND(F542="closed",ISNUMBER(H542),H542&lt;=Controls!$B$4)</f>
        <v>1</v>
      </c>
      <c r="T542" s="6" t="b">
        <f aca="false">AND(ISNUMBER(I542),I542&lt;=Controls!$B$4,J542="rerun",K542=A542,L542=C542,M542=N542,O542=0,I542&gt;=G542,IF(ISNUMBER(P542),I542&gt;=P542,TRUE()))</f>
        <v>1</v>
      </c>
      <c r="U542" s="0" t="str">
        <f aca="false">IF(AND(S542,T542),"resolved",IF(S542,"claimed","open"))</f>
        <v>resolved</v>
      </c>
      <c r="V542" s="11" t="n">
        <f aca="false">ROUND((IF(U542="resolved",I542,IF(U542="claimed",H542,Controls!$B$4))-G542)*24,4)</f>
        <v>71.8167</v>
      </c>
      <c r="W542" s="6" t="b">
        <f aca="false">INDEX(Owners!$E$4:$E$21,MATCH(D542,Owners!$A$4:$A$21,0))</f>
        <v>1</v>
      </c>
    </row>
    <row r="543" customFormat="false" ht="15" hidden="false" customHeight="false" outlineLevel="0" collapsed="false">
      <c r="A543" s="4" t="s">
        <v>845</v>
      </c>
      <c r="B543" s="4" t="s">
        <v>111</v>
      </c>
      <c r="C543" s="4" t="s">
        <v>229</v>
      </c>
      <c r="D543" s="4" t="s">
        <v>296</v>
      </c>
      <c r="E543" s="4" t="s">
        <v>202</v>
      </c>
      <c r="F543" s="4" t="s">
        <v>277</v>
      </c>
      <c r="G543" s="5" t="n">
        <v>46295.1645833333</v>
      </c>
      <c r="H543" s="5" t="n">
        <v>46297.6166666667</v>
      </c>
      <c r="I543" s="5" t="n">
        <v>46297.7784722222</v>
      </c>
      <c r="J543" s="4" t="s">
        <v>284</v>
      </c>
      <c r="K543" s="4" t="s">
        <v>845</v>
      </c>
      <c r="L543" s="4" t="s">
        <v>229</v>
      </c>
      <c r="M543" s="4" t="n">
        <v>2</v>
      </c>
      <c r="N543" s="4" t="n">
        <v>2</v>
      </c>
      <c r="O543" s="4" t="n">
        <v>0</v>
      </c>
      <c r="P543" s="12"/>
      <c r="Q543" s="4" t="n">
        <v>0</v>
      </c>
      <c r="R543" s="0" t="str">
        <f aca="false">INDEX(Owners!$B$4:$B$21,MATCH(D543,Owners!$A$4:$A$21,0))</f>
        <v>Data Platform</v>
      </c>
      <c r="S543" s="6" t="b">
        <f aca="false">AND(F543="closed",ISNUMBER(H543),H543&lt;=Controls!$B$4)</f>
        <v>1</v>
      </c>
      <c r="T543" s="6" t="b">
        <f aca="false">AND(ISNUMBER(I543),I543&lt;=Controls!$B$4,J543="rerun",K543=A543,L543=C543,M543=N543,O543=0,I543&gt;=G543,IF(ISNUMBER(P543),I543&gt;=P543,TRUE()))</f>
        <v>1</v>
      </c>
      <c r="U543" s="0" t="str">
        <f aca="false">IF(AND(S543,T543),"resolved",IF(S543,"claimed","open"))</f>
        <v>resolved</v>
      </c>
      <c r="V543" s="11" t="n">
        <f aca="false">ROUND((IF(U543="resolved",I543,IF(U543="claimed",H543,Controls!$B$4))-G543)*24,4)</f>
        <v>62.7333</v>
      </c>
      <c r="W543" s="6" t="b">
        <f aca="false">INDEX(Owners!$E$4:$E$21,MATCH(D543,Owners!$A$4:$A$21,0))</f>
        <v>1</v>
      </c>
    </row>
    <row r="544" customFormat="false" ht="15" hidden="false" customHeight="false" outlineLevel="0" collapsed="false">
      <c r="A544" s="4" t="s">
        <v>846</v>
      </c>
      <c r="B544" s="4" t="s">
        <v>125</v>
      </c>
      <c r="C544" s="4" t="s">
        <v>250</v>
      </c>
      <c r="D544" s="4" t="s">
        <v>334</v>
      </c>
      <c r="E544" s="4" t="s">
        <v>202</v>
      </c>
      <c r="F544" s="4" t="s">
        <v>562</v>
      </c>
      <c r="G544" s="5" t="n">
        <v>46295.1875</v>
      </c>
      <c r="H544" s="12"/>
      <c r="I544" s="12"/>
      <c r="N544" s="4" t="n">
        <v>1</v>
      </c>
      <c r="P544" s="12"/>
      <c r="Q544" s="4" t="n">
        <v>0</v>
      </c>
      <c r="R544" s="0" t="str">
        <f aca="false">INDEX(Owners!$B$4:$B$21,MATCH(D544,Owners!$A$4:$A$21,0))</f>
        <v>Supply Chain</v>
      </c>
      <c r="S544" s="6" t="b">
        <f aca="false">AND(F544="closed",ISNUMBER(H544),H544&lt;=Controls!$B$4)</f>
        <v>0</v>
      </c>
      <c r="T544" s="6" t="b">
        <f aca="false">AND(ISNUMBER(I544),I544&lt;=Controls!$B$4,J544="rerun",K544=A544,L544=C544,M544=N544,O544=0,I544&gt;=G544,IF(ISNUMBER(P544),I544&gt;=P544,TRUE()))</f>
        <v>0</v>
      </c>
      <c r="U544" s="0" t="str">
        <f aca="false">IF(AND(S544,T544),"resolved",IF(S544,"claimed","open"))</f>
        <v>open</v>
      </c>
      <c r="V544" s="11" t="n">
        <f aca="false">ROUND((IF(U544="resolved",I544,IF(U544="claimed",H544,Controls!$B$4))-G544)*24,4)</f>
        <v>115.5</v>
      </c>
      <c r="W544" s="6" t="b">
        <f aca="false">INDEX(Owners!$E$4:$E$21,MATCH(D544,Owners!$A$4:$A$21,0))</f>
        <v>0</v>
      </c>
    </row>
    <row r="545" customFormat="false" ht="15" hidden="false" customHeight="false" outlineLevel="0" collapsed="false">
      <c r="A545" s="4" t="s">
        <v>847</v>
      </c>
      <c r="B545" s="4" t="s">
        <v>131</v>
      </c>
      <c r="C545" s="4" t="s">
        <v>257</v>
      </c>
      <c r="D545" s="4" t="s">
        <v>283</v>
      </c>
      <c r="E545" s="4" t="s">
        <v>202</v>
      </c>
      <c r="F545" s="4" t="s">
        <v>562</v>
      </c>
      <c r="G545" s="5" t="n">
        <v>46295.1923611111</v>
      </c>
      <c r="H545" s="12"/>
      <c r="I545" s="12"/>
      <c r="N545" s="4" t="n">
        <v>1</v>
      </c>
      <c r="P545" s="12"/>
      <c r="Q545" s="4" t="n">
        <v>0</v>
      </c>
      <c r="R545" s="0" t="str">
        <f aca="false">INDEX(Owners!$B$4:$B$21,MATCH(D545,Owners!$A$4:$A$21,0))</f>
        <v>Data Platform</v>
      </c>
      <c r="S545" s="6" t="b">
        <f aca="false">AND(F545="closed",ISNUMBER(H545),H545&lt;=Controls!$B$4)</f>
        <v>0</v>
      </c>
      <c r="T545" s="6" t="b">
        <f aca="false">AND(ISNUMBER(I545),I545&lt;=Controls!$B$4,J545="rerun",K545=A545,L545=C545,M545=N545,O545=0,I545&gt;=G545,IF(ISNUMBER(P545),I545&gt;=P545,TRUE()))</f>
        <v>0</v>
      </c>
      <c r="U545" s="0" t="str">
        <f aca="false">IF(AND(S545,T545),"resolved",IF(S545,"claimed","open"))</f>
        <v>open</v>
      </c>
      <c r="V545" s="11" t="n">
        <f aca="false">ROUND((IF(U545="resolved",I545,IF(U545="claimed",H545,Controls!$B$4))-G545)*24,4)</f>
        <v>115.3833</v>
      </c>
      <c r="W545" s="6" t="b">
        <f aca="false">INDEX(Owners!$E$4:$E$21,MATCH(D545,Owners!$A$4:$A$21,0))</f>
        <v>1</v>
      </c>
    </row>
    <row r="546" customFormat="false" ht="15" hidden="false" customHeight="false" outlineLevel="0" collapsed="false">
      <c r="A546" s="4" t="s">
        <v>848</v>
      </c>
      <c r="B546" s="4" t="s">
        <v>131</v>
      </c>
      <c r="C546" s="4" t="s">
        <v>259</v>
      </c>
      <c r="D546" s="4" t="s">
        <v>283</v>
      </c>
      <c r="E546" s="4" t="s">
        <v>202</v>
      </c>
      <c r="F546" s="4" t="s">
        <v>277</v>
      </c>
      <c r="G546" s="5" t="n">
        <v>46295.2013888889</v>
      </c>
      <c r="H546" s="5" t="n">
        <v>46296.4625</v>
      </c>
      <c r="I546" s="12"/>
      <c r="N546" s="4" t="n">
        <v>1</v>
      </c>
      <c r="P546" s="12"/>
      <c r="Q546" s="4" t="n">
        <v>0</v>
      </c>
      <c r="R546" s="0" t="str">
        <f aca="false">INDEX(Owners!$B$4:$B$21,MATCH(D546,Owners!$A$4:$A$21,0))</f>
        <v>Data Platform</v>
      </c>
      <c r="S546" s="6" t="b">
        <f aca="false">AND(F546="closed",ISNUMBER(H546),H546&lt;=Controls!$B$4)</f>
        <v>1</v>
      </c>
      <c r="T546" s="6" t="b">
        <f aca="false">AND(ISNUMBER(I546),I546&lt;=Controls!$B$4,J546="rerun",K546=A546,L546=C546,M546=N546,O546=0,I546&gt;=G546,IF(ISNUMBER(P546),I546&gt;=P546,TRUE()))</f>
        <v>0</v>
      </c>
      <c r="U546" s="0" t="str">
        <f aca="false">IF(AND(S546,T546),"resolved",IF(S546,"claimed","open"))</f>
        <v>claimed</v>
      </c>
      <c r="V546" s="11" t="n">
        <f aca="false">ROUND((IF(U546="resolved",I546,IF(U546="claimed",H546,Controls!$B$4))-G546)*24,4)</f>
        <v>30.2667</v>
      </c>
      <c r="W546" s="6" t="b">
        <f aca="false">INDEX(Owners!$E$4:$E$21,MATCH(D546,Owners!$A$4:$A$21,0))</f>
        <v>1</v>
      </c>
    </row>
    <row r="547" customFormat="false" ht="15" hidden="false" customHeight="false" outlineLevel="0" collapsed="false">
      <c r="A547" s="4" t="s">
        <v>849</v>
      </c>
      <c r="B547" s="4" t="s">
        <v>110</v>
      </c>
      <c r="C547" s="4" t="s">
        <v>228</v>
      </c>
      <c r="D547" s="4" t="s">
        <v>286</v>
      </c>
      <c r="E547" s="4" t="s">
        <v>202</v>
      </c>
      <c r="F547" s="4" t="s">
        <v>562</v>
      </c>
      <c r="G547" s="5" t="n">
        <v>46295.2145833333</v>
      </c>
      <c r="H547" s="12"/>
      <c r="I547" s="12"/>
      <c r="N547" s="4" t="n">
        <v>2</v>
      </c>
      <c r="P547" s="12"/>
      <c r="Q547" s="4" t="n">
        <v>0</v>
      </c>
      <c r="R547" s="0" t="str">
        <f aca="false">INDEX(Owners!$B$4:$B$21,MATCH(D547,Owners!$A$4:$A$21,0))</f>
        <v>Finance Systems</v>
      </c>
      <c r="S547" s="6" t="b">
        <f aca="false">AND(F547="closed",ISNUMBER(H547),H547&lt;=Controls!$B$4)</f>
        <v>0</v>
      </c>
      <c r="T547" s="6" t="b">
        <f aca="false">AND(ISNUMBER(I547),I547&lt;=Controls!$B$4,J547="rerun",K547=A547,L547=C547,M547=N547,O547=0,I547&gt;=G547,IF(ISNUMBER(P547),I547&gt;=P547,TRUE()))</f>
        <v>0</v>
      </c>
      <c r="U547" s="0" t="str">
        <f aca="false">IF(AND(S547,T547),"resolved",IF(S547,"claimed","open"))</f>
        <v>open</v>
      </c>
      <c r="V547" s="11" t="n">
        <f aca="false">ROUND((IF(U547="resolved",I547,IF(U547="claimed",H547,Controls!$B$4))-G547)*24,4)</f>
        <v>114.85</v>
      </c>
      <c r="W547" s="6" t="b">
        <f aca="false">INDEX(Owners!$E$4:$E$21,MATCH(D547,Owners!$A$4:$A$21,0))</f>
        <v>0</v>
      </c>
    </row>
    <row r="548" customFormat="false" ht="15" hidden="false" customHeight="false" outlineLevel="0" collapsed="false">
      <c r="A548" s="4" t="s">
        <v>850</v>
      </c>
      <c r="B548" s="4" t="s">
        <v>96</v>
      </c>
      <c r="C548" s="4" t="s">
        <v>206</v>
      </c>
      <c r="D548" s="4" t="s">
        <v>330</v>
      </c>
      <c r="E548" s="4" t="s">
        <v>202</v>
      </c>
      <c r="F548" s="4" t="s">
        <v>277</v>
      </c>
      <c r="G548" s="5" t="n">
        <v>46295.2194444445</v>
      </c>
      <c r="H548" s="5" t="n">
        <v>46298.2347222222</v>
      </c>
      <c r="I548" s="5" t="n">
        <v>46298.7861111111</v>
      </c>
      <c r="J548" s="4" t="s">
        <v>284</v>
      </c>
      <c r="K548" s="4" t="s">
        <v>850</v>
      </c>
      <c r="L548" s="4" t="s">
        <v>206</v>
      </c>
      <c r="M548" s="4" t="n">
        <v>2</v>
      </c>
      <c r="N548" s="4" t="n">
        <v>2</v>
      </c>
      <c r="O548" s="4" t="n">
        <v>0</v>
      </c>
      <c r="P548" s="12"/>
      <c r="Q548" s="4" t="n">
        <v>0</v>
      </c>
      <c r="R548" s="0" t="str">
        <f aca="false">INDEX(Owners!$B$4:$B$21,MATCH(D548,Owners!$A$4:$A$21,0))</f>
        <v>Supply Chain</v>
      </c>
      <c r="S548" s="6" t="b">
        <f aca="false">AND(F548="closed",ISNUMBER(H548),H548&lt;=Controls!$B$4)</f>
        <v>1</v>
      </c>
      <c r="T548" s="6" t="b">
        <f aca="false">AND(ISNUMBER(I548),I548&lt;=Controls!$B$4,J548="rerun",K548=A548,L548=C548,M548=N548,O548=0,I548&gt;=G548,IF(ISNUMBER(P548),I548&gt;=P548,TRUE()))</f>
        <v>1</v>
      </c>
      <c r="U548" s="0" t="str">
        <f aca="false">IF(AND(S548,T548),"resolved",IF(S548,"claimed","open"))</f>
        <v>resolved</v>
      </c>
      <c r="V548" s="11" t="n">
        <f aca="false">ROUND((IF(U548="resolved",I548,IF(U548="claimed",H548,Controls!$B$4))-G548)*24,4)</f>
        <v>85.6</v>
      </c>
      <c r="W548" s="6" t="b">
        <f aca="false">INDEX(Owners!$E$4:$E$21,MATCH(D548,Owners!$A$4:$A$21,0))</f>
        <v>1</v>
      </c>
    </row>
    <row r="549" customFormat="false" ht="15" hidden="false" customHeight="false" outlineLevel="0" collapsed="false">
      <c r="A549" s="4" t="s">
        <v>851</v>
      </c>
      <c r="B549" s="4" t="s">
        <v>101</v>
      </c>
      <c r="C549" s="4" t="s">
        <v>212</v>
      </c>
      <c r="D549" s="4" t="s">
        <v>483</v>
      </c>
      <c r="E549" s="4" t="s">
        <v>210</v>
      </c>
      <c r="F549" s="4" t="s">
        <v>277</v>
      </c>
      <c r="G549" s="5" t="n">
        <v>46295.2465277778</v>
      </c>
      <c r="H549" s="5" t="n">
        <v>46297.5402777778</v>
      </c>
      <c r="I549" s="5" t="n">
        <v>46297.8618055556</v>
      </c>
      <c r="J549" s="4" t="s">
        <v>284</v>
      </c>
      <c r="K549" s="4" t="s">
        <v>851</v>
      </c>
      <c r="L549" s="4" t="s">
        <v>212</v>
      </c>
      <c r="M549" s="4" t="n">
        <v>1</v>
      </c>
      <c r="N549" s="4" t="n">
        <v>1</v>
      </c>
      <c r="O549" s="4" t="n">
        <v>0</v>
      </c>
      <c r="P549" s="12"/>
      <c r="Q549" s="4" t="n">
        <v>0</v>
      </c>
      <c r="R549" s="0" t="str">
        <f aca="false">INDEX(Owners!$B$4:$B$21,MATCH(D549,Owners!$A$4:$A$21,0))</f>
        <v>Customer Data</v>
      </c>
      <c r="S549" s="6" t="b">
        <f aca="false">AND(F549="closed",ISNUMBER(H549),H549&lt;=Controls!$B$4)</f>
        <v>1</v>
      </c>
      <c r="T549" s="6" t="b">
        <f aca="false">AND(ISNUMBER(I549),I549&lt;=Controls!$B$4,J549="rerun",K549=A549,L549=C549,M549=N549,O549=0,I549&gt;=G549,IF(ISNUMBER(P549),I549&gt;=P549,TRUE()))</f>
        <v>1</v>
      </c>
      <c r="U549" s="0" t="str">
        <f aca="false">IF(AND(S549,T549),"resolved",IF(S549,"claimed","open"))</f>
        <v>resolved</v>
      </c>
      <c r="V549" s="11" t="n">
        <f aca="false">ROUND((IF(U549="resolved",I549,IF(U549="claimed",H549,Controls!$B$4))-G549)*24,4)</f>
        <v>62.7667</v>
      </c>
      <c r="W549" s="6" t="b">
        <f aca="false">INDEX(Owners!$E$4:$E$21,MATCH(D549,Owners!$A$4:$A$21,0))</f>
        <v>1</v>
      </c>
    </row>
    <row r="550" customFormat="false" ht="15" hidden="false" customHeight="false" outlineLevel="0" collapsed="false">
      <c r="A550" s="4" t="s">
        <v>852</v>
      </c>
      <c r="B550" s="4" t="s">
        <v>127</v>
      </c>
      <c r="C550" s="4" t="s">
        <v>252</v>
      </c>
      <c r="D550" s="4" t="s">
        <v>358</v>
      </c>
      <c r="E550" s="4" t="s">
        <v>204</v>
      </c>
      <c r="F550" s="4" t="s">
        <v>277</v>
      </c>
      <c r="G550" s="5" t="n">
        <v>46296.0888888889</v>
      </c>
      <c r="H550" s="5" t="n">
        <v>46298.6444444444</v>
      </c>
      <c r="I550" s="5" t="n">
        <v>46299.0145833333</v>
      </c>
      <c r="J550" s="4" t="s">
        <v>284</v>
      </c>
      <c r="K550" s="4" t="s">
        <v>852</v>
      </c>
      <c r="L550" s="4" t="s">
        <v>252</v>
      </c>
      <c r="M550" s="4" t="n">
        <v>1</v>
      </c>
      <c r="N550" s="4" t="n">
        <v>1</v>
      </c>
      <c r="O550" s="4" t="n">
        <v>0</v>
      </c>
      <c r="P550" s="12"/>
      <c r="Q550" s="4" t="n">
        <v>0</v>
      </c>
      <c r="R550" s="0" t="str">
        <f aca="false">INDEX(Owners!$B$4:$B$21,MATCH(D550,Owners!$A$4:$A$21,0))</f>
        <v>Finance Systems</v>
      </c>
      <c r="S550" s="6" t="b">
        <f aca="false">AND(F550="closed",ISNUMBER(H550),H550&lt;=Controls!$B$4)</f>
        <v>1</v>
      </c>
      <c r="T550" s="6" t="b">
        <f aca="false">AND(ISNUMBER(I550),I550&lt;=Controls!$B$4,J550="rerun",K550=A550,L550=C550,M550=N550,O550=0,I550&gt;=G550,IF(ISNUMBER(P550),I550&gt;=P550,TRUE()))</f>
        <v>1</v>
      </c>
      <c r="U550" s="0" t="str">
        <f aca="false">IF(AND(S550,T550),"resolved",IF(S550,"claimed","open"))</f>
        <v>resolved</v>
      </c>
      <c r="V550" s="11" t="n">
        <f aca="false">ROUND((IF(U550="resolved",I550,IF(U550="claimed",H550,Controls!$B$4))-G550)*24,4)</f>
        <v>70.2167</v>
      </c>
      <c r="W550" s="6" t="b">
        <f aca="false">INDEX(Owners!$E$4:$E$21,MATCH(D550,Owners!$A$4:$A$21,0))</f>
        <v>1</v>
      </c>
    </row>
    <row r="551" customFormat="false" ht="15" hidden="false" customHeight="false" outlineLevel="0" collapsed="false">
      <c r="A551" s="4" t="s">
        <v>853</v>
      </c>
      <c r="B551" s="4" t="s">
        <v>122</v>
      </c>
      <c r="C551" s="4" t="s">
        <v>246</v>
      </c>
      <c r="D551" s="4" t="s">
        <v>350</v>
      </c>
      <c r="E551" s="4" t="s">
        <v>204</v>
      </c>
      <c r="F551" s="4" t="s">
        <v>277</v>
      </c>
      <c r="G551" s="5" t="n">
        <v>46296.1381944444</v>
      </c>
      <c r="H551" s="5" t="n">
        <v>46298.0520833333</v>
      </c>
      <c r="I551" s="5" t="n">
        <v>46298.3055555556</v>
      </c>
      <c r="J551" s="4" t="s">
        <v>284</v>
      </c>
      <c r="K551" s="4" t="s">
        <v>853</v>
      </c>
      <c r="L551" s="4" t="s">
        <v>246</v>
      </c>
      <c r="M551" s="4" t="n">
        <v>2</v>
      </c>
      <c r="N551" s="4" t="n">
        <v>2</v>
      </c>
      <c r="O551" s="4" t="n">
        <v>0</v>
      </c>
      <c r="P551" s="12"/>
      <c r="Q551" s="4" t="n">
        <v>0</v>
      </c>
      <c r="R551" s="0" t="str">
        <f aca="false">INDEX(Owners!$B$4:$B$21,MATCH(D551,Owners!$A$4:$A$21,0))</f>
        <v>Supply Chain</v>
      </c>
      <c r="S551" s="6" t="b">
        <f aca="false">AND(F551="closed",ISNUMBER(H551),H551&lt;=Controls!$B$4)</f>
        <v>1</v>
      </c>
      <c r="T551" s="6" t="b">
        <f aca="false">AND(ISNUMBER(I551),I551&lt;=Controls!$B$4,J551="rerun",K551=A551,L551=C551,M551=N551,O551=0,I551&gt;=G551,IF(ISNUMBER(P551),I551&gt;=P551,TRUE()))</f>
        <v>1</v>
      </c>
      <c r="U551" s="0" t="str">
        <f aca="false">IF(AND(S551,T551),"resolved",IF(S551,"claimed","open"))</f>
        <v>resolved</v>
      </c>
      <c r="V551" s="11" t="n">
        <f aca="false">ROUND((IF(U551="resolved",I551,IF(U551="claimed",H551,Controls!$B$4))-G551)*24,4)</f>
        <v>52.0167</v>
      </c>
      <c r="W551" s="6" t="b">
        <f aca="false">INDEX(Owners!$E$4:$E$21,MATCH(D551,Owners!$A$4:$A$21,0))</f>
        <v>1</v>
      </c>
    </row>
    <row r="552" customFormat="false" ht="15" hidden="false" customHeight="false" outlineLevel="0" collapsed="false">
      <c r="A552" s="4" t="s">
        <v>854</v>
      </c>
      <c r="B552" s="4" t="s">
        <v>131</v>
      </c>
      <c r="C552" s="4" t="s">
        <v>259</v>
      </c>
      <c r="D552" s="4" t="s">
        <v>283</v>
      </c>
      <c r="E552" s="4" t="s">
        <v>202</v>
      </c>
      <c r="F552" s="4" t="s">
        <v>277</v>
      </c>
      <c r="G552" s="5" t="n">
        <v>46296.2013888889</v>
      </c>
      <c r="H552" s="5" t="n">
        <v>46297.2902777778</v>
      </c>
      <c r="I552" s="5" t="n">
        <v>46297.4965277778</v>
      </c>
      <c r="J552" s="4" t="s">
        <v>284</v>
      </c>
      <c r="K552" s="4" t="s">
        <v>854</v>
      </c>
      <c r="L552" s="4" t="s">
        <v>259</v>
      </c>
      <c r="M552" s="4" t="n">
        <v>1</v>
      </c>
      <c r="N552" s="4" t="n">
        <v>1</v>
      </c>
      <c r="O552" s="4" t="n">
        <v>0</v>
      </c>
      <c r="P552" s="12"/>
      <c r="Q552" s="4" t="n">
        <v>0</v>
      </c>
      <c r="R552" s="0" t="str">
        <f aca="false">INDEX(Owners!$B$4:$B$21,MATCH(D552,Owners!$A$4:$A$21,0))</f>
        <v>Data Platform</v>
      </c>
      <c r="S552" s="6" t="b">
        <f aca="false">AND(F552="closed",ISNUMBER(H552),H552&lt;=Controls!$B$4)</f>
        <v>1</v>
      </c>
      <c r="T552" s="6" t="b">
        <f aca="false">AND(ISNUMBER(I552),I552&lt;=Controls!$B$4,J552="rerun",K552=A552,L552=C552,M552=N552,O552=0,I552&gt;=G552,IF(ISNUMBER(P552),I552&gt;=P552,TRUE()))</f>
        <v>1</v>
      </c>
      <c r="U552" s="0" t="str">
        <f aca="false">IF(AND(S552,T552),"resolved",IF(S552,"claimed","open"))</f>
        <v>resolved</v>
      </c>
      <c r="V552" s="11" t="n">
        <f aca="false">ROUND((IF(U552="resolved",I552,IF(U552="claimed",H552,Controls!$B$4))-G552)*24,4)</f>
        <v>31.0833</v>
      </c>
      <c r="W552" s="6" t="b">
        <f aca="false">INDEX(Owners!$E$4:$E$21,MATCH(D552,Owners!$A$4:$A$21,0))</f>
        <v>1</v>
      </c>
    </row>
    <row r="553" customFormat="false" ht="15" hidden="false" customHeight="false" outlineLevel="0" collapsed="false">
      <c r="A553" s="4" t="s">
        <v>855</v>
      </c>
      <c r="B553" s="4" t="s">
        <v>110</v>
      </c>
      <c r="C553" s="4" t="s">
        <v>228</v>
      </c>
      <c r="D553" s="4" t="s">
        <v>286</v>
      </c>
      <c r="E553" s="4" t="s">
        <v>202</v>
      </c>
      <c r="F553" s="4" t="s">
        <v>556</v>
      </c>
      <c r="G553" s="5" t="n">
        <v>46296.2145833333</v>
      </c>
      <c r="H553" s="12"/>
      <c r="I553" s="12"/>
      <c r="N553" s="4" t="n">
        <v>2</v>
      </c>
      <c r="P553" s="12"/>
      <c r="Q553" s="4" t="n">
        <v>0</v>
      </c>
      <c r="R553" s="0" t="str">
        <f aca="false">INDEX(Owners!$B$4:$B$21,MATCH(D553,Owners!$A$4:$A$21,0))</f>
        <v>Finance Systems</v>
      </c>
      <c r="S553" s="6" t="b">
        <f aca="false">AND(F553="closed",ISNUMBER(H553),H553&lt;=Controls!$B$4)</f>
        <v>0</v>
      </c>
      <c r="T553" s="6" t="b">
        <f aca="false">AND(ISNUMBER(I553),I553&lt;=Controls!$B$4,J553="rerun",K553=A553,L553=C553,M553=N553,O553=0,I553&gt;=G553,IF(ISNUMBER(P553),I553&gt;=P553,TRUE()))</f>
        <v>0</v>
      </c>
      <c r="U553" s="0" t="str">
        <f aca="false">IF(AND(S553,T553),"resolved",IF(S553,"claimed","open"))</f>
        <v>open</v>
      </c>
      <c r="V553" s="11" t="n">
        <f aca="false">ROUND((IF(U553="resolved",I553,IF(U553="claimed",H553,Controls!$B$4))-G553)*24,4)</f>
        <v>90.85</v>
      </c>
      <c r="W553" s="6" t="b">
        <f aca="false">INDEX(Owners!$E$4:$E$21,MATCH(D553,Owners!$A$4:$A$21,0))</f>
        <v>0</v>
      </c>
    </row>
    <row r="554" customFormat="false" ht="15" hidden="false" customHeight="false" outlineLevel="0" collapsed="false">
      <c r="A554" s="4" t="s">
        <v>856</v>
      </c>
      <c r="B554" s="4" t="s">
        <v>117</v>
      </c>
      <c r="C554" s="4" t="s">
        <v>241</v>
      </c>
      <c r="D554" s="4" t="s">
        <v>288</v>
      </c>
      <c r="E554" s="4" t="s">
        <v>202</v>
      </c>
      <c r="F554" s="4" t="s">
        <v>562</v>
      </c>
      <c r="G554" s="5" t="n">
        <v>46296.2368055556</v>
      </c>
      <c r="H554" s="12"/>
      <c r="I554" s="12"/>
      <c r="N554" s="4" t="n">
        <v>1</v>
      </c>
      <c r="P554" s="12"/>
      <c r="Q554" s="4" t="n">
        <v>0</v>
      </c>
      <c r="R554" s="0" t="str">
        <f aca="false">INDEX(Owners!$B$4:$B$21,MATCH(D554,Owners!$A$4:$A$21,0))</f>
        <v>Support Operations</v>
      </c>
      <c r="S554" s="6" t="b">
        <f aca="false">AND(F554="closed",ISNUMBER(H554),H554&lt;=Controls!$B$4)</f>
        <v>0</v>
      </c>
      <c r="T554" s="6" t="b">
        <f aca="false">AND(ISNUMBER(I554),I554&lt;=Controls!$B$4,J554="rerun",K554=A554,L554=C554,M554=N554,O554=0,I554&gt;=G554,IF(ISNUMBER(P554),I554&gt;=P554,TRUE()))</f>
        <v>0</v>
      </c>
      <c r="U554" s="0" t="str">
        <f aca="false">IF(AND(S554,T554),"resolved",IF(S554,"claimed","open"))</f>
        <v>open</v>
      </c>
      <c r="V554" s="11" t="n">
        <f aca="false">ROUND((IF(U554="resolved",I554,IF(U554="claimed",H554,Controls!$B$4))-G554)*24,4)</f>
        <v>90.3167</v>
      </c>
      <c r="W554" s="6" t="b">
        <f aca="false">INDEX(Owners!$E$4:$E$21,MATCH(D554,Owners!$A$4:$A$21,0))</f>
        <v>1</v>
      </c>
    </row>
    <row r="555" customFormat="false" ht="15" hidden="false" customHeight="false" outlineLevel="0" collapsed="false">
      <c r="A555" s="4" t="s">
        <v>857</v>
      </c>
      <c r="B555" s="4" t="s">
        <v>102</v>
      </c>
      <c r="C555" s="4" t="s">
        <v>213</v>
      </c>
      <c r="D555" s="4" t="s">
        <v>290</v>
      </c>
      <c r="E555" s="4" t="s">
        <v>202</v>
      </c>
      <c r="F555" s="4" t="s">
        <v>556</v>
      </c>
      <c r="G555" s="5" t="n">
        <v>46297.0833333333</v>
      </c>
      <c r="H555" s="12"/>
      <c r="I555" s="12"/>
      <c r="N555" s="4" t="n">
        <v>1</v>
      </c>
      <c r="P555" s="12"/>
      <c r="Q555" s="4" t="n">
        <v>0</v>
      </c>
      <c r="R555" s="0" t="str">
        <f aca="false">INDEX(Owners!$B$4:$B$21,MATCH(D555,Owners!$A$4:$A$21,0))</f>
        <v>Customer Data</v>
      </c>
      <c r="S555" s="6" t="b">
        <f aca="false">AND(F555="closed",ISNUMBER(H555),H555&lt;=Controls!$B$4)</f>
        <v>0</v>
      </c>
      <c r="T555" s="6" t="b">
        <f aca="false">AND(ISNUMBER(I555),I555&lt;=Controls!$B$4,J555="rerun",K555=A555,L555=C555,M555=N555,O555=0,I555&gt;=G555,IF(ISNUMBER(P555),I555&gt;=P555,TRUE()))</f>
        <v>0</v>
      </c>
      <c r="U555" s="0" t="str">
        <f aca="false">IF(AND(S555,T555),"resolved",IF(S555,"claimed","open"))</f>
        <v>open</v>
      </c>
      <c r="V555" s="11" t="n">
        <f aca="false">ROUND((IF(U555="resolved",I555,IF(U555="claimed",H555,Controls!$B$4))-G555)*24,4)</f>
        <v>70</v>
      </c>
      <c r="W555" s="6" t="b">
        <f aca="false">INDEX(Owners!$E$4:$E$21,MATCH(D555,Owners!$A$4:$A$21,0))</f>
        <v>1</v>
      </c>
    </row>
    <row r="556" customFormat="false" ht="15" hidden="false" customHeight="false" outlineLevel="0" collapsed="false">
      <c r="A556" s="4" t="s">
        <v>858</v>
      </c>
      <c r="B556" s="4" t="s">
        <v>102</v>
      </c>
      <c r="C556" s="4" t="s">
        <v>217</v>
      </c>
      <c r="D556" s="4" t="s">
        <v>290</v>
      </c>
      <c r="E556" s="4" t="s">
        <v>204</v>
      </c>
      <c r="F556" s="4" t="s">
        <v>277</v>
      </c>
      <c r="G556" s="5" t="n">
        <v>46297.0923611111</v>
      </c>
      <c r="H556" s="5" t="n">
        <v>46299.1986111111</v>
      </c>
      <c r="I556" s="5" t="n">
        <v>46299.7736111111</v>
      </c>
      <c r="J556" s="4" t="s">
        <v>284</v>
      </c>
      <c r="K556" s="4" t="s">
        <v>858</v>
      </c>
      <c r="L556" s="4" t="s">
        <v>217</v>
      </c>
      <c r="M556" s="4" t="n">
        <v>1</v>
      </c>
      <c r="N556" s="4" t="n">
        <v>1</v>
      </c>
      <c r="O556" s="4" t="n">
        <v>0</v>
      </c>
      <c r="P556" s="12"/>
      <c r="Q556" s="4" t="n">
        <v>0</v>
      </c>
      <c r="R556" s="0" t="str">
        <f aca="false">INDEX(Owners!$B$4:$B$21,MATCH(D556,Owners!$A$4:$A$21,0))</f>
        <v>Customer Data</v>
      </c>
      <c r="S556" s="6" t="b">
        <f aca="false">AND(F556="closed",ISNUMBER(H556),H556&lt;=Controls!$B$4)</f>
        <v>1</v>
      </c>
      <c r="T556" s="6" t="b">
        <f aca="false">AND(ISNUMBER(I556),I556&lt;=Controls!$B$4,J556="rerun",K556=A556,L556=C556,M556=N556,O556=0,I556&gt;=G556,IF(ISNUMBER(P556),I556&gt;=P556,TRUE()))</f>
        <v>1</v>
      </c>
      <c r="U556" s="0" t="str">
        <f aca="false">IF(AND(S556,T556),"resolved",IF(S556,"claimed","open"))</f>
        <v>resolved</v>
      </c>
      <c r="V556" s="11" t="n">
        <f aca="false">ROUND((IF(U556="resolved",I556,IF(U556="claimed",H556,Controls!$B$4))-G556)*24,4)</f>
        <v>64.35</v>
      </c>
      <c r="W556" s="6" t="b">
        <f aca="false">INDEX(Owners!$E$4:$E$21,MATCH(D556,Owners!$A$4:$A$21,0))</f>
        <v>1</v>
      </c>
    </row>
    <row r="557" customFormat="false" ht="15" hidden="false" customHeight="false" outlineLevel="0" collapsed="false">
      <c r="A557" s="4" t="s">
        <v>859</v>
      </c>
      <c r="B557" s="4" t="s">
        <v>122</v>
      </c>
      <c r="C557" s="4" t="s">
        <v>246</v>
      </c>
      <c r="D557" s="4" t="s">
        <v>350</v>
      </c>
      <c r="E557" s="4" t="s">
        <v>204</v>
      </c>
      <c r="F557" s="4" t="s">
        <v>277</v>
      </c>
      <c r="G557" s="5" t="n">
        <v>46297.1381944444</v>
      </c>
      <c r="H557" s="5" t="n">
        <v>46298.5763888889</v>
      </c>
      <c r="I557" s="12"/>
      <c r="N557" s="4" t="n">
        <v>2</v>
      </c>
      <c r="P557" s="12"/>
      <c r="Q557" s="4" t="n">
        <v>0</v>
      </c>
      <c r="R557" s="0" t="str">
        <f aca="false">INDEX(Owners!$B$4:$B$21,MATCH(D557,Owners!$A$4:$A$21,0))</f>
        <v>Supply Chain</v>
      </c>
      <c r="S557" s="6" t="b">
        <f aca="false">AND(F557="closed",ISNUMBER(H557),H557&lt;=Controls!$B$4)</f>
        <v>1</v>
      </c>
      <c r="T557" s="6" t="b">
        <f aca="false">AND(ISNUMBER(I557),I557&lt;=Controls!$B$4,J557="rerun",K557=A557,L557=C557,M557=N557,O557=0,I557&gt;=G557,IF(ISNUMBER(P557),I557&gt;=P557,TRUE()))</f>
        <v>0</v>
      </c>
      <c r="U557" s="0" t="str">
        <f aca="false">IF(AND(S557,T557),"resolved",IF(S557,"claimed","open"))</f>
        <v>claimed</v>
      </c>
      <c r="V557" s="11" t="n">
        <f aca="false">ROUND((IF(U557="resolved",I557,IF(U557="claimed",H557,Controls!$B$4))-G557)*24,4)</f>
        <v>34.5167</v>
      </c>
      <c r="W557" s="6" t="b">
        <f aca="false">INDEX(Owners!$E$4:$E$21,MATCH(D557,Owners!$A$4:$A$21,0))</f>
        <v>1</v>
      </c>
    </row>
    <row r="558" customFormat="false" ht="15" hidden="false" customHeight="false" outlineLevel="0" collapsed="false">
      <c r="A558" s="4" t="s">
        <v>860</v>
      </c>
      <c r="B558" s="4" t="s">
        <v>124</v>
      </c>
      <c r="C558" s="4" t="s">
        <v>248</v>
      </c>
      <c r="D558" s="4" t="s">
        <v>301</v>
      </c>
      <c r="E558" s="4" t="s">
        <v>202</v>
      </c>
      <c r="F558" s="4" t="s">
        <v>556</v>
      </c>
      <c r="G558" s="5" t="n">
        <v>46297.1423611111</v>
      </c>
      <c r="H558" s="12"/>
      <c r="I558" s="12"/>
      <c r="N558" s="4" t="n">
        <v>1</v>
      </c>
      <c r="P558" s="12"/>
      <c r="Q558" s="4" t="n">
        <v>0</v>
      </c>
      <c r="R558" s="0" t="str">
        <f aca="false">INDEX(Owners!$B$4:$B$21,MATCH(D558,Owners!$A$4:$A$21,0))</f>
        <v>Data Platform</v>
      </c>
      <c r="S558" s="6" t="b">
        <f aca="false">AND(F558="closed",ISNUMBER(H558),H558&lt;=Controls!$B$4)</f>
        <v>0</v>
      </c>
      <c r="T558" s="6" t="b">
        <f aca="false">AND(ISNUMBER(I558),I558&lt;=Controls!$B$4,J558="rerun",K558=A558,L558=C558,M558=N558,O558=0,I558&gt;=G558,IF(ISNUMBER(P558),I558&gt;=P558,TRUE()))</f>
        <v>0</v>
      </c>
      <c r="U558" s="0" t="str">
        <f aca="false">IF(AND(S558,T558),"resolved",IF(S558,"claimed","open"))</f>
        <v>open</v>
      </c>
      <c r="V558" s="11" t="n">
        <f aca="false">ROUND((IF(U558="resolved",I558,IF(U558="claimed",H558,Controls!$B$4))-G558)*24,4)</f>
        <v>68.5833</v>
      </c>
      <c r="W558" s="6" t="b">
        <f aca="false">INDEX(Owners!$E$4:$E$21,MATCH(D558,Owners!$A$4:$A$21,0))</f>
        <v>1</v>
      </c>
    </row>
    <row r="559" customFormat="false" ht="15" hidden="false" customHeight="false" outlineLevel="0" collapsed="false">
      <c r="A559" s="4" t="s">
        <v>861</v>
      </c>
      <c r="B559" s="4" t="s">
        <v>125</v>
      </c>
      <c r="C559" s="4" t="s">
        <v>250</v>
      </c>
      <c r="D559" s="4" t="s">
        <v>334</v>
      </c>
      <c r="E559" s="4" t="s">
        <v>202</v>
      </c>
      <c r="F559" s="4" t="s">
        <v>562</v>
      </c>
      <c r="G559" s="5" t="n">
        <v>46297.1875</v>
      </c>
      <c r="H559" s="12"/>
      <c r="I559" s="12"/>
      <c r="N559" s="4" t="n">
        <v>1</v>
      </c>
      <c r="P559" s="12"/>
      <c r="Q559" s="4" t="n">
        <v>0</v>
      </c>
      <c r="R559" s="0" t="str">
        <f aca="false">INDEX(Owners!$B$4:$B$21,MATCH(D559,Owners!$A$4:$A$21,0))</f>
        <v>Supply Chain</v>
      </c>
      <c r="S559" s="6" t="b">
        <f aca="false">AND(F559="closed",ISNUMBER(H559),H559&lt;=Controls!$B$4)</f>
        <v>0</v>
      </c>
      <c r="T559" s="6" t="b">
        <f aca="false">AND(ISNUMBER(I559),I559&lt;=Controls!$B$4,J559="rerun",K559=A559,L559=C559,M559=N559,O559=0,I559&gt;=G559,IF(ISNUMBER(P559),I559&gt;=P559,TRUE()))</f>
        <v>0</v>
      </c>
      <c r="U559" s="0" t="str">
        <f aca="false">IF(AND(S559,T559),"resolved",IF(S559,"claimed","open"))</f>
        <v>open</v>
      </c>
      <c r="V559" s="11" t="n">
        <f aca="false">ROUND((IF(U559="resolved",I559,IF(U559="claimed",H559,Controls!$B$4))-G559)*24,4)</f>
        <v>67.5</v>
      </c>
      <c r="W559" s="6" t="b">
        <f aca="false">INDEX(Owners!$E$4:$E$21,MATCH(D559,Owners!$A$4:$A$21,0))</f>
        <v>0</v>
      </c>
    </row>
    <row r="560" customFormat="false" ht="15" hidden="false" customHeight="false" outlineLevel="0" collapsed="false">
      <c r="A560" s="4" t="s">
        <v>862</v>
      </c>
      <c r="B560" s="4" t="s">
        <v>131</v>
      </c>
      <c r="C560" s="4" t="s">
        <v>257</v>
      </c>
      <c r="D560" s="4" t="s">
        <v>283</v>
      </c>
      <c r="E560" s="4" t="s">
        <v>202</v>
      </c>
      <c r="F560" s="4" t="s">
        <v>277</v>
      </c>
      <c r="G560" s="5" t="n">
        <v>46297.1923611111</v>
      </c>
      <c r="H560" s="5" t="n">
        <v>46299.5340277778</v>
      </c>
      <c r="I560" s="5" t="n">
        <v>46299.6111111111</v>
      </c>
      <c r="J560" s="4" t="s">
        <v>284</v>
      </c>
      <c r="K560" s="4" t="s">
        <v>862</v>
      </c>
      <c r="L560" s="4" t="s">
        <v>257</v>
      </c>
      <c r="M560" s="4" t="n">
        <v>1</v>
      </c>
      <c r="N560" s="4" t="n">
        <v>1</v>
      </c>
      <c r="O560" s="4" t="n">
        <v>0</v>
      </c>
      <c r="P560" s="12"/>
      <c r="Q560" s="4" t="n">
        <v>0</v>
      </c>
      <c r="R560" s="0" t="str">
        <f aca="false">INDEX(Owners!$B$4:$B$21,MATCH(D560,Owners!$A$4:$A$21,0))</f>
        <v>Data Platform</v>
      </c>
      <c r="S560" s="6" t="b">
        <f aca="false">AND(F560="closed",ISNUMBER(H560),H560&lt;=Controls!$B$4)</f>
        <v>1</v>
      </c>
      <c r="T560" s="6" t="b">
        <f aca="false">AND(ISNUMBER(I560),I560&lt;=Controls!$B$4,J560="rerun",K560=A560,L560=C560,M560=N560,O560=0,I560&gt;=G560,IF(ISNUMBER(P560),I560&gt;=P560,TRUE()))</f>
        <v>1</v>
      </c>
      <c r="U560" s="0" t="str">
        <f aca="false">IF(AND(S560,T560),"resolved",IF(S560,"claimed","open"))</f>
        <v>resolved</v>
      </c>
      <c r="V560" s="11" t="n">
        <f aca="false">ROUND((IF(U560="resolved",I560,IF(U560="claimed",H560,Controls!$B$4))-G560)*24,4)</f>
        <v>58.05</v>
      </c>
      <c r="W560" s="6" t="b">
        <f aca="false">INDEX(Owners!$E$4:$E$21,MATCH(D560,Owners!$A$4:$A$21,0))</f>
        <v>1</v>
      </c>
    </row>
    <row r="561" customFormat="false" ht="15" hidden="false" customHeight="false" outlineLevel="0" collapsed="false">
      <c r="A561" s="4" t="s">
        <v>863</v>
      </c>
      <c r="B561" s="4" t="s">
        <v>115</v>
      </c>
      <c r="C561" s="4" t="s">
        <v>238</v>
      </c>
      <c r="D561" s="4" t="s">
        <v>301</v>
      </c>
      <c r="E561" s="4" t="s">
        <v>202</v>
      </c>
      <c r="F561" s="4" t="s">
        <v>562</v>
      </c>
      <c r="G561" s="5" t="n">
        <v>46297.9930555556</v>
      </c>
      <c r="H561" s="12"/>
      <c r="I561" s="12"/>
      <c r="N561" s="4" t="n">
        <v>1</v>
      </c>
      <c r="P561" s="12"/>
      <c r="Q561" s="4" t="n">
        <v>0</v>
      </c>
      <c r="R561" s="0" t="str">
        <f aca="false">INDEX(Owners!$B$4:$B$21,MATCH(D561,Owners!$A$4:$A$21,0))</f>
        <v>Data Platform</v>
      </c>
      <c r="S561" s="6" t="b">
        <f aca="false">AND(F561="closed",ISNUMBER(H561),H561&lt;=Controls!$B$4)</f>
        <v>0</v>
      </c>
      <c r="T561" s="6" t="b">
        <f aca="false">AND(ISNUMBER(I561),I561&lt;=Controls!$B$4,J561="rerun",K561=A561,L561=C561,M561=N561,O561=0,I561&gt;=G561,IF(ISNUMBER(P561),I561&gt;=P561,TRUE()))</f>
        <v>0</v>
      </c>
      <c r="U561" s="0" t="str">
        <f aca="false">IF(AND(S561,T561),"resolved",IF(S561,"claimed","open"))</f>
        <v>open</v>
      </c>
      <c r="V561" s="11" t="n">
        <f aca="false">ROUND((IF(U561="resolved",I561,IF(U561="claimed",H561,Controls!$B$4))-G561)*24,4)</f>
        <v>48.1667</v>
      </c>
      <c r="W561" s="6" t="b">
        <f aca="false">INDEX(Owners!$E$4:$E$21,MATCH(D561,Owners!$A$4:$A$21,0))</f>
        <v>1</v>
      </c>
    </row>
    <row r="562" customFormat="false" ht="15" hidden="false" customHeight="false" outlineLevel="0" collapsed="false">
      <c r="A562" s="4" t="s">
        <v>864</v>
      </c>
      <c r="B562" s="4" t="s">
        <v>131</v>
      </c>
      <c r="C562" s="4" t="s">
        <v>258</v>
      </c>
      <c r="D562" s="4" t="s">
        <v>283</v>
      </c>
      <c r="E562" s="4" t="s">
        <v>202</v>
      </c>
      <c r="F562" s="4" t="s">
        <v>556</v>
      </c>
      <c r="G562" s="5" t="n">
        <v>46297.9930555556</v>
      </c>
      <c r="H562" s="12"/>
      <c r="I562" s="12"/>
      <c r="N562" s="4" t="n">
        <v>1</v>
      </c>
      <c r="P562" s="12"/>
      <c r="Q562" s="4" t="n">
        <v>0</v>
      </c>
      <c r="R562" s="0" t="str">
        <f aca="false">INDEX(Owners!$B$4:$B$21,MATCH(D562,Owners!$A$4:$A$21,0))</f>
        <v>Data Platform</v>
      </c>
      <c r="S562" s="6" t="b">
        <f aca="false">AND(F562="closed",ISNUMBER(H562),H562&lt;=Controls!$B$4)</f>
        <v>0</v>
      </c>
      <c r="T562" s="6" t="b">
        <f aca="false">AND(ISNUMBER(I562),I562&lt;=Controls!$B$4,J562="rerun",K562=A562,L562=C562,M562=N562,O562=0,I562&gt;=G562,IF(ISNUMBER(P562),I562&gt;=P562,TRUE()))</f>
        <v>0</v>
      </c>
      <c r="U562" s="0" t="str">
        <f aca="false">IF(AND(S562,T562),"resolved",IF(S562,"claimed","open"))</f>
        <v>open</v>
      </c>
      <c r="V562" s="11" t="n">
        <f aca="false">ROUND((IF(U562="resolved",I562,IF(U562="claimed",H562,Controls!$B$4))-G562)*24,4)</f>
        <v>48.1667</v>
      </c>
      <c r="W562" s="6" t="b">
        <f aca="false">INDEX(Owners!$E$4:$E$21,MATCH(D562,Owners!$A$4:$A$21,0))</f>
        <v>1</v>
      </c>
    </row>
    <row r="563" customFormat="false" ht="15" hidden="false" customHeight="false" outlineLevel="0" collapsed="false">
      <c r="A563" s="4" t="s">
        <v>865</v>
      </c>
      <c r="B563" s="4" t="s">
        <v>102</v>
      </c>
      <c r="C563" s="4" t="s">
        <v>213</v>
      </c>
      <c r="D563" s="4" t="s">
        <v>290</v>
      </c>
      <c r="E563" s="4" t="s">
        <v>202</v>
      </c>
      <c r="F563" s="4" t="s">
        <v>277</v>
      </c>
      <c r="G563" s="5" t="n">
        <v>46298.0833333333</v>
      </c>
      <c r="H563" s="5" t="n">
        <v>46299.3472222222</v>
      </c>
      <c r="I563" s="5" t="n">
        <v>46299.8291666667</v>
      </c>
      <c r="J563" s="4" t="s">
        <v>284</v>
      </c>
      <c r="K563" s="4" t="s">
        <v>865</v>
      </c>
      <c r="L563" s="4" t="s">
        <v>213</v>
      </c>
      <c r="M563" s="4" t="n">
        <v>1</v>
      </c>
      <c r="N563" s="4" t="n">
        <v>1</v>
      </c>
      <c r="O563" s="4" t="n">
        <v>0</v>
      </c>
      <c r="P563" s="12"/>
      <c r="Q563" s="4" t="n">
        <v>0</v>
      </c>
      <c r="R563" s="0" t="str">
        <f aca="false">INDEX(Owners!$B$4:$B$21,MATCH(D563,Owners!$A$4:$A$21,0))</f>
        <v>Customer Data</v>
      </c>
      <c r="S563" s="6" t="b">
        <f aca="false">AND(F563="closed",ISNUMBER(H563),H563&lt;=Controls!$B$4)</f>
        <v>1</v>
      </c>
      <c r="T563" s="6" t="b">
        <f aca="false">AND(ISNUMBER(I563),I563&lt;=Controls!$B$4,J563="rerun",K563=A563,L563=C563,M563=N563,O563=0,I563&gt;=G563,IF(ISNUMBER(P563),I563&gt;=P563,TRUE()))</f>
        <v>1</v>
      </c>
      <c r="U563" s="0" t="str">
        <f aca="false">IF(AND(S563,T563),"resolved",IF(S563,"claimed","open"))</f>
        <v>resolved</v>
      </c>
      <c r="V563" s="11" t="n">
        <f aca="false">ROUND((IF(U563="resolved",I563,IF(U563="claimed",H563,Controls!$B$4))-G563)*24,4)</f>
        <v>41.9</v>
      </c>
      <c r="W563" s="6" t="b">
        <f aca="false">INDEX(Owners!$E$4:$E$21,MATCH(D563,Owners!$A$4:$A$21,0))</f>
        <v>1</v>
      </c>
    </row>
    <row r="564" customFormat="false" ht="15" hidden="false" customHeight="false" outlineLevel="0" collapsed="false">
      <c r="A564" s="4" t="s">
        <v>866</v>
      </c>
      <c r="B564" s="4" t="s">
        <v>97</v>
      </c>
      <c r="C564" s="4" t="s">
        <v>208</v>
      </c>
      <c r="D564" s="4" t="s">
        <v>286</v>
      </c>
      <c r="E564" s="4" t="s">
        <v>202</v>
      </c>
      <c r="F564" s="4" t="s">
        <v>562</v>
      </c>
      <c r="G564" s="5" t="n">
        <v>46298.1194444444</v>
      </c>
      <c r="H564" s="12"/>
      <c r="I564" s="12"/>
      <c r="N564" s="4" t="n">
        <v>2</v>
      </c>
      <c r="P564" s="12"/>
      <c r="Q564" s="4" t="n">
        <v>0</v>
      </c>
      <c r="R564" s="0" t="str">
        <f aca="false">INDEX(Owners!$B$4:$B$21,MATCH(D564,Owners!$A$4:$A$21,0))</f>
        <v>Finance Systems</v>
      </c>
      <c r="S564" s="6" t="b">
        <f aca="false">AND(F564="closed",ISNUMBER(H564),H564&lt;=Controls!$B$4)</f>
        <v>0</v>
      </c>
      <c r="T564" s="6" t="b">
        <f aca="false">AND(ISNUMBER(I564),I564&lt;=Controls!$B$4,J564="rerun",K564=A564,L564=C564,M564=N564,O564=0,I564&gt;=G564,IF(ISNUMBER(P564),I564&gt;=P564,TRUE()))</f>
        <v>0</v>
      </c>
      <c r="U564" s="0" t="str">
        <f aca="false">IF(AND(S564,T564),"resolved",IF(S564,"claimed","open"))</f>
        <v>open</v>
      </c>
      <c r="V564" s="11" t="n">
        <f aca="false">ROUND((IF(U564="resolved",I564,IF(U564="claimed",H564,Controls!$B$4))-G564)*24,4)</f>
        <v>45.1333</v>
      </c>
      <c r="W564" s="6" t="b">
        <f aca="false">INDEX(Owners!$E$4:$E$21,MATCH(D564,Owners!$A$4:$A$21,0))</f>
        <v>0</v>
      </c>
    </row>
    <row r="565" customFormat="false" ht="15" hidden="false" customHeight="false" outlineLevel="0" collapsed="false">
      <c r="A565" s="4" t="s">
        <v>867</v>
      </c>
      <c r="B565" s="4" t="s">
        <v>131</v>
      </c>
      <c r="C565" s="4" t="s">
        <v>257</v>
      </c>
      <c r="D565" s="4" t="s">
        <v>283</v>
      </c>
      <c r="E565" s="4" t="s">
        <v>202</v>
      </c>
      <c r="F565" s="4" t="s">
        <v>556</v>
      </c>
      <c r="G565" s="5" t="n">
        <v>46298.1923611111</v>
      </c>
      <c r="H565" s="12"/>
      <c r="I565" s="12"/>
      <c r="N565" s="4" t="n">
        <v>1</v>
      </c>
      <c r="P565" s="12"/>
      <c r="Q565" s="4" t="n">
        <v>0</v>
      </c>
      <c r="R565" s="0" t="str">
        <f aca="false">INDEX(Owners!$B$4:$B$21,MATCH(D565,Owners!$A$4:$A$21,0))</f>
        <v>Data Platform</v>
      </c>
      <c r="S565" s="6" t="b">
        <f aca="false">AND(F565="closed",ISNUMBER(H565),H565&lt;=Controls!$B$4)</f>
        <v>0</v>
      </c>
      <c r="T565" s="6" t="b">
        <f aca="false">AND(ISNUMBER(I565),I565&lt;=Controls!$B$4,J565="rerun",K565=A565,L565=C565,M565=N565,O565=0,I565&gt;=G565,IF(ISNUMBER(P565),I565&gt;=P565,TRUE()))</f>
        <v>0</v>
      </c>
      <c r="U565" s="0" t="str">
        <f aca="false">IF(AND(S565,T565),"resolved",IF(S565,"claimed","open"))</f>
        <v>open</v>
      </c>
      <c r="V565" s="11" t="n">
        <f aca="false">ROUND((IF(U565="resolved",I565,IF(U565="claimed",H565,Controls!$B$4))-G565)*24,4)</f>
        <v>43.3833</v>
      </c>
      <c r="W565" s="6" t="b">
        <f aca="false">INDEX(Owners!$E$4:$E$21,MATCH(D565,Owners!$A$4:$A$21,0))</f>
        <v>1</v>
      </c>
    </row>
    <row r="566" customFormat="false" ht="15" hidden="false" customHeight="false" outlineLevel="0" collapsed="false">
      <c r="A566" s="4" t="s">
        <v>868</v>
      </c>
      <c r="B566" s="4" t="s">
        <v>110</v>
      </c>
      <c r="C566" s="4" t="s">
        <v>228</v>
      </c>
      <c r="D566" s="4" t="s">
        <v>286</v>
      </c>
      <c r="E566" s="4" t="s">
        <v>202</v>
      </c>
      <c r="F566" s="4" t="s">
        <v>556</v>
      </c>
      <c r="G566" s="5" t="n">
        <v>46298.2145833333</v>
      </c>
      <c r="H566" s="12"/>
      <c r="I566" s="12"/>
      <c r="N566" s="4" t="n">
        <v>2</v>
      </c>
      <c r="P566" s="12"/>
      <c r="Q566" s="4" t="n">
        <v>0</v>
      </c>
      <c r="R566" s="0" t="str">
        <f aca="false">INDEX(Owners!$B$4:$B$21,MATCH(D566,Owners!$A$4:$A$21,0))</f>
        <v>Finance Systems</v>
      </c>
      <c r="S566" s="6" t="b">
        <f aca="false">AND(F566="closed",ISNUMBER(H566),H566&lt;=Controls!$B$4)</f>
        <v>0</v>
      </c>
      <c r="T566" s="6" t="b">
        <f aca="false">AND(ISNUMBER(I566),I566&lt;=Controls!$B$4,J566="rerun",K566=A566,L566=C566,M566=N566,O566=0,I566&gt;=G566,IF(ISNUMBER(P566),I566&gt;=P566,TRUE()))</f>
        <v>0</v>
      </c>
      <c r="U566" s="0" t="str">
        <f aca="false">IF(AND(S566,T566),"resolved",IF(S566,"claimed","open"))</f>
        <v>open</v>
      </c>
      <c r="V566" s="11" t="n">
        <f aca="false">ROUND((IF(U566="resolved",I566,IF(U566="claimed",H566,Controls!$B$4))-G566)*24,4)</f>
        <v>42.85</v>
      </c>
      <c r="W566" s="6" t="b">
        <f aca="false">INDEX(Owners!$E$4:$E$21,MATCH(D566,Owners!$A$4:$A$21,0))</f>
        <v>0</v>
      </c>
    </row>
    <row r="567" customFormat="false" ht="15" hidden="false" customHeight="false" outlineLevel="0" collapsed="false">
      <c r="A567" s="4" t="s">
        <v>869</v>
      </c>
      <c r="B567" s="4" t="s">
        <v>120</v>
      </c>
      <c r="C567" s="4" t="s">
        <v>244</v>
      </c>
      <c r="D567" s="4" t="s">
        <v>326</v>
      </c>
      <c r="E567" s="4" t="s">
        <v>204</v>
      </c>
      <c r="F567" s="4" t="s">
        <v>562</v>
      </c>
      <c r="G567" s="5" t="n">
        <v>46298.2375</v>
      </c>
      <c r="H567" s="12"/>
      <c r="I567" s="12"/>
      <c r="N567" s="4" t="n">
        <v>2</v>
      </c>
      <c r="P567" s="12"/>
      <c r="Q567" s="4" t="n">
        <v>0</v>
      </c>
      <c r="R567" s="0" t="str">
        <f aca="false">INDEX(Owners!$B$4:$B$21,MATCH(D567,Owners!$A$4:$A$21,0))</f>
        <v>Customer Data</v>
      </c>
      <c r="S567" s="6" t="b">
        <f aca="false">AND(F567="closed",ISNUMBER(H567),H567&lt;=Controls!$B$4)</f>
        <v>0</v>
      </c>
      <c r="T567" s="6" t="b">
        <f aca="false">AND(ISNUMBER(I567),I567&lt;=Controls!$B$4,J567="rerun",K567=A567,L567=C567,M567=N567,O567=0,I567&gt;=G567,IF(ISNUMBER(P567),I567&gt;=P567,TRUE()))</f>
        <v>0</v>
      </c>
      <c r="U567" s="0" t="str">
        <f aca="false">IF(AND(S567,T567),"resolved",IF(S567,"claimed","open"))</f>
        <v>open</v>
      </c>
      <c r="V567" s="11" t="n">
        <f aca="false">ROUND((IF(U567="resolved",I567,IF(U567="claimed",H567,Controls!$B$4))-G567)*24,4)</f>
        <v>42.3</v>
      </c>
      <c r="W567" s="6" t="b">
        <f aca="false">INDEX(Owners!$E$4:$E$21,MATCH(D567,Owners!$A$4:$A$21,0))</f>
        <v>0</v>
      </c>
    </row>
    <row r="568" customFormat="false" ht="15" hidden="false" customHeight="false" outlineLevel="0" collapsed="false">
      <c r="A568" s="4" t="s">
        <v>870</v>
      </c>
      <c r="B568" s="4" t="s">
        <v>101</v>
      </c>
      <c r="C568" s="4" t="s">
        <v>212</v>
      </c>
      <c r="D568" s="4" t="s">
        <v>483</v>
      </c>
      <c r="E568" s="4" t="s">
        <v>210</v>
      </c>
      <c r="F568" s="4" t="s">
        <v>562</v>
      </c>
      <c r="G568" s="5" t="n">
        <v>46298.2465277778</v>
      </c>
      <c r="H568" s="12"/>
      <c r="I568" s="12"/>
      <c r="N568" s="4" t="n">
        <v>1</v>
      </c>
      <c r="P568" s="12"/>
      <c r="Q568" s="4" t="n">
        <v>0</v>
      </c>
      <c r="R568" s="0" t="str">
        <f aca="false">INDEX(Owners!$B$4:$B$21,MATCH(D568,Owners!$A$4:$A$21,0))</f>
        <v>Customer Data</v>
      </c>
      <c r="S568" s="6" t="b">
        <f aca="false">AND(F568="closed",ISNUMBER(H568),H568&lt;=Controls!$B$4)</f>
        <v>0</v>
      </c>
      <c r="T568" s="6" t="b">
        <f aca="false">AND(ISNUMBER(I568),I568&lt;=Controls!$B$4,J568="rerun",K568=A568,L568=C568,M568=N568,O568=0,I568&gt;=G568,IF(ISNUMBER(P568),I568&gt;=P568,TRUE()))</f>
        <v>0</v>
      </c>
      <c r="U568" s="0" t="str">
        <f aca="false">IF(AND(S568,T568),"resolved",IF(S568,"claimed","open"))</f>
        <v>open</v>
      </c>
      <c r="V568" s="11" t="n">
        <f aca="false">ROUND((IF(U568="resolved",I568,IF(U568="claimed",H568,Controls!$B$4))-G568)*24,4)</f>
        <v>42.0833</v>
      </c>
      <c r="W568" s="6" t="b">
        <f aca="false">INDEX(Owners!$E$4:$E$21,MATCH(D568,Owners!$A$4:$A$21,0))</f>
        <v>1</v>
      </c>
    </row>
    <row r="569" customFormat="false" ht="15" hidden="false" customHeight="false" outlineLevel="0" collapsed="false">
      <c r="A569" s="4" t="s">
        <v>871</v>
      </c>
      <c r="B569" s="4" t="s">
        <v>102</v>
      </c>
      <c r="C569" s="4" t="s">
        <v>213</v>
      </c>
      <c r="D569" s="4" t="s">
        <v>290</v>
      </c>
      <c r="E569" s="4" t="s">
        <v>202</v>
      </c>
      <c r="F569" s="4" t="s">
        <v>556</v>
      </c>
      <c r="G569" s="5" t="n">
        <v>46299.0833333333</v>
      </c>
      <c r="H569" s="12"/>
      <c r="I569" s="12"/>
      <c r="N569" s="4" t="n">
        <v>1</v>
      </c>
      <c r="P569" s="12"/>
      <c r="Q569" s="4" t="n">
        <v>0</v>
      </c>
      <c r="R569" s="0" t="str">
        <f aca="false">INDEX(Owners!$B$4:$B$21,MATCH(D569,Owners!$A$4:$A$21,0))</f>
        <v>Customer Data</v>
      </c>
      <c r="S569" s="6" t="b">
        <f aca="false">AND(F569="closed",ISNUMBER(H569),H569&lt;=Controls!$B$4)</f>
        <v>0</v>
      </c>
      <c r="T569" s="6" t="b">
        <f aca="false">AND(ISNUMBER(I569),I569&lt;=Controls!$B$4,J569="rerun",K569=A569,L569=C569,M569=N569,O569=0,I569&gt;=G569,IF(ISNUMBER(P569),I569&gt;=P569,TRUE()))</f>
        <v>0</v>
      </c>
      <c r="U569" s="0" t="str">
        <f aca="false">IF(AND(S569,T569),"resolved",IF(S569,"claimed","open"))</f>
        <v>open</v>
      </c>
      <c r="V569" s="11" t="n">
        <f aca="false">ROUND((IF(U569="resolved",I569,IF(U569="claimed",H569,Controls!$B$4))-G569)*24,4)</f>
        <v>22</v>
      </c>
      <c r="W569" s="6" t="b">
        <f aca="false">INDEX(Owners!$E$4:$E$21,MATCH(D569,Owners!$A$4:$A$21,0))</f>
        <v>1</v>
      </c>
    </row>
    <row r="570" customFormat="false" ht="15" hidden="false" customHeight="false" outlineLevel="0" collapsed="false">
      <c r="A570" s="4" t="s">
        <v>872</v>
      </c>
      <c r="B570" s="4" t="s">
        <v>129</v>
      </c>
      <c r="C570" s="4" t="s">
        <v>255</v>
      </c>
      <c r="D570" s="4" t="s">
        <v>497</v>
      </c>
      <c r="E570" s="4" t="s">
        <v>204</v>
      </c>
      <c r="F570" s="4" t="s">
        <v>277</v>
      </c>
      <c r="G570" s="5" t="n">
        <v>46299.1743055556</v>
      </c>
      <c r="H570" s="5" t="n">
        <v>46299.9569444444</v>
      </c>
      <c r="I570" s="12"/>
      <c r="N570" s="4" t="n">
        <v>1</v>
      </c>
      <c r="P570" s="12"/>
      <c r="Q570" s="4" t="n">
        <v>0</v>
      </c>
      <c r="R570" s="0" t="str">
        <f aca="false">INDEX(Owners!$B$4:$B$21,MATCH(D570,Owners!$A$4:$A$21,0))</f>
        <v>Support Operations</v>
      </c>
      <c r="S570" s="6" t="b">
        <f aca="false">AND(F570="closed",ISNUMBER(H570),H570&lt;=Controls!$B$4)</f>
        <v>1</v>
      </c>
      <c r="T570" s="6" t="b">
        <f aca="false">AND(ISNUMBER(I570),I570&lt;=Controls!$B$4,J570="rerun",K570=A570,L570=C570,M570=N570,O570=0,I570&gt;=G570,IF(ISNUMBER(P570),I570&gt;=P570,TRUE()))</f>
        <v>0</v>
      </c>
      <c r="U570" s="0" t="str">
        <f aca="false">IF(AND(S570,T570),"resolved",IF(S570,"claimed","open"))</f>
        <v>claimed</v>
      </c>
      <c r="V570" s="11" t="n">
        <f aca="false">ROUND((IF(U570="resolved",I570,IF(U570="claimed",H570,Controls!$B$4))-G570)*24,4)</f>
        <v>18.7833</v>
      </c>
      <c r="W570" s="6" t="b">
        <f aca="false">INDEX(Owners!$E$4:$E$21,MATCH(D570,Owners!$A$4:$A$21,0))</f>
        <v>1</v>
      </c>
    </row>
    <row r="571" customFormat="false" ht="15" hidden="false" customHeight="false" outlineLevel="0" collapsed="false">
      <c r="A571" s="4" t="s">
        <v>873</v>
      </c>
      <c r="B571" s="4" t="s">
        <v>130</v>
      </c>
      <c r="C571" s="4" t="s">
        <v>256</v>
      </c>
      <c r="D571" s="4" t="s">
        <v>553</v>
      </c>
      <c r="E571" s="4" t="s">
        <v>202</v>
      </c>
      <c r="F571" s="4" t="s">
        <v>562</v>
      </c>
      <c r="G571" s="5" t="n">
        <v>46299.1833333333</v>
      </c>
      <c r="H571" s="12"/>
      <c r="I571" s="12"/>
      <c r="N571" s="4" t="n">
        <v>2</v>
      </c>
      <c r="P571" s="12"/>
      <c r="Q571" s="4" t="n">
        <v>0</v>
      </c>
      <c r="R571" s="0" t="str">
        <f aca="false">INDEX(Owners!$B$4:$B$21,MATCH(D571,Owners!$A$4:$A$21,0))</f>
        <v>Data Governance</v>
      </c>
      <c r="S571" s="6" t="b">
        <f aca="false">AND(F571="closed",ISNUMBER(H571),H571&lt;=Controls!$B$4)</f>
        <v>0</v>
      </c>
      <c r="T571" s="6" t="b">
        <f aca="false">AND(ISNUMBER(I571),I571&lt;=Controls!$B$4,J571="rerun",K571=A571,L571=C571,M571=N571,O571=0,I571&gt;=G571,IF(ISNUMBER(P571),I571&gt;=P571,TRUE()))</f>
        <v>0</v>
      </c>
      <c r="U571" s="0" t="str">
        <f aca="false">IF(AND(S571,T571),"resolved",IF(S571,"claimed","open"))</f>
        <v>open</v>
      </c>
      <c r="V571" s="11" t="n">
        <f aca="false">ROUND((IF(U571="resolved",I571,IF(U571="claimed",H571,Controls!$B$4))-G571)*24,4)</f>
        <v>19.6</v>
      </c>
      <c r="W571" s="6" t="b">
        <f aca="false">INDEX(Owners!$E$4:$E$21,MATCH(D571,Owners!$A$4:$A$21,0))</f>
        <v>1</v>
      </c>
    </row>
    <row r="572" customFormat="false" ht="15" hidden="false" customHeight="false" outlineLevel="0" collapsed="false">
      <c r="A572" s="4" t="s">
        <v>874</v>
      </c>
      <c r="B572" s="4" t="s">
        <v>131</v>
      </c>
      <c r="C572" s="4" t="s">
        <v>257</v>
      </c>
      <c r="D572" s="4" t="s">
        <v>283</v>
      </c>
      <c r="E572" s="4" t="s">
        <v>202</v>
      </c>
      <c r="F572" s="4" t="s">
        <v>556</v>
      </c>
      <c r="G572" s="5" t="n">
        <v>46299.1923611111</v>
      </c>
      <c r="H572" s="12"/>
      <c r="I572" s="12"/>
      <c r="N572" s="4" t="n">
        <v>1</v>
      </c>
      <c r="P572" s="12"/>
      <c r="Q572" s="4" t="n">
        <v>0</v>
      </c>
      <c r="R572" s="0" t="str">
        <f aca="false">INDEX(Owners!$B$4:$B$21,MATCH(D572,Owners!$A$4:$A$21,0))</f>
        <v>Data Platform</v>
      </c>
      <c r="S572" s="6" t="b">
        <f aca="false">AND(F572="closed",ISNUMBER(H572),H572&lt;=Controls!$B$4)</f>
        <v>0</v>
      </c>
      <c r="T572" s="6" t="b">
        <f aca="false">AND(ISNUMBER(I572),I572&lt;=Controls!$B$4,J572="rerun",K572=A572,L572=C572,M572=N572,O572=0,I572&gt;=G572,IF(ISNUMBER(P572),I572&gt;=P572,TRUE()))</f>
        <v>0</v>
      </c>
      <c r="U572" s="0" t="str">
        <f aca="false">IF(AND(S572,T572),"resolved",IF(S572,"claimed","open"))</f>
        <v>open</v>
      </c>
      <c r="V572" s="11" t="n">
        <f aca="false">ROUND((IF(U572="resolved",I572,IF(U572="claimed",H572,Controls!$B$4))-G572)*24,4)</f>
        <v>19.3833</v>
      </c>
      <c r="W572" s="6" t="b">
        <f aca="false">INDEX(Owners!$E$4:$E$21,MATCH(D572,Owners!$A$4:$A$21,0))</f>
        <v>1</v>
      </c>
    </row>
    <row r="573" customFormat="false" ht="15" hidden="false" customHeight="false" outlineLevel="0" collapsed="false">
      <c r="A573" s="4" t="s">
        <v>875</v>
      </c>
      <c r="B573" s="4" t="s">
        <v>96</v>
      </c>
      <c r="C573" s="4" t="s">
        <v>206</v>
      </c>
      <c r="D573" s="4" t="s">
        <v>330</v>
      </c>
      <c r="E573" s="4" t="s">
        <v>202</v>
      </c>
      <c r="F573" s="4" t="s">
        <v>562</v>
      </c>
      <c r="G573" s="5" t="n">
        <v>46299.2194444445</v>
      </c>
      <c r="H573" s="12"/>
      <c r="I573" s="12"/>
      <c r="N573" s="4" t="n">
        <v>2</v>
      </c>
      <c r="P573" s="12"/>
      <c r="Q573" s="4" t="n">
        <v>0</v>
      </c>
      <c r="R573" s="0" t="str">
        <f aca="false">INDEX(Owners!$B$4:$B$21,MATCH(D573,Owners!$A$4:$A$21,0))</f>
        <v>Supply Chain</v>
      </c>
      <c r="S573" s="6" t="b">
        <f aca="false">AND(F573="closed",ISNUMBER(H573),H573&lt;=Controls!$B$4)</f>
        <v>0</v>
      </c>
      <c r="T573" s="6" t="b">
        <f aca="false">AND(ISNUMBER(I573),I573&lt;=Controls!$B$4,J573="rerun",K573=A573,L573=C573,M573=N573,O573=0,I573&gt;=G573,IF(ISNUMBER(P573),I573&gt;=P573,TRUE()))</f>
        <v>0</v>
      </c>
      <c r="U573" s="0" t="str">
        <f aca="false">IF(AND(S573,T573),"resolved",IF(S573,"claimed","open"))</f>
        <v>open</v>
      </c>
      <c r="V573" s="11" t="n">
        <f aca="false">ROUND((IF(U573="resolved",I573,IF(U573="claimed",H573,Controls!$B$4))-G573)*24,4)</f>
        <v>18.7333</v>
      </c>
      <c r="W573" s="6" t="b">
        <f aca="false">INDEX(Owners!$E$4:$E$21,MATCH(D573,Owners!$A$4:$A$21,0))</f>
        <v>1</v>
      </c>
    </row>
    <row r="574" customFormat="false" ht="15" hidden="false" customHeight="false" outlineLevel="0" collapsed="false">
      <c r="A574" s="4" t="s">
        <v>876</v>
      </c>
      <c r="B574" s="4" t="s">
        <v>110</v>
      </c>
      <c r="C574" s="4" t="s">
        <v>226</v>
      </c>
      <c r="D574" s="4" t="s">
        <v>286</v>
      </c>
      <c r="E574" s="4" t="s">
        <v>202</v>
      </c>
      <c r="F574" s="4" t="s">
        <v>556</v>
      </c>
      <c r="G574" s="5" t="n">
        <v>46299.2326388889</v>
      </c>
      <c r="H574" s="12"/>
      <c r="I574" s="12"/>
      <c r="N574" s="4" t="n">
        <v>2</v>
      </c>
      <c r="P574" s="12"/>
      <c r="Q574" s="4" t="n">
        <v>0</v>
      </c>
      <c r="R574" s="0" t="str">
        <f aca="false">INDEX(Owners!$B$4:$B$21,MATCH(D574,Owners!$A$4:$A$21,0))</f>
        <v>Finance Systems</v>
      </c>
      <c r="S574" s="6" t="b">
        <f aca="false">AND(F574="closed",ISNUMBER(H574),H574&lt;=Controls!$B$4)</f>
        <v>0</v>
      </c>
      <c r="T574" s="6" t="b">
        <f aca="false">AND(ISNUMBER(I574),I574&lt;=Controls!$B$4,J574="rerun",K574=A574,L574=C574,M574=N574,O574=0,I574&gt;=G574,IF(ISNUMBER(P574),I574&gt;=P574,TRUE()))</f>
        <v>0</v>
      </c>
      <c r="U574" s="0" t="str">
        <f aca="false">IF(AND(S574,T574),"resolved",IF(S574,"claimed","open"))</f>
        <v>open</v>
      </c>
      <c r="V574" s="11" t="n">
        <f aca="false">ROUND((IF(U574="resolved",I574,IF(U574="claimed",H574,Controls!$B$4))-G574)*24,4)</f>
        <v>18.4167</v>
      </c>
      <c r="W574" s="6" t="b">
        <f aca="false">INDEX(Owners!$E$4:$E$21,MATCH(D574,Owners!$A$4:$A$21,0))</f>
        <v>0</v>
      </c>
    </row>
    <row r="575" customFormat="false" ht="15" hidden="false" customHeight="false" outlineLevel="0" collapsed="false">
      <c r="A575" s="4" t="s">
        <v>877</v>
      </c>
      <c r="B575" s="4" t="s">
        <v>120</v>
      </c>
      <c r="C575" s="4" t="s">
        <v>244</v>
      </c>
      <c r="D575" s="4" t="s">
        <v>326</v>
      </c>
      <c r="E575" s="4" t="s">
        <v>204</v>
      </c>
      <c r="F575" s="4" t="s">
        <v>562</v>
      </c>
      <c r="G575" s="5" t="n">
        <v>46299.2375</v>
      </c>
      <c r="H575" s="12"/>
      <c r="I575" s="12"/>
      <c r="N575" s="4" t="n">
        <v>2</v>
      </c>
      <c r="P575" s="12"/>
      <c r="Q575" s="4" t="n">
        <v>0</v>
      </c>
      <c r="R575" s="0" t="str">
        <f aca="false">INDEX(Owners!$B$4:$B$21,MATCH(D575,Owners!$A$4:$A$21,0))</f>
        <v>Customer Data</v>
      </c>
      <c r="S575" s="6" t="b">
        <f aca="false">AND(F575="closed",ISNUMBER(H575),H575&lt;=Controls!$B$4)</f>
        <v>0</v>
      </c>
      <c r="T575" s="6" t="b">
        <f aca="false">AND(ISNUMBER(I575),I575&lt;=Controls!$B$4,J575="rerun",K575=A575,L575=C575,M575=N575,O575=0,I575&gt;=G575,IF(ISNUMBER(P575),I575&gt;=P575,TRUE()))</f>
        <v>0</v>
      </c>
      <c r="U575" s="0" t="str">
        <f aca="false">IF(AND(S575,T575),"resolved",IF(S575,"claimed","open"))</f>
        <v>open</v>
      </c>
      <c r="V575" s="11" t="n">
        <f aca="false">ROUND((IF(U575="resolved",I575,IF(U575="claimed",H575,Controls!$B$4))-G575)*24,4)</f>
        <v>18.3</v>
      </c>
      <c r="W575" s="6" t="b">
        <f aca="false">INDEX(Owners!$E$4:$E$21,MATCH(D575,Owners!$A$4:$A$21,0))</f>
        <v>0</v>
      </c>
    </row>
    <row r="576" customFormat="false" ht="15" hidden="false" customHeight="false" outlineLevel="0" collapsed="false">
      <c r="A576" s="4" t="s">
        <v>878</v>
      </c>
      <c r="B576" s="4" t="s">
        <v>98</v>
      </c>
      <c r="C576" s="4" t="s">
        <v>211</v>
      </c>
      <c r="D576" s="4" t="s">
        <v>324</v>
      </c>
      <c r="E576" s="4" t="s">
        <v>204</v>
      </c>
      <c r="F576" s="4" t="s">
        <v>562</v>
      </c>
      <c r="G576" s="5" t="n">
        <v>46299.2416666667</v>
      </c>
      <c r="H576" s="12"/>
      <c r="I576" s="12"/>
      <c r="N576" s="4" t="n">
        <v>3</v>
      </c>
      <c r="P576" s="12"/>
      <c r="Q576" s="4" t="n">
        <v>0</v>
      </c>
      <c r="R576" s="0" t="str">
        <f aca="false">INDEX(Owners!$B$4:$B$21,MATCH(D576,Owners!$A$4:$A$21,0))</f>
        <v>Finance Systems</v>
      </c>
      <c r="S576" s="6" t="b">
        <f aca="false">AND(F576="closed",ISNUMBER(H576),H576&lt;=Controls!$B$4)</f>
        <v>0</v>
      </c>
      <c r="T576" s="6" t="b">
        <f aca="false">AND(ISNUMBER(I576),I576&lt;=Controls!$B$4,J576="rerun",K576=A576,L576=C576,M576=N576,O576=0,I576&gt;=G576,IF(ISNUMBER(P576),I576&gt;=P576,TRUE()))</f>
        <v>0</v>
      </c>
      <c r="U576" s="0" t="str">
        <f aca="false">IF(AND(S576,T576),"resolved",IF(S576,"claimed","open"))</f>
        <v>open</v>
      </c>
      <c r="V576" s="11" t="n">
        <f aca="false">ROUND((IF(U576="resolved",I576,IF(U576="claimed",H576,Controls!$B$4))-G576)*24,4)</f>
        <v>18.2</v>
      </c>
      <c r="W576" s="6" t="b">
        <f aca="false">INDEX(Owners!$E$4:$E$21,MATCH(D576,Owners!$A$4:$A$21,0))</f>
        <v>1</v>
      </c>
    </row>
    <row r="577" customFormat="false" ht="15" hidden="false" customHeight="false" outlineLevel="0" collapsed="false">
      <c r="A577" s="4" t="s">
        <v>879</v>
      </c>
      <c r="B577" s="4" t="s">
        <v>117</v>
      </c>
      <c r="C577" s="4" t="s">
        <v>240</v>
      </c>
      <c r="D577" s="4" t="s">
        <v>288</v>
      </c>
      <c r="E577" s="4" t="s">
        <v>204</v>
      </c>
      <c r="F577" s="4" t="s">
        <v>556</v>
      </c>
      <c r="G577" s="5" t="n">
        <v>46299.2458333333</v>
      </c>
      <c r="H577" s="12"/>
      <c r="I577" s="12"/>
      <c r="N577" s="4" t="n">
        <v>1</v>
      </c>
      <c r="P577" s="12"/>
      <c r="Q577" s="4" t="n">
        <v>0</v>
      </c>
      <c r="R577" s="0" t="str">
        <f aca="false">INDEX(Owners!$B$4:$B$21,MATCH(D577,Owners!$A$4:$A$21,0))</f>
        <v>Support Operations</v>
      </c>
      <c r="S577" s="6" t="b">
        <f aca="false">AND(F577="closed",ISNUMBER(H577),H577&lt;=Controls!$B$4)</f>
        <v>0</v>
      </c>
      <c r="T577" s="6" t="b">
        <f aca="false">AND(ISNUMBER(I577),I577&lt;=Controls!$B$4,J577="rerun",K577=A577,L577=C577,M577=N577,O577=0,I577&gt;=G577,IF(ISNUMBER(P577),I577&gt;=P577,TRUE()))</f>
        <v>0</v>
      </c>
      <c r="U577" s="0" t="str">
        <f aca="false">IF(AND(S577,T577),"resolved",IF(S577,"claimed","open"))</f>
        <v>open</v>
      </c>
      <c r="V577" s="11" t="n">
        <f aca="false">ROUND((IF(U577="resolved",I577,IF(U577="claimed",H577,Controls!$B$4))-G577)*24,4)</f>
        <v>18.1</v>
      </c>
      <c r="W577" s="6" t="b">
        <f aca="false">INDEX(Owners!$E$4:$E$21,MATCH(D577,Owners!$A$4:$A$21,0))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4" min="4" style="0" width="22"/>
  </cols>
  <sheetData>
    <row r="1" customFormat="false" ht="17.35" hidden="false" customHeight="false" outlineLevel="0" collapsed="false">
      <c r="A1" s="1" t="s">
        <v>880</v>
      </c>
    </row>
    <row r="2" customFormat="false" ht="15" hidden="false" customHeight="false" outlineLevel="0" collapsed="false">
      <c r="A2" s="0" t="s">
        <v>881</v>
      </c>
    </row>
    <row r="3" customFormat="false" ht="41.75" hidden="false" customHeight="false" outlineLevel="0" collapsed="false">
      <c r="A3" s="7" t="s">
        <v>263</v>
      </c>
      <c r="B3" s="7" t="s">
        <v>882</v>
      </c>
      <c r="C3" s="7" t="s">
        <v>883</v>
      </c>
      <c r="D3" s="7" t="s">
        <v>884</v>
      </c>
      <c r="E3" s="7" t="s">
        <v>885</v>
      </c>
    </row>
    <row r="4" customFormat="false" ht="15" hidden="false" customHeight="false" outlineLevel="0" collapsed="false">
      <c r="A4" s="4" t="s">
        <v>886</v>
      </c>
      <c r="B4" s="4" t="s">
        <v>887</v>
      </c>
      <c r="C4" s="13" t="b">
        <f aca="false">TRUE()</f>
        <v>1</v>
      </c>
      <c r="D4" s="12"/>
      <c r="E4" s="6" t="b">
        <f aca="false">IF(ISNUMBER(D4),Controls!$B$4&lt;D4,C4)</f>
        <v>1</v>
      </c>
    </row>
    <row r="5" customFormat="false" ht="15" hidden="false" customHeight="false" outlineLevel="0" collapsed="false">
      <c r="A5" s="4" t="s">
        <v>553</v>
      </c>
      <c r="B5" s="4" t="s">
        <v>887</v>
      </c>
      <c r="C5" s="13" t="b">
        <f aca="false">TRUE()</f>
        <v>1</v>
      </c>
      <c r="D5" s="12"/>
      <c r="E5" s="6" t="b">
        <f aca="false">IF(ISNUMBER(D5),Controls!$B$4&lt;D5,C5)</f>
        <v>1</v>
      </c>
    </row>
    <row r="6" customFormat="false" ht="15" hidden="false" customHeight="false" outlineLevel="0" collapsed="false">
      <c r="A6" s="4" t="s">
        <v>320</v>
      </c>
      <c r="B6" s="4" t="s">
        <v>887</v>
      </c>
      <c r="C6" s="13" t="b">
        <f aca="false">TRUE()</f>
        <v>1</v>
      </c>
      <c r="D6" s="12"/>
      <c r="E6" s="6" t="b">
        <f aca="false">IF(ISNUMBER(D6),Controls!$B$4&lt;D6,C6)</f>
        <v>1</v>
      </c>
    </row>
    <row r="7" customFormat="false" ht="15" hidden="false" customHeight="false" outlineLevel="0" collapsed="false">
      <c r="A7" s="4" t="s">
        <v>296</v>
      </c>
      <c r="B7" s="4" t="s">
        <v>888</v>
      </c>
      <c r="C7" s="13" t="b">
        <f aca="false">TRUE()</f>
        <v>1</v>
      </c>
      <c r="D7" s="12"/>
      <c r="E7" s="6" t="b">
        <f aca="false">IF(ISNUMBER(D7),Controls!$B$4&lt;D7,C7)</f>
        <v>1</v>
      </c>
    </row>
    <row r="8" customFormat="false" ht="15" hidden="false" customHeight="false" outlineLevel="0" collapsed="false">
      <c r="A8" s="4" t="s">
        <v>283</v>
      </c>
      <c r="B8" s="4" t="s">
        <v>888</v>
      </c>
      <c r="C8" s="13" t="b">
        <f aca="false">TRUE()</f>
        <v>1</v>
      </c>
      <c r="D8" s="12"/>
      <c r="E8" s="6" t="b">
        <f aca="false">IF(ISNUMBER(D8),Controls!$B$4&lt;D8,C8)</f>
        <v>1</v>
      </c>
    </row>
    <row r="9" customFormat="false" ht="15" hidden="false" customHeight="false" outlineLevel="0" collapsed="false">
      <c r="A9" s="4" t="s">
        <v>301</v>
      </c>
      <c r="B9" s="4" t="s">
        <v>888</v>
      </c>
      <c r="C9" s="13" t="b">
        <f aca="false">TRUE()</f>
        <v>1</v>
      </c>
      <c r="D9" s="12"/>
      <c r="E9" s="6" t="b">
        <f aca="false">IF(ISNUMBER(D9),Controls!$B$4&lt;D9,C9)</f>
        <v>1</v>
      </c>
    </row>
    <row r="10" customFormat="false" ht="15" hidden="false" customHeight="false" outlineLevel="0" collapsed="false">
      <c r="A10" s="4" t="s">
        <v>290</v>
      </c>
      <c r="B10" s="4" t="s">
        <v>889</v>
      </c>
      <c r="C10" s="13" t="b">
        <f aca="false">TRUE()</f>
        <v>1</v>
      </c>
      <c r="D10" s="12"/>
      <c r="E10" s="6" t="b">
        <f aca="false">IF(ISNUMBER(D10),Controls!$B$4&lt;D10,C10)</f>
        <v>1</v>
      </c>
    </row>
    <row r="11" customFormat="false" ht="15" hidden="false" customHeight="false" outlineLevel="0" collapsed="false">
      <c r="A11" s="4" t="s">
        <v>483</v>
      </c>
      <c r="B11" s="4" t="s">
        <v>889</v>
      </c>
      <c r="C11" s="13" t="b">
        <f aca="false">TRUE()</f>
        <v>1</v>
      </c>
      <c r="D11" s="12"/>
      <c r="E11" s="6" t="b">
        <f aca="false">IF(ISNUMBER(D11),Controls!$B$4&lt;D11,C11)</f>
        <v>1</v>
      </c>
    </row>
    <row r="12" customFormat="false" ht="15" hidden="false" customHeight="false" outlineLevel="0" collapsed="false">
      <c r="A12" s="4" t="s">
        <v>326</v>
      </c>
      <c r="B12" s="4" t="s">
        <v>889</v>
      </c>
      <c r="C12" s="13" t="b">
        <f aca="false">FALSE()</f>
        <v>0</v>
      </c>
      <c r="D12" s="5" t="n">
        <v>46252.375</v>
      </c>
      <c r="E12" s="6" t="b">
        <f aca="false">IF(ISNUMBER(D12),Controls!$B$4&lt;D12,C12)</f>
        <v>0</v>
      </c>
    </row>
    <row r="13" customFormat="false" ht="15" hidden="false" customHeight="false" outlineLevel="0" collapsed="false">
      <c r="A13" s="4" t="s">
        <v>324</v>
      </c>
      <c r="B13" s="4" t="s">
        <v>890</v>
      </c>
      <c r="C13" s="13" t="b">
        <f aca="false">TRUE()</f>
        <v>1</v>
      </c>
      <c r="D13" s="12"/>
      <c r="E13" s="6" t="b">
        <f aca="false">IF(ISNUMBER(D13),Controls!$B$4&lt;D13,C13)</f>
        <v>1</v>
      </c>
    </row>
    <row r="14" customFormat="false" ht="15" hidden="false" customHeight="false" outlineLevel="0" collapsed="false">
      <c r="A14" s="4" t="s">
        <v>358</v>
      </c>
      <c r="B14" s="4" t="s">
        <v>890</v>
      </c>
      <c r="C14" s="13" t="b">
        <f aca="false">TRUE()</f>
        <v>1</v>
      </c>
      <c r="D14" s="12"/>
      <c r="E14" s="6" t="b">
        <f aca="false">IF(ISNUMBER(D14),Controls!$B$4&lt;D14,C14)</f>
        <v>1</v>
      </c>
    </row>
    <row r="15" customFormat="false" ht="15" hidden="false" customHeight="false" outlineLevel="0" collapsed="false">
      <c r="A15" s="4" t="s">
        <v>286</v>
      </c>
      <c r="B15" s="4" t="s">
        <v>890</v>
      </c>
      <c r="C15" s="13" t="b">
        <f aca="false">FALSE()</f>
        <v>0</v>
      </c>
      <c r="D15" s="5" t="n">
        <v>46269.375</v>
      </c>
      <c r="E15" s="6" t="b">
        <f aca="false">IF(ISNUMBER(D15),Controls!$B$4&lt;D15,C15)</f>
        <v>0</v>
      </c>
    </row>
    <row r="16" customFormat="false" ht="15" hidden="false" customHeight="false" outlineLevel="0" collapsed="false">
      <c r="A16" s="4" t="s">
        <v>350</v>
      </c>
      <c r="B16" s="4" t="s">
        <v>891</v>
      </c>
      <c r="C16" s="13" t="b">
        <f aca="false">TRUE()</f>
        <v>1</v>
      </c>
      <c r="D16" s="12"/>
      <c r="E16" s="6" t="b">
        <f aca="false">IF(ISNUMBER(D16),Controls!$B$4&lt;D16,C16)</f>
        <v>1</v>
      </c>
    </row>
    <row r="17" customFormat="false" ht="15" hidden="false" customHeight="false" outlineLevel="0" collapsed="false">
      <c r="A17" s="4" t="s">
        <v>330</v>
      </c>
      <c r="B17" s="4" t="s">
        <v>891</v>
      </c>
      <c r="C17" s="13" t="b">
        <f aca="false">TRUE()</f>
        <v>1</v>
      </c>
      <c r="D17" s="12"/>
      <c r="E17" s="6" t="b">
        <f aca="false">IF(ISNUMBER(D17),Controls!$B$4&lt;D17,C17)</f>
        <v>1</v>
      </c>
    </row>
    <row r="18" customFormat="false" ht="15" hidden="false" customHeight="false" outlineLevel="0" collapsed="false">
      <c r="A18" s="4" t="s">
        <v>334</v>
      </c>
      <c r="B18" s="4" t="s">
        <v>891</v>
      </c>
      <c r="C18" s="13" t="b">
        <f aca="false">FALSE()</f>
        <v>0</v>
      </c>
      <c r="D18" s="5" t="n">
        <v>46287.375</v>
      </c>
      <c r="E18" s="6" t="b">
        <f aca="false">IF(ISNUMBER(D18),Controls!$B$4&lt;D18,C18)</f>
        <v>0</v>
      </c>
    </row>
    <row r="19" customFormat="false" ht="15" hidden="false" customHeight="false" outlineLevel="0" collapsed="false">
      <c r="A19" s="4" t="s">
        <v>497</v>
      </c>
      <c r="B19" s="4" t="s">
        <v>892</v>
      </c>
      <c r="C19" s="13" t="b">
        <f aca="false">TRUE()</f>
        <v>1</v>
      </c>
      <c r="D19" s="12"/>
      <c r="E19" s="6" t="b">
        <f aca="false">IF(ISNUMBER(D19),Controls!$B$4&lt;D19,C19)</f>
        <v>1</v>
      </c>
    </row>
    <row r="20" customFormat="false" ht="15" hidden="false" customHeight="false" outlineLevel="0" collapsed="false">
      <c r="A20" s="4" t="s">
        <v>288</v>
      </c>
      <c r="B20" s="4" t="s">
        <v>892</v>
      </c>
      <c r="C20" s="13" t="b">
        <f aca="false">TRUE()</f>
        <v>1</v>
      </c>
      <c r="D20" s="12"/>
      <c r="E20" s="6" t="b">
        <f aca="false">IF(ISNUMBER(D20),Controls!$B$4&lt;D20,C20)</f>
        <v>1</v>
      </c>
    </row>
    <row r="21" customFormat="false" ht="15" hidden="false" customHeight="false" outlineLevel="0" collapsed="false">
      <c r="A21" s="4" t="s">
        <v>292</v>
      </c>
      <c r="B21" s="4" t="s">
        <v>892</v>
      </c>
      <c r="C21" s="13" t="b">
        <f aca="false">TRUE()</f>
        <v>1</v>
      </c>
      <c r="D21" s="12"/>
      <c r="E21" s="6" t="b">
        <f aca="false">IF(ISNUMBER(D21),Controls!$B$4&lt;D21,C21)</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5" min="5" style="0" width="22"/>
  </cols>
  <sheetData>
    <row r="1" customFormat="false" ht="17.35" hidden="false" customHeight="false" outlineLevel="0" collapsed="false">
      <c r="A1" s="1" t="s">
        <v>893</v>
      </c>
    </row>
    <row r="2" customFormat="false" ht="15" hidden="false" customHeight="false" outlineLevel="0" collapsed="false">
      <c r="A2" s="0" t="s">
        <v>894</v>
      </c>
    </row>
    <row r="3" customFormat="false" ht="28.35" hidden="false" customHeight="false" outlineLevel="0" collapsed="false">
      <c r="A3" s="7" t="s">
        <v>77</v>
      </c>
      <c r="B3" s="7" t="s">
        <v>263</v>
      </c>
      <c r="C3" s="7" t="s">
        <v>895</v>
      </c>
      <c r="D3" s="7" t="s">
        <v>896</v>
      </c>
      <c r="E3" s="7" t="s">
        <v>276</v>
      </c>
    </row>
    <row r="4" customFormat="false" ht="15" hidden="false" customHeight="false" outlineLevel="0" collapsed="false">
      <c r="A4" s="4" t="s">
        <v>92</v>
      </c>
      <c r="B4" s="4" t="s">
        <v>330</v>
      </c>
      <c r="C4" s="13" t="b">
        <f aca="false">FALSE()</f>
        <v>0</v>
      </c>
      <c r="D4" s="6" t="b">
        <f aca="false">INDEX(Owners!$E$4:$E$21,MATCH(B4,Owners!$A$4:$A$21,0))</f>
        <v>1</v>
      </c>
      <c r="E4" s="0" t="str">
        <f aca="false">INDEX(Owners!$B$4:$B$21,MATCH(B4,Owners!$A$4:$A$21,0))</f>
        <v>Supply Chain</v>
      </c>
    </row>
    <row r="5" customFormat="false" ht="15" hidden="false" customHeight="false" outlineLevel="0" collapsed="false">
      <c r="A5" s="4" t="s">
        <v>93</v>
      </c>
      <c r="B5" s="4" t="s">
        <v>350</v>
      </c>
      <c r="C5" s="13" t="b">
        <f aca="false">FALSE()</f>
        <v>0</v>
      </c>
      <c r="D5" s="6" t="b">
        <f aca="false">INDEX(Owners!$E$4:$E$21,MATCH(B5,Owners!$A$4:$A$21,0))</f>
        <v>1</v>
      </c>
      <c r="E5" s="0" t="str">
        <f aca="false">INDEX(Owners!$B$4:$B$21,MATCH(B5,Owners!$A$4:$A$21,0))</f>
        <v>Supply Chain</v>
      </c>
    </row>
    <row r="6" customFormat="false" ht="15" hidden="false" customHeight="false" outlineLevel="0" collapsed="false">
      <c r="A6" s="4" t="s">
        <v>94</v>
      </c>
      <c r="B6" s="4" t="s">
        <v>290</v>
      </c>
      <c r="C6" s="13" t="b">
        <f aca="false">TRUE()</f>
        <v>1</v>
      </c>
      <c r="D6" s="6" t="b">
        <f aca="false">INDEX(Owners!$E$4:$E$21,MATCH(B6,Owners!$A$4:$A$21,0))</f>
        <v>1</v>
      </c>
      <c r="E6" s="0" t="str">
        <f aca="false">INDEX(Owners!$B$4:$B$21,MATCH(B6,Owners!$A$4:$A$21,0))</f>
        <v>Customer Data</v>
      </c>
    </row>
    <row r="7" customFormat="false" ht="15" hidden="false" customHeight="false" outlineLevel="0" collapsed="false">
      <c r="A7" s="4" t="s">
        <v>95</v>
      </c>
      <c r="B7" s="4" t="s">
        <v>283</v>
      </c>
      <c r="C7" s="13" t="b">
        <f aca="false">FALSE()</f>
        <v>0</v>
      </c>
      <c r="D7" s="6" t="b">
        <f aca="false">INDEX(Owners!$E$4:$E$21,MATCH(B7,Owners!$A$4:$A$21,0))</f>
        <v>1</v>
      </c>
      <c r="E7" s="0" t="str">
        <f aca="false">INDEX(Owners!$B$4:$B$21,MATCH(B7,Owners!$A$4:$A$21,0))</f>
        <v>Data Platform</v>
      </c>
    </row>
    <row r="8" customFormat="false" ht="15" hidden="false" customHeight="false" outlineLevel="0" collapsed="false">
      <c r="A8" s="4" t="s">
        <v>96</v>
      </c>
      <c r="B8" s="4" t="s">
        <v>330</v>
      </c>
      <c r="C8" s="13" t="b">
        <f aca="false">TRUE()</f>
        <v>1</v>
      </c>
      <c r="D8" s="6" t="b">
        <f aca="false">INDEX(Owners!$E$4:$E$21,MATCH(B8,Owners!$A$4:$A$21,0))</f>
        <v>1</v>
      </c>
      <c r="E8" s="0" t="str">
        <f aca="false">INDEX(Owners!$B$4:$B$21,MATCH(B8,Owners!$A$4:$A$21,0))</f>
        <v>Supply Chain</v>
      </c>
    </row>
    <row r="9" customFormat="false" ht="15" hidden="false" customHeight="false" outlineLevel="0" collapsed="false">
      <c r="A9" s="4" t="s">
        <v>97</v>
      </c>
      <c r="B9" s="4" t="s">
        <v>286</v>
      </c>
      <c r="C9" s="13" t="b">
        <f aca="false">TRUE()</f>
        <v>1</v>
      </c>
      <c r="D9" s="6" t="b">
        <f aca="false">INDEX(Owners!$E$4:$E$21,MATCH(B9,Owners!$A$4:$A$21,0))</f>
        <v>0</v>
      </c>
      <c r="E9" s="0" t="str">
        <f aca="false">INDEX(Owners!$B$4:$B$21,MATCH(B9,Owners!$A$4:$A$21,0))</f>
        <v>Finance Systems</v>
      </c>
    </row>
    <row r="10" customFormat="false" ht="15" hidden="false" customHeight="false" outlineLevel="0" collapsed="false">
      <c r="A10" s="4" t="s">
        <v>98</v>
      </c>
      <c r="B10" s="4" t="s">
        <v>324</v>
      </c>
      <c r="C10" s="13" t="b">
        <f aca="false">FALSE()</f>
        <v>0</v>
      </c>
      <c r="D10" s="6" t="b">
        <f aca="false">INDEX(Owners!$E$4:$E$21,MATCH(B10,Owners!$A$4:$A$21,0))</f>
        <v>1</v>
      </c>
      <c r="E10" s="0" t="str">
        <f aca="false">INDEX(Owners!$B$4:$B$21,MATCH(B10,Owners!$A$4:$A$21,0))</f>
        <v>Finance Systems</v>
      </c>
    </row>
    <row r="11" customFormat="false" ht="15" hidden="false" customHeight="false" outlineLevel="0" collapsed="false">
      <c r="A11" s="4" t="s">
        <v>99</v>
      </c>
      <c r="B11" s="4" t="s">
        <v>483</v>
      </c>
      <c r="C11" s="13" t="b">
        <f aca="false">FALSE()</f>
        <v>0</v>
      </c>
      <c r="D11" s="6" t="b">
        <f aca="false">INDEX(Owners!$E$4:$E$21,MATCH(B11,Owners!$A$4:$A$21,0))</f>
        <v>1</v>
      </c>
      <c r="E11" s="0" t="str">
        <f aca="false">INDEX(Owners!$B$4:$B$21,MATCH(B11,Owners!$A$4:$A$21,0))</f>
        <v>Customer Data</v>
      </c>
    </row>
    <row r="12" customFormat="false" ht="15" hidden="false" customHeight="false" outlineLevel="0" collapsed="false">
      <c r="A12" s="4" t="s">
        <v>100</v>
      </c>
      <c r="B12" s="4" t="s">
        <v>483</v>
      </c>
      <c r="C12" s="13" t="b">
        <f aca="false">FALSE()</f>
        <v>0</v>
      </c>
      <c r="D12" s="6" t="b">
        <f aca="false">INDEX(Owners!$E$4:$E$21,MATCH(B12,Owners!$A$4:$A$21,0))</f>
        <v>1</v>
      </c>
      <c r="E12" s="0" t="str">
        <f aca="false">INDEX(Owners!$B$4:$B$21,MATCH(B12,Owners!$A$4:$A$21,0))</f>
        <v>Customer Data</v>
      </c>
    </row>
    <row r="13" customFormat="false" ht="15" hidden="false" customHeight="false" outlineLevel="0" collapsed="false">
      <c r="A13" s="4" t="s">
        <v>101</v>
      </c>
      <c r="B13" s="4" t="s">
        <v>483</v>
      </c>
      <c r="C13" s="13" t="b">
        <f aca="false">FALSE()</f>
        <v>0</v>
      </c>
      <c r="D13" s="6" t="b">
        <f aca="false">INDEX(Owners!$E$4:$E$21,MATCH(B13,Owners!$A$4:$A$21,0))</f>
        <v>1</v>
      </c>
      <c r="E13" s="0" t="str">
        <f aca="false">INDEX(Owners!$B$4:$B$21,MATCH(B13,Owners!$A$4:$A$21,0))</f>
        <v>Customer Data</v>
      </c>
    </row>
    <row r="14" customFormat="false" ht="15" hidden="false" customHeight="false" outlineLevel="0" collapsed="false">
      <c r="A14" s="4" t="s">
        <v>102</v>
      </c>
      <c r="B14" s="4" t="s">
        <v>290</v>
      </c>
      <c r="C14" s="13" t="b">
        <f aca="false">TRUE()</f>
        <v>1</v>
      </c>
      <c r="D14" s="6" t="b">
        <f aca="false">INDEX(Owners!$E$4:$E$21,MATCH(B14,Owners!$A$4:$A$21,0))</f>
        <v>1</v>
      </c>
      <c r="E14" s="0" t="str">
        <f aca="false">INDEX(Owners!$B$4:$B$21,MATCH(B14,Owners!$A$4:$A$21,0))</f>
        <v>Customer Data</v>
      </c>
    </row>
    <row r="15" customFormat="false" ht="15" hidden="false" customHeight="false" outlineLevel="0" collapsed="false">
      <c r="A15" s="4" t="s">
        <v>103</v>
      </c>
      <c r="B15" s="4" t="s">
        <v>350</v>
      </c>
      <c r="C15" s="13" t="b">
        <f aca="false">FALSE()</f>
        <v>0</v>
      </c>
      <c r="D15" s="6" t="b">
        <f aca="false">INDEX(Owners!$E$4:$E$21,MATCH(B15,Owners!$A$4:$A$21,0))</f>
        <v>1</v>
      </c>
      <c r="E15" s="0" t="str">
        <f aca="false">INDEX(Owners!$B$4:$B$21,MATCH(B15,Owners!$A$4:$A$21,0))</f>
        <v>Supply Chain</v>
      </c>
    </row>
    <row r="16" customFormat="false" ht="15" hidden="false" customHeight="false" outlineLevel="0" collapsed="false">
      <c r="A16" s="4" t="s">
        <v>104</v>
      </c>
      <c r="B16" s="4" t="s">
        <v>497</v>
      </c>
      <c r="C16" s="13" t="b">
        <f aca="false">FALSE()</f>
        <v>0</v>
      </c>
      <c r="D16" s="6" t="b">
        <f aca="false">INDEX(Owners!$E$4:$E$21,MATCH(B16,Owners!$A$4:$A$21,0))</f>
        <v>1</v>
      </c>
      <c r="E16" s="0" t="str">
        <f aca="false">INDEX(Owners!$B$4:$B$21,MATCH(B16,Owners!$A$4:$A$21,0))</f>
        <v>Support Operations</v>
      </c>
    </row>
    <row r="17" customFormat="false" ht="15" hidden="false" customHeight="false" outlineLevel="0" collapsed="false">
      <c r="A17" s="4" t="s">
        <v>105</v>
      </c>
      <c r="B17" s="4" t="s">
        <v>553</v>
      </c>
      <c r="C17" s="13" t="b">
        <f aca="false">FALSE()</f>
        <v>0</v>
      </c>
      <c r="D17" s="6" t="b">
        <f aca="false">INDEX(Owners!$E$4:$E$21,MATCH(B17,Owners!$A$4:$A$21,0))</f>
        <v>1</v>
      </c>
      <c r="E17" s="0" t="str">
        <f aca="false">INDEX(Owners!$B$4:$B$21,MATCH(B17,Owners!$A$4:$A$21,0))</f>
        <v>Data Governance</v>
      </c>
    </row>
    <row r="18" customFormat="false" ht="15" hidden="false" customHeight="false" outlineLevel="0" collapsed="false">
      <c r="A18" s="4" t="s">
        <v>106</v>
      </c>
      <c r="B18" s="4" t="s">
        <v>301</v>
      </c>
      <c r="C18" s="13" t="b">
        <f aca="false">TRUE()</f>
        <v>1</v>
      </c>
      <c r="D18" s="6" t="b">
        <f aca="false">INDEX(Owners!$E$4:$E$21,MATCH(B18,Owners!$A$4:$A$21,0))</f>
        <v>1</v>
      </c>
      <c r="E18" s="0" t="str">
        <f aca="false">INDEX(Owners!$B$4:$B$21,MATCH(B18,Owners!$A$4:$A$21,0))</f>
        <v>Data Platform</v>
      </c>
    </row>
    <row r="19" customFormat="false" ht="15" hidden="false" customHeight="false" outlineLevel="0" collapsed="false">
      <c r="A19" s="4" t="s">
        <v>107</v>
      </c>
      <c r="B19" s="4" t="s">
        <v>326</v>
      </c>
      <c r="C19" s="13" t="b">
        <f aca="false">TRUE()</f>
        <v>1</v>
      </c>
      <c r="D19" s="6" t="b">
        <f aca="false">INDEX(Owners!$E$4:$E$21,MATCH(B19,Owners!$A$4:$A$21,0))</f>
        <v>0</v>
      </c>
      <c r="E19" s="0" t="str">
        <f aca="false">INDEX(Owners!$B$4:$B$21,MATCH(B19,Owners!$A$4:$A$21,0))</f>
        <v>Customer Data</v>
      </c>
    </row>
    <row r="20" customFormat="false" ht="15" hidden="false" customHeight="false" outlineLevel="0" collapsed="false">
      <c r="A20" s="4" t="s">
        <v>108</v>
      </c>
      <c r="B20" s="4" t="s">
        <v>330</v>
      </c>
      <c r="C20" s="13" t="b">
        <f aca="false">FALSE()</f>
        <v>0</v>
      </c>
      <c r="D20" s="6" t="b">
        <f aca="false">INDEX(Owners!$E$4:$E$21,MATCH(B20,Owners!$A$4:$A$21,0))</f>
        <v>1</v>
      </c>
      <c r="E20" s="0" t="str">
        <f aca="false">INDEX(Owners!$B$4:$B$21,MATCH(B20,Owners!$A$4:$A$21,0))</f>
        <v>Supply Chain</v>
      </c>
    </row>
    <row r="21" customFormat="false" ht="15" hidden="false" customHeight="false" outlineLevel="0" collapsed="false">
      <c r="A21" s="4" t="s">
        <v>109</v>
      </c>
      <c r="B21" s="4" t="s">
        <v>292</v>
      </c>
      <c r="C21" s="13" t="b">
        <f aca="false">FALSE()</f>
        <v>0</v>
      </c>
      <c r="D21" s="6" t="b">
        <f aca="false">INDEX(Owners!$E$4:$E$21,MATCH(B21,Owners!$A$4:$A$21,0))</f>
        <v>1</v>
      </c>
      <c r="E21" s="0" t="str">
        <f aca="false">INDEX(Owners!$B$4:$B$21,MATCH(B21,Owners!$A$4:$A$21,0))</f>
        <v>Support Operations</v>
      </c>
    </row>
    <row r="22" customFormat="false" ht="15" hidden="false" customHeight="false" outlineLevel="0" collapsed="false">
      <c r="A22" s="4" t="s">
        <v>110</v>
      </c>
      <c r="B22" s="4" t="s">
        <v>286</v>
      </c>
      <c r="C22" s="13" t="b">
        <f aca="false">FALSE()</f>
        <v>0</v>
      </c>
      <c r="D22" s="6" t="b">
        <f aca="false">INDEX(Owners!$E$4:$E$21,MATCH(B22,Owners!$A$4:$A$21,0))</f>
        <v>0</v>
      </c>
      <c r="E22" s="0" t="str">
        <f aca="false">INDEX(Owners!$B$4:$B$21,MATCH(B22,Owners!$A$4:$A$21,0))</f>
        <v>Finance Systems</v>
      </c>
    </row>
    <row r="23" customFormat="false" ht="15" hidden="false" customHeight="false" outlineLevel="0" collapsed="false">
      <c r="A23" s="4" t="s">
        <v>111</v>
      </c>
      <c r="B23" s="4" t="s">
        <v>296</v>
      </c>
      <c r="C23" s="13" t="b">
        <f aca="false">FALSE()</f>
        <v>0</v>
      </c>
      <c r="D23" s="6" t="b">
        <f aca="false">INDEX(Owners!$E$4:$E$21,MATCH(B23,Owners!$A$4:$A$21,0))</f>
        <v>1</v>
      </c>
      <c r="E23" s="0" t="str">
        <f aca="false">INDEX(Owners!$B$4:$B$21,MATCH(B23,Owners!$A$4:$A$21,0))</f>
        <v>Data Platform</v>
      </c>
    </row>
    <row r="24" customFormat="false" ht="15" hidden="false" customHeight="false" outlineLevel="0" collapsed="false">
      <c r="A24" s="4" t="s">
        <v>112</v>
      </c>
      <c r="B24" s="4" t="s">
        <v>320</v>
      </c>
      <c r="C24" s="13" t="b">
        <f aca="false">FALSE()</f>
        <v>0</v>
      </c>
      <c r="D24" s="6" t="b">
        <f aca="false">INDEX(Owners!$E$4:$E$21,MATCH(B24,Owners!$A$4:$A$21,0))</f>
        <v>1</v>
      </c>
      <c r="E24" s="0" t="str">
        <f aca="false">INDEX(Owners!$B$4:$B$21,MATCH(B24,Owners!$A$4:$A$21,0))</f>
        <v>Data Governance</v>
      </c>
    </row>
    <row r="25" customFormat="false" ht="15" hidden="false" customHeight="false" outlineLevel="0" collapsed="false">
      <c r="A25" s="4" t="s">
        <v>113</v>
      </c>
      <c r="B25" s="4" t="s">
        <v>296</v>
      </c>
      <c r="C25" s="13" t="b">
        <f aca="false">TRUE()</f>
        <v>1</v>
      </c>
      <c r="D25" s="6" t="b">
        <f aca="false">INDEX(Owners!$E$4:$E$21,MATCH(B25,Owners!$A$4:$A$21,0))</f>
        <v>1</v>
      </c>
      <c r="E25" s="0" t="str">
        <f aca="false">INDEX(Owners!$B$4:$B$21,MATCH(B25,Owners!$A$4:$A$21,0))</f>
        <v>Data Platform</v>
      </c>
    </row>
    <row r="26" customFormat="false" ht="15" hidden="false" customHeight="false" outlineLevel="0" collapsed="false">
      <c r="A26" s="4" t="s">
        <v>114</v>
      </c>
      <c r="B26" s="4" t="s">
        <v>320</v>
      </c>
      <c r="C26" s="13" t="b">
        <f aca="false">FALSE()</f>
        <v>0</v>
      </c>
      <c r="D26" s="6" t="b">
        <f aca="false">INDEX(Owners!$E$4:$E$21,MATCH(B26,Owners!$A$4:$A$21,0))</f>
        <v>1</v>
      </c>
      <c r="E26" s="0" t="str">
        <f aca="false">INDEX(Owners!$B$4:$B$21,MATCH(B26,Owners!$A$4:$A$21,0))</f>
        <v>Data Governance</v>
      </c>
    </row>
    <row r="27" customFormat="false" ht="15" hidden="false" customHeight="false" outlineLevel="0" collapsed="false">
      <c r="A27" s="4" t="s">
        <v>115</v>
      </c>
      <c r="B27" s="4" t="s">
        <v>301</v>
      </c>
      <c r="C27" s="13" t="b">
        <f aca="false">TRUE()</f>
        <v>1</v>
      </c>
      <c r="D27" s="6" t="b">
        <f aca="false">INDEX(Owners!$E$4:$E$21,MATCH(B27,Owners!$A$4:$A$21,0))</f>
        <v>1</v>
      </c>
      <c r="E27" s="0" t="str">
        <f aca="false">INDEX(Owners!$B$4:$B$21,MATCH(B27,Owners!$A$4:$A$21,0))</f>
        <v>Data Platform</v>
      </c>
    </row>
    <row r="28" customFormat="false" ht="15" hidden="false" customHeight="false" outlineLevel="0" collapsed="false">
      <c r="A28" s="4" t="s">
        <v>116</v>
      </c>
      <c r="B28" s="4" t="s">
        <v>330</v>
      </c>
      <c r="C28" s="13" t="b">
        <f aca="false">TRUE()</f>
        <v>1</v>
      </c>
      <c r="D28" s="6" t="b">
        <f aca="false">INDEX(Owners!$E$4:$E$21,MATCH(B28,Owners!$A$4:$A$21,0))</f>
        <v>1</v>
      </c>
      <c r="E28" s="0" t="str">
        <f aca="false">INDEX(Owners!$B$4:$B$21,MATCH(B28,Owners!$A$4:$A$21,0))</f>
        <v>Supply Chain</v>
      </c>
    </row>
    <row r="29" customFormat="false" ht="15" hidden="false" customHeight="false" outlineLevel="0" collapsed="false">
      <c r="A29" s="4" t="s">
        <v>117</v>
      </c>
      <c r="B29" s="4" t="s">
        <v>288</v>
      </c>
      <c r="C29" s="13" t="b">
        <f aca="false">FALSE()</f>
        <v>0</v>
      </c>
      <c r="D29" s="6" t="b">
        <f aca="false">INDEX(Owners!$E$4:$E$21,MATCH(B29,Owners!$A$4:$A$21,0))</f>
        <v>1</v>
      </c>
      <c r="E29" s="0" t="str">
        <f aca="false">INDEX(Owners!$B$4:$B$21,MATCH(B29,Owners!$A$4:$A$21,0))</f>
        <v>Support Operations</v>
      </c>
    </row>
    <row r="30" customFormat="false" ht="15" hidden="false" customHeight="false" outlineLevel="0" collapsed="false">
      <c r="A30" s="4" t="s">
        <v>118</v>
      </c>
      <c r="B30" s="4" t="s">
        <v>296</v>
      </c>
      <c r="C30" s="13" t="b">
        <f aca="false">TRUE()</f>
        <v>1</v>
      </c>
      <c r="D30" s="6" t="b">
        <f aca="false">INDEX(Owners!$E$4:$E$21,MATCH(B30,Owners!$A$4:$A$21,0))</f>
        <v>1</v>
      </c>
      <c r="E30" s="0" t="str">
        <f aca="false">INDEX(Owners!$B$4:$B$21,MATCH(B30,Owners!$A$4:$A$21,0))</f>
        <v>Data Platform</v>
      </c>
    </row>
    <row r="31" customFormat="false" ht="15" hidden="false" customHeight="false" outlineLevel="0" collapsed="false">
      <c r="A31" s="4" t="s">
        <v>119</v>
      </c>
      <c r="B31" s="4" t="s">
        <v>292</v>
      </c>
      <c r="C31" s="13" t="b">
        <f aca="false">FALSE()</f>
        <v>0</v>
      </c>
      <c r="D31" s="6" t="b">
        <f aca="false">INDEX(Owners!$E$4:$E$21,MATCH(B31,Owners!$A$4:$A$21,0))</f>
        <v>1</v>
      </c>
      <c r="E31" s="0" t="str">
        <f aca="false">INDEX(Owners!$B$4:$B$21,MATCH(B31,Owners!$A$4:$A$21,0))</f>
        <v>Support Operations</v>
      </c>
    </row>
    <row r="32" customFormat="false" ht="15" hidden="false" customHeight="false" outlineLevel="0" collapsed="false">
      <c r="A32" s="4" t="s">
        <v>120</v>
      </c>
      <c r="B32" s="4" t="s">
        <v>326</v>
      </c>
      <c r="C32" s="13" t="b">
        <f aca="false">FALSE()</f>
        <v>0</v>
      </c>
      <c r="D32" s="6" t="b">
        <f aca="false">INDEX(Owners!$E$4:$E$21,MATCH(B32,Owners!$A$4:$A$21,0))</f>
        <v>0</v>
      </c>
      <c r="E32" s="0" t="str">
        <f aca="false">INDEX(Owners!$B$4:$B$21,MATCH(B32,Owners!$A$4:$A$21,0))</f>
        <v>Customer Data</v>
      </c>
    </row>
    <row r="33" customFormat="false" ht="15" hidden="false" customHeight="false" outlineLevel="0" collapsed="false">
      <c r="A33" s="4" t="s">
        <v>121</v>
      </c>
      <c r="B33" s="4" t="s">
        <v>330</v>
      </c>
      <c r="C33" s="13" t="b">
        <f aca="false">FALSE()</f>
        <v>0</v>
      </c>
      <c r="D33" s="6" t="b">
        <f aca="false">INDEX(Owners!$E$4:$E$21,MATCH(B33,Owners!$A$4:$A$21,0))</f>
        <v>1</v>
      </c>
      <c r="E33" s="0" t="str">
        <f aca="false">INDEX(Owners!$B$4:$B$21,MATCH(B33,Owners!$A$4:$A$21,0))</f>
        <v>Supply Chain</v>
      </c>
    </row>
    <row r="34" customFormat="false" ht="15" hidden="false" customHeight="false" outlineLevel="0" collapsed="false">
      <c r="A34" s="4" t="s">
        <v>122</v>
      </c>
      <c r="B34" s="4" t="s">
        <v>350</v>
      </c>
      <c r="C34" s="13" t="b">
        <f aca="false">TRUE()</f>
        <v>1</v>
      </c>
      <c r="D34" s="6" t="b">
        <f aca="false">INDEX(Owners!$E$4:$E$21,MATCH(B34,Owners!$A$4:$A$21,0))</f>
        <v>1</v>
      </c>
      <c r="E34" s="0" t="str">
        <f aca="false">INDEX(Owners!$B$4:$B$21,MATCH(B34,Owners!$A$4:$A$21,0))</f>
        <v>Supply Chain</v>
      </c>
    </row>
    <row r="35" customFormat="false" ht="15" hidden="false" customHeight="false" outlineLevel="0" collapsed="false">
      <c r="A35" s="4" t="s">
        <v>123</v>
      </c>
      <c r="B35" s="4" t="s">
        <v>358</v>
      </c>
      <c r="C35" s="13" t="b">
        <f aca="false">TRUE()</f>
        <v>1</v>
      </c>
      <c r="D35" s="6" t="b">
        <f aca="false">INDEX(Owners!$E$4:$E$21,MATCH(B35,Owners!$A$4:$A$21,0))</f>
        <v>1</v>
      </c>
      <c r="E35" s="0" t="str">
        <f aca="false">INDEX(Owners!$B$4:$B$21,MATCH(B35,Owners!$A$4:$A$21,0))</f>
        <v>Finance Systems</v>
      </c>
    </row>
    <row r="36" customFormat="false" ht="15" hidden="false" customHeight="false" outlineLevel="0" collapsed="false">
      <c r="A36" s="4" t="s">
        <v>124</v>
      </c>
      <c r="B36" s="4" t="s">
        <v>301</v>
      </c>
      <c r="C36" s="13" t="b">
        <f aca="false">TRUE()</f>
        <v>1</v>
      </c>
      <c r="D36" s="6" t="b">
        <f aca="false">INDEX(Owners!$E$4:$E$21,MATCH(B36,Owners!$A$4:$A$21,0))</f>
        <v>1</v>
      </c>
      <c r="E36" s="0" t="str">
        <f aca="false">INDEX(Owners!$B$4:$B$21,MATCH(B36,Owners!$A$4:$A$21,0))</f>
        <v>Data Platform</v>
      </c>
    </row>
    <row r="37" customFormat="false" ht="15" hidden="false" customHeight="false" outlineLevel="0" collapsed="false">
      <c r="A37" s="4" t="s">
        <v>125</v>
      </c>
      <c r="B37" s="4" t="s">
        <v>334</v>
      </c>
      <c r="C37" s="13" t="b">
        <f aca="false">FALSE()</f>
        <v>0</v>
      </c>
      <c r="D37" s="6" t="b">
        <f aca="false">INDEX(Owners!$E$4:$E$21,MATCH(B37,Owners!$A$4:$A$21,0))</f>
        <v>0</v>
      </c>
      <c r="E37" s="0" t="str">
        <f aca="false">INDEX(Owners!$B$4:$B$21,MATCH(B37,Owners!$A$4:$A$21,0))</f>
        <v>Supply Chain</v>
      </c>
    </row>
    <row r="38" customFormat="false" ht="15" hidden="false" customHeight="false" outlineLevel="0" collapsed="false">
      <c r="A38" s="4" t="s">
        <v>126</v>
      </c>
      <c r="B38" s="4" t="s">
        <v>553</v>
      </c>
      <c r="C38" s="13" t="b">
        <f aca="false">FALSE()</f>
        <v>0</v>
      </c>
      <c r="D38" s="6" t="b">
        <f aca="false">INDEX(Owners!$E$4:$E$21,MATCH(B38,Owners!$A$4:$A$21,0))</f>
        <v>1</v>
      </c>
      <c r="E38" s="0" t="str">
        <f aca="false">INDEX(Owners!$B$4:$B$21,MATCH(B38,Owners!$A$4:$A$21,0))</f>
        <v>Data Governance</v>
      </c>
    </row>
    <row r="39" customFormat="false" ht="15" hidden="false" customHeight="false" outlineLevel="0" collapsed="false">
      <c r="A39" s="4" t="s">
        <v>127</v>
      </c>
      <c r="B39" s="4" t="s">
        <v>358</v>
      </c>
      <c r="C39" s="13" t="b">
        <f aca="false">FALSE()</f>
        <v>0</v>
      </c>
      <c r="D39" s="6" t="b">
        <f aca="false">INDEX(Owners!$E$4:$E$21,MATCH(B39,Owners!$A$4:$A$21,0))</f>
        <v>1</v>
      </c>
      <c r="E39" s="0" t="str">
        <f aca="false">INDEX(Owners!$B$4:$B$21,MATCH(B39,Owners!$A$4:$A$21,0))</f>
        <v>Finance Systems</v>
      </c>
    </row>
    <row r="40" customFormat="false" ht="15" hidden="false" customHeight="false" outlineLevel="0" collapsed="false">
      <c r="A40" s="4" t="s">
        <v>128</v>
      </c>
      <c r="B40" s="4" t="s">
        <v>283</v>
      </c>
      <c r="C40" s="13" t="b">
        <f aca="false">TRUE()</f>
        <v>1</v>
      </c>
      <c r="D40" s="6" t="b">
        <f aca="false">INDEX(Owners!$E$4:$E$21,MATCH(B40,Owners!$A$4:$A$21,0))</f>
        <v>1</v>
      </c>
      <c r="E40" s="0" t="str">
        <f aca="false">INDEX(Owners!$B$4:$B$21,MATCH(B40,Owners!$A$4:$A$21,0))</f>
        <v>Data Platform</v>
      </c>
    </row>
    <row r="41" customFormat="false" ht="15" hidden="false" customHeight="false" outlineLevel="0" collapsed="false">
      <c r="A41" s="4" t="s">
        <v>129</v>
      </c>
      <c r="B41" s="4" t="s">
        <v>497</v>
      </c>
      <c r="C41" s="13" t="b">
        <f aca="false">FALSE()</f>
        <v>0</v>
      </c>
      <c r="D41" s="6" t="b">
        <f aca="false">INDEX(Owners!$E$4:$E$21,MATCH(B41,Owners!$A$4:$A$21,0))</f>
        <v>1</v>
      </c>
      <c r="E41" s="0" t="str">
        <f aca="false">INDEX(Owners!$B$4:$B$21,MATCH(B41,Owners!$A$4:$A$21,0))</f>
        <v>Support Operations</v>
      </c>
    </row>
    <row r="42" customFormat="false" ht="15" hidden="false" customHeight="false" outlineLevel="0" collapsed="false">
      <c r="A42" s="4" t="s">
        <v>130</v>
      </c>
      <c r="B42" s="4" t="s">
        <v>553</v>
      </c>
      <c r="C42" s="13" t="b">
        <f aca="false">FALSE()</f>
        <v>0</v>
      </c>
      <c r="D42" s="6" t="b">
        <f aca="false">INDEX(Owners!$E$4:$E$21,MATCH(B42,Owners!$A$4:$A$21,0))</f>
        <v>1</v>
      </c>
      <c r="E42" s="0" t="str">
        <f aca="false">INDEX(Owners!$B$4:$B$21,MATCH(B42,Owners!$A$4:$A$21,0))</f>
        <v>Data Governance</v>
      </c>
    </row>
    <row r="43" customFormat="false" ht="15" hidden="false" customHeight="false" outlineLevel="0" collapsed="false">
      <c r="A43" s="4" t="s">
        <v>131</v>
      </c>
      <c r="B43" s="4" t="s">
        <v>283</v>
      </c>
      <c r="C43" s="13" t="b">
        <f aca="false">TRUE()</f>
        <v>1</v>
      </c>
      <c r="D43" s="6" t="b">
        <f aca="false">INDEX(Owners!$E$4:$E$21,MATCH(B43,Owners!$A$4:$A$21,0))</f>
        <v>1</v>
      </c>
      <c r="E43" s="0" t="str">
        <f aca="false">INDEX(Owners!$B$4:$B$21,MATCH(B43,Owners!$A$4:$A$21,0))</f>
        <v>Data Platform</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3" min="2" style="0" width="20"/>
    <col collapsed="false" customWidth="true" hidden="false" outlineLevel="0" max="4" min="4" style="0" width="12"/>
    <col collapsed="false" customWidth="true" hidden="false" outlineLevel="0" max="5" min="5" style="0" width="17"/>
    <col collapsed="false" customWidth="true" hidden="false" outlineLevel="0" max="6" min="6" style="0" width="42"/>
  </cols>
  <sheetData>
    <row r="1" customFormat="false" ht="17.35" hidden="false" customHeight="false" outlineLevel="0" collapsed="false">
      <c r="A1" s="1" t="s">
        <v>897</v>
      </c>
    </row>
    <row r="2" customFormat="false" ht="15" hidden="false" customHeight="false" outlineLevel="0" collapsed="false">
      <c r="A2" s="0" t="s">
        <v>898</v>
      </c>
    </row>
    <row r="3" customFormat="false" ht="55.2" hidden="false" customHeight="false" outlineLevel="0" collapsed="false">
      <c r="A3" s="7" t="s">
        <v>899</v>
      </c>
      <c r="B3" s="7" t="s">
        <v>900</v>
      </c>
      <c r="C3" s="7" t="s">
        <v>901</v>
      </c>
      <c r="D3" s="7" t="s">
        <v>902</v>
      </c>
      <c r="E3" s="7" t="s">
        <v>903</v>
      </c>
      <c r="F3" s="7" t="s">
        <v>904</v>
      </c>
      <c r="G3" s="7" t="s">
        <v>905</v>
      </c>
      <c r="H3" s="7" t="s">
        <v>906</v>
      </c>
      <c r="I3" s="7" t="s">
        <v>907</v>
      </c>
    </row>
    <row r="4" customFormat="false" ht="15" hidden="false" customHeight="false" outlineLevel="0" collapsed="false">
      <c r="A4" s="4" t="s">
        <v>908</v>
      </c>
      <c r="B4" s="4" t="s">
        <v>102</v>
      </c>
      <c r="C4" s="4" t="s">
        <v>97</v>
      </c>
      <c r="D4" s="4" t="s">
        <v>909</v>
      </c>
      <c r="E4" s="12"/>
      <c r="F4" s="0" t="str">
        <f aca="false">B4&amp;"&gt;"&amp;C4</f>
        <v>ds-customers&gt;ds-contacts</v>
      </c>
      <c r="G4" s="6" t="b">
        <f aca="false">COUNTIFS($F$4:$F$163,F4,$D$4:$D$163,"declared")&gt;0</f>
        <v>1</v>
      </c>
      <c r="H4" s="6" t="b">
        <f aca="false">COUNTIFS($F$4:$F$163,F4,$D$4:$D$163,"observed")&gt;0</f>
        <v>1</v>
      </c>
      <c r="I4" s="6" t="b">
        <f aca="false">AND(D4="observed",G4)</f>
        <v>0</v>
      </c>
    </row>
    <row r="5" customFormat="false" ht="15" hidden="false" customHeight="false" outlineLevel="0" collapsed="false">
      <c r="A5" s="4" t="s">
        <v>910</v>
      </c>
      <c r="B5" s="4" t="s">
        <v>102</v>
      </c>
      <c r="C5" s="4" t="s">
        <v>92</v>
      </c>
      <c r="D5" s="4" t="s">
        <v>909</v>
      </c>
      <c r="E5" s="12"/>
      <c r="F5" s="0" t="str">
        <f aca="false">B5&amp;"&gt;"&amp;C5</f>
        <v>ds-customers&gt;ds-accounts</v>
      </c>
      <c r="G5" s="6" t="b">
        <f aca="false">COUNTIFS($F$4:$F$163,F5,$D$4:$D$163,"declared")&gt;0</f>
        <v>1</v>
      </c>
      <c r="H5" s="6" t="b">
        <f aca="false">COUNTIFS($F$4:$F$163,F5,$D$4:$D$163,"observed")&gt;0</f>
        <v>1</v>
      </c>
      <c r="I5" s="6" t="b">
        <f aca="false">AND(D5="observed",G5)</f>
        <v>0</v>
      </c>
    </row>
    <row r="6" customFormat="false" ht="15" hidden="false" customHeight="false" outlineLevel="0" collapsed="false">
      <c r="A6" s="4" t="s">
        <v>911</v>
      </c>
      <c r="B6" s="4" t="s">
        <v>92</v>
      </c>
      <c r="C6" s="4" t="s">
        <v>111</v>
      </c>
      <c r="D6" s="4" t="s">
        <v>909</v>
      </c>
      <c r="E6" s="12"/>
      <c r="F6" s="0" t="str">
        <f aca="false">B6&amp;"&gt;"&amp;C6</f>
        <v>ds-accounts&gt;ds-opportunities</v>
      </c>
      <c r="G6" s="6" t="b">
        <f aca="false">COUNTIFS($F$4:$F$163,F6,$D$4:$D$163,"declared")&gt;0</f>
        <v>1</v>
      </c>
      <c r="H6" s="6" t="b">
        <f aca="false">COUNTIFS($F$4:$F$163,F6,$D$4:$D$163,"observed")&gt;0</f>
        <v>1</v>
      </c>
      <c r="I6" s="6" t="b">
        <f aca="false">AND(D6="observed",G6)</f>
        <v>0</v>
      </c>
    </row>
    <row r="7" customFormat="false" ht="15" hidden="false" customHeight="false" outlineLevel="0" collapsed="false">
      <c r="A7" s="4" t="s">
        <v>912</v>
      </c>
      <c r="B7" s="4" t="s">
        <v>102</v>
      </c>
      <c r="C7" s="4" t="s">
        <v>113</v>
      </c>
      <c r="D7" s="4" t="s">
        <v>909</v>
      </c>
      <c r="E7" s="12"/>
      <c r="F7" s="0" t="str">
        <f aca="false">B7&amp;"&gt;"&amp;C7</f>
        <v>ds-customers&gt;ds-orders</v>
      </c>
      <c r="G7" s="6" t="b">
        <f aca="false">COUNTIFS($F$4:$F$163,F7,$D$4:$D$163,"declared")&gt;0</f>
        <v>1</v>
      </c>
      <c r="H7" s="6" t="b">
        <f aca="false">COUNTIFS($F$4:$F$163,F7,$D$4:$D$163,"observed")&gt;0</f>
        <v>1</v>
      </c>
      <c r="I7" s="6" t="b">
        <f aca="false">AND(D7="observed",G7)</f>
        <v>0</v>
      </c>
    </row>
    <row r="8" customFormat="false" ht="15" hidden="false" customHeight="false" outlineLevel="0" collapsed="false">
      <c r="A8" s="4" t="s">
        <v>913</v>
      </c>
      <c r="B8" s="4" t="s">
        <v>113</v>
      </c>
      <c r="C8" s="4" t="s">
        <v>112</v>
      </c>
      <c r="D8" s="4" t="s">
        <v>909</v>
      </c>
      <c r="E8" s="12"/>
      <c r="F8" s="0" t="str">
        <f aca="false">B8&amp;"&gt;"&amp;C8</f>
        <v>ds-orders&gt;ds-order-lines</v>
      </c>
      <c r="G8" s="6" t="b">
        <f aca="false">COUNTIFS($F$4:$F$163,F8,$D$4:$D$163,"declared")&gt;0</f>
        <v>1</v>
      </c>
      <c r="H8" s="6" t="b">
        <f aca="false">COUNTIFS($F$4:$F$163,F8,$D$4:$D$163,"observed")&gt;0</f>
        <v>1</v>
      </c>
      <c r="I8" s="6" t="b">
        <f aca="false">AND(D8="observed",G8)</f>
        <v>0</v>
      </c>
    </row>
    <row r="9" customFormat="false" ht="15" hidden="false" customHeight="false" outlineLevel="0" collapsed="false">
      <c r="A9" s="4" t="s">
        <v>914</v>
      </c>
      <c r="B9" s="4" t="s">
        <v>117</v>
      </c>
      <c r="C9" s="4" t="s">
        <v>112</v>
      </c>
      <c r="D9" s="4" t="s">
        <v>909</v>
      </c>
      <c r="E9" s="12"/>
      <c r="F9" s="0" t="str">
        <f aca="false">B9&amp;"&gt;"&amp;C9</f>
        <v>ds-products&gt;ds-order-lines</v>
      </c>
      <c r="G9" s="6" t="b">
        <f aca="false">COUNTIFS($F$4:$F$163,F9,$D$4:$D$163,"declared")&gt;0</f>
        <v>1</v>
      </c>
      <c r="H9" s="6" t="b">
        <f aca="false">COUNTIFS($F$4:$F$163,F9,$D$4:$D$163,"observed")&gt;0</f>
        <v>1</v>
      </c>
      <c r="I9" s="6" t="b">
        <f aca="false">AND(D9="observed",G9)</f>
        <v>0</v>
      </c>
    </row>
    <row r="10" customFormat="false" ht="15" hidden="false" customHeight="false" outlineLevel="0" collapsed="false">
      <c r="A10" s="4" t="s">
        <v>915</v>
      </c>
      <c r="B10" s="4" t="s">
        <v>102</v>
      </c>
      <c r="C10" s="4" t="s">
        <v>107</v>
      </c>
      <c r="D10" s="4" t="s">
        <v>909</v>
      </c>
      <c r="E10" s="12"/>
      <c r="F10" s="0" t="str">
        <f aca="false">B10&amp;"&gt;"&amp;C10</f>
        <v>ds-customers&gt;ds-invoices</v>
      </c>
      <c r="G10" s="6" t="b">
        <f aca="false">COUNTIFS($F$4:$F$163,F10,$D$4:$D$163,"declared")&gt;0</f>
        <v>1</v>
      </c>
      <c r="H10" s="6" t="b">
        <f aca="false">COUNTIFS($F$4:$F$163,F10,$D$4:$D$163,"observed")&gt;0</f>
        <v>1</v>
      </c>
      <c r="I10" s="6" t="b">
        <f aca="false">AND(D10="observed",G10)</f>
        <v>0</v>
      </c>
    </row>
    <row r="11" customFormat="false" ht="15" hidden="false" customHeight="false" outlineLevel="0" collapsed="false">
      <c r="A11" s="4" t="s">
        <v>916</v>
      </c>
      <c r="B11" s="4" t="s">
        <v>107</v>
      </c>
      <c r="C11" s="4" t="s">
        <v>115</v>
      </c>
      <c r="D11" s="4" t="s">
        <v>909</v>
      </c>
      <c r="E11" s="12"/>
      <c r="F11" s="0" t="str">
        <f aca="false">B11&amp;"&gt;"&amp;C11</f>
        <v>ds-invoices&gt;ds-payments</v>
      </c>
      <c r="G11" s="6" t="b">
        <f aca="false">COUNTIFS($F$4:$F$163,F11,$D$4:$D$163,"declared")&gt;0</f>
        <v>1</v>
      </c>
      <c r="H11" s="6" t="b">
        <f aca="false">COUNTIFS($F$4:$F$163,F11,$D$4:$D$163,"observed")&gt;0</f>
        <v>1</v>
      </c>
      <c r="I11" s="6" t="b">
        <f aca="false">AND(D11="observed",G11)</f>
        <v>0</v>
      </c>
    </row>
    <row r="12" customFormat="false" ht="15" hidden="false" customHeight="false" outlineLevel="0" collapsed="false">
      <c r="A12" s="4" t="s">
        <v>917</v>
      </c>
      <c r="B12" s="4" t="s">
        <v>102</v>
      </c>
      <c r="C12" s="4" t="s">
        <v>124</v>
      </c>
      <c r="D12" s="4" t="s">
        <v>909</v>
      </c>
      <c r="E12" s="12"/>
      <c r="F12" s="0" t="str">
        <f aca="false">B12&amp;"&gt;"&amp;C12</f>
        <v>ds-customers&gt;ds-subscriptions</v>
      </c>
      <c r="G12" s="6" t="b">
        <f aca="false">COUNTIFS($F$4:$F$163,F12,$D$4:$D$163,"declared")&gt;0</f>
        <v>1</v>
      </c>
      <c r="H12" s="6" t="b">
        <f aca="false">COUNTIFS($F$4:$F$163,F12,$D$4:$D$163,"observed")&gt;0</f>
        <v>1</v>
      </c>
      <c r="I12" s="6" t="b">
        <f aca="false">AND(D12="observed",G12)</f>
        <v>0</v>
      </c>
    </row>
    <row r="13" customFormat="false" ht="15" hidden="false" customHeight="false" outlineLevel="0" collapsed="false">
      <c r="A13" s="4" t="s">
        <v>918</v>
      </c>
      <c r="B13" s="4" t="s">
        <v>115</v>
      </c>
      <c r="C13" s="4" t="s">
        <v>119</v>
      </c>
      <c r="D13" s="4" t="s">
        <v>909</v>
      </c>
      <c r="E13" s="12"/>
      <c r="F13" s="0" t="str">
        <f aca="false">B13&amp;"&gt;"&amp;C13</f>
        <v>ds-payments&gt;ds-refunds</v>
      </c>
      <c r="G13" s="6" t="b">
        <f aca="false">COUNTIFS($F$4:$F$163,F13,$D$4:$D$163,"declared")&gt;0</f>
        <v>1</v>
      </c>
      <c r="H13" s="6" t="b">
        <f aca="false">COUNTIFS($F$4:$F$163,F13,$D$4:$D$163,"observed")&gt;0</f>
        <v>0</v>
      </c>
      <c r="I13" s="6" t="b">
        <f aca="false">AND(D13="observed",G13)</f>
        <v>0</v>
      </c>
    </row>
    <row r="14" customFormat="false" ht="15" hidden="false" customHeight="false" outlineLevel="0" collapsed="false">
      <c r="A14" s="4" t="s">
        <v>919</v>
      </c>
      <c r="B14" s="4" t="s">
        <v>125</v>
      </c>
      <c r="C14" s="4" t="s">
        <v>118</v>
      </c>
      <c r="D14" s="4" t="s">
        <v>909</v>
      </c>
      <c r="E14" s="12"/>
      <c r="F14" s="0" t="str">
        <f aca="false">B14&amp;"&gt;"&amp;C14</f>
        <v>ds-suppliers&gt;ds-purchase-orders</v>
      </c>
      <c r="G14" s="6" t="b">
        <f aca="false">COUNTIFS($F$4:$F$163,F14,$D$4:$D$163,"declared")&gt;0</f>
        <v>1</v>
      </c>
      <c r="H14" s="6" t="b">
        <f aca="false">COUNTIFS($F$4:$F$163,F14,$D$4:$D$163,"observed")&gt;0</f>
        <v>1</v>
      </c>
      <c r="I14" s="6" t="b">
        <f aca="false">AND(D14="observed",G14)</f>
        <v>0</v>
      </c>
    </row>
    <row r="15" customFormat="false" ht="15" hidden="false" customHeight="false" outlineLevel="0" collapsed="false">
      <c r="A15" s="4" t="s">
        <v>920</v>
      </c>
      <c r="B15" s="4" t="s">
        <v>102</v>
      </c>
      <c r="C15" s="4" t="s">
        <v>128</v>
      </c>
      <c r="D15" s="4" t="s">
        <v>909</v>
      </c>
      <c r="E15" s="12"/>
      <c r="F15" s="0" t="str">
        <f aca="false">B15&amp;"&gt;"&amp;C15</f>
        <v>ds-customers&gt;ds-tickets</v>
      </c>
      <c r="G15" s="6" t="b">
        <f aca="false">COUNTIFS($F$4:$F$163,F15,$D$4:$D$163,"declared")&gt;0</f>
        <v>1</v>
      </c>
      <c r="H15" s="6" t="b">
        <f aca="false">COUNTIFS($F$4:$F$163,F15,$D$4:$D$163,"observed")&gt;0</f>
        <v>1</v>
      </c>
      <c r="I15" s="6" t="b">
        <f aca="false">AND(D15="observed",G15)</f>
        <v>0</v>
      </c>
    </row>
    <row r="16" customFormat="false" ht="15" hidden="false" customHeight="false" outlineLevel="0" collapsed="false">
      <c r="A16" s="4" t="s">
        <v>921</v>
      </c>
      <c r="B16" s="4" t="s">
        <v>113</v>
      </c>
      <c r="C16" s="4" t="s">
        <v>122</v>
      </c>
      <c r="D16" s="4" t="s">
        <v>909</v>
      </c>
      <c r="E16" s="12"/>
      <c r="F16" s="0" t="str">
        <f aca="false">B16&amp;"&gt;"&amp;C16</f>
        <v>ds-orders&gt;ds-shipments</v>
      </c>
      <c r="G16" s="6" t="b">
        <f aca="false">COUNTIFS($F$4:$F$163,F16,$D$4:$D$163,"declared")&gt;0</f>
        <v>1</v>
      </c>
      <c r="H16" s="6" t="b">
        <f aca="false">COUNTIFS($F$4:$F$163,F16,$D$4:$D$163,"observed")&gt;0</f>
        <v>1</v>
      </c>
      <c r="I16" s="6" t="b">
        <f aca="false">AND(D16="observed",G16)</f>
        <v>0</v>
      </c>
    </row>
    <row r="17" customFormat="false" ht="15" hidden="false" customHeight="false" outlineLevel="0" collapsed="false">
      <c r="A17" s="4" t="s">
        <v>922</v>
      </c>
      <c r="B17" s="4" t="s">
        <v>110</v>
      </c>
      <c r="C17" s="4" t="s">
        <v>128</v>
      </c>
      <c r="D17" s="4" t="s">
        <v>909</v>
      </c>
      <c r="E17" s="12"/>
      <c r="F17" s="0" t="str">
        <f aca="false">B17&amp;"&gt;"&amp;C17</f>
        <v>ds-ledger-entries&gt;ds-tickets</v>
      </c>
      <c r="G17" s="6" t="b">
        <f aca="false">COUNTIFS($F$4:$F$163,F17,$D$4:$D$163,"declared")&gt;0</f>
        <v>1</v>
      </c>
      <c r="H17" s="6" t="b">
        <f aca="false">COUNTIFS($F$4:$F$163,F17,$D$4:$D$163,"observed")&gt;0</f>
        <v>1</v>
      </c>
      <c r="I17" s="6" t="b">
        <f aca="false">AND(D17="observed",G17)</f>
        <v>0</v>
      </c>
    </row>
    <row r="18" customFormat="false" ht="15" hidden="false" customHeight="false" outlineLevel="0" collapsed="false">
      <c r="A18" s="4" t="s">
        <v>923</v>
      </c>
      <c r="B18" s="4" t="s">
        <v>100</v>
      </c>
      <c r="C18" s="4" t="s">
        <v>119</v>
      </c>
      <c r="D18" s="4" t="s">
        <v>909</v>
      </c>
      <c r="E18" s="12"/>
      <c r="F18" s="0" t="str">
        <f aca="false">B18&amp;"&gt;"&amp;C18</f>
        <v>ds-crm-activities&gt;ds-refunds</v>
      </c>
      <c r="G18" s="6" t="b">
        <f aca="false">COUNTIFS($F$4:$F$163,F18,$D$4:$D$163,"declared")&gt;0</f>
        <v>1</v>
      </c>
      <c r="H18" s="6" t="b">
        <f aca="false">COUNTIFS($F$4:$F$163,F18,$D$4:$D$163,"observed")&gt;0</f>
        <v>1</v>
      </c>
      <c r="I18" s="6" t="b">
        <f aca="false">AND(D18="observed",G18)</f>
        <v>0</v>
      </c>
    </row>
    <row r="19" customFormat="false" ht="15" hidden="false" customHeight="false" outlineLevel="0" collapsed="false">
      <c r="A19" s="4" t="s">
        <v>924</v>
      </c>
      <c r="B19" s="4" t="s">
        <v>93</v>
      </c>
      <c r="C19" s="4" t="s">
        <v>114</v>
      </c>
      <c r="D19" s="4" t="s">
        <v>909</v>
      </c>
      <c r="E19" s="12"/>
      <c r="F19" s="0" t="str">
        <f aca="false">B19&amp;"&gt;"&amp;C19</f>
        <v>ds-billing-accounts&gt;ds-page-events</v>
      </c>
      <c r="G19" s="6" t="b">
        <f aca="false">COUNTIFS($F$4:$F$163,F19,$D$4:$D$163,"declared")&gt;0</f>
        <v>1</v>
      </c>
      <c r="H19" s="6" t="b">
        <f aca="false">COUNTIFS($F$4:$F$163,F19,$D$4:$D$163,"observed")&gt;0</f>
        <v>0</v>
      </c>
      <c r="I19" s="6" t="b">
        <f aca="false">AND(D19="observed",G19)</f>
        <v>0</v>
      </c>
    </row>
    <row r="20" customFormat="false" ht="15" hidden="false" customHeight="false" outlineLevel="0" collapsed="false">
      <c r="A20" s="4" t="s">
        <v>925</v>
      </c>
      <c r="B20" s="4" t="s">
        <v>127</v>
      </c>
      <c r="C20" s="4" t="s">
        <v>95</v>
      </c>
      <c r="D20" s="4" t="s">
        <v>909</v>
      </c>
      <c r="E20" s="12"/>
      <c r="F20" s="0" t="str">
        <f aca="false">B20&amp;"&gt;"&amp;C20</f>
        <v>ds-ticket-events&gt;ds-carriers</v>
      </c>
      <c r="G20" s="6" t="b">
        <f aca="false">COUNTIFS($F$4:$F$163,F20,$D$4:$D$163,"declared")&gt;0</f>
        <v>1</v>
      </c>
      <c r="H20" s="6" t="b">
        <f aca="false">COUNTIFS($F$4:$F$163,F20,$D$4:$D$163,"observed")&gt;0</f>
        <v>1</v>
      </c>
      <c r="I20" s="6" t="b">
        <f aca="false">AND(D20="observed",G20)</f>
        <v>0</v>
      </c>
    </row>
    <row r="21" customFormat="false" ht="15" hidden="false" customHeight="false" outlineLevel="0" collapsed="false">
      <c r="A21" s="4" t="s">
        <v>926</v>
      </c>
      <c r="B21" s="4" t="s">
        <v>122</v>
      </c>
      <c r="C21" s="4" t="s">
        <v>129</v>
      </c>
      <c r="D21" s="4" t="s">
        <v>909</v>
      </c>
      <c r="E21" s="12"/>
      <c r="F21" s="0" t="str">
        <f aca="false">B21&amp;"&gt;"&amp;C21</f>
        <v>ds-shipments&gt;ds-warehouses</v>
      </c>
      <c r="G21" s="6" t="b">
        <f aca="false">COUNTIFS($F$4:$F$163,F21,$D$4:$D$163,"declared")&gt;0</f>
        <v>1</v>
      </c>
      <c r="H21" s="6" t="b">
        <f aca="false">COUNTIFS($F$4:$F$163,F21,$D$4:$D$163,"observed")&gt;0</f>
        <v>1</v>
      </c>
      <c r="I21" s="6" t="b">
        <f aca="false">AND(D21="observed",G21)</f>
        <v>0</v>
      </c>
    </row>
    <row r="22" customFormat="false" ht="15" hidden="false" customHeight="false" outlineLevel="0" collapsed="false">
      <c r="A22" s="4" t="s">
        <v>927</v>
      </c>
      <c r="B22" s="4" t="s">
        <v>127</v>
      </c>
      <c r="C22" s="4" t="s">
        <v>130</v>
      </c>
      <c r="D22" s="4" t="s">
        <v>909</v>
      </c>
      <c r="E22" s="12"/>
      <c r="F22" s="0" t="str">
        <f aca="false">B22&amp;"&gt;"&amp;C22</f>
        <v>ds-ticket-events&gt;ds-web-sessions</v>
      </c>
      <c r="G22" s="6" t="b">
        <f aca="false">COUNTIFS($F$4:$F$163,F22,$D$4:$D$163,"declared")&gt;0</f>
        <v>1</v>
      </c>
      <c r="H22" s="6" t="b">
        <f aca="false">COUNTIFS($F$4:$F$163,F22,$D$4:$D$163,"observed")&gt;0</f>
        <v>1</v>
      </c>
      <c r="I22" s="6" t="b">
        <f aca="false">AND(D22="observed",G22)</f>
        <v>0</v>
      </c>
    </row>
    <row r="23" customFormat="false" ht="15" hidden="false" customHeight="false" outlineLevel="0" collapsed="false">
      <c r="A23" s="4" t="s">
        <v>928</v>
      </c>
      <c r="B23" s="4" t="s">
        <v>109</v>
      </c>
      <c r="C23" s="4" t="s">
        <v>125</v>
      </c>
      <c r="D23" s="4" t="s">
        <v>909</v>
      </c>
      <c r="E23" s="12"/>
      <c r="F23" s="0" t="str">
        <f aca="false">B23&amp;"&gt;"&amp;C23</f>
        <v>ds-leads&gt;ds-suppliers</v>
      </c>
      <c r="G23" s="6" t="b">
        <f aca="false">COUNTIFS($F$4:$F$163,F23,$D$4:$D$163,"declared")&gt;0</f>
        <v>1</v>
      </c>
      <c r="H23" s="6" t="b">
        <f aca="false">COUNTIFS($F$4:$F$163,F23,$D$4:$D$163,"observed")&gt;0</f>
        <v>0</v>
      </c>
      <c r="I23" s="6" t="b">
        <f aca="false">AND(D23="observed",G23)</f>
        <v>0</v>
      </c>
    </row>
    <row r="24" customFormat="false" ht="15" hidden="false" customHeight="false" outlineLevel="0" collapsed="false">
      <c r="A24" s="4" t="s">
        <v>929</v>
      </c>
      <c r="B24" s="4" t="s">
        <v>118</v>
      </c>
      <c r="C24" s="4" t="s">
        <v>120</v>
      </c>
      <c r="D24" s="4" t="s">
        <v>909</v>
      </c>
      <c r="E24" s="12"/>
      <c r="F24" s="0" t="str">
        <f aca="false">B24&amp;"&gt;"&amp;C24</f>
        <v>ds-purchase-orders&gt;ds-returns</v>
      </c>
      <c r="G24" s="6" t="b">
        <f aca="false">COUNTIFS($F$4:$F$163,F24,$D$4:$D$163,"declared")&gt;0</f>
        <v>1</v>
      </c>
      <c r="H24" s="6" t="b">
        <f aca="false">COUNTIFS($F$4:$F$163,F24,$D$4:$D$163,"observed")&gt;0</f>
        <v>1</v>
      </c>
      <c r="I24" s="6" t="b">
        <f aca="false">AND(D24="observed",G24)</f>
        <v>0</v>
      </c>
    </row>
    <row r="25" customFormat="false" ht="15" hidden="false" customHeight="false" outlineLevel="0" collapsed="false">
      <c r="A25" s="4" t="s">
        <v>930</v>
      </c>
      <c r="B25" s="4" t="s">
        <v>96</v>
      </c>
      <c r="C25" s="4" t="s">
        <v>105</v>
      </c>
      <c r="D25" s="4" t="s">
        <v>909</v>
      </c>
      <c r="E25" s="12"/>
      <c r="F25" s="0" t="str">
        <f aca="false">B25&amp;"&gt;"&amp;C25</f>
        <v>ds-consent-records&gt;ds-experiments</v>
      </c>
      <c r="G25" s="6" t="b">
        <f aca="false">COUNTIFS($F$4:$F$163,F25,$D$4:$D$163,"declared")&gt;0</f>
        <v>1</v>
      </c>
      <c r="H25" s="6" t="b">
        <f aca="false">COUNTIFS($F$4:$F$163,F25,$D$4:$D$163,"observed")&gt;0</f>
        <v>1</v>
      </c>
      <c r="I25" s="6" t="b">
        <f aca="false">AND(D25="observed",G25)</f>
        <v>0</v>
      </c>
    </row>
    <row r="26" customFormat="false" ht="15" hidden="false" customHeight="false" outlineLevel="0" collapsed="false">
      <c r="A26" s="4" t="s">
        <v>931</v>
      </c>
      <c r="B26" s="4" t="s">
        <v>116</v>
      </c>
      <c r="C26" s="4" t="s">
        <v>108</v>
      </c>
      <c r="D26" s="4" t="s">
        <v>909</v>
      </c>
      <c r="E26" s="12"/>
      <c r="F26" s="0" t="str">
        <f aca="false">B26&amp;"&gt;"&amp;C26</f>
        <v>ds-price-books&gt;ds-kb-articles</v>
      </c>
      <c r="G26" s="6" t="b">
        <f aca="false">COUNTIFS($F$4:$F$163,F26,$D$4:$D$163,"declared")&gt;0</f>
        <v>1</v>
      </c>
      <c r="H26" s="6" t="b">
        <f aca="false">COUNTIFS($F$4:$F$163,F26,$D$4:$D$163,"observed")&gt;0</f>
        <v>1</v>
      </c>
      <c r="I26" s="6" t="b">
        <f aca="false">AND(D26="observed",G26)</f>
        <v>0</v>
      </c>
    </row>
    <row r="27" customFormat="false" ht="15" hidden="false" customHeight="false" outlineLevel="0" collapsed="false">
      <c r="A27" s="4" t="s">
        <v>932</v>
      </c>
      <c r="B27" s="4" t="s">
        <v>120</v>
      </c>
      <c r="C27" s="4" t="s">
        <v>130</v>
      </c>
      <c r="D27" s="4" t="s">
        <v>909</v>
      </c>
      <c r="E27" s="12"/>
      <c r="F27" s="0" t="str">
        <f aca="false">B27&amp;"&gt;"&amp;C27</f>
        <v>ds-returns&gt;ds-web-sessions</v>
      </c>
      <c r="G27" s="6" t="b">
        <f aca="false">COUNTIFS($F$4:$F$163,F27,$D$4:$D$163,"declared")&gt;0</f>
        <v>1</v>
      </c>
      <c r="H27" s="6" t="b">
        <f aca="false">COUNTIFS($F$4:$F$163,F27,$D$4:$D$163,"observed")&gt;0</f>
        <v>1</v>
      </c>
      <c r="I27" s="6" t="b">
        <f aca="false">AND(D27="observed",G27)</f>
        <v>0</v>
      </c>
    </row>
    <row r="28" customFormat="false" ht="15" hidden="false" customHeight="false" outlineLevel="0" collapsed="false">
      <c r="A28" s="4" t="s">
        <v>933</v>
      </c>
      <c r="B28" s="4" t="s">
        <v>101</v>
      </c>
      <c r="C28" s="4" t="s">
        <v>126</v>
      </c>
      <c r="D28" s="4" t="s">
        <v>909</v>
      </c>
      <c r="E28" s="12"/>
      <c r="F28" s="0" t="str">
        <f aca="false">B28&amp;"&gt;"&amp;C28</f>
        <v>ds-csat-surveys&gt;ds-support-agents</v>
      </c>
      <c r="G28" s="6" t="b">
        <f aca="false">COUNTIFS($F$4:$F$163,F28,$D$4:$D$163,"declared")&gt;0</f>
        <v>1</v>
      </c>
      <c r="H28" s="6" t="b">
        <f aca="false">COUNTIFS($F$4:$F$163,F28,$D$4:$D$163,"observed")&gt;0</f>
        <v>1</v>
      </c>
      <c r="I28" s="6" t="b">
        <f aca="false">AND(D28="observed",G28)</f>
        <v>0</v>
      </c>
    </row>
    <row r="29" customFormat="false" ht="15" hidden="false" customHeight="false" outlineLevel="0" collapsed="false">
      <c r="A29" s="4" t="s">
        <v>934</v>
      </c>
      <c r="B29" s="4" t="s">
        <v>97</v>
      </c>
      <c r="C29" s="4" t="s">
        <v>114</v>
      </c>
      <c r="D29" s="4" t="s">
        <v>909</v>
      </c>
      <c r="E29" s="12"/>
      <c r="F29" s="0" t="str">
        <f aca="false">B29&amp;"&gt;"&amp;C29</f>
        <v>ds-contacts&gt;ds-page-events</v>
      </c>
      <c r="G29" s="6" t="b">
        <f aca="false">COUNTIFS($F$4:$F$163,F29,$D$4:$D$163,"declared")&gt;0</f>
        <v>1</v>
      </c>
      <c r="H29" s="6" t="b">
        <f aca="false">COUNTIFS($F$4:$F$163,F29,$D$4:$D$163,"observed")&gt;0</f>
        <v>0</v>
      </c>
      <c r="I29" s="6" t="b">
        <f aca="false">AND(D29="observed",G29)</f>
        <v>0</v>
      </c>
    </row>
    <row r="30" customFormat="false" ht="15" hidden="false" customHeight="false" outlineLevel="0" collapsed="false">
      <c r="A30" s="4" t="s">
        <v>935</v>
      </c>
      <c r="B30" s="4" t="s">
        <v>123</v>
      </c>
      <c r="C30" s="4" t="s">
        <v>120</v>
      </c>
      <c r="D30" s="4" t="s">
        <v>909</v>
      </c>
      <c r="E30" s="12"/>
      <c r="F30" s="0" t="str">
        <f aca="false">B30&amp;"&gt;"&amp;C30</f>
        <v>ds-sla-policies&gt;ds-returns</v>
      </c>
      <c r="G30" s="6" t="b">
        <f aca="false">COUNTIFS($F$4:$F$163,F30,$D$4:$D$163,"declared")&gt;0</f>
        <v>1</v>
      </c>
      <c r="H30" s="6" t="b">
        <f aca="false">COUNTIFS($F$4:$F$163,F30,$D$4:$D$163,"observed")&gt;0</f>
        <v>1</v>
      </c>
      <c r="I30" s="6" t="b">
        <f aca="false">AND(D30="observed",G30)</f>
        <v>0</v>
      </c>
    </row>
    <row r="31" customFormat="false" ht="15" hidden="false" customHeight="false" outlineLevel="0" collapsed="false">
      <c r="A31" s="4" t="s">
        <v>936</v>
      </c>
      <c r="B31" s="4" t="s">
        <v>126</v>
      </c>
      <c r="C31" s="4" t="s">
        <v>123</v>
      </c>
      <c r="D31" s="4" t="s">
        <v>909</v>
      </c>
      <c r="E31" s="12"/>
      <c r="F31" s="0" t="str">
        <f aca="false">B31&amp;"&gt;"&amp;C31</f>
        <v>ds-support-agents&gt;ds-sla-policies</v>
      </c>
      <c r="G31" s="6" t="b">
        <f aca="false">COUNTIFS($F$4:$F$163,F31,$D$4:$D$163,"declared")&gt;0</f>
        <v>1</v>
      </c>
      <c r="H31" s="6" t="b">
        <f aca="false">COUNTIFS($F$4:$F$163,F31,$D$4:$D$163,"observed")&gt;0</f>
        <v>1</v>
      </c>
      <c r="I31" s="6" t="b">
        <f aca="false">AND(D31="observed",G31)</f>
        <v>0</v>
      </c>
    </row>
    <row r="32" customFormat="false" ht="15" hidden="false" customHeight="false" outlineLevel="0" collapsed="false">
      <c r="A32" s="4" t="s">
        <v>937</v>
      </c>
      <c r="B32" s="4" t="s">
        <v>94</v>
      </c>
      <c r="C32" s="4" t="s">
        <v>125</v>
      </c>
      <c r="D32" s="4" t="s">
        <v>909</v>
      </c>
      <c r="E32" s="12"/>
      <c r="F32" s="0" t="str">
        <f aca="false">B32&amp;"&gt;"&amp;C32</f>
        <v>ds-campaigns&gt;ds-suppliers</v>
      </c>
      <c r="G32" s="6" t="b">
        <f aca="false">COUNTIFS($F$4:$F$163,F32,$D$4:$D$163,"declared")&gt;0</f>
        <v>1</v>
      </c>
      <c r="H32" s="6" t="b">
        <f aca="false">COUNTIFS($F$4:$F$163,F32,$D$4:$D$163,"observed")&gt;0</f>
        <v>1</v>
      </c>
      <c r="I32" s="6" t="b">
        <f aca="false">AND(D32="observed",G32)</f>
        <v>0</v>
      </c>
    </row>
    <row r="33" customFormat="false" ht="15" hidden="false" customHeight="false" outlineLevel="0" collapsed="false">
      <c r="A33" s="4" t="s">
        <v>938</v>
      </c>
      <c r="B33" s="4" t="s">
        <v>92</v>
      </c>
      <c r="C33" s="4" t="s">
        <v>95</v>
      </c>
      <c r="D33" s="4" t="s">
        <v>909</v>
      </c>
      <c r="E33" s="12"/>
      <c r="F33" s="0" t="str">
        <f aca="false">B33&amp;"&gt;"&amp;C33</f>
        <v>ds-accounts&gt;ds-carriers</v>
      </c>
      <c r="G33" s="6" t="b">
        <f aca="false">COUNTIFS($F$4:$F$163,F33,$D$4:$D$163,"declared")&gt;0</f>
        <v>1</v>
      </c>
      <c r="H33" s="6" t="b">
        <f aca="false">COUNTIFS($F$4:$F$163,F33,$D$4:$D$163,"observed")&gt;0</f>
        <v>0</v>
      </c>
      <c r="I33" s="6" t="b">
        <f aca="false">AND(D33="observed",G33)</f>
        <v>0</v>
      </c>
    </row>
    <row r="34" customFormat="false" ht="15" hidden="false" customHeight="false" outlineLevel="0" collapsed="false">
      <c r="A34" s="4" t="s">
        <v>939</v>
      </c>
      <c r="B34" s="4" t="s">
        <v>92</v>
      </c>
      <c r="C34" s="4" t="s">
        <v>99</v>
      </c>
      <c r="D34" s="4" t="s">
        <v>909</v>
      </c>
      <c r="E34" s="12"/>
      <c r="F34" s="0" t="str">
        <f aca="false">B34&amp;"&gt;"&amp;C34</f>
        <v>ds-accounts&gt;ds-credit-notes</v>
      </c>
      <c r="G34" s="6" t="b">
        <f aca="false">COUNTIFS($F$4:$F$163,F34,$D$4:$D$163,"declared")&gt;0</f>
        <v>1</v>
      </c>
      <c r="H34" s="6" t="b">
        <f aca="false">COUNTIFS($F$4:$F$163,F34,$D$4:$D$163,"observed")&gt;0</f>
        <v>1</v>
      </c>
      <c r="I34" s="6" t="b">
        <f aca="false">AND(D34="observed",G34)</f>
        <v>0</v>
      </c>
    </row>
    <row r="35" customFormat="false" ht="15" hidden="false" customHeight="false" outlineLevel="0" collapsed="false">
      <c r="A35" s="4" t="s">
        <v>940</v>
      </c>
      <c r="B35" s="4" t="s">
        <v>99</v>
      </c>
      <c r="C35" s="4" t="s">
        <v>96</v>
      </c>
      <c r="D35" s="4" t="s">
        <v>909</v>
      </c>
      <c r="E35" s="12"/>
      <c r="F35" s="0" t="str">
        <f aca="false">B35&amp;"&gt;"&amp;C35</f>
        <v>ds-credit-notes&gt;ds-consent-records</v>
      </c>
      <c r="G35" s="6" t="b">
        <f aca="false">COUNTIFS($F$4:$F$163,F35,$D$4:$D$163,"declared")&gt;0</f>
        <v>1</v>
      </c>
      <c r="H35" s="6" t="b">
        <f aca="false">COUNTIFS($F$4:$F$163,F35,$D$4:$D$163,"observed")&gt;0</f>
        <v>0</v>
      </c>
      <c r="I35" s="6" t="b">
        <f aca="false">AND(D35="observed",G35)</f>
        <v>0</v>
      </c>
    </row>
    <row r="36" customFormat="false" ht="15" hidden="false" customHeight="false" outlineLevel="0" collapsed="false">
      <c r="A36" s="4" t="s">
        <v>941</v>
      </c>
      <c r="B36" s="4" t="s">
        <v>127</v>
      </c>
      <c r="C36" s="4" t="s">
        <v>126</v>
      </c>
      <c r="D36" s="4" t="s">
        <v>909</v>
      </c>
      <c r="E36" s="12"/>
      <c r="F36" s="0" t="str">
        <f aca="false">B36&amp;"&gt;"&amp;C36</f>
        <v>ds-ticket-events&gt;ds-support-agents</v>
      </c>
      <c r="G36" s="6" t="b">
        <f aca="false">COUNTIFS($F$4:$F$163,F36,$D$4:$D$163,"declared")&gt;0</f>
        <v>1</v>
      </c>
      <c r="H36" s="6" t="b">
        <f aca="false">COUNTIFS($F$4:$F$163,F36,$D$4:$D$163,"observed")&gt;0</f>
        <v>0</v>
      </c>
      <c r="I36" s="6" t="b">
        <f aca="false">AND(D36="observed",G36)</f>
        <v>0</v>
      </c>
    </row>
    <row r="37" customFormat="false" ht="15" hidden="false" customHeight="false" outlineLevel="0" collapsed="false">
      <c r="A37" s="4" t="s">
        <v>942</v>
      </c>
      <c r="B37" s="4" t="s">
        <v>99</v>
      </c>
      <c r="C37" s="4" t="s">
        <v>104</v>
      </c>
      <c r="D37" s="4" t="s">
        <v>909</v>
      </c>
      <c r="E37" s="12"/>
      <c r="F37" s="0" t="str">
        <f aca="false">B37&amp;"&gt;"&amp;C37</f>
        <v>ds-credit-notes&gt;ds-employees</v>
      </c>
      <c r="G37" s="6" t="b">
        <f aca="false">COUNTIFS($F$4:$F$163,F37,$D$4:$D$163,"declared")&gt;0</f>
        <v>1</v>
      </c>
      <c r="H37" s="6" t="b">
        <f aca="false">COUNTIFS($F$4:$F$163,F37,$D$4:$D$163,"observed")&gt;0</f>
        <v>1</v>
      </c>
      <c r="I37" s="6" t="b">
        <f aca="false">AND(D37="observed",G37)</f>
        <v>0</v>
      </c>
    </row>
    <row r="38" customFormat="false" ht="15" hidden="false" customHeight="false" outlineLevel="0" collapsed="false">
      <c r="A38" s="4" t="s">
        <v>943</v>
      </c>
      <c r="B38" s="4" t="s">
        <v>109</v>
      </c>
      <c r="C38" s="4" t="s">
        <v>99</v>
      </c>
      <c r="D38" s="4" t="s">
        <v>909</v>
      </c>
      <c r="E38" s="12"/>
      <c r="F38" s="0" t="str">
        <f aca="false">B38&amp;"&gt;"&amp;C38</f>
        <v>ds-leads&gt;ds-credit-notes</v>
      </c>
      <c r="G38" s="6" t="b">
        <f aca="false">COUNTIFS($F$4:$F$163,F38,$D$4:$D$163,"declared")&gt;0</f>
        <v>1</v>
      </c>
      <c r="H38" s="6" t="b">
        <f aca="false">COUNTIFS($F$4:$F$163,F38,$D$4:$D$163,"observed")&gt;0</f>
        <v>1</v>
      </c>
      <c r="I38" s="6" t="b">
        <f aca="false">AND(D38="observed",G38)</f>
        <v>0</v>
      </c>
    </row>
    <row r="39" customFormat="false" ht="15" hidden="false" customHeight="false" outlineLevel="0" collapsed="false">
      <c r="A39" s="4" t="s">
        <v>944</v>
      </c>
      <c r="B39" s="4" t="s">
        <v>117</v>
      </c>
      <c r="C39" s="4" t="s">
        <v>125</v>
      </c>
      <c r="D39" s="4" t="s">
        <v>909</v>
      </c>
      <c r="E39" s="12"/>
      <c r="F39" s="0" t="str">
        <f aca="false">B39&amp;"&gt;"&amp;C39</f>
        <v>ds-products&gt;ds-suppliers</v>
      </c>
      <c r="G39" s="6" t="b">
        <f aca="false">COUNTIFS($F$4:$F$163,F39,$D$4:$D$163,"declared")&gt;0</f>
        <v>1</v>
      </c>
      <c r="H39" s="6" t="b">
        <f aca="false">COUNTIFS($F$4:$F$163,F39,$D$4:$D$163,"observed")&gt;0</f>
        <v>1</v>
      </c>
      <c r="I39" s="6" t="b">
        <f aca="false">AND(D39="observed",G39)</f>
        <v>0</v>
      </c>
    </row>
    <row r="40" customFormat="false" ht="15" hidden="false" customHeight="false" outlineLevel="0" collapsed="false">
      <c r="A40" s="4" t="s">
        <v>945</v>
      </c>
      <c r="B40" s="4" t="s">
        <v>94</v>
      </c>
      <c r="C40" s="4" t="s">
        <v>95</v>
      </c>
      <c r="D40" s="4" t="s">
        <v>909</v>
      </c>
      <c r="E40" s="12"/>
      <c r="F40" s="0" t="str">
        <f aca="false">B40&amp;"&gt;"&amp;C40</f>
        <v>ds-campaigns&gt;ds-carriers</v>
      </c>
      <c r="G40" s="6" t="b">
        <f aca="false">COUNTIFS($F$4:$F$163,F40,$D$4:$D$163,"declared")&gt;0</f>
        <v>1</v>
      </c>
      <c r="H40" s="6" t="b">
        <f aca="false">COUNTIFS($F$4:$F$163,F40,$D$4:$D$163,"observed")&gt;0</f>
        <v>1</v>
      </c>
      <c r="I40" s="6" t="b">
        <f aca="false">AND(D40="observed",G40)</f>
        <v>0</v>
      </c>
    </row>
    <row r="41" customFormat="false" ht="15" hidden="false" customHeight="false" outlineLevel="0" collapsed="false">
      <c r="A41" s="4" t="s">
        <v>946</v>
      </c>
      <c r="B41" s="4" t="s">
        <v>94</v>
      </c>
      <c r="C41" s="4" t="s">
        <v>117</v>
      </c>
      <c r="D41" s="4" t="s">
        <v>909</v>
      </c>
      <c r="E41" s="12"/>
      <c r="F41" s="0" t="str">
        <f aca="false">B41&amp;"&gt;"&amp;C41</f>
        <v>ds-campaigns&gt;ds-products</v>
      </c>
      <c r="G41" s="6" t="b">
        <f aca="false">COUNTIFS($F$4:$F$163,F41,$D$4:$D$163,"declared")&gt;0</f>
        <v>1</v>
      </c>
      <c r="H41" s="6" t="b">
        <f aca="false">COUNTIFS($F$4:$F$163,F41,$D$4:$D$163,"observed")&gt;0</f>
        <v>1</v>
      </c>
      <c r="I41" s="6" t="b">
        <f aca="false">AND(D41="observed",G41)</f>
        <v>0</v>
      </c>
    </row>
    <row r="42" customFormat="false" ht="15" hidden="false" customHeight="false" outlineLevel="0" collapsed="false">
      <c r="A42" s="4" t="s">
        <v>947</v>
      </c>
      <c r="B42" s="4" t="s">
        <v>101</v>
      </c>
      <c r="C42" s="4" t="s">
        <v>123</v>
      </c>
      <c r="D42" s="4" t="s">
        <v>909</v>
      </c>
      <c r="E42" s="12"/>
      <c r="F42" s="0" t="str">
        <f aca="false">B42&amp;"&gt;"&amp;C42</f>
        <v>ds-csat-surveys&gt;ds-sla-policies</v>
      </c>
      <c r="G42" s="6" t="b">
        <f aca="false">COUNTIFS($F$4:$F$163,F42,$D$4:$D$163,"declared")&gt;0</f>
        <v>1</v>
      </c>
      <c r="H42" s="6" t="b">
        <f aca="false">COUNTIFS($F$4:$F$163,F42,$D$4:$D$163,"observed")&gt;0</f>
        <v>1</v>
      </c>
      <c r="I42" s="6" t="b">
        <f aca="false">AND(D42="observed",G42)</f>
        <v>0</v>
      </c>
    </row>
    <row r="43" customFormat="false" ht="15" hidden="false" customHeight="false" outlineLevel="0" collapsed="false">
      <c r="A43" s="4" t="s">
        <v>948</v>
      </c>
      <c r="B43" s="4" t="s">
        <v>109</v>
      </c>
      <c r="C43" s="4" t="s">
        <v>95</v>
      </c>
      <c r="D43" s="4" t="s">
        <v>909</v>
      </c>
      <c r="E43" s="12"/>
      <c r="F43" s="0" t="str">
        <f aca="false">B43&amp;"&gt;"&amp;C43</f>
        <v>ds-leads&gt;ds-carriers</v>
      </c>
      <c r="G43" s="6" t="b">
        <f aca="false">COUNTIFS($F$4:$F$163,F43,$D$4:$D$163,"declared")&gt;0</f>
        <v>1</v>
      </c>
      <c r="H43" s="6" t="b">
        <f aca="false">COUNTIFS($F$4:$F$163,F43,$D$4:$D$163,"observed")&gt;0</f>
        <v>0</v>
      </c>
      <c r="I43" s="6" t="b">
        <f aca="false">AND(D43="observed",G43)</f>
        <v>0</v>
      </c>
    </row>
    <row r="44" customFormat="false" ht="15" hidden="false" customHeight="false" outlineLevel="0" collapsed="false">
      <c r="A44" s="4" t="s">
        <v>949</v>
      </c>
      <c r="B44" s="4" t="s">
        <v>121</v>
      </c>
      <c r="C44" s="4" t="s">
        <v>103</v>
      </c>
      <c r="D44" s="4" t="s">
        <v>909</v>
      </c>
      <c r="E44" s="12"/>
      <c r="F44" s="0" t="str">
        <f aca="false">B44&amp;"&gt;"&amp;C44</f>
        <v>ds-segments&gt;ds-delivery-events</v>
      </c>
      <c r="G44" s="6" t="b">
        <f aca="false">COUNTIFS($F$4:$F$163,F44,$D$4:$D$163,"declared")&gt;0</f>
        <v>1</v>
      </c>
      <c r="H44" s="6" t="b">
        <f aca="false">COUNTIFS($F$4:$F$163,F44,$D$4:$D$163,"observed")&gt;0</f>
        <v>1</v>
      </c>
      <c r="I44" s="6" t="b">
        <f aca="false">AND(D44="observed",G44)</f>
        <v>0</v>
      </c>
    </row>
    <row r="45" customFormat="false" ht="15" hidden="false" customHeight="false" outlineLevel="0" collapsed="false">
      <c r="A45" s="4" t="s">
        <v>950</v>
      </c>
      <c r="B45" s="4" t="s">
        <v>117</v>
      </c>
      <c r="C45" s="4" t="s">
        <v>130</v>
      </c>
      <c r="D45" s="4" t="s">
        <v>909</v>
      </c>
      <c r="E45" s="12"/>
      <c r="F45" s="0" t="str">
        <f aca="false">B45&amp;"&gt;"&amp;C45</f>
        <v>ds-products&gt;ds-web-sessions</v>
      </c>
      <c r="G45" s="6" t="b">
        <f aca="false">COUNTIFS($F$4:$F$163,F45,$D$4:$D$163,"declared")&gt;0</f>
        <v>1</v>
      </c>
      <c r="H45" s="6" t="b">
        <f aca="false">COUNTIFS($F$4:$F$163,F45,$D$4:$D$163,"observed")&gt;0</f>
        <v>0</v>
      </c>
      <c r="I45" s="6" t="b">
        <f aca="false">AND(D45="observed",G45)</f>
        <v>0</v>
      </c>
    </row>
    <row r="46" customFormat="false" ht="15" hidden="false" customHeight="false" outlineLevel="0" collapsed="false">
      <c r="A46" s="4" t="s">
        <v>951</v>
      </c>
      <c r="B46" s="4" t="s">
        <v>99</v>
      </c>
      <c r="C46" s="4" t="s">
        <v>101</v>
      </c>
      <c r="D46" s="4" t="s">
        <v>909</v>
      </c>
      <c r="E46" s="12"/>
      <c r="F46" s="0" t="str">
        <f aca="false">B46&amp;"&gt;"&amp;C46</f>
        <v>ds-credit-notes&gt;ds-csat-surveys</v>
      </c>
      <c r="G46" s="6" t="b">
        <f aca="false">COUNTIFS($F$4:$F$163,F46,$D$4:$D$163,"declared")&gt;0</f>
        <v>1</v>
      </c>
      <c r="H46" s="6" t="b">
        <f aca="false">COUNTIFS($F$4:$F$163,F46,$D$4:$D$163,"observed")&gt;0</f>
        <v>0</v>
      </c>
      <c r="I46" s="6" t="b">
        <f aca="false">AND(D46="observed",G46)</f>
        <v>0</v>
      </c>
    </row>
    <row r="47" customFormat="false" ht="15" hidden="false" customHeight="false" outlineLevel="0" collapsed="false">
      <c r="A47" s="4" t="s">
        <v>952</v>
      </c>
      <c r="B47" s="4" t="s">
        <v>118</v>
      </c>
      <c r="C47" s="4" t="s">
        <v>101</v>
      </c>
      <c r="D47" s="4" t="s">
        <v>909</v>
      </c>
      <c r="E47" s="12"/>
      <c r="F47" s="0" t="str">
        <f aca="false">B47&amp;"&gt;"&amp;C47</f>
        <v>ds-purchase-orders&gt;ds-csat-surveys</v>
      </c>
      <c r="G47" s="6" t="b">
        <f aca="false">COUNTIFS($F$4:$F$163,F47,$D$4:$D$163,"declared")&gt;0</f>
        <v>1</v>
      </c>
      <c r="H47" s="6" t="b">
        <f aca="false">COUNTIFS($F$4:$F$163,F47,$D$4:$D$163,"observed")&gt;0</f>
        <v>1</v>
      </c>
      <c r="I47" s="6" t="b">
        <f aca="false">AND(D47="observed",G47)</f>
        <v>0</v>
      </c>
    </row>
    <row r="48" customFormat="false" ht="15" hidden="false" customHeight="false" outlineLevel="0" collapsed="false">
      <c r="A48" s="4" t="s">
        <v>953</v>
      </c>
      <c r="B48" s="4" t="s">
        <v>121</v>
      </c>
      <c r="C48" s="4" t="s">
        <v>122</v>
      </c>
      <c r="D48" s="4" t="s">
        <v>909</v>
      </c>
      <c r="E48" s="12"/>
      <c r="F48" s="0" t="str">
        <f aca="false">B48&amp;"&gt;"&amp;C48</f>
        <v>ds-segments&gt;ds-shipments</v>
      </c>
      <c r="G48" s="6" t="b">
        <f aca="false">COUNTIFS($F$4:$F$163,F48,$D$4:$D$163,"declared")&gt;0</f>
        <v>1</v>
      </c>
      <c r="H48" s="6" t="b">
        <f aca="false">COUNTIFS($F$4:$F$163,F48,$D$4:$D$163,"observed")&gt;0</f>
        <v>1</v>
      </c>
      <c r="I48" s="6" t="b">
        <f aca="false">AND(D48="observed",G48)</f>
        <v>0</v>
      </c>
    </row>
    <row r="49" customFormat="false" ht="15" hidden="false" customHeight="false" outlineLevel="0" collapsed="false">
      <c r="A49" s="4" t="s">
        <v>954</v>
      </c>
      <c r="B49" s="4" t="s">
        <v>93</v>
      </c>
      <c r="C49" s="4" t="s">
        <v>125</v>
      </c>
      <c r="D49" s="4" t="s">
        <v>909</v>
      </c>
      <c r="E49" s="12"/>
      <c r="F49" s="0" t="str">
        <f aca="false">B49&amp;"&gt;"&amp;C49</f>
        <v>ds-billing-accounts&gt;ds-suppliers</v>
      </c>
      <c r="G49" s="6" t="b">
        <f aca="false">COUNTIFS($F$4:$F$163,F49,$D$4:$D$163,"declared")&gt;0</f>
        <v>1</v>
      </c>
      <c r="H49" s="6" t="b">
        <f aca="false">COUNTIFS($F$4:$F$163,F49,$D$4:$D$163,"observed")&gt;0</f>
        <v>1</v>
      </c>
      <c r="I49" s="6" t="b">
        <f aca="false">AND(D49="observed",G49)</f>
        <v>0</v>
      </c>
    </row>
    <row r="50" customFormat="false" ht="15" hidden="false" customHeight="false" outlineLevel="0" collapsed="false">
      <c r="A50" s="4" t="s">
        <v>955</v>
      </c>
      <c r="B50" s="4" t="s">
        <v>115</v>
      </c>
      <c r="C50" s="4" t="s">
        <v>125</v>
      </c>
      <c r="D50" s="4" t="s">
        <v>909</v>
      </c>
      <c r="E50" s="12"/>
      <c r="F50" s="0" t="str">
        <f aca="false">B50&amp;"&gt;"&amp;C50</f>
        <v>ds-payments&gt;ds-suppliers</v>
      </c>
      <c r="G50" s="6" t="b">
        <f aca="false">COUNTIFS($F$4:$F$163,F50,$D$4:$D$163,"declared")&gt;0</f>
        <v>1</v>
      </c>
      <c r="H50" s="6" t="b">
        <f aca="false">COUNTIFS($F$4:$F$163,F50,$D$4:$D$163,"observed")&gt;0</f>
        <v>1</v>
      </c>
      <c r="I50" s="6" t="b">
        <f aca="false">AND(D50="observed",G50)</f>
        <v>0</v>
      </c>
    </row>
    <row r="51" customFormat="false" ht="15" hidden="false" customHeight="false" outlineLevel="0" collapsed="false">
      <c r="A51" s="4" t="s">
        <v>956</v>
      </c>
      <c r="B51" s="4" t="s">
        <v>92</v>
      </c>
      <c r="C51" s="4" t="s">
        <v>100</v>
      </c>
      <c r="D51" s="4" t="s">
        <v>909</v>
      </c>
      <c r="E51" s="12"/>
      <c r="F51" s="0" t="str">
        <f aca="false">B51&amp;"&gt;"&amp;C51</f>
        <v>ds-accounts&gt;ds-crm-activities</v>
      </c>
      <c r="G51" s="6" t="b">
        <f aca="false">COUNTIFS($F$4:$F$163,F51,$D$4:$D$163,"declared")&gt;0</f>
        <v>1</v>
      </c>
      <c r="H51" s="6" t="b">
        <f aca="false">COUNTIFS($F$4:$F$163,F51,$D$4:$D$163,"observed")&gt;0</f>
        <v>1</v>
      </c>
      <c r="I51" s="6" t="b">
        <f aca="false">AND(D51="observed",G51)</f>
        <v>0</v>
      </c>
    </row>
    <row r="52" customFormat="false" ht="15" hidden="false" customHeight="false" outlineLevel="0" collapsed="false">
      <c r="A52" s="4" t="s">
        <v>957</v>
      </c>
      <c r="B52" s="4" t="s">
        <v>117</v>
      </c>
      <c r="C52" s="4" t="s">
        <v>128</v>
      </c>
      <c r="D52" s="4" t="s">
        <v>909</v>
      </c>
      <c r="E52" s="12"/>
      <c r="F52" s="0" t="str">
        <f aca="false">B52&amp;"&gt;"&amp;C52</f>
        <v>ds-products&gt;ds-tickets</v>
      </c>
      <c r="G52" s="6" t="b">
        <f aca="false">COUNTIFS($F$4:$F$163,F52,$D$4:$D$163,"declared")&gt;0</f>
        <v>1</v>
      </c>
      <c r="H52" s="6" t="b">
        <f aca="false">COUNTIFS($F$4:$F$163,F52,$D$4:$D$163,"observed")&gt;0</f>
        <v>1</v>
      </c>
      <c r="I52" s="6" t="b">
        <f aca="false">AND(D52="observed",G52)</f>
        <v>0</v>
      </c>
    </row>
    <row r="53" customFormat="false" ht="15" hidden="false" customHeight="false" outlineLevel="0" collapsed="false">
      <c r="A53" s="4" t="s">
        <v>958</v>
      </c>
      <c r="B53" s="4" t="s">
        <v>125</v>
      </c>
      <c r="C53" s="4" t="s">
        <v>128</v>
      </c>
      <c r="D53" s="4" t="s">
        <v>909</v>
      </c>
      <c r="E53" s="12"/>
      <c r="F53" s="0" t="str">
        <f aca="false">B53&amp;"&gt;"&amp;C53</f>
        <v>ds-suppliers&gt;ds-tickets</v>
      </c>
      <c r="G53" s="6" t="b">
        <f aca="false">COUNTIFS($F$4:$F$163,F53,$D$4:$D$163,"declared")&gt;0</f>
        <v>1</v>
      </c>
      <c r="H53" s="6" t="b">
        <f aca="false">COUNTIFS($F$4:$F$163,F53,$D$4:$D$163,"observed")&gt;0</f>
        <v>1</v>
      </c>
      <c r="I53" s="6" t="b">
        <f aca="false">AND(D53="observed",G53)</f>
        <v>0</v>
      </c>
    </row>
    <row r="54" customFormat="false" ht="15" hidden="false" customHeight="false" outlineLevel="0" collapsed="false">
      <c r="A54" s="4" t="s">
        <v>959</v>
      </c>
      <c r="B54" s="4" t="s">
        <v>98</v>
      </c>
      <c r="C54" s="4" t="s">
        <v>129</v>
      </c>
      <c r="D54" s="4" t="s">
        <v>909</v>
      </c>
      <c r="E54" s="12"/>
      <c r="F54" s="0" t="str">
        <f aca="false">B54&amp;"&gt;"&amp;C54</f>
        <v>ds-cost-centres&gt;ds-warehouses</v>
      </c>
      <c r="G54" s="6" t="b">
        <f aca="false">COUNTIFS($F$4:$F$163,F54,$D$4:$D$163,"declared")&gt;0</f>
        <v>1</v>
      </c>
      <c r="H54" s="6" t="b">
        <f aca="false">COUNTIFS($F$4:$F$163,F54,$D$4:$D$163,"observed")&gt;0</f>
        <v>0</v>
      </c>
      <c r="I54" s="6" t="b">
        <f aca="false">AND(D54="observed",G54)</f>
        <v>0</v>
      </c>
    </row>
    <row r="55" customFormat="false" ht="15" hidden="false" customHeight="false" outlineLevel="0" collapsed="false">
      <c r="A55" s="4" t="s">
        <v>960</v>
      </c>
      <c r="B55" s="4" t="s">
        <v>101</v>
      </c>
      <c r="C55" s="4" t="s">
        <v>114</v>
      </c>
      <c r="D55" s="4" t="s">
        <v>909</v>
      </c>
      <c r="E55" s="12"/>
      <c r="F55" s="0" t="str">
        <f aca="false">B55&amp;"&gt;"&amp;C55</f>
        <v>ds-csat-surveys&gt;ds-page-events</v>
      </c>
      <c r="G55" s="6" t="b">
        <f aca="false">COUNTIFS($F$4:$F$163,F55,$D$4:$D$163,"declared")&gt;0</f>
        <v>1</v>
      </c>
      <c r="H55" s="6" t="b">
        <f aca="false">COUNTIFS($F$4:$F$163,F55,$D$4:$D$163,"observed")&gt;0</f>
        <v>1</v>
      </c>
      <c r="I55" s="6" t="b">
        <f aca="false">AND(D55="observed",G55)</f>
        <v>0</v>
      </c>
    </row>
    <row r="56" customFormat="false" ht="15" hidden="false" customHeight="false" outlineLevel="0" collapsed="false">
      <c r="A56" s="4" t="s">
        <v>961</v>
      </c>
      <c r="B56" s="4" t="s">
        <v>109</v>
      </c>
      <c r="C56" s="4" t="s">
        <v>98</v>
      </c>
      <c r="D56" s="4" t="s">
        <v>909</v>
      </c>
      <c r="E56" s="12"/>
      <c r="F56" s="0" t="str">
        <f aca="false">B56&amp;"&gt;"&amp;C56</f>
        <v>ds-leads&gt;ds-cost-centres</v>
      </c>
      <c r="G56" s="6" t="b">
        <f aca="false">COUNTIFS($F$4:$F$163,F56,$D$4:$D$163,"declared")&gt;0</f>
        <v>1</v>
      </c>
      <c r="H56" s="6" t="b">
        <f aca="false">COUNTIFS($F$4:$F$163,F56,$D$4:$D$163,"observed")&gt;0</f>
        <v>0</v>
      </c>
      <c r="I56" s="6" t="b">
        <f aca="false">AND(D56="observed",G56)</f>
        <v>0</v>
      </c>
    </row>
    <row r="57" customFormat="false" ht="15" hidden="false" customHeight="false" outlineLevel="0" collapsed="false">
      <c r="A57" s="4" t="s">
        <v>962</v>
      </c>
      <c r="B57" s="4" t="s">
        <v>124</v>
      </c>
      <c r="C57" s="4" t="s">
        <v>118</v>
      </c>
      <c r="D57" s="4" t="s">
        <v>909</v>
      </c>
      <c r="E57" s="12"/>
      <c r="F57" s="0" t="str">
        <f aca="false">B57&amp;"&gt;"&amp;C57</f>
        <v>ds-subscriptions&gt;ds-purchase-orders</v>
      </c>
      <c r="G57" s="6" t="b">
        <f aca="false">COUNTIFS($F$4:$F$163,F57,$D$4:$D$163,"declared")&gt;0</f>
        <v>1</v>
      </c>
      <c r="H57" s="6" t="b">
        <f aca="false">COUNTIFS($F$4:$F$163,F57,$D$4:$D$163,"observed")&gt;0</f>
        <v>0</v>
      </c>
      <c r="I57" s="6" t="b">
        <f aca="false">AND(D57="observed",G57)</f>
        <v>0</v>
      </c>
    </row>
    <row r="58" customFormat="false" ht="15" hidden="false" customHeight="false" outlineLevel="0" collapsed="false">
      <c r="A58" s="4" t="s">
        <v>963</v>
      </c>
      <c r="B58" s="4" t="s">
        <v>97</v>
      </c>
      <c r="C58" s="4" t="s">
        <v>96</v>
      </c>
      <c r="D58" s="4" t="s">
        <v>909</v>
      </c>
      <c r="E58" s="12"/>
      <c r="F58" s="0" t="str">
        <f aca="false">B58&amp;"&gt;"&amp;C58</f>
        <v>ds-contacts&gt;ds-consent-records</v>
      </c>
      <c r="G58" s="6" t="b">
        <f aca="false">COUNTIFS($F$4:$F$163,F58,$D$4:$D$163,"declared")&gt;0</f>
        <v>1</v>
      </c>
      <c r="H58" s="6" t="b">
        <f aca="false">COUNTIFS($F$4:$F$163,F58,$D$4:$D$163,"observed")&gt;0</f>
        <v>1</v>
      </c>
      <c r="I58" s="6" t="b">
        <f aca="false">AND(D58="observed",G58)</f>
        <v>0</v>
      </c>
    </row>
    <row r="59" customFormat="false" ht="15" hidden="false" customHeight="false" outlineLevel="0" collapsed="false">
      <c r="A59" s="4" t="s">
        <v>964</v>
      </c>
      <c r="B59" s="4" t="s">
        <v>128</v>
      </c>
      <c r="C59" s="4" t="s">
        <v>129</v>
      </c>
      <c r="D59" s="4" t="s">
        <v>909</v>
      </c>
      <c r="E59" s="12"/>
      <c r="F59" s="0" t="str">
        <f aca="false">B59&amp;"&gt;"&amp;C59</f>
        <v>ds-tickets&gt;ds-warehouses</v>
      </c>
      <c r="G59" s="6" t="b">
        <f aca="false">COUNTIFS($F$4:$F$163,F59,$D$4:$D$163,"declared")&gt;0</f>
        <v>1</v>
      </c>
      <c r="H59" s="6" t="b">
        <f aca="false">COUNTIFS($F$4:$F$163,F59,$D$4:$D$163,"observed")&gt;0</f>
        <v>0</v>
      </c>
      <c r="I59" s="6" t="b">
        <f aca="false">AND(D59="observed",G59)</f>
        <v>0</v>
      </c>
    </row>
    <row r="60" customFormat="false" ht="15" hidden="false" customHeight="false" outlineLevel="0" collapsed="false">
      <c r="A60" s="4" t="s">
        <v>965</v>
      </c>
      <c r="B60" s="4" t="s">
        <v>97</v>
      </c>
      <c r="C60" s="4" t="s">
        <v>116</v>
      </c>
      <c r="D60" s="4" t="s">
        <v>909</v>
      </c>
      <c r="E60" s="12"/>
      <c r="F60" s="0" t="str">
        <f aca="false">B60&amp;"&gt;"&amp;C60</f>
        <v>ds-contacts&gt;ds-price-books</v>
      </c>
      <c r="G60" s="6" t="b">
        <f aca="false">COUNTIFS($F$4:$F$163,F60,$D$4:$D$163,"declared")&gt;0</f>
        <v>1</v>
      </c>
      <c r="H60" s="6" t="b">
        <f aca="false">COUNTIFS($F$4:$F$163,F60,$D$4:$D$163,"observed")&gt;0</f>
        <v>1</v>
      </c>
      <c r="I60" s="6" t="b">
        <f aca="false">AND(D60="observed",G60)</f>
        <v>0</v>
      </c>
    </row>
    <row r="61" customFormat="false" ht="15" hidden="false" customHeight="false" outlineLevel="0" collapsed="false">
      <c r="A61" s="4" t="s">
        <v>966</v>
      </c>
      <c r="B61" s="4" t="s">
        <v>124</v>
      </c>
      <c r="C61" s="4" t="s">
        <v>95</v>
      </c>
      <c r="D61" s="4" t="s">
        <v>909</v>
      </c>
      <c r="E61" s="12"/>
      <c r="F61" s="0" t="str">
        <f aca="false">B61&amp;"&gt;"&amp;C61</f>
        <v>ds-subscriptions&gt;ds-carriers</v>
      </c>
      <c r="G61" s="6" t="b">
        <f aca="false">COUNTIFS($F$4:$F$163,F61,$D$4:$D$163,"declared")&gt;0</f>
        <v>1</v>
      </c>
      <c r="H61" s="6" t="b">
        <f aca="false">COUNTIFS($F$4:$F$163,F61,$D$4:$D$163,"observed")&gt;0</f>
        <v>1</v>
      </c>
      <c r="I61" s="6" t="b">
        <f aca="false">AND(D61="observed",G61)</f>
        <v>0</v>
      </c>
    </row>
    <row r="62" customFormat="false" ht="15" hidden="false" customHeight="false" outlineLevel="0" collapsed="false">
      <c r="A62" s="4" t="s">
        <v>967</v>
      </c>
      <c r="B62" s="4" t="s">
        <v>123</v>
      </c>
      <c r="C62" s="4" t="s">
        <v>122</v>
      </c>
      <c r="D62" s="4" t="s">
        <v>909</v>
      </c>
      <c r="E62" s="12"/>
      <c r="F62" s="0" t="str">
        <f aca="false">B62&amp;"&gt;"&amp;C62</f>
        <v>ds-sla-policies&gt;ds-shipments</v>
      </c>
      <c r="G62" s="6" t="b">
        <f aca="false">COUNTIFS($F$4:$F$163,F62,$D$4:$D$163,"declared")&gt;0</f>
        <v>1</v>
      </c>
      <c r="H62" s="6" t="b">
        <f aca="false">COUNTIFS($F$4:$F$163,F62,$D$4:$D$163,"observed")&gt;0</f>
        <v>0</v>
      </c>
      <c r="I62" s="6" t="b">
        <f aca="false">AND(D62="observed",G62)</f>
        <v>0</v>
      </c>
    </row>
    <row r="63" customFormat="false" ht="15" hidden="false" customHeight="false" outlineLevel="0" collapsed="false">
      <c r="A63" s="4" t="s">
        <v>968</v>
      </c>
      <c r="B63" s="4" t="s">
        <v>116</v>
      </c>
      <c r="C63" s="4" t="s">
        <v>98</v>
      </c>
      <c r="D63" s="4" t="s">
        <v>909</v>
      </c>
      <c r="E63" s="12"/>
      <c r="F63" s="0" t="str">
        <f aca="false">B63&amp;"&gt;"&amp;C63</f>
        <v>ds-price-books&gt;ds-cost-centres</v>
      </c>
      <c r="G63" s="6" t="b">
        <f aca="false">COUNTIFS($F$4:$F$163,F63,$D$4:$D$163,"declared")&gt;0</f>
        <v>1</v>
      </c>
      <c r="H63" s="6" t="b">
        <f aca="false">COUNTIFS($F$4:$F$163,F63,$D$4:$D$163,"observed")&gt;0</f>
        <v>0</v>
      </c>
      <c r="I63" s="6" t="b">
        <f aca="false">AND(D63="observed",G63)</f>
        <v>0</v>
      </c>
    </row>
    <row r="64" customFormat="false" ht="15" hidden="false" customHeight="false" outlineLevel="0" collapsed="false">
      <c r="A64" s="4" t="s">
        <v>969</v>
      </c>
      <c r="B64" s="4" t="s">
        <v>98</v>
      </c>
      <c r="C64" s="4" t="s">
        <v>120</v>
      </c>
      <c r="D64" s="4" t="s">
        <v>909</v>
      </c>
      <c r="E64" s="12"/>
      <c r="F64" s="0" t="str">
        <f aca="false">B64&amp;"&gt;"&amp;C64</f>
        <v>ds-cost-centres&gt;ds-returns</v>
      </c>
      <c r="G64" s="6" t="b">
        <f aca="false">COUNTIFS($F$4:$F$163,F64,$D$4:$D$163,"declared")&gt;0</f>
        <v>1</v>
      </c>
      <c r="H64" s="6" t="b">
        <f aca="false">COUNTIFS($F$4:$F$163,F64,$D$4:$D$163,"observed")&gt;0</f>
        <v>1</v>
      </c>
      <c r="I64" s="6" t="b">
        <f aca="false">AND(D64="observed",G64)</f>
        <v>0</v>
      </c>
    </row>
    <row r="65" customFormat="false" ht="15" hidden="false" customHeight="false" outlineLevel="0" collapsed="false">
      <c r="A65" s="4" t="s">
        <v>970</v>
      </c>
      <c r="B65" s="4" t="s">
        <v>117</v>
      </c>
      <c r="C65" s="4" t="s">
        <v>104</v>
      </c>
      <c r="D65" s="4" t="s">
        <v>909</v>
      </c>
      <c r="E65" s="12"/>
      <c r="F65" s="0" t="str">
        <f aca="false">B65&amp;"&gt;"&amp;C65</f>
        <v>ds-products&gt;ds-employees</v>
      </c>
      <c r="G65" s="6" t="b">
        <f aca="false">COUNTIFS($F$4:$F$163,F65,$D$4:$D$163,"declared")&gt;0</f>
        <v>1</v>
      </c>
      <c r="H65" s="6" t="b">
        <f aca="false">COUNTIFS($F$4:$F$163,F65,$D$4:$D$163,"observed")&gt;0</f>
        <v>1</v>
      </c>
      <c r="I65" s="6" t="b">
        <f aca="false">AND(D65="observed",G65)</f>
        <v>0</v>
      </c>
    </row>
    <row r="66" customFormat="false" ht="15" hidden="false" customHeight="false" outlineLevel="0" collapsed="false">
      <c r="A66" s="4" t="s">
        <v>971</v>
      </c>
      <c r="B66" s="4" t="s">
        <v>122</v>
      </c>
      <c r="C66" s="4" t="s">
        <v>95</v>
      </c>
      <c r="D66" s="4" t="s">
        <v>909</v>
      </c>
      <c r="E66" s="12"/>
      <c r="F66" s="0" t="str">
        <f aca="false">B66&amp;"&gt;"&amp;C66</f>
        <v>ds-shipments&gt;ds-carriers</v>
      </c>
      <c r="G66" s="6" t="b">
        <f aca="false">COUNTIFS($F$4:$F$163,F66,$D$4:$D$163,"declared")&gt;0</f>
        <v>1</v>
      </c>
      <c r="H66" s="6" t="b">
        <f aca="false">COUNTIFS($F$4:$F$163,F66,$D$4:$D$163,"observed")&gt;0</f>
        <v>0</v>
      </c>
      <c r="I66" s="6" t="b">
        <f aca="false">AND(D66="observed",G66)</f>
        <v>0</v>
      </c>
    </row>
    <row r="67" customFormat="false" ht="15" hidden="false" customHeight="false" outlineLevel="0" collapsed="false">
      <c r="A67" s="4" t="s">
        <v>972</v>
      </c>
      <c r="B67" s="4" t="s">
        <v>100</v>
      </c>
      <c r="C67" s="4" t="s">
        <v>129</v>
      </c>
      <c r="D67" s="4" t="s">
        <v>909</v>
      </c>
      <c r="E67" s="12"/>
      <c r="F67" s="0" t="str">
        <f aca="false">B67&amp;"&gt;"&amp;C67</f>
        <v>ds-crm-activities&gt;ds-warehouses</v>
      </c>
      <c r="G67" s="6" t="b">
        <f aca="false">COUNTIFS($F$4:$F$163,F67,$D$4:$D$163,"declared")&gt;0</f>
        <v>1</v>
      </c>
      <c r="H67" s="6" t="b">
        <f aca="false">COUNTIFS($F$4:$F$163,F67,$D$4:$D$163,"observed")&gt;0</f>
        <v>1</v>
      </c>
      <c r="I67" s="6" t="b">
        <f aca="false">AND(D67="observed",G67)</f>
        <v>0</v>
      </c>
    </row>
    <row r="68" customFormat="false" ht="15" hidden="false" customHeight="false" outlineLevel="0" collapsed="false">
      <c r="A68" s="4" t="s">
        <v>973</v>
      </c>
      <c r="B68" s="4" t="s">
        <v>94</v>
      </c>
      <c r="C68" s="4" t="s">
        <v>128</v>
      </c>
      <c r="D68" s="4" t="s">
        <v>909</v>
      </c>
      <c r="E68" s="12"/>
      <c r="F68" s="0" t="str">
        <f aca="false">B68&amp;"&gt;"&amp;C68</f>
        <v>ds-campaigns&gt;ds-tickets</v>
      </c>
      <c r="G68" s="6" t="b">
        <f aca="false">COUNTIFS($F$4:$F$163,F68,$D$4:$D$163,"declared")&gt;0</f>
        <v>1</v>
      </c>
      <c r="H68" s="6" t="b">
        <f aca="false">COUNTIFS($F$4:$F$163,F68,$D$4:$D$163,"observed")&gt;0</f>
        <v>1</v>
      </c>
      <c r="I68" s="6" t="b">
        <f aca="false">AND(D68="observed",G68)</f>
        <v>0</v>
      </c>
    </row>
    <row r="69" customFormat="false" ht="15" hidden="false" customHeight="false" outlineLevel="0" collapsed="false">
      <c r="A69" s="4" t="s">
        <v>974</v>
      </c>
      <c r="B69" s="4" t="s">
        <v>92</v>
      </c>
      <c r="C69" s="4" t="s">
        <v>98</v>
      </c>
      <c r="D69" s="4" t="s">
        <v>909</v>
      </c>
      <c r="E69" s="12"/>
      <c r="F69" s="0" t="str">
        <f aca="false">B69&amp;"&gt;"&amp;C69</f>
        <v>ds-accounts&gt;ds-cost-centres</v>
      </c>
      <c r="G69" s="6" t="b">
        <f aca="false">COUNTIFS($F$4:$F$163,F69,$D$4:$D$163,"declared")&gt;0</f>
        <v>1</v>
      </c>
      <c r="H69" s="6" t="b">
        <f aca="false">COUNTIFS($F$4:$F$163,F69,$D$4:$D$163,"observed")&gt;0</f>
        <v>1</v>
      </c>
      <c r="I69" s="6" t="b">
        <f aca="false">AND(D69="observed",G69)</f>
        <v>0</v>
      </c>
    </row>
    <row r="70" customFormat="false" ht="15" hidden="false" customHeight="false" outlineLevel="0" collapsed="false">
      <c r="A70" s="4" t="s">
        <v>975</v>
      </c>
      <c r="B70" s="4" t="s">
        <v>99</v>
      </c>
      <c r="C70" s="4" t="s">
        <v>117</v>
      </c>
      <c r="D70" s="4" t="s">
        <v>909</v>
      </c>
      <c r="E70" s="12"/>
      <c r="F70" s="0" t="str">
        <f aca="false">B70&amp;"&gt;"&amp;C70</f>
        <v>ds-credit-notes&gt;ds-products</v>
      </c>
      <c r="G70" s="6" t="b">
        <f aca="false">COUNTIFS($F$4:$F$163,F70,$D$4:$D$163,"declared")&gt;0</f>
        <v>1</v>
      </c>
      <c r="H70" s="6" t="b">
        <f aca="false">COUNTIFS($F$4:$F$163,F70,$D$4:$D$163,"observed")&gt;0</f>
        <v>1</v>
      </c>
      <c r="I70" s="6" t="b">
        <f aca="false">AND(D70="observed",G70)</f>
        <v>0</v>
      </c>
    </row>
    <row r="71" customFormat="false" ht="15" hidden="false" customHeight="false" outlineLevel="0" collapsed="false">
      <c r="A71" s="4" t="s">
        <v>976</v>
      </c>
      <c r="B71" s="4" t="s">
        <v>98</v>
      </c>
      <c r="C71" s="4" t="s">
        <v>96</v>
      </c>
      <c r="D71" s="4" t="s">
        <v>909</v>
      </c>
      <c r="E71" s="12"/>
      <c r="F71" s="0" t="str">
        <f aca="false">B71&amp;"&gt;"&amp;C71</f>
        <v>ds-cost-centres&gt;ds-consent-records</v>
      </c>
      <c r="G71" s="6" t="b">
        <f aca="false">COUNTIFS($F$4:$F$163,F71,$D$4:$D$163,"declared")&gt;0</f>
        <v>1</v>
      </c>
      <c r="H71" s="6" t="b">
        <f aca="false">COUNTIFS($F$4:$F$163,F71,$D$4:$D$163,"observed")&gt;0</f>
        <v>0</v>
      </c>
      <c r="I71" s="6" t="b">
        <f aca="false">AND(D71="observed",G71)</f>
        <v>0</v>
      </c>
    </row>
    <row r="72" customFormat="false" ht="15" hidden="false" customHeight="false" outlineLevel="0" collapsed="false">
      <c r="A72" s="4" t="s">
        <v>977</v>
      </c>
      <c r="B72" s="4" t="s">
        <v>128</v>
      </c>
      <c r="C72" s="4" t="s">
        <v>103</v>
      </c>
      <c r="D72" s="4" t="s">
        <v>909</v>
      </c>
      <c r="E72" s="12"/>
      <c r="F72" s="0" t="str">
        <f aca="false">B72&amp;"&gt;"&amp;C72</f>
        <v>ds-tickets&gt;ds-delivery-events</v>
      </c>
      <c r="G72" s="6" t="b">
        <f aca="false">COUNTIFS($F$4:$F$163,F72,$D$4:$D$163,"declared")&gt;0</f>
        <v>1</v>
      </c>
      <c r="H72" s="6" t="b">
        <f aca="false">COUNTIFS($F$4:$F$163,F72,$D$4:$D$163,"observed")&gt;0</f>
        <v>1</v>
      </c>
      <c r="I72" s="6" t="b">
        <f aca="false">AND(D72="observed",G72)</f>
        <v>0</v>
      </c>
    </row>
    <row r="73" customFormat="false" ht="15" hidden="false" customHeight="false" outlineLevel="0" collapsed="false">
      <c r="A73" s="4" t="s">
        <v>978</v>
      </c>
      <c r="B73" s="4" t="s">
        <v>102</v>
      </c>
      <c r="C73" s="4" t="s">
        <v>123</v>
      </c>
      <c r="D73" s="4" t="s">
        <v>909</v>
      </c>
      <c r="E73" s="12"/>
      <c r="F73" s="0" t="str">
        <f aca="false">B73&amp;"&gt;"&amp;C73</f>
        <v>ds-customers&gt;ds-sla-policies</v>
      </c>
      <c r="G73" s="6" t="b">
        <f aca="false">COUNTIFS($F$4:$F$163,F73,$D$4:$D$163,"declared")&gt;0</f>
        <v>1</v>
      </c>
      <c r="H73" s="6" t="b">
        <f aca="false">COUNTIFS($F$4:$F$163,F73,$D$4:$D$163,"observed")&gt;0</f>
        <v>0</v>
      </c>
      <c r="I73" s="6" t="b">
        <f aca="false">AND(D73="observed",G73)</f>
        <v>0</v>
      </c>
    </row>
    <row r="74" customFormat="false" ht="15" hidden="false" customHeight="false" outlineLevel="0" collapsed="false">
      <c r="A74" s="4" t="s">
        <v>979</v>
      </c>
      <c r="B74" s="4" t="s">
        <v>106</v>
      </c>
      <c r="C74" s="4" t="s">
        <v>131</v>
      </c>
      <c r="D74" s="4" t="s">
        <v>909</v>
      </c>
      <c r="E74" s="12"/>
      <c r="F74" s="0" t="str">
        <f aca="false">B74&amp;"&gt;"&amp;C74</f>
        <v>ds-inventory&gt;ds-web-users</v>
      </c>
      <c r="G74" s="6" t="b">
        <f aca="false">COUNTIFS($F$4:$F$163,F74,$D$4:$D$163,"declared")&gt;0</f>
        <v>1</v>
      </c>
      <c r="H74" s="6" t="b">
        <f aca="false">COUNTIFS($F$4:$F$163,F74,$D$4:$D$163,"observed")&gt;0</f>
        <v>1</v>
      </c>
      <c r="I74" s="6" t="b">
        <f aca="false">AND(D74="observed",G74)</f>
        <v>0</v>
      </c>
    </row>
    <row r="75" customFormat="false" ht="15" hidden="false" customHeight="false" outlineLevel="0" collapsed="false">
      <c r="A75" s="4" t="s">
        <v>980</v>
      </c>
      <c r="B75" s="4" t="s">
        <v>124</v>
      </c>
      <c r="C75" s="4" t="s">
        <v>117</v>
      </c>
      <c r="D75" s="4" t="s">
        <v>909</v>
      </c>
      <c r="E75" s="12"/>
      <c r="F75" s="0" t="str">
        <f aca="false">B75&amp;"&gt;"&amp;C75</f>
        <v>ds-subscriptions&gt;ds-products</v>
      </c>
      <c r="G75" s="6" t="b">
        <f aca="false">COUNTIFS($F$4:$F$163,F75,$D$4:$D$163,"declared")&gt;0</f>
        <v>1</v>
      </c>
      <c r="H75" s="6" t="b">
        <f aca="false">COUNTIFS($F$4:$F$163,F75,$D$4:$D$163,"observed")&gt;0</f>
        <v>0</v>
      </c>
      <c r="I75" s="6" t="b">
        <f aca="false">AND(D75="observed",G75)</f>
        <v>0</v>
      </c>
    </row>
    <row r="76" customFormat="false" ht="15" hidden="false" customHeight="false" outlineLevel="0" collapsed="false">
      <c r="A76" s="4" t="s">
        <v>981</v>
      </c>
      <c r="B76" s="4" t="s">
        <v>97</v>
      </c>
      <c r="C76" s="4" t="s">
        <v>118</v>
      </c>
      <c r="D76" s="4" t="s">
        <v>909</v>
      </c>
      <c r="E76" s="12"/>
      <c r="F76" s="0" t="str">
        <f aca="false">B76&amp;"&gt;"&amp;C76</f>
        <v>ds-contacts&gt;ds-purchase-orders</v>
      </c>
      <c r="G76" s="6" t="b">
        <f aca="false">COUNTIFS($F$4:$F$163,F76,$D$4:$D$163,"declared")&gt;0</f>
        <v>1</v>
      </c>
      <c r="H76" s="6" t="b">
        <f aca="false">COUNTIFS($F$4:$F$163,F76,$D$4:$D$163,"observed")&gt;0</f>
        <v>1</v>
      </c>
      <c r="I76" s="6" t="b">
        <f aca="false">AND(D76="observed",G76)</f>
        <v>0</v>
      </c>
    </row>
    <row r="77" customFormat="false" ht="15" hidden="false" customHeight="false" outlineLevel="0" collapsed="false">
      <c r="A77" s="4" t="s">
        <v>982</v>
      </c>
      <c r="B77" s="4" t="s">
        <v>93</v>
      </c>
      <c r="C77" s="4" t="s">
        <v>117</v>
      </c>
      <c r="D77" s="4" t="s">
        <v>909</v>
      </c>
      <c r="E77" s="12"/>
      <c r="F77" s="0" t="str">
        <f aca="false">B77&amp;"&gt;"&amp;C77</f>
        <v>ds-billing-accounts&gt;ds-products</v>
      </c>
      <c r="G77" s="6" t="b">
        <f aca="false">COUNTIFS($F$4:$F$163,F77,$D$4:$D$163,"declared")&gt;0</f>
        <v>1</v>
      </c>
      <c r="H77" s="6" t="b">
        <f aca="false">COUNTIFS($F$4:$F$163,F77,$D$4:$D$163,"observed")&gt;0</f>
        <v>1</v>
      </c>
      <c r="I77" s="6" t="b">
        <f aca="false">AND(D77="observed",G77)</f>
        <v>0</v>
      </c>
    </row>
    <row r="78" customFormat="false" ht="15" hidden="false" customHeight="false" outlineLevel="0" collapsed="false">
      <c r="A78" s="4" t="s">
        <v>983</v>
      </c>
      <c r="B78" s="4" t="s">
        <v>107</v>
      </c>
      <c r="C78" s="4" t="s">
        <v>110</v>
      </c>
      <c r="D78" s="4" t="s">
        <v>909</v>
      </c>
      <c r="E78" s="12"/>
      <c r="F78" s="0" t="str">
        <f aca="false">B78&amp;"&gt;"&amp;C78</f>
        <v>ds-invoices&gt;ds-ledger-entries</v>
      </c>
      <c r="G78" s="6" t="b">
        <f aca="false">COUNTIFS($F$4:$F$163,F78,$D$4:$D$163,"declared")&gt;0</f>
        <v>1</v>
      </c>
      <c r="H78" s="6" t="b">
        <f aca="false">COUNTIFS($F$4:$F$163,F78,$D$4:$D$163,"observed")&gt;0</f>
        <v>1</v>
      </c>
      <c r="I78" s="6" t="b">
        <f aca="false">AND(D78="observed",G78)</f>
        <v>0</v>
      </c>
    </row>
    <row r="79" customFormat="false" ht="15" hidden="false" customHeight="false" outlineLevel="0" collapsed="false">
      <c r="A79" s="4" t="s">
        <v>984</v>
      </c>
      <c r="B79" s="4" t="s">
        <v>118</v>
      </c>
      <c r="C79" s="4" t="s">
        <v>127</v>
      </c>
      <c r="D79" s="4" t="s">
        <v>909</v>
      </c>
      <c r="E79" s="12"/>
      <c r="F79" s="0" t="str">
        <f aca="false">B79&amp;"&gt;"&amp;C79</f>
        <v>ds-purchase-orders&gt;ds-ticket-events</v>
      </c>
      <c r="G79" s="6" t="b">
        <f aca="false">COUNTIFS($F$4:$F$163,F79,$D$4:$D$163,"declared")&gt;0</f>
        <v>1</v>
      </c>
      <c r="H79" s="6" t="b">
        <f aca="false">COUNTIFS($F$4:$F$163,F79,$D$4:$D$163,"observed")&gt;0</f>
        <v>1</v>
      </c>
      <c r="I79" s="6" t="b">
        <f aca="false">AND(D79="observed",G79)</f>
        <v>0</v>
      </c>
    </row>
    <row r="80" customFormat="false" ht="15" hidden="false" customHeight="false" outlineLevel="0" collapsed="false">
      <c r="A80" s="4" t="s">
        <v>985</v>
      </c>
      <c r="B80" s="4" t="s">
        <v>113</v>
      </c>
      <c r="C80" s="4" t="s">
        <v>131</v>
      </c>
      <c r="D80" s="4" t="s">
        <v>909</v>
      </c>
      <c r="E80" s="12"/>
      <c r="F80" s="0" t="str">
        <f aca="false">B80&amp;"&gt;"&amp;C80</f>
        <v>ds-orders&gt;ds-web-users</v>
      </c>
      <c r="G80" s="6" t="b">
        <f aca="false">COUNTIFS($F$4:$F$163,F80,$D$4:$D$163,"declared")&gt;0</f>
        <v>1</v>
      </c>
      <c r="H80" s="6" t="b">
        <f aca="false">COUNTIFS($F$4:$F$163,F80,$D$4:$D$163,"observed")&gt;0</f>
        <v>1</v>
      </c>
      <c r="I80" s="6" t="b">
        <f aca="false">AND(D80="observed",G80)</f>
        <v>0</v>
      </c>
    </row>
    <row r="81" customFormat="false" ht="15" hidden="false" customHeight="false" outlineLevel="0" collapsed="false">
      <c r="A81" s="4" t="s">
        <v>986</v>
      </c>
      <c r="B81" s="4" t="s">
        <v>102</v>
      </c>
      <c r="C81" s="4" t="s">
        <v>131</v>
      </c>
      <c r="D81" s="4" t="s">
        <v>909</v>
      </c>
      <c r="E81" s="12"/>
      <c r="F81" s="0" t="str">
        <f aca="false">B81&amp;"&gt;"&amp;C81</f>
        <v>ds-customers&gt;ds-web-users</v>
      </c>
      <c r="G81" s="6" t="b">
        <f aca="false">COUNTIFS($F$4:$F$163,F81,$D$4:$D$163,"declared")&gt;0</f>
        <v>1</v>
      </c>
      <c r="H81" s="6" t="b">
        <f aca="false">COUNTIFS($F$4:$F$163,F81,$D$4:$D$163,"observed")&gt;0</f>
        <v>1</v>
      </c>
      <c r="I81" s="6" t="b">
        <f aca="false">AND(D81="observed",G81)</f>
        <v>0</v>
      </c>
    </row>
    <row r="82" customFormat="false" ht="15" hidden="false" customHeight="false" outlineLevel="0" collapsed="false">
      <c r="A82" s="4" t="s">
        <v>987</v>
      </c>
      <c r="B82" s="4" t="s">
        <v>129</v>
      </c>
      <c r="C82" s="4" t="s">
        <v>103</v>
      </c>
      <c r="D82" s="4" t="s">
        <v>909</v>
      </c>
      <c r="E82" s="12"/>
      <c r="F82" s="0" t="str">
        <f aca="false">B82&amp;"&gt;"&amp;C82</f>
        <v>ds-warehouses&gt;ds-delivery-events</v>
      </c>
      <c r="G82" s="6" t="b">
        <f aca="false">COUNTIFS($F$4:$F$163,F82,$D$4:$D$163,"declared")&gt;0</f>
        <v>1</v>
      </c>
      <c r="H82" s="6" t="b">
        <f aca="false">COUNTIFS($F$4:$F$163,F82,$D$4:$D$163,"observed")&gt;0</f>
        <v>0</v>
      </c>
      <c r="I82" s="6" t="b">
        <f aca="false">AND(D82="observed",G82)</f>
        <v>0</v>
      </c>
    </row>
    <row r="83" customFormat="false" ht="15" hidden="false" customHeight="false" outlineLevel="0" collapsed="false">
      <c r="A83" s="4" t="s">
        <v>988</v>
      </c>
      <c r="B83" s="4" t="s">
        <v>93</v>
      </c>
      <c r="C83" s="4" t="s">
        <v>129</v>
      </c>
      <c r="D83" s="4" t="s">
        <v>909</v>
      </c>
      <c r="E83" s="12"/>
      <c r="F83" s="0" t="str">
        <f aca="false">B83&amp;"&gt;"&amp;C83</f>
        <v>ds-billing-accounts&gt;ds-warehouses</v>
      </c>
      <c r="G83" s="6" t="b">
        <f aca="false">COUNTIFS($F$4:$F$163,F83,$D$4:$D$163,"declared")&gt;0</f>
        <v>1</v>
      </c>
      <c r="H83" s="6" t="b">
        <f aca="false">COUNTIFS($F$4:$F$163,F83,$D$4:$D$163,"observed")&gt;0</f>
        <v>0</v>
      </c>
      <c r="I83" s="6" t="b">
        <f aca="false">AND(D83="observed",G83)</f>
        <v>0</v>
      </c>
    </row>
    <row r="84" customFormat="false" ht="15" hidden="false" customHeight="false" outlineLevel="0" collapsed="false">
      <c r="A84" s="4" t="s">
        <v>989</v>
      </c>
      <c r="B84" s="4" t="s">
        <v>115</v>
      </c>
      <c r="C84" s="4" t="s">
        <v>119</v>
      </c>
      <c r="D84" s="4" t="s">
        <v>990</v>
      </c>
      <c r="E84" s="12"/>
      <c r="F84" s="0" t="str">
        <f aca="false">B84&amp;"&gt;"&amp;C84</f>
        <v>ds-payments&gt;ds-refunds</v>
      </c>
      <c r="G84" s="6" t="b">
        <f aca="false">COUNTIFS($F$4:$F$163,F84,$D$4:$D$163,"declared")&gt;0</f>
        <v>1</v>
      </c>
      <c r="H84" s="6" t="b">
        <f aca="false">COUNTIFS($F$4:$F$163,F84,$D$4:$D$163,"observed")&gt;0</f>
        <v>0</v>
      </c>
      <c r="I84" s="6" t="b">
        <f aca="false">AND(D84="observed",G84)</f>
        <v>0</v>
      </c>
    </row>
    <row r="85" customFormat="false" ht="15" hidden="false" customHeight="false" outlineLevel="0" collapsed="false">
      <c r="A85" s="4" t="s">
        <v>991</v>
      </c>
      <c r="B85" s="4" t="s">
        <v>122</v>
      </c>
      <c r="C85" s="4" t="s">
        <v>95</v>
      </c>
      <c r="D85" s="4" t="s">
        <v>990</v>
      </c>
      <c r="E85" s="12"/>
      <c r="F85" s="0" t="str">
        <f aca="false">B85&amp;"&gt;"&amp;C85</f>
        <v>ds-shipments&gt;ds-carriers</v>
      </c>
      <c r="G85" s="6" t="b">
        <f aca="false">COUNTIFS($F$4:$F$163,F85,$D$4:$D$163,"declared")&gt;0</f>
        <v>1</v>
      </c>
      <c r="H85" s="6" t="b">
        <f aca="false">COUNTIFS($F$4:$F$163,F85,$D$4:$D$163,"observed")&gt;0</f>
        <v>0</v>
      </c>
      <c r="I85" s="6" t="b">
        <f aca="false">AND(D85="observed",G85)</f>
        <v>0</v>
      </c>
    </row>
    <row r="86" customFormat="false" ht="15" hidden="false" customHeight="false" outlineLevel="0" collapsed="false">
      <c r="A86" s="4" t="s">
        <v>992</v>
      </c>
      <c r="B86" s="4" t="s">
        <v>99</v>
      </c>
      <c r="C86" s="4" t="s">
        <v>101</v>
      </c>
      <c r="D86" s="4" t="s">
        <v>990</v>
      </c>
      <c r="E86" s="12"/>
      <c r="F86" s="0" t="str">
        <f aca="false">B86&amp;"&gt;"&amp;C86</f>
        <v>ds-credit-notes&gt;ds-csat-surveys</v>
      </c>
      <c r="G86" s="6" t="b">
        <f aca="false">COUNTIFS($F$4:$F$163,F86,$D$4:$D$163,"declared")&gt;0</f>
        <v>1</v>
      </c>
      <c r="H86" s="6" t="b">
        <f aca="false">COUNTIFS($F$4:$F$163,F86,$D$4:$D$163,"observed")&gt;0</f>
        <v>0</v>
      </c>
      <c r="I86" s="6" t="b">
        <f aca="false">AND(D86="observed",G86)</f>
        <v>0</v>
      </c>
    </row>
    <row r="87" customFormat="false" ht="15" hidden="false" customHeight="false" outlineLevel="0" collapsed="false">
      <c r="A87" s="4" t="s">
        <v>993</v>
      </c>
      <c r="B87" s="4" t="s">
        <v>99</v>
      </c>
      <c r="C87" s="4" t="s">
        <v>96</v>
      </c>
      <c r="D87" s="4" t="s">
        <v>990</v>
      </c>
      <c r="E87" s="12"/>
      <c r="F87" s="0" t="str">
        <f aca="false">B87&amp;"&gt;"&amp;C87</f>
        <v>ds-credit-notes&gt;ds-consent-records</v>
      </c>
      <c r="G87" s="6" t="b">
        <f aca="false">COUNTIFS($F$4:$F$163,F87,$D$4:$D$163,"declared")&gt;0</f>
        <v>1</v>
      </c>
      <c r="H87" s="6" t="b">
        <f aca="false">COUNTIFS($F$4:$F$163,F87,$D$4:$D$163,"observed")&gt;0</f>
        <v>0</v>
      </c>
      <c r="I87" s="6" t="b">
        <f aca="false">AND(D87="observed",G87)</f>
        <v>0</v>
      </c>
    </row>
    <row r="88" customFormat="false" ht="15" hidden="false" customHeight="false" outlineLevel="0" collapsed="false">
      <c r="A88" s="4" t="s">
        <v>994</v>
      </c>
      <c r="B88" s="4" t="s">
        <v>115</v>
      </c>
      <c r="C88" s="4" t="s">
        <v>112</v>
      </c>
      <c r="D88" s="4" t="s">
        <v>990</v>
      </c>
      <c r="E88" s="12"/>
      <c r="F88" s="0" t="str">
        <f aca="false">B88&amp;"&gt;"&amp;C88</f>
        <v>ds-payments&gt;ds-order-lines</v>
      </c>
      <c r="G88" s="6" t="b">
        <f aca="false">COUNTIFS($F$4:$F$163,F88,$D$4:$D$163,"declared")&gt;0</f>
        <v>0</v>
      </c>
      <c r="H88" s="6" t="b">
        <f aca="false">COUNTIFS($F$4:$F$163,F88,$D$4:$D$163,"observed")&gt;0</f>
        <v>0</v>
      </c>
      <c r="I88" s="6" t="b">
        <f aca="false">AND(D88="observed",G88)</f>
        <v>0</v>
      </c>
    </row>
    <row r="89" customFormat="false" ht="15" hidden="false" customHeight="false" outlineLevel="0" collapsed="false">
      <c r="A89" s="4" t="s">
        <v>995</v>
      </c>
      <c r="B89" s="4" t="s">
        <v>92</v>
      </c>
      <c r="C89" s="4" t="s">
        <v>107</v>
      </c>
      <c r="D89" s="4" t="s">
        <v>990</v>
      </c>
      <c r="E89" s="12"/>
      <c r="F89" s="0" t="str">
        <f aca="false">B89&amp;"&gt;"&amp;C89</f>
        <v>ds-accounts&gt;ds-invoices</v>
      </c>
      <c r="G89" s="6" t="b">
        <f aca="false">COUNTIFS($F$4:$F$163,F89,$D$4:$D$163,"declared")&gt;0</f>
        <v>0</v>
      </c>
      <c r="H89" s="6" t="b">
        <f aca="false">COUNTIFS($F$4:$F$163,F89,$D$4:$D$163,"observed")&gt;0</f>
        <v>0</v>
      </c>
      <c r="I89" s="6" t="b">
        <f aca="false">AND(D89="observed",G89)</f>
        <v>0</v>
      </c>
    </row>
    <row r="90" customFormat="false" ht="15" hidden="false" customHeight="false" outlineLevel="0" collapsed="false">
      <c r="A90" s="4" t="s">
        <v>996</v>
      </c>
      <c r="B90" s="4" t="s">
        <v>118</v>
      </c>
      <c r="C90" s="4" t="s">
        <v>105</v>
      </c>
      <c r="D90" s="4" t="s">
        <v>990</v>
      </c>
      <c r="E90" s="12"/>
      <c r="F90" s="0" t="str">
        <f aca="false">B90&amp;"&gt;"&amp;C90</f>
        <v>ds-purchase-orders&gt;ds-experiments</v>
      </c>
      <c r="G90" s="6" t="b">
        <f aca="false">COUNTIFS($F$4:$F$163,F90,$D$4:$D$163,"declared")&gt;0</f>
        <v>0</v>
      </c>
      <c r="H90" s="6" t="b">
        <f aca="false">COUNTIFS($F$4:$F$163,F90,$D$4:$D$163,"observed")&gt;0</f>
        <v>0</v>
      </c>
      <c r="I90" s="6" t="b">
        <f aca="false">AND(D90="observed",G90)</f>
        <v>0</v>
      </c>
    </row>
    <row r="91" customFormat="false" ht="15" hidden="false" customHeight="false" outlineLevel="0" collapsed="false">
      <c r="A91" s="4" t="s">
        <v>997</v>
      </c>
      <c r="B91" s="4" t="s">
        <v>100</v>
      </c>
      <c r="C91" s="4" t="s">
        <v>121</v>
      </c>
      <c r="D91" s="4" t="s">
        <v>990</v>
      </c>
      <c r="E91" s="12"/>
      <c r="F91" s="0" t="str">
        <f aca="false">B91&amp;"&gt;"&amp;C91</f>
        <v>ds-crm-activities&gt;ds-segments</v>
      </c>
      <c r="G91" s="6" t="b">
        <f aca="false">COUNTIFS($F$4:$F$163,F91,$D$4:$D$163,"declared")&gt;0</f>
        <v>0</v>
      </c>
      <c r="H91" s="6" t="b">
        <f aca="false">COUNTIFS($F$4:$F$163,F91,$D$4:$D$163,"observed")&gt;0</f>
        <v>0</v>
      </c>
      <c r="I91" s="6" t="b">
        <f aca="false">AND(D91="observed",G91)</f>
        <v>0</v>
      </c>
    </row>
    <row r="92" customFormat="false" ht="15" hidden="false" customHeight="false" outlineLevel="0" collapsed="false">
      <c r="A92" s="4" t="s">
        <v>998</v>
      </c>
      <c r="B92" s="4" t="s">
        <v>127</v>
      </c>
      <c r="C92" s="4" t="s">
        <v>115</v>
      </c>
      <c r="D92" s="4" t="s">
        <v>990</v>
      </c>
      <c r="E92" s="12"/>
      <c r="F92" s="0" t="str">
        <f aca="false">B92&amp;"&gt;"&amp;C92</f>
        <v>ds-ticket-events&gt;ds-payments</v>
      </c>
      <c r="G92" s="6" t="b">
        <f aca="false">COUNTIFS($F$4:$F$163,F92,$D$4:$D$163,"declared")&gt;0</f>
        <v>0</v>
      </c>
      <c r="H92" s="6" t="b">
        <f aca="false">COUNTIFS($F$4:$F$163,F92,$D$4:$D$163,"observed")&gt;0</f>
        <v>0</v>
      </c>
      <c r="I92" s="6" t="b">
        <f aca="false">AND(D92="observed",G92)</f>
        <v>0</v>
      </c>
    </row>
    <row r="93" customFormat="false" ht="15" hidden="false" customHeight="false" outlineLevel="0" collapsed="false">
      <c r="A93" s="4" t="s">
        <v>999</v>
      </c>
      <c r="B93" s="4" t="s">
        <v>101</v>
      </c>
      <c r="C93" s="4" t="s">
        <v>122</v>
      </c>
      <c r="D93" s="4" t="s">
        <v>990</v>
      </c>
      <c r="E93" s="12"/>
      <c r="F93" s="0" t="str">
        <f aca="false">B93&amp;"&gt;"&amp;C93</f>
        <v>ds-csat-surveys&gt;ds-shipments</v>
      </c>
      <c r="G93" s="6" t="b">
        <f aca="false">COUNTIFS($F$4:$F$163,F93,$D$4:$D$163,"declared")&gt;0</f>
        <v>0</v>
      </c>
      <c r="H93" s="6" t="b">
        <f aca="false">COUNTIFS($F$4:$F$163,F93,$D$4:$D$163,"observed")&gt;0</f>
        <v>0</v>
      </c>
      <c r="I93" s="6" t="b">
        <f aca="false">AND(D93="observed",G93)</f>
        <v>0</v>
      </c>
    </row>
    <row r="94" customFormat="false" ht="15" hidden="false" customHeight="false" outlineLevel="0" collapsed="false">
      <c r="A94" s="4" t="s">
        <v>1000</v>
      </c>
      <c r="B94" s="4" t="s">
        <v>100</v>
      </c>
      <c r="C94" s="4" t="s">
        <v>119</v>
      </c>
      <c r="D94" s="4" t="s">
        <v>1001</v>
      </c>
      <c r="E94" s="5" t="n">
        <v>46285.8833333333</v>
      </c>
      <c r="F94" s="0" t="str">
        <f aca="false">B94&amp;"&gt;"&amp;C94</f>
        <v>ds-crm-activities&gt;ds-refunds</v>
      </c>
      <c r="G94" s="6" t="b">
        <f aca="false">COUNTIFS($F$4:$F$163,F94,$D$4:$D$163,"declared")&gt;0</f>
        <v>1</v>
      </c>
      <c r="H94" s="6" t="b">
        <f aca="false">COUNTIFS($F$4:$F$163,F94,$D$4:$D$163,"observed")&gt;0</f>
        <v>1</v>
      </c>
      <c r="I94" s="6" t="b">
        <f aca="false">AND(D94="observed",G94)</f>
        <v>1</v>
      </c>
    </row>
    <row r="95" customFormat="false" ht="15" hidden="false" customHeight="false" outlineLevel="0" collapsed="false">
      <c r="A95" s="4" t="s">
        <v>1002</v>
      </c>
      <c r="B95" s="4" t="s">
        <v>99</v>
      </c>
      <c r="C95" s="4" t="s">
        <v>117</v>
      </c>
      <c r="D95" s="4" t="s">
        <v>1001</v>
      </c>
      <c r="E95" s="5" t="n">
        <v>46278.5895833333</v>
      </c>
      <c r="F95" s="0" t="str">
        <f aca="false">B95&amp;"&gt;"&amp;C95</f>
        <v>ds-credit-notes&gt;ds-products</v>
      </c>
      <c r="G95" s="6" t="b">
        <f aca="false">COUNTIFS($F$4:$F$163,F95,$D$4:$D$163,"declared")&gt;0</f>
        <v>1</v>
      </c>
      <c r="H95" s="6" t="b">
        <f aca="false">COUNTIFS($F$4:$F$163,F95,$D$4:$D$163,"observed")&gt;0</f>
        <v>1</v>
      </c>
      <c r="I95" s="6" t="b">
        <f aca="false">AND(D95="observed",G95)</f>
        <v>1</v>
      </c>
    </row>
    <row r="96" customFormat="false" ht="15" hidden="false" customHeight="false" outlineLevel="0" collapsed="false">
      <c r="A96" s="4" t="s">
        <v>1003</v>
      </c>
      <c r="B96" s="4" t="s">
        <v>115</v>
      </c>
      <c r="C96" s="4" t="s">
        <v>125</v>
      </c>
      <c r="D96" s="4" t="s">
        <v>1001</v>
      </c>
      <c r="E96" s="5" t="n">
        <v>46253.0013888889</v>
      </c>
      <c r="F96" s="0" t="str">
        <f aca="false">B96&amp;"&gt;"&amp;C96</f>
        <v>ds-payments&gt;ds-suppliers</v>
      </c>
      <c r="G96" s="6" t="b">
        <f aca="false">COUNTIFS($F$4:$F$163,F96,$D$4:$D$163,"declared")&gt;0</f>
        <v>1</v>
      </c>
      <c r="H96" s="6" t="b">
        <f aca="false">COUNTIFS($F$4:$F$163,F96,$D$4:$D$163,"observed")&gt;0</f>
        <v>1</v>
      </c>
      <c r="I96" s="6" t="b">
        <f aca="false">AND(D96="observed",G96)</f>
        <v>1</v>
      </c>
    </row>
    <row r="97" customFormat="false" ht="15" hidden="false" customHeight="false" outlineLevel="0" collapsed="false">
      <c r="A97" s="4" t="s">
        <v>1004</v>
      </c>
      <c r="B97" s="4" t="s">
        <v>107</v>
      </c>
      <c r="C97" s="4" t="s">
        <v>115</v>
      </c>
      <c r="D97" s="4" t="s">
        <v>1001</v>
      </c>
      <c r="E97" s="5" t="n">
        <v>46238.9951388889</v>
      </c>
      <c r="F97" s="0" t="str">
        <f aca="false">B97&amp;"&gt;"&amp;C97</f>
        <v>ds-invoices&gt;ds-payments</v>
      </c>
      <c r="G97" s="6" t="b">
        <f aca="false">COUNTIFS($F$4:$F$163,F97,$D$4:$D$163,"declared")&gt;0</f>
        <v>1</v>
      </c>
      <c r="H97" s="6" t="b">
        <f aca="false">COUNTIFS($F$4:$F$163,F97,$D$4:$D$163,"observed")&gt;0</f>
        <v>1</v>
      </c>
      <c r="I97" s="6" t="b">
        <f aca="false">AND(D97="observed",G97)</f>
        <v>1</v>
      </c>
    </row>
    <row r="98" customFormat="false" ht="15" hidden="false" customHeight="false" outlineLevel="0" collapsed="false">
      <c r="A98" s="4" t="s">
        <v>1005</v>
      </c>
      <c r="B98" s="4" t="s">
        <v>117</v>
      </c>
      <c r="C98" s="4" t="s">
        <v>128</v>
      </c>
      <c r="D98" s="4" t="s">
        <v>1001</v>
      </c>
      <c r="E98" s="5" t="n">
        <v>46233.2555555556</v>
      </c>
      <c r="F98" s="0" t="str">
        <f aca="false">B98&amp;"&gt;"&amp;C98</f>
        <v>ds-products&gt;ds-tickets</v>
      </c>
      <c r="G98" s="6" t="b">
        <f aca="false">COUNTIFS($F$4:$F$163,F98,$D$4:$D$163,"declared")&gt;0</f>
        <v>1</v>
      </c>
      <c r="H98" s="6" t="b">
        <f aca="false">COUNTIFS($F$4:$F$163,F98,$D$4:$D$163,"observed")&gt;0</f>
        <v>1</v>
      </c>
      <c r="I98" s="6" t="b">
        <f aca="false">AND(D98="observed",G98)</f>
        <v>1</v>
      </c>
    </row>
    <row r="99" customFormat="false" ht="15" hidden="false" customHeight="false" outlineLevel="0" collapsed="false">
      <c r="A99" s="4" t="s">
        <v>1006</v>
      </c>
      <c r="B99" s="4" t="s">
        <v>126</v>
      </c>
      <c r="C99" s="4" t="s">
        <v>123</v>
      </c>
      <c r="D99" s="4" t="s">
        <v>1001</v>
      </c>
      <c r="E99" s="5" t="n">
        <v>46222.1631944445</v>
      </c>
      <c r="F99" s="0" t="str">
        <f aca="false">B99&amp;"&gt;"&amp;C99</f>
        <v>ds-support-agents&gt;ds-sla-policies</v>
      </c>
      <c r="G99" s="6" t="b">
        <f aca="false">COUNTIFS($F$4:$F$163,F99,$D$4:$D$163,"declared")&gt;0</f>
        <v>1</v>
      </c>
      <c r="H99" s="6" t="b">
        <f aca="false">COUNTIFS($F$4:$F$163,F99,$D$4:$D$163,"observed")&gt;0</f>
        <v>1</v>
      </c>
      <c r="I99" s="6" t="b">
        <f aca="false">AND(D99="observed",G99)</f>
        <v>1</v>
      </c>
    </row>
    <row r="100" customFormat="false" ht="15" hidden="false" customHeight="false" outlineLevel="0" collapsed="false">
      <c r="A100" s="4" t="s">
        <v>1007</v>
      </c>
      <c r="B100" s="4" t="s">
        <v>101</v>
      </c>
      <c r="C100" s="4" t="s">
        <v>123</v>
      </c>
      <c r="D100" s="4" t="s">
        <v>1001</v>
      </c>
      <c r="E100" s="5" t="n">
        <v>46247.1479166667</v>
      </c>
      <c r="F100" s="0" t="str">
        <f aca="false">B100&amp;"&gt;"&amp;C100</f>
        <v>ds-csat-surveys&gt;ds-sla-policies</v>
      </c>
      <c r="G100" s="6" t="b">
        <f aca="false">COUNTIFS($F$4:$F$163,F100,$D$4:$D$163,"declared")&gt;0</f>
        <v>1</v>
      </c>
      <c r="H100" s="6" t="b">
        <f aca="false">COUNTIFS($F$4:$F$163,F100,$D$4:$D$163,"observed")&gt;0</f>
        <v>1</v>
      </c>
      <c r="I100" s="6" t="b">
        <f aca="false">AND(D100="observed",G100)</f>
        <v>1</v>
      </c>
    </row>
    <row r="101" customFormat="false" ht="15" hidden="false" customHeight="false" outlineLevel="0" collapsed="false">
      <c r="A101" s="4" t="s">
        <v>1008</v>
      </c>
      <c r="B101" s="4" t="s">
        <v>113</v>
      </c>
      <c r="C101" s="4" t="s">
        <v>131</v>
      </c>
      <c r="D101" s="4" t="s">
        <v>1001</v>
      </c>
      <c r="E101" s="5" t="n">
        <v>46228.4881944444</v>
      </c>
      <c r="F101" s="0" t="str">
        <f aca="false">B101&amp;"&gt;"&amp;C101</f>
        <v>ds-orders&gt;ds-web-users</v>
      </c>
      <c r="G101" s="6" t="b">
        <f aca="false">COUNTIFS($F$4:$F$163,F101,$D$4:$D$163,"declared")&gt;0</f>
        <v>1</v>
      </c>
      <c r="H101" s="6" t="b">
        <f aca="false">COUNTIFS($F$4:$F$163,F101,$D$4:$D$163,"observed")&gt;0</f>
        <v>1</v>
      </c>
      <c r="I101" s="6" t="b">
        <f aca="false">AND(D101="observed",G101)</f>
        <v>1</v>
      </c>
    </row>
    <row r="102" customFormat="false" ht="15" hidden="false" customHeight="false" outlineLevel="0" collapsed="false">
      <c r="A102" s="4" t="s">
        <v>1009</v>
      </c>
      <c r="B102" s="4" t="s">
        <v>101</v>
      </c>
      <c r="C102" s="4" t="s">
        <v>98</v>
      </c>
      <c r="D102" s="4" t="s">
        <v>1001</v>
      </c>
      <c r="E102" s="5" t="n">
        <v>46264.88125</v>
      </c>
      <c r="F102" s="0" t="str">
        <f aca="false">B102&amp;"&gt;"&amp;C102</f>
        <v>ds-csat-surveys&gt;ds-cost-centres</v>
      </c>
      <c r="G102" s="6" t="b">
        <f aca="false">COUNTIFS($F$4:$F$163,F102,$D$4:$D$163,"declared")&gt;0</f>
        <v>0</v>
      </c>
      <c r="H102" s="6" t="b">
        <f aca="false">COUNTIFS($F$4:$F$163,F102,$D$4:$D$163,"observed")&gt;0</f>
        <v>1</v>
      </c>
      <c r="I102" s="6" t="b">
        <f aca="false">AND(D102="observed",G102)</f>
        <v>0</v>
      </c>
    </row>
    <row r="103" customFormat="false" ht="15" hidden="false" customHeight="false" outlineLevel="0" collapsed="false">
      <c r="A103" s="4" t="s">
        <v>1010</v>
      </c>
      <c r="B103" s="4" t="s">
        <v>116</v>
      </c>
      <c r="C103" s="4" t="s">
        <v>108</v>
      </c>
      <c r="D103" s="4" t="s">
        <v>1001</v>
      </c>
      <c r="E103" s="5" t="n">
        <v>46292.8118055556</v>
      </c>
      <c r="F103" s="0" t="str">
        <f aca="false">B103&amp;"&gt;"&amp;C103</f>
        <v>ds-price-books&gt;ds-kb-articles</v>
      </c>
      <c r="G103" s="6" t="b">
        <f aca="false">COUNTIFS($F$4:$F$163,F103,$D$4:$D$163,"declared")&gt;0</f>
        <v>1</v>
      </c>
      <c r="H103" s="6" t="b">
        <f aca="false">COUNTIFS($F$4:$F$163,F103,$D$4:$D$163,"observed")&gt;0</f>
        <v>1</v>
      </c>
      <c r="I103" s="6" t="b">
        <f aca="false">AND(D103="observed",G103)</f>
        <v>1</v>
      </c>
    </row>
    <row r="104" customFormat="false" ht="15" hidden="false" customHeight="false" outlineLevel="0" collapsed="false">
      <c r="A104" s="4" t="s">
        <v>1011</v>
      </c>
      <c r="B104" s="4" t="s">
        <v>98</v>
      </c>
      <c r="C104" s="4" t="s">
        <v>120</v>
      </c>
      <c r="D104" s="4" t="s">
        <v>1001</v>
      </c>
      <c r="E104" s="5" t="n">
        <v>46294.2090277778</v>
      </c>
      <c r="F104" s="0" t="str">
        <f aca="false">B104&amp;"&gt;"&amp;C104</f>
        <v>ds-cost-centres&gt;ds-returns</v>
      </c>
      <c r="G104" s="6" t="b">
        <f aca="false">COUNTIFS($F$4:$F$163,F104,$D$4:$D$163,"declared")&gt;0</f>
        <v>1</v>
      </c>
      <c r="H104" s="6" t="b">
        <f aca="false">COUNTIFS($F$4:$F$163,F104,$D$4:$D$163,"observed")&gt;0</f>
        <v>1</v>
      </c>
      <c r="I104" s="6" t="b">
        <f aca="false">AND(D104="observed",G104)</f>
        <v>1</v>
      </c>
    </row>
    <row r="105" customFormat="false" ht="15" hidden="false" customHeight="false" outlineLevel="0" collapsed="false">
      <c r="A105" s="4" t="s">
        <v>1012</v>
      </c>
      <c r="B105" s="4" t="s">
        <v>109</v>
      </c>
      <c r="C105" s="4" t="s">
        <v>101</v>
      </c>
      <c r="D105" s="4" t="s">
        <v>1001</v>
      </c>
      <c r="E105" s="5" t="n">
        <v>46252.8597222222</v>
      </c>
      <c r="F105" s="0" t="str">
        <f aca="false">B105&amp;"&gt;"&amp;C105</f>
        <v>ds-leads&gt;ds-csat-surveys</v>
      </c>
      <c r="G105" s="6" t="b">
        <f aca="false">COUNTIFS($F$4:$F$163,F105,$D$4:$D$163,"declared")&gt;0</f>
        <v>0</v>
      </c>
      <c r="H105" s="6" t="b">
        <f aca="false">COUNTIFS($F$4:$F$163,F105,$D$4:$D$163,"observed")&gt;0</f>
        <v>1</v>
      </c>
      <c r="I105" s="6" t="b">
        <f aca="false">AND(D105="observed",G105)</f>
        <v>0</v>
      </c>
    </row>
    <row r="106" customFormat="false" ht="15" hidden="false" customHeight="false" outlineLevel="0" collapsed="false">
      <c r="A106" s="4" t="s">
        <v>1013</v>
      </c>
      <c r="B106" s="4" t="s">
        <v>127</v>
      </c>
      <c r="C106" s="4" t="s">
        <v>95</v>
      </c>
      <c r="D106" s="4" t="s">
        <v>1001</v>
      </c>
      <c r="E106" s="5" t="n">
        <v>46260.9729166667</v>
      </c>
      <c r="F106" s="0" t="str">
        <f aca="false">B106&amp;"&gt;"&amp;C106</f>
        <v>ds-ticket-events&gt;ds-carriers</v>
      </c>
      <c r="G106" s="6" t="b">
        <f aca="false">COUNTIFS($F$4:$F$163,F106,$D$4:$D$163,"declared")&gt;0</f>
        <v>1</v>
      </c>
      <c r="H106" s="6" t="b">
        <f aca="false">COUNTIFS($F$4:$F$163,F106,$D$4:$D$163,"observed")&gt;0</f>
        <v>1</v>
      </c>
      <c r="I106" s="6" t="b">
        <f aca="false">AND(D106="observed",G106)</f>
        <v>1</v>
      </c>
    </row>
    <row r="107" customFormat="false" ht="15" hidden="false" customHeight="false" outlineLevel="0" collapsed="false">
      <c r="A107" s="4" t="s">
        <v>1014</v>
      </c>
      <c r="B107" s="4" t="s">
        <v>102</v>
      </c>
      <c r="C107" s="4" t="s">
        <v>92</v>
      </c>
      <c r="D107" s="4" t="s">
        <v>1001</v>
      </c>
      <c r="E107" s="5" t="n">
        <v>46260.4527777778</v>
      </c>
      <c r="F107" s="0" t="str">
        <f aca="false">B107&amp;"&gt;"&amp;C107</f>
        <v>ds-customers&gt;ds-accounts</v>
      </c>
      <c r="G107" s="6" t="b">
        <f aca="false">COUNTIFS($F$4:$F$163,F107,$D$4:$D$163,"declared")&gt;0</f>
        <v>1</v>
      </c>
      <c r="H107" s="6" t="b">
        <f aca="false">COUNTIFS($F$4:$F$163,F107,$D$4:$D$163,"observed")&gt;0</f>
        <v>1</v>
      </c>
      <c r="I107" s="6" t="b">
        <f aca="false">AND(D107="observed",G107)</f>
        <v>1</v>
      </c>
    </row>
    <row r="108" customFormat="false" ht="15" hidden="false" customHeight="false" outlineLevel="0" collapsed="false">
      <c r="A108" s="4" t="s">
        <v>1015</v>
      </c>
      <c r="B108" s="4" t="s">
        <v>92</v>
      </c>
      <c r="C108" s="4" t="s">
        <v>111</v>
      </c>
      <c r="D108" s="4" t="s">
        <v>1001</v>
      </c>
      <c r="E108" s="5" t="n">
        <v>46288.5020833333</v>
      </c>
      <c r="F108" s="0" t="str">
        <f aca="false">B108&amp;"&gt;"&amp;C108</f>
        <v>ds-accounts&gt;ds-opportunities</v>
      </c>
      <c r="G108" s="6" t="b">
        <f aca="false">COUNTIFS($F$4:$F$163,F108,$D$4:$D$163,"declared")&gt;0</f>
        <v>1</v>
      </c>
      <c r="H108" s="6" t="b">
        <f aca="false">COUNTIFS($F$4:$F$163,F108,$D$4:$D$163,"observed")&gt;0</f>
        <v>1</v>
      </c>
      <c r="I108" s="6" t="b">
        <f aca="false">AND(D108="observed",G108)</f>
        <v>1</v>
      </c>
    </row>
    <row r="109" customFormat="false" ht="15" hidden="false" customHeight="false" outlineLevel="0" collapsed="false">
      <c r="A109" s="4" t="s">
        <v>1016</v>
      </c>
      <c r="B109" s="4" t="s">
        <v>125</v>
      </c>
      <c r="C109" s="4" t="s">
        <v>128</v>
      </c>
      <c r="D109" s="4" t="s">
        <v>1001</v>
      </c>
      <c r="E109" s="5" t="n">
        <v>46230.0604166667</v>
      </c>
      <c r="F109" s="0" t="str">
        <f aca="false">B109&amp;"&gt;"&amp;C109</f>
        <v>ds-suppliers&gt;ds-tickets</v>
      </c>
      <c r="G109" s="6" t="b">
        <f aca="false">COUNTIFS($F$4:$F$163,F109,$D$4:$D$163,"declared")&gt;0</f>
        <v>1</v>
      </c>
      <c r="H109" s="6" t="b">
        <f aca="false">COUNTIFS($F$4:$F$163,F109,$D$4:$D$163,"observed")&gt;0</f>
        <v>1</v>
      </c>
      <c r="I109" s="6" t="b">
        <f aca="false">AND(D109="observed",G109)</f>
        <v>1</v>
      </c>
    </row>
    <row r="110" customFormat="false" ht="15" hidden="false" customHeight="false" outlineLevel="0" collapsed="false">
      <c r="A110" s="4" t="s">
        <v>1017</v>
      </c>
      <c r="B110" s="4" t="s">
        <v>101</v>
      </c>
      <c r="C110" s="4" t="s">
        <v>114</v>
      </c>
      <c r="D110" s="4" t="s">
        <v>1001</v>
      </c>
      <c r="E110" s="5" t="n">
        <v>46220.8298611111</v>
      </c>
      <c r="F110" s="0" t="str">
        <f aca="false">B110&amp;"&gt;"&amp;C110</f>
        <v>ds-csat-surveys&gt;ds-page-events</v>
      </c>
      <c r="G110" s="6" t="b">
        <f aca="false">COUNTIFS($F$4:$F$163,F110,$D$4:$D$163,"declared")&gt;0</f>
        <v>1</v>
      </c>
      <c r="H110" s="6" t="b">
        <f aca="false">COUNTIFS($F$4:$F$163,F110,$D$4:$D$163,"observed")&gt;0</f>
        <v>1</v>
      </c>
      <c r="I110" s="6" t="b">
        <f aca="false">AND(D110="observed",G110)</f>
        <v>1</v>
      </c>
    </row>
    <row r="111" customFormat="false" ht="15" hidden="false" customHeight="false" outlineLevel="0" collapsed="false">
      <c r="A111" s="4" t="s">
        <v>1018</v>
      </c>
      <c r="B111" s="4" t="s">
        <v>100</v>
      </c>
      <c r="C111" s="4" t="s">
        <v>129</v>
      </c>
      <c r="D111" s="4" t="s">
        <v>1001</v>
      </c>
      <c r="E111" s="5" t="n">
        <v>46296.5430555556</v>
      </c>
      <c r="F111" s="0" t="str">
        <f aca="false">B111&amp;"&gt;"&amp;C111</f>
        <v>ds-crm-activities&gt;ds-warehouses</v>
      </c>
      <c r="G111" s="6" t="b">
        <f aca="false">COUNTIFS($F$4:$F$163,F111,$D$4:$D$163,"declared")&gt;0</f>
        <v>1</v>
      </c>
      <c r="H111" s="6" t="b">
        <f aca="false">COUNTIFS($F$4:$F$163,F111,$D$4:$D$163,"observed")&gt;0</f>
        <v>1</v>
      </c>
      <c r="I111" s="6" t="b">
        <f aca="false">AND(D111="observed",G111)</f>
        <v>1</v>
      </c>
    </row>
    <row r="112" customFormat="false" ht="15" hidden="false" customHeight="false" outlineLevel="0" collapsed="false">
      <c r="A112" s="4" t="s">
        <v>1019</v>
      </c>
      <c r="B112" s="4" t="s">
        <v>118</v>
      </c>
      <c r="C112" s="4" t="s">
        <v>127</v>
      </c>
      <c r="D112" s="4" t="s">
        <v>1001</v>
      </c>
      <c r="E112" s="5" t="n">
        <v>46282.3375</v>
      </c>
      <c r="F112" s="0" t="str">
        <f aca="false">B112&amp;"&gt;"&amp;C112</f>
        <v>ds-purchase-orders&gt;ds-ticket-events</v>
      </c>
      <c r="G112" s="6" t="b">
        <f aca="false">COUNTIFS($F$4:$F$163,F112,$D$4:$D$163,"declared")&gt;0</f>
        <v>1</v>
      </c>
      <c r="H112" s="6" t="b">
        <f aca="false">COUNTIFS($F$4:$F$163,F112,$D$4:$D$163,"observed")&gt;0</f>
        <v>1</v>
      </c>
      <c r="I112" s="6" t="b">
        <f aca="false">AND(D112="observed",G112)</f>
        <v>1</v>
      </c>
    </row>
    <row r="113" customFormat="false" ht="15" hidden="false" customHeight="false" outlineLevel="0" collapsed="false">
      <c r="A113" s="4" t="s">
        <v>1020</v>
      </c>
      <c r="B113" s="4" t="s">
        <v>93</v>
      </c>
      <c r="C113" s="4" t="s">
        <v>117</v>
      </c>
      <c r="D113" s="4" t="s">
        <v>1001</v>
      </c>
      <c r="E113" s="5" t="n">
        <v>46275.0354166667</v>
      </c>
      <c r="F113" s="0" t="str">
        <f aca="false">B113&amp;"&gt;"&amp;C113</f>
        <v>ds-billing-accounts&gt;ds-products</v>
      </c>
      <c r="G113" s="6" t="b">
        <f aca="false">COUNTIFS($F$4:$F$163,F113,$D$4:$D$163,"declared")&gt;0</f>
        <v>1</v>
      </c>
      <c r="H113" s="6" t="b">
        <f aca="false">COUNTIFS($F$4:$F$163,F113,$D$4:$D$163,"observed")&gt;0</f>
        <v>1</v>
      </c>
      <c r="I113" s="6" t="b">
        <f aca="false">AND(D113="observed",G113)</f>
        <v>1</v>
      </c>
    </row>
    <row r="114" customFormat="false" ht="15" hidden="false" customHeight="false" outlineLevel="0" collapsed="false">
      <c r="A114" s="4" t="s">
        <v>1021</v>
      </c>
      <c r="B114" s="4" t="s">
        <v>94</v>
      </c>
      <c r="C114" s="4" t="s">
        <v>95</v>
      </c>
      <c r="D114" s="4" t="s">
        <v>1001</v>
      </c>
      <c r="E114" s="5" t="n">
        <v>46296.2763888889</v>
      </c>
      <c r="F114" s="0" t="str">
        <f aca="false">B114&amp;"&gt;"&amp;C114</f>
        <v>ds-campaigns&gt;ds-carriers</v>
      </c>
      <c r="G114" s="6" t="b">
        <f aca="false">COUNTIFS($F$4:$F$163,F114,$D$4:$D$163,"declared")&gt;0</f>
        <v>1</v>
      </c>
      <c r="H114" s="6" t="b">
        <f aca="false">COUNTIFS($F$4:$F$163,F114,$D$4:$D$163,"observed")&gt;0</f>
        <v>1</v>
      </c>
      <c r="I114" s="6" t="b">
        <f aca="false">AND(D114="observed",G114)</f>
        <v>1</v>
      </c>
    </row>
    <row r="115" customFormat="false" ht="15" hidden="false" customHeight="false" outlineLevel="0" collapsed="false">
      <c r="A115" s="4" t="s">
        <v>1022</v>
      </c>
      <c r="B115" s="4" t="s">
        <v>110</v>
      </c>
      <c r="C115" s="4" t="s">
        <v>131</v>
      </c>
      <c r="D115" s="4" t="s">
        <v>1001</v>
      </c>
      <c r="E115" s="5" t="n">
        <v>46217.6375</v>
      </c>
      <c r="F115" s="0" t="str">
        <f aca="false">B115&amp;"&gt;"&amp;C115</f>
        <v>ds-ledger-entries&gt;ds-web-users</v>
      </c>
      <c r="G115" s="6" t="b">
        <f aca="false">COUNTIFS($F$4:$F$163,F115,$D$4:$D$163,"declared")&gt;0</f>
        <v>0</v>
      </c>
      <c r="H115" s="6" t="b">
        <f aca="false">COUNTIFS($F$4:$F$163,F115,$D$4:$D$163,"observed")&gt;0</f>
        <v>1</v>
      </c>
      <c r="I115" s="6" t="b">
        <f aca="false">AND(D115="observed",G115)</f>
        <v>0</v>
      </c>
    </row>
    <row r="116" customFormat="false" ht="15" hidden="false" customHeight="false" outlineLevel="0" collapsed="false">
      <c r="A116" s="4" t="s">
        <v>1023</v>
      </c>
      <c r="B116" s="4" t="s">
        <v>117</v>
      </c>
      <c r="C116" s="4" t="s">
        <v>125</v>
      </c>
      <c r="D116" s="4" t="s">
        <v>1001</v>
      </c>
      <c r="E116" s="5" t="n">
        <v>46264.6076388889</v>
      </c>
      <c r="F116" s="0" t="str">
        <f aca="false">B116&amp;"&gt;"&amp;C116</f>
        <v>ds-products&gt;ds-suppliers</v>
      </c>
      <c r="G116" s="6" t="b">
        <f aca="false">COUNTIFS($F$4:$F$163,F116,$D$4:$D$163,"declared")&gt;0</f>
        <v>1</v>
      </c>
      <c r="H116" s="6" t="b">
        <f aca="false">COUNTIFS($F$4:$F$163,F116,$D$4:$D$163,"observed")&gt;0</f>
        <v>1</v>
      </c>
      <c r="I116" s="6" t="b">
        <f aca="false">AND(D116="observed",G116)</f>
        <v>1</v>
      </c>
    </row>
    <row r="117" customFormat="false" ht="15" hidden="false" customHeight="false" outlineLevel="0" collapsed="false">
      <c r="A117" s="4" t="s">
        <v>1024</v>
      </c>
      <c r="B117" s="4" t="s">
        <v>102</v>
      </c>
      <c r="C117" s="4" t="s">
        <v>113</v>
      </c>
      <c r="D117" s="4" t="s">
        <v>1001</v>
      </c>
      <c r="E117" s="5" t="n">
        <v>46242.6270833333</v>
      </c>
      <c r="F117" s="0" t="str">
        <f aca="false">B117&amp;"&gt;"&amp;C117</f>
        <v>ds-customers&gt;ds-orders</v>
      </c>
      <c r="G117" s="6" t="b">
        <f aca="false">COUNTIFS($F$4:$F$163,F117,$D$4:$D$163,"declared")&gt;0</f>
        <v>1</v>
      </c>
      <c r="H117" s="6" t="b">
        <f aca="false">COUNTIFS($F$4:$F$163,F117,$D$4:$D$163,"observed")&gt;0</f>
        <v>1</v>
      </c>
      <c r="I117" s="6" t="b">
        <f aca="false">AND(D117="observed",G117)</f>
        <v>1</v>
      </c>
    </row>
    <row r="118" customFormat="false" ht="15" hidden="false" customHeight="false" outlineLevel="0" collapsed="false">
      <c r="A118" s="4" t="s">
        <v>1025</v>
      </c>
      <c r="B118" s="4" t="s">
        <v>124</v>
      </c>
      <c r="C118" s="4" t="s">
        <v>95</v>
      </c>
      <c r="D118" s="4" t="s">
        <v>1001</v>
      </c>
      <c r="E118" s="5" t="n">
        <v>46284.84375</v>
      </c>
      <c r="F118" s="0" t="str">
        <f aca="false">B118&amp;"&gt;"&amp;C118</f>
        <v>ds-subscriptions&gt;ds-carriers</v>
      </c>
      <c r="G118" s="6" t="b">
        <f aca="false">COUNTIFS($F$4:$F$163,F118,$D$4:$D$163,"declared")&gt;0</f>
        <v>1</v>
      </c>
      <c r="H118" s="6" t="b">
        <f aca="false">COUNTIFS($F$4:$F$163,F118,$D$4:$D$163,"observed")&gt;0</f>
        <v>1</v>
      </c>
      <c r="I118" s="6" t="b">
        <f aca="false">AND(D118="observed",G118)</f>
        <v>1</v>
      </c>
    </row>
    <row r="119" customFormat="false" ht="15" hidden="false" customHeight="false" outlineLevel="0" collapsed="false">
      <c r="A119" s="4" t="s">
        <v>1026</v>
      </c>
      <c r="B119" s="4" t="s">
        <v>101</v>
      </c>
      <c r="C119" s="4" t="s">
        <v>126</v>
      </c>
      <c r="D119" s="4" t="s">
        <v>1001</v>
      </c>
      <c r="E119" s="5" t="n">
        <v>46228.5909722222</v>
      </c>
      <c r="F119" s="0" t="str">
        <f aca="false">B119&amp;"&gt;"&amp;C119</f>
        <v>ds-csat-surveys&gt;ds-support-agents</v>
      </c>
      <c r="G119" s="6" t="b">
        <f aca="false">COUNTIFS($F$4:$F$163,F119,$D$4:$D$163,"declared")&gt;0</f>
        <v>1</v>
      </c>
      <c r="H119" s="6" t="b">
        <f aca="false">COUNTIFS($F$4:$F$163,F119,$D$4:$D$163,"observed")&gt;0</f>
        <v>1</v>
      </c>
      <c r="I119" s="6" t="b">
        <f aca="false">AND(D119="observed",G119)</f>
        <v>1</v>
      </c>
    </row>
    <row r="120" customFormat="false" ht="15" hidden="false" customHeight="false" outlineLevel="0" collapsed="false">
      <c r="A120" s="4" t="s">
        <v>1027</v>
      </c>
      <c r="B120" s="4" t="s">
        <v>121</v>
      </c>
      <c r="C120" s="4" t="s">
        <v>122</v>
      </c>
      <c r="D120" s="4" t="s">
        <v>1001</v>
      </c>
      <c r="E120" s="5" t="n">
        <v>46246.8513888889</v>
      </c>
      <c r="F120" s="0" t="str">
        <f aca="false">B120&amp;"&gt;"&amp;C120</f>
        <v>ds-segments&gt;ds-shipments</v>
      </c>
      <c r="G120" s="6" t="b">
        <f aca="false">COUNTIFS($F$4:$F$163,F120,$D$4:$D$163,"declared")&gt;0</f>
        <v>1</v>
      </c>
      <c r="H120" s="6" t="b">
        <f aca="false">COUNTIFS($F$4:$F$163,F120,$D$4:$D$163,"observed")&gt;0</f>
        <v>1</v>
      </c>
      <c r="I120" s="6" t="b">
        <f aca="false">AND(D120="observed",G120)</f>
        <v>1</v>
      </c>
    </row>
    <row r="121" customFormat="false" ht="15" hidden="false" customHeight="false" outlineLevel="0" collapsed="false">
      <c r="A121" s="4" t="s">
        <v>1028</v>
      </c>
      <c r="B121" s="4" t="s">
        <v>102</v>
      </c>
      <c r="C121" s="4" t="s">
        <v>107</v>
      </c>
      <c r="D121" s="4" t="s">
        <v>1001</v>
      </c>
      <c r="E121" s="5" t="n">
        <v>46244.85625</v>
      </c>
      <c r="F121" s="0" t="str">
        <f aca="false">B121&amp;"&gt;"&amp;C121</f>
        <v>ds-customers&gt;ds-invoices</v>
      </c>
      <c r="G121" s="6" t="b">
        <f aca="false">COUNTIFS($F$4:$F$163,F121,$D$4:$D$163,"declared")&gt;0</f>
        <v>1</v>
      </c>
      <c r="H121" s="6" t="b">
        <f aca="false">COUNTIFS($F$4:$F$163,F121,$D$4:$D$163,"observed")&gt;0</f>
        <v>1</v>
      </c>
      <c r="I121" s="6" t="b">
        <f aca="false">AND(D121="observed",G121)</f>
        <v>1</v>
      </c>
    </row>
    <row r="122" customFormat="false" ht="15" hidden="false" customHeight="false" outlineLevel="0" collapsed="false">
      <c r="A122" s="4" t="s">
        <v>1029</v>
      </c>
      <c r="B122" s="4" t="s">
        <v>117</v>
      </c>
      <c r="C122" s="4" t="s">
        <v>104</v>
      </c>
      <c r="D122" s="4" t="s">
        <v>1001</v>
      </c>
      <c r="E122" s="5" t="n">
        <v>46257.1847222222</v>
      </c>
      <c r="F122" s="0" t="str">
        <f aca="false">B122&amp;"&gt;"&amp;C122</f>
        <v>ds-products&gt;ds-employees</v>
      </c>
      <c r="G122" s="6" t="b">
        <f aca="false">COUNTIFS($F$4:$F$163,F122,$D$4:$D$163,"declared")&gt;0</f>
        <v>1</v>
      </c>
      <c r="H122" s="6" t="b">
        <f aca="false">COUNTIFS($F$4:$F$163,F122,$D$4:$D$163,"observed")&gt;0</f>
        <v>1</v>
      </c>
      <c r="I122" s="6" t="b">
        <f aca="false">AND(D122="observed",G122)</f>
        <v>1</v>
      </c>
    </row>
    <row r="123" customFormat="false" ht="15" hidden="false" customHeight="false" outlineLevel="0" collapsed="false">
      <c r="A123" s="4" t="s">
        <v>1030</v>
      </c>
      <c r="B123" s="4" t="s">
        <v>96</v>
      </c>
      <c r="C123" s="4" t="s">
        <v>105</v>
      </c>
      <c r="D123" s="4" t="s">
        <v>1001</v>
      </c>
      <c r="E123" s="5" t="n">
        <v>46286.1284722222</v>
      </c>
      <c r="F123" s="0" t="str">
        <f aca="false">B123&amp;"&gt;"&amp;C123</f>
        <v>ds-consent-records&gt;ds-experiments</v>
      </c>
      <c r="G123" s="6" t="b">
        <f aca="false">COUNTIFS($F$4:$F$163,F123,$D$4:$D$163,"declared")&gt;0</f>
        <v>1</v>
      </c>
      <c r="H123" s="6" t="b">
        <f aca="false">COUNTIFS($F$4:$F$163,F123,$D$4:$D$163,"observed")&gt;0</f>
        <v>1</v>
      </c>
      <c r="I123" s="6" t="b">
        <f aca="false">AND(D123="observed",G123)</f>
        <v>1</v>
      </c>
    </row>
    <row r="124" customFormat="false" ht="15" hidden="false" customHeight="false" outlineLevel="0" collapsed="false">
      <c r="A124" s="4" t="s">
        <v>1031</v>
      </c>
      <c r="B124" s="4" t="s">
        <v>94</v>
      </c>
      <c r="C124" s="4" t="s">
        <v>125</v>
      </c>
      <c r="D124" s="4" t="s">
        <v>1001</v>
      </c>
      <c r="E124" s="5" t="n">
        <v>46265.3861111111</v>
      </c>
      <c r="F124" s="0" t="str">
        <f aca="false">B124&amp;"&gt;"&amp;C124</f>
        <v>ds-campaigns&gt;ds-suppliers</v>
      </c>
      <c r="G124" s="6" t="b">
        <f aca="false">COUNTIFS($F$4:$F$163,F124,$D$4:$D$163,"declared")&gt;0</f>
        <v>1</v>
      </c>
      <c r="H124" s="6" t="b">
        <f aca="false">COUNTIFS($F$4:$F$163,F124,$D$4:$D$163,"observed")&gt;0</f>
        <v>1</v>
      </c>
      <c r="I124" s="6" t="b">
        <f aca="false">AND(D124="observed",G124)</f>
        <v>1</v>
      </c>
    </row>
    <row r="125" customFormat="false" ht="15" hidden="false" customHeight="false" outlineLevel="0" collapsed="false">
      <c r="A125" s="4" t="s">
        <v>1032</v>
      </c>
      <c r="B125" s="4" t="s">
        <v>113</v>
      </c>
      <c r="C125" s="4" t="s">
        <v>112</v>
      </c>
      <c r="D125" s="4" t="s">
        <v>1001</v>
      </c>
      <c r="E125" s="5" t="n">
        <v>46246.8090277778</v>
      </c>
      <c r="F125" s="0" t="str">
        <f aca="false">B125&amp;"&gt;"&amp;C125</f>
        <v>ds-orders&gt;ds-order-lines</v>
      </c>
      <c r="G125" s="6" t="b">
        <f aca="false">COUNTIFS($F$4:$F$163,F125,$D$4:$D$163,"declared")&gt;0</f>
        <v>1</v>
      </c>
      <c r="H125" s="6" t="b">
        <f aca="false">COUNTIFS($F$4:$F$163,F125,$D$4:$D$163,"observed")&gt;0</f>
        <v>1</v>
      </c>
      <c r="I125" s="6" t="b">
        <f aca="false">AND(D125="observed",G125)</f>
        <v>1</v>
      </c>
    </row>
    <row r="126" customFormat="false" ht="15" hidden="false" customHeight="false" outlineLevel="0" collapsed="false">
      <c r="A126" s="4" t="s">
        <v>1033</v>
      </c>
      <c r="B126" s="4" t="s">
        <v>93</v>
      </c>
      <c r="C126" s="4" t="s">
        <v>125</v>
      </c>
      <c r="D126" s="4" t="s">
        <v>1001</v>
      </c>
      <c r="E126" s="5" t="n">
        <v>46287.1541666667</v>
      </c>
      <c r="F126" s="0" t="str">
        <f aca="false">B126&amp;"&gt;"&amp;C126</f>
        <v>ds-billing-accounts&gt;ds-suppliers</v>
      </c>
      <c r="G126" s="6" t="b">
        <f aca="false">COUNTIFS($F$4:$F$163,F126,$D$4:$D$163,"declared")&gt;0</f>
        <v>1</v>
      </c>
      <c r="H126" s="6" t="b">
        <f aca="false">COUNTIFS($F$4:$F$163,F126,$D$4:$D$163,"observed")&gt;0</f>
        <v>1</v>
      </c>
      <c r="I126" s="6" t="b">
        <f aca="false">AND(D126="observed",G126)</f>
        <v>1</v>
      </c>
    </row>
    <row r="127" customFormat="false" ht="15" hidden="false" customHeight="false" outlineLevel="0" collapsed="false">
      <c r="A127" s="4" t="s">
        <v>1034</v>
      </c>
      <c r="B127" s="4" t="s">
        <v>128</v>
      </c>
      <c r="C127" s="4" t="s">
        <v>112</v>
      </c>
      <c r="D127" s="4" t="s">
        <v>1001</v>
      </c>
      <c r="E127" s="5" t="n">
        <v>46221.3784722222</v>
      </c>
      <c r="F127" s="0" t="str">
        <f aca="false">B127&amp;"&gt;"&amp;C127</f>
        <v>ds-tickets&gt;ds-order-lines</v>
      </c>
      <c r="G127" s="6" t="b">
        <f aca="false">COUNTIFS($F$4:$F$163,F127,$D$4:$D$163,"declared")&gt;0</f>
        <v>0</v>
      </c>
      <c r="H127" s="6" t="b">
        <f aca="false">COUNTIFS($F$4:$F$163,F127,$D$4:$D$163,"observed")&gt;0</f>
        <v>1</v>
      </c>
      <c r="I127" s="6" t="b">
        <f aca="false">AND(D127="observed",G127)</f>
        <v>0</v>
      </c>
    </row>
    <row r="128" customFormat="false" ht="15" hidden="false" customHeight="false" outlineLevel="0" collapsed="false">
      <c r="A128" s="4" t="s">
        <v>1035</v>
      </c>
      <c r="B128" s="4" t="s">
        <v>123</v>
      </c>
      <c r="C128" s="4" t="s">
        <v>104</v>
      </c>
      <c r="D128" s="4" t="s">
        <v>1001</v>
      </c>
      <c r="E128" s="5" t="n">
        <v>46298.9756944445</v>
      </c>
      <c r="F128" s="0" t="str">
        <f aca="false">B128&amp;"&gt;"&amp;C128</f>
        <v>ds-sla-policies&gt;ds-employees</v>
      </c>
      <c r="G128" s="6" t="b">
        <f aca="false">COUNTIFS($F$4:$F$163,F128,$D$4:$D$163,"declared")&gt;0</f>
        <v>0</v>
      </c>
      <c r="H128" s="6" t="b">
        <f aca="false">COUNTIFS($F$4:$F$163,F128,$D$4:$D$163,"observed")&gt;0</f>
        <v>1</v>
      </c>
      <c r="I128" s="6" t="b">
        <f aca="false">AND(D128="observed",G128)</f>
        <v>0</v>
      </c>
    </row>
    <row r="129" customFormat="false" ht="15" hidden="false" customHeight="false" outlineLevel="0" collapsed="false">
      <c r="A129" s="4" t="s">
        <v>1036</v>
      </c>
      <c r="B129" s="4" t="s">
        <v>118</v>
      </c>
      <c r="C129" s="4" t="s">
        <v>101</v>
      </c>
      <c r="D129" s="4" t="s">
        <v>1001</v>
      </c>
      <c r="E129" s="5" t="n">
        <v>46274.4472222222</v>
      </c>
      <c r="F129" s="0" t="str">
        <f aca="false">B129&amp;"&gt;"&amp;C129</f>
        <v>ds-purchase-orders&gt;ds-csat-surveys</v>
      </c>
      <c r="G129" s="6" t="b">
        <f aca="false">COUNTIFS($F$4:$F$163,F129,$D$4:$D$163,"declared")&gt;0</f>
        <v>1</v>
      </c>
      <c r="H129" s="6" t="b">
        <f aca="false">COUNTIFS($F$4:$F$163,F129,$D$4:$D$163,"observed")&gt;0</f>
        <v>1</v>
      </c>
      <c r="I129" s="6" t="b">
        <f aca="false">AND(D129="observed",G129)</f>
        <v>1</v>
      </c>
    </row>
    <row r="130" customFormat="false" ht="15" hidden="false" customHeight="false" outlineLevel="0" collapsed="false">
      <c r="A130" s="4" t="s">
        <v>1037</v>
      </c>
      <c r="B130" s="4" t="s">
        <v>116</v>
      </c>
      <c r="C130" s="4" t="s">
        <v>106</v>
      </c>
      <c r="D130" s="4" t="s">
        <v>1001</v>
      </c>
      <c r="E130" s="5" t="n">
        <v>46283.0868055556</v>
      </c>
      <c r="F130" s="0" t="str">
        <f aca="false">B130&amp;"&gt;"&amp;C130</f>
        <v>ds-price-books&gt;ds-inventory</v>
      </c>
      <c r="G130" s="6" t="b">
        <f aca="false">COUNTIFS($F$4:$F$163,F130,$D$4:$D$163,"declared")&gt;0</f>
        <v>0</v>
      </c>
      <c r="H130" s="6" t="b">
        <f aca="false">COUNTIFS($F$4:$F$163,F130,$D$4:$D$163,"observed")&gt;0</f>
        <v>1</v>
      </c>
      <c r="I130" s="6" t="b">
        <f aca="false">AND(D130="observed",G130)</f>
        <v>0</v>
      </c>
    </row>
    <row r="131" customFormat="false" ht="15" hidden="false" customHeight="false" outlineLevel="0" collapsed="false">
      <c r="A131" s="4" t="s">
        <v>1038</v>
      </c>
      <c r="B131" s="4" t="s">
        <v>108</v>
      </c>
      <c r="C131" s="4" t="s">
        <v>122</v>
      </c>
      <c r="D131" s="4" t="s">
        <v>1001</v>
      </c>
      <c r="E131" s="5" t="n">
        <v>46286.1347222222</v>
      </c>
      <c r="F131" s="0" t="str">
        <f aca="false">B131&amp;"&gt;"&amp;C131</f>
        <v>ds-kb-articles&gt;ds-shipments</v>
      </c>
      <c r="G131" s="6" t="b">
        <f aca="false">COUNTIFS($F$4:$F$163,F131,$D$4:$D$163,"declared")&gt;0</f>
        <v>0</v>
      </c>
      <c r="H131" s="6" t="b">
        <f aca="false">COUNTIFS($F$4:$F$163,F131,$D$4:$D$163,"observed")&gt;0</f>
        <v>1</v>
      </c>
      <c r="I131" s="6" t="b">
        <f aca="false">AND(D131="observed",G131)</f>
        <v>0</v>
      </c>
    </row>
    <row r="132" customFormat="false" ht="15" hidden="false" customHeight="false" outlineLevel="0" collapsed="false">
      <c r="A132" s="4" t="s">
        <v>1039</v>
      </c>
      <c r="B132" s="4" t="s">
        <v>123</v>
      </c>
      <c r="C132" s="4" t="s">
        <v>120</v>
      </c>
      <c r="D132" s="4" t="s">
        <v>1001</v>
      </c>
      <c r="E132" s="5" t="n">
        <v>46225.5354166667</v>
      </c>
      <c r="F132" s="0" t="str">
        <f aca="false">B132&amp;"&gt;"&amp;C132</f>
        <v>ds-sla-policies&gt;ds-returns</v>
      </c>
      <c r="G132" s="6" t="b">
        <f aca="false">COUNTIFS($F$4:$F$163,F132,$D$4:$D$163,"declared")&gt;0</f>
        <v>1</v>
      </c>
      <c r="H132" s="6" t="b">
        <f aca="false">COUNTIFS($F$4:$F$163,F132,$D$4:$D$163,"observed")&gt;0</f>
        <v>1</v>
      </c>
      <c r="I132" s="6" t="b">
        <f aca="false">AND(D132="observed",G132)</f>
        <v>1</v>
      </c>
    </row>
    <row r="133" customFormat="false" ht="15" hidden="false" customHeight="false" outlineLevel="0" collapsed="false">
      <c r="A133" s="4" t="s">
        <v>1040</v>
      </c>
      <c r="B133" s="4" t="s">
        <v>97</v>
      </c>
      <c r="C133" s="4" t="s">
        <v>118</v>
      </c>
      <c r="D133" s="4" t="s">
        <v>1001</v>
      </c>
      <c r="E133" s="5" t="n">
        <v>46271.1993055556</v>
      </c>
      <c r="F133" s="0" t="str">
        <f aca="false">B133&amp;"&gt;"&amp;C133</f>
        <v>ds-contacts&gt;ds-purchase-orders</v>
      </c>
      <c r="G133" s="6" t="b">
        <f aca="false">COUNTIFS($F$4:$F$163,F133,$D$4:$D$163,"declared")&gt;0</f>
        <v>1</v>
      </c>
      <c r="H133" s="6" t="b">
        <f aca="false">COUNTIFS($F$4:$F$163,F133,$D$4:$D$163,"observed")&gt;0</f>
        <v>1</v>
      </c>
      <c r="I133" s="6" t="b">
        <f aca="false">AND(D133="observed",G133)</f>
        <v>1</v>
      </c>
    </row>
    <row r="134" customFormat="false" ht="15" hidden="false" customHeight="false" outlineLevel="0" collapsed="false">
      <c r="A134" s="4" t="s">
        <v>1041</v>
      </c>
      <c r="B134" s="4" t="s">
        <v>102</v>
      </c>
      <c r="C134" s="4" t="s">
        <v>97</v>
      </c>
      <c r="D134" s="4" t="s">
        <v>1001</v>
      </c>
      <c r="E134" s="5" t="n">
        <v>46260.1013888889</v>
      </c>
      <c r="F134" s="0" t="str">
        <f aca="false">B134&amp;"&gt;"&amp;C134</f>
        <v>ds-customers&gt;ds-contacts</v>
      </c>
      <c r="G134" s="6" t="b">
        <f aca="false">COUNTIFS($F$4:$F$163,F134,$D$4:$D$163,"declared")&gt;0</f>
        <v>1</v>
      </c>
      <c r="H134" s="6" t="b">
        <f aca="false">COUNTIFS($F$4:$F$163,F134,$D$4:$D$163,"observed")&gt;0</f>
        <v>1</v>
      </c>
      <c r="I134" s="6" t="b">
        <f aca="false">AND(D134="observed",G134)</f>
        <v>1</v>
      </c>
    </row>
    <row r="135" customFormat="false" ht="15" hidden="false" customHeight="false" outlineLevel="0" collapsed="false">
      <c r="A135" s="4" t="s">
        <v>1042</v>
      </c>
      <c r="B135" s="4" t="s">
        <v>92</v>
      </c>
      <c r="C135" s="4" t="s">
        <v>99</v>
      </c>
      <c r="D135" s="4" t="s">
        <v>1001</v>
      </c>
      <c r="E135" s="5" t="n">
        <v>46216.6458333333</v>
      </c>
      <c r="F135" s="0" t="str">
        <f aca="false">B135&amp;"&gt;"&amp;C135</f>
        <v>ds-accounts&gt;ds-credit-notes</v>
      </c>
      <c r="G135" s="6" t="b">
        <f aca="false">COUNTIFS($F$4:$F$163,F135,$D$4:$D$163,"declared")&gt;0</f>
        <v>1</v>
      </c>
      <c r="H135" s="6" t="b">
        <f aca="false">COUNTIFS($F$4:$F$163,F135,$D$4:$D$163,"observed")&gt;0</f>
        <v>1</v>
      </c>
      <c r="I135" s="6" t="b">
        <f aca="false">AND(D135="observed",G135)</f>
        <v>1</v>
      </c>
    </row>
    <row r="136" customFormat="false" ht="15" hidden="false" customHeight="false" outlineLevel="0" collapsed="false">
      <c r="A136" s="4" t="s">
        <v>1043</v>
      </c>
      <c r="B136" s="4" t="s">
        <v>97</v>
      </c>
      <c r="C136" s="4" t="s">
        <v>116</v>
      </c>
      <c r="D136" s="4" t="s">
        <v>1001</v>
      </c>
      <c r="E136" s="5" t="n">
        <v>46220.9743055556</v>
      </c>
      <c r="F136" s="0" t="str">
        <f aca="false">B136&amp;"&gt;"&amp;C136</f>
        <v>ds-contacts&gt;ds-price-books</v>
      </c>
      <c r="G136" s="6" t="b">
        <f aca="false">COUNTIFS($F$4:$F$163,F136,$D$4:$D$163,"declared")&gt;0</f>
        <v>1</v>
      </c>
      <c r="H136" s="6" t="b">
        <f aca="false">COUNTIFS($F$4:$F$163,F136,$D$4:$D$163,"observed")&gt;0</f>
        <v>1</v>
      </c>
      <c r="I136" s="6" t="b">
        <f aca="false">AND(D136="observed",G136)</f>
        <v>1</v>
      </c>
    </row>
    <row r="137" customFormat="false" ht="15" hidden="false" customHeight="false" outlineLevel="0" collapsed="false">
      <c r="A137" s="4" t="s">
        <v>1044</v>
      </c>
      <c r="B137" s="4" t="s">
        <v>94</v>
      </c>
      <c r="C137" s="4" t="s">
        <v>128</v>
      </c>
      <c r="D137" s="4" t="s">
        <v>1001</v>
      </c>
      <c r="E137" s="5" t="n">
        <v>46231.9875</v>
      </c>
      <c r="F137" s="0" t="str">
        <f aca="false">B137&amp;"&gt;"&amp;C137</f>
        <v>ds-campaigns&gt;ds-tickets</v>
      </c>
      <c r="G137" s="6" t="b">
        <f aca="false">COUNTIFS($F$4:$F$163,F137,$D$4:$D$163,"declared")&gt;0</f>
        <v>1</v>
      </c>
      <c r="H137" s="6" t="b">
        <f aca="false">COUNTIFS($F$4:$F$163,F137,$D$4:$D$163,"observed")&gt;0</f>
        <v>1</v>
      </c>
      <c r="I137" s="6" t="b">
        <f aca="false">AND(D137="observed",G137)</f>
        <v>1</v>
      </c>
    </row>
    <row r="138" customFormat="false" ht="15" hidden="false" customHeight="false" outlineLevel="0" collapsed="false">
      <c r="A138" s="4" t="s">
        <v>1045</v>
      </c>
      <c r="B138" s="4" t="s">
        <v>104</v>
      </c>
      <c r="C138" s="4" t="s">
        <v>110</v>
      </c>
      <c r="D138" s="4" t="s">
        <v>1001</v>
      </c>
      <c r="E138" s="5" t="n">
        <v>46239.7298611111</v>
      </c>
      <c r="F138" s="0" t="str">
        <f aca="false">B138&amp;"&gt;"&amp;C138</f>
        <v>ds-employees&gt;ds-ledger-entries</v>
      </c>
      <c r="G138" s="6" t="b">
        <f aca="false">COUNTIFS($F$4:$F$163,F138,$D$4:$D$163,"declared")&gt;0</f>
        <v>0</v>
      </c>
      <c r="H138" s="6" t="b">
        <f aca="false">COUNTIFS($F$4:$F$163,F138,$D$4:$D$163,"observed")&gt;0</f>
        <v>1</v>
      </c>
      <c r="I138" s="6" t="b">
        <f aca="false">AND(D138="observed",G138)</f>
        <v>0</v>
      </c>
    </row>
    <row r="139" customFormat="false" ht="15" hidden="false" customHeight="false" outlineLevel="0" collapsed="false">
      <c r="A139" s="4" t="s">
        <v>1046</v>
      </c>
      <c r="B139" s="4" t="s">
        <v>94</v>
      </c>
      <c r="C139" s="4" t="s">
        <v>117</v>
      </c>
      <c r="D139" s="4" t="s">
        <v>1001</v>
      </c>
      <c r="E139" s="5" t="n">
        <v>46282.1951388889</v>
      </c>
      <c r="F139" s="0" t="str">
        <f aca="false">B139&amp;"&gt;"&amp;C139</f>
        <v>ds-campaigns&gt;ds-products</v>
      </c>
      <c r="G139" s="6" t="b">
        <f aca="false">COUNTIFS($F$4:$F$163,F139,$D$4:$D$163,"declared")&gt;0</f>
        <v>1</v>
      </c>
      <c r="H139" s="6" t="b">
        <f aca="false">COUNTIFS($F$4:$F$163,F139,$D$4:$D$163,"observed")&gt;0</f>
        <v>1</v>
      </c>
      <c r="I139" s="6" t="b">
        <f aca="false">AND(D139="observed",G139)</f>
        <v>1</v>
      </c>
    </row>
    <row r="140" customFormat="false" ht="15" hidden="false" customHeight="false" outlineLevel="0" collapsed="false">
      <c r="A140" s="4" t="s">
        <v>1047</v>
      </c>
      <c r="B140" s="4" t="s">
        <v>107</v>
      </c>
      <c r="C140" s="4" t="s">
        <v>130</v>
      </c>
      <c r="D140" s="4" t="s">
        <v>1001</v>
      </c>
      <c r="E140" s="5" t="n">
        <v>46220.6659722222</v>
      </c>
      <c r="F140" s="0" t="str">
        <f aca="false">B140&amp;"&gt;"&amp;C140</f>
        <v>ds-invoices&gt;ds-web-sessions</v>
      </c>
      <c r="G140" s="6" t="b">
        <f aca="false">COUNTIFS($F$4:$F$163,F140,$D$4:$D$163,"declared")&gt;0</f>
        <v>0</v>
      </c>
      <c r="H140" s="6" t="b">
        <f aca="false">COUNTIFS($F$4:$F$163,F140,$D$4:$D$163,"observed")&gt;0</f>
        <v>1</v>
      </c>
      <c r="I140" s="6" t="b">
        <f aca="false">AND(D140="observed",G140)</f>
        <v>0</v>
      </c>
    </row>
    <row r="141" customFormat="false" ht="15" hidden="false" customHeight="false" outlineLevel="0" collapsed="false">
      <c r="A141" s="4" t="s">
        <v>1048</v>
      </c>
      <c r="B141" s="4" t="s">
        <v>99</v>
      </c>
      <c r="C141" s="4" t="s">
        <v>104</v>
      </c>
      <c r="D141" s="4" t="s">
        <v>1001</v>
      </c>
      <c r="E141" s="5" t="n">
        <v>46291.1722222222</v>
      </c>
      <c r="F141" s="0" t="str">
        <f aca="false">B141&amp;"&gt;"&amp;C141</f>
        <v>ds-credit-notes&gt;ds-employees</v>
      </c>
      <c r="G141" s="6" t="b">
        <f aca="false">COUNTIFS($F$4:$F$163,F141,$D$4:$D$163,"declared")&gt;0</f>
        <v>1</v>
      </c>
      <c r="H141" s="6" t="b">
        <f aca="false">COUNTIFS($F$4:$F$163,F141,$D$4:$D$163,"observed")&gt;0</f>
        <v>1</v>
      </c>
      <c r="I141" s="6" t="b">
        <f aca="false">AND(D141="observed",G141)</f>
        <v>1</v>
      </c>
    </row>
    <row r="142" customFormat="false" ht="15" hidden="false" customHeight="false" outlineLevel="0" collapsed="false">
      <c r="A142" s="4" t="s">
        <v>1049</v>
      </c>
      <c r="B142" s="4" t="s">
        <v>107</v>
      </c>
      <c r="C142" s="4" t="s">
        <v>110</v>
      </c>
      <c r="D142" s="4" t="s">
        <v>1001</v>
      </c>
      <c r="E142" s="5" t="n">
        <v>46267.7881944445</v>
      </c>
      <c r="F142" s="0" t="str">
        <f aca="false">B142&amp;"&gt;"&amp;C142</f>
        <v>ds-invoices&gt;ds-ledger-entries</v>
      </c>
      <c r="G142" s="6" t="b">
        <f aca="false">COUNTIFS($F$4:$F$163,F142,$D$4:$D$163,"declared")&gt;0</f>
        <v>1</v>
      </c>
      <c r="H142" s="6" t="b">
        <f aca="false">COUNTIFS($F$4:$F$163,F142,$D$4:$D$163,"observed")&gt;0</f>
        <v>1</v>
      </c>
      <c r="I142" s="6" t="b">
        <f aca="false">AND(D142="observed",G142)</f>
        <v>1</v>
      </c>
    </row>
    <row r="143" customFormat="false" ht="15" hidden="false" customHeight="false" outlineLevel="0" collapsed="false">
      <c r="A143" s="4" t="s">
        <v>1050</v>
      </c>
      <c r="B143" s="4" t="s">
        <v>106</v>
      </c>
      <c r="C143" s="4" t="s">
        <v>131</v>
      </c>
      <c r="D143" s="4" t="s">
        <v>1001</v>
      </c>
      <c r="E143" s="5" t="n">
        <v>46240.3861111111</v>
      </c>
      <c r="F143" s="0" t="str">
        <f aca="false">B143&amp;"&gt;"&amp;C143</f>
        <v>ds-inventory&gt;ds-web-users</v>
      </c>
      <c r="G143" s="6" t="b">
        <f aca="false">COUNTIFS($F$4:$F$163,F143,$D$4:$D$163,"declared")&gt;0</f>
        <v>1</v>
      </c>
      <c r="H143" s="6" t="b">
        <f aca="false">COUNTIFS($F$4:$F$163,F143,$D$4:$D$163,"observed")&gt;0</f>
        <v>1</v>
      </c>
      <c r="I143" s="6" t="b">
        <f aca="false">AND(D143="observed",G143)</f>
        <v>1</v>
      </c>
    </row>
    <row r="144" customFormat="false" ht="15" hidden="false" customHeight="false" outlineLevel="0" collapsed="false">
      <c r="A144" s="4" t="s">
        <v>1051</v>
      </c>
      <c r="B144" s="4" t="s">
        <v>128</v>
      </c>
      <c r="C144" s="4" t="s">
        <v>103</v>
      </c>
      <c r="D144" s="4" t="s">
        <v>1001</v>
      </c>
      <c r="E144" s="5" t="n">
        <v>46249.3680555556</v>
      </c>
      <c r="F144" s="0" t="str">
        <f aca="false">B144&amp;"&gt;"&amp;C144</f>
        <v>ds-tickets&gt;ds-delivery-events</v>
      </c>
      <c r="G144" s="6" t="b">
        <f aca="false">COUNTIFS($F$4:$F$163,F144,$D$4:$D$163,"declared")&gt;0</f>
        <v>1</v>
      </c>
      <c r="H144" s="6" t="b">
        <f aca="false">COUNTIFS($F$4:$F$163,F144,$D$4:$D$163,"observed")&gt;0</f>
        <v>1</v>
      </c>
      <c r="I144" s="6" t="b">
        <f aca="false">AND(D144="observed",G144)</f>
        <v>1</v>
      </c>
    </row>
    <row r="145" customFormat="false" ht="15" hidden="false" customHeight="false" outlineLevel="0" collapsed="false">
      <c r="A145" s="4" t="s">
        <v>1052</v>
      </c>
      <c r="B145" s="4" t="s">
        <v>130</v>
      </c>
      <c r="C145" s="4" t="s">
        <v>92</v>
      </c>
      <c r="D145" s="4" t="s">
        <v>1001</v>
      </c>
      <c r="E145" s="5" t="n">
        <v>46227.6006944445</v>
      </c>
      <c r="F145" s="0" t="str">
        <f aca="false">B145&amp;"&gt;"&amp;C145</f>
        <v>ds-web-sessions&gt;ds-accounts</v>
      </c>
      <c r="G145" s="6" t="b">
        <f aca="false">COUNTIFS($F$4:$F$163,F145,$D$4:$D$163,"declared")&gt;0</f>
        <v>0</v>
      </c>
      <c r="H145" s="6" t="b">
        <f aca="false">COUNTIFS($F$4:$F$163,F145,$D$4:$D$163,"observed")&gt;0</f>
        <v>1</v>
      </c>
      <c r="I145" s="6" t="b">
        <f aca="false">AND(D145="observed",G145)</f>
        <v>0</v>
      </c>
    </row>
    <row r="146" customFormat="false" ht="15" hidden="false" customHeight="false" outlineLevel="0" collapsed="false">
      <c r="A146" s="4" t="s">
        <v>1053</v>
      </c>
      <c r="B146" s="4" t="s">
        <v>117</v>
      </c>
      <c r="C146" s="4" t="s">
        <v>112</v>
      </c>
      <c r="D146" s="4" t="s">
        <v>1001</v>
      </c>
      <c r="E146" s="5" t="n">
        <v>46283.5590277778</v>
      </c>
      <c r="F146" s="0" t="str">
        <f aca="false">B146&amp;"&gt;"&amp;C146</f>
        <v>ds-products&gt;ds-order-lines</v>
      </c>
      <c r="G146" s="6" t="b">
        <f aca="false">COUNTIFS($F$4:$F$163,F146,$D$4:$D$163,"declared")&gt;0</f>
        <v>1</v>
      </c>
      <c r="H146" s="6" t="b">
        <f aca="false">COUNTIFS($F$4:$F$163,F146,$D$4:$D$163,"observed")&gt;0</f>
        <v>1</v>
      </c>
      <c r="I146" s="6" t="b">
        <f aca="false">AND(D146="observed",G146)</f>
        <v>1</v>
      </c>
    </row>
    <row r="147" customFormat="false" ht="15" hidden="false" customHeight="false" outlineLevel="0" collapsed="false">
      <c r="A147" s="4" t="s">
        <v>1054</v>
      </c>
      <c r="B147" s="4" t="s">
        <v>102</v>
      </c>
      <c r="C147" s="4" t="s">
        <v>128</v>
      </c>
      <c r="D147" s="4" t="s">
        <v>1001</v>
      </c>
      <c r="E147" s="5" t="n">
        <v>46259.2881944445</v>
      </c>
      <c r="F147" s="0" t="str">
        <f aca="false">B147&amp;"&gt;"&amp;C147</f>
        <v>ds-customers&gt;ds-tickets</v>
      </c>
      <c r="G147" s="6" t="b">
        <f aca="false">COUNTIFS($F$4:$F$163,F147,$D$4:$D$163,"declared")&gt;0</f>
        <v>1</v>
      </c>
      <c r="H147" s="6" t="b">
        <f aca="false">COUNTIFS($F$4:$F$163,F147,$D$4:$D$163,"observed")&gt;0</f>
        <v>1</v>
      </c>
      <c r="I147" s="6" t="b">
        <f aca="false">AND(D147="observed",G147)</f>
        <v>1</v>
      </c>
    </row>
    <row r="148" customFormat="false" ht="15" hidden="false" customHeight="false" outlineLevel="0" collapsed="false">
      <c r="A148" s="4" t="s">
        <v>1055</v>
      </c>
      <c r="B148" s="4" t="s">
        <v>102</v>
      </c>
      <c r="C148" s="4" t="s">
        <v>124</v>
      </c>
      <c r="D148" s="4" t="s">
        <v>1001</v>
      </c>
      <c r="E148" s="5" t="n">
        <v>46298.4368055556</v>
      </c>
      <c r="F148" s="0" t="str">
        <f aca="false">B148&amp;"&gt;"&amp;C148</f>
        <v>ds-customers&gt;ds-subscriptions</v>
      </c>
      <c r="G148" s="6" t="b">
        <f aca="false">COUNTIFS($F$4:$F$163,F148,$D$4:$D$163,"declared")&gt;0</f>
        <v>1</v>
      </c>
      <c r="H148" s="6" t="b">
        <f aca="false">COUNTIFS($F$4:$F$163,F148,$D$4:$D$163,"observed")&gt;0</f>
        <v>1</v>
      </c>
      <c r="I148" s="6" t="b">
        <f aca="false">AND(D148="observed",G148)</f>
        <v>1</v>
      </c>
    </row>
    <row r="149" customFormat="false" ht="15" hidden="false" customHeight="false" outlineLevel="0" collapsed="false">
      <c r="A149" s="4" t="s">
        <v>1056</v>
      </c>
      <c r="B149" s="4" t="s">
        <v>127</v>
      </c>
      <c r="C149" s="4" t="s">
        <v>130</v>
      </c>
      <c r="D149" s="4" t="s">
        <v>1001</v>
      </c>
      <c r="E149" s="5" t="n">
        <v>46269.9138888889</v>
      </c>
      <c r="F149" s="0" t="str">
        <f aca="false">B149&amp;"&gt;"&amp;C149</f>
        <v>ds-ticket-events&gt;ds-web-sessions</v>
      </c>
      <c r="G149" s="6" t="b">
        <f aca="false">COUNTIFS($F$4:$F$163,F149,$D$4:$D$163,"declared")&gt;0</f>
        <v>1</v>
      </c>
      <c r="H149" s="6" t="b">
        <f aca="false">COUNTIFS($F$4:$F$163,F149,$D$4:$D$163,"observed")&gt;0</f>
        <v>1</v>
      </c>
      <c r="I149" s="6" t="b">
        <f aca="false">AND(D149="observed",G149)</f>
        <v>1</v>
      </c>
    </row>
    <row r="150" customFormat="false" ht="15" hidden="false" customHeight="false" outlineLevel="0" collapsed="false">
      <c r="A150" s="4" t="s">
        <v>1057</v>
      </c>
      <c r="B150" s="4" t="s">
        <v>92</v>
      </c>
      <c r="C150" s="4" t="s">
        <v>100</v>
      </c>
      <c r="D150" s="4" t="s">
        <v>1001</v>
      </c>
      <c r="E150" s="5" t="n">
        <v>46288.8097222222</v>
      </c>
      <c r="F150" s="0" t="str">
        <f aca="false">B150&amp;"&gt;"&amp;C150</f>
        <v>ds-accounts&gt;ds-crm-activities</v>
      </c>
      <c r="G150" s="6" t="b">
        <f aca="false">COUNTIFS($F$4:$F$163,F150,$D$4:$D$163,"declared")&gt;0</f>
        <v>1</v>
      </c>
      <c r="H150" s="6" t="b">
        <f aca="false">COUNTIFS($F$4:$F$163,F150,$D$4:$D$163,"observed")&gt;0</f>
        <v>1</v>
      </c>
      <c r="I150" s="6" t="b">
        <f aca="false">AND(D150="observed",G150)</f>
        <v>1</v>
      </c>
    </row>
    <row r="151" customFormat="false" ht="15" hidden="false" customHeight="false" outlineLevel="0" collapsed="false">
      <c r="A151" s="4" t="s">
        <v>1058</v>
      </c>
      <c r="B151" s="4" t="s">
        <v>109</v>
      </c>
      <c r="C151" s="4" t="s">
        <v>99</v>
      </c>
      <c r="D151" s="4" t="s">
        <v>1001</v>
      </c>
      <c r="E151" s="5" t="n">
        <v>46285.3861111111</v>
      </c>
      <c r="F151" s="0" t="str">
        <f aca="false">B151&amp;"&gt;"&amp;C151</f>
        <v>ds-leads&gt;ds-credit-notes</v>
      </c>
      <c r="G151" s="6" t="b">
        <f aca="false">COUNTIFS($F$4:$F$163,F151,$D$4:$D$163,"declared")&gt;0</f>
        <v>1</v>
      </c>
      <c r="H151" s="6" t="b">
        <f aca="false">COUNTIFS($F$4:$F$163,F151,$D$4:$D$163,"observed")&gt;0</f>
        <v>1</v>
      </c>
      <c r="I151" s="6" t="b">
        <f aca="false">AND(D151="observed",G151)</f>
        <v>1</v>
      </c>
    </row>
    <row r="152" customFormat="false" ht="15" hidden="false" customHeight="false" outlineLevel="0" collapsed="false">
      <c r="A152" s="4" t="s">
        <v>1059</v>
      </c>
      <c r="B152" s="4" t="s">
        <v>121</v>
      </c>
      <c r="C152" s="4" t="s">
        <v>103</v>
      </c>
      <c r="D152" s="4" t="s">
        <v>1001</v>
      </c>
      <c r="E152" s="5" t="n">
        <v>46262.2965277778</v>
      </c>
      <c r="F152" s="0" t="str">
        <f aca="false">B152&amp;"&gt;"&amp;C152</f>
        <v>ds-segments&gt;ds-delivery-events</v>
      </c>
      <c r="G152" s="6" t="b">
        <f aca="false">COUNTIFS($F$4:$F$163,F152,$D$4:$D$163,"declared")&gt;0</f>
        <v>1</v>
      </c>
      <c r="H152" s="6" t="b">
        <f aca="false">COUNTIFS($F$4:$F$163,F152,$D$4:$D$163,"observed")&gt;0</f>
        <v>1</v>
      </c>
      <c r="I152" s="6" t="b">
        <f aca="false">AND(D152="observed",G152)</f>
        <v>1</v>
      </c>
    </row>
    <row r="153" customFormat="false" ht="15" hidden="false" customHeight="false" outlineLevel="0" collapsed="false">
      <c r="A153" s="4" t="s">
        <v>1060</v>
      </c>
      <c r="B153" s="4" t="s">
        <v>116</v>
      </c>
      <c r="C153" s="4" t="s">
        <v>129</v>
      </c>
      <c r="D153" s="4" t="s">
        <v>1001</v>
      </c>
      <c r="E153" s="5" t="n">
        <v>46290.0173611111</v>
      </c>
      <c r="F153" s="0" t="str">
        <f aca="false">B153&amp;"&gt;"&amp;C153</f>
        <v>ds-price-books&gt;ds-warehouses</v>
      </c>
      <c r="G153" s="6" t="b">
        <f aca="false">COUNTIFS($F$4:$F$163,F153,$D$4:$D$163,"declared")&gt;0</f>
        <v>0</v>
      </c>
      <c r="H153" s="6" t="b">
        <f aca="false">COUNTIFS($F$4:$F$163,F153,$D$4:$D$163,"observed")&gt;0</f>
        <v>1</v>
      </c>
      <c r="I153" s="6" t="b">
        <f aca="false">AND(D153="observed",G153)</f>
        <v>0</v>
      </c>
    </row>
    <row r="154" customFormat="false" ht="15" hidden="false" customHeight="false" outlineLevel="0" collapsed="false">
      <c r="A154" s="4" t="s">
        <v>1061</v>
      </c>
      <c r="B154" s="4" t="s">
        <v>118</v>
      </c>
      <c r="C154" s="4" t="s">
        <v>120</v>
      </c>
      <c r="D154" s="4" t="s">
        <v>1001</v>
      </c>
      <c r="E154" s="5" t="n">
        <v>46232.9444444445</v>
      </c>
      <c r="F154" s="0" t="str">
        <f aca="false">B154&amp;"&gt;"&amp;C154</f>
        <v>ds-purchase-orders&gt;ds-returns</v>
      </c>
      <c r="G154" s="6" t="b">
        <f aca="false">COUNTIFS($F$4:$F$163,F154,$D$4:$D$163,"declared")&gt;0</f>
        <v>1</v>
      </c>
      <c r="H154" s="6" t="b">
        <f aca="false">COUNTIFS($F$4:$F$163,F154,$D$4:$D$163,"observed")&gt;0</f>
        <v>1</v>
      </c>
      <c r="I154" s="6" t="b">
        <f aca="false">AND(D154="observed",G154)</f>
        <v>1</v>
      </c>
    </row>
    <row r="155" customFormat="false" ht="15" hidden="false" customHeight="false" outlineLevel="0" collapsed="false">
      <c r="A155" s="4" t="s">
        <v>1062</v>
      </c>
      <c r="B155" s="4" t="s">
        <v>125</v>
      </c>
      <c r="C155" s="4" t="s">
        <v>118</v>
      </c>
      <c r="D155" s="4" t="s">
        <v>1001</v>
      </c>
      <c r="E155" s="5" t="n">
        <v>46261.5666666667</v>
      </c>
      <c r="F155" s="0" t="str">
        <f aca="false">B155&amp;"&gt;"&amp;C155</f>
        <v>ds-suppliers&gt;ds-purchase-orders</v>
      </c>
      <c r="G155" s="6" t="b">
        <f aca="false">COUNTIFS($F$4:$F$163,F155,$D$4:$D$163,"declared")&gt;0</f>
        <v>1</v>
      </c>
      <c r="H155" s="6" t="b">
        <f aca="false">COUNTIFS($F$4:$F$163,F155,$D$4:$D$163,"observed")&gt;0</f>
        <v>1</v>
      </c>
      <c r="I155" s="6" t="b">
        <f aca="false">AND(D155="observed",G155)</f>
        <v>1</v>
      </c>
    </row>
    <row r="156" customFormat="false" ht="15" hidden="false" customHeight="false" outlineLevel="0" collapsed="false">
      <c r="A156" s="4" t="s">
        <v>1063</v>
      </c>
      <c r="B156" s="4" t="s">
        <v>92</v>
      </c>
      <c r="C156" s="4" t="s">
        <v>98</v>
      </c>
      <c r="D156" s="4" t="s">
        <v>1001</v>
      </c>
      <c r="E156" s="5" t="n">
        <v>46262.1125</v>
      </c>
      <c r="F156" s="0" t="str">
        <f aca="false">B156&amp;"&gt;"&amp;C156</f>
        <v>ds-accounts&gt;ds-cost-centres</v>
      </c>
      <c r="G156" s="6" t="b">
        <f aca="false">COUNTIFS($F$4:$F$163,F156,$D$4:$D$163,"declared")&gt;0</f>
        <v>1</v>
      </c>
      <c r="H156" s="6" t="b">
        <f aca="false">COUNTIFS($F$4:$F$163,F156,$D$4:$D$163,"observed")&gt;0</f>
        <v>1</v>
      </c>
      <c r="I156" s="6" t="b">
        <f aca="false">AND(D156="observed",G156)</f>
        <v>1</v>
      </c>
    </row>
    <row r="157" customFormat="false" ht="15" hidden="false" customHeight="false" outlineLevel="0" collapsed="false">
      <c r="A157" s="4" t="s">
        <v>1064</v>
      </c>
      <c r="B157" s="4" t="s">
        <v>110</v>
      </c>
      <c r="C157" s="4" t="s">
        <v>128</v>
      </c>
      <c r="D157" s="4" t="s">
        <v>1001</v>
      </c>
      <c r="E157" s="5" t="n">
        <v>46293.7527777778</v>
      </c>
      <c r="F157" s="0" t="str">
        <f aca="false">B157&amp;"&gt;"&amp;C157</f>
        <v>ds-ledger-entries&gt;ds-tickets</v>
      </c>
      <c r="G157" s="6" t="b">
        <f aca="false">COUNTIFS($F$4:$F$163,F157,$D$4:$D$163,"declared")&gt;0</f>
        <v>1</v>
      </c>
      <c r="H157" s="6" t="b">
        <f aca="false">COUNTIFS($F$4:$F$163,F157,$D$4:$D$163,"observed")&gt;0</f>
        <v>1</v>
      </c>
      <c r="I157" s="6" t="b">
        <f aca="false">AND(D157="observed",G157)</f>
        <v>1</v>
      </c>
    </row>
    <row r="158" customFormat="false" ht="15" hidden="false" customHeight="false" outlineLevel="0" collapsed="false">
      <c r="A158" s="4" t="s">
        <v>1065</v>
      </c>
      <c r="B158" s="4" t="s">
        <v>113</v>
      </c>
      <c r="C158" s="4" t="s">
        <v>122</v>
      </c>
      <c r="D158" s="4" t="s">
        <v>1001</v>
      </c>
      <c r="E158" s="5" t="n">
        <v>46276.1298611111</v>
      </c>
      <c r="F158" s="0" t="str">
        <f aca="false">B158&amp;"&gt;"&amp;C158</f>
        <v>ds-orders&gt;ds-shipments</v>
      </c>
      <c r="G158" s="6" t="b">
        <f aca="false">COUNTIFS($F$4:$F$163,F158,$D$4:$D$163,"declared")&gt;0</f>
        <v>1</v>
      </c>
      <c r="H158" s="6" t="b">
        <f aca="false">COUNTIFS($F$4:$F$163,F158,$D$4:$D$163,"observed")&gt;0</f>
        <v>1</v>
      </c>
      <c r="I158" s="6" t="b">
        <f aca="false">AND(D158="observed",G158)</f>
        <v>1</v>
      </c>
    </row>
    <row r="159" customFormat="false" ht="15" hidden="false" customHeight="false" outlineLevel="0" collapsed="false">
      <c r="A159" s="4" t="s">
        <v>1066</v>
      </c>
      <c r="B159" s="4" t="s">
        <v>97</v>
      </c>
      <c r="C159" s="4" t="s">
        <v>96</v>
      </c>
      <c r="D159" s="4" t="s">
        <v>1001</v>
      </c>
      <c r="E159" s="5" t="n">
        <v>46273.36875</v>
      </c>
      <c r="F159" s="0" t="str">
        <f aca="false">B159&amp;"&gt;"&amp;C159</f>
        <v>ds-contacts&gt;ds-consent-records</v>
      </c>
      <c r="G159" s="6" t="b">
        <f aca="false">COUNTIFS($F$4:$F$163,F159,$D$4:$D$163,"declared")&gt;0</f>
        <v>1</v>
      </c>
      <c r="H159" s="6" t="b">
        <f aca="false">COUNTIFS($F$4:$F$163,F159,$D$4:$D$163,"observed")&gt;0</f>
        <v>1</v>
      </c>
      <c r="I159" s="6" t="b">
        <f aca="false">AND(D159="observed",G159)</f>
        <v>1</v>
      </c>
    </row>
    <row r="160" customFormat="false" ht="15" hidden="false" customHeight="false" outlineLevel="0" collapsed="false">
      <c r="A160" s="4" t="s">
        <v>1067</v>
      </c>
      <c r="B160" s="4" t="s">
        <v>102</v>
      </c>
      <c r="C160" s="4" t="s">
        <v>131</v>
      </c>
      <c r="D160" s="4" t="s">
        <v>1001</v>
      </c>
      <c r="E160" s="5" t="n">
        <v>46233.2645833333</v>
      </c>
      <c r="F160" s="0" t="str">
        <f aca="false">B160&amp;"&gt;"&amp;C160</f>
        <v>ds-customers&gt;ds-web-users</v>
      </c>
      <c r="G160" s="6" t="b">
        <f aca="false">COUNTIFS($F$4:$F$163,F160,$D$4:$D$163,"declared")&gt;0</f>
        <v>1</v>
      </c>
      <c r="H160" s="6" t="b">
        <f aca="false">COUNTIFS($F$4:$F$163,F160,$D$4:$D$163,"observed")&gt;0</f>
        <v>1</v>
      </c>
      <c r="I160" s="6" t="b">
        <f aca="false">AND(D160="observed",G160)</f>
        <v>1</v>
      </c>
    </row>
    <row r="161" customFormat="false" ht="15" hidden="false" customHeight="false" outlineLevel="0" collapsed="false">
      <c r="A161" s="4" t="s">
        <v>1068</v>
      </c>
      <c r="B161" s="4" t="s">
        <v>120</v>
      </c>
      <c r="C161" s="4" t="s">
        <v>130</v>
      </c>
      <c r="D161" s="4" t="s">
        <v>1001</v>
      </c>
      <c r="E161" s="5" t="n">
        <v>46256.5847222222</v>
      </c>
      <c r="F161" s="0" t="str">
        <f aca="false">B161&amp;"&gt;"&amp;C161</f>
        <v>ds-returns&gt;ds-web-sessions</v>
      </c>
      <c r="G161" s="6" t="b">
        <f aca="false">COUNTIFS($F$4:$F$163,F161,$D$4:$D$163,"declared")&gt;0</f>
        <v>1</v>
      </c>
      <c r="H161" s="6" t="b">
        <f aca="false">COUNTIFS($F$4:$F$163,F161,$D$4:$D$163,"observed")&gt;0</f>
        <v>1</v>
      </c>
      <c r="I161" s="6" t="b">
        <f aca="false">AND(D161="observed",G161)</f>
        <v>1</v>
      </c>
    </row>
    <row r="162" customFormat="false" ht="15" hidden="false" customHeight="false" outlineLevel="0" collapsed="false">
      <c r="A162" s="4" t="s">
        <v>1069</v>
      </c>
      <c r="B162" s="4" t="s">
        <v>122</v>
      </c>
      <c r="C162" s="4" t="s">
        <v>129</v>
      </c>
      <c r="D162" s="4" t="s">
        <v>1001</v>
      </c>
      <c r="E162" s="5" t="n">
        <v>46222.6875</v>
      </c>
      <c r="F162" s="0" t="str">
        <f aca="false">B162&amp;"&gt;"&amp;C162</f>
        <v>ds-shipments&gt;ds-warehouses</v>
      </c>
      <c r="G162" s="6" t="b">
        <f aca="false">COUNTIFS($F$4:$F$163,F162,$D$4:$D$163,"declared")&gt;0</f>
        <v>1</v>
      </c>
      <c r="H162" s="6" t="b">
        <f aca="false">COUNTIFS($F$4:$F$163,F162,$D$4:$D$163,"observed")&gt;0</f>
        <v>1</v>
      </c>
      <c r="I162" s="6" t="b">
        <f aca="false">AND(D162="observed",G162)</f>
        <v>1</v>
      </c>
    </row>
    <row r="163" customFormat="false" ht="15" hidden="false" customHeight="false" outlineLevel="0" collapsed="false">
      <c r="A163" s="4" t="s">
        <v>1070</v>
      </c>
      <c r="B163" s="4" t="s">
        <v>119</v>
      </c>
      <c r="C163" s="4" t="s">
        <v>126</v>
      </c>
      <c r="D163" s="4" t="s">
        <v>1001</v>
      </c>
      <c r="E163" s="5" t="n">
        <v>46247.8493055556</v>
      </c>
      <c r="F163" s="0" t="str">
        <f aca="false">B163&amp;"&gt;"&amp;C163</f>
        <v>ds-refunds&gt;ds-support-agents</v>
      </c>
      <c r="G163" s="6" t="b">
        <f aca="false">COUNTIFS($F$4:$F$163,F163,$D$4:$D$163,"declared")&gt;0</f>
        <v>0</v>
      </c>
      <c r="H163" s="6" t="b">
        <f aca="false">COUNTIFS($F$4:$F$163,F163,$D$4:$D$163,"observed")&gt;0</f>
        <v>1</v>
      </c>
      <c r="I163" s="6" t="b">
        <f aca="false">AND(D163="observed",G163)</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4" min="4" style="0" width="40"/>
  </cols>
  <sheetData>
    <row r="1" customFormat="false" ht="17.35" hidden="false" customHeight="false" outlineLevel="0" collapsed="false">
      <c r="A1" s="1" t="s">
        <v>1071</v>
      </c>
    </row>
    <row r="2" customFormat="false" ht="15" hidden="false" customHeight="false" outlineLevel="0" collapsed="false">
      <c r="A2" s="0" t="s">
        <v>1072</v>
      </c>
    </row>
    <row r="3" customFormat="false" ht="41.75" hidden="false" customHeight="false" outlineLevel="0" collapsed="false">
      <c r="A3" s="7" t="s">
        <v>1073</v>
      </c>
      <c r="B3" s="7" t="s">
        <v>1074</v>
      </c>
      <c r="C3" s="7" t="s">
        <v>263</v>
      </c>
      <c r="D3" s="7" t="s">
        <v>1075</v>
      </c>
      <c r="E3" s="7" t="s">
        <v>1076</v>
      </c>
      <c r="F3" s="7" t="s">
        <v>1077</v>
      </c>
      <c r="G3" s="7" t="s">
        <v>1078</v>
      </c>
      <c r="H3" s="7" t="s">
        <v>1079</v>
      </c>
      <c r="I3" s="7" t="s">
        <v>1080</v>
      </c>
      <c r="J3" s="7" t="s">
        <v>1081</v>
      </c>
      <c r="K3" s="7" t="s">
        <v>1082</v>
      </c>
      <c r="L3" s="7" t="s">
        <v>1083</v>
      </c>
      <c r="M3" s="7" t="s">
        <v>1084</v>
      </c>
      <c r="N3" s="7" t="s">
        <v>1085</v>
      </c>
    </row>
    <row r="4" customFormat="false" ht="15" hidden="false" customHeight="false" outlineLevel="0" collapsed="false">
      <c r="A4" s="4" t="s">
        <v>1086</v>
      </c>
      <c r="B4" s="4" t="n">
        <v>1</v>
      </c>
      <c r="C4" s="4" t="s">
        <v>330</v>
      </c>
      <c r="D4" s="4" t="s">
        <v>1087</v>
      </c>
      <c r="E4" s="4" t="s">
        <v>1088</v>
      </c>
      <c r="F4" s="4" t="s">
        <v>1089</v>
      </c>
      <c r="G4" s="4" t="n">
        <v>3</v>
      </c>
      <c r="H4" s="13" t="b">
        <f aca="false">FALSE()</f>
        <v>0</v>
      </c>
      <c r="I4" s="6" t="b">
        <f aca="false">LEN(TRIM(D4))&gt;0</f>
        <v>1</v>
      </c>
      <c r="J4" s="6" t="b">
        <f aca="false">LEN(TRIM(E4))&gt;0</f>
        <v>1</v>
      </c>
      <c r="K4" s="6" t="b">
        <f aca="false">LEN(TRIM(F4))&gt;0</f>
        <v>1</v>
      </c>
      <c r="L4" s="6" t="b">
        <f aca="false">AND(G4&gt;0,NOT(H4))</f>
        <v>1</v>
      </c>
      <c r="M4" s="6" t="b">
        <f aca="false">COUNTIF(Owners!$A$4:$A$21,C4)&gt;0</f>
        <v>1</v>
      </c>
      <c r="N4" s="6" t="b">
        <f aca="false">AND(I4,J4,K4,L4,M4)</f>
        <v>1</v>
      </c>
    </row>
    <row r="5" customFormat="false" ht="15" hidden="false" customHeight="false" outlineLevel="0" collapsed="false">
      <c r="A5" s="4" t="s">
        <v>1090</v>
      </c>
      <c r="B5" s="4" t="n">
        <v>1</v>
      </c>
      <c r="C5" s="4" t="s">
        <v>497</v>
      </c>
      <c r="D5" s="4" t="s">
        <v>1091</v>
      </c>
      <c r="E5" s="4"/>
      <c r="F5" s="4" t="s">
        <v>1092</v>
      </c>
      <c r="G5" s="4" t="n">
        <v>3</v>
      </c>
      <c r="H5" s="13" t="b">
        <f aca="false">FALSE()</f>
        <v>0</v>
      </c>
      <c r="I5" s="6" t="b">
        <f aca="false">LEN(TRIM(D5))&gt;0</f>
        <v>1</v>
      </c>
      <c r="J5" s="6" t="b">
        <f aca="false">LEN(TRIM(E5))&gt;0</f>
        <v>0</v>
      </c>
      <c r="K5" s="6" t="b">
        <f aca="false">LEN(TRIM(F5))&gt;0</f>
        <v>1</v>
      </c>
      <c r="L5" s="6" t="b">
        <f aca="false">AND(G5&gt;0,NOT(H5))</f>
        <v>1</v>
      </c>
      <c r="M5" s="6" t="b">
        <f aca="false">COUNTIF(Owners!$A$4:$A$21,C5)&gt;0</f>
        <v>1</v>
      </c>
      <c r="N5" s="6" t="b">
        <f aca="false">AND(I5,J5,K5,L5,M5)</f>
        <v>0</v>
      </c>
    </row>
    <row r="6" customFormat="false" ht="15" hidden="false" customHeight="false" outlineLevel="0" collapsed="false">
      <c r="A6" s="4" t="s">
        <v>1093</v>
      </c>
      <c r="B6" s="4" t="n">
        <v>2</v>
      </c>
      <c r="C6" s="4" t="s">
        <v>358</v>
      </c>
      <c r="D6" s="4" t="s">
        <v>1094</v>
      </c>
      <c r="E6" s="4" t="s">
        <v>1088</v>
      </c>
      <c r="F6" s="4" t="s">
        <v>1089</v>
      </c>
      <c r="G6" s="4" t="n">
        <v>2</v>
      </c>
      <c r="H6" s="13" t="b">
        <f aca="false">FALSE()</f>
        <v>0</v>
      </c>
      <c r="I6" s="6" t="b">
        <f aca="false">LEN(TRIM(D6))&gt;0</f>
        <v>1</v>
      </c>
      <c r="J6" s="6" t="b">
        <f aca="false">LEN(TRIM(E6))&gt;0</f>
        <v>1</v>
      </c>
      <c r="K6" s="6" t="b">
        <f aca="false">LEN(TRIM(F6))&gt;0</f>
        <v>1</v>
      </c>
      <c r="L6" s="6" t="b">
        <f aca="false">AND(G6&gt;0,NOT(H6))</f>
        <v>1</v>
      </c>
      <c r="M6" s="6" t="b">
        <f aca="false">COUNTIF(Owners!$A$4:$A$21,C6)&gt;0</f>
        <v>1</v>
      </c>
      <c r="N6" s="6" t="b">
        <f aca="false">AND(I6,J6,K6,L6,M6)</f>
        <v>1</v>
      </c>
    </row>
    <row r="7" customFormat="false" ht="15" hidden="false" customHeight="false" outlineLevel="0" collapsed="false">
      <c r="A7" s="4" t="s">
        <v>1095</v>
      </c>
      <c r="B7" s="4" t="n">
        <v>2</v>
      </c>
      <c r="C7" s="4" t="s">
        <v>320</v>
      </c>
      <c r="D7" s="4" t="s">
        <v>1096</v>
      </c>
      <c r="E7" s="4" t="s">
        <v>1097</v>
      </c>
      <c r="F7" s="4" t="s">
        <v>1098</v>
      </c>
      <c r="G7" s="4" t="n">
        <v>0</v>
      </c>
      <c r="H7" s="13" t="b">
        <f aca="false">FALSE()</f>
        <v>0</v>
      </c>
      <c r="I7" s="6" t="b">
        <f aca="false">LEN(TRIM(D7))&gt;0</f>
        <v>1</v>
      </c>
      <c r="J7" s="6" t="b">
        <f aca="false">LEN(TRIM(E7))&gt;0</f>
        <v>1</v>
      </c>
      <c r="K7" s="6" t="b">
        <f aca="false">LEN(TRIM(F7))&gt;0</f>
        <v>1</v>
      </c>
      <c r="L7" s="6" t="b">
        <f aca="false">AND(G7&gt;0,NOT(H7))</f>
        <v>0</v>
      </c>
      <c r="M7" s="6" t="b">
        <f aca="false">COUNTIF(Owners!$A$4:$A$21,C7)&gt;0</f>
        <v>1</v>
      </c>
      <c r="N7" s="6" t="b">
        <f aca="false">AND(I7,J7,K7,L7,M7)</f>
        <v>0</v>
      </c>
    </row>
    <row r="8" customFormat="false" ht="15" hidden="false" customHeight="false" outlineLevel="0" collapsed="false">
      <c r="A8" s="4" t="s">
        <v>1099</v>
      </c>
      <c r="B8" s="4" t="n">
        <v>2</v>
      </c>
      <c r="C8" s="4" t="s">
        <v>497</v>
      </c>
      <c r="D8" s="4" t="s">
        <v>1100</v>
      </c>
      <c r="E8" s="4" t="s">
        <v>1101</v>
      </c>
      <c r="F8" s="4" t="s">
        <v>1092</v>
      </c>
      <c r="G8" s="4" t="n">
        <v>3</v>
      </c>
      <c r="H8" s="13" t="b">
        <f aca="false">FALSE()</f>
        <v>0</v>
      </c>
      <c r="I8" s="6" t="b">
        <f aca="false">LEN(TRIM(D8))&gt;0</f>
        <v>1</v>
      </c>
      <c r="J8" s="6" t="b">
        <f aca="false">LEN(TRIM(E8))&gt;0</f>
        <v>1</v>
      </c>
      <c r="K8" s="6" t="b">
        <f aca="false">LEN(TRIM(F8))&gt;0</f>
        <v>1</v>
      </c>
      <c r="L8" s="6" t="b">
        <f aca="false">AND(G8&gt;0,NOT(H8))</f>
        <v>1</v>
      </c>
      <c r="M8" s="6" t="b">
        <f aca="false">COUNTIF(Owners!$A$4:$A$21,C8)&gt;0</f>
        <v>1</v>
      </c>
      <c r="N8" s="6" t="b">
        <f aca="false">AND(I8,J8,K8,L8,M8)</f>
        <v>1</v>
      </c>
    </row>
    <row r="9" customFormat="false" ht="15" hidden="false" customHeight="false" outlineLevel="0" collapsed="false">
      <c r="A9" s="4" t="s">
        <v>1102</v>
      </c>
      <c r="B9" s="4" t="n">
        <v>2</v>
      </c>
      <c r="C9" s="4" t="s">
        <v>301</v>
      </c>
      <c r="D9" s="4" t="s">
        <v>1103</v>
      </c>
      <c r="E9" s="4" t="s">
        <v>1088</v>
      </c>
      <c r="F9" s="4" t="s">
        <v>1089</v>
      </c>
      <c r="G9" s="4" t="n">
        <v>3</v>
      </c>
      <c r="H9" s="13" t="b">
        <f aca="false">FALSE()</f>
        <v>0</v>
      </c>
      <c r="I9" s="6" t="b">
        <f aca="false">LEN(TRIM(D9))&gt;0</f>
        <v>0</v>
      </c>
      <c r="J9" s="6" t="b">
        <f aca="false">LEN(TRIM(E9))&gt;0</f>
        <v>1</v>
      </c>
      <c r="K9" s="6" t="b">
        <f aca="false">LEN(TRIM(F9))&gt;0</f>
        <v>1</v>
      </c>
      <c r="L9" s="6" t="b">
        <f aca="false">AND(G9&gt;0,NOT(H9))</f>
        <v>1</v>
      </c>
      <c r="M9" s="6" t="b">
        <f aca="false">COUNTIF(Owners!$A$4:$A$21,C9)&gt;0</f>
        <v>1</v>
      </c>
      <c r="N9" s="6" t="b">
        <f aca="false">AND(I9,J9,K9,L9,M9)</f>
        <v>0</v>
      </c>
    </row>
    <row r="10" customFormat="false" ht="15" hidden="false" customHeight="false" outlineLevel="0" collapsed="false">
      <c r="A10" s="4" t="s">
        <v>1104</v>
      </c>
      <c r="B10" s="4" t="n">
        <v>1</v>
      </c>
      <c r="C10" s="4" t="s">
        <v>553</v>
      </c>
      <c r="D10" s="4" t="s">
        <v>1105</v>
      </c>
      <c r="E10" s="4" t="s">
        <v>1106</v>
      </c>
      <c r="F10" s="4" t="s">
        <v>1089</v>
      </c>
      <c r="G10" s="4" t="n">
        <v>1</v>
      </c>
      <c r="H10" s="13" t="b">
        <f aca="false">FALSE()</f>
        <v>0</v>
      </c>
      <c r="I10" s="6" t="b">
        <f aca="false">LEN(TRIM(D10))&gt;0</f>
        <v>1</v>
      </c>
      <c r="J10" s="6" t="b">
        <f aca="false">LEN(TRIM(E10))&gt;0</f>
        <v>1</v>
      </c>
      <c r="K10" s="6" t="b">
        <f aca="false">LEN(TRIM(F10))&gt;0</f>
        <v>1</v>
      </c>
      <c r="L10" s="6" t="b">
        <f aca="false">AND(G10&gt;0,NOT(H10))</f>
        <v>1</v>
      </c>
      <c r="M10" s="6" t="b">
        <f aca="false">COUNTIF(Owners!$A$4:$A$21,C10)&gt;0</f>
        <v>1</v>
      </c>
      <c r="N10" s="6" t="b">
        <f aca="false">AND(I10,J10,K10,L10,M10)</f>
        <v>1</v>
      </c>
    </row>
    <row r="11" customFormat="false" ht="15" hidden="false" customHeight="false" outlineLevel="0" collapsed="false">
      <c r="A11" s="4" t="s">
        <v>1107</v>
      </c>
      <c r="B11" s="4" t="n">
        <v>2</v>
      </c>
      <c r="C11" s="4" t="s">
        <v>292</v>
      </c>
      <c r="D11" s="4" t="s">
        <v>1108</v>
      </c>
      <c r="E11" s="4" t="s">
        <v>1088</v>
      </c>
      <c r="G11" s="4" t="n">
        <v>2</v>
      </c>
      <c r="H11" s="13" t="b">
        <f aca="false">FALSE()</f>
        <v>0</v>
      </c>
      <c r="I11" s="6" t="b">
        <f aca="false">LEN(TRIM(D11))&gt;0</f>
        <v>1</v>
      </c>
      <c r="J11" s="6" t="b">
        <f aca="false">LEN(TRIM(E11))&gt;0</f>
        <v>1</v>
      </c>
      <c r="K11" s="6" t="b">
        <f aca="false">LEN(TRIM(F11))&gt;0</f>
        <v>0</v>
      </c>
      <c r="L11" s="6" t="b">
        <f aca="false">AND(G11&gt;0,NOT(H11))</f>
        <v>1</v>
      </c>
      <c r="M11" s="6" t="b">
        <f aca="false">COUNTIF(Owners!$A$4:$A$21,C11)&gt;0</f>
        <v>1</v>
      </c>
      <c r="N11" s="6" t="b">
        <f aca="false">AND(I11,J11,K11,L11,M11)</f>
        <v>0</v>
      </c>
    </row>
    <row r="12" customFormat="false" ht="15" hidden="false" customHeight="false" outlineLevel="0" collapsed="false">
      <c r="A12" s="4" t="s">
        <v>1109</v>
      </c>
      <c r="B12" s="4" t="n">
        <v>1</v>
      </c>
      <c r="C12" s="4" t="s">
        <v>326</v>
      </c>
      <c r="D12" s="4" t="s">
        <v>1110</v>
      </c>
      <c r="E12" s="4" t="s">
        <v>1101</v>
      </c>
      <c r="F12" s="4" t="s">
        <v>1098</v>
      </c>
      <c r="G12" s="4" t="n">
        <v>3</v>
      </c>
      <c r="H12" s="13" t="b">
        <f aca="false">FALSE()</f>
        <v>0</v>
      </c>
      <c r="I12" s="6" t="b">
        <f aca="false">LEN(TRIM(D12))&gt;0</f>
        <v>1</v>
      </c>
      <c r="J12" s="6" t="b">
        <f aca="false">LEN(TRIM(E12))&gt;0</f>
        <v>1</v>
      </c>
      <c r="K12" s="6" t="b">
        <f aca="false">LEN(TRIM(F12))&gt;0</f>
        <v>1</v>
      </c>
      <c r="L12" s="6" t="b">
        <f aca="false">AND(G12&gt;0,NOT(H12))</f>
        <v>1</v>
      </c>
      <c r="M12" s="6" t="b">
        <f aca="false">COUNTIF(Owners!$A$4:$A$21,C12)&gt;0</f>
        <v>1</v>
      </c>
      <c r="N12" s="6" t="b">
        <f aca="false">AND(I12,J12,K12,L12,M12)</f>
        <v>1</v>
      </c>
    </row>
    <row r="13" customFormat="false" ht="15" hidden="false" customHeight="false" outlineLevel="0" collapsed="false">
      <c r="A13" s="4" t="s">
        <v>1111</v>
      </c>
      <c r="B13" s="4" t="n">
        <v>1</v>
      </c>
      <c r="C13" s="4" t="s">
        <v>283</v>
      </c>
      <c r="D13" s="4" t="s">
        <v>1112</v>
      </c>
      <c r="E13" s="4" t="s">
        <v>1097</v>
      </c>
      <c r="F13" s="4" t="s">
        <v>1089</v>
      </c>
      <c r="G13" s="4" t="n">
        <v>2</v>
      </c>
      <c r="H13" s="13" t="b">
        <f aca="false">FALSE()</f>
        <v>0</v>
      </c>
      <c r="I13" s="6" t="b">
        <f aca="false">LEN(TRIM(D13))&gt;0</f>
        <v>1</v>
      </c>
      <c r="J13" s="6" t="b">
        <f aca="false">LEN(TRIM(E13))&gt;0</f>
        <v>1</v>
      </c>
      <c r="K13" s="6" t="b">
        <f aca="false">LEN(TRIM(F13))&gt;0</f>
        <v>1</v>
      </c>
      <c r="L13" s="6" t="b">
        <f aca="false">AND(G13&gt;0,NOT(H13))</f>
        <v>1</v>
      </c>
      <c r="M13" s="6" t="b">
        <f aca="false">COUNTIF(Owners!$A$4:$A$21,C13)&gt;0</f>
        <v>1</v>
      </c>
      <c r="N13" s="6" t="b">
        <f aca="false">AND(I13,J13,K13,L13,M13)</f>
        <v>1</v>
      </c>
    </row>
    <row r="14" customFormat="false" ht="15" hidden="false" customHeight="false" outlineLevel="0" collapsed="false">
      <c r="A14" s="4" t="s">
        <v>1113</v>
      </c>
      <c r="B14" s="4" t="n">
        <v>1</v>
      </c>
      <c r="C14" s="4" t="s">
        <v>358</v>
      </c>
      <c r="D14" s="4" t="s">
        <v>1114</v>
      </c>
      <c r="E14" s="4" t="s">
        <v>1115</v>
      </c>
      <c r="F14" s="4" t="s">
        <v>1089</v>
      </c>
      <c r="G14" s="4" t="n">
        <v>3</v>
      </c>
      <c r="H14" s="13" t="b">
        <f aca="false">FALSE()</f>
        <v>0</v>
      </c>
      <c r="I14" s="6" t="b">
        <f aca="false">LEN(TRIM(D14))&gt;0</f>
        <v>1</v>
      </c>
      <c r="J14" s="6" t="b">
        <f aca="false">LEN(TRIM(E14))&gt;0</f>
        <v>1</v>
      </c>
      <c r="K14" s="6" t="b">
        <f aca="false">LEN(TRIM(F14))&gt;0</f>
        <v>1</v>
      </c>
      <c r="L14" s="6" t="b">
        <f aca="false">AND(G14&gt;0,NOT(H14))</f>
        <v>1</v>
      </c>
      <c r="M14" s="6" t="b">
        <f aca="false">COUNTIF(Owners!$A$4:$A$21,C14)&gt;0</f>
        <v>1</v>
      </c>
      <c r="N14" s="6" t="b">
        <f aca="false">AND(I14,J14,K14,L14,M14)</f>
        <v>1</v>
      </c>
    </row>
    <row r="15" customFormat="false" ht="15" hidden="false" customHeight="false" outlineLevel="0" collapsed="false">
      <c r="A15" s="4" t="s">
        <v>1116</v>
      </c>
      <c r="B15" s="4" t="n">
        <v>1</v>
      </c>
      <c r="C15" s="4" t="s">
        <v>288</v>
      </c>
      <c r="D15" s="4" t="s">
        <v>1117</v>
      </c>
      <c r="E15" s="4" t="s">
        <v>1118</v>
      </c>
      <c r="F15" s="4" t="s">
        <v>1089</v>
      </c>
      <c r="G15" s="4" t="n">
        <v>2</v>
      </c>
      <c r="H15" s="13" t="b">
        <f aca="false">FALSE()</f>
        <v>0</v>
      </c>
      <c r="I15" s="6" t="b">
        <f aca="false">LEN(TRIM(D15))&gt;0</f>
        <v>1</v>
      </c>
      <c r="J15" s="6" t="b">
        <f aca="false">LEN(TRIM(E15))&gt;0</f>
        <v>1</v>
      </c>
      <c r="K15" s="6" t="b">
        <f aca="false">LEN(TRIM(F15))&gt;0</f>
        <v>1</v>
      </c>
      <c r="L15" s="6" t="b">
        <f aca="false">AND(G15&gt;0,NOT(H15))</f>
        <v>1</v>
      </c>
      <c r="M15" s="6" t="b">
        <f aca="false">COUNTIF(Owners!$A$4:$A$21,C15)&gt;0</f>
        <v>1</v>
      </c>
      <c r="N15" s="6" t="b">
        <f aca="false">AND(I15,J15,K15,L15,M15)</f>
        <v>1</v>
      </c>
    </row>
    <row r="16" customFormat="false" ht="15" hidden="false" customHeight="false" outlineLevel="0" collapsed="false">
      <c r="A16" s="4" t="s">
        <v>1119</v>
      </c>
      <c r="B16" s="4" t="n">
        <v>2</v>
      </c>
      <c r="C16" s="4" t="s">
        <v>553</v>
      </c>
      <c r="D16" s="4" t="s">
        <v>1120</v>
      </c>
      <c r="E16" s="4"/>
      <c r="F16" s="4" t="s">
        <v>1089</v>
      </c>
      <c r="G16" s="4" t="n">
        <v>3</v>
      </c>
      <c r="H16" s="13" t="b">
        <f aca="false">FALSE()</f>
        <v>0</v>
      </c>
      <c r="I16" s="6" t="b">
        <f aca="false">LEN(TRIM(D16))&gt;0</f>
        <v>1</v>
      </c>
      <c r="J16" s="6" t="b">
        <f aca="false">LEN(TRIM(E16))&gt;0</f>
        <v>0</v>
      </c>
      <c r="K16" s="6" t="b">
        <f aca="false">LEN(TRIM(F16))&gt;0</f>
        <v>1</v>
      </c>
      <c r="L16" s="6" t="b">
        <f aca="false">AND(G16&gt;0,NOT(H16))</f>
        <v>1</v>
      </c>
      <c r="M16" s="6" t="b">
        <f aca="false">COUNTIF(Owners!$A$4:$A$21,C16)&gt;0</f>
        <v>1</v>
      </c>
      <c r="N16" s="6" t="b">
        <f aca="false">AND(I16,J16,K16,L16,M16)</f>
        <v>0</v>
      </c>
    </row>
    <row r="17" customFormat="false" ht="15" hidden="false" customHeight="false" outlineLevel="0" collapsed="false">
      <c r="A17" s="4" t="s">
        <v>1121</v>
      </c>
      <c r="B17" s="4" t="n">
        <v>2</v>
      </c>
      <c r="C17" s="4" t="s">
        <v>290</v>
      </c>
      <c r="D17" s="4" t="s">
        <v>1122</v>
      </c>
      <c r="E17" s="4" t="s">
        <v>1101</v>
      </c>
      <c r="F17" s="4" t="s">
        <v>1089</v>
      </c>
      <c r="G17" s="4" t="n">
        <v>1</v>
      </c>
      <c r="H17" s="13" t="b">
        <f aca="false">FALSE()</f>
        <v>0</v>
      </c>
      <c r="I17" s="6" t="b">
        <f aca="false">LEN(TRIM(D17))&gt;0</f>
        <v>1</v>
      </c>
      <c r="J17" s="6" t="b">
        <f aca="false">LEN(TRIM(E17))&gt;0</f>
        <v>1</v>
      </c>
      <c r="K17" s="6" t="b">
        <f aca="false">LEN(TRIM(F17))&gt;0</f>
        <v>1</v>
      </c>
      <c r="L17" s="6" t="b">
        <f aca="false">AND(G17&gt;0,NOT(H17))</f>
        <v>1</v>
      </c>
      <c r="M17" s="6" t="b">
        <f aca="false">COUNTIF(Owners!$A$4:$A$21,C17)&gt;0</f>
        <v>1</v>
      </c>
      <c r="N17" s="6" t="b">
        <f aca="false">AND(I17,J17,K17,L17,M17)</f>
        <v>1</v>
      </c>
    </row>
    <row r="18" customFormat="false" ht="15" hidden="false" customHeight="false" outlineLevel="0" collapsed="false">
      <c r="A18" s="4" t="s">
        <v>1123</v>
      </c>
      <c r="B18" s="4" t="n">
        <v>1</v>
      </c>
      <c r="C18" s="4" t="s">
        <v>301</v>
      </c>
      <c r="D18" s="4" t="s">
        <v>1124</v>
      </c>
      <c r="E18" s="4" t="s">
        <v>1097</v>
      </c>
      <c r="F18" s="4" t="s">
        <v>1092</v>
      </c>
      <c r="G18" s="4" t="n">
        <v>2</v>
      </c>
      <c r="H18" s="13" t="b">
        <f aca="false">FALSE()</f>
        <v>0</v>
      </c>
      <c r="I18" s="6" t="b">
        <f aca="false">LEN(TRIM(D18))&gt;0</f>
        <v>1</v>
      </c>
      <c r="J18" s="6" t="b">
        <f aca="false">LEN(TRIM(E18))&gt;0</f>
        <v>1</v>
      </c>
      <c r="K18" s="6" t="b">
        <f aca="false">LEN(TRIM(F18))&gt;0</f>
        <v>1</v>
      </c>
      <c r="L18" s="6" t="b">
        <f aca="false">AND(G18&gt;0,NOT(H18))</f>
        <v>1</v>
      </c>
      <c r="M18" s="6" t="b">
        <f aca="false">COUNTIF(Owners!$A$4:$A$21,C18)&gt;0</f>
        <v>1</v>
      </c>
      <c r="N18" s="6" t="b">
        <f aca="false">AND(I18,J18,K18,L18,M18)</f>
        <v>1</v>
      </c>
    </row>
    <row r="19" customFormat="false" ht="15" hidden="false" customHeight="false" outlineLevel="0" collapsed="false">
      <c r="A19" s="4" t="s">
        <v>1125</v>
      </c>
      <c r="B19" s="4" t="n">
        <v>1</v>
      </c>
      <c r="C19" s="4" t="s">
        <v>301</v>
      </c>
      <c r="D19" s="4" t="s">
        <v>1126</v>
      </c>
      <c r="E19" s="4" t="s">
        <v>1115</v>
      </c>
      <c r="F19" s="4" t="s">
        <v>1089</v>
      </c>
      <c r="G19" s="4" t="n">
        <v>1</v>
      </c>
      <c r="H19" s="13" t="b">
        <f aca="false">FALSE()</f>
        <v>0</v>
      </c>
      <c r="I19" s="6" t="b">
        <f aca="false">LEN(TRIM(D19))&gt;0</f>
        <v>1</v>
      </c>
      <c r="J19" s="6" t="b">
        <f aca="false">LEN(TRIM(E19))&gt;0</f>
        <v>1</v>
      </c>
      <c r="K19" s="6" t="b">
        <f aca="false">LEN(TRIM(F19))&gt;0</f>
        <v>1</v>
      </c>
      <c r="L19" s="6" t="b">
        <f aca="false">AND(G19&gt;0,NOT(H19))</f>
        <v>1</v>
      </c>
      <c r="M19" s="6" t="b">
        <f aca="false">COUNTIF(Owners!$A$4:$A$21,C19)&gt;0</f>
        <v>1</v>
      </c>
      <c r="N19" s="6" t="b">
        <f aca="false">AND(I19,J19,K19,L19,M19)</f>
        <v>1</v>
      </c>
    </row>
    <row r="20" customFormat="false" ht="15" hidden="false" customHeight="false" outlineLevel="0" collapsed="false">
      <c r="A20" s="4" t="s">
        <v>1127</v>
      </c>
      <c r="B20" s="4" t="n">
        <v>2</v>
      </c>
      <c r="C20" s="4" t="s">
        <v>330</v>
      </c>
      <c r="D20" s="4" t="s">
        <v>1128</v>
      </c>
      <c r="E20" s="4" t="s">
        <v>1088</v>
      </c>
      <c r="F20" s="4" t="s">
        <v>1089</v>
      </c>
      <c r="G20" s="4" t="n">
        <v>2</v>
      </c>
      <c r="H20" s="13" t="b">
        <f aca="false">FALSE()</f>
        <v>0</v>
      </c>
      <c r="I20" s="6" t="b">
        <f aca="false">LEN(TRIM(D20))&gt;0</f>
        <v>1</v>
      </c>
      <c r="J20" s="6" t="b">
        <f aca="false">LEN(TRIM(E20))&gt;0</f>
        <v>1</v>
      </c>
      <c r="K20" s="6" t="b">
        <f aca="false">LEN(TRIM(F20))&gt;0</f>
        <v>1</v>
      </c>
      <c r="L20" s="6" t="b">
        <f aca="false">AND(G20&gt;0,NOT(H20))</f>
        <v>1</v>
      </c>
      <c r="M20" s="6" t="b">
        <f aca="false">COUNTIF(Owners!$A$4:$A$21,C20)&gt;0</f>
        <v>1</v>
      </c>
      <c r="N20" s="6" t="b">
        <f aca="false">AND(I20,J20,K20,L20,M20)</f>
        <v>1</v>
      </c>
    </row>
    <row r="21" customFormat="false" ht="15" hidden="false" customHeight="false" outlineLevel="0" collapsed="false">
      <c r="A21" s="4" t="s">
        <v>1129</v>
      </c>
      <c r="B21" s="4" t="n">
        <v>1</v>
      </c>
      <c r="C21" s="4" t="s">
        <v>350</v>
      </c>
      <c r="D21" s="4" t="s">
        <v>1130</v>
      </c>
      <c r="E21" s="4" t="s">
        <v>1115</v>
      </c>
      <c r="F21" s="4" t="s">
        <v>1098</v>
      </c>
      <c r="G21" s="4" t="n">
        <v>2</v>
      </c>
      <c r="H21" s="13" t="b">
        <f aca="false">FALSE()</f>
        <v>0</v>
      </c>
      <c r="I21" s="6" t="b">
        <f aca="false">LEN(TRIM(D21))&gt;0</f>
        <v>1</v>
      </c>
      <c r="J21" s="6" t="b">
        <f aca="false">LEN(TRIM(E21))&gt;0</f>
        <v>1</v>
      </c>
      <c r="K21" s="6" t="b">
        <f aca="false">LEN(TRIM(F21))&gt;0</f>
        <v>1</v>
      </c>
      <c r="L21" s="6" t="b">
        <f aca="false">AND(G21&gt;0,NOT(H21))</f>
        <v>1</v>
      </c>
      <c r="M21" s="6" t="b">
        <f aca="false">COUNTIF(Owners!$A$4:$A$21,C21)&gt;0</f>
        <v>1</v>
      </c>
      <c r="N21" s="6" t="b">
        <f aca="false">AND(I21,J21,K21,L21,M21)</f>
        <v>1</v>
      </c>
    </row>
    <row r="22" customFormat="false" ht="15" hidden="false" customHeight="false" outlineLevel="0" collapsed="false">
      <c r="A22" s="4" t="s">
        <v>1131</v>
      </c>
      <c r="B22" s="4" t="n">
        <v>1</v>
      </c>
      <c r="C22" s="4" t="s">
        <v>553</v>
      </c>
      <c r="D22" s="4" t="s">
        <v>1132</v>
      </c>
      <c r="E22" s="4" t="s">
        <v>1097</v>
      </c>
      <c r="F22" s="4" t="s">
        <v>1089</v>
      </c>
      <c r="G22" s="4" t="n">
        <v>3</v>
      </c>
      <c r="H22" s="13" t="b">
        <f aca="false">FALSE()</f>
        <v>0</v>
      </c>
      <c r="I22" s="6" t="b">
        <f aca="false">LEN(TRIM(D22))&gt;0</f>
        <v>1</v>
      </c>
      <c r="J22" s="6" t="b">
        <f aca="false">LEN(TRIM(E22))&gt;0</f>
        <v>1</v>
      </c>
      <c r="K22" s="6" t="b">
        <f aca="false">LEN(TRIM(F22))&gt;0</f>
        <v>1</v>
      </c>
      <c r="L22" s="6" t="b">
        <f aca="false">AND(G22&gt;0,NOT(H22))</f>
        <v>1</v>
      </c>
      <c r="M22" s="6" t="b">
        <f aca="false">COUNTIF(Owners!$A$4:$A$21,C22)&gt;0</f>
        <v>1</v>
      </c>
      <c r="N22" s="6" t="b">
        <f aca="false">AND(I22,J22,K22,L22,M22)</f>
        <v>1</v>
      </c>
    </row>
    <row r="23" customFormat="false" ht="15" hidden="false" customHeight="false" outlineLevel="0" collapsed="false">
      <c r="A23" s="4" t="s">
        <v>1133</v>
      </c>
      <c r="B23" s="4" t="n">
        <v>1</v>
      </c>
      <c r="C23" s="4" t="s">
        <v>553</v>
      </c>
      <c r="D23" s="4" t="s">
        <v>1134</v>
      </c>
      <c r="E23" s="4" t="s">
        <v>1115</v>
      </c>
      <c r="F23" s="4" t="s">
        <v>1098</v>
      </c>
      <c r="G23" s="4" t="n">
        <v>2</v>
      </c>
      <c r="H23" s="13" t="b">
        <f aca="false">FALSE()</f>
        <v>0</v>
      </c>
      <c r="I23" s="6" t="b">
        <f aca="false">LEN(TRIM(D23))&gt;0</f>
        <v>1</v>
      </c>
      <c r="J23" s="6" t="b">
        <f aca="false">LEN(TRIM(E23))&gt;0</f>
        <v>1</v>
      </c>
      <c r="K23" s="6" t="b">
        <f aca="false">LEN(TRIM(F23))&gt;0</f>
        <v>1</v>
      </c>
      <c r="L23" s="6" t="b">
        <f aca="false">AND(G23&gt;0,NOT(H23))</f>
        <v>1</v>
      </c>
      <c r="M23" s="6" t="b">
        <f aca="false">COUNTIF(Owners!$A$4:$A$21,C23)&gt;0</f>
        <v>1</v>
      </c>
      <c r="N23" s="6" t="b">
        <f aca="false">AND(I23,J23,K23,L23,M23)</f>
        <v>1</v>
      </c>
    </row>
    <row r="24" customFormat="false" ht="15" hidden="false" customHeight="false" outlineLevel="0" collapsed="false">
      <c r="A24" s="4" t="s">
        <v>1135</v>
      </c>
      <c r="B24" s="4" t="n">
        <v>2</v>
      </c>
      <c r="C24" s="4" t="s">
        <v>283</v>
      </c>
      <c r="D24" s="4" t="s">
        <v>1136</v>
      </c>
      <c r="E24" s="4" t="s">
        <v>1101</v>
      </c>
      <c r="F24" s="4" t="s">
        <v>1089</v>
      </c>
      <c r="G24" s="4" t="n">
        <v>1</v>
      </c>
      <c r="H24" s="13" t="b">
        <f aca="false">FALSE()</f>
        <v>0</v>
      </c>
      <c r="I24" s="6" t="b">
        <f aca="false">LEN(TRIM(D24))&gt;0</f>
        <v>1</v>
      </c>
      <c r="J24" s="6" t="b">
        <f aca="false">LEN(TRIM(E24))&gt;0</f>
        <v>1</v>
      </c>
      <c r="K24" s="6" t="b">
        <f aca="false">LEN(TRIM(F24))&gt;0</f>
        <v>1</v>
      </c>
      <c r="L24" s="6" t="b">
        <f aca="false">AND(G24&gt;0,NOT(H24))</f>
        <v>1</v>
      </c>
      <c r="M24" s="6" t="b">
        <f aca="false">COUNTIF(Owners!$A$4:$A$21,C24)&gt;0</f>
        <v>1</v>
      </c>
      <c r="N24" s="6" t="b">
        <f aca="false">AND(I24,J24,K24,L24,M24)</f>
        <v>1</v>
      </c>
    </row>
    <row r="25" customFormat="false" ht="15" hidden="false" customHeight="false" outlineLevel="0" collapsed="false">
      <c r="A25" s="4" t="s">
        <v>1137</v>
      </c>
      <c r="B25" s="4" t="n">
        <v>2</v>
      </c>
      <c r="D25" s="4" t="s">
        <v>1138</v>
      </c>
      <c r="E25" s="4" t="s">
        <v>1106</v>
      </c>
      <c r="F25" s="4" t="s">
        <v>1098</v>
      </c>
      <c r="G25" s="4" t="n">
        <v>1</v>
      </c>
      <c r="H25" s="13" t="b">
        <f aca="false">FALSE()</f>
        <v>0</v>
      </c>
      <c r="I25" s="6" t="b">
        <f aca="false">LEN(TRIM(D25))&gt;0</f>
        <v>1</v>
      </c>
      <c r="J25" s="6" t="b">
        <f aca="false">LEN(TRIM(E25))&gt;0</f>
        <v>1</v>
      </c>
      <c r="K25" s="6" t="b">
        <f aca="false">LEN(TRIM(F25))&gt;0</f>
        <v>1</v>
      </c>
      <c r="L25" s="6" t="b">
        <f aca="false">AND(G25&gt;0,NOT(H25))</f>
        <v>1</v>
      </c>
      <c r="M25" s="6" t="b">
        <f aca="false">COUNTIF(Owners!$A$4:$A$21,C25)&gt;0</f>
        <v>0</v>
      </c>
      <c r="N25" s="6" t="b">
        <f aca="false">AND(I25,J25,K25,L25,M25)</f>
        <v>0</v>
      </c>
    </row>
    <row r="26" customFormat="false" ht="15" hidden="false" customHeight="false" outlineLevel="0" collapsed="false">
      <c r="A26" s="4" t="s">
        <v>1139</v>
      </c>
      <c r="B26" s="4" t="n">
        <v>1</v>
      </c>
      <c r="C26" s="4" t="s">
        <v>296</v>
      </c>
      <c r="D26" s="4" t="s">
        <v>1140</v>
      </c>
      <c r="E26" s="4" t="s">
        <v>1115</v>
      </c>
      <c r="F26" s="4" t="s">
        <v>1089</v>
      </c>
      <c r="G26" s="4" t="n">
        <v>1</v>
      </c>
      <c r="H26" s="13" t="b">
        <f aca="false">FALSE()</f>
        <v>0</v>
      </c>
      <c r="I26" s="6" t="b">
        <f aca="false">LEN(TRIM(D26))&gt;0</f>
        <v>1</v>
      </c>
      <c r="J26" s="6" t="b">
        <f aca="false">LEN(TRIM(E26))&gt;0</f>
        <v>1</v>
      </c>
      <c r="K26" s="6" t="b">
        <f aca="false">LEN(TRIM(F26))&gt;0</f>
        <v>1</v>
      </c>
      <c r="L26" s="6" t="b">
        <f aca="false">AND(G26&gt;0,NOT(H26))</f>
        <v>1</v>
      </c>
      <c r="M26" s="6" t="b">
        <f aca="false">COUNTIF(Owners!$A$4:$A$21,C26)&gt;0</f>
        <v>1</v>
      </c>
      <c r="N26" s="6" t="b">
        <f aca="false">AND(I26,J26,K26,L26,M26)</f>
        <v>1</v>
      </c>
    </row>
    <row r="27" customFormat="false" ht="15" hidden="false" customHeight="false" outlineLevel="0" collapsed="false">
      <c r="A27" s="4" t="s">
        <v>1141</v>
      </c>
      <c r="B27" s="4" t="n">
        <v>2</v>
      </c>
      <c r="C27" s="4" t="s">
        <v>553</v>
      </c>
      <c r="D27" s="4" t="s">
        <v>1142</v>
      </c>
      <c r="E27" s="4" t="s">
        <v>1088</v>
      </c>
      <c r="F27" s="4" t="s">
        <v>1098</v>
      </c>
      <c r="G27" s="4" t="n">
        <v>2</v>
      </c>
      <c r="H27" s="13" t="b">
        <f aca="false">FALSE()</f>
        <v>0</v>
      </c>
      <c r="I27" s="6" t="b">
        <f aca="false">LEN(TRIM(D27))&gt;0</f>
        <v>1</v>
      </c>
      <c r="J27" s="6" t="b">
        <f aca="false">LEN(TRIM(E27))&gt;0</f>
        <v>1</v>
      </c>
      <c r="K27" s="6" t="b">
        <f aca="false">LEN(TRIM(F27))&gt;0</f>
        <v>1</v>
      </c>
      <c r="L27" s="6" t="b">
        <f aca="false">AND(G27&gt;0,NOT(H27))</f>
        <v>1</v>
      </c>
      <c r="M27" s="6" t="b">
        <f aca="false">COUNTIF(Owners!$A$4:$A$21,C27)&gt;0</f>
        <v>1</v>
      </c>
      <c r="N27" s="6" t="b">
        <f aca="false">AND(I27,J27,K27,L27,M27)</f>
        <v>1</v>
      </c>
    </row>
    <row r="28" customFormat="false" ht="15" hidden="false" customHeight="false" outlineLevel="0" collapsed="false">
      <c r="A28" s="4" t="s">
        <v>1143</v>
      </c>
      <c r="B28" s="4" t="n">
        <v>2</v>
      </c>
      <c r="C28" s="4" t="s">
        <v>350</v>
      </c>
      <c r="D28" s="4" t="s">
        <v>1144</v>
      </c>
      <c r="E28" s="4" t="s">
        <v>1118</v>
      </c>
      <c r="F28" s="4" t="s">
        <v>1092</v>
      </c>
      <c r="G28" s="4" t="n">
        <v>1</v>
      </c>
      <c r="H28" s="13" t="b">
        <f aca="false">FALSE()</f>
        <v>0</v>
      </c>
      <c r="I28" s="6" t="b">
        <f aca="false">LEN(TRIM(D28))&gt;0</f>
        <v>1</v>
      </c>
      <c r="J28" s="6" t="b">
        <f aca="false">LEN(TRIM(E28))&gt;0</f>
        <v>1</v>
      </c>
      <c r="K28" s="6" t="b">
        <f aca="false">LEN(TRIM(F28))&gt;0</f>
        <v>1</v>
      </c>
      <c r="L28" s="6" t="b">
        <f aca="false">AND(G28&gt;0,NOT(H28))</f>
        <v>1</v>
      </c>
      <c r="M28" s="6" t="b">
        <f aca="false">COUNTIF(Owners!$A$4:$A$21,C28)&gt;0</f>
        <v>1</v>
      </c>
      <c r="N28" s="6" t="b">
        <f aca="false">AND(I28,J28,K28,L28,M28)</f>
        <v>1</v>
      </c>
    </row>
    <row r="29" customFormat="false" ht="15" hidden="false" customHeight="false" outlineLevel="0" collapsed="false">
      <c r="A29" s="4" t="s">
        <v>1145</v>
      </c>
      <c r="B29" s="4" t="n">
        <v>2</v>
      </c>
      <c r="C29" s="4" t="s">
        <v>483</v>
      </c>
      <c r="D29" s="4" t="s">
        <v>1146</v>
      </c>
      <c r="E29" s="4" t="s">
        <v>1118</v>
      </c>
      <c r="F29" s="4" t="s">
        <v>1092</v>
      </c>
      <c r="G29" s="4" t="n">
        <v>2</v>
      </c>
      <c r="H29" s="13" t="b">
        <f aca="false">FALSE()</f>
        <v>0</v>
      </c>
      <c r="I29" s="6" t="b">
        <f aca="false">LEN(TRIM(D29))&gt;0</f>
        <v>1</v>
      </c>
      <c r="J29" s="6" t="b">
        <f aca="false">LEN(TRIM(E29))&gt;0</f>
        <v>1</v>
      </c>
      <c r="K29" s="6" t="b">
        <f aca="false">LEN(TRIM(F29))&gt;0</f>
        <v>1</v>
      </c>
      <c r="L29" s="6" t="b">
        <f aca="false">AND(G29&gt;0,NOT(H29))</f>
        <v>1</v>
      </c>
      <c r="M29" s="6" t="b">
        <f aca="false">COUNTIF(Owners!$A$4:$A$21,C29)&gt;0</f>
        <v>1</v>
      </c>
      <c r="N29" s="6" t="b">
        <f aca="false">AND(I29,J29,K29,L29,M29)</f>
        <v>1</v>
      </c>
    </row>
    <row r="30" customFormat="false" ht="15" hidden="false" customHeight="false" outlineLevel="0" collapsed="false">
      <c r="A30" s="4" t="s">
        <v>1147</v>
      </c>
      <c r="B30" s="4" t="n">
        <v>2</v>
      </c>
      <c r="C30" s="4" t="s">
        <v>483</v>
      </c>
      <c r="D30" s="4" t="s">
        <v>1148</v>
      </c>
      <c r="E30" s="4" t="s">
        <v>1118</v>
      </c>
      <c r="F30" s="4" t="s">
        <v>1089</v>
      </c>
      <c r="G30" s="4" t="n">
        <v>3</v>
      </c>
      <c r="H30" s="13" t="b">
        <f aca="false">FALSE()</f>
        <v>0</v>
      </c>
      <c r="I30" s="6" t="b">
        <f aca="false">LEN(TRIM(D30))&gt;0</f>
        <v>1</v>
      </c>
      <c r="J30" s="6" t="b">
        <f aca="false">LEN(TRIM(E30))&gt;0</f>
        <v>1</v>
      </c>
      <c r="K30" s="6" t="b">
        <f aca="false">LEN(TRIM(F30))&gt;0</f>
        <v>1</v>
      </c>
      <c r="L30" s="6" t="b">
        <f aca="false">AND(G30&gt;0,NOT(H30))</f>
        <v>1</v>
      </c>
      <c r="M30" s="6" t="b">
        <f aca="false">COUNTIF(Owners!$A$4:$A$21,C30)&gt;0</f>
        <v>1</v>
      </c>
      <c r="N30" s="6" t="b">
        <f aca="false">AND(I30,J30,K30,L30,M30)</f>
        <v>1</v>
      </c>
    </row>
    <row r="31" customFormat="false" ht="15" hidden="false" customHeight="false" outlineLevel="0" collapsed="false">
      <c r="A31" s="4" t="s">
        <v>1149</v>
      </c>
      <c r="B31" s="4" t="n">
        <v>2</v>
      </c>
      <c r="C31" s="4" t="s">
        <v>324</v>
      </c>
      <c r="D31" s="4" t="s">
        <v>1150</v>
      </c>
      <c r="E31" s="4" t="s">
        <v>1097</v>
      </c>
      <c r="F31" s="4" t="s">
        <v>1098</v>
      </c>
      <c r="G31" s="4" t="n">
        <v>1</v>
      </c>
      <c r="H31" s="13" t="b">
        <f aca="false">FALSE()</f>
        <v>0</v>
      </c>
      <c r="I31" s="6" t="b">
        <f aca="false">LEN(TRIM(D31))&gt;0</f>
        <v>1</v>
      </c>
      <c r="J31" s="6" t="b">
        <f aca="false">LEN(TRIM(E31))&gt;0</f>
        <v>1</v>
      </c>
      <c r="K31" s="6" t="b">
        <f aca="false">LEN(TRIM(F31))&gt;0</f>
        <v>1</v>
      </c>
      <c r="L31" s="6" t="b">
        <f aca="false">AND(G31&gt;0,NOT(H31))</f>
        <v>1</v>
      </c>
      <c r="M31" s="6" t="b">
        <f aca="false">COUNTIF(Owners!$A$4:$A$21,C31)&gt;0</f>
        <v>1</v>
      </c>
      <c r="N31" s="6" t="b">
        <f aca="false">AND(I31,J31,K31,L31,M31)</f>
        <v>1</v>
      </c>
    </row>
    <row r="32" customFormat="false" ht="15" hidden="false" customHeight="false" outlineLevel="0" collapsed="false">
      <c r="A32" s="4" t="s">
        <v>1151</v>
      </c>
      <c r="B32" s="4" t="n">
        <v>1</v>
      </c>
      <c r="C32" s="4" t="s">
        <v>286</v>
      </c>
      <c r="D32" s="4" t="s">
        <v>1152</v>
      </c>
      <c r="E32" s="4" t="s">
        <v>1118</v>
      </c>
      <c r="G32" s="4" t="n">
        <v>3</v>
      </c>
      <c r="H32" s="13" t="b">
        <f aca="false">FALSE()</f>
        <v>0</v>
      </c>
      <c r="I32" s="6" t="b">
        <f aca="false">LEN(TRIM(D32))&gt;0</f>
        <v>1</v>
      </c>
      <c r="J32" s="6" t="b">
        <f aca="false">LEN(TRIM(E32))&gt;0</f>
        <v>1</v>
      </c>
      <c r="K32" s="6" t="b">
        <f aca="false">LEN(TRIM(F32))&gt;0</f>
        <v>0</v>
      </c>
      <c r="L32" s="6" t="b">
        <f aca="false">AND(G32&gt;0,NOT(H32))</f>
        <v>1</v>
      </c>
      <c r="M32" s="6" t="b">
        <f aca="false">COUNTIF(Owners!$A$4:$A$21,C32)&gt;0</f>
        <v>1</v>
      </c>
      <c r="N32" s="6" t="b">
        <f aca="false">AND(I32,J32,K32,L32,M32)</f>
        <v>0</v>
      </c>
    </row>
    <row r="33" customFormat="false" ht="15" hidden="false" customHeight="false" outlineLevel="0" collapsed="false">
      <c r="A33" s="4" t="s">
        <v>1153</v>
      </c>
      <c r="B33" s="4" t="n">
        <v>1</v>
      </c>
      <c r="C33" s="4" t="s">
        <v>296</v>
      </c>
      <c r="D33" s="4" t="s">
        <v>1154</v>
      </c>
      <c r="E33" s="4" t="s">
        <v>1118</v>
      </c>
      <c r="F33" s="4" t="s">
        <v>1098</v>
      </c>
      <c r="G33" s="4" t="n">
        <v>1</v>
      </c>
      <c r="H33" s="13" t="b">
        <f aca="false">FALSE()</f>
        <v>0</v>
      </c>
      <c r="I33" s="6" t="b">
        <f aca="false">LEN(TRIM(D33))&gt;0</f>
        <v>1</v>
      </c>
      <c r="J33" s="6" t="b">
        <f aca="false">LEN(TRIM(E33))&gt;0</f>
        <v>1</v>
      </c>
      <c r="K33" s="6" t="b">
        <f aca="false">LEN(TRIM(F33))&gt;0</f>
        <v>1</v>
      </c>
      <c r="L33" s="6" t="b">
        <f aca="false">AND(G33&gt;0,NOT(H33))</f>
        <v>1</v>
      </c>
      <c r="M33" s="6" t="b">
        <f aca="false">COUNTIF(Owners!$A$4:$A$21,C33)&gt;0</f>
        <v>1</v>
      </c>
      <c r="N33" s="6" t="b">
        <f aca="false">AND(I33,J33,K33,L33,M33)</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4" min="4" style="0" width="26"/>
    <col collapsed="false" customWidth="true" hidden="false" outlineLevel="0" max="6" min="6" style="0" width="26"/>
  </cols>
  <sheetData>
    <row r="1" customFormat="false" ht="17.35" hidden="false" customHeight="false" outlineLevel="0" collapsed="false">
      <c r="A1" s="1" t="s">
        <v>1155</v>
      </c>
    </row>
    <row r="2" customFormat="false" ht="15" hidden="false" customHeight="false" outlineLevel="0" collapsed="false">
      <c r="A2" s="0" t="s">
        <v>1156</v>
      </c>
    </row>
    <row r="3" customFormat="false" ht="41.75" hidden="false" customHeight="false" outlineLevel="0" collapsed="false">
      <c r="A3" s="7" t="s">
        <v>1157</v>
      </c>
      <c r="B3" s="7" t="s">
        <v>1158</v>
      </c>
      <c r="C3" s="7" t="s">
        <v>1159</v>
      </c>
      <c r="D3" s="7" t="s">
        <v>1160</v>
      </c>
      <c r="E3" s="7" t="s">
        <v>1161</v>
      </c>
      <c r="F3" s="7" t="s">
        <v>1162</v>
      </c>
    </row>
    <row r="4" customFormat="false" ht="15" hidden="false" customHeight="false" outlineLevel="0" collapsed="false">
      <c r="A4" s="4" t="s">
        <v>1163</v>
      </c>
      <c r="B4" s="4" t="s">
        <v>1164</v>
      </c>
      <c r="C4" s="13" t="b">
        <f aca="false">FALSE()</f>
        <v>0</v>
      </c>
      <c r="D4" s="13" t="b">
        <f aca="false">TRUE()</f>
        <v>1</v>
      </c>
      <c r="E4" s="13" t="b">
        <f aca="false">TRUE()</f>
        <v>1</v>
      </c>
      <c r="F4" s="6" t="b">
        <f aca="false">IF(B4="none","",(B4="approve")=E4)</f>
        <v>1</v>
      </c>
    </row>
    <row r="5" customFormat="false" ht="15" hidden="false" customHeight="false" outlineLevel="0" collapsed="false">
      <c r="A5" s="4" t="s">
        <v>1165</v>
      </c>
      <c r="B5" s="4" t="s">
        <v>1164</v>
      </c>
      <c r="C5" s="13" t="b">
        <f aca="false">FALSE()</f>
        <v>0</v>
      </c>
      <c r="D5" s="13" t="b">
        <f aca="false">TRUE()</f>
        <v>1</v>
      </c>
      <c r="E5" s="13" t="b">
        <f aca="false">TRUE()</f>
        <v>1</v>
      </c>
      <c r="F5" s="6" t="b">
        <f aca="false">IF(B5="none","",(B5="approve")=E5)</f>
        <v>1</v>
      </c>
    </row>
    <row r="6" customFormat="false" ht="15" hidden="false" customHeight="false" outlineLevel="0" collapsed="false">
      <c r="A6" s="4" t="s">
        <v>1166</v>
      </c>
      <c r="B6" s="4" t="s">
        <v>1164</v>
      </c>
      <c r="C6" s="13" t="b">
        <f aca="false">FALSE()</f>
        <v>0</v>
      </c>
      <c r="D6" s="13" t="b">
        <f aca="false">TRUE()</f>
        <v>1</v>
      </c>
      <c r="E6" s="13" t="b">
        <f aca="false">TRUE()</f>
        <v>1</v>
      </c>
      <c r="F6" s="6" t="b">
        <f aca="false">IF(B6="none","",(B6="approve")=E6)</f>
        <v>1</v>
      </c>
    </row>
    <row r="7" customFormat="false" ht="15" hidden="false" customHeight="false" outlineLevel="0" collapsed="false">
      <c r="A7" s="4" t="s">
        <v>1167</v>
      </c>
      <c r="B7" s="4" t="s">
        <v>1164</v>
      </c>
      <c r="C7" s="13" t="b">
        <f aca="false">FALSE()</f>
        <v>0</v>
      </c>
      <c r="D7" s="13" t="b">
        <f aca="false">TRUE()</f>
        <v>1</v>
      </c>
      <c r="E7" s="13" t="b">
        <f aca="false">TRUE()</f>
        <v>1</v>
      </c>
      <c r="F7" s="6" t="b">
        <f aca="false">IF(B7="none","",(B7="approve")=E7)</f>
        <v>1</v>
      </c>
    </row>
    <row r="8" customFormat="false" ht="15" hidden="false" customHeight="false" outlineLevel="0" collapsed="false">
      <c r="A8" s="4" t="s">
        <v>1168</v>
      </c>
      <c r="B8" s="4" t="s">
        <v>1169</v>
      </c>
      <c r="C8" s="13" t="b">
        <f aca="false">FALSE()</f>
        <v>0</v>
      </c>
      <c r="D8" s="13" t="b">
        <f aca="false">TRUE()</f>
        <v>1</v>
      </c>
      <c r="E8" s="13" t="b">
        <f aca="false">TRUE()</f>
        <v>1</v>
      </c>
      <c r="F8" s="0" t="str">
        <f aca="false">IF(B8="none","",(B8="approve")=E8)</f>
        <v/>
      </c>
    </row>
    <row r="9" customFormat="false" ht="15" hidden="false" customHeight="false" outlineLevel="0" collapsed="false">
      <c r="A9" s="4" t="s">
        <v>1170</v>
      </c>
      <c r="B9" s="4" t="s">
        <v>1164</v>
      </c>
      <c r="C9" s="13" t="b">
        <f aca="false">FALSE()</f>
        <v>0</v>
      </c>
      <c r="D9" s="13" t="b">
        <f aca="false">TRUE()</f>
        <v>1</v>
      </c>
      <c r="E9" s="13" t="b">
        <f aca="false">TRUE()</f>
        <v>1</v>
      </c>
      <c r="F9" s="6" t="b">
        <f aca="false">IF(B9="none","",(B9="approve")=E9)</f>
        <v>1</v>
      </c>
    </row>
    <row r="10" customFormat="false" ht="15" hidden="false" customHeight="false" outlineLevel="0" collapsed="false">
      <c r="A10" s="4" t="s">
        <v>1171</v>
      </c>
      <c r="B10" s="4" t="s">
        <v>1164</v>
      </c>
      <c r="C10" s="13" t="b">
        <f aca="false">FALSE()</f>
        <v>0</v>
      </c>
      <c r="D10" s="13" t="b">
        <f aca="false">FALSE()</f>
        <v>0</v>
      </c>
      <c r="E10" s="13" t="b">
        <f aca="false">TRUE()</f>
        <v>1</v>
      </c>
      <c r="F10" s="6" t="b">
        <f aca="false">IF(B10="none","",(B10="approve")=E10)</f>
        <v>1</v>
      </c>
    </row>
    <row r="11" customFormat="false" ht="15" hidden="false" customHeight="false" outlineLevel="0" collapsed="false">
      <c r="A11" s="4" t="s">
        <v>1172</v>
      </c>
      <c r="B11" s="4" t="s">
        <v>1164</v>
      </c>
      <c r="C11" s="13" t="b">
        <f aca="false">FALSE()</f>
        <v>0</v>
      </c>
      <c r="D11" s="13" t="b">
        <f aca="false">TRUE()</f>
        <v>1</v>
      </c>
      <c r="E11" s="13" t="b">
        <f aca="false">TRUE()</f>
        <v>1</v>
      </c>
      <c r="F11" s="6" t="b">
        <f aca="false">IF(B11="none","",(B11="approve")=E11)</f>
        <v>1</v>
      </c>
    </row>
    <row r="12" customFormat="false" ht="15" hidden="false" customHeight="false" outlineLevel="0" collapsed="false">
      <c r="A12" s="4" t="s">
        <v>1173</v>
      </c>
      <c r="B12" s="4" t="s">
        <v>1164</v>
      </c>
      <c r="C12" s="13" t="b">
        <f aca="false">FALSE()</f>
        <v>0</v>
      </c>
      <c r="D12" s="13" t="b">
        <f aca="false">FALSE()</f>
        <v>0</v>
      </c>
      <c r="E12" s="13" t="b">
        <f aca="false">TRUE()</f>
        <v>1</v>
      </c>
      <c r="F12" s="6" t="b">
        <f aca="false">IF(B12="none","",(B12="approve")=E12)</f>
        <v>1</v>
      </c>
    </row>
    <row r="13" customFormat="false" ht="15" hidden="false" customHeight="false" outlineLevel="0" collapsed="false">
      <c r="A13" s="4" t="s">
        <v>1174</v>
      </c>
      <c r="B13" s="4" t="s">
        <v>1169</v>
      </c>
      <c r="C13" s="13" t="b">
        <f aca="false">FALSE()</f>
        <v>0</v>
      </c>
      <c r="D13" s="13" t="b">
        <f aca="false">FALSE()</f>
        <v>0</v>
      </c>
      <c r="E13" s="13" t="b">
        <f aca="false">TRUE()</f>
        <v>1</v>
      </c>
      <c r="F13" s="0" t="str">
        <f aca="false">IF(B13="none","",(B13="approve")=E13)</f>
        <v/>
      </c>
    </row>
    <row r="14" customFormat="false" ht="15" hidden="false" customHeight="false" outlineLevel="0" collapsed="false">
      <c r="A14" s="4" t="s">
        <v>1175</v>
      </c>
      <c r="B14" s="4" t="s">
        <v>1164</v>
      </c>
      <c r="C14" s="13" t="b">
        <f aca="false">FALSE()</f>
        <v>0</v>
      </c>
      <c r="D14" s="13" t="b">
        <f aca="false">FALSE()</f>
        <v>0</v>
      </c>
      <c r="E14" s="13" t="b">
        <f aca="false">TRUE()</f>
        <v>1</v>
      </c>
      <c r="F14" s="6" t="b">
        <f aca="false">IF(B14="none","",(B14="approve")=E14)</f>
        <v>1</v>
      </c>
    </row>
    <row r="15" customFormat="false" ht="15" hidden="false" customHeight="false" outlineLevel="0" collapsed="false">
      <c r="A15" s="4" t="s">
        <v>1176</v>
      </c>
      <c r="B15" s="4" t="s">
        <v>1164</v>
      </c>
      <c r="C15" s="13" t="b">
        <f aca="false">FALSE()</f>
        <v>0</v>
      </c>
      <c r="D15" s="13" t="b">
        <f aca="false">FALSE()</f>
        <v>0</v>
      </c>
      <c r="E15" s="13" t="b">
        <f aca="false">TRUE()</f>
        <v>1</v>
      </c>
      <c r="F15" s="6" t="b">
        <f aca="false">IF(B15="none","",(B15="approve")=E15)</f>
        <v>1</v>
      </c>
    </row>
    <row r="16" customFormat="false" ht="15" hidden="false" customHeight="false" outlineLevel="0" collapsed="false">
      <c r="A16" s="4" t="s">
        <v>1177</v>
      </c>
      <c r="B16" s="4" t="s">
        <v>1178</v>
      </c>
      <c r="C16" s="13" t="b">
        <f aca="false">FALSE()</f>
        <v>0</v>
      </c>
      <c r="D16" s="13" t="b">
        <f aca="false">TRUE()</f>
        <v>1</v>
      </c>
      <c r="E16" s="13" t="b">
        <f aca="false">TRUE()</f>
        <v>1</v>
      </c>
      <c r="F16" s="6" t="b">
        <f aca="false">IF(B16="none","",(B16="approve")=E16)</f>
        <v>0</v>
      </c>
    </row>
    <row r="17" customFormat="false" ht="15" hidden="false" customHeight="false" outlineLevel="0" collapsed="false">
      <c r="A17" s="4" t="s">
        <v>1179</v>
      </c>
      <c r="B17" s="4" t="s">
        <v>1169</v>
      </c>
      <c r="C17" s="13" t="b">
        <f aca="false">FALSE()</f>
        <v>0</v>
      </c>
      <c r="D17" s="13" t="b">
        <f aca="false">TRUE()</f>
        <v>1</v>
      </c>
      <c r="E17" s="13" t="b">
        <f aca="false">TRUE()</f>
        <v>1</v>
      </c>
      <c r="F17" s="0" t="str">
        <f aca="false">IF(B17="none","",(B17="approve")=E17)</f>
        <v/>
      </c>
    </row>
    <row r="18" customFormat="false" ht="15" hidden="false" customHeight="false" outlineLevel="0" collapsed="false">
      <c r="A18" s="4" t="s">
        <v>1180</v>
      </c>
      <c r="B18" s="4" t="s">
        <v>1178</v>
      </c>
      <c r="C18" s="13" t="b">
        <f aca="false">FALSE()</f>
        <v>0</v>
      </c>
      <c r="D18" s="13" t="b">
        <f aca="false">FALSE()</f>
        <v>0</v>
      </c>
      <c r="E18" s="13" t="b">
        <f aca="false">TRUE()</f>
        <v>1</v>
      </c>
      <c r="F18" s="6" t="b">
        <f aca="false">IF(B18="none","",(B18="approve")=E18)</f>
        <v>0</v>
      </c>
    </row>
    <row r="19" customFormat="false" ht="15" hidden="false" customHeight="false" outlineLevel="0" collapsed="false">
      <c r="A19" s="4" t="s">
        <v>1181</v>
      </c>
      <c r="B19" s="4" t="s">
        <v>1164</v>
      </c>
      <c r="C19" s="13" t="b">
        <f aca="false">FALSE()</f>
        <v>0</v>
      </c>
      <c r="D19" s="13" t="b">
        <f aca="false">TRUE()</f>
        <v>1</v>
      </c>
      <c r="E19" s="13" t="b">
        <f aca="false">TRUE()</f>
        <v>1</v>
      </c>
      <c r="F19" s="6" t="b">
        <f aca="false">IF(B19="none","",(B19="approve")=E19)</f>
        <v>1</v>
      </c>
    </row>
    <row r="20" customFormat="false" ht="15" hidden="false" customHeight="false" outlineLevel="0" collapsed="false">
      <c r="A20" s="4" t="s">
        <v>1182</v>
      </c>
      <c r="B20" s="4" t="s">
        <v>1169</v>
      </c>
      <c r="C20" s="13" t="b">
        <f aca="false">FALSE()</f>
        <v>0</v>
      </c>
      <c r="D20" s="13" t="b">
        <f aca="false">TRUE()</f>
        <v>1</v>
      </c>
      <c r="E20" s="13" t="b">
        <f aca="false">TRUE()</f>
        <v>1</v>
      </c>
      <c r="F20" s="0" t="str">
        <f aca="false">IF(B20="none","",(B20="approve")=E20)</f>
        <v/>
      </c>
    </row>
    <row r="21" customFormat="false" ht="15" hidden="false" customHeight="false" outlineLevel="0" collapsed="false">
      <c r="A21" s="4" t="s">
        <v>1183</v>
      </c>
      <c r="B21" s="4" t="s">
        <v>1164</v>
      </c>
      <c r="C21" s="13" t="b">
        <f aca="false">FALSE()</f>
        <v>0</v>
      </c>
      <c r="D21" s="13" t="b">
        <f aca="false">TRUE()</f>
        <v>1</v>
      </c>
      <c r="E21" s="13" t="b">
        <f aca="false">TRUE()</f>
        <v>1</v>
      </c>
      <c r="F21" s="6" t="b">
        <f aca="false">IF(B21="none","",(B21="approve")=E21)</f>
        <v>1</v>
      </c>
    </row>
    <row r="22" customFormat="false" ht="15" hidden="false" customHeight="false" outlineLevel="0" collapsed="false">
      <c r="A22" s="4" t="s">
        <v>1184</v>
      </c>
      <c r="B22" s="4" t="s">
        <v>1178</v>
      </c>
      <c r="C22" s="13" t="b">
        <f aca="false">FALSE()</f>
        <v>0</v>
      </c>
      <c r="D22" s="13" t="b">
        <f aca="false">FALSE()</f>
        <v>0</v>
      </c>
      <c r="E22" s="13" t="b">
        <f aca="false">FALSE()</f>
        <v>0</v>
      </c>
      <c r="F22" s="6" t="b">
        <f aca="false">IF(B22="none","",(B22="approve")=E22)</f>
        <v>1</v>
      </c>
    </row>
    <row r="23" customFormat="false" ht="15" hidden="false" customHeight="false" outlineLevel="0" collapsed="false">
      <c r="A23" s="4" t="s">
        <v>1185</v>
      </c>
      <c r="B23" s="4" t="s">
        <v>1178</v>
      </c>
      <c r="C23" s="13" t="b">
        <f aca="false">FALSE()</f>
        <v>0</v>
      </c>
      <c r="D23" s="13" t="b">
        <f aca="false">TRUE()</f>
        <v>1</v>
      </c>
      <c r="E23" s="13" t="b">
        <f aca="false">FALSE()</f>
        <v>0</v>
      </c>
      <c r="F23" s="6" t="b">
        <f aca="false">IF(B23="none","",(B23="approve")=E23)</f>
        <v>1</v>
      </c>
    </row>
    <row r="24" customFormat="false" ht="15" hidden="false" customHeight="false" outlineLevel="0" collapsed="false">
      <c r="A24" s="4" t="s">
        <v>1186</v>
      </c>
      <c r="B24" s="4" t="s">
        <v>1164</v>
      </c>
      <c r="C24" s="13" t="b">
        <f aca="false">FALSE()</f>
        <v>0</v>
      </c>
      <c r="D24" s="13" t="b">
        <f aca="false">TRUE()</f>
        <v>1</v>
      </c>
      <c r="E24" s="13" t="b">
        <f aca="false">TRUE()</f>
        <v>1</v>
      </c>
      <c r="F24" s="6" t="b">
        <f aca="false">IF(B24="none","",(B24="approve")=E24)</f>
        <v>1</v>
      </c>
    </row>
    <row r="25" customFormat="false" ht="15" hidden="false" customHeight="false" outlineLevel="0" collapsed="false">
      <c r="A25" s="4" t="s">
        <v>1187</v>
      </c>
      <c r="B25" s="4" t="s">
        <v>1169</v>
      </c>
      <c r="C25" s="13" t="b">
        <f aca="false">FALSE()</f>
        <v>0</v>
      </c>
      <c r="D25" s="13" t="b">
        <f aca="false">TRUE()</f>
        <v>1</v>
      </c>
      <c r="E25" s="13" t="b">
        <f aca="false">TRUE()</f>
        <v>1</v>
      </c>
      <c r="F25" s="0" t="str">
        <f aca="false">IF(B25="none","",(B25="approve")=E25)</f>
        <v/>
      </c>
    </row>
    <row r="26" customFormat="false" ht="15" hidden="false" customHeight="false" outlineLevel="0" collapsed="false">
      <c r="A26" s="4" t="s">
        <v>1188</v>
      </c>
      <c r="B26" s="4" t="s">
        <v>1169</v>
      </c>
      <c r="C26" s="13" t="b">
        <f aca="false">FALSE()</f>
        <v>0</v>
      </c>
      <c r="D26" s="13" t="b">
        <f aca="false">FALSE()</f>
        <v>0</v>
      </c>
      <c r="E26" s="13" t="b">
        <f aca="false">TRUE()</f>
        <v>1</v>
      </c>
      <c r="F26" s="0" t="str">
        <f aca="false">IF(B26="none","",(B26="approve")=E26)</f>
        <v/>
      </c>
    </row>
    <row r="27" customFormat="false" ht="15" hidden="false" customHeight="false" outlineLevel="0" collapsed="false">
      <c r="A27" s="4" t="s">
        <v>1189</v>
      </c>
      <c r="B27" s="4" t="s">
        <v>1169</v>
      </c>
      <c r="C27" s="13" t="b">
        <f aca="false">FALSE()</f>
        <v>0</v>
      </c>
      <c r="D27" s="13" t="b">
        <f aca="false">TRUE()</f>
        <v>1</v>
      </c>
      <c r="E27" s="13" t="b">
        <f aca="false">TRUE()</f>
        <v>1</v>
      </c>
      <c r="F27" s="0" t="str">
        <f aca="false">IF(B27="none","",(B27="approve")=E27)</f>
        <v/>
      </c>
    </row>
    <row r="28" customFormat="false" ht="15" hidden="false" customHeight="false" outlineLevel="0" collapsed="false">
      <c r="A28" s="4" t="s">
        <v>1190</v>
      </c>
      <c r="B28" s="4" t="s">
        <v>1164</v>
      </c>
      <c r="C28" s="13" t="b">
        <f aca="false">FALSE()</f>
        <v>0</v>
      </c>
      <c r="D28" s="13" t="b">
        <f aca="false">TRUE()</f>
        <v>1</v>
      </c>
      <c r="E28" s="13" t="b">
        <f aca="false">TRUE()</f>
        <v>1</v>
      </c>
      <c r="F28" s="6" t="b">
        <f aca="false">IF(B28="none","",(B28="approve")=E28)</f>
        <v>1</v>
      </c>
    </row>
    <row r="29" customFormat="false" ht="15" hidden="false" customHeight="false" outlineLevel="0" collapsed="false">
      <c r="A29" s="4" t="s">
        <v>1191</v>
      </c>
      <c r="B29" s="4" t="s">
        <v>1164</v>
      </c>
      <c r="C29" s="13" t="b">
        <f aca="false">FALSE()</f>
        <v>0</v>
      </c>
      <c r="D29" s="13" t="b">
        <f aca="false">FALSE()</f>
        <v>0</v>
      </c>
      <c r="E29" s="13" t="b">
        <f aca="false">TRUE()</f>
        <v>1</v>
      </c>
      <c r="F29" s="6" t="b">
        <f aca="false">IF(B29="none","",(B29="approve")=E29)</f>
        <v>1</v>
      </c>
    </row>
    <row r="30" customFormat="false" ht="15" hidden="false" customHeight="false" outlineLevel="0" collapsed="false">
      <c r="A30" s="4" t="s">
        <v>1192</v>
      </c>
      <c r="B30" s="4" t="s">
        <v>1178</v>
      </c>
      <c r="C30" s="13" t="b">
        <f aca="false">FALSE()</f>
        <v>0</v>
      </c>
      <c r="D30" s="13" t="b">
        <f aca="false">FALSE()</f>
        <v>0</v>
      </c>
      <c r="E30" s="13" t="b">
        <f aca="false">TRUE()</f>
        <v>1</v>
      </c>
      <c r="F30" s="6" t="b">
        <f aca="false">IF(B30="none","",(B30="approve")=E30)</f>
        <v>0</v>
      </c>
    </row>
    <row r="31" customFormat="false" ht="15" hidden="false" customHeight="false" outlineLevel="0" collapsed="false">
      <c r="A31" s="4" t="s">
        <v>1193</v>
      </c>
      <c r="B31" s="4" t="s">
        <v>1164</v>
      </c>
      <c r="C31" s="13" t="b">
        <f aca="false">FALSE()</f>
        <v>0</v>
      </c>
      <c r="D31" s="13" t="b">
        <f aca="false">FALSE()</f>
        <v>0</v>
      </c>
      <c r="E31" s="13" t="b">
        <f aca="false">TRUE()</f>
        <v>1</v>
      </c>
      <c r="F31" s="6" t="b">
        <f aca="false">IF(B31="none","",(B31="approve")=E31)</f>
        <v>1</v>
      </c>
    </row>
    <row r="32" customFormat="false" ht="15" hidden="false" customHeight="false" outlineLevel="0" collapsed="false">
      <c r="A32" s="4" t="s">
        <v>1194</v>
      </c>
      <c r="B32" s="4" t="s">
        <v>1169</v>
      </c>
      <c r="C32" s="13" t="b">
        <f aca="false">FALSE()</f>
        <v>0</v>
      </c>
      <c r="D32" s="13" t="b">
        <f aca="false">TRUE()</f>
        <v>1</v>
      </c>
      <c r="E32" s="13" t="b">
        <f aca="false">FALSE()</f>
        <v>0</v>
      </c>
      <c r="F32" s="0" t="str">
        <f aca="false">IF(B32="none","",(B32="approve")=E32)</f>
        <v/>
      </c>
    </row>
    <row r="33" customFormat="false" ht="15" hidden="false" customHeight="false" outlineLevel="0" collapsed="false">
      <c r="A33" s="4" t="s">
        <v>1195</v>
      </c>
      <c r="B33" s="4" t="s">
        <v>1164</v>
      </c>
      <c r="C33" s="13" t="b">
        <f aca="false">FALSE()</f>
        <v>0</v>
      </c>
      <c r="D33" s="13" t="b">
        <f aca="false">FALSE()</f>
        <v>0</v>
      </c>
      <c r="E33" s="13" t="b">
        <f aca="false">TRUE()</f>
        <v>1</v>
      </c>
      <c r="F33" s="6" t="b">
        <f aca="false">IF(B33="none","",(B33="approve")=E33)</f>
        <v>1</v>
      </c>
    </row>
    <row r="34" customFormat="false" ht="15" hidden="false" customHeight="false" outlineLevel="0" collapsed="false">
      <c r="A34" s="4" t="s">
        <v>1196</v>
      </c>
      <c r="B34" s="4" t="s">
        <v>1164</v>
      </c>
      <c r="C34" s="13" t="b">
        <f aca="false">FALSE()</f>
        <v>0</v>
      </c>
      <c r="D34" s="13" t="b">
        <f aca="false">TRUE()</f>
        <v>1</v>
      </c>
      <c r="E34" s="13" t="b">
        <f aca="false">TRUE()</f>
        <v>1</v>
      </c>
      <c r="F34" s="6" t="b">
        <f aca="false">IF(B34="none","",(B34="approve")=E34)</f>
        <v>1</v>
      </c>
    </row>
    <row r="35" customFormat="false" ht="15" hidden="false" customHeight="false" outlineLevel="0" collapsed="false">
      <c r="A35" s="4" t="s">
        <v>1197</v>
      </c>
      <c r="B35" s="4" t="s">
        <v>1169</v>
      </c>
      <c r="C35" s="13" t="b">
        <f aca="false">FALSE()</f>
        <v>0</v>
      </c>
      <c r="D35" s="13" t="b">
        <f aca="false">FALSE()</f>
        <v>0</v>
      </c>
      <c r="E35" s="13" t="b">
        <f aca="false">TRUE()</f>
        <v>1</v>
      </c>
      <c r="F35" s="0" t="str">
        <f aca="false">IF(B35="none","",(B35="approve")=E35)</f>
        <v/>
      </c>
    </row>
    <row r="36" customFormat="false" ht="15" hidden="false" customHeight="false" outlineLevel="0" collapsed="false">
      <c r="A36" s="4" t="s">
        <v>1198</v>
      </c>
      <c r="B36" s="4" t="s">
        <v>1178</v>
      </c>
      <c r="C36" s="13" t="b">
        <f aca="false">FALSE()</f>
        <v>0</v>
      </c>
      <c r="D36" s="13" t="b">
        <f aca="false">FALSE()</f>
        <v>0</v>
      </c>
      <c r="E36" s="13" t="b">
        <f aca="false">FALSE()</f>
        <v>0</v>
      </c>
      <c r="F36" s="6" t="b">
        <f aca="false">IF(B36="none","",(B36="approve")=E36)</f>
        <v>1</v>
      </c>
    </row>
    <row r="37" customFormat="false" ht="15" hidden="false" customHeight="false" outlineLevel="0" collapsed="false">
      <c r="A37" s="4" t="s">
        <v>1199</v>
      </c>
      <c r="B37" s="4" t="s">
        <v>1164</v>
      </c>
      <c r="C37" s="13" t="b">
        <f aca="false">FALSE()</f>
        <v>0</v>
      </c>
      <c r="D37" s="13" t="b">
        <f aca="false">TRUE()</f>
        <v>1</v>
      </c>
      <c r="E37" s="13" t="b">
        <f aca="false">TRUE()</f>
        <v>1</v>
      </c>
      <c r="F37" s="6" t="b">
        <f aca="false">IF(B37="none","",(B37="approve")=E37)</f>
        <v>1</v>
      </c>
    </row>
    <row r="38" customFormat="false" ht="15" hidden="false" customHeight="false" outlineLevel="0" collapsed="false">
      <c r="A38" s="4" t="s">
        <v>1200</v>
      </c>
      <c r="B38" s="4" t="s">
        <v>1164</v>
      </c>
      <c r="C38" s="13" t="b">
        <f aca="false">FALSE()</f>
        <v>0</v>
      </c>
      <c r="D38" s="13" t="b">
        <f aca="false">FALSE()</f>
        <v>0</v>
      </c>
      <c r="E38" s="13" t="b">
        <f aca="false">TRUE()</f>
        <v>1</v>
      </c>
      <c r="F38" s="6" t="b">
        <f aca="false">IF(B38="none","",(B38="approve")=E38)</f>
        <v>1</v>
      </c>
    </row>
    <row r="39" customFormat="false" ht="15" hidden="false" customHeight="false" outlineLevel="0" collapsed="false">
      <c r="A39" s="4" t="s">
        <v>1201</v>
      </c>
      <c r="B39" s="4" t="s">
        <v>1169</v>
      </c>
      <c r="C39" s="13" t="b">
        <f aca="false">FALSE()</f>
        <v>0</v>
      </c>
      <c r="D39" s="13" t="b">
        <f aca="false">FALSE()</f>
        <v>0</v>
      </c>
      <c r="E39" s="13" t="b">
        <f aca="false">FALSE()</f>
        <v>0</v>
      </c>
      <c r="F39" s="0" t="str">
        <f aca="false">IF(B39="none","",(B39="approve")=E39)</f>
        <v/>
      </c>
    </row>
    <row r="40" customFormat="false" ht="15" hidden="false" customHeight="false" outlineLevel="0" collapsed="false">
      <c r="A40" s="4" t="s">
        <v>1202</v>
      </c>
      <c r="B40" s="4" t="s">
        <v>1164</v>
      </c>
      <c r="C40" s="13" t="b">
        <f aca="false">FALSE()</f>
        <v>0</v>
      </c>
      <c r="D40" s="13" t="b">
        <f aca="false">FALSE()</f>
        <v>0</v>
      </c>
      <c r="E40" s="13" t="b">
        <f aca="false">TRUE()</f>
        <v>1</v>
      </c>
      <c r="F40" s="6" t="b">
        <f aca="false">IF(B40="none","",(B40="approve")=E40)</f>
        <v>1</v>
      </c>
    </row>
    <row r="41" customFormat="false" ht="15" hidden="false" customHeight="false" outlineLevel="0" collapsed="false">
      <c r="A41" s="4" t="s">
        <v>1203</v>
      </c>
      <c r="B41" s="4" t="s">
        <v>1178</v>
      </c>
      <c r="C41" s="13" t="b">
        <f aca="false">FALSE()</f>
        <v>0</v>
      </c>
      <c r="D41" s="13" t="b">
        <f aca="false">TRUE()</f>
        <v>1</v>
      </c>
      <c r="E41" s="13" t="b">
        <f aca="false">TRUE()</f>
        <v>1</v>
      </c>
      <c r="F41" s="6" t="b">
        <f aca="false">IF(B41="none","",(B41="approve")=E41)</f>
        <v>0</v>
      </c>
    </row>
    <row r="42" customFormat="false" ht="15" hidden="false" customHeight="false" outlineLevel="0" collapsed="false">
      <c r="A42" s="4" t="s">
        <v>1204</v>
      </c>
      <c r="B42" s="4" t="s">
        <v>1164</v>
      </c>
      <c r="C42" s="13" t="b">
        <f aca="false">FALSE()</f>
        <v>0</v>
      </c>
      <c r="D42" s="13" t="b">
        <f aca="false">TRUE()</f>
        <v>1</v>
      </c>
      <c r="E42" s="13" t="b">
        <f aca="false">TRUE()</f>
        <v>1</v>
      </c>
      <c r="F42" s="6" t="b">
        <f aca="false">IF(B42="none","",(B42="approve")=E42)</f>
        <v>1</v>
      </c>
    </row>
    <row r="43" customFormat="false" ht="15" hidden="false" customHeight="false" outlineLevel="0" collapsed="false">
      <c r="A43" s="4" t="s">
        <v>1205</v>
      </c>
      <c r="B43" s="4" t="s">
        <v>1178</v>
      </c>
      <c r="C43" s="13" t="b">
        <f aca="false">FALSE()</f>
        <v>0</v>
      </c>
      <c r="D43" s="13" t="b">
        <f aca="false">TRUE()</f>
        <v>1</v>
      </c>
      <c r="E43" s="13" t="b">
        <f aca="false">FALSE()</f>
        <v>0</v>
      </c>
      <c r="F43" s="6" t="b">
        <f aca="false">IF(B43="none","",(B43="approve")=E43)</f>
        <v>1</v>
      </c>
    </row>
    <row r="44" customFormat="false" ht="15" hidden="false" customHeight="false" outlineLevel="0" collapsed="false">
      <c r="A44" s="4" t="s">
        <v>1206</v>
      </c>
      <c r="B44" s="4" t="s">
        <v>1164</v>
      </c>
      <c r="C44" s="13" t="b">
        <f aca="false">FALSE()</f>
        <v>0</v>
      </c>
      <c r="D44" s="13" t="b">
        <f aca="false">FALSE()</f>
        <v>0</v>
      </c>
      <c r="E44" s="13" t="b">
        <f aca="false">TRUE()</f>
        <v>1</v>
      </c>
      <c r="F44" s="6" t="b">
        <f aca="false">IF(B44="none","",(B44="approve")=E44)</f>
        <v>1</v>
      </c>
    </row>
    <row r="45" customFormat="false" ht="15" hidden="false" customHeight="false" outlineLevel="0" collapsed="false">
      <c r="A45" s="4" t="s">
        <v>1207</v>
      </c>
      <c r="B45" s="4" t="s">
        <v>1178</v>
      </c>
      <c r="C45" s="13" t="b">
        <f aca="false">FALSE()</f>
        <v>0</v>
      </c>
      <c r="D45" s="13" t="b">
        <f aca="false">TRUE()</f>
        <v>1</v>
      </c>
      <c r="E45" s="13" t="b">
        <f aca="false">FALSE()</f>
        <v>0</v>
      </c>
      <c r="F45" s="6" t="b">
        <f aca="false">IF(B45="none","",(B45="approve")=E45)</f>
        <v>1</v>
      </c>
    </row>
    <row r="46" customFormat="false" ht="15" hidden="false" customHeight="false" outlineLevel="0" collapsed="false">
      <c r="A46" s="4" t="s">
        <v>1208</v>
      </c>
      <c r="B46" s="4" t="s">
        <v>1178</v>
      </c>
      <c r="C46" s="13" t="b">
        <f aca="false">FALSE()</f>
        <v>0</v>
      </c>
      <c r="D46" s="13" t="b">
        <f aca="false">TRUE()</f>
        <v>1</v>
      </c>
      <c r="E46" s="13" t="b">
        <f aca="false">FALSE()</f>
        <v>0</v>
      </c>
      <c r="F46" s="6" t="b">
        <f aca="false">IF(B46="none","",(B46="approve")=E46)</f>
        <v>1</v>
      </c>
    </row>
    <row r="47" customFormat="false" ht="15" hidden="false" customHeight="false" outlineLevel="0" collapsed="false">
      <c r="A47" s="4" t="s">
        <v>1209</v>
      </c>
      <c r="B47" s="4" t="s">
        <v>1169</v>
      </c>
      <c r="C47" s="13" t="b">
        <f aca="false">FALSE()</f>
        <v>0</v>
      </c>
      <c r="D47" s="13" t="b">
        <f aca="false">FALSE()</f>
        <v>0</v>
      </c>
      <c r="E47" s="13" t="b">
        <f aca="false">TRUE()</f>
        <v>1</v>
      </c>
      <c r="F47" s="0" t="str">
        <f aca="false">IF(B47="none","",(B47="approve")=E47)</f>
        <v/>
      </c>
    </row>
    <row r="48" customFormat="false" ht="15" hidden="false" customHeight="false" outlineLevel="0" collapsed="false">
      <c r="A48" s="4" t="s">
        <v>1210</v>
      </c>
      <c r="B48" s="4" t="s">
        <v>1164</v>
      </c>
      <c r="C48" s="13" t="b">
        <f aca="false">FALSE()</f>
        <v>0</v>
      </c>
      <c r="D48" s="13" t="b">
        <f aca="false">FALSE()</f>
        <v>0</v>
      </c>
      <c r="E48" s="13" t="b">
        <f aca="false">TRUE()</f>
        <v>1</v>
      </c>
      <c r="F48" s="6" t="b">
        <f aca="false">IF(B48="none","",(B48="approve")=E48)</f>
        <v>1</v>
      </c>
    </row>
    <row r="49" customFormat="false" ht="15" hidden="false" customHeight="false" outlineLevel="0" collapsed="false">
      <c r="A49" s="4" t="s">
        <v>1211</v>
      </c>
      <c r="B49" s="4" t="s">
        <v>1178</v>
      </c>
      <c r="C49" s="13" t="b">
        <f aca="false">FALSE()</f>
        <v>0</v>
      </c>
      <c r="D49" s="13" t="b">
        <f aca="false">TRUE()</f>
        <v>1</v>
      </c>
      <c r="E49" s="13" t="b">
        <f aca="false">FALSE()</f>
        <v>0</v>
      </c>
      <c r="F49" s="6" t="b">
        <f aca="false">IF(B49="none","",(B49="approve")=E49)</f>
        <v>1</v>
      </c>
    </row>
    <row r="50" customFormat="false" ht="15" hidden="false" customHeight="false" outlineLevel="0" collapsed="false">
      <c r="A50" s="4" t="s">
        <v>1212</v>
      </c>
      <c r="B50" s="4" t="s">
        <v>1164</v>
      </c>
      <c r="C50" s="13" t="b">
        <f aca="false">FALSE()</f>
        <v>0</v>
      </c>
      <c r="D50" s="13" t="b">
        <f aca="false">FALSE()</f>
        <v>0</v>
      </c>
      <c r="E50" s="13" t="b">
        <f aca="false">TRUE()</f>
        <v>1</v>
      </c>
      <c r="F50" s="6" t="b">
        <f aca="false">IF(B50="none","",(B50="approve")=E50)</f>
        <v>1</v>
      </c>
    </row>
    <row r="51" customFormat="false" ht="15" hidden="false" customHeight="false" outlineLevel="0" collapsed="false">
      <c r="A51" s="4" t="s">
        <v>1213</v>
      </c>
      <c r="B51" s="4" t="s">
        <v>1164</v>
      </c>
      <c r="C51" s="13" t="b">
        <f aca="false">FALSE()</f>
        <v>0</v>
      </c>
      <c r="D51" s="13" t="b">
        <f aca="false">FALSE()</f>
        <v>0</v>
      </c>
      <c r="E51" s="13" t="b">
        <f aca="false">TRUE()</f>
        <v>1</v>
      </c>
      <c r="F51" s="6" t="b">
        <f aca="false">IF(B51="none","",(B51="approve")=E51)</f>
        <v>1</v>
      </c>
    </row>
    <row r="52" customFormat="false" ht="15" hidden="false" customHeight="false" outlineLevel="0" collapsed="false">
      <c r="A52" s="4" t="s">
        <v>1214</v>
      </c>
      <c r="B52" s="4" t="s">
        <v>1164</v>
      </c>
      <c r="C52" s="13" t="b">
        <f aca="false">FALSE()</f>
        <v>0</v>
      </c>
      <c r="D52" s="13" t="b">
        <f aca="false">TRUE()</f>
        <v>1</v>
      </c>
      <c r="E52" s="13" t="b">
        <f aca="false">TRUE()</f>
        <v>1</v>
      </c>
      <c r="F52" s="6" t="b">
        <f aca="false">IF(B52="none","",(B52="approve")=E52)</f>
        <v>1</v>
      </c>
    </row>
    <row r="53" customFormat="false" ht="15" hidden="false" customHeight="false" outlineLevel="0" collapsed="false">
      <c r="A53" s="4" t="s">
        <v>1215</v>
      </c>
      <c r="B53" s="4" t="s">
        <v>1164</v>
      </c>
      <c r="C53" s="13" t="b">
        <f aca="false">TRUE()</f>
        <v>1</v>
      </c>
      <c r="D53" s="13" t="b">
        <f aca="false">FALSE()</f>
        <v>0</v>
      </c>
      <c r="E53" s="13" t="b">
        <f aca="false">TRUE()</f>
        <v>1</v>
      </c>
      <c r="F53" s="6" t="b">
        <f aca="false">IF(B53="none","",(B53="approve")=E53)</f>
        <v>1</v>
      </c>
    </row>
    <row r="54" customFormat="false" ht="15" hidden="false" customHeight="false" outlineLevel="0" collapsed="false">
      <c r="A54" s="4" t="s">
        <v>1216</v>
      </c>
      <c r="B54" s="4" t="s">
        <v>1178</v>
      </c>
      <c r="C54" s="13" t="b">
        <f aca="false">FALSE()</f>
        <v>0</v>
      </c>
      <c r="D54" s="13" t="b">
        <f aca="false">TRUE()</f>
        <v>1</v>
      </c>
      <c r="E54" s="13" t="b">
        <f aca="false">FALSE()</f>
        <v>0</v>
      </c>
      <c r="F54" s="6" t="b">
        <f aca="false">IF(B54="none","",(B54="approve")=E54)</f>
        <v>1</v>
      </c>
    </row>
    <row r="55" customFormat="false" ht="15" hidden="false" customHeight="false" outlineLevel="0" collapsed="false">
      <c r="A55" s="4" t="s">
        <v>1217</v>
      </c>
      <c r="B55" s="4" t="s">
        <v>1169</v>
      </c>
      <c r="C55" s="13" t="b">
        <f aca="false">FALSE()</f>
        <v>0</v>
      </c>
      <c r="D55" s="13" t="b">
        <f aca="false">FALSE()</f>
        <v>0</v>
      </c>
      <c r="E55" s="13" t="b">
        <f aca="false">TRUE()</f>
        <v>1</v>
      </c>
      <c r="F55" s="0" t="str">
        <f aca="false">IF(B55="none","",(B55="approve")=E55)</f>
        <v/>
      </c>
    </row>
    <row r="56" customFormat="false" ht="15" hidden="false" customHeight="false" outlineLevel="0" collapsed="false">
      <c r="A56" s="4" t="s">
        <v>1218</v>
      </c>
      <c r="B56" s="4" t="s">
        <v>1169</v>
      </c>
      <c r="C56" s="13" t="b">
        <f aca="false">FALSE()</f>
        <v>0</v>
      </c>
      <c r="D56" s="13" t="b">
        <f aca="false">TRUE()</f>
        <v>1</v>
      </c>
      <c r="E56" s="13" t="b">
        <f aca="false">TRUE()</f>
        <v>1</v>
      </c>
      <c r="F56" s="0" t="str">
        <f aca="false">IF(B56="none","",(B56="approve")=E56)</f>
        <v/>
      </c>
    </row>
    <row r="57" customFormat="false" ht="15" hidden="false" customHeight="false" outlineLevel="0" collapsed="false">
      <c r="A57" s="4" t="s">
        <v>1219</v>
      </c>
      <c r="B57" s="4" t="s">
        <v>1169</v>
      </c>
      <c r="C57" s="13" t="b">
        <f aca="false">FALSE()</f>
        <v>0</v>
      </c>
      <c r="D57" s="13" t="b">
        <f aca="false">FALSE()</f>
        <v>0</v>
      </c>
      <c r="E57" s="13" t="b">
        <f aca="false">TRUE()</f>
        <v>1</v>
      </c>
      <c r="F57" s="0" t="str">
        <f aca="false">IF(B57="none","",(B57="approve")=E57)</f>
        <v/>
      </c>
    </row>
    <row r="58" customFormat="false" ht="15" hidden="false" customHeight="false" outlineLevel="0" collapsed="false">
      <c r="A58" s="4" t="s">
        <v>1220</v>
      </c>
      <c r="B58" s="4" t="s">
        <v>1164</v>
      </c>
      <c r="C58" s="13" t="b">
        <f aca="false">FALSE()</f>
        <v>0</v>
      </c>
      <c r="D58" s="13" t="b">
        <f aca="false">TRUE()</f>
        <v>1</v>
      </c>
      <c r="E58" s="13" t="b">
        <f aca="false">TRUE()</f>
        <v>1</v>
      </c>
      <c r="F58" s="6" t="b">
        <f aca="false">IF(B58="none","",(B58="approve")=E58)</f>
        <v>1</v>
      </c>
    </row>
    <row r="59" customFormat="false" ht="15" hidden="false" customHeight="false" outlineLevel="0" collapsed="false">
      <c r="A59" s="4" t="s">
        <v>1221</v>
      </c>
      <c r="B59" s="4" t="s">
        <v>1164</v>
      </c>
      <c r="C59" s="13" t="b">
        <f aca="false">FALSE()</f>
        <v>0</v>
      </c>
      <c r="D59" s="13" t="b">
        <f aca="false">TRUE()</f>
        <v>1</v>
      </c>
      <c r="E59" s="13" t="b">
        <f aca="false">TRUE()</f>
        <v>1</v>
      </c>
      <c r="F59" s="6" t="b">
        <f aca="false">IF(B59="none","",(B59="approve")=E59)</f>
        <v>1</v>
      </c>
    </row>
    <row r="60" customFormat="false" ht="15" hidden="false" customHeight="false" outlineLevel="0" collapsed="false">
      <c r="A60" s="4" t="s">
        <v>1222</v>
      </c>
      <c r="B60" s="4" t="s">
        <v>1164</v>
      </c>
      <c r="C60" s="13" t="b">
        <f aca="false">FALSE()</f>
        <v>0</v>
      </c>
      <c r="D60" s="13" t="b">
        <f aca="false">TRUE()</f>
        <v>1</v>
      </c>
      <c r="E60" s="13" t="b">
        <f aca="false">TRUE()</f>
        <v>1</v>
      </c>
      <c r="F60" s="6" t="b">
        <f aca="false">IF(B60="none","",(B60="approve")=E60)</f>
        <v>1</v>
      </c>
    </row>
    <row r="61" customFormat="false" ht="15" hidden="false" customHeight="false" outlineLevel="0" collapsed="false">
      <c r="A61" s="4" t="s">
        <v>1223</v>
      </c>
      <c r="B61" s="4" t="s">
        <v>1164</v>
      </c>
      <c r="C61" s="13" t="b">
        <f aca="false">FALSE()</f>
        <v>0</v>
      </c>
      <c r="D61" s="13" t="b">
        <f aca="false">FALSE()</f>
        <v>0</v>
      </c>
      <c r="E61" s="13" t="b">
        <f aca="false">TRUE()</f>
        <v>1</v>
      </c>
      <c r="F61" s="6" t="b">
        <f aca="false">IF(B61="none","",(B61="approve")=E61)</f>
        <v>1</v>
      </c>
    </row>
    <row r="62" customFormat="false" ht="15" hidden="false" customHeight="false" outlineLevel="0" collapsed="false">
      <c r="A62" s="4" t="s">
        <v>1224</v>
      </c>
      <c r="B62" s="4" t="s">
        <v>1178</v>
      </c>
      <c r="C62" s="13" t="b">
        <f aca="false">FALSE()</f>
        <v>0</v>
      </c>
      <c r="D62" s="13" t="b">
        <f aca="false">TRUE()</f>
        <v>1</v>
      </c>
      <c r="E62" s="13" t="b">
        <f aca="false">FALSE()</f>
        <v>0</v>
      </c>
      <c r="F62" s="6" t="b">
        <f aca="false">IF(B62="none","",(B62="approve")=E62)</f>
        <v>1</v>
      </c>
    </row>
    <row r="63" customFormat="false" ht="15" hidden="false" customHeight="false" outlineLevel="0" collapsed="false">
      <c r="A63" s="4" t="s">
        <v>1225</v>
      </c>
      <c r="B63" s="4" t="s">
        <v>1164</v>
      </c>
      <c r="C63" s="13" t="b">
        <f aca="false">FALSE()</f>
        <v>0</v>
      </c>
      <c r="D63" s="13" t="b">
        <f aca="false">FALSE()</f>
        <v>0</v>
      </c>
      <c r="E63" s="13" t="b">
        <f aca="false">TRUE()</f>
        <v>1</v>
      </c>
      <c r="F63" s="6" t="b">
        <f aca="false">IF(B63="none","",(B63="approve")=E63)</f>
        <v>1</v>
      </c>
    </row>
    <row r="64" customFormat="false" ht="15" hidden="false" customHeight="false" outlineLevel="0" collapsed="false">
      <c r="A64" s="4" t="s">
        <v>1226</v>
      </c>
      <c r="B64" s="4" t="s">
        <v>1164</v>
      </c>
      <c r="C64" s="13" t="b">
        <f aca="false">FALSE()</f>
        <v>0</v>
      </c>
      <c r="D64" s="13" t="b">
        <f aca="false">TRUE()</f>
        <v>1</v>
      </c>
      <c r="E64" s="13" t="b">
        <f aca="false">TRUE()</f>
        <v>1</v>
      </c>
      <c r="F64" s="6" t="b">
        <f aca="false">IF(B64="none","",(B64="approve")=E64)</f>
        <v>1</v>
      </c>
    </row>
    <row r="65" customFormat="false" ht="15" hidden="false" customHeight="false" outlineLevel="0" collapsed="false">
      <c r="A65" s="4" t="s">
        <v>1227</v>
      </c>
      <c r="B65" s="4" t="s">
        <v>1164</v>
      </c>
      <c r="C65" s="13" t="b">
        <f aca="false">FALSE()</f>
        <v>0</v>
      </c>
      <c r="D65" s="13" t="b">
        <f aca="false">FALSE()</f>
        <v>0</v>
      </c>
      <c r="E65" s="13" t="b">
        <f aca="false">TRUE()</f>
        <v>1</v>
      </c>
      <c r="F65" s="6" t="b">
        <f aca="false">IF(B65="none","",(B65="approve")=E65)</f>
        <v>1</v>
      </c>
    </row>
    <row r="66" customFormat="false" ht="15" hidden="false" customHeight="false" outlineLevel="0" collapsed="false">
      <c r="A66" s="4" t="s">
        <v>1228</v>
      </c>
      <c r="B66" s="4" t="s">
        <v>1178</v>
      </c>
      <c r="C66" s="13" t="b">
        <f aca="false">FALSE()</f>
        <v>0</v>
      </c>
      <c r="D66" s="13" t="b">
        <f aca="false">TRUE()</f>
        <v>1</v>
      </c>
      <c r="E66" s="13" t="b">
        <f aca="false">FALSE()</f>
        <v>0</v>
      </c>
      <c r="F66" s="6" t="b">
        <f aca="false">IF(B66="none","",(B66="approve")=E66)</f>
        <v>1</v>
      </c>
    </row>
    <row r="67" customFormat="false" ht="15" hidden="false" customHeight="false" outlineLevel="0" collapsed="false">
      <c r="A67" s="4" t="s">
        <v>1229</v>
      </c>
      <c r="B67" s="4" t="s">
        <v>1164</v>
      </c>
      <c r="C67" s="13" t="b">
        <f aca="false">FALSE()</f>
        <v>0</v>
      </c>
      <c r="D67" s="13" t="b">
        <f aca="false">TRUE()</f>
        <v>1</v>
      </c>
      <c r="E67" s="13" t="b">
        <f aca="false">TRUE()</f>
        <v>1</v>
      </c>
      <c r="F67" s="6" t="b">
        <f aca="false">IF(B67="none","",(B67="approve")=E67)</f>
        <v>1</v>
      </c>
    </row>
    <row r="68" customFormat="false" ht="15" hidden="false" customHeight="false" outlineLevel="0" collapsed="false">
      <c r="A68" s="4" t="s">
        <v>1230</v>
      </c>
      <c r="B68" s="4" t="s">
        <v>1169</v>
      </c>
      <c r="C68" s="13" t="b">
        <f aca="false">FALSE()</f>
        <v>0</v>
      </c>
      <c r="D68" s="13" t="b">
        <f aca="false">FALSE()</f>
        <v>0</v>
      </c>
      <c r="E68" s="13" t="b">
        <f aca="false">TRUE()</f>
        <v>1</v>
      </c>
      <c r="F68" s="0" t="str">
        <f aca="false">IF(B68="none","",(B68="approve")=E68)</f>
        <v/>
      </c>
    </row>
    <row r="69" customFormat="false" ht="15" hidden="false" customHeight="false" outlineLevel="0" collapsed="false">
      <c r="A69" s="4" t="s">
        <v>1231</v>
      </c>
      <c r="B69" s="4" t="s">
        <v>1164</v>
      </c>
      <c r="C69" s="13" t="b">
        <f aca="false">FALSE()</f>
        <v>0</v>
      </c>
      <c r="D69" s="13" t="b">
        <f aca="false">FALSE()</f>
        <v>0</v>
      </c>
      <c r="E69" s="13" t="b">
        <f aca="false">TRUE()</f>
        <v>1</v>
      </c>
      <c r="F69" s="6" t="b">
        <f aca="false">IF(B69="none","",(B69="approve")=E69)</f>
        <v>1</v>
      </c>
    </row>
    <row r="70" customFormat="false" ht="15" hidden="false" customHeight="false" outlineLevel="0" collapsed="false">
      <c r="A70" s="4" t="s">
        <v>1232</v>
      </c>
      <c r="B70" s="4" t="s">
        <v>1169</v>
      </c>
      <c r="C70" s="13" t="b">
        <f aca="false">FALSE()</f>
        <v>0</v>
      </c>
      <c r="D70" s="13" t="b">
        <f aca="false">TRUE()</f>
        <v>1</v>
      </c>
      <c r="E70" s="13" t="b">
        <f aca="false">TRUE()</f>
        <v>1</v>
      </c>
      <c r="F70" s="0" t="str">
        <f aca="false">IF(B70="none","",(B70="approve")=E70)</f>
        <v/>
      </c>
    </row>
    <row r="71" customFormat="false" ht="15" hidden="false" customHeight="false" outlineLevel="0" collapsed="false">
      <c r="A71" s="4" t="s">
        <v>1233</v>
      </c>
      <c r="B71" s="4" t="s">
        <v>1164</v>
      </c>
      <c r="C71" s="13" t="b">
        <f aca="false">TRUE()</f>
        <v>1</v>
      </c>
      <c r="D71" s="13" t="b">
        <f aca="false">TRUE()</f>
        <v>1</v>
      </c>
      <c r="E71" s="13" t="b">
        <f aca="false">TRUE()</f>
        <v>1</v>
      </c>
      <c r="F71" s="6" t="b">
        <f aca="false">IF(B71="none","",(B71="approve")=E71)</f>
        <v>1</v>
      </c>
    </row>
    <row r="72" customFormat="false" ht="15" hidden="false" customHeight="false" outlineLevel="0" collapsed="false">
      <c r="A72" s="4" t="s">
        <v>1234</v>
      </c>
      <c r="B72" s="4" t="s">
        <v>1164</v>
      </c>
      <c r="C72" s="13" t="b">
        <f aca="false">FALSE()</f>
        <v>0</v>
      </c>
      <c r="D72" s="13" t="b">
        <f aca="false">FALSE()</f>
        <v>0</v>
      </c>
      <c r="E72" s="13" t="b">
        <f aca="false">TRUE()</f>
        <v>1</v>
      </c>
      <c r="F72" s="6" t="b">
        <f aca="false">IF(B72="none","",(B72="approve")=E72)</f>
        <v>1</v>
      </c>
    </row>
    <row r="73" customFormat="false" ht="15" hidden="false" customHeight="false" outlineLevel="0" collapsed="false">
      <c r="A73" s="4" t="s">
        <v>1235</v>
      </c>
      <c r="B73" s="4" t="s">
        <v>1169</v>
      </c>
      <c r="C73" s="13" t="b">
        <f aca="false">FALSE()</f>
        <v>0</v>
      </c>
      <c r="D73" s="13" t="b">
        <f aca="false">TRUE()</f>
        <v>1</v>
      </c>
      <c r="E73" s="13" t="b">
        <f aca="false">TRUE()</f>
        <v>1</v>
      </c>
      <c r="F73" s="0" t="str">
        <f aca="false">IF(B73="none","",(B73="approve")=E73)</f>
        <v/>
      </c>
    </row>
    <row r="74" customFormat="false" ht="15" hidden="false" customHeight="false" outlineLevel="0" collapsed="false">
      <c r="A74" s="4" t="s">
        <v>1236</v>
      </c>
      <c r="B74" s="4" t="s">
        <v>1164</v>
      </c>
      <c r="C74" s="13" t="b">
        <f aca="false">FALSE()</f>
        <v>0</v>
      </c>
      <c r="D74" s="13" t="b">
        <f aca="false">TRUE()</f>
        <v>1</v>
      </c>
      <c r="E74" s="13" t="b">
        <f aca="false">TRUE()</f>
        <v>1</v>
      </c>
      <c r="F74" s="6" t="b">
        <f aca="false">IF(B74="none","",(B74="approve")=E74)</f>
        <v>1</v>
      </c>
    </row>
    <row r="75" customFormat="false" ht="15" hidden="false" customHeight="false" outlineLevel="0" collapsed="false">
      <c r="A75" s="4" t="s">
        <v>1237</v>
      </c>
      <c r="B75" s="4" t="s">
        <v>1164</v>
      </c>
      <c r="C75" s="13" t="b">
        <f aca="false">FALSE()</f>
        <v>0</v>
      </c>
      <c r="D75" s="13" t="b">
        <f aca="false">FALSE()</f>
        <v>0</v>
      </c>
      <c r="E75" s="13" t="b">
        <f aca="false">TRUE()</f>
        <v>1</v>
      </c>
      <c r="F75" s="6" t="b">
        <f aca="false">IF(B75="none","",(B75="approve")=E75)</f>
        <v>1</v>
      </c>
    </row>
    <row r="76" customFormat="false" ht="15" hidden="false" customHeight="false" outlineLevel="0" collapsed="false">
      <c r="A76" s="4" t="s">
        <v>1238</v>
      </c>
      <c r="B76" s="4" t="s">
        <v>1169</v>
      </c>
      <c r="C76" s="13" t="b">
        <f aca="false">FALSE()</f>
        <v>0</v>
      </c>
      <c r="D76" s="13" t="b">
        <f aca="false">TRUE()</f>
        <v>1</v>
      </c>
      <c r="E76" s="13" t="b">
        <f aca="false">FALSE()</f>
        <v>0</v>
      </c>
      <c r="F76" s="0" t="str">
        <f aca="false">IF(B76="none","",(B76="approve")=E76)</f>
        <v/>
      </c>
    </row>
    <row r="77" customFormat="false" ht="15" hidden="false" customHeight="false" outlineLevel="0" collapsed="false">
      <c r="A77" s="4" t="s">
        <v>1239</v>
      </c>
      <c r="B77" s="4" t="s">
        <v>1178</v>
      </c>
      <c r="C77" s="13" t="b">
        <f aca="false">FALSE()</f>
        <v>0</v>
      </c>
      <c r="D77" s="13" t="b">
        <f aca="false">TRUE()</f>
        <v>1</v>
      </c>
      <c r="E77" s="13" t="b">
        <f aca="false">TRUE()</f>
        <v>1</v>
      </c>
      <c r="F77" s="6" t="b">
        <f aca="false">IF(B77="none","",(B77="approve")=E77)</f>
        <v>0</v>
      </c>
    </row>
    <row r="78" customFormat="false" ht="15" hidden="false" customHeight="false" outlineLevel="0" collapsed="false">
      <c r="A78" s="4" t="s">
        <v>1240</v>
      </c>
      <c r="B78" s="4" t="s">
        <v>1164</v>
      </c>
      <c r="C78" s="13" t="b">
        <f aca="false">FALSE()</f>
        <v>0</v>
      </c>
      <c r="D78" s="13" t="b">
        <f aca="false">TRUE()</f>
        <v>1</v>
      </c>
      <c r="E78" s="13" t="b">
        <f aca="false">TRUE()</f>
        <v>1</v>
      </c>
      <c r="F78" s="6" t="b">
        <f aca="false">IF(B78="none","",(B78="approve")=E78)</f>
        <v>1</v>
      </c>
    </row>
    <row r="79" customFormat="false" ht="15" hidden="false" customHeight="false" outlineLevel="0" collapsed="false">
      <c r="A79" s="4" t="s">
        <v>1241</v>
      </c>
      <c r="B79" s="4" t="s">
        <v>1164</v>
      </c>
      <c r="C79" s="13" t="b">
        <f aca="false">TRUE()</f>
        <v>1</v>
      </c>
      <c r="D79" s="13" t="b">
        <f aca="false">TRUE()</f>
        <v>1</v>
      </c>
      <c r="E79" s="13" t="b">
        <f aca="false">TRUE()</f>
        <v>1</v>
      </c>
      <c r="F79" s="6" t="b">
        <f aca="false">IF(B79="none","",(B79="approve")=E79)</f>
        <v>1</v>
      </c>
    </row>
    <row r="80" customFormat="false" ht="15" hidden="false" customHeight="false" outlineLevel="0" collapsed="false">
      <c r="A80" s="4" t="s">
        <v>1242</v>
      </c>
      <c r="B80" s="4" t="s">
        <v>1164</v>
      </c>
      <c r="C80" s="13" t="b">
        <f aca="false">FALSE()</f>
        <v>0</v>
      </c>
      <c r="D80" s="13" t="b">
        <f aca="false">TRUE()</f>
        <v>1</v>
      </c>
      <c r="E80" s="13" t="b">
        <f aca="false">TRUE()</f>
        <v>1</v>
      </c>
      <c r="F80" s="6" t="b">
        <f aca="false">IF(B80="none","",(B80="approve")=E80)</f>
        <v>1</v>
      </c>
    </row>
    <row r="81" customFormat="false" ht="15" hidden="false" customHeight="false" outlineLevel="0" collapsed="false">
      <c r="A81" s="4" t="s">
        <v>1243</v>
      </c>
      <c r="B81" s="4" t="s">
        <v>1164</v>
      </c>
      <c r="C81" s="13" t="b">
        <f aca="false">FALSE()</f>
        <v>0</v>
      </c>
      <c r="D81" s="13" t="b">
        <f aca="false">TRUE()</f>
        <v>1</v>
      </c>
      <c r="E81" s="13" t="b">
        <f aca="false">TRUE()</f>
        <v>1</v>
      </c>
      <c r="F81" s="6" t="b">
        <f aca="false">IF(B81="none","",(B81="approve")=E81)</f>
        <v>1</v>
      </c>
    </row>
    <row r="82" customFormat="false" ht="15" hidden="false" customHeight="false" outlineLevel="0" collapsed="false">
      <c r="A82" s="4" t="s">
        <v>1244</v>
      </c>
      <c r="B82" s="4" t="s">
        <v>1178</v>
      </c>
      <c r="C82" s="13" t="b">
        <f aca="false">FALSE()</f>
        <v>0</v>
      </c>
      <c r="D82" s="13" t="b">
        <f aca="false">FALSE()</f>
        <v>0</v>
      </c>
      <c r="E82" s="13" t="b">
        <f aca="false">FALSE()</f>
        <v>0</v>
      </c>
      <c r="F82" s="6" t="b">
        <f aca="false">IF(B82="none","",(B82="approve")=E82)</f>
        <v>1</v>
      </c>
    </row>
    <row r="83" customFormat="false" ht="15" hidden="false" customHeight="false" outlineLevel="0" collapsed="false">
      <c r="A83" s="4" t="s">
        <v>1245</v>
      </c>
      <c r="B83" s="4" t="s">
        <v>1169</v>
      </c>
      <c r="C83" s="13" t="b">
        <f aca="false">FALSE()</f>
        <v>0</v>
      </c>
      <c r="D83" s="13" t="b">
        <f aca="false">TRUE()</f>
        <v>1</v>
      </c>
      <c r="E83" s="13" t="b">
        <f aca="false">TRUE()</f>
        <v>1</v>
      </c>
      <c r="F83" s="0" t="str">
        <f aca="false">IF(B83="none","",(B83="approve")=E83)</f>
        <v/>
      </c>
    </row>
    <row r="84" customFormat="false" ht="15" hidden="false" customHeight="false" outlineLevel="0" collapsed="false">
      <c r="A84" s="4" t="s">
        <v>1246</v>
      </c>
      <c r="B84" s="4" t="s">
        <v>1164</v>
      </c>
      <c r="C84" s="13" t="b">
        <f aca="false">FALSE()</f>
        <v>0</v>
      </c>
      <c r="D84" s="13" t="b">
        <f aca="false">TRUE()</f>
        <v>1</v>
      </c>
      <c r="E84" s="13" t="b">
        <f aca="false">TRUE()</f>
        <v>1</v>
      </c>
      <c r="F84" s="6" t="b">
        <f aca="false">IF(B84="none","",(B84="approve")=E84)</f>
        <v>1</v>
      </c>
    </row>
    <row r="85" customFormat="false" ht="15" hidden="false" customHeight="false" outlineLevel="0" collapsed="false">
      <c r="A85" s="4" t="s">
        <v>1247</v>
      </c>
      <c r="B85" s="4" t="s">
        <v>1178</v>
      </c>
      <c r="C85" s="13" t="b">
        <f aca="false">FALSE()</f>
        <v>0</v>
      </c>
      <c r="D85" s="13" t="b">
        <f aca="false">FALSE()</f>
        <v>0</v>
      </c>
      <c r="E85" s="13" t="b">
        <f aca="false">FALSE()</f>
        <v>0</v>
      </c>
      <c r="F85" s="6" t="b">
        <f aca="false">IF(B85="none","",(B85="approve")=E85)</f>
        <v>1</v>
      </c>
    </row>
    <row r="86" customFormat="false" ht="15" hidden="false" customHeight="false" outlineLevel="0" collapsed="false">
      <c r="A86" s="4" t="s">
        <v>1248</v>
      </c>
      <c r="B86" s="4" t="s">
        <v>1178</v>
      </c>
      <c r="C86" s="13" t="b">
        <f aca="false">FALSE()</f>
        <v>0</v>
      </c>
      <c r="D86" s="13" t="b">
        <f aca="false">TRUE()</f>
        <v>1</v>
      </c>
      <c r="E86" s="13" t="b">
        <f aca="false">TRUE()</f>
        <v>1</v>
      </c>
      <c r="F86" s="6" t="b">
        <f aca="false">IF(B86="none","",(B86="approve")=E86)</f>
        <v>0</v>
      </c>
    </row>
    <row r="87" customFormat="false" ht="15" hidden="false" customHeight="false" outlineLevel="0" collapsed="false">
      <c r="A87" s="4" t="s">
        <v>1249</v>
      </c>
      <c r="B87" s="4" t="s">
        <v>1178</v>
      </c>
      <c r="C87" s="13" t="b">
        <f aca="false">FALSE()</f>
        <v>0</v>
      </c>
      <c r="D87" s="13" t="b">
        <f aca="false">FALSE()</f>
        <v>0</v>
      </c>
      <c r="E87" s="13" t="b">
        <f aca="false">FALSE()</f>
        <v>0</v>
      </c>
      <c r="F87" s="6" t="b">
        <f aca="false">IF(B87="none","",(B87="approve")=E87)</f>
        <v>1</v>
      </c>
    </row>
    <row r="88" customFormat="false" ht="15" hidden="false" customHeight="false" outlineLevel="0" collapsed="false">
      <c r="A88" s="4" t="s">
        <v>1250</v>
      </c>
      <c r="B88" s="4" t="s">
        <v>1169</v>
      </c>
      <c r="C88" s="13" t="b">
        <f aca="false">FALSE()</f>
        <v>0</v>
      </c>
      <c r="D88" s="13" t="b">
        <f aca="false">FALSE()</f>
        <v>0</v>
      </c>
      <c r="E88" s="13" t="b">
        <f aca="false">TRUE()</f>
        <v>1</v>
      </c>
      <c r="F88" s="0" t="str">
        <f aca="false">IF(B88="none","",(B88="approve")=E88)</f>
        <v/>
      </c>
    </row>
    <row r="89" customFormat="false" ht="15" hidden="false" customHeight="false" outlineLevel="0" collapsed="false">
      <c r="A89" s="4" t="s">
        <v>1251</v>
      </c>
      <c r="B89" s="4" t="s">
        <v>1169</v>
      </c>
      <c r="C89" s="13" t="b">
        <f aca="false">FALSE()</f>
        <v>0</v>
      </c>
      <c r="D89" s="13" t="b">
        <f aca="false">FALSE()</f>
        <v>0</v>
      </c>
      <c r="E89" s="13" t="b">
        <f aca="false">TRUE()</f>
        <v>1</v>
      </c>
      <c r="F89" s="0" t="str">
        <f aca="false">IF(B89="none","",(B89="approve")=E89)</f>
        <v/>
      </c>
    </row>
    <row r="90" customFormat="false" ht="15" hidden="false" customHeight="false" outlineLevel="0" collapsed="false">
      <c r="A90" s="4" t="s">
        <v>1252</v>
      </c>
      <c r="B90" s="4" t="s">
        <v>1164</v>
      </c>
      <c r="C90" s="13" t="b">
        <f aca="false">FALSE()</f>
        <v>0</v>
      </c>
      <c r="D90" s="13" t="b">
        <f aca="false">TRUE()</f>
        <v>1</v>
      </c>
      <c r="E90" s="13" t="b">
        <f aca="false">TRUE()</f>
        <v>1</v>
      </c>
      <c r="F90" s="6" t="b">
        <f aca="false">IF(B90="none","",(B90="approve")=E90)</f>
        <v>1</v>
      </c>
    </row>
    <row r="91" customFormat="false" ht="15" hidden="false" customHeight="false" outlineLevel="0" collapsed="false">
      <c r="A91" s="4" t="s">
        <v>1253</v>
      </c>
      <c r="B91" s="4" t="s">
        <v>1169</v>
      </c>
      <c r="C91" s="13" t="b">
        <f aca="false">FALSE()</f>
        <v>0</v>
      </c>
      <c r="D91" s="13" t="b">
        <f aca="false">TRUE()</f>
        <v>1</v>
      </c>
      <c r="E91" s="13" t="b">
        <f aca="false">TRUE()</f>
        <v>1</v>
      </c>
      <c r="F91" s="0" t="str">
        <f aca="false">IF(B91="none","",(B91="approve")=E91)</f>
        <v/>
      </c>
    </row>
    <row r="92" customFormat="false" ht="15" hidden="false" customHeight="false" outlineLevel="0" collapsed="false">
      <c r="A92" s="4" t="s">
        <v>1254</v>
      </c>
      <c r="B92" s="4" t="s">
        <v>1169</v>
      </c>
      <c r="C92" s="13" t="b">
        <f aca="false">FALSE()</f>
        <v>0</v>
      </c>
      <c r="D92" s="13" t="b">
        <f aca="false">FALSE()</f>
        <v>0</v>
      </c>
      <c r="E92" s="13" t="b">
        <f aca="false">TRUE()</f>
        <v>1</v>
      </c>
      <c r="F92" s="0" t="str">
        <f aca="false">IF(B92="none","",(B92="approve")=E92)</f>
        <v/>
      </c>
    </row>
    <row r="93" customFormat="false" ht="15" hidden="false" customHeight="false" outlineLevel="0" collapsed="false">
      <c r="A93" s="4" t="s">
        <v>1255</v>
      </c>
      <c r="B93" s="4" t="s">
        <v>1164</v>
      </c>
      <c r="C93" s="13" t="b">
        <f aca="false">FALSE()</f>
        <v>0</v>
      </c>
      <c r="D93" s="13" t="b">
        <f aca="false">TRUE()</f>
        <v>1</v>
      </c>
      <c r="E93" s="13" t="b">
        <f aca="false">TRUE()</f>
        <v>1</v>
      </c>
      <c r="F93" s="6" t="b">
        <f aca="false">IF(B93="none","",(B93="approve")=E93)</f>
        <v>1</v>
      </c>
    </row>
    <row r="94" customFormat="false" ht="15" hidden="false" customHeight="false" outlineLevel="0" collapsed="false">
      <c r="A94" s="4" t="s">
        <v>1256</v>
      </c>
      <c r="B94" s="4" t="s">
        <v>1169</v>
      </c>
      <c r="C94" s="13" t="b">
        <f aca="false">FALSE()</f>
        <v>0</v>
      </c>
      <c r="D94" s="13" t="b">
        <f aca="false">FALSE()</f>
        <v>0</v>
      </c>
      <c r="E94" s="13" t="b">
        <f aca="false">TRUE()</f>
        <v>1</v>
      </c>
      <c r="F94" s="0" t="str">
        <f aca="false">IF(B94="none","",(B94="approve")=E94)</f>
        <v/>
      </c>
    </row>
    <row r="95" customFormat="false" ht="15" hidden="false" customHeight="false" outlineLevel="0" collapsed="false">
      <c r="A95" s="4" t="s">
        <v>1257</v>
      </c>
      <c r="B95" s="4" t="s">
        <v>1164</v>
      </c>
      <c r="C95" s="13" t="b">
        <f aca="false">FALSE()</f>
        <v>0</v>
      </c>
      <c r="D95" s="13" t="b">
        <f aca="false">TRUE()</f>
        <v>1</v>
      </c>
      <c r="E95" s="13" t="b">
        <f aca="false">TRUE()</f>
        <v>1</v>
      </c>
      <c r="F95" s="6" t="b">
        <f aca="false">IF(B95="none","",(B95="approve")=E95)</f>
        <v>1</v>
      </c>
    </row>
    <row r="96" customFormat="false" ht="15" hidden="false" customHeight="false" outlineLevel="0" collapsed="false">
      <c r="A96" s="4" t="s">
        <v>1258</v>
      </c>
      <c r="B96" s="4" t="s">
        <v>1169</v>
      </c>
      <c r="C96" s="13" t="b">
        <f aca="false">FALSE()</f>
        <v>0</v>
      </c>
      <c r="D96" s="13" t="b">
        <f aca="false">FALSE()</f>
        <v>0</v>
      </c>
      <c r="E96" s="13" t="b">
        <f aca="false">TRUE()</f>
        <v>1</v>
      </c>
      <c r="F96" s="0" t="str">
        <f aca="false">IF(B96="none","",(B96="approve")=E96)</f>
        <v/>
      </c>
    </row>
    <row r="97" customFormat="false" ht="15" hidden="false" customHeight="false" outlineLevel="0" collapsed="false">
      <c r="A97" s="4" t="s">
        <v>1259</v>
      </c>
      <c r="B97" s="4" t="s">
        <v>1169</v>
      </c>
      <c r="C97" s="13" t="b">
        <f aca="false">FALSE()</f>
        <v>0</v>
      </c>
      <c r="D97" s="13" t="b">
        <f aca="false">FALSE()</f>
        <v>0</v>
      </c>
      <c r="E97" s="13" t="b">
        <f aca="false">TRUE()</f>
        <v>1</v>
      </c>
      <c r="F97" s="0" t="str">
        <f aca="false">IF(B97="none","",(B97="approve")=E97)</f>
        <v/>
      </c>
    </row>
    <row r="98" customFormat="false" ht="15" hidden="false" customHeight="false" outlineLevel="0" collapsed="false">
      <c r="A98" s="4" t="s">
        <v>1260</v>
      </c>
      <c r="B98" s="4" t="s">
        <v>1164</v>
      </c>
      <c r="C98" s="13" t="b">
        <f aca="false">FALSE()</f>
        <v>0</v>
      </c>
      <c r="D98" s="13" t="b">
        <f aca="false">TRUE()</f>
        <v>1</v>
      </c>
      <c r="E98" s="13" t="b">
        <f aca="false">TRUE()</f>
        <v>1</v>
      </c>
      <c r="F98" s="6" t="b">
        <f aca="false">IF(B98="none","",(B98="approve")=E98)</f>
        <v>1</v>
      </c>
    </row>
    <row r="99" customFormat="false" ht="15" hidden="false" customHeight="false" outlineLevel="0" collapsed="false">
      <c r="A99" s="4" t="s">
        <v>1261</v>
      </c>
      <c r="B99" s="4" t="s">
        <v>1169</v>
      </c>
      <c r="C99" s="13" t="b">
        <f aca="false">FALSE()</f>
        <v>0</v>
      </c>
      <c r="D99" s="13" t="b">
        <f aca="false">FALSE()</f>
        <v>0</v>
      </c>
      <c r="E99" s="13" t="b">
        <f aca="false">TRUE()</f>
        <v>1</v>
      </c>
      <c r="F99" s="0" t="str">
        <f aca="false">IF(B99="none","",(B99="approve")=E99)</f>
        <v/>
      </c>
    </row>
    <row r="100" customFormat="false" ht="15" hidden="false" customHeight="false" outlineLevel="0" collapsed="false">
      <c r="A100" s="4" t="s">
        <v>1262</v>
      </c>
      <c r="B100" s="4" t="s">
        <v>1164</v>
      </c>
      <c r="C100" s="13" t="b">
        <f aca="false">FALSE()</f>
        <v>0</v>
      </c>
      <c r="D100" s="13" t="b">
        <f aca="false">TRUE()</f>
        <v>1</v>
      </c>
      <c r="E100" s="13" t="b">
        <f aca="false">TRUE()</f>
        <v>1</v>
      </c>
      <c r="F100" s="6" t="b">
        <f aca="false">IF(B100="none","",(B100="approve")=E100)</f>
        <v>1</v>
      </c>
    </row>
    <row r="101" customFormat="false" ht="15" hidden="false" customHeight="false" outlineLevel="0" collapsed="false">
      <c r="A101" s="4" t="s">
        <v>1263</v>
      </c>
      <c r="B101" s="4" t="s">
        <v>1169</v>
      </c>
      <c r="C101" s="13" t="b">
        <f aca="false">FALSE()</f>
        <v>0</v>
      </c>
      <c r="D101" s="13" t="b">
        <f aca="false">TRUE()</f>
        <v>1</v>
      </c>
      <c r="E101" s="13" t="b">
        <f aca="false">TRUE()</f>
        <v>1</v>
      </c>
      <c r="F101" s="0" t="str">
        <f aca="false">IF(B101="none","",(B101="approve")=E101)</f>
        <v/>
      </c>
    </row>
    <row r="102" customFormat="false" ht="15" hidden="false" customHeight="false" outlineLevel="0" collapsed="false">
      <c r="A102" s="4" t="s">
        <v>1264</v>
      </c>
      <c r="B102" s="4" t="s">
        <v>1164</v>
      </c>
      <c r="C102" s="13" t="b">
        <f aca="false">FALSE()</f>
        <v>0</v>
      </c>
      <c r="D102" s="13" t="b">
        <f aca="false">FALSE()</f>
        <v>0</v>
      </c>
      <c r="E102" s="13" t="b">
        <f aca="false">TRUE()</f>
        <v>1</v>
      </c>
      <c r="F102" s="6" t="b">
        <f aca="false">IF(B102="none","",(B102="approve")=E102)</f>
        <v>1</v>
      </c>
    </row>
    <row r="103" customFormat="false" ht="15" hidden="false" customHeight="false" outlineLevel="0" collapsed="false">
      <c r="A103" s="4" t="s">
        <v>1265</v>
      </c>
      <c r="B103" s="4" t="s">
        <v>1164</v>
      </c>
      <c r="C103" s="13" t="b">
        <f aca="false">FALSE()</f>
        <v>0</v>
      </c>
      <c r="D103" s="13" t="b">
        <f aca="false">TRUE()</f>
        <v>1</v>
      </c>
      <c r="E103" s="13" t="b">
        <f aca="false">TRUE()</f>
        <v>1</v>
      </c>
      <c r="F103" s="6" t="b">
        <f aca="false">IF(B103="none","",(B103="approve")=E103)</f>
        <v>1</v>
      </c>
    </row>
    <row r="104" customFormat="false" ht="15" hidden="false" customHeight="false" outlineLevel="0" collapsed="false">
      <c r="A104" s="4" t="s">
        <v>1266</v>
      </c>
      <c r="B104" s="4" t="s">
        <v>1164</v>
      </c>
      <c r="C104" s="13" t="b">
        <f aca="false">FALSE()</f>
        <v>0</v>
      </c>
      <c r="D104" s="13" t="b">
        <f aca="false">TRUE()</f>
        <v>1</v>
      </c>
      <c r="E104" s="13" t="b">
        <f aca="false">TRUE()</f>
        <v>1</v>
      </c>
      <c r="F104" s="6" t="b">
        <f aca="false">IF(B104="none","",(B104="approve")=E104)</f>
        <v>1</v>
      </c>
    </row>
    <row r="105" customFormat="false" ht="15" hidden="false" customHeight="false" outlineLevel="0" collapsed="false">
      <c r="A105" s="4" t="s">
        <v>1267</v>
      </c>
      <c r="B105" s="4" t="s">
        <v>1178</v>
      </c>
      <c r="C105" s="13" t="b">
        <f aca="false">FALSE()</f>
        <v>0</v>
      </c>
      <c r="D105" s="13" t="b">
        <f aca="false">TRUE()</f>
        <v>1</v>
      </c>
      <c r="E105" s="13" t="b">
        <f aca="false">FALSE()</f>
        <v>0</v>
      </c>
      <c r="F105" s="6" t="b">
        <f aca="false">IF(B105="none","",(B105="approve")=E105)</f>
        <v>1</v>
      </c>
    </row>
    <row r="106" customFormat="false" ht="15" hidden="false" customHeight="false" outlineLevel="0" collapsed="false">
      <c r="A106" s="4" t="s">
        <v>1268</v>
      </c>
      <c r="B106" s="4" t="s">
        <v>1169</v>
      </c>
      <c r="C106" s="13" t="b">
        <f aca="false">FALSE()</f>
        <v>0</v>
      </c>
      <c r="D106" s="13" t="b">
        <f aca="false">FALSE()</f>
        <v>0</v>
      </c>
      <c r="E106" s="13" t="b">
        <f aca="false">FALSE()</f>
        <v>0</v>
      </c>
      <c r="F106" s="0" t="str">
        <f aca="false">IF(B106="none","",(B106="approve")=E106)</f>
        <v/>
      </c>
    </row>
    <row r="107" customFormat="false" ht="15" hidden="false" customHeight="false" outlineLevel="0" collapsed="false">
      <c r="A107" s="4" t="s">
        <v>1269</v>
      </c>
      <c r="B107" s="4" t="s">
        <v>1169</v>
      </c>
      <c r="C107" s="13" t="b">
        <f aca="false">FALSE()</f>
        <v>0</v>
      </c>
      <c r="D107" s="13" t="b">
        <f aca="false">FALSE()</f>
        <v>0</v>
      </c>
      <c r="E107" s="13" t="b">
        <f aca="false">TRUE()</f>
        <v>1</v>
      </c>
      <c r="F107" s="0" t="str">
        <f aca="false">IF(B107="none","",(B107="approve")=E107)</f>
        <v/>
      </c>
    </row>
    <row r="108" customFormat="false" ht="15" hidden="false" customHeight="false" outlineLevel="0" collapsed="false">
      <c r="A108" s="4" t="s">
        <v>1270</v>
      </c>
      <c r="B108" s="4" t="s">
        <v>1178</v>
      </c>
      <c r="C108" s="13" t="b">
        <f aca="false">FALSE()</f>
        <v>0</v>
      </c>
      <c r="D108" s="13" t="b">
        <f aca="false">TRUE()</f>
        <v>1</v>
      </c>
      <c r="E108" s="13" t="b">
        <f aca="false">FALSE()</f>
        <v>0</v>
      </c>
      <c r="F108" s="6" t="b">
        <f aca="false">IF(B108="none","",(B108="approve")=E108)</f>
        <v>1</v>
      </c>
    </row>
    <row r="109" customFormat="false" ht="15" hidden="false" customHeight="false" outlineLevel="0" collapsed="false">
      <c r="A109" s="4" t="s">
        <v>1271</v>
      </c>
      <c r="B109" s="4" t="s">
        <v>1169</v>
      </c>
      <c r="C109" s="13" t="b">
        <f aca="false">FALSE()</f>
        <v>0</v>
      </c>
      <c r="D109" s="13" t="b">
        <f aca="false">TRUE()</f>
        <v>1</v>
      </c>
      <c r="E109" s="13" t="b">
        <f aca="false">TRUE()</f>
        <v>1</v>
      </c>
      <c r="F109" s="0" t="str">
        <f aca="false">IF(B109="none","",(B109="approve")=E109)</f>
        <v/>
      </c>
    </row>
    <row r="110" customFormat="false" ht="15" hidden="false" customHeight="false" outlineLevel="0" collapsed="false">
      <c r="A110" s="4" t="s">
        <v>1272</v>
      </c>
      <c r="B110" s="4" t="s">
        <v>1169</v>
      </c>
      <c r="C110" s="13" t="b">
        <f aca="false">FALSE()</f>
        <v>0</v>
      </c>
      <c r="D110" s="13" t="b">
        <f aca="false">TRUE()</f>
        <v>1</v>
      </c>
      <c r="E110" s="13" t="b">
        <f aca="false">TRUE()</f>
        <v>1</v>
      </c>
      <c r="F110" s="0" t="str">
        <f aca="false">IF(B110="none","",(B110="approve")=E110)</f>
        <v/>
      </c>
    </row>
    <row r="111" customFormat="false" ht="15" hidden="false" customHeight="false" outlineLevel="0" collapsed="false">
      <c r="A111" s="4" t="s">
        <v>1273</v>
      </c>
      <c r="B111" s="4" t="s">
        <v>1164</v>
      </c>
      <c r="C111" s="13" t="b">
        <f aca="false">FALSE()</f>
        <v>0</v>
      </c>
      <c r="D111" s="13" t="b">
        <f aca="false">FALSE()</f>
        <v>0</v>
      </c>
      <c r="E111" s="13" t="b">
        <f aca="false">TRUE()</f>
        <v>1</v>
      </c>
      <c r="F111" s="6" t="b">
        <f aca="false">IF(B111="none","",(B111="approve")=E111)</f>
        <v>1</v>
      </c>
    </row>
    <row r="112" customFormat="false" ht="15" hidden="false" customHeight="false" outlineLevel="0" collapsed="false">
      <c r="A112" s="4" t="s">
        <v>1274</v>
      </c>
      <c r="B112" s="4" t="s">
        <v>1164</v>
      </c>
      <c r="C112" s="13" t="b">
        <f aca="false">FALSE()</f>
        <v>0</v>
      </c>
      <c r="D112" s="13" t="b">
        <f aca="false">TRUE()</f>
        <v>1</v>
      </c>
      <c r="E112" s="13" t="b">
        <f aca="false">TRUE()</f>
        <v>1</v>
      </c>
      <c r="F112" s="6" t="b">
        <f aca="false">IF(B112="none","",(B112="approve")=E112)</f>
        <v>1</v>
      </c>
    </row>
    <row r="113" customFormat="false" ht="15" hidden="false" customHeight="false" outlineLevel="0" collapsed="false">
      <c r="A113" s="4" t="s">
        <v>1275</v>
      </c>
      <c r="B113" s="4" t="s">
        <v>1164</v>
      </c>
      <c r="C113" s="13" t="b">
        <f aca="false">FALSE()</f>
        <v>0</v>
      </c>
      <c r="D113" s="13" t="b">
        <f aca="false">TRUE()</f>
        <v>1</v>
      </c>
      <c r="E113" s="13" t="b">
        <f aca="false">TRUE()</f>
        <v>1</v>
      </c>
      <c r="F113" s="6" t="b">
        <f aca="false">IF(B113="none","",(B113="approve")=E113)</f>
        <v>1</v>
      </c>
    </row>
    <row r="114" customFormat="false" ht="15" hidden="false" customHeight="false" outlineLevel="0" collapsed="false">
      <c r="A114" s="4" t="s">
        <v>1276</v>
      </c>
      <c r="B114" s="4" t="s">
        <v>1178</v>
      </c>
      <c r="C114" s="13" t="b">
        <f aca="false">FALSE()</f>
        <v>0</v>
      </c>
      <c r="D114" s="13" t="b">
        <f aca="false">FALSE()</f>
        <v>0</v>
      </c>
      <c r="E114" s="13" t="b">
        <f aca="false">TRUE()</f>
        <v>1</v>
      </c>
      <c r="F114" s="6" t="b">
        <f aca="false">IF(B114="none","",(B114="approve")=E114)</f>
        <v>0</v>
      </c>
    </row>
    <row r="115" customFormat="false" ht="15" hidden="false" customHeight="false" outlineLevel="0" collapsed="false">
      <c r="A115" s="4" t="s">
        <v>1277</v>
      </c>
      <c r="B115" s="4" t="s">
        <v>1164</v>
      </c>
      <c r="C115" s="13" t="b">
        <f aca="false">FALSE()</f>
        <v>0</v>
      </c>
      <c r="D115" s="13" t="b">
        <f aca="false">FALSE()</f>
        <v>0</v>
      </c>
      <c r="E115" s="13" t="b">
        <f aca="false">TRUE()</f>
        <v>1</v>
      </c>
      <c r="F115" s="6" t="b">
        <f aca="false">IF(B115="none","",(B115="approve")=E115)</f>
        <v>1</v>
      </c>
    </row>
    <row r="116" customFormat="false" ht="15" hidden="false" customHeight="false" outlineLevel="0" collapsed="false">
      <c r="A116" s="4" t="s">
        <v>1278</v>
      </c>
      <c r="B116" s="4" t="s">
        <v>1164</v>
      </c>
      <c r="C116" s="13" t="b">
        <f aca="false">FALSE()</f>
        <v>0</v>
      </c>
      <c r="D116" s="13" t="b">
        <f aca="false">TRUE()</f>
        <v>1</v>
      </c>
      <c r="E116" s="13" t="b">
        <f aca="false">TRUE()</f>
        <v>1</v>
      </c>
      <c r="F116" s="6" t="b">
        <f aca="false">IF(B116="none","",(B116="approve")=E116)</f>
        <v>1</v>
      </c>
    </row>
    <row r="117" customFormat="false" ht="15" hidden="false" customHeight="false" outlineLevel="0" collapsed="false">
      <c r="A117" s="4" t="s">
        <v>1279</v>
      </c>
      <c r="B117" s="4" t="s">
        <v>1169</v>
      </c>
      <c r="C117" s="13" t="b">
        <f aca="false">FALSE()</f>
        <v>0</v>
      </c>
      <c r="D117" s="13" t="b">
        <f aca="false">FALSE()</f>
        <v>0</v>
      </c>
      <c r="E117" s="13" t="b">
        <f aca="false">TRUE()</f>
        <v>1</v>
      </c>
      <c r="F117" s="0" t="str">
        <f aca="false">IF(B117="none","",(B117="approve")=E117)</f>
        <v/>
      </c>
    </row>
    <row r="118" customFormat="false" ht="15" hidden="false" customHeight="false" outlineLevel="0" collapsed="false">
      <c r="A118" s="4" t="s">
        <v>1280</v>
      </c>
      <c r="B118" s="4" t="s">
        <v>1169</v>
      </c>
      <c r="C118" s="13" t="b">
        <f aca="false">FALSE()</f>
        <v>0</v>
      </c>
      <c r="D118" s="13" t="b">
        <f aca="false">TRUE()</f>
        <v>1</v>
      </c>
      <c r="E118" s="13" t="b">
        <f aca="false">TRUE()</f>
        <v>1</v>
      </c>
      <c r="F118" s="0" t="str">
        <f aca="false">IF(B118="none","",(B118="approve")=E118)</f>
        <v/>
      </c>
    </row>
    <row r="119" customFormat="false" ht="15" hidden="false" customHeight="false" outlineLevel="0" collapsed="false">
      <c r="A119" s="4" t="s">
        <v>1281</v>
      </c>
      <c r="B119" s="4" t="s">
        <v>1169</v>
      </c>
      <c r="C119" s="13" t="b">
        <f aca="false">FALSE()</f>
        <v>0</v>
      </c>
      <c r="D119" s="13" t="b">
        <f aca="false">FALSE()</f>
        <v>0</v>
      </c>
      <c r="E119" s="13" t="b">
        <f aca="false">FALSE()</f>
        <v>0</v>
      </c>
      <c r="F119" s="0" t="str">
        <f aca="false">IF(B119="none","",(B119="approve")=E119)</f>
        <v/>
      </c>
    </row>
    <row r="120" customFormat="false" ht="15" hidden="false" customHeight="false" outlineLevel="0" collapsed="false">
      <c r="A120" s="4" t="s">
        <v>1282</v>
      </c>
      <c r="B120" s="4" t="s">
        <v>1164</v>
      </c>
      <c r="C120" s="13" t="b">
        <f aca="false">FALSE()</f>
        <v>0</v>
      </c>
      <c r="D120" s="13" t="b">
        <f aca="false">TRUE()</f>
        <v>1</v>
      </c>
      <c r="E120" s="13" t="b">
        <f aca="false">TRUE()</f>
        <v>1</v>
      </c>
      <c r="F120" s="6" t="b">
        <f aca="false">IF(B120="none","",(B120="approve")=E120)</f>
        <v>1</v>
      </c>
    </row>
    <row r="121" customFormat="false" ht="15" hidden="false" customHeight="false" outlineLevel="0" collapsed="false">
      <c r="A121" s="4" t="s">
        <v>1283</v>
      </c>
      <c r="B121" s="4" t="s">
        <v>1164</v>
      </c>
      <c r="C121" s="13" t="b">
        <f aca="false">FALSE()</f>
        <v>0</v>
      </c>
      <c r="D121" s="13" t="b">
        <f aca="false">TRUE()</f>
        <v>1</v>
      </c>
      <c r="E121" s="13" t="b">
        <f aca="false">TRUE()</f>
        <v>1</v>
      </c>
      <c r="F121" s="6" t="b">
        <f aca="false">IF(B121="none","",(B121="approve")=E121)</f>
        <v>1</v>
      </c>
    </row>
    <row r="122" customFormat="false" ht="15" hidden="false" customHeight="false" outlineLevel="0" collapsed="false">
      <c r="A122" s="4" t="s">
        <v>1284</v>
      </c>
      <c r="B122" s="4" t="s">
        <v>1164</v>
      </c>
      <c r="C122" s="13" t="b">
        <f aca="false">FALSE()</f>
        <v>0</v>
      </c>
      <c r="D122" s="13" t="b">
        <f aca="false">TRUE()</f>
        <v>1</v>
      </c>
      <c r="E122" s="13" t="b">
        <f aca="false">TRUE()</f>
        <v>1</v>
      </c>
      <c r="F122" s="6" t="b">
        <f aca="false">IF(B122="none","",(B122="approve")=E122)</f>
        <v>1</v>
      </c>
    </row>
    <row r="123" customFormat="false" ht="15" hidden="false" customHeight="false" outlineLevel="0" collapsed="false">
      <c r="A123" s="4" t="s">
        <v>1285</v>
      </c>
      <c r="B123" s="4" t="s">
        <v>1164</v>
      </c>
      <c r="C123" s="13" t="b">
        <f aca="false">FALSE()</f>
        <v>0</v>
      </c>
      <c r="D123" s="13" t="b">
        <f aca="false">TRUE()</f>
        <v>1</v>
      </c>
      <c r="E123" s="13" t="b">
        <f aca="false">TRUE()</f>
        <v>1</v>
      </c>
      <c r="F123" s="6" t="b">
        <f aca="false">IF(B123="none","",(B123="approve")=E123)</f>
        <v>1</v>
      </c>
    </row>
    <row r="124" customFormat="false" ht="15" hidden="false" customHeight="false" outlineLevel="0" collapsed="false">
      <c r="A124" s="4" t="s">
        <v>1286</v>
      </c>
      <c r="B124" s="4" t="s">
        <v>1164</v>
      </c>
      <c r="C124" s="13" t="b">
        <f aca="false">FALSE()</f>
        <v>0</v>
      </c>
      <c r="D124" s="13" t="b">
        <f aca="false">TRUE()</f>
        <v>1</v>
      </c>
      <c r="E124" s="13" t="b">
        <f aca="false">TRUE()</f>
        <v>1</v>
      </c>
      <c r="F124" s="6" t="b">
        <f aca="false">IF(B124="none","",(B124="approve")=E124)</f>
        <v>1</v>
      </c>
    </row>
    <row r="125" customFormat="false" ht="15" hidden="false" customHeight="false" outlineLevel="0" collapsed="false">
      <c r="A125" s="4" t="s">
        <v>1287</v>
      </c>
      <c r="B125" s="4" t="s">
        <v>1178</v>
      </c>
      <c r="C125" s="13" t="b">
        <f aca="false">FALSE()</f>
        <v>0</v>
      </c>
      <c r="D125" s="13" t="b">
        <f aca="false">TRUE()</f>
        <v>1</v>
      </c>
      <c r="E125" s="13" t="b">
        <f aca="false">FALSE()</f>
        <v>0</v>
      </c>
      <c r="F125" s="6" t="b">
        <f aca="false">IF(B125="none","",(B125="approve")=E125)</f>
        <v>1</v>
      </c>
    </row>
    <row r="126" customFormat="false" ht="15" hidden="false" customHeight="false" outlineLevel="0" collapsed="false">
      <c r="A126" s="4" t="s">
        <v>1288</v>
      </c>
      <c r="B126" s="4" t="s">
        <v>1164</v>
      </c>
      <c r="C126" s="13" t="b">
        <f aca="false">FALSE()</f>
        <v>0</v>
      </c>
      <c r="D126" s="13" t="b">
        <f aca="false">FALSE()</f>
        <v>0</v>
      </c>
      <c r="E126" s="13" t="b">
        <f aca="false">TRUE()</f>
        <v>1</v>
      </c>
      <c r="F126" s="6" t="b">
        <f aca="false">IF(B126="none","",(B126="approve")=E126)</f>
        <v>1</v>
      </c>
    </row>
    <row r="127" customFormat="false" ht="15" hidden="false" customHeight="false" outlineLevel="0" collapsed="false">
      <c r="A127" s="4" t="s">
        <v>1289</v>
      </c>
      <c r="B127" s="4" t="s">
        <v>1169</v>
      </c>
      <c r="C127" s="13" t="b">
        <f aca="false">FALSE()</f>
        <v>0</v>
      </c>
      <c r="D127" s="13" t="b">
        <f aca="false">TRUE()</f>
        <v>1</v>
      </c>
      <c r="E127" s="13" t="b">
        <f aca="false">TRUE()</f>
        <v>1</v>
      </c>
      <c r="F127" s="0" t="str">
        <f aca="false">IF(B127="none","",(B127="approve")=E127)</f>
        <v/>
      </c>
    </row>
    <row r="128" customFormat="false" ht="15" hidden="false" customHeight="false" outlineLevel="0" collapsed="false">
      <c r="A128" s="4" t="s">
        <v>1290</v>
      </c>
      <c r="B128" s="4" t="s">
        <v>1164</v>
      </c>
      <c r="C128" s="13" t="b">
        <f aca="false">FALSE()</f>
        <v>0</v>
      </c>
      <c r="D128" s="13" t="b">
        <f aca="false">TRUE()</f>
        <v>1</v>
      </c>
      <c r="E128" s="13" t="b">
        <f aca="false">TRUE()</f>
        <v>1</v>
      </c>
      <c r="F128" s="6" t="b">
        <f aca="false">IF(B128="none","",(B128="approve")=E128)</f>
        <v>1</v>
      </c>
    </row>
    <row r="129" customFormat="false" ht="15" hidden="false" customHeight="false" outlineLevel="0" collapsed="false">
      <c r="A129" s="4" t="s">
        <v>1291</v>
      </c>
      <c r="B129" s="4" t="s">
        <v>1164</v>
      </c>
      <c r="C129" s="13" t="b">
        <f aca="false">TRUE()</f>
        <v>1</v>
      </c>
      <c r="D129" s="13" t="b">
        <f aca="false">FALSE()</f>
        <v>0</v>
      </c>
      <c r="E129" s="13" t="b">
        <f aca="false">TRUE()</f>
        <v>1</v>
      </c>
      <c r="F129" s="6" t="b">
        <f aca="false">IF(B129="none","",(B129="approve")=E129)</f>
        <v>1</v>
      </c>
    </row>
    <row r="130" customFormat="false" ht="15" hidden="false" customHeight="false" outlineLevel="0" collapsed="false">
      <c r="A130" s="4" t="s">
        <v>1292</v>
      </c>
      <c r="B130" s="4" t="s">
        <v>1164</v>
      </c>
      <c r="C130" s="13" t="b">
        <f aca="false">FALSE()</f>
        <v>0</v>
      </c>
      <c r="D130" s="13" t="b">
        <f aca="false">TRUE()</f>
        <v>1</v>
      </c>
      <c r="E130" s="13" t="b">
        <f aca="false">TRUE()</f>
        <v>1</v>
      </c>
      <c r="F130" s="6" t="b">
        <f aca="false">IF(B130="none","",(B130="approve")=E130)</f>
        <v>1</v>
      </c>
    </row>
    <row r="131" customFormat="false" ht="15" hidden="false" customHeight="false" outlineLevel="0" collapsed="false">
      <c r="A131" s="4" t="s">
        <v>1293</v>
      </c>
      <c r="B131" s="4" t="s">
        <v>1169</v>
      </c>
      <c r="C131" s="13" t="b">
        <f aca="false">FALSE()</f>
        <v>0</v>
      </c>
      <c r="D131" s="13" t="b">
        <f aca="false">TRUE()</f>
        <v>1</v>
      </c>
      <c r="E131" s="13" t="b">
        <f aca="false">TRUE()</f>
        <v>1</v>
      </c>
      <c r="F131" s="0" t="str">
        <f aca="false">IF(B131="none","",(B131="approve")=E131)</f>
        <v/>
      </c>
    </row>
    <row r="132" customFormat="false" ht="15" hidden="false" customHeight="false" outlineLevel="0" collapsed="false">
      <c r="A132" s="4" t="s">
        <v>1294</v>
      </c>
      <c r="B132" s="4" t="s">
        <v>1164</v>
      </c>
      <c r="C132" s="13" t="b">
        <f aca="false">FALSE()</f>
        <v>0</v>
      </c>
      <c r="D132" s="13" t="b">
        <f aca="false">FALSE()</f>
        <v>0</v>
      </c>
      <c r="E132" s="13" t="b">
        <f aca="false">TRUE()</f>
        <v>1</v>
      </c>
      <c r="F132" s="6" t="b">
        <f aca="false">IF(B132="none","",(B132="approve")=E132)</f>
        <v>1</v>
      </c>
    </row>
    <row r="133" customFormat="false" ht="15" hidden="false" customHeight="false" outlineLevel="0" collapsed="false">
      <c r="A133" s="4" t="s">
        <v>1295</v>
      </c>
      <c r="B133" s="4" t="s">
        <v>1169</v>
      </c>
      <c r="C133" s="13" t="b">
        <f aca="false">FALSE()</f>
        <v>0</v>
      </c>
      <c r="D133" s="13" t="b">
        <f aca="false">FALSE()</f>
        <v>0</v>
      </c>
      <c r="E133" s="13" t="b">
        <f aca="false">TRUE()</f>
        <v>1</v>
      </c>
      <c r="F133" s="0" t="str">
        <f aca="false">IF(B133="none","",(B133="approve")=E133)</f>
        <v/>
      </c>
    </row>
    <row r="134" customFormat="false" ht="15" hidden="false" customHeight="false" outlineLevel="0" collapsed="false">
      <c r="A134" s="4" t="s">
        <v>1296</v>
      </c>
      <c r="B134" s="4" t="s">
        <v>1164</v>
      </c>
      <c r="C134" s="13" t="b">
        <f aca="false">TRUE()</f>
        <v>1</v>
      </c>
      <c r="D134" s="13" t="b">
        <f aca="false">TRUE()</f>
        <v>1</v>
      </c>
      <c r="E134" s="13" t="b">
        <f aca="false">TRUE()</f>
        <v>1</v>
      </c>
      <c r="F134" s="6" t="b">
        <f aca="false">IF(B134="none","",(B134="approve")=E134)</f>
        <v>1</v>
      </c>
    </row>
    <row r="135" customFormat="false" ht="15" hidden="false" customHeight="false" outlineLevel="0" collapsed="false">
      <c r="A135" s="4" t="s">
        <v>1297</v>
      </c>
      <c r="B135" s="4" t="s">
        <v>1169</v>
      </c>
      <c r="C135" s="13" t="b">
        <f aca="false">FALSE()</f>
        <v>0</v>
      </c>
      <c r="D135" s="13" t="b">
        <f aca="false">FALSE()</f>
        <v>0</v>
      </c>
      <c r="E135" s="13" t="b">
        <f aca="false">FALSE()</f>
        <v>0</v>
      </c>
      <c r="F135" s="0" t="str">
        <f aca="false">IF(B135="none","",(B135="approve")=E135)</f>
        <v/>
      </c>
    </row>
    <row r="136" customFormat="false" ht="15" hidden="false" customHeight="false" outlineLevel="0" collapsed="false">
      <c r="A136" s="4" t="s">
        <v>1298</v>
      </c>
      <c r="B136" s="4" t="s">
        <v>1178</v>
      </c>
      <c r="C136" s="13" t="b">
        <f aca="false">FALSE()</f>
        <v>0</v>
      </c>
      <c r="D136" s="13" t="b">
        <f aca="false">FALSE()</f>
        <v>0</v>
      </c>
      <c r="E136" s="13" t="b">
        <f aca="false">FALSE()</f>
        <v>0</v>
      </c>
      <c r="F136" s="6" t="b">
        <f aca="false">IF(B136="none","",(B136="approve")=E136)</f>
        <v>1</v>
      </c>
    </row>
    <row r="137" customFormat="false" ht="15" hidden="false" customHeight="false" outlineLevel="0" collapsed="false">
      <c r="A137" s="4" t="s">
        <v>1299</v>
      </c>
      <c r="B137" s="4" t="s">
        <v>1164</v>
      </c>
      <c r="C137" s="13" t="b">
        <f aca="false">FALSE()</f>
        <v>0</v>
      </c>
      <c r="D137" s="13" t="b">
        <f aca="false">FALSE()</f>
        <v>0</v>
      </c>
      <c r="E137" s="13" t="b">
        <f aca="false">TRUE()</f>
        <v>1</v>
      </c>
      <c r="F137" s="6" t="b">
        <f aca="false">IF(B137="none","",(B137="approve")=E137)</f>
        <v>1</v>
      </c>
    </row>
    <row r="138" customFormat="false" ht="15" hidden="false" customHeight="false" outlineLevel="0" collapsed="false">
      <c r="A138" s="4" t="s">
        <v>1300</v>
      </c>
      <c r="B138" s="4" t="s">
        <v>1169</v>
      </c>
      <c r="C138" s="13" t="b">
        <f aca="false">FALSE()</f>
        <v>0</v>
      </c>
      <c r="D138" s="13" t="b">
        <f aca="false">FALSE()</f>
        <v>0</v>
      </c>
      <c r="E138" s="13" t="b">
        <f aca="false">FALSE()</f>
        <v>0</v>
      </c>
      <c r="F138" s="0" t="str">
        <f aca="false">IF(B138="none","",(B138="approve")=E138)</f>
        <v/>
      </c>
    </row>
    <row r="139" customFormat="false" ht="15" hidden="false" customHeight="false" outlineLevel="0" collapsed="false">
      <c r="A139" s="4" t="s">
        <v>1301</v>
      </c>
      <c r="B139" s="4" t="s">
        <v>1164</v>
      </c>
      <c r="C139" s="13" t="b">
        <f aca="false">FALSE()</f>
        <v>0</v>
      </c>
      <c r="D139" s="13" t="b">
        <f aca="false">FALSE()</f>
        <v>0</v>
      </c>
      <c r="E139" s="13" t="b">
        <f aca="false">TRUE()</f>
        <v>1</v>
      </c>
      <c r="F139" s="6" t="b">
        <f aca="false">IF(B139="none","",(B139="approve")=E139)</f>
        <v>1</v>
      </c>
    </row>
    <row r="140" customFormat="false" ht="15" hidden="false" customHeight="false" outlineLevel="0" collapsed="false">
      <c r="A140" s="4" t="s">
        <v>1302</v>
      </c>
      <c r="B140" s="4" t="s">
        <v>1169</v>
      </c>
      <c r="C140" s="13" t="b">
        <f aca="false">FALSE()</f>
        <v>0</v>
      </c>
      <c r="D140" s="13" t="b">
        <f aca="false">TRUE()</f>
        <v>1</v>
      </c>
      <c r="E140" s="13" t="b">
        <f aca="false">TRUE()</f>
        <v>1</v>
      </c>
      <c r="F140" s="0" t="str">
        <f aca="false">IF(B140="none","",(B140="approve")=E140)</f>
        <v/>
      </c>
    </row>
    <row r="141" customFormat="false" ht="15" hidden="false" customHeight="false" outlineLevel="0" collapsed="false">
      <c r="A141" s="4" t="s">
        <v>1303</v>
      </c>
      <c r="B141" s="4" t="s">
        <v>1164</v>
      </c>
      <c r="C141" s="13" t="b">
        <f aca="false">FALSE()</f>
        <v>0</v>
      </c>
      <c r="D141" s="13" t="b">
        <f aca="false">TRUE()</f>
        <v>1</v>
      </c>
      <c r="E141" s="13" t="b">
        <f aca="false">TRUE()</f>
        <v>1</v>
      </c>
      <c r="F141" s="6" t="b">
        <f aca="false">IF(B141="none","",(B141="approve")=E141)</f>
        <v>1</v>
      </c>
    </row>
    <row r="142" customFormat="false" ht="15" hidden="false" customHeight="false" outlineLevel="0" collapsed="false">
      <c r="A142" s="4" t="s">
        <v>1304</v>
      </c>
      <c r="B142" s="4" t="s">
        <v>1178</v>
      </c>
      <c r="C142" s="13" t="b">
        <f aca="false">FALSE()</f>
        <v>0</v>
      </c>
      <c r="D142" s="13" t="b">
        <f aca="false">FALSE()</f>
        <v>0</v>
      </c>
      <c r="E142" s="13" t="b">
        <f aca="false">FALSE()</f>
        <v>0</v>
      </c>
      <c r="F142" s="6" t="b">
        <f aca="false">IF(B142="none","",(B142="approve")=E142)</f>
        <v>1</v>
      </c>
    </row>
    <row r="143" customFormat="false" ht="15" hidden="false" customHeight="false" outlineLevel="0" collapsed="false">
      <c r="A143" s="4" t="s">
        <v>1305</v>
      </c>
      <c r="B143" s="4" t="s">
        <v>1164</v>
      </c>
      <c r="C143" s="13" t="b">
        <f aca="false">FALSE()</f>
        <v>0</v>
      </c>
      <c r="D143" s="13" t="b">
        <f aca="false">FALSE()</f>
        <v>0</v>
      </c>
      <c r="E143" s="13" t="b">
        <f aca="false">TRUE()</f>
        <v>1</v>
      </c>
      <c r="F143" s="6" t="b">
        <f aca="false">IF(B143="none","",(B143="approve")=E143)</f>
        <v>1</v>
      </c>
    </row>
    <row r="144" customFormat="false" ht="15" hidden="false" customHeight="false" outlineLevel="0" collapsed="false">
      <c r="A144" s="4" t="s">
        <v>1306</v>
      </c>
      <c r="B144" s="4" t="s">
        <v>1169</v>
      </c>
      <c r="C144" s="13" t="b">
        <f aca="false">FALSE()</f>
        <v>0</v>
      </c>
      <c r="D144" s="13" t="b">
        <f aca="false">FALSE()</f>
        <v>0</v>
      </c>
      <c r="E144" s="13" t="b">
        <f aca="false">TRUE()</f>
        <v>1</v>
      </c>
      <c r="F144" s="0" t="str">
        <f aca="false">IF(B144="none","",(B144="approve")=E144)</f>
        <v/>
      </c>
    </row>
    <row r="145" customFormat="false" ht="15" hidden="false" customHeight="false" outlineLevel="0" collapsed="false">
      <c r="A145" s="4" t="s">
        <v>1307</v>
      </c>
      <c r="B145" s="4" t="s">
        <v>1169</v>
      </c>
      <c r="C145" s="13" t="b">
        <f aca="false">FALSE()</f>
        <v>0</v>
      </c>
      <c r="D145" s="13" t="b">
        <f aca="false">FALSE()</f>
        <v>0</v>
      </c>
      <c r="E145" s="13" t="b">
        <f aca="false">FALSE()</f>
        <v>0</v>
      </c>
      <c r="F145" s="0" t="str">
        <f aca="false">IF(B145="none","",(B145="approve")=E145)</f>
        <v/>
      </c>
    </row>
    <row r="146" customFormat="false" ht="15" hidden="false" customHeight="false" outlineLevel="0" collapsed="false">
      <c r="A146" s="4" t="s">
        <v>1308</v>
      </c>
      <c r="B146" s="4" t="s">
        <v>1178</v>
      </c>
      <c r="C146" s="13" t="b">
        <f aca="false">FALSE()</f>
        <v>0</v>
      </c>
      <c r="D146" s="13" t="b">
        <f aca="false">FALSE()</f>
        <v>0</v>
      </c>
      <c r="E146" s="13" t="b">
        <f aca="false">FALSE()</f>
        <v>0</v>
      </c>
      <c r="F146" s="6" t="b">
        <f aca="false">IF(B146="none","",(B146="approve")=E146)</f>
        <v>1</v>
      </c>
    </row>
    <row r="147" customFormat="false" ht="15" hidden="false" customHeight="false" outlineLevel="0" collapsed="false">
      <c r="A147" s="4" t="s">
        <v>1309</v>
      </c>
      <c r="B147" s="4" t="s">
        <v>1169</v>
      </c>
      <c r="C147" s="13" t="b">
        <f aca="false">FALSE()</f>
        <v>0</v>
      </c>
      <c r="D147" s="13" t="b">
        <f aca="false">TRUE()</f>
        <v>1</v>
      </c>
      <c r="E147" s="13" t="b">
        <f aca="false">TRUE()</f>
        <v>1</v>
      </c>
      <c r="F147" s="0" t="str">
        <f aca="false">IF(B147="none","",(B147="approve")=E147)</f>
        <v/>
      </c>
    </row>
    <row r="148" customFormat="false" ht="15" hidden="false" customHeight="false" outlineLevel="0" collapsed="false">
      <c r="A148" s="4" t="s">
        <v>1310</v>
      </c>
      <c r="B148" s="4" t="s">
        <v>1164</v>
      </c>
      <c r="C148" s="13" t="b">
        <f aca="false">FALSE()</f>
        <v>0</v>
      </c>
      <c r="D148" s="13" t="b">
        <f aca="false">TRUE()</f>
        <v>1</v>
      </c>
      <c r="E148" s="13" t="b">
        <f aca="false">TRUE()</f>
        <v>1</v>
      </c>
      <c r="F148" s="6" t="b">
        <f aca="false">IF(B148="none","",(B148="approve")=E148)</f>
        <v>1</v>
      </c>
    </row>
    <row r="149" customFormat="false" ht="15" hidden="false" customHeight="false" outlineLevel="0" collapsed="false">
      <c r="A149" s="4" t="s">
        <v>1311</v>
      </c>
      <c r="B149" s="4" t="s">
        <v>1169</v>
      </c>
      <c r="C149" s="13" t="b">
        <f aca="false">FALSE()</f>
        <v>0</v>
      </c>
      <c r="D149" s="13" t="b">
        <f aca="false">TRUE()</f>
        <v>1</v>
      </c>
      <c r="E149" s="13" t="b">
        <f aca="false">TRUE()</f>
        <v>1</v>
      </c>
      <c r="F149" s="0" t="str">
        <f aca="false">IF(B149="none","",(B149="approve")=E149)</f>
        <v/>
      </c>
    </row>
    <row r="150" customFormat="false" ht="15" hidden="false" customHeight="false" outlineLevel="0" collapsed="false">
      <c r="A150" s="4" t="s">
        <v>1312</v>
      </c>
      <c r="B150" s="4" t="s">
        <v>1169</v>
      </c>
      <c r="C150" s="13" t="b">
        <f aca="false">FALSE()</f>
        <v>0</v>
      </c>
      <c r="D150" s="13" t="b">
        <f aca="false">TRUE()</f>
        <v>1</v>
      </c>
      <c r="E150" s="13" t="b">
        <f aca="false">TRUE()</f>
        <v>1</v>
      </c>
      <c r="F150" s="0" t="str">
        <f aca="false">IF(B150="none","",(B150="approve")=E150)</f>
        <v/>
      </c>
    </row>
    <row r="151" customFormat="false" ht="15" hidden="false" customHeight="false" outlineLevel="0" collapsed="false">
      <c r="A151" s="4" t="s">
        <v>1313</v>
      </c>
      <c r="B151" s="4" t="s">
        <v>1178</v>
      </c>
      <c r="C151" s="13" t="b">
        <f aca="false">FALSE()</f>
        <v>0</v>
      </c>
      <c r="D151" s="13" t="b">
        <f aca="false">FALSE()</f>
        <v>0</v>
      </c>
      <c r="E151" s="13" t="b">
        <f aca="false">FALSE()</f>
        <v>0</v>
      </c>
      <c r="F151" s="6" t="b">
        <f aca="false">IF(B151="none","",(B151="approve")=E151)</f>
        <v>1</v>
      </c>
    </row>
    <row r="152" customFormat="false" ht="15" hidden="false" customHeight="false" outlineLevel="0" collapsed="false">
      <c r="A152" s="4" t="s">
        <v>1314</v>
      </c>
      <c r="B152" s="4" t="s">
        <v>1164</v>
      </c>
      <c r="C152" s="13" t="b">
        <f aca="false">FALSE()</f>
        <v>0</v>
      </c>
      <c r="D152" s="13" t="b">
        <f aca="false">FALSE()</f>
        <v>0</v>
      </c>
      <c r="E152" s="13" t="b">
        <f aca="false">TRUE()</f>
        <v>1</v>
      </c>
      <c r="F152" s="6" t="b">
        <f aca="false">IF(B152="none","",(B152="approve")=E152)</f>
        <v>1</v>
      </c>
    </row>
    <row r="153" customFormat="false" ht="15" hidden="false" customHeight="false" outlineLevel="0" collapsed="false">
      <c r="A153" s="4" t="s">
        <v>1315</v>
      </c>
      <c r="B153" s="4" t="s">
        <v>1164</v>
      </c>
      <c r="C153" s="13" t="b">
        <f aca="false">FALSE()</f>
        <v>0</v>
      </c>
      <c r="D153" s="13" t="b">
        <f aca="false">FALSE()</f>
        <v>0</v>
      </c>
      <c r="E153" s="13" t="b">
        <f aca="false">TRUE()</f>
        <v>1</v>
      </c>
      <c r="F153" s="6" t="b">
        <f aca="false">IF(B153="none","",(B153="approve")=E153)</f>
        <v>1</v>
      </c>
    </row>
    <row r="154" customFormat="false" ht="15" hidden="false" customHeight="false" outlineLevel="0" collapsed="false">
      <c r="A154" s="4" t="s">
        <v>1316</v>
      </c>
      <c r="B154" s="4" t="s">
        <v>1164</v>
      </c>
      <c r="C154" s="13" t="b">
        <f aca="false">FALSE()</f>
        <v>0</v>
      </c>
      <c r="D154" s="13" t="b">
        <f aca="false">FALSE()</f>
        <v>0</v>
      </c>
      <c r="E154" s="13" t="b">
        <f aca="false">TRUE()</f>
        <v>1</v>
      </c>
      <c r="F154" s="6" t="b">
        <f aca="false">IF(B154="none","",(B154="approve")=E154)</f>
        <v>1</v>
      </c>
    </row>
    <row r="155" customFormat="false" ht="15" hidden="false" customHeight="false" outlineLevel="0" collapsed="false">
      <c r="A155" s="4" t="s">
        <v>1317</v>
      </c>
      <c r="B155" s="4" t="s">
        <v>1164</v>
      </c>
      <c r="C155" s="13" t="b">
        <f aca="false">FALSE()</f>
        <v>0</v>
      </c>
      <c r="D155" s="13" t="b">
        <f aca="false">FALSE()</f>
        <v>0</v>
      </c>
      <c r="E155" s="13" t="b">
        <f aca="false">TRUE()</f>
        <v>1</v>
      </c>
      <c r="F155" s="6" t="b">
        <f aca="false">IF(B155="none","",(B155="approve")=E155)</f>
        <v>1</v>
      </c>
    </row>
    <row r="156" customFormat="false" ht="15" hidden="false" customHeight="false" outlineLevel="0" collapsed="false">
      <c r="A156" s="4" t="s">
        <v>1318</v>
      </c>
      <c r="B156" s="4" t="s">
        <v>1169</v>
      </c>
      <c r="C156" s="13" t="b">
        <f aca="false">FALSE()</f>
        <v>0</v>
      </c>
      <c r="D156" s="13" t="b">
        <f aca="false">FALSE()</f>
        <v>0</v>
      </c>
      <c r="E156" s="13" t="b">
        <f aca="false">TRUE()</f>
        <v>1</v>
      </c>
      <c r="F156" s="0" t="str">
        <f aca="false">IF(B156="none","",(B156="approve")=E156)</f>
        <v/>
      </c>
    </row>
    <row r="157" customFormat="false" ht="15" hidden="false" customHeight="false" outlineLevel="0" collapsed="false">
      <c r="A157" s="4" t="s">
        <v>1319</v>
      </c>
      <c r="B157" s="4" t="s">
        <v>1164</v>
      </c>
      <c r="C157" s="13" t="b">
        <f aca="false">FALSE()</f>
        <v>0</v>
      </c>
      <c r="D157" s="13" t="b">
        <f aca="false">FALSE()</f>
        <v>0</v>
      </c>
      <c r="E157" s="13" t="b">
        <f aca="false">TRUE()</f>
        <v>1</v>
      </c>
      <c r="F157" s="6" t="b">
        <f aca="false">IF(B157="none","",(B157="approve")=E157)</f>
        <v>1</v>
      </c>
    </row>
    <row r="158" customFormat="false" ht="15" hidden="false" customHeight="false" outlineLevel="0" collapsed="false">
      <c r="A158" s="4" t="s">
        <v>1320</v>
      </c>
      <c r="B158" s="4" t="s">
        <v>1164</v>
      </c>
      <c r="C158" s="13" t="b">
        <f aca="false">TRUE()</f>
        <v>1</v>
      </c>
      <c r="D158" s="13" t="b">
        <f aca="false">TRUE()</f>
        <v>1</v>
      </c>
      <c r="E158" s="13" t="b">
        <f aca="false">TRUE()</f>
        <v>1</v>
      </c>
      <c r="F158" s="6" t="b">
        <f aca="false">IF(B158="none","",(B158="approve")=E158)</f>
        <v>1</v>
      </c>
    </row>
    <row r="159" customFormat="false" ht="15" hidden="false" customHeight="false" outlineLevel="0" collapsed="false">
      <c r="A159" s="4" t="s">
        <v>1321</v>
      </c>
      <c r="B159" s="4" t="s">
        <v>1169</v>
      </c>
      <c r="C159" s="13" t="b">
        <f aca="false">FALSE()</f>
        <v>0</v>
      </c>
      <c r="D159" s="13" t="b">
        <f aca="false">FALSE()</f>
        <v>0</v>
      </c>
      <c r="E159" s="13" t="b">
        <f aca="false">TRUE()</f>
        <v>1</v>
      </c>
      <c r="F159" s="0" t="str">
        <f aca="false">IF(B159="none","",(B159="approve")=E159)</f>
        <v/>
      </c>
    </row>
    <row r="160" customFormat="false" ht="15" hidden="false" customHeight="false" outlineLevel="0" collapsed="false">
      <c r="A160" s="4" t="s">
        <v>1322</v>
      </c>
      <c r="B160" s="4" t="s">
        <v>1169</v>
      </c>
      <c r="C160" s="13" t="b">
        <f aca="false">FALSE()</f>
        <v>0</v>
      </c>
      <c r="D160" s="13" t="b">
        <f aca="false">TRUE()</f>
        <v>1</v>
      </c>
      <c r="E160" s="13" t="b">
        <f aca="false">TRUE()</f>
        <v>1</v>
      </c>
      <c r="F160" s="0" t="str">
        <f aca="false">IF(B160="none","",(B160="approve")=E160)</f>
        <v/>
      </c>
    </row>
    <row r="161" customFormat="false" ht="15" hidden="false" customHeight="false" outlineLevel="0" collapsed="false">
      <c r="A161" s="4" t="s">
        <v>1323</v>
      </c>
      <c r="B161" s="4" t="s">
        <v>1169</v>
      </c>
      <c r="C161" s="13" t="b">
        <f aca="false">FALSE()</f>
        <v>0</v>
      </c>
      <c r="D161" s="13" t="b">
        <f aca="false">TRUE()</f>
        <v>1</v>
      </c>
      <c r="E161" s="13" t="b">
        <f aca="false">TRUE()</f>
        <v>1</v>
      </c>
      <c r="F161" s="0" t="str">
        <f aca="false">IF(B161="none","",(B161="approve")=E161)</f>
        <v/>
      </c>
    </row>
    <row r="162" customFormat="false" ht="15" hidden="false" customHeight="false" outlineLevel="0" collapsed="false">
      <c r="A162" s="4" t="s">
        <v>1324</v>
      </c>
      <c r="B162" s="4" t="s">
        <v>1169</v>
      </c>
      <c r="C162" s="13" t="b">
        <f aca="false">FALSE()</f>
        <v>0</v>
      </c>
      <c r="D162" s="13" t="b">
        <f aca="false">TRUE()</f>
        <v>1</v>
      </c>
      <c r="E162" s="13" t="b">
        <f aca="false">TRUE()</f>
        <v>1</v>
      </c>
      <c r="F162" s="0" t="str">
        <f aca="false">IF(B162="none","",(B162="approve")=E162)</f>
        <v/>
      </c>
    </row>
    <row r="163" customFormat="false" ht="15" hidden="false" customHeight="false" outlineLevel="0" collapsed="false">
      <c r="A163" s="4" t="s">
        <v>1325</v>
      </c>
      <c r="B163" s="4" t="s">
        <v>1164</v>
      </c>
      <c r="C163" s="13" t="b">
        <f aca="false">FALSE()</f>
        <v>0</v>
      </c>
      <c r="D163" s="13" t="b">
        <f aca="false">TRUE()</f>
        <v>1</v>
      </c>
      <c r="E163" s="13" t="b">
        <f aca="false">TRUE()</f>
        <v>1</v>
      </c>
      <c r="F163" s="6" t="b">
        <f aca="false">IF(B163="none","",(B163="approve")=E163)</f>
        <v>1</v>
      </c>
    </row>
    <row r="164" customFormat="false" ht="15" hidden="false" customHeight="false" outlineLevel="0" collapsed="false">
      <c r="A164" s="4" t="s">
        <v>1326</v>
      </c>
      <c r="B164" s="4" t="s">
        <v>1164</v>
      </c>
      <c r="C164" s="13" t="b">
        <f aca="false">TRUE()</f>
        <v>1</v>
      </c>
      <c r="D164" s="13" t="b">
        <f aca="false">FALSE()</f>
        <v>0</v>
      </c>
      <c r="E164" s="13" t="b">
        <f aca="false">FALSE()</f>
        <v>0</v>
      </c>
      <c r="F164" s="6" t="b">
        <f aca="false">IF(B164="none","",(B164="approve")=E164)</f>
        <v>0</v>
      </c>
    </row>
    <row r="165" customFormat="false" ht="15" hidden="false" customHeight="false" outlineLevel="0" collapsed="false">
      <c r="A165" s="4" t="s">
        <v>1327</v>
      </c>
      <c r="B165" s="4" t="s">
        <v>1169</v>
      </c>
      <c r="C165" s="13" t="b">
        <f aca="false">FALSE()</f>
        <v>0</v>
      </c>
      <c r="D165" s="13" t="b">
        <f aca="false">FALSE()</f>
        <v>0</v>
      </c>
      <c r="E165" s="13" t="b">
        <f aca="false">TRUE()</f>
        <v>1</v>
      </c>
      <c r="F165" s="0" t="str">
        <f aca="false">IF(B165="none","",(B165="approve")=E165)</f>
        <v/>
      </c>
    </row>
    <row r="166" customFormat="false" ht="15" hidden="false" customHeight="false" outlineLevel="0" collapsed="false">
      <c r="A166" s="4" t="s">
        <v>1328</v>
      </c>
      <c r="B166" s="4" t="s">
        <v>1169</v>
      </c>
      <c r="C166" s="13" t="b">
        <f aca="false">FALSE()</f>
        <v>0</v>
      </c>
      <c r="D166" s="13" t="b">
        <f aca="false">TRUE()</f>
        <v>1</v>
      </c>
      <c r="E166" s="13" t="b">
        <f aca="false">FALSE()</f>
        <v>0</v>
      </c>
      <c r="F166" s="0" t="str">
        <f aca="false">IF(B166="none","",(B166="approve")=E166)</f>
        <v/>
      </c>
    </row>
    <row r="167" customFormat="false" ht="15" hidden="false" customHeight="false" outlineLevel="0" collapsed="false">
      <c r="A167" s="4" t="s">
        <v>1329</v>
      </c>
      <c r="B167" s="4" t="s">
        <v>1164</v>
      </c>
      <c r="C167" s="13" t="b">
        <f aca="false">FALSE()</f>
        <v>0</v>
      </c>
      <c r="D167" s="13" t="b">
        <f aca="false">FALSE()</f>
        <v>0</v>
      </c>
      <c r="E167" s="13" t="b">
        <f aca="false">TRUE()</f>
        <v>1</v>
      </c>
      <c r="F167" s="6" t="b">
        <f aca="false">IF(B167="none","",(B167="approve")=E167)</f>
        <v>1</v>
      </c>
    </row>
    <row r="168" customFormat="false" ht="15" hidden="false" customHeight="false" outlineLevel="0" collapsed="false">
      <c r="A168" s="4" t="s">
        <v>1330</v>
      </c>
      <c r="B168" s="4" t="s">
        <v>1169</v>
      </c>
      <c r="C168" s="13" t="b">
        <f aca="false">FALSE()</f>
        <v>0</v>
      </c>
      <c r="D168" s="13" t="b">
        <f aca="false">FALSE()</f>
        <v>0</v>
      </c>
      <c r="E168" s="13" t="b">
        <f aca="false">TRUE()</f>
        <v>1</v>
      </c>
      <c r="F168" s="0" t="str">
        <f aca="false">IF(B168="none","",(B168="approve")=E168)</f>
        <v/>
      </c>
    </row>
    <row r="169" customFormat="false" ht="15" hidden="false" customHeight="false" outlineLevel="0" collapsed="false">
      <c r="A169" s="4" t="s">
        <v>1331</v>
      </c>
      <c r="B169" s="4" t="s">
        <v>1169</v>
      </c>
      <c r="C169" s="13" t="b">
        <f aca="false">FALSE()</f>
        <v>0</v>
      </c>
      <c r="D169" s="13" t="b">
        <f aca="false">FALSE()</f>
        <v>0</v>
      </c>
      <c r="E169" s="13" t="b">
        <f aca="false">TRUE()</f>
        <v>1</v>
      </c>
      <c r="F169" s="0" t="str">
        <f aca="false">IF(B169="none","",(B169="approve")=E169)</f>
        <v/>
      </c>
    </row>
    <row r="170" customFormat="false" ht="15" hidden="false" customHeight="false" outlineLevel="0" collapsed="false">
      <c r="A170" s="4" t="s">
        <v>1332</v>
      </c>
      <c r="B170" s="4" t="s">
        <v>1164</v>
      </c>
      <c r="C170" s="13" t="b">
        <f aca="false">FALSE()</f>
        <v>0</v>
      </c>
      <c r="D170" s="13" t="b">
        <f aca="false">TRUE()</f>
        <v>1</v>
      </c>
      <c r="E170" s="13" t="b">
        <f aca="false">TRUE()</f>
        <v>1</v>
      </c>
      <c r="F170" s="6" t="b">
        <f aca="false">IF(B170="none","",(B170="approve")=E170)</f>
        <v>1</v>
      </c>
    </row>
    <row r="171" customFormat="false" ht="15" hidden="false" customHeight="false" outlineLevel="0" collapsed="false">
      <c r="A171" s="4" t="s">
        <v>1333</v>
      </c>
      <c r="B171" s="4" t="s">
        <v>1169</v>
      </c>
      <c r="C171" s="13" t="b">
        <f aca="false">FALSE()</f>
        <v>0</v>
      </c>
      <c r="D171" s="13" t="b">
        <f aca="false">FALSE()</f>
        <v>0</v>
      </c>
      <c r="E171" s="13" t="b">
        <f aca="false">FALSE()</f>
        <v>0</v>
      </c>
      <c r="F171" s="0" t="str">
        <f aca="false">IF(B171="none","",(B171="approve")=E171)</f>
        <v/>
      </c>
    </row>
    <row r="172" customFormat="false" ht="15" hidden="false" customHeight="false" outlineLevel="0" collapsed="false">
      <c r="A172" s="4" t="s">
        <v>1334</v>
      </c>
      <c r="B172" s="4" t="s">
        <v>1164</v>
      </c>
      <c r="C172" s="13" t="b">
        <f aca="false">FALSE()</f>
        <v>0</v>
      </c>
      <c r="D172" s="13" t="b">
        <f aca="false">TRUE()</f>
        <v>1</v>
      </c>
      <c r="E172" s="13" t="b">
        <f aca="false">TRUE()</f>
        <v>1</v>
      </c>
      <c r="F172" s="6" t="b">
        <f aca="false">IF(B172="none","",(B172="approve")=E172)</f>
        <v>1</v>
      </c>
    </row>
    <row r="173" customFormat="false" ht="15" hidden="false" customHeight="false" outlineLevel="0" collapsed="false">
      <c r="A173" s="4" t="s">
        <v>1335</v>
      </c>
      <c r="B173" s="4" t="s">
        <v>1164</v>
      </c>
      <c r="C173" s="13" t="b">
        <f aca="false">FALSE()</f>
        <v>0</v>
      </c>
      <c r="D173" s="13" t="b">
        <f aca="false">FALSE()</f>
        <v>0</v>
      </c>
      <c r="E173" s="13" t="b">
        <f aca="false">TRUE()</f>
        <v>1</v>
      </c>
      <c r="F173" s="6" t="b">
        <f aca="false">IF(B173="none","",(B173="approve")=E173)</f>
        <v>1</v>
      </c>
    </row>
    <row r="174" customFormat="false" ht="15" hidden="false" customHeight="false" outlineLevel="0" collapsed="false">
      <c r="A174" s="4" t="s">
        <v>1336</v>
      </c>
      <c r="B174" s="4" t="s">
        <v>1169</v>
      </c>
      <c r="C174" s="13" t="b">
        <f aca="false">FALSE()</f>
        <v>0</v>
      </c>
      <c r="D174" s="13" t="b">
        <f aca="false">TRUE()</f>
        <v>1</v>
      </c>
      <c r="E174" s="13" t="b">
        <f aca="false">TRUE()</f>
        <v>1</v>
      </c>
      <c r="F174" s="0" t="str">
        <f aca="false">IF(B174="none","",(B174="approve")=E174)</f>
        <v/>
      </c>
    </row>
    <row r="175" customFormat="false" ht="15" hidden="false" customHeight="false" outlineLevel="0" collapsed="false">
      <c r="A175" s="4" t="s">
        <v>1337</v>
      </c>
      <c r="B175" s="4" t="s">
        <v>1164</v>
      </c>
      <c r="C175" s="13" t="b">
        <f aca="false">FALSE()</f>
        <v>0</v>
      </c>
      <c r="D175" s="13" t="b">
        <f aca="false">TRUE()</f>
        <v>1</v>
      </c>
      <c r="E175" s="13" t="b">
        <f aca="false">TRUE()</f>
        <v>1</v>
      </c>
      <c r="F175" s="6" t="b">
        <f aca="false">IF(B175="none","",(B175="approve")=E175)</f>
        <v>1</v>
      </c>
    </row>
    <row r="176" customFormat="false" ht="15" hidden="false" customHeight="false" outlineLevel="0" collapsed="false">
      <c r="A176" s="4" t="s">
        <v>1338</v>
      </c>
      <c r="B176" s="4" t="s">
        <v>1164</v>
      </c>
      <c r="C176" s="13" t="b">
        <f aca="false">FALSE()</f>
        <v>0</v>
      </c>
      <c r="D176" s="13" t="b">
        <f aca="false">TRUE()</f>
        <v>1</v>
      </c>
      <c r="E176" s="13" t="b">
        <f aca="false">TRUE()</f>
        <v>1</v>
      </c>
      <c r="F176" s="6" t="b">
        <f aca="false">IF(B176="none","",(B176="approve")=E176)</f>
        <v>1</v>
      </c>
    </row>
    <row r="177" customFormat="false" ht="15" hidden="false" customHeight="false" outlineLevel="0" collapsed="false">
      <c r="A177" s="4" t="s">
        <v>1339</v>
      </c>
      <c r="B177" s="4" t="s">
        <v>1164</v>
      </c>
      <c r="C177" s="13" t="b">
        <f aca="false">FALSE()</f>
        <v>0</v>
      </c>
      <c r="D177" s="13" t="b">
        <f aca="false">TRUE()</f>
        <v>1</v>
      </c>
      <c r="E177" s="13" t="b">
        <f aca="false">TRUE()</f>
        <v>1</v>
      </c>
      <c r="F177" s="6" t="b">
        <f aca="false">IF(B177="none","",(B177="approve")=E177)</f>
        <v>1</v>
      </c>
    </row>
    <row r="178" customFormat="false" ht="15" hidden="false" customHeight="false" outlineLevel="0" collapsed="false">
      <c r="A178" s="4" t="s">
        <v>1340</v>
      </c>
      <c r="B178" s="4" t="s">
        <v>1169</v>
      </c>
      <c r="C178" s="13" t="b">
        <f aca="false">FALSE()</f>
        <v>0</v>
      </c>
      <c r="D178" s="13" t="b">
        <f aca="false">FALSE()</f>
        <v>0</v>
      </c>
      <c r="E178" s="13" t="b">
        <f aca="false">TRUE()</f>
        <v>1</v>
      </c>
      <c r="F178" s="0" t="str">
        <f aca="false">IF(B178="none","",(B178="approve")=E178)</f>
        <v/>
      </c>
    </row>
    <row r="179" customFormat="false" ht="15" hidden="false" customHeight="false" outlineLevel="0" collapsed="false">
      <c r="A179" s="4" t="s">
        <v>1341</v>
      </c>
      <c r="B179" s="4" t="s">
        <v>1169</v>
      </c>
      <c r="C179" s="13" t="b">
        <f aca="false">FALSE()</f>
        <v>0</v>
      </c>
      <c r="D179" s="13" t="b">
        <f aca="false">TRUE()</f>
        <v>1</v>
      </c>
      <c r="E179" s="13" t="b">
        <f aca="false">TRUE()</f>
        <v>1</v>
      </c>
      <c r="F179" s="0" t="str">
        <f aca="false">IF(B179="none","",(B179="approve")=E179)</f>
        <v/>
      </c>
    </row>
    <row r="180" customFormat="false" ht="15" hidden="false" customHeight="false" outlineLevel="0" collapsed="false">
      <c r="A180" s="4" t="s">
        <v>1342</v>
      </c>
      <c r="B180" s="4" t="s">
        <v>1178</v>
      </c>
      <c r="C180" s="13" t="b">
        <f aca="false">FALSE()</f>
        <v>0</v>
      </c>
      <c r="D180" s="13" t="b">
        <f aca="false">TRUE()</f>
        <v>1</v>
      </c>
      <c r="E180" s="13" t="b">
        <f aca="false">TRUE()</f>
        <v>1</v>
      </c>
      <c r="F180" s="6" t="b">
        <f aca="false">IF(B180="none","",(B180="approve")=E180)</f>
        <v>0</v>
      </c>
    </row>
    <row r="181" customFormat="false" ht="15" hidden="false" customHeight="false" outlineLevel="0" collapsed="false">
      <c r="A181" s="4" t="s">
        <v>1343</v>
      </c>
      <c r="B181" s="4" t="s">
        <v>1164</v>
      </c>
      <c r="C181" s="13" t="b">
        <f aca="false">FALSE()</f>
        <v>0</v>
      </c>
      <c r="D181" s="13" t="b">
        <f aca="false">FALSE()</f>
        <v>0</v>
      </c>
      <c r="E181" s="13" t="b">
        <f aca="false">TRUE()</f>
        <v>1</v>
      </c>
      <c r="F181" s="6" t="b">
        <f aca="false">IF(B181="none","",(B181="approve")=E181)</f>
        <v>1</v>
      </c>
    </row>
    <row r="182" customFormat="false" ht="15" hidden="false" customHeight="false" outlineLevel="0" collapsed="false">
      <c r="A182" s="4" t="s">
        <v>1344</v>
      </c>
      <c r="B182" s="4" t="s">
        <v>1169</v>
      </c>
      <c r="C182" s="13" t="b">
        <f aca="false">FALSE()</f>
        <v>0</v>
      </c>
      <c r="D182" s="13" t="b">
        <f aca="false">FALSE()</f>
        <v>0</v>
      </c>
      <c r="E182" s="13" t="b">
        <f aca="false">TRUE()</f>
        <v>1</v>
      </c>
      <c r="F182" s="0" t="str">
        <f aca="false">IF(B182="none","",(B182="approve")=E182)</f>
        <v/>
      </c>
    </row>
    <row r="183" customFormat="false" ht="15" hidden="false" customHeight="false" outlineLevel="0" collapsed="false">
      <c r="A183" s="4" t="s">
        <v>1345</v>
      </c>
      <c r="B183" s="4" t="s">
        <v>1164</v>
      </c>
      <c r="C183" s="13" t="b">
        <f aca="false">FALSE()</f>
        <v>0</v>
      </c>
      <c r="D183" s="13" t="b">
        <f aca="false">TRUE()</f>
        <v>1</v>
      </c>
      <c r="E183" s="13" t="b">
        <f aca="false">TRUE()</f>
        <v>1</v>
      </c>
      <c r="F183" s="6" t="b">
        <f aca="false">IF(B183="none","",(B183="approve")=E183)</f>
        <v>1</v>
      </c>
    </row>
    <row r="184" customFormat="false" ht="15" hidden="false" customHeight="false" outlineLevel="0" collapsed="false">
      <c r="A184" s="4" t="s">
        <v>1346</v>
      </c>
      <c r="B184" s="4" t="s">
        <v>1164</v>
      </c>
      <c r="C184" s="13" t="b">
        <f aca="false">FALSE()</f>
        <v>0</v>
      </c>
      <c r="D184" s="13" t="b">
        <f aca="false">TRUE()</f>
        <v>1</v>
      </c>
      <c r="E184" s="13" t="b">
        <f aca="false">TRUE()</f>
        <v>1</v>
      </c>
      <c r="F184" s="6" t="b">
        <f aca="false">IF(B184="none","",(B184="approve")=E184)</f>
        <v>1</v>
      </c>
    </row>
    <row r="185" customFormat="false" ht="15" hidden="false" customHeight="false" outlineLevel="0" collapsed="false">
      <c r="A185" s="4" t="s">
        <v>1347</v>
      </c>
      <c r="B185" s="4" t="s">
        <v>1164</v>
      </c>
      <c r="C185" s="13" t="b">
        <f aca="false">FALSE()</f>
        <v>0</v>
      </c>
      <c r="D185" s="13" t="b">
        <f aca="false">TRUE()</f>
        <v>1</v>
      </c>
      <c r="E185" s="13" t="b">
        <f aca="false">TRUE()</f>
        <v>1</v>
      </c>
      <c r="F185" s="6" t="b">
        <f aca="false">IF(B185="none","",(B185="approve")=E185)</f>
        <v>1</v>
      </c>
    </row>
    <row r="186" customFormat="false" ht="15" hidden="false" customHeight="false" outlineLevel="0" collapsed="false">
      <c r="A186" s="4" t="s">
        <v>1348</v>
      </c>
      <c r="B186" s="4" t="s">
        <v>1169</v>
      </c>
      <c r="C186" s="13" t="b">
        <f aca="false">FALSE()</f>
        <v>0</v>
      </c>
      <c r="D186" s="13" t="b">
        <f aca="false">TRUE()</f>
        <v>1</v>
      </c>
      <c r="E186" s="13" t="b">
        <f aca="false">TRUE()</f>
        <v>1</v>
      </c>
      <c r="F186" s="0" t="str">
        <f aca="false">IF(B186="none","",(B186="approve")=E186)</f>
        <v/>
      </c>
    </row>
    <row r="187" customFormat="false" ht="15" hidden="false" customHeight="false" outlineLevel="0" collapsed="false">
      <c r="A187" s="4" t="s">
        <v>1349</v>
      </c>
      <c r="B187" s="4" t="s">
        <v>1169</v>
      </c>
      <c r="C187" s="13" t="b">
        <f aca="false">FALSE()</f>
        <v>0</v>
      </c>
      <c r="D187" s="13" t="b">
        <f aca="false">FALSE()</f>
        <v>0</v>
      </c>
      <c r="E187" s="13" t="b">
        <f aca="false">TRUE()</f>
        <v>1</v>
      </c>
      <c r="F187" s="0" t="str">
        <f aca="false">IF(B187="none","",(B187="approve")=E187)</f>
        <v/>
      </c>
    </row>
    <row r="188" customFormat="false" ht="15" hidden="false" customHeight="false" outlineLevel="0" collapsed="false">
      <c r="A188" s="4" t="s">
        <v>1350</v>
      </c>
      <c r="B188" s="4" t="s">
        <v>1164</v>
      </c>
      <c r="C188" s="13" t="b">
        <f aca="false">TRUE()</f>
        <v>1</v>
      </c>
      <c r="D188" s="13" t="b">
        <f aca="false">FALSE()</f>
        <v>0</v>
      </c>
      <c r="E188" s="13" t="b">
        <f aca="false">TRUE()</f>
        <v>1</v>
      </c>
      <c r="F188" s="6" t="b">
        <f aca="false">IF(B188="none","",(B188="approve")=E188)</f>
        <v>1</v>
      </c>
    </row>
    <row r="189" customFormat="false" ht="15" hidden="false" customHeight="false" outlineLevel="0" collapsed="false">
      <c r="A189" s="4" t="s">
        <v>1351</v>
      </c>
      <c r="B189" s="4" t="s">
        <v>1169</v>
      </c>
      <c r="C189" s="13" t="b">
        <f aca="false">FALSE()</f>
        <v>0</v>
      </c>
      <c r="D189" s="13" t="b">
        <f aca="false">TRUE()</f>
        <v>1</v>
      </c>
      <c r="E189" s="13" t="b">
        <f aca="false">TRUE()</f>
        <v>1</v>
      </c>
      <c r="F189" s="0" t="str">
        <f aca="false">IF(B189="none","",(B189="approve")=E189)</f>
        <v/>
      </c>
    </row>
    <row r="190" customFormat="false" ht="15" hidden="false" customHeight="false" outlineLevel="0" collapsed="false">
      <c r="A190" s="4" t="s">
        <v>1352</v>
      </c>
      <c r="B190" s="4" t="s">
        <v>1169</v>
      </c>
      <c r="C190" s="13" t="b">
        <f aca="false">FALSE()</f>
        <v>0</v>
      </c>
      <c r="D190" s="13" t="b">
        <f aca="false">FALSE()</f>
        <v>0</v>
      </c>
      <c r="E190" s="13" t="b">
        <f aca="false">TRUE()</f>
        <v>1</v>
      </c>
      <c r="F190" s="0" t="str">
        <f aca="false">IF(B190="none","",(B190="approve")=E190)</f>
        <v/>
      </c>
    </row>
    <row r="191" customFormat="false" ht="15" hidden="false" customHeight="false" outlineLevel="0" collapsed="false">
      <c r="A191" s="4" t="s">
        <v>1353</v>
      </c>
      <c r="B191" s="4" t="s">
        <v>1164</v>
      </c>
      <c r="C191" s="13" t="b">
        <f aca="false">FALSE()</f>
        <v>0</v>
      </c>
      <c r="D191" s="13" t="b">
        <f aca="false">TRUE()</f>
        <v>1</v>
      </c>
      <c r="E191" s="13" t="b">
        <f aca="false">TRUE()</f>
        <v>1</v>
      </c>
      <c r="F191" s="6" t="b">
        <f aca="false">IF(B191="none","",(B191="approve")=E191)</f>
        <v>1</v>
      </c>
    </row>
    <row r="192" customFormat="false" ht="15" hidden="false" customHeight="false" outlineLevel="0" collapsed="false">
      <c r="A192" s="4" t="s">
        <v>1354</v>
      </c>
      <c r="B192" s="4" t="s">
        <v>1169</v>
      </c>
      <c r="C192" s="13" t="b">
        <f aca="false">FALSE()</f>
        <v>0</v>
      </c>
      <c r="D192" s="13" t="b">
        <f aca="false">FALSE()</f>
        <v>0</v>
      </c>
      <c r="E192" s="13" t="b">
        <f aca="false">FALSE()</f>
        <v>0</v>
      </c>
      <c r="F192" s="0" t="str">
        <f aca="false">IF(B192="none","",(B192="approve")=E192)</f>
        <v/>
      </c>
    </row>
    <row r="193" customFormat="false" ht="15" hidden="false" customHeight="false" outlineLevel="0" collapsed="false">
      <c r="A193" s="4" t="s">
        <v>1355</v>
      </c>
      <c r="B193" s="4" t="s">
        <v>1169</v>
      </c>
      <c r="C193" s="13" t="b">
        <f aca="false">FALSE()</f>
        <v>0</v>
      </c>
      <c r="D193" s="13" t="b">
        <f aca="false">TRUE()</f>
        <v>1</v>
      </c>
      <c r="E193" s="13" t="b">
        <f aca="false">TRUE()</f>
        <v>1</v>
      </c>
      <c r="F193" s="0" t="str">
        <f aca="false">IF(B193="none","",(B193="approve")=E193)</f>
        <v/>
      </c>
    </row>
    <row r="194" customFormat="false" ht="15" hidden="false" customHeight="false" outlineLevel="0" collapsed="false">
      <c r="A194" s="4" t="s">
        <v>1356</v>
      </c>
      <c r="B194" s="4" t="s">
        <v>1178</v>
      </c>
      <c r="C194" s="13" t="b">
        <f aca="false">FALSE()</f>
        <v>0</v>
      </c>
      <c r="D194" s="13" t="b">
        <f aca="false">FALSE()</f>
        <v>0</v>
      </c>
      <c r="E194" s="13" t="b">
        <f aca="false">FALSE()</f>
        <v>0</v>
      </c>
      <c r="F194" s="6" t="b">
        <f aca="false">IF(B194="none","",(B194="approve")=E194)</f>
        <v>1</v>
      </c>
    </row>
    <row r="195" customFormat="false" ht="15" hidden="false" customHeight="false" outlineLevel="0" collapsed="false">
      <c r="A195" s="4" t="s">
        <v>1357</v>
      </c>
      <c r="B195" s="4" t="s">
        <v>1164</v>
      </c>
      <c r="C195" s="13" t="b">
        <f aca="false">FALSE()</f>
        <v>0</v>
      </c>
      <c r="D195" s="13" t="b">
        <f aca="false">FALSE()</f>
        <v>0</v>
      </c>
      <c r="E195" s="13" t="b">
        <f aca="false">TRUE()</f>
        <v>1</v>
      </c>
      <c r="F195" s="6" t="b">
        <f aca="false">IF(B195="none","",(B195="approve")=E195)</f>
        <v>1</v>
      </c>
    </row>
    <row r="196" customFormat="false" ht="15" hidden="false" customHeight="false" outlineLevel="0" collapsed="false">
      <c r="A196" s="4" t="s">
        <v>1358</v>
      </c>
      <c r="B196" s="4" t="s">
        <v>1169</v>
      </c>
      <c r="C196" s="13" t="b">
        <f aca="false">FALSE()</f>
        <v>0</v>
      </c>
      <c r="D196" s="13" t="b">
        <f aca="false">FALSE()</f>
        <v>0</v>
      </c>
      <c r="E196" s="13" t="b">
        <f aca="false">TRUE()</f>
        <v>1</v>
      </c>
      <c r="F196" s="0" t="str">
        <f aca="false">IF(B196="none","",(B196="approve")=E196)</f>
        <v/>
      </c>
    </row>
    <row r="197" customFormat="false" ht="15" hidden="false" customHeight="false" outlineLevel="0" collapsed="false">
      <c r="A197" s="4" t="s">
        <v>1359</v>
      </c>
      <c r="B197" s="4" t="s">
        <v>1169</v>
      </c>
      <c r="C197" s="13" t="b">
        <f aca="false">FALSE()</f>
        <v>0</v>
      </c>
      <c r="D197" s="13" t="b">
        <f aca="false">FALSE()</f>
        <v>0</v>
      </c>
      <c r="E197" s="13" t="b">
        <f aca="false">TRUE()</f>
        <v>1</v>
      </c>
      <c r="F197" s="0" t="str">
        <f aca="false">IF(B197="none","",(B197="approve")=E197)</f>
        <v/>
      </c>
    </row>
    <row r="198" customFormat="false" ht="15" hidden="false" customHeight="false" outlineLevel="0" collapsed="false">
      <c r="A198" s="4" t="s">
        <v>1360</v>
      </c>
      <c r="B198" s="4" t="s">
        <v>1169</v>
      </c>
      <c r="C198" s="13" t="b">
        <f aca="false">FALSE()</f>
        <v>0</v>
      </c>
      <c r="D198" s="13" t="b">
        <f aca="false">TRUE()</f>
        <v>1</v>
      </c>
      <c r="E198" s="13" t="b">
        <f aca="false">FALSE()</f>
        <v>0</v>
      </c>
      <c r="F198" s="0" t="str">
        <f aca="false">IF(B198="none","",(B198="approve")=E198)</f>
        <v/>
      </c>
    </row>
    <row r="199" customFormat="false" ht="15" hidden="false" customHeight="false" outlineLevel="0" collapsed="false">
      <c r="A199" s="4" t="s">
        <v>1361</v>
      </c>
      <c r="B199" s="4" t="s">
        <v>1169</v>
      </c>
      <c r="C199" s="13" t="b">
        <f aca="false">FALSE()</f>
        <v>0</v>
      </c>
      <c r="D199" s="13" t="b">
        <f aca="false">FALSE()</f>
        <v>0</v>
      </c>
      <c r="E199" s="13" t="b">
        <f aca="false">TRUE()</f>
        <v>1</v>
      </c>
      <c r="F199" s="0" t="str">
        <f aca="false">IF(B199="none","",(B199="approve")=E199)</f>
        <v/>
      </c>
    </row>
    <row r="200" customFormat="false" ht="15" hidden="false" customHeight="false" outlineLevel="0" collapsed="false">
      <c r="A200" s="4" t="s">
        <v>1362</v>
      </c>
      <c r="B200" s="4" t="s">
        <v>1164</v>
      </c>
      <c r="C200" s="13" t="b">
        <f aca="false">FALSE()</f>
        <v>0</v>
      </c>
      <c r="D200" s="13" t="b">
        <f aca="false">FALSE()</f>
        <v>0</v>
      </c>
      <c r="E200" s="13" t="b">
        <f aca="false">TRUE()</f>
        <v>1</v>
      </c>
      <c r="F200" s="6" t="b">
        <f aca="false">IF(B200="none","",(B200="approve")=E200)</f>
        <v>1</v>
      </c>
    </row>
    <row r="201" customFormat="false" ht="15" hidden="false" customHeight="false" outlineLevel="0" collapsed="false">
      <c r="A201" s="4" t="s">
        <v>1363</v>
      </c>
      <c r="B201" s="4" t="s">
        <v>1164</v>
      </c>
      <c r="C201" s="13" t="b">
        <f aca="false">FALSE()</f>
        <v>0</v>
      </c>
      <c r="D201" s="13" t="b">
        <f aca="false">FALSE()</f>
        <v>0</v>
      </c>
      <c r="E201" s="13" t="b">
        <f aca="false">TRUE()</f>
        <v>1</v>
      </c>
      <c r="F201" s="6" t="b">
        <f aca="false">IF(B201="none","",(B201="approve")=E201)</f>
        <v>1</v>
      </c>
    </row>
    <row r="202" customFormat="false" ht="15" hidden="false" customHeight="false" outlineLevel="0" collapsed="false">
      <c r="A202" s="4" t="s">
        <v>1364</v>
      </c>
      <c r="B202" s="4" t="s">
        <v>1169</v>
      </c>
      <c r="C202" s="13" t="b">
        <f aca="false">FALSE()</f>
        <v>0</v>
      </c>
      <c r="D202" s="13" t="b">
        <f aca="false">FALSE()</f>
        <v>0</v>
      </c>
      <c r="E202" s="13" t="b">
        <f aca="false">TRUE()</f>
        <v>1</v>
      </c>
      <c r="F202" s="0" t="str">
        <f aca="false">IF(B202="none","",(B202="approve")=E202)</f>
        <v/>
      </c>
    </row>
    <row r="203" customFormat="false" ht="15" hidden="false" customHeight="false" outlineLevel="0" collapsed="false">
      <c r="A203" s="4" t="s">
        <v>1365</v>
      </c>
      <c r="B203" s="4" t="s">
        <v>1169</v>
      </c>
      <c r="C203" s="13" t="b">
        <f aca="false">FALSE()</f>
        <v>0</v>
      </c>
      <c r="D203" s="13" t="b">
        <f aca="false">FALSE()</f>
        <v>0</v>
      </c>
      <c r="E203" s="13" t="b">
        <f aca="false">TRUE()</f>
        <v>1</v>
      </c>
      <c r="F203" s="0" t="str">
        <f aca="false">IF(B203="none","",(B203="approve")=E203)</f>
        <v/>
      </c>
    </row>
    <row r="204" customFormat="false" ht="15" hidden="false" customHeight="false" outlineLevel="0" collapsed="false">
      <c r="A204" s="4" t="s">
        <v>1366</v>
      </c>
      <c r="B204" s="4" t="s">
        <v>1164</v>
      </c>
      <c r="C204" s="13" t="b">
        <f aca="false">FALSE()</f>
        <v>0</v>
      </c>
      <c r="D204" s="13" t="b">
        <f aca="false">TRUE()</f>
        <v>1</v>
      </c>
      <c r="E204" s="13" t="b">
        <f aca="false">TRUE()</f>
        <v>1</v>
      </c>
      <c r="F204" s="6" t="b">
        <f aca="false">IF(B204="none","",(B204="approve")=E204)</f>
        <v>1</v>
      </c>
    </row>
    <row r="205" customFormat="false" ht="15" hidden="false" customHeight="false" outlineLevel="0" collapsed="false">
      <c r="A205" s="4" t="s">
        <v>1367</v>
      </c>
      <c r="B205" s="4" t="s">
        <v>1164</v>
      </c>
      <c r="C205" s="13" t="b">
        <f aca="false">FALSE()</f>
        <v>0</v>
      </c>
      <c r="D205" s="13" t="b">
        <f aca="false">FALSE()</f>
        <v>0</v>
      </c>
      <c r="E205" s="13" t="b">
        <f aca="false">TRUE()</f>
        <v>1</v>
      </c>
      <c r="F205" s="6" t="b">
        <f aca="false">IF(B205="none","",(B205="approve")=E205)</f>
        <v>1</v>
      </c>
    </row>
    <row r="206" customFormat="false" ht="15" hidden="false" customHeight="false" outlineLevel="0" collapsed="false">
      <c r="A206" s="4" t="s">
        <v>1368</v>
      </c>
      <c r="B206" s="4" t="s">
        <v>1164</v>
      </c>
      <c r="C206" s="13" t="b">
        <f aca="false">FALSE()</f>
        <v>0</v>
      </c>
      <c r="D206" s="13" t="b">
        <f aca="false">TRUE()</f>
        <v>1</v>
      </c>
      <c r="E206" s="13" t="b">
        <f aca="false">TRUE()</f>
        <v>1</v>
      </c>
      <c r="F206" s="6" t="b">
        <f aca="false">IF(B206="none","",(B206="approve")=E206)</f>
        <v>1</v>
      </c>
    </row>
    <row r="207" customFormat="false" ht="15" hidden="false" customHeight="false" outlineLevel="0" collapsed="false">
      <c r="A207" s="4" t="s">
        <v>1369</v>
      </c>
      <c r="B207" s="4" t="s">
        <v>1164</v>
      </c>
      <c r="C207" s="13" t="b">
        <f aca="false">FALSE()</f>
        <v>0</v>
      </c>
      <c r="D207" s="13" t="b">
        <f aca="false">TRUE()</f>
        <v>1</v>
      </c>
      <c r="E207" s="13" t="b">
        <f aca="false">TRUE()</f>
        <v>1</v>
      </c>
      <c r="F207" s="6" t="b">
        <f aca="false">IF(B207="none","",(B207="approve")=E207)</f>
        <v>1</v>
      </c>
    </row>
    <row r="208" customFormat="false" ht="15" hidden="false" customHeight="false" outlineLevel="0" collapsed="false">
      <c r="A208" s="4" t="s">
        <v>1370</v>
      </c>
      <c r="B208" s="4" t="s">
        <v>1169</v>
      </c>
      <c r="C208" s="13" t="b">
        <f aca="false">FALSE()</f>
        <v>0</v>
      </c>
      <c r="D208" s="13" t="b">
        <f aca="false">FALSE()</f>
        <v>0</v>
      </c>
      <c r="E208" s="13" t="b">
        <f aca="false">TRUE()</f>
        <v>1</v>
      </c>
      <c r="F208" s="0" t="str">
        <f aca="false">IF(B208="none","",(B208="approve")=E208)</f>
        <v/>
      </c>
    </row>
    <row r="209" customFormat="false" ht="15" hidden="false" customHeight="false" outlineLevel="0" collapsed="false">
      <c r="A209" s="4" t="s">
        <v>1371</v>
      </c>
      <c r="B209" s="4" t="s">
        <v>1178</v>
      </c>
      <c r="C209" s="13" t="b">
        <f aca="false">FALSE()</f>
        <v>0</v>
      </c>
      <c r="D209" s="13" t="b">
        <f aca="false">TRUE()</f>
        <v>1</v>
      </c>
      <c r="E209" s="13" t="b">
        <f aca="false">FALSE()</f>
        <v>0</v>
      </c>
      <c r="F209" s="6" t="b">
        <f aca="false">IF(B209="none","",(B209="approve")=E209)</f>
        <v>1</v>
      </c>
    </row>
    <row r="210" customFormat="false" ht="15" hidden="false" customHeight="false" outlineLevel="0" collapsed="false">
      <c r="A210" s="4" t="s">
        <v>1372</v>
      </c>
      <c r="B210" s="4" t="s">
        <v>1164</v>
      </c>
      <c r="C210" s="13" t="b">
        <f aca="false">FALSE()</f>
        <v>0</v>
      </c>
      <c r="D210" s="13" t="b">
        <f aca="false">TRUE()</f>
        <v>1</v>
      </c>
      <c r="E210" s="13" t="b">
        <f aca="false">TRUE()</f>
        <v>1</v>
      </c>
      <c r="F210" s="6" t="b">
        <f aca="false">IF(B210="none","",(B210="approve")=E210)</f>
        <v>1</v>
      </c>
    </row>
    <row r="211" customFormat="false" ht="15" hidden="false" customHeight="false" outlineLevel="0" collapsed="false">
      <c r="A211" s="4" t="s">
        <v>1373</v>
      </c>
      <c r="B211" s="4" t="s">
        <v>1164</v>
      </c>
      <c r="C211" s="13" t="b">
        <f aca="false">FALSE()</f>
        <v>0</v>
      </c>
      <c r="D211" s="13" t="b">
        <f aca="false">TRUE()</f>
        <v>1</v>
      </c>
      <c r="E211" s="13" t="b">
        <f aca="false">TRUE()</f>
        <v>1</v>
      </c>
      <c r="F211" s="6" t="b">
        <f aca="false">IF(B211="none","",(B211="approve")=E211)</f>
        <v>1</v>
      </c>
    </row>
    <row r="212" customFormat="false" ht="15" hidden="false" customHeight="false" outlineLevel="0" collapsed="false">
      <c r="A212" s="4" t="s">
        <v>1374</v>
      </c>
      <c r="B212" s="4" t="s">
        <v>1169</v>
      </c>
      <c r="C212" s="13" t="b">
        <f aca="false">FALSE()</f>
        <v>0</v>
      </c>
      <c r="D212" s="13" t="b">
        <f aca="false">FALSE()</f>
        <v>0</v>
      </c>
      <c r="E212" s="13" t="b">
        <f aca="false">TRUE()</f>
        <v>1</v>
      </c>
      <c r="F212" s="0" t="str">
        <f aca="false">IF(B212="none","",(B212="approve")=E212)</f>
        <v/>
      </c>
    </row>
    <row r="213" customFormat="false" ht="15" hidden="false" customHeight="false" outlineLevel="0" collapsed="false">
      <c r="A213" s="4" t="s">
        <v>1375</v>
      </c>
      <c r="B213" s="4" t="s">
        <v>1164</v>
      </c>
      <c r="C213" s="13" t="b">
        <f aca="false">FALSE()</f>
        <v>0</v>
      </c>
      <c r="D213" s="13" t="b">
        <f aca="false">FALSE()</f>
        <v>0</v>
      </c>
      <c r="E213" s="13" t="b">
        <f aca="false">TRUE()</f>
        <v>1</v>
      </c>
      <c r="F213" s="6" t="b">
        <f aca="false">IF(B213="none","",(B213="approve")=E213)</f>
        <v>1</v>
      </c>
    </row>
    <row r="214" customFormat="false" ht="15" hidden="false" customHeight="false" outlineLevel="0" collapsed="false">
      <c r="A214" s="4" t="s">
        <v>1376</v>
      </c>
      <c r="B214" s="4" t="s">
        <v>1178</v>
      </c>
      <c r="C214" s="13" t="b">
        <f aca="false">FALSE()</f>
        <v>0</v>
      </c>
      <c r="D214" s="13" t="b">
        <f aca="false">FALSE()</f>
        <v>0</v>
      </c>
      <c r="E214" s="13" t="b">
        <f aca="false">FALSE()</f>
        <v>0</v>
      </c>
      <c r="F214" s="6" t="b">
        <f aca="false">IF(B214="none","",(B214="approve")=E214)</f>
        <v>1</v>
      </c>
    </row>
    <row r="215" customFormat="false" ht="15" hidden="false" customHeight="false" outlineLevel="0" collapsed="false">
      <c r="A215" s="4" t="s">
        <v>1377</v>
      </c>
      <c r="B215" s="4" t="s">
        <v>1169</v>
      </c>
      <c r="C215" s="13" t="b">
        <f aca="false">FALSE()</f>
        <v>0</v>
      </c>
      <c r="D215" s="13" t="b">
        <f aca="false">TRUE()</f>
        <v>1</v>
      </c>
      <c r="E215" s="13" t="b">
        <f aca="false">TRUE()</f>
        <v>1</v>
      </c>
      <c r="F215" s="0" t="str">
        <f aca="false">IF(B215="none","",(B215="approve")=E215)</f>
        <v/>
      </c>
    </row>
    <row r="216" customFormat="false" ht="15" hidden="false" customHeight="false" outlineLevel="0" collapsed="false">
      <c r="A216" s="4" t="s">
        <v>1378</v>
      </c>
      <c r="B216" s="4" t="s">
        <v>1169</v>
      </c>
      <c r="C216" s="13" t="b">
        <f aca="false">FALSE()</f>
        <v>0</v>
      </c>
      <c r="D216" s="13" t="b">
        <f aca="false">TRUE()</f>
        <v>1</v>
      </c>
      <c r="E216" s="13" t="b">
        <f aca="false">TRUE()</f>
        <v>1</v>
      </c>
      <c r="F216" s="0" t="str">
        <f aca="false">IF(B216="none","",(B216="approve")=E216)</f>
        <v/>
      </c>
    </row>
    <row r="217" customFormat="false" ht="15" hidden="false" customHeight="false" outlineLevel="0" collapsed="false">
      <c r="A217" s="4" t="s">
        <v>1379</v>
      </c>
      <c r="B217" s="4" t="s">
        <v>1178</v>
      </c>
      <c r="C217" s="13" t="b">
        <f aca="false">FALSE()</f>
        <v>0</v>
      </c>
      <c r="D217" s="13" t="b">
        <f aca="false">TRUE()</f>
        <v>1</v>
      </c>
      <c r="E217" s="13" t="b">
        <f aca="false">FALSE()</f>
        <v>0</v>
      </c>
      <c r="F217" s="6" t="b">
        <f aca="false">IF(B217="none","",(B217="approve")=E217)</f>
        <v>1</v>
      </c>
    </row>
    <row r="218" customFormat="false" ht="15" hidden="false" customHeight="false" outlineLevel="0" collapsed="false">
      <c r="A218" s="4" t="s">
        <v>1380</v>
      </c>
      <c r="B218" s="4" t="s">
        <v>1178</v>
      </c>
      <c r="C218" s="13" t="b">
        <f aca="false">FALSE()</f>
        <v>0</v>
      </c>
      <c r="D218" s="13" t="b">
        <f aca="false">FALSE()</f>
        <v>0</v>
      </c>
      <c r="E218" s="13" t="b">
        <f aca="false">TRUE()</f>
        <v>1</v>
      </c>
      <c r="F218" s="6" t="b">
        <f aca="false">IF(B218="none","",(B218="approve")=E218)</f>
        <v>0</v>
      </c>
    </row>
    <row r="219" customFormat="false" ht="15" hidden="false" customHeight="false" outlineLevel="0" collapsed="false">
      <c r="A219" s="4" t="s">
        <v>1381</v>
      </c>
      <c r="B219" s="4" t="s">
        <v>1169</v>
      </c>
      <c r="C219" s="13" t="b">
        <f aca="false">FALSE()</f>
        <v>0</v>
      </c>
      <c r="D219" s="13" t="b">
        <f aca="false">TRUE()</f>
        <v>1</v>
      </c>
      <c r="E219" s="13" t="b">
        <f aca="false">TRUE()</f>
        <v>1</v>
      </c>
      <c r="F219" s="0" t="str">
        <f aca="false">IF(B219="none","",(B219="approve")=E219)</f>
        <v/>
      </c>
    </row>
    <row r="220" customFormat="false" ht="15" hidden="false" customHeight="false" outlineLevel="0" collapsed="false">
      <c r="A220" s="4" t="s">
        <v>1382</v>
      </c>
      <c r="B220" s="4" t="s">
        <v>1164</v>
      </c>
      <c r="C220" s="13" t="b">
        <f aca="false">FALSE()</f>
        <v>0</v>
      </c>
      <c r="D220" s="13" t="b">
        <f aca="false">FALSE()</f>
        <v>0</v>
      </c>
      <c r="E220" s="13" t="b">
        <f aca="false">TRUE()</f>
        <v>1</v>
      </c>
      <c r="F220" s="6" t="b">
        <f aca="false">IF(B220="none","",(B220="approve")=E220)</f>
        <v>1</v>
      </c>
    </row>
    <row r="221" customFormat="false" ht="15" hidden="false" customHeight="false" outlineLevel="0" collapsed="false">
      <c r="A221" s="4" t="s">
        <v>1383</v>
      </c>
      <c r="B221" s="4" t="s">
        <v>1169</v>
      </c>
      <c r="C221" s="13" t="b">
        <f aca="false">FALSE()</f>
        <v>0</v>
      </c>
      <c r="D221" s="13" t="b">
        <f aca="false">TRUE()</f>
        <v>1</v>
      </c>
      <c r="E221" s="13" t="b">
        <f aca="false">TRUE()</f>
        <v>1</v>
      </c>
      <c r="F221" s="0" t="str">
        <f aca="false">IF(B221="none","",(B221="approve")=E221)</f>
        <v/>
      </c>
    </row>
    <row r="222" customFormat="false" ht="15" hidden="false" customHeight="false" outlineLevel="0" collapsed="false">
      <c r="A222" s="4" t="s">
        <v>1384</v>
      </c>
      <c r="B222" s="4" t="s">
        <v>1169</v>
      </c>
      <c r="C222" s="13" t="b">
        <f aca="false">FALSE()</f>
        <v>0</v>
      </c>
      <c r="D222" s="13" t="b">
        <f aca="false">TRUE()</f>
        <v>1</v>
      </c>
      <c r="E222" s="13" t="b">
        <f aca="false">TRUE()</f>
        <v>1</v>
      </c>
      <c r="F222" s="0" t="str">
        <f aca="false">IF(B222="none","",(B222="approve")=E222)</f>
        <v/>
      </c>
    </row>
    <row r="223" customFormat="false" ht="15" hidden="false" customHeight="false" outlineLevel="0" collapsed="false">
      <c r="A223" s="4" t="s">
        <v>1385</v>
      </c>
      <c r="B223" s="4" t="s">
        <v>1164</v>
      </c>
      <c r="C223" s="13" t="b">
        <f aca="false">FALSE()</f>
        <v>0</v>
      </c>
      <c r="D223" s="13" t="b">
        <f aca="false">FALSE()</f>
        <v>0</v>
      </c>
      <c r="E223" s="13" t="b">
        <f aca="false">TRUE()</f>
        <v>1</v>
      </c>
      <c r="F223" s="6" t="b">
        <f aca="false">IF(B223="none","",(B223="approve")=E223)</f>
        <v>1</v>
      </c>
    </row>
    <row r="224" customFormat="false" ht="15" hidden="false" customHeight="false" outlineLevel="0" collapsed="false">
      <c r="A224" s="4" t="s">
        <v>1386</v>
      </c>
      <c r="B224" s="4" t="s">
        <v>1164</v>
      </c>
      <c r="C224" s="13" t="b">
        <f aca="false">FALSE()</f>
        <v>0</v>
      </c>
      <c r="D224" s="13" t="b">
        <f aca="false">FALSE()</f>
        <v>0</v>
      </c>
      <c r="E224" s="13" t="b">
        <f aca="false">TRUE()</f>
        <v>1</v>
      </c>
      <c r="F224" s="6" t="b">
        <f aca="false">IF(B224="none","",(B224="approve")=E224)</f>
        <v>1</v>
      </c>
    </row>
    <row r="225" customFormat="false" ht="15" hidden="false" customHeight="false" outlineLevel="0" collapsed="false">
      <c r="A225" s="4" t="s">
        <v>1387</v>
      </c>
      <c r="B225" s="4" t="s">
        <v>1164</v>
      </c>
      <c r="C225" s="13" t="b">
        <f aca="false">FALSE()</f>
        <v>0</v>
      </c>
      <c r="D225" s="13" t="b">
        <f aca="false">FALSE()</f>
        <v>0</v>
      </c>
      <c r="E225" s="13" t="b">
        <f aca="false">TRUE()</f>
        <v>1</v>
      </c>
      <c r="F225" s="6" t="b">
        <f aca="false">IF(B225="none","",(B225="approve")=E225)</f>
        <v>1</v>
      </c>
    </row>
    <row r="226" customFormat="false" ht="15" hidden="false" customHeight="false" outlineLevel="0" collapsed="false">
      <c r="A226" s="4" t="s">
        <v>1388</v>
      </c>
      <c r="B226" s="4" t="s">
        <v>1164</v>
      </c>
      <c r="C226" s="13" t="b">
        <f aca="false">FALSE()</f>
        <v>0</v>
      </c>
      <c r="D226" s="13" t="b">
        <f aca="false">TRUE()</f>
        <v>1</v>
      </c>
      <c r="E226" s="13" t="b">
        <f aca="false">TRUE()</f>
        <v>1</v>
      </c>
      <c r="F226" s="6" t="b">
        <f aca="false">IF(B226="none","",(B226="approve")=E226)</f>
        <v>1</v>
      </c>
    </row>
    <row r="227" customFormat="false" ht="15" hidden="false" customHeight="false" outlineLevel="0" collapsed="false">
      <c r="A227" s="4" t="s">
        <v>1389</v>
      </c>
      <c r="B227" s="4" t="s">
        <v>1169</v>
      </c>
      <c r="C227" s="13" t="b">
        <f aca="false">FALSE()</f>
        <v>0</v>
      </c>
      <c r="D227" s="13" t="b">
        <f aca="false">TRUE()</f>
        <v>1</v>
      </c>
      <c r="E227" s="13" t="b">
        <f aca="false">TRUE()</f>
        <v>1</v>
      </c>
      <c r="F227" s="0" t="str">
        <f aca="false">IF(B227="none","",(B227="approve")=E227)</f>
        <v/>
      </c>
    </row>
    <row r="228" customFormat="false" ht="15" hidden="false" customHeight="false" outlineLevel="0" collapsed="false">
      <c r="A228" s="4" t="s">
        <v>1390</v>
      </c>
      <c r="B228" s="4" t="s">
        <v>1169</v>
      </c>
      <c r="C228" s="13" t="b">
        <f aca="false">FALSE()</f>
        <v>0</v>
      </c>
      <c r="D228" s="13" t="b">
        <f aca="false">FALSE()</f>
        <v>0</v>
      </c>
      <c r="E228" s="13" t="b">
        <f aca="false">TRUE()</f>
        <v>1</v>
      </c>
      <c r="F228" s="0" t="str">
        <f aca="false">IF(B228="none","",(B228="approve")=E228)</f>
        <v/>
      </c>
    </row>
    <row r="229" customFormat="false" ht="15" hidden="false" customHeight="false" outlineLevel="0" collapsed="false">
      <c r="A229" s="4" t="s">
        <v>1391</v>
      </c>
      <c r="B229" s="4" t="s">
        <v>1164</v>
      </c>
      <c r="C229" s="13" t="b">
        <f aca="false">FALSE()</f>
        <v>0</v>
      </c>
      <c r="D229" s="13" t="b">
        <f aca="false">FALSE()</f>
        <v>0</v>
      </c>
      <c r="E229" s="13" t="b">
        <f aca="false">TRUE()</f>
        <v>1</v>
      </c>
      <c r="F229" s="6" t="b">
        <f aca="false">IF(B229="none","",(B229="approve")=E229)</f>
        <v>1</v>
      </c>
    </row>
    <row r="230" customFormat="false" ht="15" hidden="false" customHeight="false" outlineLevel="0" collapsed="false">
      <c r="A230" s="4" t="s">
        <v>1392</v>
      </c>
      <c r="B230" s="4" t="s">
        <v>1169</v>
      </c>
      <c r="C230" s="13" t="b">
        <f aca="false">FALSE()</f>
        <v>0</v>
      </c>
      <c r="D230" s="13" t="b">
        <f aca="false">TRUE()</f>
        <v>1</v>
      </c>
      <c r="E230" s="13" t="b">
        <f aca="false">TRUE()</f>
        <v>1</v>
      </c>
      <c r="F230" s="0" t="str">
        <f aca="false">IF(B230="none","",(B230="approve")=E230)</f>
        <v/>
      </c>
    </row>
    <row r="231" customFormat="false" ht="15" hidden="false" customHeight="false" outlineLevel="0" collapsed="false">
      <c r="A231" s="4" t="s">
        <v>1393</v>
      </c>
      <c r="B231" s="4" t="s">
        <v>1164</v>
      </c>
      <c r="C231" s="13" t="b">
        <f aca="false">FALSE()</f>
        <v>0</v>
      </c>
      <c r="D231" s="13" t="b">
        <f aca="false">TRUE()</f>
        <v>1</v>
      </c>
      <c r="E231" s="13" t="b">
        <f aca="false">TRUE()</f>
        <v>1</v>
      </c>
      <c r="F231" s="6" t="b">
        <f aca="false">IF(B231="none","",(B231="approve")=E231)</f>
        <v>1</v>
      </c>
    </row>
    <row r="232" customFormat="false" ht="15" hidden="false" customHeight="false" outlineLevel="0" collapsed="false">
      <c r="A232" s="4" t="s">
        <v>1394</v>
      </c>
      <c r="B232" s="4" t="s">
        <v>1164</v>
      </c>
      <c r="C232" s="13" t="b">
        <f aca="false">FALSE()</f>
        <v>0</v>
      </c>
      <c r="D232" s="13" t="b">
        <f aca="false">FALSE()</f>
        <v>0</v>
      </c>
      <c r="E232" s="13" t="b">
        <f aca="false">TRUE()</f>
        <v>1</v>
      </c>
      <c r="F232" s="6" t="b">
        <f aca="false">IF(B232="none","",(B232="approve")=E232)</f>
        <v>1</v>
      </c>
    </row>
    <row r="233" customFormat="false" ht="15" hidden="false" customHeight="false" outlineLevel="0" collapsed="false">
      <c r="A233" s="4" t="s">
        <v>1395</v>
      </c>
      <c r="B233" s="4" t="s">
        <v>1164</v>
      </c>
      <c r="C233" s="13" t="b">
        <f aca="false">FALSE()</f>
        <v>0</v>
      </c>
      <c r="D233" s="13" t="b">
        <f aca="false">FALSE()</f>
        <v>0</v>
      </c>
      <c r="E233" s="13" t="b">
        <f aca="false">TRUE()</f>
        <v>1</v>
      </c>
      <c r="F233" s="6" t="b">
        <f aca="false">IF(B233="none","",(B233="approve")=E233)</f>
        <v>1</v>
      </c>
    </row>
    <row r="234" customFormat="false" ht="15" hidden="false" customHeight="false" outlineLevel="0" collapsed="false">
      <c r="A234" s="4" t="s">
        <v>1396</v>
      </c>
      <c r="B234" s="4" t="s">
        <v>1169</v>
      </c>
      <c r="C234" s="13" t="b">
        <f aca="false">FALSE()</f>
        <v>0</v>
      </c>
      <c r="D234" s="13" t="b">
        <f aca="false">TRUE()</f>
        <v>1</v>
      </c>
      <c r="E234" s="13" t="b">
        <f aca="false">TRUE()</f>
        <v>1</v>
      </c>
      <c r="F234" s="0" t="str">
        <f aca="false">IF(B234="none","",(B234="approve")=E234)</f>
        <v/>
      </c>
    </row>
    <row r="235" customFormat="false" ht="15" hidden="false" customHeight="false" outlineLevel="0" collapsed="false">
      <c r="A235" s="4" t="s">
        <v>1397</v>
      </c>
      <c r="B235" s="4" t="s">
        <v>1169</v>
      </c>
      <c r="C235" s="13" t="b">
        <f aca="false">FALSE()</f>
        <v>0</v>
      </c>
      <c r="D235" s="13" t="b">
        <f aca="false">FALSE()</f>
        <v>0</v>
      </c>
      <c r="E235" s="13" t="b">
        <f aca="false">TRUE()</f>
        <v>1</v>
      </c>
      <c r="F235" s="0" t="str">
        <f aca="false">IF(B235="none","",(B235="approve")=E235)</f>
        <v/>
      </c>
    </row>
    <row r="236" customFormat="false" ht="15" hidden="false" customHeight="false" outlineLevel="0" collapsed="false">
      <c r="A236" s="4" t="s">
        <v>1398</v>
      </c>
      <c r="B236" s="4" t="s">
        <v>1169</v>
      </c>
      <c r="C236" s="13" t="b">
        <f aca="false">FALSE()</f>
        <v>0</v>
      </c>
      <c r="D236" s="13" t="b">
        <f aca="false">TRUE()</f>
        <v>1</v>
      </c>
      <c r="E236" s="13" t="b">
        <f aca="false">TRUE()</f>
        <v>1</v>
      </c>
      <c r="F236" s="0" t="str">
        <f aca="false">IF(B236="none","",(B236="approve")=E236)</f>
        <v/>
      </c>
    </row>
    <row r="237" customFormat="false" ht="15" hidden="false" customHeight="false" outlineLevel="0" collapsed="false">
      <c r="A237" s="4" t="s">
        <v>1399</v>
      </c>
      <c r="B237" s="4" t="s">
        <v>1164</v>
      </c>
      <c r="C237" s="13" t="b">
        <f aca="false">FALSE()</f>
        <v>0</v>
      </c>
      <c r="D237" s="13" t="b">
        <f aca="false">TRUE()</f>
        <v>1</v>
      </c>
      <c r="E237" s="13" t="b">
        <f aca="false">TRUE()</f>
        <v>1</v>
      </c>
      <c r="F237" s="6" t="b">
        <f aca="false">IF(B237="none","",(B237="approve")=E237)</f>
        <v>1</v>
      </c>
    </row>
    <row r="238" customFormat="false" ht="15" hidden="false" customHeight="false" outlineLevel="0" collapsed="false">
      <c r="A238" s="4" t="s">
        <v>1400</v>
      </c>
      <c r="B238" s="4" t="s">
        <v>1169</v>
      </c>
      <c r="C238" s="13" t="b">
        <f aca="false">FALSE()</f>
        <v>0</v>
      </c>
      <c r="D238" s="13" t="b">
        <f aca="false">FALSE()</f>
        <v>0</v>
      </c>
      <c r="E238" s="13" t="b">
        <f aca="false">TRUE()</f>
        <v>1</v>
      </c>
      <c r="F238" s="0" t="str">
        <f aca="false">IF(B238="none","",(B238="approve")=E238)</f>
        <v/>
      </c>
    </row>
    <row r="239" customFormat="false" ht="15" hidden="false" customHeight="false" outlineLevel="0" collapsed="false">
      <c r="A239" s="4" t="s">
        <v>1401</v>
      </c>
      <c r="B239" s="4" t="s">
        <v>1169</v>
      </c>
      <c r="C239" s="13" t="b">
        <f aca="false">FALSE()</f>
        <v>0</v>
      </c>
      <c r="D239" s="13" t="b">
        <f aca="false">FALSE()</f>
        <v>0</v>
      </c>
      <c r="E239" s="13" t="b">
        <f aca="false">TRUE()</f>
        <v>1</v>
      </c>
      <c r="F239" s="0" t="str">
        <f aca="false">IF(B239="none","",(B239="approve")=E239)</f>
        <v/>
      </c>
    </row>
    <row r="240" customFormat="false" ht="15" hidden="false" customHeight="false" outlineLevel="0" collapsed="false">
      <c r="A240" s="4" t="s">
        <v>1402</v>
      </c>
      <c r="B240" s="4" t="s">
        <v>1164</v>
      </c>
      <c r="C240" s="13" t="b">
        <f aca="false">FALSE()</f>
        <v>0</v>
      </c>
      <c r="D240" s="13" t="b">
        <f aca="false">TRUE()</f>
        <v>1</v>
      </c>
      <c r="E240" s="13" t="b">
        <f aca="false">TRUE()</f>
        <v>1</v>
      </c>
      <c r="F240" s="6" t="b">
        <f aca="false">IF(B240="none","",(B240="approve")=E240)</f>
        <v>1</v>
      </c>
    </row>
    <row r="241" customFormat="false" ht="15" hidden="false" customHeight="false" outlineLevel="0" collapsed="false">
      <c r="A241" s="4" t="s">
        <v>1403</v>
      </c>
      <c r="B241" s="4" t="s">
        <v>1164</v>
      </c>
      <c r="C241" s="13" t="b">
        <f aca="false">FALSE()</f>
        <v>0</v>
      </c>
      <c r="D241" s="13" t="b">
        <f aca="false">TRUE()</f>
        <v>1</v>
      </c>
      <c r="E241" s="13" t="b">
        <f aca="false">TRUE()</f>
        <v>1</v>
      </c>
      <c r="F241" s="6" t="b">
        <f aca="false">IF(B241="none","",(B241="approve")=E241)</f>
        <v>1</v>
      </c>
    </row>
    <row r="242" customFormat="false" ht="15" hidden="false" customHeight="false" outlineLevel="0" collapsed="false">
      <c r="A242" s="4" t="s">
        <v>1404</v>
      </c>
      <c r="B242" s="4" t="s">
        <v>1164</v>
      </c>
      <c r="C242" s="13" t="b">
        <f aca="false">FALSE()</f>
        <v>0</v>
      </c>
      <c r="D242" s="13" t="b">
        <f aca="false">FALSE()</f>
        <v>0</v>
      </c>
      <c r="E242" s="13" t="b">
        <f aca="false">TRUE()</f>
        <v>1</v>
      </c>
      <c r="F242" s="6" t="b">
        <f aca="false">IF(B242="none","",(B242="approve")=E242)</f>
        <v>1</v>
      </c>
    </row>
    <row r="243" customFormat="false" ht="15" hidden="false" customHeight="false" outlineLevel="0" collapsed="false">
      <c r="A243" s="4" t="s">
        <v>1405</v>
      </c>
      <c r="B243" s="4" t="s">
        <v>1164</v>
      </c>
      <c r="C243" s="13" t="b">
        <f aca="false">FALSE()</f>
        <v>0</v>
      </c>
      <c r="D243" s="13" t="b">
        <f aca="false">TRUE()</f>
        <v>1</v>
      </c>
      <c r="E243" s="13" t="b">
        <f aca="false">TRUE()</f>
        <v>1</v>
      </c>
      <c r="F243" s="6" t="b">
        <f aca="false">IF(B243="none","",(B243="approve")=E243)</f>
        <v>1</v>
      </c>
    </row>
    <row r="244" customFormat="false" ht="15" hidden="false" customHeight="false" outlineLevel="0" collapsed="false">
      <c r="A244" s="4" t="s">
        <v>1406</v>
      </c>
      <c r="B244" s="4" t="s">
        <v>1169</v>
      </c>
      <c r="C244" s="13" t="b">
        <f aca="false">FALSE()</f>
        <v>0</v>
      </c>
      <c r="D244" s="13" t="b">
        <f aca="false">TRUE()</f>
        <v>1</v>
      </c>
      <c r="E244" s="13" t="b">
        <f aca="false">TRUE()</f>
        <v>1</v>
      </c>
      <c r="F244" s="0" t="str">
        <f aca="false">IF(B244="none","",(B244="approve")=E244)</f>
        <v/>
      </c>
    </row>
    <row r="245" customFormat="false" ht="15" hidden="false" customHeight="false" outlineLevel="0" collapsed="false">
      <c r="A245" s="4" t="s">
        <v>1407</v>
      </c>
      <c r="B245" s="4" t="s">
        <v>1164</v>
      </c>
      <c r="C245" s="13" t="b">
        <f aca="false">TRUE()</f>
        <v>1</v>
      </c>
      <c r="D245" s="13" t="b">
        <f aca="false">TRUE()</f>
        <v>1</v>
      </c>
      <c r="E245" s="13" t="b">
        <f aca="false">TRUE()</f>
        <v>1</v>
      </c>
      <c r="F245" s="6" t="b">
        <f aca="false">IF(B245="none","",(B245="approve")=E245)</f>
        <v>1</v>
      </c>
    </row>
    <row r="246" customFormat="false" ht="15" hidden="false" customHeight="false" outlineLevel="0" collapsed="false">
      <c r="A246" s="4" t="s">
        <v>1408</v>
      </c>
      <c r="B246" s="4" t="s">
        <v>1164</v>
      </c>
      <c r="C246" s="13" t="b">
        <f aca="false">FALSE()</f>
        <v>0</v>
      </c>
      <c r="D246" s="13" t="b">
        <f aca="false">FALSE()</f>
        <v>0</v>
      </c>
      <c r="E246" s="13" t="b">
        <f aca="false">TRUE()</f>
        <v>1</v>
      </c>
      <c r="F246" s="6" t="b">
        <f aca="false">IF(B246="none","",(B246="approve")=E246)</f>
        <v>1</v>
      </c>
    </row>
    <row r="247" customFormat="false" ht="15" hidden="false" customHeight="false" outlineLevel="0" collapsed="false">
      <c r="A247" s="4" t="s">
        <v>1409</v>
      </c>
      <c r="B247" s="4" t="s">
        <v>1164</v>
      </c>
      <c r="C247" s="13" t="b">
        <f aca="false">TRUE()</f>
        <v>1</v>
      </c>
      <c r="D247" s="13" t="b">
        <f aca="false">FALSE()</f>
        <v>0</v>
      </c>
      <c r="E247" s="13" t="b">
        <f aca="false">TRUE()</f>
        <v>1</v>
      </c>
      <c r="F247" s="6" t="b">
        <f aca="false">IF(B247="none","",(B247="approve")=E247)</f>
        <v>1</v>
      </c>
    </row>
    <row r="248" customFormat="false" ht="15" hidden="false" customHeight="false" outlineLevel="0" collapsed="false">
      <c r="A248" s="4" t="s">
        <v>1410</v>
      </c>
      <c r="B248" s="4" t="s">
        <v>1169</v>
      </c>
      <c r="C248" s="13" t="b">
        <f aca="false">FALSE()</f>
        <v>0</v>
      </c>
      <c r="D248" s="13" t="b">
        <f aca="false">TRUE()</f>
        <v>1</v>
      </c>
      <c r="E248" s="13" t="b">
        <f aca="false">TRUE()</f>
        <v>1</v>
      </c>
      <c r="F248" s="0" t="str">
        <f aca="false">IF(B248="none","",(B248="approve")=E248)</f>
        <v/>
      </c>
    </row>
    <row r="249" customFormat="false" ht="15" hidden="false" customHeight="false" outlineLevel="0" collapsed="false">
      <c r="A249" s="4" t="s">
        <v>1411</v>
      </c>
      <c r="B249" s="4" t="s">
        <v>1169</v>
      </c>
      <c r="C249" s="13" t="b">
        <f aca="false">FALSE()</f>
        <v>0</v>
      </c>
      <c r="D249" s="13" t="b">
        <f aca="false">TRUE()</f>
        <v>1</v>
      </c>
      <c r="E249" s="13" t="b">
        <f aca="false">TRUE()</f>
        <v>1</v>
      </c>
      <c r="F249" s="0" t="str">
        <f aca="false">IF(B249="none","",(B249="approve")=E249)</f>
        <v/>
      </c>
    </row>
    <row r="250" customFormat="false" ht="15" hidden="false" customHeight="false" outlineLevel="0" collapsed="false">
      <c r="A250" s="4" t="s">
        <v>1412</v>
      </c>
      <c r="B250" s="4" t="s">
        <v>1178</v>
      </c>
      <c r="C250" s="13" t="b">
        <f aca="false">FALSE()</f>
        <v>0</v>
      </c>
      <c r="D250" s="13" t="b">
        <f aca="false">FALSE()</f>
        <v>0</v>
      </c>
      <c r="E250" s="13" t="b">
        <f aca="false">TRUE()</f>
        <v>1</v>
      </c>
      <c r="F250" s="6" t="b">
        <f aca="false">IF(B250="none","",(B250="approve")=E250)</f>
        <v>0</v>
      </c>
    </row>
    <row r="251" customFormat="false" ht="15" hidden="false" customHeight="false" outlineLevel="0" collapsed="false">
      <c r="A251" s="4" t="s">
        <v>1413</v>
      </c>
      <c r="B251" s="4" t="s">
        <v>1169</v>
      </c>
      <c r="C251" s="13" t="b">
        <f aca="false">FALSE()</f>
        <v>0</v>
      </c>
      <c r="D251" s="13" t="b">
        <f aca="false">FALSE()</f>
        <v>0</v>
      </c>
      <c r="E251" s="13" t="b">
        <f aca="false">TRUE()</f>
        <v>1</v>
      </c>
      <c r="F251" s="0" t="str">
        <f aca="false">IF(B251="none","",(B251="approve")=E251)</f>
        <v/>
      </c>
    </row>
    <row r="252" customFormat="false" ht="15" hidden="false" customHeight="false" outlineLevel="0" collapsed="false">
      <c r="A252" s="4" t="s">
        <v>1414</v>
      </c>
      <c r="B252" s="4" t="s">
        <v>1164</v>
      </c>
      <c r="C252" s="13" t="b">
        <f aca="false">FALSE()</f>
        <v>0</v>
      </c>
      <c r="D252" s="13" t="b">
        <f aca="false">FALSE()</f>
        <v>0</v>
      </c>
      <c r="E252" s="13" t="b">
        <f aca="false">TRUE()</f>
        <v>1</v>
      </c>
      <c r="F252" s="6" t="b">
        <f aca="false">IF(B252="none","",(B252="approve")=E252)</f>
        <v>1</v>
      </c>
    </row>
    <row r="253" customFormat="false" ht="15" hidden="false" customHeight="false" outlineLevel="0" collapsed="false">
      <c r="A253" s="4" t="s">
        <v>1415</v>
      </c>
      <c r="B253" s="4" t="s">
        <v>1164</v>
      </c>
      <c r="C253" s="13" t="b">
        <f aca="false">FALSE()</f>
        <v>0</v>
      </c>
      <c r="D253" s="13" t="b">
        <f aca="false">FALSE()</f>
        <v>0</v>
      </c>
      <c r="E253" s="13" t="b">
        <f aca="false">TRUE()</f>
        <v>1</v>
      </c>
      <c r="F253" s="6" t="b">
        <f aca="false">IF(B253="none","",(B253="approve")=E253)</f>
        <v>1</v>
      </c>
    </row>
    <row r="254" customFormat="false" ht="15" hidden="false" customHeight="false" outlineLevel="0" collapsed="false">
      <c r="A254" s="4" t="s">
        <v>1416</v>
      </c>
      <c r="B254" s="4" t="s">
        <v>1164</v>
      </c>
      <c r="C254" s="13" t="b">
        <f aca="false">FALSE()</f>
        <v>0</v>
      </c>
      <c r="D254" s="13" t="b">
        <f aca="false">FALSE()</f>
        <v>0</v>
      </c>
      <c r="E254" s="13" t="b">
        <f aca="false">TRUE()</f>
        <v>1</v>
      </c>
      <c r="F254" s="6" t="b">
        <f aca="false">IF(B254="none","",(B254="approve")=E254)</f>
        <v>1</v>
      </c>
    </row>
    <row r="255" customFormat="false" ht="15" hidden="false" customHeight="false" outlineLevel="0" collapsed="false">
      <c r="A255" s="4" t="s">
        <v>1417</v>
      </c>
      <c r="B255" s="4" t="s">
        <v>1169</v>
      </c>
      <c r="C255" s="13" t="b">
        <f aca="false">FALSE()</f>
        <v>0</v>
      </c>
      <c r="D255" s="13" t="b">
        <f aca="false">TRUE()</f>
        <v>1</v>
      </c>
      <c r="E255" s="13" t="b">
        <f aca="false">TRUE()</f>
        <v>1</v>
      </c>
      <c r="F255" s="0" t="str">
        <f aca="false">IF(B255="none","",(B255="approve")=E255)</f>
        <v/>
      </c>
    </row>
    <row r="256" customFormat="false" ht="15" hidden="false" customHeight="false" outlineLevel="0" collapsed="false">
      <c r="A256" s="4" t="s">
        <v>1418</v>
      </c>
      <c r="B256" s="4" t="s">
        <v>1164</v>
      </c>
      <c r="C256" s="13" t="b">
        <f aca="false">FALSE()</f>
        <v>0</v>
      </c>
      <c r="D256" s="13" t="b">
        <f aca="false">FALSE()</f>
        <v>0</v>
      </c>
      <c r="E256" s="13" t="b">
        <f aca="false">TRUE()</f>
        <v>1</v>
      </c>
      <c r="F256" s="6" t="b">
        <f aca="false">IF(B256="none","",(B256="approve")=E256)</f>
        <v>1</v>
      </c>
    </row>
    <row r="257" customFormat="false" ht="15" hidden="false" customHeight="false" outlineLevel="0" collapsed="false">
      <c r="A257" s="4" t="s">
        <v>1419</v>
      </c>
      <c r="B257" s="4" t="s">
        <v>1164</v>
      </c>
      <c r="C257" s="13" t="b">
        <f aca="false">FALSE()</f>
        <v>0</v>
      </c>
      <c r="D257" s="13" t="b">
        <f aca="false">FALSE()</f>
        <v>0</v>
      </c>
      <c r="E257" s="13" t="b">
        <f aca="false">TRUE()</f>
        <v>1</v>
      </c>
      <c r="F257" s="6" t="b">
        <f aca="false">IF(B257="none","",(B257="approve")=E257)</f>
        <v>1</v>
      </c>
    </row>
    <row r="258" customFormat="false" ht="15" hidden="false" customHeight="false" outlineLevel="0" collapsed="false">
      <c r="A258" s="4" t="s">
        <v>1420</v>
      </c>
      <c r="B258" s="4" t="s">
        <v>1169</v>
      </c>
      <c r="C258" s="13" t="b">
        <f aca="false">FALSE()</f>
        <v>0</v>
      </c>
      <c r="D258" s="13" t="b">
        <f aca="false">TRUE()</f>
        <v>1</v>
      </c>
      <c r="E258" s="13" t="b">
        <f aca="false">TRUE()</f>
        <v>1</v>
      </c>
      <c r="F258" s="0" t="str">
        <f aca="false">IF(B258="none","",(B258="approve")=E258)</f>
        <v/>
      </c>
    </row>
    <row r="259" customFormat="false" ht="15" hidden="false" customHeight="false" outlineLevel="0" collapsed="false">
      <c r="A259" s="4" t="s">
        <v>1421</v>
      </c>
      <c r="B259" s="4" t="s">
        <v>1169</v>
      </c>
      <c r="C259" s="13" t="b">
        <f aca="false">FALSE()</f>
        <v>0</v>
      </c>
      <c r="D259" s="13" t="b">
        <f aca="false">FALSE()</f>
        <v>0</v>
      </c>
      <c r="E259" s="13" t="b">
        <f aca="false">FALSE()</f>
        <v>0</v>
      </c>
      <c r="F259" s="0" t="str">
        <f aca="false">IF(B259="none","",(B259="approve")=E259)</f>
        <v/>
      </c>
    </row>
    <row r="260" customFormat="false" ht="15" hidden="false" customHeight="false" outlineLevel="0" collapsed="false">
      <c r="A260" s="4" t="s">
        <v>1422</v>
      </c>
      <c r="B260" s="4" t="s">
        <v>1164</v>
      </c>
      <c r="C260" s="13" t="b">
        <f aca="false">FALSE()</f>
        <v>0</v>
      </c>
      <c r="D260" s="13" t="b">
        <f aca="false">TRUE()</f>
        <v>1</v>
      </c>
      <c r="E260" s="13" t="b">
        <f aca="false">TRUE()</f>
        <v>1</v>
      </c>
      <c r="F260" s="6" t="b">
        <f aca="false">IF(B260="none","",(B260="approve")=E260)</f>
        <v>1</v>
      </c>
    </row>
    <row r="261" customFormat="false" ht="15" hidden="false" customHeight="false" outlineLevel="0" collapsed="false">
      <c r="A261" s="4" t="s">
        <v>1423</v>
      </c>
      <c r="B261" s="4" t="s">
        <v>1178</v>
      </c>
      <c r="C261" s="13" t="b">
        <f aca="false">FALSE()</f>
        <v>0</v>
      </c>
      <c r="D261" s="13" t="b">
        <f aca="false">TRUE()</f>
        <v>1</v>
      </c>
      <c r="E261" s="13" t="b">
        <f aca="false">TRUE()</f>
        <v>1</v>
      </c>
      <c r="F261" s="6" t="b">
        <f aca="false">IF(B261="none","",(B261="approve")=E261)</f>
        <v>0</v>
      </c>
    </row>
    <row r="262" customFormat="false" ht="15" hidden="false" customHeight="false" outlineLevel="0" collapsed="false">
      <c r="A262" s="4" t="s">
        <v>1424</v>
      </c>
      <c r="B262" s="4" t="s">
        <v>1169</v>
      </c>
      <c r="C262" s="13" t="b">
        <f aca="false">FALSE()</f>
        <v>0</v>
      </c>
      <c r="D262" s="13" t="b">
        <f aca="false">TRUE()</f>
        <v>1</v>
      </c>
      <c r="E262" s="13" t="b">
        <f aca="false">TRUE()</f>
        <v>1</v>
      </c>
      <c r="F262" s="0" t="str">
        <f aca="false">IF(B262="none","",(B262="approve")=E262)</f>
        <v/>
      </c>
    </row>
    <row r="263" customFormat="false" ht="15" hidden="false" customHeight="false" outlineLevel="0" collapsed="false">
      <c r="A263" s="4" t="s">
        <v>1425</v>
      </c>
      <c r="B263" s="4" t="s">
        <v>1164</v>
      </c>
      <c r="C263" s="13" t="b">
        <f aca="false">FALSE()</f>
        <v>0</v>
      </c>
      <c r="D263" s="13" t="b">
        <f aca="false">TRUE()</f>
        <v>1</v>
      </c>
      <c r="E263" s="13" t="b">
        <f aca="false">TRUE()</f>
        <v>1</v>
      </c>
      <c r="F263" s="6" t="b">
        <f aca="false">IF(B263="none","",(B263="approve")=E263)</f>
        <v>1</v>
      </c>
    </row>
    <row r="264" customFormat="false" ht="15" hidden="false" customHeight="false" outlineLevel="0" collapsed="false">
      <c r="A264" s="4" t="s">
        <v>1426</v>
      </c>
      <c r="B264" s="4" t="s">
        <v>1164</v>
      </c>
      <c r="C264" s="13" t="b">
        <f aca="false">FALSE()</f>
        <v>0</v>
      </c>
      <c r="D264" s="13" t="b">
        <f aca="false">TRUE()</f>
        <v>1</v>
      </c>
      <c r="E264" s="13" t="b">
        <f aca="false">TRUE()</f>
        <v>1</v>
      </c>
      <c r="F264" s="6" t="b">
        <f aca="false">IF(B264="none","",(B264="approve")=E264)</f>
        <v>1</v>
      </c>
    </row>
    <row r="265" customFormat="false" ht="15" hidden="false" customHeight="false" outlineLevel="0" collapsed="false">
      <c r="A265" s="4" t="s">
        <v>1427</v>
      </c>
      <c r="B265" s="4" t="s">
        <v>1164</v>
      </c>
      <c r="C265" s="13" t="b">
        <f aca="false">TRUE()</f>
        <v>1</v>
      </c>
      <c r="D265" s="13" t="b">
        <f aca="false">FALSE()</f>
        <v>0</v>
      </c>
      <c r="E265" s="13" t="b">
        <f aca="false">TRUE()</f>
        <v>1</v>
      </c>
      <c r="F265" s="6" t="b">
        <f aca="false">IF(B265="none","",(B265="approve")=E265)</f>
        <v>1</v>
      </c>
    </row>
    <row r="266" customFormat="false" ht="15" hidden="false" customHeight="false" outlineLevel="0" collapsed="false">
      <c r="A266" s="4" t="s">
        <v>1428</v>
      </c>
      <c r="B266" s="4" t="s">
        <v>1164</v>
      </c>
      <c r="C266" s="13" t="b">
        <f aca="false">FALSE()</f>
        <v>0</v>
      </c>
      <c r="D266" s="13" t="b">
        <f aca="false">TRUE()</f>
        <v>1</v>
      </c>
      <c r="E266" s="13" t="b">
        <f aca="false">TRUE()</f>
        <v>1</v>
      </c>
      <c r="F266" s="6" t="b">
        <f aca="false">IF(B266="none","",(B266="approve")=E266)</f>
        <v>1</v>
      </c>
    </row>
    <row r="267" customFormat="false" ht="15" hidden="false" customHeight="false" outlineLevel="0" collapsed="false">
      <c r="A267" s="4" t="s">
        <v>1429</v>
      </c>
      <c r="B267" s="4" t="s">
        <v>1164</v>
      </c>
      <c r="C267" s="13" t="b">
        <f aca="false">FALSE()</f>
        <v>0</v>
      </c>
      <c r="D267" s="13" t="b">
        <f aca="false">TRUE()</f>
        <v>1</v>
      </c>
      <c r="E267" s="13" t="b">
        <f aca="false">TRUE()</f>
        <v>1</v>
      </c>
      <c r="F267" s="6" t="b">
        <f aca="false">IF(B267="none","",(B267="approve")=E267)</f>
        <v>1</v>
      </c>
    </row>
    <row r="268" customFormat="false" ht="15" hidden="false" customHeight="false" outlineLevel="0" collapsed="false">
      <c r="A268" s="4" t="s">
        <v>1430</v>
      </c>
      <c r="B268" s="4" t="s">
        <v>1164</v>
      </c>
      <c r="C268" s="13" t="b">
        <f aca="false">TRUE()</f>
        <v>1</v>
      </c>
      <c r="D268" s="13" t="b">
        <f aca="false">FALSE()</f>
        <v>0</v>
      </c>
      <c r="E268" s="13" t="b">
        <f aca="false">TRUE()</f>
        <v>1</v>
      </c>
      <c r="F268" s="6" t="b">
        <f aca="false">IF(B268="none","",(B268="approve")=E268)</f>
        <v>1</v>
      </c>
    </row>
    <row r="269" customFormat="false" ht="15" hidden="false" customHeight="false" outlineLevel="0" collapsed="false">
      <c r="A269" s="4" t="s">
        <v>1431</v>
      </c>
      <c r="B269" s="4" t="s">
        <v>1169</v>
      </c>
      <c r="C269" s="13" t="b">
        <f aca="false">FALSE()</f>
        <v>0</v>
      </c>
      <c r="D269" s="13" t="b">
        <f aca="false">TRUE()</f>
        <v>1</v>
      </c>
      <c r="E269" s="13" t="b">
        <f aca="false">TRUE()</f>
        <v>1</v>
      </c>
      <c r="F269" s="0" t="str">
        <f aca="false">IF(B269="none","",(B269="approve")=E269)</f>
        <v/>
      </c>
    </row>
    <row r="270" customFormat="false" ht="15" hidden="false" customHeight="false" outlineLevel="0" collapsed="false">
      <c r="A270" s="4" t="s">
        <v>1432</v>
      </c>
      <c r="B270" s="4" t="s">
        <v>1169</v>
      </c>
      <c r="C270" s="13" t="b">
        <f aca="false">FALSE()</f>
        <v>0</v>
      </c>
      <c r="D270" s="13" t="b">
        <f aca="false">FALSE()</f>
        <v>0</v>
      </c>
      <c r="E270" s="13" t="b">
        <f aca="false">TRUE()</f>
        <v>1</v>
      </c>
      <c r="F270" s="0" t="str">
        <f aca="false">IF(B270="none","",(B270="approve")=E270)</f>
        <v/>
      </c>
    </row>
    <row r="271" customFormat="false" ht="15" hidden="false" customHeight="false" outlineLevel="0" collapsed="false">
      <c r="A271" s="4" t="s">
        <v>1433</v>
      </c>
      <c r="B271" s="4" t="s">
        <v>1164</v>
      </c>
      <c r="C271" s="13" t="b">
        <f aca="false">FALSE()</f>
        <v>0</v>
      </c>
      <c r="D271" s="13" t="b">
        <f aca="false">FALSE()</f>
        <v>0</v>
      </c>
      <c r="E271" s="13" t="b">
        <f aca="false">TRUE()</f>
        <v>1</v>
      </c>
      <c r="F271" s="6" t="b">
        <f aca="false">IF(B271="none","",(B271="approve")=E271)</f>
        <v>1</v>
      </c>
    </row>
    <row r="272" customFormat="false" ht="15" hidden="false" customHeight="false" outlineLevel="0" collapsed="false">
      <c r="A272" s="4" t="s">
        <v>1434</v>
      </c>
      <c r="B272" s="4" t="s">
        <v>1169</v>
      </c>
      <c r="C272" s="13" t="b">
        <f aca="false">FALSE()</f>
        <v>0</v>
      </c>
      <c r="D272" s="13" t="b">
        <f aca="false">TRUE()</f>
        <v>1</v>
      </c>
      <c r="E272" s="13" t="b">
        <f aca="false">TRUE()</f>
        <v>1</v>
      </c>
      <c r="F272" s="0" t="str">
        <f aca="false">IF(B272="none","",(B272="approve")=E272)</f>
        <v/>
      </c>
    </row>
    <row r="273" customFormat="false" ht="15" hidden="false" customHeight="false" outlineLevel="0" collapsed="false">
      <c r="A273" s="4" t="s">
        <v>1435</v>
      </c>
      <c r="B273" s="4" t="s">
        <v>1178</v>
      </c>
      <c r="C273" s="13" t="b">
        <f aca="false">FALSE()</f>
        <v>0</v>
      </c>
      <c r="D273" s="13" t="b">
        <f aca="false">FALSE()</f>
        <v>0</v>
      </c>
      <c r="E273" s="13" t="b">
        <f aca="false">FALSE()</f>
        <v>0</v>
      </c>
      <c r="F273" s="6" t="b">
        <f aca="false">IF(B273="none","",(B273="approve")=E273)</f>
        <v>1</v>
      </c>
    </row>
    <row r="274" customFormat="false" ht="15" hidden="false" customHeight="false" outlineLevel="0" collapsed="false">
      <c r="A274" s="4" t="s">
        <v>1436</v>
      </c>
      <c r="B274" s="4" t="s">
        <v>1178</v>
      </c>
      <c r="C274" s="13" t="b">
        <f aca="false">FALSE()</f>
        <v>0</v>
      </c>
      <c r="D274" s="13" t="b">
        <f aca="false">TRUE()</f>
        <v>1</v>
      </c>
      <c r="E274" s="13" t="b">
        <f aca="false">FALSE()</f>
        <v>0</v>
      </c>
      <c r="F274" s="6" t="b">
        <f aca="false">IF(B274="none","",(B274="approve")=E274)</f>
        <v>1</v>
      </c>
    </row>
    <row r="275" customFormat="false" ht="15" hidden="false" customHeight="false" outlineLevel="0" collapsed="false">
      <c r="A275" s="4" t="s">
        <v>1437</v>
      </c>
      <c r="B275" s="4" t="s">
        <v>1164</v>
      </c>
      <c r="C275" s="13" t="b">
        <f aca="false">FALSE()</f>
        <v>0</v>
      </c>
      <c r="D275" s="13" t="b">
        <f aca="false">FALSE()</f>
        <v>0</v>
      </c>
      <c r="E275" s="13" t="b">
        <f aca="false">TRUE()</f>
        <v>1</v>
      </c>
      <c r="F275" s="6" t="b">
        <f aca="false">IF(B275="none","",(B275="approve")=E275)</f>
        <v>1</v>
      </c>
    </row>
    <row r="276" customFormat="false" ht="15" hidden="false" customHeight="false" outlineLevel="0" collapsed="false">
      <c r="A276" s="4" t="s">
        <v>1438</v>
      </c>
      <c r="B276" s="4" t="s">
        <v>1164</v>
      </c>
      <c r="C276" s="13" t="b">
        <f aca="false">TRUE()</f>
        <v>1</v>
      </c>
      <c r="D276" s="13" t="b">
        <f aca="false">TRUE()</f>
        <v>1</v>
      </c>
      <c r="E276" s="13" t="b">
        <f aca="false">FALSE()</f>
        <v>0</v>
      </c>
      <c r="F276" s="6" t="b">
        <f aca="false">IF(B276="none","",(B276="approve")=E276)</f>
        <v>0</v>
      </c>
    </row>
    <row r="277" customFormat="false" ht="15" hidden="false" customHeight="false" outlineLevel="0" collapsed="false">
      <c r="A277" s="4" t="s">
        <v>1439</v>
      </c>
      <c r="B277" s="4" t="s">
        <v>1164</v>
      </c>
      <c r="C277" s="13" t="b">
        <f aca="false">FALSE()</f>
        <v>0</v>
      </c>
      <c r="D277" s="13" t="b">
        <f aca="false">TRUE()</f>
        <v>1</v>
      </c>
      <c r="E277" s="13" t="b">
        <f aca="false">TRUE()</f>
        <v>1</v>
      </c>
      <c r="F277" s="6" t="b">
        <f aca="false">IF(B277="none","",(B277="approve")=E277)</f>
        <v>1</v>
      </c>
    </row>
    <row r="278" customFormat="false" ht="15" hidden="false" customHeight="false" outlineLevel="0" collapsed="false">
      <c r="A278" s="4" t="s">
        <v>1440</v>
      </c>
      <c r="B278" s="4" t="s">
        <v>1169</v>
      </c>
      <c r="C278" s="13" t="b">
        <f aca="false">FALSE()</f>
        <v>0</v>
      </c>
      <c r="D278" s="13" t="b">
        <f aca="false">TRUE()</f>
        <v>1</v>
      </c>
      <c r="E278" s="13" t="b">
        <f aca="false">FALSE()</f>
        <v>0</v>
      </c>
      <c r="F278" s="0" t="str">
        <f aca="false">IF(B278="none","",(B278="approve")=E278)</f>
        <v/>
      </c>
    </row>
    <row r="279" customFormat="false" ht="15" hidden="false" customHeight="false" outlineLevel="0" collapsed="false">
      <c r="A279" s="4" t="s">
        <v>1441</v>
      </c>
      <c r="B279" s="4" t="s">
        <v>1169</v>
      </c>
      <c r="C279" s="13" t="b">
        <f aca="false">FALSE()</f>
        <v>0</v>
      </c>
      <c r="D279" s="13" t="b">
        <f aca="false">TRUE()</f>
        <v>1</v>
      </c>
      <c r="E279" s="13" t="b">
        <f aca="false">TRUE()</f>
        <v>1</v>
      </c>
      <c r="F279" s="0" t="str">
        <f aca="false">IF(B279="none","",(B279="approve")=E279)</f>
        <v/>
      </c>
    </row>
    <row r="280" customFormat="false" ht="15" hidden="false" customHeight="false" outlineLevel="0" collapsed="false">
      <c r="A280" s="4" t="s">
        <v>1442</v>
      </c>
      <c r="B280" s="4" t="s">
        <v>1169</v>
      </c>
      <c r="C280" s="13" t="b">
        <f aca="false">FALSE()</f>
        <v>0</v>
      </c>
      <c r="D280" s="13" t="b">
        <f aca="false">TRUE()</f>
        <v>1</v>
      </c>
      <c r="E280" s="13" t="b">
        <f aca="false">TRUE()</f>
        <v>1</v>
      </c>
      <c r="F280" s="0" t="str">
        <f aca="false">IF(B280="none","",(B280="approve")=E280)</f>
        <v/>
      </c>
    </row>
    <row r="281" customFormat="false" ht="15" hidden="false" customHeight="false" outlineLevel="0" collapsed="false">
      <c r="A281" s="4" t="s">
        <v>1443</v>
      </c>
      <c r="B281" s="4" t="s">
        <v>1164</v>
      </c>
      <c r="C281" s="13" t="b">
        <f aca="false">FALSE()</f>
        <v>0</v>
      </c>
      <c r="D281" s="13" t="b">
        <f aca="false">TRUE()</f>
        <v>1</v>
      </c>
      <c r="E281" s="13" t="b">
        <f aca="false">TRUE()</f>
        <v>1</v>
      </c>
      <c r="F281" s="6" t="b">
        <f aca="false">IF(B281="none","",(B281="approve")=E281)</f>
        <v>1</v>
      </c>
    </row>
    <row r="282" customFormat="false" ht="15" hidden="false" customHeight="false" outlineLevel="0" collapsed="false">
      <c r="A282" s="4" t="s">
        <v>1444</v>
      </c>
      <c r="B282" s="4" t="s">
        <v>1169</v>
      </c>
      <c r="C282" s="13" t="b">
        <f aca="false">FALSE()</f>
        <v>0</v>
      </c>
      <c r="D282" s="13" t="b">
        <f aca="false">TRUE()</f>
        <v>1</v>
      </c>
      <c r="E282" s="13" t="b">
        <f aca="false">TRUE()</f>
        <v>1</v>
      </c>
      <c r="F282" s="0" t="str">
        <f aca="false">IF(B282="none","",(B282="approve")=E282)</f>
        <v/>
      </c>
    </row>
    <row r="283" customFormat="false" ht="15" hidden="false" customHeight="false" outlineLevel="0" collapsed="false">
      <c r="A283" s="4" t="s">
        <v>1445</v>
      </c>
      <c r="B283" s="4" t="s">
        <v>1169</v>
      </c>
      <c r="C283" s="13" t="b">
        <f aca="false">FALSE()</f>
        <v>0</v>
      </c>
      <c r="D283" s="13" t="b">
        <f aca="false">FALSE()</f>
        <v>0</v>
      </c>
      <c r="E283" s="13" t="b">
        <f aca="false">TRUE()</f>
        <v>1</v>
      </c>
      <c r="F283" s="0" t="str">
        <f aca="false">IF(B283="none","",(B283="approve")=E283)</f>
        <v/>
      </c>
    </row>
    <row r="284" customFormat="false" ht="15" hidden="false" customHeight="false" outlineLevel="0" collapsed="false">
      <c r="A284" s="4" t="s">
        <v>1446</v>
      </c>
      <c r="B284" s="4" t="s">
        <v>1178</v>
      </c>
      <c r="C284" s="13" t="b">
        <f aca="false">FALSE()</f>
        <v>0</v>
      </c>
      <c r="D284" s="13" t="b">
        <f aca="false">TRUE()</f>
        <v>1</v>
      </c>
      <c r="E284" s="13" t="b">
        <f aca="false">FALSE()</f>
        <v>0</v>
      </c>
      <c r="F284" s="6" t="b">
        <f aca="false">IF(B284="none","",(B284="approve")=E284)</f>
        <v>1</v>
      </c>
    </row>
    <row r="285" customFormat="false" ht="15" hidden="false" customHeight="false" outlineLevel="0" collapsed="false">
      <c r="A285" s="4" t="s">
        <v>1447</v>
      </c>
      <c r="B285" s="4" t="s">
        <v>1178</v>
      </c>
      <c r="C285" s="13" t="b">
        <f aca="false">FALSE()</f>
        <v>0</v>
      </c>
      <c r="D285" s="13" t="b">
        <f aca="false">TRUE()</f>
        <v>1</v>
      </c>
      <c r="E285" s="13" t="b">
        <f aca="false">FALSE()</f>
        <v>0</v>
      </c>
      <c r="F285" s="6" t="b">
        <f aca="false">IF(B285="none","",(B285="approve")=E285)</f>
        <v>1</v>
      </c>
    </row>
    <row r="286" customFormat="false" ht="15" hidden="false" customHeight="false" outlineLevel="0" collapsed="false">
      <c r="A286" s="4" t="s">
        <v>1448</v>
      </c>
      <c r="B286" s="4" t="s">
        <v>1169</v>
      </c>
      <c r="C286" s="13" t="b">
        <f aca="false">FALSE()</f>
        <v>0</v>
      </c>
      <c r="D286" s="13" t="b">
        <f aca="false">TRUE()</f>
        <v>1</v>
      </c>
      <c r="E286" s="13" t="b">
        <f aca="false">TRUE()</f>
        <v>1</v>
      </c>
      <c r="F286" s="0" t="str">
        <f aca="false">IF(B286="none","",(B286="approve")=E286)</f>
        <v/>
      </c>
    </row>
    <row r="287" customFormat="false" ht="15" hidden="false" customHeight="false" outlineLevel="0" collapsed="false">
      <c r="A287" s="4" t="s">
        <v>1449</v>
      </c>
      <c r="B287" s="4" t="s">
        <v>1164</v>
      </c>
      <c r="C287" s="13" t="b">
        <f aca="false">FALSE()</f>
        <v>0</v>
      </c>
      <c r="D287" s="13" t="b">
        <f aca="false">TRUE()</f>
        <v>1</v>
      </c>
      <c r="E287" s="13" t="b">
        <f aca="false">TRUE()</f>
        <v>1</v>
      </c>
      <c r="F287" s="6" t="b">
        <f aca="false">IF(B287="none","",(B287="approve")=E287)</f>
        <v>1</v>
      </c>
    </row>
    <row r="288" customFormat="false" ht="15" hidden="false" customHeight="false" outlineLevel="0" collapsed="false">
      <c r="A288" s="4" t="s">
        <v>1450</v>
      </c>
      <c r="B288" s="4" t="s">
        <v>1169</v>
      </c>
      <c r="C288" s="13" t="b">
        <f aca="false">FALSE()</f>
        <v>0</v>
      </c>
      <c r="D288" s="13" t="b">
        <f aca="false">FALSE()</f>
        <v>0</v>
      </c>
      <c r="E288" s="13" t="b">
        <f aca="false">TRUE()</f>
        <v>1</v>
      </c>
      <c r="F288" s="0" t="str">
        <f aca="false">IF(B288="none","",(B288="approve")=E288)</f>
        <v/>
      </c>
    </row>
    <row r="289" customFormat="false" ht="15" hidden="false" customHeight="false" outlineLevel="0" collapsed="false">
      <c r="A289" s="4" t="s">
        <v>1451</v>
      </c>
      <c r="B289" s="4" t="s">
        <v>1169</v>
      </c>
      <c r="C289" s="13" t="b">
        <f aca="false">FALSE()</f>
        <v>0</v>
      </c>
      <c r="D289" s="13" t="b">
        <f aca="false">FALSE()</f>
        <v>0</v>
      </c>
      <c r="E289" s="13" t="b">
        <f aca="false">FALSE()</f>
        <v>0</v>
      </c>
      <c r="F289" s="0" t="str">
        <f aca="false">IF(B289="none","",(B289="approve")=E289)</f>
        <v/>
      </c>
    </row>
    <row r="290" customFormat="false" ht="15" hidden="false" customHeight="false" outlineLevel="0" collapsed="false">
      <c r="A290" s="4" t="s">
        <v>1452</v>
      </c>
      <c r="B290" s="4" t="s">
        <v>1164</v>
      </c>
      <c r="C290" s="13" t="b">
        <f aca="false">FALSE()</f>
        <v>0</v>
      </c>
      <c r="D290" s="13" t="b">
        <f aca="false">TRUE()</f>
        <v>1</v>
      </c>
      <c r="E290" s="13" t="b">
        <f aca="false">TRUE()</f>
        <v>1</v>
      </c>
      <c r="F290" s="6" t="b">
        <f aca="false">IF(B290="none","",(B290="approve")=E290)</f>
        <v>1</v>
      </c>
    </row>
    <row r="291" customFormat="false" ht="15" hidden="false" customHeight="false" outlineLevel="0" collapsed="false">
      <c r="A291" s="4" t="s">
        <v>1453</v>
      </c>
      <c r="B291" s="4" t="s">
        <v>1164</v>
      </c>
      <c r="C291" s="13" t="b">
        <f aca="false">FALSE()</f>
        <v>0</v>
      </c>
      <c r="D291" s="13" t="b">
        <f aca="false">FALSE()</f>
        <v>0</v>
      </c>
      <c r="E291" s="13" t="b">
        <f aca="false">TRUE()</f>
        <v>1</v>
      </c>
      <c r="F291" s="6" t="b">
        <f aca="false">IF(B291="none","",(B291="approve")=E291)</f>
        <v>1</v>
      </c>
    </row>
    <row r="292" customFormat="false" ht="15" hidden="false" customHeight="false" outlineLevel="0" collapsed="false">
      <c r="A292" s="4" t="s">
        <v>1454</v>
      </c>
      <c r="B292" s="4" t="s">
        <v>1169</v>
      </c>
      <c r="C292" s="13" t="b">
        <f aca="false">FALSE()</f>
        <v>0</v>
      </c>
      <c r="D292" s="13" t="b">
        <f aca="false">FALSE()</f>
        <v>0</v>
      </c>
      <c r="E292" s="13" t="b">
        <f aca="false">TRUE()</f>
        <v>1</v>
      </c>
      <c r="F292" s="0" t="str">
        <f aca="false">IF(B292="none","",(B292="approve")=E292)</f>
        <v/>
      </c>
    </row>
    <row r="293" customFormat="false" ht="15" hidden="false" customHeight="false" outlineLevel="0" collapsed="false">
      <c r="A293" s="4" t="s">
        <v>1455</v>
      </c>
      <c r="B293" s="4" t="s">
        <v>1164</v>
      </c>
      <c r="C293" s="13" t="b">
        <f aca="false">FALSE()</f>
        <v>0</v>
      </c>
      <c r="D293" s="13" t="b">
        <f aca="false">FALSE()</f>
        <v>0</v>
      </c>
      <c r="E293" s="13" t="b">
        <f aca="false">TRUE()</f>
        <v>1</v>
      </c>
      <c r="F293" s="6" t="b">
        <f aca="false">IF(B293="none","",(B293="approve")=E293)</f>
        <v>1</v>
      </c>
    </row>
    <row r="294" customFormat="false" ht="15" hidden="false" customHeight="false" outlineLevel="0" collapsed="false">
      <c r="A294" s="4" t="s">
        <v>1456</v>
      </c>
      <c r="B294" s="4" t="s">
        <v>1169</v>
      </c>
      <c r="C294" s="13" t="b">
        <f aca="false">FALSE()</f>
        <v>0</v>
      </c>
      <c r="D294" s="13" t="b">
        <f aca="false">TRUE()</f>
        <v>1</v>
      </c>
      <c r="E294" s="13" t="b">
        <f aca="false">TRUE()</f>
        <v>1</v>
      </c>
      <c r="F294" s="0" t="str">
        <f aca="false">IF(B294="none","",(B294="approve")=E294)</f>
        <v/>
      </c>
    </row>
    <row r="295" customFormat="false" ht="15" hidden="false" customHeight="false" outlineLevel="0" collapsed="false">
      <c r="A295" s="4" t="s">
        <v>1457</v>
      </c>
      <c r="B295" s="4" t="s">
        <v>1164</v>
      </c>
      <c r="C295" s="13" t="b">
        <f aca="false">FALSE()</f>
        <v>0</v>
      </c>
      <c r="D295" s="13" t="b">
        <f aca="false">TRUE()</f>
        <v>1</v>
      </c>
      <c r="E295" s="13" t="b">
        <f aca="false">TRUE()</f>
        <v>1</v>
      </c>
      <c r="F295" s="6" t="b">
        <f aca="false">IF(B295="none","",(B295="approve")=E295)</f>
        <v>1</v>
      </c>
    </row>
    <row r="296" customFormat="false" ht="15" hidden="false" customHeight="false" outlineLevel="0" collapsed="false">
      <c r="A296" s="4" t="s">
        <v>1458</v>
      </c>
      <c r="B296" s="4" t="s">
        <v>1169</v>
      </c>
      <c r="C296" s="13" t="b">
        <f aca="false">FALSE()</f>
        <v>0</v>
      </c>
      <c r="D296" s="13" t="b">
        <f aca="false">TRUE()</f>
        <v>1</v>
      </c>
      <c r="E296" s="13" t="b">
        <f aca="false">TRUE()</f>
        <v>1</v>
      </c>
      <c r="F296" s="0" t="str">
        <f aca="false">IF(B296="none","",(B296="approve")=E296)</f>
        <v/>
      </c>
    </row>
    <row r="297" customFormat="false" ht="15" hidden="false" customHeight="false" outlineLevel="0" collapsed="false">
      <c r="A297" s="4" t="s">
        <v>1459</v>
      </c>
      <c r="B297" s="4" t="s">
        <v>1169</v>
      </c>
      <c r="C297" s="13" t="b">
        <f aca="false">FALSE()</f>
        <v>0</v>
      </c>
      <c r="D297" s="13" t="b">
        <f aca="false">FALSE()</f>
        <v>0</v>
      </c>
      <c r="E297" s="13" t="b">
        <f aca="false">TRUE()</f>
        <v>1</v>
      </c>
      <c r="F297" s="0" t="str">
        <f aca="false">IF(B297="none","",(B297="approve")=E297)</f>
        <v/>
      </c>
    </row>
    <row r="298" customFormat="false" ht="15" hidden="false" customHeight="false" outlineLevel="0" collapsed="false">
      <c r="A298" s="4" t="s">
        <v>1460</v>
      </c>
      <c r="B298" s="4" t="s">
        <v>1178</v>
      </c>
      <c r="C298" s="13" t="b">
        <f aca="false">FALSE()</f>
        <v>0</v>
      </c>
      <c r="D298" s="13" t="b">
        <f aca="false">FALSE()</f>
        <v>0</v>
      </c>
      <c r="E298" s="13" t="b">
        <f aca="false">FALSE()</f>
        <v>0</v>
      </c>
      <c r="F298" s="6" t="b">
        <f aca="false">IF(B298="none","",(B298="approve")=E298)</f>
        <v>1</v>
      </c>
    </row>
    <row r="299" customFormat="false" ht="15" hidden="false" customHeight="false" outlineLevel="0" collapsed="false">
      <c r="A299" s="4" t="s">
        <v>1461</v>
      </c>
      <c r="B299" s="4" t="s">
        <v>1164</v>
      </c>
      <c r="C299" s="13" t="b">
        <f aca="false">FALSE()</f>
        <v>0</v>
      </c>
      <c r="D299" s="13" t="b">
        <f aca="false">FALSE()</f>
        <v>0</v>
      </c>
      <c r="E299" s="13" t="b">
        <f aca="false">TRUE()</f>
        <v>1</v>
      </c>
      <c r="F299" s="6" t="b">
        <f aca="false">IF(B299="none","",(B299="approve")=E299)</f>
        <v>1</v>
      </c>
    </row>
    <row r="300" customFormat="false" ht="15" hidden="false" customHeight="false" outlineLevel="0" collapsed="false">
      <c r="A300" s="4" t="s">
        <v>1462</v>
      </c>
      <c r="B300" s="4" t="s">
        <v>1164</v>
      </c>
      <c r="C300" s="13" t="b">
        <f aca="false">FALSE()</f>
        <v>0</v>
      </c>
      <c r="D300" s="13" t="b">
        <f aca="false">FALSE()</f>
        <v>0</v>
      </c>
      <c r="E300" s="13" t="b">
        <f aca="false">TRUE()</f>
        <v>1</v>
      </c>
      <c r="F300" s="6" t="b">
        <f aca="false">IF(B300="none","",(B300="approve")=E300)</f>
        <v>1</v>
      </c>
    </row>
    <row r="301" customFormat="false" ht="15" hidden="false" customHeight="false" outlineLevel="0" collapsed="false">
      <c r="A301" s="4" t="s">
        <v>1463</v>
      </c>
      <c r="B301" s="4" t="s">
        <v>1164</v>
      </c>
      <c r="C301" s="13" t="b">
        <f aca="false">FALSE()</f>
        <v>0</v>
      </c>
      <c r="D301" s="13" t="b">
        <f aca="false">TRUE()</f>
        <v>1</v>
      </c>
      <c r="E301" s="13" t="b">
        <f aca="false">TRUE()</f>
        <v>1</v>
      </c>
      <c r="F301" s="6" t="b">
        <f aca="false">IF(B301="none","",(B301="approve")=E301)</f>
        <v>1</v>
      </c>
    </row>
    <row r="302" customFormat="false" ht="15" hidden="false" customHeight="false" outlineLevel="0" collapsed="false">
      <c r="A302" s="4" t="s">
        <v>1464</v>
      </c>
      <c r="B302" s="4" t="s">
        <v>1169</v>
      </c>
      <c r="C302" s="13" t="b">
        <f aca="false">FALSE()</f>
        <v>0</v>
      </c>
      <c r="D302" s="13" t="b">
        <f aca="false">TRUE()</f>
        <v>1</v>
      </c>
      <c r="E302" s="13" t="b">
        <f aca="false">TRUE()</f>
        <v>1</v>
      </c>
      <c r="F302" s="0" t="str">
        <f aca="false">IF(B302="none","",(B302="approve")=E302)</f>
        <v/>
      </c>
    </row>
    <row r="303" customFormat="false" ht="15" hidden="false" customHeight="false" outlineLevel="0" collapsed="false">
      <c r="A303" s="4" t="s">
        <v>1465</v>
      </c>
      <c r="B303" s="4" t="s">
        <v>1164</v>
      </c>
      <c r="C303" s="13" t="b">
        <f aca="false">FALSE()</f>
        <v>0</v>
      </c>
      <c r="D303" s="13" t="b">
        <f aca="false">FALSE()</f>
        <v>0</v>
      </c>
      <c r="E303" s="13" t="b">
        <f aca="false">TRUE()</f>
        <v>1</v>
      </c>
      <c r="F303" s="6" t="b">
        <f aca="false">IF(B303="none","",(B303="approve")=E303)</f>
        <v>1</v>
      </c>
    </row>
    <row r="304" customFormat="false" ht="15" hidden="false" customHeight="false" outlineLevel="0" collapsed="false">
      <c r="A304" s="4" t="s">
        <v>1466</v>
      </c>
      <c r="B304" s="4" t="s">
        <v>1169</v>
      </c>
      <c r="C304" s="13" t="b">
        <f aca="false">FALSE()</f>
        <v>0</v>
      </c>
      <c r="D304" s="13" t="b">
        <f aca="false">TRUE()</f>
        <v>1</v>
      </c>
      <c r="E304" s="13" t="b">
        <f aca="false">TRUE()</f>
        <v>1</v>
      </c>
      <c r="F304" s="0" t="str">
        <f aca="false">IF(B304="none","",(B304="approve")=E304)</f>
        <v/>
      </c>
    </row>
    <row r="305" customFormat="false" ht="15" hidden="false" customHeight="false" outlineLevel="0" collapsed="false">
      <c r="A305" s="4" t="s">
        <v>1467</v>
      </c>
      <c r="B305" s="4" t="s">
        <v>1164</v>
      </c>
      <c r="C305" s="13" t="b">
        <f aca="false">FALSE()</f>
        <v>0</v>
      </c>
      <c r="D305" s="13" t="b">
        <f aca="false">FALSE()</f>
        <v>0</v>
      </c>
      <c r="E305" s="13" t="b">
        <f aca="false">TRUE()</f>
        <v>1</v>
      </c>
      <c r="F305" s="6" t="b">
        <f aca="false">IF(B305="none","",(B305="approve")=E305)</f>
        <v>1</v>
      </c>
    </row>
    <row r="306" customFormat="false" ht="15" hidden="false" customHeight="false" outlineLevel="0" collapsed="false">
      <c r="A306" s="4" t="s">
        <v>1468</v>
      </c>
      <c r="B306" s="4" t="s">
        <v>1164</v>
      </c>
      <c r="C306" s="13" t="b">
        <f aca="false">FALSE()</f>
        <v>0</v>
      </c>
      <c r="D306" s="13" t="b">
        <f aca="false">FALSE()</f>
        <v>0</v>
      </c>
      <c r="E306" s="13" t="b">
        <f aca="false">TRUE()</f>
        <v>1</v>
      </c>
      <c r="F306" s="6" t="b">
        <f aca="false">IF(B306="none","",(B306="approve")=E306)</f>
        <v>1</v>
      </c>
    </row>
    <row r="307" customFormat="false" ht="15" hidden="false" customHeight="false" outlineLevel="0" collapsed="false">
      <c r="A307" s="4" t="s">
        <v>1469</v>
      </c>
      <c r="B307" s="4" t="s">
        <v>1169</v>
      </c>
      <c r="C307" s="13" t="b">
        <f aca="false">FALSE()</f>
        <v>0</v>
      </c>
      <c r="D307" s="13" t="b">
        <f aca="false">FALSE()</f>
        <v>0</v>
      </c>
      <c r="E307" s="13" t="b">
        <f aca="false">TRUE()</f>
        <v>1</v>
      </c>
      <c r="F307" s="0" t="str">
        <f aca="false">IF(B307="none","",(B307="approve")=E307)</f>
        <v/>
      </c>
    </row>
    <row r="308" customFormat="false" ht="15" hidden="false" customHeight="false" outlineLevel="0" collapsed="false">
      <c r="A308" s="4" t="s">
        <v>1470</v>
      </c>
      <c r="B308" s="4" t="s">
        <v>1169</v>
      </c>
      <c r="C308" s="13" t="b">
        <f aca="false">FALSE()</f>
        <v>0</v>
      </c>
      <c r="D308" s="13" t="b">
        <f aca="false">FALSE()</f>
        <v>0</v>
      </c>
      <c r="E308" s="13" t="b">
        <f aca="false">TRUE()</f>
        <v>1</v>
      </c>
      <c r="F308" s="0" t="str">
        <f aca="false">IF(B308="none","",(B308="approve")=E308)</f>
        <v/>
      </c>
    </row>
    <row r="309" customFormat="false" ht="15" hidden="false" customHeight="false" outlineLevel="0" collapsed="false">
      <c r="A309" s="4" t="s">
        <v>1471</v>
      </c>
      <c r="B309" s="4" t="s">
        <v>1164</v>
      </c>
      <c r="C309" s="13" t="b">
        <f aca="false">FALSE()</f>
        <v>0</v>
      </c>
      <c r="D309" s="13" t="b">
        <f aca="false">FALSE()</f>
        <v>0</v>
      </c>
      <c r="E309" s="13" t="b">
        <f aca="false">TRUE()</f>
        <v>1</v>
      </c>
      <c r="F309" s="6" t="b">
        <f aca="false">IF(B309="none","",(B309="approve")=E309)</f>
        <v>1</v>
      </c>
    </row>
    <row r="310" customFormat="false" ht="15" hidden="false" customHeight="false" outlineLevel="0" collapsed="false">
      <c r="A310" s="4" t="s">
        <v>1472</v>
      </c>
      <c r="B310" s="4" t="s">
        <v>1164</v>
      </c>
      <c r="C310" s="13" t="b">
        <f aca="false">FALSE()</f>
        <v>0</v>
      </c>
      <c r="D310" s="13" t="b">
        <f aca="false">FALSE()</f>
        <v>0</v>
      </c>
      <c r="E310" s="13" t="b">
        <f aca="false">TRUE()</f>
        <v>1</v>
      </c>
      <c r="F310" s="6" t="b">
        <f aca="false">IF(B310="none","",(B310="approve")=E310)</f>
        <v>1</v>
      </c>
    </row>
    <row r="311" customFormat="false" ht="15" hidden="false" customHeight="false" outlineLevel="0" collapsed="false">
      <c r="A311" s="4" t="s">
        <v>1473</v>
      </c>
      <c r="B311" s="4" t="s">
        <v>1169</v>
      </c>
      <c r="C311" s="13" t="b">
        <f aca="false">FALSE()</f>
        <v>0</v>
      </c>
      <c r="D311" s="13" t="b">
        <f aca="false">TRUE()</f>
        <v>1</v>
      </c>
      <c r="E311" s="13" t="b">
        <f aca="false">TRUE()</f>
        <v>1</v>
      </c>
      <c r="F311" s="0" t="str">
        <f aca="false">IF(B311="none","",(B311="approve")=E311)</f>
        <v/>
      </c>
    </row>
    <row r="312" customFormat="false" ht="15" hidden="false" customHeight="false" outlineLevel="0" collapsed="false">
      <c r="A312" s="4" t="s">
        <v>1474</v>
      </c>
      <c r="B312" s="4" t="s">
        <v>1169</v>
      </c>
      <c r="C312" s="13" t="b">
        <f aca="false">FALSE()</f>
        <v>0</v>
      </c>
      <c r="D312" s="13" t="b">
        <f aca="false">FALSE()</f>
        <v>0</v>
      </c>
      <c r="E312" s="13" t="b">
        <f aca="false">TRUE()</f>
        <v>1</v>
      </c>
      <c r="F312" s="0" t="str">
        <f aca="false">IF(B312="none","",(B312="approve")=E312)</f>
        <v/>
      </c>
    </row>
    <row r="313" customFormat="false" ht="15" hidden="false" customHeight="false" outlineLevel="0" collapsed="false">
      <c r="A313" s="4" t="s">
        <v>1475</v>
      </c>
      <c r="B313" s="4" t="s">
        <v>1178</v>
      </c>
      <c r="C313" s="13" t="b">
        <f aca="false">FALSE()</f>
        <v>0</v>
      </c>
      <c r="D313" s="13" t="b">
        <f aca="false">FALSE()</f>
        <v>0</v>
      </c>
      <c r="E313" s="13" t="b">
        <f aca="false">TRUE()</f>
        <v>1</v>
      </c>
      <c r="F313" s="6" t="b">
        <f aca="false">IF(B313="none","",(B313="approve")=E313)</f>
        <v>0</v>
      </c>
    </row>
    <row r="314" customFormat="false" ht="15" hidden="false" customHeight="false" outlineLevel="0" collapsed="false">
      <c r="A314" s="4" t="s">
        <v>1476</v>
      </c>
      <c r="B314" s="4" t="s">
        <v>1164</v>
      </c>
      <c r="C314" s="13" t="b">
        <f aca="false">FALSE()</f>
        <v>0</v>
      </c>
      <c r="D314" s="13" t="b">
        <f aca="false">TRUE()</f>
        <v>1</v>
      </c>
      <c r="E314" s="13" t="b">
        <f aca="false">TRUE()</f>
        <v>1</v>
      </c>
      <c r="F314" s="6" t="b">
        <f aca="false">IF(B314="none","",(B314="approve")=E314)</f>
        <v>1</v>
      </c>
    </row>
    <row r="315" customFormat="false" ht="15" hidden="false" customHeight="false" outlineLevel="0" collapsed="false">
      <c r="A315" s="4" t="s">
        <v>1477</v>
      </c>
      <c r="B315" s="4" t="s">
        <v>1169</v>
      </c>
      <c r="C315" s="13" t="b">
        <f aca="false">FALSE()</f>
        <v>0</v>
      </c>
      <c r="D315" s="13" t="b">
        <f aca="false">TRUE()</f>
        <v>1</v>
      </c>
      <c r="E315" s="13" t="b">
        <f aca="false">TRUE()</f>
        <v>1</v>
      </c>
      <c r="F315" s="0" t="str">
        <f aca="false">IF(B315="none","",(B315="approve")=E315)</f>
        <v/>
      </c>
    </row>
    <row r="316" customFormat="false" ht="15" hidden="false" customHeight="false" outlineLevel="0" collapsed="false">
      <c r="A316" s="4" t="s">
        <v>1478</v>
      </c>
      <c r="B316" s="4" t="s">
        <v>1169</v>
      </c>
      <c r="C316" s="13" t="b">
        <f aca="false">FALSE()</f>
        <v>0</v>
      </c>
      <c r="D316" s="13" t="b">
        <f aca="false">FALSE()</f>
        <v>0</v>
      </c>
      <c r="E316" s="13" t="b">
        <f aca="false">TRUE()</f>
        <v>1</v>
      </c>
      <c r="F316" s="0" t="str">
        <f aca="false">IF(B316="none","",(B316="approve")=E316)</f>
        <v/>
      </c>
    </row>
    <row r="317" customFormat="false" ht="15" hidden="false" customHeight="false" outlineLevel="0" collapsed="false">
      <c r="A317" s="4" t="s">
        <v>1479</v>
      </c>
      <c r="B317" s="4" t="s">
        <v>1169</v>
      </c>
      <c r="C317" s="13" t="b">
        <f aca="false">FALSE()</f>
        <v>0</v>
      </c>
      <c r="D317" s="13" t="b">
        <f aca="false">FALSE()</f>
        <v>0</v>
      </c>
      <c r="E317" s="13" t="b">
        <f aca="false">FALSE()</f>
        <v>0</v>
      </c>
      <c r="F317" s="0" t="str">
        <f aca="false">IF(B317="none","",(B317="approve")=E317)</f>
        <v/>
      </c>
    </row>
    <row r="318" customFormat="false" ht="15" hidden="false" customHeight="false" outlineLevel="0" collapsed="false">
      <c r="A318" s="4" t="s">
        <v>1480</v>
      </c>
      <c r="B318" s="4" t="s">
        <v>1169</v>
      </c>
      <c r="C318" s="13" t="b">
        <f aca="false">FALSE()</f>
        <v>0</v>
      </c>
      <c r="D318" s="13" t="b">
        <f aca="false">FALSE()</f>
        <v>0</v>
      </c>
      <c r="E318" s="13" t="b">
        <f aca="false">TRUE()</f>
        <v>1</v>
      </c>
      <c r="F318" s="0" t="str">
        <f aca="false">IF(B318="none","",(B318="approve")=E318)</f>
        <v/>
      </c>
    </row>
    <row r="319" customFormat="false" ht="15" hidden="false" customHeight="false" outlineLevel="0" collapsed="false">
      <c r="A319" s="4" t="s">
        <v>1481</v>
      </c>
      <c r="B319" s="4" t="s">
        <v>1178</v>
      </c>
      <c r="C319" s="13" t="b">
        <f aca="false">FALSE()</f>
        <v>0</v>
      </c>
      <c r="D319" s="13" t="b">
        <f aca="false">FALSE()</f>
        <v>0</v>
      </c>
      <c r="E319" s="13" t="b">
        <f aca="false">FALSE()</f>
        <v>0</v>
      </c>
      <c r="F319" s="6" t="b">
        <f aca="false">IF(B319="none","",(B319="approve")=E319)</f>
        <v>1</v>
      </c>
    </row>
    <row r="320" customFormat="false" ht="15" hidden="false" customHeight="false" outlineLevel="0" collapsed="false">
      <c r="A320" s="4" t="s">
        <v>1482</v>
      </c>
      <c r="B320" s="4" t="s">
        <v>1169</v>
      </c>
      <c r="C320" s="13" t="b">
        <f aca="false">FALSE()</f>
        <v>0</v>
      </c>
      <c r="D320" s="13" t="b">
        <f aca="false">TRUE()</f>
        <v>1</v>
      </c>
      <c r="E320" s="13" t="b">
        <f aca="false">TRUE()</f>
        <v>1</v>
      </c>
      <c r="F320" s="0" t="str">
        <f aca="false">IF(B320="none","",(B320="approve")=E320)</f>
        <v/>
      </c>
    </row>
    <row r="321" customFormat="false" ht="15" hidden="false" customHeight="false" outlineLevel="0" collapsed="false">
      <c r="A321" s="4" t="s">
        <v>1483</v>
      </c>
      <c r="B321" s="4" t="s">
        <v>1169</v>
      </c>
      <c r="C321" s="13" t="b">
        <f aca="false">FALSE()</f>
        <v>0</v>
      </c>
      <c r="D321" s="13" t="b">
        <f aca="false">TRUE()</f>
        <v>1</v>
      </c>
      <c r="E321" s="13" t="b">
        <f aca="false">FALSE()</f>
        <v>0</v>
      </c>
      <c r="F321" s="0" t="str">
        <f aca="false">IF(B321="none","",(B321="approve")=E321)</f>
        <v/>
      </c>
    </row>
    <row r="322" customFormat="false" ht="15" hidden="false" customHeight="false" outlineLevel="0" collapsed="false">
      <c r="A322" s="4" t="s">
        <v>1484</v>
      </c>
      <c r="B322" s="4" t="s">
        <v>1164</v>
      </c>
      <c r="C322" s="13" t="b">
        <f aca="false">FALSE()</f>
        <v>0</v>
      </c>
      <c r="D322" s="13" t="b">
        <f aca="false">TRUE()</f>
        <v>1</v>
      </c>
      <c r="E322" s="13" t="b">
        <f aca="false">TRUE()</f>
        <v>1</v>
      </c>
      <c r="F322" s="6" t="b">
        <f aca="false">IF(B322="none","",(B322="approve")=E322)</f>
        <v>1</v>
      </c>
    </row>
    <row r="323" customFormat="false" ht="15" hidden="false" customHeight="false" outlineLevel="0" collapsed="false">
      <c r="A323" s="4" t="s">
        <v>1485</v>
      </c>
      <c r="B323" s="4" t="s">
        <v>1169</v>
      </c>
      <c r="C323" s="13" t="b">
        <f aca="false">FALSE()</f>
        <v>0</v>
      </c>
      <c r="D323" s="13" t="b">
        <f aca="false">TRUE()</f>
        <v>1</v>
      </c>
      <c r="E323" s="13" t="b">
        <f aca="false">TRUE()</f>
        <v>1</v>
      </c>
      <c r="F323" s="0" t="str">
        <f aca="false">IF(B323="none","",(B323="approve")=E323)</f>
        <v/>
      </c>
    </row>
    <row r="324" customFormat="false" ht="15" hidden="false" customHeight="false" outlineLevel="0" collapsed="false">
      <c r="A324" s="4" t="s">
        <v>1486</v>
      </c>
      <c r="B324" s="4" t="s">
        <v>1169</v>
      </c>
      <c r="C324" s="13" t="b">
        <f aca="false">FALSE()</f>
        <v>0</v>
      </c>
      <c r="D324" s="13" t="b">
        <f aca="false">TRUE()</f>
        <v>1</v>
      </c>
      <c r="E324" s="13" t="b">
        <f aca="false">TRUE()</f>
        <v>1</v>
      </c>
      <c r="F324" s="0" t="str">
        <f aca="false">IF(B324="none","",(B324="approve")=E324)</f>
        <v/>
      </c>
    </row>
    <row r="325" customFormat="false" ht="15" hidden="false" customHeight="false" outlineLevel="0" collapsed="false">
      <c r="A325" s="4" t="s">
        <v>1487</v>
      </c>
      <c r="B325" s="4" t="s">
        <v>1178</v>
      </c>
      <c r="C325" s="13" t="b">
        <f aca="false">FALSE()</f>
        <v>0</v>
      </c>
      <c r="D325" s="13" t="b">
        <f aca="false">FALSE()</f>
        <v>0</v>
      </c>
      <c r="E325" s="13" t="b">
        <f aca="false">FALSE()</f>
        <v>0</v>
      </c>
      <c r="F325" s="6" t="b">
        <f aca="false">IF(B325="none","",(B325="approve")=E325)</f>
        <v>1</v>
      </c>
    </row>
    <row r="326" customFormat="false" ht="15" hidden="false" customHeight="false" outlineLevel="0" collapsed="false">
      <c r="A326" s="4" t="s">
        <v>1488</v>
      </c>
      <c r="B326" s="4" t="s">
        <v>1164</v>
      </c>
      <c r="C326" s="13" t="b">
        <f aca="false">FALSE()</f>
        <v>0</v>
      </c>
      <c r="D326" s="13" t="b">
        <f aca="false">TRUE()</f>
        <v>1</v>
      </c>
      <c r="E326" s="13" t="b">
        <f aca="false">TRUE()</f>
        <v>1</v>
      </c>
      <c r="F326" s="6" t="b">
        <f aca="false">IF(B326="none","",(B326="approve")=E326)</f>
        <v>1</v>
      </c>
    </row>
    <row r="327" customFormat="false" ht="15" hidden="false" customHeight="false" outlineLevel="0" collapsed="false">
      <c r="A327" s="4" t="s">
        <v>1489</v>
      </c>
      <c r="B327" s="4" t="s">
        <v>1169</v>
      </c>
      <c r="C327" s="13" t="b">
        <f aca="false">FALSE()</f>
        <v>0</v>
      </c>
      <c r="D327" s="13" t="b">
        <f aca="false">FALSE()</f>
        <v>0</v>
      </c>
      <c r="E327" s="13" t="b">
        <f aca="false">TRUE()</f>
        <v>1</v>
      </c>
      <c r="F327" s="0" t="str">
        <f aca="false">IF(B327="none","",(B327="approve")=E327)</f>
        <v/>
      </c>
    </row>
    <row r="328" customFormat="false" ht="15" hidden="false" customHeight="false" outlineLevel="0" collapsed="false">
      <c r="A328" s="4" t="s">
        <v>1490</v>
      </c>
      <c r="B328" s="4" t="s">
        <v>1169</v>
      </c>
      <c r="C328" s="13" t="b">
        <f aca="false">FALSE()</f>
        <v>0</v>
      </c>
      <c r="D328" s="13" t="b">
        <f aca="false">TRUE()</f>
        <v>1</v>
      </c>
      <c r="E328" s="13" t="b">
        <f aca="false">TRUE()</f>
        <v>1</v>
      </c>
      <c r="F328" s="0" t="str">
        <f aca="false">IF(B328="none","",(B328="approve")=E328)</f>
        <v/>
      </c>
    </row>
    <row r="329" customFormat="false" ht="15" hidden="false" customHeight="false" outlineLevel="0" collapsed="false">
      <c r="A329" s="4" t="s">
        <v>1491</v>
      </c>
      <c r="B329" s="4" t="s">
        <v>1169</v>
      </c>
      <c r="C329" s="13" t="b">
        <f aca="false">FALSE()</f>
        <v>0</v>
      </c>
      <c r="D329" s="13" t="b">
        <f aca="false">TRUE()</f>
        <v>1</v>
      </c>
      <c r="E329" s="13" t="b">
        <f aca="false">TRUE()</f>
        <v>1</v>
      </c>
      <c r="F329" s="0" t="str">
        <f aca="false">IF(B329="none","",(B329="approve")=E329)</f>
        <v/>
      </c>
    </row>
    <row r="330" customFormat="false" ht="15" hidden="false" customHeight="false" outlineLevel="0" collapsed="false">
      <c r="A330" s="4" t="s">
        <v>1492</v>
      </c>
      <c r="B330" s="4" t="s">
        <v>1164</v>
      </c>
      <c r="C330" s="13" t="b">
        <f aca="false">FALSE()</f>
        <v>0</v>
      </c>
      <c r="D330" s="13" t="b">
        <f aca="false">TRUE()</f>
        <v>1</v>
      </c>
      <c r="E330" s="13" t="b">
        <f aca="false">TRUE()</f>
        <v>1</v>
      </c>
      <c r="F330" s="6" t="b">
        <f aca="false">IF(B330="none","",(B330="approve")=E330)</f>
        <v>1</v>
      </c>
    </row>
    <row r="331" customFormat="false" ht="15" hidden="false" customHeight="false" outlineLevel="0" collapsed="false">
      <c r="A331" s="4" t="s">
        <v>1493</v>
      </c>
      <c r="B331" s="4" t="s">
        <v>1164</v>
      </c>
      <c r="C331" s="13" t="b">
        <f aca="false">FALSE()</f>
        <v>0</v>
      </c>
      <c r="D331" s="13" t="b">
        <f aca="false">TRUE()</f>
        <v>1</v>
      </c>
      <c r="E331" s="13" t="b">
        <f aca="false">TRUE()</f>
        <v>1</v>
      </c>
      <c r="F331" s="6" t="b">
        <f aca="false">IF(B331="none","",(B331="approve")=E331)</f>
        <v>1</v>
      </c>
    </row>
    <row r="332" customFormat="false" ht="15" hidden="false" customHeight="false" outlineLevel="0" collapsed="false">
      <c r="A332" s="4" t="s">
        <v>1494</v>
      </c>
      <c r="B332" s="4" t="s">
        <v>1164</v>
      </c>
      <c r="C332" s="13" t="b">
        <f aca="false">FALSE()</f>
        <v>0</v>
      </c>
      <c r="D332" s="13" t="b">
        <f aca="false">TRUE()</f>
        <v>1</v>
      </c>
      <c r="E332" s="13" t="b">
        <f aca="false">TRUE()</f>
        <v>1</v>
      </c>
      <c r="F332" s="6" t="b">
        <f aca="false">IF(B332="none","",(B332="approve")=E332)</f>
        <v>1</v>
      </c>
    </row>
    <row r="333" customFormat="false" ht="15" hidden="false" customHeight="false" outlineLevel="0" collapsed="false">
      <c r="A333" s="4" t="s">
        <v>1495</v>
      </c>
      <c r="B333" s="4" t="s">
        <v>1169</v>
      </c>
      <c r="C333" s="13" t="b">
        <f aca="false">FALSE()</f>
        <v>0</v>
      </c>
      <c r="D333" s="13" t="b">
        <f aca="false">TRUE()</f>
        <v>1</v>
      </c>
      <c r="E333" s="13" t="b">
        <f aca="false">TRUE()</f>
        <v>1</v>
      </c>
      <c r="F333" s="0" t="str">
        <f aca="false">IF(B333="none","",(B333="approve")=E333)</f>
        <v/>
      </c>
    </row>
    <row r="334" customFormat="false" ht="15" hidden="false" customHeight="false" outlineLevel="0" collapsed="false">
      <c r="A334" s="4" t="s">
        <v>1496</v>
      </c>
      <c r="B334" s="4" t="s">
        <v>1164</v>
      </c>
      <c r="C334" s="13" t="b">
        <f aca="false">TRUE()</f>
        <v>1</v>
      </c>
      <c r="D334" s="13" t="b">
        <f aca="false">FALSE()</f>
        <v>0</v>
      </c>
      <c r="E334" s="13" t="b">
        <f aca="false">TRUE()</f>
        <v>1</v>
      </c>
      <c r="F334" s="6" t="b">
        <f aca="false">IF(B334="none","",(B334="approve")=E334)</f>
        <v>1</v>
      </c>
    </row>
    <row r="335" customFormat="false" ht="15" hidden="false" customHeight="false" outlineLevel="0" collapsed="false">
      <c r="A335" s="4" t="s">
        <v>1497</v>
      </c>
      <c r="B335" s="4" t="s">
        <v>1169</v>
      </c>
      <c r="C335" s="13" t="b">
        <f aca="false">FALSE()</f>
        <v>0</v>
      </c>
      <c r="D335" s="13" t="b">
        <f aca="false">TRUE()</f>
        <v>1</v>
      </c>
      <c r="E335" s="13" t="b">
        <f aca="false">TRUE()</f>
        <v>1</v>
      </c>
      <c r="F335" s="0" t="str">
        <f aca="false">IF(B335="none","",(B335="approve")=E335)</f>
        <v/>
      </c>
    </row>
    <row r="336" customFormat="false" ht="15" hidden="false" customHeight="false" outlineLevel="0" collapsed="false">
      <c r="A336" s="4" t="s">
        <v>1498</v>
      </c>
      <c r="B336" s="4" t="s">
        <v>1164</v>
      </c>
      <c r="C336" s="13" t="b">
        <f aca="false">FALSE()</f>
        <v>0</v>
      </c>
      <c r="D336" s="13" t="b">
        <f aca="false">TRUE()</f>
        <v>1</v>
      </c>
      <c r="E336" s="13" t="b">
        <f aca="false">TRUE()</f>
        <v>1</v>
      </c>
      <c r="F336" s="6" t="b">
        <f aca="false">IF(B336="none","",(B336="approve")=E336)</f>
        <v>1</v>
      </c>
    </row>
    <row r="337" customFormat="false" ht="15" hidden="false" customHeight="false" outlineLevel="0" collapsed="false">
      <c r="A337" s="4" t="s">
        <v>1499</v>
      </c>
      <c r="B337" s="4" t="s">
        <v>1169</v>
      </c>
      <c r="C337" s="13" t="b">
        <f aca="false">FALSE()</f>
        <v>0</v>
      </c>
      <c r="D337" s="13" t="b">
        <f aca="false">TRUE()</f>
        <v>1</v>
      </c>
      <c r="E337" s="13" t="b">
        <f aca="false">TRUE()</f>
        <v>1</v>
      </c>
      <c r="F337" s="0" t="str">
        <f aca="false">IF(B337="none","",(B337="approve")=E337)</f>
        <v/>
      </c>
    </row>
    <row r="338" customFormat="false" ht="15" hidden="false" customHeight="false" outlineLevel="0" collapsed="false">
      <c r="A338" s="4" t="s">
        <v>1500</v>
      </c>
      <c r="B338" s="4" t="s">
        <v>1169</v>
      </c>
      <c r="C338" s="13" t="b">
        <f aca="false">FALSE()</f>
        <v>0</v>
      </c>
      <c r="D338" s="13" t="b">
        <f aca="false">TRUE()</f>
        <v>1</v>
      </c>
      <c r="E338" s="13" t="b">
        <f aca="false">TRUE()</f>
        <v>1</v>
      </c>
      <c r="F338" s="0" t="str">
        <f aca="false">IF(B338="none","",(B338="approve")=E338)</f>
        <v/>
      </c>
    </row>
    <row r="339" customFormat="false" ht="15" hidden="false" customHeight="false" outlineLevel="0" collapsed="false">
      <c r="A339" s="4" t="s">
        <v>1501</v>
      </c>
      <c r="B339" s="4" t="s">
        <v>1169</v>
      </c>
      <c r="C339" s="13" t="b">
        <f aca="false">FALSE()</f>
        <v>0</v>
      </c>
      <c r="D339" s="13" t="b">
        <f aca="false">TRUE()</f>
        <v>1</v>
      </c>
      <c r="E339" s="13" t="b">
        <f aca="false">TRUE()</f>
        <v>1</v>
      </c>
      <c r="F339" s="0" t="str">
        <f aca="false">IF(B339="none","",(B339="approve")=E339)</f>
        <v/>
      </c>
    </row>
    <row r="340" customFormat="false" ht="15" hidden="false" customHeight="false" outlineLevel="0" collapsed="false">
      <c r="A340" s="4" t="s">
        <v>1502</v>
      </c>
      <c r="B340" s="4" t="s">
        <v>1164</v>
      </c>
      <c r="C340" s="13" t="b">
        <f aca="false">FALSE()</f>
        <v>0</v>
      </c>
      <c r="D340" s="13" t="b">
        <f aca="false">TRUE()</f>
        <v>1</v>
      </c>
      <c r="E340" s="13" t="b">
        <f aca="false">TRUE()</f>
        <v>1</v>
      </c>
      <c r="F340" s="6" t="b">
        <f aca="false">IF(B340="none","",(B340="approve")=E340)</f>
        <v>1</v>
      </c>
    </row>
    <row r="341" customFormat="false" ht="15" hidden="false" customHeight="false" outlineLevel="0" collapsed="false">
      <c r="A341" s="4" t="s">
        <v>1503</v>
      </c>
      <c r="B341" s="4" t="s">
        <v>1169</v>
      </c>
      <c r="C341" s="13" t="b">
        <f aca="false">FALSE()</f>
        <v>0</v>
      </c>
      <c r="D341" s="13" t="b">
        <f aca="false">TRUE()</f>
        <v>1</v>
      </c>
      <c r="E341" s="13" t="b">
        <f aca="false">TRUE()</f>
        <v>1</v>
      </c>
      <c r="F341" s="0" t="str">
        <f aca="false">IF(B341="none","",(B341="approve")=E341)</f>
        <v/>
      </c>
    </row>
    <row r="342" customFormat="false" ht="15" hidden="false" customHeight="false" outlineLevel="0" collapsed="false">
      <c r="A342" s="4" t="s">
        <v>1504</v>
      </c>
      <c r="B342" s="4" t="s">
        <v>1169</v>
      </c>
      <c r="C342" s="13" t="b">
        <f aca="false">FALSE()</f>
        <v>0</v>
      </c>
      <c r="D342" s="13" t="b">
        <f aca="false">FALSE()</f>
        <v>0</v>
      </c>
      <c r="E342" s="13" t="b">
        <f aca="false">TRUE()</f>
        <v>1</v>
      </c>
      <c r="F342" s="0" t="str">
        <f aca="false">IF(B342="none","",(B342="approve")=E342)</f>
        <v/>
      </c>
    </row>
    <row r="343" customFormat="false" ht="15" hidden="false" customHeight="false" outlineLevel="0" collapsed="false">
      <c r="A343" s="4" t="s">
        <v>1505</v>
      </c>
      <c r="B343" s="4" t="s">
        <v>1164</v>
      </c>
      <c r="C343" s="13" t="b">
        <f aca="false">FALSE()</f>
        <v>0</v>
      </c>
      <c r="D343" s="13" t="b">
        <f aca="false">TRUE()</f>
        <v>1</v>
      </c>
      <c r="E343" s="13" t="b">
        <f aca="false">TRUE()</f>
        <v>1</v>
      </c>
      <c r="F343" s="6" t="b">
        <f aca="false">IF(B343="none","",(B343="approve")=E343)</f>
        <v>1</v>
      </c>
    </row>
    <row r="344" customFormat="false" ht="15" hidden="false" customHeight="false" outlineLevel="0" collapsed="false">
      <c r="A344" s="4" t="s">
        <v>1506</v>
      </c>
      <c r="B344" s="4" t="s">
        <v>1169</v>
      </c>
      <c r="C344" s="13" t="b">
        <f aca="false">FALSE()</f>
        <v>0</v>
      </c>
      <c r="D344" s="13" t="b">
        <f aca="false">FALSE()</f>
        <v>0</v>
      </c>
      <c r="E344" s="13" t="b">
        <f aca="false">TRUE()</f>
        <v>1</v>
      </c>
      <c r="F344" s="0" t="str">
        <f aca="false">IF(B344="none","",(B344="approve")=E344)</f>
        <v/>
      </c>
    </row>
    <row r="345" customFormat="false" ht="15" hidden="false" customHeight="false" outlineLevel="0" collapsed="false">
      <c r="A345" s="4" t="s">
        <v>1507</v>
      </c>
      <c r="B345" s="4" t="s">
        <v>1164</v>
      </c>
      <c r="C345" s="13" t="b">
        <f aca="false">FALSE()</f>
        <v>0</v>
      </c>
      <c r="D345" s="13" t="b">
        <f aca="false">FALSE()</f>
        <v>0</v>
      </c>
      <c r="E345" s="13" t="b">
        <f aca="false">TRUE()</f>
        <v>1</v>
      </c>
      <c r="F345" s="6" t="b">
        <f aca="false">IF(B345="none","",(B345="approve")=E345)</f>
        <v>1</v>
      </c>
    </row>
    <row r="346" customFormat="false" ht="15" hidden="false" customHeight="false" outlineLevel="0" collapsed="false">
      <c r="A346" s="4" t="s">
        <v>1508</v>
      </c>
      <c r="B346" s="4" t="s">
        <v>1169</v>
      </c>
      <c r="C346" s="13" t="b">
        <f aca="false">FALSE()</f>
        <v>0</v>
      </c>
      <c r="D346" s="13" t="b">
        <f aca="false">TRUE()</f>
        <v>1</v>
      </c>
      <c r="E346" s="13" t="b">
        <f aca="false">TRUE()</f>
        <v>1</v>
      </c>
      <c r="F346" s="0" t="str">
        <f aca="false">IF(B346="none","",(B346="approve")=E346)</f>
        <v/>
      </c>
    </row>
    <row r="347" customFormat="false" ht="15" hidden="false" customHeight="false" outlineLevel="0" collapsed="false">
      <c r="A347" s="4" t="s">
        <v>1509</v>
      </c>
      <c r="B347" s="4" t="s">
        <v>1169</v>
      </c>
      <c r="C347" s="13" t="b">
        <f aca="false">FALSE()</f>
        <v>0</v>
      </c>
      <c r="D347" s="13" t="b">
        <f aca="false">FALSE()</f>
        <v>0</v>
      </c>
      <c r="E347" s="13" t="b">
        <f aca="false">TRUE()</f>
        <v>1</v>
      </c>
      <c r="F347" s="0" t="str">
        <f aca="false">IF(B347="none","",(B347="approve")=E347)</f>
        <v/>
      </c>
    </row>
    <row r="348" customFormat="false" ht="15" hidden="false" customHeight="false" outlineLevel="0" collapsed="false">
      <c r="A348" s="4" t="s">
        <v>1510</v>
      </c>
      <c r="B348" s="4" t="s">
        <v>1169</v>
      </c>
      <c r="C348" s="13" t="b">
        <f aca="false">FALSE()</f>
        <v>0</v>
      </c>
      <c r="D348" s="13" t="b">
        <f aca="false">TRUE()</f>
        <v>1</v>
      </c>
      <c r="E348" s="13" t="b">
        <f aca="false">TRUE()</f>
        <v>1</v>
      </c>
      <c r="F348" s="0" t="str">
        <f aca="false">IF(B348="none","",(B348="approve")=E348)</f>
        <v/>
      </c>
    </row>
    <row r="349" customFormat="false" ht="15" hidden="false" customHeight="false" outlineLevel="0" collapsed="false">
      <c r="A349" s="4" t="s">
        <v>1511</v>
      </c>
      <c r="B349" s="4" t="s">
        <v>1169</v>
      </c>
      <c r="C349" s="13" t="b">
        <f aca="false">FALSE()</f>
        <v>0</v>
      </c>
      <c r="D349" s="13" t="b">
        <f aca="false">TRUE()</f>
        <v>1</v>
      </c>
      <c r="E349" s="13" t="b">
        <f aca="false">TRUE()</f>
        <v>1</v>
      </c>
      <c r="F349" s="0" t="str">
        <f aca="false">IF(B349="none","",(B349="approve")=E349)</f>
        <v/>
      </c>
    </row>
    <row r="350" customFormat="false" ht="15" hidden="false" customHeight="false" outlineLevel="0" collapsed="false">
      <c r="A350" s="4" t="s">
        <v>1512</v>
      </c>
      <c r="B350" s="4" t="s">
        <v>1169</v>
      </c>
      <c r="C350" s="13" t="b">
        <f aca="false">FALSE()</f>
        <v>0</v>
      </c>
      <c r="D350" s="13" t="b">
        <f aca="false">FALSE()</f>
        <v>0</v>
      </c>
      <c r="E350" s="13" t="b">
        <f aca="false">TRUE()</f>
        <v>1</v>
      </c>
      <c r="F350" s="0" t="str">
        <f aca="false">IF(B350="none","",(B350="approve")=E350)</f>
        <v/>
      </c>
    </row>
    <row r="351" customFormat="false" ht="15" hidden="false" customHeight="false" outlineLevel="0" collapsed="false">
      <c r="A351" s="4" t="s">
        <v>1513</v>
      </c>
      <c r="B351" s="4" t="s">
        <v>1169</v>
      </c>
      <c r="C351" s="13" t="b">
        <f aca="false">FALSE()</f>
        <v>0</v>
      </c>
      <c r="D351" s="13" t="b">
        <f aca="false">FALSE()</f>
        <v>0</v>
      </c>
      <c r="E351" s="13" t="b">
        <f aca="false">TRUE()</f>
        <v>1</v>
      </c>
      <c r="F351" s="0" t="str">
        <f aca="false">IF(B351="none","",(B351="approve")=E351)</f>
        <v/>
      </c>
    </row>
    <row r="352" customFormat="false" ht="15" hidden="false" customHeight="false" outlineLevel="0" collapsed="false">
      <c r="A352" s="4" t="s">
        <v>1514</v>
      </c>
      <c r="B352" s="4" t="s">
        <v>1169</v>
      </c>
      <c r="C352" s="13" t="b">
        <f aca="false">FALSE()</f>
        <v>0</v>
      </c>
      <c r="D352" s="13" t="b">
        <f aca="false">TRUE()</f>
        <v>1</v>
      </c>
      <c r="E352" s="13" t="b">
        <f aca="false">TRUE()</f>
        <v>1</v>
      </c>
      <c r="F352" s="0" t="str">
        <f aca="false">IF(B352="none","",(B352="approve")=E352)</f>
        <v/>
      </c>
    </row>
    <row r="353" customFormat="false" ht="15" hidden="false" customHeight="false" outlineLevel="0" collapsed="false">
      <c r="A353" s="4" t="s">
        <v>1515</v>
      </c>
      <c r="B353" s="4" t="s">
        <v>1169</v>
      </c>
      <c r="C353" s="13" t="b">
        <f aca="false">FALSE()</f>
        <v>0</v>
      </c>
      <c r="D353" s="13" t="b">
        <f aca="false">FALSE()</f>
        <v>0</v>
      </c>
      <c r="E353" s="13" t="b">
        <f aca="false">TRUE()</f>
        <v>1</v>
      </c>
      <c r="F353" s="0" t="str">
        <f aca="false">IF(B353="none","",(B353="approve")=E353)</f>
        <v/>
      </c>
    </row>
    <row r="354" customFormat="false" ht="15" hidden="false" customHeight="false" outlineLevel="0" collapsed="false">
      <c r="A354" s="4" t="s">
        <v>1516</v>
      </c>
      <c r="B354" s="4" t="s">
        <v>1169</v>
      </c>
      <c r="C354" s="13" t="b">
        <f aca="false">FALSE()</f>
        <v>0</v>
      </c>
      <c r="D354" s="13" t="b">
        <f aca="false">TRUE()</f>
        <v>1</v>
      </c>
      <c r="E354" s="13" t="b">
        <f aca="false">TRUE()</f>
        <v>1</v>
      </c>
      <c r="F354" s="0" t="str">
        <f aca="false">IF(B354="none","",(B354="approve")=E354)</f>
        <v/>
      </c>
    </row>
    <row r="355" customFormat="false" ht="15" hidden="false" customHeight="false" outlineLevel="0" collapsed="false">
      <c r="A355" s="4" t="s">
        <v>1517</v>
      </c>
      <c r="B355" s="4" t="s">
        <v>1164</v>
      </c>
      <c r="C355" s="13" t="b">
        <f aca="false">FALSE()</f>
        <v>0</v>
      </c>
      <c r="D355" s="13" t="b">
        <f aca="false">FALSE()</f>
        <v>0</v>
      </c>
      <c r="E355" s="13" t="b">
        <f aca="false">TRUE()</f>
        <v>1</v>
      </c>
      <c r="F355" s="6" t="b">
        <f aca="false">IF(B355="none","",(B355="approve")=E355)</f>
        <v>1</v>
      </c>
    </row>
    <row r="356" customFormat="false" ht="15" hidden="false" customHeight="false" outlineLevel="0" collapsed="false">
      <c r="A356" s="4" t="s">
        <v>1518</v>
      </c>
      <c r="B356" s="4" t="s">
        <v>1169</v>
      </c>
      <c r="C356" s="13" t="b">
        <f aca="false">FALSE()</f>
        <v>0</v>
      </c>
      <c r="D356" s="13" t="b">
        <f aca="false">FALSE()</f>
        <v>0</v>
      </c>
      <c r="E356" s="13" t="b">
        <f aca="false">TRUE()</f>
        <v>1</v>
      </c>
      <c r="F356" s="0" t="str">
        <f aca="false">IF(B356="none","",(B356="approve")=E356)</f>
        <v/>
      </c>
    </row>
    <row r="357" customFormat="false" ht="15" hidden="false" customHeight="false" outlineLevel="0" collapsed="false">
      <c r="A357" s="4" t="s">
        <v>1519</v>
      </c>
      <c r="B357" s="4" t="s">
        <v>1164</v>
      </c>
      <c r="C357" s="13" t="b">
        <f aca="false">FALSE()</f>
        <v>0</v>
      </c>
      <c r="D357" s="13" t="b">
        <f aca="false">TRUE()</f>
        <v>1</v>
      </c>
      <c r="E357" s="13" t="b">
        <f aca="false">TRUE()</f>
        <v>1</v>
      </c>
      <c r="F357" s="6" t="b">
        <f aca="false">IF(B357="none","",(B357="approve")=E357)</f>
        <v>1</v>
      </c>
    </row>
    <row r="358" customFormat="false" ht="15" hidden="false" customHeight="false" outlineLevel="0" collapsed="false">
      <c r="A358" s="4" t="s">
        <v>1520</v>
      </c>
      <c r="B358" s="4" t="s">
        <v>1164</v>
      </c>
      <c r="C358" s="13" t="b">
        <f aca="false">FALSE()</f>
        <v>0</v>
      </c>
      <c r="D358" s="13" t="b">
        <f aca="false">FALSE()</f>
        <v>0</v>
      </c>
      <c r="E358" s="13" t="b">
        <f aca="false">TRUE()</f>
        <v>1</v>
      </c>
      <c r="F358" s="6" t="b">
        <f aca="false">IF(B358="none","",(B358="approve")=E358)</f>
        <v>1</v>
      </c>
    </row>
    <row r="359" customFormat="false" ht="15" hidden="false" customHeight="false" outlineLevel="0" collapsed="false">
      <c r="A359" s="4" t="s">
        <v>1521</v>
      </c>
      <c r="B359" s="4" t="s">
        <v>1169</v>
      </c>
      <c r="C359" s="13" t="b">
        <f aca="false">FALSE()</f>
        <v>0</v>
      </c>
      <c r="D359" s="13" t="b">
        <f aca="false">TRUE()</f>
        <v>1</v>
      </c>
      <c r="E359" s="13" t="b">
        <f aca="false">TRUE()</f>
        <v>1</v>
      </c>
      <c r="F359" s="0" t="str">
        <f aca="false">IF(B359="none","",(B359="approve")=E359)</f>
        <v/>
      </c>
    </row>
    <row r="360" customFormat="false" ht="15" hidden="false" customHeight="false" outlineLevel="0" collapsed="false">
      <c r="A360" s="4" t="s">
        <v>1522</v>
      </c>
      <c r="B360" s="4" t="s">
        <v>1164</v>
      </c>
      <c r="C360" s="13" t="b">
        <f aca="false">FALSE()</f>
        <v>0</v>
      </c>
      <c r="D360" s="13" t="b">
        <f aca="false">FALSE()</f>
        <v>0</v>
      </c>
      <c r="E360" s="13" t="b">
        <f aca="false">TRUE()</f>
        <v>1</v>
      </c>
      <c r="F360" s="6" t="b">
        <f aca="false">IF(B360="none","",(B360="approve")=E360)</f>
        <v>1</v>
      </c>
    </row>
    <row r="361" customFormat="false" ht="15" hidden="false" customHeight="false" outlineLevel="0" collapsed="false">
      <c r="A361" s="4" t="s">
        <v>1523</v>
      </c>
      <c r="B361" s="4" t="s">
        <v>1169</v>
      </c>
      <c r="C361" s="13" t="b">
        <f aca="false">FALSE()</f>
        <v>0</v>
      </c>
      <c r="D361" s="13" t="b">
        <f aca="false">FALSE()</f>
        <v>0</v>
      </c>
      <c r="E361" s="13" t="b">
        <f aca="false">TRUE()</f>
        <v>1</v>
      </c>
      <c r="F361" s="0" t="str">
        <f aca="false">IF(B361="none","",(B361="approve")=E361)</f>
        <v/>
      </c>
    </row>
    <row r="362" customFormat="false" ht="15" hidden="false" customHeight="false" outlineLevel="0" collapsed="false">
      <c r="A362" s="4" t="s">
        <v>1524</v>
      </c>
      <c r="B362" s="4" t="s">
        <v>1169</v>
      </c>
      <c r="C362" s="13" t="b">
        <f aca="false">FALSE()</f>
        <v>0</v>
      </c>
      <c r="D362" s="13" t="b">
        <f aca="false">FALSE()</f>
        <v>0</v>
      </c>
      <c r="E362" s="13" t="b">
        <f aca="false">TRUE()</f>
        <v>1</v>
      </c>
      <c r="F362" s="0" t="str">
        <f aca="false">IF(B362="none","",(B362="approve")=E362)</f>
        <v/>
      </c>
    </row>
    <row r="363" customFormat="false" ht="15" hidden="false" customHeight="false" outlineLevel="0" collapsed="false">
      <c r="A363" s="4" t="s">
        <v>1525</v>
      </c>
      <c r="B363" s="4" t="s">
        <v>1169</v>
      </c>
      <c r="C363" s="13" t="b">
        <f aca="false">FALSE()</f>
        <v>0</v>
      </c>
      <c r="D363" s="13" t="b">
        <f aca="false">FALSE()</f>
        <v>0</v>
      </c>
      <c r="E363" s="13" t="b">
        <f aca="false">TRUE()</f>
        <v>1</v>
      </c>
      <c r="F363" s="0" t="str">
        <f aca="false">IF(B363="none","",(B363="approve")=E363)</f>
        <v/>
      </c>
    </row>
    <row r="364" customFormat="false" ht="15" hidden="false" customHeight="false" outlineLevel="0" collapsed="false">
      <c r="A364" s="4" t="s">
        <v>1526</v>
      </c>
      <c r="B364" s="4" t="s">
        <v>1169</v>
      </c>
      <c r="C364" s="13" t="b">
        <f aca="false">FALSE()</f>
        <v>0</v>
      </c>
      <c r="D364" s="13" t="b">
        <f aca="false">FALSE()</f>
        <v>0</v>
      </c>
      <c r="E364" s="13" t="b">
        <f aca="false">TRUE()</f>
        <v>1</v>
      </c>
      <c r="F364" s="0" t="str">
        <f aca="false">IF(B364="none","",(B364="approve")=E364)</f>
        <v/>
      </c>
    </row>
    <row r="365" customFormat="false" ht="15" hidden="false" customHeight="false" outlineLevel="0" collapsed="false">
      <c r="A365" s="4" t="s">
        <v>1527</v>
      </c>
      <c r="B365" s="4" t="s">
        <v>1169</v>
      </c>
      <c r="C365" s="13" t="b">
        <f aca="false">FALSE()</f>
        <v>0</v>
      </c>
      <c r="D365" s="13" t="b">
        <f aca="false">TRUE()</f>
        <v>1</v>
      </c>
      <c r="E365" s="13" t="b">
        <f aca="false">TRUE()</f>
        <v>1</v>
      </c>
      <c r="F365" s="0" t="str">
        <f aca="false">IF(B365="none","",(B365="approve")=E365)</f>
        <v/>
      </c>
    </row>
    <row r="366" customFormat="false" ht="15" hidden="false" customHeight="false" outlineLevel="0" collapsed="false">
      <c r="A366" s="4" t="s">
        <v>1528</v>
      </c>
      <c r="B366" s="4" t="s">
        <v>1169</v>
      </c>
      <c r="C366" s="13" t="b">
        <f aca="false">FALSE()</f>
        <v>0</v>
      </c>
      <c r="D366" s="13" t="b">
        <f aca="false">FALSE()</f>
        <v>0</v>
      </c>
      <c r="E366" s="13" t="b">
        <f aca="false">TRUE()</f>
        <v>1</v>
      </c>
      <c r="F366" s="0" t="str">
        <f aca="false">IF(B366="none","",(B366="approve")=E366)</f>
        <v/>
      </c>
    </row>
    <row r="367" customFormat="false" ht="15" hidden="false" customHeight="false" outlineLevel="0" collapsed="false">
      <c r="A367" s="4" t="s">
        <v>1529</v>
      </c>
      <c r="B367" s="4" t="s">
        <v>1164</v>
      </c>
      <c r="C367" s="13" t="b">
        <f aca="false">TRUE()</f>
        <v>1</v>
      </c>
      <c r="D367" s="13" t="b">
        <f aca="false">FALSE()</f>
        <v>0</v>
      </c>
      <c r="E367" s="13" t="b">
        <f aca="false">TRUE()</f>
        <v>1</v>
      </c>
      <c r="F367" s="6" t="b">
        <f aca="false">IF(B367="none","",(B367="approve")=E367)</f>
        <v>1</v>
      </c>
    </row>
    <row r="368" customFormat="false" ht="15" hidden="false" customHeight="false" outlineLevel="0" collapsed="false">
      <c r="A368" s="4" t="s">
        <v>1530</v>
      </c>
      <c r="B368" s="4" t="s">
        <v>1169</v>
      </c>
      <c r="C368" s="13" t="b">
        <f aca="false">FALSE()</f>
        <v>0</v>
      </c>
      <c r="D368" s="13" t="b">
        <f aca="false">FALSE()</f>
        <v>0</v>
      </c>
      <c r="E368" s="13" t="b">
        <f aca="false">TRUE()</f>
        <v>1</v>
      </c>
      <c r="F368" s="0" t="str">
        <f aca="false">IF(B368="none","",(B368="approve")=E368)</f>
        <v/>
      </c>
    </row>
    <row r="369" customFormat="false" ht="15" hidden="false" customHeight="false" outlineLevel="0" collapsed="false">
      <c r="A369" s="4" t="s">
        <v>1531</v>
      </c>
      <c r="B369" s="4" t="s">
        <v>1169</v>
      </c>
      <c r="C369" s="13" t="b">
        <f aca="false">FALSE()</f>
        <v>0</v>
      </c>
      <c r="D369" s="13" t="b">
        <f aca="false">TRUE()</f>
        <v>1</v>
      </c>
      <c r="E369" s="13" t="b">
        <f aca="false">TRUE()</f>
        <v>1</v>
      </c>
      <c r="F369" s="0" t="str">
        <f aca="false">IF(B369="none","",(B369="approve")=E369)</f>
        <v/>
      </c>
    </row>
    <row r="370" customFormat="false" ht="15" hidden="false" customHeight="false" outlineLevel="0" collapsed="false">
      <c r="A370" s="4" t="s">
        <v>1532</v>
      </c>
      <c r="B370" s="4" t="s">
        <v>1164</v>
      </c>
      <c r="C370" s="13" t="b">
        <f aca="false">FALSE()</f>
        <v>0</v>
      </c>
      <c r="D370" s="13" t="b">
        <f aca="false">FALSE()</f>
        <v>0</v>
      </c>
      <c r="E370" s="13" t="b">
        <f aca="false">TRUE()</f>
        <v>1</v>
      </c>
      <c r="F370" s="6" t="b">
        <f aca="false">IF(B370="none","",(B370="approve")=E370)</f>
        <v>1</v>
      </c>
    </row>
    <row r="371" customFormat="false" ht="15" hidden="false" customHeight="false" outlineLevel="0" collapsed="false">
      <c r="A371" s="4" t="s">
        <v>1533</v>
      </c>
      <c r="B371" s="4" t="s">
        <v>1178</v>
      </c>
      <c r="C371" s="13" t="b">
        <f aca="false">FALSE()</f>
        <v>0</v>
      </c>
      <c r="D371" s="13" t="b">
        <f aca="false">FALSE()</f>
        <v>0</v>
      </c>
      <c r="E371" s="13" t="b">
        <f aca="false">FALSE()</f>
        <v>0</v>
      </c>
      <c r="F371" s="6" t="b">
        <f aca="false">IF(B371="none","",(B371="approve")=E371)</f>
        <v>1</v>
      </c>
    </row>
    <row r="372" customFormat="false" ht="15" hidden="false" customHeight="false" outlineLevel="0" collapsed="false">
      <c r="A372" s="4" t="s">
        <v>1534</v>
      </c>
      <c r="B372" s="4" t="s">
        <v>1169</v>
      </c>
      <c r="C372" s="13" t="b">
        <f aca="false">FALSE()</f>
        <v>0</v>
      </c>
      <c r="D372" s="13" t="b">
        <f aca="false">TRUE()</f>
        <v>1</v>
      </c>
      <c r="E372" s="13" t="b">
        <f aca="false">FALSE()</f>
        <v>0</v>
      </c>
      <c r="F372" s="0" t="str">
        <f aca="false">IF(B372="none","",(B372="approve")=E372)</f>
        <v/>
      </c>
    </row>
    <row r="373" customFormat="false" ht="15" hidden="false" customHeight="false" outlineLevel="0" collapsed="false">
      <c r="A373" s="4" t="s">
        <v>1535</v>
      </c>
      <c r="B373" s="4" t="s">
        <v>1164</v>
      </c>
      <c r="C373" s="13" t="b">
        <f aca="false">FALSE()</f>
        <v>0</v>
      </c>
      <c r="D373" s="13" t="b">
        <f aca="false">FALSE()</f>
        <v>0</v>
      </c>
      <c r="E373" s="13" t="b">
        <f aca="false">TRUE()</f>
        <v>1</v>
      </c>
      <c r="F373" s="6" t="b">
        <f aca="false">IF(B373="none","",(B373="approve")=E373)</f>
        <v>1</v>
      </c>
    </row>
    <row r="374" customFormat="false" ht="15" hidden="false" customHeight="false" outlineLevel="0" collapsed="false">
      <c r="A374" s="4" t="s">
        <v>1536</v>
      </c>
      <c r="B374" s="4" t="s">
        <v>1178</v>
      </c>
      <c r="C374" s="13" t="b">
        <f aca="false">FALSE()</f>
        <v>0</v>
      </c>
      <c r="D374" s="13" t="b">
        <f aca="false">FALSE()</f>
        <v>0</v>
      </c>
      <c r="E374" s="13" t="b">
        <f aca="false">FALSE()</f>
        <v>0</v>
      </c>
      <c r="F374" s="6" t="b">
        <f aca="false">IF(B374="none","",(B374="approve")=E374)</f>
        <v>1</v>
      </c>
    </row>
    <row r="375" customFormat="false" ht="15" hidden="false" customHeight="false" outlineLevel="0" collapsed="false">
      <c r="A375" s="4" t="s">
        <v>1537</v>
      </c>
      <c r="B375" s="4" t="s">
        <v>1169</v>
      </c>
      <c r="C375" s="13" t="b">
        <f aca="false">FALSE()</f>
        <v>0</v>
      </c>
      <c r="D375" s="13" t="b">
        <f aca="false">FALSE()</f>
        <v>0</v>
      </c>
      <c r="E375" s="13" t="b">
        <f aca="false">TRUE()</f>
        <v>1</v>
      </c>
      <c r="F375" s="0" t="str">
        <f aca="false">IF(B375="none","",(B375="approve")=E375)</f>
        <v/>
      </c>
    </row>
    <row r="376" customFormat="false" ht="15" hidden="false" customHeight="false" outlineLevel="0" collapsed="false">
      <c r="A376" s="4" t="s">
        <v>1538</v>
      </c>
      <c r="B376" s="4" t="s">
        <v>1169</v>
      </c>
      <c r="C376" s="13" t="b">
        <f aca="false">FALSE()</f>
        <v>0</v>
      </c>
      <c r="D376" s="13" t="b">
        <f aca="false">FALSE()</f>
        <v>0</v>
      </c>
      <c r="E376" s="13" t="b">
        <f aca="false">TRUE()</f>
        <v>1</v>
      </c>
      <c r="F376" s="0" t="str">
        <f aca="false">IF(B376="none","",(B376="approve")=E376)</f>
        <v/>
      </c>
    </row>
    <row r="377" customFormat="false" ht="15" hidden="false" customHeight="false" outlineLevel="0" collapsed="false">
      <c r="A377" s="4" t="s">
        <v>1539</v>
      </c>
      <c r="B377" s="4" t="s">
        <v>1169</v>
      </c>
      <c r="C377" s="13" t="b">
        <f aca="false">FALSE()</f>
        <v>0</v>
      </c>
      <c r="D377" s="13" t="b">
        <f aca="false">TRUE()</f>
        <v>1</v>
      </c>
      <c r="E377" s="13" t="b">
        <f aca="false">TRUE()</f>
        <v>1</v>
      </c>
      <c r="F377" s="0" t="str">
        <f aca="false">IF(B377="none","",(B377="approve")=E377)</f>
        <v/>
      </c>
    </row>
    <row r="378" customFormat="false" ht="15" hidden="false" customHeight="false" outlineLevel="0" collapsed="false">
      <c r="A378" s="4" t="s">
        <v>1540</v>
      </c>
      <c r="B378" s="4" t="s">
        <v>1169</v>
      </c>
      <c r="C378" s="13" t="b">
        <f aca="false">FALSE()</f>
        <v>0</v>
      </c>
      <c r="D378" s="13" t="b">
        <f aca="false">TRUE()</f>
        <v>1</v>
      </c>
      <c r="E378" s="13" t="b">
        <f aca="false">TRUE()</f>
        <v>1</v>
      </c>
      <c r="F378" s="0" t="str">
        <f aca="false">IF(B378="none","",(B378="approve")=E378)</f>
        <v/>
      </c>
    </row>
    <row r="379" customFormat="false" ht="15" hidden="false" customHeight="false" outlineLevel="0" collapsed="false">
      <c r="A379" s="4" t="s">
        <v>1541</v>
      </c>
      <c r="B379" s="4" t="s">
        <v>1169</v>
      </c>
      <c r="C379" s="13" t="b">
        <f aca="false">FALSE()</f>
        <v>0</v>
      </c>
      <c r="D379" s="13" t="b">
        <f aca="false">FALSE()</f>
        <v>0</v>
      </c>
      <c r="E379" s="13" t="b">
        <f aca="false">FALSE()</f>
        <v>0</v>
      </c>
      <c r="F379" s="0" t="str">
        <f aca="false">IF(B379="none","",(B379="approve")=E379)</f>
        <v/>
      </c>
    </row>
    <row r="380" customFormat="false" ht="15" hidden="false" customHeight="false" outlineLevel="0" collapsed="false">
      <c r="A380" s="4" t="s">
        <v>1542</v>
      </c>
      <c r="B380" s="4" t="s">
        <v>1169</v>
      </c>
      <c r="C380" s="13" t="b">
        <f aca="false">FALSE()</f>
        <v>0</v>
      </c>
      <c r="D380" s="13" t="b">
        <f aca="false">FALSE()</f>
        <v>0</v>
      </c>
      <c r="E380" s="13" t="b">
        <f aca="false">TRUE()</f>
        <v>1</v>
      </c>
      <c r="F380" s="0" t="str">
        <f aca="false">IF(B380="none","",(B380="approve")=E380)</f>
        <v/>
      </c>
    </row>
    <row r="381" customFormat="false" ht="15" hidden="false" customHeight="false" outlineLevel="0" collapsed="false">
      <c r="A381" s="4" t="s">
        <v>1543</v>
      </c>
      <c r="B381" s="4" t="s">
        <v>1169</v>
      </c>
      <c r="C381" s="13" t="b">
        <f aca="false">FALSE()</f>
        <v>0</v>
      </c>
      <c r="D381" s="13" t="b">
        <f aca="false">TRUE()</f>
        <v>1</v>
      </c>
      <c r="E381" s="13" t="b">
        <f aca="false">TRUE()</f>
        <v>1</v>
      </c>
      <c r="F381" s="0" t="str">
        <f aca="false">IF(B381="none","",(B381="approve")=E381)</f>
        <v/>
      </c>
    </row>
    <row r="382" customFormat="false" ht="15" hidden="false" customHeight="false" outlineLevel="0" collapsed="false">
      <c r="A382" s="4" t="s">
        <v>1544</v>
      </c>
      <c r="B382" s="4" t="s">
        <v>1169</v>
      </c>
      <c r="C382" s="13" t="b">
        <f aca="false">FALSE()</f>
        <v>0</v>
      </c>
      <c r="D382" s="13" t="b">
        <f aca="false">FALSE()</f>
        <v>0</v>
      </c>
      <c r="E382" s="13" t="b">
        <f aca="false">TRUE()</f>
        <v>1</v>
      </c>
      <c r="F382" s="0" t="str">
        <f aca="false">IF(B382="none","",(B382="approve")=E382)</f>
        <v/>
      </c>
    </row>
    <row r="383" customFormat="false" ht="15" hidden="false" customHeight="false" outlineLevel="0" collapsed="false">
      <c r="A383" s="4" t="s">
        <v>1545</v>
      </c>
      <c r="B383" s="4" t="s">
        <v>1169</v>
      </c>
      <c r="C383" s="13" t="b">
        <f aca="false">FALSE()</f>
        <v>0</v>
      </c>
      <c r="D383" s="13" t="b">
        <f aca="false">TRUE()</f>
        <v>1</v>
      </c>
      <c r="E383" s="13" t="b">
        <f aca="false">TRUE()</f>
        <v>1</v>
      </c>
      <c r="F383" s="0" t="str">
        <f aca="false">IF(B383="none","",(B383="approve")=E383)</f>
        <v/>
      </c>
    </row>
    <row r="384" customFormat="false" ht="15" hidden="false" customHeight="false" outlineLevel="0" collapsed="false">
      <c r="A384" s="4" t="s">
        <v>1546</v>
      </c>
      <c r="B384" s="4" t="s">
        <v>1169</v>
      </c>
      <c r="C384" s="13" t="b">
        <f aca="false">FALSE()</f>
        <v>0</v>
      </c>
      <c r="D384" s="13" t="b">
        <f aca="false">TRUE()</f>
        <v>1</v>
      </c>
      <c r="E384" s="13" t="b">
        <f aca="false">FALSE()</f>
        <v>0</v>
      </c>
      <c r="F384" s="0" t="str">
        <f aca="false">IF(B384="none","",(B384="approve")=E384)</f>
        <v/>
      </c>
    </row>
    <row r="385" customFormat="false" ht="15" hidden="false" customHeight="false" outlineLevel="0" collapsed="false">
      <c r="A385" s="4" t="s">
        <v>1547</v>
      </c>
      <c r="B385" s="4" t="s">
        <v>1169</v>
      </c>
      <c r="C385" s="13" t="b">
        <f aca="false">FALSE()</f>
        <v>0</v>
      </c>
      <c r="D385" s="13" t="b">
        <f aca="false">FALSE()</f>
        <v>0</v>
      </c>
      <c r="E385" s="13" t="b">
        <f aca="false">FALSE()</f>
        <v>0</v>
      </c>
      <c r="F385" s="0" t="str">
        <f aca="false">IF(B385="none","",(B385="approve")=E385)</f>
        <v/>
      </c>
    </row>
    <row r="386" customFormat="false" ht="15" hidden="false" customHeight="false" outlineLevel="0" collapsed="false">
      <c r="A386" s="4" t="s">
        <v>1548</v>
      </c>
      <c r="B386" s="4" t="s">
        <v>1169</v>
      </c>
      <c r="C386" s="13" t="b">
        <f aca="false">FALSE()</f>
        <v>0</v>
      </c>
      <c r="D386" s="13" t="b">
        <f aca="false">FALSE()</f>
        <v>0</v>
      </c>
      <c r="E386" s="13" t="b">
        <f aca="false">TRUE()</f>
        <v>1</v>
      </c>
      <c r="F386" s="0" t="str">
        <f aca="false">IF(B386="none","",(B386="approve")=E386)</f>
        <v/>
      </c>
    </row>
    <row r="387" customFormat="false" ht="15" hidden="false" customHeight="false" outlineLevel="0" collapsed="false">
      <c r="A387" s="4" t="s">
        <v>1549</v>
      </c>
      <c r="B387" s="4" t="s">
        <v>1169</v>
      </c>
      <c r="C387" s="13" t="b">
        <f aca="false">FALSE()</f>
        <v>0</v>
      </c>
      <c r="D387" s="13" t="b">
        <f aca="false">FALSE()</f>
        <v>0</v>
      </c>
      <c r="E387" s="13" t="b">
        <f aca="false">TRUE()</f>
        <v>1</v>
      </c>
      <c r="F387" s="0" t="str">
        <f aca="false">IF(B387="none","",(B387="approve")=E387)</f>
        <v/>
      </c>
    </row>
    <row r="388" customFormat="false" ht="15" hidden="false" customHeight="false" outlineLevel="0" collapsed="false">
      <c r="A388" s="4" t="s">
        <v>1550</v>
      </c>
      <c r="B388" s="4" t="s">
        <v>1169</v>
      </c>
      <c r="C388" s="13" t="b">
        <f aca="false">FALSE()</f>
        <v>0</v>
      </c>
      <c r="D388" s="13" t="b">
        <f aca="false">TRUE()</f>
        <v>1</v>
      </c>
      <c r="E388" s="13" t="b">
        <f aca="false">TRUE()</f>
        <v>1</v>
      </c>
      <c r="F388" s="0" t="str">
        <f aca="false">IF(B388="none","",(B388="approve")=E388)</f>
        <v/>
      </c>
    </row>
    <row r="389" customFormat="false" ht="15" hidden="false" customHeight="false" outlineLevel="0" collapsed="false">
      <c r="A389" s="4" t="s">
        <v>1551</v>
      </c>
      <c r="B389" s="4" t="s">
        <v>1169</v>
      </c>
      <c r="C389" s="13" t="b">
        <f aca="false">FALSE()</f>
        <v>0</v>
      </c>
      <c r="D389" s="13" t="b">
        <f aca="false">TRUE()</f>
        <v>1</v>
      </c>
      <c r="E389" s="13" t="b">
        <f aca="false">TRUE()</f>
        <v>1</v>
      </c>
      <c r="F389" s="0" t="str">
        <f aca="false">IF(B389="none","",(B389="approve")=E389)</f>
        <v/>
      </c>
    </row>
    <row r="390" customFormat="false" ht="15" hidden="false" customHeight="false" outlineLevel="0" collapsed="false">
      <c r="A390" s="4" t="s">
        <v>1552</v>
      </c>
      <c r="B390" s="4" t="s">
        <v>1169</v>
      </c>
      <c r="C390" s="13" t="b">
        <f aca="false">FALSE()</f>
        <v>0</v>
      </c>
      <c r="D390" s="13" t="b">
        <f aca="false">TRUE()</f>
        <v>1</v>
      </c>
      <c r="E390" s="13" t="b">
        <f aca="false">TRUE()</f>
        <v>1</v>
      </c>
      <c r="F390" s="0" t="str">
        <f aca="false">IF(B390="none","",(B390="approve")=E390)</f>
        <v/>
      </c>
    </row>
    <row r="391" customFormat="false" ht="15" hidden="false" customHeight="false" outlineLevel="0" collapsed="false">
      <c r="A391" s="4" t="s">
        <v>1553</v>
      </c>
      <c r="B391" s="4" t="s">
        <v>1169</v>
      </c>
      <c r="C391" s="13" t="b">
        <f aca="false">FALSE()</f>
        <v>0</v>
      </c>
      <c r="D391" s="13" t="b">
        <f aca="false">TRUE()</f>
        <v>1</v>
      </c>
      <c r="E391" s="13" t="b">
        <f aca="false">TRUE()</f>
        <v>1</v>
      </c>
      <c r="F391" s="0" t="str">
        <f aca="false">IF(B391="none","",(B391="approve")=E391)</f>
        <v/>
      </c>
    </row>
    <row r="392" customFormat="false" ht="15" hidden="false" customHeight="false" outlineLevel="0" collapsed="false">
      <c r="A392" s="4" t="s">
        <v>1554</v>
      </c>
      <c r="B392" s="4" t="s">
        <v>1169</v>
      </c>
      <c r="C392" s="13" t="b">
        <f aca="false">FALSE()</f>
        <v>0</v>
      </c>
      <c r="D392" s="13" t="b">
        <f aca="false">FALSE()</f>
        <v>0</v>
      </c>
      <c r="E392" s="13" t="b">
        <f aca="false">FALSE()</f>
        <v>0</v>
      </c>
      <c r="F392" s="0" t="str">
        <f aca="false">IF(B392="none","",(B392="approve")=E392)</f>
        <v/>
      </c>
    </row>
    <row r="393" customFormat="false" ht="15" hidden="false" customHeight="false" outlineLevel="0" collapsed="false">
      <c r="A393" s="4" t="s">
        <v>1555</v>
      </c>
      <c r="B393" s="4" t="s">
        <v>1164</v>
      </c>
      <c r="C393" s="13" t="b">
        <f aca="false">FALSE()</f>
        <v>0</v>
      </c>
      <c r="D393" s="13" t="b">
        <f aca="false">TRUE()</f>
        <v>1</v>
      </c>
      <c r="E393" s="13" t="b">
        <f aca="false">TRUE()</f>
        <v>1</v>
      </c>
      <c r="F393" s="6" t="b">
        <f aca="false">IF(B393="none","",(B393="approve")=E393)</f>
        <v>1</v>
      </c>
    </row>
    <row r="394" customFormat="false" ht="15" hidden="false" customHeight="false" outlineLevel="0" collapsed="false">
      <c r="A394" s="4" t="s">
        <v>1556</v>
      </c>
      <c r="B394" s="4" t="s">
        <v>1169</v>
      </c>
      <c r="C394" s="13" t="b">
        <f aca="false">FALSE()</f>
        <v>0</v>
      </c>
      <c r="D394" s="13" t="b">
        <f aca="false">FALSE()</f>
        <v>0</v>
      </c>
      <c r="E394" s="13" t="b">
        <f aca="false">TRUE()</f>
        <v>1</v>
      </c>
      <c r="F394" s="0" t="str">
        <f aca="false">IF(B394="none","",(B394="approve")=E394)</f>
        <v/>
      </c>
    </row>
    <row r="395" customFormat="false" ht="15" hidden="false" customHeight="false" outlineLevel="0" collapsed="false">
      <c r="A395" s="4" t="s">
        <v>1557</v>
      </c>
      <c r="B395" s="4" t="s">
        <v>1169</v>
      </c>
      <c r="C395" s="13" t="b">
        <f aca="false">FALSE()</f>
        <v>0</v>
      </c>
      <c r="D395" s="13" t="b">
        <f aca="false">FALSE()</f>
        <v>0</v>
      </c>
      <c r="E395" s="13" t="b">
        <f aca="false">FALSE()</f>
        <v>0</v>
      </c>
      <c r="F395" s="0" t="str">
        <f aca="false">IF(B395="none","",(B395="approve")=E395)</f>
        <v/>
      </c>
    </row>
    <row r="396" customFormat="false" ht="15" hidden="false" customHeight="false" outlineLevel="0" collapsed="false">
      <c r="A396" s="4" t="s">
        <v>1558</v>
      </c>
      <c r="B396" s="4" t="s">
        <v>1169</v>
      </c>
      <c r="C396" s="13" t="b">
        <f aca="false">FALSE()</f>
        <v>0</v>
      </c>
      <c r="D396" s="13" t="b">
        <f aca="false">FALSE()</f>
        <v>0</v>
      </c>
      <c r="E396" s="13" t="b">
        <f aca="false">TRUE()</f>
        <v>1</v>
      </c>
      <c r="F396" s="0" t="str">
        <f aca="false">IF(B396="none","",(B396="approve")=E396)</f>
        <v/>
      </c>
    </row>
    <row r="397" customFormat="false" ht="15" hidden="false" customHeight="false" outlineLevel="0" collapsed="false">
      <c r="A397" s="4" t="s">
        <v>1559</v>
      </c>
      <c r="B397" s="4" t="s">
        <v>1169</v>
      </c>
      <c r="C397" s="13" t="b">
        <f aca="false">FALSE()</f>
        <v>0</v>
      </c>
      <c r="D397" s="13" t="b">
        <f aca="false">TRUE()</f>
        <v>1</v>
      </c>
      <c r="E397" s="13" t="b">
        <f aca="false">TRUE()</f>
        <v>1</v>
      </c>
      <c r="F397" s="0" t="str">
        <f aca="false">IF(B397="none","",(B397="approve")=E397)</f>
        <v/>
      </c>
    </row>
    <row r="398" customFormat="false" ht="15" hidden="false" customHeight="false" outlineLevel="0" collapsed="false">
      <c r="A398" s="4" t="s">
        <v>1560</v>
      </c>
      <c r="B398" s="4" t="s">
        <v>1169</v>
      </c>
      <c r="C398" s="13" t="b">
        <f aca="false">FALSE()</f>
        <v>0</v>
      </c>
      <c r="D398" s="13" t="b">
        <f aca="false">FALSE()</f>
        <v>0</v>
      </c>
      <c r="E398" s="13" t="b">
        <f aca="false">TRUE()</f>
        <v>1</v>
      </c>
      <c r="F398" s="0" t="str">
        <f aca="false">IF(B398="none","",(B398="approve")=E398)</f>
        <v/>
      </c>
    </row>
    <row r="399" customFormat="false" ht="15" hidden="false" customHeight="false" outlineLevel="0" collapsed="false">
      <c r="A399" s="4" t="s">
        <v>1561</v>
      </c>
      <c r="B399" s="4" t="s">
        <v>1169</v>
      </c>
      <c r="C399" s="13" t="b">
        <f aca="false">FALSE()</f>
        <v>0</v>
      </c>
      <c r="D399" s="13" t="b">
        <f aca="false">TRUE()</f>
        <v>1</v>
      </c>
      <c r="E399" s="13" t="b">
        <f aca="false">TRUE()</f>
        <v>1</v>
      </c>
      <c r="F399" s="0" t="str">
        <f aca="false">IF(B399="none","",(B399="approve")=E399)</f>
        <v/>
      </c>
    </row>
    <row r="400" customFormat="false" ht="15" hidden="false" customHeight="false" outlineLevel="0" collapsed="false">
      <c r="A400" s="4" t="s">
        <v>1562</v>
      </c>
      <c r="B400" s="4" t="s">
        <v>1178</v>
      </c>
      <c r="C400" s="13" t="b">
        <f aca="false">FALSE()</f>
        <v>0</v>
      </c>
      <c r="D400" s="13" t="b">
        <f aca="false">FALSE()</f>
        <v>0</v>
      </c>
      <c r="E400" s="13" t="b">
        <f aca="false">TRUE()</f>
        <v>1</v>
      </c>
      <c r="F400" s="6" t="b">
        <f aca="false">IF(B400="none","",(B400="approve")=E400)</f>
        <v>0</v>
      </c>
    </row>
    <row r="401" customFormat="false" ht="15" hidden="false" customHeight="false" outlineLevel="0" collapsed="false">
      <c r="A401" s="4" t="s">
        <v>1563</v>
      </c>
      <c r="B401" s="4" t="s">
        <v>1164</v>
      </c>
      <c r="C401" s="13" t="b">
        <f aca="false">FALSE()</f>
        <v>0</v>
      </c>
      <c r="D401" s="13" t="b">
        <f aca="false">TRUE()</f>
        <v>1</v>
      </c>
      <c r="E401" s="13" t="b">
        <f aca="false">TRUE()</f>
        <v>1</v>
      </c>
      <c r="F401" s="6" t="b">
        <f aca="false">IF(B401="none","",(B401="approve")=E401)</f>
        <v>1</v>
      </c>
    </row>
    <row r="402" customFormat="false" ht="15" hidden="false" customHeight="false" outlineLevel="0" collapsed="false">
      <c r="A402" s="4" t="s">
        <v>1564</v>
      </c>
      <c r="B402" s="4" t="s">
        <v>1169</v>
      </c>
      <c r="C402" s="13" t="b">
        <f aca="false">FALSE()</f>
        <v>0</v>
      </c>
      <c r="D402" s="13" t="b">
        <f aca="false">FALSE()</f>
        <v>0</v>
      </c>
      <c r="E402" s="13" t="b">
        <f aca="false">TRUE()</f>
        <v>1</v>
      </c>
      <c r="F402" s="0" t="str">
        <f aca="false">IF(B402="none","",(B402="approve")=E402)</f>
        <v/>
      </c>
    </row>
    <row r="403" customFormat="false" ht="15" hidden="false" customHeight="false" outlineLevel="0" collapsed="false">
      <c r="A403" s="4" t="s">
        <v>1565</v>
      </c>
      <c r="B403" s="4" t="s">
        <v>1164</v>
      </c>
      <c r="C403" s="13" t="b">
        <f aca="false">FALSE()</f>
        <v>0</v>
      </c>
      <c r="D403" s="13" t="b">
        <f aca="false">FALSE()</f>
        <v>0</v>
      </c>
      <c r="E403" s="13" t="b">
        <f aca="false">TRUE()</f>
        <v>1</v>
      </c>
      <c r="F403" s="6" t="b">
        <f aca="false">IF(B403="none","",(B403="approve")=E403)</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8"/>
    <col collapsed="false" customWidth="true" hidden="false" outlineLevel="0" max="7" min="5" style="0" width="17"/>
  </cols>
  <sheetData>
    <row r="1" customFormat="false" ht="17.35" hidden="false" customHeight="false" outlineLevel="0" collapsed="false">
      <c r="A1" s="1" t="s">
        <v>1566</v>
      </c>
    </row>
    <row r="2" customFormat="false" ht="15" hidden="false" customHeight="false" outlineLevel="0" collapsed="false">
      <c r="A2" s="0" t="s">
        <v>1567</v>
      </c>
    </row>
    <row r="3" customFormat="false" ht="28.35" hidden="false" customHeight="false" outlineLevel="0" collapsed="false">
      <c r="A3" s="7" t="s">
        <v>77</v>
      </c>
      <c r="B3" s="7" t="s">
        <v>1568</v>
      </c>
      <c r="C3" s="7" t="s">
        <v>1569</v>
      </c>
      <c r="D3" s="7" t="s">
        <v>1570</v>
      </c>
      <c r="E3" s="7" t="s">
        <v>1571</v>
      </c>
      <c r="F3" s="7" t="s">
        <v>1572</v>
      </c>
      <c r="G3" s="7" t="s">
        <v>1573</v>
      </c>
      <c r="H3" s="7" t="s">
        <v>1574</v>
      </c>
    </row>
    <row r="4" customFormat="false" ht="15" hidden="false" customHeight="false" outlineLevel="0" collapsed="false">
      <c r="A4" s="4" t="s">
        <v>94</v>
      </c>
      <c r="B4" s="4" t="s">
        <v>1575</v>
      </c>
      <c r="C4" s="4" t="s">
        <v>1576</v>
      </c>
      <c r="D4" s="4" t="n">
        <v>60</v>
      </c>
      <c r="E4" s="5" t="n">
        <v>46299.7083333333</v>
      </c>
      <c r="F4" s="5" t="n">
        <v>46299.75</v>
      </c>
      <c r="G4" s="5" t="n">
        <v>46299.8357060185</v>
      </c>
      <c r="H4" s="0" t="str">
        <f aca="false">IF(AND(ISNUMBER(G4),G4&gt;=E4,G4&lt;F4),"on_time",IF(F4&gt;Controls!$B$4,"pending","late"))</f>
        <v>late</v>
      </c>
    </row>
    <row r="5" customFormat="false" ht="15" hidden="false" customHeight="false" outlineLevel="0" collapsed="false">
      <c r="A5" s="4" t="s">
        <v>96</v>
      </c>
      <c r="B5" s="4" t="s">
        <v>1577</v>
      </c>
      <c r="C5" s="4" t="s">
        <v>1578</v>
      </c>
      <c r="D5" s="4" t="n">
        <v>60</v>
      </c>
      <c r="E5" s="5" t="n">
        <v>46299.8333333333</v>
      </c>
      <c r="F5" s="5" t="n">
        <v>46299.875</v>
      </c>
      <c r="G5" s="5" t="n">
        <v>46299.8372685185</v>
      </c>
      <c r="H5" s="0" t="str">
        <f aca="false">IF(AND(ISNUMBER(G5),G5&gt;=E5,G5&lt;F5),"on_time",IF(F5&gt;Controls!$B$4,"pending","late"))</f>
        <v>on_time</v>
      </c>
    </row>
    <row r="6" customFormat="false" ht="15" hidden="false" customHeight="false" outlineLevel="0" collapsed="false">
      <c r="A6" s="4" t="s">
        <v>97</v>
      </c>
      <c r="B6" s="4" t="s">
        <v>1579</v>
      </c>
      <c r="C6" s="4" t="s">
        <v>1580</v>
      </c>
      <c r="D6" s="4" t="n">
        <v>30</v>
      </c>
      <c r="E6" s="5" t="n">
        <v>46299.6458333333</v>
      </c>
      <c r="F6" s="5" t="n">
        <v>46299.6666666667</v>
      </c>
      <c r="G6" s="5" t="n">
        <v>46299.655150463</v>
      </c>
      <c r="H6" s="0" t="str">
        <f aca="false">IF(AND(ISNUMBER(G6),G6&gt;=E6,G6&lt;F6),"on_time",IF(F6&gt;Controls!$B$4,"pending","late"))</f>
        <v>on_time</v>
      </c>
    </row>
    <row r="7" customFormat="false" ht="15" hidden="false" customHeight="false" outlineLevel="0" collapsed="false">
      <c r="A7" s="4" t="s">
        <v>102</v>
      </c>
      <c r="B7" s="4" t="s">
        <v>1579</v>
      </c>
      <c r="C7" s="4" t="s">
        <v>1581</v>
      </c>
      <c r="D7" s="4" t="n">
        <v>60</v>
      </c>
      <c r="E7" s="5" t="n">
        <v>46299.4166666667</v>
      </c>
      <c r="F7" s="5" t="n">
        <v>46299.4583333333</v>
      </c>
      <c r="G7" s="5" t="n">
        <v>46299.4571990741</v>
      </c>
      <c r="H7" s="0" t="str">
        <f aca="false">IF(AND(ISNUMBER(G7),G7&gt;=E7,G7&lt;F7),"on_time",IF(F7&gt;Controls!$B$4,"pending","late"))</f>
        <v>on_time</v>
      </c>
    </row>
    <row r="8" customFormat="false" ht="15" hidden="false" customHeight="false" outlineLevel="0" collapsed="false">
      <c r="A8" s="4" t="s">
        <v>106</v>
      </c>
      <c r="B8" s="4" t="s">
        <v>1582</v>
      </c>
      <c r="C8" s="4" t="s">
        <v>1583</v>
      </c>
      <c r="D8" s="4" t="n">
        <v>30</v>
      </c>
      <c r="E8" s="5" t="n">
        <v>46299.5520833333</v>
      </c>
      <c r="F8" s="5" t="n">
        <v>46299.5729166667</v>
      </c>
      <c r="G8" s="5" t="n">
        <v>46299.5546180556</v>
      </c>
      <c r="H8" s="0" t="str">
        <f aca="false">IF(AND(ISNUMBER(G8),G8&gt;=E8,G8&lt;F8),"on_time",IF(F8&gt;Controls!$B$4,"pending","late"))</f>
        <v>on_time</v>
      </c>
    </row>
    <row r="9" customFormat="false" ht="15" hidden="false" customHeight="false" outlineLevel="0" collapsed="false">
      <c r="A9" s="4" t="s">
        <v>107</v>
      </c>
      <c r="B9" s="4" t="s">
        <v>1575</v>
      </c>
      <c r="C9" s="4" t="s">
        <v>1584</v>
      </c>
      <c r="D9" s="4" t="n">
        <v>60</v>
      </c>
      <c r="E9" s="5" t="n">
        <v>46299.1979166667</v>
      </c>
      <c r="F9" s="5" t="n">
        <v>46299.2395833333</v>
      </c>
      <c r="G9" s="5" t="n">
        <v>46299.2123148148</v>
      </c>
      <c r="H9" s="0" t="str">
        <f aca="false">IF(AND(ISNUMBER(G9),G9&gt;=E9,G9&lt;F9),"on_time",IF(F9&gt;Controls!$B$4,"pending","late"))</f>
        <v>on_time</v>
      </c>
    </row>
    <row r="10" customFormat="false" ht="15" hidden="false" customHeight="false" outlineLevel="0" collapsed="false">
      <c r="A10" s="4" t="s">
        <v>113</v>
      </c>
      <c r="B10" s="4" t="s">
        <v>1585</v>
      </c>
      <c r="C10" s="4" t="s">
        <v>1586</v>
      </c>
      <c r="D10" s="4" t="n">
        <v>30</v>
      </c>
      <c r="E10" s="5" t="n">
        <v>46299.6145833333</v>
      </c>
      <c r="F10" s="5" t="n">
        <v>46299.6354166667</v>
      </c>
      <c r="G10" s="5" t="n">
        <v>46299.7083564815</v>
      </c>
      <c r="H10" s="0" t="str">
        <f aca="false">IF(AND(ISNUMBER(G10),G10&gt;=E10,G10&lt;F10),"on_time",IF(F10&gt;Controls!$B$4,"pending","late"))</f>
        <v>late</v>
      </c>
    </row>
    <row r="11" customFormat="false" ht="15" hidden="false" customHeight="false" outlineLevel="0" collapsed="false">
      <c r="A11" s="4" t="s">
        <v>115</v>
      </c>
      <c r="B11" s="4" t="s">
        <v>1587</v>
      </c>
      <c r="C11" s="4" t="s">
        <v>1581</v>
      </c>
      <c r="D11" s="4" t="n">
        <v>120</v>
      </c>
      <c r="E11" s="5" t="n">
        <v>46299.25</v>
      </c>
      <c r="F11" s="5" t="n">
        <v>46299.3333333333</v>
      </c>
      <c r="G11" s="5" t="n">
        <v>46299.4961111111</v>
      </c>
      <c r="H11" s="0" t="str">
        <f aca="false">IF(AND(ISNUMBER(G11),G11&gt;=E11,G11&lt;F11),"on_time",IF(F11&gt;Controls!$B$4,"pending","late"))</f>
        <v>late</v>
      </c>
    </row>
    <row r="12" customFormat="false" ht="15" hidden="false" customHeight="false" outlineLevel="0" collapsed="false">
      <c r="A12" s="4" t="s">
        <v>116</v>
      </c>
      <c r="B12" s="4" t="s">
        <v>1588</v>
      </c>
      <c r="C12" s="4" t="s">
        <v>1589</v>
      </c>
      <c r="D12" s="4" t="n">
        <v>120</v>
      </c>
      <c r="E12" s="5" t="n">
        <v>46299.71875</v>
      </c>
      <c r="F12" s="5" t="n">
        <v>46299.8020833333</v>
      </c>
      <c r="G12" s="5" t="n">
        <v>46299.7279166667</v>
      </c>
      <c r="H12" s="0" t="str">
        <f aca="false">IF(AND(ISNUMBER(G12),G12&gt;=E12,G12&lt;F12),"on_time",IF(F12&gt;Controls!$B$4,"pending","late"))</f>
        <v>on_time</v>
      </c>
    </row>
    <row r="13" customFormat="false" ht="15" hidden="false" customHeight="false" outlineLevel="0" collapsed="false">
      <c r="A13" s="4" t="s">
        <v>118</v>
      </c>
      <c r="B13" s="4" t="s">
        <v>1579</v>
      </c>
      <c r="C13" s="4" t="s">
        <v>1590</v>
      </c>
      <c r="D13" s="4" t="n">
        <v>30</v>
      </c>
      <c r="E13" s="5" t="n">
        <v>46299.9375</v>
      </c>
      <c r="F13" s="5" t="n">
        <v>46299.9583333333</v>
      </c>
      <c r="G13" s="5" t="n">
        <v>46299.9428935185</v>
      </c>
      <c r="H13" s="0" t="str">
        <f aca="false">IF(AND(ISNUMBER(G13),G13&gt;=E13,G13&lt;F13),"on_time",IF(F13&gt;Controls!$B$4,"pending","late"))</f>
        <v>on_time</v>
      </c>
    </row>
    <row r="14" customFormat="false" ht="15" hidden="false" customHeight="false" outlineLevel="0" collapsed="false">
      <c r="A14" s="4" t="s">
        <v>122</v>
      </c>
      <c r="B14" s="4" t="s">
        <v>1579</v>
      </c>
      <c r="C14" s="4" t="s">
        <v>1591</v>
      </c>
      <c r="D14" s="4" t="n">
        <v>30</v>
      </c>
      <c r="E14" s="5" t="n">
        <v>46299.3229166667</v>
      </c>
      <c r="F14" s="5" t="n">
        <v>46299.34375</v>
      </c>
      <c r="G14" s="5" t="n">
        <v>46299.3432986111</v>
      </c>
      <c r="H14" s="0" t="str">
        <f aca="false">IF(AND(ISNUMBER(G14),G14&gt;=E14,G14&lt;F14),"on_time",IF(F14&gt;Controls!$B$4,"pending","late"))</f>
        <v>on_time</v>
      </c>
    </row>
    <row r="15" customFormat="false" ht="15" hidden="false" customHeight="false" outlineLevel="0" collapsed="false">
      <c r="A15" s="4" t="s">
        <v>123</v>
      </c>
      <c r="B15" s="4" t="s">
        <v>1582</v>
      </c>
      <c r="C15" s="4" t="s">
        <v>1592</v>
      </c>
      <c r="D15" s="4" t="n">
        <v>120</v>
      </c>
      <c r="E15" s="5" t="n">
        <v>46299.375</v>
      </c>
      <c r="F15" s="5" t="n">
        <v>46299.4583333333</v>
      </c>
      <c r="G15" s="5" t="n">
        <v>46299.4247106482</v>
      </c>
      <c r="H15" s="0" t="str">
        <f aca="false">IF(AND(ISNUMBER(G15),G15&gt;=E15,G15&lt;F15),"on_time",IF(F15&gt;Controls!$B$4,"pending","late"))</f>
        <v>on_time</v>
      </c>
    </row>
    <row r="16" customFormat="false" ht="15" hidden="false" customHeight="false" outlineLevel="0" collapsed="false">
      <c r="A16" s="4" t="s">
        <v>124</v>
      </c>
      <c r="B16" s="4" t="s">
        <v>1585</v>
      </c>
      <c r="C16" s="4" t="s">
        <v>1593</v>
      </c>
      <c r="D16" s="4" t="n">
        <v>60</v>
      </c>
      <c r="E16" s="5" t="n">
        <v>46299.6458333333</v>
      </c>
      <c r="F16" s="5" t="n">
        <v>46299.6875</v>
      </c>
      <c r="G16" s="5" t="n">
        <v>46299.7247453704</v>
      </c>
      <c r="H16" s="0" t="str">
        <f aca="false">IF(AND(ISNUMBER(G16),G16&gt;=E16,G16&lt;F16),"on_time",IF(F16&gt;Controls!$B$4,"pending","late"))</f>
        <v>late</v>
      </c>
    </row>
    <row r="17" customFormat="false" ht="15" hidden="false" customHeight="false" outlineLevel="0" collapsed="false">
      <c r="A17" s="4" t="s">
        <v>128</v>
      </c>
      <c r="B17" s="4" t="s">
        <v>1577</v>
      </c>
      <c r="C17" s="4" t="s">
        <v>1594</v>
      </c>
      <c r="D17" s="4" t="n">
        <v>120</v>
      </c>
      <c r="E17" s="5" t="n">
        <v>46299.4479166667</v>
      </c>
      <c r="F17" s="5" t="n">
        <v>46299.53125</v>
      </c>
      <c r="G17" s="5" t="n">
        <v>46299.6371875</v>
      </c>
      <c r="H17" s="0" t="str">
        <f aca="false">IF(AND(ISNUMBER(G17),G17&gt;=E17,G17&lt;F17),"on_time",IF(F17&gt;Controls!$B$4,"pending","late"))</f>
        <v>late</v>
      </c>
    </row>
    <row r="18" customFormat="false" ht="15" hidden="false" customHeight="false" outlineLevel="0" collapsed="false">
      <c r="A18" s="4" t="s">
        <v>131</v>
      </c>
      <c r="B18" s="4" t="s">
        <v>1588</v>
      </c>
      <c r="C18" s="4" t="s">
        <v>1595</v>
      </c>
      <c r="D18" s="4" t="n">
        <v>30</v>
      </c>
      <c r="E18" s="5" t="n">
        <v>46299.4375</v>
      </c>
      <c r="F18" s="5" t="n">
        <v>46299.4583333333</v>
      </c>
      <c r="G18" s="5" t="n">
        <v>46299.4507407407</v>
      </c>
      <c r="H18" s="0" t="str">
        <f aca="false">IF(AND(ISNUMBER(G18),G18&gt;=E18,G18&lt;F18),"on_time",IF(F18&gt;Controls!$B$4,"pending","late"))</f>
        <v>on_time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4"/>
  </cols>
  <sheetData>
    <row r="1" customFormat="false" ht="17.35" hidden="false" customHeight="false" outlineLevel="0" collapsed="false">
      <c r="A1" s="1" t="s">
        <v>1596</v>
      </c>
    </row>
    <row r="3" customFormat="false" ht="28.35" hidden="false" customHeight="false" outlineLevel="0" collapsed="false">
      <c r="A3" s="7" t="s">
        <v>1597</v>
      </c>
      <c r="B3" s="7" t="s">
        <v>1598</v>
      </c>
      <c r="C3" s="7" t="s">
        <v>21</v>
      </c>
      <c r="D3" s="7" t="s">
        <v>22</v>
      </c>
      <c r="E3" s="7" t="s">
        <v>23</v>
      </c>
      <c r="F3" s="7" t="s">
        <v>24</v>
      </c>
      <c r="G3" s="7" t="s">
        <v>25</v>
      </c>
    </row>
    <row r="4" customFormat="false" ht="15" hidden="false" customHeight="false" outlineLevel="0" collapsed="false">
      <c r="A4" s="4" t="s">
        <v>1599</v>
      </c>
      <c r="B4" s="4" t="s">
        <v>1600</v>
      </c>
      <c r="C4" s="4" t="n">
        <v>0.4</v>
      </c>
      <c r="D4" s="4" t="n">
        <v>0.3</v>
      </c>
      <c r="E4" s="4" t="n">
        <v>0.2</v>
      </c>
      <c r="F4" s="4" t="n">
        <v>0.05</v>
      </c>
      <c r="G4" s="4" t="n">
        <v>0.05</v>
      </c>
    </row>
    <row r="5" customFormat="false" ht="15" hidden="false" customHeight="false" outlineLevel="0" collapsed="false">
      <c r="A5" s="4" t="s">
        <v>18</v>
      </c>
      <c r="B5" s="4" t="s">
        <v>1601</v>
      </c>
      <c r="C5" s="4" t="n">
        <v>0.25</v>
      </c>
      <c r="D5" s="4" t="n">
        <v>0.25</v>
      </c>
      <c r="E5" s="4" t="n">
        <v>0.25</v>
      </c>
      <c r="F5" s="4" t="n">
        <v>0.15</v>
      </c>
      <c r="G5" s="4" t="n">
        <v>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s>
  <sheetData>
    <row r="1" customFormat="false" ht="17.35" hidden="false" customHeight="false" outlineLevel="0" collapsed="false">
      <c r="A1" s="1" t="s">
        <v>1602</v>
      </c>
    </row>
    <row r="2" customFormat="false" ht="15" hidden="false" customHeight="false" outlineLevel="0" collapsed="false">
      <c r="A2" s="0" t="s">
        <v>1603</v>
      </c>
    </row>
    <row r="3" customFormat="false" ht="15" hidden="false" customHeight="false" outlineLevel="0" collapsed="false">
      <c r="A3" s="7" t="s">
        <v>77</v>
      </c>
      <c r="B3" s="7" t="s">
        <v>1599</v>
      </c>
      <c r="C3" s="7" t="s">
        <v>18</v>
      </c>
    </row>
    <row r="4" customFormat="false" ht="15" hidden="false" customHeight="false" outlineLevel="0" collapsed="false">
      <c r="A4" s="4" t="s">
        <v>92</v>
      </c>
      <c r="B4" s="4" t="n">
        <v>0.99</v>
      </c>
      <c r="C4" s="4" t="n">
        <v>0.98125</v>
      </c>
    </row>
    <row r="5" customFormat="false" ht="15" hidden="false" customHeight="false" outlineLevel="0" collapsed="false">
      <c r="A5" s="4" t="s">
        <v>93</v>
      </c>
      <c r="B5" s="4" t="s">
        <v>1604</v>
      </c>
      <c r="C5" s="4" t="s">
        <v>1604</v>
      </c>
    </row>
    <row r="6" customFormat="false" ht="15" hidden="false" customHeight="false" outlineLevel="0" collapsed="false">
      <c r="A6" s="4" t="s">
        <v>94</v>
      </c>
      <c r="B6" s="4" t="s">
        <v>1604</v>
      </c>
      <c r="C6" s="4" t="s">
        <v>1604</v>
      </c>
    </row>
    <row r="7" customFormat="false" ht="15" hidden="false" customHeight="false" outlineLevel="0" collapsed="false">
      <c r="A7" s="4" t="s">
        <v>95</v>
      </c>
      <c r="B7" s="4" t="n">
        <v>0.966387</v>
      </c>
      <c r="C7" s="4" t="n">
        <v>0.966387</v>
      </c>
    </row>
    <row r="8" customFormat="false" ht="15" hidden="false" customHeight="false" outlineLevel="0" collapsed="false">
      <c r="A8" s="4" t="s">
        <v>96</v>
      </c>
      <c r="B8" s="4" t="n">
        <v>0.91634</v>
      </c>
      <c r="C8" s="4" t="n">
        <v>0.932773</v>
      </c>
    </row>
    <row r="9" customFormat="false" ht="15" hidden="false" customHeight="false" outlineLevel="0" collapsed="false">
      <c r="A9" s="4" t="s">
        <v>97</v>
      </c>
      <c r="B9" s="4" t="n">
        <v>0.984127</v>
      </c>
      <c r="C9" s="4" t="n">
        <v>0.988839</v>
      </c>
    </row>
    <row r="10" customFormat="false" ht="15" hidden="false" customHeight="false" outlineLevel="0" collapsed="false">
      <c r="A10" s="4" t="s">
        <v>98</v>
      </c>
      <c r="B10" s="4" t="n">
        <v>0.974359</v>
      </c>
      <c r="C10" s="4" t="n">
        <v>0.974359</v>
      </c>
    </row>
    <row r="11" customFormat="false" ht="15" hidden="false" customHeight="false" outlineLevel="0" collapsed="false">
      <c r="A11" s="4" t="s">
        <v>99</v>
      </c>
      <c r="B11" s="4" t="s">
        <v>1604</v>
      </c>
      <c r="C11" s="4" t="s">
        <v>1604</v>
      </c>
    </row>
    <row r="12" customFormat="false" ht="15" hidden="false" customHeight="false" outlineLevel="0" collapsed="false">
      <c r="A12" s="4" t="s">
        <v>100</v>
      </c>
      <c r="B12" s="4" t="s">
        <v>1604</v>
      </c>
      <c r="C12" s="4" t="s">
        <v>1604</v>
      </c>
    </row>
    <row r="13" customFormat="false" ht="15" hidden="false" customHeight="false" outlineLevel="0" collapsed="false">
      <c r="A13" s="4" t="s">
        <v>101</v>
      </c>
      <c r="B13" s="4" t="n">
        <v>0.935484</v>
      </c>
      <c r="C13" s="4" t="n">
        <v>0.935484</v>
      </c>
    </row>
    <row r="14" customFormat="false" ht="15" hidden="false" customHeight="false" outlineLevel="0" collapsed="false">
      <c r="A14" s="4" t="s">
        <v>102</v>
      </c>
      <c r="B14" s="4" t="n">
        <v>0.990329</v>
      </c>
      <c r="C14" s="4" t="n">
        <v>0.990175</v>
      </c>
    </row>
    <row r="15" customFormat="false" ht="15" hidden="false" customHeight="false" outlineLevel="0" collapsed="false">
      <c r="A15" s="4" t="s">
        <v>103</v>
      </c>
      <c r="B15" s="4" t="n">
        <v>0.955882</v>
      </c>
      <c r="C15" s="4" t="n">
        <v>0.955882</v>
      </c>
    </row>
    <row r="16" customFormat="false" ht="15" hidden="false" customHeight="false" outlineLevel="0" collapsed="false">
      <c r="A16" s="4" t="s">
        <v>104</v>
      </c>
      <c r="B16" s="4" t="n">
        <v>1</v>
      </c>
      <c r="C16" s="4" t="n">
        <v>1</v>
      </c>
    </row>
    <row r="17" customFormat="false" ht="15" hidden="false" customHeight="false" outlineLevel="0" collapsed="false">
      <c r="A17" s="4" t="s">
        <v>105</v>
      </c>
      <c r="B17" s="4" t="s">
        <v>1604</v>
      </c>
      <c r="C17" s="4" t="s">
        <v>1604</v>
      </c>
    </row>
    <row r="18" customFormat="false" ht="15" hidden="false" customHeight="false" outlineLevel="0" collapsed="false">
      <c r="A18" s="4" t="s">
        <v>106</v>
      </c>
      <c r="B18" s="4" t="n">
        <v>1</v>
      </c>
      <c r="C18" s="4" t="n">
        <v>1</v>
      </c>
    </row>
    <row r="19" customFormat="false" ht="15" hidden="false" customHeight="false" outlineLevel="0" collapsed="false">
      <c r="A19" s="4" t="s">
        <v>107</v>
      </c>
      <c r="B19" s="4" t="n">
        <v>0.987767</v>
      </c>
      <c r="C19" s="4" t="n">
        <v>0.986495</v>
      </c>
    </row>
    <row r="20" customFormat="false" ht="15" hidden="false" customHeight="false" outlineLevel="0" collapsed="false">
      <c r="A20" s="4" t="s">
        <v>108</v>
      </c>
      <c r="B20" s="4" t="n">
        <v>0.984848</v>
      </c>
      <c r="C20" s="4" t="n">
        <v>0.984848</v>
      </c>
    </row>
    <row r="21" customFormat="false" ht="15" hidden="false" customHeight="false" outlineLevel="0" collapsed="false">
      <c r="A21" s="4" t="s">
        <v>109</v>
      </c>
      <c r="B21" s="4" t="s">
        <v>1604</v>
      </c>
      <c r="C21" s="4" t="s">
        <v>1604</v>
      </c>
    </row>
    <row r="22" customFormat="false" ht="15" hidden="false" customHeight="false" outlineLevel="0" collapsed="false">
      <c r="A22" s="4" t="s">
        <v>110</v>
      </c>
      <c r="B22" s="4" t="n">
        <v>0.942387</v>
      </c>
      <c r="C22" s="4" t="n">
        <v>0.950617</v>
      </c>
    </row>
    <row r="23" customFormat="false" ht="15" hidden="false" customHeight="false" outlineLevel="0" collapsed="false">
      <c r="A23" s="4" t="s">
        <v>111</v>
      </c>
      <c r="B23" s="4" t="n">
        <v>0.886076</v>
      </c>
      <c r="C23" s="4" t="n">
        <v>0.886076</v>
      </c>
    </row>
    <row r="24" customFormat="false" ht="15" hidden="false" customHeight="false" outlineLevel="0" collapsed="false">
      <c r="A24" s="4" t="s">
        <v>112</v>
      </c>
      <c r="B24" s="4" t="n">
        <v>0.966981</v>
      </c>
      <c r="C24" s="4" t="n">
        <v>0.966981</v>
      </c>
    </row>
    <row r="25" customFormat="false" ht="15" hidden="false" customHeight="false" outlineLevel="0" collapsed="false">
      <c r="A25" s="4" t="s">
        <v>113</v>
      </c>
      <c r="B25" s="4" t="n">
        <v>0.936207</v>
      </c>
      <c r="C25" s="4" t="n">
        <v>0.891379</v>
      </c>
    </row>
    <row r="26" customFormat="false" ht="15" hidden="false" customHeight="false" outlineLevel="0" collapsed="false">
      <c r="A26" s="4" t="s">
        <v>114</v>
      </c>
      <c r="B26" s="4" t="s">
        <v>1604</v>
      </c>
      <c r="C26" s="4" t="s">
        <v>1604</v>
      </c>
    </row>
    <row r="27" customFormat="false" ht="15" hidden="false" customHeight="false" outlineLevel="0" collapsed="false">
      <c r="A27" s="4" t="s">
        <v>115</v>
      </c>
      <c r="B27" s="4" t="n">
        <v>0.831301</v>
      </c>
      <c r="C27" s="4" t="n">
        <v>0.796341</v>
      </c>
    </row>
    <row r="28" customFormat="false" ht="15" hidden="false" customHeight="false" outlineLevel="0" collapsed="false">
      <c r="A28" s="4" t="s">
        <v>116</v>
      </c>
      <c r="B28" s="4" t="s">
        <v>1604</v>
      </c>
      <c r="C28" s="4" t="s">
        <v>1604</v>
      </c>
    </row>
    <row r="29" customFormat="false" ht="15" hidden="false" customHeight="false" outlineLevel="0" collapsed="false">
      <c r="A29" s="4" t="s">
        <v>117</v>
      </c>
      <c r="B29" s="4" t="n">
        <v>0.982759</v>
      </c>
      <c r="C29" s="4" t="n">
        <v>0.982759</v>
      </c>
    </row>
    <row r="30" customFormat="false" ht="15" hidden="false" customHeight="false" outlineLevel="0" collapsed="false">
      <c r="A30" s="4" t="s">
        <v>118</v>
      </c>
      <c r="B30" s="4" t="n">
        <v>0.977778</v>
      </c>
      <c r="C30" s="4" t="n">
        <v>0.977778</v>
      </c>
    </row>
    <row r="31" customFormat="false" ht="15" hidden="false" customHeight="false" outlineLevel="0" collapsed="false">
      <c r="A31" s="4" t="s">
        <v>119</v>
      </c>
      <c r="B31" s="4" t="n">
        <v>0.938776</v>
      </c>
      <c r="C31" s="4" t="n">
        <v>0.938776</v>
      </c>
    </row>
    <row r="32" customFormat="false" ht="15" hidden="false" customHeight="false" outlineLevel="0" collapsed="false">
      <c r="A32" s="4" t="s">
        <v>120</v>
      </c>
      <c r="B32" s="4" t="n">
        <v>0.93</v>
      </c>
      <c r="C32" s="4" t="n">
        <v>0.93</v>
      </c>
    </row>
    <row r="33" customFormat="false" ht="15" hidden="false" customHeight="false" outlineLevel="0" collapsed="false">
      <c r="A33" s="4" t="s">
        <v>121</v>
      </c>
      <c r="B33" s="4" t="s">
        <v>1604</v>
      </c>
      <c r="C33" s="4" t="s">
        <v>1604</v>
      </c>
    </row>
    <row r="34" customFormat="false" ht="15" hidden="false" customHeight="false" outlineLevel="0" collapsed="false">
      <c r="A34" s="4" t="s">
        <v>122</v>
      </c>
      <c r="B34" s="4" t="n">
        <v>0.848394</v>
      </c>
      <c r="C34" s="4" t="n">
        <v>0.850297</v>
      </c>
    </row>
    <row r="35" customFormat="false" ht="15" hidden="false" customHeight="false" outlineLevel="0" collapsed="false">
      <c r="A35" s="4" t="s">
        <v>123</v>
      </c>
      <c r="B35" s="4" t="s">
        <v>1604</v>
      </c>
      <c r="C35" s="4" t="s">
        <v>1604</v>
      </c>
    </row>
    <row r="36" customFormat="false" ht="15" hidden="false" customHeight="false" outlineLevel="0" collapsed="false">
      <c r="A36" s="4" t="s">
        <v>124</v>
      </c>
      <c r="B36" s="4" t="n">
        <v>0.961988</v>
      </c>
      <c r="C36" s="4" t="n">
        <v>0.955044</v>
      </c>
    </row>
    <row r="37" customFormat="false" ht="15" hidden="false" customHeight="false" outlineLevel="0" collapsed="false">
      <c r="A37" s="4" t="s">
        <v>125</v>
      </c>
      <c r="B37" s="4" t="n">
        <v>0.961149</v>
      </c>
      <c r="C37" s="4" t="n">
        <v>0.964894</v>
      </c>
    </row>
    <row r="38" customFormat="false" ht="15" hidden="false" customHeight="false" outlineLevel="0" collapsed="false">
      <c r="A38" s="4" t="s">
        <v>126</v>
      </c>
      <c r="B38" s="4" t="s">
        <v>1604</v>
      </c>
      <c r="C38" s="4" t="s">
        <v>1604</v>
      </c>
    </row>
    <row r="39" customFormat="false" ht="15" hidden="false" customHeight="false" outlineLevel="0" collapsed="false">
      <c r="A39" s="4" t="s">
        <v>127</v>
      </c>
      <c r="B39" s="4" t="n">
        <v>0.971429</v>
      </c>
      <c r="C39" s="4" t="n">
        <v>0.971429</v>
      </c>
    </row>
    <row r="40" customFormat="false" ht="15" hidden="false" customHeight="false" outlineLevel="0" collapsed="false">
      <c r="A40" s="4" t="s">
        <v>128</v>
      </c>
      <c r="B40" s="4" t="n">
        <v>0.852608</v>
      </c>
      <c r="C40" s="4" t="n">
        <v>0.685131</v>
      </c>
    </row>
    <row r="41" customFormat="false" ht="15" hidden="false" customHeight="false" outlineLevel="0" collapsed="false">
      <c r="A41" s="4" t="s">
        <v>129</v>
      </c>
      <c r="B41" s="4" t="n">
        <v>0.933333</v>
      </c>
      <c r="C41" s="4" t="n">
        <v>0.933333</v>
      </c>
    </row>
    <row r="42" customFormat="false" ht="15" hidden="false" customHeight="false" outlineLevel="0" collapsed="false">
      <c r="A42" s="4" t="s">
        <v>130</v>
      </c>
      <c r="B42" s="4" t="n">
        <v>0.985714</v>
      </c>
      <c r="C42" s="4" t="n">
        <v>0.985714</v>
      </c>
    </row>
    <row r="43" customFormat="false" ht="15" hidden="false" customHeight="false" outlineLevel="0" collapsed="false">
      <c r="A43" s="4" t="s">
        <v>131</v>
      </c>
      <c r="B43" s="4" t="n">
        <v>0.986014</v>
      </c>
      <c r="C43" s="4" t="n">
        <v>0.987374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s>
  <sheetData>
    <row r="1" customFormat="false" ht="17.35" hidden="false" customHeight="false" outlineLevel="0" collapsed="false">
      <c r="A1" s="1" t="s">
        <v>1605</v>
      </c>
    </row>
    <row r="2" customFormat="false" ht="15" hidden="false" customHeight="false" outlineLevel="0" collapsed="false">
      <c r="A2" s="0" t="s">
        <v>1606</v>
      </c>
    </row>
    <row r="4" customFormat="false" ht="15" hidden="false" customHeight="false" outlineLevel="0" collapsed="false">
      <c r="A4" s="2" t="s">
        <v>1607</v>
      </c>
    </row>
    <row r="6" customFormat="false" ht="15" hidden="false" customHeight="false" outlineLevel="0" collapsed="false">
      <c r="A6" s="2" t="s">
        <v>1608</v>
      </c>
    </row>
    <row r="7" customFormat="false" ht="41.75" hidden="false" customHeight="false" outlineLevel="0" collapsed="false">
      <c r="A7" s="7" t="s">
        <v>1597</v>
      </c>
      <c r="B7" s="7" t="s">
        <v>1609</v>
      </c>
      <c r="C7" s="7" t="s">
        <v>1610</v>
      </c>
      <c r="D7" s="7" t="s">
        <v>1611</v>
      </c>
      <c r="E7" s="7" t="s">
        <v>1612</v>
      </c>
      <c r="F7" s="7" t="s">
        <v>1613</v>
      </c>
    </row>
    <row r="8" customFormat="false" ht="15" hidden="false" customHeight="false" outlineLevel="0" collapsed="false">
      <c r="A8" s="4" t="s">
        <v>1599</v>
      </c>
      <c r="B8" s="4" t="s">
        <v>1614</v>
      </c>
      <c r="C8" s="4" t="s">
        <v>1615</v>
      </c>
      <c r="D8" s="4" t="n">
        <v>0.95</v>
      </c>
      <c r="E8" s="4" t="n">
        <v>0.990329</v>
      </c>
      <c r="F8" s="4" t="s">
        <v>1616</v>
      </c>
    </row>
    <row r="9" customFormat="false" ht="15" hidden="false" customHeight="false" outlineLevel="0" collapsed="false">
      <c r="A9" s="4" t="s">
        <v>18</v>
      </c>
      <c r="B9" s="4" t="s">
        <v>1617</v>
      </c>
      <c r="C9" s="4" t="s">
        <v>1615</v>
      </c>
      <c r="D9" s="4" t="n">
        <v>0.85</v>
      </c>
      <c r="E9" s="4" t="n">
        <v>0.990175</v>
      </c>
      <c r="F9" s="4" t="s">
        <v>1616</v>
      </c>
    </row>
    <row r="11" customFormat="false" ht="15" hidden="false" customHeight="false" outlineLevel="0" collapsed="false">
      <c r="A11" s="2" t="s">
        <v>1618</v>
      </c>
    </row>
    <row r="12" customFormat="false" ht="28.35" hidden="false" customHeight="false" outlineLevel="0" collapsed="false">
      <c r="A12" s="7" t="s">
        <v>40</v>
      </c>
      <c r="B12" s="7" t="s">
        <v>1619</v>
      </c>
      <c r="C12" s="7" t="s">
        <v>1620</v>
      </c>
      <c r="D12" s="7" t="s">
        <v>1621</v>
      </c>
    </row>
    <row r="13" customFormat="false" ht="15" hidden="false" customHeight="false" outlineLevel="0" collapsed="false">
      <c r="A13" s="4" t="n">
        <v>40</v>
      </c>
      <c r="B13" s="4" t="n">
        <v>35</v>
      </c>
      <c r="C13" s="4" t="n">
        <v>5</v>
      </c>
      <c r="D13" s="4" t="n">
        <v>0.875</v>
      </c>
    </row>
    <row r="15" customFormat="false" ht="15" hidden="false" customHeight="false" outlineLevel="0" collapsed="false">
      <c r="A15" s="2" t="s">
        <v>1622</v>
      </c>
    </row>
    <row r="16" customFormat="false" ht="55.2" hidden="false" customHeight="false" outlineLevel="0" collapsed="false">
      <c r="A16" s="7" t="s">
        <v>1623</v>
      </c>
      <c r="B16" s="7" t="s">
        <v>1624</v>
      </c>
      <c r="C16" s="7" t="s">
        <v>1625</v>
      </c>
      <c r="D16" s="7" t="s">
        <v>1626</v>
      </c>
      <c r="E16" s="7" t="s">
        <v>1627</v>
      </c>
      <c r="F16" s="7" t="s">
        <v>1628</v>
      </c>
      <c r="G16" s="7" t="s">
        <v>1629</v>
      </c>
    </row>
    <row r="17" customFormat="false" ht="15" hidden="false" customHeight="false" outlineLevel="0" collapsed="false">
      <c r="A17" s="4" t="n">
        <v>29</v>
      </c>
      <c r="B17" s="4" t="n">
        <v>13</v>
      </c>
      <c r="C17" s="4" t="n">
        <v>7</v>
      </c>
      <c r="D17" s="4" t="n">
        <v>0.95098</v>
      </c>
      <c r="E17" s="4" t="n">
        <v>0.943118</v>
      </c>
      <c r="F17" s="4" t="n">
        <v>-0.167477</v>
      </c>
      <c r="G17" s="4" t="s">
        <v>128</v>
      </c>
    </row>
    <row r="19" customFormat="false" ht="15" hidden="false" customHeight="false" outlineLevel="0" collapsed="false">
      <c r="A19" s="2" t="s">
        <v>1630</v>
      </c>
    </row>
    <row r="20" customFormat="false" ht="28.35" hidden="false" customHeight="false" outlineLevel="0" collapsed="false">
      <c r="A20" s="7" t="s">
        <v>279</v>
      </c>
      <c r="B20" s="7" t="s">
        <v>1631</v>
      </c>
      <c r="C20" s="7" t="s">
        <v>1632</v>
      </c>
      <c r="D20" s="7" t="s">
        <v>1633</v>
      </c>
    </row>
    <row r="21" customFormat="false" ht="15" hidden="false" customHeight="false" outlineLevel="0" collapsed="false">
      <c r="A21" s="4" t="s">
        <v>1634</v>
      </c>
      <c r="B21" s="4" t="n">
        <v>315</v>
      </c>
      <c r="C21" s="4" t="n">
        <v>0.54878</v>
      </c>
      <c r="D21" s="4" t="n">
        <v>1</v>
      </c>
    </row>
    <row r="22" customFormat="false" ht="15" hidden="false" customHeight="false" outlineLevel="0" collapsed="false">
      <c r="A22" s="4" t="s">
        <v>1635</v>
      </c>
      <c r="B22" s="4" t="n">
        <v>99</v>
      </c>
      <c r="C22" s="4" t="n">
        <v>0.172474</v>
      </c>
      <c r="D22" s="4" t="n">
        <v>0</v>
      </c>
    </row>
    <row r="23" customFormat="false" ht="15" hidden="false" customHeight="false" outlineLevel="0" collapsed="false">
      <c r="A23" s="4" t="s">
        <v>562</v>
      </c>
      <c r="B23" s="4" t="n">
        <v>160</v>
      </c>
      <c r="C23" s="4" t="n">
        <v>0.278746</v>
      </c>
      <c r="D23" s="4" t="n">
        <v>8</v>
      </c>
    </row>
    <row r="25" customFormat="false" ht="15" hidden="false" customHeight="false" outlineLevel="0" collapsed="false">
      <c r="A25" s="2" t="s">
        <v>1636</v>
      </c>
    </row>
    <row r="26" customFormat="false" ht="28.35" hidden="false" customHeight="false" outlineLevel="0" collapsed="false">
      <c r="A26" s="7" t="s">
        <v>1634</v>
      </c>
      <c r="B26" s="7" t="s">
        <v>1637</v>
      </c>
      <c r="C26" s="7" t="s">
        <v>1638</v>
      </c>
      <c r="D26" s="7" t="s">
        <v>1639</v>
      </c>
      <c r="E26" s="7" t="s">
        <v>1640</v>
      </c>
      <c r="F26" s="7" t="s">
        <v>275</v>
      </c>
    </row>
    <row r="27" customFormat="false" ht="15" hidden="false" customHeight="false" outlineLevel="0" collapsed="false">
      <c r="A27" s="4" t="n">
        <v>315</v>
      </c>
      <c r="B27" s="4" t="n">
        <v>68.2716</v>
      </c>
      <c r="C27" s="4" t="n">
        <v>0.399384</v>
      </c>
      <c r="D27" s="4" t="n">
        <v>160</v>
      </c>
      <c r="E27" s="4" t="n">
        <v>9</v>
      </c>
      <c r="F27" s="4" t="n">
        <v>9</v>
      </c>
    </row>
    <row r="29" customFormat="false" ht="15" hidden="false" customHeight="false" outlineLevel="0" collapsed="false">
      <c r="A29" s="2" t="s">
        <v>1641</v>
      </c>
    </row>
    <row r="30" customFormat="false" ht="28.35" hidden="false" customHeight="false" outlineLevel="0" collapsed="false">
      <c r="A30" s="7" t="s">
        <v>1642</v>
      </c>
      <c r="B30" s="7" t="s">
        <v>1634</v>
      </c>
      <c r="C30" s="7" t="s">
        <v>1637</v>
      </c>
    </row>
    <row r="31" customFormat="false" ht="15" hidden="false" customHeight="false" outlineLevel="0" collapsed="false">
      <c r="A31" s="4" t="s">
        <v>888</v>
      </c>
      <c r="B31" s="4" t="n">
        <v>109</v>
      </c>
      <c r="C31" s="4" t="n">
        <v>34.4202</v>
      </c>
    </row>
    <row r="32" customFormat="false" ht="15" hidden="false" customHeight="false" outlineLevel="0" collapsed="false">
      <c r="A32" s="4" t="s">
        <v>1643</v>
      </c>
      <c r="B32" s="4" t="n">
        <v>206</v>
      </c>
      <c r="C32" s="4" t="n">
        <v>86.1833</v>
      </c>
    </row>
    <row r="34" customFormat="false" ht="15" hidden="false" customHeight="false" outlineLevel="0" collapsed="false">
      <c r="A34" s="2" t="s">
        <v>1644</v>
      </c>
    </row>
    <row r="35" customFormat="false" ht="68.65" hidden="false" customHeight="false" outlineLevel="0" collapsed="false">
      <c r="A35" s="7" t="s">
        <v>1645</v>
      </c>
      <c r="B35" s="7" t="s">
        <v>1646</v>
      </c>
      <c r="C35" s="7" t="s">
        <v>1647</v>
      </c>
      <c r="D35" s="7" t="s">
        <v>1621</v>
      </c>
      <c r="E35" s="7" t="s">
        <v>1648</v>
      </c>
      <c r="F35" s="7" t="s">
        <v>1649</v>
      </c>
      <c r="G35" s="7" t="s">
        <v>1650</v>
      </c>
      <c r="H35" s="7" t="s">
        <v>1651</v>
      </c>
      <c r="I35" s="7" t="s">
        <v>1652</v>
      </c>
    </row>
    <row r="36" customFormat="false" ht="15" hidden="false" customHeight="false" outlineLevel="0" collapsed="false">
      <c r="A36" s="4" t="n">
        <v>80</v>
      </c>
      <c r="B36" s="4" t="n">
        <v>70</v>
      </c>
      <c r="C36" s="4" t="n">
        <v>58</v>
      </c>
      <c r="D36" s="4" t="n">
        <v>0.725</v>
      </c>
      <c r="E36" s="4" t="n">
        <v>12</v>
      </c>
      <c r="F36" s="4" t="n">
        <v>22</v>
      </c>
      <c r="G36" s="4" t="n">
        <v>10</v>
      </c>
      <c r="H36" s="4" t="n">
        <v>4</v>
      </c>
      <c r="I36" s="4" t="n">
        <v>0</v>
      </c>
    </row>
    <row r="38" customFormat="false" ht="15" hidden="false" customHeight="false" outlineLevel="0" collapsed="false">
      <c r="A38" s="2" t="s">
        <v>1653</v>
      </c>
    </row>
    <row r="39" customFormat="false" ht="41.75" hidden="false" customHeight="false" outlineLevel="0" collapsed="false">
      <c r="A39" s="7" t="s">
        <v>1654</v>
      </c>
      <c r="B39" s="7" t="s">
        <v>1655</v>
      </c>
      <c r="C39" s="7" t="s">
        <v>1656</v>
      </c>
      <c r="D39" s="7" t="s">
        <v>1657</v>
      </c>
      <c r="E39" s="7" t="s">
        <v>1621</v>
      </c>
    </row>
    <row r="40" customFormat="false" ht="15" hidden="false" customHeight="false" outlineLevel="0" collapsed="false">
      <c r="A40" s="4" t="s">
        <v>1658</v>
      </c>
      <c r="B40" s="4" t="n">
        <v>30</v>
      </c>
      <c r="C40" s="4" t="n">
        <v>23</v>
      </c>
      <c r="D40" s="4" t="n">
        <v>7</v>
      </c>
      <c r="E40" s="4" t="n">
        <v>0.766667</v>
      </c>
    </row>
    <row r="42" customFormat="false" ht="15" hidden="false" customHeight="false" outlineLevel="0" collapsed="false">
      <c r="A42" s="2" t="s">
        <v>1659</v>
      </c>
    </row>
    <row r="43" customFormat="false" ht="55.2" hidden="false" customHeight="false" outlineLevel="0" collapsed="false">
      <c r="A43" s="7" t="s">
        <v>1660</v>
      </c>
      <c r="B43" s="7" t="s">
        <v>1661</v>
      </c>
      <c r="C43" s="7" t="s">
        <v>1662</v>
      </c>
      <c r="D43" s="7" t="s">
        <v>1663</v>
      </c>
      <c r="E43" s="7" t="s">
        <v>1664</v>
      </c>
      <c r="F43" s="7" t="s">
        <v>1665</v>
      </c>
      <c r="G43" s="7" t="s">
        <v>1666</v>
      </c>
      <c r="H43" s="7" t="s">
        <v>1667</v>
      </c>
      <c r="I43" s="7" t="s">
        <v>1668</v>
      </c>
    </row>
    <row r="44" customFormat="false" ht="15" hidden="false" customHeight="false" outlineLevel="0" collapsed="false">
      <c r="A44" s="4" t="n">
        <v>174</v>
      </c>
      <c r="B44" s="4" t="n">
        <v>172</v>
      </c>
      <c r="C44" s="4" t="n">
        <v>0.988506</v>
      </c>
      <c r="D44" s="4" t="n">
        <v>220</v>
      </c>
      <c r="E44" s="4" t="n">
        <v>46</v>
      </c>
      <c r="F44" s="4" t="n">
        <v>185</v>
      </c>
      <c r="G44" s="4" t="n">
        <v>0.840909</v>
      </c>
      <c r="H44" s="4" t="n">
        <v>205</v>
      </c>
      <c r="I44" s="4" t="n">
        <v>0.931818</v>
      </c>
    </row>
    <row r="46" customFormat="false" ht="15" hidden="false" customHeight="false" outlineLevel="0" collapsed="false">
      <c r="A46" s="2" t="s">
        <v>1669</v>
      </c>
    </row>
    <row r="47" customFormat="false" ht="41.75" hidden="false" customHeight="false" outlineLevel="0" collapsed="false">
      <c r="A47" s="7" t="s">
        <v>1670</v>
      </c>
      <c r="B47" s="7" t="s">
        <v>1671</v>
      </c>
      <c r="C47" s="7" t="s">
        <v>1672</v>
      </c>
      <c r="D47" s="7" t="s">
        <v>1673</v>
      </c>
      <c r="E47" s="7" t="s">
        <v>1674</v>
      </c>
      <c r="F47" s="7" t="s">
        <v>1675</v>
      </c>
      <c r="G47" s="7" t="s">
        <v>1676</v>
      </c>
      <c r="H47" s="7" t="s">
        <v>1677</v>
      </c>
      <c r="I47" s="7" t="s">
        <v>25</v>
      </c>
    </row>
    <row r="48" customFormat="false" ht="15" hidden="false" customHeight="false" outlineLevel="0" collapsed="false">
      <c r="A48" s="4" t="n">
        <v>0</v>
      </c>
      <c r="B48" s="4" t="s">
        <v>1678</v>
      </c>
      <c r="C48" s="4" t="s">
        <v>1679</v>
      </c>
      <c r="D48" s="4" t="n">
        <v>15</v>
      </c>
      <c r="E48" s="4" t="n">
        <v>10</v>
      </c>
      <c r="F48" s="4" t="n">
        <v>0</v>
      </c>
      <c r="G48" s="4" t="n">
        <v>5</v>
      </c>
      <c r="H48" s="4" t="n">
        <v>15</v>
      </c>
      <c r="I48" s="4" t="n">
        <v>0.666667</v>
      </c>
    </row>
    <row r="49" customFormat="false" ht="15" hidden="false" customHeight="false" outlineLevel="0" collapsed="false">
      <c r="A49" s="4" t="n">
        <v>1</v>
      </c>
      <c r="B49" s="4" t="s">
        <v>1680</v>
      </c>
      <c r="C49" s="4" t="s">
        <v>1681</v>
      </c>
      <c r="D49" s="4" t="n">
        <v>15</v>
      </c>
      <c r="E49" s="4" t="n">
        <v>5</v>
      </c>
      <c r="F49" s="4" t="n">
        <v>3</v>
      </c>
      <c r="G49" s="4" t="n">
        <v>7</v>
      </c>
      <c r="H49" s="4" t="n">
        <v>12</v>
      </c>
      <c r="I49" s="4" t="n">
        <v>0.416667</v>
      </c>
    </row>
    <row r="50" customFormat="false" ht="15" hidden="false" customHeight="false" outlineLevel="0" collapsed="false">
      <c r="A50" s="4" t="n">
        <v>2</v>
      </c>
      <c r="B50" s="4" t="s">
        <v>1682</v>
      </c>
      <c r="C50" s="4" t="s">
        <v>1683</v>
      </c>
      <c r="D50" s="4" t="n">
        <v>15</v>
      </c>
      <c r="E50" s="4" t="n">
        <v>5</v>
      </c>
      <c r="F50" s="4" t="n">
        <v>0</v>
      </c>
      <c r="G50" s="4" t="n">
        <v>10</v>
      </c>
      <c r="H50" s="4" t="n">
        <v>15</v>
      </c>
      <c r="I50" s="4" t="n">
        <v>0.333333</v>
      </c>
    </row>
    <row r="51" customFormat="false" ht="15" hidden="false" customHeight="false" outlineLevel="0" collapsed="false">
      <c r="A51" s="4" t="n">
        <v>3</v>
      </c>
      <c r="B51" s="4" t="s">
        <v>1684</v>
      </c>
      <c r="C51" s="4" t="s">
        <v>1685</v>
      </c>
      <c r="D51" s="4" t="n">
        <v>15</v>
      </c>
      <c r="E51" s="4" t="n">
        <v>0</v>
      </c>
      <c r="F51" s="4" t="n">
        <v>0</v>
      </c>
      <c r="G51" s="4" t="n">
        <v>15</v>
      </c>
      <c r="H51" s="4" t="n">
        <v>15</v>
      </c>
      <c r="I51" s="4" t="n">
        <v>0</v>
      </c>
    </row>
    <row r="53" customFormat="false" ht="15" hidden="false" customHeight="false" outlineLevel="0" collapsed="false">
      <c r="A53" s="2" t="s">
        <v>1686</v>
      </c>
    </row>
    <row r="54" customFormat="false" ht="41.75" hidden="false" customHeight="false" outlineLevel="0" collapsed="false">
      <c r="A54" s="7" t="s">
        <v>1597</v>
      </c>
      <c r="B54" s="7" t="s">
        <v>1610</v>
      </c>
      <c r="C54" s="7" t="s">
        <v>1611</v>
      </c>
      <c r="D54" s="7" t="s">
        <v>1612</v>
      </c>
      <c r="E54" s="7" t="s">
        <v>84</v>
      </c>
      <c r="F54" s="7" t="s">
        <v>1687</v>
      </c>
      <c r="G54" s="7" t="s">
        <v>86</v>
      </c>
    </row>
    <row r="55" customFormat="false" ht="15" hidden="false" customHeight="false" outlineLevel="0" collapsed="false">
      <c r="A55" s="4" t="s">
        <v>1599</v>
      </c>
      <c r="B55" s="4" t="s">
        <v>1615</v>
      </c>
      <c r="C55" s="4" t="n">
        <v>0.95</v>
      </c>
      <c r="D55" s="4" t="n">
        <v>0.958116</v>
      </c>
      <c r="E55" s="4" t="n">
        <v>2</v>
      </c>
      <c r="F55" s="4" t="n">
        <v>1</v>
      </c>
      <c r="G55" s="4" t="s">
        <v>1616</v>
      </c>
    </row>
    <row r="56" customFormat="false" ht="15" hidden="false" customHeight="false" outlineLevel="0" collapsed="false">
      <c r="A56" s="4" t="s">
        <v>18</v>
      </c>
      <c r="B56" s="4" t="s">
        <v>1615</v>
      </c>
      <c r="C56" s="4" t="n">
        <v>0.85</v>
      </c>
      <c r="D56" s="4" t="n">
        <v>0.963932</v>
      </c>
      <c r="E56" s="4" t="n">
        <v>2</v>
      </c>
      <c r="F56" s="4" t="n">
        <v>1</v>
      </c>
      <c r="G56" s="4" t="s">
        <v>1616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2026-10-27T04:58:20Z</dcterms:created>
  <dc:creator>openpyxl</dc:creator>
  <dc:description/>
  <dc:language>en-US</dc:language>
  <cp:lastModifiedBy/>
  <dcterms:modified xsi:type="dcterms:W3CDTF">2026-10-27T04:58:20Z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